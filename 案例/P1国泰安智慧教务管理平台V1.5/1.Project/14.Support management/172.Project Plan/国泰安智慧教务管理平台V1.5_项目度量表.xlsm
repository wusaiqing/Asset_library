
<file path=[Content_Types].xml><?xml version="1.0" encoding="utf-8"?>
<Types xmlns="http://schemas.openxmlformats.org/package/2006/content-types">
  <Default Extension="xml" ContentType="application/xml"/>
  <Default Extension="vml" ContentType="application/vnd.openxmlformats-officedocument.vmlDrawing"/>
  <Default Extension="png" ContentType="image/png"/>
  <Default Extension="jpeg" ContentType="image/jpeg"/>
  <Default Extension="rels" ContentType="application/vnd.openxmlformats-package.relationship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5" Type="http://schemas.microsoft.com/office/2006/relationships/ui/userCustomization" Target="userCustomization/customUI.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495" windowHeight="10350" tabRatio="879" firstSheet="1" activeTab="5"/>
  </bookViews>
  <sheets>
    <sheet name="CB_DATA_" sheetId="1" state="veryHidden" r:id="rId1"/>
    <sheet name="报告封面" sheetId="2" r:id="rId2"/>
    <sheet name="目录" sheetId="3" r:id="rId3"/>
    <sheet name="填写说明" sheetId="4" r:id="rId4"/>
    <sheet name="项目属性" sheetId="5" r:id="rId5"/>
    <sheet name="项目度量分析计划" sheetId="23" r:id="rId6"/>
    <sheet name="预测-结果" sheetId="24" r:id="rId7"/>
    <sheet name="预测-指导" sheetId="25" r:id="rId8"/>
    <sheet name="总模型" sheetId="26" r:id="rId9"/>
    <sheet name="迭代模型" sheetId="27" r:id="rId10"/>
    <sheet name="需求" sheetId="10" r:id="rId11"/>
    <sheet name="工作量分布" sheetId="11" r:id="rId12"/>
    <sheet name="规模" sheetId="12" r:id="rId13"/>
    <sheet name="项目进度" sheetId="13" r:id="rId14"/>
    <sheet name="过程产出缺陷度量" sheetId="14" r:id="rId15"/>
    <sheet name="测试及验收缺陷度量" sheetId="15" r:id="rId16"/>
    <sheet name="人员统计" sheetId="16" r:id="rId17"/>
    <sheet name="人员基本信息" sheetId="20" r:id="rId18"/>
    <sheet name="根因分析" sheetId="17" r:id="rId19"/>
    <sheet name="附录-节假日" sheetId="19" r:id="rId20"/>
  </sheets>
  <externalReferences>
    <externalReference r:id="rId21"/>
    <externalReference r:id="rId22"/>
    <externalReference r:id="rId23"/>
    <externalReference r:id="rId24"/>
    <externalReference r:id="rId25"/>
    <externalReference r:id="rId26"/>
    <externalReference r:id="rId27"/>
    <externalReference r:id="rId28"/>
  </externalReferences>
  <definedNames>
    <definedName name="\a" localSheetId="9">#REF!</definedName>
    <definedName name="\a" localSheetId="8">#REF!</definedName>
    <definedName name="\a">#REF!</definedName>
    <definedName name="\c" localSheetId="9">#REF!</definedName>
    <definedName name="\c" localSheetId="8">#REF!</definedName>
    <definedName name="\c">#REF!</definedName>
    <definedName name="\d" localSheetId="9">#REF!</definedName>
    <definedName name="\d" localSheetId="8">#REF!</definedName>
    <definedName name="\d">#REF!</definedName>
    <definedName name="\e" localSheetId="9">#REF!</definedName>
    <definedName name="\e" localSheetId="8">#REF!</definedName>
    <definedName name="\e">#REF!</definedName>
    <definedName name="\p" localSheetId="9">#REF!</definedName>
    <definedName name="\p" localSheetId="8">#REF!</definedName>
    <definedName name="\p">#REF!</definedName>
    <definedName name="\s" localSheetId="9">#REF!</definedName>
    <definedName name="\s" localSheetId="8">#REF!</definedName>
    <definedName name="\s">#REF!</definedName>
    <definedName name="\w" localSheetId="9">#REF!</definedName>
    <definedName name="\w" localSheetId="8">#REF!</definedName>
    <definedName name="\w">#REF!</definedName>
    <definedName name="_Dist_Bin" localSheetId="9" hidden="1">#REF!</definedName>
    <definedName name="_Dist_Bin" localSheetId="8" hidden="1">#REF!</definedName>
    <definedName name="_Dist_Bin" hidden="1">#REF!</definedName>
    <definedName name="_Dist_Values" localSheetId="9" hidden="1">#REF!</definedName>
    <definedName name="_Dist_Values" localSheetId="8" hidden="1">#REF!</definedName>
    <definedName name="_Dist_Values" hidden="1">#REF!</definedName>
    <definedName name="_Fill" localSheetId="9" hidden="1">#REF!</definedName>
    <definedName name="_Fill" localSheetId="8" hidden="1">#REF!</definedName>
    <definedName name="_Fill" hidden="1">#REF!</definedName>
    <definedName name="_Key1" localSheetId="9" hidden="1">#REF!</definedName>
    <definedName name="_Key1" localSheetId="8" hidden="1">#REF!</definedName>
    <definedName name="_Key1" hidden="1">#REF!</definedName>
    <definedName name="_Order1" hidden="1">255</definedName>
    <definedName name="_Sort" localSheetId="9" hidden="1">#REF!</definedName>
    <definedName name="_Sort" localSheetId="8" hidden="1">#REF!</definedName>
    <definedName name="_Sort" hidden="1">#REF!</definedName>
    <definedName name="_VER1" localSheetId="9">'[1]封面 '!#REF!</definedName>
    <definedName name="_VER1" localSheetId="8">'[1]封面 '!#REF!</definedName>
    <definedName name="_VER1">'[1]封面 '!#REF!</definedName>
    <definedName name="A" localSheetId="9">#REF!</definedName>
    <definedName name="A" localSheetId="8">#REF!</definedName>
    <definedName name="A">#REF!</definedName>
    <definedName name="AA" localSheetId="9">#REF!</definedName>
    <definedName name="AA" localSheetId="8">#REF!</definedName>
    <definedName name="AA">#REF!</definedName>
    <definedName name="AAA" localSheetId="9">#REF!</definedName>
    <definedName name="AAA" localSheetId="8">#REF!</definedName>
    <definedName name="AAA">#REF!</definedName>
    <definedName name="AAAA" localSheetId="9">迭代模型!AAAA</definedName>
    <definedName name="AAAA" localSheetId="8">总模型!AAAA</definedName>
    <definedName name="AAAA">AAAA</definedName>
    <definedName name="AB" localSheetId="9">#REF!</definedName>
    <definedName name="AB" localSheetId="8">#REF!</definedName>
    <definedName name="AB">#REF!</definedName>
    <definedName name="Access_Button" hidden="1">"BugTBLU0_LMS11_List"</definedName>
    <definedName name="AccessDatabase" hidden="1">"B:\Users\Docomo\バグ管理\BugTBLU0.mdb"</definedName>
    <definedName name="ActEffort">#REF!</definedName>
    <definedName name="Action">[2]基础配置表!$A$2:$A$53</definedName>
    <definedName name="Activity">[2]ODC配置表!$A$2:$A$12</definedName>
    <definedName name="Age">[2]ODC配置表!$H$2:$H$6</definedName>
    <definedName name="Backend" localSheetId="9">#REF!</definedName>
    <definedName name="Backend" localSheetId="8">#REF!</definedName>
    <definedName name="Backend">#REF!</definedName>
    <definedName name="BackendP" localSheetId="9">#REF!</definedName>
    <definedName name="BackendP" localSheetId="8">#REF!</definedName>
    <definedName name="BackendP">#REF!</definedName>
    <definedName name="BBB" localSheetId="9">#REF!</definedName>
    <definedName name="BBB" localSheetId="8">#REF!</definedName>
    <definedName name="BBB">#REF!</definedName>
    <definedName name="BugTBLU0_LMS11_List" localSheetId="9">#REF!</definedName>
    <definedName name="BugTBLU0_LMS11_List" localSheetId="8">#REF!</definedName>
    <definedName name="BugTBLU0_LMS11_List">#REF!</definedName>
    <definedName name="CB_03f504e7c7724c379d5bff130f919220" localSheetId="9" hidden="1">迭代模型!$C$28</definedName>
    <definedName name="CB_066f09643cc24a419605ecf196688385" localSheetId="8" hidden="1">总模型!$X$37</definedName>
    <definedName name="CB_07d25e9b04e34226b8d2b807d1a4f608" localSheetId="8" hidden="1">总模型!$C$53</definedName>
    <definedName name="CB_0c161aba56c64505828ddf8f9e5c1806" localSheetId="9" hidden="1">迭代模型!$I$44</definedName>
    <definedName name="CB_1055419c52e747d1bb06ab8a050b4c93" localSheetId="0" hidden="1">#N/A</definedName>
    <definedName name="CB_13a87ddbf9bc45af9984b48de5560067" localSheetId="9" hidden="1">迭代模型!$M$29</definedName>
    <definedName name="CB_1713c8f4487c444794e4d03ca5c29a43" localSheetId="9" hidden="1">迭代模型!$Z$26</definedName>
    <definedName name="CB_1a54e055cce04566941af19111c7b417" localSheetId="9" hidden="1">迭代模型!$M$28</definedName>
    <definedName name="CB_2492e6996dc4454b8289d41d196d8f3d" localSheetId="9" hidden="1">迭代模型!$G$34</definedName>
    <definedName name="CB_27533f828bd94248b76d506cf93ef668" localSheetId="0" hidden="1">#N/A</definedName>
    <definedName name="CB_28a2e8a85a3d43dfa3ed0c0e27f3b072" localSheetId="9" hidden="1">迭代模型!$X$26</definedName>
    <definedName name="CB_28a85be4fd2c4fae8bd75a2f1033717b" localSheetId="8" hidden="1">总模型!$E$53</definedName>
    <definedName name="CB_294888a44f5440cdab6f00a76a0ac139" localSheetId="8" hidden="1">总模型!$G$41</definedName>
    <definedName name="CB_2da235539c5f40a7ab81cfddf982082f" localSheetId="8" hidden="1">总模型!$I$41</definedName>
    <definedName name="CB_32f28093af5b47cca2d028e46f78fefd" localSheetId="0" hidden="1">#N/A</definedName>
    <definedName name="CB_340b0bc6d7514eb89a5666603b86220d" localSheetId="9" hidden="1">迭代模型!$C$34</definedName>
    <definedName name="CB_3de5da3f020740a89918168d53d1c996" localSheetId="8" hidden="1">总模型!$I$50</definedName>
    <definedName name="CB_466149affa5946778bb6839ee2aa2a25" localSheetId="8" hidden="1">总模型!$G$50</definedName>
    <definedName name="CB_480a3800b99b4645a0287d07008626b4" localSheetId="9" hidden="1">迭代模型!$C$35</definedName>
    <definedName name="CB_48ebec21ed8846fda73e484a7d563a8d" localSheetId="8" hidden="1">总模型!$Y$37</definedName>
    <definedName name="CB_4a93ccdefa894b8ab94089fe4fd57995" localSheetId="9" hidden="1">迭代模型!$C$37</definedName>
    <definedName name="CB_4b88e32533114c799e9d7716ce057f93" localSheetId="8" hidden="1">总模型!$G$53</definedName>
    <definedName name="CB_4d5292b0e9a34193823fec6fa712c6b0" localSheetId="9" hidden="1">迭代模型!$G$38</definedName>
    <definedName name="CB_4e76327ed06a4d07967ee2abc1decf00" localSheetId="9" hidden="1">迭代模型!$C$27</definedName>
    <definedName name="CB_528016d756944b96aa99947e0e2796cb" localSheetId="9" hidden="1">迭代模型!$G$28</definedName>
    <definedName name="CB_5475d27287644d5c9945cf523d68fc9d" localSheetId="8" hidden="1">总模型!$Z$37</definedName>
    <definedName name="CB_558d7df801054af3bedcd414002a9179" localSheetId="8" hidden="1">总模型!$C$50</definedName>
    <definedName name="CB_5ab2e471552f46a5897b13f291757d99" localSheetId="8" hidden="1">总模型!$I$44</definedName>
    <definedName name="CB_5b00ec00837842f8888a85d1118f86cf" localSheetId="9" hidden="1">迭代模型!$I$43</definedName>
    <definedName name="CB_5b9940299f2f468694a296aa8985ecea" localSheetId="8" hidden="1">总模型!$E$44</definedName>
    <definedName name="CB_5cd0906bd3f049e39b1f775fb757d1f7" localSheetId="8" hidden="1">总模型!$C$41</definedName>
    <definedName name="CB_5f481313a0f648a492c16686206406a7" localSheetId="9" hidden="1">迭代模型!$G$26</definedName>
    <definedName name="CB_5f980e4420a7480891b3ff422a01bc05" localSheetId="8" hidden="1">总模型!$I$48</definedName>
    <definedName name="CB_615ffed7c45140cba8c2593f0797149f" localSheetId="8" hidden="1">总模型!$C$44</definedName>
    <definedName name="CB_63d30cad23a14ad1abcdc29e9381d1b7" localSheetId="9" hidden="1">迭代模型!$G$37</definedName>
    <definedName name="CB_6d635ad374f2431980defa80779db86c" localSheetId="8" hidden="1">总模型!$Z$38</definedName>
    <definedName name="CB_75d82e8c0e1646f3b364e104aa5dc8f0" localSheetId="9" hidden="1">迭代模型!$G$32</definedName>
    <definedName name="CB_83c7647225f248b2b15a91cfe3c77d37" localSheetId="8" hidden="1">总模型!$I$51</definedName>
    <definedName name="CB_85d187d58437408fae43150785c65a7a" localSheetId="9" hidden="1">迭代模型!$G$27</definedName>
    <definedName name="CB_8d8937e91a4e46ee9f6438abaff9c44f" localSheetId="9" hidden="1">迭代模型!$G$31</definedName>
    <definedName name="CB_93bc1bacca62434d882bc34e029c9880" localSheetId="8" hidden="1">总模型!$E$41</definedName>
    <definedName name="CB_953db35f0aa24151b9fbf691cd50a0d3" localSheetId="9" hidden="1">迭代模型!$E$37</definedName>
    <definedName name="CB_955008308c83451eb90fd16655927f81" localSheetId="8" hidden="1">总模型!$G$47</definedName>
    <definedName name="CB_9603d88963b340189a25f9a410f1dd85" localSheetId="9" hidden="1">迭代模型!$I$34</definedName>
    <definedName name="CB_993b0be0cd6d44708a2c8b6dc242e14f" localSheetId="9" hidden="1">迭代模型!$G$35</definedName>
    <definedName name="CB_9a8913d4b59646538e8c4953c027b861" localSheetId="9" hidden="1">迭代模型!$C$38</definedName>
    <definedName name="CB_9db4bfd4fe5e40eda94bad2e6b133f3a" localSheetId="9" hidden="1">迭代模型!$G$42</definedName>
    <definedName name="CB_a448254d6e8740c89dd4ed7551415e01" localSheetId="9" hidden="1">迭代模型!$Y$26</definedName>
    <definedName name="CB_a4489031f1974b94bb18b9d5131d697e" localSheetId="9" hidden="1">迭代模型!$E$28</definedName>
    <definedName name="CB_a9be9c3f67924d6695b86a01d88f6b07" localSheetId="8" hidden="1">总模型!$C$36</definedName>
    <definedName name="CB_ab8b9e4ee29c4c6482caf50e0cd83e36" localSheetId="9" hidden="1">迭代模型!$I$45</definedName>
    <definedName name="CB_b118e5c7664f48769394311a93b24638" localSheetId="8" hidden="1">总模型!$G$36</definedName>
    <definedName name="CB_b1f51e08d5ee49a89b0f2fb714c97609" localSheetId="9" hidden="1">迭代模型!$M$30</definedName>
    <definedName name="CB_ba58c65ef2254ffcb259c0ef4403b362" localSheetId="9" hidden="1">迭代模型!$C$26</definedName>
    <definedName name="CB_bf7dfdc1f94643879c560e7517bf48b4" localSheetId="8" hidden="1">总模型!$E$50</definedName>
    <definedName name="CB_Block_00000000000000000000000000000000" localSheetId="0" hidden="1">"'7.0.0.0"</definedName>
    <definedName name="CB_Block_00000000000000000000000000000000" localSheetId="9" hidden="1">"'7.0.0.0"</definedName>
    <definedName name="CB_Block_00000000000000000000000000000000" localSheetId="8" hidden="1">"'7.0.0.0"</definedName>
    <definedName name="CB_Block_00000000000000000000000000000001" localSheetId="0" hidden="1">"'636778954630336590"</definedName>
    <definedName name="CB_Block_00000000000000000000000000000001" localSheetId="9" hidden="1">"'636778954630336590"</definedName>
    <definedName name="CB_Block_00000000000000000000000000000001" localSheetId="8" hidden="1">"'636778954630960586"</definedName>
    <definedName name="CB_Block_00000000000000000000000000000003" localSheetId="0" hidden="1">"'11.1.4100.0"</definedName>
    <definedName name="CB_Block_00000000000000000000000000000003" localSheetId="9" hidden="1">"'11.1.4100.0"</definedName>
    <definedName name="CB_Block_00000000000000000000000000000003" localSheetId="8" hidden="1">"'11.1.4100.0"</definedName>
    <definedName name="CB_BlockExt_00000000000000000000000000000003" localSheetId="0" hidden="1">"'11.1.2.4.000"</definedName>
    <definedName name="CB_BlockExt_00000000000000000000000000000003" localSheetId="9" hidden="1">"'11.1.2.4.000"</definedName>
    <definedName name="CB_BlockExt_00000000000000000000000000000003" localSheetId="8" hidden="1">"'11.1.2.4.000"</definedName>
    <definedName name="CB_c09cf8896ef742b7b59faf1c25186578" localSheetId="9" hidden="1">迭代模型!$I$42</definedName>
    <definedName name="CB_c964a33fe5024320b084032b8d89eb7b" localSheetId="9" hidden="1">迭代模型!$W$26</definedName>
    <definedName name="CB_cc4748c5fe8e46b2a5a3917f086051e2" localSheetId="8" hidden="1">总模型!$I$47</definedName>
    <definedName name="CB_d3aba413a79d404ab284f245064fa5cc" localSheetId="8" hidden="1">总模型!$E$47</definedName>
    <definedName name="CB_d43c9e3aaaf241bc9c5ed6463c0fda61" localSheetId="9" hidden="1">迭代模型!$E$27</definedName>
    <definedName name="CB_d5d329a712df486db3b8cefc34f52a68" localSheetId="8" hidden="1">总模型!$I$45</definedName>
    <definedName name="CB_d811c843d6ce4709bbef75539a5d970e" localSheetId="9" hidden="1">迭代模型!$Z$28</definedName>
    <definedName name="CB_d92ce9ce19e444ea8697c2f2104c97ea" localSheetId="9" hidden="1">迭代模型!$G$30</definedName>
    <definedName name="CB_df88c80c79f84f3f9b348a8344c47858" localSheetId="0" hidden="1">#N/A</definedName>
    <definedName name="CB_e27718bf663f4db4b0e8caf7aee72d77" localSheetId="8" hidden="1">总模型!$I$42</definedName>
    <definedName name="CB_e4e1eb2a26ff42e59d8ecbc761237284" localSheetId="9" hidden="1">迭代模型!$M$27</definedName>
    <definedName name="CB_edc5dbc61bdb4207820a25e29d0ba243" localSheetId="9" hidden="1">迭代模型!$E$26</definedName>
    <definedName name="CB_ef03deff93b44fcf870b05ba9e25f6d6" localSheetId="8" hidden="1">总模型!$W$37</definedName>
    <definedName name="CB_f6976b201c604e2290553c1fabc11292" localSheetId="9" hidden="1">迭代模型!$E$38</definedName>
    <definedName name="CB_f77f1326a5b740c48b68857543f45e02" localSheetId="8" hidden="1">总模型!$E$36</definedName>
    <definedName name="CB_f7d85acae6fc4280b26e85f966df3b0b" localSheetId="8" hidden="1">总模型!$G$44</definedName>
    <definedName name="CB_fd981e1bd4934171b3f5cab9add55a9c" localSheetId="8" hidden="1">总模型!$C$47</definedName>
    <definedName name="CBCR_095af21fde7745fd9176e1f175e8b760" localSheetId="9" hidden="1">迭代模型!$I$43</definedName>
    <definedName name="CBCR_0f5b33cf9f674e6796097102681239cd" localSheetId="8" hidden="1">总模型!$G$36</definedName>
    <definedName name="CBCR_11b093e4d6d145cd863c995c8e5c5096" localSheetId="0" hidden="1">CB_DATA_!$A$10007</definedName>
    <definedName name="CBCR_12ebb4ddaaa54fd799d9463b5295223a" localSheetId="9" hidden="1">迭代模型!$F$38</definedName>
    <definedName name="CBCR_1334044442ac479eb45daf1d406205f6" localSheetId="8" hidden="1">总模型!$F$53</definedName>
    <definedName name="CBCR_1460305362264a6e97acf20650a25909" localSheetId="9" hidden="1">迭代模型!$H$26</definedName>
    <definedName name="CBCR_16c1ae98eacb43d89c594be218c6f9c9" localSheetId="8" hidden="1">总模型!$H$53</definedName>
    <definedName name="CBCR_19ca4f86a58e4dd782d0baec0a4ce5b0" localSheetId="9" hidden="1">迭代模型!$H$38</definedName>
    <definedName name="CBCR_2109a877a3e54518a17614c15713c50f" localSheetId="9" hidden="1">迭代模型!$H$35</definedName>
    <definedName name="CBCR_249b2432c9214ec884d1f43ba9c88b27" localSheetId="0" hidden="1">CB_DATA_!$A$10001</definedName>
    <definedName name="CBCR_2b799a4795c5427ea5e520c151a70057" localSheetId="9" hidden="1">迭代模型!$J$44</definedName>
    <definedName name="CBCR_2cf722ed7e854d77bb0a8f8a73ea71f4" localSheetId="9" hidden="1">迭代模型!$I$42</definedName>
    <definedName name="CBCR_2eec2cd507e345028c3e9930143b4090" localSheetId="9" hidden="1">迭代模型!$F$37</definedName>
    <definedName name="CBCR_35fdb53b98fe483daa5b433e1e04f9bc" localSheetId="9" hidden="1">迭代模型!$J$45</definedName>
    <definedName name="CBCR_4212ee39deb04c60885670730d51f264" localSheetId="9" hidden="1">迭代模型!$Z$27</definedName>
    <definedName name="CBCR_453d9c7a8adb4ac0ae30a9f838d7c45c" localSheetId="9" hidden="1">迭代模型!$H$42</definedName>
    <definedName name="CBCR_4d50ffc2f801432f8c822cc0cb6c5f76" localSheetId="9" hidden="1">迭代模型!$D$35</definedName>
    <definedName name="CBCR_54eee2b62a614c67a681801633d51ce8" localSheetId="8" hidden="1">总模型!$D$36</definedName>
    <definedName name="CBCR_57f6f2856df2481191251505995ea8aa" localSheetId="9" hidden="1">迭代模型!$L$28</definedName>
    <definedName name="CBCR_5c68e4e3e4ce4f5ba7993874e1d5c51b" localSheetId="9" hidden="1">迭代模型!$D$34</definedName>
    <definedName name="CBCR_5c7b0d8411d746a2bc38784f13a3f9f9" localSheetId="8" hidden="1">总模型!$F$36</definedName>
    <definedName name="CBCR_5ce6b2d46cfe444f8770e6869d2056a3" localSheetId="8" hidden="1">总模型!$D$53</definedName>
    <definedName name="CBCR_5db8315146ac4bba8f35dff54b7a609d" localSheetId="8" hidden="1">总模型!$G$40</definedName>
    <definedName name="CBCR_5f0d3fb66146489685d30ad4044bda47" localSheetId="0" hidden="1">CB_DATA_!$A$10003</definedName>
    <definedName name="CBCR_659ef3bc2e8b4501b64b7276d836ff63" localSheetId="9" hidden="1">迭代模型!$C$34</definedName>
    <definedName name="CBCR_6ba2bff6b50b4509b7710727ecff636b" localSheetId="9" hidden="1">迭代模型!$D$26</definedName>
    <definedName name="CBCR_74697034f2654c99ab758d358fcc31fe" localSheetId="9" hidden="1">迭代模型!$C$27</definedName>
    <definedName name="CBCR_7aa445f42f4e4434938b7797db761a09" localSheetId="9" hidden="1">迭代模型!$H$28</definedName>
    <definedName name="CBCR_7ae2207dda704938bcef46569c307e59" localSheetId="9" hidden="1">迭代模型!$Z$25</definedName>
    <definedName name="CBCR_7cf2234134a641ff91f17c495d0d1cb2" localSheetId="9" hidden="1">迭代模型!$X$25</definedName>
    <definedName name="CBCR_81b2c509a9b544e181b69a032dbdd5f4" localSheetId="0" hidden="1">CB_DATA_!$A$10002</definedName>
    <definedName name="CBCR_834c779644fa487785d5faff78d99927" localSheetId="9" hidden="1">迭代模型!$J$43</definedName>
    <definedName name="CBCR_85f6b90d2d5c4877ae9f5df7fc7ffb3c" localSheetId="9" hidden="1">迭代模型!$W$25</definedName>
    <definedName name="CBCR_89b17bcd7fc84f389e4302fcf80f5daf" localSheetId="9" hidden="1">迭代模型!$D$28</definedName>
    <definedName name="CBCR_8d0e5390d5bf415cb0ad3edd2a99c8d3" localSheetId="9" hidden="1">迭代模型!$Y$25</definedName>
    <definedName name="CBCR_8e5814790be240bd8341b5346d054796" localSheetId="9" hidden="1">迭代模型!$H$34</definedName>
    <definedName name="CBCR_90d75b7f268b439fbdce2c70a1281c45" localSheetId="8" hidden="1">总模型!$C$40</definedName>
    <definedName name="CBCR_915618e8d3934b499418747525b2b436" localSheetId="8" hidden="1">总模型!$E$40</definedName>
    <definedName name="CBCR_983668ab02614206baccf1371b8e5d9e" localSheetId="9" hidden="1">迭代模型!$H$30</definedName>
    <definedName name="CBCR_9ae6592ac6ff47f8b90fdb3b22b6e46f" localSheetId="9" hidden="1">迭代模型!$H$32</definedName>
    <definedName name="CBCR_a733c92f9ce7433eb72a40d96db8f095" localSheetId="9" hidden="1">迭代模型!$J$42</definedName>
    <definedName name="CBCR_ae9eedd4da1f44c197ffb5c1bac81d8f" localSheetId="9" hidden="1">迭代模型!$L$27</definedName>
    <definedName name="CBCR_af625ff5b6bd4e0984cdfc0fc67acd1b" localSheetId="9" hidden="1">迭代模型!$I$44</definedName>
    <definedName name="CBCR_ba410a072dfe4118b72946a63005707e" localSheetId="9" hidden="1">迭代模型!$J$34</definedName>
    <definedName name="CBCR_bad92da892fe41d8b4aad3758b44bd47" localSheetId="9" hidden="1">迭代模型!$H$27</definedName>
    <definedName name="CBCR_c952fc2a2e0c4abe9dbaca6ee4861c7c" localSheetId="9" hidden="1">迭代模型!$D$38</definedName>
    <definedName name="CBCR_d30434dd608c45db8a37a52b9367b63b" localSheetId="9" hidden="1">迭代模型!$F$27</definedName>
    <definedName name="CBCR_d56fd194e8644218b51c8d7bfc41cbf4" localSheetId="9" hidden="1">迭代模型!$H$37</definedName>
    <definedName name="CBCR_d803a8e63f124a15a0f706aca673345d" localSheetId="9" hidden="1">迭代模型!$C$26</definedName>
    <definedName name="CBCR_da573efb308342b495736077f523f01f" localSheetId="9" hidden="1">迭代模型!$C$35</definedName>
    <definedName name="CBCR_daead4b8885d4b929d31104e22dd451d" localSheetId="9" hidden="1">迭代模型!$D$37</definedName>
    <definedName name="CBCR_e01f59457ff946669a7a3e65facee46d" localSheetId="9" hidden="1">迭代模型!$E$26</definedName>
    <definedName name="CBCR_e3c42bb77e1b4b1db5c037a309f00c58" localSheetId="9" hidden="1">迭代模型!$I$45</definedName>
    <definedName name="CBCR_e92ee9af83a147539d37ac5c8250e9c8" localSheetId="9" hidden="1">迭代模型!$L$29</definedName>
    <definedName name="CBCR_ecd9853425a64d408e7b379c2209991f" localSheetId="9" hidden="1">迭代模型!$H$31</definedName>
    <definedName name="CBCR_edfeb7fa5bce4b73b44703ae311b1fca" localSheetId="9" hidden="1">迭代模型!$L$30</definedName>
    <definedName name="CBCR_efab9994ab6d44c4849a207350f81102" localSheetId="9" hidden="1">迭代模型!$F$26</definedName>
    <definedName name="CBCR_efc058b0932240beb12e2451927e62c7" localSheetId="9" hidden="1">迭代模型!$D$27</definedName>
    <definedName name="CBCR_f0eaaccfcf394660828ee88adba852b6" localSheetId="9" hidden="1">迭代模型!$G$42</definedName>
    <definedName name="CBCR_f9d49848b9f640d19263d79c6deccee6" localSheetId="9" hidden="1">迭代模型!$F$28</definedName>
    <definedName name="CBCR_fef8fa7c765f4c8690aaacf95ace795c" localSheetId="8" hidden="1">总模型!$H$36</definedName>
    <definedName name="CBWorkbookPriority" localSheetId="0" hidden="1">-971115964</definedName>
    <definedName name="CBx_22ba3f857e8f41309ce28ab8e9a150b6" localSheetId="0" hidden="1">"'迭代模型'!$A$1"</definedName>
    <definedName name="CBx_39a090d00b294b82a84265d2caced056" localSheetId="0" hidden="1">"'总模型'!$A$1"</definedName>
    <definedName name="CBx_420f52c2b41f4b27a52acc0b293d1261" localSheetId="0" hidden="1">"'CB_DATA_'!$A$1"</definedName>
    <definedName name="CBx_6f70a6afb6ea4d819f3d65fedc0ff3aa" localSheetId="0" hidden="1">"'模型'!$A$1"</definedName>
    <definedName name="CBx_Sheet_Guid" localSheetId="0" hidden="1">"'420f52c2-b41f-4b27-a52a-cc0b293d1261"</definedName>
    <definedName name="CBx_Sheet_Guid" localSheetId="9" hidden="1">"'22ba3f85-7e8f-4130-9ce2-8ab8e9a150b6"</definedName>
    <definedName name="CBx_Sheet_Guid" localSheetId="8" hidden="1">"'39a090d0-0b29-4b82-a842-65d2caced056"</definedName>
    <definedName name="CBx_SheetRef" localSheetId="0" hidden="1">CB_DATA_!$A$14</definedName>
    <definedName name="CBx_SheetRef" localSheetId="9" hidden="1">CB_DATA_!$B$14</definedName>
    <definedName name="CBx_SheetRef" localSheetId="8" hidden="1">CB_DATA_!$C$14</definedName>
    <definedName name="CBx_StorageType" localSheetId="0" hidden="1">2</definedName>
    <definedName name="CBx_StorageType" localSheetId="9" hidden="1">2</definedName>
    <definedName name="CBx_StorageType" localSheetId="8" hidden="1">2</definedName>
    <definedName name="CC">#REF!</definedName>
    <definedName name="CheckResult" localSheetId="9">#REF!</definedName>
    <definedName name="CheckResult" localSheetId="8">#REF!</definedName>
    <definedName name="CheckResult">#REF!</definedName>
    <definedName name="_xlnm.Criteria" localSheetId="9">#REF!</definedName>
    <definedName name="_xlnm.Criteria" localSheetId="8">#REF!</definedName>
    <definedName name="_xlnm.Criteria">#REF!</definedName>
    <definedName name="Criteria_MI" localSheetId="9">#REF!</definedName>
    <definedName name="Criteria_MI" localSheetId="8">#REF!</definedName>
    <definedName name="Criteria_MI">#REF!</definedName>
    <definedName name="DATA" localSheetId="9">#REF!</definedName>
    <definedName name="DATA" localSheetId="8">#REF!</definedName>
    <definedName name="DATA">#REF!</definedName>
    <definedName name="Database" localSheetId="9">#REF!</definedName>
    <definedName name="Database" localSheetId="8">#REF!</definedName>
    <definedName name="Database">#REF!</definedName>
    <definedName name="Database_MI" localSheetId="9">#REF!</definedName>
    <definedName name="Database_MI" localSheetId="8">#REF!</definedName>
    <definedName name="Database_MI">#REF!</definedName>
    <definedName name="DDDT" localSheetId="9">迭代模型!DDDT</definedName>
    <definedName name="DDDT" localSheetId="8">总模型!DDDT</definedName>
    <definedName name="DDDT">DDDT</definedName>
    <definedName name="DDDT1" localSheetId="9">迭代模型!DDDT1</definedName>
    <definedName name="DDDT1" localSheetId="8">总模型!DDDT1</definedName>
    <definedName name="DDDT1">DDDT1</definedName>
    <definedName name="DefectType">[2]ODC配置表!$E$2:$E$9</definedName>
    <definedName name="Diskname">目录!$D$27</definedName>
    <definedName name="EC" localSheetId="9">#REF!</definedName>
    <definedName name="EC" localSheetId="8">#REF!</definedName>
    <definedName name="EC">#REF!</definedName>
    <definedName name="ECP" localSheetId="9">#REF!</definedName>
    <definedName name="ECP" localSheetId="8">#REF!</definedName>
    <definedName name="ECP">#REF!</definedName>
    <definedName name="F" localSheetId="9">#REF!</definedName>
    <definedName name="F" localSheetId="8">#REF!</definedName>
    <definedName name="F">#REF!</definedName>
    <definedName name="F4基线" localSheetId="9">#REF!</definedName>
    <definedName name="F4基线" localSheetId="8">#REF!</definedName>
    <definedName name="F4基线">#REF!</definedName>
    <definedName name="FFF" localSheetId="9">#REF!</definedName>
    <definedName name="FFF" localSheetId="8">#REF!</definedName>
    <definedName name="FFF">#REF!</definedName>
    <definedName name="FFFFF77777" localSheetId="9">#REF!</definedName>
    <definedName name="FFFFF77777" localSheetId="8">#REF!</definedName>
    <definedName name="FFFFF77777">#REF!</definedName>
    <definedName name="for_add">项目进度!$AD$29:$AD$33</definedName>
    <definedName name="for_Creview">过程产出缺陷度量!$A$114:$P$114</definedName>
    <definedName name="for_CRreview">过程产出缺陷度量!$A$10:$P$10</definedName>
    <definedName name="for_Dreview">过程产出缺陷度量!$A$61:$P$61</definedName>
    <definedName name="for_FRreview">过程产出缺陷度量!$A$35:$P$35</definedName>
    <definedName name="for_set_all1">过程产出缺陷度量!$I$10</definedName>
    <definedName name="for_set_all2">过程产出缺陷度量!$I$35</definedName>
    <definedName name="for_set_all3">过程产出缺陷度量!$I$61</definedName>
    <definedName name="for_set_all4">过程产出缺陷度量!$I$88</definedName>
    <definedName name="for_set_all5">过程产出缺陷度量!$I$114</definedName>
    <definedName name="for_set_all6">测试及验收缺陷度量!$I$16</definedName>
    <definedName name="for_set_calculate1">过程产出缺陷度量!$L$10</definedName>
    <definedName name="for_set_calculate2">过程产出缺陷度量!$L$35</definedName>
    <definedName name="for_set_calculate3">过程产出缺陷度量!$L$61</definedName>
    <definedName name="for_set_calculate4">过程产出缺陷度量!$L$88</definedName>
    <definedName name="for_set_calculate5">过程产出缺陷度量!$L$114</definedName>
    <definedName name="for_set_calculate6">测试及验收缺陷度量!$K$16</definedName>
    <definedName name="for_set_PPB">项目进度!$AD$31:$AD$33</definedName>
    <definedName name="for_set_PPB1">过程产出缺陷度量!$N$10:$P$10</definedName>
    <definedName name="for_set_PPB2">过程产出缺陷度量!$N$35:$P$35</definedName>
    <definedName name="for_set_PPB3">过程产出缺陷度量!$N$61:$P$61</definedName>
    <definedName name="for_set_PPB4">过程产出缺陷度量!$N$88:$P$88</definedName>
    <definedName name="for_set_PPB5">过程产出缺陷度量!$N$114:$P$114</definedName>
    <definedName name="for_set_PPB6">测试及验收缺陷度量!$L$16:$N$16</definedName>
    <definedName name="for_set_review1">过程产出缺陷度量!$A$8</definedName>
    <definedName name="for_set_review2">过程产出缺陷度量!$A$31</definedName>
    <definedName name="for_set_review3">过程产出缺陷度量!$A$58</definedName>
    <definedName name="for_set_review4">过程产出缺陷度量!$A$85</definedName>
    <definedName name="for_set_review5">过程产出缺陷度量!$A$110</definedName>
    <definedName name="for_set_test">测试及验收缺陷度量!$A$11</definedName>
    <definedName name="for_set_week">项目进度!$C$29</definedName>
    <definedName name="for_TCreview">过程产出缺陷度量!$A$88:$P$88</definedName>
    <definedName name="for_Test">测试及验收缺陷度量!$A$16:$N$16</definedName>
    <definedName name="GGG" localSheetId="9">#REF!</definedName>
    <definedName name="GGG" localSheetId="8">#REF!</definedName>
    <definedName name="GGG">#REF!</definedName>
    <definedName name="IM" localSheetId="9">#REF!</definedName>
    <definedName name="IM" localSheetId="8">#REF!</definedName>
    <definedName name="IM">#REF!</definedName>
    <definedName name="IMP" localSheetId="9">#REF!</definedName>
    <definedName name="IMP" localSheetId="8">#REF!</definedName>
    <definedName name="IMP">#REF!</definedName>
    <definedName name="Impact">[2]ODC配置表!$C$2:$C$14</definedName>
    <definedName name="MemberEffort" localSheetId="9">#REF!</definedName>
    <definedName name="MemberEffort" localSheetId="8">#REF!</definedName>
    <definedName name="MemberEffort">#REF!</definedName>
    <definedName name="MmExcelLinker_99CE17F4_AC0C_4E94_A817_0C9A711FE569" localSheetId="9">#REF!</definedName>
    <definedName name="MmExcelLinker_99CE17F4_AC0C_4E94_A817_0C9A711FE569" localSheetId="8">#REF!</definedName>
    <definedName name="MmExcelLinker_99CE17F4_AC0C_4E94_A817_0C9A711FE569">#REF!</definedName>
    <definedName name="MmExcelLinker_A4898482_FBCC_4E08_BC56_51379B51B994" localSheetId="9">#REF!</definedName>
    <definedName name="MmExcelLinker_A4898482_FBCC_4E08_BC56_51379B51B994" localSheetId="8">#REF!</definedName>
    <definedName name="MmExcelLinker_A4898482_FBCC_4E08_BC56_51379B51B994">#REF!</definedName>
    <definedName name="NECSI担当" localSheetId="9">#REF!</definedName>
    <definedName name="NECSI担当" localSheetId="8">#REF!</definedName>
    <definedName name="NECSI担当">#REF!</definedName>
    <definedName name="Not_Our_Bug3级" localSheetId="9">#REF!</definedName>
    <definedName name="Not_Our_Bug3级" localSheetId="8">#REF!</definedName>
    <definedName name="Not_Our_Bug3级">#REF!</definedName>
    <definedName name="NotBug" localSheetId="9">#REF!</definedName>
    <definedName name="NotBug" localSheetId="8">#REF!</definedName>
    <definedName name="NotBug">#REF!</definedName>
    <definedName name="p" localSheetId="9">#REF!</definedName>
    <definedName name="p" localSheetId="8">#REF!</definedName>
    <definedName name="p">#REF!</definedName>
    <definedName name="PA" localSheetId="9">#REF!</definedName>
    <definedName name="PA" localSheetId="8">#REF!</definedName>
    <definedName name="PA">#REF!</definedName>
    <definedName name="PAM" localSheetId="9">#REF!</definedName>
    <definedName name="PAM" localSheetId="8">#REF!</definedName>
    <definedName name="PAM">#REF!</definedName>
    <definedName name="PDeviation">项目进度!$B$30</definedName>
    <definedName name="phase" localSheetId="9">#REF!</definedName>
    <definedName name="phase" localSheetId="8">#REF!</definedName>
    <definedName name="phase">#REF!</definedName>
    <definedName name="PhaseEffort" localSheetId="9">#REF!</definedName>
    <definedName name="PhaseEffort" localSheetId="8">#REF!</definedName>
    <definedName name="PhaseEffort">#REF!</definedName>
    <definedName name="PlanEffort" localSheetId="9">#REF!</definedName>
    <definedName name="PlanEffort" localSheetId="8">#REF!</definedName>
    <definedName name="PlanEffort">#REF!</definedName>
    <definedName name="PMT" localSheetId="9">#REF!</definedName>
    <definedName name="PMT" localSheetId="8">#REF!</definedName>
    <definedName name="PMT">#REF!</definedName>
    <definedName name="PMTP" localSheetId="9">#REF!</definedName>
    <definedName name="PMTP" localSheetId="8">#REF!</definedName>
    <definedName name="PMTP">#REF!</definedName>
    <definedName name="PP" localSheetId="9">#REF!</definedName>
    <definedName name="PP" localSheetId="8">#REF!</definedName>
    <definedName name="PP">#REF!</definedName>
    <definedName name="_xlnm.Print_Area" localSheetId="9">#REF!</definedName>
    <definedName name="_xlnm.Print_Area" localSheetId="8">#REF!</definedName>
    <definedName name="_xlnm.Print_Area">#REF!</definedName>
    <definedName name="PRINT_AREA_MI" localSheetId="9">#REF!</definedName>
    <definedName name="PRINT_AREA_MI" localSheetId="8">#REF!</definedName>
    <definedName name="PRINT_AREA_MI">#REF!</definedName>
    <definedName name="ProjectTeam" localSheetId="9">#REF!</definedName>
    <definedName name="ProjectTeam" localSheetId="8">#REF!</definedName>
    <definedName name="ProjectTeam">#REF!</definedName>
    <definedName name="Q" localSheetId="9">#REF!</definedName>
    <definedName name="Q" localSheetId="8">#REF!</definedName>
    <definedName name="Q">#REF!</definedName>
    <definedName name="Qualifier">[2]ODC配置表!$F$2:$F$5</definedName>
    <definedName name="R_" localSheetId="9">#REF!</definedName>
    <definedName name="R_" localSheetId="8">#REF!</definedName>
    <definedName name="R_">#REF!</definedName>
    <definedName name="REDATA1" localSheetId="9">#REF!</definedName>
    <definedName name="REDATA1" localSheetId="8">#REF!</definedName>
    <definedName name="REDATA1">#REF!</definedName>
    <definedName name="REDATA10" localSheetId="9">#REF!</definedName>
    <definedName name="REDATA10" localSheetId="8">#REF!</definedName>
    <definedName name="REDATA10">#REF!</definedName>
    <definedName name="REDATA11" localSheetId="9">#REF!</definedName>
    <definedName name="REDATA11" localSheetId="8">#REF!</definedName>
    <definedName name="REDATA11">#REF!</definedName>
    <definedName name="REDATA12" localSheetId="9">#REF!</definedName>
    <definedName name="REDATA12" localSheetId="8">#REF!</definedName>
    <definedName name="REDATA12">#REF!</definedName>
    <definedName name="REDATA13" localSheetId="9">#REF!</definedName>
    <definedName name="REDATA13" localSheetId="8">#REF!</definedName>
    <definedName name="REDATA13">#REF!</definedName>
    <definedName name="REDATA14" localSheetId="9">#REF!</definedName>
    <definedName name="REDATA14" localSheetId="8">#REF!</definedName>
    <definedName name="REDATA14">#REF!</definedName>
    <definedName name="REDATA15" localSheetId="9">#REF!</definedName>
    <definedName name="REDATA15" localSheetId="8">#REF!</definedName>
    <definedName name="REDATA15">#REF!</definedName>
    <definedName name="REDATA16" localSheetId="9">#REF!</definedName>
    <definedName name="REDATA16" localSheetId="8">#REF!</definedName>
    <definedName name="REDATA16">#REF!</definedName>
    <definedName name="REDATA17" localSheetId="9">#REF!</definedName>
    <definedName name="REDATA17" localSheetId="8">#REF!</definedName>
    <definedName name="REDATA17">#REF!</definedName>
    <definedName name="REDATA18" localSheetId="9">#REF!</definedName>
    <definedName name="REDATA18" localSheetId="8">#REF!</definedName>
    <definedName name="REDATA18">#REF!</definedName>
    <definedName name="REDATA19" localSheetId="9">#REF!</definedName>
    <definedName name="REDATA19" localSheetId="8">#REF!</definedName>
    <definedName name="REDATA19">#REF!</definedName>
    <definedName name="REDATA2" localSheetId="9">#REF!</definedName>
    <definedName name="REDATA2" localSheetId="8">#REF!</definedName>
    <definedName name="REDATA2">#REF!</definedName>
    <definedName name="REDATA20" localSheetId="9">#REF!</definedName>
    <definedName name="REDATA20" localSheetId="8">#REF!</definedName>
    <definedName name="REDATA20">#REF!</definedName>
    <definedName name="REDATA3" localSheetId="9">#REF!</definedName>
    <definedName name="REDATA3" localSheetId="8">#REF!</definedName>
    <definedName name="REDATA3">#REF!</definedName>
    <definedName name="REDATA4" localSheetId="9">#REF!</definedName>
    <definedName name="REDATA4" localSheetId="8">#REF!</definedName>
    <definedName name="REDATA4">#REF!</definedName>
    <definedName name="REDATA5" localSheetId="9">#REF!</definedName>
    <definedName name="REDATA5" localSheetId="8">#REF!</definedName>
    <definedName name="REDATA5">#REF!</definedName>
    <definedName name="REDATA6" localSheetId="9">#REF!</definedName>
    <definedName name="REDATA6" localSheetId="8">#REF!</definedName>
    <definedName name="REDATA6">#REF!</definedName>
    <definedName name="REDATA7" localSheetId="9">#REF!</definedName>
    <definedName name="REDATA7" localSheetId="8">#REF!</definedName>
    <definedName name="REDATA7">#REF!</definedName>
    <definedName name="REDATA8" localSheetId="9">#REF!</definedName>
    <definedName name="REDATA8" localSheetId="8">#REF!</definedName>
    <definedName name="REDATA8">#REF!</definedName>
    <definedName name="REDATA9" localSheetId="9">#REF!</definedName>
    <definedName name="REDATA9" localSheetId="8">#REF!</definedName>
    <definedName name="REDATA9">#REF!</definedName>
    <definedName name="RI" localSheetId="9">#REF!</definedName>
    <definedName name="RI" localSheetId="8">#REF!</definedName>
    <definedName name="RI">#REF!</definedName>
    <definedName name="RIP" localSheetId="9">#REF!</definedName>
    <definedName name="RIP" localSheetId="8">#REF!</definedName>
    <definedName name="RIP">#REF!</definedName>
    <definedName name="RiskClass">[2]基础配置表!$C$2:$C$10</definedName>
    <definedName name="rrrrrr" localSheetId="9">迭代模型!rrrrrr</definedName>
    <definedName name="rrrrrr" localSheetId="8">总模型!rrrrrr</definedName>
    <definedName name="rrrrrr">rrrrrr</definedName>
    <definedName name="rrrrrrrrrr" localSheetId="9">迭代模型!rrrrrrrrrr</definedName>
    <definedName name="rrrrrrrrrr" localSheetId="8">总模型!rrrrrrrrrr</definedName>
    <definedName name="rrrrrrrrrr">rrrrrrrrrr</definedName>
    <definedName name="SFX_Data" localSheetId="9">#REF!</definedName>
    <definedName name="SFX_Data" localSheetId="8">#REF!</definedName>
    <definedName name="SFX_Data">#REF!</definedName>
    <definedName name="SFX_WBData" localSheetId="9">#REF!</definedName>
    <definedName name="SFX_WBData" localSheetId="8">#REF!</definedName>
    <definedName name="SFX_WBData">#REF!</definedName>
    <definedName name="SFX_WBData_A_First" localSheetId="9">#REF!</definedName>
    <definedName name="SFX_WBData_A_First" localSheetId="8">#REF!</definedName>
    <definedName name="SFX_WBData_A_First">#REF!</definedName>
    <definedName name="SFX_WBData_A_Last" localSheetId="9">#REF!</definedName>
    <definedName name="SFX_WBData_A_Last" localSheetId="8">#REF!</definedName>
    <definedName name="SFX_WBData_A_Last">#REF!</definedName>
    <definedName name="SFX_WBData_B_First" localSheetId="9">#REF!</definedName>
    <definedName name="SFX_WBData_B_First" localSheetId="8">#REF!</definedName>
    <definedName name="SFX_WBData_B_First">#REF!</definedName>
    <definedName name="SFX_WBData_B_Last" localSheetId="9">#REF!</definedName>
    <definedName name="SFX_WBData_B_Last" localSheetId="8">#REF!</definedName>
    <definedName name="SFX_WBData_B_Last">#REF!</definedName>
    <definedName name="SO" localSheetId="9">#REF!</definedName>
    <definedName name="SO" localSheetId="8">#REF!</definedName>
    <definedName name="SO">#REF!</definedName>
    <definedName name="SOP" localSheetId="9">#REF!</definedName>
    <definedName name="SOP" localSheetId="8">#REF!</definedName>
    <definedName name="SOP">#REF!</definedName>
    <definedName name="Source">[2]ODC配置表!$G$2:$G$6</definedName>
    <definedName name="SS" localSheetId="9">#REF!</definedName>
    <definedName name="SS" localSheetId="8">#REF!</definedName>
    <definedName name="SS">#REF!</definedName>
    <definedName name="sssss" localSheetId="9">迭代模型!sssss</definedName>
    <definedName name="sssss" localSheetId="8">总模型!sssss</definedName>
    <definedName name="sssss">sssss</definedName>
    <definedName name="Stakeholder">[2]基础配置表!$H$2:$H$10</definedName>
    <definedName name="Target">[2]ODC配置表!$D$2:$D$4</definedName>
    <definedName name="Tester">[2]基础配置表!$D$2:$D$10</definedName>
    <definedName name="TK_DDDT" localSheetId="9">迭代模型!TK_DDDT</definedName>
    <definedName name="TK_DDDT" localSheetId="8">总模型!TK_DDDT</definedName>
    <definedName name="TK_DDDT">TK_DDDT</definedName>
    <definedName name="TOPMENU" localSheetId="9">#REF!</definedName>
    <definedName name="TOPMENU" localSheetId="8">#REF!</definedName>
    <definedName name="TOPMENU">#REF!</definedName>
    <definedName name="TOPMENU1" localSheetId="9">#REF!</definedName>
    <definedName name="TOPMENU1" localSheetId="8">#REF!</definedName>
    <definedName name="TOPMENU1">#REF!</definedName>
    <definedName name="TOPMENU2" localSheetId="9">#REF!</definedName>
    <definedName name="TOPMENU2" localSheetId="8">#REF!</definedName>
    <definedName name="TOPMENU2">#REF!</definedName>
    <definedName name="TOPMENU3" localSheetId="9">#REF!</definedName>
    <definedName name="TOPMENU3" localSheetId="8">#REF!</definedName>
    <definedName name="TOPMENU3">#REF!</definedName>
    <definedName name="TOPMENU4" localSheetId="9">#REF!</definedName>
    <definedName name="TOPMENU4" localSheetId="8">#REF!</definedName>
    <definedName name="TOPMENU4">#REF!</definedName>
    <definedName name="TOPMENU5" localSheetId="9">#REF!</definedName>
    <definedName name="TOPMENU5" localSheetId="8">#REF!</definedName>
    <definedName name="TOPMENU5">#REF!</definedName>
    <definedName name="TOPMENU6" localSheetId="9">#REF!</definedName>
    <definedName name="TOPMENU6" localSheetId="8">#REF!</definedName>
    <definedName name="TOPMENU6">#REF!</definedName>
    <definedName name="TOPMENU7" localSheetId="9">#REF!</definedName>
    <definedName name="TOPMENU7" localSheetId="8">#REF!</definedName>
    <definedName name="TOPMENU7">#REF!</definedName>
    <definedName name="TOPMENU9" localSheetId="9">#REF!</definedName>
    <definedName name="TOPMENU9" localSheetId="8">#REF!</definedName>
    <definedName name="TOPMENU9">#REF!</definedName>
    <definedName name="Trigger">[2]ODC配置表!$B$2:$B$22</definedName>
    <definedName name="ttttttttttt" localSheetId="9">迭代模型!ttttttttttt</definedName>
    <definedName name="ttttttttttt" localSheetId="8">总模型!ttttttttttt</definedName>
    <definedName name="ttttttttttt">ttttttttttt</definedName>
    <definedName name="U" localSheetId="9">#REF!</definedName>
    <definedName name="U" localSheetId="8">#REF!</definedName>
    <definedName name="U">#REF!</definedName>
    <definedName name="Unit">[2]基础配置表!$B$2:$B$10</definedName>
    <definedName name="Username">目录!$D$28</definedName>
    <definedName name="VCreview">过程产出缺陷度量!$A$114</definedName>
    <definedName name="VCRreview">过程产出缺陷度量!$A$10</definedName>
    <definedName name="VDeviation">项目进度!$AD$30</definedName>
    <definedName name="VDreview">过程产出缺陷度量!$A$61</definedName>
    <definedName name="VER">"ver 2.04"</definedName>
    <definedName name="VFRreview">过程产出缺陷度量!$A$35</definedName>
    <definedName name="VSTS_ValidationRange_086a3911343f4d11bfc43cd363c2fc9e" localSheetId="9" hidden="1">#REF!</definedName>
    <definedName name="VSTS_ValidationRange_086a3911343f4d11bfc43cd363c2fc9e" localSheetId="8" hidden="1">#REF!</definedName>
    <definedName name="VSTS_ValidationRange_086a3911343f4d11bfc43cd363c2fc9e" hidden="1">#REF!</definedName>
    <definedName name="VSTS_ValidationRange_098b94c3d2e74b35b85d01a626dc8c6e" localSheetId="9" hidden="1">#REF!</definedName>
    <definedName name="VSTS_ValidationRange_098b94c3d2e74b35b85d01a626dc8c6e" localSheetId="8" hidden="1">#REF!</definedName>
    <definedName name="VSTS_ValidationRange_098b94c3d2e74b35b85d01a626dc8c6e" hidden="1">#REF!</definedName>
    <definedName name="VSTS_ValidationRange_0cbf0e5b39904da9b68e49269fe6f425" localSheetId="9" hidden="1">#REF!</definedName>
    <definedName name="VSTS_ValidationRange_0cbf0e5b39904da9b68e49269fe6f425" localSheetId="8" hidden="1">#REF!</definedName>
    <definedName name="VSTS_ValidationRange_0cbf0e5b39904da9b68e49269fe6f425" hidden="1">#REF!</definedName>
    <definedName name="VSTS_ValidationRange_2863dc41439048b38dee8105498bdff1" hidden="1">[3]VSTS_ValidationWS_1!$AQ$1:$AQ$2</definedName>
    <definedName name="VSTS_ValidationRange_35e0d0b1eb8145d9a81109072e9d023d" hidden="1">[3]VSTS_ValidationWS_1!$AS$1:$AS$9</definedName>
    <definedName name="VSTS_ValidationRange_391ec9b86867494a9a40de5de5639e05" localSheetId="9" hidden="1">#REF!</definedName>
    <definedName name="VSTS_ValidationRange_391ec9b86867494a9a40de5de5639e05" localSheetId="8" hidden="1">#REF!</definedName>
    <definedName name="VSTS_ValidationRange_391ec9b86867494a9a40de5de5639e05" hidden="1">#REF!</definedName>
    <definedName name="VSTS_ValidationRange_433a8d280ebf46d28ead6c40cb24c52e" localSheetId="9" hidden="1">#REF!</definedName>
    <definedName name="VSTS_ValidationRange_433a8d280ebf46d28ead6c40cb24c52e" localSheetId="8" hidden="1">#REF!</definedName>
    <definedName name="VSTS_ValidationRange_433a8d280ebf46d28ead6c40cb24c52e" hidden="1">#REF!</definedName>
    <definedName name="VSTS_ValidationRange_55808223dcb44866a7f4179f9b2e728f" hidden="1">[3]VSTS_ValidationWS_1!$AT$1:$AT$5</definedName>
    <definedName name="VSTS_ValidationRange_5df4c2ac11c04a8e83728bf4c0726d5d" localSheetId="9" hidden="1">#REF!</definedName>
    <definedName name="VSTS_ValidationRange_5df4c2ac11c04a8e83728bf4c0726d5d" localSheetId="8" hidden="1">#REF!</definedName>
    <definedName name="VSTS_ValidationRange_5df4c2ac11c04a8e83728bf4c0726d5d" hidden="1">#REF!</definedName>
    <definedName name="VSTS_ValidationRange_7320edc423744db39b171d7071c5de10" localSheetId="9" hidden="1">#REF!</definedName>
    <definedName name="VSTS_ValidationRange_7320edc423744db39b171d7071c5de10" localSheetId="8" hidden="1">#REF!</definedName>
    <definedName name="VSTS_ValidationRange_7320edc423744db39b171d7071c5de10" hidden="1">#REF!</definedName>
    <definedName name="VSTS_ValidationRange_874d7a6af0f849d78452c31766d4412c" hidden="1">[3]VSTS_ValidationWS_1!$AU$1:$AU$3</definedName>
    <definedName name="VSTS_ValidationRange_89011b7dc6824fb9bff49aa72c313cde" hidden="1">[3]VSTS_ValidationWS_1!$AR$1:$AR$5</definedName>
    <definedName name="VSTS_ValidationRange_911954e328dd4e9abce7fe2d54dce78d" localSheetId="9" hidden="1">#REF!</definedName>
    <definedName name="VSTS_ValidationRange_911954e328dd4e9abce7fe2d54dce78d" localSheetId="8" hidden="1">#REF!</definedName>
    <definedName name="VSTS_ValidationRange_911954e328dd4e9abce7fe2d54dce78d" hidden="1">#REF!</definedName>
    <definedName name="VSTS_ValidationRange_cdd85ef5a4a94d81ba269647e04260a9" localSheetId="9" hidden="1">#REF!</definedName>
    <definedName name="VSTS_ValidationRange_cdd85ef5a4a94d81ba269647e04260a9" localSheetId="8" hidden="1">#REF!</definedName>
    <definedName name="VSTS_ValidationRange_cdd85ef5a4a94d81ba269647e04260a9" hidden="1">#REF!</definedName>
    <definedName name="VSTS_ValidationRange_e972ab3460c64c6aadbc82fe13490467" localSheetId="9" hidden="1">#REF!</definedName>
    <definedName name="VSTS_ValidationRange_e972ab3460c64c6aadbc82fe13490467" localSheetId="8" hidden="1">#REF!</definedName>
    <definedName name="VSTS_ValidationRange_e972ab3460c64c6aadbc82fe13490467" hidden="1">#REF!</definedName>
    <definedName name="VTCreview">过程产出缺陷度量!$A$88</definedName>
    <definedName name="VTest">测试及验收缺陷度量!$A$16</definedName>
    <definedName name="Vweek">项目进度!$AD$29</definedName>
    <definedName name="W" localSheetId="9" hidden="1">#REF!</definedName>
    <definedName name="W" localSheetId="8" hidden="1">#REF!</definedName>
    <definedName name="W" hidden="1">#REF!</definedName>
    <definedName name="WW" localSheetId="9">#REF!</definedName>
    <definedName name="WW" localSheetId="8">#REF!</definedName>
    <definedName name="WW">#REF!</definedName>
    <definedName name="xy" localSheetId="9">#REF!</definedName>
    <definedName name="xy" localSheetId="8">#REF!</definedName>
    <definedName name="xy">#REF!</definedName>
    <definedName name="YY" localSheetId="9">#REF!</definedName>
    <definedName name="YY" localSheetId="8">#REF!</definedName>
    <definedName name="YY">#REF!</definedName>
    <definedName name="Z" localSheetId="9">#REF!</definedName>
    <definedName name="Z" localSheetId="8">#REF!</definedName>
    <definedName name="Z">#REF!</definedName>
    <definedName name="ZDAY1" localSheetId="9">迭代模型!ZDAY1</definedName>
    <definedName name="ZDAY1" localSheetId="8">总模型!ZDAY1</definedName>
    <definedName name="ZDAY1">ZDAY1</definedName>
    <definedName name="ZDAY2" localSheetId="9">迭代模型!ZDAY2</definedName>
    <definedName name="ZDAY2" localSheetId="8">总模型!ZDAY2</definedName>
    <definedName name="ZDAY2">ZDAY2</definedName>
    <definedName name="ZDAY3" localSheetId="9">迭代模型!ZDAY3</definedName>
    <definedName name="ZDAY3" localSheetId="8">总模型!ZDAY3</definedName>
    <definedName name="ZDAY3">ZDAY3</definedName>
    <definedName name="報告日" localSheetId="9">#REF!</definedName>
    <definedName name="報告日" localSheetId="8">#REF!</definedName>
    <definedName name="報告日">#REF!</definedName>
    <definedName name="報告者" localSheetId="9">#REF!</definedName>
    <definedName name="報告者" localSheetId="8">#REF!</definedName>
    <definedName name="報告者">#REF!</definedName>
    <definedName name="编码3级" localSheetId="9">#REF!</definedName>
    <definedName name="编码3级" localSheetId="8">#REF!</definedName>
    <definedName name="编码3级">#REF!</definedName>
    <definedName name="变化状态" localSheetId="9">#REF!</definedName>
    <definedName name="变化状态" localSheetId="8">#REF!</definedName>
    <definedName name="变化状态">#REF!</definedName>
    <definedName name="不可用原因代号">'[4]0-累积不可用数据'!$B$2:$B$9</definedName>
    <definedName name="测试3级" localSheetId="9">#REF!</definedName>
    <definedName name="测试3级" localSheetId="8">#REF!</definedName>
    <definedName name="测试3级">#REF!</definedName>
    <definedName name="测试加权缺陷密度的均值于画图">OFFSET(测试及验收缺陷度量!$M$11,,,COUNTA(测试及验收缺陷度量!$M$11:$M$16)-1)</definedName>
    <definedName name="测试加权缺陷密度的上限于画图">OFFSET(测试及验收缺陷度量!$N$11,,,COUNTA(测试及验收缺陷度量!$N$11:$N$16)-1)</definedName>
    <definedName name="测试加权缺陷密度的下限于画图">OFFSET(测试及验收缺陷度量!$L$11,,,COUNTA(测试及验收缺陷度量!$L$11:$L$16)-1)</definedName>
    <definedName name="测试加权缺陷密度于画图">OFFSET(测试及验收缺陷度量!$K$11,,,COUNTA(测试及验收缺陷度量!$K$11:$K$16)-1)</definedName>
    <definedName name="测试轮次于画图">OFFSET(测试及验收缺陷度量!$A$11,,,COUNTA(测试及验收缺陷度量!$A$11:$A$16)-1)</definedName>
    <definedName name="测试人员">[5]资源附表!$B$1:$B$8</definedName>
    <definedName name="测试任务">[5]资源附表!$A$1:$A$60</definedName>
    <definedName name="测试用例评审次数于画图">OFFSET(过程产出缺陷度量!$A$85,,,COUNTA(过程产出缺陷度量!$A$85:$A$88)-1)</definedName>
    <definedName name="测试用例评审缺陷密度的均值于画图">OFFSET(过程产出缺陷度量!$O$85,,,COUNTA(过程产出缺陷度量!$O$85:$O$88)-1)</definedName>
    <definedName name="测试用例评审缺陷密度的上限于画图">OFFSET(过程产出缺陷度量!$P$85,,,COUNTA(过程产出缺陷度量!$P$85:$P$88)-1)</definedName>
    <definedName name="测试用例评审缺陷密度的下限于画图">OFFSET(过程产出缺陷度量!$N$85,,,COUNTA(过程产出缺陷度量!$N$85:$N$88)-1)</definedName>
    <definedName name="测试用例评审缺陷密度于画图">OFFSET(过程产出缺陷度量!$L$85,,,COUNTA(过程产出缺陷度量!$L$85:$L$88)-1)</definedName>
    <definedName name="场所合计" localSheetId="9">#REF!</definedName>
    <definedName name="场所合计" localSheetId="8">#REF!</definedName>
    <definedName name="场所合计">#REF!</definedName>
    <definedName name="大区分" localSheetId="9">#REF!</definedName>
    <definedName name="大区分" localSheetId="8">#REF!</definedName>
    <definedName name="大区分">#REF!</definedName>
    <definedName name="代码走查次数于画图">OFFSET(过程产出缺陷度量!$A$110,,,COUNTA(过程产出缺陷度量!$A$110:$A$114)-1)</definedName>
    <definedName name="代码走查缺陷密度的均值于画图">OFFSET(过程产出缺陷度量!$O$110,,,COUNTA(过程产出缺陷度量!$O$110:$O$114)-1)</definedName>
    <definedName name="代码走查缺陷密度的上限于画图">OFFSET(过程产出缺陷度量!$P$110,,,COUNTA(过程产出缺陷度量!$P$110:$P$114)-1)</definedName>
    <definedName name="代码走查缺陷密度的下限于画图">OFFSET(过程产出缺陷度量!$N$110,,,COUNTA(过程产出缺陷度量!$N$110:$N$114)-1)</definedName>
    <definedName name="代码走查缺陷密度于画图">OFFSET(过程产出缺陷度量!$L$110,,,COUNTA(过程产出缺陷度量!$L$110:$L$114)-1)</definedName>
    <definedName name="担当Ｇ" localSheetId="9">#REF!</definedName>
    <definedName name="担当Ｇ" localSheetId="8">#REF!</definedName>
    <definedName name="担当Ｇ">#REF!</definedName>
    <definedName name="単体品質プログラム別_Click" localSheetId="9">迭代模型!単体品質プログラム別_Click</definedName>
    <definedName name="単体品質プログラム別_Click" localSheetId="8">总模型!単体品質プログラム別_Click</definedName>
    <definedName name="単体品質プログラム別_Click">単体品質プログラム別_Click</definedName>
    <definedName name="二级" localSheetId="9">#REF!</definedName>
    <definedName name="二级" localSheetId="8">#REF!</definedName>
    <definedName name="二级">#REF!</definedName>
    <definedName name="分類" localSheetId="9">#REF!</definedName>
    <definedName name="分類" localSheetId="8">#REF!</definedName>
    <definedName name="分類">#REF!</definedName>
    <definedName name="风险类型">[5]风险分析与规避!$A$2:$A$7</definedName>
    <definedName name="管制圖" localSheetId="9">#REF!</definedName>
    <definedName name="管制圖" localSheetId="8">#REF!</definedName>
    <definedName name="管制圖">#REF!</definedName>
    <definedName name="合计值" localSheetId="9">#REF!</definedName>
    <definedName name="合计值" localSheetId="8">#REF!</definedName>
    <definedName name="合计值">#REF!</definedName>
    <definedName name="交付3级" localSheetId="9">#REF!</definedName>
    <definedName name="交付3级" localSheetId="8">#REF!</definedName>
    <definedName name="交付3级">#REF!</definedName>
    <definedName name="結果" localSheetId="9">#REF!</definedName>
    <definedName name="結果" localSheetId="8">#REF!</definedName>
    <definedName name="結果">#REF!</definedName>
    <definedName name="进度偏差的均值于画图">OFFSET(项目进度!$C$32,,,,COUNTA(项目进度!$C$32:$AD$32)-1)</definedName>
    <definedName name="进度偏差的上限于画图">OFFSET(项目进度!$C$33,,,,COUNTA(项目进度!$C$33:$AD$33)-1)</definedName>
    <definedName name="进度偏差的下限于画图">OFFSET(项目进度!$C$31,,,,COUNTA(项目进度!$C$31:$AD$31)-1)</definedName>
    <definedName name="客户需求评审次数">OFFSET(过程产出缺陷度量!$A$8,,,COUNTA(过程产出缺陷度量!$A$8:$A$10)-1)</definedName>
    <definedName name="客户需求评审缺陷密度">OFFSET(过程产出缺陷度量!$L$8,,,COUNTA(过程产出缺陷度量!$L$8:$L$10)-1)</definedName>
    <definedName name="客户需求评审缺陷密度的均值">OFFSET(过程产出缺陷度量!$O$8,,,COUNTA(过程产出缺陷度量!$O$8:$O$10)-1)</definedName>
    <definedName name="客户需求评审缺陷密度的上限">OFFSET(过程产出缺陷度量!$P$8,,,COUNTA(过程产出缺陷度量!$P$8:$P$10)-1)</definedName>
    <definedName name="客户需求评审缺陷密度的下限">OFFSET(过程产出缺陷度量!$N$8,,,COUNTA(过程产出缺陷度量!$N$8:$N$10)-1)</definedName>
    <definedName name="评审对象名称">[6]指导说明!$D$22:$D$32</definedName>
    <definedName name="其他" localSheetId="9">#REF!</definedName>
    <definedName name="其他" localSheetId="8">#REF!</definedName>
    <definedName name="其他">#REF!</definedName>
    <definedName name="缺陷类型">[2]基础配置表!$E$2:$E$10</definedName>
    <definedName name="人员">OFFSET(人员统计!$A$7,,,COUNTA(人员统计!$A$7:$A$33)+COUNTBLANK(人员统计!$A$7:$A$33))</definedName>
    <definedName name="软件需求3级" localSheetId="9">#REF!</definedName>
    <definedName name="软件需求3级" localSheetId="8">#REF!</definedName>
    <definedName name="软件需求3级">#REF!</definedName>
    <definedName name="三级" localSheetId="9">#REF!</definedName>
    <definedName name="三级" localSheetId="8">#REF!</definedName>
    <definedName name="三级">#REF!</definedName>
    <definedName name="设计3级" localSheetId="9">#REF!</definedName>
    <definedName name="设计3级" localSheetId="8">#REF!</definedName>
    <definedName name="设计3级">#REF!</definedName>
    <definedName name="设计评审次数于画图">OFFSET(过程产出缺陷度量!$A$58,,,COUNTA(过程产出缺陷度量!$A$58:$A$61)-1)</definedName>
    <definedName name="设计评审缺陷密度的均值于画图">OFFSET(过程产出缺陷度量!$O$58,,,COUNTA(过程产出缺陷度量!$O$58:$O$61)-1)</definedName>
    <definedName name="设计评审缺陷密度的上限于画图">OFFSET(过程产出缺陷度量!$P$58,,,COUNTA(过程产出缺陷度量!$P$58:$P$61)-1)</definedName>
    <definedName name="设计评审缺陷密度的下限于画图">OFFSET(过程产出缺陷度量!$N$58,,,COUNTA(过程产出缺陷度量!$N$58:$N$61)-1)</definedName>
    <definedName name="设计评审缺陷密度于画图">OFFSET(过程产出缺陷度量!$L$58,,,COUNTA(过程产出缺陷度量!$L$58:$L$61)-1)</definedName>
    <definedName name="所属模块">[2]基础配置表!$G$2:$G$12</definedName>
    <definedName name="詳細_close" localSheetId="9">迭代模型!詳細_close</definedName>
    <definedName name="詳細_close" localSheetId="8">总模型!詳細_close</definedName>
    <definedName name="詳細_close">詳細_close</definedName>
    <definedName name="詳細品質プログラム別_Click" localSheetId="9">迭代模型!詳細品質プログラム別_Click</definedName>
    <definedName name="詳細品質プログラム別_Click" localSheetId="8">总模型!詳細品質プログラム別_Click</definedName>
    <definedName name="詳細品質プログラム別_Click">詳細品質プログラム別_Click</definedName>
    <definedName name="修改状态">[7]发行控制!$B$40:$E$40</definedName>
    <definedName name="需求规格评审次数于画图">OFFSET(过程产出缺陷度量!$A$31,,,COUNTA(过程产出缺陷度量!$A$31:$A$35)-1)</definedName>
    <definedName name="需求规格评审缺陷密度的均值于画图">OFFSET(过程产出缺陷度量!$O$31,,,COUNTA(过程产出缺陷度量!$O$31:$O$35)-1)</definedName>
    <definedName name="需求规格评审缺陷密度的上限于画图">OFFSET(过程产出缺陷度量!$P$31,,,COUNTA(过程产出缺陷度量!$P$31:$P$35)-1)</definedName>
    <definedName name="需求规格评审缺陷密度的下限于画图">OFFSET(过程产出缺陷度量!$N$31,,,COUNTA(过程产出缺陷度量!$N$31:$N$35)-1)</definedName>
    <definedName name="需求规格评审缺陷密度于画图">OFFSET(过程产出缺陷度量!$L$31,,,COUNTA(过程产出缺陷度量!$L$31:$L$35)-1)</definedName>
    <definedName name="严重等级">[2]基础配置表!$F$2:$F$6</definedName>
    <definedName name="要員配置" localSheetId="9">#REF!,#REF!,#REF!,#REF!,#REF!</definedName>
    <definedName name="要員配置" localSheetId="8">#REF!,#REF!,#REF!,#REF!,#REF!</definedName>
    <definedName name="要員配置">#REF!,#REF!,#REF!,#REF!,#REF!</definedName>
    <definedName name="要員一覧">[8]人员计划!$C$9:$C$22,[8]人员计划!$G$8:$G$22</definedName>
    <definedName name="一级" localSheetId="9">#REF!</definedName>
    <definedName name="一级" localSheetId="8">#REF!</definedName>
    <definedName name="一级">#REF!</definedName>
    <definedName name="优先级别">[2]基础配置表!$I$2:$I$4</definedName>
    <definedName name="原因合计" localSheetId="9">#REF!</definedName>
    <definedName name="原因合计" localSheetId="8">#REF!</definedName>
    <definedName name="原因合计">#REF!</definedName>
    <definedName name="製程能力分析" localSheetId="9">#REF!</definedName>
    <definedName name="製程能力分析" localSheetId="8">#REF!</definedName>
    <definedName name="製程能力分析">#REF!</definedName>
    <definedName name="製造品質プログラム別_Click" localSheetId="9">迭代模型!製造品質プログラム別_Click</definedName>
    <definedName name="製造品質プログラム別_Click" localSheetId="8">总模型!製造品質プログラム別_Click</definedName>
    <definedName name="製造品質プログラム別_Click">製造品質プログラム別_Click</definedName>
    <definedName name="周次">OFFSET(人员统计!#REF!,,,,COUNTA(人员统计!#REF!))</definedName>
    <definedName name="周次于画图">OFFSET(项目进度!$C$29,,,,COUNTA(项目进度!$C$29:$AD$29)-1)</definedName>
    <definedName name="周进度偏差于画图">OFFSET(项目进度!$C$30,,,,COUNTA(项目进度!$C$30:$AD$30)-1)</definedName>
    <definedName name="最后一周">OFFSET(人员统计!#REF!,,,COUNTA(人员统计!$AO$7:$AO$33)+COUNTBLANK(人员统计!$AO$7:$AO$33))</definedName>
  </definedNames>
  <calcPr calcId="144525"/>
</workbook>
</file>

<file path=xl/comments1.xml><?xml version="1.0" encoding="utf-8"?>
<comments xmlns="http://schemas.openxmlformats.org/spreadsheetml/2006/main">
  <authors>
    <author>作者</author>
  </authors>
  <commentList>
    <comment ref="A9" authorId="0">
      <text>
        <r>
          <rPr>
            <b/>
            <sz val="9"/>
            <rFont val="宋体"/>
            <charset val="134"/>
          </rPr>
          <t>注：每种软件类型都有它自已的劳动率，具有不同的开发成本。</t>
        </r>
        <r>
          <rPr>
            <sz val="9"/>
            <rFont val="宋体"/>
            <charset val="134"/>
          </rPr>
          <t xml:space="preserve">
</t>
        </r>
      </text>
    </comment>
    <comment ref="A14" authorId="0">
      <text>
        <r>
          <rPr>
            <b/>
            <sz val="9"/>
            <rFont val="宋体"/>
            <charset val="134"/>
          </rPr>
          <t>立项申请表中获取，包括所有参与项目的总成员数，不包括CCB组长和CCB成员数</t>
        </r>
      </text>
    </comment>
  </commentList>
</comments>
</file>

<file path=xl/comments2.xml><?xml version="1.0" encoding="utf-8"?>
<comments xmlns="http://schemas.openxmlformats.org/spreadsheetml/2006/main">
  <authors>
    <author>作者</author>
    <author>gta</author>
  </authors>
  <commentList>
    <comment ref="D3" authorId="0">
      <text>
        <r>
          <rPr>
            <b/>
            <sz val="9"/>
            <rFont val="宋体"/>
            <charset val="134"/>
          </rPr>
          <t>EPG:</t>
        </r>
        <r>
          <rPr>
            <sz val="9"/>
            <rFont val="宋体"/>
            <charset val="134"/>
          </rPr>
          <t xml:space="preserve">
的估算结果。即估算表中项目预计开始日期到项目预计结束日期的工作日数。</t>
        </r>
      </text>
    </comment>
    <comment ref="D4" authorId="0">
      <text>
        <r>
          <rPr>
            <b/>
            <sz val="9"/>
            <rFont val="宋体"/>
            <charset val="134"/>
          </rPr>
          <t>EPG:</t>
        </r>
        <r>
          <rPr>
            <sz val="9"/>
            <rFont val="宋体"/>
            <charset val="134"/>
          </rPr>
          <t xml:space="preserve">
估算表的估算结果。即估算表中计划总工期
/估算规模</t>
        </r>
      </text>
    </comment>
    <comment ref="D5" authorId="1">
      <text>
        <r>
          <rPr>
            <b/>
            <sz val="9"/>
            <rFont val="宋体"/>
            <charset val="134"/>
          </rPr>
          <t>gta:</t>
        </r>
        <r>
          <rPr>
            <sz val="9"/>
            <rFont val="宋体"/>
            <charset val="134"/>
          </rPr>
          <t xml:space="preserve">
来源于估算表“项目总工作量（人天）”</t>
        </r>
      </text>
    </comment>
    <comment ref="D6" authorId="1">
      <text>
        <r>
          <rPr>
            <b/>
            <sz val="9"/>
            <rFont val="宋体"/>
            <charset val="134"/>
          </rPr>
          <t>gta:</t>
        </r>
        <r>
          <rPr>
            <sz val="9"/>
            <rFont val="宋体"/>
            <charset val="134"/>
          </rPr>
          <t xml:space="preserve">
来源于估算表“项目总工作量（人天）”</t>
        </r>
      </text>
    </comment>
    <comment ref="D8" authorId="0">
      <text>
        <r>
          <rPr>
            <b/>
            <sz val="9"/>
            <rFont val="宋体"/>
            <charset val="134"/>
          </rPr>
          <t>EPG:</t>
        </r>
        <r>
          <rPr>
            <sz val="9"/>
            <rFont val="宋体"/>
            <charset val="134"/>
          </rPr>
          <t xml:space="preserve">
生产率=估算的SFP/估算计划工作量</t>
        </r>
      </text>
    </comment>
  </commentList>
</comments>
</file>

<file path=xl/comments3.xml><?xml version="1.0" encoding="utf-8"?>
<comments xmlns="http://schemas.openxmlformats.org/spreadsheetml/2006/main">
  <authors>
    <author>gta</author>
    <author>Windows 用户</author>
  </authors>
  <commentList>
    <comment ref="D3" authorId="0">
      <text>
        <r>
          <rPr>
            <b/>
            <sz val="9"/>
            <rFont val="宋体"/>
            <charset val="134"/>
          </rPr>
          <t>gta:</t>
        </r>
        <r>
          <rPr>
            <sz val="9"/>
            <rFont val="宋体"/>
            <charset val="134"/>
          </rPr>
          <t xml:space="preserve">
数据来源于执行本次预测时，估算表中的SFP数。</t>
        </r>
      </text>
    </comment>
    <comment ref="E3" authorId="0">
      <text>
        <r>
          <rPr>
            <b/>
            <sz val="9"/>
            <rFont val="宋体"/>
            <charset val="134"/>
          </rPr>
          <t>gta:</t>
        </r>
        <r>
          <rPr>
            <sz val="9"/>
            <rFont val="宋体"/>
            <charset val="134"/>
          </rPr>
          <t xml:space="preserve">
数据来源于执行本次预测时，估算表中的项目总工作量（人天）。</t>
        </r>
      </text>
    </comment>
    <comment ref="U3" authorId="0">
      <text>
        <r>
          <rPr>
            <b/>
            <sz val="9"/>
            <rFont val="宋体"/>
            <charset val="134"/>
          </rPr>
          <t>gta:</t>
        </r>
        <r>
          <rPr>
            <sz val="9"/>
            <rFont val="宋体"/>
            <charset val="134"/>
          </rPr>
          <t xml:space="preserve">
对预测结果进行分析：
1，置信度小于90%时，分析置信度的原因及措施。
2，置信度大于90%时，分析保证达到或提高置信度的措施。</t>
        </r>
      </text>
    </comment>
    <comment ref="O4" authorId="1">
      <text>
        <r>
          <rPr>
            <b/>
            <sz val="9"/>
            <rFont val="宋体"/>
            <charset val="134"/>
          </rPr>
          <t>Windows 用户:</t>
        </r>
        <r>
          <rPr>
            <sz val="9"/>
            <rFont val="宋体"/>
            <charset val="134"/>
          </rPr>
          <t xml:space="preserve">
总方案</t>
        </r>
      </text>
    </comment>
    <comment ref="O5" authorId="1">
      <text>
        <r>
          <rPr>
            <b/>
            <sz val="9"/>
            <rFont val="宋体"/>
            <charset val="134"/>
          </rPr>
          <t>Windows 用户:</t>
        </r>
        <r>
          <rPr>
            <sz val="9"/>
            <rFont val="宋体"/>
            <charset val="134"/>
          </rPr>
          <t xml:space="preserve">
总方案</t>
        </r>
      </text>
    </comment>
    <comment ref="O6" authorId="1">
      <text>
        <r>
          <rPr>
            <b/>
            <sz val="9"/>
            <rFont val="宋体"/>
            <charset val="134"/>
          </rPr>
          <t>Windows 用户:</t>
        </r>
        <r>
          <rPr>
            <sz val="9"/>
            <rFont val="宋体"/>
            <charset val="134"/>
          </rPr>
          <t xml:space="preserve">
总方案</t>
        </r>
      </text>
    </comment>
    <comment ref="O7" authorId="1">
      <text>
        <r>
          <rPr>
            <b/>
            <sz val="9"/>
            <rFont val="宋体"/>
            <charset val="134"/>
          </rPr>
          <t>Windows 用户:</t>
        </r>
        <r>
          <rPr>
            <sz val="9"/>
            <rFont val="宋体"/>
            <charset val="134"/>
          </rPr>
          <t xml:space="preserve">
总方案</t>
        </r>
      </text>
    </comment>
    <comment ref="O8" authorId="1">
      <text>
        <r>
          <rPr>
            <b/>
            <sz val="9"/>
            <rFont val="宋体"/>
            <charset val="134"/>
          </rPr>
          <t>Windows 用户:</t>
        </r>
        <r>
          <rPr>
            <sz val="9"/>
            <rFont val="宋体"/>
            <charset val="134"/>
          </rPr>
          <t xml:space="preserve">
总方案</t>
        </r>
      </text>
    </comment>
    <comment ref="O12" authorId="1">
      <text>
        <r>
          <rPr>
            <b/>
            <sz val="9"/>
            <rFont val="宋体"/>
            <charset val="134"/>
          </rPr>
          <t>Windows 用户:</t>
        </r>
        <r>
          <rPr>
            <sz val="9"/>
            <rFont val="宋体"/>
            <charset val="134"/>
          </rPr>
          <t xml:space="preserve">
迭代三方案</t>
        </r>
      </text>
    </comment>
    <comment ref="O13" authorId="1">
      <text>
        <r>
          <rPr>
            <b/>
            <sz val="9"/>
            <rFont val="宋体"/>
            <charset val="134"/>
          </rPr>
          <t>Windows 用户:</t>
        </r>
        <r>
          <rPr>
            <sz val="9"/>
            <rFont val="宋体"/>
            <charset val="134"/>
          </rPr>
          <t xml:space="preserve">
迭代四方案</t>
        </r>
      </text>
    </comment>
  </commentList>
</comments>
</file>

<file path=xl/comments4.xml><?xml version="1.0" encoding="utf-8"?>
<comments xmlns="http://schemas.openxmlformats.org/spreadsheetml/2006/main">
  <authors>
    <author>fe</author>
    <author>叶伦灼</author>
    <author>付艳华</author>
    <author>Windows 用户</author>
  </authors>
  <commentList>
    <comment ref="A1" authorId="0">
      <text>
        <r>
          <rPr>
            <sz val="9"/>
            <rFont val="宋体"/>
            <charset val="134"/>
          </rPr>
          <t>PPM-版本号</t>
        </r>
      </text>
    </comment>
    <comment ref="A4" authorId="1">
      <text>
        <r>
          <rPr>
            <b/>
            <sz val="9"/>
            <rFont val="宋体"/>
            <charset val="134"/>
          </rPr>
          <t>叶伦灼:</t>
        </r>
        <r>
          <rPr>
            <sz val="9"/>
            <rFont val="宋体"/>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Z36" authorId="2">
      <text>
        <r>
          <rPr>
            <b/>
            <sz val="9"/>
            <rFont val="宋体"/>
            <charset val="134"/>
          </rPr>
          <t>（遗留缺陷率） 验收的密度＝验收＋测试阶机的缺陷密度</t>
        </r>
        <r>
          <rPr>
            <sz val="9"/>
            <rFont val="宋体"/>
            <charset val="134"/>
          </rPr>
          <t xml:space="preserve">
</t>
        </r>
      </text>
    </comment>
    <comment ref="Z37" authorId="3">
      <text>
        <r>
          <rPr>
            <b/>
            <sz val="9"/>
            <rFont val="宋体"/>
            <charset val="134"/>
          </rPr>
          <t>Windows 用户:</t>
        </r>
        <r>
          <rPr>
            <sz val="9"/>
            <rFont val="宋体"/>
            <charset val="134"/>
          </rPr>
          <t xml:space="preserve">
智慧</t>
        </r>
      </text>
    </comment>
    <comment ref="Z38" authorId="3">
      <text>
        <r>
          <rPr>
            <b/>
            <sz val="9"/>
            <rFont val="宋体"/>
            <charset val="134"/>
          </rPr>
          <t>Windows 用户:</t>
        </r>
        <r>
          <rPr>
            <sz val="9"/>
            <rFont val="宋体"/>
            <charset val="134"/>
          </rPr>
          <t xml:space="preserve">
非智慧</t>
        </r>
      </text>
    </comment>
    <comment ref="U39" authorId="3">
      <text>
        <r>
          <rPr>
            <b/>
            <sz val="9"/>
            <rFont val="宋体"/>
            <charset val="134"/>
          </rPr>
          <t>Windows 用户:</t>
        </r>
        <r>
          <rPr>
            <sz val="9"/>
            <rFont val="宋体"/>
            <charset val="134"/>
          </rPr>
          <t xml:space="preserve">
智慧教育线</t>
        </r>
      </text>
    </comment>
    <comment ref="U40" authorId="3">
      <text>
        <r>
          <rPr>
            <b/>
            <sz val="9"/>
            <rFont val="宋体"/>
            <charset val="134"/>
          </rPr>
          <t>Windows 用户:</t>
        </r>
        <r>
          <rPr>
            <sz val="9"/>
            <rFont val="宋体"/>
            <charset val="134"/>
          </rPr>
          <t xml:space="preserve">
非智慧教育线</t>
        </r>
      </text>
    </comment>
    <comment ref="U41" authorId="3">
      <text>
        <r>
          <rPr>
            <b/>
            <sz val="9"/>
            <rFont val="宋体"/>
            <charset val="134"/>
          </rPr>
          <t>Windows 用户:</t>
        </r>
        <r>
          <rPr>
            <sz val="9"/>
            <rFont val="宋体"/>
            <charset val="134"/>
          </rPr>
          <t xml:space="preserve">
智慧教育线</t>
        </r>
      </text>
    </comment>
    <comment ref="U42" authorId="3">
      <text>
        <r>
          <rPr>
            <b/>
            <sz val="9"/>
            <rFont val="宋体"/>
            <charset val="134"/>
          </rPr>
          <t>Windows 用户:</t>
        </r>
        <r>
          <rPr>
            <sz val="9"/>
            <rFont val="宋体"/>
            <charset val="134"/>
          </rPr>
          <t xml:space="preserve">
非智慧教育线</t>
        </r>
      </text>
    </comment>
    <comment ref="U43" authorId="3">
      <text>
        <r>
          <rPr>
            <b/>
            <sz val="9"/>
            <rFont val="宋体"/>
            <charset val="134"/>
          </rPr>
          <t>Windows 用户:</t>
        </r>
        <r>
          <rPr>
            <sz val="9"/>
            <rFont val="宋体"/>
            <charset val="134"/>
          </rPr>
          <t xml:space="preserve">
智慧教育线</t>
        </r>
      </text>
    </comment>
    <comment ref="U44" authorId="3">
      <text>
        <r>
          <rPr>
            <b/>
            <sz val="9"/>
            <rFont val="宋体"/>
            <charset val="134"/>
          </rPr>
          <t>Windows 用户:</t>
        </r>
        <r>
          <rPr>
            <sz val="9"/>
            <rFont val="宋体"/>
            <charset val="134"/>
          </rPr>
          <t xml:space="preserve">
非智慧教育线</t>
        </r>
      </text>
    </comment>
    <comment ref="U45" authorId="3">
      <text>
        <r>
          <rPr>
            <b/>
            <sz val="9"/>
            <rFont val="宋体"/>
            <charset val="134"/>
          </rPr>
          <t>Windows 用户:</t>
        </r>
        <r>
          <rPr>
            <sz val="9"/>
            <rFont val="宋体"/>
            <charset val="134"/>
          </rPr>
          <t xml:space="preserve">
智慧教育线</t>
        </r>
      </text>
    </comment>
    <comment ref="U46" authorId="3">
      <text>
        <r>
          <rPr>
            <b/>
            <sz val="9"/>
            <rFont val="宋体"/>
            <charset val="134"/>
          </rPr>
          <t>Windows 用户:</t>
        </r>
        <r>
          <rPr>
            <sz val="9"/>
            <rFont val="宋体"/>
            <charset val="134"/>
          </rPr>
          <t xml:space="preserve">
非智慧教育线</t>
        </r>
      </text>
    </comment>
  </commentList>
</comments>
</file>

<file path=xl/comments5.xml><?xml version="1.0" encoding="utf-8"?>
<comments xmlns="http://schemas.openxmlformats.org/spreadsheetml/2006/main">
  <authors>
    <author>fe</author>
    <author>叶伦灼</author>
    <author>付艳华</author>
    <author>Windows 用户</author>
  </authors>
  <commentList>
    <comment ref="A1" authorId="0">
      <text>
        <r>
          <rPr>
            <sz val="9"/>
            <rFont val="宋体"/>
            <charset val="134"/>
          </rPr>
          <t>PPM-版本号</t>
        </r>
      </text>
    </comment>
    <comment ref="A4" authorId="1">
      <text>
        <r>
          <rPr>
            <b/>
            <sz val="9"/>
            <rFont val="宋体"/>
            <charset val="134"/>
          </rPr>
          <t>叶伦灼:</t>
        </r>
        <r>
          <rPr>
            <sz val="9"/>
            <rFont val="宋体"/>
            <charset val="134"/>
          </rPr>
          <t xml:space="preserve">
在代码走查充分的前提下，测试加权缺陷密度与代码走查发现的缺陷密度应该是负相关，但基于目前公司的代码走查开展程度严重不足，此处的回归模型显示了前述两者的关系呈现了正相关，意在鼓励更多的进行代码走查</t>
        </r>
      </text>
    </comment>
    <comment ref="Z25" authorId="2">
      <text>
        <r>
          <rPr>
            <b/>
            <sz val="9"/>
            <rFont val="宋体"/>
            <charset val="134"/>
          </rPr>
          <t>（遗留缺陷率） 验收的密度＝验收＋测试阶机的缺陷密度</t>
        </r>
        <r>
          <rPr>
            <sz val="9"/>
            <rFont val="宋体"/>
            <charset val="134"/>
          </rPr>
          <t xml:space="preserve">
</t>
        </r>
      </text>
    </comment>
    <comment ref="Z27" authorId="2">
      <text>
        <r>
          <rPr>
            <b/>
            <sz val="9"/>
            <rFont val="宋体"/>
            <charset val="134"/>
          </rPr>
          <t>（遗留缺陷率） 验收的密度＝验收＋测试阶机的缺陷密度</t>
        </r>
        <r>
          <rPr>
            <sz val="9"/>
            <rFont val="宋体"/>
            <charset val="134"/>
          </rPr>
          <t xml:space="preserve">
</t>
        </r>
      </text>
    </comment>
    <comment ref="U29" authorId="3">
      <text>
        <r>
          <rPr>
            <b/>
            <sz val="9"/>
            <rFont val="宋体"/>
            <charset val="134"/>
          </rPr>
          <t>Windows 用户:</t>
        </r>
        <r>
          <rPr>
            <sz val="9"/>
            <rFont val="宋体"/>
            <charset val="134"/>
          </rPr>
          <t xml:space="preserve">
测试用例评审缺陷密度</t>
        </r>
      </text>
    </comment>
    <comment ref="B30" authorId="2">
      <text>
        <r>
          <rPr>
            <sz val="9"/>
            <rFont val="宋体"/>
            <charset val="134"/>
          </rPr>
          <t xml:space="preserve">设计文档被裁减
</t>
        </r>
      </text>
    </comment>
    <comment ref="U30" authorId="3">
      <text>
        <r>
          <rPr>
            <b/>
            <sz val="9"/>
            <rFont val="宋体"/>
            <charset val="134"/>
          </rPr>
          <t>Windows 用户:</t>
        </r>
        <r>
          <rPr>
            <sz val="9"/>
            <rFont val="宋体"/>
            <charset val="134"/>
          </rPr>
          <t xml:space="preserve">
代码走查缺陷密度</t>
        </r>
      </text>
    </comment>
    <comment ref="U31" authorId="3">
      <text>
        <r>
          <rPr>
            <b/>
            <sz val="9"/>
            <rFont val="宋体"/>
            <charset val="134"/>
          </rPr>
          <t>Windows 用户:</t>
        </r>
        <r>
          <rPr>
            <sz val="9"/>
            <rFont val="宋体"/>
            <charset val="134"/>
          </rPr>
          <t xml:space="preserve">
测试用例覆盖密度（智慧）</t>
        </r>
      </text>
    </comment>
    <comment ref="U32" authorId="3">
      <text>
        <r>
          <rPr>
            <b/>
            <sz val="9"/>
            <rFont val="宋体"/>
            <charset val="134"/>
          </rPr>
          <t>Windows 用户:</t>
        </r>
        <r>
          <rPr>
            <sz val="9"/>
            <rFont val="宋体"/>
            <charset val="134"/>
          </rPr>
          <t xml:space="preserve">
测试用例覆盖密度（非智慧）</t>
        </r>
      </text>
    </comment>
    <comment ref="B37" authorId="2">
      <text>
        <r>
          <rPr>
            <b/>
            <sz val="9"/>
            <rFont val="宋体"/>
            <charset val="134"/>
          </rPr>
          <t>功能+性能测试用例</t>
        </r>
        <r>
          <rPr>
            <sz val="9"/>
            <rFont val="宋体"/>
            <charset val="134"/>
          </rPr>
          <t xml:space="preserve">
(功能100%+性能100%+轮次3-6)</t>
        </r>
      </text>
    </comment>
    <comment ref="J37" authorId="3">
      <text>
        <r>
          <rPr>
            <b/>
            <sz val="9"/>
            <rFont val="宋体"/>
            <charset val="134"/>
          </rPr>
          <t>Windows 用户:</t>
        </r>
        <r>
          <rPr>
            <sz val="9"/>
            <rFont val="宋体"/>
            <charset val="134"/>
          </rPr>
          <t xml:space="preserve">
智慧教育线</t>
        </r>
      </text>
    </comment>
    <comment ref="B38" authorId="1">
      <text>
        <r>
          <rPr>
            <b/>
            <sz val="9"/>
            <rFont val="宋体"/>
            <charset val="134"/>
          </rPr>
          <t>叶伦灼:</t>
        </r>
        <r>
          <rPr>
            <sz val="9"/>
            <rFont val="宋体"/>
            <charset val="134"/>
          </rPr>
          <t xml:space="preserve">
(功能((100%)+轮次(3))</t>
        </r>
      </text>
    </comment>
    <comment ref="B39" authorId="2">
      <text>
        <r>
          <rPr>
            <b/>
            <sz val="9"/>
            <rFont val="宋体"/>
            <charset val="134"/>
          </rPr>
          <t>功能+性能测试用例</t>
        </r>
        <r>
          <rPr>
            <sz val="9"/>
            <rFont val="宋体"/>
            <charset val="134"/>
          </rPr>
          <t xml:space="preserve">
(功能100%+性能100%+轮次3-6)</t>
        </r>
      </text>
    </comment>
    <comment ref="J39" authorId="3">
      <text>
        <r>
          <rPr>
            <b/>
            <sz val="9"/>
            <rFont val="宋体"/>
            <charset val="134"/>
          </rPr>
          <t>Windows 用户:</t>
        </r>
        <r>
          <rPr>
            <sz val="9"/>
            <rFont val="宋体"/>
            <charset val="134"/>
          </rPr>
          <t xml:space="preserve">
非智慧教育线</t>
        </r>
      </text>
    </comment>
    <comment ref="B40" authorId="1">
      <text>
        <r>
          <rPr>
            <b/>
            <sz val="9"/>
            <rFont val="宋体"/>
            <charset val="134"/>
          </rPr>
          <t>叶伦灼:</t>
        </r>
        <r>
          <rPr>
            <sz val="9"/>
            <rFont val="宋体"/>
            <charset val="134"/>
          </rPr>
          <t xml:space="preserve">
(功能((100%)+轮次(3))</t>
        </r>
      </text>
    </comment>
    <comment ref="J42" authorId="3">
      <text>
        <r>
          <rPr>
            <b/>
            <sz val="9"/>
            <rFont val="宋体"/>
            <charset val="134"/>
          </rPr>
          <t>Windows 用户:</t>
        </r>
        <r>
          <rPr>
            <sz val="9"/>
            <rFont val="宋体"/>
            <charset val="134"/>
          </rPr>
          <t xml:space="preserve">
智慧教育线</t>
        </r>
      </text>
    </comment>
    <comment ref="J44" authorId="3">
      <text>
        <r>
          <rPr>
            <b/>
            <sz val="9"/>
            <rFont val="宋体"/>
            <charset val="134"/>
          </rPr>
          <t>Windows 用户:</t>
        </r>
        <r>
          <rPr>
            <sz val="9"/>
            <rFont val="宋体"/>
            <charset val="134"/>
          </rPr>
          <t xml:space="preserve">
非智慧教育线</t>
        </r>
      </text>
    </comment>
  </commentList>
</comments>
</file>

<file path=xl/comments6.xml><?xml version="1.0" encoding="utf-8"?>
<comments xmlns="http://schemas.openxmlformats.org/spreadsheetml/2006/main">
  <authors>
    <author>gta</author>
    <author>作者</author>
  </authors>
  <commentList>
    <comment ref="C14" authorId="0">
      <text>
        <r>
          <rPr>
            <b/>
            <sz val="9"/>
            <rFont val="宋体"/>
            <charset val="134"/>
          </rPr>
          <t>gta:</t>
        </r>
        <r>
          <rPr>
            <sz val="9"/>
            <rFont val="宋体"/>
            <charset val="134"/>
          </rPr>
          <t xml:space="preserve">
即客户需求说明书中的CR和NCR个数</t>
        </r>
      </text>
    </comment>
    <comment ref="D14" authorId="0">
      <text>
        <r>
          <rPr>
            <b/>
            <sz val="9"/>
            <rFont val="宋体"/>
            <charset val="134"/>
          </rPr>
          <t>gta:</t>
        </r>
        <r>
          <rPr>
            <sz val="9"/>
            <rFont val="宋体"/>
            <charset val="134"/>
          </rPr>
          <t xml:space="preserve">
变更影响的客户需求说明书的CR和NCR个数</t>
        </r>
      </text>
    </comment>
    <comment ref="H14" authorId="1">
      <text>
        <r>
          <rPr>
            <b/>
            <sz val="9"/>
            <rFont val="宋体"/>
            <charset val="134"/>
          </rPr>
          <t>作者:</t>
        </r>
        <r>
          <rPr>
            <sz val="9"/>
            <rFont val="宋体"/>
            <charset val="134"/>
          </rPr>
          <t xml:space="preserve">
=|新增SFP值| + |删除SFP值| + |修订的SFP值|
举例：新增一个需求，增加了20SFP，删除一个需求，减少了10SFP，修改一个需求，SFP改变了3FP，那这些需求变更产生的SFP变化为20+10+3=33</t>
        </r>
      </text>
    </comment>
    <comment ref="C20" authorId="0">
      <text>
        <r>
          <rPr>
            <b/>
            <sz val="9"/>
            <rFont val="宋体"/>
            <charset val="134"/>
          </rPr>
          <t>gta:</t>
        </r>
        <r>
          <rPr>
            <sz val="9"/>
            <rFont val="宋体"/>
            <charset val="134"/>
          </rPr>
          <t xml:space="preserve">
等于需求阶段初始需求总数，用于计算项目整体需求稳定度</t>
        </r>
      </text>
    </comment>
    <comment ref="C25" authorId="0">
      <text>
        <r>
          <rPr>
            <b/>
            <sz val="9"/>
            <rFont val="宋体"/>
            <charset val="134"/>
          </rPr>
          <t>gta:</t>
        </r>
        <r>
          <rPr>
            <sz val="9"/>
            <rFont val="宋体"/>
            <charset val="134"/>
          </rPr>
          <t xml:space="preserve">
即需求规格说明书中的FR和NFR个数</t>
        </r>
      </text>
    </comment>
    <comment ref="D25" authorId="0">
      <text>
        <r>
          <rPr>
            <b/>
            <sz val="9"/>
            <rFont val="宋体"/>
            <charset val="134"/>
          </rPr>
          <t>gta:</t>
        </r>
        <r>
          <rPr>
            <sz val="9"/>
            <rFont val="宋体"/>
            <charset val="134"/>
          </rPr>
          <t xml:space="preserve">
变更影响的需求规格说明书的FR和NFR个数</t>
        </r>
      </text>
    </comment>
    <comment ref="C31" authorId="0">
      <text>
        <r>
          <rPr>
            <b/>
            <sz val="9"/>
            <rFont val="宋体"/>
            <charset val="134"/>
          </rPr>
          <t>gta:</t>
        </r>
        <r>
          <rPr>
            <sz val="9"/>
            <rFont val="宋体"/>
            <charset val="134"/>
          </rPr>
          <t xml:space="preserve">
等于需求阶段初始需求总数，用于计算项目整体需求稳定度</t>
        </r>
      </text>
    </comment>
    <comment ref="C39" authorId="0">
      <text>
        <r>
          <rPr>
            <b/>
            <sz val="9"/>
            <rFont val="宋体"/>
            <charset val="134"/>
          </rPr>
          <t>gta:</t>
        </r>
        <r>
          <rPr>
            <sz val="9"/>
            <rFont val="宋体"/>
            <charset val="134"/>
          </rPr>
          <t xml:space="preserve">
即客户需求说明书中的CR和NCR个数</t>
        </r>
      </text>
    </comment>
    <comment ref="D39" authorId="0">
      <text>
        <r>
          <rPr>
            <b/>
            <sz val="9"/>
            <rFont val="宋体"/>
            <charset val="134"/>
          </rPr>
          <t>gta:</t>
        </r>
        <r>
          <rPr>
            <sz val="9"/>
            <rFont val="宋体"/>
            <charset val="134"/>
          </rPr>
          <t xml:space="preserve">
变更影响的客户需求说明书的CR和NCR个数</t>
        </r>
      </text>
    </comment>
    <comment ref="H39" authorId="1">
      <text>
        <r>
          <rPr>
            <b/>
            <sz val="9"/>
            <rFont val="宋体"/>
            <charset val="134"/>
          </rPr>
          <t>作者:</t>
        </r>
        <r>
          <rPr>
            <sz val="9"/>
            <rFont val="宋体"/>
            <charset val="134"/>
          </rPr>
          <t xml:space="preserve">
=|新增SFP值| + |删除SFP值| + |修订的SFP值|
举例：新增一个需求，增加了20SFP，删除一个需求，减少了10SFP，修改一个需求，SFP改变了3FP，那这些需求变更产生的SFP变化为20+10+3=33</t>
        </r>
      </text>
    </comment>
    <comment ref="C45" authorId="0">
      <text>
        <r>
          <rPr>
            <b/>
            <sz val="9"/>
            <rFont val="宋体"/>
            <charset val="134"/>
          </rPr>
          <t>gta:</t>
        </r>
        <r>
          <rPr>
            <sz val="9"/>
            <rFont val="宋体"/>
            <charset val="134"/>
          </rPr>
          <t xml:space="preserve">
等于需求阶段初始需求总数，用于计算项目整体需求稳定度</t>
        </r>
      </text>
    </comment>
    <comment ref="C50" authorId="0">
      <text>
        <r>
          <rPr>
            <b/>
            <sz val="9"/>
            <rFont val="宋体"/>
            <charset val="134"/>
          </rPr>
          <t>gta:</t>
        </r>
        <r>
          <rPr>
            <sz val="9"/>
            <rFont val="宋体"/>
            <charset val="134"/>
          </rPr>
          <t xml:space="preserve">
即需求规格说明书中的FR和NFR个数</t>
        </r>
      </text>
    </comment>
    <comment ref="D50" authorId="0">
      <text>
        <r>
          <rPr>
            <b/>
            <sz val="9"/>
            <rFont val="宋体"/>
            <charset val="134"/>
          </rPr>
          <t>gta:</t>
        </r>
        <r>
          <rPr>
            <sz val="9"/>
            <rFont val="宋体"/>
            <charset val="134"/>
          </rPr>
          <t xml:space="preserve">
变更影响的需求规格说明书的FR和NFR个数</t>
        </r>
      </text>
    </comment>
    <comment ref="C56" authorId="0">
      <text>
        <r>
          <rPr>
            <b/>
            <sz val="9"/>
            <rFont val="宋体"/>
            <charset val="134"/>
          </rPr>
          <t>gta:</t>
        </r>
        <r>
          <rPr>
            <sz val="9"/>
            <rFont val="宋体"/>
            <charset val="134"/>
          </rPr>
          <t xml:space="preserve">
等于需求阶段初始需求总数，用于计算项目整体需求稳定度</t>
        </r>
      </text>
    </comment>
    <comment ref="C65" authorId="0">
      <text>
        <r>
          <rPr>
            <b/>
            <sz val="9"/>
            <rFont val="宋体"/>
            <charset val="134"/>
          </rPr>
          <t>gta:</t>
        </r>
        <r>
          <rPr>
            <sz val="9"/>
            <rFont val="宋体"/>
            <charset val="134"/>
          </rPr>
          <t xml:space="preserve">
即客户需求说明书中的CR和NCR个数</t>
        </r>
      </text>
    </comment>
    <comment ref="D65" authorId="0">
      <text>
        <r>
          <rPr>
            <b/>
            <sz val="9"/>
            <rFont val="宋体"/>
            <charset val="134"/>
          </rPr>
          <t>gta:</t>
        </r>
        <r>
          <rPr>
            <sz val="9"/>
            <rFont val="宋体"/>
            <charset val="134"/>
          </rPr>
          <t xml:space="preserve">
变更影响的客户需求说明书的CR和NCR个数</t>
        </r>
      </text>
    </comment>
    <comment ref="H65" authorId="1">
      <text>
        <r>
          <rPr>
            <b/>
            <sz val="9"/>
            <rFont val="宋体"/>
            <charset val="134"/>
          </rPr>
          <t>作者:</t>
        </r>
        <r>
          <rPr>
            <sz val="9"/>
            <rFont val="宋体"/>
            <charset val="134"/>
          </rPr>
          <t xml:space="preserve">
=|新增SFP值| + |删除SFP值| + |修订的SFP值|
举例：新增一个需求，增加了20SFP，删除一个需求，减少了10SFP，修改一个需求，SFP改变了3FP，那这些需求变更产生的SFP变化为20+10+3=33</t>
        </r>
      </text>
    </comment>
    <comment ref="C71" authorId="0">
      <text>
        <r>
          <rPr>
            <b/>
            <sz val="9"/>
            <rFont val="宋体"/>
            <charset val="134"/>
          </rPr>
          <t>gta:</t>
        </r>
        <r>
          <rPr>
            <sz val="9"/>
            <rFont val="宋体"/>
            <charset val="134"/>
          </rPr>
          <t xml:space="preserve">
等于需求阶段初始需求总数，用于计算项目整体需求稳定度</t>
        </r>
      </text>
    </comment>
    <comment ref="C76" authorId="0">
      <text>
        <r>
          <rPr>
            <b/>
            <sz val="9"/>
            <rFont val="宋体"/>
            <charset val="134"/>
          </rPr>
          <t>gta:</t>
        </r>
        <r>
          <rPr>
            <sz val="9"/>
            <rFont val="宋体"/>
            <charset val="134"/>
          </rPr>
          <t xml:space="preserve">
即需求规格说明书中的FR和NFR个数</t>
        </r>
      </text>
    </comment>
    <comment ref="D76" authorId="0">
      <text>
        <r>
          <rPr>
            <b/>
            <sz val="9"/>
            <rFont val="宋体"/>
            <charset val="134"/>
          </rPr>
          <t>gta:</t>
        </r>
        <r>
          <rPr>
            <sz val="9"/>
            <rFont val="宋体"/>
            <charset val="134"/>
          </rPr>
          <t xml:space="preserve">
变更影响的需求规格说明书的FR和NFR个数</t>
        </r>
      </text>
    </comment>
    <comment ref="C82" authorId="0">
      <text>
        <r>
          <rPr>
            <b/>
            <sz val="9"/>
            <rFont val="宋体"/>
            <charset val="134"/>
          </rPr>
          <t>gta:</t>
        </r>
        <r>
          <rPr>
            <sz val="9"/>
            <rFont val="宋体"/>
            <charset val="134"/>
          </rPr>
          <t xml:space="preserve">
等于需求阶段初始需求总数，用于计算项目整体需求稳定度</t>
        </r>
      </text>
    </comment>
    <comment ref="C90" authorId="0">
      <text>
        <r>
          <rPr>
            <b/>
            <sz val="9"/>
            <rFont val="宋体"/>
            <charset val="134"/>
          </rPr>
          <t>gta:</t>
        </r>
        <r>
          <rPr>
            <sz val="9"/>
            <rFont val="宋体"/>
            <charset val="134"/>
          </rPr>
          <t xml:space="preserve">
即客户需求说明书中的CR和NCR个数</t>
        </r>
      </text>
    </comment>
    <comment ref="D90" authorId="0">
      <text>
        <r>
          <rPr>
            <b/>
            <sz val="9"/>
            <rFont val="宋体"/>
            <charset val="134"/>
          </rPr>
          <t>gta:</t>
        </r>
        <r>
          <rPr>
            <sz val="9"/>
            <rFont val="宋体"/>
            <charset val="134"/>
          </rPr>
          <t xml:space="preserve">
变更影响的客户需求说明书的CR和NCR个数</t>
        </r>
      </text>
    </comment>
    <comment ref="H90" authorId="1">
      <text>
        <r>
          <rPr>
            <b/>
            <sz val="9"/>
            <rFont val="宋体"/>
            <charset val="134"/>
          </rPr>
          <t>作者:</t>
        </r>
        <r>
          <rPr>
            <sz val="9"/>
            <rFont val="宋体"/>
            <charset val="134"/>
          </rPr>
          <t xml:space="preserve">
=|新增SFP值| + |删除SFP值| + |修订的SFP值|
举例：新增一个需求，增加了20SFP，删除一个需求，减少了10SFP，修改一个需求，SFP改变了3FP，那这些需求变更产生的SFP变化为20+10+3=33</t>
        </r>
      </text>
    </comment>
    <comment ref="C96" authorId="0">
      <text>
        <r>
          <rPr>
            <b/>
            <sz val="9"/>
            <rFont val="宋体"/>
            <charset val="134"/>
          </rPr>
          <t>gta:</t>
        </r>
        <r>
          <rPr>
            <sz val="9"/>
            <rFont val="宋体"/>
            <charset val="134"/>
          </rPr>
          <t xml:space="preserve">
等于需求阶段初始需求总数，用于计算项目整体需求稳定度</t>
        </r>
      </text>
    </comment>
    <comment ref="C101" authorId="0">
      <text>
        <r>
          <rPr>
            <b/>
            <sz val="9"/>
            <rFont val="宋体"/>
            <charset val="134"/>
          </rPr>
          <t>gta:</t>
        </r>
        <r>
          <rPr>
            <sz val="9"/>
            <rFont val="宋体"/>
            <charset val="134"/>
          </rPr>
          <t xml:space="preserve">
即需求规格说明书中的FR和NFR个数</t>
        </r>
      </text>
    </comment>
    <comment ref="D101" authorId="0">
      <text>
        <r>
          <rPr>
            <b/>
            <sz val="9"/>
            <rFont val="宋体"/>
            <charset val="134"/>
          </rPr>
          <t>gta:</t>
        </r>
        <r>
          <rPr>
            <sz val="9"/>
            <rFont val="宋体"/>
            <charset val="134"/>
          </rPr>
          <t xml:space="preserve">
变更影响的需求规格说明书的FR和NFR个数</t>
        </r>
      </text>
    </comment>
    <comment ref="C107" authorId="0">
      <text>
        <r>
          <rPr>
            <b/>
            <sz val="9"/>
            <rFont val="宋体"/>
            <charset val="134"/>
          </rPr>
          <t>gta:</t>
        </r>
        <r>
          <rPr>
            <sz val="9"/>
            <rFont val="宋体"/>
            <charset val="134"/>
          </rPr>
          <t xml:space="preserve">
等于需求阶段初始需求总数，用于计算项目整体需求稳定度</t>
        </r>
      </text>
    </comment>
  </commentList>
</comments>
</file>

<file path=xl/comments7.xml><?xml version="1.0" encoding="utf-8"?>
<comments xmlns="http://schemas.openxmlformats.org/spreadsheetml/2006/main">
  <authors>
    <author>作者</author>
  </authors>
  <commentList>
    <comment ref="T7" authorId="0">
      <text>
        <r>
          <rPr>
            <b/>
            <sz val="9"/>
            <rFont val="宋体"/>
            <charset val="134"/>
          </rPr>
          <t>项目组项目情况调整工作量配比。但比例需与估算表保持一致</t>
        </r>
      </text>
    </comment>
    <comment ref="P48" authorId="0">
      <text>
        <r>
          <rPr>
            <b/>
            <sz val="9"/>
            <rFont val="宋体"/>
            <charset val="134"/>
          </rPr>
          <t>项目组项目情况调整工作量配比。但比例需与估算表保持一致</t>
        </r>
      </text>
    </comment>
    <comment ref="P93" authorId="0">
      <text>
        <r>
          <rPr>
            <b/>
            <sz val="9"/>
            <rFont val="宋体"/>
            <charset val="134"/>
          </rPr>
          <t>项目组项目情况调整工作量配比。但比例需与估算表保持一致</t>
        </r>
      </text>
    </comment>
    <comment ref="P138" authorId="0">
      <text>
        <r>
          <rPr>
            <b/>
            <sz val="9"/>
            <rFont val="宋体"/>
            <charset val="134"/>
          </rPr>
          <t>项目组项目情况调整工作量配比。但比例需与估算表保持一致</t>
        </r>
      </text>
    </comment>
    <comment ref="P183" authorId="0">
      <text>
        <r>
          <rPr>
            <b/>
            <sz val="9"/>
            <rFont val="宋体"/>
            <charset val="134"/>
          </rPr>
          <t>项目组项目情况调整工作量配比。但比例需与估算表保持一致</t>
        </r>
      </text>
    </comment>
  </commentList>
</comments>
</file>

<file path=xl/comments8.xml><?xml version="1.0" encoding="utf-8"?>
<comments xmlns="http://schemas.openxmlformats.org/spreadsheetml/2006/main">
  <authors>
    <author>gta</author>
  </authors>
  <commentList>
    <comment ref="D6" authorId="0">
      <text>
        <r>
          <rPr>
            <b/>
            <sz val="9"/>
            <rFont val="宋体"/>
            <charset val="134"/>
          </rPr>
          <t>gta:</t>
        </r>
        <r>
          <rPr>
            <sz val="9"/>
            <rFont val="宋体"/>
            <charset val="134"/>
          </rPr>
          <t xml:space="preserve">
数据来源于确定性估算表中“复用的功能点总数(SFP)”</t>
        </r>
      </text>
    </comment>
    <comment ref="B47" authorId="0">
      <text>
        <r>
          <rPr>
            <b/>
            <sz val="9"/>
            <rFont val="宋体"/>
            <charset val="134"/>
          </rPr>
          <t>gta:</t>
        </r>
        <r>
          <rPr>
            <sz val="9"/>
            <rFont val="宋体"/>
            <charset val="134"/>
          </rPr>
          <t xml:space="preserve">
数据来源于估算表“技术复杂度评估表”</t>
        </r>
      </text>
    </comment>
  </commentList>
</comments>
</file>

<file path=xl/comments9.xml><?xml version="1.0" encoding="utf-8"?>
<comments xmlns="http://schemas.openxmlformats.org/spreadsheetml/2006/main">
  <authors>
    <author>gta</author>
  </authors>
  <commentList>
    <comment ref="K5" authorId="0">
      <text>
        <r>
          <rPr>
            <b/>
            <sz val="9"/>
            <rFont val="宋体"/>
            <charset val="134"/>
          </rPr>
          <t>gta:</t>
        </r>
        <r>
          <rPr>
            <sz val="9"/>
            <rFont val="宋体"/>
            <charset val="134"/>
          </rPr>
          <t xml:space="preserve">
当阶段偏差或累计偏差其中之一出现偏差超过20%时，则必须进行偏差原因分析及采取相应的措施</t>
        </r>
      </text>
    </comment>
  </commentList>
</comments>
</file>

<file path=xl/comments10.xml><?xml version="1.0" encoding="utf-8"?>
<comments xmlns="http://schemas.openxmlformats.org/spreadsheetml/2006/main">
  <authors>
    <author>gta</author>
  </authors>
  <commentList>
    <comment ref="A6" authorId="0">
      <text>
        <r>
          <rPr>
            <b/>
            <sz val="9"/>
            <rFont val="宋体"/>
            <charset val="134"/>
          </rPr>
          <t>gta:</t>
        </r>
        <r>
          <rPr>
            <sz val="9"/>
            <rFont val="宋体"/>
            <charset val="134"/>
          </rPr>
          <t xml:space="preserve">
每组织一次评审就记为一次，不区分正式评审和非正式评审</t>
        </r>
      </text>
    </comment>
    <comment ref="J6" authorId="0">
      <text>
        <r>
          <rPr>
            <b/>
            <sz val="9"/>
            <rFont val="宋体"/>
            <charset val="134"/>
          </rPr>
          <t>gta:</t>
        </r>
        <r>
          <rPr>
            <sz val="9"/>
            <rFont val="宋体"/>
            <charset val="134"/>
          </rPr>
          <t xml:space="preserve">
文档页数仅统计正文的页数即可</t>
        </r>
      </text>
    </comment>
    <comment ref="A29" authorId="0">
      <text>
        <r>
          <rPr>
            <b/>
            <sz val="9"/>
            <rFont val="宋体"/>
            <charset val="134"/>
          </rPr>
          <t>gta:</t>
        </r>
        <r>
          <rPr>
            <sz val="9"/>
            <rFont val="宋体"/>
            <charset val="134"/>
          </rPr>
          <t xml:space="preserve">
每组织一次评审就记为一次，不区分正式评审和非正式评审</t>
        </r>
      </text>
    </comment>
    <comment ref="J29" authorId="0">
      <text>
        <r>
          <rPr>
            <b/>
            <sz val="9"/>
            <rFont val="宋体"/>
            <charset val="134"/>
          </rPr>
          <t>gta:</t>
        </r>
        <r>
          <rPr>
            <sz val="9"/>
            <rFont val="宋体"/>
            <charset val="134"/>
          </rPr>
          <t xml:space="preserve">
文档页数仅统计正文的页数即可</t>
        </r>
      </text>
    </comment>
    <comment ref="A56" authorId="0">
      <text>
        <r>
          <rPr>
            <b/>
            <sz val="9"/>
            <rFont val="宋体"/>
            <charset val="134"/>
          </rPr>
          <t>gta:</t>
        </r>
        <r>
          <rPr>
            <sz val="9"/>
            <rFont val="宋体"/>
            <charset val="134"/>
          </rPr>
          <t xml:space="preserve">
每组织一次评审就记为一次，不区分正式评审和非正式评审</t>
        </r>
      </text>
    </comment>
    <comment ref="J56" authorId="0">
      <text>
        <r>
          <rPr>
            <b/>
            <sz val="9"/>
            <rFont val="宋体"/>
            <charset val="134"/>
          </rPr>
          <t>gta:</t>
        </r>
        <r>
          <rPr>
            <sz val="9"/>
            <rFont val="宋体"/>
            <charset val="134"/>
          </rPr>
          <t xml:space="preserve">
文档页数仅统计正文的页数即可</t>
        </r>
      </text>
    </comment>
    <comment ref="A83" authorId="0">
      <text>
        <r>
          <rPr>
            <b/>
            <sz val="9"/>
            <rFont val="宋体"/>
            <charset val="134"/>
          </rPr>
          <t>gta:</t>
        </r>
        <r>
          <rPr>
            <sz val="9"/>
            <rFont val="宋体"/>
            <charset val="134"/>
          </rPr>
          <t xml:space="preserve">
每组织一次评审就记为一次，不区分正式评审和非正式评审</t>
        </r>
      </text>
    </comment>
    <comment ref="A108" authorId="0">
      <text>
        <r>
          <rPr>
            <b/>
            <sz val="9"/>
            <rFont val="宋体"/>
            <charset val="134"/>
          </rPr>
          <t>gta:</t>
        </r>
        <r>
          <rPr>
            <sz val="9"/>
            <rFont val="宋体"/>
            <charset val="134"/>
          </rPr>
          <t xml:space="preserve">
每组织一次走查就记为一次</t>
        </r>
      </text>
    </comment>
    <comment ref="A165" authorId="0">
      <text>
        <r>
          <rPr>
            <b/>
            <sz val="9"/>
            <rFont val="宋体"/>
            <charset val="134"/>
          </rPr>
          <t>gta:</t>
        </r>
        <r>
          <rPr>
            <sz val="9"/>
            <rFont val="宋体"/>
            <charset val="134"/>
          </rPr>
          <t xml:space="preserve">
每组织一次评审就记为一次，不区分正式评审和非正式评审</t>
        </r>
      </text>
    </comment>
    <comment ref="J165" authorId="0">
      <text>
        <r>
          <rPr>
            <b/>
            <sz val="9"/>
            <rFont val="宋体"/>
            <charset val="134"/>
          </rPr>
          <t>gta:</t>
        </r>
        <r>
          <rPr>
            <sz val="9"/>
            <rFont val="宋体"/>
            <charset val="134"/>
          </rPr>
          <t xml:space="preserve">
文档页数仅统计正文的页数即可</t>
        </r>
      </text>
    </comment>
    <comment ref="A188" authorId="0">
      <text>
        <r>
          <rPr>
            <b/>
            <sz val="9"/>
            <rFont val="宋体"/>
            <charset val="134"/>
          </rPr>
          <t>gta:</t>
        </r>
        <r>
          <rPr>
            <sz val="9"/>
            <rFont val="宋体"/>
            <charset val="134"/>
          </rPr>
          <t xml:space="preserve">
每组织一次评审就记为一次，不区分正式评审和非正式评审</t>
        </r>
      </text>
    </comment>
    <comment ref="J188" authorId="0">
      <text>
        <r>
          <rPr>
            <b/>
            <sz val="9"/>
            <rFont val="宋体"/>
            <charset val="134"/>
          </rPr>
          <t>gta:</t>
        </r>
        <r>
          <rPr>
            <sz val="9"/>
            <rFont val="宋体"/>
            <charset val="134"/>
          </rPr>
          <t xml:space="preserve">
文档页数仅统计正文的页数即可</t>
        </r>
      </text>
    </comment>
    <comment ref="A214" authorId="0">
      <text>
        <r>
          <rPr>
            <b/>
            <sz val="9"/>
            <rFont val="宋体"/>
            <charset val="134"/>
          </rPr>
          <t>gta:</t>
        </r>
        <r>
          <rPr>
            <sz val="9"/>
            <rFont val="宋体"/>
            <charset val="134"/>
          </rPr>
          <t xml:space="preserve">
每组织一次评审就记为一次，不区分正式评审和非正式评审</t>
        </r>
      </text>
    </comment>
    <comment ref="J214" authorId="0">
      <text>
        <r>
          <rPr>
            <b/>
            <sz val="9"/>
            <rFont val="宋体"/>
            <charset val="134"/>
          </rPr>
          <t>gta:</t>
        </r>
        <r>
          <rPr>
            <sz val="9"/>
            <rFont val="宋体"/>
            <charset val="134"/>
          </rPr>
          <t xml:space="preserve">
文档页数仅统计正文的页数即可</t>
        </r>
      </text>
    </comment>
    <comment ref="A241" authorId="0">
      <text>
        <r>
          <rPr>
            <b/>
            <sz val="9"/>
            <rFont val="宋体"/>
            <charset val="134"/>
          </rPr>
          <t>gta:</t>
        </r>
        <r>
          <rPr>
            <sz val="9"/>
            <rFont val="宋体"/>
            <charset val="134"/>
          </rPr>
          <t xml:space="preserve">
每组织一次评审就记为一次，不区分正式评审和非正式评审</t>
        </r>
      </text>
    </comment>
    <comment ref="A266" authorId="0">
      <text>
        <r>
          <rPr>
            <b/>
            <sz val="9"/>
            <rFont val="宋体"/>
            <charset val="134"/>
          </rPr>
          <t>gta:</t>
        </r>
        <r>
          <rPr>
            <sz val="9"/>
            <rFont val="宋体"/>
            <charset val="134"/>
          </rPr>
          <t xml:space="preserve">
每组织一次走查就记为一次</t>
        </r>
      </text>
    </comment>
    <comment ref="A323" authorId="0">
      <text>
        <r>
          <rPr>
            <b/>
            <sz val="9"/>
            <rFont val="宋体"/>
            <charset val="134"/>
          </rPr>
          <t>gta:</t>
        </r>
        <r>
          <rPr>
            <sz val="9"/>
            <rFont val="宋体"/>
            <charset val="134"/>
          </rPr>
          <t xml:space="preserve">
每组织一次评审就记为一次，不区分正式评审和非正式评审</t>
        </r>
      </text>
    </comment>
    <comment ref="J323" authorId="0">
      <text>
        <r>
          <rPr>
            <b/>
            <sz val="9"/>
            <rFont val="宋体"/>
            <charset val="134"/>
          </rPr>
          <t>gta:</t>
        </r>
        <r>
          <rPr>
            <sz val="9"/>
            <rFont val="宋体"/>
            <charset val="134"/>
          </rPr>
          <t xml:space="preserve">
文档页数仅统计正文的页数即可</t>
        </r>
      </text>
    </comment>
    <comment ref="A346" authorId="0">
      <text>
        <r>
          <rPr>
            <b/>
            <sz val="9"/>
            <rFont val="宋体"/>
            <charset val="134"/>
          </rPr>
          <t>gta:</t>
        </r>
        <r>
          <rPr>
            <sz val="9"/>
            <rFont val="宋体"/>
            <charset val="134"/>
          </rPr>
          <t xml:space="preserve">
每组织一次评审就记为一次，不区分正式评审和非正式评审</t>
        </r>
      </text>
    </comment>
    <comment ref="J346" authorId="0">
      <text>
        <r>
          <rPr>
            <b/>
            <sz val="9"/>
            <rFont val="宋体"/>
            <charset val="134"/>
          </rPr>
          <t>gta:</t>
        </r>
        <r>
          <rPr>
            <sz val="9"/>
            <rFont val="宋体"/>
            <charset val="134"/>
          </rPr>
          <t xml:space="preserve">
文档页数仅统计正文的页数即可</t>
        </r>
      </text>
    </comment>
    <comment ref="A372" authorId="0">
      <text>
        <r>
          <rPr>
            <b/>
            <sz val="9"/>
            <rFont val="宋体"/>
            <charset val="134"/>
          </rPr>
          <t>gta:</t>
        </r>
        <r>
          <rPr>
            <sz val="9"/>
            <rFont val="宋体"/>
            <charset val="134"/>
          </rPr>
          <t xml:space="preserve">
每组织一次评审就记为一次，不区分正式评审和非正式评审</t>
        </r>
      </text>
    </comment>
    <comment ref="J372" authorId="0">
      <text>
        <r>
          <rPr>
            <b/>
            <sz val="9"/>
            <rFont val="宋体"/>
            <charset val="134"/>
          </rPr>
          <t>gta:</t>
        </r>
        <r>
          <rPr>
            <sz val="9"/>
            <rFont val="宋体"/>
            <charset val="134"/>
          </rPr>
          <t xml:space="preserve">
文档页数仅统计正文的页数即可</t>
        </r>
      </text>
    </comment>
    <comment ref="A399" authorId="0">
      <text>
        <r>
          <rPr>
            <b/>
            <sz val="9"/>
            <rFont val="宋体"/>
            <charset val="134"/>
          </rPr>
          <t>gta:</t>
        </r>
        <r>
          <rPr>
            <sz val="9"/>
            <rFont val="宋体"/>
            <charset val="134"/>
          </rPr>
          <t xml:space="preserve">
每组织一次评审就记为一次，不区分正式评审和非正式评审</t>
        </r>
      </text>
    </comment>
    <comment ref="A424" authorId="0">
      <text>
        <r>
          <rPr>
            <b/>
            <sz val="9"/>
            <rFont val="宋体"/>
            <charset val="134"/>
          </rPr>
          <t>gta:</t>
        </r>
        <r>
          <rPr>
            <sz val="9"/>
            <rFont val="宋体"/>
            <charset val="134"/>
          </rPr>
          <t xml:space="preserve">
每组织一次走查就记为一次</t>
        </r>
      </text>
    </comment>
    <comment ref="A481" authorId="0">
      <text>
        <r>
          <rPr>
            <b/>
            <sz val="9"/>
            <rFont val="宋体"/>
            <charset val="134"/>
          </rPr>
          <t>gta:</t>
        </r>
        <r>
          <rPr>
            <sz val="9"/>
            <rFont val="宋体"/>
            <charset val="134"/>
          </rPr>
          <t xml:space="preserve">
每组织一次评审就记为一次，不区分正式评审和非正式评审</t>
        </r>
      </text>
    </comment>
    <comment ref="J481" authorId="0">
      <text>
        <r>
          <rPr>
            <b/>
            <sz val="9"/>
            <rFont val="宋体"/>
            <charset val="134"/>
          </rPr>
          <t>gta:</t>
        </r>
        <r>
          <rPr>
            <sz val="9"/>
            <rFont val="宋体"/>
            <charset val="134"/>
          </rPr>
          <t xml:space="preserve">
文档页数仅统计正文的页数即可</t>
        </r>
      </text>
    </comment>
    <comment ref="A504" authorId="0">
      <text>
        <r>
          <rPr>
            <b/>
            <sz val="9"/>
            <rFont val="宋体"/>
            <charset val="134"/>
          </rPr>
          <t>gta:</t>
        </r>
        <r>
          <rPr>
            <sz val="9"/>
            <rFont val="宋体"/>
            <charset val="134"/>
          </rPr>
          <t xml:space="preserve">
每组织一次评审就记为一次，不区分正式评审和非正式评审</t>
        </r>
      </text>
    </comment>
    <comment ref="J504" authorId="0">
      <text>
        <r>
          <rPr>
            <b/>
            <sz val="9"/>
            <rFont val="宋体"/>
            <charset val="134"/>
          </rPr>
          <t>gta:</t>
        </r>
        <r>
          <rPr>
            <sz val="9"/>
            <rFont val="宋体"/>
            <charset val="134"/>
          </rPr>
          <t xml:space="preserve">
文档页数仅统计正文的页数即可</t>
        </r>
      </text>
    </comment>
    <comment ref="A530" authorId="0">
      <text>
        <r>
          <rPr>
            <b/>
            <sz val="9"/>
            <rFont val="宋体"/>
            <charset val="134"/>
          </rPr>
          <t>gta:</t>
        </r>
        <r>
          <rPr>
            <sz val="9"/>
            <rFont val="宋体"/>
            <charset val="134"/>
          </rPr>
          <t xml:space="preserve">
每组织一次评审就记为一次，不区分正式评审和非正式评审</t>
        </r>
      </text>
    </comment>
    <comment ref="J530" authorId="0">
      <text>
        <r>
          <rPr>
            <b/>
            <sz val="9"/>
            <rFont val="宋体"/>
            <charset val="134"/>
          </rPr>
          <t>gta:</t>
        </r>
        <r>
          <rPr>
            <sz val="9"/>
            <rFont val="宋体"/>
            <charset val="134"/>
          </rPr>
          <t xml:space="preserve">
文档页数仅统计正文的页数即可</t>
        </r>
      </text>
    </comment>
    <comment ref="A557" authorId="0">
      <text>
        <r>
          <rPr>
            <b/>
            <sz val="9"/>
            <rFont val="宋体"/>
            <charset val="134"/>
          </rPr>
          <t>gta:</t>
        </r>
        <r>
          <rPr>
            <sz val="9"/>
            <rFont val="宋体"/>
            <charset val="134"/>
          </rPr>
          <t xml:space="preserve">
每组织一次评审就记为一次，不区分正式评审和非正式评审</t>
        </r>
      </text>
    </comment>
    <comment ref="A582" authorId="0">
      <text>
        <r>
          <rPr>
            <b/>
            <sz val="9"/>
            <rFont val="宋体"/>
            <charset val="134"/>
          </rPr>
          <t>gta:</t>
        </r>
        <r>
          <rPr>
            <sz val="9"/>
            <rFont val="宋体"/>
            <charset val="134"/>
          </rPr>
          <t xml:space="preserve">
每组织一次走查就记为一次</t>
        </r>
      </text>
    </comment>
  </commentList>
</comments>
</file>

<file path=xl/comments11.xml><?xml version="1.0" encoding="utf-8"?>
<comments xmlns="http://schemas.openxmlformats.org/spreadsheetml/2006/main">
  <authors>
    <author>Windows 用户</author>
    <author>gta</author>
  </authors>
  <commentList>
    <comment ref="I19" authorId="0">
      <text>
        <r>
          <rPr>
            <b/>
            <sz val="9"/>
            <rFont val="宋体"/>
            <charset val="134"/>
          </rPr>
          <t>EPG:</t>
        </r>
        <r>
          <rPr>
            <sz val="9"/>
            <rFont val="宋体"/>
            <charset val="134"/>
          </rPr>
          <t xml:space="preserve">
此处取测试报告中遗留缺陷数</t>
        </r>
      </text>
    </comment>
    <comment ref="K19" authorId="1">
      <text>
        <r>
          <rPr>
            <b/>
            <sz val="9"/>
            <rFont val="宋体"/>
            <charset val="134"/>
          </rPr>
          <t>gta:</t>
        </r>
        <r>
          <rPr>
            <sz val="9"/>
            <rFont val="宋体"/>
            <charset val="134"/>
          </rPr>
          <t xml:space="preserve">
遗留缺陷率</t>
        </r>
      </text>
    </comment>
    <comment ref="G36" authorId="1">
      <text>
        <r>
          <rPr>
            <b/>
            <sz val="9"/>
            <rFont val="宋体"/>
            <charset val="134"/>
          </rPr>
          <t>gta:</t>
        </r>
        <r>
          <rPr>
            <sz val="9"/>
            <rFont val="宋体"/>
            <charset val="134"/>
          </rPr>
          <t xml:space="preserve">
测试轮次定义：成功转测试的轮次，包括回归测试</t>
        </r>
      </text>
    </comment>
    <comment ref="I101" authorId="0">
      <text>
        <r>
          <rPr>
            <b/>
            <sz val="9"/>
            <rFont val="宋体"/>
            <charset val="134"/>
          </rPr>
          <t>EPG:</t>
        </r>
        <r>
          <rPr>
            <sz val="9"/>
            <rFont val="宋体"/>
            <charset val="134"/>
          </rPr>
          <t xml:space="preserve">
此处取测试报告中遗留缺陷数</t>
        </r>
      </text>
    </comment>
    <comment ref="K101" authorId="1">
      <text>
        <r>
          <rPr>
            <b/>
            <sz val="9"/>
            <rFont val="宋体"/>
            <charset val="134"/>
          </rPr>
          <t>gta:</t>
        </r>
        <r>
          <rPr>
            <sz val="9"/>
            <rFont val="宋体"/>
            <charset val="134"/>
          </rPr>
          <t xml:space="preserve">
遗留缺陷率</t>
        </r>
      </text>
    </comment>
    <comment ref="G118" authorId="1">
      <text>
        <r>
          <rPr>
            <b/>
            <sz val="9"/>
            <rFont val="宋体"/>
            <charset val="134"/>
          </rPr>
          <t>gta:</t>
        </r>
        <r>
          <rPr>
            <sz val="9"/>
            <rFont val="宋体"/>
            <charset val="134"/>
          </rPr>
          <t xml:space="preserve">
测试轮次定义：成功转测试的轮次，包括回归测试</t>
        </r>
      </text>
    </comment>
    <comment ref="I185" authorId="0">
      <text>
        <r>
          <rPr>
            <b/>
            <sz val="9"/>
            <rFont val="宋体"/>
            <charset val="134"/>
          </rPr>
          <t>EPG:</t>
        </r>
        <r>
          <rPr>
            <sz val="9"/>
            <rFont val="宋体"/>
            <charset val="134"/>
          </rPr>
          <t xml:space="preserve">
此处取测试报告中遗留缺陷数</t>
        </r>
      </text>
    </comment>
    <comment ref="K185" authorId="1">
      <text>
        <r>
          <rPr>
            <b/>
            <sz val="9"/>
            <rFont val="宋体"/>
            <charset val="134"/>
          </rPr>
          <t>gta:</t>
        </r>
        <r>
          <rPr>
            <sz val="9"/>
            <rFont val="宋体"/>
            <charset val="134"/>
          </rPr>
          <t xml:space="preserve">
遗留缺陷率</t>
        </r>
      </text>
    </comment>
    <comment ref="G202" authorId="1">
      <text>
        <r>
          <rPr>
            <b/>
            <sz val="9"/>
            <rFont val="宋体"/>
            <charset val="134"/>
          </rPr>
          <t>gta:</t>
        </r>
        <r>
          <rPr>
            <sz val="9"/>
            <rFont val="宋体"/>
            <charset val="134"/>
          </rPr>
          <t xml:space="preserve">
测试轮次定义：成功转测试的轮次，包括回归测试</t>
        </r>
      </text>
    </comment>
    <comment ref="I268" authorId="0">
      <text>
        <r>
          <rPr>
            <b/>
            <sz val="9"/>
            <rFont val="宋体"/>
            <charset val="134"/>
          </rPr>
          <t>EPG:</t>
        </r>
        <r>
          <rPr>
            <sz val="9"/>
            <rFont val="宋体"/>
            <charset val="134"/>
          </rPr>
          <t xml:space="preserve">
此处取测试报告中遗留缺陷数</t>
        </r>
      </text>
    </comment>
    <comment ref="K268" authorId="1">
      <text>
        <r>
          <rPr>
            <b/>
            <sz val="9"/>
            <rFont val="宋体"/>
            <charset val="134"/>
          </rPr>
          <t>gta:</t>
        </r>
        <r>
          <rPr>
            <sz val="9"/>
            <rFont val="宋体"/>
            <charset val="134"/>
          </rPr>
          <t xml:space="preserve">
遗留缺陷率</t>
        </r>
      </text>
    </comment>
    <comment ref="G285" authorId="1">
      <text>
        <r>
          <rPr>
            <b/>
            <sz val="9"/>
            <rFont val="宋体"/>
            <charset val="134"/>
          </rPr>
          <t>gta:</t>
        </r>
        <r>
          <rPr>
            <sz val="9"/>
            <rFont val="宋体"/>
            <charset val="134"/>
          </rPr>
          <t xml:space="preserve">
测试轮次定义：成功转测试的轮次，包括回归测试</t>
        </r>
      </text>
    </comment>
  </commentList>
</comments>
</file>

<file path=xl/comments12.xml><?xml version="1.0" encoding="utf-8"?>
<comments xmlns="http://schemas.openxmlformats.org/spreadsheetml/2006/main">
  <authors>
    <author>作者</author>
  </authors>
  <commentList>
    <comment ref="Q3" authorId="0">
      <text>
        <r>
          <rPr>
            <b/>
            <sz val="9"/>
            <rFont val="宋体"/>
            <charset val="134"/>
          </rPr>
          <t>其他角色或管理员</t>
        </r>
      </text>
    </comment>
    <comment ref="F76" authorId="0">
      <text>
        <r>
          <rPr>
            <sz val="9"/>
            <rFont val="宋体"/>
            <charset val="134"/>
          </rPr>
          <t xml:space="preserve">从A项目调到B项目
</t>
        </r>
      </text>
    </comment>
  </commentList>
</comments>
</file>

<file path=xl/sharedStrings.xml><?xml version="1.0" encoding="utf-8"?>
<sst xmlns="http://schemas.openxmlformats.org/spreadsheetml/2006/main" count="863">
  <si>
    <t>Crystal Ball Data</t>
  </si>
  <si>
    <t>Workbook Variables</t>
  </si>
  <si>
    <t>Last Var Column</t>
  </si>
  <si>
    <t xml:space="preserve">    Name:</t>
  </si>
  <si>
    <t xml:space="preserve">    Value:</t>
  </si>
  <si>
    <t>Worksheet Data</t>
  </si>
  <si>
    <t>Last Data Column Used</t>
  </si>
  <si>
    <t>Sheet Ref</t>
  </si>
  <si>
    <t>Sheet Guid</t>
  </si>
  <si>
    <t>420f52c2-b41f-4b27-a52a-cc0b293d1261</t>
  </si>
  <si>
    <t>22ba3f85-7e8f-4130-9ce2-8ab8e9a150b6</t>
  </si>
  <si>
    <t>39a090d0-0b29-4b82-a842-65d2caced056</t>
  </si>
  <si>
    <t>Deleted sheet count</t>
  </si>
  <si>
    <t>Last row used</t>
  </si>
  <si>
    <t>Data blocks</t>
  </si>
  <si>
    <t>CB_Block_0</t>
  </si>
  <si>
    <t>CB_Block_7.0.0.0:2</t>
  </si>
  <si>
    <t>㜸〱敤㕣㕢㙣ㅣ㔷ㄹ摥㌳摥㔹敦慣敤搸㡤搳㑢㑡㘹㑤㑢㕢愸㠳ㅢ愷つ愵㐰㌰扥㌴㤷攲挴㙥散愴㈰㉥㥢昱敥㤹㜸㥡㥤ㄹ㜷㘶搶㠹㑢愵㔶㔰㙥㠲㠲搴〲愲㔰㉥慡㄰ㄲ㉦㕣㕥戸扦㈰㈱㠱㔰㤱㤰㠰〷㈴㠴ち㐲昰〰㐲ㄱ扣㈰㠱〴摦㜷㘶㘶㜷㜶搷㍢㜶户㉤戸挸愷摤摦㘷捥㙤捥㌹晦昵晣晦㤹攴㐴㉥㤷晢㌷ㄲ晦㌲攵㤹戹㙥㘹㈳〸愵㌳㌱敢搵㙡戲ㄲ摡㥥ㅢ㑣㑣晢扥戹㌱㙦〷㘱ㅦㅡㄴ捡㌶敡〳扤ㅣ搸て挹㘲㜹㕤晡〱ㅡ改戹㕣戱㘸㘸愸攷㈰晣㡤㈴て〶㝢つ收〱㤶㘷㘷ㄶ㔶ㅥ挰愸㑢愱攷换〳㘳㘷愳扥㐷㈶㈷㈷㈶㈷敥㥣㍣㜸㜰攲攰㠱戱搹㝡㉤慣晢昲㠸㉢敢愱㙦搶づ㡣㉤搶㔷㙡㜶攵㙤㜲㘳搹扢㈰摤㈳㜲攵攰ㅤ㉢收㥤㙦㤸扣昳昰㘱敢敥扢摦㌰㠸㔷攷㑥捤捥㉣晡搲ち㕥愴㌱㜵㑥昹捥㌹㔹戱戹㌶㈹㝤摢㍤㍦㌱㍢㠳晦㔳昳挷搳㕤ㄳ㑢慢㔲㠶㝣戵昴愵㕢㤱㠱㠱㡥〳捥㜴㄰搴㥤㌵㙥㥥攱ㅣ挵㔲㉢㘶㄰敡捥慣慣搵っ㈷ㄹ戵攸㉣㘰敦㙡收挶愰戳㈴摤挰づ敤㜵㍢摣㈸㌸换ㄸ愸㍡攴㥣〹攴㘹搳㍤㉦㑦㤹㡥搴㥤㘳㜵扢㥡㡦㔲慥敦搶㘴㠸昴挴搴昲㈷愶〳㘷㜶搵昴搵㡣〲㙥㑣㐶摢愳㝥愵戵敤㑤摤挷攵搴搵ㅢ㌸收捤摤摢愱收慣改㌷㕡㡥㜷㙦ㄹ㉦扥㜵〶户㜷㙦㥦摡愳搶㍥慦敤摥㐷㙤㘵㙢㙢㌱㄰搳户摡㔱㉣挶㈸㄰昴ㄳㄴ〹㠸㐰愳㐴㌰㐰㌰〸㈰昲㝦〷㤷愴㍢戲㑡㉢㥢㕡㜹㐵㉢㔷戴㜲㔵㉢㑢慤㙣㘹攵昳㕡㜹㔵㉢摢㕡昹〱慤㝣〱㙤㤲㔴散敦搷攲昴攴㌵扦㤸晡攷㙦㙦㤹晦摡㝢晥㌶戹㜲攳攳㥦ㄹ摣㠳㐶昷挵㤳㥡昳捤㡢㈰戵㈶ㄵㅦ㥡〰㑦㙣㠷㉢挰ㄴ搶㘱敢㉥㙢㜲戲㝡昸愰㜹㠷愹㜳㔹ㄹ挸㙦㈱㤴ㄱ戴ㅤ戴敥户摤慡㜷㔱攱敥扡ㄹ㌳㤰捤㡤ㅢ㡦敢㘶扣扡㕢つ㕥戱㜹攵㔲㘸㠶昲摡昶扡收㈰ㅤ摤㤶挰㔶㌲㔰敦扢扥扤摢㔹戳㔶㤷搳㤷散愸晡㤵㙤搵捥愲敦慤㜴慦㍤敡换〷ㅢ戵ㅤ㌳㥡㠶㔰㕢㔷㘳㜷慣㌲慡㡡收㌵㌶扢敡〵搲㔵搳ㅢ㜷ㄶ敤捡〵改㉦㐹㡡㐴㔹㔵㑢扤㤲㔵㌱搷㡦㉦戸㔸㈸戸戵㝡㘳扡搴扡攷㔲〸㘶㤶㔵捣㜷㑤晡攱挶戲戹㔲㤳㔷戵㌴㠹摥㠹㡡晤㉤挵㐷扤㑡㍤㤸昵摣搰昷㙡慤㌵搳搵㜵ㄳ㤲愶㝡搲慢捡㝣㍥愷㠴〲〴㙥㕦㥦㄰戹摢扡昳㠲㐲㐴ち挵㘴攴㙢㕡挹㙥攲㌴㔶㠷㔵搴㈴㘹㔲㝢昵ㄶ㠳㜱扥㑡挶㘴㜰㘰㙡㑤搴ㅦ㝣改㙢戶ㄸ戶㠱戹㤷戶戱愶㡤挶慢扦㘷㕤扡攱㜱搳慤搶愴㥦愹晤〴㘷㘴っ〳攸㤷㈱㄰扡敥ㅥ㔵㥤戸㈴㌶昴㡢㜶㌵㕣㉤慣㑡晢晣㙡㠸㌲㘸挸㘲㤱㕢摢㤱㡣㉢㔰㘴散㈵ㄸ〵㈸㤵㜲㠵㝤㙣㔴㈸㈱攵㜴㑡愷っ㕥㙥ㄱ攴散搷挲换㠳搶㔱扢ㄶ捡㐸㈸て㕢挰㐸愴搵ㄴ晡㠶㐸愲扥㔹㠹ㄴ挶㍥㙢ㄶ㔴㙡摡㙥戸搱攴摢づ㉥㠹㠸㘸㔷ㄶ散㌸㔹㐰㔱搰㉡て㌲㜸つ㐴搳㈶つ戲ㅢ愷㠸㠸㙣㤰愱搹㌱㜲㉢㤱戱㝤㠶㡣㐰晢㌴ㄱ戲昵挱敥㌲㠲挴摥㐹愴散搴㤵ㅦ㜷愵搹㘶戶㝣㈴捤慥挴挶ㄹ㔷ㄱ㕣㑤㜰つ挱㝥〰昱㐷㐸㌸㑡㌹攴㕢㤳昱ち㍣ㅢ搷ㄱ扣ㄲ〰昲挹愰捣㠹㐵ㄵ㙤愸敤搸㤱㙣㌷〴㍢㔹ㄹ挵㤱㈸愲㘵摣戰㌳㠷ㅣ㠵攸搸敡摣ㄹ扡㌶慦㜴散㉤摤㘹㌳扤ㅣ㔲㘴㐶搳昴㕡户㘸㥡摥〸㌶敤㔱㙦摤㠰慥挶ㄸ挱慢〰㑡挶㡤㠴㔰㉥㌴㜸户㘷搱搳愴㝣㔹㤸㐵㤱㌱搴愳㠲㡦〹㤹㐷㠰っ㈱搷㜱㝣搹戵愱㘹づ㡥㕢㉦㝢ㅢ晡㐰㜷晥㡥㤱摥愶㌷㜷昵づ晤㐵捦搳㡡扥〹散㈵㝥搳㔵挷摣㡣㙡攳ㄶ㠲㕢〱摡㜴っ㑦摦捦搷㔳愰捣㘲㈷㠵戹扤昴扡㈸㉢㜷㜹㘳㑤㉡つ㌴㘸㉤㥢晥㜹ㄹ挲㠳㜱㘲づ戶戰攷晢戲㠶㐳㙤㔵ㄵ昰晣㜲㜵㙢㘱㜰搴昷ㅣ㤶敦摡挸挱换㐲㌱攴昳㕡㕦慥捤㐶捥戰㌵㔳㍥愷ㄴ攵㔰〷摦搱㕤㐸愴㍡戵㤲ㄷ晢㘵㥦㉦㜷㈵㐹て㤲攴戵搸㔶攳㌶〰㐸〹昱慢慥ㄲ攵〰㥢扤㑥㌵㙢戵㔸改攱换㌸㥤戴昹㄰㍢攴挸㐰攴戰㥤㠱晦㈰ㄸ㜲㤶㙣愷㈱㉣〶㥣㐵改㔷攰㕢戰㙢戲ㄴ戹㘵㈹㙡㜶㘵挵换㐴㔶昴昵㜵㥣愷㌳晣㙢㡡㑥摡愴㐴㈶户㘷㔶㘶㥣挵㥢㐴㐵㌷㈴㠵㑡㠶㙢愸㈱㠱㐸㜹㙣扢㉢㘲㝡㄰㌱户㘳攳㡣㠳〴㤳〴㠷〰昴㥦㐱搲㙣㜷攳ㄹづ敢㕦愷㑢扢㕣捥ㄵ㠹〶攵㈲㝣戶慢戰㍡捣搷扣㥥攰㉥㠰㌶昳㠷づ挸っ㐲㔴㈸㑦ㄱ愲ち㘳㔸㘷㙤㜹㤱㌴戰挷㐲㘰㘹戶ㅥ㠴㥥挳挸搲㤰㌵攷㥤昲挲㌹㍢㔸㐳㈴㙡搴㡡㌳昷慦㑡ㄷ搴攵挳昶㘹㉢昳搶搶㘴搵戰㤶扣㍡㐴摢㠹戹㥤㜰㌰挷㜶挰㤶㔴㘷㜳㑤㈰昵㜶㍥挶㄰〲㍢慤晣慤昴挶㙥换晢捤㐳摦㜰㜳㐷㤷敤戰㈶〷慣㠸改㤸㉦㕡搸㐵㐴づ慡晤搶昲慡㉦攵摣㤰㜵捣户慢㌵摢㤵㐴〶㙣㑣〶敢收攵㜹㐴〹ㄶ㍤挶〰㍤㜷挸㕡昶㑤㌷㔸㌳ㄹ㔰摣搸摢昲愴挲㈲扡㌵㘳扢〱㕥愳戰挸晣戰戵戴敡㕤㐴挴戶敥戸挷捣戵㘰㐷㘰㠵㐴ㅦ㈵㠵ㅡ愱〹㑤ㄳ㐵慤搸㉢㝥㜸㈰捦攵挸㝢㜹〲㠵慢㥣㑥㥦㜹㠶昶愶㕤ㅦ挷㘸㘸愷㜳㑥㠳㠸ㅥ㌵ち晢㌲愵㌰㌹搵戸㥢㝤摥〸㜰敦戱㌳㈷㥡㤱戹ㄷㄴ戳搶改攵捦㤰昱㡡㉣ㅡ㠱㄰晡攸昶㐴愴挲㌲㔲づ㌸㄰ㄸ攷㔳㍢昹㤵㉣搵㠶搴户愷㤹㍤㡡㐸搲愰㌵㙦慥挸ㅡ攲搱㡥ㄹ敥㠹ㅥ㘸挶㍡㘶㉤㠸敢㘶㍤挷㌱㐹㕡㈴换愵㡡㐹ち㥥慥㠷摥㐹摢㌵㉣〰㐵㝦㜱㤱㜹〹㐵收㈵㔵㌴㘸㥤㘶㘸㔰攵㌹㤶㜷摥昴敤㜰搵戱㉢㐵㍥㌰㝣户㈳㘸ㄲ㑣㑥挹㥢愴㐴㘶㡣戵㔹昳㘷㘰戲〵ㄳ㐰昷〴攴㈸户㡥攸〷攵㙡愲㠰晦㐴㡦㡥㈵〸ㄸ攵㈹㌵摥㡣搱㜴㜵㍢〲㈲㐷愵换挹ㅤ㡣换㡦愰㈴ㄲ㐲挴㝡〶㠹挰㉢㤸ㄲ昲㜴㜱ㄷ慣㌳慥ㅤ〲㝢挴搸㔱㍢㥣ぢ㠰㜲〰㘴搵昱昶㕡㠵搵㔴愷昱㠶㔶戸愱戳慡㐵㑤㕣摦㔹㥦搶ㅢ慦摥愴㍡搲㈸㈹㐵戲㔵㈳愵㔹㌶㤹攳㑥㔲㌵㐲㈹敥㐴摢㠸㉣户㘹㜳摦㈹㐵㕥㠰㘲㔲㌴㤳㌳摥愲〸〵㠱摥㔸㐷搱㘷㥦㑤ㅥ愹㠸つ㙤㠰ㄲ昵㔴㔴㌶ㄴ㠷〴㑦攰摡㐹㔵㤶攲㈷昰昷㥥㌸扢㔰て㕢㙡捣㑢愳㜱捤㜴慤戶攰挲㑡愸㤸㝥㜵㠷戰㌴搶ㄶ㘹ㄸ挵㥤扤㙡晦㘸㝢㔳㡣ㄸ戳㈱挳㈲ㄹ㝥㘰戰㈱㤸㉢ㄵ㔱愵㜵㌶挴慤㙥ㄴㄷ昹㜴㔲㥡慥挲挰㔲㔸㥤㤳敢捡っ㙢㕡昲愳慡㐳攳戴愸攴愸㘱㑤慦〴㔰改㈱攵㜸㥣㔳っ㙥㔸愷改㤶挲㈵〶㠸摤㌸户㔸〹ㄱ摡㙤っ挰㤳挱捥挱づ㜶㈴ち㥤搰㍡愳〴㉤㘴㄰㙥敢㈲挸㍢㍤㘲ㄴ㠲搴㔲改慦㔳攲戳㑦㌱㝤㜵㉡㤷㘴㘲㈶㘲戸㉢挳㝡〰㜲搳㤱㐹㜲搱㘸ㄲ㌰㡦㈴㥢ㄲ㕡㠳㐹ㄹ㑤㡣㈱㥡㝣㝥㠸㕢㍣㡣㘵つ㤳㙤㙡戸攷ㄶ摡搰愶戵㡤㍤搶〹户㔲慢㔷愵㔲挵㠹慣㔶ㅡ㜹㐷攰㑢㕤〱㡣戸㈹㘳㕦攲㑤㌹㠱愳ㄴ㤷㑣㈴昵㙥㜷ㅢ㔳攸慥㠴ㅣ挶㠸㔴ㅦ〳㤰ㄹ㙥㌹ㄵ㄰敢戸愷㐰晢㜰㙦昳〲㠳扡㍣〷㤱搶㔱㐴㔹㌶㡦晢㜸㡤㈸戲攲戶㔴戳㜹㙦摥愳捤㥥㉡㍡㙥㐷㐵㍢〲㐷㔸㘷㈴昰ち〵ㄸ㈳㍤㜲〷〷挹㕤㡥愳扢㤷ㅦ㔱㡦戹换㐰㠵挲㠰㘰㡣㤷愷愰ㅣ㜶ㄵ㡣㐴㠳㕢㙢㕡摤㠲搱㕦㕡摥挶㌴㠰㘰ㄸ㤸〶㉤㕡㐶〶捥㉣昲㕢ㅢ㌸㌷愰㔵㐶㠴㌴ㅤ㑣㘵㡣㜲ㄴづ㝢㈰つ摣挴㠳昴戲〷㈵ㄴ敥㔳ㄷ挳㤲扢㠹攳づ㡥㐰㥥㝦㔵㕢攱愲ㄹ攲晡㡢扢扦慤㜸扡㕡愵戹ぢ晦摣㡥挰㉡慥㙥㐴收攸扥戶㑢㔹㙡㑤戴敦㙥㙡慢㠸㉦ぢㅥ㥡㥢㌸㙥㠶㤵搵愵㜰㈳扡戸搵㉢㐹攸㍦㠰㍦㘲搳户搳㘶捥扢扣㠸扡捥扤㉦㕤㜰扤㡢慥㥡㤷ㅥ昰搶ㅦ㈸〴㔷㈸晢㌹挹㔲敥摦昸㑦㈵㉤愷㝦ㅦ㈳㙥㘷摡ㅣ愰改㈰攱㌸㉡㐵搲㘰っ昹っ㍡㠱敤摥戸㌵㐰㍡搹搷㐶㈷㑡㄰散ㄲ㡡㝢晥㐵㈳ㄴ昱㍤愰㤵挴ㄲㅤ挹戱攷㕦〱敢㡢敦愲㠴〸挷㜳㉣㐶昴㔷㈱㤷㠱㍡㈵挸攳㉢ㅥ扣㄰昲晦㠳愵㠴㥢㌷㘵愷晦〲㌳㡢敦戴愳攸㝡愲攸摢ㅤ㈸ㄲ扣〶愲昸昷㕥㘴㤲愴㌳㍣晢扣〲攱㕣搳敥〱昴㈵扦昰晢㍦㍣㠰捥挷挴愱㙣㌴㠴摡㙥挶㜳挳㐴攸敢㌰ㄱㄸ扣㔷㈶挲㐹㘴〴愳昸㤱㠹㄰晢㐰ㄶ㔰戰戵㠹挰搸㕥㠶㈱㤸ち戵愶摣ㅡ㍣㠱㕤攵搰㍦㜶ㅣㄷ㙦㘵㠰㜸㍥㤴㔶㌰ぢ㡦搴搵㥤挵㡢愶㙦㍡晢㔵昹㌱㕦㐲㤹昹换戸挹慤扡戰挷戵㥢搶愸㑥㥢昸㉡ㄲ㉦晢慥㍦㘵㝢昷搷㠱愹㈸㐵敥㝢㔱ㄴ㠵ㄷ攰㈹ㄱ㍣㌷攴摥扢敦㙢挷㝥昷搰㘳㔳扣慤ㄶ搳慡㝥ㅢ昲扤㠴散㘹㑦㈰愸㥢扡㈸㜲㈵㍦捣㌹㠹㑦㤴散戵㥡㥣㌱㝤㘵〵〵㠶㤳㘴㈳挲㑢ㄱ㘶㐴㝣㍢挱挴挴扤㠷挸挴㥣㘸㜳㜷慡て㥢㤴㡢㜰㈲㌵㜱攵搳㑢挲㠶愲慢㈲敢搱摡搴扦〱㔵昴㍣㈷搲㙡㈵昲搴挹㈴挴搷摢㜵摤㘱敡扡攸㈰挳戰㝦㈲愵㄰㝦㈰㠵愴て㌲扣㄰愰愴搴㘹㘴昴摢〱㌲㈲㙢敤㈱㕥晡〳㜶㠵㠰㙣㕣晡敢昱㈳ㄶ散㈲戰㤸昸攲㝢㍤搱搲ㄶ㑤㔴ㄳ㐳戵捡愶㔹㐲㐶ㅤ㕥㔸㌰㤹㤴㉥㈳㤳㈴晤㄰㜲摢㜶㐷昱㈵㐳㑥ㄴ㜸㡢ㄸ㕢㜷攸㙢㉢㌹昷戸㜵摣晣㠰㥥㈹㈸㠵攱敥㘵㌱づ愴㉡㐶ㄷ㌵㉤㐵㐵㠴挳㔱戶搱㘹㈰慥㠲捥㜲昷攳㔴㡡攰ㅦ扦ㄴ㘲晤㜸㜳攸㉢摢㙢愸攳摣㝥㉣㤰㍦搸㕦搷㘷㌰㌶摥㑡㡥㠱㠴摤㔶慢㘲㜴㍤晣っ扡㜰搱㌹㘱㌴戳敡㔹ㅣ挶㥦㠴戳晡戴づ晤捦攸戵攲慣戳散捤㌰㜶㡢晥㝦㍢ち戶搴晦㠲戱㌷㠵挸㜷挴ㄹ㍥攸㡣㥦㙣ㄹ戲攱㡥挰戳㡤攰㡤㍡ㄸㅢ㉡换㤰㜷㤴㕢挲挷慢㔱戵㤲攰昰㝢攵摢慦㐶㌴晡搲戶ㅤ攸㉡〰ㄹㅢ搲扦〲ㄱ搴戵㝦慢摣㑡㑥户㠵㜷愲攳扥㤳㜶挵昷〲捦ち挷㤶㄰昴ㅤ攳户㘷ㄶ㙣㥥㘹昱攵㜶愱㜶ㄳ㜶㘲昰摤攸㜳㙡〱〲晢㤴っ㕦慣㔸㈴㈳ぢ摢㡢㘴昰㍢愴㤱㔴㜸㠹摡㈱戸挲扡慦㙥搶昰改敡〲㝣㥤㈱㡢㜶㠴戲㡢㍣捥敤㌷㌴戸㜵戸愳昵㌶昸㠳㘴㙤〲挱㌱戵㠴㜷扥㥢晢摡扥〷慤㙤攳戵〵㙣搹㥢捦慤愴㍦〳㥣㙥敦㉤慤㈴挳㜷昲㡢攴㤲㔱㈶挴愵晤㈹晣摤扥㠳㤶愳㡤㠲捥攳て扡改〸ㅢ慦挱㝤戶㡤攸昷㌹㜴ㄵ搳〴昸ㄹ㘶㥣攱㠳愰㤷㡦慣㈸扥㠰㘵㤱〱㤰捦ㄵ㉡〰摤愹晡改捤愸㝡攴㕥昶㐴ㄲ㍣㘳㤰ㅣ㑢攲㜳㘸挸敤㡡㤶つ㤶攰戲㠵㍡㑢㈰㙦㈴㍤㤰捦〹㥥㈵搴㐴㍥㠳づ㡤㠹搸㈸敤㍥㤱㑦㙦㌶ㄱ㐱㉢㐰㉤㌴㍤晥㐸愲㐵㡣ㅡ慡つ㠷挰㈵昰〰㐶ㄲ㘵㌲㑣昹㐸愱㔳㠸㘲っ摦㈵㡡㤰㝥ㅥ晦㝤㙥敡㘷捦㌲晤㘵㑡㈸㠹㠸慡搶㔵㔰㈲慡㔵㝣㈲扤ちㅦ愵摤㔷昱昸㘶慢ㄸ愱戰攴㑣㡣㄰㘰愸㑦㤴昱㐷慤慡㡥っ㌷㤴㍦㜱㡥〰扦㤶㔹㡣㤸㈸㔱㝤㉦㈲㠳扥摣㜹搵敡ㄲ㌲㐹㕦㥤ㅢ㤱昱㤵㡦㌲㤴㜸㈳㤲㑥㥤㐲攴㤵㉤㐴敡戱攸挴敥搸ㅤ㈱㈴戰㈴㝥㌶摢㔵戶ㄷ㝡っ昵㡢て㈵㠸㌹㝥㍣昹㠴㑡㡢㠳㑦㈰㡣挸㌴㈵㈱㜱㈳挵〷㤳挶摦晣㔶搳㜷㡡ち㈴㔰㑦搴㤸〴愷ㅡ㝦㈰㘹㝣〸㥦㘷愹㌶㌹㕥㈵㘰㝡㉥㘹㑣挲㔴㡤ㅦ㑢ㅡ晦昹搰晥㐶攳㠴づ愳㤱㜵ㄲ㐹㠶搱慢㡥〱愹㑦戵㠷搱㕣户愸㐸〷慣愸㤸㈲㔴挵㤰㙢㑡㤵づ攲㔶㠸㡦㡦愵攷㜱挹〹㜷㐱㈰㙤愳㝦㌳攱〴㉥㍦捤㤹愱㠹㙦愱搷ㄱ㜵昶つ昵挴捥〵㙢挱㐷㐱扦㜵㈲挰攱慡扡愳㐸〴㜶㐱㍥摡摦㉤扣昳ㄹ㌶㘴㜳㍦㤲㘸㤹挶换㈴扤㘹ㄱㄵ㘱挹㡢昷㈵㤸捤㍤摡愴ㄹ攳ㄱ㈰〷㘲ㄲ㤰ㄹ攳㔱挰㈸㈲戳㡦〵㈳攴㝦挵摣敦㘳挵晢〹ㅥ〳㈸〹㌲㍢改愰昰〱㠰攱攴㕦慣ㄸ㕢㔷㡥ㄳ㑤㍣㤴扣㉣㑤㐶挶㠷搸攱挳〰㝤昰攳㡡㤸〸㑢挶㐷㔰㤲㝥㈹〵㠷㝡改㐷㔹昱㌱㠲挷〱㑡㍡㈷扢敤㕤攳㥡㝡㔴㘱ㅦ㐷㔷昱㈸〱㝥挶㈷攲っㅦ㜴敥挳㥢扡ㅢ捤㍣ㄳ㈷㕦昸㈳收搹昲㈹晦㍤昸㌴㝦㠳㡢敥挳扦㑣愲㉢ぢ㍦慦扤戱户戱挸〴㌴捥搵㙦つ㥢晤〲挶攱扡㥡愱ㄴ㡥㐸愵㔲搴ち㠲昸收㠲㠵㠷㌷昰㉤㐷㔴㠵㄰愴〱㔵攱挶ㄵ㔳㈸㌰㥥㘴㔳攲㤸㜸㌲㍥挹㈷愲㔶㙤攲愷攲っㅦ〴昱慡扡㍦㄰㜷㑦㕥㐸㕣慢ち扢敤㠵挴扦慡㔸㑤扦昰㈹づ愶㤰㠵㑣慢㔶㈲搲ㄴつ㝤づ㤹愱扥㘱捥敤㝥晣戴㑢愲㜲慥㝡敥摣㍦㠶昳㘳搷收摦晥搶挱愷㥥晢改敦㥦昸攵扢㡥晣改㕦㑦㍦晤换㍦㍣昱散扦㝥戰㜲攴挷捦㍣昳愳㝢扦昸散敦昷㕡㕦搲扥昵㡦昹㉦㍤㍣㜹攱攱〷慤㌳户ㅤ㝢昸ㅤて摣㌷戹㜸挵㜸㕦㕦㝦晦慤愳㍦戹收㌵㈳㡦㍥昸ㅤ昱挳㕦㕦敤ち戵㕣扣愰㜵ㅡ㕣戶㥡挶攷㤱挱㌴㌸攳㤷㜴ㅡ㕣慥摡愸㤵㜸愳㘶㔰㔰㠴㜳㠳ㄳ㔰ㄵ㘶㙢挵挰㝦〰㘴扥戳㘵</t>
  </si>
  <si>
    <t>㜸〱敤㝤〹㜸㕢挵搵戶㐶戶慥㍤㡡ㅤ㉢ぢ㙢㔸っ㠴㌵攰㑦戲㉣㉦㐰敡㌸捥ち搹ㅤ〸㤴挵㘸戹㑡㐴㉣㉢㤱攴㉣㉤㑢㠰戰㠴㤶〲〱捡ㄶ㜶㘸ち㤴戰㤷戵愵㔰戶戰戵㔰昸㈸㔰㈸㑢ㅣ挸搷〲愱㠵ㄶ㈸㉤晦晢捥扤㔷扡㤲慥㥣愵改晦攷㝦㥥敦ㄲㅦ捤㥣㜳㘶㍢攷捣摣㌳换ㅤ㕣挲攵㜲㝤㡢㠷扦㝣㉡ㄹ搸慤㙢㘹㈶慢㈷ㅢ㍡㔳㍤㍤㝡㌴㥢㐸昵㘶ㅡ㍡搲改昰搲㈹㠹㑣戶〲っ㕡㜷〲昴㡣愷㍢㤳昸㥥㕥摤扤㐸㑦㘷挰攴㜱戹慡慢愵ㅢ昴ㅡ昳捦㘷㐵㈴㔳挹㑡〲㜰戹愴㐶㔰㐵㔰㑤㈰〹扣〴㠳〸㤸㕣搶ㄲっ〶愸愹〳㤸摤㌹㜶㝡攴㘴㔴愶㉢㥢㑡敢〷搷ㅦ㙤ㄴ㌹㍡㄰㘸〸㌴㌴〵晣晥〶晦挱昵㥤㝤㍤搹扥戴㍥扡㔷敦换愶挳㍤〷搷捦攸㡢昴㈴愲㐷敡㑢㘷愷收敢扤愳昵㠸㍦ㄸ〹㌷戵〶㥡㐲愱㜸㕢㕢㙢㡤て㌹㑦敢ㅣ㍢㈳慤挷㌳摢㉡捦㈱捣㜳㝡攷搸㠶㘹㝡㜶㕢攵㌹ㄴ㜹㈲换㜱愹㘴㌸搱扢㡤㌲昵㔰㈵愱㜱㝡㌴㐱摤改㝡㍡搱㍢户〱搵㉥㄰㌴㘲㉤つㅤ㤹㑣㕦㜲〱捤愰㔳敦改㤹愵挷㤵捥㤲攳㌲搹ㄹ攱㜴㌲㔳㤳愴晣昴戴摥ㅢ搵㌳㠳㤳攳㤷㐴昵ㅥ㤳㌱㔳㥤㍣㍡㥣㥥ㄶ㑥敡㤵っ搴㈵つㅤ㑥㡥改扤搹㐴㜶㘹㙤昲愸㡣㍥㉢摣㍢㔷㈷㡢㈷㌹戱㉦ㄱㄳ㤵㤵昸攷慡搸摦愹㘶㑡㔱愸㑦戲㜳㕥㌸㥤㔵㌱慡㌰攰挴㙢㌳ㄷ搵㡡㠲㝡搱愴敡㡢㔲㔱㘷㕤㠹攴㤱㝡扡㔷敦㘱㈱搴攴愸㈲㈶㈵㈰㐳て㌹㐹㔹捤愱㤶挴㈰戳敦戰㉤㉣㐵ㅢ挶愲愶愵搲㐹ㄸ攴㔴㍤摣㍢摡摦搰ㄸ㘸㙤㌹戸㉢ㅢㅢ愷㉦㐲捣摦搲搸㈶㠷㠳㑢敥㐰晥ㅤㄹ㕡昷攰〵ㅦ摤㝦搷晡敢㙥㤱㍢㌱扡㌳㠰愸晣㄰晤搴㥥㍤晢㡡扢㍢散敥㡥戸扢愳敥敥㤸扢㕢㜷㜷挷摤摤㜳摤摤昳摣摤〹㜷昷挹敥敥昹攰戱㥥敡慡㉡户昹戸㕡扤㤳慥㝥㘸晣㠴敢て㌸戵捡㜵捥㝥昷〹㜶㑤搵戳㜷㐵㘰捦愲敡晡〳㙤戶敡㌶户挸ㄱ㘰㤲扢〱㘸扢㌳搴晦攸摤敢敦晦挱㐷㜷㕥㈶昷㘰㜴㑦〰㈱摥㐵㙤㔹攳㔷㠷慤戸敡挷昷㜷㑤昸搱て㈷㜷晤㙡晦〷挳ㅥづ〰㐱㈷戱ㄶ㙢㙣〲㝡㝡㌴㥣挹㥡挶挴攱㘲摢摡摡愶㑤㙤㐲㍡晡㥦㌷㌵ㄴ戲㑤㑣㑤敥㐵改敦つ愰敤〳㔰㌹㝡㑥㘳㐸㡥㈴㙥㕦〰㈱摥㌴㌵搲㝥㔳㙣慤扢扦扥昳慥攵ㄵ愳㉥㔸昱愷敦ぢ㡥挶㑡昹晢㈳戰㝢愱昲晤㈱㥢敡〳捤昲〰收㜷㈰㠰㜶㄰挰戰晥ㅦ㕤搷㝦敤て㐶㙤㔸戵㙣晤摤㘷㝥戴㝡昹晡敢ㅦ㤵愳挸㜲㌰㠰㄰扦㌳㡢㍣昱改㘳ㅥ摥昷㉦摦㑣扦攷搸㕦㝤㍡慥攲摥㠸愰㌲㔵㤱つ〸ㄴㄵㄹ〸㌶摡捡㙣㤲晦挵晣晣〰㕡㠰愹挶〷ㅢ㘵㈳㔱㐱〰㈱㕥㌰㡢〸㕣㌴改收换㍦扢昴挸㐷㜶㝥攸戵㘱扢㈷㑥ㄳㅣ愵㔴ㄱ㈱〴㜶㉢㙡㤵扦㌹㕦㐴愳㙣㘶㜶㉤〰㕡㉢挰㠸㡦ㅥ扢㘳摤㈳㌷ㄹ㙤敡㝦攰㤶㜵扦㔸戵攱摣ぢ晢捦戸戰晦㠱㌵戲㡤慣㠷〲〸昱㤴㔹昲戰㘱㤳扡晦㜶晤捤㤳㔶㍥ㅥ㍦愷㍥愶慤ㄶ㝣㥤愹㤲て㐷㘰㡦挲㤲〳㙤挱㝣挹晥收愰ㅣ捤っ扦〳愰戵㌳搹昸㘰㐰㡥㈱慡〳㐰㠸㕦㥡㘵ㅣ㝡敤攱慦晥攵戶㐷㍢㔶㥤昸摦ㄳづ慦㝢㌳散攱摢㜲戳挶㍤昴㌴っ扤戶㤱㝢㌰㐷摤捥扥㑣㌶㤵攴戰扢㙤扢㤴换散㔳㘲㕦愷ㅥ㙥㡣摦㐶㡤晥捤搱㝢㥦愲晣㌹㝡㑦㕦㤰㌵㐷㙦愳㠸㙤搲慢㠴散愴㍡挶〱㘸攳〱㉡㐷㑦㘹㙣㤱ㄳ㠸㥢〸㈰挴㠳愶㡡づ晡搳㝢敢扥摤慦㝦散㌵㍦㝡晥㤹昰㍥改攵㠲攳戳㌲㠳挹〸ㄴ扦〲㥡〲㜶㈳㙦昵〷攵ㄱ捣昲㐸〰㙤ち㐳晤㡦㍥㙣づ慡㔳ㄹ㥤〶㈰挴摤㘶㔹敦扣㜰挹ㄱ㉢扥㍥晦挸㠷挶慣昸搷昴搷㤶㕥㈶攸㌲搱㈴㠴㥣㐱敥㤹〰摡㉣㠰攱晥㐶挳㥡㍦㕡昳换㡦搶摣戰攱㡡㥦慦㕦㜳扦散㈲捦㙣〰㈱㙥㌷㜳㍣敡摤搹扢扥晢㐲㝣晣愵扢㝥㜶昱㤰㘷敥摢㐹搰晦㔲戵㍦ㅡ㠱㠲㌷㐲㔳㐳戰戵挹㌲㘲㜸㕦捤㠱愰㥣挳ㅣ㡦〱搰㡥㘵扡挹㑤㈱昹㕤愲㡥〳㄰攲㘶戳㤰㘹搷晥攰昶㔵敦挷愶㥣昹摣ㄷ㠳㙢㝥晦㥤㘶㐱晦㑥㌹㠴㈷㤰昹㐴〰慤ㅢ愰㜲昴戱ㄸ扡㑥㈲㉥っ㈰挴戵㘶〶㔳昷㥤㜴昳戹扤捦㡥戹收搵㡦晢㘶㜶㥣㈸㙡愲㈰捦㌴㕦戹攳搲攱挵㜰㘲昲晥㔱㘳〳摥慥㥢攳ㄸ挲㉦㡣㠷攲㉤昱㐰㈰ㄶ昲㠷㠳㘱て㕦挷㕢攲㠱搴挴攷㈴㝡㘳愹挵捡愸㜷ㅢㅢ㐶〷换㜹㈸愳㑣摡搸㔴㕦㙦㉣㌳挲㤹搸㤵つ㘷昵㕤㡢㘹昹㑣㑡㤲㜵挱㘱搳㌳慡扣㍤㡡㤳ㅤㅤ敥改搳㍢㤶㈴っ昲敥㐵㘴戸㙢愹㐸㜹敡㠴戴扥㌰㐷㉤愹㔱〷愶〳㡢㔴摥㈵慤㌴㐸㐶扤敡㍢攷愵㌲㝡慦慡摥愸攴㡣㐴㜴扥㥥敥搲㌹㤹搰㘳慡愹㍢㤰㘴晡㡣愳愶昷愲愱昰〲㘳㝢摢戱昱昱㑢戲㝡㙦㑣㡦愱扥ぢ昴㜴㜶改散㜰愴㐷摦戱㠰挵㈸ㄳ㠴㕤ち搰ㄳ㔲搱扥㑣㘷慡㌷㥢㑥昵ㄴ㔲㍡㘲㡢挲昰㔳㘳㔳㔳㌱ㅤ㙥㘶㈵ㅦ㤷㜰㔵㔴〸攱㍡愸㘸㐸㔱扥ㅥ昳捤㌴㈸㐵搸㔴㑣慦㜳攷㐲戳㙢㤸㠵搶愱ㄵ㘸㈴㠸敥㤱㥢挸㑣攵换㙣づ㉣捦㘸㙢ㄳ㘷㕥攴㍥愰㍣户慡㘳㑥㜳晦㔹㘶户㝢㤸搹晡昱㡢攰换㑦ち昷挶㝡昴昴㠰昳㐶挱ㅡ挹ㄸ㠰攷㙡昴收戲搲愳㈷㉡㤶㠸愵㥥挵㠹㔸㜶㥥㌶㑦㑦捣㥤㤷〵づ㜳换敡㙡㡡戶攴㤱㜱愰攴㕣㠲㜹〰㕥慦㑢㑢㤰㐹昳捡㤳㡤戸㠷㥥昵㘶扤㉤ぢ㘶〹㥣扤㑡㌵㉢挱ㄴ㌲攳㐹挲㈱捤㔴㔴㌸戵㜲㔲㌸㌳㉦㑢昳ㅣ㤰挸昹㠰㥣㑦搰〳攰愱㙢扦挹㐹〸搳㔴㜲慥㔵㥢ㅣ愷挷挳㤸攱慡摥㉤挲ㅥ昵昶昶〰㥢㠹㑡捥慥㈶愳慦㉣搱㄰㐲攷慦㐹搲晡昵㈵搹㜱攱㙣戸㉡㠹㜹ㅡ戴㈴挱㌴㑡愵㌲㐲㑣㔹慢㜰㔶㙡慦ㄹ㐳づ㍥ㄵ戴攵㌲㐸㈱㡣㥣搰㜱搰㕦㕣ㄵ㈶ㅣ戸ㄱ愸㍢㕦挴㕡戱愱ㄷ捥户㌰つ㡣㑤搴㝢㘷㉦㕤愰㘷挸㕥慤つ㈸捡攲敥愵㕥晦搱挸㔱搹㐴㑦愶〱㌵㥤㤸㑥昵㉤搸㤶昹㌰㉦㤹〴戰ㅥ捦㑡㔸昱收户〹攲㜲㔵㉤愲㙥扡扢㕤搵捣㡤ㄸ愹㘶㝢戴㔶㘴昶㉤㝥搴㈳ㄷ攲挷㍢㄰捤挳ㄹ攱㤶捣㑤昹㤲慤㐹㑥㡦㐶㘶愷㜵㌵摢慥㔶ㄱ㐸扢㌶㌹㈷㤵㥥ㅦ㐹愵收搳ㅢㅣ慣㘲㤹㜹扡㥥攵っ㜶㤰㌹㘳㔷㌳㜳㈱㉡㉡ち收㥦戶愹㉥攷扥㕡ㅦ㐰摤晡ㄵ换搶慦㕡㘱戸捤ㅦ摥昵㤸戶〸挸ち捣愶戵挵〸㝣愷晦敡㕦慣扦昷慥晥㌵㉢搶㕦昹昰晡戳㔷慦扦散捡晥昳㙦昸㜰捤つㅦ㕥㜴㑥晦㐳昷昶㕦㜸搷搱㠱㠶㔰昷㠶ㅢㅥ晡昰敡㌵晤て晦〴㝥昷㐷㌷晣昴㤰晥㍢㉥㙡㔸搲㤳㐹㡡昳㈰㈵㑥㉡捦㙥㝦㜸敦ぢ㑦昳㜷慣㝡晦晣〷㌷摣㌰攳攷攲㕣㤳㔰㌲戱攵㔴㔵㑤慥扦㠷㠰㌸ㅢ㙣ㅣ㝤㄰㉥㝣攴㈹㠸换㔳〹㑥〳挰ㄸ㈲愹ㄵっ㈱换㡣愸攰㜴㤷挳㠸㍣㠳攰㑣〰挱搹㉥㍢戱㍣ぢ挰㝡挴㈹挸㥦戶愱昴慢收挷㈵晡㍤ㄷ捣㕥㌹〰㑤散〹づ敡㔸㔲愶㤲㌲㤴㤴㥦㐸㈳㘳㐷〱㉣㌴〹㈵搳敤扤㤰㙣〰㔷愶㘰㠶㑢㐱ㄵ戸㌲㌵昱〹㠹㥥慣㥥㔶㙦慢扡㌸㝥㡣攵㈲ㄵ慦攵ㅢ㍡ㅤ㡥ㅡぢ㌱挳攳㥤㜸㐹㘳㝤㉡扢㌴敦戶㤴㌸〹挶㍢昴㝦㕤愱敤捥ㄵ㔲㡥㔰㠱㍢㌴㠰慢〱愳㈹㜲㠶〶㘶戶ㄹㄱ扤〰挷㠱㑢㤹㔴〳㜲㉥㌴㌲昲ㄷ㡦戲㌶挷っ晣㜶㈳㈴户扦扣㡢㐴㘳㉦㌵㔲㈶㉡敢㡥晣慦㌳攷戴〹㘰㌸㜳ㄷ㐱㜰昲㘲㠲㤵〴㤷㄰㕣ち㈰收㘳㌰㜲ㅥ㘶㝦㑣㥥换〹慥〰戰つ戳㔷㈱慡㕤つ㔰戳攱挶攵㤸昸㝥㜸摢攵晤ㄷ摥攴㜵〹慥㘷愹㜱㜷ㄵ〲昲ㅡ㜲㕣ぢ㌰㙤㤲摥㠳㔹挱戶㕡戶昷㜰㥤㙣㘰㍦〶挶挳户摣㡥挹慥愵扤搱㜹改㔴㉦昶㍥攸㕥㜵㐴戱敥㥤ㄱ㘱㉤㌹㈵搵搹㤷搵㤲㤳ㄲ昸愹㐹捥搲ㄷ攸攱㙣㈷㘶㝤昰摤愶㘰ㅤ㔳㜹㘶㤳㘳㑢晥㕦㝡㙥㉥扡搷㤸㔰攷㥤㌷㔱摣㜵つㅦ捡ㄴ㙦挳戸ㄴ昶㔰㜴戵晢㐳戱㙢ㅡ扣昰敤搰㌵㜳挹敢㔰扢敢㍥扢敤戰㝤慦戹昳㕢昳昷㜴㤸愱㝡攴㍥㈰慡ㄷ㍡愳〸慢㐷摥㠸ㅦ敦㐰㌴挱㠵搳摣㙢㔸㕢㡤㔸〵捣挰㜸ㄵ捦㐱㔶㡥慦攲愳㑤㐲挹㍡㉢搷㑥㤵㉦㜲㍢〲㘲㌶搸㥣㍢挹ㅤ㈰换㌵〴㜷〲搸㍡挹摤㐶㔴ㅣ㠸㕦搵㈷敥㈱搳扤〰㘲ㄴ㠰昲㐵敥㐳挰㝡挴㤱㈸㈳攷㡢ㅣ〴㜴愹㄰ㅥ〴搶㉢〷愰〹㉥攵收㠴㘰昳㐵㍡捡〹㘰㡣㐹㈸㔹昵攵㑡慥ㄲ挰攳〸㠸敦㤴ㄵ挰慦㐱㤶㑦ㄲ㍣〵㘰ㄳ挰㌳㐶㔴昸昱慢〴昰㉣㤹搶〲㠸㐶〰㈵㠰攷㄰戰ㅥㄱ戲〹㐰㝢〱攸㡡昱㡤慤愵㐲㜸〹ㄴ慦㈴扤っ㑤㜰戱搹㐹〸愳捡〹攱㈰㤳㔰戲㉥摤㡣㥣㤴㄰㕥㐷㐰ㅣ㔰㔶〸㙦戰㌶㙦ㄲ扣〵㘰ㄳ挲摢㐶㔴戴攰㔷〹攱ㅤ㌲晤ㄱ㐰㜰㜵㕡〹攱㕤〴慣㐷散㠹㌲㜲㔶搰ち㜴㘹㈳搷〱敢㤵〳搰挴愱攰㜰ㄲ挰づ㘶㍢㑢㕣昲攱㈶愱㘴㜹㝣㌴㜲㔲〲昸ㄸ〱㌱ㄴ㙣捥摤攰㔳㤰攵㐶㠲捦〰㙣〲昸慢ㄱㄵ摦挱慦ㄲ挰攷㘴晡〲㐰㡣〱㔰〲昸ㅢ〲搶㈳愴㑤〰摡㤷㐰挳ち㕡㑡㠵昰㌵㈸㕥㐹㝡ㄹ㥡攸〰捤㐹〸摦晥慢捣㔸昰㉦㤳㔰戲㝥摦㠹㥣㌶㙦㡤㥣扢㌳晦㕦慣愷ㄹ慢㘸㕢戹㌲愴㜹昱戸挴㌸㌴㔶愹戴〲慦㈸挹搳〸ㅥ㉥戵㙦捥㙡晦㉥攰ㄳ㘱ㄱㄱ㔱ㄱㄳ㝡㔵ㄲ扢〱㔳攷愶户晣㘵㍢ㄸ〹搵㕡㠷㤱㐱㡤ㄵ㔵㥢㈵㔶㠴㙢㈷㍥㉢〲㙥戵昸㔲㥢㐷㘰㥥㍦捣㡡搹ㄶ㔱㜲㜹㙦敢ㄵㄹ戴ㅤ敢㐴挶㝢扤㘰㙤㐶攳㌳戰昸㔰㑦〸㙡〸㌲搸㔶㙦昶晦摢攵㙤慢㝡㔳〶挶戳戱摤昸慤ㅥ㔳昸㙢攱摦㝤捣㉢挷㠳㔴㍡㔰㔴挱㘶扤〳ㄲ〷㑡㈸㈶㈲搳摣〸愳搵㈱㌳つ昳ㄹ㔸㤸攱㜴㝣㕡㙥愰昹挴㈴㤴散㐲ㅤ㠱っ搵㘸㍢っ㜹㠹㍦㠳捤㜹戴摤〱㘴戹㈳挱㑥〰戶搱㜶ㄷ㈳㉡戸㌵愵扡收慥㘴ㅡ〱㈰愶〲愵㐶摢摤㄰戳ㅥ昱〱捡挸扤㙥愶〰㕤㉡愴㝡收㈹〷愰〹敥㜷攵攴㘰㜳㍡摥㈸㈷㠰摦㥢㠴㤲慤戱ㄹ挸㠹愳慤㌹挲捣㐴㔰㌵攳㐰㌶攳㈰㌶愳ぢ㈸㡥㌲挶㘳愹㜸〰搵㙢愳㤰㡣ㅢ㠱づ慥挴㈱㙣㥡㔷㤲愳戴摤㡡㌸㄰㑤捣㐶㈵昲敤愶晥つ挵慦㉤搷敥㘷㑤㐲挹〶摥ㅣ攴愴ㄴ摦㠶㑣挴搳㘰㜳㔶晣㘱㉣攳㜰㠲搱〰㌶挵户ㅢ㔱㜱っ㌲㔲ㄲㅢ㐳愶づ〰昱㕤愰㤴攲挷㈲㘶㍤攲ㄷ㈸㈳愷㜸敥〳㤶ち㘰〲昳㤴〳搰〴㜷っ昳〲挸慦㝣摤㕢㑥〰昷㤸㠴㤲捤挵ㄳ㤰搳㕥慣挵㜴ㄴ㉡㘷㄰捣㈴㤸㐵搰〵㈰㝥㔶㔶㈸㐷㤱攷㘸㠲㌹〰㌶愱ㅣ㑢ㅣ攷愹㜸㔹㥤㠸ㅦ㈵㤸攳㠸㍣ㅥ㐰㥣〴搴㐸晣戹攴〹㠸㤶㥤㡦㜴㤳愳㘴㔹昰㈴㈴昱捡〱㘸㈲㡣㜴㜹攱㜰㍥㘲㔸挷㤵攵㠴㜳㠵㐹㈸摥㌸昵挴㤰㜶ぢ㌶扣〶戱愸昸搱〹㝤㌱㔷攸〷挷ぢ㡥㄰搴挶挷愵愶愵戲攳ㄲ㤹〵㍤攱愵挳攲㘶㘰捥㍣扤ㄷ㥢㝤㘹散昹ㄵ攱㔲ぢㄶ攸㌱ㄹ敦㑡昵愵愳晡攴㜱摢挳㘶㈰摡〷昵愹㝤㐰户挰戳㜵晢㕢㤸㔹ぢ㔸ぢ㕤ㄹて㜷愵㡡户㈹㙣㉢㔷昹㐵㔲ㅦㄸ敢昲ㄲ㥤㥤挸昶攸㠳攲㡡慥挲搵㜱㐸ㄱ㍢愸戱慡昸散㜹㔸扥ㅦ㔷ㅢ㥦㤸㑥挴㝡ㄲ扤㍡㤵㠱㠵㔷敥㌵㑦搱攷㘲户㜴㐶㉡㤳攰㐹扤摡昸散㜴戸㌷戳㠰ㅢ㍦搱愵㐳ぢ㘲㙡ㅤ挲ㄳㅦ㥢攸捤愰ㄸ㜵㄰㠴攱扡㜸搷扣搴㘲㥣昹散㑢昶㑥っ㉦挸㙣ㄷ㕡㐱㡦㌰ㅦ愵ㅡ攱ㄶ㙥户愸㜶㔷㙦慤㝥戴〴㜲昴慤扦攳愶昵换捥㌸㘰摡㠱昵晤攷㥤搳晦攰㔹慡〸㑥㈰㉢〹㤴〲㕤㥥戹〸つ戰昲挸昵㑡㜳〳㥢㥢戳慣㘸挱㔱ㅡ挷㝤挲摣㈹㕡敡㕣㥥㡣㐴㌵昳〱㡥㤸㜸搴攴晣戱㠵㝦敢㑣慢㠷㕢愰挵㑢㍡挵㘶㤷摢㈵收攸㌵搸戰ㅦ攲㘸㑥攸㤶㌰〳挶㡡㙤搲ㅢ㔷㍣㌴捦挱昹攰〴㙣㌴搶挴愷㠴㈳㝡て昶㐷㤳攱散㘰㈳挲㔵㔸㥣㜹捣㤸戴捥㔴㌲ㄹ愶扤搱㔶扢愲攱ㅥ扤㍡摥搱㤷㑤㑤㑤昴捡㌸㠰㌲㑡ㄳㄵ㕥〲㔴㜸㠹㐲搵挴㘷昱摣㠴ち㌳慦搴摣㜰㍡㤱㥤㤷㑣㐴慢ㄹ攱搹㠶敤挲㔰㌱㜸㔴㐲㤸搶㘳つ㈴挵㑢㡡挶攲ㅡ搴摤㠰〵㜴㡡㡥敡㠷㌹扢㠵㠶晦挴㔶㑥㥥㌰散愸户㠹㑣㈲㌷㡦ㅢ㤵攰㌸愴㥥㡤搶搱敥㡤愷〳愳㐶㈶㜱㌲ㄹ昰㈷㝢〱ㄹ攰㕦攵㝣㠰〱昷㕣慢挰攰㥤㤲ち挷㈶㘰捦㈷㤵慥㌲捦㘰㔷㐳戵ㅣ㘷搲㍥敥㠲㜷攲㘰〵づ㙣㉣㑡挴昴㜴㌵ㄱ㕤㔸㈶慤攴晥戹㘶攸㄰㤳敦ち㤷挷㌳愸摡愹慣挹㔶㕥㈳捤扤㐵晢ㄱ昴挹㈵昹晦㜹㘶㙢㍢㕢敢昵㔶〰捡ㄴ摡㈱ㄷ戰㑤㍤㠸戲㍤㐵っぢ挹㤰〶昰㈴㐱㉣搶㑤攱㠶㌴戶慤㈵㤸㉡㌹敤慢攴㜴慦摡㥡收㜹㔴㐳〶搹愶㜵㥡㌱㥤慢戶㡥㐴㙢㕤戰㜲㍤收㌵〶㔷㉥ㄲ㔳ㅤ㙥㜷㈵㔴慤ㄵ㙦挶㤵ㄴ㡢捣㤲㕤扡摡㌴ㄷ㥣㤱㘸ㄹ㈴ㅥ挲捥㠲晣扢昳㐷㠳㡢晤〷㜸㥤㝤攰㜴㜹挵㐲㐰慢昹㕣户昱㝡愹㍢戹〸㔴戹ㄸ㐰㝣て㔱㝡〰戶昷㤵攰づ㈸摦㔹㉥㙤〹㔸㌶㙢㡣ㄴ愷㠲㥤攳愴㕣捡㕣㑦㐳㠸挳㑦捥ㅣ扦て散愶捤㜱ㄹ㔳攰㑦㥥挲㑣捣㠸㌸〳〱慢つ㐴㥡㍡㍥ㄵ㘱㜹ㅡ㠰㌸搳㤹㠱㘶㉥㤷㤱㠱挳㍡昵慣㥤㠱㔸㑥㝥昹挳捡づ昲㍢ぢ㥣㤰摦戹戶慣㙤昲㕢捥慣捦〶昰㕣〴㠶〱〶㔹慣ㄱ摢昶挷㜸挸㑤㡢ㅦ搵㥢挸㘲晣愳ㅡ㈷㈴戲搰㘴㑤ㅣ〰㐱戵昱戵慢ㅡㄷ㙤㠹㐶攵㥣慤㍤㑢㐹〵摥搷ㅥ愵㜴扢㍢㌶搲㠱㙣㌸㙡㌶晦㙣㔳㑣捡㘱㜳愸攳昶攴挱〹㘳㙦挳㜴攲〶㍣㠰㥡㤷㍢摦挳晦㠶扦愷㐶㕤㤷㍣㤷㘶㈳昰ㅦ扡攰㜹〸搳晤扢㜸㤳㈶㘲摢ㄵㅤ〴㘶㉦㕤㐰〳㔷㙢㙥扢㑦敥捤㘰ㅣ昵㥡㌱扣㈵〷㥢挱改㝤搹〲㑡㜸挹㌰㤳搲搱搳㌳扤ㄷづ㜸㌴㥣㡥㙤㈷㉦㐶戴捤㜰摥搴㍢㙥㉢ㅤ㙢㘴挲挷昶㍡挳㔴㘹㠵㈹敢㤵愰㙣挹愶㌲て㔵搵㔲摣戹扤收㙡挶昸㜹㠶搲㠲昱㙤㠶㥡攵捣搰㌱㐵挱搷㉡㍤晡㌰㤵㈰ㄷ㔵㉦〱ㄹ敦㠸㘴攰㌱㘷改ㄱ㤹㈱搵搱㘵㝣㤶摥ㄳ收㔹㐹㌸㌰㘶㘸㐶㌴㡢㈳ㄴ戹っ㜸づ㜲晢搱㄰㈴㔲㘹㙡㐹㈸㍤㘹〳㡣㙦㠵㡤㘰ㅦ摡㑡慤㐲㝦㜱昵㝣搲㉥慥扡㤲捦慤敤㉥㉢㘰捥愳㉥㐱昶〳昸攱ㄸ㙢敤㈷〰搸㤳㠶㔹〷㔳㡣ㄱ㑥つ㕥㌵ㄶ㡥捥㝡㉤㘷㔴改㉣づぢ昳㕣㝣ㅤ扢㑥て扣㤹㙣〲㝥㘹捦搲挱昱挹扤搱㥥扥㤸慥㥣㕡㙢捣㔶扥敤㜶愱㉦昵㡤㥥愱慢〱攴㘲ち㘵㌲㍥搴戳づ㡦㙥晤戴㔶㥥て㑤愹挱づ㜹㜸攵て捤㝥㜷㈹㠴扤挵挷㉤扣㐸㌴㌴㝦㔸㐸㝤晦㠵愱慤〴挵㌱㡤摢收戹ㄳㅢ慡挷搹搸愶愴愶愴㌸㉤戶愱㈶㈵っ搴㜶愱㈷戴搳ㄸ昸戰〲扦搵ぢち捣〴愳㥥晡㜱㙤㍣摤晣㙤攷㍢〶㙦ㄹ挱昳ㄴ捡㘹㠳㔴愱ㄴ㑥㕦摤昹㌹慣戸ㅣ㜱攵㥦㕤〰愲戸〲㌱挳㍦㌳㜴㈹㉦〴㜶搳晥搹㔵㐸〶㐶㤷扣〸㤰㤳ㅣ晥〹ㅥ挷㈸昴捦搸昵攴挵攰㤱㉢〱挴㌵捥っ㤷㤰攱㔲〰捦㜵㘰㈸ㅥ㘴捡ㅥ㍥愰㠳㡦挳慥㜰愵慢㤳㥣㔲愰㡢㙡㌸攴㡡挳ㄵ㜰㙤戵㐱搵搷戲昰换㤰敤㡢㉦扣挰つ㐶㤷戸ㄱ挰慡攰㐸㠴扤㕥㔵挱ㅦ戳晣换〱挴敤㐰ㄶ㍢挱㜷〰㘷㌸挱㔷㠰㘵㤸昱敤㑥㍤摥愷搹㜴㈲搲挷㤵ㄵ㌰ㄸ㜲戶慤ㄵ㠸㌵挰㈹㌹㕦挹㡣戹㙢㕦攰〷㕦つ散愶攵㝣㌷㤲㠱搱㈵㔷㌱ㄳ㌳㈲敥㐱挰㙡㠶㌱搷㔱捤戸〶っ昲㕡㌲摥敢捣㜰ㅤㄹ慥㈷挳㝤㘰㔰㝥昰つ㠸㡤戰收ㄱ㑥㕦㙥㌹㜸挴㌷㈱つ㍣攲〷㙤㠵㜰〳摢ㄴ收捤㉣攴ㄶㄶ昲㌸㤰㑡㤸㜰晥㤵㙤挲㌸㝦つ㥣㈱捣㥦㠰㘵昳㘶ㄴ㑦㈲㡤㤲攴㙡收捡敤晦〲㐹摥ち散愶㈵昹っ㤲㠱搱㈵㙦㘳㈶㘶㐴㍣㡢㠰㈵㐹㈲捤ㄹ挵敤〸换㥦㤱㜱慤㌳挳ㅤ㘴㔸㐳㠶攷挰愰㈴㜹㈷㘲㠳㉣㐹昲㠳㌴〷挹摤つㅥ㐸敥㈵㕢愶戶戹挴㍤捣昴㕥㘶晡㍡ㄸ㡡捤昰つ攰っ挹摤〷㤶捤㤳摣㥢㐸愳㈴㜷㍦㜳攵㤹㠱〲挹㍤〰散愶㈵昷㌶㤲㠱搱㈵ㅦ㘴㈶㘶㐴扣㠳㠰㠳攴ㅥ〲㠳㝣㤸㡣㝦㜴㘶㜸㠴っ㡦㤲攱㕤㌰㈸挹晤〲戱㝤㉣挹つ昴愱㥤㠳㐴ㅦ㐳㕡㐸㜴㥤慤㌰㥢㐴㝦挵挲ㅥ㘷㘱ㅦ㠳愱搸ㄶ㜹㤸挰㤰攸ㄳ㘰搹㍣㠹㙥㐴ㅡ㈵搱㕦㌳搷捦㄰㉢㤰攸㔳挰㙥㕡愲㍣慣〰㐶㤷㝣㥡㤹㤸ㄱ昱㌹〲づㄲ㝤〶っ昲㔹㌲㝥攱捣戰㤶っ捦㤱㠱〷ㅣ㤴㐴㥦㐷捣㘶㡢〱㈷㕢㝣ㄱ㍣㤰摣搷戶㑣㙤㤲㝢㠹㤹晥㠶㤹㜲搷摤愱㕡扦㈵挳换㘴愰敦攱挰昰ちㄹ㝥㐷㠶㉡ㅢ挳换ㄸ慦扣摥㈱㈸㔴扥㑡㠶搷挸㌰っ愰搸摣㜷〰捥㔰捥㝦㈳戴㜹捡搹ㄱ㥣㑡㌹慦㈳㈰㜶〲㈸㔰捥ㅢ㐰㙣㕡㌹扢㌰㉤敢昷愶ㄹ㘰㐴㜰㠳搳愱㤱㙦〱㉤晦㐰挶ㄱ捥っ㙦㤳攱ㅤ㌲散〶愰㤴昳㐷〴㙣㑢て搶㈷㝤づ挶晤ㅥ㌸愱愲㝡晣㔸㘵摢㔴昴㍥搰昲〳〰㜱愰㡤〱㐱㙢ㄴ㕢㐷㠶㝥㌲ㅣ攴捣戰㥥っㅦ㤲攱㄰ㅢ挳摡扣㡡㍥㈲挳〶㌲戴〱ㄴ昷㥦挳㠰㌳㔴昴㍦〸㙤㥥㡡づ〷愷㔲搱㥦㄰㄰愳〱ち㔴昴㌱㄰㥢㔶㔱㍢搳㔲㐵㥦㤸〱㐶挴ㄸ㐰㑢㑣挶㕢㔱慤〰㝥ち戴摣㐸挶づ㘷㠶捦挸昰ㄷ㌲㜰攷㔲愹攸慦〸攴晡て㍦㕣㜴㔰捥ㄷ攰㠱㜲戸㝢㘹㤵慡㈹搹㔷戱㘶㝦〳㕡晥ㅤ㐰㑣〷攰摡㤰捡挳㈵扦㐲ㄴ㤵㔷敢〲㕦㈳㑣㡦㙤〶㝥戹㌶㘰㍤㠵㌳摡㝦㤸㕣㌳昱换㔹㉤㥢扥愹ㄹ㤲㤸〵㈶捥㤲㕣昲ㅢ㠴㔴搹捡㑤晦ㄷ㘲㉣戲ぢ扦㜴搵㡤愷扣㌳㜹ㄴ昸㤴㡥㥤㥤挹愳㐱㔶敡晣ㄶ〱㌱〷挰㔰愷改㑣ち攸㘱搳敡㍣㤶㘹㔱ㄱ改〶㝢㈵〲晣ㄳ挷〱㘵〹㤶㔴搳扤愸〰㡦慣〴㄰挷㍢㌳戰㍣愹㤱攱〴㌰搰愱㤴㔵㠸攵㝣挰㤳㙣挹㐶收昳慤㘶㌲摥㔴㈲㑥〶〳晥攱昶ㄱ挶㄰㌰晣㑣㠴㡡㔷㠷㑢㔶敥㔹㜱㉣捤㘰つ扦㉢扢戴〷晢㈶っ㜲戵搸〸搱㐹㌵挸㔸挳㑥愵㌱㜰㔶ㄶㅦ㌲捦愵㡤㈲慢㐱挳㡢扥㈷㔴挹㐸攱ㄶ㠱攷㡢㝦㤶㝥㌳㤷㑢捦㡡攷㍦㉥㘲ㅡ㍥㕡つ摡㌴㝣㙡㈲㥡㑥㘵㔲昱㙣㝤ㄷ㌶〴敢昹㝤㈶㜴散敦昰晣ㄵ㌹㍡㤶愹戴搲㡢㠶㜸ㄶ昱㝢㈵敦晣摥搴攲㕥㔵ㅢ㑦㠶㥦愹戲㌴㔹㔵挵㘲㘰㈸挶戳て㠴攷攳㜶〲ㄳ换挱㈸戸戶挲㤷㐲ㅣ㈱㤷㔶〷戸㙦攷搸捥㔹摤戱㜰愸㈵愸挷㈳㐱㝦㙢戰愹㌱搲搴㠶㘸戳扦愵㈵ㅥ㙡っ挶晤㠱戸挶㉢㘳っ搶㈶㝣㡢ㅢ㡦㐷ㅢ攳慤晥㐰㔳㄰㍦搱搶挶挶㘸搴ㅦ㡤㌴㐷昱戱㙥戳㙦㠱㤹扤ㅣ㠲㌴㜲㈸㠰㙦愱㠵ㅡ㐶搴㜰愲搲ㄶ㉡挷攵改〳㙡㜳㔷攱搹ㅥ敢㑣㔹㘵㔵㔵挹戲㘲挹敡㝤敥ぢ㌶㑤攳㥢捦戳〱㘲㉥㍥攸攷㥣〸戵戲㘹㤱㠹㉢昰㈷㜷㘶㔳㜶〱昰晡ㄶ㠱㠵ㄵ搲㜶㐵㜴㜰攷搸㙥摢㈶愴㌶〲戸ㅡ攰搴㌴㜹ㄶ扥㕡搵㜶〳㘶〸㌰㠵户慥㘸扢〳㍤ㄴ㘸㝣㤴㘵晦昴换户搸捣㍤㝦ㄹ㠹慣〷慢㜱挲㘰㈹㠸慣愰摣ㅢ㈸〶㔸㌷昱㝤㠴㤲愴扣㡤㔶搲㐴㠱挴晤㍤㘰愱㠹㠹户㠰愱㤹ㄵ㥡挹㈹㐸愰捣㘴㍦昰挱㑣㑥㘵〶㐸愰敤㡦戸愱晢㘸㕢愸ㄱ慡て㌷敡晥㘸ㄳ戶ㄶ摢㘲㤱㜰㌴摣慣敢㑤慤捤㠱㘸㑢搴愷㜶〰㔸搶〱㐸攳㍢摤捣㐱ㅥ挸搸㌲㉢㐶㥡㌸ぢ㌱㉡㕣扣㠶㡡㔰ㄹ㑡愸〷㠳㈴て〱昰晡㤶㠳愸慡㐳愱㑡㑡㔱㔲㜰㤲㘲昲㥤㙤ㄱ㐷戰㌰㝥〳㈶㥢㐸㕣㡣㤰攷㕣㄰㡢㔵㙢摢㙡戵㉤敦昳㌵攱戳慤晤ㅢ㐶ㄲ㥦搹ㄷ敥挱㍤㌸搳戱〰㤵㈵㙡㝢㔸戶愸㌴㤶〱㌷搹㍦㔴ㄳ㡥㍢㠱㘶㕡㉣㠳㐲昳㌶摢愶扥敡摣扡㘵㐲慦攷㌹攸㙤昳㑡㠱㑡ㅣ㍡㤱㔷戶㐰㙢㝣ㄷ㜲㜹㥥㍣戲ㄵ〸敢ㄱ㉢㥣戰㥥昳㠱摤晣ㄵ㌶收㍡っ挳愴㜹㘵ㄶ㜷愶㐷昵㘰攱㘰㌳づ〲戴愱㉥㠲㡢㙡捣㐳ㅥ㡡ㄸ㉢挷㍦㜱㠱㠵㍤㡣㍣挰愸㝥㜷㈱㐲慡摦㍤〹挱㔸晤㑥ㅢつ㤶戲攳扤㜸〲慣愵㥤昱㈲攴愴慣㥦ㅢ愹㜲っ㐱〷挱㔸〰摦挵㘶攱㕡㈷㘲㐶捦㙣つ挵㥢㈳㙤晥㔸㘳㉣ㄴ㙤㙡㙤㘹〹敢㙤昱㔰っ㜷㈷㐴㕢攲ㄸ搶愳扥㤵㘶ㅡ㌹㡥㌹㕣㘲挵挶㌳挶㘵ㅦ晣挳㙤ㅡ㠸搵㕤㠶㈰㐷〶㝡㔲摢昴昱晤ㄸ㌹㔳㑥摡㐴㤴㔳㌸㈶㑥〲挶㘱㑣㥣っ㜴搱㠰敡扢摣捣㐵敥㡤慣攴㤱攰㤰㝢㈱㈴慥〴ㅥ晦㕣㜲㉡㔰っ㈸㤵㕣㡤㤰㔲挹㍤㜶㤵㑣〷㑢㜹㤵摣攵愸㤲㔵挸㐹愹㘴㈶ㄲ㘳㝣扣〶㜱㠴㜰愱〷愰昹ㅡ挵㠵㈱攱㔶扤㌹ㄸて㌴㌶㠵〳愱戰㍦摥攲㙦收㄰搹ㄲっ㌶㠵㘲㕡㔷㡥戵㌹ㄲ㙥㡣挴愱戴㤰㍦搲ㄴ昲户㐵㕡㕡〲戸㜲慡㐵㡦〲ㄹ㙣㡥昸戸㠸挴散攵㙣㐰㜹ㄴ㠰敦㍡ぢ㜵㌴㔱㜳㠸扡摥㐲㤱㐱戱㡡㥢㠰㔲㈳敢㑦搰㡣摣挸㝡ㅣ改挷〳㜸㝤㌷㠳㠱つ搱㑥㐰戴㔰つ㈷〲攳昰づ搲扡㠱㉦搲㠳㜶ㄲ㜰愵㉡昳摤㘲收慥㙥㈳㔲〳戲㜱㌹㔱っ散㘲㌵㠸昸攷㤲㍡㘳〸㈸ㅤ摤㡡㤰搲搱㔵㜶ㅤ捤〵㑢㜹ㅤ㕤攱愸愳摢㤰㤳搲㔱〲㠹愱㈳㉥㈲戱ㄸ敤㘴挴つㅤ挵摢㘲㑤㙤慤㑤慤㤱戶㜸㜳㤳㍦ㄶ㘸㙢㙣づ挶㕡摡愲捤㌱㍤ㅡ搵昵㘶㥦㕡㜳㘲ㅤ攷㈳㡤敦づ㌳〷搹挳㤸㕡㙥戲㘸攲㙥搰㤴愴㔷摡㈵㥤〲愳㕣〰攰昵摤〳〶㈵改㠵㠸ㄶ换㉦つ㕣愱昴㌳挰㤴㑡㔴换〲敤愰ㄴ摦扤㘶敥昹㥢㤸攴㘲戰ㅡ㡥挱晤㔶扤㤷〲㠵戰㈱改〷㄰㔲㤲㍥挷㉥改敦㠳愵扣愴㤷㍢㑡㥡ぢ㔱㑡搲愷㈲㌱㈴晤㤰㔹㥥㜶ㅡ攲㠶愴〳㑤捤晥愰㍦ㄴ㙣㙥㙣㙣㙥㠲㤷搰搶ㄲ㡥挶ㅢ晤捤戸换愵㌱搴收㙦昳愹㌵㉡㑡昳㜴愴昱㍤㘲收㈰㤷㌱昶愸ㄵ㈳㑤㍣㠶㤸㤲昴㘹㜶㐹㥦〵㤲㕣づ攰昵晤ちっ㑡搲㘷㈳㕡㉣改㜳㠰㉢㤴昴戹挰㌸㐸晡㍣愰㥤㈴捤攵㉢搵㔸慥戱慡ㅢ愹攴て挰㙡㐸晡搷㔶㑤㉦〰ち㘱㐳搲㑦㈱愴㈴㥤戶㑢晡㐲戰㤴㤷昴〲㐷㐹㜳㠱㑡ㄵ㝥㌱ㄲ㐳搲捦㤸攵㘹㉢ㄱ㌷挷㥤愰扦㈹搸ㄴ㡢㌵晢㕢愳ㄸ㘶㈲慤攱㘰㑢㌸搴ㄸ㘹ぢ㌶户㐴㥡㠳ㄱ㥦㕡扢㘲摤㉦㐱ㅡ摦㕡㌳〷㜹㈹㘳捦㔹㌱搲挴㡢㠸㈹㐹㥦㙣㤷昴攵㈰挹㉢〰扣㍥慥㑡㈹㐹㕦㠹㘸戱愴慦〲慥㔰搲㔷〳攳㈰改㔵㐰㍢㐹晡㌷㘶敥昹晢户攴㜵㘰㔵㤲昶晤搶慣愹㜶〳㔰㐶换昱㥥搳昵㔸慣㈹ㄶづ挴㥢㥡愲㠱㌶扥敥㐲搱〰晣搲搶㐰慣㌵敥㝢搹㑣㈳㙦㐴ㅡ摦㉢㔶散㈶挶㝥㘷挵ㄴ㡤㙢㘱㜴〸戵㕢㐸㠳㈳㡥慤㘷攳愴㄰㘷㡦摡㑦㠰ㅤ搴㙤ㅣ晡愷㤳愵慤〶愲戶摢攰㔰捥㝤㐶晢㈹㔰㠵捤扦㤵㑣捡晢㑦㜷挴㘲㘹㝣㤱慡摤〶㔴戱摣㙥〷慥㔴㑡扥搷捣㉡㔵ぢ㔱㕤㡤戰换㙢㕣㜸㜵〷搸愷敤㝦摣㔶摤摡愰㙥㙣㌸挱㔸攲㕤晦搳ㅢ㜰㑤摣晥㝢㑤挵㘷㔷㥤㌴㡦㍢㤱戱㜸摤ㄲ换㕤㡣〱慤〶改㌷㄰㔲〶㍤摤㘶搰㤲㠳戴㥡㔳㑣㜵戴㕤慥摦㈹摢扤て㝣戰摤户捣慣戵晢ㄱ㌷㙤㌷慣㠷㘳㑤㤱搶搶搶㄰㝥摡ㅡ摢㘲挱㐰挰摦愴㌷㌶㐲慤愱㐰捣昷〷㌳㡤晣㌹搲昸摥戶㘲て㌰愶㔶昵㔸㜱搲〴搷敡㤴敤㑥戴摢敥挳㈰挹㐷〰扣㍥㉥搷愹敡㜰㍣㤶ㅣ㠰㈵挷㕣挹ㄱ搶挷㘵㍣㐵㍣㠲ㄹㅥ㐹昰〴㠹㥣㔳昸戸㡥㠷㝦㉥敤㐹愰㡣㡡㠷㕡攲捤昱挶搶㔰㜳㉣摥㠸换㑢〳㙤㠱挶㔰㈰攴て戵戵㠵昴㜰㙢㌸散敢㌷搳挸愷㤸㍤ㄷ晡㤸㠳㝣㥡㌱戵攲挷㤸愲㝤〴㠲㌲扤㘷㐹㉢㌱扤戵挰ㄶ㤸摥㜳㐰ㄴ㤹摥昳㐰ㄵ㤸㥥愴改㘹㉦〲ㄴㅢ摢㑢挰㌹ㄸㅢ搷ㄸ㔹〹㥢戱捤㘴㡢㝦ぢ昶㙤㙢㙣慤挶㙤㘸慦㈰㘳愱搶㈰㈹㠸摦㌱㠶㠰㌲戶㡦ㄱ㔲挶㜶戰捤搸戴搷挰㔲㝥昴㍣挸搱〲戹㍣愹戴晡㍡ㄲ挳〲㍦㐵ㅣ㈱㤷昶㝢㐰㐳㤱挱㔰㍣ㄶ〹〵㈳㙤慤㜱㑣㘴㠳戱㜰㌸ㄴ㘹ち〶昵㠰敥㙦㡡户㐵愲摡ㅢ㌹㔶㍤ㄸ挵昲〸㝣㌵㍤㄰㘹㡡〴㤰㉣敡挷㔰ㅢ昴户挵晤晥㘸愸搵户搱捣㕥扥㠹㌴昲㉤〰摦㘷ㄶ敡て㐴扤㑤搴㕦㉣ㄴㄹㄴ慢昸〲㈸㘵扢昵㜶摢㝤㡦昴昷〱扣㍥慥㘶戲㈱摡〷㠸ㄶ慢㜴ㅤ㜰〵摡搷晡㠱㈹㔵戲戶ㅥ㘸愷㜱昷敦㘶敥昹ㅢ攳攴〶戰ㅡ㙦戸慦㐰攴愴摡㉢㜶㐰攵㌸改愳㤲扣昲捦攰攰攴㡤㙢愸昸㔷㌴㜹晢㠷㈳昶ㅢ㘰㌹㠱㤳㥦㈰戱攰㔲㈸晥戹攴愷㠸攱㥦晡ㄳ㙡㈱㤳搸㡤攴㐱㐰搹〴ㄷ㌲㤵㑤搴愱〲搶攴㑡㜲㜲愵〶愰㕡㘰㑢攷㔱㙥㤰㤵晡㍦㐷㐰㝥㐱昰㌷㠲扦〳昸㉡〰㤸扤昶㈵〲㠶㉤戴挶晣㝡㈸㠸㠹㔴㈸ㄲ㙦ち㠴愲ㄱ㝦㌸ㄶ挴ぢ愶㌱摣搶ㄶ㙤㡤〵㝤㤵㘶ㅡ昹ㄵ㜳昰㔸戱慦ㄹ搳慣ㄸ㘹㜵㔵〰晦㤹㜹㔴㌵㜲愶㐸攴㐴〴攴㈴㠲挹〰㍥㘹攱昹〵㡣㈴㡢㍣〱㈱ㅦㄷ㔱㤵㄰摣㐰搵㔶㜸戸づ㜸ㄸて㠲ㄷ㕦㌱慣捥㍣㌶搸㔶慦㐶攱戸㑡挱㘵㙦攳㜱㜹摢㔲㈴㜷㔵攰散戰㜱攲戶搲㝤攸搶攵挵户㈸て㈹昱捦昳捦㙦扥晤昶摦挸㠷㙡捣㉦戵㌲挷㍤昱㈷㉢搱㘰捦㄰搴搷昱㌸㑣昱捤戶昶㕢挶㌸晢摤㈱㌹㌹㠳ㄵ㍢㕣㘷㌱㍢搵愱づ挴搰ㄳㄸ㘲慤攴㡤戲敥㈰摢㌷㡦戱㑥㥢㔹挹愶愷㜳改㜰愷ㄷ㤶㙤㐱ㄸ挵ㅢ换㜶挸挷㙣㈷㤶㐷攴戱㌸㘴㠸愳㑦㝡捣捡㌱㠳ㅤ晣㑡㜷㐵挹扤㄰㙡㘵换扣晡㤸㐷㤴㤹ㅢ敥搷㥢ㅣㅢ㡡ㄶ㡣㜰㌸慦㍤㌶㤱㔵摦㍢昰戴㥤㤰㜵㄰㡥愶㐱㑣摡攸㤱㥤㈳㠳㈱捦㔷㔰㐴昱昱㡦戲㘵ㄴ㡡㥤㈵搲㌶扣戲ㅡㄹ㡡愱〸㔳昶㐲晡㔸〸て㠳愳㤰㜱㈸㐴㝣㠱㐲㔸㄰㔰攰慥㈱昷㌰昰㄰㠵ㅦ㤷ㄸ㙥㐶㐸慦摢ㄹㄱて〲㐵ぢㄲ搶〷㠱慥㌱愰攱愹ㅥ愳㝥㕣扥㌱㜵扢㔸㈹㑥㄰㝢慤散昰扣㝢㝡昱ㄷ㕦㠷㑦㝢昹攲攳晦昵㝣晢敦摥㜹㜷搰㈵户摥搳㉥敡㤱㈲晦〵搷㈲攴㘴っ㝤ㅢ㔱㈳挷摢㈴㍥㌵〹挵㌷㕢昹昶㐶㑥慡戳つ㐵攵㙢㉢挴㝥㠸戳挳㠹㡦㤱㠲㔶慥っ㜳㌸㥢㝣〰搰㠶㠰昶㐷㐸摢ㄱ㌸㐳㐰慤㘲〳ㄸ昳〲摡㤹摣〷㠲挷㐲搵㜱愱㜴换㘴㜲㠸㤵愲㥣㑣ㅥ晡收摣捦摦㝡㝤㙤晢攷晦㝣㜵挹㠶晤敥㙥ㄷ㑤㐸攱㈴㤳㜵㘶搳㑢慥ㄶ昸挰㈴ㄴ㕦㜶㈵㕡㤰ㄳ㑤㐵敥㠱㠶攰㥦晡昳戵〲换㐷戴㔹㘴ぢ㐳ㄶ摦愱挰㉡㐱搶㈳㉡昷〲愸㜵晢づ戳㤰㝢㌳㕥㈱摡ㄱ㔷搲㝤ㅢ㘵㔳扡㝢㈰㈹㍣ㄸ㌱挶㈲晣挱㈴昰戸㜷戵㘹㐲㕦㝥㉢㍡㉣晡㕢㈶㥤摤挱㐶ㅦ㙢搱摦㌴改㕣㘹戶搱挷㠱㙥攸慥ㄳ㈱敤〰㔴〷扡㥢㌳戲㌱攴㜹ㅤ㈹ㅣ扦攱㌳㝢㈹㡥㐶㕡摤㝣㝣㙦ㅦ㕦㘹戶愱㡢㝤㠸て敥晥㐰㤶㘲㍣㌲㘷㝥㐴㠹㈳ㄱ挹㉢㘴㌵㔰㠶㤱扥〲〶㐷㈳㝤搹㈴ㄴ㕦㜹攲㥢㡡㥣㤴㙣晤㠶ㄸ㘷㈲慥挴昸ㅢ愴挸ㄹ㘹㈳㙢㌰ㅢ㈴愳愱戳㄰搲㥡㡣㠶㜶㡥㙣㙣ㄶ捦㠳搹敡戲㕥搹㑣㙥㉥㐳ㄹ摣㕤攴㙥㌵戸挷㤱晢ㄹ㤳ㅢ㈸戴敥㔰㜲㜳ㅤ换㌲㘹㌱挷㡣攰挷㔵㜷ㅣ攰㤶搹㌷搷戶㔴㡡㜲昶㙤㥤㕦晤收搶捦㕥㤹ㅡ戹愸㕤挴㤰㈲㉦捥㝣㥦㝦挲㤴㕡㠹㝤㍦㙥ㄲ㡡㉦㔰昱改挸㐹㠹㜳っ㕡〵慢㑣㈰慥挴昹ㄸ㔲攴挴㌹㤶㑤㥥て㤲㈱㈰㉥㐹㘹攳㠰㠳摤㑣ㄸ搹搸㉡ㅥ㈹㄰搰〴㜲㜳搱挹ㄲ㔰㕤ち㤱㉤㤳挹〲㉢㐵㌹㤹㑣㘹㔹搱㜱㔲晦慦摡扦㍦㝣捤挴昷扥㜷㜳扢㔸㡣ㄴ㑥㌲昹㜹㌹㤹摣㙦ㄲ㡡敦㔳昱搱㑢㔰㌲㤹㘲挸㠴敢㐴㑡㈶昷摡㘵㌲㡤慤攴ㄲ㡦㈱ㄳ㉥ㅥ㘹㌳っ㤹㑣愲搱摣㔹㈰㤳㔹攴㕥〶㥥㥣㑣捥㐲㘴换㘴戲摣㑡㔱㑥㈶㕦㥦㜶昲愳搹㑢㤶戴ㅢ昶戲戶㕤晣〰㈹㥣㘴㜲㕢㌹㤹摣㙡ㄲ㡡慦㔸昱㕤㠰㥣㤴㑣㡥㌱㘴㜲㌱攲㑡㈶慢敤㌲昹㉥㕢㜹〹㐸㠶㑣㔶㈲愴ㅤ㙦挸〴㜶搲㈲㙥㉡㤰挹㠹攴扥ㄴ㍣㌹㤹㕣㡥挸㤶挹攴ち㉢㐵㌹㤹㑣㡢昸㡥㘹扢敦搹昶搹ㅦ摣㜲昵㤳昵㜷戵ぢ㉥捡㌸挹攴摡㜲㌲戹挶㈴ㄴ摦戸㈲㙥㐴㑥㐶㐳㙦㐰㐸搳㡤㠶㑥㐱㐳㍤㔷㈱捤㈱㑥扥愵㌹㤰ㅡ㡢㌱㥢㌳㤶捥愵㤰㙥㐲晥捣ㄲ攳ぢづ㠳ㄶ㌴愰づ㠳戰㌱㤶㕥㔶慥〱㤷㥡㠴攲㥢ㅣ㝣㜷㈱㈷愵搴㈴ち㐱攷扦て㜱愵搴㤵㐸㤱敢晣㈹搶㠰慢ㄴ㐶㕢戹晥愱㉤㌴摡ち㡦愸㐵晣〸捣㤶〶扤㌲㐳敥〷挰㘳愱敡戸㡡戱㘵㑡㝤挴㑡㔱㑥愹扢慦敤㙦扦昹㡦㉦戵摦㤱㜸㘷攱昹㍦扡慦㕤㍣㠱ㄴ㑥㑡㕤㔱㑥㈶攷㤹㠴㤲换ㅤ㥥㐲㑥㐶㐳㥦㐴㐸晢㥥搱㔰㈸戵㔵㥣㡤㌴㤶ㄶ扣昲ㄴ㌶㤴㉢㈲ㄶ㑡㜰㔵㈰㕦㠹扣㘲㤶㤵慢挴改㈶愱昸愶〵ㅦ㔷ㄴ㤴㘲捥㐴㈱㔰捣敢㠸㉢挵㥣㡡ㄴ㌹挵㉣㘷つ㌸㕢㌷敡晢㝢㠴戴㜳㡣晡ㅥ㌱戲㈹㈴㤶㠲搹搲〲㍥㈳㈲㌷㘷敤〶昷ㅢ攴㍥摦攰㥥㑣敥㍥㤳ㅢ㜸扣攴㝥㐸㙥㑥晢㤹〱㔱㠲搳㝦㉢户扡昷㄰搹㌲㥤扥㙦愵㈸愷搳㡤慢㥦㍥戲㘵挵㤰㌱扢捥㝣㜳挴㈹攱扦户㡢つ㐸㤱ㄷ㘷晥㈵户〰㌵㜲昴ㄹ㔲㈶愱攴摥〶捥昶㤵ㄳ户ㄲ慤挲㍦昵㈷㍥戱戰〵扥ㅢ愷昳㑡昴㤷㠲㔱㕥〶〰摦㡤戳㜹㠵晣㌱攳ㄵ攲㜳挴㤵㍥ㄲ㈸㤲晡戰㝣㌷㑥搳ㄵ㘱㥥㐹㈸昲摤㌸㠳㔷昴戹㈶扤挸㜷晢扢㐵㡦㥢昴㈲摦敤㉢搰つ晤㝤㠹㤰戶ち搵挱㍢昸㔸昸㙥㈲㡡ㄴ㤶扦攵㤵搷㠲㈲㌸戵户㔰戸㤲摣㉥捥扣ぢ㜶㈲搲㌹㡡昳〴㤳㔰㜲搳〳攷攲㡥㕥愲㌱〹㔷㥦〷摡㙥㤳㘷ㄳ㍤㜱捥㍦〷挵つ㌴愷捦敡ㅢ戴ㅥ㜵〸愸〶摦㘶愷㜱㥦晢ㄴ摣㍦㠰㉦戲昱扦捣㌱捦㤷攰㕥〲㥥捦户扥晥㤵㉡愶㔶戰攳搳搳昸ㅣ戸㉡㍥㌹㠳愵敥㔸㌵敥愳捥攲㔲搹摥敤攱戸〳㡥㘵㔵㐲敥戴㌲摥〱敦㜶㍣ㄱㄵ〵搹㜱慡㙡㠸㌰㉦て敢㑢ㅢ㌷㍦改摥扡挳づ摡捤搰㔷慤㜱㐳㠱㜹㍤㐱愵㌸づ捡㌵搶㥣㤶戹搴㙢㠵昳㕦昹ㄳ㜰㙡慢〱㉡㜰㤴㐷㜵ㄹ〰慦晣㈹㌰敡㄰愰㜱ち搱挳戵㠹攲㘶昱㜴摡〴戶扢攸㥡昵㐱㠳愲㤴㠵昹㔴㔶㈳改㐰㔳㝢㤰㕤㔵挹敥㌰晦攷㘰搵挹敥ㅥ扤㜷㙥㜶㕥敥㝦〸㠶㐵㕥摣ㄶ㈹㙦〳ㄷ㡢攲㥦攰ㄴ㥣戹捡摢敤㔸㑥㘱㘹愷摡捦〰㡡ㅢ摦攵搸昸㌵㘴扦ㄳ愰戰昱㜷〱㘳㙢扣攰晣㤷〲戰ㅥ挱㈹慥慡挰㍤〸㔸搵昲㜱扥愸㠶㡣㝢ㄱ㤰昷ㄱ摣て攰ㄵ昵㠰㙡〸㌸〲戵攰搸戱㈳㜲挲ㄶ㠹攰㍣㔱ㄱ㈶㥢㠴㥤㐸愸挶㑤㜳摦㡡扤㐱㔳捤㜹㄰〱㘹㕣㘸摡扦散㔱户㤸㘸㌵攵㑦㡤扢攴昵昸㌰戸戴㐷〰㜸戹愴㘰㥤㤴ㅥㅦ㘵㘲ㅥ㐶㌵昴㈸㌸㑦㔳㌵晦㈵〲㔶捤〵㈷㔶慡慣挷㄰戰㍥㔸㠹搹㍥㔸愹ㄴ㘳慣㔲㕤㜶敢㜹ㅣ晣摡ㄳ〰㠵〲晣㌵㌰昶㔲ㅢㄱ㉦㄰㈰愷㕦慡ㅡ㑦㈱愰㉡换晡㜲㥡愵戰㑦摢戱㘳ㄸ挱㥦昶っ㐰戱㕥㕢ㅤ慢戵㤶散捦〱ㄴ㔶敢㜹㘰散搵ㅡ㡢㜸㐱戵㌸㡤㔱ㄵ㜸ㄱ㠱㥣㜴㌸㈷㔰ㄵ㜸〹㠱攲ち〴ㅣ㉢昰㕢㜰㙡㉦〳ㄴ㔶攰ㄵ㘰散ㄵ攰㠴愲愰〲戳㠰㔰ㄵ㜸ㄵ㠱㕣〵攸㠰慢ち扣㠶㐰㜱〵づ㜲慣挰敢攰搴㝥て㔰㔸㠱㌷㠰戱㔷㠰摥㝢㐱〵攸愰慢ち扣㠵㐰慥〲昴㐸ㄵ昶て㜶㉣㕤㐸㔵慤户ㄱ㈸慥搶摥㡥搵晡㈳㌸㈵ㄵ㤳ㅦ㘹摥㈳捡㘶愱昴㍤ぢ慡㐴昷㔲ㄵ晥〱〲戹㉡搱ㄷ㔳搸㜵㜶散㤹㡣攰㑦敢〷㈸慥搲慥㡥㔵晡㄰㥣敡㙥戰㝣㤵㌶㄰㘵慢搲㜲挴ぢ慡㜴ㅥ㄰慡昰㍦㈱㤰慢ㄲㅤ㈸㠵晤戳つ敢㕢㠹㠸ㅡㄵ㍥㐶㐰㝥㐲昰㈹㠰㔷搰摢㔰㥤摦㠷㝡搹㐷〵㝡㈰㡡㔰㘷ㄲ㙣愳〲扤ㄱ㌶㔰㜲㔴㜰㡢㕡慢㐹〵㘳挱攷㘴攰㔸㤰ㅦ〷晥㐶㤴慤㐹㜴ㄶ㔴㕤扦㐴挰㙡㠱㠷㉦㠳捤㝥㐷搱扤摡捡戳㙡㕦愱ㅣ昱㔳〲㡥㑣㕦摢慡㔰挷㠱㥥㔸㔶捥㔵挷〱㍥ㄷㄳㅣ慥㔹㐵昹て愲㌹㑡慢昴摦㤸〱㐶敡敥㌱㈳㉡扤攰㐸慣㐴㔹㘱㡡昲㜰㘶敤搶〴㐷㘷㐵㜰㥢〴㝥敦㔷㡤慦昸㌹㘲㉢㠲㌰〹敤㈰㐸㙡㔰㜰㠸㔵挵昳㤶ㄶ挱㤱㔵ㄵ㡦ㅢ㌹㔴㐰ㄵ捦㘱㤵〱愳㜸づ㡦㉡㐵〵㜹㌸㉡慡ㄴ昸摦挵攴㔳㜰〴㔴㈹㤰捡㔵昷戴㍤㈶㌸㡥愹昴ㅥ愶攰昰愵搲㙢昶昴ㅣ慡昲㈵㜲攰㔱㈹慡挸挳昱㐶愵愸戶愷攰搸㤲㑦挱㤱㐲愵攰晦㕡㔳㜰㠰㔰㈹扣昶ㄴㅣっ㜲㈹敡㌸〸攴㘲㠲㕤㕡愵ㅦ挴ㄴ散捤㉡㝤㡤㍤㍤㝢㙥㉥㐵ㅤ㝢㙣㉥㈶搸晦㔴晡㕡愶㘰搷㔳改〷㈳㘶搹㘵ㅤ扢㔹㉥㐵ㅤ扢㔷㉥㈶搸慤㤴挲㍥晢㠷搱㡤㉣ㄵ戳慢㈹挲㐶㤳㘰愹㤸摤㑦ㄱ㍥㌵〹㑡挵㐳㔹㍣㝢㡥慡捣㌰挶搸㘹㔴㘵㠶㌳〶昵昰慦㡥㍤㈶㕦扣㌲㘵愰攵づ攰戱ㅥㅦ㑤㥡㜱戹㈳愰摣〹愰搶㉤㤴搵ㄲ㔹挰㑡敢㔵慣扢㤰慢愲㡥㤱㌹攰㜲㉦ㄱ搱㤳㘲㈷㥤昴㘵㕤㘵晤慥㤵挷㡣愹戹昲摤攷摥㕦昹敡昱愳㍦晣㘶搵慡㔷搷慤㝣攱㥢㐷㈳愳㥦戹昱挶㈷㡦戸敥㠵昷㠷挶慦㜷晦晣换㈹搷㥦ㄲ㤸㝦捡挲昸㔱〷㑤㍣攵搸㤳㘷〶㘶っㄹ㔵㔱㔱㔵戵晦戰㘷㜷㍥挰户㙣攱㠳攲昱㌷㜶敡挵挶㡣搹㉡㙢ㄲ挴㕡晢㘸挵昸㠷挳换㠰㤸敦㈸㡢㘵㝣㌷㘲捤挷㐷换㔵㕣扢ㅢ㕣捡㉥㐱㤴㝢搸戹㘸㥦㡡㙢㑦㠳㑢搹㈲戹敡敤㕣戴㐹挵戵㤷挱愵散㡦㕣㝢摢戹㘸㠷㡡㙢ㅦ㠳㑢㔹㔹㐹㠹戴㌶挵戵慦挱愵㙣㠹㕣晢ㄱ㙢㍥㍥摡㤴攲摡ㅦ㔰ㅥ〰㔰敢慥愳摥晦愳昲㔶愶㠴㉡ㄴ㥣ㄶ昶搱愴昰て户㐷戲ㅡㄵ㍥换㈶〴㉤㐶㔹攷㙢愶㜵㡥〵ㄷ㥤㐵㕡㤱㈲扣㙡ㄲ戸㜱㈸て〱㔶搰㜴ㄴ改㤵愲㌴㔴愶㈲扣㕣㐸昰㔹㕡ㄵ㔴愴攲昸㙤ㄱ㠷愵㔱㐱㈵㉡㡥摦ㄴ㜱搴㠳挰㐷㔰㠱㡡攳愵㈲づ㑢㤳㠲捡㔳ㅣ㉦ㄶ㜲〸敡㑢ㄱ㕥㈸㈴昸㉣挵〹敡㑡㜱㍣㕦挸㈱愸㍦㐵㜸捥㈴㈸㜹戴〰㉢㈸㔳㐵㝡戶㈸つ愵愵晡㜷ㅢ搹挸慢㘲㠷㌲愶㔰㘸㡥㍣っ㌱敢ㄱ㡡㐴慣㔵㈱㔲㝣ㄶ换愰晦〳〷㑣昴㌶</t>
  </si>
  <si>
    <t>㜸〱捤㕣ぢ㜸㔴搵戵㥥㍤挹㑣㘶㑦ㄲ㌲扣㔵慣愲㠲㠸挱㤴昰㄰㤰㈲㠴挴㐰㤴㜷㜸ㄴ㙤ㅢ㈷㌳㘷挸挸㍣㜰㘶〲㠹㥦慤愰昶㕡敡愵㔸敢攳㈲〸愲搷㡡戶戵戵㔵昱㠱戵戶㝥昵戶㥦户㔵晢戸㕦慤戵㔶〹挸㙤慢㔶㙦㉤户㔷攵晥晦㍡攷㑣捥㥣㤹㠴㤴捡昷㜱挸慣搹㝢慤戵搷㕥㘷慤扤昷㔹㙢㥦㍤㜸㤴挷攳㌹㠲㡢摦扣捡㔹㌸戵戵㍢㥢㌳㤲㜵㡤改㐴挲㠸攴攲改㔴戶慥㈱㤳〹㜷㉦㠸㘷㜳㘵㘰昰户挵㐱捦晡摡戲昱慢㡣㐰摢㝡㈳㤳〵㤳捦攳〹〴戴㤷㜴敢ㄳ戲㉢㥡慤㜴㌹〱戸㍣㥡っ扡㠲㈰〰㔰愵〱㤶㌷捥㕤摣㝥〵扡㙢捤愵㌳挶㠴搱㉢㑤愱戳敡敢敢敡敢愶搴㑦㥣㔸㌷㜱挲攸挶捥㐴慥㌳㘳捣㑡ㄹ㥤戹㑣㌸㌱㘱昴㤲捥昶㐴㍣㜲㠹搱扤㍣扤搶㐸捤㌲摡㈷㑥㙥て㑦㤹㕥㍦㘵敡搴搸㡣ㄹ搳慢㠲㤰扣愸㜱敥㤲㡣ㄱ换㝥㕣㌲㉢㈹㜳㜱攳摣扡㐵㐶敥攳㤲㔹〵㤹㄰搹㤴㑥㠶攳愹㡦㐹愸㡦㐶㥦摣㘴㐴攲昴㡥㘱㘴攲愹㌵㜵㔰扢挰搰愸㑤慢㙢㠶挵㈳攱㙣慥搱㐸㈴㤶ㄹ㌱㍡愶㉡㐹㥢ㄹㄹ㈳ㄵ㌱戲㠳㤲ㄷ㜵㐵㡣㠴㐵捥〶㤲㉢挳㤹㐵攱愴㔱捥㐲㑤搲昴㕢㑢搴㐸攵攲戹敥敡攴㡡慣戱㉣㥣㕡㘳㤰挵㤷㥣搷ㄹ㡦㤶㤷慢昲㜲㑦搹戸㔲捡㠸㙦敡㥡㌳㤱挶㡥㜰㈶㈷㌵㝡慤扥ㄴ慦㘳㠴㠸攲〵㙡㜱ㄴ㡤㜶戵愲㥢㕡攳挹㑢㡣㑣捡㐸戰ㄳ㍡慦搶挵㈴㌶㌱㑤㥦㌷㡥㝤㌷㜴㡣慡戴㈶〴㙦㠵扤攸㙡㠲㐱〰晥ㅡ㠰㜱㙦㍥晤慤晤㑦摥搳戳㝤晢愱㑤户ㅦ扣㜵摢挱㝤㑦ㅣ摡戶昷攰㔷㙥㜸㝢摦㤷づ摤戹昳挰戶㈷づ㝣昱扥户昷㙤搶㈱㌶ㅢっ愰捡摦挲愴㜳㡡愵㕥摥戶戰户慤摤摢ㄶ昱戶㐵扤㙤㠶户㉤收㙤㕢攳㙤敢昰戶挵扤㙤㔷㜸摢搶㠲挷扥〲ㄵㄵ㕥敢捡㐴㥦扢敥摤戱摦㥤晦搰愵㕦晤昹ㅢ捦㝤㝥㥡攲㍣㤳〹㌷ㄴ〵㍤っ挰㍦ㅣ㘰㐸㕥捤㠳户散摡晦挴㝤㔰㔰㡦㈰挷㐸〰愵摥㠴㐶搴敡㤹て㍦晦㜴昳晦摥搰戸㘳攵愰捥㤱㑦捦㝦㔸㜱挶㡡戸㤳挹㝣ち㠰㝦ㄴ挰㤸扣戸攲扢敥扤攵㔳搹收ㄳ〰㑡扤㙥㜵㌰晢攵㥥㔹ㄵ摥㍤㜳戶㥤㌴㘲㑢敢㡢㍦戹㑤㜱㌵㤰づ㑥㈷昳㘸〰晦ㄹ〰愳昲ㅤ昴㙣戹㜵晦㔳㕢摥扣敦晡〳㝢㜶昷散扤昷挰㡥㕤晡㑣戲㥥〵愰搴㉢㤶摣挳㥦摦戲挲愷摥扢昸晢慦晣㜲㤸攷摣慦㜶㉢㡥㘳㤱㍢㤶捣㘷〳昸挷〱㤴捦㙡㥣㌲㔱㥦㐳摣㜸〰愵㝥㙤〹㔸㝢搳ぢ㥦㜹攷ㄷ㙦戴㙣㍦㝤㐳摢摥㔵㉦晥㑤㜱㜱ㄲ〱戵㘴㥥〰攰㍦て攰愴㕥挵昶摥扢晦愹ㅤ㠷㙥搸摡戳㘹㙢捦摥〷㜵ㅤ昹㍥〹愰搴ぢ㤶搰㙦户㠴㥢㔷晦㝤㐳昳㡤㡦㕥户昳昵〷捥ㅤ㕢㔵て昲㔲㙢㐰㌵㘵挲ㅢ㌰㉢㝢㈷晣愴㍡慣㜳〳㔹改戰搰挵愶挶愶挵敡敢愳㔳㈷㠶㈷㠷㝤ㅣ㤲〳㥤㕦ㅣㄲ㔵戱㔵昱㔴㌴扤㐱㈶㕣㔵慣㌹㥥挸ㄹㄹ愹搴挴昰㘵㉥ㅡ㔲慦㡥㕤搴㠵搵㌶㘲捥捤㘱戱㐶㈳㤳挳㉡㤵敢敥㥤戰愷捥つ㘷㡤摥㙡慤㈵㝢㙥扡㌳ㄵ捤㡥㉡㑤㙣捤㠵㜳挶㈹㙥㕡慦㤰愲㘶慤㔸挱㡣慣愸㜴㥡扢搹捡㜰愲搳㘸攸㡡㥢攴㑦戸挸㔸换搲敤㝤㔳㥢㌳挶㤵㜹㙡㤱㐶つ㜸〲慥ㄷ搹㐵㜷㘹㤲㑣扤㐶㌷㜶愴戳㐶㑡搴慢㑤㉥㠹㐷搶ㅡ㤹㔶㠳捦㑦㈳㉡户㍡㥣㈴㙢㐱慤㕤㥣挲㡤㘲㠹㡣㥥改挴搲搰㐶㉡㙡㐴愱敦㍡㔸戹㝢㜹戸㍤㘱㡣㈸㘰㌱晢〴攱攴〲㜴㜳㍡搲㤹㙤㑣愷㜲㤹㜴愲㤰搲㄰㕤ㅦ挶㈲ㅥ㕤㤸㡥ㅡ攵㜲㜹㑣愸㍣㘵㘵㑡㜹捥㈹戵ㅡ㔲㜶㤶敢愵㘳㤰㜰㔵敥㥦搹㌱㠸挸㕣㜲㥤捤㑢㐶挱㌱挸挸㍦扥㕦㑤㥣㠳㤰摣ㄳ晢攵㉥㌱㐸搹攸愴挲㠹㔷户っ晥㠱ㅦㄲ〶㘷愵㜷㑣摦㈲㝢挷攵㔱㌴㜵㜸㠵攱ㄲ戹晢㌱㥡㠸捤㡦扤攳换散昵づ戵敥晥愲昵㜸㔴捦て愷愲〹㈳搳㙦戰愷愸㤱㥥㐴㌰㤹㘰ち挱㔴㠲昳〱㝣㍦挱ㅡ搷愷㐵昹ㄴ㔲㕤慡摢户㈱ㅥ捤㜵昸㍢㡣昸㥡㡥ㅣ㜰〸ㄲ〳〱㥡扢攸搲搳㠱搲㌳〸㉥〰〸〶㍤晥㤹㘴昲〷昵愷昸㌵ぢ愰敡搰摤搷ㅦ㜸攴挶㠳て摣摥戳昵㥥愰挷挷㠷昰㍦ㅥ㉡㌰㉥搵ㄲ㤹㈰㜴捣晡㤲〸㠰戲㘵㘵愵㑣㌱㍦㥣敤挸㜱ㄶ昶㑢㤴愰攰㐲ち㥤㑤ㅤ攷〰㉣㥡㙦㈴㌰㠷㍦慥愸搳挷搸攱愸搱捤㄰㌰㡤㐸戶㜶愷㈲ㅤ㤹㜴ち挱㜹㔳㌸ㄷ㙥㠸㈰㠴换慡戰㍦戹㈰摤搸㤹昳㈷攷挷昱㔵㤵㕣㘶慣㌳挲戹㐶慣搱戹敡攴〲㠴㝦戲㠸戶㐴扢㝣㐹㌳㜲㙢㌲戲ㄱ捤㄰慦〵㙢㔲㤷ㅦ㈵㉣戲㔵㐹慥㌲㐶㔷㡥愲㉢㤲㑢挲〸ㄱ㜳ㅡ㑣戵搲捡㉣戱㘵戵攰散搶㐱慢〶〹㈱㈹㍡愴㔴ち挲㤴攴攱戰挱攳ㄳて摥㜲ぢ扡愷捦㡡㕣㍣㤱慤戳捣㕢搷㤴㐶ち㘰㐸㝡㌲〷㉤晤㝥㡣㉥㝦扦捥㜲捦㜲挶㠸㡢㈳敤愶㔸愸㌲㉦㤳敥㕣挷㜸散攳㤲㐳㔹ㅥ摤〰戰敢㉦て捣ㅣ㝢攷户㡦㔸摦搷㘰晥挸愵ㄹ㐶㙡づ㜶㔶昱㈵㤷㙥挲㔷戰㍦㥡㡦挱㘴挹㘵戶㡦㜰㤶戱㕣㔵ㄲ㜷扢㍣㘳㐸㝣ㅥ㤰㑡昷㍡愳㍡戹㉡㥤㔹摢㥥㑥慦愵昳〷㐹㉤摢㘱ㄸ㌹〶扤㤵㔶㡣捦戲㔲慡慣慣㈰㜴㜵㐴挷っ㤷晤昳〱㙡づ㙣摥㜸㘰挷㘶㐴㙢〸㤰づ㝥攷㘹㝦ぢ㤰㘵㜸愰昸㉦㐶攱挲㥥敤㑦ㅤ昸摥㜷㝡ㅥ摣㙣㐶㡡〷㙥摤搶昳攵摤〷ㅦ摣㝤昰愶㝦改㜹晣㝢㍤㕢扦戳戲扥㙥㙡摢愱摤㡦ㅦ摣晥㘰捦ㄳ㕦㐷㠴昵收敥㍤攷昵㝣敢愶扡慥㐴㌶愹ㅥ㠱㤵ㄸ慢扥㜰搳㕤㌳挶㔷㕥㝢挹㥥戹挶㑢㍦晤搹ぢ㉢搵挳ㄶ愱㈸㈶㘶㈸㉣㔱晢㐲ㄴ昴㈲㠲挵〴㑢〸㤶〲愸〷搱㤴ぢㅡ捡㠵㤷㙥㐵㕤㉦㈷㔸〱㠰㘵㐹㍣㠵㔵㘹ㄵ㜱㕣㤵㠲ㅥ挵㤸㡡㡢㤱㕥㑤㜰㈹㠰㘲㜰捤㘹敢搱㤷〱昴改㝢挶收挵扥晦ㅣ戰㐱摤て㑤㌱㙣愷晦㌵敤慤㘹㕦㑤摢慡敤㤶つ㡡㡣㜳㠷㐵㈸㡡昰ㄹ搸㡢㜱搶㔰㐸〷㐱㥣攰ち〲㘶ㅤ敡㤶㍥㡤㤳㈴㑦㡡㈰つ攰㌰捥㤵挴㔹挶㘱搲㈰挶挹ㄲ挹愷㠰㘲㘲㘰ㅡ愷ㄳ愵㍥㡤挳㑣愳搸㌸㕤挰〶㜵㍦㌴挵㤴愳㤴㜱㌶昵㘵㥣㡤ㄶ愱㈸㍢㘱㔲㈲挶搹㐴㔵慥㈵戸㡥攰㝡㠲㉦〲愸慢晡㌴捥つ攴昹ㄲ挱㘶〰㠷㜱㙥㈴捥㌲捥㘸㤴挵㌸㕢㠸晣ち㠰㘲㜶㘳ㅡ㘷㉢㑡㝤ㅡ㠷㔹㔲戱㜱㙥〶㌶愸晢愱㈹收㑤愵㡣戳愶㉦攳挴㉣㐲㔱㡡挵捣㑡㡣戳㥤慡散㈰戸㤳㘰㈷挱㉥〰㜵㜹㥦挶搹㑤㥥扢〹敥〱㜰ㄸ攷㕥㔴晤㕦〷㜰㍤散ㄵ㔳㌸戱搴㝤㈸攸㍤〰敡ㅣ〰搳㔲昷愳搴愷愵㤸昷ㄵ㕢敡㥢挰〶㜵㍦㌴㌵ㅥㅣ愵㉣戵戰㉦㑢㉤戰〸㐵戹㘴㉤㈴㠹愵ㅥ愱㉡㡦ㄲ散㈵㜸㡣攰㜱〰搵摣愷愵㥥㈴捦㍥㠲愷〰ㅣ㤶㝡㥡㌸㙢ㄸ㌱㍤ㄵ攳㍣㐳攴て〱㔴ㅤ㠰㘹㥣ㅦ愱搴愷㜱捥㘳㠳㤹〰㔰㈰扦晣改ㅦ〳ㄱ搴晤搰搴㈷挱㔱捡㌸㤳㉤ㅢㄴ㉤㐰㤳㉣㠲㍢㈷昶㌱挲㜴㍦收㘵㔷㈶㥦㉤㌸昲㄰摥愴㍦戶㈲ㄵ捦㘵㉢㘳つ㥤戹㜴㜳㍣搷㤴捤㔵挵〰㔰㤴㈶愷㐸㘰敤㘸㔴ㅢ㕢ㄹ㌷㌶㉣挷㠳敥昴㘲ㄲ㌶慣ㅡ㍢戳戹戴㐴㌰愷ㄵ搳㥢搲㡢搲戹愶㜸㜶㕤㈲摣㍤愶〴搹愴慣敡㌰㔲挸昴㌲㐸昸㡥挶㤴㕥户捥㠸㤶搰戱㌵摤㤹㠹ㄸ㉤㑤㈷㐲慥愸捣㔰捣㠳愷㍤〲㌱㌵戶敦摣挸㘱㜷收ぢ㕥㐴〸敡ㄸ㔳つ㡥㐲㡦㝥㠱㄰㝤㘲愸敢ㄷ㔱挴㠸昷㌱晦攸㝦㠸㌸戲㑦㐶㕣挱ㄸ摣㙡攲慡慤敤㡤㤶㔴㌶ㅥ㌵㠲㔶㙤㘱㍣㌵挸㉡㉥敥捣ㄵ㔰挲㕤㐳㉤㑡㐳㈲戱㌸〵搷㐷挲㤹攸㠹攰ㄵ摣ㄸ㉥搳㈵捡㡦㝦挷㘶㘸㔳㡣挷昳㡥扤昳晦捥㌵㤸散㉦〱㑤㕢㑦挱㜷挹愸㌲㍦ㅤ㔱㜰㈴敦㌵攰慦愶戹昳攸〰㙢ぢ㡤㜰㑡扣搰㥡㡢㌶ㄹ敢〷〹㠷㠱〱㡥㝤攲㠴㌱戴戰㉡挹㠵㡥㌵戴㘷搳㠹捥㥣㌱㈸㕦㤲㠹慥㘳换㡣㐴㤸ㅢ㌱㔵昹搲㤲㐸づ㕢㔵㜹㜹摣㘴㌹㜱㍣〴㡢㤴㕢㕥㔲攲㈷㝦㍦㠳户昰㈶㌸㠷㡥搱慢捡攳㠹挹昵搶㙣㜵挷㌶㕥昷捦昶搸㠵㈰㉦㡦㙦㉡挴て㝣愷㠵㌳㘹愸扤〱㘸慥㜰戲㜸㔵搹㌸㙥㜲㔴挷㘴摤挳㑥㈶㕦ㄱ搴㜰敡㈴昰晥㈶ㄷ㡦㠴ㄳ㠹敥㐱戱㤶㔴㈴搱ㄹ㌵ㄶ㠴摢㡤㠴扤㘶愷㌳挹ㄳ挴㕦昲捥换昴㔵㍦㜶戱戶㥦㕡昰攲换摥搷㌹收㘵捥愳㝦〱戳捡㈳ㄷ㌲㠲晡㔷愸搱㌵摣㔴㌹愶㙤慤㈱扤㥢戲昲收〵㑢㕢ㄱ㡡㙢ㅡ戳晣晣捥㤸捣㌸〷摢㠲昴㠲㌴㜶㉤愳づ搴晣戸㠹㍡㘱收㤵戸挹敦昷ㅦ敢〳〶〶挶昵㡥ㄵ攵㘰搱㌳敢戳㘹㝦㝡㠰㍢㔰敥晤〱㐷㈰㈲捦㝥㔹〴ㄹ㔶搵㜰〵㌳〳㠷攵昱㕣挲愸㡣〹㕤捡〱㑥〹㕡戳㈲戶扣〳戹㜶㔳㜵㙣㕥㈶ㅥ㑤挴㔳〶㠳㄰散愲昳㙤搷〲㘳つ昶㝢㤷愴戳㜱扥㘵慤㡥㉤捦㠴㔳搹㜵摣㔲㠹㜴て㈹愸㠹戳㝣戱戹昱ㄴ㈶㤰搹㈷换㌵戱搶㡥昴〶扣愸敤㑣愶收㠵搷㘵㑦〸㐷㘱ㄵ戲㉥㜳㔶㜹㤵搷慢〲摥挰戱㍥慢戰㈰㐲㈴㘳㐴㉦㠱攵㉡敥ㄳ昶㌳㕦改㈵㙢户㥤昳㤵㍡ㄵ扣搳㉣戹摢㤷㝦换捤㌵㔸晦㥡㙤晥ぢ攰攲㜹㉢㕡㝡摦搱晣㔳㙦愴㝤摣搹散攷㔱㈰挳㈲扦㈱㍣ㅣ捣㠳捣愱㐲ㅣ㐷㡥ㄶ㡦戳收ㅥ㝥挱㤸昰㜰㈴攲改㐹㜶ㄶ㥢戱㕢㔷㠵㠹㡦愵ㄷ扢㥣㔸㜳〷㤹ㄵ㠶㜳挹㜰㈲㙢搱ㅡ搳挹㘴㤸㐳㡢挳戲ㄵ敢戶ㄱ㤰搸ㅡ㉢㠹㡥〱挸昸戳㔰攱㉥愰挲㕤㠲挲攳㤸㉦㜹愴㑣㔹改㌵攱㑣㍣搷㤱㡣㐷〲慣昰㐵捣〹㌱㈶㌱㠴㘴㘷ㄱ〶攵㈵〳ㄳ㠱慡㝢㐷搵摣〴㠴扢敢㤰㍢搰㜴㜴㍦㐶慥㔷㥥攱敡ㄸ㜷搰㌱㝣㘵戱搷扦㠱㌴㥦ㄷ〰换㍥㈰㉥㐷〰〶㡣㉣㐲㡡㥢摤㈴敢㤷〱愸戵㝣戸扤摣敦扥㘶〵ㄸ㠲ぢ搲攱㘸㌳摥搵愵㌳ㄵ搶〹㡡〰㕣换㈵㈵ㄳ攲㕥㜶㈳摥〲攱敤搲㝡挴挱㤹〰ㄱ慤搸㈵㉥攷㉥戸摦昴㈱㙤攳昱昹㉡〳愵晡㙡戱㘵㡤戱昶晣㥣㐷㐴㕡㡡攴晦㘹改㜴慣慣扣慤㌲㐰晤㕢㠲㔷〰ㄴ戱扣ㅦㄷ挳敦挸昰㉡㠰慦〱挰㍤㑢晡摣昷愵㜰㕦㤲晢搱㠱㈴㙦〷攱㠶ㅦ扢搴搸搷㠶㐹晣㤵㠱㌹愰敢摦〳晣攷昳捦㌳㔹昶愸㈶〰扢㝦〶慦挱㈰㡤愷㕦㈳昸〳㠰㕡〸挰戵㐶摣收搱㙦愰〸㤷㐸㐲戲ㅦ㐵㍣㉡搴㈲㝣㌳㈹戱㉦㠷㈷ㄱ㑡昷〰㑤慥挵昸㘶㌸㑤㠷ㅥ㉤㌴㔳㑢挰挷昰捣愳て㄰㌰ㄹ㤲昸攰㑤ㄴ㈸㙣㈹扥ㄹ㈳㤸㔷㥦㑦㌱搵ち〶㍥挹戰㉦挹㝥㕤㉢愷㕡づち㔷㑦㝤〸㐰慤〰攰愲〴㑥㜳㤰晥ㄱ攵愳て搲㔵搲〲㐲晥㠴㠲㍤㐸搵㙡㔴㙣挳愲〸慤挵昳㝦㐶㔱扦〵愰㉥〵㈸挱昰㌶ㄹ摥㈱挳㘵〰昴扥晥ぢ㐰摥㘱㥦㐳挵㙥收㜰搸扢㘴㝣て㐰慤〱㜰㌸散慦愸攲㠶挴㘱敦愳㐸敢㜵攰扢㙦㠷晤捤攲㡡攳㝢挰づ扢〲捣愶挳づ愳搴敢戰扦㕢挲搶攲㝢㈰づ㑢㠲慦ㅦ㠷愵㐰ㄶ㠷晤ㅦち㉡つ㔰攰戰て㠱㌸扡挳慥㘴㕢㝣昴㐷〰㜹㠷㘵㔱戱つ㡢愲敤戰㈳㈸㙡戲慢㕣㘹〶慥㕦摡㑢㠶㑥㌰㌴㤰扤っ戵扣挳扡ㅣ捤ㅣづ㘳慣慤㝤㙣戶〹っづ㠷㔵〰㘷㍢㉣㠰㌲ㅤ㜶㉤㔰㝤㍢㑣㕢㕣搷㠱㙢挰づ扢ㅥ捣愶挳㠲㘸摥敢戰㉡㑢ㄸ昷㜳〷攲戰ㅢ挰搷㡦挳扥〴戲㌸慣ㅡ㜲搵㘶搴ちㅣ㔶〳散搱ㅤ㜶㈳㥡㠱搱愳㐳㠰㜹㠷㙤〱愶㠴挳〶㠳㐷て〱㔰㕦㈹捤㌰㤴っ挳挸戰ㄵっつ㤴㍢ㅣ戵扣挳㙥㜶㌴㜳㌸㙣〴㥢㡤㘴戳敤㘰㜰㌸散㘴攰㙣㠷㥤㠲㌲ㅤ挶晤摦扥ㅤ㌶捡攲扡ㄳ㕣〳㜶搸㑥㌰㥢づ㍢ㄵ捤㝢ㅤ㜶㥡㈵㙣ㄷ攸〳㜱搸㙥昰昵攳㌰㙥㐳㡢挳㑥㠷㕣㜵て㙡〵づ㍢〳搸愳㍢㡣晢搶㘰昴攸㌳〱昳づ扢てㄸ摢㘱愴㕡㑢攲㔹㈸敢㌱〰㙡㑦㘹㠶戱㘴㌸㥢っ昷㠳愱〱ㅦ㍤づ戵扣挳戸㜹㙤换㍤ㄹ㘵敢ㄹ㜶づ㥢㡤㘷戳㐷㠰㜴㌸慣ㄶ㌸摢㘱ㄳ㔰愶挳ㅥ〵慡㙦㠷㥤㘷㜱敤〵搷㠰ㅤ昶ㄸ㤸㑤㠷搵愱㜹慦挳㈶㕡挲ㅥ〷㝤㈰づ㝢ㄲ㝣晤㌸㡣扢攱攲戰㝡挸㔵㑦愱㔶攰戰挹挰ㅥ摤㘱㑦愳ㄹㄸ㜱慥〱㌰敦戰㘷㠰戱つ㡢愲敤戰愹攰搱攷〳㈸敥慤㤷㘰㤸㐶㠶改㘴昸ㄱㄸㅡ昰搱㌳㔰换㍢㡣ㅢ敡㜶㌳挷っ扢㠰捤㘶〲昸戸敤㌹戰㙤㔶㐶㉢㈱挷摥㌷ㄳ㠳散攰搸搲捥㜰〲㈷㌰ㄷ㘳〳㈶㐷搴㠹㄰㜹㤷㥢摢㘰敥愳㘹㠵〷㌳戱㠳㉣户㜰搹㘷戹摦攴戶㐱㈱慦㜵㙦㔹㜲ㅥ摢㌶㔹搰昷散㐷㐷㡥っ慣ㄷ昸挵㔳戱㥥〷ㅦ摡摡㍣〱昶挹㠰㈶愸㘷㠱挰ㄹ挴敤㘹昲攸ぢ〹慤㑢扤㠴㐲ㄱ搶昷ぢ㘰晢挹㔸㕤㍢㑣㙣㍦戴㌷扥㘶㈶㔵㥢攰〱散㔲㠱㜹㘱攲㍡ㅢ㙤搵慦㙣ㅤ收愰挶㥣㠳ㅦ昵㙢ㅢ摢㐰ㅥ㔴㜸㍢扥摦〰ㅣ㌵ㄵ攲〴挱摥㌹㤲愲搶㕣㜷〲㠹㈸㡢㍣㉣㘰㤶ㄸ㜹㥢㘴㈸㥤捥攰㐹㕦敥㍥ㅢ㤴㙦㕢て㔱㤵挳㕣㘷戱愴ㄹ㈹捣戹㝣摦㠷㡢晡㙣㑦挵㝢扤挲㌶扣晣㡤挰て㕢ㄸ㡦㘴搲搹㜴㉣㌷扡ㄵ㥢㈹愳㜹㍡㉦㠶㙤戵〶摦㍥㐸㉣搹愷捣晣ㄴて㉢㡢愳㠳㙢㔳改つ㈹搱挶㤷攵㈱㐵昶愶㉢㉡搸つ昷〵攴㍡ぢ挶ぢ扤㡣㈲ㅢ敢㡢挰愲㥢〹收ㄱ捣〷〸晤搶㘴昴㠴㤸昱昰ち晤捥晣昶㠴㕥戵ち㌵㑣㑡㈸搲㙦㈱㍥戶慦搰㙢㄰㐵搷晡㕢愰换愰挶戹㙤㡥晤㄰晦挵挰㔵〱㈷ㄹ摦㌲㥣昴昳㕦〲捣㘰㘰ち㡦㜲㠷晥㘰㐹改㍤昰慣ㄷ㠱㔳扤〱㍣㔷慢愰㝡〸㐶攵㙣㌲㘷挵ㄲ㄰㌹㉢昶㠳㠶愲㙢㔶㌰㈷㉡挶㌲搵攱捣搰换㈸㤹愹㡥昰戴〲收㐷慤㈴㉡攴㔹㑥ㅥㄴ搸㥤晡㈳〰㐷慥晡〶ㄴ攰㜸㐱搹愳㌹〸攸㙦㜵㍦㌰昴㜹愱捦散㜴㐵㝦ㅡ㝣㝡㌵挱愵〴㤷〱㠴㤸愷昰ち㌱㔷攱ㄵ㝡摢晣昶㠴㤸㥣昰慡昹ぢ挰昱昱搹扢㤰捣ㅢ搳昴㤹愶㤳㌴晤ㄲ㝡捦挶て㈵㜱ㄸ㐱ㄸ㜸昵㔷㤴㑣㉦散挴㙤昶㝡㈱〲㈲扤昰㍥攸㈸扡扣挰㐴愷ㄸ㝢ㄸ㔸昱〲㐷扢晡扢捤ㄳ㐳㉤敦〵挹㍥㈸㙦つ㜹㔰㄰㉦㌰晢㄰㉦晣ㅢ㤴㈸昶挲㙤㈵扤昰ㄱㅡ挹捣㔹ぢ㌹㍡㐱㤰㈴㐸〱㠴挴㡦㘰〸㐹㈷㉣㌰摢攰ㄵ昲㕡㠵㥡㌲ㄴ㡥㡦ㄷ㤸愲㤴昲㠲捦挶㥦っ㐵攴ㄸ扣收慥愲㘲收㘲㝡攱挶〲㉦慣〷㥥㕥㘰㌶㠳㍦㤷ㄷ㤸扤ㄴ㘳㤹㤴㠸ㄷ扡㐸㘶㔲㈲㍣摤㠰㜹㉦㐸㑡㐱㜹㔷㔹㘴昱〲㔳ち昱挲ㄷ㑢㝡攱扡㤲㕥戰ㄳぢ晤〵戴搶搷㄰㙣㈴搸〴㄰㘲㐶挱㉢挴慣㐲ち㑣㈱愴挰㌴㠲㔷つ㌳㠸攳攳〵收ㅤ愵扣挰㔴㐴昰愷愳㝦㍤㥡攰〶愰ㄴ搳ㄱ搳ぢ㕤〵㕥搸っ㍣扤挰ㄴ〵㝦ㅥ晤㘵㐲敢㔲㑣㐹㡡戱捣㌴挴ぢ㌷㤲捣㑣㐳㜸晥ㄵ㌰敦〵挹ㄳ㈰㐶㙦戱挸攲㠵㌳㔰ㄱ㉦㘴ㅣ㕥昰㙦〵戶捦挷㤲㕡㔷搲㌵㜶ち愱扦㡡挶晡㘶㠲慦ㄱ摣〲㄰㍡ぢ〰㝦ㅥ晦慤㠰㘳ㅢ攷㌶㉥㙢㥢㌱㌱㍡㙤㙡晢戴搸愴昳愷户㑦㤹㍣㈳搶ㅥ㡤ㄸ㤳㈲搳㈶㠶敢㈷㑤慦㡦㑣㤹ㅡ㤲㔴㠳ち摦㐶〹㘳㉤〹晡㜶搶㈴换戰㘹㌵攳㠰㍡㍥㑥㘵㙥㐲㍢昹户愱攰㝥㈸摤〱㕣攱㐳㘹㍢㌰㈵ㅥ㑡攳㉤㈹㝡㉣㔵㍥㥢㘰㈷㔰慡ㄶ挰ㅣ〲攱㠲㈱㜰ㄷ昰ㅣ〲㑣㝡昰攷㥡㠸㑣㜲㡡戱捣㕤㘴〸摣㑤㌲㜳ㄷ攱戹〷㌰㍦〴㈴昳愰扣㝦户挸㌲〴㤸㜹挸㄰戸捣㌱〴㝡ㅦ㑡慢㑢㝡㝢ちㅡ挹㜲戸〷〵㝤㍦挱〳〴摦〰〸㌱昱攰ㄵ㘲昲㈱〵㘶ㅡ㔲㘰戶挱慢㘶〶ち挷挷㘷ㄷ㐰戲㑣戸ㄶㄴㅣて㈵㘶㉣㠲慦㐵晦昲摢ㄸ晤㄰㔰㡡㠱㌱晥㍣晡扢ㄶ〳㤹㐲㜶㜴慣㈴㌴㈵㌹㡦㈱㜹づ㜸攵晥ㅦ㐶㐱㍦〲㔰敤つ㌵搸挸㐷㔹㉦昳㌱挸㥡搹昷㈹ㄴ㐷㠰㔳㡢㔰扡攰㜷ㄴㄷ攱㜷ㄱ摤㜴㕣ㄹ㜶扡㝤ㄲ昶㤴㝢㉦㌸㌶㔹㑣㔴㘸㙡㝥㝣㉤㜰攷㍦㈱〷㜷攴㠸㘳㈹昱㌴㝣〲搸昴㘵㌰挹ㅢ㔶昳搱〳㝢ㄹ㐴㠲ㄵ㈷ㅥ㍥愲收搹昴㜹ㄶ㥤ㄹ愵㠳捥㄰㔴摡㌷㕢昴㔱㠵㜴㠶㜱㠳㠱㜲ㅦㅥ㥤ぢ昶㤲㈷㙢ㅢ㉣㐲搱挹㕡挶㝣昸昳攸ㅦ〰搲搹晣㈸〹收㠸㉤昰㌳㠳㍡昱昳て㔱搰㍦〲㠰㥦㤷摢挸㘷㔹㉦㔳っ捣㐴昵㤹㤶敡戶㑤㔶摢㠴ぢ㉣㠲换㈶㤷摡昴ㄹㄶ摤㘵ㄳ㠶㜸㈲㜸扡㐵㜷搹㈴っ㝡㈹㥢㑣〱㝢㐹㥢㑣戶〸㐵〷㙡㈳㤰㠴㍦㡦晥ㄹ㘰摥㈶㠶㡤㉤戰〹㐳㉣戱挹ぢ㈸攸ㄷ〱㘰㤳㌵㌶昲㈵搶换ㄴ挳㈴㔱晤㍣㑢㜵摢㈶っ㥤㠴㌰挱㈲戸㙣挲愸㑡攸戵ㄶ摤㘵ㄳ〶㕣㐲㍦搷愲扢㙣㤲〳扤㤴㑤捥〶㝢㐹㥢㡣戵〸㐵攷㘸搷㐳ㄲ晥昰〶〸㌰㙦ㄳ〹㜴㡡挶㐹㌷㔸挴㈶慦愲愰㝦て〰㥢㕣㘵㈳㕦㘳扤㑣㝤〱㕦愲晡改㤶敡戶㑤ㄸ挸〸攱㌴㡢攰戲挹㐶㥢晥〹㡢敥戲〹挳ㅦ㘹㝦慡㐵㜷搹㠴〱㐷㈹㥢㥣〴昶㤲㌶ㄹ㘹ㄱ㡡㡥捦㌲㍡挱㥦㐷晦㌷愰㙤㤳㤰ㅤ愲㈸㠹㍦㐸捥㘳㔰〹㌱づㄱ攳晣〹〵晤㘷〰ㄸ㠷㘱㠸㈰摦㘲扤㑣㌱㙣㤰㝢ㄸ㙣摤㠳㙤ㅣ㠶ㄲ㐲〸㔹〴㤷㜱ㄸ㘵〸扤挶愲扢㡣㜳㡢㑤ㅦ㘴搱ぢ㡤攳㘳㜸㔱昲っ㑢㝦扦摤攵扡㌶㍣搹㤲㐵㉥㡡㥦捣㉣㑦㌷攴㝦㍦㍣搸捥㔱㙢敤㥦敢㡣敤挵搸㠷挵散㘶㡢㌳昹㜶昸昵〹昶㙣㐰愸攵㡦㝢㠶昷搶ㅣ扦㍢ㄹ搵㡢挵挹㐰㥣㔷㌲愲戶挴㉣㕥扣㤵㝢换搴戹愵㥥ㄱ搶㙦㉢昰㘳〶㕢挰㐵愹捥㘴ㄵ敥㘱㔴㠹搷愲㜳攳㌹搹㥤搱愰㉢捤㠸捤晦㍦〴戳挶㌴㡥㤹㌲搱㔷〹㌳晥〳扤愰愵攳㠹挱㍥㜹〵昵晢㈰㈸〶㜳㤴㐷㤴摡㠹㑡愹㔱敡〷㐳挹㔱敡戳〸㐵㐷㤷敦愲㙣㠸搴ㅦ〰摡愳㔴㐹㘴㐴㙣挱㙡挶〸㐹挶攱㐷㈸攸㈳〰ㄸ㥣っ㤰〴挹攰〹㠳㤳㔱㡥㡣戱㈳ㅦ㥡て㌷㝢㜰㌲昲ㄱ挲㐷ㄶ挱㌵㌸ㄹㄴ〹晤㐳㡢敥ㅡ㥣㡣㤷㠴晥㠱㐵㉦ㅣ㥣㡡ㄱ㑡㈹㥢ㅣ〶㝢㐹㥢晣捤㈲戸㑦㉣㠷ㄸ摤挸㉤〵㜱㑢扡㤲愰ち㈰愸ㅥ戶㔵㜸捦㔲㘱〴㙣ㄴ挰慢㐸㐶㌵愲摢扢ㄶ㘱㈴〹〱㥥戹昶㌱挲㈹㌹〸攴慣㔱㥤㜹㈸愳昷攷慦扣㙢㕦㡣㕢㙦㤵㌱昳搷愷ㄲ㤴挸戹㍢搹户慡挲昹㡣っ㝥㠰扡〰挷㡤㜰㉡〳扦㠰户㌶㜶㜰っ㠹敦挹敤ㄳ〰㕡㙡㙣散㡦㉤捥攰㐸㐰㐵慣㈵㡢㐳㑤搱〰㝥搸㤵挳て㠲㔳㈷挲ㄶ㌲㜶ㄲ换㘱㕢㕣收戱㡤㤲㥢㜸昵㈰扢㑦っ㌸㑥㙥昵摡挳㍥扤攷攵戱㡥㘳摢㐰昶搷搰摦收㉦ㄱ㝢㌶敥昳慡㜷攰㔲搹㙡晡攳愴㤳慤摤ぢ㉦㝥改て㉥晦㄰〰晥敥㐹㤹㜷㠰愹㍡㤴㡤㘷㐲㕤〱㥥搰て散愱㌴㥣㠴ㄱ〴㈳〱㠲㡡㐱㤲㡣㤸㌷㕤㐳㠹㠱㤳㄰づㄶつ㈵挵㈰㡡挳㐹㔳㐷慦敡㈹愹搹愹散㠴㥡昵㙡㜵ㅡ㔱づ慤ㄸ戹挸〰ㅦ㑤挲ㄹ〴㘷〲〴ㄵ挳ㄴ改晣㜷㉥慤ㄸ扡〸攱㤵㘲慤ㄸ挶㌸戴㝡戹愴㔶攳搸㐹愱㔶攳㠹㜲㘸挵搸㐱戴慡㈵㘱〲挱㜹〰㐱昵慡摤昹㑢㉥慤ㄸ㍣㠸㔶㉦ㄶ㙢昵㕡愱㔶㍦㉦愹搵㈴㜶㔲愸搵ㄴ愲ㅣ㕡昱改㉤㕡㥤㑦挲㌴㠲改〰㐱挵㈷戴㜴晥㥣㑢㉢㍥戵㠵昰攳㘲慤昸〴愷慤晣㌳㈹挸㌱捡㥥㉤愹摦㉣㜰昹㉦〴㈸ㅣ㘵戳搹戸㔷挷昲昷㈱戱扦挷ㄳ搷昵㡡㘴㕢㤸晦捦㑢㈰搹㤶㌰㔲㙢㜲ㅤ昹晦摢〵㉦㥣昰扢㑡摤〰愱昸㤳㑦㠸㑦〳戹敢戹散慡㤱愰〹㈰愸戸昴换捤㍤改扡㙢㍥づ㠴昰㐴昱㕤㔳愶㘳㠴㍣㔶昲㕥㕢搸㐹愱㉦㉥㈱慡昷㍥ㄵ搷㘳改攳㝢㔶ㅦ㥦㠲扥〱慦㕦㜱㡤ㄶ挲㜷㉤挲㉣㈱㈸挵㜵㕢〸て㔹㠴搹㈰攸㈵挰晡㌸㠳〷扣愸攰收㡥昵㠵捤㔲昴愳戸㉥㔰㠶㕥㘶ㄵ㔸㔱㕣ㄴ㐴扢㙦戹敥㠷ぢ㠵㄰扥改扡ㅦ㉥ㅥ㐲昸㠶昳㝥㔶㔲㈸攷㍤敦㐹慦㘲㡤㔳㕥㍡晣戴㔵㤰づ㌹摦愵昹㝤慥づ戹〶〸攱敢慥づ戹㉥〸攱㕥㘷㠷㥦愱㔰㑥㘹改昰戳慣㜱㌶㑢㠷㥦戳ち搲㈱愷戲㌴摦敤敡㤰搳㕢〸㜷戹㍡攴㤴ㄷ挲㉥㘷㠷敤ㄴ捡搹㉡ㅤ㐶㔸攳㐴㤵づ愳㔶㐱㍡攴㉣㤵收摢㕤ㅤ㜲收ち攱づ㔷㠷㥣捤㐲搸收散戰㠳㐲㌹晤愴挳㌸㙢㥣㜵搲攱ㄵ㔶㠱㤵ㅡ㑥ㅢㄶ〲㥣㘴㡡搳㐵㠴摤敡敡㥥㔳㐸〸户戸扡攷戴ㄲ挲搷㥣摤愷㈸㤵㌳㐲扡㑦戳挶挹㈰摤慦戳ち搲㍤㠷昲㉡昴散敤㔲㤱换愳㤷㕦㝥戸愶㝣昴㈹攵㥦㥥㔳戵敤戵㥦扥㝥昳㉦㍦㌳敢攰〷㍢㜶晣㜲晦捤捦㝦戰慦㝤搶㜳㜷摦晤散挵扢㥥㝦㝤㐸散㉥敦愳㠷ㄷ摣㜵㜵晤摡慢慦㡣慤㌸㜷摥搵慢慦㔸㕡扦㘴㜰㙤㔹㔹㐵挵戸愱晦㜱搲㌹愱㡤㔷㍥愶㥥昹捤挸㤴㕡㙡㜷㙢㠷㠲攸捣ㄳ攲㌰㤶昵㈱㠳㐲㜵㔹つ㐷攰㜱㔵㐳〶㌵㝡捥㐷愴愲〶〷户愸㤱㌳搵攰戸㍣慥㙡挸㔰㉦㔲㠳㐳㕥搴㔸㙦慡挱搱㝡㕣搵㤰〹㔰愴〶㈷㠲愸搱㘵慡挱㌱㝣㕣搵㤰㘹㐱㌵散ㅣ㔶㥣挲改㈱㙡㕣㘵慡挱戱㝣㕣搵㤰改㔱㘴つ㑥ㄳ㔱攳㙡㔱㐳㜱愴捡㐴扢捥㥡㘸㜳搱㠴挱㍢挷㡥㄰慥㜵ㄱ攸㑤㈱㙣㜲ㄱ㘸㕦㈱㙣㜴ㄱ㜸挷㐲戸挶㐵愰づ㐲昸㐲㈱愱昲晦〱㤹㍢ㄳ昵</t>
  </si>
  <si>
    <t>Decisioneering:7.0.0.0</t>
  </si>
  <si>
    <t>CB_Block_7.4.0.0:1</t>
  </si>
  <si>
    <t>㜸〱敤㔹㝤㙣㔳搷ㄵ昷昳挷戳㥦昳㠱㘹挵愶慤摤㥡㙡㌰挸〲㥥ㅤ摢㐹捣ㄶ㈰㜱〲愴㝣㈴㑤㐲㑡㔷戶挷戳㝤㤳ㄸ晣ㄱ散攷㉣㘹挳㑡㠱ㄲ愰㘵㌰㔱搸㄰っ㐶㈷ち搳㌴㘰㙢㌷㔶ち慡㔶㑤㕡㔷㔵㉢敢ㅦ㤵昶捦愶㐹㈴〱㤵㘹ㅦ㥡㉡㈶慤㘳攷㜷摦㝢戶㤳㌸捥㔶㠱愶㘹㝢㤲捦扢昷㥣㜳捦㍤敦㝣摤て㥢〴㤳挹㜴㠷ㅥ扣昱㔸搱㜸戰㙢㌸愳戲㠴㍢㤴㡡挷㔹㐴㡤愵㤲ㄹ㜷㔳㍡慤っ慦㡤㘵㔴ぢ㌱㠸㜲㡣攸ㄹ㥢㥣㠹㍤挹ㅣ昲㈰㑢㘷㠸挹㘶㌲㌹ㅣ㤲ㄹ㔲昴㥦换攸㐸ㄸ㈵〱㉤ㄱ㤷㐹ㄲ〹㤴摢〹㜴㠷㥡摢挳㕢㘸㤲㉥㌵㤵㘶㡢慢㝡㌴㔱㡤㕥慦摢敢昶㝢㍤ㅥ户㘷㜱㔵㈸ㅢ㔷戳㘹搶㤸㘴㔹㌵慤挴ㄷ㔷㜵㘴挳昱㔸㘴つㅢ敥㑥㙤㘵挹㐶ㄶ昶昸挲㡡扦挱敢て〴㝡㠳挱㠶㜲〷㐹㕥摦ㅥ㙡㜶慦㘷敡㕤㤲㘹挳ㄷ㝣扥㠵㐵㘲昸㔴挶搲戱㘴㥦㥢㘶㤸愴扦扢㝤㐰㜵户㜷㘹㕦ㄴㅢ㘴昸挲㜲戹㈳捤㝡㔹㥡㈵㈳㉣㔳㈹户づ㐵㔸㍣挴攲昱㑥搶㥢㈹㤳㔷愵㔳搹㠱戶㘴㤴つ㔹攵ㅥ㈵敤㤰㔷㘵㘳搱㜵捡㐰㐵㘲㐳㠶㜵㉡挹㍥戶㕥㐹㌰㕢〲㘸戳搵㘴戵㤸㉣摥搹㤴〸㌵搷扢㈷㑤〳㌵ㅣ㔵㔳㠶挱㍣愴敥ㅡ㤶㑥戲戸㥢㔴㠶搱㡡㜹㝥戵㤲改㔷㤵㜰㥣〹㘵㝡㕣㐰ㄹ挸㜴㑡ㄲ㐱㍣㤲ㄳ愰㡣㠰㘰晤㉢㠵㔳㈱㈷戰㘶㔹㌱换㘱戳ㅣ㌱换㔱戳捣捣㜲慦㔹敥㌳换晤㘶㌹㘶㤶户㤸攵慤挴㘳㍣づ扢摤慣㍦㠷㜷晣愵昶㠹ぢ㙦慦㝡昱摡愲敢愹愱㝦㝣㘸㐳〴捤晡晤㥡ㄳ㍡搹戶㙣㉣捤ㄲ㉣愹晥昷戸㠱㤴晥㈸㙥愸搰㙤㈷㔵㔲㐳㥡㐳㐰㄰晥㐴㙥㠰㉢捡摦摣晢扢摢挳换摢㡦晢昷敦㙡昹昹搰㐶〱〹〸㍢㍡愵戹〴昱㐸昷〱摣㑦㐰㄰㙥改挳㜶㉥敦㕡昸㥢攷㔶㌷㕦㑡㜴挴晦戶散㠳㝥〱㈹慢つ㥢㐷㉤㍣搲挷〰㍥㑥㐰㄰㙥攸挳㑥㌴㙤㜰㑤㜴晥㝡搵㙢攲昷昷摢捡搶ㅥ戶㈱㐲㘶昵搸戴㠸㐵摤㤰㜸搰㔳㤲㘷㙣㠹㤵愹㜴挶㘲㈹ㄹ㥤㈵㠹㠸〰改ㄳ〰㥦㈴㘰㐳戴捥㥡て昸㍡㐱ㄱ挲昶〴〵搴扡扥戴㉤愱愵㘲ぢ换㐴愴〴㈵㉢㑦㕢㤱㕡昱㉣㉢㑦㠴㔲㐹㤵つ愹㉤㡡慡搸ㄳㅤち攵扢㕡㐹〳㠹慦㐶ㄷ㔰㙥㜴㈱㈷搷㠱㌸㤷㐱㌱愴㔶攴ㄱ㈴晣㝥愳㔷㌰㐷㑥戶㌶㤵挴攷㠱㘰慤〵愹ㄵㅣ㘷㠸㜴敡㍤㤲攷攲捤〲㘱㘵ㅣ愱㐹戲㕡慤〲㉤〲ㄶ攳愵㜵慡㘷慢ㅥ㔸㈷〶搹捡㙣ㄲ昱㕢昳慦㜱㜷てて戰っ昸㍦㔳㥡㥦㥢ㅦ㝣づ戱愴㤷攷ㄷㄳㄳ〹㙦㔰㘳昱㡣㥢㍥㤱ㄷ摢晦挴㝣㜷㑢㙦攸敥戴㡤㔱慥晤㍢ㄶ挶㤲㙥ㅦ㐴㤴捡㌲慤搰搴〳挶㈹㍥㐸戰戲㘰戵㕡敡㕢㉡㝥㡡㜰㝣㐳㠰㌷ㅥ改搳〴㥣㑥〹捣ㄲ愸㌴昹ㅤ㝡昱㐷㈳㤶愲㔹㔱晤㑢㍡㡤㉦㈴㙢㔳㑡㜴愵ㄲ愱㍤㠰㕤摦〱㌸㐲愹挴〰㘵㔱摡㠵昵㈷㤴㡡戲㡥㜴㙡㌰ㄶ㘵㘹〷㄰㕤戴昱戰愲㌶㠸㍣晤㌲ㄴ戰ㄶ㤳捤㔶收㈸㌶㔷㥢㈱㙢㝥㤱㡤㑤摢㌴昹户ㅥ㙤㔸㡥㘲攸㜴昲㕤换〲㙡㑡㥦㈵㈰愰捣愲㥥㐹ぢ〱ㄶㄱ戰愱攰㤶慥㈴㔴搲晦㐷㉢〹㜶㤳搳㉢㠹㈸晥㍦摢㈷㙤㈲昹㐶慣㔸㤵㐲愶㙡捦㙤㍤攳㙥摦㜱㡡搵㠴慡㘸敦㉡搸摥㑣㑦换ㅡ攲愱㥣〵敢っ挴㔲㌴〱ㅢ〸攴㉤ㄲ〱㙦㍤ㄱ㙡㈱捥㐷㐰挰挶㠱㈷㠲ㅦ㡤〰㔰搸㐲㈰ㄹ戴愷㔰攱㍡㐲戹㈶㈹㑣㠵㘶扡㕡つ挴㐶㍡㠳㝢〶㘲㈹㥡㠰㠴㌵㜴㐶㤹搲㜵㕥づ㜱㉢〸〸搸戵㜰㥤㥢搰㘸〶ち㜹㔹㕣攷㄰㔱愶攸㕣㕢㐴攷㔶㘲㈳㥤挱㍤㕤㘷㑥㉣㐵ㄳ戰㜵㌲㜴㠶㝡扡捥㙢㈱㙥ㅤ〱〱㍢ㄶ㠳㠱搷㙣慤㈲慤〷㐳㍢ㄸ戰㥢㈹挲搰〱㠶㐷挱㠰敡㙤㌰㍣㑣㈲㥣㑥敥扢㑥㌰㜴ㄱ㜰愱扡㐱㌴㕦ㄷ㑣㉥㕥攷㐰散〶ㅥ㜵捥ㄸ㕤㌰晦〶㌰昴㠰〱㌵戰〸挳㘳㘰搸〸㠶㥡〲㠶昷昲昳㍦づ㠶㉦ㄱ㜰㈱愸ち收攷攱〵攲ㄳ挰㈳扣㡡㠸摦〴㠶㉦㠳〱愱㔷㠴攱㉢㘰㤰挱㠰愸㌲ㄸ摥捦捦扦ㄹっち〱ㄷ〲愴㘰晥ㄵ㝡㔷ち愳搱㐴挰ㄸつ㈶摤㐱ㄱ㙡㑡㔱㌰㈰㡣㡡㌰㌰㌰昴㠲〱㐱㘰㌰晣㥥㐴攸昶敦〳㐳㍦〱ㄷ㥣㕤㌰㍦㜷㍢㠸㌱㄰攱㘸㄰挵㉤〴ㄶ㠴㥡㐳㥤戲搷ㅢ昶〴㝤捣ㅦ慤㡢搲㜱㌷ㄲ㙤愸昳㐵㠲挱㐰愴㠱〵㈲〱㑦戰捥挵攳㠲搸愵慤〴㕣㠸〴㐸㤰攲攸昱㤰㐰㡦搳㄰〴㌶晡㠹㐹〲ㄵ愱㘶㤹戶㤹㑤搱挱㉥㔵㔱挵ㄴ愱散㜲敢㌶㕡㜴〷挴〱敡㔴㙡昴㉥㍡㔵攱㈴㉢㙥换㡦愱戳㘶㍣ㅢ㘵㘲㥡㔰㜳挱挶て昴㙤㔱摡〱挷搴㘱ㄷ挲㡣㑦㤳愱㐶ㄹ〹っ㉢攱㔸㥣㈸愲㑡㠸ㅤ挲㔳㈳㥤愹㤴㍡㜲昳挵摤攳㍦㝥㙥㘴散昸搵昱㤷㉦㡥㥤摦㌷㝥散昲昸戳㘷挷㡦ㅣㅢ摢㝦㝡攲晣改㠹㐳㝢挶㕥㝤㜹散攰挵ㅥ慦㍢㈰摦㍣晤敡挴昱昳㘳㤷㕦扡㌹㝡昰挶改㜳敥愱㜸㈶㌱㌲扥攳戵昱㜳愷挷㑥㤲㤰〳㐷慥㕦㍤㜰攳散㙥昴㉦㥤ㄹ㍦㜱捡ㅤ㙡敤散㙥㙡㕢摦晤昸愲㈵㜴戵攰㙤慤昱㜹敡ㄷ㝢摣昵搵摢戵挸㜷〸㈶㈹㑢晡搸ㄱ昸摣㘴㌸㠳㔸ちて戲挲㝥晤㤰㜳攷户㤶㍦扥㜲昸㥤昶搱㌲摢攵㤳ぢ㍥㜸㑦搸愷ㄳ慥ㅤ晡㑥戰扡㙣攷㥡㜳捤散摤户㝥㜵慤挷㠵㑣攱づㅣ愲㠶收挰㕡㝦㌰㕣敢昷搵㐶㠲戵㕥㍦㡢㌴㌴昸愳摥㕥㍦摤㕦〴愹ㅤ慥慤㜷昱挴㈲㜶㘹㤸㠰ぢ愹挴ㅤ昸㈴㝡㍣愷㜲㌴㘴ㄱ户散〸㌵愶㌸㜰㍢愱㜲づ晣ㅡ㜵愶㍡昰改晣ㄸ挳㠱㍢〸㔵挴㠱挸㔳㍥捤㌳搴㤰㐲㉣慤㉡戱㈴戹㙦㈷㜵扦㝡て扣㌷昱挲愹敢㤷捦㑥㝣㝤戴挰㘹ㅥ户㕦昳㔶搵戲挶㉡㡦㍢㤸㜷摡㉥搲挲㡥㙡㌱㠳搳㐶㜴摦㐴愵㤴昸挶ㄷ㥢ㅥ㌹㙡扢昵攷愳晤扢㥥ㄵ㥥㥡挹㘹㈸㉦摣㘹㝢愸愱㌹㉤搰敢㠹晡㝡挳㜵㜵㕥㝦㥤扦㈱㔸搷㄰㠸晡㍣㑡搴敦昱晢挳㔱挵㕦敦攲搵㠸搸愵㔱〲㉥搴ㅦ敥戴扤攸昱㐲㤴愳㙤愶ㄶ慣㈹挱㘹ㄲ摣㈴挱㍤ㄲ晣㈱敤㈰攰㔲〸㜰づ搸㕢㍣㐴㘰昷扤㐸㤲㥢捦㝣㜳攲挸戱㠹㉢㤷㙦ㅥ扢㐴挶㕥愴㈵㕣㜵愱搱挹攴ㅥ㕦昵昶㥣捤㤱ㄲ㐸㤴㙦搰摢ㅥ㈶㌰㠳捤㤳扡㘹搳敦㘶扢愳愳㥢搶ㅤ㙢㝤愷戳戱晦敦摦ㄶㄲ㌳搹ㅣ㈵㤵摢晣〵㙡㘸㌶㙦昰㠶㙢㔱搲㤴㘰㌸攰昷㌳㉦昵敢㠲㡡挷㔷ㅢつ㐷愳㠱㕥扦㡢㔷㘰㘲㤷㡥㄰㜰㌱㕤㠲㜴ㄴ㍤㕥㝣㜳㌴㤴摢搲㌶㐷㉤捥摢晣㈴昵㥥扥〷㤱㑤戵攸晡搵ㄳ㔴戳挶㥥㌹㌸㜶改㝣㠱愹㤷㜸摣摥〰㤹扢搰摡戰〷慣㝤㡡摥㜶慣〷㌳㔸㝢戳㙥搴㠷㙦扤扦㝡敦ㅦ㍥㕣㜹㜶搹敡㐷戶昷㉣㍤㈰挸㌳㔸摢㠶昲敦㤹㜲㔸㥥㜶㤷㌹昵㔲㐶愴㐱昳ㄲ㙤ㄹ扡戸愴㑢摡敥㔴㔳敥㝡㜲㉥㍦㠳ㄱ扥挶戸戲㔹㤰挷㌴㠵㌳愹㜸㔶㘵挶戰昶㜴㙥ㅣ㕤㔰搰愱㤴㡦愳ぢ㥥㜹昹㕥挱搵挴〳㜹㙣㕢㌲㐳戵㠷㐵つ㠹ㄹ扡㜷戲㥡㉤㐲㘰戶㉦愱㜵つ户戲摡㘵㡣㜱昷㙡愷捦㜹愰挸㜹戰㌹愶昲扢㙥搰〵〹ぢ慦昸㕤〲㔲攳晣愶昹㜴ㅦ敤愹户㙤㈲戳㝥戴㌹攱搱晣㐹ㅣ㌳攰㜱㑡㘷〸ち㔸愱㈱ㅡ愸昲㤷〸搰挱愰㈵㤵愰㕡㝢户慥戰戱扥㑤扤㌸攰㙥搷愶挹摤㘵ㅢ㑢㌷ㄲ愲㍣搱ㅥ〹㜷愷ㄹ扦㠷㜶昰づ摤摡㔴㈴ㅥ㑢愵户㠶㔳愹慤戸㜲慡攴扤㑣㍦㘳㉡慥㠶换ㄲ摡づ〰㙤㐱㄰㉣㤳ㄶ搱挲〵ㄵㅦ㈹㥥㈵㌰㘷㝣摦㡥昱ㄳ晢戴昴㤸戸昸扡㜸㡥㤰ㄶ㤲㈲㝥㡦ㅡ敥㡤ㅢ㌷㑥㕤昱㤷㘸摢㠵昱攷㐷挷㉥㕣戹㝥攵㕢㘳捦ㅦ㥤搸户㤷敦〳㠴ㅥ㍤散摦攸㥣搳晣搰㉢ぢ搷㥣昹摣摢㘵搵㡤昷㈹挲〶㥤㌰昵㕡㔹挰㑡㡢㥣㄰㈴慣搳攲て〸攴晣敤ㄵ㍡㘹㤸攱ㄸ愷㜴〱㝣㔸㡣つ㤴㠰ㄵ〸愶ㄵ㉦ㄲ㤸昶㈹㍦㈴愴㠵㑥㙢攲㡦愸昱㔰搱㑦攱㠵㔸搳㝤摤㑣扡慦搵〹搳慥㜳㐷㐹慣愶晢ㅥ㙡㠹㍦㈱㤰搳摤㈷戴㑤搲晤愷㐴ㄴ戰㈶攵㜴㐷㈵㠷敥ㄲ㜴㤷愰慢〴㍤㠵㤶㤹昴〸改㠴㘹昷挳㈸挲㥡ㅥ㈸攱攲敢㄰㘵攴㑣慤戰㘲㤲ㅥ㍦挳ㄴ愸搳㌹㍤㔰攳㡡改昱㠵㤹昴㔸慡ㄳ愶㕥㌸㕢㤱㑢愵昲摡㐲㜴㝢㐲㔶昰㝦㤶㈳㈱挷㔹戲㑦敤捦晤㠷㐵㌹改愰㍦戱㝥㐱㑣㔸散昰〸昰㌸愴㑡㙦ㄲ挸㘱㘱㑢㡥晤㘵㈱ㄶ㕦挶戱㙦ㄵ㘰攷㐰ㅣ慦收昴㌶捤㠱㤸㝣て挳昳㍤っ换昵捡晥〹扥㈱ㄴ㔵</t>
  </si>
  <si>
    <t>㜸〱敤㕣㕢㙣ㅣ㔷ㄹ摥㌳摥㕤敦慣敤搸㡤搳㑢㑡㘹つ愵昴攲攰挶㘹㐳㈹㄰㠲㉦捤愵㌸戱ㅢ㍢㈹〸慡捤㜸昷㑣㍣捤捥㡣㍢㌳敢挴愵㔲㉢㘸㈹〸ちㄲ㌷㔱㈸ㄷ㔵〸㠹〷㙥㉦㕣晢㠲㠴〴㐲㐵攲〱㤰㤰㜸㈸ㄵ㠲〷㄰㡡〴てㄵ慡〴摦㜷㘶㘶㜷㘶搷㍢㜶户㉤戸挸愷摤摦㘷捥㙤捥㌹晦昵晣晦㤹攴㐴㉥㤷晢㌷ㄲ晦㌲攵㤹戹㘶㜱摤て愴㍤㌱攳搶敢戲ㅡ㔸慥攳㑦㑣㜹㥥戱㍥㘷昹㐱ㅦㅡㄴ㉢ㄶ敡晤㐲挵户ㅥ㤴愵捡㥡昴㝣㌴㉡攴㜲愵㤲慥愱㥥㠳昰㌷ㄲ㍦攸散㌵㤸〷㔸㥡㤹㥥㕦扥ㅦ愳㉥〶慥㈷昷㡤㥤〹晢ㅥ㥡㥣㥣㤸㥣戸㝤㜲晦晥㠹晤晢挶㘶ㅡ昵愰攱挹㐳㡥㙣〴㥥㔱摦㌷戶搰㔸慥㕢搵昷挸昵㈵昷扣㜴づ挹攵晤户㉤ㅢ户扦㙤昲昶㠳〷捤㍢敦㝣摢㈰㕥㥤㍢㌹㌳扤攰㐹搳㝦㠵挶㉣㜰捡户捦捡慡挵戵㐹改㔹捥戹㠹㤹㘹晣㥦㤸㍦㥥敥㤸㔸㕣㤱㌲攰慢愵㈷㥤慡昴㜵㜴ㅣ戰愷㝣扦㘱慦㜲昳㜴晢〸㤶㕡㌵晣愰㘰捦挸㝡㕤户攳㔱㑢昶㍣昶慥㙥慣て摡㡢搲昱慤挰㕡戳㠲昵愲扤㠴㠱㙡㐳昶㘹㕦㥥㌲㥣㜳昲愴㘱换㠲㝤戴㘱搵昲㘱捡昵摤ㄸて㤱㥣㤸㕡晥挴㤴㙦捦慣ㄸ㥥㥡㤱捦㡤挹㘸㝢挴慢愶摢㕥摦㝤㕣㑥㕤扤㠱㘳摥搰扤ㅤ㙡捥ㄸ㕥戳攵㜸昷㤶搱攲搳㌳戸戵㝢晢挴ㅥ愵晢摣摣扤㡦摡捡㜴㙢㌱㄰搱户摡㔱㉣㐶㉦ㄲ昴ㄳ㤴〸㠸㐰扤㑣㌰㐰㌰〸㈰昲晦〰㤷㈴㍢戲㑡慢ㄸ㕡㘵㔹慢㔴戵㑡㑤慢㐸慤㘲㙡㤵㜳㕡㘵㐵慢㔸㕡攵㝥慤㜲ㅥ㙤攲㔴敡敦搷愲昴昹㥢㠷晥昵扢昱敡捣户敥晥攷ㅤ〷㝦㌶㌵㌷戸ぢ㡤敥㠹㈶㌵敢ㄹㄷ㐰㙡㉤㉡㍥㌰〱㥥搸ち㔷㠰㈹捣㠳收ㅤ收攴㘴敤攰㝥攳㌶愳挰㘵㘵㈰㍦㐵㈸㈳㘸㍢㘸摥㙢㌹㌵昷㠲挲摤㌵搳㠶㉦㕢ㅢ㌷ㅥ搵㑤扢つ愷收扦㙥攳捡挵挰〸攴搵敤㜵慤㐱㍡扡㉤㠲慤愴慦摥㜷㙤㝢户㌳㐶扤㈱愷㉥㕡㘱昵敢摢慡敤〵捦㕤敥㕥㝢挴㤳て㌴㙢㍢㘶㌴〵愱戶愶挶敥㔸㘵㔸ㄵ捥㙢㙣㘶挵昵愵愳愶㌷㙥㉦㔸搵昳搲㕢㤴ㄴ㠹戲愶㤶㝡㌹慢㈲慥ㅦ㥦㜷戰㔰㜰㙢敤㡤挹㔲昳慥㡢〱㤸㔹搶㌰摦㔵改〵敢㑢挶㜲㕤㕥㤱㙡ㄲ扥ㄳㄵ㝢㔳挵㐷摣㙡挳㥦㜱㥤挰㜳敢改㥡愹摡㥡〱㐹㔳㍢攱搶㘴㍥㥦㔳㐲〱〲户慦㑦㠸摣㉤摤㜹㐱㈱㈲㠱㘲㌲昲㔵㘹戲㥢㌸㠵搵㘱ㄵ㜵㐹㥡搴摥戴挹㘰㥣慦㤲㌱ㄹㅣ㤸㔸ㄳ昵〷㕦㝡搳㈶挳㌶㌱昷敡㌶搶戴搱㘸昵㜷慤㐹㈷㌸㘶㌸戵扡昴㌲戵㥦攰㡣昴㘱㠰挲㈵〸㠴慥扢㐷㔵㈷㉥㡡昵挲〵慢ㄶ慣ㄴ㔷愴㜵㙥㈵㐰ㄹ㌴㘴愹挴慤敤㐸晡㘵㈸搲㜷ㄳ㡣〲㤴换戹攲ㅥ㌶㉡㤶㤱㜲〵㑡愷っ㕥㑥〹㜲昶㑢昱昲愰㜹挴慡〷㌲ㄴ捡挳㈶㌰ㄲ㙡㌵㠵扥㈱㤲愸㘷㔴㐳㠵戱挷㥣〱㤵ㅡ㤶ㄳ慣户昸戶㠳㑢㐲㈲摡㤱〵摢㑥ㄶ㔰ㄴ愴攵㐱〶慦㠱㘸摡愴㐱㜶攳〴ㄱ㤱つ㌲㌴㍢㐶㑥ㄳㄹ摢㘷挸〸戴㑦ㄲ㈱㕢敦敦㉥㈳㐸散㥤㐴捡㑥㕤昹㜱㐷㥡㙤㘴换㠷搲散㜲㙣㥣㝥〵挱㤵〴㔷ㄱ散〵㄰㝦㠶㠴愳㤴㐳㍥㥤昴搷攱㔹扦㠶攰昵〰㤰㑦㍡㘵㑥㈴慡㘸㐳㙤挵㡥㘴扢㈱搸挹捡㈸づ㐵ㄱ㉤攳愶㥤㌹㘴㉢㐴㐷㔶攷昶搰戵㜹愵㘳摦摣㥤㌶㤳换㈱㐵㘶㌴㑤慥㜵㤳愶挹㡤㘰搳ㅥ昵搶㜵攸慡㡦ㄱ扣〱愰慣扦㤱㄰捡㠵〶敦搶㉣㝡㥡㤴慦〹戳㈸㌴㠶㝡㔴昰ㄱ㈱昳〸㤰㈱攴㍡㡥㉦㍢㌶㌴捤挱㜱昳㌵㙦㐳敦敢捥摦ㄱ搲摢昴收㡥摥愱扦攸㈵㕡搱搷㠳扤挴ㅦ扡敡㤸ㅢ㔰慤扦㤹攰㐶㠰㌶ㅤ挳搳昷㑢昵ㄴ㈸戳搸㑥㘰㙥㌷扤㉥捡捡㕤㕡㕦㤵㑡〳つ㥡㑢㠶㜷㑥〶昰㘰ㅣ㥦㠵㉤散㝡㥥慣攳㔰㕢㔳〵㍣扦㕣㤹㉥昴㡦㜸慥捤昲ㅤㅢ搹㝦㑤㈸㠶㝣㕥敢换戵搹挸ㄹ戶㘶挲攷㤴愰ㅣ敡攰摢扡ぢ㠹㐴愷㌴㜹戱㕦昶昹㜲㐷㤲昴㈰㐹㙥挶戶敡户〰㐰㑡㠸摦㜶㤵㈸晢搸散㉤慡㔹摡㘲愵㠷㉦攳㜴搲收㐳散㤰㈳〳愱挳㜶ㅡ晥〳㝦挸㕥戴散愶戰ㄸ戰ㄷ愴㔷㠵㙦挱慡换㜲攸㤶愵愸搹㤱ㄵ慦ㄱ㔹搱搷搷㜱㥥捥昰慦㈹㍡㘹㤳ㄲ㤹摣㥥㔹㤹㜱ㄶ㙦ㄱㄵ摤㤰ㄴ㉡ㄹ慥愱愶〴㈲攵戱敤㡥㠸改㐱挴摣㡡㡤搳昷ㄳ㑣ㄲㅣ〰㈸晣ち㤲㘶慢ㅢ捦㜰㔸晦ㅡ㕤摡㤵㑡慥㐴㌴㈸ㄷ攱戳㕤㠵搵㐱扥收慤〴㜷〰戴㤹㍦㜴㐰㘶㄰愲㐲㜹㠲㄰㔵ㄸ挳㍣㘳挹ぢ愴㠱㕤㈶〲㑢㌳つ㍦㜰㙤㐶㤶㠶捣㔹昷愴ㅢ捣㕡晥㉡㈲㔱愳㘶㤴戹㜷㐵㍡愰㉥て戶㑦㕢㤹扢扡㉡㙢扡戹攸㌶㈰摡㡥捦㙥㠷㠳㌹戶〳戶愴㍡㥢㙢〲愹户昳㌱㠶㄰搸㘹攵㙦愵㌷㜶㑢摥㙦ㅥ晡㠶㕢㍢扡㘴〵㜵㌹㘰㠶㑣挷㝣挹挴㉥㈲㜲㔰敢㌷㤷㔶㍣㈹㘷㠷捣愳㥥㔵慢㕢㡥㈴㌲㘰㘳㌲㔸㌷㈷捦㈱㑡戰攰㌲〶攸㍡㐳收㤲㘷㌸晥慡挱㠰攲晡敥搴㤳ち㡢ㄴ捣㘹换昱昱ㅡ㠵㐵收㠷捤挵ㄵ昷〲㈲戶つ摢㌹㙡慣晡摢〲㉢㈴晡㌰㈹搴〸㑤㘸㥡㈸㘹愵㕥昱挳〳㜹㉥㐷摥换ㄳ㈸㕣攵ち昴㤹㘷㘸㙦摡昵㔱㡣㠶㜶㍡攷㌴㠸攸㔱戳戰㉦㔳ち㤳㔳昵㍢搹攷敤〰㜷ㅦ㍤㝤扣ㄵ㤹㝢㔹㌱敢〲扤晣ㄹ㌲㕥㤱㐵㌳㄰㐲ㅦ摤慥㤰㔴㔸㐶捡〱〷〲攳㝣㙡㈷扦戲愹摡㤰晡㜶戵戲㐷㄰㐹ㅡ㌴攷㡣㘵㔹㐷㍣摡㌶㠲㕤攱〳捤㔸摢愸晢㔱摤㡣㙢摢〶㐹㡢㘴戹㔸㌵㐸挱㔳㡤挰㍤㘱㌹扡〹愰攸㉦㉡㌲㉥愲挸戸愸㡡〶捤㔳っつ慡㍣挷㜲捦ㄹ㥥ㄵ慣搸㔶戵挴〷㠶敦戶〵㑤㠲挹㈹㜹攳ㄴ换㡣戱㌶㙢晥㌴㑣㌶㝦〲攸㥥㠰ㅣ攵搶ㄱ晤愰㕣㑤ㄴ昱㥦攸搱戱〴〱愳㍣愵晡㍢㌱㕡㐱摤㡥㠰挸㔱改㔲㝣〷攳搲挳㈸〹㠵㄰戱㥥㐱㈲昰ち㈶㠴㍣㕤摣㐵昳戴㘳〵挰ㅥ㌱㜶挴ち㘶㝤愰ㅣ〰㔹㜵扣扤㕡㘱㌵搱㘹扣愹ㄵ慥敢慣㑡愹㠹㙢㍢敢㤳㝡攳㑤ㅢ㔴㠷ㅡ㈵愱㐸㌶㙢愴㌴换〶㜳摣㑥慡㐶㈸挵ㅤ㙢ㅢ㤱攵㌶㙤敤㍢愵挸换㔰㑣㡡㘶㜲晡扢ㄴ愱㈰搰ㅢ改㈸晡散戳挹㈳ㄱ戱愱つ㔰愶㥥ち换㠶愲㤰攰㜱㕣㍢愹挹㜲昴〴晥摥ㄵ㘵攷ㅢ㐱慡挶戸㌸ㅡ搵㑣搵敢昳づ慣㠴慡攱搵戶〹㑢㘳㙤愱㠶㔱摣搹慢昶て户㌷挱㠸ㄱㅢ㌲㉣㤲攱〷〶ㅢ㠲戹ㄲㄱ㔵㕡㘷㐳摣敡㘶㜱㠹㑦㈷愴攱㈸っ㉣〶戵㔹戹愶捣戰㤶㈵㍦慡㍡㌴㑦㡢㑡㡥敡收搴戲て㤵ㅥ㔰㡥㐷㌹挵攰扡㜹㡡㙥㈹㕣㘲㠰搸㡤㜲ぢ搵〰愱摤收〰㍣ㄹ㙣ㅦ散㘰㐷挲搰〹慤㌳㑡搰㘲〶攱愶ㄷ㐱摥改ㄱ愳㄰愴愶㑡㝦㍦㉣扥昸㈴搳㌷て攷攲㑣挴㐴っ㜷㘵㔸て㐰㙥㌲㌲㐹㉥ㅡ㡤〳收愱㘴㔳㐲㙢㌰㉥愳㠹㌱㐴㤳捦ぢ㜰㡢㠷戱慣㘱戲㑤ㅤ昷摣〲ぢ摡戴扥扥换㍣敥㔴敢㡤㥡㔴慡㌸㤶搵㑡㈳㙦ぢ㝣愹㉢㠰㈱㌷㘵散㑢戴㈹挷㜱㤴攲㤲㠹愴摥敤㙥晤㌰扡㉢㈱㠷㌱㐲搵挷〰㘴㠶㕢㑥〵挴㍡敥㈹搰㍥摣摤扡挰愰㉥捦㐱愴㜵ㄴ㔱㤶捤攱㍥㕥㌳㡡慣戸㉤搱㙣捥㥤㜳㘹戳㈷㡡㡥㔹㘱搱戶挰ㄱ搶ㄹち扣㘲ㄱ挶㐸㡦摣挱㐱㜲㤷愲攸敥愵㠷搵㘳敥ㄲ㔰愱㌰㈰ㄸ攳攵㈹㈸㠷㕤〵㈳搱攰搶㕡㔶户㘰昴㤷㤶户㍥〵㈰ㄸ〶愶㐱㡢㤶愱㠱㌳㠳晣收〶捥㜵㘸㤵ㄱ㈱㑤〶㔳ㄹ愳ㅣ㠵挳ㅥ㐸〳㌷昱㈰扤攴㐲〹〵㝢搴挵戰昸㙥攲戸㡤㈳㤰敢㕤搱㔶戸㘰〴戸晥攲散㙤㉢㥥慡搵㘸敥挲㍦户㉤戰㡡慢ㅢ愱㌹扡愷敤㔲㤶㕡ㄳ敤扢敢摢㉡愲换㠲〷㘶㈷㡥ㄹ㐱㜵㘵㌱㔸て㉦㙥昵㑡ㄲ㠵㘷攰㡦搸昰敤戴㤹昳づ㉦愲慥㜱敦换攷ㅤ昷㠲愳收㔵昰㜹敢てㄴ㠲㉢㤴晤㥣㘴㌹昷㙦晣愷㤲㤶㉢晣〴㈳㙥㘵摡ㅣ愰攵㈰攱㌸㉡㠵搲㘰っ昹っ㍡㠱敤摥扣㌵㐰㍡搹搳㐶㈷㑡㄰散㄰㡡㜳敥ㄵ㈳ㄴ昱㘳愰㤵挴ㄲㅥ挹戱攷摦〰敢㡢ㅦ愱㠴〸挷㜳㈴㐶ち㙦㐰㉥〳㜵㑡㤰㐷㔷㍣㜸㈱攴晦〷㑢㌱㌷㙦挸㑥晦〵㘶ㄶ㍦㙣㐷搱戵㐴搱て㍡㔰㈴㜸つ㐴昱敦摤挸挴愹挰昰散㑢ち㠴㜳㑤㍢〷搰㔷晤挲敦晦昰〰㍡ㄷㄱ㠷戲搱㄰㙡扢〱捦㑤ㄳ愱慦挳㐴㘰昰㕥㤹〸㈷㤰ㄱ㡣攲㠷㈶㐲攴〳㤹㐷挱收㈶〲㘳㝢ㄹ㠶㘰㈲搴㥡㜰㙢昰〴㜶㠵㑤晦搸㌱㕣扣㤵㍥攲昹㔰㕡晥っ㍣㔲㔷㜶ㄶ㉦ㄸ㥥㘱敦㔵攵㐷㍤〹㘵收㉤攱㈶户敡挲ㅥ㔷㙦㔸愳㍡㙤攰慢㠸扤散㍢晥㤴慤摤㕦〷愶挲ㄴ扡敦㐵㐹ㄴ㕦㠶愷㐴昰摣㤰晢攰㥥㙦ㅦ晤攳㠳㡦ㅥ收㙤戵㠸㔶ぢ户㈰摦㑢挸㥥昶〴㠲扡㠹㡢㈲㤷昳挳㥣ㄳ昸㐴挹㕡慤换㘹挳㔳㔶㤰慦摢㜱㌶㈴扣〴㘱㠶挴户ㅤ㑣㑣摣㝢〸㑤捣㠹㌶㜷愷晡戰㐹戹〸㈷ㄲㄳ㔷㍥扤㌸㙣㈸扡㉡戲ㅥ慤捤挲㜷愱㡡㕥攲㐴搲㔶㈲㑦㥤㑣㐲㝣愷㕤搷ㅤ愴慥ぢて㌲っ晢挷㔲ち昱〷㔲㐸昲㈰挳ぢ〱㑡㑡㥤㐲愶㜰㉢㐰㐶㘴慤㍤挴㑢㝦挰㡥㄰㤰捤㑢㝦㍤㝥挴㠲㕤〴ㄶ㘳㕦㝣慦㈷㕡摡愲戱㙡㘲愸㔶搹㌴㡢挸愸挳ぢぢ㈶攳搲㤴愵㜳〰愵㕢㜶㐷昱㈵㐳㜶ㄸ㜸ぢㄹ扢㘰搳搷㔶戶敦㜲ㅡ戸昹〱㍤㔳㔴ち挳搹捤㘲ㅣ㐸㔵㡣㉥㙣㕡づ㡢〸㠷挳㙣戳搳㐰㔴〵㥤攵散挵愹ㄴ挱㍦㝥㈹挴晡昱搶搰㤷户搷㔰挷㌹晤㔸㈰㝦戰扦慥捤㘰㙣扣㤵ㅣ〳〹扢愵㔶愵昰㝡昸㘹㜴攱愲㜳㐲㙦㘵搵戳㌸㠸㍦㌱㘷昵㘹ㅤ晡㥦搱㙢挵㔹㘷搸㥢㘱散㤴晥㝦㉦ち㌶搵晦㠲戱㌷㠵挸昷㐵ㄹ㍥ㄴㄸ㍦搹㌴㘴挳ㅤ㠱㘷ㅢ挱ㅢ㜵㌰搶㔵㤶㈱敦㌰户㠸㡦㔷挳㙡㈵挱攱昷捡户㕦㡤㘸昶愵㙤㍢搰㔵〰㌲㌶㔴昸〶㐴㔰搷晥㘹戹ㄵ㥦㙥㡢敦㐷挷㍤㈷慣慡攷晡慥ㄹ㡣㉤㈲攸㍢挶㙦捦㑣搸㍣㔳攲敢敤㐲敤㝡散挴攰㝤攸㜳㜲ㅥ〲晢愴っ㕥愹㔸㈴㈳ぢ㕢㡢㘴昰㍢愴㤱㐴㜸㠹摡挱扦捣扣愷㘱搴昱改敡㍣㝣㥤〱㡢戶㠵戲ぢ㍤捥敤㌷㌴戸㜵戸愳昵ㅥ昸㠳㘴㝤〲挱㌱戵㠴昷摦挷㝤㙤摦㠳㜴摢㘸㙤㍥㕢昶收㜳㉢ㄷ㥥〶㑥户昶㤶㌴挹昰㥤晣㈲戹慣㔷〸㜱㘹晦㌰晥㙥摤㐱换搱㐶㐱攷搱〷摤㜴㠴㡤搷攱㍥摢㐲昴晢㉣扡㡡㈹〲晣㜴㈳捡昰㐱搰换㐷㔶ㄴ㕦挱戲挸〰挸攷㡡㔵㠰敥㔴晤搴㐶㔴㍤ㄲぢ㘴挱㌳〶挹戱㉣扥㠴㠶摣慥㜰搹㘰〹㉥㕢愸戳〴昲㝡摣〳昹㥣攰㔹㐲㑤攴ぢ攸搰㥣㠸㠵搲敥ㄳ昹晣㐶ㄳㄱ戴〲搴㐲㤳攳㡦挴㕡㐴慦愳㕡户〹ㅣ〲ㄷ㘰㤸㘲㤱戲愶ㄸ㠶ㄶ㝥㐴捣㈰晤㍡晡晢摣攱㕦㍤换昴户挳㐲〹㐲㔴愵㈷㑦㐱愸㈶晦愹攴攴㍤㤴㜶㥦晣ㄳㅢ㑤㝥㠴㌲㤲㌳搱〳㠰愱㍥㔱挱ㅦ戵㤸〶㌲摣㐷晥挴㔹〲晣㔲戳ㄸ㌱㔰愲晡㕥㐰〶㝤戹攱慡搵㐵㘴攲扥〵慥㍦攳攳ㅥ㘵ㅦ昱㈲㈴㝤㌹挵搰ㄹ㕢っ戵㘲挹㡥扣戰摢㐲㌶㘰㐹晣㕡戶慢㐸㉦昶ㄸ攱ㄷ㡦挷㠸㌹㜶㉣晥㜲㑡㡢㘲㑥㈰㡣搰㈲㈵晤㜰㈳挵㐷攲挶摦晢㝥换㘵㡡ち㈴㔰㑦搸㤸㜴愶ㅡ㍦ㄶ㌷㍥㠰慦戲㔴㥢ㅣ㙦㄰㌰㍤ㄷ㌷㈶㍤慡挶㡦挶㡤晦㝡㘰㙦戳㜱㑣㠷攱挸〵ㄲ㐹㠶慤慢慣晦挴ㄷ摡挳㘸㕥㌰愹㍦〷捣戰㤸㤲㔳㠵㡥敢㑡㠳づ攲㌲㠸㠷㙦愴攷㜰户〹㔷㐰㈰㘴挳㝦㉡攱㌸敥㍣捤ㅡ㠱㠱㑦愰搷㄰㙣昶㜴昵挴捥㐵㜳摥㐳㐱扦㜹摣挷㤹慡戶慤㐸〴收㐰㍥摣摦㑤㥣昲ㄹ愶㘳㙢㍦攲㈰㤹挶㍢㈴扤㈹てㄵ㔸挹㡢て挵㤸捤㍤搲愲ㄹ晤㘱㈰〷搲ㄱ㤰ㄹ晤ㄱ挰㌰㄰挳摢捡戹ㄱ昲扦㘲敥て戱攲挳〴㡦〲㤴〵㤹㥤㜴㔰㝣っ㘰㌸晥㠷㉡挶搶㤴扦㐴ㄳて挶㉦㑢㤲㤱晥㌸㍢㝣ㄴ愰て敥㕢ㄱㄱ㘱㔹晦ㄸ㑡㤲㉦愵攰㔰㉦晤㌸㉢㍥㐱昰〴㐰戹挰挹㙥㜹搷戸愶ㅥ㌵搷㈷搱㔵㍣㐲㠰㥦晥愹㈸挳㠷〲昷攱ㅤ摤㙤㘵ㅥ㠵攳て晢ㄱ敡㑣㝤挱㝦ㄷ扥挸㕦攷愲晢昰て㤲ㄴ㤴㘱㥦搷摥摥摢㔸㘴〲摡攴敡户㡡捤㝥ㄹ攳㜰㕤慤〸ち㐷愴㔲㈹㘹㐵㐱㝣㜳挱挲挵ㅢ昸㤶㐳慡㐲〸搲㠰慡㜰愲㡡挳㈸搰㍦挳愶挴㌱昱愴㝦㤶㑦㐴慤摡挴捦㐵ㄹ㍥〸攲㔵㜵扦㍦敡ㅥ扦㤰戸㔶ㄵ㔶摢ぢ㠹㝦㔵戱㤲㝣攱㤳ㅣ㑣㈱ぢ㤹戴㔶㈲搲ㄴつ㝤〹㤹愱扥㘱捥敤㕥晣戴㡢愲㝡戶㜶昶散ぢ挳昹戱慢昳敦㝤昷攰㤳捦晤昲昹㑦晦收〳㠷晥昲攲㔳㑦晤收㑦㥦㝥昶挵㘷㤶て晤晣改愷㝦㜶昷㔷㥦㝤㝥户昹㌵敤晢㉦捣㝤敤愱挹昳て㍤㘰㥥扥攵攸㐳敦扢晦㥥挹㠵换挶晢晡晡晢㙦ㅣ晤挵㔵㌷㡤㍣昲挰て挵㑦㝦㝦愵㈳搴㜲昱㠲昴㌴戸㙣㌵㡤㉦㈳㠳㘹㜰挶慦敡㌴戸㕣戵㔱换搱㐶㑤愳愰〴㥦〶㈷愰㉡㡣㜴挵挰㝦〰㌴㠳戲㉣</t>
  </si>
  <si>
    <t>Decisioneering:7.4.0.0</t>
  </si>
  <si>
    <t>CB_Block_7.0.0.0:1</t>
  </si>
  <si>
    <t>㜸〱敤㝤〷㤸ㄴ㐵ㅡ昶搶㠶㘶㙢〸㍢㡡〱ㄳㄲ㑤㜰㝢戳ㄳ㜶㜶㔴㕣㤲〴㐵戲攱㌰攰散〴㔸摤㠰扢ぢ㠲㝡〶㔴捥ㅣ搰㔳㔱っ愰㘷扡ㄳ戳㤸搳㤹戳愷㥥㌹ぢ㠸攷㤹捥㌳㥥晡扦敦搷㕤戳㍤㍤㍤ぢ㜸摥晦昸㍦捦㍦捣㝥昴ㄷ慢晡慤敡敡敡慥㙦扡㑢㔴㐹㐹挹㑦昸昰㝦㝥捡戹戱昵戴〵敤ㅤ㤹收敡㔱慤㑤㑤㤹㔴㐷㘳㙢㑢㝢昵㠸戶戶攴㠲〹㡤敤ㅤ㘵㌰戰㘶㌶㐲摦㕥㌱戳扤昱㠸㑣攵捣㜹㤹戶㜶ㄸ㔵㤴㤴㔴㔶敡㔲攸户㜰晥㠲㠶搱昴搲攵㈴戰㉡搱ㄶ㐹㌷㤲㑡ㄲ㑤ㄲ㈰改㑥搲㠳愴㈷㐹㉦㤲㉡㤲㈰挹㐶㈴ㅢ㤳昴㈶搹㠴㘴㔳㤲捤㐸㌶㈷改㐳挲昲昵㤶㈴㕢㠱昴搸ㅡ㘴晡愸㤱㤳ㅡづ挱摥㑣敢㘸㙤换っ敤户㡦㕤攷㘱㌵㌵搵㌵搵搱㥡㔰愸㍡㌴戴摦愸戹㑤ㅤ㜳摢㌲挳㕡㌲㜳㍢摡㤲㑤㐳晢㑤㥥摢搰搴㤸摡㌳戳㘰㝡敢愱㤹㤶㘱㤹㠶㔰愴㈱ㄹ慤慢㠹挶㘲搹㐴愲慥挷㌶㠸㍣㜱搴挸挹㙤㤹㙣晢㉦ㄵ戳㉦㘳㑥ㅡ㌵戲㝡㘲愶攳㤷㡡戹㉤㘲㈲攴攸搶收㘴㘳换㉦ㄴ戴㠲㙤ㅡㅢ㥤㐹㌵戲昱㌳㤹戶挶㤶㔹搵愸㜶ㅥ搰攰攲搵㈳摡摢攷㌶捦㘱㍦ㅡ㤵㘹㙡㥡㥡挹㑡愳㌷㡦㙥敦㤸㥣㙣㙢㙥敦搱㑣晣㌲㙤㤹㤶㔴愶扤㔷昳敥昳㔳㤹㈶挷戰扤戲㜹㥦㘴摢挴㘴㜳愶㥣ㅢ㔵捤㜶ㅢ㡥㑦㘷㕡㍡ㅡ㍢ㄶ昴㙣摥扢㍤㌳㌵搹㌲㉢㐳㤳㡡收戱㜳ㅢ搳慡扣ㅣ摦㤲戲敤晤㙡㈶つ㠵晡㌴㡦㥡㥤㙣敢㄰㡥㑤㔸攳㘷敢敡㉥戲ㄷ㜹昵㘲㤷敡攷昱㘲㥢㑤㙢㙣摥㌳搳搶㤲㘹㘲㈱㙣挹㈱ㅥ㈳〱挸㙥㠷ㅣ㔲㘶㜷搸㑡慡扢㜳昰㜱㕦㔸㡡搵て㘴㡢㠹慤㙤捤攸㤰㝢㘵㤲㉤挳㐲㐳愷㜵愴㐷㘷收つぢ㔵㠷㙢㜴㝦愸昵〰ㅡづ〴搹敡挳晢慥晢攰慥换㔷摤㝤散慡㌳捦㕥戵昲㑦ㅦ摣戳㜴敤ㅦ捥㕣㜵摣㤹慢㔶慥搰㠳㘸㍡ㄸ㐴㤵扦㠶㘳摥㕤ㄲ㡦扢搲㤹挹搲㤹つ愵㌳㔳愵㌳搳愵㌳㌳愵㌳戳愵㌳㘷㤵捥㥣㕤㍡戳戱㜴收㈱愵㌳て㠵㡤昹㔴㜶敢㔶敡㝣㤶慣㕥㍣攸愱收㍤㜷㕦㜸昲㡢摢㙣搱㝣收㌰挵挳㕣㐶㠹敤戱戱㕤戱㥡挷㐲愱㔰愲㉥㤱㠸㐷㙡愳㤱㠸摥〱戶㝡㐷㄰㙢㈷扡㡦㡤㈴昴㄰㡡㠶㠲㈸昵〲慡换㉡扦搳㝤㤷㈵捤㑦捦ㄹ㝤捡搰㔳㥢ㅦㅣ昹敥㈴挵搱㐴捡慡挶挶戶㜹㘵㔵㠷㙡㙡㍡㤱ち㠵㈲㔱晤㕢㐶っ㠱㔸㌵㈰㝤㔷摦㝡敡㠷搷晦㜱捤戹㔷㝦㜰㉦㌶㑥㔸戵㘲搹㥡扢敦㕣扢㘴攵慡敢ㄷ慤扡昳㑡ㅤ愶㜵〴㐴愹愷㥣昲㑦㝥愵散扣㥢㔳㝤㠶㕦㌸昸摢㉢㠲㥦扦㜹愲攲㐰㈶攵挷ㄸ搰㔳㝥㈴敡慥㐰㡤慥㘵挰㌸㠸㔵㐷戲敡㡣㑢㔷㕤㜲慡㑥㔰扡㌳㠸㔲て㍢挵慣㈹晦㜷㔹摢愳昱〹ㄷ敦晦㔳敦慡戳ㄷ昷㔳ㅣ㉡愵㤸㕤戱攱㈹㈶ㅥ慤敢摣捤㜰戴㑥て㘳挰摤㐰慣㝡扡敤ㅥつ敢攱ㄴ㡤〰㔱敡㕥愷㡣㝥㠷㥥晦搵挱㕢て㤸㜸搶摥扢㙥晢攷〷㌶㕥慣㜸㔰㑡ㄹ愳戰攱㈹㈳ㄲ㜱ㄵㄱて挷昴㘸〶摣ㅤ挴ㅡ〳攲昴㍡ㅢ㑦㙦慦ㅢ㑢搳㜱㈰㑡慤㜴捡扥慥挷ぢ愹㘵〳㥦摦攳捦㑦㍦㜸挹㌹挷㍤扦戲㠲㈷㠰昵㍡〸㜱㌴㘱ㅣ㜰つ㈳扤㌸〴㡣㥡摢摥搱摡捣㌱攰㤷ㅤ㑢㑡㥣戱㐴つ昶㍢㡡敤挱挴慥搱㝦㌹㤴っ昴挴攷㔰㌲㘹㑥㠷㌳㤴搸㐵晣㈲愳㠹搲㝢戰㌹昶〴戱㈶㠰㙣ㄲ㡡戸㐷㡣戵ㄷ摣戶㝡挵慤㝡㉦摡㑣〴㔱敡㐶愷挹㕥晦晤搵扤敦晥昶晡摤㤷㥣㜰换改慢昶㈹㤹愵㜸扡㤶敥㌲ㄹㅢ㝤昲㝡㝥㘷㕦㠹攸㈹っ㌵ㄵ挴㥡㐶㠷戱㤱戰㥥㑥搱摥㈰㑡㕤敢㐴㝦㜹戳㘳愷㥥扢捦㜹㝢㕥扢攴摣愳㝢㙤㝦摥㤳慡㍢㡤昱㘷敤ぢ㤲搷ㄹ攳搵戱㔰慥㌷㠶挱搴攸晤㘰愳㝦㐷敢ㄹ㈰㘵攳愳ㄱ扤㍦㐵〷㠰㈸㜵戹㔳㐶挹挷㈵晢捦㍦晥㥢㤱㈷㥤㜲攲昳ㅢ㥤戹攸㔹挵㘹㠶㤴㜱㄰㌶㍣㘳㐷㌸ㄴ敢摣㡢㔰㌴ㄴ搷㌳ㄹ昱㘰㄰㉢〹搲摦㐶㙤敤搲㘳㔷摦戸㜰搵改㝦晣攰㥥搳㍦扣敡㠴搵㔷㉦换昵㝥摤㐰㠷ㄴ㠸㔲㑢㥤㉡㍣昲晡挳晦㝣㝤慢㙥㈳ㄷ〶〶扦㜷㜱昷攵愳ㄴ㈷㌹㔲㠵っ㌶昲㜶㌳㔱㕤㔷㥢㌰㔵㠸㔴㠷敢ㄲ㍡换㠰戳㐰慣搹㈰㝤昲㐶慦㉢ㄷ慤戹攸㍣㘷摣㙡愴摤㈱㈰㑡晤搱㈹昸攴㙦㤶摥晦㜵换捡㤱户㕥㝡晤搶㠳晢㘴收㉢㑥慣愴攰㈶㙣昴换㙢扤敡㔰㉣㔴㙢㑡挶戴愸愶戶㑥㌷㌳㘴ぢ㠸搵ち搲〷㘷㤸㌵㤷ㅤ昷攱慤㌷慣扥昴㑦㜹㐳收ㅣ摡ㅤ〶愲搴ㄹ㑥搱㉦摥㜷换挵〷晤昸捦攱搷散㜹㕤昵愱扤敢㜷㔶㥣捥㐹搱敤搸搸㉡慦攸捥㔲㈳㤸㕤改づ㐶㥢ぢ㘲捤愳捦搸㐸㡤㍥㥣愲昹㈰㑡晤挱㈹攰愵㍦㍣㝦㘲晣㠴㌳㠷慦ㄸ戵㘹户ㄳㅦ㤹㜱㠴攲㔴㔱ち㌸〲ㅢ㕢攷ㄵ㔰ㅤ㜷㌵㉢㠶戱㈳ㄹ敥㈸㄰敢昷㈰㑥愳㍡挳㤸㙦愳ㅥ㑤㠷㘳㐰㤴㍡搶㈹㝦收捤挳晥戸㍣㌰㘵挴ㅤ摦㝦㜵昶搳㤳㉦㝢㐱㜱㤶㉡攵ㅦ㠷㡤㠱敥昲㝦〳㌸ㄳㄱㄷ戸攱㜸㈸ㄶぢ敢㠵㡣㝡㍣㠸㜵〲㝤挷㐶㙡昵㠹ㄴ㉤〲㔱㙡㠱㔳搰㘹搵慦捣摤慣搷扦挶摣㥣㝥户晣摡〳ㅦ晢㑣挹㑣㤸㈶晡㈴㕡㥦っ㘲㥤〲戲㐹㈸㙡㜷㑦㝢㑦㥣㠳晡㔴摡㥣〶愲㔴扢ㄳ戱戲敦扦㙦晣攴愵慢挷㕦㔴昵摢㤵㥢㍣㍥㑦㉢㑥慢愵敡㘷㘰挳㝢㐸㜴昶㐷散㐶㕤愲㔶㥦挹㠸㘷㠱㔸㘷㠳昴㔸㝤搹敤慢敥㍢摥敥ㄵ㝡㌱㜵攷㠰㈸搵攴㤴昶㐸昷敥搱㈹㉦摦㍥昱挲㝤戲〷敦戲㘸㐰捦ち捥摦㈳㥥㤱捦㜷〲㌹〶㔳昶㔴戲扤挳ㄹ昷㜹㌶晣㘵〷晡㜵捦ㄹ挷戴愵晥昷㜳㐶ㄴ昲㡢㡣昲晡㡦㐴晦㍣㄰敢㝣㤰昲㘱晢愱慦㕦㐰搹ㄲ㄰愵戲㑥㡢㕣晤攱昲ㅤ㠶捤㜸㝢搴攵晦散搱㙢晢㝦摤搰愶㌶㠵㕡摡晦㈲㙣っ昲㜶㕤㡣ぢ搱捥㐳戴㈶ㅣ㡢㈴㙡昴㔲㠶扤ㄸ挴扡〴挴㤹〹㝣戸攲摥て㔷㜴㡥㠵捥晣昳㔲㥡㕥〶愲搴㑣愷〶捦慣ㅤ晡敡〷㕢㝣㌴㝡搱昹て㝥ㄱ㥣㜰晥㐷㡡㔷㜲㔲㠳攵搸搸搱㕤〳捣㜶㕤〷㙦愴㌶㤶愸㑤搴挵㙡㙡㙡攲㈱っ捦㤷挳㕣㕦〱㘲晤㠹ㄱ挶㘲搲㜳㈵㐵㔷㠱㈸戵㥦㔳摣つ㡢愷敥㜵昹摡㜳㐶㉣慣晦戸昵慡㡤ㅦ戹㐱㙤㑥㘳晣㔹搷㠰攴つ挰攸攳敥㠹ㄵ㠶㐱㝤㉤㙣昴㥦㘹晤ㄷ㤰ㅥ昶攰捦㘱晦戲扢昵㜵搴慤〰㔱㙡㡡㔳搸搱攱㜹ㄳて㜹慥摢㕥攷ㅤ晤摥㥦ㅦ㜸敢搹ㄲ搵〷㙡戹㘶扤㠱挶㌷㠲㔸㌷㠱㤴て㥢㠱收戹㤹戲㕢㐰㤴摡搳〹昰攵㘳扤㌷㍦㙡摣搸搱攷㝥昰摣慥㝦㝡昰挲㔱㡡搷戵㔲摢摢戰㤱㜷㜸挶㌱戲攵㈶㥢㌸㉢搶㘱〸㔹挹㠸户㠳㔸㜷搰㙦㝣㌴慡敦愴攸㉥㄰愵㐶㍢㠵摣戹攵㘶㍤ㅥ搹愷㘲昷㠵愷扦㝤收㈵〷昴戱搴㤶㌴挶㥦㜵て挸〰㜷ぢ㜰昸㡡扢㐷㉦㥣㝣ㄳ㌱㝤㉦散昴㝤昴戸ㅦ〴愳㔷㑣㍦㠰つ晤㈰㠸㔲挳㥣㜲搶挶㑦㍥㝤攲㤶㥦㡣戹㌴㕤昷攷敢扦㝤㘸㤲摡ち㙡㐱攳㈱ㅡ㍦っ㘲㍤〲㐲㌴攲晡㔱捡ㅥ〳㔱㉡敥〴ㄸ昵搸㐶慦㍣昳㜷㍤昶慥㑦攷㑥扢昰挰昳㝢昵㜸〲敡㈹捥搵搲攸戶攴攱戸晥散扣戴つ㔷愳戲敢㜳㑤㡦㑢晡㙣㉣ㅢ捦搶搴愴㘳愱㘴㈴㔹搱ㅦ㘱搷昷攲㤱愷㥡ㅥ搹㝤ㅢ㕢搲慤㠷换ㄴ㜰敢㤱㐹㑣㐷㜳ㄷ㤷㐳ㅣ摤挸搶戹㉤改昶慤晣㤵搳㍡㤲ㅤ㤹㉤扤扡捥㈰〵㙥搳㜰慤㥤㘹㤷昲晡㝡摤昶㐹㌶捤捤㡣㤸摦㘸慢户昱愸㜱愵摤摡㔰㕣㍢愶㉤㜳㔸㑥㕢㔰愳ㄱ戸ㄵ㌴㑦㘲ㄷ散愵慤戲敢搵㙦搴散搶昶㑣㡢㔴㙦㐸昳攴挶搴愱㤹戶㘹ㄹ摥㐸捡愴㘵㔷㌷愵捡戹摣ㅦ㌲愹〵㍢㡡ぢ昸昴〰户㌴扢晢晣㡥㑣㑢㍡㤳㐶㝤攷㘴摡㍡ㄶ㑣㑦㌶㌴㘵㌶换㌳戱换㠴㘲㡢㍣昱㤸搶搴摣昶㔱慤㉤ㅤ㙤慤㑤昹㥡ㄱ改㜹㐹摣㘲㐸敦搵㥡捥攰づ㐱㌹㍦㈵慡愴慣㑣愹㤲㥤晣㑥㐳㡣摢㕥㉤つ攱㙡攲㙤搰收㝤昲扢㕤昵㔴散ㅤ昶愲㈹挳㍥㔹㍡㘸ㅤ挱㈴㉥挳散㔸摣搰戵㑦扣敢㐶敢ㅤ㡡㕢㑢ㅤ㜳㉤昷扦㌵㉥㉤敤敤散晤敥昳㜰ㅢ㘶㕣戲㈵摤㤴㘹敢昲㥥愱㘲㡤昴㤳㈰ㄵ㔱ㅣ捤㐵搱㉢㠷㠵㥡慦ㄶ㔴ㅣ摥㤸敥㤸㙤捤捥㌴捥㥡摤〱ㄹ敥㉢㔶㔶ㄲ摡㠲㡦㝥ㅡ㈲晤っ挹戳㈰㠱㐰㠹昵ㅣ㡤慣㠰㝥摥收㉢〶攰晦昵扡戶捣扢挱㔳ち㉦㉤㌷㤴㜰昷慦扤愲ㄹ㔳㤰昶戲㌲扦扤ㅣ㤷㙣㥦摤挱敥搹戵㤲昱晥㐶昲〲㐸挵㈰㤰㜵摥㍦攲㑣戹㥣户挹㝡㌶㡦捥㘴㤳戸㌹㈹㐷户㑡㔶挸戵㙥〵愴敤㈹捤ㅢ㘳攳㜱慣捣户戰㠵㠳扦㐷㌳㝢㝦㘶㝥挷攸㘴㐷戲㕢㌳㙥戱愱㤵㌴㡣㠶㠸㤷扤㐵捦㥥㈲㌳摥〱㠷㐳㠴愰㙣扡愲㜴ㄷ㠱ㅤ〹〷づ㡥㤷㤲㌲㠷㜶扤ㄳ愸㍢㈷㌴㤶户愳攷摦㉡挳ㅤ扣昴搸㑣换昴〵㜳㌲敤㌴慦戴扡㠴搲㝢㜸挹挵㜲慡㘱敦㡥挶愶昶㙡搴㜴㙣㕢敢摣㌹扦㘴ㅣ挶搲㉦㠲㤸㑦挵㄰昴攲昵摦㈷挰㔵搲㙤ㅥ摢㘶收捣㤲㑡㐶愳㐴て㈴㘱㙦㐵戰㥦昰㥦㝣昴㉢昸㉦搰㤵慥㘲㌰㉣㌶攴戶㘲〵散㝢㌴㑦㑡㌵㑣㙦换挸㡤搲㑡㘱㠰㜶捦收㝤㕢摢づ㙤㘸㙤㍤㤴昷㑥㝡〹搷㍥㍢㤳改攰捤挷敥捥捤㔶戹愹慡㔴㔹㔹摥晤㐲搷㕤捡㙤ㄱ摦㝡〳愴㙡昵挹挷慥㕥㝡戲㝤〹扣收㠶晢慣㌷㈱㉣挳㡤㔰敢㉤㙣散戶敡愲㝢㔶摦㝣挳慡ㄵ㈷慦㕥㜲攷敡ㄳ慦㕡晤挷㈵慢㑥㔹戶〶㌷摤捥㕡戴敡㡥㥢㔷㥤㜹挳㍥㌵搵戱㤹㙢㤷摤戱收愲ㄵ戸晦㠶晢㤶ㅦ㉥扢晡㌷慢慥㍢慢㝡㝥㔳㝢戳敡て㤴㜸て昰挴晡㍢〷㥣㜹㜴㘸挴搲昷㑥戹㝤敤戲挹户愹㝥㡥愲攰㐶攴づ㈸㤵㘷㜳晤㉥㠸敡ぢ㌳㡥㍥搸捥晦攸昷挱敢て㐸㔶㠱㘰っ㤱㔶挱㄰戲挶㘶搵㡥昸㥦挳㠸晥㤰㘴㉤㠸ㅡ〲挲㠳㔸㝦〴㘲㍥㙡㔳挴㘷摦㘰晢㕡ㅦ㠳挸㙣愸愰㡤㍦㠱㈶愰愹㉦㙣㝦搱愹愱搰戱㥤㌵㜱搵挴㔱ㄳ㐳搵ㅤ挱㝤㐱〸㌸㡡㠲㍢愴扦㠵㥢㠰昰㌵晤㉢㘱收て挲户㉣攳㍢㤲敦㐱㕣㈰晣㘰戳㉡㠴晦〵㠴ㅦ㘹㐴ㄸ㔵ㄸ㐴㐰㤰づつ㠶ㅦ昵搳㡦㥤㈰攸ㅡ㐸ち㜷㤲换㑣㠱慥㜴㉡〲㍦㍦〰晥㡤攰扥〰㝣改㈸ち㙥搱搶㈲㤲〰搰ㄳ㠵慡㉦㘰收て㐰ㄵ搴㍡㐸戲ㄱ㠸ぢ㠰摥㌶慢攲〸㈴〰㙣㐲愳㑤㐱㔴〲㈲〱㘰㌳㜰收愳搶扡〱愸㠳戸㄰㠰㉤ㄹ㔳㜷愱㔳㍢挳捦て㠰户㡢〱昰㤶愳㈸戸㜹㍣っ㤱晡戳ㄶ〳㔹攵㌷㡡〲㌰ㄸ㙡扤ㅤ挹昶㈰㉥〰㜶戴㔹戵ㅢ㠲〸〰㍢搱㘸〸㠸ㅡづ㤱〰㌰ㄴ㥣昹愸ㄷ㕣〰㔸搵搰㤴敤ㅥ愹㉢〴㈱〴㑤㐰㔳㕦㐴愷㐶㈰愴ㅦ〸㡦ㄷ〳攱㌱㐷㔱㜰㜷㝢㌴㈲昵挷㥦㑥愰㌸昵㐸㔱㄰㜶㘱㙤㜶㈵ㄹ〶攲〲愱摥㘶搵敥〸㈲㈰っ愷搱〸㄰㌵ㄶ㈲〱㘱㈴㌸昳㔱昷戸㐰搰㘳㈰㉥摣挹㌱㡣搹㤵㑥㡤㠳㥦ㅦ〰㌷ㄷ〳攰㈶㐷㔱㜰㡢㝤て㐶㉡㍥㠳㠴〶愷㑥㤹㤹㕡戰晣㝦㘲ㄲ㙦㑦摤㝦收㜴搴ち攰㔳愲昶挴捥㑡㜳㑥㘲㜳㑥〶愹搸ぢ愲昵戹㈱捦慢㜱㤵㔴つ㉡愵搲㉡搳慤ㄹ㌷散昷㥡搵戶攱㜳戳㕥㜰㤴〹㤶ㅤ愰㠷㘱㘵㍤挳㌰㥣戰〵つ〳㙢㤹昱昵散ㄴ㘰㜲搱摢㜰慥㤹㕢㉥昶㉦㍤つ挴扥㘳㜲慡㠰㔷ㄹ㙥㥥挹㝦㌶戵昸改ㅡ㍥搴ㄳ㐰昵㐵㠰㕦㙡愶昷㝦扢扣㕦慡摥挴挰晥㝣㔶㥦晦㝦挹昰㝣晥㥤晢〲搶ㄴ挰㕣㍥㙣㐲㌸㔱㌸㤲㑣㠳㉡㄰搰戴㈸愲散㑡愷㈶愲戰摣㌰㘳敤㡦㈸㤶㍤㈰搸戳㡥换㡢㡤㌶换ㅤ㐵挱敡搰ㄴ〴散㡦㍦㍤ㄳ戱搴㘵㌰昳㍦改㈶㔹攱〶㤲ㄴ㠸㙢戸捤搸慣㥡㡡㈰㜲㝣㘶㘹㌴ぢ㐴㑤㠷㐸㠶摢搹攰捣㐷㥤㡦㌲㜲㔳慦㐳愰㈹ㅢㅢ昶㌹攷㌴㐱ㄳ搰搴ㄷ攲㈴㍡挵㤵愹ㅣㄶ慥愹搷改挵㐰㌸捤㔱ㄴ㉣㘲敤㠷㐸晤昱愷攷愲㌸㜵㑡㔱㄰づ㘷㙤收㤳㉣〰㜱㠱㜰愴捤慡摦㈱㠸㠰㜰ㄴ㡤㝥て愲昶㠷㐸㐰㌸ㅡ㥣昹愸攳㕣㈰攸ㄹ㄰ㄷ敥攴㐲挶散㑡愷づ㠰㥦ㅦ〰㠷ㄷ〳㘰㥥愳㈸㔸㘱㥢㠹㐸晤㔹㡢㔳㔹攵㡥愲〰㥣づ戵㍥㠳攴㑣㄰ㄷ〰㘷摢慣㍡ㄸ㐱〴㠰挵㌴㍡〷㐴㌵㐰㈴〰㥣ぢ捥㝣搴愱㙥〰㤲㄰ㄷ〲㜰〱散〳扡ぢ㥤㑡挱捦て㠰㘴㌱〰づ㜶ㄴ〵敢㝢㔹㐴敡捦㕡㉣㐳愱敡愰愲〰㕣づ戵扥㠲攴㑦㈰㉥〰慥戲㔹㌵ぢ㐱〴㠰慢㘹㜴つ㠸㙡㠴㐸〰戸ㄶ㥣昹愸扤摤〰捣㠶戸㄰㠰ㄵ㡣愹扢搰愹㐳攰攷〷挰㥥挵〰搸挳㔱ㄴ慣㌳㜲攱戰㍦㙢戱㤲㔵ㅥ㔷ㄴ㠰㍢愰搶㜷㤲摣〵攲〲攰ㅥ㥢㔵㉤〸㈲〰摣㑢愳晢㐰搴ㅣ㠸〴㠰晢挱㤹㡦慡㜷〳搰ち㜱㈱〰て㌱愶敥㐲愷づ㠳㥦ㅦ〰戱㘲〰㐴ㅤ㐵挱㙡㈷㙦㕦昵㘷㉤㥥㘶㤵挳㐵〱㜸ㄶ㙡晤ㅣ挹昳㈰㉥〰㕥戰㔹挵㜵㔰〱攰㐵ㅡ扤〴愲づ㠷㐸〰昸㍢㌸昳㔱㍢扡〰戰㕥㠱〶〳㘱扣㄰㠴搷愰〹㘸敡㡢攸搴㝣㠴昴〳㘱摢㘲㈰昴㜵ㄴ〵㉢戲㐷㈲㔲㝦晣改昷㔱㥣摡扡㈸〸慢㔸㥢搵㈴㙢㐰㕣㈰慣戵㔹㜵ㄴ㠲〸〸ㅦ搱攸ㅦ㈰敡㘸㠸〴㠴㡦挱㤹㡦敡敤〲㐱晦ㅥ攲挲㥤晣㡣㌱扢搲愹㘳攰攷〷㠰㉥〶㐰愵愳㈸㔸ㄲ㕥㠸㐸晤㔹㡢㙦㔹㘵慢㈸〰摦㐳慤晦㐳昲〳㠸ぢ〰摥㔱〰慢㡥㐷㄰〱愰愴ㄴ㐶ち㐴㥤〸㤱〰㔰ち捥㝣搴て㍦戸㑥㠷攵搰攰㑥㐴戸㄰〴ぢ㥡㠰愶扥㠸㑥㉤㐲㐸㍦㄰晥㠵〲㝣㉦挴扦㜰ㄴ〵换搵㈷㈱ㄲ慦㐲㥣㤹昷挹搸ㅣ㠰㍦㕤挵搲㤹㉡慡㑥〵换搹户晤㔹㥦㈹搱㐶㜰挳㤴㈸ㄲ㉡慣㝥㙦愸㌰㈵愲㐵ㄱ㘵㔷㍡㜵ㅡ㉡搱戹摦㥣ㄲ搹㜳愱昷㡢敤昷㝢㡥愲㘰㔱晤㑣㐴敡㡦㍦扤㉤昷昱ㅤ㤸昹捦㠵晡戳愶〳㐸〶㠲戸ㅡ㝦戰捤慡戳㄰㘴〰〳㙤㐷愳敤㐱搴㘲戰搲昸㍢㠰㌳ㅦ昵㌲捡㌰㜳㈱㝤㌶挴㠵〰っ㠵㝤愰㉢㥤攲攲㝤㈷〰㥤户愰㥥㉥〶挰㔳㡥愲㘰㥤㥦慢搱㕤慣愸攵㉤慤㙦〲摢扣ㄵ戵ㅥ搹㌱㡤㑤ㅤㄹ晢搲戴㉡㡢㉢㔴㍢攱㔴㉥㔵㝢㜲愱愸㉤㤹戲㔳㌹㌷挹㡥挲㕡ㄱ㌲㕣㍢ㄶ挸㠲㠸㤸ㄴ慣㔵搹㑢㌹晦㝦㐵敥㔷户㈲㈷敢㜱㜹慢㜲㕤慣㜸愱搳㜸搶攴扡㌶㜶㜵愲㙤搰挵㝣敦㥦㑢㝦愹㐶攴晣㑥㐶㝢敦捤㝥㐹㔳挹搹扢㍢㈱慤㐳挵敦戳戰戳ㄷ㜶㔲㍡ㄵ㕤ㄵ㝢〲捡晦扦愶攸晤ㅤ㠲扤愶ㄸ攳㐸㔸㑢ㄲ㈷愹㈳㐹㠰愸㐷㡡づ戳扢搰㘶㔷㤲㘱㈰慥㘱戶ㅥ慣㌵ㅣ愴挷摡攵㈷㈰㜵㙡捤戵攷慦㍡昳㜲㥣㜴捦㐳〳っ挰㥦ㅥ〱愵ㅥ㐹㡢㔱㈰ㄳ挷㘵㥡戰㌸晤㑢㈵晥㔷㕣㠰㈲扡㕥㑥㐳攷搹ㄸ㐶㥢㌵㑦㕢搰㤲㥡摤搶摡㠲㥦㕦㜰㤵㙦㐴ち㤹昳敤㉡㘹㌵㑦㘸ㅤ㌵户挳㙡ㅥ搷㠸晦㝡㌴㑦捤捣挹㈴㍢㐶㈱昹〰㑢㠸ㄳ㤰㐰㈵ぢ㠴攳搳昳㌷晣㈶搵㉦户㠰㔸㔲㡥㕤㈸㔱㌸愱㥡㌵㐴攵㍤㜴敤愵㍣〷摥敡搱慤昸ㄵ㐶㐶㝥㠰㐲搸㉤ぢ㡢挱扦挲ㄵ挲ㄲ㍤ㅡ戵扢昴昳㙢㜷ㄹ㝣昱昵㍦㌹晦ㅦ㠳昵ㄶ昹攸昳戱搳㠵愷攱戱㜰〹㜴愵㔳㑢攰㤷㍢つ㕢ㄳ㘰㕦㠶㙥㘰捦㐵㙥㉡㜶㉡扥搱㔱ㄴ㈴㜸㉤㐵㌴㤹㡢㑣㐶㈰㜵㝤搱㠳㘴㉡搴㝡ㅡ挹㜴㄰搷㐱戲㡦捤慡㡢ㄱ㘸〰㜷㘹㕦ㅡ敤〷愲㉥〵㉢㜳㤱摦㠱㌳ㅦ㜵㈵捡挸捤㐵㉥㠱戸㄰㠴〳㘱ㅦ搰㕤攸搴㘵昰换㠱攰扡㈷戳戴ㄸ〰ㄷ㌹㡡㠲晣戲换ㄱ㐹〰挸戲捡㑢㡡〲㌰ㅢ㙡摤㐸㜲〸㙢搷戹㈶搸㘴戳敡ち〴ㅡ㠰㍦摤㑣愳ㄶ㄰㜵㈵㔸〱愰ㄵ㥣昹愸戳㕣〰㔸㠷㐱㠳㤹戸捦㡤愹㜶㘸〲㥡晡㐲㠰㐴愷慥㐲㐸㍦㄰ㄶㄵ〳攱㐴㐷㔱㤰昵㜶㉤㈲〹〸㐷愱㌸㜵㝣㔱㄰㡥㘶㙤㡥㈱㌹ㄶ挴〵挲㐲㥢㔵㝦㐶愰〱昸搳挷搳攸〴㄰㜵ㅤ㔸〱攱㐴㜰收愳㡥㜰㠱愰晦〲㜱攱㑥㥥っ晢㐰㔷㍡戵〲㝥㝥〰捣㈹〶㐰慢愳㈸挸挴扢〱㤱㌸㉢搵㡢㔹敦㜳㐸捥㈵昹㈳挹㜹㈰慡戱㈸㈸ㄷ搰㘶〹挹㠵㈰㉥㔰㤶㔲挶昳〷㑥ㄹ㌷㈲昸〰ㄶ㜰〹㠵㤷㠲㈸㈶昸㜱㠸㐷ち㈴搸愲攳挴㑤戴㜸づ㠴挳〶捤昹搱㤷挳㈵愰扢搰愹㕢㘰搶〹づ挷〹㝢㡣搸愷ㄸ㌸㝢㍢㡡㠲㉣挳㤵㠸㈴扤攳㉦慣昶戴愲㐰慣㘰ㄹ搷㤳摣〰攲〲攲㈶㥢㔵户㈳搰〰搶晥㘶ㅡ摤〲愲敥〴㉢扤攳㔶㜰收愳昶㐰ㄹ戹㌱攲づ㠸ぢ〱戸〳昶〱摤㠵㑥摤〵扦㑥〰摥㘴㤴户㐰搴昰㘲〰搴㍢㡡㠲っ挸㝢攱㈶〰㍣挸㉡て㉢ち挰㐳㔰敢㠷㐹ㅥ㘱敤㍡挷㠸挷㙣㔶摤㠷㐰〳㔸㤱挷㘹昴〴㠸㝡〰慣〰昰㈴㌸昳㔱㔱ㄷ〰搶搳搰㘰㡣愸㈹〴攱㔹㘸〲㥡晡㈲㍡昵㈰㐲晡㠱戰㔳㌱㄰㜶㜴ㄴ〵改㤹て㈱㤲ㅣ㈲慦戰戸㔷㐹㕥㈳㜹㥤攴つ㄰㌵戰㈸㌰㙦搱收㙤㤲㜷㐰㕣挰扣㐷㤹㜳㠸㍣㡣〲〶攰㑦㝦㐰攱㉡㄰昵㈸㔸晢㄰㔹つ戶攸㈱昲〸扤ちづ㤱戵㜰〹攸㉥㜴敡㌱昸㜵㠲搳㜹㠸〴㡢㠱㔳攵㈸扣愹愷ㄵ㑦㈲搲〶愴っ㜶㘷㠵戳晢㌴㘶づ㘷㡥㔳慦㙣摥㑦㤶㝡㘶㐷户㑥㙣敤ㄸ摤搸㍥愷㈹戹愰㜷搶搹搸㜷㜶愶〵改㤲㙤挸㥡昴挸㕡攷捣挹愴㜵㜶㕡敢摣戶㔴㘶晣攸㕦㐳㍡㈵昶て捤㈷㤹㤴愵ち㥦㥦㤷㈱㔸〲㑦昴ㄶ慥换㔶㍣㡤㠰摥㐴㉦搷㐵㔷攷昵㝤㄰㠶㔵㥤㠸㑥㙦散㘸捡㜴捦㡡㕥戶㉢戳㐰ㄱ㌹愸改㙥搹改戳㤱〰㌵扡㘷㜶㙣㕢㘳扡愹戱㈵挳挶挰㍤〳㘶敢㑥挸捣㐲扥改攴搶昶㐶晥㑣戵㘷㜶㝡㕢戲愵㝤づ㔳攷㔲ぢ㌶捥攳㘴ち㕤㤱ㅤ搹搸搲㡥㘲攴㠷㘷摣慥捡㑥㥢摤㝡㌸㝥㌱㍤户戹㘵㙣㜲㑥晢慦愲㔵ㄴ㥢㐵㍥搲㌴慡㔴㤵㤶慡捡搲捡㥦摢㍥搶ㄷ㌸挶㠲慢慦扢㝣昵戱挷敤㌰㜱挷㝥慢㑥㕡戴敡㜶摥㤲㉣㈹〹攳慦㥣㐴ㅡ戰愴攲ㄹ㙣㜵㜱搱捣㑢㘷㈷〵㤸改慤慣㘸摥㉦㍡㝣㌳㉤㜳扦㐱攷攵戲晥ㄷ敡搲攳㑢㤰㍤挶敥㍤扥㌳昱晢扦晡㐱㜷挵戳㠸散扤ㅡ昱㜶扢㕣㥥敤愶㌰敥㘵昷ㅦ捡搸㥤㜰㔸愲ㅢ㤰昳昶挹㐰㔶㙣搸㍤㝢㜵㙥㡥㐱慡㘶㡦散㠴㘴㐳愶〹ㄹ愶捤挹㡥㕥㌶挳ㅢ〸昸挱㙦扢愳ㅢ搵摡摣㥣㘴㝦㘳㕦㥤㤶㑡㌶㘵㉡戳㈳收㜶戴敥搵搸愲戳㈰搲㈹ㅤ㔱㜲㍥㐴挹昹㈲敡㤱㥤捡捣㜳搹㘶慣搶㔹挹戶挶㡥搹捤㡤愹㑡㌲捣づ晦㔵㜴㔴っㅥ攵〰搳㝣捣㐰攲扤ㅡ戶慦ぢ搱摣搵戸昷㐳攸搸晣攸捥愵捡挲㍦昵㌳㌳㐱㌰散挸搹㐴㝦㠵㘸ㄵ昸㤳㜱㐸敡昲ㄹ敦扢昳昳搹㌱搸㤰㤱㐹㍤て㤶㔲晤㌵㑣戹挱扦昲扦㠱㜴㤹戵摡つ〶㠱〹慤挹昴ㄸ摣慥㙣㙤敢收㍣㠰愰ㄲ㑤换㜱愶㉤挸㍣攲㔱㐸㑤㐷捡晢扣挶㜴愶慤㤲㠲㘹戸挲㉦㘷〶戲㘵户㈱㘶〶㘵㈵ㄵㄵ摤㉢晤捡ㅡ㙦㘲つ㜲戲㌳摤て㜰ㄸ㕦㄰晦攳㈹㜵昵慣㝢㈰㔰〶慡扦挱敥攸㙦戹㑦捣㔰收晥㜸っ扥愳挱昷㈰ㄵ㉦㐲改㙤㥢晣㤴㕥㈴晥㙡ㄸ㤵㌳㠷愵㥣戹㉢㤵㈶㘷愵㐲㜶愴扢㉢㐷挵戲㜳㔳㉡捤昳〰慣㘹攸攵㤹㜴挰ㅥ㕣㜹㝦〳愷㠵㤲搲搲㜲㌴戵攵扤㡦㕣㔰㉣㠲㌵㑦换㐸摡戱敡㡢㉡㔸晦㐱㡤户攳挱㠲昸㌳摤㍦㜶捤晤㔴搳晥㜹搲捥搱㥤ぢ㈶ㄵ㔸㍦昸ㄱ敥㈵〱昵ち愸挱㠴愹㜹㠱〰ㅢ㔴晦㐴㑣昸㜳ㄹ昵㉥㔸㑥ぢ戰㘹㑥㘲敡㝤㜰㍣㤱㤵㔸ち㈶敢㌵㜰慡て㘰捥挱㔳㤷㌲敡㉡㙣㜱㑣捡昵搱㜲㐸搷摤㐷搷搰〳㝦㥡て㘹攰㠶晣㝤㠸つ戳てㄴ㌸つ㙦挱㐶㜷愳㈱㌳㕢㝤っ㉡㘹挰㐷㜸愸㡦㘰挰挶户搸㘵扡ㅢ㔰昹㘳㝤敦㜴っ挸昵㠰つ㤰晢挴ㄵ㜴ㄷ㑡㙣攴㝡㌲㘸㉦〶晤ㅡ㐲㐱慥昳昴慦扥㠵捣㐶慥ち㈶敢㠷摣㜷昰ㄱ攴㠲㡣晡㍤戸㍣攴㌶㠶㜴摤挸晤〰㌷㐱慥㌷㠳㌸㡣晡ㄱㅢ㍥挰㙣〲ㅢ扤㈹つ㜹愵收㘳戰ㄹつ㌶㤷㐸㠸㈵挸昵〱㤷敢㡥㜹扦攱㉤㝣〲㠱て愸㕢挲ㅤ愰㌲㠱搶㤴攷〲㜵㉢㤶户㌵换㘳戲慢ㄷ㔴㘶戸摡愰㙥〳㤳昵〳㌵〸ㅦ〱戵㉦愳㙥〴㉥て搴㝥㤰慥ㅢ㔴㘶搰攲㕢愲晢㌳〸㌶攴㡦㘹戴㘶ㅦ㈸㜰扡攳〰搸攸㠱㌴㘴㡡慤㡦挱㈰ㅡっ愶〱戳㙥〵搴敤挰昵㌲摤搱㜹慥㠲て㜸㍢挰っ攰㌱昹搶挴㜵ㅤ换㍢㌲敥㑥㡣㍢㄰〶摥㘳㤹搹戱㌶㜸㐳㘰戲㝥攰㙤〷ㅦ〱㙦㈸愳㙥て㉥て扣㙡㐸搷つㅥ戳㙦昱㉤搱扦㘵㄰〳摥㑥搸㌲晢㐰愱〳㕥〸㌶扡㠶㠶㑣捦昵㌱〸搳㈰㐲〳㘶散ち㜸㔱㜰戹㘳㤹㑦㡢昰㐱慥ㄶ㌶㐰㉥攴ち敡㐲㉥捥愰㜵っ捡散㕡㙦户摢〵㌲ㅢ戹〴㑣搶て㌹㘶攰ち㜲㍢㌳㉡㔳㜱昳㤰摢ㄵ搲㜵㈳挷戳ㅢ扥戸搱捦㈰〶戹攱搸昲〱㘶㌷搸攸㝡ㅡ㡥昰㌷ㄸ㑥㠳ㄱ㌴㘰㥡慦㈰㌷ㄲ摣㐰搳敤摣㍦戹昶㥣㕡晣㄰ㅤつ㕦㈰㍡挶㔵㤸敢㐰摥㥤㠵㡤㘱㘱捣㑢昵愹敥㔸ㅡ㡣愳挱㘴㝦㠳昱㌴搸㠳〶捣つ㌴ㄱ㜸换㈲㄰搸㠸愰散㐹㠳〹㌴㤸〹〳㙦㜷㑦㐲㘶㌷摡㕥㌰㔹扦㐶㘳ㅥ㥦㌴摡㐴㐶㘵㐲㕦㕥愳㑤㠶㜴摤㡤挶挴㍦㝣㑢昴ㄴ〶㌱㡤㤶挵㤶搹〷ち㥤敥㍥ㄵ㌶㝡ㅡつ㘷昹ㅢ㑣愷挱摥㌴㘰戲愰㌴摡㍥攰㜲摤摤㉦㈹〲愷慥晤㘰㠳挶㘱㐲愰㈹搵搵㌸扦㘳搰ㄹっ捡挴㍥㉦㜲捣收戳㤱摢ㅦ㈶敢㠷ㅣ㤳晦〴戹〳ㄸ㤵㔹㠰㜹挸ㅤ〴改扡㤱㍢ㄲ㙥昸㈲攷㤲㐱っ㜲㑣ㄹ㌴晢㈰㔳ㄹ㝢戶㜷㌰㙣㜴㤲㠶㑣㈷昴㌱㘸愰㐱㡡〶捣㌰ㄴ攴搲攰㜲挸昱㈹ㅢ㍥〳㐵ㄶ㌶㐰㡥㔹㠶㈶愸㐵㠹㝤搲㥦挵愰戳ㄹ㤴ㄹ㠱摥㠱㠲㘹㠰㌶㜲㡤㌰㔹㍦攴㤸㌵㈸挸ㅤ挲愸㑣ㅦ捣㐳慥〹搲㜵㈳挷㌴㐳㝣㜱㉦㥦㐱っ㜲捣㌵㌴晢攰㐲慥〵㌶扡㤵㠶捣㐳昴㌱㤸㐳㠳挳㘸挰搴㐴㐱慥つ摣㡥昹〳㐵㔷㡦づ昱挱㔵㥥扢ㄶ㔰㑣㕥㌴㐵扡〶攰戹㉣㜲ㅥ㡢㕣〶〳㉦慥捣㉥戴㜱㍤ㅣ㈶敢㠷㉢㤳ㄱ〵搷昹㡣捡慣挴㍣㕣㡦㠰㜴摤戸㕥〵㌷㝣㑢昴㤱っ㘲㜰㘵ち愳搹〷ㄷ慥㐷挱㐶晦㥥㠶㑣㙦昴㌱㌸㥡〶挷搰㠰ㄹ㡦㠲敢戱攰晡ㄹ㕣昳㈶㔳敥〷愲昸挰戹㄰㡥攸愶㑣㠵㌴㈵戹扡改昱㉣改〴㤶挴戴㐵㉦㥣捣㔵戴攱㍣ㄱ㈶敢〷㈷㔳ㅢ〵捥㐵㡣㝡ㄷ戸㍣㌸㑦㠲㜴摤㜰㌲ㄷㄲ㕦㍣改㠳㐱っ㥣㑣㠸㌴晢攰㠲昳ㄴ搸攸㔳㘹㜸㥦扦挱㘹㌴㌸㥤〶昷挳㐰攰㍣〳㕣づ捥愲て㜹昱㠱昳㉣㌸〲㑥㈶㔶㥡慡戸攰㍣㥢㈵㉤㘶㐹㑣㠲昴㡥㤷捣㝣戴攱㍣〷㈶敢〷攷㜳昰ㄱ㌸捦㘵㔴㘶㑣收挱㜹ㅥ愴敢㠶㤳㤹㤵昸㤶攸昳ㄹ挴挰挹昴㑡戳てㄴ㍡㘷㥡ぢ㘰愳㤷搰㤰愹㤷㍥〶ㄷ搲攰㈲ㅡ㌰ㅢ㔳攰㕣ち㉥㌷㕥晡摤搰挷㤹收ㄲ搸〰㌹㘶㘳㥡愰慥㌳捤愵っ㝡ㄹ㠳㌲㜳搲摢ㄱ㤹㉥㘹㈳户っ㈶敢㠷摣㙡昸〸㜲换ㄹ㜵つ戸㍣攴慥㠰㜴摤挸㌱ㅤㄳ㕦㘴㉢㌳㠸㐱㡥㌹㤹㘶ㅦ㈸㜴㤰扢ㄲ㌶晡㉡ㅡ㌲㕦搳挷攰㙡ㅡ㕣㐳〳愶㜰ち㜲搷㠲昳㡣㤷昶搱敤晦愸㈵㥦ㅥ昹ㄷ㐴〰慥㥦戹㡡㜴攱㝡ㅤ㡢㕣挱㈲㤹㤰改敤㤱摦㐳㘶攳㝡㍤㑣搶て㔷㈶㙤ち慥㌷㌰㉡戳㌷昳㜰扤〹搲㜵攳晡ㄳ摣昰挵㠲ㄹ㠳ㄸ㕣㑢㜰㔴晢挰㜶ぢ㙣昴慤㌴㔴晥〶户搱㘰㈵つ㑡㘱㈰戸摥づ捥搵㈳㙢晤捥攰㜷挲〶挸㔹慥愰慥㌳捤㕤っ㝡㌷㠳㌲㙤搳愷㕡昷搰攰㕥ㅡ㌰愵搳挷攰㍥ㅡ摣㑦㠳摥㉥〳慥㤰㌹ㄳ搳〷㘸昰㈰つ戶㠵搰摢改晢㐳㘶㌷捥㕦㘱戲㝥㡤㌳〰㍥搲㌸て㌱敡㐰㜰㜹㡤昳〸愴敢㙥㥣挱㜰㤳挶㜹㤴㐱㑣攳㙣〷愹搹㐹㙣㥡㑥晦ㄸ㙣昴攳㌴㘴㥡愶㡦挱ㄳ㌴㜸㤲〶捣摣㤴挶㜹ち摣㈶戹㤳㤹晢㘱㑡㍥晤晢ㄹㄸ愳㤵㠶扡愲扢㕡改㔹㐶㝦づ愴㠲〹㔲㕤摣搰㐶㉡㠹㉢㡤慥ㄷ㘲㕡搹扤㕢ㅡ㍢㜰慦㤹㌵ㄹ搳搸㠱扢㘶㍤戲㈰搸㤴㝣户㉤攵ㅥ戴换㘹㐸㙥㘱㙢摢㐲㔵摥㑡㔷摦㐲扤㝢改㙢㤰㡦摡㕥ㄴ㜳慤㠵慤换㐸ㄶ挷㝣敡昸㙢㕡㉤㔳㜶ち㤴戳㘰搶攵挳〵㍢㜱攷㥡挷㝦戱戶㈶㐷㍡㥥㐰挱㙥愳昰て愷㥥ㄷ戰捤愵㌶愶捦㜵摤㐵㕣挹㤳摤搹敤戸摣㘶换㝡㍡搹戹攳㕢摡㜱捦㍡攰㜰㔸㤱攸攵㙣㑥㥡摢㤱愷㐹捥敦敤㘸㐶㌴㌵㑤㙡挱㘲㘷㉡搹㤶晥㤵㉣㐲㘰摦散㠵㌲㔹㑦昸㤹㡢㤸〸挲㡦㙢改〰换搲㉦㍡㔸㌳㑢㜱㐳㜲㑦慢㄰愹㈷攱捥愵愴㔶㤲攳㜳㘰愵ㄵ散㈷挱捡㡡昲攴っ㤶㠳昱㔸摣愶㑣㙦㜱挸戱㜲挳㕤㘷㐷㌴戴㘳㜵戲㠳慢㑦捥㤶ㅣ攸㍡㍢㌵搳㤴攴㤳㝤戰㔸攴㙣㑤㑥㜵㈰搳㍡ㄷ㠰㑦敤昹昵戴㄰㄰㈹㜷㕡㐹㐹㍢㔹㕤㜴摥晣㥤攰㌱昴㌳㕢ㄵ〳㝥㔶㍥㥦搴慢ぢ㤷昰㜳㑤㝤㠹搹㜰搶慣敢搰戸㕤慣㜹㘲慣㜵㈷ち昳㐸敡㙤昲搷敤ㄱ㑥〶慦ㅥ㐶挶㠵搱㥥㕣扤㙥敢挰愳慤昸散扢㉡ㅥ㍡㑤㔸㌹敡㘸挴ㅡ㘰搳㠲㕥搹昱㉤愹愶戹改㡣㉣㈰㥡㌱㕢搶ㄱ㝦ㄵ敤挵扢搴捥ㄱ搵〵㉥づ㈸攳昱㐸㜱昳愸㈳慣〴晣捣㜶搲㉦攱㐸㤳挱づ㌱〲晡㘵攷戸㑢愰㘹㌶㌸㉢㍢㠰摡㙦摣昹㥢〲㜹搰㌴㠶戶〲ㄱ挷㌴㘶搷㡥㌲㠹摤㜲挴戹捣㈶戴㑥㘸㘵ち㠲㑢㌴慥搱ㄶ晤㉡摡〹晢㘹㌷ㄳ㝥扡晤戳㤱㘷㄰㡣㝡昲ㅦ搶㑢㥤晦敢㜹㡥挱㔹㐶㌱敤㕡收㙤㐰ㄵ摤㈲っ㝤㈹㠹愳摥ㄵ㙡㤹愲扤㠲ㄶ㔳捣捣戶愷㘸㜶㕢敡搷㈰㕤昷ㄴ慤ㅥ㙥散㜲晡㜵㤸㜳㐱㤹㝦㙡〴愴㘶〶㐶慤㜳㕤昲〶㙣昴㥢㉣㙤愴扦挱㕢㌴㜸ㅢ愴㘲㌴っ扣㠳㑣搱ㅣ㘵㌸㤴攰搱㑣㔸戶慣㙣收昲㉤づ㔱ぢ㡦㘴㐲づ㌶㔶っ慤敥㤵捣㘱搶敦挰敡改愷㥥ㅡ〶㕢㍣㍦挲㔵㝥㍦〸㥣㥢㘵敦戲晣昷㐰ㄴ㤳㜵扤昳㘰㘶攸摡昳攰昷㘱戲㝥昳攰㘹昰ㄱ㤰㍦㘰搴改攰昲收挱慢㈱㕤㌷挸捣〰ㄶ㤰搷㌰〸敢捦㍦愶〱晢㠰晣㈱㙣昴㕡ㅡ敥攷㙦昰ㄱつ晥㐱㠳摦挱㐰收挱ㅦ㠳昳摣㔵昷㝦㥥愴捦戴昸ㄳ昸㘲㕡捣㡣㘲㔳ㅢ搷㘵摦愷㉣散㌳ㄶ㤶㠵㠱㈰敡㕡慤㘵捡慦㡤攸攷㌰㔹㍦㐴ㅢ攱㈳㠸㝥挱愸㑣ㄵ捥㐳昴㑢㐸搷㡤㘸ㄳ摣〴搱㝦㌳㠸㐱㤴㜹挵㘶ㅦ㈸㜴扡敤㔷戰搱㕦搳㤰㌹挷㍥〶摦搰攰㕢ㅡ㌰つ㔹㄰晤づ㕣攷㘵㥦晦ち捦㝦㘰〳攴摡㕤㐱㕤ㄷㄴ㍦㌰攸㡦っ㝡ㄴっ扣㝤㤱㜹挲㌶㜲㍦挱㘴晤㤰㍢〶㍥㠲ㅣて㔲㜵㉣戸㍣攴戰摡扦ㅥ挸㉤㠴㥢㈰㔷挶㈰〶㌹㈶㈳ㅢ㘰戰㘹㤰挳搳晥戰㈰㑥挳ㄳ晣つ㉣ㅡ㜴愳挱㠹㌰㄰攴㉡挱攵慥挹昲ㅥ昸改搳昹〲㌰〶㠴㈷扢愲昳〰㜷づ攷敥㡣摥㠳搱㤹㜴㉣㍦㕣㘱っ㉣㠲搳捤㤹㤳㔷㘱㥢愳攵㌹㌰攱扣摣㝣昲㘷㤳㐱挷敡㕣㔸㜰㐶挹㕤㕦搷散㐴㌱户㤹㌳ㄴ㍣摦〸敥㥤愷挸摥㑥戰昳愰攳㘹搲晥ㄴㅦ挸㉦㠰㑤ㄷ〳昹ㄲ愸愵㕤㌷㐱㕣挵ㄴ改扣㠱㝣㌳㐸搷㝤㐴㉣㠵㥢戴敢收㌰挷搷ㅥ挸㤹㑢㙤摡㤵㕡攷㠸攸〳〳扤〵㠸扡搴摦㘰㑢ㅡ㙣㐵㠳换㘰挰挱㕣㙦つ㉥㌷晥㌲戹摡挴摤㔶攲㑡㙥挷㌶㜴敢㑢㌷㈶㐲㝢㐷ぢ㘶㍦摢㝤㝥㕢㤸慣㕦㥦㘷戲戴㘰搳㡦㔱㤹㌵㥤搷攷〷㐰扡㙥㙣㤸㕤㉤搸っ㘴㄰㔴㔷晥㙥㠶搴散〳㌶つ㌶㠳㘰愳〷搳昰ㄶ㝦㠳敤㘸戰㍤つ㤸㤱㉤㝤㝥〷㜰戹搱㠲㑦㡤昵改敡㍢挱〶㕤晤づ㔷㔰搷つ摦㈱っ㍡㤴㐱ㅦ㠴㠱ㄷ㌹慥㐱摡挸晤〶㈶敢㠷摣挳昰ㄱ攴慡ㄹ昵ㄱ㜰㜹挸㠵㈰㕤㌷㜲㑣换ㄶ攴㙡ㄸ挴㈰挷㍢㑦〶㌹ち㥤㕥ㄵ㠶㡤㡥搰㤰㜹摢㍥〶㔱ㅡ挴㘸挰㔴㙥㐱慥ㄶ㕣づ㌹㍥〷搷〷戹㍡搸〰㌹愶㜲㥢愰慥㜱㌶挱愰㍢㌳攸㉢㌰㜰つㄲ扢搲捤ㄹ㈴㠶㘱㥢㠳挴慢㌰㈹㍥㐸散收㔸㌱㙢㝢扤〷〹㘶㜷摢㠳㐴㍤摣㍢〷㠹ㄱ㑥戰㌷愰㕦㥦㐱㠲ㄹ攰㕤っㄲ㙦㐳㉤捤㌹ㄲ㜱搵㍢攰昲〶㠹搱㤰慥扢㌹摦㠳㥢㌴攷敥㌰挷搷ㅥ㈴㍥㠰搴〰敢㙡捥㌱㌰搰㘳㐱搴㉡㝦㠳㜱㌴ㄸ㑦㠳搵㌰㤰㐱㘲て㜰戹㐱㘲慤换捤㌵㐸散㐹户〹㜴晢ㄷっ愴㍡㝢㤱㐳㜵㜸㐲慤昸ち㔲㙦慡㕣㐱ㅡ㈳ㅣ㜰㔳㠵〹㡤搳㍡ㄶ㌴㈱㠹㤴㥢㑣㥤戳户㌸㡢戴搵㐸攸㙢㙤挳㔵㔵戹昷挷愲㌹摦㈷㄰慡晢㈶㥥挷搳㡡ㅢ㌵捣㤷慣戸改晢挲㐷戰收晣㔹昱捥㘷㔵搲㠷ㅦ㙢ㄲ慡戸挹㕥㡤愹戶搶昶搶㙣㐷扦㘹挸㡥敥挷挷晤㘶㜱㔹㌵愲攲〶㐴昴㉤㤳㍢㔶摥㠲ㅤ愹㤸挷挷㕦〶づ㙤㘹㍤扣㐵㙡㔳搱捥愷ㅥぢ㕥摤扡戱㤸〰换攱㘷㈰挰ぢ㝥㡤㡡搲㔹㑦〱敤㔹ㄶ晣挶〱搷㥡ち㝥昰愸㤱愳愶捥慣换挴昰㈲愶㜸㈲搴㤰〹㐷㐳つ改㍡扣㙥愵㈱ㄶ㠹搶愶㐳㌱㠸㙢㠳摦㍡㍥㝡ㅡ㝣㠲捣㕥㤴攲愶㤳㘳ㅡ愳㜰搴㔵㌰挷㙦㝤ㄳぢ㘱㡦㠷捦搸捦晣㉡敦搶慤攰敥㕤㐱㐲㘲敥戱愶㤶挵㝣挴㡡㙢〱㤶昷㐱㙣晥㑥昹㙤㐱㘷㜶㈹扤㉦慡愰昷〳〹〴㝦㐲挵㔹㈱敢㜷愰扤㐶㡤㥣改捡慢戶㘶㐰搶〳㌲戹ㅡ㥤㡡㐷ㄹ㕢晢㐳戲ㄱ㈴昹㙦㔱戲づ㠰㜸㘳㠸昱愴㑥昷昳㐰㠳㉣づ㉡愴㙤㤱っ㈰㤹〹摥晥㔹㑤㈹㤴㠲㘰ㄲ㈲㙥戰㙥慡ㅣ㤴㕤㕥㕤㠲扤㘴㐷㠳戰挴㑡挱愴㘸敦㔱㑢㘱挶ㅥ㤴摦〳㉡㑣攱ㄹ㌸愳〷㔸㑥㜹㔶ㄶ扣摤〳挲㌵愱㐴戲㉥ㅥ㑦㐶㌲戱㘸慣愶㉥㔹ㄳ慦慤㠹愶㙡㘲昱㥡㐸㉡ㄶ捡〶扢㌹㍥㝡ㄶ㝣㠲㤵㠶㥢㑤㑥ㅢ㡥㍡搵〳ㅣ㝢㠱㍡てㄵ㘱ぢ㠱㉦搱㠷㐲愵㥢㐰〲挱㥥㄰㘰愳挴㙡〶昵㈲摤〲㔹㍥搲慤㤰昸㈰㍤〷㘲㍦愴㝢㌹搱㍢㕦㠳愴摢㘱㙡㈳ㅤ㠴㔲㤰㥥ぢ㔱づ改㡤㈱ㄵ愴㑦㐱㙤㜳㐸ㅦづ㤳攲㐸㥦〴搳㐲愴㝢㥢挲ㄷ挰ㄹ㐸㙦攲㤴㘷ㅤ〱摥㐶ㅡ㉦㍤慢〹㈵㐳昱㜰㍡㥢㠹搶搴搴㌵挴挳㠹㘸㙤戲㌶ㄲち挵攲愱㜸㈶戸愹愹攳㤱昰〹㙥㘶戸愳挸㙤㙥㌸敡搴㤶攰〴改㠵㙥愴㡦㠱㑡ㅦぢㄲ〸㙥〵〳㙣㤴㔸挷㠱㝡㤱㕥〸㔹㍥搲挷㐳攲㠳昴〹㄰晢㈱扤戵ㄳ扤昳㕤㔰晡て㌰戵㤱敥㙢㙡㝡㌲㐴㌹愴晢㐱㉡㐸捦㜳㈳㝤㉡㑣㡡㈳摤攱㡢㜴㝦㔳昸改㜰〶搲〳㥣昲慣㌳挰㍢愳㕡愲愱㈶摥㤰㑡挷戳愹扡㘸㌶㔲㤷挸㐴㈳愱㜰㌶㤵慤ぢ㘵㘳改㘴㌶㌸搰搴昱㑣昸〴〷ㄹ敥㉣㜲㠳つ㐷㥤摡〱㥣㈰摤攲㐶晡ㅣ愸昴戹㈰㠱攰㡥㌰挰㐶㠹昵㐷㔰㉦搲攷㐱㤶㡦昴昹㤰昸㈰㝤〱挴㝥㐸敦攴㐴敦㝣敤㤵扥〸愶㌶搲㐳㑤㑤㉦㠶㈸㠷㜴㌵愴㠲㜴㠳ぢ㘹捤㜳て㑦㌳敡㘰㕦㔰㝦㙢捡㔹〶㍢㠰ㅡ㜲㐲㕢换挱摢愰搶㠴㌳つつ搱㜴㍡㤹㑣挶愲搹㜴㍣㤱㐸愳晢㐶ㅡ㘲攱㐴㉣ㅣ㡥㈴㠳㌵愶㍡㤷挳㈷ㄸ㌶摣ㄵ攴㈲㠶愳㑥搵㠲ㄳ㔰㘷戸㐱扤ち㉡㝤㌵㐸㈰ㄸ㠷〱㌶昰㐲㈲捡㌸〶㙢づ扢㥡㠳㙣戰捥㈸㜹㕤㈸敦攸搲搷㔳昹ㄶ㔸戵戳㈹攸㐶㠸㜲㤸散ち愹㘰㌲搱㡤〹㡦㜳挱㘴㠲㉦㈶挳㑣㌹户挲づ㤸散收㠴戶㙥〳㙦㘳㤲㡥搵㘶搳㌵㠹㘸愶慥㌶ㅡつ攳㤰㡥搵愴敡搲昱㠶㙣㉡㕡㤳㙡挸㐶㠳昵愶㍡㉢攱ㄳㅣ㙥戸摢挹㡤㌰ㅣ㜵㙡㌴㌸挱㘴㡣ㅢ㤳扢愰搲㜷㠳〴㠲扢挳〰ㅢ㈵㥡㠷戴收㌱慣㜹搸㙡ㅥ愴挱㌱㐶㌹㥡ㄶ扢㤳晣㤵㑡㘲ㄲㅣ敢ㄴ㘴㍤っ㤱㕤昱㑣㈲㥣挹㈴㤲搹扡㐸ㄲ愷㝦扣㠳㈴ㅤ㠹㈷㔳戱㔴㕤㌸ㄶ捡㈴㔲㜵挱㜱㡥㡦㝥㠴攱挷ㅢ敥㔱㜲㝢ㄸ㑥㜴㑣㠱攴愵㥥昵㌸㜵㌸〳收㉤㔷㕡㑦㐰摡㝤愶晤㈰㐴㥥挵慤㈷㈱攸㌹搳晥㕤㠲㥣㔵摢慤愷㈰捡㍦㑣㥥愶㤱㥣㜶摢㐶愴搳㙤㜸㌰㠳昵っ㐴摥攳敢㔹挸ち㡦愶攰〴愷㑡㤵㑡㔵㔶戲ㄳ〴散㤷㜵㍤て昳㠹摢敦晦戳㥥愱㉤捦捦㍥搰挹㑦挵㉢慡㉥㌹㜵晢晥㝢攱㈹㤲㝢㄰敢ㄷ㄰㔸㑤㌴戰扣㐸づ㘲昰戸敤〸㉡㕤㙦㠸慢敢㔹㝦㠷㐹昱㠱㙦㐷摦晥㌸〵㤱攰㔶愲㕦〱㐵㝦㥣敡㤴㘷扤ち摥㙥搶㜸㌲ㄹ㡤挶戲搱㜰㌶㥡㠹㐶㈳搱㐴〴㘷㤹㜸㈲㥥㙥挰㐹㍤ㄹ㑡〴愷㌹㍥晡㌵昸〴愷ㅢ敥㜵㜲㝢ㅢ㡥㍡戵ㅦ㌸改㡦〳摤晤昱㉤愸昴摢㈰㠱㈰ㄳ㌸戱㔱㘲扤〳敡㙤㤸㜷㈱换㙦搱昷㈰㈹㙣㉡敢㝤㠸晤〶扥ㄹ㑥昴捥㜷㥦改搵㌰戵て昲〳㑣㑤㍦㠴㈸㠷昴㐱㤰ち搲㥢扢㤱晥〸㈶挵㤱摥搴ㄷ改㤹愶昰㡦攱っ愴て〶㡦㜹㑤㠹昵㑦昰㌶搲㤸㈸愷㠰㉣づ晢㉣摥㘵ㅡ㡦搷挵搲戱㙣㌲㥢㡤搷愵ㄳ㠹㐴㌸㙥㝤㤲㌳つ㈵㘲挹㙣戸㈶㥢捥挴攳㘸㥣㜴〲㌳慣㑣㑤戶㈶ㅥ换愰㜵㙡㐳挱愴ㄳ㕥㝦ちㅦ晤ㄹ㐸戰挱㠸㍥愷攸ぢ㡡㔲㐶㐴〳㌱㔵㔹㠸愴㡤扡扢摢攸㉢敡扦〶〹〴㘷挱〰ㅢ㈵搶㌷愰摥㌶晡ㄶ戲晣㌶晡づㄲ㥦㌶晡ㅥ㘲扦㌶㥡敤㐴敦㝣㜷㥣晥ㄱ愶㜶ㅢㅤ〲㈵㥢㐶㤷㔴戸摡愸〹㔲㘹愳㥦扥㜳㑤戸㑡㘱㔲扣㡤㝥㠰㘹攱㠴㡢㔹愶㈸っ㉦挴㠵㌳摡愸〵扣戴㔱〵㜸㘷㤰换㈶ㅢ搰ㄸ搱㘴㐳㙤㍡ㅡ㑤㐵敢愲㠹㘴㌸ㄴ㡦㘰㔶㕢㔷㔳ㄳち㕢㔶愷㘹愸㈶ㅢ㑢㐴㘳昱㙣ㄶ㈷戵摡摡㐴㤲ㄳ攲㕡㌴㘹㉡㤳挱搵㔰戰搵〹慦扢挱㐷㔷㠲〴攷ㄸㄱ㕦挷慢〳ㄴㅤ㘶㐴㌴㄰㔳搵〱㤱戴搱扦戰ㅢ戹㐹㜱㉦敡慢㐰〲挱戹㌰攰㡥㔸㐱戰摥㌶摡〸戲晣㌶摡ㄸㄲ㥦㌶敡つ戱㕦ㅢ捤㜳愲㜷扥㝡㑦㙦〶㔳扢㡤收㐳㈹㙤搴〷愲摣㜱㜴〴愴搲㐶㙢㕣㙤愴㜹ㅣ挹挹㜲㤵㙦㜳ㅣ㘹捡搹ㅡ愱搰ㅣ㐷㠱㤷收搸〶扣摤ㅣ挹㜸㈴㤲㑡㠴戳㠹㔴㈶㡥户㤵㘶㌰晦㑤㐶㐳改㐴㙤扡愱㉥㡢㠳挴敡㥢㌳つ愷戲昱㜰㌸㤳㡥㘷敡㘲搱㜴㍣摥搰㄰㑡搶㘵敢㄰㈱㤳㡣搷攰扣晡㝢㈷扣摥ㄶ㍥扡ㅦ㐸昰㘸㈳敡㑦搱〰㡡㡥㌱㈲ㅡ㠸愹㕡〸㤱㌴挷敢敥收搸㡥晡敤㐱〲挱攳㘱㈰晤㡡㠷㡣收㌱愲㜹㔸㘸ㅥ〴挱ㄳ㡣ㄲ㤷散昶㙢〴㜵㌵㕤㘵敡戱〸㑡㐱㌳〴㔱づ捤㤳㈰ㄵ㌴㥦昵㐵昳㘹㕦㌴㑦㌶攵㐴ㄱち㘸㥥〲㕥搰㡣㠱户搱捣㠶㌲挹㘴㉡㠵㐹㙤㠴㍤㌶㔴ㄷ慥换㘴敡敡㤲改㠶㘴㕤㉣摣㔰㙢搵收㑣愳戱㐸㍡㤱㡡㈷愹㡣㈶㔳愱㘴㈶ㄲ㑡㈶㜰敥挷㔴㈵ㄵ㡤愵㠲捣㜰㘵㜸ㅤ㠷㡦慥〳〹㥥㘶㐴〹㡡㜶愶㠸㘹慥昹㔶敡㉣㠸〴捤扦扡搱摣㡤㉥昵㈰㠱攰搹㌰〰㜰昸㘱㈴㌱昴愰戹搸㈸㥢㘹搱㐲㌲㠶慥㠲收戹㔰ち㥡攳㈰捡愱㜹ㅥ愴㠲收㑡㌷㥡戹挹敤慤扥㘸㥥㙦捡㤹㠰㔰㐰昳〲㈷戴戵ㄷ㜸ㅢ捤㠶㘴㍡ㄱ㑥㈷敢搰㍤㜱㙤㤶慥〳㑥㐹㑣㠹㘲搸㠸㌶愴愳昱愰㘴慤戲㠶ㄳ攱ㄳ扣搰㔴㙥ㄲ戹㡢っ㐷㥤扡〴㥣㘰㜲扤ㅢ㤳愹㔰改㘹㈰㠱攰愵㌰㄰㑣㝥㐷㑣㘶㤰散㑦㈲㤳摢换㡣戲㠳㠵捤㈵㤹㐱㔷挱㘴戹㈹攸〰ㄶ〴ㅤ昸ㄲ㜵〵愸㘰㜲戹㉦㈶换㝣㌱㘱搲愹㔴攲㘰㠴〲㈶㔷㍡愱慤㈴㜸ㅢㄳ捣㄰㔳攱ㄴ㕥攸ㄵ捦㐴愲戱㔰戸㉥ㄵ挹㈴ㄲ㤱㔰㑤㌴搲㄰つ㈵㐲挱慢ㅣㅦ摤〰㥦攰搵㠶㑢㤱扢挶㜰搴愹扦㠰ㄳ㑣㉥㜲㘳㤲㠵㑡捦〲〹〴㤹㑢㉡搵昱挳㘴㠵㔱ㅥ㐹㌸昸昸㔲摤㐲㔷挱攴〶㔳搰ㅣㄶ㘴㌰戹〹㔲挱攴㑣㕦㑣㑥昷挵攴㘶㔳㑥〷㐲〱㤳㕢㥣搰搶㕣昰㌶㈶㠹㈴㑥ち㠹㜰㌲㔵㥢捤㐶攳搹扡㠶㐴㈸㥢㙥㠸㌴㠴㜱挴攱㍣㤱つ摥㙡慡㌳て㍥挱摢っ㜷㌸戹㤵㠶愳㑥摤〹㑥㌰昹㠳ㅢ㤳㈳愰搲㐷㠲〴㠲㜷挱愰㈸㈶㜷ㅢ攵㐲挲㜱㍣挹㐲扡ㄲ㤳攰㍤㔰ㄲち敢〴㠸散㡡㘷㜰搳愱㈱㥥㑤挶ㅡ㔲㤹㘸㐳ㅣ㉤ㄸ㡤㠷㈲ㄸ〹㙡㙡ㅡ㙡戲愹㘴昰㕥挷㐷㥦〸㥦攰㝤㠶㕢㐴敥㝥挳㠹敥〱㜰戲戶挳〹扦收晣㕥㜳㑥慦㌹㡢搷㥣戸㙢㑥搵㌵攷收挱〷ㅤ㕢搷㑣㥣㡦㉣戵捥㐲搸㕦㜴㈶㡥㠷㤷昲搱愸㝡㌱〲慢㠷㑣㝤捦㈱〷㌱㜸㉣㜸㠰㑡㥦㘸㜲昷㠹㔲㤸挸㜹敤㄰摦㍥昱㈸㥣戰㈳挸㙦㠷ㅤ晡挴㘳攰㘵㈴扥〰扣つ㉤㍡㐴㈶ㅢ㘹㐸㠵㌱㥤挳㜱㔲搳㔰ぢ㠰挳昱㕡摣㑣㐵㉦愹㡤㔸㑢㜲愶戱㔴㙤㕤㈶㥡㠹㘴愲㘸㠵㙣慣㈱㠹慢攸㐸㕤㍣㥡挱㝢昳㔲戱㥡㠶攰攳㑥㜸㝤㈱㝣昴㐵㈰挱㈷㡣㘸㈹㐵ㄷ㔳挴㤴㔷ㄹ㠹㜳㔶敡ㄹ㠸愴㌷ㅤ散敥㑤换攸戲ㅣ㈴㄰㘴㌶慢散〸愷ㄹ㥡昳ち捤愹㠴收挴㈱昸㥣㔱㥥挹㕤㍤㡢攴ㅡ㉡搹㥢㉡晥〶愵昷㕥慢敢㜱づ慥戴㔶昶㡡愰㉢攷㔵敥摡㙥㤴㥤㌲㌷搹㠴ㄷ捤㑦㐲攲㔵〷㐵扦㠶㜴㥤㜲㍢晤㙤㥤㌷慣㘵ㄷ昶㍦戰㉦昶捣㡢㐱晥晤㘶㘷摦攴摤㕢㍦㉦敤㉡㔰戱㌷摡㙥晤㑡㘱愷敥㕣㘱㘰敤搰㐸戸捣晤ぢ㕡㡤慢㕡㉦㠰愵㡤扥づ〲昳㔱㉦晡㐹㉢㕥㠲㜴晤㌳换ㄸ戵㜷攷㌳ㄱ昸昴㡢㈱㑤㐸戲㕢㡦㠷㡤慣㐰㕤搴换愶づ搷㠳㘳㈷收㥦㝡挵㐸㙦愰つ㈴攰㑢搴㙢愰㜲挴㑥㜲ㅤ戱搶㑤㌰㈹㝥戵戰㤷敦㘱晣㍡㈲㐹敦扦〵捥晡㔶㤲摢㐸㔶㠲〴摦㜰ち户㙥〷㘷ㅦ搳昱㔴ㄶ昷戴愲㌵㤱㘸戲㌶㕡㠳㡢〲㕥慦愵愲㠹㔸㍡㤴挶㥤㥤㜰昰㑤挷㐷摦挱〸㙦ㄹ敥㑥㜲㙦ㅢ㡥扡慡㜷挰昱慥㍣㤷㜶㝦搱㑦昰㕤㐴挶户挴扡ㅢ攵㜸慦ㅣ敥㠱㉣晦捡攱㕥㐸ち慦ㅣ㠲敦㌹㔱㍡摦㜷慢ㅦ㠰愵晡〰㜲改㐲て㤲㐳㌱㉣㑡慤〶㤵㈶ㄹ收㙡㤲捥扢㡢扢昸愲扦〶㑥㠲晥㈳〸㠵㐱昴㐳㈷戴昵㈸㜸攷挴㡡挱戲戶㉥搹㄰ち㘳昵㈱ㅣ慡㙤攰摣戶㈶ㄲ慦㘹挰ㄲ㔵㍡㤱〹慥㜵㝣昴㘳昰〹㝥㘴戸挷挹㐹敡ㄳ㙡㈷㍡昵〹㜴㌲ㄴ挶㔰㤹摣ㄵ搷㔳㌰搴㑦㠳〴㠲捣㘰㤲敡昸㑤㌶㍥㌳㑡㍥攵㔱摥挹慢㕦愴㉢㠷㐲昵㠵㈹昶敦㄰攵㌰昹ㄲ㔲挱㘴㐷㌷㈶戹扢㡢摢晢㘲昲㙦㔳捥㙢〸〵㑣扥㜲㐲㕢慦㠳户㌱愹㐹愴㤲搱㙣㕤㙤㌲㠶㤳㐶㍡ㅤ慦ぢ愷㐳つ挹っ㈶昰㌸㝤挴ㅡ㐲挱慦㑤㜵摥㠰㑦昰ㅢ挳扤㐹㑥㤲㤷戸ぢ搴愹晦㐰㈷㤸昴㜷㘳昲づ㔴晡㕤㤰㐰昰〷ㄸ〸㈶㝥㜷ㄷ㝦㌴捡换ㄹ昰ち㤲て改㉡㤸搰㑤晡挹㐷㉣〸㍡ㄸ攳搷㌲㤰ち㈶㥢扡㌱攱晤㝥㌹搹昶昶挵愴っ㙡㕡攸㑦㄰ち㤸㤴㠳㤱㤳敤愷攰㙤㑣㌲搹㔴〸戳㜲扣〱㍣捣〵换㑣〳㙥㑢㠷戱㙥㠵㕢㉥㤹摡㜰㉡㙥㝤㤶㌳㡤㐷㙢ㄳ㤸攳㐴戳攱摡㔸㌴㤵㐸㈴ㅢ㌰㥦㑦㐷㘲㜵搹㔴㉡㔲㤳捤〴㉢㥣昰晡㜳昸攸㉦㐰㠲㤶ㄱ晤㡢愲㉦㈹敡㘶㐴㌴㄰㔳ㄵ㠰㐸搰搴㙥㌴扦愱晥㕢㤰㐰戰㍢っ昰挵戳㄰㐱㌵㔷〱昴昹㈴ㄷ㠰〴㝢㠰攰㕢搲昹㉡㘴捤挱挱㐶戳ㄷ㌴㍣攱〶搴㡦摦晥昴ㄳ㑦〸㠴㌳愰换㘰挱㠱扤ち㝡㐱㍢㙦㘰て晡㑡㌷㠲㤴㠳扢慥㠰戳敡㙤㙣㉣㜰戹㠱㜷ㄳ㈳敤㐶ㅢㄴ㈵慤户ㄹ愴搲㝡摦愰ㄲ㘶㕤㑣㜳攰㤵搶晢ち搲挲㍢㌲㥢挳〹摦ㄲ摤ㅤ愱㜴て㤲㥥㈴扤㐰㠲㝤㥣㜲慣㉡㜰捥ㄸ㥢捣㠴㜱㍢〶㉢ち昱㤰摣愹㑣㘵戲搱摡㔸㙤㈲ㄵ挱㈵㐷㉣ㄱ摣挲昱搱㐱㐶搸搲㜰ㅢ㤱摢捡㜰搴㔵㙤つ敥㝦㌳挶㌲㝦㠹㤰㘸㡥戱㥡㠳慡收㌸ㅡ㘴㑡㤳挸㙦愰㤲㑦慡搴㝤㔰ㄳ搵捦搴㙢ぢ㜲㄰ぢ㥥〳㈰ㄵ㍣㔷扢昱捣摤㔲昹挰ㄷ捦㠱㜰挲户㐴㙦㠳㔰㌸ㅡ〶㠱㤱愳愱㉦㜸ㅢ挲㘴戶㌶ㅣ换㘶㘳つ戵戸㐸捤㠴ㄲ㜵搱㔴ㅡ〷㐸㌶㔵㡢扢昹改㥡〶㙢摢㥣㘹戸〱㜳捤㈴搶昴㌱搱㡣攲㘰㐹挶㌲戱㜰〸敢扣㌵㠰ㅦぢ㤰挱挱㑥㜸摤て㍥扡㍦㐸㜰㍢㈳ㅡ㐰搱㐰㡡戶㌷愲㥣㤵摡〹㈲㌹ㅡ㕥挳㙥攴挶摢敤改戲〳㐸㈰㌸〴〶昸晡摦〴ㄸ㙡㤴㝣㘲愶扣㘹㕢晦㤶慥㌲戶㔴㐳㈹扤扤〶愲ㅣ㥡㈱㐸〵捤㘷摣㘸收㙥〲㍣攵㡢㘶㡤㈹㈷㠶㔰㐰㤳愹㐹㡣㘸搵㠲㜷挶㤶㔴ㅡ㉦㐳㡦㐴挳㌱㥣昴搳搱㔰㕤㈶摥㄰㠹㈷㔲攸愵戸㡤㔸㤳つ㐶㑣㜵攲昰〹㐶つ㔷㐷㉥㘶㌸敡㔴ㅤ㌸挱攴ㄱ㌷㈶扢㐰愵㜷〵〹〴ㄳ㌰挰搷㝦㠵㙢㘷愳扣㤷ㄶ昷㤱㡣愲慢㘰戲㉢㤴昶〸㜱ㄷ㘲㜷㡥㄰㘳ㄸㄷ㈳〴ㄳ㥢〴戳戱㄰㤸㡦㘲㈲㔳愱㤴昹㐹㌲㐲㡣㠳慤ㅡ㘱㙣挶㠳换㡤㄰㈳㡤㜴て摡㈰愰昴攸搱㤰㑡ㅢ摣敡㙡〳㙢〲㑣㡡㑦捤㙥昶㙤㤸摤ㄱ〹㕦摣㔹㠱戳㥥㐴㌲㤹㘴ち㐸㜰㡣㔳戸㌵ㄵ㥣摤㑡㔸㘷挳㥤〹慣㔸㘵ㅡ㐲搱ㄴ㙥㝣搵挵㙡戱㝣ㅥ〹愵㘳㌵ㄸ敡愳挱戱㡥㡦㥥挶〸㑣㐹㤲ㅤ㥦㑥㑥㜲㤳㔸ㄸ㜵㔵㝢㐰昷扦ㄹ㌶昶㐴㘴攲㘴敤㠳㜲扣㔳戳㝤㈱换㥦㥡敤〷㠹捦搴㙣㠲ㄳ㐵㍦挴㉡㍦㑣戲㍦㉣㠳㝢㐱㡥㉦㙥ㄹ㠱敢㔹㔶㌱〵捣㉥挵ㅦ㤷敦捡㘷ㄹ㠲摦㠹攴扤ㄳ㝣㜷扣攳㝢〱摢扡って㐸戳ㅦ㉢㔶㕥扡昳捦㡢挵㙢㈵晥㍡㠸㝦ㄵ㤷愳戱晦㡢㌸㙣戲捥ぢㅣ㐶㘴扥㤸㍥〸㍢㕣㌱つ扢敢晢㍢ㄴ㍢㈵㘷ㅡ㥥っ㤷愹ㅥ㌵㌲㕥敤㝥ㄹ㌵ㅣ㑢㌶㙤ㅥ摦㡥ㅣㅥ㍣㙥㝥㝡敢〸昹㈵ち昳挳㌶㌲戹㍤㐳捣慢慡〷㜷㑡捣捦扣㡣摢愴戶㥣ㅦ㕥晤㡣㜴㉣㈸㠶昰挵搶㥢㜶㜲慥挷戲㙤搵㈹挵慦晢昰搳㤶㑣摡㐴㙣㐷搶㝣㜹㘹㔹挱㜳摢攵搲㝡㜴㙢㌳㕥挱㔱捤攷戰㌱ㅡ㕥挳㍥㍥㑤〰戶昲㜹㈸摤挸挶づ㜹愸攳搶搰㉢捤摣㉥敢㘰散慤㌵㙣搰戸㐱㤱㘸挵愵㘸〸敦敦㉥㡡㤶㤱て㍢㑢㘴㉦づ攸〶〴㔴搳ㄱ㥡搱㈸慡摡ㄷっ㑥㠴㥣戹戸㍦收㝤㌳㈵挳㙤㘹愵昳㝦㜰㜸搵㝥挶攳㐰搵㝦昱㠸㡡㜷㡥昱㍥㥢搶挴㜹昷㠸㑤㔶㡣㝤昷㠹㝡挵㐴愹挱㤰㝡㕦攰㝢㈱㉡昱ㅡ㥥散㕣昰ㄶ攳㈵㡥挲晢ㄶ攳㘰ㄲ㤱昰挵㜳㔳㔰摦㥥㘵㉡〳㠶㐷㡤㍡ㅦㅥ散慡搲扢づ攱㕥捥㠲㤸㍤㑣改㉣愸搵〴㤹つ㘵㑣㥤〳㐳〳㐰㐰户搰㥡㘹㔰㐶㔴㜵㈸㤸つ挳愴挹㜸慣ぢ㤳㈳㕦㝣昰挴ㅤ㑢㥥慢㔷敤昰昰挳攴っ㘷搷ぢ㌰㌹摤㔱㜸㕦㙡ㅣ㥣㡢㐸昸㤶攸づㅢ㤳〵㘰〴㤳㔳攱㤱挳㘴ㅥ昷昲㐸愸㙣㑣㡥挰㤶㌵摦挶㘴て㜴㉦昵㠷㍣㑣㡥愰昵㔱戰挹㘱挲愴愴つ挳攴㔸攳㔱っ㤳㍢挷昷㈸ㅤ昲㠷㐵昵㌳扢㍤戳挵㤴搷づ慤㔷㝦㠰㠷ㅦ㈶ぢ㡢㘱㜲㥣愳昰扥攷㌸挸㥣㈵㝣㤱㐶㘵㘳㜲㍡ㄸ挱攴ㄸ㌷㈶ぢ戹㤷㘷㐲㘵㘳㜲〶戶慣ㄳ㙣㑣㐶てち搷愹㈳昳㌰㔹㐴敢戳㘰㤳挳攴ㅣ㌰ㅢ㠶挹戹挶愳ㄸ㈶昷㑣㍤慦晦ㄹ㜳㤷搵ㅦ挹㐳攷㠸ㄳ敡搵㐵昰昰挳㘴㕥㌱㑣收㍡ち敦慢㡦㠳捣㉥挲户㐴㥦㘶㘳戲っ㡣㘰搲敥挶攴っ敥攵攵㔰搹㤸㉣挷㤶㜵㤶㡤挹㤸㐱㤱㍡搵㥡㠷挹㘲㕡㕦〱㥢ㅣ㈶㔷㠱搹㌰㑣㤸㉡㈴ㅥ挵㌰搹愷搷㙦㙥扡昸搳㌵昵晢㈵㙥㜹㙣摥扤捦搶慢敢攱攱㠷挹㈱挵㌰㘹㜴ㄴ摥㌷㈱〷㙦㐴㈴㝣㜱㐵㘷㘳挲ㄴ㈱挱㘴㤶ㅢ㤳ぢ戹㤷㉢愱戲㌱戹つ㕢搶㔲ㅢㄳっ捤㜱㤵捡挳攴ㄲ㕡摦づ㥢ㅣ㈶㜷㠱搹㌰㑣敥㌶ㅥ挵㌰搹昶挴㝦㑣戹扤敦㑢昵㠷つぢ扣㝣昹㥣攷敢搵㕦攱攱㠷挹㐱挵㌰㌹搰㔱㜸㕦㡥慣ㅥ㐱㈴㝢㐷ㅦ挶㤶昵㈷㝢㐷㈷っち㈷㉡㘶挰攷㌷㝥㤳ち攷㍣〷ㄵㅥ㙤㙡捥㤵扢户捣㙤㉥㍣ㄱ〱㙤㥣㠸慥㈲㐸㡦㈲㍥㐳㔲愴㕥挸摢㠱晤攱㘸捦㤳昷㉥戶〳搳ㅤ㠵昷㝤慢挱ㄷㄱ〹㕦摣㌴㐵㈱㌸㐹扣〲㐶ㅡ㜵㉡㍣㜲〳攲昵慣挱㙢㔰搹晢晡㉡戶慣ㅢ敤㝤ㅤ挷㠳㝦㈲㡣㑤ぢ〶昴捤戴㝥ㅤ㌶㐶㔴挵ㄴ㥡つ㙢㔴收摢㠸㐷戱㐶㈵づ晣㐴攴昳㐲扤㕡つて扦㐶ㅤ㕦っ㤳㜱㡥挲晢晡搵㈰㌳㙣昰㉤搱㜷搸㤸㝣っ㐶㌰ㄹ攳挶攴㉥敥攵愷㔰搹㤸㌰㑤挶扡挷挶㘴㡦㐱搱㠸ㅡ㤹㠷挹㝤戴㘶ㄶ㡢㙤晤〹慤ㅦ戰慤挷搳㝡㌷挷㥡搳搲㠰晥㉢慤㍦㠷つㄱ愴㐸㌱ㅤ㈶〷㈷戳㕤㌶っ捥慦㡤㐷㌱㌸㈷㥦㝥㝥换挶㘵㝤㠷挷づ攲㤹愶㝣戸㘲㔶㡢ㅦ㥣〹搴挸㜷ㅥ㔲攷㈸扣㉦㜳つ戲慡〸㠶挷㥡㘰慦搰挵㤸扣㈲㜰搶挲㈳搷挵㥥攴㉥㌳搱挴〶㠸ㄹ㉤搶搳㌶㐰㘳〶㠵㙢㔵ㄸ挶〶㠰㠰㝥㤶搶㑣㌸戱慤㉤㕡㍦㙦㕢敦㑥敢㙡挷摡㠶昳〵㕡㌳㘳㈵〷㈷㌳㔷㑣戴慡㕥㘰昰摤㠰㘹㕤㤵昱㈸〶愷㡣㌴挳㥥愸捦㝥晤㐱㜲搹摦慦愸㔷㥢挱㘳㌰㐱㜸㠳攴㑤ㄲ戹戲摤搱㐱慤㘰ち戳㠳愳昰扥ㅡ㌶搸〷㤱〴捥㔷戱㔷㠰㜳㙢昰〲攷㜶昰挸挱昹㍡㜷㤹㠹㈲㌶㐰摢㘰换㝡搳〶〸扤㌳慣〶㌸〰搹㔳摤户㘹摤㉦㘷捤愴ㄴ敢㕤摢ㅡ扤㌳慣晡㍡搶㌶㥣敦搳扡㍦㙣㜲㜰づ㜰ㄸ㤹㈵㙦〷〶摦つ㠰㤳㔹㈸攲㔱っ捥ㅢ摡㘶㥦晤捦扢〷づ摦㘶㐶㝡㤷户㈷〵㠶慢㙡㤸て㈶㠸ㅥ㌸户㜰㔰㉢㠰戳㡦愳昰扥㘸㌶ㄸ㐲㈴㠱㜳㉤昶ち㜰㐶挱ぢ㥣㥢挱㈳〷攷㍦戸换捣ㄴ戱攱㘴㑡㡡昵㑦ㅢ愰戱〴㘸攳㍣㠰㍥愵㜵㕤捥扡㤶搶㥦摢搶攳㘸摤换戱戶挱晦ㄷ慤ㄳ戰挹挱戹戳挳〸㥣捣㉣挱㜷〳攰㘴ㅡ㡡㜸ㄴ㠳㌳昵挹㡣㤱扢㝤㜸㑤晤愶愷敤昱㔱㜹昴散㝡㌵〶收㠳㝤攰搴づ㙡〵㜰㔶㍡ち敦㙢㙢㠳捣㕣ㄱ㌸扦挵㕥〱㑥愶㥦〸㥣ㄶ㍣㜲㜰㝥捦㕤㥥〸㤵つ㈷㜳㔲慣ㅦっ㐰攱戸㉡捤〳攸㈷㕡㑦㠲㑤敥㠸㥤ち〶摦つ挰㠴㘹㈸攲㔱っㄳ㐴㤳捦㐶戵扢㘲㕥昹㙡扤㥡〱昳挱㄰㜹扢搸て摦ㄴㄹ〰晦攳㈸扣㙦戱つㅥ㠰㐸㠲㐹〵ㄶ㡢㠱挹挱攰〵㤳敦攰㤱挳愴ㅢ㤴慡〱㉡ㅢ㤳㈴戶㉣つㄹ㉥挴㌰㤹㡣慢慦㘰㙣〰〸攸敥戴㘶搶㠹ㄱ㔵㘵挱攰扢〱㤸㌰つ㐵㍣扡挶攴挳㝡ㅢㄹ㕣㠸戵挰㝣戰て㈶㥦ㄷ挳攴㌳㐷攱㝤戱㙤㜰づ㈲〹㈶ㅢ搹㤸㜴㠰ㄷ㑣㍥㜱㘳搲㥢㝢㌹て㉡ㅢㄳ收愴㔸㥢摡㤸㘰㌲ㄹ㔶ㅦ攵㘱戲㌹慤㤹㜵㤲挳攴〸㌰昸㙥〰㈶㑣㐳ㄱ㡦㘲㤸捣㝡㘹捤㈱㐳扥㕡㜹摦㡣攳扦摥晢㡥挹㤸㑣㉥㠴昹㘰ㅦ㑣㔶ㄵ挳攴〳㐷㔱昰㥥㕢㘶㥡搸㍢捡ㅣㄶ慢慦扤愳ㄳ〶㐵㐲敡㕤昸㤸搹㕦㐰昷攳㡥㉥㠲㡤ㄱ愹挵㘰〶攷㉡搱㌹㈱㝣愳㔸㈵㕥㜷ㄴ摥㤷捥〶㤹㍥㈲つ戳ㅤち㐱㘷㘵づ㠸㌴捣慢昰挸㜵搶ㅤ㔸㠳ぢ愱戲敢㝢〱戶慣㥤散晡㡥攲ㄵ昲㑢㌰㘶㉢搸㈷㡣愱戴㘶㘲㠷㙤扤㠴搶搵戶昵㘸㕡㍦敦㔸摢攳㘱㠸搶㑢㘱㘳〲愸㡢ㅤ㐶挶挳㘵㘰昰摤㠰㌶㕤㙥㍣㡡戵改㈵㥦㕥昵挸㥥昱攷敢ㅦ扤昳昶搳慤捦㙥慢㔷㑣〴ㄹ㥣㠳戳昳㙣晤㤴㠳㕡挱㜸昸愴愳昰扥挲㔶㌱㌹㠱昳㝡㕤㡢扤㘲晤昹ㄷ㌴ぢ㔹㙡㠵㔱ㅢ〹〱ぢ㕥て愹戴㐱ㅤ㥣㜴〲愴㘷㘹㤰㔹〲㈲摣㤹㝣㤹扡〵扣㌴捣挳㈸㥢つ搳ㄷ慥挸㌹㔲㕣改ㄷ挵㐳㡥愲ㄷㄵㄸ㐳昹昹收㈷㜵㥢搱晦搵搱㔷㐱敥搲㌳㍦㐰晣ㅦ㜴昴㕢攵敢戹挲㙦㌷攴敤搸戲㠶愳㍡ㄸ愳昶ㅢㄴ㡥㔵摣〷て摦搷ㅢ㌹搷㍣㜸㤲搱晡㕣昰㡣㐴㐸㜵㈷㠲㌳ㅥ㙢慤ㅥ〰㌳ㄸㅢ昶㘰摣昹〶愶㍢㘱攰㍢ㅢ扤挳㔱㜸㕦㘴ㄸ㝣㄰㤱〴挶㜱㌶㡣㡦㠰㤷扤㕤〹㡦㕣晦摥㠳㌵攰慡扢扤愳㕣戳户㈶搸㍢㡡㠱㈷愴㙥㠶戱ㄹ㘵〲㝡㈲慤戹㉡㙦㐴㔵㕣㜹挷㜷〳㍡改搳挶愳㔸㈷ㅤ戶晤㍤慤㐷晤昳㥡晢㍥摤㜹慢㉦㥥敤㜱㝦扤㝡ㄱㅥ㠳㜳㤸㜴㜶搲ㄵ挵㌰戹捥㔱㜸摦㙤ㄸ晣㍢㈲〹㈶搳㙤㑣㕥〳㉦㤸晣搹㡤挹㍥摣换㌷愰戲㌱攱㥡扤戵㕦づ㤳㍡㜵㔵ㅥ㈶㌳㘸捤㔵昹ㅣ㈶敦㠰挱㜷〳㌰㜹搷㜸ㄴ挳〴搱昰㜹慥扥敤捡挳㥦敤搱昴㜲扤攲ㄲ晤㘰㠸扣㈷敤攵挵㌰㔹收㈸扣慦㍡っ㜲㘵㕦㌰㌹搸挶攴ㄳ昰㠲挹愵㙥㑣ㅡ戸㤷㕣㑡户㌱昹ㄴ㕢㔶摡挶〴㜷挵攲敡愲㍣㑣戲戴收㤲扡㙤捤㘵㝢㙢戶㙤㍤㡡搶攷㍢搶昶愸㜹〸慤戹㈶㥦ㅢ〷扦㜴ㄸㄹ〷扦〱㠳敦〶挰挹㜵㝡昱㈸〶攷㜷㐷ㅦ㜲㜷挷㌹㔷搷晦攷㥡捦晦戶㔷挳㔹㜸っ㍥㐶㡤挱㍥㜰㉥㜶㔰㉢ㄸ〷捦㜶ㄴ〵㉦㑥㉣攳ㅣ㡥㤱收㘰慦捣㌸愸㘴㤱㥥搲扣攱㡦㡢昵〲㝤ㅢ㙣㜵㍢〸㠶㍦慥搵㡢㤰㑦㐳挲昰挷〵㜷㘹㡦㔳㔱愴㝢昸攳㈲扣㈸㑥㜱ㄴ㥥攱㡦敢昳愲㍦搹搱㝢㠶㍦㉥摤㡢晥㈴㐷敦ㄹ晥戸昸㙥户㕦ㄵ戶慣㈳㔰ㅤっ㝦㌳㌰晣愹ㄳ攱㘱㠶慣㠰㍥ちㅡ戵ㄱ㙣㡣㐸昵〱搳〹㘷攷㈸㜶㉣晣㝣㐷戱㘳ㅣ㠵昷㔵㡢㐱慥戴ぢㅡぢ㙤㌴戸㕣㉥㤵晥扤㔳㘹戹户㝦〲㙢搰て㉡扢扥㕣㐳户ㄶ搹昵挵㘵㕤㔴㉤㠰戱改㕣〱㝤ㄲ慤戹〶㙥㕢㜳ㄹ摤㍡挵戶挶㈵㘳㔴捤㜵慣搹㝡〱㝤ㅡ慤戹㐶㙥〲愸㠱づ㈳扤㤳㑢攱搲搷㘰散晡㜴戱㔴戲㠳昱㈸搶㍢户晡敤㥢㠳㉣戵敤昰昳捦慡㍡愲昶捦戸㐵昱㕢㜸㜴挲搹㌹〰捥㜱㔰㉢攸㥤慤㡥挲晢攲挶㘰つ㈲〹㥣㡢戱㔷攸㕣㕣㉦ㄷ㌸㥢攱㤱㍢㈹㥣换㕤收㔲户つ㄰ㄷ搱慤昳㙣㠰㜰㔲愸㔱㡤㜹〰㕤㐰敢㍡搸攴〶挰㕤挰㙣ㄸ㈶㕣㌷ㄷ㡦㘲㤸扣晥㉤て搹㥢敦晢搳㙢㔷扤㕦㔳㠶ㄹ晡㈸㜸昸㘱㤲㉥㠶㐹捡㔱ㄴ扣挷㤱㙢敢㜲挴㕥㠲ㅤ㌱㐷㙣搰㉣戰慢㜱㐶㙤㈴㌲㜳攱㉡扡〰㜹ㄹ㥣昴㌲㄰ㅣ扡㕣㐴ㄷ攱㜲昲㘵㡡㡢摥㠲敥㠱づ扡㘶收㌲挹㈸づ㜰ㄴ㥥㐳㤷㙢攴攲戸扦愳昷ㅣ扡㔳㡣㝥㠶愳昷ㅣ扡㕣〰户摢㡥㑢敢搶搵愸㡥㝤攸挶搵扥昰㌰挷㘹㐰㕦ぢ㡤攲攲戹ㄱ愹晤挱㜴攲摡㜹攸㑥㠵㥦敦愱㍢挵㔱ㄴ扣〲㤲敢搷扥㜳㈴㉥㔹户㔷换戳㙣昹㠴㡣㑣扢〸戸㡢ㄵ㔹慥搹㜶捦摡㘲㉥㌹换〳㔳㥢攴㠱ㄸ㍤昰搲戶戶㐳㌳㙤ㄳ昰㘲㐲扣慡㙤㕡㘳戳昳㤴〶扣戰㤰て㤳㌳慦〵搳挲搱搹捡㑥㙡挳㝢挲扡㘵挷户攳㜷慢改捡收挹挹㡥㡥㑣㕢换慦㈱㐷ㄹ㡦㈸㈹㘷㑦㐲㤷㉢挳晢戰㑡㝤㥦づ昲〴搴扥换扢㌶㠴㥤㜸㤸挷㐲㤶昲㕤㙦㍦㉦㐳搹扡㠱㥤搶㝥㜵愱昳摥挲㜲㌵〹㡤㙢㈷㠳ㅤ㕢㈲ㄳ㔴收㡥攸㥢搸㥦㙥〶㈹挳〳㌱攴搸〱〹攸㕢㈰㤱〷攲〸㈹愹攰㝡扥㜷户昸愴㤶㌱摣敦㡡挳ㅢ搳ㅤ戳慤搹㤹挶㔹戳昱㜳㤸敥摤戹慦收㔳捥㈵改慥㤶挳㜹㤸㜶㙢㥥㤹㙣㙢㑢㉥愸㙣㥥搹㤴㘹㤹搵㌱扢㜲收㍣慣晥攳敤㤴愸〷摥㠰慥㙦挳晦㉣㡡㝦㙡㌶㈲戲㐷㕡㉢㈱昵敥收㌸摦摤扣〳㤶搶㥤㈰昹扢㜹ㄷ㈴慥摤㔴㕣㔸收慥㥡㡦攲摡㌱㜷㐰摦〳换㕣〵戸㄰㉢ㄵ戸ㄷ㔲㙦〵㐶昸㔶攰㝥㔸㕡て㠰攴㔷攰㐱㐸摣ㄵ攰㉡㙥㕥〵戸㔰㉢ㄵ㜸〸㤶戹ちㅣ㙢㉡昰㌰愴摥ち散散㕢㠱㐷㘱㘹㍤〶㤲㕦㠱挷㈱㜱㔷㘰愱户〲㕣ㄵ㤵ち㍣〹换㕣〵戸挴㈸〸㍣〵愹户〲ㄱ摦ち㍣挳㤲搸搳㍡㝢搹㜳ㄴ昱戱㔱㐲㑡ㄴ搷㈶昳昶㥥换㡦㔲昸摦㘰㤹㉢㥣㙢㜹㔲昸ぢ㤰㝡ぢㅦ敡㕢昸㑢㉣㠹昰㜷ㄶ晥㌲㐵慥挲戹〸㤸㔷昸㈵愶昰㔷㘱㤹㉢晣㉡㈳㝤捤㉤攵㑡㤴㔴改㜵㐸扤㔵ㅡ攴㕢愵㌷㘱㘹扤〵㤲摦㈰㙦㐳攲慥搶昵摥㙡㜱愵㑡㌰㜹ㄷ㤶戹㙡㜱搹㐷㉡昰ㅥ愴摥ち㙣攳㕢㠱て㔸ㄲ㘷㈰㥤㤸慣昶ㄴ㝥㤷户㜰㉥〹㐹攱ㅦ扡ぢ晦慢㤱慥㜵㑢戹㜴㈲㔵晡〸㔲㙦㤵㌶昵慤搲挷戰戴晥〹㤲㡦挹㈷㤰戸㌱攱扡㑢㕥㔳㍤㙢㉡昰ㄹ㉣㜳㤸㜰〹㐵㉡晢戹㕢捡㈵〸愹搶ㄷ㤰㝡慢搵搳户㕡㕦戲晣㝣愴扥愲挸搵㝢㕥昷㔶㠹换ㄳ㔲昸㌷敥挲摦㌷搲㙦摤㔲摥挶㤷㉡㝤〷愹户㑡ㄵ扥㔵晡て换捦慦搲㡦ㄴ戹慡挴晢晦㜹㈸㝤㙡ち㉦愹㜴愱挴㕢昹㔲㔱攵㤶昲㔶戸㔴愹ㄴ㔲㙦㤵㝥昸摡敦㔴㔲づ㑢捦〱㙥㔱攴慡搲昷摥㉡昱㌶戹ㄴ㕥改㉥㥣昷㥣愵㜰敤㔳昸㔷扥㠵㜷㉦㉣扣愷愷㜰摥慣捥挳㠳昷愳愵昰㉡㜷攱扣戹㉢㠵〷㝤ち晦搴户昰㡤ぢぢ摦挴㔳㜸㙦㙦攱扣昱㉢㠵㙦收㉥扣㥦㤱㙥敥㤶昲戶愶㔴愹て愴摥挶㔸攳㕢愵㉤㔹㍥㡦愴捥㠳㝢㙢㡡㕣㡤戱〳戴㜹㜸っ㌵㠵昷㜵ㄷㅥ㌲搲㙤㕤搲㘰㉤愴㌲㍦敥挷愸晤㐹〶㠰〴ㄴ㙦晦挹㝣昷㑤搴㡢㤷㈱㥢愱づ㜸戸㠷攲㉤㐱㔱扣攱㈸㌶愷愲ㄲ改㘱㍦愹㥤愱㤳ㅤㅣ捣㐰㙢㤷㥦㠰ㄷ愰慣㍡昶敥㔲昵㥡搹戹㝦㠴户攸㥣戴㙣て㉢㙢〷㤰㌲摣㥣㔳㍣摥戱㤷〱扤㈳㥤㕤㍢㌸ㄲ㔱〵攲㈱㔰攴㐶㠵㜱愶慣愱㤰㝡挱㝣挱㤴㔷攲㥥㈴㔵㌳㜰晥愹㉢攴㈹㙢て㐴捤〳㤳昷搷愴昰戰扢昰改愶昰㠸㑦攱㑦昹ㄶㅥ㘳㐹昹愷慥戸愷昰㝤扣㠵捦㌰㠵㈷摣㠵昳慥㤰愰扣戳㑦攱て晢ㄶ扥㉢㑢捡敦㐶扢㜹ち㙦昰ㄶ捥㍢㐶戲攷挳摤㠵ㅦ㘲愴㈳㕣搲攰ㅣ㐸愵ㅢ㡤㘴搴㔱㈴愳㐱〲慡つち改㉤㜷愱㕥敥㙥搴㙥ㄴ㜷㍡ち㔷㌷敡㠰㡥㍢愸搹㡤㑡搵敤㘶㤷昲㍡捦㜸ㄶ挲捥搳搹㜱昶愴挸搵㜱㜸ㄷ㐴昶㘰㉦挶㐱敦攲㥦㕡攸㐴户㈶㐲敡敤㌸㌷㥡戲昲㍡捥㘴〶捥ㅦ愵愷㝡捡攲晤㡥扣㡥㜳㤲㈹㝣扡扢㜰摥扡㤰㉡敤敤㤶㉥㌶㔵摡〷㔲㙦㤵慥昱慤搲㝥㉣㍦扦㉦捦愰挸戵晢攷㝡慢挴摢〲㔲昸〱慥挲㠳扣挶㤶戶㍢㤰晥〷㤱捣〴〹㈸㕥㐷㑢摢㕤收㌴㤱ㄹ〲㤶ㄹ挵愵㡥挲搵㜶换愱㜳戵摤挵愶昲㜹㙤㤷㘶㈱昹㙤㤷愵挸㔵㜹㕥〶㑢㕤㘷㐳㘱摡慥攲㈶㐸搷晢敡㡢㜷㄰㝥收㑦㈷ㅢ㔱愸扡〵㠵挹㕤㠸㐳挸挹攰㠴㐴㕣㕥挲㤰愹攴〵㡦攲〵〹㉢愵て愵つ慦㐳挴愳挹敤挱㙢㡥㑥て㕥㐱㠸㐷㌳㙤ㅥ㌴ㅥ㉤㙥て㕥㈴㜴㝡㜰捡㉦ㅥ慤戴攱㑣㕦捡㤸攳昶攰慣扥搳㠳㜳㜴昱㌸㡣㌶㥣㥥㡢㐷㥢摢攳㙦㜹ㅥ㥣㔸㡢㐷㍢㙤㌸愷ㄶ㡦づ户〷攷捦戹㌲慡㌸㙦捥㜱㡡戳㘰昱㥦㑢て㑥㝥挵㝦㥥摢㥦ㄳ摤㑥て㑥㕢挵攳㜰摡㜰挶㉡ㅥ昳挱㤹收慥攲散㌴攷㔱挵㔹㘹㡥㔳㥣㘳㡡晦〲晡㜳㙡㈹晥㐷戸晤㌹㡤捣㜹㔴㜱晡㤸攳搴㤷挶晦㐸晡㜳ㅥ㈸晥㐷戹晤㌹攷换㜹㔴㜱慥㤷攳ㄴ㘷㙥㔲晥敦改捦㐹㥢昸ㅦ敤昶攷〴㉤攷㔱挵㠹㔹㡥㔳㥣㘶㠹晦㌱ㄴ㜳㠶㈵晥挷㍡ㅢ㘴慡㉡ㅤ挶敥㙢㥣ㅢ㠹挷㜱ㄴ㜳㕡㈴ㅥぢ㥤つ昱攰ㄴ㠸ㅢ戶〷㈷㌴攲㜱㍣挵㥣换㠸挷〹捥㠶㜸㜰摥㤲昳愸攲㝣㈵挷㈹捥㍥挴晦㐴㡡㌹昱㄰晦㐵搸挸戵ㄱ㈷ㄹ㌹㡦㉡㑥㉥㜲㥣攲愴㐲㐶㤰〵捥㐰戱㉢慢㔶㙡㈹㑥㌴㐴㌱摦㔱っㄳ㠵㔲㥣㝣㠸攲㜰㐷㔱て㠵㍥㠵㔱㌹㕢㤰捡㥣㑡㡥㤳〴愹捣㘹捥〶㤹慡㈱づ㘳敦㍥捦昷攲㜱㍡挵㍣搵㡢挷ㄹ捥㠶㜸昰戴捥つ摢㠳㈷㘹昱㌸㤳㘲㥥㥦挵攳㉣㘷㐳㍣㜸㉥敥昴攰㤹㔵㍣捥愶㤸㈷㔵昱㔸㡣㡤ㅣ㐴㍣㠱收㍣慡㜸攲捣㜱㡡㈷㑣搹攱㘶て㐴㍣㠹㡡愲挹〳ㄱ㑦慣愲㌸搴つ搱㜹㡣捡㜳愲㔴收㝣㜲㝢㤲㄰扥ぢ㥣つ㌲㔵㍣ㄷ㜶ㄶ捦㌳㥢㜸㉣愱㜸慡愳搳ㄷ㘲㈳㔷㝤㥥挰㜲ㅥ㔵㍣㜱攵㌸挵搳㤰昸㕦㐴㌱捦㐰搴改愵捥〶㤹慡〳ㅣ挶㠶㤸㘷ㄹ愹㝥捡戳挳㍣昳㠸愲挱戳挳㍣ㅢ㠹㈲改摥攱换ㄸ㤵㈷ㄲ㈹㝥ㄹ㌹㥥㐳愴昸攵捥㠶ㄴ捦ㄳ〸㌷散攲㘵㘴㘷ㄵ㉦㠷搸㝣㠲ㅣ攱攵ㅣ㜸〵㌶㜰㥢昸㔰挷㐷晦挹㙤挵㔱㕤慣慥戴慤㘴〴㘷慣慢摣㔶ㅣ挹挵敡㙡摢㑡㐶㙤㕡㕤攳戶攲攸㉤㔶搷摡㔶㌲㔲搳㉡慦㕥㙤挶敡㉦戶㤵㡣捥〵㈵㜲㤴㤶㔸㉢㙣㉢ㄹ㠳㘹㜵㍤㜸昳〹㜲㉣ㄶ慢ㅢ㙣㉢ㄹ㜷㘹㜵愳摢㡡攳慦㔸摤㠴つ㝤㌳㑤㑢㤵っ戱㌴扤挵㙤捡愱㔶㑣㙦愵改㙤戶愹㡣愶〵㔱㡦㌲愶户搳昴づ摢㔴〶捥〲㔳づ愰ㄲ昵㉥㥡摥㙤㥢捡ㄸ㐹搳㍣㜴㌸㔶㡡改扤戴㉡㔳㌲㉥ㄶ㔸㜱㝣ㄴ慢晢㙤慢攳昱㥦昴㤲扣㔸ㅣㄳ挵敡㐱摢㑡㐶㍣挶捡摢㘵㡥㝣㘲昵㄰㌶昴挳㌴㉤慤攲攸戴㉦㑣㑢攷慢搴挱改㠳て晥愶慡扣摦㤶攵晢つ敦戱攴㥤㈷摥㕢晣攲〱挳搶晣㘷改搲ㄷ㍦㔸晣搴㝦敥㙥ㄸ昶攸昲攵て敤㜱改㔳敦㙤㥣扤慣昴戶㙦㈶㕣㜶㔴捤愱㐷ㅤ㤶摤㝢愷戱㐷晤敥㤰㈹㌵㤳㌷ㅡ㔲㔶搶慤摢昶扤ㅦ敢戳㐳昰搸挳㙥㔷て扣扡㜹㡢㤲〱㡦㜵㌱㑢㤵搸挶㈳愳㑣㕤ㅥ㘵㌵捡㤴っ㜲戴捡摢㉦づ㜶㔲攳挷㙤㉢ㄹ搸㘸㤵搷㘷㌹挰㠹搵㤳戶㤵っ㘶戴捡敢戳ㅣ搴挴敡㘹㙣攸㘷㘸㕡㕡挵㠱攷㝦扡昷㌲㤶戱㉥㜹㝢捦㌱㑤敡昲ㅣ慢㔱愶㘴晣愲㔵㕥㙦收㌸㈶㔶㝦挳㠶㝥㠱愶愵㑡㠶㉡㥡收〱挵㈱㑢㑣㕦愲㔵㔹ㄵ挷㤷晦改㝥挹㤰挵㙡㤸㔵㉣㙣㤷〴㌹㜴㐹㌵㕥㤶㙡〴㑤ㅤㄵ㐷㈶ㄹ〵㜷㜰㐶挱㤱㌰挷〵㜹搰っ㔱㡡愳㤲㔸㙣敦戱㌰㑤慤㌸㈲㠹挵㜶ㅥぢ搳捣㡡愳㤱㔸っ捥户㔰ㅣ㠰㐴㌱挸愳攰㤸㈳㡡㠱昹㡡愰ㄹ㝣ㄴ挷ㅢ戱ㄸ攰戱㌰㑤愵㌸搶㠸㐵晦㝣ぢ挵昱㐷ㄴ晤ㅣ㐵㤰㠰扤ぢ㘹搰ㅣ㤷㡡愳㡦搸昴昵㌸㜳㐴ㄲ挵㌶㙥攷て㈰㔵ㅣ㠶㐴戵㤵挷㠷㐳㤳㈸戶㜴晢慣愱て挷㈳㔱昵昱昸㜰㡣ㄲ挵收㙥㥦㡦攸挳㠱㐹㔴㥢㝡㝣㌸ㄶ㠹㘲ㄳ㡦㠲挳㡦㈸㝡㝢ㄴㅣ㜱㐴戱戱㐷挱㔱㐸ㄴㅢ㌹ち挱攸㌳㐸ㄵ㐷〶㔱㔵㜹㝣㌸ㄸ㠸愲㤷㐷挱攳㕦ㄴ㍤㍤ちㅥ昲愲攸攱㔱㜰ㄸ㄰㐵㜷㐷㈱挵㝦〵愹攲愱㈹㉡敤昱攱搱㈸㡡㑡㡦㠲㐷愸㈸扡戹㠳㝤挷㘰㍣㉣㐵㔵攱昱攱㠱㈲㡡㜲㡦㠲摤㐴㈶〷㍦搰㥦敤㉥摣㡦攴搸愲挲晤㐴㡥㙤㈵ㅣㅥ㥦㠹㥦㑡ㄸ㑥㤱攳㥥㠸慥㤴ㅣ慢㈲㕣ㄹ㌹〹捣ㅥ㘹㝡㌲戶㜱㉤〰ㅢ㌹挱㔴挰挶㝣㤴ㄴ〴㉥摦㔶ち㉣㤰㑡挱㤴㜶㜳㐷㤰ち㔰㥡ㄷ㔷㉡攲㡤㄰㌴㈶㐱ㄳ愱晢晦〱㠱㜳㔴㑤</t>
  </si>
  <si>
    <t>㜸〱敤扤㜷㝣ㄴ㔵昷㍦㥥㥢戲㘴㤶㤲〵散㔸〰㠹つ㐵㐲ち㐱㐵㑡愸㡡㜴㔰戱挴㑤戲ぢ㤱ㄴ㐸愱搸㈸㠲㡡搸〰ㄱ戰㈱㈲㠲㕤挱㠲〸ㄲ㄰昵戱㜷㔱㥦挷㠶ㄴ㝢攱戱㌷㝥敦昷㤹㝢㜷㘷㘷㘷㐳昴昳攴昵昳㡦敦㤲㍤摣搳捦㥣㜳攷捥㥤㤹㍢戳㐹㉡㈹㈹㘹て㍥晣㥦㥦㔴㌶づㅥ㌱戵扡㈶㔴摥愹愰戲慣㉣㔴㕣㔳㕡㔹㔱摤愹㔷㔵㔵㜰敡愰搲敡㥡ㄴ〸昸ち㑢挱慦㑥㉢慣㉥扤㈰㤴㕥㌸㈹㔴㔵つ愱戴愴愴昴㜴㉢ㄹ晣〳昵㌷㘰㄰㡢㕡㔶㉡〱愴㤲㉣ㅦ㐱ㄳ㠲㜴〲㡢挰㑦搰㤴愰ㄹ㐱㜳㠲ㄶ〴ㄹ〴〱㠲㤶〴慤〸㕡ㄳ散㐳戰㉦挱㝥〴晢ㄳㅣ㐰㐰晦搶㐱〴㙤〰㥡ㅤっ㌰戲愰昷㤰愲昳戱㌵㈳㙡㉡慢㐲挷戶ㅤ㙤挷摣㍤㉢慢㔳㔶愷㥣慣捥㥤㍢㜵㍥戶㙤㐱㙤㔹㑤㙤㔵愸㝢㐵愸戶愶㉡㔸㜶㙣摢愱戵㐵㘵愵挵愷㠶愶㡥慣ㅣㅦ慡攸ㅥ㉡敡㥣㕤ㄴ捣挹捦捡挹捤つ㜷敢㤶摦散㄰㔸ㅥ㕣搰㝢㘸㔵㈸㕣晤扦戲㜹㈸㙤づ㈹攸摤㘹㜰愸收㝦㘵昳㌰搸㠴挹㍥㤵攵挱搲㡡晦㤱搱㌴搶㌴户㑦愸戸㤴挵て㠵慡㑡㉢挶㜶㐲搸㌱㠹〶搶戵㔳慦敡敡摡昲〹散㐷〵愱戲戲攱愱戰ㄴ扤扣㑦㜵捤搰㘰㔵㜹㜵戳㜲收㉦㔴ㄵ慡㈸づ㔵户㈸敦㍢愵㌸㔴愶〵慢搳换㐷〷慢〶〷换㐳愹㙣㘴㤴摢㌵ㅣ㔸ㄲ慡愸㈹慤㤹摡扣㝣㔴㜵㘸㜸戰㘲㙣㠸㈲㘹攵晤㙢㑢㑢㔴㙡㉡晥㤲㔲㡥昴㡡㑣ち㠵㜸捡ぢ挶〵慢㙡〴㘳〹戳扣㘴ㅤ摤㐵戶㈲㈶㉥㜶愹戶㉥㉤搶㙣㐴㘹昹愹愱慡㡡㔰ㄹ㥤戰㤲ㅤ㕤㐲㤲㈰扢づ㤱㑣㤹捤㘱㤵㔴㔳扤昳㜱㕢攸挵搷ㄶ愰敤攰捡慡㜲㜴挸搳㐲挱㡡敥攸慡㕤㜲戳㡦ㅤ㔱㔳搲㈷㌴㠹㔸㔶搷慥㔶㍢㐸㔹敤㈹㝦㌸㐰戳㕤搷㉦摤扥㙥攵慥㙢㉥㍦愱换〹㔶〷昲㌲〱㔴敡㝢搸搷㥤ㅥ戸扦㈵ㄷ〶㤳ぢ㡢㤲ぢ㡢㤳ぢ㑢㤲ぢ㐳挹㠵攱攴挲戱挹㠵攳㤲ぢ㑢㤳ぢ捦㑦㉥ㅣてㄹ昳㐹㙦搲㈴㔹㝦戶㥦戵敡愸㘳晦戸㝦挸摣慤㘳㡥て㘴㑦扣㌰㡤扢㜷戶搷收扡㌳搹て㝢㘰㜱戰扡㐶ㄷ㤹攳挰晦戶て散扤ぢ昴慢㉡㙥晣㉥〰㈷晦㤳㉥㘰ㅤ㠹っ㔹㐷〱昸㡥〶攸昰改挶晢戶㍦戱㝣晢摡㌹㥦捤㔸戴㙢攱㤲㕤敢搷㝤戶攴㌱搴晡㥢昵㔷散㕣戲㙥攷散㤵摦慣㥦㘳ㅤ㐳㥤㡥〰㑡扤㠹愲戳昰㑦て攸晦攲㌵㝦慥敥户㘲昹扣㘹改攷つ摢愶㌸ㄶ换愰㝣ㅣ㠵㍢〱昸㡥〷㘸ㄵ㜱㄰改㐶㔶㘷㑡㘴〱㈸昵戲㌶搷晡㡥㝢摥戸㘵攵㈹㍤㔷捦摡摤搷㌷㘴挵㡢㡡愳扡㤸换愶㜰づ㠰㉦ㄷ㈰ㄲ敦昴晡攲捤愳㑥㔷〰愵晥愵ㅤ㡣挸扤晤戸挲㥢㔷昶扣㘷挶㉢敦晦㌲㌳晤㜸挵㥥㈲づ扡㔱昸〴〰摦㠹〰㈶摥㜵㔷㐵攳㍤㠹ㄲ摤〱㤴摡慣捤ㅤ摤㜳挹㔹挷㉦扤慣摦昵户摦㜰昷㥣搹㕦㝥慥㌸っ㠹戹ㅥㄴ敥〹攰敢〵㤰戱攳戱ㄵ摢㌷摣晣搹攵搷敥㤸㜱敤㡥挷敥户㝡㤳㕤〰愰搴㝡㙤慢摤㤷㕦っ戸攲慢㍦晡慤㍣㜹挰㈹ㄷ㡦㍥攱㙡挵㐳㤸搸敡㑢攱㝥〰扥晥〰㘶摢搷㕤㔵摦戶て愰捥㐰〰愵ㅥ搵づ㈶㙥㕦㍤收昸㔱㉢晡捤戹戰昵敥㜹戵ㄷ㉦㔱㍣㍣㡡㠳㔳㈹㍣〸挰㜷ㅡ挰〱㤱㕡戹愳ㅥ㑣戹㈱〰㑡㍤愸㡤㜶㑥ㅦ扡昰搲慢づ敤晢㜸挶㙢攱㔱昳愷捤㔰㑤挱ㄶ愳挳㈸㍣ㅣ挰㌷〲攰挸㠸搱昸愸㍦扢攵搶㘸㈷ㅢ㐹戵㔱〰㑡摤慤㝤昴㘹戱戸㜰㘵摢昴〱昳搶散改㝤㡣㕡㥦愶㜸㌴攷愱挲㜷㍡㐰〷攷㐰㜶㕣攷㑥㕤扡攴㜷换㡤づ㘵㕤戲㜳㜲㌱㤸㥤〱㐹敢㑣敡㡣〱㘸攵摡㌲づ㘹㘷㔱攲㙣〰愵㤶㙢挷㤹㥦㕣㜱㙡换散愹㠳㙥扤㘵昲㝥㉦愷㑤㕢愰㌸㠳㄰挷攷愲㜱愸搳㜱攷㑥㔹づ愷㥤㜳昲扢㔹㠵㌴㜸ㅥ㠰㉦挸㔶戴㈳ㄵㄱ㉤〶㔰敡㘶敤改㠸搶搳㝥㝡㙣挵㤶㥥㜳挷捤慥㉤昸晥摣㘴挵㘹㡡愴㌱㐴攱㌰㠰㙦㉣㐹摤晢攷㜴戶挶㤱㔶ち愰搴つ摡挰ㅤ㔷っ㌸㝡攴㤰㤷㝡摥㔳㤹戴昲㝣晦愶㙥㡡㔳ㅣ㌱㌰㥥挲㘵〰扥㜲㤲扡昷㠵㠱ち搲㉡〱㤴扡㑥ㅢ戸户捤晡〵㐵捦㥦㔶㜰㐵挷愷〶㈷摦扣㜸扡攲昴㐸っ㑣愴㜰ㄵ㠰慦ㅡ㈰㔲㐸㡦㕤㉦愶㤰㌵㔴慢〵㔰敡㑡敤㘳攳〱㤳户昵〸㍦㝣摡㠳㥦㍥晦搳晤扢㡥㥢慣㌸晢㤲㝣㑥㐶攳攰搸㝣㜶捥㜲ㄴ戱㡢㌵㠵收愶〲昸㉥〰㠸摢愱㉥㈴晢㈲〰愵㉥搵摥㥥摤㜱挰㐳㐳挲㤳〶㉣戸㍥敢愰〵慢晢攵㉢㑥昳㘴㡢㉥愱昰㌴〰摦㜴㠰㔶㍢慥㕥戸㝤挳搵㥦慥㥣戵㜳搵㌲㜴㡣㥤㌷㉦戵㘶㔰㘲㈶㠰㔲ㄷ㙢㜳㝢㍥㐸昹收攱〵慦っ戹扣㘹摡扡㕢㌳㝦㝣㕢㜱挲㈸收㘶㔱㜸㌶㠰敦㌲〰㤳㈰慦晤㌳㈶㐱㤷㔳敤ち〰愵㈶㙢ㅦ㉢㡦㝥攳慤て㕢㤵て㔸戳昶攵摦㜳㝥㌸㘶㥣攲㝣㔴㝣㕣㐹攱戹〰扥慢搸㡡㜶愶慢㠹㕥〳愰搴㐴㙤愵挴慡昴㙤㍥愹搷㈹㌷愴㝤昹摤つ攳㉥㥤慤㌸愱㤵㌴㕦㠷挶㈱慥㌴㍢扢㙤㔶㥥㌵㡦昶收〳昸ㄶ〰㜸攵收㝡㑡㉣〴㔰敡㝣敤戱挷捤㑦摥㌵㝦㙣昸戴㠵㙢捦㔷敦㕣㍢扥㠹攲散㔹攲㕥㐴攱挵〰扥㈵〰㘶㘸㔹㜷㤵㙢〷戴㙥愴摣㑤〰㑡㤵㘸愳捦㡦㜹攷愷摦㜷㑥敦扤扡㘲昶㉦攱て㑦㙣慡昶〷㕢㡣摥㐲攱㕢〱㝣㑢〱づ摤换㠸㜲ㅢ愵㤷〱㈸㜵慥㌶晤挶㤸攲昲摤㌵〷ㄶ㑣晦攰搷改㤳㙦㔹㕢愶㌸挷ㄷ搳换㈹㝣〷㠰㙦〵挰晥㉥搳㐷搹攳搴搱搶㥤ㄴ㕢〹愰搴ㄹ摡㘶搵敢戵㈳㑢㉥㍦晢戴㈵㝤㕦ㄹ摥㝤摣敦户愸〳挱ㄶ㥢㜷㔱昸㙥〰摦㍤〰㙤昴㐸㠸ㅣ挴昷扢㝢㈹㝡ㅦ㠰㔲挳戵摤慤㝦ㄶ〶㠷㙤㜹愱攷慡捤㘷昶㘸戲㘸㥦愵敡㈰戰挵敥〳ㄴ㝥㄰挰昷㄰㠰戱扢㜶㡥㠷摤搵ㄴ㕤〳愰搴㈰㙤户捤愱㡢晦㔸昰收挴㕥㙢㝥㜸晥昱晢摥ㅡ㜳戳㙡〳戶昴㤲㐷搰㠸㥢ㅥ㘶攷㐵㜷挷捥㔹㔹㔹搶愳㌴昹ㄸ㠰㙦㉤挰扥昱㑥㌹愸㍥㑥愱㜵〰㑡昵搵㝥㙦㍡昷昵㈶㥦愴ㅥ搱㝢敤敢㙢㥢扣㜶挷㡦改捤搶㠳㍤㑣㑦㔱晢㔴〵㈷㘳搲ㅦ㍤㥦攸搲〹戳搱㠶㥣㐸攱㍣㉡㥣ㅢ敥ㅡ捥捡㉡挹敤ㅣ捣づ愶戵㠳搹㠶捥搸㌹搶㌵ぢ㥦㕥㕡㔱㔲㌹㔹愶昰〷昷づ㔶㠷愲搳戹㡥㥡搷扢戲戶愲愴扡㡤㌷㜳㐴㑤戰㈶㜴㤰㥢ㄷ㌵ㄲ愷㌶〲㈷㌸愱㙡昱㜷愸㕢㙤㜴戰慣㌶搴㙢㑡愹捤㍥挴挵挶改㑤㘵㔱㘲㙥扦慡搰挴〸㌷㉥愲㕥㌸晦㥥㈴戶攳戶搲㘶搹㜱戵㉤ㄸ㔷㔹ㅤ慡㤰昰㍡㤶て㉤㉤ㅥㅦ慡ㅡㄱ攲搹㝢愸㐴㌶㜵㕦戲昴㌹㔶挷㈱ㄵ搸㔰㥣㌵㤵戴㜷㔲挳㝤愷搴㠴㉡㑡㐲㈵㠸㜷㐲愸慡㘶敡挸㘰㔱㔹㘸扦ㄸㄱ摢㈷ㄸ〷挶㤰晢㔵ㄶ搷㔶ㄷ㔴㔶搴㔴㔵㤶挵㜲㝡㤵㑣ち攲扣慥攴戴捡㤲㄰㑥换㔲昹㐹㔲㐹㈹㈹㑡㈵ㅤ攳㜵戲㐰扢搵㥤愴㄰㡥ㄲ昳㉣敤㠰搸㙥搷㘹㌸戶づ㕢㔱ㄶ㘲㥦㑣敥戰ㄷ㘳㘲㤷㘶㡥㑥㉣攸搸㈶㕥敡愰昴㔱㠹愵㈵挶㐸攵ㅡ㔷㌸㌹戹戵摥晡扥㤳㜰敥㍢㈰㔸㔱㔲ㄶ慡慡昷㐲㡤㘲㐴搶〶㠰戴摥搸㥢ㄳ㘶㡦愳㤳㥡愲愶愶㑤㉥㉤愹ㄹ攷ㅢㄷ㉡ㅤ㍢㡥搳〱㕣捣㐹㑦㘷㙡攳㍥搶㐶㤰慣㍡㠲㑤〰㝥㝦㤲㙦㌳晥㑦昲昹慤愷㙣㍣慤㍤晥晦敢㘷搵挹搰戲攴㉣ㅥ㤷㕣慡搳捡㜱愲㔸㥤㤲攲戵㤵〳㠲搵攳㙡搸㍤敢㘷搲摥ㄶ㠲愷〱搲㍡〰散昵愴㕤愶㘲扣㌶搱扣扣㑦㈸ㅣ挴ㄵ㈱搹扢㔵㌰慤摣扥挸搰㈷㔴㕤㙣昱㙡挴㐰散㉢㔳㝣㘸㘱攷㙦㔶捥摥ㅦ㥡㔲搳㈷㔸ㄳ㙣㔲㡥敢ㅡ愸㤲〵愱㡥愲㘵户愸搹㕣㘸㐶摢慦㌱㔸〸㐸搳㘱愵愹㄰㙣㑢搸㜱戰扦㈴愵㘸㔸晦㐶㈰㜶㥥㜶晡摣ㅤ㍤昶晡〴㉥㥢㤴昴て㔵㡣㥣㍡㈱㔴㑤昱㜴㕦扤愹㜴敦㕥㌴㌶愴戸㘸㔴㑤㘹㔹㜵㈷㐴摡扦慡戲㜶挲晦搲づ㙤㔹捦〰㤸㑦㕡㌷昴攲㠶㙦ㄳ搲㤵搴㘴ㄲ㙢㔳㔸㤸㤴㑥㙢愴㔸㠷ㄳ戰户挲搸ㅥ晣㈷ㅦ敢㜹晣攷慦㡦㤷㤶〹㠹扦㜲㉤㈷つ昲捤捡㤱愱㤱㔵㈱戹㍡㤵㉥〸戲摤扣晣昴捡慡昱㐵㤵㤵攳搹㥦㕡〸㔶㍤㉥ㄴ慡攱ㄵ㥦愶晡ち㤷㕣挹㔲㉡㈵㈵收㘲㡤攳搲搰㘱戰敦㝢ㄹ㈰㘳攷㥣改㍢㙦㥥㘳㑦搱㜶㍤戸搱昷ち㠸㈹戸晡攴㝢ㄵ㡤㤳㜷摣戴㘱攷㥡〷㜷摣㍦挷㥥っ敤㕣戸㘴挷㤵换㜶摤扦㙣搷㜵㤷敤㜸㝣捤㡥㙢ㅦㅣ㥤搵㈹户昰戳㘵㡦敦扡改晥ㅤ敢敥挴㐹敦愷换㔶ㅤ户攳扥敢㍡㑤㈹慢㉥㔷挷㈳㑢扣㜴昰敡㜵户㜵㍢扡改捣㔳㔷昵づ扤晥晣换慦㡥㔶㥤㌴㈳敥㉡搰㤱昰㕡捦㤱㍣收挲ぢ㈷捣㌱㐷昲㘶攱㝥愵㘵㌵愱㉡ㄹ慣㌳挲昸捦扥扡㈸㜸㜳ㅥ愰慡㠲挵昶㜵扢㝤挲〵㌸㐶攱㜲㘶捤搴攸㔱㍢敥ㄸ㘹ㅦ㐲晥摦㑣攰ㅦ㌷ㄳ㤰㜹㐰捣㙣愰㥥㈳㉤㍡㡤㙢㉥㔰扦戰愳ㄳ昱㈰攸戹摦㑡㤷敡〴换戱㥤㡣昲敥㐱㐶慥搹㐶攴㥤㥤㤰搲㥤ㄳ捦㄰搸搹攳㍢㈹㤵ㄲㅥ㡤晦摦㕣挶敢愶㤳㍤㤷㜹〳㠹戳摥㈴㜸㡢攰㙤㠲慤〰敡㈸っ㐶㥣攳愰ㅤ晢戱摥〵㙥扤㐷昰㙦〰捣㔴㘴散挷㐴攵㝤愰扥て〰㥡㝤㜶晢慣㥤㡦捣摤㜵昷愲ㅤ搷㉥昷挳ㄶ㘸㥣扤㔸ㅦㄲ㝣〴搰散㘳㠰挱〳㐲㘵㤸ㄴ晦慦敥昲愴ㅤ〳㥢昵ㅦ挶搱㜹㜸つ㘴扦昲ㄱ㔳㉢㡡挷㔵㔵㔶攰㕥ㅢ㘷ㄷ扤㡡㜱㥢愴㕡〵㝤攵㠳㉡ぢ㙡㙢㝣攵〳㑡昱㕦戳昲攱愱〹愱㘰㑤〱㑥㝡㌰㜵ㄹ㠴换敢㌲㌱ㄹ㔸㌲攵晦捦㠹㡢㥣晢攲㝣㌲㍡㜷㔱敥㕤搷㥥㐲攸昴㜶敡㔳㠹㕢㙥㈱戹摢挸戴晢㝣㤸㠴晥〳㘷㈶㐹搶㌶㐴户昴扢扢㑦捣扣攵㠱㍤晡晦㘹攸㠲昲戱㡥〶㌳㝥㤶戱〳㔴㝦㝤㍣搵ㄱㄲ㥣㘹㔸㍣戲晢㍥〷㐸㐱㌷戰㜸㈴㔷晢挰戴攷愱戸戵㘶挴㕤摥㍦づ㙡㍣ㅣ㕢㕦ㄳ㝣㐳昰㉤挱㜷〴扢〱㔴㜳愸㝡敦㌸摦㔳收〷㠲ㅦ〱ㅣ㍢捥捦愴㜱挷挱扥搲〹晦挹扥昲㉢㠹扦〱愸捥〰散摢㐹搶敦〰〹ㄳ㜴㍣㈵攲愶㘱摣㠱晤㔶㍤㍣㤵〵㠹㐸㠲㉣㈶挸㑥捥慦㝦㈶㐸捥㉦㥡ㄱ㜷戳㈲ㅢ扡㤲㥣㜴㜴㑥换㈲昰ㄳ㌴㈵㘸〶愰晥ぢ㔵敦攴戴愰㑣〶㐱〰挰㤱㥣㔶愴改攴攴挰㠱㈴㘷ㅦㄲ昷〵㔰㜹㈰搹挹搹て㘸挲攴攴㜲戳攲㤲㜳㈰㔴晣㔶㍤㍣搵ㄵ㝡㕥挹昹㈸㔱㜲㍥搴㡣戸ㅢ㉤摤㘰㐹㤲搳㥥戱ㅦ㑥搰㠱㈰㤳攰〸〰昵㙥挲攴ㅣ㐵㤹愳〹㡥〱㜰㈴攷㔸搲㜴㜲㑥㠰〳㐹㑥㈷ㄲ㡦〷㔰㈷㠱㘴㈷愷㌳搰㠴挹㌹ㄱ㘲昱挹挹㠶㡡摦慡㠷愷扡㐳捦㉢㌹捦㈴㑡捥搳㥡ㄱ㜷摢愸〷㉣㐹㜲㑥㘲散摤〹㑥㈶攸㐱搰ㄳ㐰㙤搴挹〹㐱昲㑤㄰戶㈴㈷㈵㝤㠲晦㤳慣摥㤴㈹㈰攸〳攰㐸㑥㍦愰扥晥〰敥攳㔱㑦愸㐹愶〶㔰㙢㈰㠰敡つ㤲㥤愹㔳㠰㈶捣㔴㉦㍡摣っ挰㌱〹晦挹挷㍡つ㉡㝥慢ㅥ㥥㉡㠰愰㔷愶敥㑤㤴愹㝢㌴㈳敥愶㔸㕦㔸㤲㑣㡤㠶㔳敢㜴㠲㌳〸捥㈴ㄸ〳愰㔶攸㑣搹挱㌹愰㜵㌶㘵捥㈱㌸ㄷ挰㤱愹昳㐸搳摤愸ㅦ㌴㈴㌹㐵㈴ㄶ〳㈸摥㑢戳㤳㔳〲㌴㘱㜲晡㐳㉣㍥㌹㘳愱攲户敡攱㈹摥愵昳㑡捥晣㐴挹㤹愷ㄹ㜱㌷昴㑥㠵㈵㐹捥〴挶㍥㤱愰㡡愰㥡愰〶㐰捤㑤㤸㥣㐹㤴㤹㑣㌰〵挰㤱㥣ぢ㐸搳挹ㄹ〴〷㤲㥣㡢㐸扣ㄸ㐰つ〶挹㑥捥㈵㐰ㄳ㈶攷㌴㠸挵㈷㘷〶㔴晣㔶㍤㍣㌵〴㝡㕥挹㤹㤲㈸㌹㤳㌵㈳敥挶攴㌰㔸㤲攴㕣挹搸攷ㄲ㕣㐵㜰㌵挱㌵〰㙡㘲挲攴㕣㐷㤹㜹〴昳〱ㅣ挹戹ㅥ愸㙦㈱㠰㝢ㅦㅢづ㙦㤲愹ㅢ愸戵〸㐰㡤〴挹捥搴㘲愰〹㌳㌵〲㘲昱㤹扡〹㉡㝥慢ㅥ㥥ㅡ〵㍤慦㑣㥤㥢㈸㔳攷㘸㐶摣敤搵㌳㘰愹ㅤ愳戸㠳㘱㥦㤵㌰㉢㜷㠲㙤慤㈴㔸〵攰挸捡摤㌶慡捥㠴ㄱ㐹挲㍤ㄴ扡ㄷ㐰㥤〵ㄲ㉦㥡㔹昷〱㌳ㅦ㌵ㅣ㍥㜸㉤㠶㌴㙢っ挱㘶㠰㤸㐱收㈱昰晣昵昱搴搹㔰㠹㈶攰ㄵ㕡㤱㔹捥㠰㐴〹攸慦ㄹ㜱户㜹ぢ愱摢㡥晡敢攰㔴昵㑤㤸㠰昵㘰㕢ㅢ〸㥥〴㜰㈴愰捥㐶搵㜹㌰㈲〹搸㐴愱捤〰慡〸㈴㐹挰㔳挰捣㐷㥤攴㑣㐰㄰攴昸〴㍣ぢ㜹扦㔵て㑦ㄵ㐳捦㉢〱㕤ㄲ㈵㈰㑢㌳攲敥㍥㠷㘰㐹昶㤵㔷攱搴㝡㡤攰㜵㠲㌷〸㜸昸㔱ㅤㄳ㈶攵㙤捡㙣㈵㜸〷挰㤱㤴昷㐸搳〳㐹ㄸづ㈴㌱晦㈱昱㝤〰挵㥢摡昶敥昱〱搰㠴扢挷㔸㠸挵㈷攷㘳愸昸慤㝡㜸㡡户换愳挹昹㥣㔶愴㜷ㅣ㤰㈸㌹晢㙢㐶摣㥤昵昱搰㤵攴㝣捥搸扦㈰昸㤲攰㉢㠲慦〱㔴换㠴挹昹㤶㌲摦ㄱ散〶㜰㈴攷㝢搲㜴㜲㜸戳㕥㤲昳㈳㠹㍦〱愸ち㤰散攴晣っ㌴㘱㜲捡戹㔹㥢〱㘲㜶㥤摦愰攲户敡攱愹㑡愸㜸㈵攷捦㍦ㄲ捣㠱晦搰㡣戸㔵〳ㄳ㘱㐹㤲㤳㥡㡣㔰搲〸㝣〴㑤〸搲〱搴㑦㔰昵㥥〳晢㈹搳㤴愰ㄹ㠰㈳㌹㉤㐸搳挹愹㠲㠳昶昸㕡㕣〹㙡戵〴㔰㌵㐰敤攴戴〲㥡㌰㌹搵搴摡っ㄰㤳㥣㝤愱攲户敡攱愹㕡愸㜸㈵㘷㝢愲攴㝣愲ㄹ㜱换ㅤ愶挰㔲㍢㐶㜱㈸挳晥㌸㘱㈲摡㠲㙤戵㈳㘸捦攸愲㤷ㄸ㍡搸愸㥡ち㈳敤㘹㈸㤳㐲㐷〰愸ぢ㠱捡戸㜲㈴㌰昳㔱敦挰㐷㘴㘰扤〰攴昸〴㜴㠴扣摦慡㠷愷㉥㠲㕥㌴〱搱㠱昵攵㐴〹㜸㐹㌳攲㔶㘰㕣〲㑢搲㍢㜲ㄸ㜷㉥㐱ㅥ㐱㔷㠲㝣〰昵慣㑥ちて㤶敦攰ㅢ㥤攷㥥㐰㤹ㄳ〹㑥〲㜰㈴攵㘴搲㌸捦挵改攳㌴愸戴挷搷敡㐹㘲㉦〰㌵〳愸摤㍢㝡〳㑤搸㍢愶㔳㙢㌳㐰㑣敦攸ぢㄵ扦㔵て㑦捤㠴㑡㌴㌹搱㜱攵攱㐴挹㔹愳ㄹ㜱敢㐹㘶挱㤲㈴㘷㌰㥣㕡㐳〸㠶ㄲっ㈳ㄸづ愰敥搳挹㠱㘰散挷ㅡ㐹㤹㔱〴愳〱ㅣ挹㌹㠳㌴扤敢捣㠶㔲㝢㝣慤㌱㈴㥥〵愰㉥〷㙡㈷攷㙣愰〹㤳㜳ㄹ戵㌶〳挴㈴愷㄰㉡㝥慢ㅥ㥥攲敡ㄶ慦攴摣㤸㈸㌹㑢㌴㈳㙥㈱捣㤵戰㈴挹ㄹ〷愷㔶㈹挱昹〴攳〹捡〰搴〲㥤㥣㤹㤰攴㍣㌶摡㜳㉡㈸㔳㐹㌰〱挰㤱㥣㉡搲㜴捦㤹ぢ戵昶昸㕡㌵㈴搶〲愸慢㠱摡挹㤹〴㌴㘱㜲㘴㐱捥㘶挸挶㈴㘷㉡㔴晣㔶㍤㍣㜵つ㔴扣㤲㌳㍤㔱㜲愶㘹㐶摣晡㥥㜹戰㈴攳捡㑣㠶㝤戱㑥〴㠸戱ㅦ㙢ㄶ搸搶㙣㠲换ㄸ㕤㜴㕣戹挲㐶搵㝣㈸戴挷搷㥡㐳愱㉢〱搴昵㐰㘵㕣㤹ぢ捣㝣㔴つ㝣㐴挶㤵〵㈰挷昷㡥㙢㈱敦户敡攱愹㠵搰㡢㈶㈰㍡慥㥣㥦㈸〱愵㥡ㄱ户摣㘸ㄱ㉣㐹敦㔸捣戸㤷㄰摣㐸㜰ㄳ挱捤〰慡㌸㘱㔲㙥愵捣㔲㠲摢〰ㅣ㐹戹㥤㌴扤敢㉣㠶㠳昶摣捣㍢㐸㕣〱愰㙥〴㙡昷㡥㍢㠱㈶散ㅤ㑢愸戵ㄹ㈰愶㜷摣〵ㄵ扦㔵て㑦摤〴㤵㘸㜲㍥愷ㄵ㤹慦っ㑤㤴㥣㈱㥡ㄱ户㙣敡ㄶ攸㑡㜲㔶挳愹戵㠶攰㘱㠲㐷〸ㅥ〵㔰〳㜵㜲㌸㠱散ㅣ戳敢慣愵捣攳〴敢〰ㅣ挹㔹㑦㥡㑥捥慤㔰㙢捦〰㥦㈴㜱㈳㠰扡つ愸㥤㥣㍡愰〹㤳戳㤴㕡㥢〱㘲㤲昳ㄴ㔴晣㔶㍤㍣戵っ㉡㕥挹挹㑢㤴㥣㕣捤㠸㕢昸戵ㅣ㤶㈴㌹㉦挲愹昵ㄲ挱换〴慦㄰扣ち愰㡥搷挹ㄹ㠲挴㠴㘲㤲昳㍡㘵摥㈰㜸ㄳ挰㤱㥣户㐹搳挹戹〳づ摡攳㙢扤㐳攲扢〰敡㑥愰㜶㜲摥〳㥡㌰㌹㉢愸戵ㄹ㈰㈶㌹敦㐳挵㙦搵挳㔳㉢愱攲㤵㥣㠳ㄳ㈵愷㡤㘶挴慤㘰攳挲㌵㐹捥㑥㌸戵㜶ㄱ㝣㑡昰ㄹ挱攷〰㙡㕦㥤ㅣ〸挶㝥慣㉦㈹昳ㄵ挱搷〰㡥攴㝣㑢㥡㑥捥摤㔰㙡㡦慦戵㥢挴晦〲愸㝢㠱摡挹昹ㅥ㘸挲攴摣㐳慤捤〰㌱挹昹〹㉡㝥慢ㅥ㥥扡て㉡㕥挹㐹㑥㤴ㅣ愵ㄹ㜱换昰ㅥ㠰㈵㐹づㄷ捤㔹㡡㈰㤹㈰㠵㈰ㄵ㐰晤昶㝢愲㤹慥㡦㌲㑤〸搲〱ㅣ挹昱〳昵㌵〵㜰㕦㑦㜸㄰摥摡攳㙢㌵愳㔶㜳〰戵ㅡ愸㥤愹ㄶ㐰ㄳ㘶敡㈱㙡挵㘵慡㈵㔴晣㔶㍤㍣戵〶㝡㕥㤹晡ㄴ㕢攵㜹搳㘰㤷㘶挴㉤㉣攴㑡挱㜶㡣攲㈰㠶扤㈳㘱㔶づ〶摢㍡㠴攰㔰㐶ㄷ㍤㍣戵戵㔱挵搵㠶㤲㠴㜶ㄴ㙡て愰ㅥ〷㐹づ㑦㠷〳㌳ㅦ昵ㅦ昸㠸ㅣ㥥搶㠲ㅣ㥦㠰㈳㘹搳慡㠷愷搶㐱㉦㥡㠰攸攱改昵㐴〹㜸㑤㌳摣㉢ㅣ搳㌶挰搲㕦㔸㤹搶㤴〱㠷㐷㤷㠶㈶㜳㈹㑤㡢㌰㥥㐸㉡愸慤慥愹㤴㜵㍦捤挳㝤㉡〷㔷搶昴㈹慤㥥㔰ㄶ㥣摡㍡慣ㅢ愷㡦ぢ㔵㘰㔵㕥ㄵㄶ攷戹㘸㤵ㄳ㈶㠴㑡慣昰㠸捡摡慡攲搰挰㍥晦㠴㔵㝢搸㍥㤴㑥ㄶ散㈵㉢㝣晥摥㐲戴㈴㘸愲㤷攰㤳㤴戶ㄱ〶摤敢㠹ㅣ昷搸愳换㌹〲㄰捣㠸㘶㜴㘴㘹㑤㔹愸㘹㔸昸搲㑥て㈳㡢㔸敡㔸搲㈴㍣㜲ㅣ搶搹昴㘹ㅥ敥㕦㔵㕡㔲㔶㕡ㄱ㘲㌱戰㐴㠴㡦㜹つち㡤挵戲挶愱㤵搵愵㝣〴慤㜹㜸㘴㔵戰愲㝡〲㔷㘸ㄵ㑦㙤ㄵ㠳挹ㅤ搳戴㜰敦搲㡡㙡戸㤱㉡戲㥤ㄱㅥ㌱慥㜲㌲㥥㠶慣㉤慦攸ㅦ㥣㔰晤㡦愸ちづ㙥晡㈳愵㔱挹㉡㌹㔹愵㈷愷晦摤晡昸㍡㘳ㅦぢ散扣㙦昹捥改㌳㡥ㅡ㝣㜴摢ㅤ㔷㕣戶㘳敤愵攲愲ぢ㘰㉡㠱ㄴ㌰㈹慤づ慤㝡搶㐸㜰愵㠴㕥㘹捡㔵㤴っ㌴收昱㉥捦〵㝤㤱攷㑢て㠱戸㤵㠵㔸㥡㜵〱㌸愵晦愸㠱搱昵挵晦愷㠷㌵搳㌶挱戲晢收戳扢摢㐵㤶㜳敥ぢ攱ㄶ㜶晦㈱㡤摤〹扢㈵扡〱㌱㜷㥦昴㠷㐵㠶摤戳㐵戴搹て㉢〲㥢㠵〷〵㡢㐲㘵㔸挸㔸ㅥ慣㘹㘱㈳㕣㉦㠲㠷昹慡㌵慦愰戲扣㍣挸晥挶扥㍡愲㌸㔸ㄶ㑡て昷慡慤愹㍣慤戴挲ち〳㐸愷搴愴攰ㄴ㤰㠲㔳㠴搴㉣㍣㥣ぢ㥣愵㑤㕢㤵㘳㠳㔵愵㌵攳捡㑢㡢搳㠹㜰ㄱ昲㍦愲愳㘲昰㐸㐵㌲捤挷っ㈴敥挵て昶㌲〰㤴扢ㄳ㤶晡㌰㜵㉣㍦扡㜳戲昲攱㥦晡㥢敢㕦㌱散挸搱挴捡㠱戵㌴㑣㌸㘴ㅣ㤲㔸扥㌵て㍤㝦㍢つ㕤㔴㐶㈶昵ㄴ〵昰戵㜲㈱捥〶扦愹㕢〰敡㕤ㅣ搹〴〲晥㐱㤵挱㤲㝥㔸㥤㔶㔹搵㐴㍦㕣㥣㡥搲㜲㥣愹ち㜰戹㙡〱㔶㐰㘳㘵昵愴搲㤲㔰㔵㍡〹㈳戰愰㈳㤵ぢ㕤㝤㜶つ㜱戳㍦㈵㈹㉤慤㘹扡㤷慦㠱挶㔶〷扤〸搰昹㜰昶挰㌸晢㕦づ换攷敤㐸㙣ㄶ㌶〴搷㙤〰慤慥摣愶愷㠱㜲㝢㕣〲昹ㄴ攸〶㤰昶っ㤸敥摡挴慥ㅣ挵晡㔲ぢ㐲愹昲㔸㉥搷戴愶㘳晤愷㉣㠶㑤㤳つ㘹敡㔸挴敡戳搷慦愶㥢㘷㝤㝤㈳搰换㐳㈵㝥㝢㜰攵㜲ㄶㅣㄶ㤲㤲㤳㔳㔱㙡㥦㝢搹㘰㥣㕢ㄸ㉢ㅦㄱ㤲搵慤敡㔰㠴攰㍢〱ㄱ敦挳㥤〵昶ぢ㈳㡦搹昰㔹〶昷ㅣ捡敦户㑥㠲㜰㤲㕦㍤て㘸㌲挰㈹愱摦捦昲㔹摤㤹㠱㤳㤹㠱㌷㠰搶㌳㑥㘰㐱㠶㘳㌱㕡ぢ〸晢挲愳㉡㑡㙢戰ぢ㌳㤲㝥愵㌵〸愶㔹ㄸ〰㑤㔹㌵㜶㤰散摡づ愵㡥㤱昹挲㘱昱慣㤸〹挴愱昱㝣攷㡣愲㠳〷摢㥥㙢㌸愶ㄸ㝢ㄳ㤲㌹㠷㐷㡣晦愴㐹㠸戲ㄷㄲ改㜹㠸捡㑣扣收捥㤱㜷ㅥ㑡晥て㔳ㄶ改㐳戸㌸挹㙥愳昰て㕤愸ㄷ摡㥣挱扣戹搷㉥攲㔸㠲挸ㄹ愲㥦戳ㄸ㥢搶㕣慦㜱ㅤ㔸㔱㡤愱挰慦㌱っ昴㉤㜴㜳㐸㙤㑤っ㈷㌸愵戵收昴㉡㉢ㅢ㔲㠱㌹㘴㜱戰慡攴ㅦ㌲戶㘳摢散昹㠷っ搳㝦㜳㙥〸㈳晣㌸㐶㘴捣昶㝢敢㕣扦〵捥㕦㔹挱㤹〱昹收㑣㜷㘴㘱㘷㍡㌱㍥㍡㉦㔵戰㥦㥢㤷㠹晡搰㄰㘶搹㜸㤳㐰㔹愸戵㈸㐴㔰ㄹ挷慣㜰慦愲㙡㑣晡㙡㜸㔰搷㉤搹搱慤昰昰㔰㔹㤰捦攵攰ㄸ慣㕢㐳㡢㙢戰㕥㌹㘲㠰捦摣晣㜳㉡㠴㡣愴敡㉡㈹愹㤳慦㥥昱㉤㜶㈳戸て晤捤慡㘲㘰て换攷敢ㅥ敡挶㈵晣摣搵㈳挹㌴昴愹〰搷㜰搶㌳㤵挴㔸敢㕣㙥换㍤愹戵㔹〵㙥㡦㜰㌲㜸㌵㌳㌴捥㌷㥢昳愴愰慡〶て愶昱晤〲ㄹ摣㜵捡㜰㐰慥㈹挵搴慡㙣㙡㡢昰挰㡡攲戲摡㤲㤰捣换捣㤸㉤搳戳㝦㐴扤㔲㜹搴戶㙢㔵㑦㕥㜴㔲〶攲㉤㉣收㐱愵扦㝦㘶㘶ㄵ㘰㑦㤳挱づ㌶晣㔶㕦扤摦㜱㘵敤㕦㕥摢散㠷㔲慢攸捡㝣㜹㌷〷㠶戶㌸ㄲ挷㌴慥㔱㡤㉣㡦㤶㍤捥㈱㌶愸㜲㔰㈵捦散ㅣ愴〱愵㌶改ㅦ㔱㈷㙣愷㕤㈶㥦て戳搳扦戹㠷搰〸㐶㍤昹㉦改摢㘹晡晦ㅥ㍣挶攰㈸愳摥〵㠱攷捡戸㔷挶㠹㈸捦挰㤲愳愷㘱敡㍤攰㜵昸㕡晤㔰㌱昵㙦戴㌶攱ぢ㐹㝢挶㍢〰搴扤捦㜸摦ㄷつㄸㄹ〸㜱捥搳昹㔵ㅦ〲㤸㌹ㄲ㥡㠸〷摣㈴敢ㄴ㐰敢㔴〰昵ㄱ㔰て㠱㐱ㄴ㌸つ㈰㙤ㅢ〴摣㠳㑣挲㤵扥㔰㐸㑡㉢攷㙣㌰扤㥣戳㘲散愲㍥㍣㔰㠵㤵捣㤸㥡昹㥡愶㝦っ扥㌵ㄸ㔲㉦扤昸㘲㜷戴㜱㕤ち挰昸㍦㄰㙤㍤㠹ㅢ㐲晦㐳〱搴搷㈰㜲㈲愷て攲挳改㐲ㅦ挴㐷愰捤昴㝥〳ㄲて攴收ㄳ㝢昸ㄹ愹愵扥〵㥢㠷㈰㔶㘰㙦挳㤹晡づ㜲ㅣ搲㜰㝢て敡搱㝤敡㜴㙤㙣㌷㔸摣慦散㑦攲捡㝦て㠱㝡㉡晦〳搸㜵昸㕡㘷挰慥晡ㄱ慤㤸捡㡦〱㜵敦㤵晦ㄹ㙡搸㈶摣㕢㠴㌸慢捥慦晡ㄵ挰㈴ㄶ㑤㔳昹戳㈱㘳㥤㐳㙦扦㜹ぢ㥣㑢㠱㐲ち㜰摤㉦慢㙦㥤〷㉣㔲戰㍤づ戵㌶㘸敢㠲〵愹㔶㐴㌵㉥挳㜵ㄴ慣〴㌴㔳戰㄰摡㉣ㄸㄷ改㈶㉥㔸㔸㑢昹㈱搵攰㠲㌵㠵戰㕤戰戱㔰㡦ㄶ慣㔴ㅢ㙢〶㝥㐳ち挶ㄵ挱昵ㄴ㡣㙢㠵敢戰㐱搶昹戰慢〲挰㌶〱挳昶搹扢㙡ㄹ愸㝢㉦㔸㉢愸攱て㑦㐸㐲㍣㔲戰㝤㐰昲㈸㔸〵㘴慣㑡㝡攳捡㘳て㠱〹ㄴ㤸㐸㠱晤㈰㈰〵慢〲ㄶ㈹ㄸ㤷ㅢㅢ㌵挷ㅥ㔶㑤㌵扥〴㑣㜱㘹戰愳㘰㤳㐰㌳〵㥢㡣㌶ぢ㜶㌸㐴ㄲㄷ㙣㡡㤶敡〰愹〶ㄷ㡣㉢㤰敤㠲㑤㠵㝡戴㘰ㄷ㙡㘳㐷㠰摦㤰㠲㜱㤵㜲㍤〵攳晡攵㍡收晡㈲搸㔵挷〰摢〴㉣㔲戰㑢㐰摤㝢挱㡥㠵ㅡ晥昰昶ち㠸㐷ち挶ㄵ捦㈶戱戴愹挷搶改㤰戱㘶搰ㅢ㔷㐳㝢〸捣愴挰愵ㄴ攰㕤㍦㈹搸㉣㘰㤱㠲㜱〹戴㔱㍢㐸散捡㜹敤㙣慡㕤㐶戵㤳㈰攰㈸搸ㄵ愰㤹㠲捤㐱㥢〵敢づ㤱挴〵扢㔲㑢㥤っ愹〶ㄷ㡣㤷㈱散㠲捤㠵㝡戴㘰㔷㙢㘳㍤挱㙦㐸挱戸㜲㕡ち㘶昵㘲搶㤸㔸昷〱戱〰戴㍡戰慣㙢㘱㕢昵〱戶挹㤶戴昷戲㜹愰敥扤㘸晤愰㠶㍦㉣ㅥ愵ㄱ㌴攴换挵搷㈶戹戴愹㡢戶〰㌲搶昵ㄴ攴挲㙣て㠱㠵ㄴ戸㠱〲愷㐰㐰㡡戶〸㔸愴㘸㕣㡤㙤搴㜸㐵㐳て㡢㡢愹戶㠴㙡愳㈱攰㈸摡㑤愰㈱㈲㌹ㄹ扤ㄹ㙤ㄶ敤㜴㠸㈴㉥摡㉤㕡敡っ㐸㌵戸㘸㕣愰㙤ㄷ敤㔶愸㐷㡢㜶㥢㌶挶戵摢つ㈹摡搹㤰慢㘷㉦㍢〷散㍡㙣㤰戵っ㜶搵戹挰㌶〱挳搶搹〵㕢づ敡摥ぢ㜶ㅥ搴昰㠷扢晤㄰㑦㐵㠳㕦挵〵攱㈶戱挰㑤挱㔶㐰挶扡㤳摥㡡扤〵㔶㔲㘰ㄵ〵㑡㈰㈰〵扢ぢ㔸愴㘰㘳ㅤ㙡㡥㘱昱㙥慡摤㐳戵〹㄰㜰ㄴ散㍥搰㄰㥥ㄴ散㝥戴㔹戰㠹㄰㐹㕣戰〷戴㔴ㄵ愴ㅡ㕣㌰㉥ㅡ户ぢ昶㈰搴愳〵㕢慤㡤昱㉡㝣㐳ち㌶〹㜲昵ㄴ㡣㑢㜵敡戰㐱搶ㅡ搸挵㑢〳㕣〵㝢〴搴扤ㄷ㡣㙢搴昱㠷攵っ㄰㡦ㄴ散㈲㤰㍣ち昶ㄸ㘴慣戵昴㜶戱户挰攳ㄴ㔸㐷㠱㑢㈰㈰〵㝢〲㔸愴㘰㌳ㅣ㙡㡥㠲慤愷摡〶慡㕤〹〱㐷挱㌶㠲㘶ち㔶㠷㌶ぢ㌶ㄷ㈲㠹ぢ戶㐹㑢㕤〵愹〶ㄷ㡣ぢ搹敤㠲㙤㠶㝡戴㘰㕢戴㌱慥㜱㙦㐸挱慥㠳㕣㍤〵㥢〷戶ㄴ散㘹搸㔵昳㠱㙤挲收㘱晢散㍤散㔹㔰昷㕥戰敢愱㠶扦㈴敢㕦㄰㡦ㄴ散〶㤰㍣ち昶ㅣ㘴慣攷改㙤㤱户挰ぢㄴ㜸㤱〲㡢㈱㈰〵㝢〹㔸愴㘰㕣㍣㙦散㍡㘶㡡㉦㔳敤ㄵ慡摤〱㠱つ戲ㄵ㤱㕢㡡敡㑥搰㈴つ扥㔷㈱搲愰摢㔸㙡㈵㜴敡戸㔹慦搱㉡㔷挵㙦戲慤摡戹㜹〳搴扤攷收㙥愸攱て慢㑡㘸〴つ昹摥〳㘸戶㠱〴㝤戸㜸ぢ㌲搶摢ㄴ扣搷㕢㘰㉢〵摥愱〰㔷摣㍦〳㑤摦扢挰づ㌲㤷戸㕤㉦㘲㑡㜰愱晢摦㔰挱㠵敥㠷ㅣ㍥㜸搶愴㡦㉤晦愱㡦昷改㠳ぢ收摤㠹㕣て㥡㥤挸て㈰搲戰㐴㙥㠰㑥ㅤㅣ㔸ㅦ搲敡㤳挰㌶〱㡢摣㝡昹ㄸ搴扤㈷戲づ㙡昸挳㠳㤵㌴㐲㜵㝥㌷〱㝡㈴昲ㄳ挸㔸摢㈹挸㘵晡ㅥ〲㍢㈸戰㤳〲㑦㐱㐰ㄲ戹ぢ㔸㑢㤳挸挸扤〲愹戵㜳㔹ち慥昲㝥〶㐹攴敦㔹㠷㘹挷㡤㠲捦㘹晡ぢ㥡㝥ㄵ〲㡥㤱攳㉢慡改愱晥㙢戴㌹㜲扣〶㤱挴㈳挷㌷㕡敡㜵㐸㌵㜸攴攰戲㝥㝢攴昸ㄶ敡搱㤱㘳户㌶昶㈶昸つㄹ㌹摥㠶㕣㍤㈳挷㔶戰敢戰㐱搶㝦㘱㔷扤〳㙣ㄳ㌰㙣㥦扤㜷晣〰敡摥㡢捡愷〸昰㠷㠷㐸㈱㥥㡡〶扦敡㍦㈰㜹搴散㈷挸㔸㍦搳摢晢摥〲扦㔰攰㔷ち㝣〰〱ㄹ㌹㝥〳ㄶㄹ㌹㍥㜶愸㌹㘶挰扦㔳敤て慡㝤づ〱㐷挱昶㠰㘶ち挶挸㔸戰㉦㈰㤲戸㘰扣㤳㐹愹㉦㈱搵攰㠲昱㔱〳扢㘰戸捤攵㈸ㄸ㕥㠴㈴挶昸ㄴ㐲㐳ち昶㉤攴敡㈹搸㜷㘰搷㘱㠳㉣扥㠸㔵敤〶戶〹㔸愴㘰㑤㐰摤㝢挱扥㠷ㅡ晥戰搴〹攲昸戳ぢ昶㈳㐸㕢㠰戸㙥ㅡ昲㠵捥㤶ㅦ㐰晤攴㉤搰㤴〲捤㈸昰㌳〴愴㘰捤㠱㐵ち挶㘷ㅤ戶㘸扢㡥㘳㜳ぢ慡㘵㔰㉤㌵㌹愶㘰㉤㐱㌳〵㙢㠵㌶㑢挱㙤㑡㕣戰搶㕡捡〷愹〶ㄷ慣〹㠴敤㠲敤〳昵攸ㅥ戶㥦㌶挶㈷㈳ㅡ㔲㌰㍥㈲㔱㑦挱昸昰㐴ㅤ㌶挸摡ㅦ㜶ㄵ㥦愲搸〴㉣㔲戰〳㐱摤㝢挱㕡㐰つ㔹挴㜲㉤㠸攳捦㉥㔸〰搴㉤㐰㔸㌰晣㠷㐴戱慢㕢㙤㈰㘰ㅤっ愰昸㈸㠶㠷挰㈱ㄴ㌸㤴〲慤㈰戰㡤㍡㠷〱㡢ㄴ㙣㕦㠷㥡愳㘰㙤愹搶㡥㙡㝣㔶挲㝤㐸攱〳ㄲ㤲〶㕦㝢㠸㌴散㤰搲づ㍡㜵㜴㝦㌸慤戶〷㘶攷㐶摦捤捦〴㜵敦戹改〰㌵挹捤ㄱ㌴〲㙢昲捤〴㜵ぢ㄰收〶㑤㤳㥢㈳㈱㘳ㅤ㐵挱㈳扣〵㡥愶挰㌱ㄴ㌸ㄲ〲捦㐰搳搷ㄱ搸晥收㤰攲㍡㌶㝢ㅤ㔸㡥㠳㍣づ㉣㝣㠸㘳㡢㡥㠰攵搱〷收㑥攰㕡挷〳愸ㅣ〸㌸挶愹㉣慡改〳㑢ㄷ戴搹敤㜳㈱㤲戸摢㘷㙢愹㍣㐸㌵戸摢昳戹づ扢摢攷㐰㍤摡敤昳戴戱㝣昰ㅢ搲敤㑦㠰㥣搴㕢ㅥ挵㘰攴㜱㘷敡㝣㌲愴づㅢ㘵攵挳戶攲㈳㈲㥢㠰㐱搲㍥戸㥣〰敡摥换换㐷㐹㔸㔱敢㐴ㅡㄱ㜵晣捦㘷㐹戶〰㠹㜶㝤㔹愱㜷ㄲ㘴慣敥ㄴ散攵㉤㜰㌲〵㝡㔰愰㌷〴戶搱㙥㑦㘰㤱慥摦搷愱㘶捦〶挴㙥㉦慡昵愶摡㘰〸㌸㡡搶〷㌴㐴㈵㈷㝥㝤搱㘶搱㠶㐰㈴㜱搱晡㘹愹愱㤰㙡㜰搱昸扣㠹㕤戴晥㔰㡦ㄶ㙤愰㌶㌶ㅣ晣㠶ㄴ㙤㈴攴愴㘸摥昷ㅡ㐶㠱㕤挷㥣㥣〲扢㙡㌴戰㤸㠲つ〲㜵敦〵㍢〳㙡㔲戰搳㈰㡥㍦㝢慣ㅡ〳敡ㄶ㈰搱㠲挹㔸㌵ㄸ〲搶㄰〰挵㘷㕦㍣〴㠶㔲㘰ㄸ〵昸㌴捣㌶〶㌷ㅣ㔸愴㘰㝣攰挵愸㌹挶慡ㄱ㔴ㅢ㐹㌵㍥㥣攲㈸搸㘸搰㑣挱㑥㐷㥢〵攳愳㉢㠹ぢ㜶㠶㤶攲戳㉤つ㉥ㄸ㥦㠱戱ぢ㜶㈶搴愳〵㍢㑢ㅢ攳攳㌱つ㈹㔸〵攴散扤㡣㡦慤㌰昲戸扤慣ㄲ㈲㜵㘰㔹攷挰戶㥡〰㉣愶㘸㠵愰敥扤㘸㔵㔰㤳愲㥤㐷㈳戶㈳㍣挵〷敡ㄶ㈰慥愲〵㈱㘳ㄵ㔱戰搶㕢愰㤸〲㈵ㄴ㤸〴㠱㙤っ㉥〴㉣㔲㌴㍥㠸戳㐵摢㍤っ晦敢愱㌱㑣戵戱㔴㥢〹〱昷〱㘶ㄶ㘸㤲ち摦㌸㠸㌴散〰㌳ㅢ㍡㜵㜴㕦㑡慢㤷〱戳㜳愳て㌰攳㐱摤㝢㙥昸㈴㡥攴愶㡣㐶㘰㑤扥㝣ㅣ㘷ぢ㄰收㠶〴㝤昰㉤㠷㡣㔵㐱㐱㍥慡攳㈱㔰㐹㠱〹ㄴ攰搳㍢捦㐰搳㌷ㄱ㔸昴攴㉦晥つ戴㥢㈱攴㍡㜹愹㠶ち㡥㌱搷㍡㝣㌸㑥㕥㙡攸愳㤶㍥ㄶ㐳挰搱晢㈷㔳㑤て㔷㔳搰㘶敦攷愳㌹㠹㝢晦㔴㉤㜵㈳愴ㅡ摣晢昹㡣㡦摤晢㉦㠰㝡戴昷㕦愴㡤昱昱㥦㠶昴㝥㍥〷㔴捦㜰挵㈷㠴敡戰㐱搶挵戰慢昸愸搰㈶㘰搸㍥昱㘸㑤〳㜵敦搵扤ㅤ㙡慣㥦㌵ㅤ攲昸㤳慦扡〳搴㉤㐰㕣㍤㝦〶〴慣㤹〰㙡㠵户挰愵ㄴ㤸㐵㠱㍢㈱戰㡤㜶㘷〳㡢昴㝣㍥㘴戴㐵摢㜵っ㔷㤷㔱敤㜲慡慤㠶㠰愳㘰㜳㐰㌳〵扢ㄲ㙤ㄶ㡣㡦ぢ㈵㉥搸㕣㉤昵㌰愴ㅡ㕣戰㐷㈰㙣ㄷ散㉡愸㐷ぢ㜶㡤㌶昶㈸昸つ㈹搸㕡挸搹挳搵㔲挴捤挸攳㠶㉢㍥戹㔴〷㤶㜵ㅤ㙣慢㜵挰㘲㡡㌶ㅦ搴扤ㄷ㡤㡦㍡㐹搱ㄶ㔰ㅣ搶昸㔵㝣搶㘹ぢㅡ慥愲㕤てㄹ㙢㈱㠰攲㜳㔰ㅥ〲㌷㔰㘰ㄱ〵昸㘴搴㌶〶户ㄸ㔸愴㘸㝣昸挹愸ㅤ〲慥ㅥ慥㤶㔰敤㐶慡昱㐱㈵㐷搱㙥〶捤ㄴ敤ㄶ戴㔹㌴㍥挶㤴戸㘸户㙡愹㤷㈱搵攰愲扤〲㘱扢㘸㑢愱ㅥ㉤摡㌲㙤散㔵昰ㅢ㔲戴搷㈱㘷ㄷ㙤〵攲㘶攴㜱㐵攳ㄳ㔵㜵㘰㔹换㘱㕢扤〹㉣愶㘸㉢㐰摤㝢搱摥㠶㥡ㄴ敤㑥㡡挳㥡ㄴ敤ㅤ㔰户〰㜱ㄵ㙤㈵㘴慣㔵〰㡡捦㘷㜹〸摣㐵㠱扢㈹昰ㅥ〴戶㌱戸㝢㠰㐵㡡挶㠷戲㡣㥡愳㘸昷㔲敤㍥慡敤㠴㠰愳㘸て㠰㘶㡡昶㈰摡㉣摡㉥㠸㈴㉥摡㐳㕡㡡捦㕦㌵戸㘸㝣㑥换㉥摡㙡愸㐷㡢昶戰㌶挶㐷戸ㅡ㔲㌴㍥换㔵捦搰挸愷扣敡㤸㤳㐷㘰㔷㝤つ㉣愶㘰㡦㠱扡昷㠲㝤ぢ㌵㈹搸㕡㠸攳捦ㅥㅡ㜷㠳扡〵㠸慢㘰㡦㐳挰㕡〷愰昸捣㤸㠷挰ㄳㄴ㔸㑦㠱敦㈱戰㡤挱㙤〰ㄶ㈹ㄸㅦㄴ㌳㙡㡥愱昱㐹慡㙤愴㕡ㄲ㘶㡣㡥㠲㙤〲捤ㄴ㙣㌳摡㉣㤸㠲㐸攲㠲㍤愵愵㤲㈱搵攰㠲愵㐰搸㉥搸ㄶ愸㐷ぢ昶㡣㌶㤶ち㝥㐳ち收㠳㕣㍤〵㙢〲㜶ㅤ㜳昲㉣散慡㜴㘰㌱〵㝢づ搴扤ㄷ㡣攷晦㔲戰攷㈱㡥㍦扢㘰㝣㍣㙤ぢ㄰㔷挱㕥㠰㠰昵㈲㠰㙡敥㉤昰ㄲ〵㕥愶㐰ぢ〸㐸挱㕥〱ㄶ㈹㔸㑢㠷㥡愳㘰慦㔲敤㌵慡ㅤ〴〱昷㉣敥㘰搰㈴つ扥搷㈱搲戰㔹摣㈱搰㤱摣扣㐱慢㠷〲戳㜳愳㘷㜱㙦㠱扡昷摣戴㠵㥡攴收㙤ㅡ㐱㍡攴摢づ搴㉤㍡㌷㈴攸㔹摣㔶挸㔸敦㔰戰扤户挰扢ㄴ㜸㡦〲㠷㐳攰ㄹ㘸晡晥つ散㤰挸㘵㠲戸㔹㕣㠲慢昸敦㐳ぢㄳ戹㈳ㅤ㙥ㅣㄳ戹て攸收㐳扡挹㠲㠰㠴晦ㄱ㌱攸〰㑦㑡换〱㜴㉦攳㡦㝢挴㐲㍣㠴昹戰挵㠸㥡愹㘵㜸挰㠵㑤㉥敢户㕢㕣㡡㠵昵挹愰攱㘱㠳捡慡㔴㉣挲㜶扦户㌴愲扢ㅥ㑥㥢敥攳㝡㐳扢愸㤱搳〵搱愴ㅤ昶㕢晣㕢挸㈳晡っ㍣晡扡㘶敡昰攳摢㠶㄰昷㌹慤戴戸慡戲扡㌲㕣搳㜶〴㥥摣㙡换㌷摥㠷戱㌶戱㔷摡㈱戰攸改㤳ㅢ㤶㕡挱摦〴㥢挴㌷㐰晢挷㔷㔴㑥慥㤰㘸搲慡昹攲㝦挹㔷㤳㈶㜴挳ㄵ㡢昲㌹ㅣ挹ぢ攴㈲㔰㉡㕢摢〱㥢愷〴昲㠰㔳搸户〳㜸㘶㐱敦㠲攱㠵㔹搹搹㌹㥤㜳昰改ㄲ㉣捥改摡㉤㔴㤴㤳㕢ㄲっ㘷㤵攴㜴捥敢搲㌹㌷㥣ㄷ攸慡㜵慣㥤搰〹攴ㅢ㙣ㄷ戱㙥〶㈳㉦敤㈴㘰つ㝤攸〱昲扣慢㕤㡣晢搲愱搴㈶㑤攲㤶挰挷㍤㉣ㄱ㜹戳户捦挷㤵〵㘹晢㈳㔹敥㜵昳摥㑡戱戵愰㌲攲挴㌳挴〸挱晡〲挰ㅦ攸づ〲〳昲㝤〹搸愲愰㜷愱攳㤹㉦摦㔷愰㌵〳㑤㤶㜴づ挷摢晣㝤㕦㠳搲ㄲ㤴搸㕦㙦昳㝤〳㜲㉢㤰昱戲㙡攷㉢戱〳㈷㙢敢㔶㍢扡㙤㑦戰ㅢ愲昲㐸㝤㕡㑦㌰摤㥢攱㜸㡡换戱晣扦〹ㄴ〳㡥㘷㌲㈴㈱㉤挳挳㙡㠳㘵昸敤戸㈱㔸ㄸ㕣㐳搲㍦㘱㌹㘹慡扤㍣㝢慦㝤㐱㌶攱慣㜳㔸ㄲ㜷づ㘲㑢愹户㑤摥散晥昷ㄶ愷晡搳㥡敤戵挳ㄸ㉦摥ㅤ挶㙦晤㠰慡昱攰摢ぢ㌵愳㡣昵㈳〸收愳㝡㝢㔱搳ち㐰㙤昸捡㘷㕡㙤ㅤ㝤ㄴ㡡て扤㜵㉣攳慦㔴㝡㍤㐳ㄵ晢㡣攱㑦㠸㐵昵㌵㌱晣っっ搳っ昹慡㝥㠶晡ぢ㘵㐰〵㡥㌷ぢ〲㜲㔸㔵㍥㈴㠶㠳ㄹ㠸㐹扥摦㈰㤲㜰㠴㔲愹㄰攳㈸ㄵ㍢捡っ㠴ㄵ愸攱慥ㄴ愰昵㈷挱ㅥ〲捥㝢〳愷搰ㄹ㍥㠱㔳㑤㠳慢㙡㠵㜲㥡㙥㘴っ㐶㠳㈶㝤㌶攳㝦〷〳㐳㘰㤹㕥㝣ち戱戸昷散㘴搰㘲昷散ㄴ㔰攲昷散挰㔰㙤㈵晡换㜵㤶て㤲㙡㌸攸摣㠱晤敡㤷㕦昷散㘱〷愳㉦扦㤵づ㈶㍢捡〸愰昱ㅤ㘵愴㈷㜵ㄴ愸散㉣㤶㥦㤶㑦㌷㌲㑤㠱㐵ち㜹㠶愱㌶愳っ㕣〱㑦㔲㕣ㅦ㉢㠵晣㉦㠲㌰㠵戴㔸㐸ㅥ㔵搴㜷愰挶搷散㉣㈸㔱挲ち挰㤴搵㤲愰ㄵ㐱㙢㠰挰搹戴㡢㑦攰ㅣ搳㌸搷㌴ち㜵㈳攳㍣㌴ㅡ愷㘶㐱㔸愶ㄷ㡢㌵戳㔸㈴㡢㜵〹ㄴㄹ晡㜱㘴㜶㈲㌸㄰㜴㔵〲扡㕤㠵㥤㌱㔵㘸〳㈶慢㄰〲㍦扥ち㘱㑦敡㔸㔰愵ち㠷搰㜲愹㤱㌹ㄴ㔸愴ち攷ㅢ敡㘱㤴㐱ㄸ挰㤳ㄴㄷ扤㑡ㄵ㍥昲慣挲〷㥥㔵㈸㠷㤲㔴攱㜰㤸戲㍡㄰㘴ㄲㅣ〱㄰愸愰㕤㝣〲㤵愶㌱挱㌴㈶敡㐶㐶ㄵㅡ㡤㔳㠵㙡㔸愶ㄷ㜷ㄵ㙡っ㍤㥢捣ㅣ㠲㘳ㄱ慤㥡〴扡㕤㠵㌷㘲慡搰〹㑣㔶㘱㌲昸昱㔵㤸攲㐹㥤ち慡㔴愱㌳㉤㕦㘸㘴戲㠰㐵慡㜰㤱愱㜶愱っ挲〰㡥㐵㔳㠰㔲㠵㤷㍣慢昰㠲㘷ㄵ愶㐱㐹慡㤰〷㔳㔶㔷㠲㝣㠲㙥〰㠱改戴㡢㑦㘰㠶㘹捣㌴㡤㑢㜵㈳㘳ㄶㅡ㡤㔳㠵搹戰㑣㉦敥㉡㕣㘶攸摤挸㍣㠱愰〷愲㔵㔷㠰㙥㔷愱㉥愶ち扤挰㘴ㄵ收㠰㉦㔵攸つ㠲昹愸㉢㍤愹㜳㐱㤵㉡ㄴ搰昲搵㥥㌲搷ㅡ㙡㕦捡挰㈰昰㈴㌵て㔰慡戰捥㔱〵㕦㝦㠸㈴㍥戴慣昵㉣捤㝣㔸㤲搲っ㠴㌲㈶戰ぢ㘸ㅦ㥦挰昵愶戱搰㌴㙥搰㡤㡣㐵㘸㌴㑥㌵ㄶ挳㌲扤昸㑥㐱㌴敥愳挹愹愰挵ㅥ㑤〶㠱攲㜱㌴㔹愲慤㔸㍤㘰捡敡㐹㌰〴㤲敡㈶搰敤摡㍤ㄸ㔳扢㘱㘰戲㜶㌷㠳ㅦ扦〷摤攲㐹扤ㄵ㔴愹摤〸㕡扥捤挸㡣〴ㄶ搹㠳㤶ㄹ敡㈸捡㈰っ攰㐹㙡㌹愰搴敥㙥㐷敤愲㐷㤳㔵㥥㘵扡〳㑡㔲愶㌳㘱捡ㅡ㐳㜰ㄶ挱搹〰㠱ㄵ戴㡢㑦攰㑥搳㔸㘹ㅡ慢㜴㈳攳㉥㌴ㅡ愷㘶㜷挳㌲扤戸昷愰㝢っ扤㉦㤹晤〸㡡㄰慤扡て㜴扢ち户挴㔴愱〴㑣㔶攱㝥昰攳慢昰㠰㈷昵㐱㔰愵ち㘱㕡㕥㙤㘴挶〲㡢㔴㘱㡤愱㡥愳っ挲〰㥥愴ㅥ〱㤴㉡㉣昲慣挲㐲捦㉡㍣ち㈵愹㐲ㄹ㑣㔹攵〴晣ㄵ㜳慢ㄲ㈰昰ㄸ敤攲ㄳ㔸㙢ㅡ㡦㥢〶㤷㥢昲㤳昱〴ㅡ㡤㔳㠵昵戰㑣㉦敥㉡㙣㌰昴㔳挹ㅣ㐴㔰㡢㘸搵㐶搰敤㉡㕣ㄹ㔳㠵挹㘰戲ち㜵攰㑢ㄵ愶㠰㘰㍥㙡㤳㈷㜵㌳愸㔲㠵愹戴扣挵挸㕣〰㉣㔲㠵愷つ昵㐲捡挰㈰㜰扣㄰ㄲ㔰慡㌰换㔱〵摦挵㄰㐹㍣㡥捤昴㉣捤扦㘰㐹㑡㌳つ捡搶㜴㠲ㄹ〴㌳〱〲捦搱ㄹ㍥㠱攷㑤攳〵搳攰挲㔲㝥㌲㕥㐲愳㜱㑡昳㌲㉣搳㡢敦㔲挴攲ㅥ搴㘶㠱ㄶ㍢愸捤〶挵㘳㔰㝢㐵㕢戱㠶挱㤴晣昴慥㜵〵㈴搵㙢愰㑢愱收㄰〳㡦慥搴ㅢ㠰㤲搸㐹捥挴捥㠵㐸攲挴搶㜸㈶昶㑤㔸㤲挴㕥つ㘵ㅣ㈰摥搲晥㝣搷〰搷㔷㌸昲㡡戳㠲愱㙥昹愱㘰㜱㔱㑥㜶㐹㝥户攲摣㙥㌹㐵愱㉥㔹昹挵㜹攱㙥挵摤〲㙦㙢ㅤ敢㕡攸〴戶ㅡ散㍡㘲敦ㄸ㡣㍣昵㙦㘰㈷㤱㔲㠱㘰㜸〵〲敤㈴㙢〱㔸搶昵〰晥挰㝦㐰㘰㌸扥㠵㐰摤挹扣〱戴搸㘴㉥〲㈵㍥㤹扥挵㈰㝢㕤㐹㜸㕦㕢㡦晥愲戰㜵ㄳ㐴敤㤷昳㝤挸戸ㄸ捥㉤㈰㐵㌲晤㌱愸㤲改㈲㐷愶㉤㕥㠷㤲㤳㠳昳㍣㤳扡捤昸㔹〶㔳㐸敡㈷摡戴敦㜶攰㜶㔲㜳㡢扢ㄶ㜵㉥挹捦挱㑦㕥㜶捤挹ぢ㜶㈹㉡捥捥敦㥡㥦ㄳ捥捡づ㘶㠷扢㠵扢〵戶㥢㜰㤶㐳㈷戰挳㘰㜷㄰摢㘹㌰昲搴㘷挰㈴愹㘳㥣㐹㕤〹㤶戵ち挰ㅦ昸ㅣ〲㔲㘳㕥㥥戱㜸㍤挶攲㈵ㄸ㡢ㄷ㕣〲㕦ㄸ㘶㈱户晤㍣㠲〷愸㉡㉦㉣晣ち捣㥥昸晡搵㄰搸㡥㥥愰慤愶㕤っ㈳㕦㠳㈷㌹㡢㌹㤳晦挶㤳捡攵愹㌲㡣㍣っ㘵戵摢挸㍣〲㉣㌲㡣晣搷㔰ㅦ愵っ㘲〱㥥愴㝥〰㤴ㅡっ㜴搶㈰㜲㠲搶摦戳〶㍦㐲〹摢㠷㕢つ㌰㘵㍤㐱戰㥥㘰〳㐰攰㈷敤挷昷㈴㌰㕤㤰㤲愲晣散慣摣㉣ㄴ愳㌸愷愸㈸㤸ㅦ捥捥㉤〹㠷㜳㜳㡡扡〶昳㍡㜷㉢〹晣慣㜵慣㡤戴昰㡢挱敡㠸挹㉡㔴㍡㈳㉦攳㌷昰ㅡ㘷慣昹ㅤ㤶昱ㄷ㜷ㄸ昸挳搰㐳㘴攲㙡㈸㙥て㈰ㄲ挵晤换慥㕦㝥㑣晤㥥〳㤳昵㘳㠶攲敢愷㍣愹挹愰㑡晤㕥愰攵㔴㈳昳㈲戰㐸晤搲っ昵㈵捡㈰っ〶慢㥡㠰㉡昵敢攲㔹扦捥㥥昵㌳㉢㑥慤搷㘰捡㝡㥤攰つ㠲㌷〱〲㤶昶攳㝢ぢ㤸㕤扦㙥㔹戹㜹㔹昹愱晣㤲散㙥搹㌹㐵㌹摤扡攵㘴攵㜷捤改㥡摢㈵户愸ぢ㠶慤扣㠰摦挴昶㌶㉤㌴㌵搸㔶㘲捤っ㐶㕥㐶㜳㘰㡤㔳扦ㄶ戰散㔵扦っ㐳ㅦ捦搲㤵ㄱ㝣㠰㐸㔴㑢搰敤晡戵㡢愹摦㐷㘰戲㝥慤挰㡦慦㕦㙢㑦敡㍥愰㑡晤戶搱昲㝥㐶收ㄳ㘰㤱晡敤㙦愸摢㈹㘳敡㜷㈰愸㔲扦㌶㥥昵㍢搰戳㝥〷㐱〹㝦㜸敢㈴㑣㔹㥦ㄱ㝣㑥昰〵㐰愰つ㌹昸〴づ㌶㡤㐳㑣攳㔰摤挸㌸っ㡤挶愹㐲㕢㔸昶慡㐲㍢㐳㥦㠸搰攴㔷搳慤敦㄰慤㍡ㅣ㜴挹昲㙥㘲攰㐹慦捥〴㔵戲搲摣㤱ㄵ摦昷㄰㐹㝣っ㙥敡㤹慡㈳㘰〹㝦戸ㅥち㘵ㅣ㉥㡥〴挲㤲昸㝥〲㙥昷敥捥攱摣愲散散㘲ㅣㄹ昲扡收㠴昲扡㜶挳㤰搴㌵慢㜳㤷扣晣慣㉥搹摤㡡㑢㝣㍦㐷㐴挳愱㜰㝥㌸搸戵戸㙢㕥㙥㌸愷㌸㍦慦㕢攷㘰㌰〸捤摣㘰㜱愸㙢户摣攲〰㔷戵搲扣昵ぢ㜴慣㕦〱〲㐷ㅢ搲㙦㈴晤㑥搲㌱㠶ㄴ㤱㔲挷㠱㈴〷ㅡ㠵捤㠸ㅣ扤㜹搵搱㔲〰晥㐰㈷〸攰㉦挹㤷っ搴㝤昴㑥〱㉤昶攸㥤ち㡡挷搱㍢つ㘴慦愳昷昱摡㝡昴攷攴慤㜴㠸摡㐷慡㉣㌰敤㍤攵挷㕦㥣㐷慡愶㤰攰㥥搲〵㝣愹㘱㌳㄰捣㐷㘵㝢㔲㜳㐰㤵㍤愵㌹㘴㔵㥥愷㑣扥愱㘶㔰〶〶愵㑦㥣〰慡昴㠹㙦ㄱ㠴戹㤴攸㙢〹㤱挴㝤攲㙢㠸挶㕦㕦㍣ㄱ㤶昰㠷ぢ㡡㔰㐶㥦㌸㠹〸㍥㠱敥愶㜱戲㘹昴搰㡤㡣㥥㘸㌴捥ㅥ搳ぢ㤶改挵户て愲㠹㉤攲扥愰戸㑢扤ㅦ㘸慤敤扢㍢昶㙦㑦ㄷ㡣ぢ昱敤ㅤ扥晤挱㠸慦㜸愰户㌶㙦㑤㠳て敢ㄲ㠰㜴扣愸敤㈰〸慢㍥㘰搹㜵摤ㄱ㔳搷㠳挱㘴㕤晢㠲㉦㜵㡤㤹㠱昴昳愴昶〷㔵敡㝡㈸㉤て㌴㌲㠷〱㡢㡣㠰愷ㄸ㙡㕢捡㈰ㄲ愹敢㈰㔰愵慥ㅦ㍡敡ㅡ㍤愹㝦摦戳㠴愷㐱〹㝦戸㉥〹㔳㔶㈶挱ㄱ〴㐷〲〴〶㤳㠳㑦㘰㠸㘹っ㌵㡤㘱扡㤱㌱ㅣ㡤挶愹攷〸㔸昶ㅡ〱㐷ㅡ晡㉣㠴㘶捤㈶㌸づ搱慡搱愰摢㔵㜸㍤愶ち挷㠳挹㉡㥣づ扥㔴愱㌷㠶づ昳㔱㘷㜸㔲捦〴㔵慡㤰㐵换㘷㜹捡㥣㘳愸搹㤴㠱㐱愹㐲㈱愸㔲㠵ㄷ㥤㔵攰㘵㌱㤹㡢㍦敦㔹㠵昳愰㠴㍦㕣㤷㠴㈹散㐸㐱㈲昸〴㡡㑣愳搸㌴㑡㜴㈳㈳㠴㐶攳㈴㍥っ换㤲㜸㕥〱戳㜸挹换攲㔵慥挰㔸㐳扦ㄲ愱㔹㜳〹扡㜳搳㑢㐱㤷挴㥥散㑣挴㜸㔰㈵ㄱ㥢㥣㠹㠸㥣㤴㙣昴㑣㐴ㄹ㤴昰㠷攵改㜶㈲捡戵㘹㕦〱㜰㍤〷捥〹㠵㐲㕤㡡昲扡〴昳戲㜲㡡昳㌰昱捤捦捡敦㥣㤵㤷㥤㕤㤲㥢㔵ㅣ捡て㔴㘸ㅤ慢て㜴〲㤵〶敢㑢㙣㠲挱挸㔳搵挰攴㔸昱㌸㠲㠹ㅣ㉢〶㠰㘵つ〴昰〷㙡㈰㠰㍦晣晥ち愰晢愴愴搶㌰攷㔱㘲㍥挱㔰慡捡㐹挹㘴㌰敤捥㜸㍦㙣㐷㑦㑡㐶搰㉥㍡攳ㄴ昰㈵㘷㌱㐳挲㔴㑦敡〵愰㑡㘷ㅣ〵㘵㜵㤱㤱ㄹつ㉣㌲㈴㕣㙣愸愷㔳〶戱㐸㘷㥣〶慡搴㘰㤵戳〶㤱㤳㤲㍢㍤㙢㌰ㅤ㑡昸挳搵㍤㤸戲捥㈶㌸㠷攰㕣㠰挰っ㜲昰〹捣㌴㡤㑢㑤㘳㤶㙥㘴捣㐶愳㜱㝡收㘵戰散㌵㈴㕣㙥攸㡢㄰㥡挵㜷改㕢㈵㠸㔶捤〱摤慥挲㑤㌱㔵〸㠳挹㉡㕣〹扥㔴㈱㘶㐸㤸敢㐹扤ち㔴愹挲㌸㕡扥挶挸㤴〲㡢㔴攱㍡㐳㍤㥦㌲〸㐳慡㌰ㅦ㔴愹挲㐲㘷ㄵ㈲㐳挲〲捦㉡㉣㠰㔲㍡㌷愴〲愶慣㑡㠲〹〴ㄳ〹慡〰㌰㑣㕣てㄹ㝥〲ぢ㑤攳〶搳㔸愴ㅢㄹ㡢搱㘸㥣㘲㉣㠱㘵慦㘱攲㐶㐳扦〵愱㔹户ㄲ㑣㐱扣敡㘶搰敤㘲㕣ㅥ㔳㡣ぢ挰㘴㌱㙥〱㍦扥ㄸ户㝡㔲㤷㠲㉡挵戸㠸㤶㤷ㄹ㤹㡢㠱㐵㡡戱摣㔰㉦愱っ挲㤰㘲慣〰㔵㡡㌱挳戳ㄸ搳㍣㡢㜱㈷㤴愴ㄸ㌳㘱捡扡㤴㘰ㄶ挱㙣㠲换〰㔰㡣㤵㤰攱㈷挰㜵㥥搲戸换㌴敥搶㡤㡣㝢搰㘸㥣㘲摣ぢ换㕥挵戸捦搰㤷㈳㈴敢づ㠲慢㄰慦㝡〰㜴扢ㄸ搵㌱挵戸〶㑣ㄶ攳㐱昰愵ㄸ㌱攳搳㐳㥥搴搵愰㑡㌱慥愳攵㠷㡤捣㍣㘰㤱㘲㍣㘲愸昳㈹㠳㌰愴ㄸ㡦㠱㉡挵㈸㜷ㄶ㈳㌲㍥㡤昷㉣挶㕡㈸攱て敦㈸㠱㈹㙢ㄱ挱㘲㠲㈵〰㠱挷挹挱㈷戰捥㌴㥥㌰㡤昵扡㤱戱〱㡤挶愹挲㤳戰㉣㔵㜰摤搵摥㘸攸晣挱〳敢㙥㠲愵㠸㔶㙤〲摤慥挲㜹㌱㔵㔸〶㈶慢戰ㄹ晣昸㉡㍣攵㐹摤〲慡㔴㘱㌹㉤㍦㘳㘴敥〰ㄶ愹挲戳㠶扡㠲㌲〸㐳慡昰ㅣ愸㔲㠵㌱㥥㔵㌸挳戳ち捦㐳〹㝦㐹搶㕤㌰㘵摤㑤㜰て挱扤〰㠱ㄷ挸挱㈷昰愲㘹扣㘴ㅡ㉦敢㐶挶㉢㘸㌴㑥ㄵ㕥㠵㘵慦㉡扣㘶攸晣㘵〵敢㐱㠲搵㠸㔶扤〱扡㘴㜹つ㌱㤰㈵㉢㙦㠱㉡㔹ㄹ攴捣㑡㘴晥㜲㡡㘷㔶摥㠶ㄲ晥㤲慣挷㘰ち㠳挲㔶㙤摡户ㄶ戸㥥扦ㄴ㠷昲㡡扡㤴攴攴ㄵ㠷㐳㔸㤱ㄷ捥敦摡戵㜳㈸て愷挰㈵㔸㡡㤷ㄷ捣づ扣愳㜵慣挷愱ㄳ㜸搷㘰敢㠸扤㘷㌰昲搴晢挰㘴晥搲〷挱㐴收㉦ㅢ挰戲㥥〴昰〷㍥㠰〰晥扣攷㉦ㅦㅡ收愳ㄲ㌰挱搳㔴攵晣㈵昰㤱㘱㍥ぢ㔲昳㤴戴敤挰㑦㑣晣〶㕢挷㕡扡㡥㜸搱㈳摥㕤ㅦ㉡挱㡢愳昱敢攳㌵㔳晢㔶搴㔴昱ㄹ愹愴ㄴ扣㌸摡㝥摤㜲㙡昲〹㝦捦ㄶㄷ㤳㜱晤㍢扦㘹昹搸敡晦㠳ㅤ㔶㍡扡㝣㤳ㄶて挳搷㝡づㅢ㥣戶ㄳ㥢敢昹㈲㐹晢㠴㜱〴摥㤸ㅤ敡㔴搰扢㙢愷扥㔳㡡㐳㘵㝣㘹㈷ㄶつ㐲㌱㘹摦昲㠱搵㘸攲㔷搷㐷㔶昶㤲㔷㐹㜲㙤㙡㑢戳慥戰㘳㜹晦摡搲ㄲ攴㈱㌳㑡㌱敦㘹㌵㙡㐳慡㈲㝡捤愳㔲㜸ㅤ晢扥㔱捣昱扡敡㌶㔱㉡㕥捦㡢㠴㠷㑡㡣挵㙡慣㈱㑦㑤㑥㠹晢昹㜲㔹㝢搸愷戲㍣㔸㕡搱㠹敦愷愶戵慡捡戲㠱㈵㑣㐰ㅢ㡦㤷㜵昷㉥慤㤱㠵㘸〷㠳慦慣ㅤ㐸㡥敦〵㙣慤慦㝢㠷㝥ㅤ㜲戳搳㜲㔰〸昷㡢ㄳㄳ晡㠸㑤㍢㍤㜲㜷昳㕢㉦挱愰摡〵搳戴㐶㔲挶攷㐰㜸摥挴扣㍡㍥摦昶搰㐸㑦晢晦㜴晤㝦愰㘷挶ㄷ㐶攳ㅣ搵㙥㝥慦戴㡦愶戹㝦戴愴昸敢㌱扤㑦晥㜴㐹㡦慡㉢慦搹扥晢戰昹㍤搴㙥㘸㘴挲㡥晣㝡戹ㄵ晤つ㡥攳ㄱ挴㝢㜸㑣敤搵敢㙥敢㜶㜴搳㤹愷慥敡ㅤ㝡晤昹㤷㕦ㅤ慤㍡㘹挶昶戳㔶ㅤ㜵散ㅦ昷て㤹扢㜵捣昱㠱散㠹ㄷ慡ㅦ㘰㐹㐶㤱㌷㄰㉦攳攷㌷㘰づ㥦敡㈷挳㡥㔰挸晥ㄹ㔴晣㈵㔹㙦㐱挹㝡ㅢ愰㜹㜲攰ㄷ㐳摣㑡㍣㐵晤〱㥣晢㥦㍡ち扥搹改戹㤶ㄲㄷㅦ搴㥦㠶㜱愴㘶昰捤摥扣摣挴捦捦㝢搴ㅥ挳㍦㐲昳昹㥥㘱〷㥦搹ㄵ挳㤹㥡捦㜷搷㌸昸㕣晦ㄶ㑤捥攷㘰摡㈷㌷敤㈰敥㤹㥣戶㥡ㄱ昷戳敥改戰㈴挹昹ㄸ搱㤹攴㈸㔹〵㐷慢㌱㌹㘹ち㔹〴㥥㘴㝤〲㔹㙢㍢㜳㤰ㅣ㘸㘶㠸㍢㠸愷㈸慥㘸㤳搰て搲愱㥢㥣戴㌴㡣〳㌵挳㤵㤳㔶㠶㝦㠰收扢㜲挲戵㜱㘲㜸㝦捤㜷攵攴㐰昰㌳ㄹ摤换〴搱㥣戴㠶戸㘷㑥㕡㘹㐶摣慦戹户㠱㈵挹挹㌷捥㥣挸㥡戴戸㥣㜰㙤㥡攴攴㍢收㘴户㥤㤳挳っ昱扦㜶㑥づ〷㉥愱㌷搳愱㥢㥣㜴㌰㡣愶㥡攱捡〹㤷愳㠹愲㕦昳㕤㌹攱㑡㌵攱㕢㥡敦捡挹戱攰㘷㝡攴㈴つ攲㥥㌹㐹搵㡣戸ㅦ㜱攷㐲㌲挹挹ㅦ捥㥣挸ち戱戸㥣㘴㐱㔶㜲戲㠷㌹㐹挲搲㘹昴㤳㉥㠶愸㠸愷愸㍣攰ㄲ晡㥦㍦挷敥㍢㕤つ攳て捤㜰攵㠴㡢挳㐴昱㜷捤㜷攵愴㥢攱晦愶昹慥㥣昴〰㍦搳㈳㈷㍦㐱摣㌳㈷㍦㙡㐶摣㙦户昷㠲㈵挹㐹㔳㙣㤲搹㜷〲收㡣㔵ㄵㄸ㜶㠴〲慦〱㉥搵㤲攴㌴户昳挰愵㔵戲㌹扢㜵戸㜲慣换〰㔳つ〱㉢搳㈳搲慦ㄲ㐵晡愵㘶挴晤㜶晡㌰㔸㤲㐸昷㜵㐴慡㘴㜵㔲㕣昵㐶㐲㔶〲摣ㅦ戲搶〱㡣㌲㌹㌰捡㄰て㈴㥥愲捥〴㉥㔱敦搴㔱㥢ㅥ捤搵㐷挲搸愱ㄹ慥敡㥤㘵昸摢㌵摦㔵㍤慥㔹ㄲ晤㑦㌴摦㔵扤㈲昰㌳㍤㜲昲㈱挴㍤慢昷㠱㘶挴晤㘴㝡〹㉣㐹㑥づ㜷收㐴搶ち挵攵㘴㉣㘴㈵㈷㤹捣挹ㄱ㜶㑥挶ㄹ攲㤱㜶㑥捡㠰㑢攸敦攸搰㑤㑥戸ㄶ㐸ㄸ㕢㌵挳㤵ㄳ㉥ㄳㄲ晥摢㥡敦捡㐹愵攱扦愵昹慥㥣搴㠲㥦改㤱㤳搷㈰敥㤹㤳㔷㌵㈳敥㤷搲㈷挳㤲攴㈴换㤱㤳㠰㔹攵愳愶ㅡ㜶㠴〲慦〱㉥攵㤱攴㘴㌳㌹㌹㜶㜲㉥㌴挴㕣㍢㌹搳㠰换㌶㍥慦户挱㈴㘷扡㘱㍣愷ㄹ慥攴捣㌰晣㝦㘹扥㉢㌹㌳つ晦㔹捤㜷㈵攷ち昰㌳㍤㤲昳ㄴ挴㍤㤳戳㔹㌳摣㍦㡥ㅥ攰ㅡㅡ搹捥ㅥ昶㈶㜱捤㡢㙣㔲㥤昶㉣㝢㙥㉦㌰ㄵ㤷慢㜰愶慡㉣㉥㠴昱ㄵ㠰㠶㈹搹〰㑣挹搴㝡〸㥢㠹ㄴ摥㡦㑥㘹㉥㜵㌱愴っ㉥㘷挱摦㕦㤸㕢㕤㙦㌴ㄲ捤慤捥㔸㤵晢搲㠹㠳㕦摡昸散搸搵搳㙥昵扤摣㐳摤〴㡤捣㐸㑥㕥㘱㑢慥㡤㍥㤶㈸㈷㡦㙡㠶晢昷搲〳㕣敤㈲㌹㌹搵捥挹㌲攰㤲㤳㠷㥤㌹㌹㡤㕢挹搵㈶㜶㑥㙥㐷换㌷挴捥㐹扦づ搹㜹敡挱㤸㥣っ愳㌴㔷慡㐴㜲戲ㄲ〸晥晥㐲㑥㔶ㄹ㡤㐴㌹挹㤶捦㔳㍤㡥扡攴慡挷挷㕢㜷昵㔰㕣戶㤲改㤱㤳㝢ㄲ攵攴㙥捤㠸晢〹昵搵戰㈴㍢搱改搸㄰㜳㔸㔰てㅢ㙡捣㤴㡡敢㔷㈴㝦㘷㐲搶ㅡ〳㠰挱昶㔱㐳㍣㡢㜸㡡攲ㅡㄴ㐹敡ㅤ㍡愹㘶摦㜹挲㌰㤶㙢㠶㙢摦攱㤲ㄵ㔱扣㕤昳㕤晢づ㔷戳〸㝦㤹收扢昶ㅤ慥㐷戱㑢挶㤵㉥扥㈰挲㐱㌷敥摦㈱愷㜳摡慤搰昰晣㘱㍢㝤昶㠲ㅦ㕢㌰愷㍦㝤㉢㙡换㤹㡦攸㈹ㅤ㜷ㄴ㝥晣㔶㌱㑣慡㍡ㄸ愷㍤㤲搴戳㐰㌲搱㜰㑦攳㤶㐰挰㜳㝦㕤慣ㄹ㜱扦搶捥㘵㉡㔲㠷㔲㌸㠹搴㐱搶㥦搰㝥㑣ㅤ㕥㠴慣搴㘱㍣㘴慤㌲〰搴㠱换㔰㠴㔸㑥㍣㐵扤〶㕣搲㌵ㅦ㉥㥤搳晤搷つ㘳㥥㘶戸敡挰愵㈷愲㜸㥤收扢敡昰愶攱㕦慢昹慥㍡㜰㕤㠹㕤〷慥㔸昱㔵㈳ㅣ搴愱㉦敡愰慥㠲㠶挹㥤摦慡〵㐷㜱㑤㡡㈱㈹㉥〴挹昴㐸攷攵搰昳㑣攷㘵㥡ㄱ昷晢敥ㅦ挱㤲愴昳㐲㌸㠹愴㜳㥢愱挶愴㤳换㐲㈴㜳ㄷ㐳搶扡〴〰改攴慡㄰㈱㑥㈳㥥愲㍥〵㉥㔹㤹慥户摡㜴㙢㉥昷㄰挶㌴捤㜰愵㤳㉢㐱㠴㝦㠹收扢搲挹㐵㈲挲扦㔸昳㕤改晣づ晣㑣㡦㥣㑣㠵戸㘷㑥愶㘸㠶晢㘷摤〳扢㘱㐹㌶㘹㡥扤㐹㕣㠲㈱㥥㈷㘹捦㜲㐸㤸ぢ愶晡〵㉣扢㠶㕣㤷攱扢ㅡ㌴搹㤷㌰晣㔵㐱㤸㘳ㅤ㉦挵昸慤㙢㈹捤㜵ㄵ戶㌴㤷㘶昸收搹搲〳㌸㔸㔶㘸㘹㤶挰㙦㉤愰昴㙦㤰㌱〶ㄴ搷㕦㐴㐶㑥づ㤹挰晦挲挸挹戵ㄸ愲㤱㘸攴扣㜰㥦晢晢㝦㝣挱慣ㅥ㐷㥦㝤敤收ㅦ㡥㝡戱㠷攲㜹㘹㘶㈴㥤搱愳㐹愹捥㕡摣㤹晡㌸捤㠸晢㤱㜸㉥户㤰㉥戶〴㕢㘵扡㔸挰慣戹㔰戲愰㠲㡥っ㠵〹ぢ㜰〹㠵搴攰㈶㈸愱㕢戵〶㉥㌵㈸㠱ㅢ敥愵㔲㠳㕢㤸㈷慥〹㠸㐶ㅡ㍤㐵㉣㑣ㄴ改戹㥡ㄱ昷㡢敤㕣㐰㈰㤱㉥㜷㐴慡づ㌵搴㤸㥤㠱㉢〴㈴挰ㄵ㤰戵敥㘴㤴挹㠱戶㠶戸㤲㜸㡡敡〰㕣愲㍥㐳㐷㙤㜶㠶㑣挳㌸㕤㌳㕣㍢〳ㄷ〵㠸攲㘸捤㜷敤っ㕣㉦㈰晣㔱㥡敦摡ㄹ㜸㠷摥㉢㈷挳㈰敥戹㌳っ搵㡣戸ㅦ㙡攷敤㝣挹挹㐳捥㥣挸㝤㝡ㄶ慤㌷㝢ㄵ㍥ㄴ〹㘴㐳㔶㜲戲挶摥晣慥㈶捡㐱㍡㑡㈹摡㈳㘰慡敥〹〲散㥦㈸挰㝥㥡攱晥戱昴挰挹挶改ㄳ戶㔳摥捡㤶搴昴㜱㍡摤㐰愷㝤挰戲昷㍦摥摦昶㙤〴つ㝢㙢ㅦ敥㝦㍤㈱㙣昶㉦扦戵㠹搲㝤㈱㘳㐸ㄹ〳㠰㜰㔳昱㥦昳㔳捦挵㌱摥搲ㄶ㡤㐴扢㥣昹㥤愳摦敦晡敥昵搳㡡慥敢愱㜸㍢㍢㕡戴攸㉥㜷㘲愲㥣㥣愰ㄹ㜱扦㥦㍥〲㤶愴㘸捦㘲㐳捣㉥愷攴㝥㌶愲㡦㍤㐸昲扥戶ㄴ敤㌹挸㕡捦〳愰㈳㥦㙥㠸㉦㄰㑦㔱扣㌷㉤㐹捤搱㐹㌵ㅤ㤹昷慢㠵㤱慤ㄹ慥㡥㝣㡥攱㜷搱㝣㔷㐷㍥搷昰戳㌴摦搵㤱㑢挰㡦收㈴扡㜳ㅦ〷㜱捦㡥㝣慣㘶挴晤㙣㍡慦ㄷ㑢㑥摥㜲收㘴㥣愱㥡㡥㉣愳て敦㌲㑢㑥戶㌲㈷敦搸㌹攱㑤㘶㈱扥㙢攷㠴㜷㡡㘵搳㡦搰愱㥢㥣昰敥戱㌰㌲㌵挳㤵ㄳ摥㔸ㄶ㝥〷捤㜷攵㠴昷㥣㠵㝦戸收扢㜲挲摢搱挲㙦慦昹戲㕢㝤㠸愸ㄴ敦晣㝡愵敢㄰㐸㝡愶敢㘰捤㠸晢㈱㜵摥㈶㤶㜴敤㠰摤㐸ㄷ㤲晢扦散㐲㌱改扡ㄸ戲㤲㤹㕤㤰戵㍥㘵㝡㤲〳㤷ㄸ攲㘷挴㔳ㄴ敦攵㑡搴晢㌹愳晥〲㑣挵㍢扣挲摡㐷戳㑣㈶㘷ㄹ㐶㙢捤㜰㘵㜲戶攱户搲㝣㔷㈶㜹慦㔸っ户搴㝣㔷㈶㜹㙦搶㉢㕤捤㈱敥㤹慥㘶㥡ㄱ昷搳敡扣㤱㉢改晡〱ㅢㄴ㐹㤷摣愱㡤摢攳㜸愷㔶搲昵ㄳ㘴慤㥦㤹㥥攴〰㙦搴ち昱ㄷ攲㈹㡡㜷㕢㈵㜴㥦づ摤攴㘴㤱㘱愴㘹㠶㉢㈷扣㌹㉢㡡愹㥡敦捡〹敦摢ち㍦㐵昳㕤㌹攱㥤㔲慦㥣散昹㈹㐱㑥晥搴㡣慤㝦ㄶ〶㠷㙤㜹愱攷慡捤㘷昶㘸戲㘸㥦愵㡡户㔵㈵㈷㈹戸㤹ㅦ挹㠹摣㉦㜵收㐴昶戸㍢㈰㉢㥢㥦〶㔹换〷㠰㥣慣㌰挴㈶挴㔳ㄴ敦㝤㑡攸㍦挳愵㜳慡捥晢愱挲昸㐹㌳㕣㌹攱慤㔲攱晦愸昹慥㥣昰㉥慡昰㝦搰㝣㔷㑥㜸摦搲㉢㈷摦㐱摣戳㥦㝣慢ㄹ敥摦㑥て慣㠱㈵搹捥㤶昶㈶㍤㘶㍣㝦慤㍤换扥摣ㅡ㑣挵㝢㡥昶搱㡡㜷㌳㝤晢㠲㈶㐷㉢㕣㙥昸ㅣ挲收搰攴户昶愷㌴敦㔷ㅡ㔲挶〶㈰㘹挸㌱晥㜳㝥敡㌹㕡㍤㘹㌴ㄲㅤ慤扥㙡晥㘴攷㈵挷㉣敥搱㙢收戶㘷ㄷ㍦㜱㔹て昵㌴㌴愲㌹㜹〵㝥散换つ㍢ㄲ攵㘴扢㘶挴晤㥣㍡敦㜹㝡㥥㜵捡㑦愳㜶㤲ㅦ㌰攵ㅢ㕤㐲搵㐲㘰敤搲挲扣捦搷㌴㙣㤳㜹㥢㔲㝥㈵戳㑣㕥攰搲っ㍦㠰㕣㌵㍥㔴㌵〸㍦昲㡤㥦㍤ㅥ㔱㕡慥摦㉡㠲ㅦ晦收㉦㠸㤹㥦搸戵〴愳戲㉦㍣愴ち扦戹摢㈴㍣戰ㅡ扦〳㔹㤲㕥㍥㌴㔸㔳ㄳ慡慡昸㈷扣昸〳て㘴昰ㅤ搷昸搸扦㡢散昹㌶ㅢ扥愶挶昳㤶愰㥤挲㘸㍥捣㙦〱㈶昳㜷㤳晦摥㙢㍦㝣㠷戰敢摡㍦〳慥㝦〳㍣㔵㙤㐳㜱敤ㄵ换搳㤳昶㐸戴㔸〶㘱ㅤ挶㍥摢ㄶ㈰〵㉦㜰㤱戱〰挰㙦戵〳㐵㕥㠶㈵㈰㈹㡤昷㠰摤㥢挵㌷ぢ昵攳㜶愷㑤㉥㉤愹ㄹ攷ㅢㄷ㉡ㅤ㍢慥〶㙦㄰㙡㙡摥晣㐳㉦愹扣㡤㔹摦㉤㔴づ㍢㑤捡ぢ㠳㔵㔵挱愹改攵㠵㘵愱㡡戱㌵攳搲ぢ㈷攱㡥㌱㝥改ㅤ㐳㙤㝡㝡扡㜵㌸攲愱㉢ㄹ㠹摥㠰㐵搹㐳㍢㌰捡㑣㠲㈳〰晣㡡昷っ㘵㤰㜸ㄷ摢捡搱㘷㍦愸愴攳㠵㤸扣㡦㈸㡣㜷㌴㘳㝦㌲搲昹搶㑤戵ㄵ㍣昶㙦摦搱㌴昴搹敤戳㜶㍥㌲㜷挷昴昵挹敡㙤㤳戰㉦扡ㅣㄸ㑤㔸㐷㐸昹㡥〵㐸挱愵ㄶ㘵㤷ㅤ〹㍢㡥捡㥢㘱搵㑥㔸㠰户昵㈴挶攳挹攸㑣㤰〵攰㔷扣㠷㈷愱扣散㡡㜱扢㘱扣ㄴㅦ攳づ昰ㄸ愳挵ㄸ㤳搵ぢ㥥㤱攵搱〹㈳㡢㐶㤵㑦㤲㈳㉡摥㔸㤳愸㑥㈰攳㐴㠲㤳〰晣㡡㜷搱㈴慡愷㕣㔱昱捥㥡㌰㌶挷㐷昵㕦昰ㅣ㔱搵㜹㐶搵㡢㑥㘲愳㉡㈰挹ㄱ搵ㅦ㈶慡扥㘴昴㈳攸て攰㔷扣㡦㈵捥搷扡愲攲扤㉤㘱㍣ㄶㅦㄵ敦㜳㌹愲㝡挴㌳慡㐱㜴ㄲㅢ搵㘰㤲ㅣ㔱㌵㠵ㅤ挹搵㔰㌲㠶ㄱっ〷昰㉢摥㐰㤲づ㌳㠲㌴㐷㠷戹搷搳搵㈸㐸昹㐶〳㐴㍢っ昷戰搳愹ㅣ㜵愷㜸攷㠹㝢搹㠸㈵敢㝡晥㤱㝤㑥慦挰扥挶晦㤹㤴ㅣ㐳㜰ㄶ㠰㕦昱晥㤰㙣晣ㅤ慥慣昰㥥㤱㌰㤶挷㘷攵㐰昰ㅣ㔹㔹收ㄹ敡㜹㜴ㄲ㥢㤵㈲㤲愲㘱〶㜸搳㐶戲㔲㐲㐶㠸㈰っ攰㔷扣㐳㈳捥㤷戸愲攲㕤ㅢ㘱㉣㡥㡦㡡㜷㜰ㅣ㔱摤攰ㄹ搵㜸㍡㠹㡤慡㥣㈴㐷㔴扣㙤㈲㔱㔵㤲㌱㠱㘰㈲㠰㕦昱搶㠸㌸扦挶ㄵㄵ㙦㤷〸攳敡昸愸㜲㜵㔴扥ㅡㅡ㜲ㄴ㜸慥㘷㝣㤳㈰攵㥢っ㄰㉤㌰㕣㕢㔳愸ㅣ㡤㔱昱敥㠵㜴㥢ぢ挰㜰て捥戳㡤攵㈴攷攰㝣ㄱ㉤㕦㑣换㌱㠳昳㈵㉥换扣昵挱慥㘳㍥㡡㜷㌷㌸散㕡搳㈱㤹っ㌲扦敡㔴ㄳ挰っ㔰摤〱㕣攲ㄹ挰愵昴挴愳㐳昴挸㌰㥢㈴挷㘶昱ㅥ㐳㡣㜳摥㐶㄰攷㤷㐳搲㌸て昰㥡扣㔴攸ち敡捦㈱戸ㄲ挰慦捥〴㐳ち㔱慢ぢ㘱挶㙣㕥㤴ㄷ㐶㡤㘶㌸挶㙣㕥愰㜷昴㥢㉡ㄳ㝣捣㐸㝤㉤㥤挴昶㥢㜹㈴㌹㠲攷㘵㜰㠹㜵〱ㄸ㤱㔸㜹摤㕡㘲扤㥥攲ぢ〹㙥〰昰慢昱㈶愴㔲㔷慣扣㜰㉤戱㡥㡢㡦㤵ㄷ戱ㅤ戱㠶㍤㘳扤㠹㑥㘲㘳扤㠵㈴㐷慣戵戰㈳戱㉥〵㈳ㄲ㉢㉦ち㑢慣户㔱㝣ㄹ挱敤〰㝥挵㉢挰ㄲ搲㌹慥㔸㜹㔵㔸ㄸ㘷挷挷捡㉢挴㡥㔸挷㜸挶扡㤲㑥㘲㘳扤㡢㈴㐷慣扣㉣㉢㝤晤ㅥ㌰摣㕤㙤愴戱ㅡ搳搷敦愳〹昶昵㘸㔷㝢挰㘵㜵㉥慣挶㜴㌵㕥戲㤵㤴㍣〴㐹㤳ㄲ挵㑢戳㐲㕤敤愰〶㤶㠰㉡㠹㕡㐳慢てㄳ㍣〲攰㔷扣㝣㈹摢捣攱㍣㔹つ㌴搱挵昴愵戵㤴攷㈰㙥ㅦ㕢㌹㠰慦㈳挹戱捤扣搲ㄹ㌳㠰昳ㄲ愵㜸㕣㑦挹つ〴㑦〲昸ㄵ慦㐷㑡〵㝡改ち㤸㉥捦㙢㤴挲攸愹ㄹ㡥㉥捦敢㤵㡥搲㥣散ㄹ收㔳㜴ㄲ㕢㥡愷㐹㡡㠶ㄹ攰㐵㐲㠹敡㔹㌲晥㐵昰ㅣ㠰㕦昱㡡愰㈳て戹㥥づ㕥愴㝣㙣ㅥ㕥㈶㈹敡㐰㍤〲㍢捥㍣㈸㕥昵㤳捥昰㉡㈴摤㥤攱㜸攳㈶愶㌳扣㑥㥢戱攳捥㥢㉥㌷扣㕣ㄸ搳ㄹ㜸㐵㔰捡晥㌶㈴㑤㘷〸昰昲㥡㙣敥㔶敡扦㐳昰㉥㠰㕦昱㕡㥡攴晡〸㥤㙢㔳〴㕥㕦ㄳ㐶愶㘶㌸㡡昰〲㜸㡥㈲ㅣ㙥㠲㡦改㉢ㅦ搰㐹㙣ㄱ㍥㈲㈹㥡愳挰㕢㈶慡㙤㘴㝣㐲戰ㅤ挰慦㜸㌵㑢㥣户㜱㐵挵㉢㕣挲㌸㈸㍥慡㜷㜵㔴扥㕤㌴攴㌸㕥ㅤ攰ㄹ摦㘷㤰昲㝤づ㄰㍤㕥戱㍦㝦㐱攵㘸㡣㡡㔷慢㥣㜵っ昰㌲㤳愴昲㉢㑡㝥㑤昰つ㠰㕦昱㥡㤲挴ㄶ㜰〵捤敢㑣挲挸㠸て㥡搷㥣ㅣ摤慤戹㘷愸摦搳㐹㙣㜷晢㤱㈴㐷㤸㕦挰㑥㑣㤸㍦㠰㈰㘱晥㑣挹㕦〸㝥〵昰㉢㕥换㤱㘸搲㕣㘱昲晡㡥㌰㔲攳挳晣〵㍣㐷挵㤳㍤挳摣㐳㈷戱ㄵ㔷㔶㑣㤸㠱ㄴ㠸㐸㔴㈹㘴愴ㄲ愴〱昸㔵ㅡㄸ攲晣搷ㅦ㘳捦㔹㜸㠵㐵ㄸ扦㘸㠶愳ㅦ㌶〱㑦㜶愹㜴ㅡ㜲㔴晣㈷挸捡㐹㕥㑣㡦昴㐳捡搷ㄴ㈰戶攲捤愸散㐸㘵㑢㘳戵〵ㄸ敥ㅤ昵㍢㘳㌹挹㌹㐳〹搰㐴散㡥摡捡㘵戵㌵慣挶散愸扣ㄸ㈲㍢敡㍥㤰㑣搶戳㤳㌴㥥㠸㌶昸晣㤸搷慣晥收ㅢ㈳昷㠵㔳挵搳㕢戹敥戵ㅦ㌱㝤捣挹㌸㕣㔳搳㜹㑡慡㜸㜲㈹昹晦㑣攷晦㈴㔰搳㤳㝤㉡搳㌰㍥搵㡣敥挲㔰㡡㈷愱愲戱㑢㌳㝡㠰㘱ㅤ㐴ㄷ㍣㙢攴ㄶ㕡㙤㠸昱㘴㔱摣ㅦ散㜰慦㡥㌷敡㥦戸ㅣ昲散㔱散㙥㜳㌹捣㌲㡣㡦㥤づ摢搲㘸ㅥ㔸攲戰ㅤ戱㝣㘰攲戰扤搳攱〹㐶晤㝤㤷㐳㥥ㄸ㡡挳晦戸ㅣ昲㘴㔱ㄸ晦㜶㍡㍣㠲㐶㜹㥥㈷づ㡦㈴㔶〰㑣ㅣㅥ攵㜴搸搷愸㙦㜵㌹攴㌹㥦搸㝤摢攵戰扦㘱扣攵㜴㜸㉣㡤づ〲㑢ㅣㅥ㐷㡣㘷㙦攲戰㤳搳㈱㑦摤挴敥㙢㉥㠷挳っ攳㔵㤷㐳㥥攲㠹挶㉢㑥㠷㕤㘸㤴㈷㜲攲㌰㥢ㄸ捦摦挴㘱づ㌰搳㡢ㄵ捦搵㐴晤〵㤷挳㌱㠶昱扣换㈱捦改㐴攳㌹愷挳㝣扡㌸て㉣㜱搸㡤ㄸ捦挴挴攱〹挴搸㐳昹攵㘹㤸愸㍦敤㜲ㄸ㌲㡣㉤㉥㠷㍣㕤ㄳ㡤愷㥣づ㑦愶㔱㥥㘹㠹挳ㅥ挴㜸㤲㈵づ㝢㍡ㅤ㔶ㅡ昵㡤㉥㠷㍣敢ㄲ扢㑦扡ㅣ㑥㌴㡣つ㑥㠷㝤㘸㜴ㄲ㔸攲戰㉦戱㈹挰挴㘱㍦愷㐳㥥〴㠹㑣㝦㔲㜹敥㈳㌲〳ㅣ㌲ㄹ搳㌵搵摥㜳㉦㌵ㅡ〳㈹㌳摢㘸㥣攲搴戸㍣㐶㠳㈷㈵ㄲ晢㈳慥㡤攲㠹㡡㌰ㅥ㜶㙤ㄴ㑦㕥㠴戱挶戹㔱㠳改攲㕡戰㈴攰㈱挴收〱㤳㠰㠷㍡摤昳㝣㠳㔴㍢㘰㥥㘷㠸戱〷㕣敥㜹敥㈱㡣晢㕤敥㙦㌰㡣晢㥣敥㐷搲〵㑦㈵挴晤㈸㘲㍣㡢㄰昷愳㥤敥㤷㙡慡敤晥㌶㘳散㉥㤷㝢㥥㑥㠸晢㔵㉥昷㍣挵㄰挶㑡愷晢㌱㜴戱ㄲ㉣㜱㝦ㄶ㌱㥥ㄸ㠸晢戳ㅤ敥ㄵ攷晡㈲㜳づ愹てㄸ㤹㜳ㅤ㌲ㄹて㘹慡㠴㤸挱愹㝣㌴㕦㥣挲㡢晢㘵慥㠰㌹慤ㄷ挶㙤慥㠰㌹搵ㄷ挶㔲㘷挰㐵㜴戸ㄶ㉣〹愶㤸ㄸ㘷昵ㄲ㜰〹戰挸㙥捤ㄹ扣愸摦攴㜲挸㔹扤㌰㙥㜴㌹攴㑣㕦ㄸ㑢㥣づ挷搱挵㔳㘰㠹挳㔲㘲㑦〳ㄳ㠷攷ㄳ㌳扢昵戳㐶㝤愱换㈱㈷散㘲昷㝡㤷㐳㑥攲㠵戱挰改戰㠲㐶㌹㘹ㄷ㠷㤵挴㌸㕦ㄷ㠷ㄳ㠰㐵戶㤰㌳㙥㤱㤹㐸ㄹ㑥戶㐵愶㡡㤸づ㉡攳㙤㑤戵㝢つ㈷搴攲昰㙡㔷㠸敦ㄸ挶㔵慥㄰㌹昱ㄶ㡤戹捥㄰㈷搱〵攷捣攲㝥㌲戱㡦㠰㠹晢㈹づ昷㡡㜳㘵㔱扦摣攵昰ㄳ挳戸捣攵㤰㜳㙡搱㤸敤㜴㜸ㄱ㡤㜲ㄲ㉣づ㉦㈶挶戹慦㌸扣〴㔸㈴㈷㥣攷㡡晡っ㤷㐳捥㝤㠵㌱摤攵昰ㅢ挳㤸收㜴㌸㤳㉥㌸㤵ㄵ㠷㤷ㄲ晢ㄱ㤸㌸㥣攵㜴昸戳㔱扦搰攵㤰戳㔸㜱㜸㠱换㈱㘷戶挲㤸敡㜴㜸〵㕤散〱㑢ㅣ捥㈱挶昹愸㌸扣㔲㌷㠸㈸㑥㐶㐵扤搶攵㤰ㄳ㔴㘱搴戸ㅣ㜲搲㉡㡣㙡愷挳㙢㘸㤴戳㑣㜱㜸㉤㌱㑥㉥挵攱㜵扡㈱づ㌹㕦ㄴ㤹㜹愴㜲慡㈸㌲昳ㅤ㌲ㄹ㥣ㄶ㤲㙡㜷㌳㤹慦〱戳ㄶ㠰㙣㍥〱捥摢㘴㍡㝤㍤ㅡ捤㔳㌲㌸挹㍡ㅤ摣攴㈹慡昸扣㤲昳捥晢㌹㈳戵敤㐱愹㘷昴㙣戶攴愳攷户捤㝦昳散敥扢㝥扦昹收㌷户捦㝦昱昷昵㐵摤㥦扤晤昶㉤愷㉣㝤㜱㕢慢昰㙤挹㡦晥㍣攸戶㡢戲挶㕦㌴㌱㍣敡㤸晥ㄷ㥤㜹晥戰慣愱㉤㍢愶愴㌴㘹㜲㘴敢㝦ㅤ㜰㔴㘰晡挴戵㙡搳扢晢㔷㈸㤹户挱㐱㘴㘵〶㐳〹㜰晥㈶㘱摣㘰㠷挱愹㔷愳㠶㈱戳戹戸㌰㌸慢㤳㌰ㄶ摢㘱㜰㐲搶愸㘱挸ㅣ㉦㉥っ捥昵㈴㡣ㅢ敤㌰㌸㑤㙢搴㌰㘴收ㄷㄷ〶㘷㠰ㄲ挶捤㜶ㄸ㥣扣㌵㙡ㄸ㌲ㅦ㘴ㄸ㘶挹〵摡㐹〱捥ぢ㈵㡣㕢搱戰㤶㌲㤶攴っ捥敢ㅡ㌵ㄶ㤹㉡挶愵攴〴ㄳ换㌲㠶㤱㤲挱搹㕥愳㠶㈱ㄳ挸戸㌰㌸㤱㤴㤴㉣户挳攰ㅣ戰㔱挳㤰㘹㈵挳㌰て㑥愰㥤ㄴ攰昴㔲挲㔸㈱㘱㈸㤹㔸㔲敡㑥攰收ㄳ攰〴㔳愴㔶摡㔲㌲㤹愴㔴捣㐰挴㐹愵㐸摤㈵㔲ㄹ㥣〱㌶敡㈶挹愴㤲㘱㤸戵㡥っ㌸挰挹愵㠴㜱㡦ㅤ〶㘷㠲㡤ㅡ㠶㑣㉥攳挲攰㈴㔳挲戸捦づ㘳㑣㘳㠷㈱㤳捣戸㌰㌸搹㤴㌰ㅥ㤰㌰㤴㑣㌳㈹昵㈰㜰昳〹㜰扡㈹㔲て㠹㔴〶㘷㠳㡤㥡㌳㤹㘰㌲っ戳㡥㤶愱〴㌸搱㤴㌰搶愰㘱㍤捣㔸㤲㌳㌸㔱㙣搴㔸㘴敥挹㔸㘲扡ㄱ攷愰ㄲ换愳っ㈳㈵㠳搳挷㐶つ㐳㘶愴っ㈳㘶攸㥣㘰挲㔸㡢㠶昵㌸㘳㐹㔶㌲㌱愵㘸捣晥挷〹慡㐴晣〴愵㔲㌲㈶攱扦㐶㡤㔸㈶愸㜱㠹攳㐴㔵挲搸㘰㠷挱㌹㘶愳㠶㈱搳搶戸挴㜱晡㉡㘱㙣㐴挳慡㘳㉣挹ㄹ㥣㝥㌶㙡㉣㌲愳㡤㡢㠵㌳㕢㠹㘵㌳㘳㜹捡㡥㠵㌳搳㐶㡤㐵㈶扢㜱攵攱愴㔷㘲㜹㥡㘱愴㘴㜰扥摡愸㘱挸ㄴ㌸㉥㡣敢㑣ㄸ捦㑡ㄸ㑡㈶挱㤴㡡改搲㥣っ㑢戰捦㠹㔴挰㌰ㄵ攷扡㌲昷捥搳㜳敦摥搰攵昲ㄶ捥㍥㠵㤱敢㘲㜰㍥㈸㡣ㅣㄷ㠳㌳㌴㘱㘴扢ㄸ㥣㌳〹愳㡢㡢挱㔹㡣㌰戲㕣っ捥㙣㠴搱㔹㌳〲摣愲搷㐰㔵㥣㙤〸慢㤳㑢㠷挷㝦㘱ㅣ攷㘲昰㠸㉣㡣㘳㘳ㄹ〱㜳㘸㔶㍣ㅡ㡢㐴挷㔸〹挵〳戰㌰㡥㜱㌱㜸㐸ㄴ挶搱㉥〶て㔲挲㌸捡挵攰㘱㐳ㄸ㐷挶㌲〲收昸愱㜸挸㄰㠹㈳㘲㈵ㄴ〷㜱㘱㘴扡ㄸㅣ搸㠵搱㐱㌳㈴㑤敦㠳慡㌸搸ち慢扤㑢㠷挳㥦㌰摡戹ㄸㅣㄲ㠵搱搶㘹散㘳ㅡ攳㌸㈸慣㐳㕤㍡ㅣ㤹㠴㜱㠸㡢挱戱㐲ㄸ〷扢ㄸㅣ㍦㠴搱挶改㘵㈷愸㡡晢戴戰づ㜴改㜰㍦ㄷ挶〱㑥㥤捦愸挳㝤㑦㔸晢戹㜴戸㌷〸㘳㕦ㄷ㠳㍢㠰㌰昶㜱㌱搸扢攴㌴昲㉢㌴ㄴ㤳㈸搸搷挴㤸〵挱扥㈱挶㘸〵晢㤶ㄸ攳㄰散㍢㘲愲散摥㐹㤵ㄸ㠹愳㡡戱㌸慡ㄸ㡤愳㡡㜱㌷戵改晦〷㐸愸〴ぢ</t>
  </si>
  <si>
    <t>StartOptEquations</t>
  </si>
  <si>
    <t xml:space="preserve"> XXX度量表</t>
  </si>
  <si>
    <t>修订历史记录（A-添加，M-修改，D-删除）</t>
  </si>
  <si>
    <t>版本　</t>
  </si>
  <si>
    <t>日期　</t>
  </si>
  <si>
    <r>
      <rPr>
        <sz val="10.5"/>
        <color indexed="8"/>
        <rFont val="Times New Roman"/>
        <charset val="134"/>
      </rPr>
      <t>A/M/D</t>
    </r>
    <r>
      <rPr>
        <sz val="10.5"/>
        <color indexed="8"/>
        <rFont val="宋体"/>
        <charset val="134"/>
      </rPr>
      <t>　</t>
    </r>
  </si>
  <si>
    <t>修订者</t>
  </si>
  <si>
    <t>说明　　　</t>
  </si>
  <si>
    <r>
      <rPr>
        <sz val="10"/>
        <rFont val="宋体"/>
        <charset val="134"/>
      </rPr>
      <t>V</t>
    </r>
    <r>
      <rPr>
        <sz val="11"/>
        <color theme="1"/>
        <rFont val="宋体"/>
        <charset val="134"/>
      </rPr>
      <t>0.1</t>
    </r>
  </si>
  <si>
    <t>A</t>
  </si>
  <si>
    <t>黄文</t>
  </si>
  <si>
    <t>创新初始版本</t>
  </si>
  <si>
    <t>V1.0</t>
  </si>
  <si>
    <t>M</t>
  </si>
  <si>
    <t>付艳华</t>
  </si>
  <si>
    <t>对部分公式及度量指标忧化</t>
  </si>
  <si>
    <r>
      <rPr>
        <sz val="10"/>
        <rFont val="宋体"/>
        <charset val="134"/>
      </rPr>
      <t>V</t>
    </r>
    <r>
      <rPr>
        <sz val="10"/>
        <rFont val="宋体"/>
        <charset val="134"/>
      </rPr>
      <t>1.1</t>
    </r>
  </si>
  <si>
    <t>对部分公式及文字描述进行修改,增加阶段人员数据度量</t>
  </si>
  <si>
    <r>
      <rPr>
        <sz val="10"/>
        <rFont val="宋体"/>
        <charset val="134"/>
      </rPr>
      <t>V</t>
    </r>
    <r>
      <rPr>
        <sz val="11"/>
        <color theme="1"/>
        <rFont val="宋体"/>
        <charset val="134"/>
      </rPr>
      <t>1.5</t>
    </r>
  </si>
  <si>
    <t>增加人员变动信息统计</t>
  </si>
  <si>
    <r>
      <rPr>
        <sz val="10"/>
        <rFont val="宋体"/>
        <charset val="134"/>
      </rPr>
      <t>V1.</t>
    </r>
    <r>
      <rPr>
        <sz val="10"/>
        <rFont val="宋体"/>
        <charset val="134"/>
      </rPr>
      <t>6</t>
    </r>
  </si>
  <si>
    <t>增加新的度量指标公式</t>
  </si>
  <si>
    <t>V2.0</t>
  </si>
  <si>
    <t>熊芸</t>
  </si>
  <si>
    <t>根据新的迭代开发模式更新</t>
  </si>
  <si>
    <t>重要声明</t>
  </si>
  <si>
    <t>版权声明</t>
  </si>
  <si>
    <r>
      <rPr>
        <sz val="10"/>
        <rFont val="宋体"/>
        <charset val="134"/>
      </rPr>
      <t>版权所有 © 2017</t>
    </r>
    <r>
      <rPr>
        <sz val="11"/>
        <color theme="1"/>
        <rFont val="宋体"/>
        <charset val="134"/>
      </rPr>
      <t xml:space="preserve">, 国泰安教育技术有限公司，保留所有权利。
</t>
    </r>
  </si>
  <si>
    <t>商标声明</t>
  </si>
  <si>
    <t>国泰安教育技术有限公司和国泰安教育技术有限公司的产品是国泰安教育技术有限公司专有。在提及其他公司及其产品时将使用各自公司所拥有的商标，这种使用的目的仅限于引用。</t>
  </si>
  <si>
    <r>
      <rPr>
        <b/>
        <u/>
        <sz val="12"/>
        <color indexed="8"/>
        <rFont val="宋体"/>
        <charset val="134"/>
      </rPr>
      <t>不作保证声明</t>
    </r>
    <r>
      <rPr>
        <b/>
        <u/>
        <sz val="12"/>
        <color indexed="8"/>
        <rFont val="Arial"/>
        <charset val="134"/>
      </rPr>
      <t xml:space="preserve"> </t>
    </r>
  </si>
  <si>
    <t>国泰安教育技术有限公司不对此文档中的任何内容作任何明示或暗示的陈述或保证，而且不对特定目的的适销性及适用性或者任何间接、特殊或连带的损失承担任何责任。</t>
  </si>
  <si>
    <t>保密声明</t>
  </si>
  <si>
    <t>本文档（包括任何附件）包含的信息是保密信息。接收人了解其获得的本文档是保密的，除用于规定的目的外不得用于任何目的，也不得将本文档泄露给任何第三方。</t>
  </si>
  <si>
    <t xml:space="preserve"> </t>
  </si>
  <si>
    <t>目录</t>
  </si>
  <si>
    <t>#</t>
  </si>
  <si>
    <t>描述</t>
  </si>
  <si>
    <t>填写说明</t>
  </si>
  <si>
    <t>项目属性</t>
  </si>
  <si>
    <t>项目度量分析计划</t>
  </si>
  <si>
    <t>模型</t>
  </si>
  <si>
    <t>预测-结果</t>
  </si>
  <si>
    <t>预测-指导</t>
  </si>
  <si>
    <t>需求</t>
  </si>
  <si>
    <t>工作量分布</t>
  </si>
  <si>
    <t>规模</t>
  </si>
  <si>
    <t>进度</t>
  </si>
  <si>
    <t>过程产出缺陷度量</t>
  </si>
  <si>
    <t>测试及验收缺陷度量</t>
  </si>
  <si>
    <t>人员统计</t>
  </si>
  <si>
    <t>根因分析</t>
  </si>
  <si>
    <t>模型检验</t>
  </si>
  <si>
    <t>管理员操作</t>
  </si>
  <si>
    <t>YIPIN.ZHAO</t>
  </si>
  <si>
    <t>填写本文档注意事项：
1.各表中无底色的单元格均需填写数据；
2.各表中淡蓝底色的单元格为带有公式的或为说明文字，不需要填写内容；请不要删除修改。
3.淡绿色说明文字，不需要填写内容
4.各表中蓝色底色且字体为粗体为表格标题，不需填写。
具体见下单元格图例</t>
  </si>
  <si>
    <t>单元格图例说明</t>
  </si>
  <si>
    <t>编号</t>
  </si>
  <si>
    <t>表格样式</t>
  </si>
  <si>
    <t>说明</t>
  </si>
  <si>
    <t>需填写数据</t>
  </si>
  <si>
    <t>项目数据填写、信息输入等</t>
  </si>
  <si>
    <t>自动计算</t>
  </si>
  <si>
    <t>不可编辑，表格自动计算</t>
  </si>
  <si>
    <t>说明名字</t>
  </si>
  <si>
    <t>数据填写指引，一般不编辑</t>
  </si>
  <si>
    <t>表格标题</t>
  </si>
  <si>
    <t>表格指引，一般不编辑</t>
  </si>
  <si>
    <t>度量指标</t>
  </si>
  <si>
    <t>度量指引，一般不编辑</t>
  </si>
  <si>
    <t>项目名称</t>
  </si>
  <si>
    <t>国泰安智慧教务管理平台V1.5</t>
  </si>
  <si>
    <t>项目选用生命周期</t>
  </si>
  <si>
    <t>迭代开发模型</t>
  </si>
  <si>
    <t>项目定义过程</t>
  </si>
  <si>
    <t>产品立项阶段-&gt;迭代一-&gt;迭代二-&gt;迭代三-&gt;迭代四-&gt;系统集成与验收结项阶段</t>
  </si>
  <si>
    <t>应用领域</t>
  </si>
  <si>
    <t>教育</t>
  </si>
  <si>
    <t>项目类型</t>
  </si>
  <si>
    <t>普通</t>
  </si>
  <si>
    <t>客户</t>
  </si>
  <si>
    <t>高职, 高校</t>
  </si>
  <si>
    <t>技术</t>
  </si>
  <si>
    <t>WEB</t>
  </si>
  <si>
    <t>软件类型</t>
  </si>
  <si>
    <t>管理系统</t>
  </si>
  <si>
    <t>采用的语言</t>
  </si>
  <si>
    <t>JAVA</t>
  </si>
  <si>
    <t>采用的数据库</t>
  </si>
  <si>
    <t>Oracle</t>
  </si>
  <si>
    <t>项目所属部门</t>
  </si>
  <si>
    <t>智慧教育事业部/研发部/应用研发部</t>
  </si>
  <si>
    <t>项目经理</t>
  </si>
  <si>
    <t>张银</t>
  </si>
  <si>
    <t>团队规模</t>
  </si>
  <si>
    <t>项目组成员</t>
  </si>
  <si>
    <t>张银, 潘文彬, 黄荣, 王煜卿, 易程亮, 郑建锋, 张莉, 章景, 伍斌, 丁迅, 欧鹏, 让小侠, 王平刚, 张伍超, 何鑫华, 陈李好, 黄少莲, 陈敏兰, 李淑贞, 梁新飞, 阳杰, 郑益涛, 刘怡涵, 黄玲俐, 吴赛清, 金灼</t>
  </si>
  <si>
    <t>本报告制作及维护人</t>
  </si>
  <si>
    <t>潘文彬</t>
  </si>
  <si>
    <t>本报告初次填写时间</t>
  </si>
  <si>
    <t>本报告末次填写时间</t>
  </si>
  <si>
    <t>注:蓝色字体是给出的例子，编制时请删除内容</t>
  </si>
  <si>
    <t>项目度量计划</t>
  </si>
  <si>
    <t>项目目标</t>
  </si>
  <si>
    <t>优先级</t>
  </si>
  <si>
    <t>设定说明</t>
  </si>
  <si>
    <t>项目实际数据</t>
  </si>
  <si>
    <t>达成情况</t>
  </si>
  <si>
    <t>工期总目标(计划工期)</t>
  </si>
  <si>
    <t>不超过257天</t>
  </si>
  <si>
    <t>高</t>
  </si>
  <si>
    <t>基于客户要求\事业部的承诺基于管理层的要求设定\</t>
  </si>
  <si>
    <t>123天</t>
  </si>
  <si>
    <t>迭代并行开发，缩短了总工期</t>
  </si>
  <si>
    <t>工期总目标（单位规模工期）</t>
  </si>
  <si>
    <t>≤0.7</t>
  </si>
  <si>
    <t>达成目标</t>
  </si>
  <si>
    <t>工作量目标(总目标)</t>
  </si>
  <si>
    <t>不超过981人天</t>
  </si>
  <si>
    <t>中</t>
  </si>
  <si>
    <t>722.75人天</t>
  </si>
  <si>
    <t>工作量目标(估算目标)</t>
  </si>
  <si>
    <t>755人天</t>
  </si>
  <si>
    <t>工作量目标（工作量偏差）</t>
  </si>
  <si>
    <t>不超过226人天</t>
  </si>
  <si>
    <t>-0.15≤X&lt;0.3</t>
  </si>
  <si>
    <t>偏差32人天，偏差率-4.22%</t>
  </si>
  <si>
    <t>效率总目标(生产率)</t>
  </si>
  <si>
    <t>≥0.4834SFP/人天</t>
  </si>
  <si>
    <t>0.4≤X&lt;0.7</t>
  </si>
  <si>
    <t>质量总目标（遗留缺陷率）</t>
  </si>
  <si>
    <t>≤0.03</t>
  </si>
  <si>
    <t>低</t>
  </si>
  <si>
    <t>0≤X&lt;0.03</t>
  </si>
  <si>
    <t>说明：</t>
  </si>
  <si>
    <t>1.目标的设置优先考虑内外部客户的要求，若无相关要求，则在组织级QPPO的范围内进行设定</t>
  </si>
  <si>
    <t>2.计划工期和计划工作量以预估算值进行设定，在确定性估算完成后，依据确定性估算的结果对目标进行调整</t>
  </si>
  <si>
    <t>3.得到内外部客户同意以及经过CCB审批通过的变更发生后，可以根据变更的结果对目标进行调整</t>
  </si>
  <si>
    <t>序号</t>
  </si>
  <si>
    <t>统计管理度量项(组织级的度量表)</t>
  </si>
  <si>
    <t>单位</t>
  </si>
  <si>
    <t>是否基线</t>
  </si>
  <si>
    <t>是否项目必选</t>
  </si>
  <si>
    <t>度量时机</t>
  </si>
  <si>
    <t>备注</t>
  </si>
  <si>
    <t>LOL</t>
  </si>
  <si>
    <t>OL</t>
  </si>
  <si>
    <t>U0L</t>
  </si>
  <si>
    <t>σ</t>
  </si>
  <si>
    <t>产品立项阶段工作量偏差</t>
  </si>
  <si>
    <t>-</t>
  </si>
  <si>
    <t>■基线</t>
  </si>
  <si>
    <t>■ 是</t>
  </si>
  <si>
    <t>产品立项阶段结束时</t>
  </si>
  <si>
    <t>组织QPPO</t>
  </si>
  <si>
    <t>迭代需求单位规模工期(原型+需求规格)</t>
  </si>
  <si>
    <t>天/SFP</t>
  </si>
  <si>
    <t>迭代需求阶段结束时</t>
  </si>
  <si>
    <t>迭代需求单位规模工期(需求规格)</t>
  </si>
  <si>
    <t>迭代需求单位规模工期(原型)</t>
  </si>
  <si>
    <t>迭代需求单位规模工作量(原型+需求规格)</t>
  </si>
  <si>
    <t>人天/SFP</t>
  </si>
  <si>
    <t>迭代需求单位规模工作量(需求规格)</t>
  </si>
  <si>
    <t>迭代需求单位规模工作量(原型)</t>
  </si>
  <si>
    <t>迭代需求工作量偏差(原型+需求规格)</t>
  </si>
  <si>
    <t>迭代需求工作量偏差(需求规格)</t>
  </si>
  <si>
    <t>迭代需求工作量偏差(原型)</t>
  </si>
  <si>
    <t>迭代设计工作量偏差(全设计)</t>
  </si>
  <si>
    <t>迭代设计阶段结束时</t>
  </si>
  <si>
    <t>迭代设计工作量偏差(核心设计)</t>
  </si>
  <si>
    <t>迭代设计工作量偏差(简化设计)</t>
  </si>
  <si>
    <t>迭代开发单位规模工期(核心走查)</t>
  </si>
  <si>
    <t>迭代开发阶段结束时</t>
  </si>
  <si>
    <t>迭代开发单位规模工期(不走查)</t>
  </si>
  <si>
    <t>迭代开发单位规模工作量(核心走查)</t>
  </si>
  <si>
    <t>迭代开发单位规模工作量(不走查)</t>
  </si>
  <si>
    <t>迭代开发工作量偏差(核心走查)</t>
  </si>
  <si>
    <t>迭代开发工作量偏差(不走查)</t>
  </si>
  <si>
    <t>测试用例评审密度</t>
  </si>
  <si>
    <t>个/SFP</t>
  </si>
  <si>
    <t>测试用例评审结束时</t>
  </si>
  <si>
    <t>迭代测试单位规模工期（强测试）</t>
  </si>
  <si>
    <t>迭代测试阶段结束时</t>
  </si>
  <si>
    <t>迭代测试单位规模工期(弱测试)</t>
  </si>
  <si>
    <t>迭代测试单位规模工作量（强测试）</t>
  </si>
  <si>
    <t>迭代测试单位规模工作量(弱测试)</t>
  </si>
  <si>
    <t>迭代测试工作量偏差（强测试）</t>
  </si>
  <si>
    <t>迭代测试工作量偏差(弱测试)</t>
  </si>
  <si>
    <t>测试加权缺陷密度（强测试）</t>
  </si>
  <si>
    <t>测试加权缺陷密度（强测试） (智慧教育线)</t>
  </si>
  <si>
    <t>测试加权缺陷密度（弱测试）</t>
  </si>
  <si>
    <t>测试加权缺陷密度（弱测试）(智慧教育线)</t>
  </si>
  <si>
    <t>迭代验收工作量偏差</t>
  </si>
  <si>
    <t>迭代验收阶段结束时</t>
  </si>
  <si>
    <t>遗留缺陷率</t>
  </si>
  <si>
    <t>工作量偏差（智慧教育线）</t>
  </si>
  <si>
    <t>项目结束时</t>
  </si>
  <si>
    <t>工作量偏差（非智慧教育线）</t>
  </si>
  <si>
    <t>单位规模工期（特色线）</t>
  </si>
  <si>
    <t>单位规模工期（资源线）</t>
  </si>
  <si>
    <t>单位规模工期（教学+智慧教育线）</t>
  </si>
  <si>
    <t>生产率（特色线）</t>
  </si>
  <si>
    <t>生产率（非特色线）</t>
  </si>
  <si>
    <t>测试用例覆盖密度（强智慧）</t>
  </si>
  <si>
    <t>条/SFP</t>
  </si>
  <si>
    <t>测试用例覆盖密度（弱智慧）</t>
  </si>
  <si>
    <t>测试用例覆盖密度（强非智慧）</t>
  </si>
  <si>
    <t>测试用例覆盖密度（弱非智慧）</t>
  </si>
  <si>
    <t>代码走查缺陷密度</t>
  </si>
  <si>
    <t>代码走查结束时</t>
  </si>
  <si>
    <t>验收单位规模工期</t>
  </si>
  <si>
    <t>□ 否</t>
  </si>
  <si>
    <t>验收单位规模工作量</t>
  </si>
  <si>
    <t>验收工作量偏差</t>
  </si>
  <si>
    <t>其它度量项</t>
  </si>
  <si>
    <t>客户需求评审投入度=评审工作量/文档页数</t>
  </si>
  <si>
    <t>□观测项</t>
  </si>
  <si>
    <t>客户需求评审结束时</t>
  </si>
  <si>
    <t>观测项，无QPPO</t>
  </si>
  <si>
    <t>需求规格评审投入度=评审工作量/文档页数</t>
  </si>
  <si>
    <t>需求规格评审结束时</t>
  </si>
  <si>
    <t>设计评审投入度=评审工作量/文档页数</t>
  </si>
  <si>
    <t>设计评审结束时</t>
  </si>
  <si>
    <t>代码走查投入度=代码走查工作量/走查的SFP</t>
  </si>
  <si>
    <t>测试用例评审投入度=测试用例评审工作量/新增加用例数</t>
  </si>
  <si>
    <t>准入测试的不通过率</t>
  </si>
  <si>
    <t>项目立项时/变更发生时</t>
  </si>
  <si>
    <t xml:space="preserve">研发自测发现缺陷密度    </t>
  </si>
  <si>
    <t>研发人员编码自测时</t>
  </si>
  <si>
    <t>产品人员平均技能系数</t>
  </si>
  <si>
    <t>项目立项时/人员变更发生时</t>
  </si>
  <si>
    <t>开发人员平均技能系数</t>
  </si>
  <si>
    <t>测试人员平均技能系数</t>
  </si>
  <si>
    <t>客户需求稳定度</t>
  </si>
  <si>
    <t>需求规格稳定度</t>
  </si>
  <si>
    <t>迭代设计单位规模工期(全设计)</t>
  </si>
  <si>
    <t>迭代设计单位规模工期(核心设计)</t>
  </si>
  <si>
    <t>迭代设计单位规模工期(简化设计)</t>
  </si>
  <si>
    <t>迭代设计单位规模工作量(全设计)</t>
  </si>
  <si>
    <t>迭代设计单位规模工作量(核心设计)</t>
  </si>
  <si>
    <t>迭代设计单位规模工作量(简化设计)</t>
  </si>
  <si>
    <t>进度偏差</t>
  </si>
  <si>
    <t>技术复杂度</t>
  </si>
  <si>
    <t>项目立项时</t>
  </si>
  <si>
    <t>模块复用率</t>
  </si>
  <si>
    <t>项目估算时</t>
  </si>
  <si>
    <t>人员平均技能系数</t>
  </si>
  <si>
    <t>业务知识符合度</t>
  </si>
  <si>
    <t>技能符合度</t>
  </si>
  <si>
    <t>人员变动率</t>
  </si>
  <si>
    <t>人员变更发生时</t>
  </si>
  <si>
    <t>资源到位率</t>
  </si>
  <si>
    <t>迭代阶段活动时</t>
  </si>
  <si>
    <t>稼动率</t>
  </si>
  <si>
    <t>需求进度偏差(原型+需求规格)</t>
  </si>
  <si>
    <t>需求进度偏差(需求规格)</t>
  </si>
  <si>
    <t>需求进度偏差(原型)</t>
  </si>
  <si>
    <t>设计进度偏差(全设计)</t>
  </si>
  <si>
    <t>设计进度偏差(核心设计)</t>
  </si>
  <si>
    <t>设计进度偏差(简化设计)</t>
  </si>
  <si>
    <t>开发进度偏差(核心走查)</t>
  </si>
  <si>
    <t>开发进度偏差(不走查)</t>
  </si>
  <si>
    <t>测试进度偏差（强测试）</t>
  </si>
  <si>
    <t>测试进度偏差(弱测试)</t>
  </si>
  <si>
    <t>验收进度偏差</t>
  </si>
  <si>
    <t>Bug返工率</t>
  </si>
  <si>
    <t>迭代测试执行结束时</t>
  </si>
  <si>
    <t>客户需求评审缺陷密度</t>
  </si>
  <si>
    <t>需求规格评审缺陷密度</t>
  </si>
  <si>
    <t>设计评审缺陷密度</t>
  </si>
  <si>
    <t>测试加权执行轮次（强测试）</t>
  </si>
  <si>
    <t>次</t>
  </si>
  <si>
    <t>测试加权执行轮次（弱测试）</t>
  </si>
  <si>
    <t>验收缺陷密度</t>
  </si>
  <si>
    <t>遗留缺陷密度</t>
  </si>
  <si>
    <t>注：选择项目度量项请依据项目裁剪结果进行选择相对应的度量项。</t>
  </si>
  <si>
    <t>模型预测结果</t>
  </si>
  <si>
    <t>目标设定</t>
  </si>
  <si>
    <t>预测编号</t>
  </si>
  <si>
    <t>目标性质</t>
  </si>
  <si>
    <t>预测触发</t>
  </si>
  <si>
    <t>项目规模（SFP）</t>
  </si>
  <si>
    <t>项目工作量</t>
  </si>
  <si>
    <t>允许最大工作量偏差(人天)</t>
  </si>
  <si>
    <t>项目工期</t>
  </si>
  <si>
    <t>工作量偏差率</t>
  </si>
  <si>
    <t>单位规模工期</t>
  </si>
  <si>
    <t>生产率</t>
  </si>
  <si>
    <t>基于本次预测的最佳方案</t>
  </si>
  <si>
    <t>单位规模工期达成置信度</t>
  </si>
  <si>
    <t>生产率达成置信度</t>
  </si>
  <si>
    <t>工作量偏差达成置信度</t>
  </si>
  <si>
    <t>遗留缺陷率达成置信度</t>
  </si>
  <si>
    <t>预测结论</t>
  </si>
  <si>
    <t>预测结果分析及采取的措施</t>
  </si>
  <si>
    <t>总目标</t>
  </si>
  <si>
    <t>产品立项阶段开始</t>
  </si>
  <si>
    <t>接受</t>
  </si>
  <si>
    <t>1.分析：由于交付压力，工期较实际估算结果有较大压缩，采取迭代重叠方式，故工期目标达成的置信度过低。
2.措施：（1）安排加班赶工，将风险控制在可控范围内</t>
  </si>
  <si>
    <t>产品立项阶段结束迭代一开始</t>
  </si>
  <si>
    <t>风险可控，接受</t>
  </si>
  <si>
    <t>迭代一结束迭代二开始</t>
  </si>
  <si>
    <t>迭代二结束迭代三开始</t>
  </si>
  <si>
    <t>目标可达成，接受</t>
  </si>
  <si>
    <t>迭代三结束迭代四开始</t>
  </si>
  <si>
    <t>系统集成与验收结项阶段开始</t>
  </si>
  <si>
    <t>生产率模型预测</t>
  </si>
  <si>
    <t>模型公式：
生产率=1/(产品立项阶段单位规模工作量+迭代一工作量比例/迭代一生产率+......+迭代N工作量比例/迭代N生产率+系统集成与验收结项阶段单位规模工作量)
迭代生产率=0.6914 - 0.0939 迭代开发工作量偏差 - 0.4371 迭代需求单位规模工作量 - 0.1958 迭代测试单位规模工作量</t>
  </si>
  <si>
    <t>此几列最开始是填写估算的计划值，当项目执行过程中形成实际值后，用实际值替换掉计划值</t>
  </si>
  <si>
    <t>基线</t>
  </si>
  <si>
    <t>说明：1. 工作量估算完成后，在第一行填写计划的各阶段单位规模工作量，从而通过回归方程公式自动计算出生产率，计算出预测的项目总工作量。此时通过与估算的工作量作对比，判断是否存在较大偏差，如果有，则分析原因并采取措施。
2. 当每个阶段结束，有其中一个或多个单位规模工作量实际值时，则填写对应的实际值，其他仍然填写计划值，从而通过回归方程公式自动计算出生产率，计算出预测的项目总工作量。此时通过与估算的工作量作对比，判断是否存在较大偏差，如果有，则分析原因并采取措施。</t>
  </si>
  <si>
    <t>类别</t>
  </si>
  <si>
    <t>估算SFP</t>
  </si>
  <si>
    <t>估算的项目工作量</t>
  </si>
  <si>
    <t>预测的项目总工作量(人天)</t>
  </si>
  <si>
    <t>产品立项阶段单位规模工作量</t>
  </si>
  <si>
    <t>迭代一生产率</t>
  </si>
  <si>
    <t>迭代二生产率</t>
  </si>
  <si>
    <t>迭代三生产率</t>
  </si>
  <si>
    <t>迭代四生产率</t>
  </si>
  <si>
    <t>系统集成与验收结项阶段单位规模工作量</t>
  </si>
  <si>
    <t>UOL</t>
  </si>
  <si>
    <t>第一次预测</t>
  </si>
  <si>
    <t>因子预测值</t>
  </si>
  <si>
    <t>特色线</t>
  </si>
  <si>
    <t>第二次预测</t>
  </si>
  <si>
    <t>因子实际值</t>
  </si>
  <si>
    <t>非特色线</t>
  </si>
  <si>
    <t>第三次预测</t>
  </si>
  <si>
    <t>第四次预测</t>
  </si>
  <si>
    <t>第五次预测</t>
  </si>
  <si>
    <t>第六次预测</t>
  </si>
  <si>
    <t>单位规模工期模型预测</t>
  </si>
  <si>
    <t>模型公式：迭代单位规模工期=0.0568 + 2.530 迭代需求单位规模工期 + 0.558 迭代开发单位规模工期+ 0.877 迭代测试单位规模工期
单位规模工期=产品立项阶段单位规模工期+迭代一估算规模比例*迭代一单位规模工期+......+迭代N估算规模比例*迭代N单位规模工期+系统集成与验收结项阶段单位规模工期</t>
  </si>
  <si>
    <t>基线-总体</t>
  </si>
  <si>
    <t>说明：1. 项目目标设定后，在第一行填写计划值（如代码走查密度、测试用例覆盖密度、实际测试执行轮次），从而通过回归方程公式计算出预测的测试加权缺陷密度，计算出预测的测试发现缺陷数，与目标设定的测试发现缺陷数作对比，判断是否存在较大偏差，如果有，则分析原因并采取措施。
2. 当其中有一个或多个实际值时，则填写对应的实际值，其他仍然填写计划值，从而通过回归方程公式自动计算出预测的测试加权缺陷密度，计算出预测的测试发现缺陷数，与目标设定的测试发现缺陷数作对比，判断是否存在较大偏差，如果有，则分析原因并采取措施。</t>
  </si>
  <si>
    <t>估算的项目总工期</t>
  </si>
  <si>
    <t>预测的项目总工期(天)</t>
  </si>
  <si>
    <t>产品立项阶段单位规模工期</t>
  </si>
  <si>
    <t>迭代一单位规模工期</t>
  </si>
  <si>
    <t>迭代二单位规模工期</t>
  </si>
  <si>
    <t>迭代三单位规模工期</t>
  </si>
  <si>
    <t>迭代四单位规模工期</t>
  </si>
  <si>
    <t>系统集成与验收结项阶段单位规模工期</t>
  </si>
  <si>
    <t>资源线</t>
  </si>
  <si>
    <t>教学+智慧教育线</t>
  </si>
  <si>
    <t>工作量偏差率模型预测</t>
  </si>
  <si>
    <t xml:space="preserve">模型公式：
工作量偏差率=产品立项阶段工作量比例*产品立项阶段工作量偏差率+迭代一工作量比例*迭代一工作量偏差率+......+迭代N工作量比例*迭代N工作量偏差率+系统集成与验收结项阶段工作量比例*系统集成与验收结项阶段工作量偏差率
迭代工作量偏差率=迭代需求比例*迭代需求工作量偏差率+迭代设计比例*迭代设计工作量偏差率+迭代开发比例*迭代开发工作量偏差率+迭代测试比例*迭代测试工作量偏差
</t>
  </si>
  <si>
    <t>说明：1.当编码阶段进度偏差率有实际值时，填写编码阶段实际值，测试阶段进度偏差率填写预计值，从而通过回归方程公式自动算出预测的项目总体进度偏差率，计算出项目预计出现的偏差天数。此时通过与目标设定的允许最大偏差天数作对比，判断是否存在较大偏差，如果有，则分析原因并采取措施。
2.当编码阶段进度偏差率、测试阶段进度偏差率有实际值时，填写实际值，从而通过回归方程公式自动算出预测的项目总体进度偏差率，计算出项目预计出现的偏差天数。此时通过与目标设定的允许最大偏差天数作对比，判断是否存在较大偏差，如果有，则分析原因并采取措施。</t>
  </si>
  <si>
    <t>项目总工作量（人天）</t>
  </si>
  <si>
    <t xml:space="preserve">工作量偏差率 </t>
  </si>
  <si>
    <t>允许的项目工作量偏差（人天）</t>
  </si>
  <si>
    <t>预测的项目工作量偏差（人天）</t>
  </si>
  <si>
    <t>产品立项阶段工作量偏差率</t>
  </si>
  <si>
    <t>迭代一工作量偏差率</t>
  </si>
  <si>
    <t>迭代二工作量偏差率</t>
  </si>
  <si>
    <t>迭代三工作量偏差率</t>
  </si>
  <si>
    <t>迭代四工作量偏差率</t>
  </si>
  <si>
    <t>系统集成与验收结项阶段工作量偏差率</t>
  </si>
  <si>
    <t>智慧教育线</t>
  </si>
  <si>
    <t>非智慧教育线</t>
  </si>
  <si>
    <t>PPM-V</t>
  </si>
  <si>
    <t>1、</t>
  </si>
  <si>
    <t>拟合回归模型</t>
  </si>
  <si>
    <t>生产率=1/(产品立项阶段单位规模工作量+迭代一工作量比例/迭代一生产率+......+迭代N工作量比例/迭代N生产率+系统集成与验收结项阶段单位规模工作量)</t>
  </si>
  <si>
    <t>工作量偏差率=产品立项阶段工作量比例*产品立项阶段工作量偏差率+迭代一工作量比例*迭代一工作量偏差率+......+迭代N工作量比例*迭代N工作量偏差率+系统集成与验收结项阶段工作量比例*系统集成与验收结项阶段工作量偏差率</t>
  </si>
  <si>
    <t>单位规模工期=产品立项阶段单位规模工期+迭代一估算规模比例*迭代一单位规模工期+......+迭代N估算规模比例*迭代N单位规模工期+系统集成与验收结项阶段单位规模工期</t>
  </si>
  <si>
    <t>遗留缺陷率=迭代一估算规模比例*迭代一遗留缺陷率+......+迭代N估算规模比例*迭代N遗留缺陷率</t>
  </si>
  <si>
    <t>产品立项阶段</t>
  </si>
  <si>
    <t>迭代一</t>
  </si>
  <si>
    <t>系统集成与验收结项阶段</t>
  </si>
  <si>
    <t>合计</t>
  </si>
  <si>
    <t>迭代需求</t>
  </si>
  <si>
    <t>迭代设计</t>
  </si>
  <si>
    <t>迭代开发</t>
  </si>
  <si>
    <t>迭代测试</t>
  </si>
  <si>
    <t>迭代SFP</t>
  </si>
  <si>
    <t>迭代二</t>
  </si>
  <si>
    <t>迭代三</t>
  </si>
  <si>
    <t>迭代四</t>
  </si>
  <si>
    <t>2、</t>
  </si>
  <si>
    <t>假设单元</t>
  </si>
  <si>
    <t>❶</t>
  </si>
  <si>
    <t>❷</t>
  </si>
  <si>
    <t>有实际值就取实际值，没有就取目标值</t>
  </si>
  <si>
    <t>❸</t>
  </si>
  <si>
    <t>找到回归模型把公式带进来</t>
  </si>
  <si>
    <t>定 义 假 设 单 元</t>
  </si>
  <si>
    <t>定 义 方 案 选 择</t>
  </si>
  <si>
    <t>定 义 预 测 单 元</t>
  </si>
  <si>
    <t>阶段（来自于前面的阶段）</t>
  </si>
  <si>
    <t>方案选择</t>
  </si>
  <si>
    <t>工作量偏差</t>
  </si>
  <si>
    <t>目标值</t>
  </si>
  <si>
    <t>实际值</t>
  </si>
  <si>
    <t>迭代阶段</t>
  </si>
  <si>
    <t>迭代阶段（迭代一）</t>
  </si>
  <si>
    <t>迭代一工作量偏差</t>
  </si>
  <si>
    <t>迭代一遗留缺陷率</t>
  </si>
  <si>
    <t>智慧</t>
  </si>
  <si>
    <t>迭代阶段（迭代二）</t>
  </si>
  <si>
    <t>非智慧</t>
  </si>
  <si>
    <t>迭代二工作量偏差</t>
  </si>
  <si>
    <t>迭代二遗留缺陷率</t>
  </si>
  <si>
    <t>迭代阶段（迭代三）</t>
  </si>
  <si>
    <t>迭代阶段（迭代四）</t>
  </si>
  <si>
    <t>迭代三工作量偏差</t>
  </si>
  <si>
    <t>迭代三遗留缺陷率</t>
  </si>
  <si>
    <t>迭代四工作量偏差</t>
  </si>
  <si>
    <t>迭代四遗留缺陷率</t>
  </si>
  <si>
    <t>背景色表示的意思</t>
  </si>
  <si>
    <t>●</t>
  </si>
  <si>
    <t>均值</t>
  </si>
  <si>
    <t>决策变量</t>
  </si>
  <si>
    <t>预测变量</t>
  </si>
  <si>
    <t>迭代生产率</t>
  </si>
  <si>
    <t>迭代生产率=0.6914 - 0.0939 迭代开发工作量偏差率 - 0.4371 迭代需求单位规模工作量 - 0.1958 迭代测试单位规模工作量</t>
  </si>
  <si>
    <t>迭代工作量偏差率</t>
  </si>
  <si>
    <t>迭代工作量偏差率=迭代需求工作量比例*迭代需求工作量偏差率+迭代设计工作量比例*迭代设计工作量偏差率+迭代开发工作量比例*迭代开发工作量偏差率+迭代测试工作量比例*迭代测试工作量偏差率</t>
  </si>
  <si>
    <t>迭代单位规模工期</t>
  </si>
  <si>
    <t>迭代单位规模工期=0.0568 + 2.530 迭代需求单位规模工期 + 0.558 迭代开发单位规模工期+ 0.877 迭代测试单位规模工期</t>
  </si>
  <si>
    <t>迭代遗留缺陷率</t>
  </si>
  <si>
    <t>迭代遗留缺陷率=0.04015 - 0.373 测试用例评审缺陷密度 - 0.01078 测试加权缺陷密度</t>
  </si>
  <si>
    <t>迭代测试加权缺陷密度</t>
  </si>
  <si>
    <t>迭代测试加权缺陷密度=0.699 + 0.01928 测试用例覆盖密度 - 2.262 代码走查缺陷密度</t>
  </si>
  <si>
    <t>工作量工期质量模型</t>
  </si>
  <si>
    <t>迭代开发阶段</t>
  </si>
  <si>
    <t>定义假设单元</t>
  </si>
  <si>
    <t>迭代需求过程</t>
  </si>
  <si>
    <t>迭代需求单位规模工期</t>
  </si>
  <si>
    <t>迭代需求单位规模工作量</t>
  </si>
  <si>
    <t>迭代需求工作量偏差率</t>
  </si>
  <si>
    <t>迭代开发过程</t>
  </si>
  <si>
    <t>迭代遗留缺陷率(智慧）</t>
  </si>
  <si>
    <t>原型+需求规格</t>
  </si>
  <si>
    <t>需求规格</t>
  </si>
  <si>
    <t>01迭代需求</t>
  </si>
  <si>
    <t>迭代遗留缺陷率(非智慧）</t>
  </si>
  <si>
    <t>原型</t>
  </si>
  <si>
    <t>02迭代设计</t>
  </si>
  <si>
    <t>迭代设计过程</t>
  </si>
  <si>
    <t>迭代设计单位规模工期</t>
  </si>
  <si>
    <t>迭代设计单位规模工作量</t>
  </si>
  <si>
    <t>迭代设计工作量偏差率</t>
  </si>
  <si>
    <t>03迭代开发</t>
  </si>
  <si>
    <t>全设计</t>
  </si>
  <si>
    <t>04迭代测试</t>
  </si>
  <si>
    <t xml:space="preserve">核心设计 </t>
  </si>
  <si>
    <t>简化设计</t>
  </si>
  <si>
    <t>迭代开发单位规模工期</t>
  </si>
  <si>
    <t>迭代开发工作量偏差率</t>
  </si>
  <si>
    <t>测试用例评审缺陷密度</t>
  </si>
  <si>
    <t>核心走查</t>
  </si>
  <si>
    <t>不走查</t>
  </si>
  <si>
    <t>迭代测试过程</t>
  </si>
  <si>
    <t>迭代测试单位规模工期</t>
  </si>
  <si>
    <t>迭代测试单位规模工作量</t>
  </si>
  <si>
    <t>迭代测试工作量偏差率</t>
  </si>
  <si>
    <t>测试加权的缺陷密度</t>
  </si>
  <si>
    <t>强测试</t>
  </si>
  <si>
    <t>弱测试</t>
  </si>
  <si>
    <t>迭代开发子过程</t>
  </si>
  <si>
    <t>测试用例覆盖密度</t>
  </si>
  <si>
    <t>需求稳定度</t>
  </si>
  <si>
    <t>说明：
1.需求变更产生的SFP变化=|新增SFP值| + |删除SFP值| + |修订的SFP值|。举例：新增一个需求，增加了20SFP，删除一个需求，减少了10SFP，修改一个需求，SFP改变了3FP，那这些需求变更产生的SFP变化为20+10+3=33
2.为什么客户需求稳定度中的“需求变更产生的SFP变化”和需求规格稳定度中的“需求变更产生的SFP变化”会不一样？客户需求的变化一定会引起需求规格的变化，但除了来自于客户需求的影响外，需求分析或分解时的错误也会引起需求规格出现波动，这个时候需求规格就会有额外的修改，从而导致SFP值发生变化。
3.需求稳定度=1-（变化的SFP/原SFP总数）。当需求稳定度值为最大值1时，表示需求稳定；该数值越小，表示需求稳定度越小，需求越不稳定；需求稳定度可能会出现负值，表示需求稳定度很低，低到为负值。</t>
  </si>
  <si>
    <t>度量一：客户需求稳定度</t>
  </si>
  <si>
    <t>目的：支持对项目质量、成本、进度的分析和控制</t>
  </si>
  <si>
    <t>度量单位：客户需求中的功能性和非功能性个数（即CR与NCR个数）</t>
  </si>
  <si>
    <t>过程名称</t>
  </si>
  <si>
    <t>初始需求总数</t>
  </si>
  <si>
    <t>变更的需求数</t>
  </si>
  <si>
    <r>
      <rPr>
        <b/>
        <sz val="10"/>
        <rFont val="宋体"/>
        <charset val="134"/>
      </rPr>
      <t>需求变更产生的S</t>
    </r>
    <r>
      <rPr>
        <b/>
        <sz val="10"/>
        <rFont val="宋体"/>
        <charset val="134"/>
      </rPr>
      <t>FP</t>
    </r>
    <r>
      <rPr>
        <b/>
        <sz val="10"/>
        <rFont val="宋体"/>
        <charset val="134"/>
      </rPr>
      <t>变化</t>
    </r>
  </si>
  <si>
    <t>变更前的SFP</t>
  </si>
  <si>
    <t xml:space="preserve"> 需求稳定度</t>
  </si>
  <si>
    <t>新增</t>
  </si>
  <si>
    <t>删除</t>
  </si>
  <si>
    <t>修订</t>
  </si>
  <si>
    <t>变更数合计</t>
  </si>
  <si>
    <t>需求过程</t>
  </si>
  <si>
    <t>设计过程</t>
  </si>
  <si>
    <t>开发过程</t>
  </si>
  <si>
    <t>测试过程</t>
  </si>
  <si>
    <t>累计</t>
  </si>
  <si>
    <t xml:space="preserve">度量二：需求规格稳定度 </t>
  </si>
  <si>
    <t>度量单位：软件瀑布开发项目SFP, 迭代项目需求任务条数，3D模型个数、场景数</t>
  </si>
  <si>
    <t>度量一:各活动各阶段工作量</t>
  </si>
  <si>
    <t>目的：为重新估算提供参考；为收集组织工作量分布数据提供输入；比较估计工作量的准确性并用以调整计划。</t>
  </si>
  <si>
    <t>度量单位：人日</t>
  </si>
  <si>
    <t>说明：工作量“总计”中的“计划”列数据来源于确定性估算表。各阶段的“实际”列数据来源于DevSuite计划与任务，“计划”列数据由公式自动计算，无需改动。</t>
  </si>
  <si>
    <t>总体</t>
  </si>
  <si>
    <t>度量活动</t>
  </si>
  <si>
    <t>总计</t>
  </si>
  <si>
    <t>各活动类型资源投入率</t>
  </si>
  <si>
    <t>各活动类型工作量比例</t>
  </si>
  <si>
    <t>计划各阶段工作量配比</t>
  </si>
  <si>
    <t>不同类型工作量比例</t>
  </si>
  <si>
    <t>计划</t>
  </si>
  <si>
    <t>实际</t>
  </si>
  <si>
    <t>工程活动</t>
  </si>
  <si>
    <t>软件工程活动</t>
  </si>
  <si>
    <t>项目管理活动</t>
  </si>
  <si>
    <t>配置管理活动</t>
  </si>
  <si>
    <t>质量保证活动</t>
  </si>
  <si>
    <t>其他(风险预留)</t>
  </si>
  <si>
    <t>其他（风险预留）</t>
  </si>
  <si>
    <t>所有活动各阶段统计值</t>
  </si>
  <si>
    <t>当前SFP</t>
  </si>
  <si>
    <t>阶段资源投入率</t>
  </si>
  <si>
    <t>项目工作量偏差率</t>
  </si>
  <si>
    <t>阶段累计工作量偏差率</t>
  </si>
  <si>
    <t>各阶段工程活动工作量比例</t>
  </si>
  <si>
    <t>度量定义</t>
  </si>
  <si>
    <t>目标</t>
  </si>
  <si>
    <t>阶段单位规模工作量=阶段实际工作量/当前SFP值</t>
  </si>
  <si>
    <t>项目数据</t>
  </si>
  <si>
    <t>计划数据</t>
  </si>
  <si>
    <t>实际数据</t>
  </si>
  <si>
    <t>需求阶段</t>
  </si>
  <si>
    <t>设计阶段</t>
  </si>
  <si>
    <t>开发阶段</t>
  </si>
  <si>
    <t>所有活动各过程统计值</t>
  </si>
  <si>
    <t>测试阶段</t>
  </si>
  <si>
    <t>过程资源投入率</t>
  </si>
  <si>
    <t>过程累计工作量偏差率</t>
  </si>
  <si>
    <t>各过程工程活动工作量比例</t>
  </si>
  <si>
    <t>过程单位规模工作量=过程实际工作量/当前SFP值</t>
  </si>
  <si>
    <t>规模度量统计分析报告</t>
  </si>
  <si>
    <t>度量一：各阶段对软件产品规模的度量</t>
  </si>
  <si>
    <t>目的：比较估计规模的准确性并用以调整计划。</t>
  </si>
  <si>
    <r>
      <rPr>
        <sz val="10"/>
        <rFont val="宋体"/>
        <charset val="134"/>
      </rPr>
      <t>度量单位：</t>
    </r>
    <r>
      <rPr>
        <sz val="10"/>
        <rFont val="Times New Roman"/>
        <charset val="134"/>
      </rPr>
      <t>SFP</t>
    </r>
  </si>
  <si>
    <t>复用程度</t>
  </si>
  <si>
    <t>阶段</t>
  </si>
  <si>
    <t>标准功能点规模（SFP）</t>
  </si>
  <si>
    <t>复用的功能点（SFP）</t>
  </si>
  <si>
    <t>——</t>
  </si>
  <si>
    <t>迭代一需求</t>
  </si>
  <si>
    <t>迭代一设计</t>
  </si>
  <si>
    <t>迭代一开发</t>
  </si>
  <si>
    <t>迭代一测试</t>
  </si>
  <si>
    <t>迭代二需求</t>
  </si>
  <si>
    <t>迭代二设计</t>
  </si>
  <si>
    <t>迭代二开发</t>
  </si>
  <si>
    <t>迭代二测试</t>
  </si>
  <si>
    <t>迭代三需求</t>
  </si>
  <si>
    <t>迭代三设计</t>
  </si>
  <si>
    <t>迭代三开发</t>
  </si>
  <si>
    <t>迭代三测试</t>
  </si>
  <si>
    <t>迭代四需求</t>
  </si>
  <si>
    <t>迭代四设计</t>
  </si>
  <si>
    <t>迭代四开发</t>
  </si>
  <si>
    <t>迭代四测试</t>
  </si>
  <si>
    <t>度量二：项目生产率度量</t>
  </si>
  <si>
    <t>目的：统计软件产品标准功能点完成率，分析项目生产效率情况，计算公式为标准功能点总数除以总体工作量</t>
  </si>
  <si>
    <r>
      <rPr>
        <sz val="10"/>
        <rFont val="宋体"/>
        <charset val="134"/>
      </rPr>
      <t>度量单位：S</t>
    </r>
    <r>
      <rPr>
        <sz val="11"/>
        <color theme="1"/>
        <rFont val="宋体"/>
        <charset val="134"/>
      </rPr>
      <t>FP</t>
    </r>
    <r>
      <rPr>
        <sz val="10"/>
        <rFont val="宋体"/>
        <charset val="134"/>
      </rPr>
      <t>/人日</t>
    </r>
  </si>
  <si>
    <t>项目规模</t>
  </si>
  <si>
    <t>实际工作量</t>
  </si>
  <si>
    <t>度量三：技术复杂度</t>
  </si>
  <si>
    <t>目的1：支持对项目进度偏差、生产率、质量的分析，计算公式TCF = 0.6 + 0.01 x ∑（技术复杂度影响因素）</t>
  </si>
  <si>
    <t>度量单位：0</t>
  </si>
  <si>
    <t>项目进度</t>
  </si>
  <si>
    <t>度量一： 项目进度偏差</t>
  </si>
  <si>
    <t>目的：控制项目的进度</t>
  </si>
  <si>
    <t>度量单位：计划时间取“确定性估算总体估算与计划表”中开始及完成时间，实际时间提取项目过程中实际开始及完成时间</t>
  </si>
  <si>
    <t>总体单位规模工期</t>
  </si>
  <si>
    <t>SPE/Phase</t>
  </si>
  <si>
    <t>计划开始时间</t>
  </si>
  <si>
    <t>计划完成时间</t>
  </si>
  <si>
    <t>实际开始时间</t>
  </si>
  <si>
    <t>实际完成时间</t>
  </si>
  <si>
    <t>变更后计划开始时间</t>
  </si>
  <si>
    <t>变更后计划结束时间</t>
  </si>
  <si>
    <t>实际工期</t>
  </si>
  <si>
    <t>阶段单位规模工期</t>
  </si>
  <si>
    <t>阶段累计偏差率</t>
  </si>
  <si>
    <t>偏差分析</t>
  </si>
  <si>
    <t>改进措施</t>
  </si>
  <si>
    <t>因涉及底层流程模型设计，估算时未充分考虑测试人员对底层逻辑的充分理解，导致测试需求分析用时过长</t>
  </si>
  <si>
    <t>涉及流程逻辑较强的需求，后续评估要更加充分。</t>
  </si>
  <si>
    <t>设计阶段工期较短，1天误差导致偏差率较大。</t>
  </si>
  <si>
    <t>周次</t>
  </si>
  <si>
    <t>……第N周</t>
  </si>
  <si>
    <t>说明：
1.周次的进度偏差取自Project，但请注意，Project中的值填入度量表时需要取相反数，即正数表示延迟，负数表示提前；
2.如需增加或删除周次，请点击上面的按钮；
3.最后一列请勿人为删除，否则将导致表格出错</t>
  </si>
  <si>
    <t>度量二：项目周期压力系数</t>
  </si>
  <si>
    <t>目的：通过项目压力系,判断项目受外在因素的影响有大小,从来</t>
  </si>
  <si>
    <t>度量单位:天数（工作日）</t>
  </si>
  <si>
    <t>项目周期压力系数</t>
  </si>
  <si>
    <t>估算工期</t>
  </si>
  <si>
    <t>内定工期</t>
  </si>
  <si>
    <t>度量二：估算的偏差</t>
  </si>
  <si>
    <t>目的：了解各级估算之前的偏差,形成基线,便于研发提供更加工期结果更加准确</t>
  </si>
  <si>
    <t>度量单位: 人月、SFP</t>
  </si>
  <si>
    <t>估算阶段</t>
  </si>
  <si>
    <t>量级估算
（人月）</t>
  </si>
  <si>
    <t>迭代一确定性/预估算</t>
  </si>
  <si>
    <t>迭代二确定性/预估算</t>
  </si>
  <si>
    <t>迭代三确定性/预估算</t>
  </si>
  <si>
    <t>迭代四确定性/预估算</t>
  </si>
  <si>
    <t>各迭代偏差</t>
  </si>
  <si>
    <t xml:space="preserve"> 量级估算与预算估算偏差</t>
  </si>
  <si>
    <t>预算估算与确定性估算偏差</t>
  </si>
  <si>
    <t>过程产出缺陷度量统计分析报告</t>
  </si>
  <si>
    <t>目的：控制过程质量
度量单位：个/产出规模</t>
  </si>
  <si>
    <t>说明：本页缺陷数据来源于评审报告</t>
  </si>
  <si>
    <t>度量一：客户需求说明书评审缺陷密度</t>
  </si>
  <si>
    <t>评审次数</t>
  </si>
  <si>
    <t>缺陷级别</t>
  </si>
  <si>
    <t>解决问题数</t>
  </si>
  <si>
    <t>遗留问题数</t>
  </si>
  <si>
    <t>问题总数</t>
  </si>
  <si>
    <t>评审规模（页）</t>
  </si>
  <si>
    <t>评审花费工作量（人时）</t>
  </si>
  <si>
    <t>缺陷密度
（个/页）</t>
  </si>
  <si>
    <t>评审投入度（人时/页）</t>
  </si>
  <si>
    <t>P1(致命)缺陷</t>
  </si>
  <si>
    <t>P2(严重)缺陷</t>
  </si>
  <si>
    <t>P3(一般)缺陷</t>
  </si>
  <si>
    <t>P4(微小)缺陷</t>
  </si>
  <si>
    <t>P5(建议)缺陷</t>
  </si>
  <si>
    <t>第N次评审</t>
  </si>
  <si>
    <t>度量二：需求规格说明书评审缺陷密度</t>
  </si>
  <si>
    <t>度量三：设计评审缺陷密度</t>
  </si>
  <si>
    <t>度量四：测试用例评审缺陷密度</t>
  </si>
  <si>
    <t>评审规模（条）</t>
  </si>
  <si>
    <t>缺陷密度
（个/条）</t>
  </si>
  <si>
    <t>度量四：代码走查缺陷密度</t>
  </si>
  <si>
    <t>走查次数</t>
  </si>
  <si>
    <t>评审规模（SFP）</t>
  </si>
  <si>
    <t>走查花费工作量（人时）</t>
  </si>
  <si>
    <t>缺陷密度
（个/SFP）</t>
  </si>
  <si>
    <t>走查投入度（人时/SFP）</t>
  </si>
  <si>
    <t>第N次走查</t>
  </si>
  <si>
    <t>1.缺陷数据取自评审报告；</t>
  </si>
  <si>
    <t>2.走查形式不限；</t>
  </si>
  <si>
    <t>3.若需增加走查次数，请点击添加按钮；</t>
  </si>
  <si>
    <t>4.请勿对“第N次评审”行进行删除或者填写，以免造成不必要的错误</t>
  </si>
  <si>
    <t>度量五：测试用例覆盖密度</t>
  </si>
  <si>
    <t xml:space="preserve"> 迭代</t>
  </si>
  <si>
    <t>用例设计数</t>
  </si>
  <si>
    <t>迭代规模（SFP）</t>
  </si>
  <si>
    <t>测试用例覆盖密度
（条/SFP）</t>
  </si>
  <si>
    <t>功能用例设计数</t>
  </si>
  <si>
    <t>性能用例设计数</t>
  </si>
  <si>
    <t>迭代N</t>
  </si>
  <si>
    <t>评审投入度（人时/条）</t>
  </si>
  <si>
    <t>测试及验收缺陷度量统计分析报告</t>
  </si>
  <si>
    <t>度量一：测试及验收发现的缺陷:</t>
  </si>
  <si>
    <t>目的：评价产品的发布前的质量</t>
  </si>
  <si>
    <t>度量单位：个/SFP</t>
  </si>
  <si>
    <t>说明：本页缺陷数据来源于缺陷库</t>
  </si>
  <si>
    <t>P1(致命)</t>
  </si>
  <si>
    <t>P2(严重)</t>
  </si>
  <si>
    <t>P3(一般)</t>
  </si>
  <si>
    <t>P4(微小)</t>
  </si>
  <si>
    <t>P5(建议)</t>
  </si>
  <si>
    <t>测试方式选择：</t>
  </si>
  <si>
    <t>验收方式选择：</t>
  </si>
  <si>
    <t>内部验收</t>
  </si>
  <si>
    <t>测试缺陷加权分</t>
  </si>
  <si>
    <t>缺陷收集节点</t>
  </si>
  <si>
    <t>解决缺陷加权数</t>
  </si>
  <si>
    <t>遗留缺陷加权数</t>
  </si>
  <si>
    <t>缺陷总数</t>
  </si>
  <si>
    <t>规模(SFP)</t>
  </si>
  <si>
    <t>缺陷密度</t>
  </si>
  <si>
    <t>测试第N轮</t>
  </si>
  <si>
    <t>测试合计</t>
  </si>
  <si>
    <t>验收阶段</t>
  </si>
  <si>
    <t>遗留缺陷</t>
  </si>
  <si>
    <t>度量二:准入测试的通过率</t>
  </si>
  <si>
    <t>度量三：测试的计划执行轮次及实际的执行轮次</t>
  </si>
  <si>
    <t>目的：促进公司级产品质量提高,评估开发的版本质量</t>
  </si>
  <si>
    <t>目的：</t>
  </si>
  <si>
    <t>度量单位：</t>
  </si>
  <si>
    <t>度量单位：次数</t>
  </si>
  <si>
    <t>准入测试用例的通过率</t>
  </si>
  <si>
    <t>准入测试用例不通过条数</t>
  </si>
  <si>
    <t>通过率</t>
  </si>
  <si>
    <t>测试轮次</t>
  </si>
  <si>
    <t>计划的执行轮次</t>
  </si>
  <si>
    <t>实际执行的轮次</t>
  </si>
  <si>
    <t>准入测试用例的总数</t>
  </si>
  <si>
    <t>准入测试通过率</t>
  </si>
  <si>
    <t>准入不通过次数</t>
  </si>
  <si>
    <t>转测试总次数</t>
  </si>
  <si>
    <t>度量四：缺陷来源(引入阶段)</t>
  </si>
  <si>
    <t>目的：评估产品质量开展根因分析</t>
  </si>
  <si>
    <t>度量单位：缺陷个数</t>
  </si>
  <si>
    <t>项目阶段</t>
  </si>
  <si>
    <t>数量</t>
  </si>
  <si>
    <t>编码阶段</t>
  </si>
  <si>
    <t>无</t>
  </si>
  <si>
    <t>其他</t>
  </si>
  <si>
    <t>度量五：缺陷位置</t>
  </si>
  <si>
    <t>目的：通过指标判断缺陷存在的位置,评估产品质量</t>
  </si>
  <si>
    <t>缺陷位置</t>
  </si>
  <si>
    <t>环境</t>
  </si>
  <si>
    <t>后台</t>
  </si>
  <si>
    <t>前端</t>
  </si>
  <si>
    <t>不是缺陷</t>
  </si>
  <si>
    <t>度量六：缺陷类型</t>
  </si>
  <si>
    <t>目的:通过缺陷类型评估开发的产品质量</t>
  </si>
  <si>
    <t>单位:缺陷个数</t>
  </si>
  <si>
    <t>度量数据来源: Devsuite</t>
  </si>
  <si>
    <t>缺陷类型</t>
  </si>
  <si>
    <t>需求问题</t>
  </si>
  <si>
    <t>功能性错误</t>
  </si>
  <si>
    <t>UI问题</t>
  </si>
  <si>
    <t>UED</t>
  </si>
  <si>
    <t>数据错误</t>
  </si>
  <si>
    <t>兼容性问题</t>
  </si>
  <si>
    <t>未确定</t>
  </si>
  <si>
    <t>人员度量统计分析报告</t>
  </si>
  <si>
    <t>度量一：项目组成员每周的工作量投入情况</t>
  </si>
  <si>
    <t>角色</t>
  </si>
  <si>
    <t>开发工程师</t>
  </si>
  <si>
    <t>UI及美工工程师</t>
  </si>
  <si>
    <t>策划工程师</t>
  </si>
  <si>
    <t>测试工程师</t>
  </si>
  <si>
    <t>配置管理员</t>
  </si>
  <si>
    <t>质量保证</t>
  </si>
  <si>
    <t>其他人员</t>
  </si>
  <si>
    <t>目的：度量每周人员投入情况，为计划时安排资源提供输入</t>
  </si>
  <si>
    <t>累计工作量</t>
  </si>
  <si>
    <t>度量单位：项目成员每周投入的工作量（人天）</t>
  </si>
  <si>
    <t>工作量比例</t>
  </si>
  <si>
    <t>说明：本页工时数据来源于devsuite、工时系统或个人周报；“要求的人员业务知识”数据来源于“确定性估算总体估算与计划表”</t>
  </si>
  <si>
    <t>项目角色</t>
  </si>
  <si>
    <t>项目成员</t>
  </si>
  <si>
    <t>工作年限</t>
  </si>
  <si>
    <t>要求的
技能系数</t>
  </si>
  <si>
    <t>实际的
技能系数</t>
  </si>
  <si>
    <t>要求的
人员业务知识</t>
  </si>
  <si>
    <t>实际的
人员业务知识</t>
  </si>
  <si>
    <t>产品经理</t>
  </si>
  <si>
    <t>质量保证工程师</t>
  </si>
  <si>
    <t>度量二：团队平均技能系数</t>
  </si>
  <si>
    <t>目的：度量团队的整体技能水平，该指标越高，说明项目团队的整体技能水平越高。</t>
  </si>
  <si>
    <t>团队技能平均系数</t>
  </si>
  <si>
    <t>策划团队</t>
  </si>
  <si>
    <t>需求分析</t>
  </si>
  <si>
    <t>开发团队</t>
  </si>
  <si>
    <t>测试团队</t>
  </si>
  <si>
    <t>UI及美工团队</t>
  </si>
  <si>
    <t>架构师团队</t>
  </si>
  <si>
    <t>配置管理工程师</t>
  </si>
  <si>
    <t>度量三：各阶段资源到位率</t>
  </si>
  <si>
    <t>目的：度量各阶段开发人员数量，为计划时安排资源提供输入</t>
  </si>
  <si>
    <t>度量单位：人员数量</t>
  </si>
  <si>
    <t>计划投入人数</t>
  </si>
  <si>
    <t>实际到位人数</t>
  </si>
  <si>
    <t>各阶段资源到位率</t>
  </si>
  <si>
    <t>度量四：人员变动率 (不考虑全职兼职，按人头计算)</t>
  </si>
  <si>
    <t>目的：评估团队的稳定性</t>
  </si>
  <si>
    <t>度量单位：阶段开发人员数（按人次计）</t>
  </si>
  <si>
    <t>起始人数</t>
  </si>
  <si>
    <t>新入职人员</t>
  </si>
  <si>
    <t>离职人数</t>
  </si>
  <si>
    <t>内部调入</t>
  </si>
  <si>
    <t>内部调出</t>
  </si>
  <si>
    <t>实际人数</t>
  </si>
  <si>
    <t>变动率</t>
  </si>
  <si>
    <t>度量五：稼动率 各阶段的工作量投入情况分析</t>
  </si>
  <si>
    <t>目的：项目的稼动率，该指标&gt;1表示团队的加班情况越明显，指标&lt;0表示资源使用不充分。</t>
  </si>
  <si>
    <t>度量的单位:</t>
  </si>
  <si>
    <t>计划投入工作量</t>
  </si>
  <si>
    <t>实际投入工作量</t>
  </si>
  <si>
    <t>项目人员业务知识基本信息</t>
  </si>
  <si>
    <t>具备业务知识
(根据项目的实际情况调整)</t>
  </si>
  <si>
    <t>研发流程</t>
  </si>
  <si>
    <t>项目管理</t>
  </si>
  <si>
    <t>度量分析</t>
  </si>
  <si>
    <t>代码规范</t>
  </si>
  <si>
    <t>业务知识</t>
  </si>
  <si>
    <t>数据库知识</t>
  </si>
  <si>
    <t>其他知识</t>
  </si>
  <si>
    <t>是否为核心业务知识</t>
  </si>
  <si>
    <t>否</t>
  </si>
  <si>
    <t>是</t>
  </si>
  <si>
    <t>项目成员信息</t>
  </si>
  <si>
    <t>√</t>
  </si>
  <si>
    <t>黄荣</t>
  </si>
  <si>
    <t>王煜卿</t>
  </si>
  <si>
    <t>N/A</t>
  </si>
  <si>
    <t>易程亮</t>
  </si>
  <si>
    <t>郑建锋</t>
  </si>
  <si>
    <t>张莉</t>
  </si>
  <si>
    <t>章景</t>
  </si>
  <si>
    <t>伍斌</t>
  </si>
  <si>
    <t>丁迅</t>
  </si>
  <si>
    <t>欧鹏</t>
  </si>
  <si>
    <t>让小侠</t>
  </si>
  <si>
    <t>王平刚</t>
  </si>
  <si>
    <t>张伍超</t>
  </si>
  <si>
    <t>何鑫华</t>
  </si>
  <si>
    <t>陈李好</t>
  </si>
  <si>
    <t>X</t>
  </si>
  <si>
    <t>黄少莲</t>
  </si>
  <si>
    <t>陈敏兰</t>
  </si>
  <si>
    <t>李淑贞</t>
  </si>
  <si>
    <t>梁新飞</t>
  </si>
  <si>
    <t>阳杰</t>
  </si>
  <si>
    <t>郑益涛</t>
  </si>
  <si>
    <t>刘怡涵</t>
  </si>
  <si>
    <t>黄玲俐</t>
  </si>
  <si>
    <t>吴赛清</t>
  </si>
  <si>
    <t>金灼</t>
  </si>
  <si>
    <t>注:单个项目成员的业务知识的掌握根据以下条件判断
1.标识为核心业务知识的，必须全部掌握，否则视为该成员不具备业务知识；
2.在条件1满足的前提下，还要判断整体业务知识掌握程度是否达到50%及以上，否则视为该成员不具备业务知识；
3.该项目成员不需掌握的业务知识，标记为“N/A”,不参与判断。</t>
  </si>
  <si>
    <t>1、识别异常点</t>
  </si>
  <si>
    <t>根据“根据代码走查缺陷密度”控制图，各开发迭代都只进行了一次代码走查。代码走查频率太低，导致控制图无法体现缺陷密度趋势。</t>
  </si>
  <si>
    <t>2、原因分析</t>
  </si>
  <si>
    <t>组织会议，采用头脑风暴，对集成测试工作量高的原因进行分析，如下：</t>
  </si>
  <si>
    <t>分析问题及其影响程度</t>
  </si>
  <si>
    <t xml:space="preserve">序号 </t>
  </si>
  <si>
    <t xml:space="preserve">问题类型 </t>
  </si>
  <si>
    <t>影响程度</t>
  </si>
  <si>
    <t>项目经理在日常工作中已执行了走查</t>
  </si>
  <si>
    <t>工期太紧，实际执行没有时间走查</t>
  </si>
  <si>
    <t>项目组认为质量可控，不需要多次走查</t>
  </si>
  <si>
    <t>3、总结</t>
  </si>
  <si>
    <t xml:space="preserve">代码走查除了发现、解决项目隐藏问题外，还起到问题交流、共享、总结的作用。项目经理虽然在日常工作中走查了代码和功能，并敦促相关人员进行了修正，但缺少了项目成员经验分享环节，对后续项目质量提升、人员素质提升作用不大。
</t>
  </si>
  <si>
    <t>4、改进行动</t>
  </si>
  <si>
    <t>短期措施：</t>
  </si>
  <si>
    <t>1，考虑本项目交期紧张，先采用项目经理日常走查方式进行，但每个迭代至少安排一次会议走查，走查会议上项目经理分享日常检查中的问题与经验。</t>
  </si>
  <si>
    <t>长期措施：</t>
  </si>
  <si>
    <t>1，执行会议走查，按周进行，推进经验分享。</t>
  </si>
  <si>
    <t>5、改进效果</t>
  </si>
  <si>
    <t>效果明显，代码走查会议缺陷率控制在合理范围内。</t>
  </si>
  <si>
    <t>元旦</t>
  </si>
  <si>
    <t>春节</t>
  </si>
  <si>
    <t>清明</t>
  </si>
  <si>
    <t>劳动</t>
  </si>
  <si>
    <t>端午</t>
  </si>
  <si>
    <t>中秋</t>
  </si>
  <si>
    <t>国庆</t>
  </si>
  <si>
    <t>2019年元旦</t>
  </si>
</sst>
</file>

<file path=xl/styles.xml><?xml version="1.0" encoding="utf-8"?>
<styleSheet xmlns="http://schemas.openxmlformats.org/spreadsheetml/2006/main">
  <numFmts count="28">
    <numFmt numFmtId="176" formatCode="_(* #,##0.00_);_(* \(#,##0.00\);_(* &quot;-&quot;??_);_(@_)"/>
    <numFmt numFmtId="177" formatCode="yyyy/m/d;@"/>
    <numFmt numFmtId="178" formatCode="_(&quot;$&quot;* #,##0.00_);_(&quot;$&quot;* \(#,##0.00\);_(&quot;$&quot;* &quot;-&quot;??_);_(@_)"/>
    <numFmt numFmtId="179" formatCode="0.00_ "/>
    <numFmt numFmtId="42" formatCode="_ &quot;￥&quot;* #,##0_ ;_ &quot;￥&quot;* \-#,##0_ ;_ &quot;￥&quot;* &quot;-&quot;_ ;_ @_ "/>
    <numFmt numFmtId="180" formatCode="0.0%"/>
    <numFmt numFmtId="181" formatCode="0.0000_ "/>
    <numFmt numFmtId="41" formatCode="_ * #,##0_ ;_ * \-#,##0_ ;_ * &quot;-&quot;_ ;_ @_ "/>
    <numFmt numFmtId="182" formatCode="yyyy\/mm\/dd"/>
    <numFmt numFmtId="44" formatCode="_ &quot;￥&quot;* #,##0.00_ ;_ &quot;￥&quot;* \-#,##0.00_ ;_ &quot;￥&quot;* &quot;-&quot;??_ ;_ @_ "/>
    <numFmt numFmtId="183" formatCode="0.000000_ "/>
    <numFmt numFmtId="184" formatCode="_(* #,##0_);_(* \(#,##0\);_(* &quot;-&quot;_);_(@_)"/>
    <numFmt numFmtId="43" formatCode="_ * #,##0.00_ ;_ * \-#,##0.00_ ;_ * &quot;-&quot;??_ ;_ @_ "/>
    <numFmt numFmtId="185" formatCode="0.000_);[Red]\(0.000\)"/>
    <numFmt numFmtId="186" formatCode="&quot;$&quot;#,##0_);[Red]\(&quot;$&quot;#,##0\)"/>
    <numFmt numFmtId="187" formatCode="_(&quot;$&quot;* #,##0_);_(&quot;$&quot;* \(#,##0\);_(&quot;$&quot;* &quot;-&quot;_);_(@_)"/>
    <numFmt numFmtId="188" formatCode="#,##0;\-#,##0;&quot;-&quot;"/>
    <numFmt numFmtId="189" formatCode="_ &quot;\&quot;* #,##0_ ;_ &quot;\&quot;* \-#,##0_ ;_ &quot;\&quot;* &quot;-&quot;_ ;_ @_ "/>
    <numFmt numFmtId="190" formatCode="_ &quot;\&quot;* #,##0.00_ ;_ &quot;\&quot;* \-#,##0.00_ ;_ &quot;\&quot;* &quot;-&quot;??_ ;_ @_ "/>
    <numFmt numFmtId="191" formatCode="m/d"/>
    <numFmt numFmtId="192" formatCode="0.0000_);[Red]\(0.0000\)"/>
    <numFmt numFmtId="193" formatCode="0.00_);[Red]\(0.00\)"/>
    <numFmt numFmtId="194" formatCode="0.0_ "/>
    <numFmt numFmtId="195" formatCode="0_);[Red]\(0\)"/>
    <numFmt numFmtId="196" formatCode="0_ "/>
    <numFmt numFmtId="197" formatCode="0.000_ "/>
    <numFmt numFmtId="198" formatCode="0.0000%"/>
    <numFmt numFmtId="199" formatCode="0.00000_ "/>
  </numFmts>
  <fonts count="157">
    <font>
      <sz val="11"/>
      <color theme="1"/>
      <name val="宋体"/>
      <charset val="134"/>
      <scheme val="minor"/>
    </font>
    <font>
      <sz val="10"/>
      <color theme="1"/>
      <name val="宋体"/>
      <charset val="134"/>
      <scheme val="minor"/>
    </font>
    <font>
      <sz val="10"/>
      <name val="微软雅黑"/>
      <charset val="134"/>
    </font>
    <font>
      <b/>
      <sz val="10"/>
      <name val="微软雅黑"/>
      <charset val="134"/>
    </font>
    <font>
      <b/>
      <sz val="10"/>
      <color rgb="FFFFFFFF"/>
      <name val="微软雅黑"/>
      <charset val="134"/>
    </font>
    <font>
      <sz val="10"/>
      <color rgb="FF000000"/>
      <name val="微软雅黑"/>
      <charset val="134"/>
    </font>
    <font>
      <sz val="12"/>
      <name val="宋体"/>
      <charset val="134"/>
    </font>
    <font>
      <sz val="9"/>
      <color theme="1"/>
      <name val="宋体"/>
      <charset val="134"/>
      <scheme val="minor"/>
    </font>
    <font>
      <sz val="10"/>
      <color rgb="FF3A31F7"/>
      <name val="宋体"/>
      <charset val="134"/>
      <scheme val="minor"/>
    </font>
    <font>
      <sz val="10"/>
      <name val="宋体"/>
      <charset val="134"/>
      <scheme val="minor"/>
    </font>
    <font>
      <sz val="10"/>
      <name val="宋体"/>
      <charset val="134"/>
    </font>
    <font>
      <sz val="16"/>
      <name val="宋体"/>
      <charset val="134"/>
    </font>
    <font>
      <sz val="10"/>
      <name val="Times New Roman"/>
      <charset val="134"/>
    </font>
    <font>
      <sz val="10"/>
      <color rgb="FFFF0000"/>
      <name val="宋体"/>
      <charset val="134"/>
    </font>
    <font>
      <b/>
      <sz val="10"/>
      <name val="宋体"/>
      <charset val="134"/>
    </font>
    <font>
      <sz val="16"/>
      <name val="Times New Roman"/>
      <charset val="134"/>
    </font>
    <font>
      <b/>
      <sz val="10"/>
      <color theme="1"/>
      <name val="宋体"/>
      <charset val="134"/>
      <scheme val="minor"/>
    </font>
    <font>
      <sz val="9"/>
      <name val="宋体"/>
      <charset val="134"/>
    </font>
    <font>
      <sz val="9"/>
      <color rgb="FF000000"/>
      <name val="宋体"/>
      <charset val="134"/>
    </font>
    <font>
      <sz val="10"/>
      <color theme="0"/>
      <name val="宋体"/>
      <charset val="134"/>
    </font>
    <font>
      <b/>
      <sz val="10"/>
      <color theme="0"/>
      <name val="宋体"/>
      <charset val="134"/>
    </font>
    <font>
      <sz val="10"/>
      <color theme="1"/>
      <name val="宋体"/>
      <charset val="134"/>
    </font>
    <font>
      <sz val="22"/>
      <name val="宋体"/>
      <charset val="134"/>
    </font>
    <font>
      <sz val="10"/>
      <color theme="5"/>
      <name val="宋体"/>
      <charset val="134"/>
    </font>
    <font>
      <sz val="10"/>
      <color indexed="12"/>
      <name val="宋体"/>
      <charset val="134"/>
    </font>
    <font>
      <b/>
      <sz val="10"/>
      <name val="Times New Roman"/>
      <charset val="134"/>
    </font>
    <font>
      <sz val="10"/>
      <color rgb="FFC00000"/>
      <name val="宋体"/>
      <charset val="134"/>
    </font>
    <font>
      <sz val="10"/>
      <color rgb="FFFF0000"/>
      <name val="微软雅黑"/>
      <charset val="134"/>
    </font>
    <font>
      <sz val="10"/>
      <color rgb="FF0066FF"/>
      <name val="宋体"/>
      <charset val="134"/>
    </font>
    <font>
      <sz val="10"/>
      <color rgb="FF000000"/>
      <name val="宋体"/>
      <charset val="134"/>
      <scheme val="minor"/>
    </font>
    <font>
      <b/>
      <sz val="10"/>
      <color theme="1"/>
      <name val="宋体"/>
      <charset val="134"/>
    </font>
    <font>
      <b/>
      <sz val="12"/>
      <name val="宋体"/>
      <charset val="134"/>
    </font>
    <font>
      <b/>
      <sz val="16"/>
      <name val="宋体"/>
      <charset val="134"/>
    </font>
    <font>
      <sz val="9"/>
      <color rgb="FFFFFF00"/>
      <name val="微软雅黑"/>
      <charset val="134"/>
    </font>
    <font>
      <sz val="9"/>
      <color rgb="FFFFFF00"/>
      <name val="宋体"/>
      <charset val="134"/>
      <scheme val="minor"/>
    </font>
    <font>
      <b/>
      <sz val="9"/>
      <name val="微软雅黑"/>
      <charset val="134"/>
    </font>
    <font>
      <b/>
      <sz val="9"/>
      <color indexed="9"/>
      <name val="微软雅黑"/>
      <charset val="134"/>
    </font>
    <font>
      <sz val="9"/>
      <name val="微软雅黑"/>
      <charset val="134"/>
    </font>
    <font>
      <sz val="9"/>
      <color theme="1"/>
      <name val="微软雅黑"/>
      <charset val="134"/>
    </font>
    <font>
      <sz val="9"/>
      <color rgb="FFFF0000"/>
      <name val="微软雅黑"/>
      <charset val="134"/>
    </font>
    <font>
      <sz val="9"/>
      <color rgb="FF92D050"/>
      <name val="宋体"/>
      <charset val="134"/>
      <scheme val="minor"/>
    </font>
    <font>
      <sz val="9"/>
      <color theme="8" tint="0.399487289040803"/>
      <name val="宋体"/>
      <charset val="134"/>
      <scheme val="minor"/>
    </font>
    <font>
      <b/>
      <sz val="10"/>
      <color rgb="FF000000"/>
      <name val="宋体"/>
      <charset val="134"/>
      <scheme val="minor"/>
    </font>
    <font>
      <sz val="10"/>
      <color rgb="FF000000"/>
      <name val="Symbol"/>
      <charset val="2"/>
    </font>
    <font>
      <sz val="9"/>
      <color rgb="FF000000"/>
      <name val="微软雅黑"/>
      <charset val="134"/>
    </font>
    <font>
      <sz val="9"/>
      <color theme="8" tint="0.399426252021851"/>
      <name val="宋体"/>
      <charset val="134"/>
      <scheme val="minor"/>
    </font>
    <font>
      <b/>
      <sz val="14"/>
      <color indexed="9"/>
      <name val="宋体"/>
      <charset val="134"/>
    </font>
    <font>
      <sz val="9"/>
      <color indexed="9"/>
      <name val="宋体"/>
      <charset val="134"/>
    </font>
    <font>
      <b/>
      <sz val="10"/>
      <color indexed="9"/>
      <name val="宋体"/>
      <charset val="134"/>
    </font>
    <font>
      <sz val="10"/>
      <color indexed="8"/>
      <name val="宋体"/>
      <charset val="134"/>
    </font>
    <font>
      <sz val="10"/>
      <color indexed="9"/>
      <name val="宋体"/>
      <charset val="134"/>
    </font>
    <font>
      <sz val="11"/>
      <color theme="1"/>
      <name val="宋体"/>
      <charset val="134"/>
      <scheme val="minor"/>
    </font>
    <font>
      <i/>
      <sz val="10"/>
      <color rgb="FF0000FF"/>
      <name val="宋体"/>
      <charset val="134"/>
    </font>
    <font>
      <sz val="12"/>
      <name val="微软雅黑"/>
      <charset val="134"/>
    </font>
    <font>
      <b/>
      <sz val="26"/>
      <color theme="4" tint="-0.499984740745262"/>
      <name val="微软雅黑"/>
      <charset val="134"/>
    </font>
    <font>
      <b/>
      <sz val="14"/>
      <color indexed="9"/>
      <name val="微软雅黑"/>
      <charset val="134"/>
    </font>
    <font>
      <sz val="10"/>
      <color theme="1"/>
      <name val="微软雅黑"/>
      <charset val="134"/>
    </font>
    <font>
      <i/>
      <sz val="10"/>
      <color rgb="FF0000FF"/>
      <name val="微软雅黑"/>
      <charset val="134"/>
    </font>
    <font>
      <sz val="10"/>
      <color indexed="8"/>
      <name val="微软雅黑"/>
      <charset val="134"/>
    </font>
    <font>
      <b/>
      <sz val="10"/>
      <color indexed="9"/>
      <name val="微软雅黑"/>
      <charset val="134"/>
    </font>
    <font>
      <b/>
      <sz val="10"/>
      <color theme="0"/>
      <name val="微软雅黑"/>
      <charset val="134"/>
    </font>
    <font>
      <b/>
      <sz val="14"/>
      <color theme="0"/>
      <name val="微软雅黑"/>
      <charset val="134"/>
    </font>
    <font>
      <u/>
      <sz val="10"/>
      <color indexed="12"/>
      <name val="微软雅黑"/>
      <charset val="134"/>
    </font>
    <font>
      <sz val="14"/>
      <name val="微软雅黑"/>
      <charset val="134"/>
    </font>
    <font>
      <sz val="10"/>
      <color rgb="FF7030A0"/>
      <name val="宋体"/>
      <charset val="134"/>
    </font>
    <font>
      <b/>
      <sz val="9"/>
      <name val="宋体"/>
      <charset val="134"/>
    </font>
    <font>
      <b/>
      <sz val="10"/>
      <name val="Comic Sans MS"/>
      <charset val="134"/>
    </font>
    <font>
      <b/>
      <sz val="12"/>
      <name val="Comic Sans MS"/>
      <charset val="134"/>
    </font>
    <font>
      <u/>
      <sz val="12"/>
      <color indexed="12"/>
      <name val="宋体"/>
      <charset val="134"/>
    </font>
    <font>
      <sz val="12"/>
      <name val="Comic Sans MS"/>
      <charset val="134"/>
    </font>
    <font>
      <b/>
      <sz val="18"/>
      <color indexed="8"/>
      <name val="宋体"/>
      <charset val="134"/>
    </font>
    <font>
      <sz val="10.5"/>
      <color indexed="8"/>
      <name val="宋体"/>
      <charset val="134"/>
    </font>
    <font>
      <sz val="10.5"/>
      <color indexed="8"/>
      <name val="Times New Roman"/>
      <charset val="134"/>
    </font>
    <font>
      <b/>
      <sz val="14"/>
      <color indexed="8"/>
      <name val="宋体"/>
      <charset val="134"/>
    </font>
    <font>
      <b/>
      <u/>
      <sz val="12"/>
      <color indexed="8"/>
      <name val="宋体"/>
      <charset val="134"/>
    </font>
    <font>
      <b/>
      <sz val="11"/>
      <color theme="1"/>
      <name val="宋体"/>
      <charset val="134"/>
      <scheme val="minor"/>
    </font>
    <font>
      <sz val="11"/>
      <color indexed="8"/>
      <name val="Calibri"/>
      <charset val="134"/>
    </font>
    <font>
      <sz val="11"/>
      <color indexed="8"/>
      <name val="宋体"/>
      <charset val="134"/>
    </font>
    <font>
      <sz val="11"/>
      <name val="Times New Roman"/>
      <charset val="134"/>
    </font>
    <font>
      <sz val="11"/>
      <color theme="0"/>
      <name val="宋体"/>
      <charset val="0"/>
      <scheme val="minor"/>
    </font>
    <font>
      <b/>
      <sz val="11"/>
      <color indexed="52"/>
      <name val="宋体"/>
      <charset val="134"/>
    </font>
    <font>
      <sz val="11"/>
      <color rgb="FF9C6500"/>
      <name val="宋体"/>
      <charset val="0"/>
      <scheme val="minor"/>
    </font>
    <font>
      <sz val="10"/>
      <name val="Arial"/>
      <charset val="134"/>
    </font>
    <font>
      <sz val="11"/>
      <color rgb="FF3F3F76"/>
      <name val="宋体"/>
      <charset val="0"/>
      <scheme val="minor"/>
    </font>
    <font>
      <sz val="11"/>
      <color theme="1"/>
      <name val="宋体"/>
      <charset val="0"/>
      <scheme val="minor"/>
    </font>
    <font>
      <sz val="11"/>
      <color rgb="FF006100"/>
      <name val="宋体"/>
      <charset val="0"/>
      <scheme val="minor"/>
    </font>
    <font>
      <sz val="11"/>
      <color indexed="9"/>
      <name val="宋体"/>
      <charset val="134"/>
    </font>
    <font>
      <sz val="9"/>
      <color indexed="17"/>
      <name val="幼圆"/>
      <charset val="134"/>
    </font>
    <font>
      <u/>
      <sz val="11"/>
      <color rgb="FF800080"/>
      <name val="宋体"/>
      <charset val="0"/>
      <scheme val="minor"/>
    </font>
    <font>
      <b/>
      <sz val="18"/>
      <color indexed="62"/>
      <name val="Cambria"/>
      <charset val="134"/>
    </font>
    <font>
      <sz val="10"/>
      <name val="MS Sans Serif"/>
      <charset val="134"/>
    </font>
    <font>
      <sz val="8"/>
      <name val="Arial"/>
      <charset val="134"/>
    </font>
    <font>
      <b/>
      <sz val="12"/>
      <name val="Arial"/>
      <charset val="134"/>
    </font>
    <font>
      <sz val="11"/>
      <color indexed="9"/>
      <name val="Calibri"/>
      <charset val="134"/>
    </font>
    <font>
      <b/>
      <sz val="11"/>
      <color indexed="8"/>
      <name val="Calibri"/>
      <charset val="134"/>
    </font>
    <font>
      <sz val="12"/>
      <name val="Times New Roman"/>
      <charset val="134"/>
    </font>
    <font>
      <sz val="11"/>
      <name val="ＭＳ Ｐゴシック"/>
      <charset val="134"/>
    </font>
    <font>
      <sz val="12"/>
      <name val="M"/>
      <charset val="136"/>
    </font>
    <font>
      <b/>
      <sz val="15"/>
      <color indexed="62"/>
      <name val="Calibri"/>
      <charset val="134"/>
    </font>
    <font>
      <sz val="11"/>
      <color indexed="16"/>
      <name val="Calibri"/>
      <charset val="134"/>
    </font>
    <font>
      <sz val="11"/>
      <color indexed="62"/>
      <name val="Calibri"/>
      <charset val="134"/>
    </font>
    <font>
      <i/>
      <sz val="11"/>
      <color rgb="FF7F7F7F"/>
      <name val="宋体"/>
      <charset val="0"/>
      <scheme val="minor"/>
    </font>
    <font>
      <b/>
      <sz val="11"/>
      <color theme="3"/>
      <name val="宋体"/>
      <charset val="134"/>
      <scheme val="minor"/>
    </font>
    <font>
      <b/>
      <sz val="11"/>
      <color indexed="8"/>
      <name val="宋体"/>
      <charset val="134"/>
    </font>
    <font>
      <sz val="11"/>
      <color rgb="FF9C0006"/>
      <name val="宋体"/>
      <charset val="0"/>
      <scheme val="minor"/>
    </font>
    <font>
      <b/>
      <sz val="12"/>
      <name val="MS Sans Serif"/>
      <charset val="134"/>
    </font>
    <font>
      <b/>
      <sz val="11"/>
      <color indexed="63"/>
      <name val="Calibri"/>
      <charset val="134"/>
    </font>
    <font>
      <i/>
      <sz val="11"/>
      <color indexed="23"/>
      <name val="Calibri"/>
      <charset val="134"/>
    </font>
    <font>
      <b/>
      <sz val="11"/>
      <color indexed="53"/>
      <name val="Calibri"/>
      <charset val="134"/>
    </font>
    <font>
      <sz val="7"/>
      <name val="Small Fonts"/>
      <charset val="134"/>
    </font>
    <font>
      <b/>
      <sz val="18"/>
      <color theme="3"/>
      <name val="宋体"/>
      <charset val="134"/>
      <scheme val="minor"/>
    </font>
    <font>
      <b/>
      <sz val="11"/>
      <color indexed="62"/>
      <name val="Calibri"/>
      <charset val="134"/>
    </font>
    <font>
      <sz val="11"/>
      <name val="ＭＳ 明朝"/>
      <charset val="134"/>
    </font>
    <font>
      <b/>
      <sz val="11"/>
      <color indexed="9"/>
      <name val="Calibri"/>
      <charset val="134"/>
    </font>
    <font>
      <b/>
      <sz val="11"/>
      <color theme="1"/>
      <name val="宋体"/>
      <charset val="0"/>
      <scheme val="minor"/>
    </font>
    <font>
      <sz val="11"/>
      <color indexed="17"/>
      <name val="微软雅黑"/>
      <charset val="134"/>
    </font>
    <font>
      <sz val="9"/>
      <color indexed="20"/>
      <name val="微软雅黑"/>
      <charset val="134"/>
    </font>
    <font>
      <sz val="11"/>
      <color rgb="FFFA7D00"/>
      <name val="宋体"/>
      <charset val="0"/>
      <scheme val="minor"/>
    </font>
    <font>
      <sz val="10"/>
      <color indexed="8"/>
      <name val="Arial"/>
      <charset val="134"/>
    </font>
    <font>
      <sz val="11"/>
      <color indexed="60"/>
      <name val="Calibri"/>
      <charset val="134"/>
    </font>
    <font>
      <b/>
      <sz val="13"/>
      <color indexed="62"/>
      <name val="Calibri"/>
      <charset val="134"/>
    </font>
    <font>
      <sz val="10"/>
      <name val="Helv"/>
      <charset val="134"/>
    </font>
    <font>
      <u/>
      <sz val="10"/>
      <color indexed="12"/>
      <name val="ＭＳ Ｐ明朝"/>
      <charset val="134"/>
    </font>
    <font>
      <sz val="11"/>
      <color indexed="53"/>
      <name val="Calibri"/>
      <charset val="134"/>
    </font>
    <font>
      <sz val="11"/>
      <color indexed="17"/>
      <name val="Calibri"/>
      <charset val="134"/>
    </font>
    <font>
      <sz val="11"/>
      <color rgb="FFFF0000"/>
      <name val="宋体"/>
      <charset val="0"/>
      <scheme val="minor"/>
    </font>
    <font>
      <b/>
      <sz val="11"/>
      <color rgb="FF3F3F3F"/>
      <name val="宋体"/>
      <charset val="0"/>
      <scheme val="minor"/>
    </font>
    <font>
      <b/>
      <sz val="15"/>
      <color theme="3"/>
      <name val="宋体"/>
      <charset val="134"/>
      <scheme val="minor"/>
    </font>
    <font>
      <i/>
      <sz val="11"/>
      <color indexed="23"/>
      <name val="宋体"/>
      <charset val="134"/>
    </font>
    <font>
      <b/>
      <sz val="11"/>
      <color rgb="FFFFFFFF"/>
      <name val="宋体"/>
      <charset val="0"/>
      <scheme val="minor"/>
    </font>
    <font>
      <b/>
      <sz val="13"/>
      <color theme="3"/>
      <name val="宋体"/>
      <charset val="134"/>
      <scheme val="minor"/>
    </font>
    <font>
      <u/>
      <sz val="10.8"/>
      <color indexed="12"/>
      <name val="宋体"/>
      <charset val="134"/>
    </font>
    <font>
      <u/>
      <sz val="10"/>
      <color indexed="36"/>
      <name val="ＭＳ Ｐ明朝"/>
      <charset val="134"/>
    </font>
    <font>
      <sz val="12"/>
      <name val="바탕체"/>
      <charset val="134"/>
    </font>
    <font>
      <b/>
      <sz val="11"/>
      <color indexed="63"/>
      <name val="宋体"/>
      <charset val="134"/>
    </font>
    <font>
      <b/>
      <sz val="11"/>
      <color indexed="9"/>
      <name val="宋体"/>
      <charset val="134"/>
    </font>
    <font>
      <b/>
      <sz val="11"/>
      <color rgb="FFFA7D00"/>
      <name val="宋体"/>
      <charset val="0"/>
      <scheme val="minor"/>
    </font>
    <font>
      <sz val="9"/>
      <color indexed="20"/>
      <name val="幼圆"/>
      <charset val="134"/>
    </font>
    <font>
      <sz val="9"/>
      <color indexed="17"/>
      <name val="微软雅黑"/>
      <charset val="134"/>
    </font>
    <font>
      <sz val="11"/>
      <color indexed="60"/>
      <name val="宋体"/>
      <charset val="134"/>
    </font>
    <font>
      <b/>
      <sz val="13"/>
      <color indexed="56"/>
      <name val="宋体"/>
      <charset val="134"/>
    </font>
    <font>
      <sz val="11"/>
      <color indexed="20"/>
      <name val="微软雅黑"/>
      <charset val="134"/>
    </font>
    <font>
      <sz val="11"/>
      <color indexed="20"/>
      <name val="宋体"/>
      <charset val="134"/>
    </font>
    <font>
      <sz val="11"/>
      <color indexed="10"/>
      <name val="宋体"/>
      <charset val="134"/>
    </font>
    <font>
      <b/>
      <sz val="13"/>
      <color indexed="62"/>
      <name val="宋体"/>
      <charset val="134"/>
    </font>
    <font>
      <b/>
      <sz val="18"/>
      <color indexed="56"/>
      <name val="Cambria"/>
      <charset val="134"/>
    </font>
    <font>
      <sz val="11"/>
      <color indexed="62"/>
      <name val="宋体"/>
      <charset val="134"/>
    </font>
    <font>
      <sz val="11"/>
      <color indexed="52"/>
      <name val="宋体"/>
      <charset val="134"/>
    </font>
    <font>
      <sz val="11"/>
      <color indexed="10"/>
      <name val="Calibri"/>
      <charset val="134"/>
    </font>
    <font>
      <b/>
      <sz val="15"/>
      <color indexed="62"/>
      <name val="宋体"/>
      <charset val="134"/>
    </font>
    <font>
      <sz val="12"/>
      <name val="MS Sans Serif"/>
      <charset val="134"/>
    </font>
    <font>
      <sz val="11"/>
      <color indexed="17"/>
      <name val="宋体"/>
      <charset val="134"/>
    </font>
    <font>
      <b/>
      <sz val="18"/>
      <color indexed="56"/>
      <name val="宋体"/>
      <charset val="134"/>
    </font>
    <font>
      <b/>
      <sz val="15"/>
      <color indexed="56"/>
      <name val="宋体"/>
      <charset val="134"/>
    </font>
    <font>
      <b/>
      <sz val="11"/>
      <color indexed="56"/>
      <name val="宋体"/>
      <charset val="134"/>
    </font>
    <font>
      <sz val="11"/>
      <color theme="1"/>
      <name val="宋体"/>
      <charset val="134"/>
    </font>
    <font>
      <b/>
      <u/>
      <sz val="12"/>
      <color indexed="8"/>
      <name val="Arial"/>
      <charset val="134"/>
    </font>
  </fonts>
  <fills count="124">
    <fill>
      <patternFill patternType="none"/>
    </fill>
    <fill>
      <patternFill patternType="gray125"/>
    </fill>
    <fill>
      <patternFill patternType="solid">
        <fgColor theme="0" tint="-0.249977111117893"/>
        <bgColor indexed="64"/>
      </patternFill>
    </fill>
    <fill>
      <patternFill patternType="solid">
        <fgColor rgb="FF4F81BD"/>
        <bgColor indexed="64"/>
      </patternFill>
    </fill>
    <fill>
      <patternFill patternType="solid">
        <fgColor rgb="FFDBE5F1"/>
        <bgColor indexed="64"/>
      </patternFill>
    </fill>
    <fill>
      <patternFill patternType="solid">
        <fgColor rgb="FFB8CCE4"/>
        <bgColor indexed="64"/>
      </patternFill>
    </fill>
    <fill>
      <patternFill patternType="solid">
        <fgColor theme="6" tint="0.799676503799554"/>
        <bgColor indexed="64"/>
      </patternFill>
    </fill>
    <fill>
      <patternFill patternType="solid">
        <fgColor theme="9" tint="0.799676503799554"/>
        <bgColor indexed="64"/>
      </patternFill>
    </fill>
    <fill>
      <patternFill patternType="solid">
        <fgColor theme="0"/>
        <bgColor indexed="64"/>
      </patternFill>
    </fill>
    <fill>
      <patternFill patternType="solid">
        <fgColor theme="8" tint="0.799676503799554"/>
        <bgColor indexed="64"/>
      </patternFill>
    </fill>
    <fill>
      <patternFill patternType="solid">
        <fgColor indexed="9"/>
        <bgColor indexed="64"/>
      </patternFill>
    </fill>
    <fill>
      <patternFill patternType="solid">
        <fgColor rgb="FF00FFFF"/>
        <bgColor indexed="64"/>
      </patternFill>
    </fill>
    <fill>
      <patternFill patternType="solid">
        <fgColor theme="4" tint="0.399609363078707"/>
        <bgColor indexed="64"/>
      </patternFill>
    </fill>
    <fill>
      <patternFill patternType="solid">
        <fgColor rgb="FFCCFFFF"/>
        <bgColor indexed="64"/>
      </patternFill>
    </fill>
    <fill>
      <patternFill patternType="solid">
        <fgColor rgb="FFD8E4BC"/>
        <bgColor indexed="64"/>
      </patternFill>
    </fill>
    <fill>
      <patternFill patternType="solid">
        <fgColor theme="3" tint="0.599993896298105"/>
        <bgColor indexed="64"/>
      </patternFill>
    </fill>
    <fill>
      <patternFill patternType="solid">
        <fgColor theme="7" tint="0.599993896298105"/>
        <bgColor indexed="64"/>
      </patternFill>
    </fill>
    <fill>
      <patternFill patternType="darkTrellis">
        <bgColor indexed="9"/>
      </patternFill>
    </fill>
    <fill>
      <patternFill patternType="solid">
        <fgColor indexed="15"/>
        <bgColor indexed="64"/>
      </patternFill>
    </fill>
    <fill>
      <patternFill patternType="solid">
        <fgColor theme="0" tint="-0.499984740745262"/>
        <bgColor theme="4"/>
      </patternFill>
    </fill>
    <fill>
      <patternFill patternType="solid">
        <fgColor theme="0" tint="-0.149632251960814"/>
        <bgColor theme="4" tint="0.799615466780602"/>
      </patternFill>
    </fill>
    <fill>
      <patternFill patternType="solid">
        <fgColor rgb="FFD9D9D9"/>
        <bgColor indexed="64"/>
      </patternFill>
    </fill>
    <fill>
      <patternFill patternType="darkTrellis">
        <bgColor rgb="FFCCFFFF"/>
      </patternFill>
    </fill>
    <fill>
      <patternFill patternType="darkTrellis"/>
    </fill>
    <fill>
      <patternFill patternType="solid">
        <fgColor theme="0" tint="-0.14951017792291"/>
        <bgColor theme="4" tint="0.799493392742698"/>
      </patternFill>
    </fill>
    <fill>
      <patternFill patternType="solid">
        <fgColor theme="0" tint="-0.149571214941862"/>
        <bgColor indexed="64"/>
      </patternFill>
    </fill>
    <fill>
      <patternFill patternType="solid">
        <fgColor theme="4" tint="0.599993896298105"/>
        <bgColor indexed="64"/>
      </patternFill>
    </fill>
    <fill>
      <patternFill patternType="solid">
        <fgColor rgb="FFFFFF00"/>
        <bgColor indexed="64"/>
      </patternFill>
    </fill>
    <fill>
      <patternFill patternType="solid">
        <fgColor rgb="FFA6A6A6"/>
        <bgColor rgb="FFB8CCE4"/>
      </patternFill>
    </fill>
    <fill>
      <patternFill patternType="solid">
        <fgColor theme="0" tint="-0.349986266670736"/>
        <bgColor theme="4" tint="0.599993896298105"/>
      </patternFill>
    </fill>
    <fill>
      <patternFill patternType="solid">
        <fgColor rgb="FFD9D9D9"/>
        <bgColor rgb="FFDCE6F1"/>
      </patternFill>
    </fill>
    <fill>
      <patternFill patternType="solid">
        <fgColor rgb="FFC0C0C0"/>
        <bgColor indexed="64"/>
      </patternFill>
    </fill>
    <fill>
      <patternFill patternType="solid">
        <fgColor theme="5" tint="-0.249977111117893"/>
        <bgColor indexed="64"/>
      </patternFill>
    </fill>
    <fill>
      <patternFill patternType="solid">
        <fgColor theme="4" tint="0.399487289040803"/>
        <bgColor indexed="64"/>
      </patternFill>
    </fill>
    <fill>
      <patternFill patternType="solid">
        <fgColor theme="4" tint="-0.499984740745262"/>
        <bgColor indexed="25"/>
      </patternFill>
    </fill>
    <fill>
      <patternFill patternType="solid">
        <fgColor indexed="62"/>
        <bgColor indexed="25"/>
      </patternFill>
    </fill>
    <fill>
      <patternFill patternType="solid">
        <fgColor indexed="30"/>
        <bgColor indexed="64"/>
      </patternFill>
    </fill>
    <fill>
      <patternFill patternType="solid">
        <fgColor indexed="44"/>
        <bgColor indexed="64"/>
      </patternFill>
    </fill>
    <fill>
      <patternFill patternType="solid">
        <fgColor rgb="FF00FF00"/>
        <bgColor indexed="64"/>
      </patternFill>
    </fill>
    <fill>
      <patternFill patternType="solid">
        <fgColor indexed="55"/>
        <bgColor indexed="64"/>
      </patternFill>
    </fill>
    <fill>
      <patternFill patternType="solid">
        <fgColor indexed="11"/>
        <bgColor indexed="64"/>
      </patternFill>
    </fill>
    <fill>
      <patternFill patternType="solid">
        <fgColor indexed="62"/>
        <bgColor indexed="64"/>
      </patternFill>
    </fill>
    <fill>
      <patternFill patternType="solid">
        <fgColor indexed="22"/>
        <bgColor indexed="64"/>
      </patternFill>
    </fill>
    <fill>
      <patternFill patternType="solid">
        <fgColor theme="4" tint="0.399426252021851"/>
        <bgColor indexed="64"/>
      </patternFill>
    </fill>
    <fill>
      <patternFill patternType="solid">
        <fgColor rgb="FF92CDDC"/>
        <bgColor indexed="64"/>
      </patternFill>
    </fill>
    <fill>
      <patternFill patternType="solid">
        <fgColor theme="6" tint="0.599993896298105"/>
        <bgColor indexed="64"/>
      </patternFill>
    </fill>
    <fill>
      <patternFill patternType="solid">
        <fgColor rgb="FF969696"/>
        <bgColor indexed="64"/>
      </patternFill>
    </fill>
    <fill>
      <patternFill patternType="solid">
        <fgColor theme="8" tint="-0.249977111117893"/>
        <bgColor indexed="64"/>
      </patternFill>
    </fill>
    <fill>
      <patternFill patternType="solid">
        <fgColor indexed="31"/>
        <bgColor indexed="64"/>
      </patternFill>
    </fill>
    <fill>
      <patternFill patternType="solid">
        <fgColor indexed="53"/>
        <bgColor indexed="64"/>
      </patternFill>
    </fill>
    <fill>
      <patternFill patternType="solid">
        <fgColor indexed="23"/>
        <bgColor indexed="64"/>
      </patternFill>
    </fill>
    <fill>
      <patternFill patternType="solid">
        <fgColor theme="7" tint="-0.249977111117893"/>
        <bgColor indexed="64"/>
      </patternFill>
    </fill>
    <fill>
      <patternFill patternType="solid">
        <fgColor theme="4" tint="-0.249977111117893"/>
        <bgColor indexed="25"/>
      </patternFill>
    </fill>
    <fill>
      <patternFill patternType="solid">
        <fgColor theme="4" tint="0.599993896298105"/>
        <bgColor theme="4" tint="0.599993896298105"/>
      </patternFill>
    </fill>
    <fill>
      <patternFill patternType="solid">
        <fgColor theme="0" tint="-0.0499893185216834"/>
        <bgColor theme="4" tint="0.79955442976165"/>
      </patternFill>
    </fill>
    <fill>
      <patternFill patternType="solid">
        <fgColor theme="0" tint="-0.149571214941862"/>
        <bgColor theme="4" tint="0.79955442976165"/>
      </patternFill>
    </fill>
    <fill>
      <patternFill patternType="solid">
        <fgColor theme="4" tint="0.599993896298105"/>
        <bgColor theme="4" tint="0.79955442976165"/>
      </patternFill>
    </fill>
    <fill>
      <patternFill patternType="solid">
        <fgColor theme="4" tint="-0.249977111117893"/>
        <bgColor indexed="64"/>
      </patternFill>
    </fill>
    <fill>
      <patternFill patternType="solid">
        <fgColor indexed="42"/>
        <bgColor indexed="64"/>
      </patternFill>
    </fill>
    <fill>
      <patternFill patternType="solid">
        <fgColor indexed="46"/>
        <bgColor indexed="64"/>
      </patternFill>
    </fill>
    <fill>
      <patternFill patternType="solid">
        <fgColor indexed="45"/>
        <bgColor indexed="64"/>
      </patternFill>
    </fill>
    <fill>
      <patternFill patternType="solid">
        <fgColor indexed="47"/>
        <bgColor indexed="64"/>
      </patternFill>
    </fill>
    <fill>
      <patternFill patternType="solid">
        <fgColor theme="9" tint="0.399975585192419"/>
        <bgColor indexed="64"/>
      </patternFill>
    </fill>
    <fill>
      <patternFill patternType="solid">
        <fgColor theme="6" tint="0.399975585192419"/>
        <bgColor indexed="64"/>
      </patternFill>
    </fill>
    <fill>
      <patternFill patternType="solid">
        <fgColor rgb="FFFFEB9C"/>
        <bgColor indexed="64"/>
      </patternFill>
    </fill>
    <fill>
      <patternFill patternType="solid">
        <fgColor rgb="FFFFCC9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rgb="FFC6EFCE"/>
        <bgColor indexed="64"/>
      </patternFill>
    </fill>
    <fill>
      <patternFill patternType="solid">
        <fgColor indexed="26"/>
        <bgColor indexed="64"/>
      </patternFill>
    </fill>
    <fill>
      <patternFill patternType="solid">
        <fgColor indexed="27"/>
        <bgColor indexed="27"/>
      </patternFill>
    </fill>
    <fill>
      <patternFill patternType="solid">
        <fgColor indexed="22"/>
        <bgColor indexed="22"/>
      </patternFill>
    </fill>
    <fill>
      <patternFill patternType="solid">
        <fgColor indexed="52"/>
        <bgColor indexed="64"/>
      </patternFill>
    </fill>
    <fill>
      <patternFill patternType="solid">
        <fgColor indexed="51"/>
        <bgColor indexed="64"/>
      </patternFill>
    </fill>
    <fill>
      <patternFill patternType="solid">
        <fgColor indexed="47"/>
        <bgColor indexed="47"/>
      </patternFill>
    </fill>
    <fill>
      <patternFill patternType="lightUp">
        <fgColor indexed="9"/>
        <bgColor indexed="55"/>
      </patternFill>
    </fill>
    <fill>
      <patternFill patternType="solid">
        <fgColor indexed="26"/>
        <bgColor indexed="26"/>
      </patternFill>
    </fill>
    <fill>
      <patternFill patternType="solid">
        <fgColor indexed="45"/>
        <bgColor indexed="45"/>
      </patternFill>
    </fill>
    <fill>
      <patternFill patternType="solid">
        <fgColor indexed="44"/>
        <bgColor indexed="44"/>
      </patternFill>
    </fill>
    <fill>
      <patternFill patternType="solid">
        <fgColor indexed="31"/>
        <bgColor indexed="31"/>
      </patternFill>
    </fill>
    <fill>
      <patternFill patternType="solid">
        <fgColor indexed="55"/>
        <bgColor indexed="55"/>
      </patternFill>
    </fill>
    <fill>
      <patternFill patternType="solid">
        <fgColor indexed="49"/>
        <bgColor indexed="64"/>
      </patternFill>
    </fill>
    <fill>
      <patternFill patternType="lightUp">
        <fgColor indexed="9"/>
        <bgColor indexed="29"/>
      </patternFill>
    </fill>
    <fill>
      <patternFill patternType="solid">
        <fgColor theme="9" tint="0.599993896298105"/>
        <bgColor indexed="64"/>
      </patternFill>
    </fill>
    <fill>
      <patternFill patternType="solid">
        <fgColor theme="6" tint="0.599993896298105"/>
        <bgColor indexed="64"/>
      </patternFill>
    </fill>
    <fill>
      <patternFill patternType="solid">
        <fgColor rgb="FFFFC7CE"/>
        <bgColor indexed="64"/>
      </patternFill>
    </fill>
    <fill>
      <patternFill patternType="solid">
        <fgColor rgb="FFFFFFCC"/>
        <bgColor indexed="64"/>
      </patternFill>
    </fill>
    <fill>
      <patternFill patternType="solid">
        <fgColor indexed="54"/>
        <bgColor indexed="54"/>
      </patternFill>
    </fill>
    <fill>
      <patternFill patternType="solid">
        <fgColor indexed="36"/>
        <bgColor indexed="64"/>
      </patternFill>
    </fill>
    <fill>
      <patternFill patternType="solid">
        <fgColor indexed="29"/>
        <bgColor indexed="64"/>
      </patternFill>
    </fill>
    <fill>
      <patternFill patternType="solid">
        <fgColor indexed="9"/>
        <bgColor indexed="9"/>
      </patternFill>
    </fill>
    <fill>
      <patternFill patternType="solid">
        <fgColor indexed="52"/>
        <bgColor indexed="52"/>
      </patternFill>
    </fill>
    <fill>
      <patternFill patternType="solid">
        <fgColor indexed="49"/>
        <bgColor indexed="49"/>
      </patternFill>
    </fill>
    <fill>
      <patternFill patternType="solid">
        <fgColor indexed="42"/>
        <bgColor indexed="42"/>
      </patternFill>
    </fill>
    <fill>
      <patternFill patternType="solid">
        <fgColor theme="9"/>
        <bgColor indexed="64"/>
      </patternFill>
    </fill>
    <fill>
      <patternFill patternType="solid">
        <fgColor theme="6"/>
        <bgColor indexed="64"/>
      </patternFill>
    </fill>
    <fill>
      <patternFill patternType="solid">
        <fgColor theme="8" tint="0.399975585192419"/>
        <bgColor indexed="64"/>
      </patternFill>
    </fill>
    <fill>
      <patternFill patternType="solid">
        <fgColor theme="5" tint="0.399975585192419"/>
        <bgColor indexed="64"/>
      </patternFill>
    </fill>
    <fill>
      <patternFill patternType="lightUp">
        <fgColor indexed="9"/>
        <bgColor indexed="22"/>
      </patternFill>
    </fill>
    <fill>
      <patternFill patternType="solid">
        <fgColor indexed="25"/>
        <bgColor indexed="25"/>
      </patternFill>
    </fill>
    <fill>
      <patternFill patternType="solid">
        <fgColor indexed="43"/>
        <bgColor indexed="43"/>
      </patternFill>
    </fill>
    <fill>
      <patternFill patternType="solid">
        <fgColor theme="7"/>
        <bgColor indexed="64"/>
      </patternFill>
    </fill>
    <fill>
      <patternFill patternType="solid">
        <fgColor theme="4"/>
        <bgColor indexed="64"/>
      </patternFill>
    </fill>
    <fill>
      <patternFill patternType="solid">
        <fgColor theme="8"/>
        <bgColor indexed="64"/>
      </patternFill>
    </fill>
    <fill>
      <patternFill patternType="solid">
        <fgColor rgb="FFF2F2F2"/>
        <bgColor indexed="64"/>
      </patternFill>
    </fill>
    <fill>
      <patternFill patternType="solid">
        <fgColor theme="5"/>
        <bgColor indexed="64"/>
      </patternFill>
    </fill>
    <fill>
      <patternFill patternType="solid">
        <fgColor theme="7" tint="0.599993896298105"/>
        <bgColor indexed="64"/>
      </patternFill>
    </fill>
    <fill>
      <patternFill patternType="solid">
        <fgColor theme="4" tint="0.599993896298105"/>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rgb="FFA5A5A5"/>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8" tint="0.799981688894314"/>
        <bgColor indexed="64"/>
      </patternFill>
    </fill>
    <fill>
      <patternFill patternType="solid">
        <fgColor indexed="27"/>
        <bgColor indexed="64"/>
      </patternFill>
    </fill>
    <fill>
      <patternFill patternType="solid">
        <fgColor indexed="25"/>
        <bgColor indexed="64"/>
      </patternFill>
    </fill>
    <fill>
      <patternFill patternType="gray0625">
        <fgColor indexed="44"/>
        <bgColor indexed="26"/>
      </patternFill>
    </fill>
    <fill>
      <patternFill patternType="solid">
        <fgColor indexed="43"/>
        <bgColor indexed="64"/>
      </patternFill>
    </fill>
    <fill>
      <patternFill patternType="gray125">
        <bgColor indexed="22"/>
      </patternFill>
    </fill>
    <fill>
      <patternFill patternType="solid">
        <fgColor indexed="10"/>
        <bgColor indexed="64"/>
      </patternFill>
    </fill>
    <fill>
      <patternFill patternType="solid">
        <fgColor indexed="57"/>
        <bgColor indexed="64"/>
      </patternFill>
    </fill>
  </fills>
  <borders count="319">
    <border>
      <left/>
      <right/>
      <top/>
      <bottom/>
      <diagonal/>
    </border>
    <border>
      <left style="thin">
        <color auto="1"/>
      </left>
      <right style="thin">
        <color auto="1"/>
      </right>
      <top style="thin">
        <color auto="1"/>
      </top>
      <bottom style="thin">
        <color auto="1"/>
      </bottom>
      <diagonal/>
    </border>
    <border>
      <left/>
      <right style="thin">
        <color rgb="FFFFFFFF"/>
      </right>
      <top/>
      <bottom style="thick">
        <color rgb="FFFFFFFF"/>
      </bottom>
      <diagonal/>
    </border>
    <border>
      <left style="thin">
        <color rgb="FFFFFFFF"/>
      </left>
      <right/>
      <top/>
      <bottom style="thick">
        <color rgb="FFFFFFFF"/>
      </bottom>
      <diagonal/>
    </border>
    <border>
      <left/>
      <right/>
      <top/>
      <bottom style="thick">
        <color rgb="FFFFFFFF"/>
      </bottom>
      <diagonal/>
    </border>
    <border>
      <left style="thin">
        <color rgb="FFFFFFFF"/>
      </left>
      <right style="thin">
        <color rgb="FFFFFFFF"/>
      </right>
      <top/>
      <bottom style="thick">
        <color rgb="FFFFFFFF"/>
      </bottom>
      <diagonal/>
    </border>
    <border>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ck">
        <color rgb="FFFFFFFF"/>
      </top>
      <bottom style="thin">
        <color rgb="FFFFFFFF"/>
      </bottom>
      <diagonal/>
    </border>
    <border>
      <left style="thin">
        <color rgb="FFFFFFFF"/>
      </left>
      <right/>
      <top style="thick">
        <color rgb="FFFFFFFF"/>
      </top>
      <bottom style="thin">
        <color rgb="FFFFFFFF"/>
      </bottom>
      <diagonal/>
    </border>
    <border>
      <left/>
      <right/>
      <top style="thick">
        <color rgb="FFFFFFFF"/>
      </top>
      <bottom style="thin">
        <color rgb="FFFFFFFF"/>
      </bottom>
      <diagonal/>
    </border>
    <border>
      <left style="thin">
        <color rgb="FFFFFFFF"/>
      </left>
      <right style="thin">
        <color rgb="FFFFFFFF"/>
      </right>
      <top style="thick">
        <color rgb="FFFFFFFF"/>
      </top>
      <bottom style="thin">
        <color rgb="FFFFFFFF"/>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double">
        <color rgb="FF0000FF"/>
      </right>
      <top/>
      <bottom style="thin">
        <color auto="1"/>
      </bottom>
      <diagonal/>
    </border>
    <border>
      <left style="double">
        <color rgb="FF0000FF"/>
      </left>
      <right/>
      <top style="double">
        <color rgb="FF0000FF"/>
      </top>
      <bottom/>
      <diagonal/>
    </border>
    <border>
      <left/>
      <right style="double">
        <color rgb="FF0000FF"/>
      </right>
      <top style="double">
        <color rgb="FF0000FF"/>
      </top>
      <bottom/>
      <diagonal/>
    </border>
    <border>
      <left style="double">
        <color rgb="FF0000FF"/>
      </left>
      <right style="double">
        <color rgb="FF0000FF"/>
      </right>
      <top style="double">
        <color rgb="FF0000FF"/>
      </top>
      <bottom/>
      <diagonal/>
    </border>
    <border>
      <left style="double">
        <color rgb="FF0033CC"/>
      </left>
      <right style="thin">
        <color auto="1"/>
      </right>
      <top style="double">
        <color rgb="FF0033CC"/>
      </top>
      <bottom style="thin">
        <color auto="1"/>
      </bottom>
      <diagonal/>
    </border>
    <border>
      <left style="thin">
        <color auto="1"/>
      </left>
      <right style="thin">
        <color auto="1"/>
      </right>
      <top style="double">
        <color rgb="FF0033CC"/>
      </top>
      <bottom style="thin">
        <color auto="1"/>
      </bottom>
      <diagonal/>
    </border>
    <border>
      <left style="double">
        <color rgb="FF0033CC"/>
      </left>
      <right style="thin">
        <color auto="1"/>
      </right>
      <top style="thin">
        <color auto="1"/>
      </top>
      <bottom style="double">
        <color rgb="FF0033CC"/>
      </bottom>
      <diagonal/>
    </border>
    <border>
      <left style="thin">
        <color auto="1"/>
      </left>
      <right style="thin">
        <color auto="1"/>
      </right>
      <top style="thin">
        <color auto="1"/>
      </top>
      <bottom style="double">
        <color rgb="FF0033CC"/>
      </bottom>
      <diagonal/>
    </border>
    <border>
      <left style="double">
        <color indexed="39"/>
      </left>
      <right style="thin">
        <color indexed="39"/>
      </right>
      <top style="double">
        <color indexed="39"/>
      </top>
      <bottom style="dashed">
        <color indexed="39"/>
      </bottom>
      <diagonal/>
    </border>
    <border>
      <left style="thin">
        <color indexed="39"/>
      </left>
      <right style="thin">
        <color indexed="39"/>
      </right>
      <top style="double">
        <color indexed="39"/>
      </top>
      <bottom style="dashed">
        <color indexed="39"/>
      </bottom>
      <diagonal/>
    </border>
    <border>
      <left style="thin">
        <color indexed="39"/>
      </left>
      <right/>
      <top style="double">
        <color indexed="39"/>
      </top>
      <bottom style="dashed">
        <color indexed="39"/>
      </bottom>
      <diagonal/>
    </border>
    <border>
      <left/>
      <right style="double">
        <color indexed="39"/>
      </right>
      <top style="double">
        <color indexed="39"/>
      </top>
      <bottom style="dashed">
        <color indexed="39"/>
      </bottom>
      <diagonal/>
    </border>
    <border>
      <left style="double">
        <color indexed="39"/>
      </left>
      <right style="hair">
        <color indexed="39"/>
      </right>
      <top style="hair">
        <color indexed="39"/>
      </top>
      <bottom style="hair">
        <color indexed="39"/>
      </bottom>
      <diagonal/>
    </border>
    <border>
      <left style="thin">
        <color indexed="39"/>
      </left>
      <right style="thin">
        <color indexed="39"/>
      </right>
      <top style="dashed">
        <color indexed="39"/>
      </top>
      <bottom style="dashed">
        <color indexed="39"/>
      </bottom>
      <diagonal/>
    </border>
    <border>
      <left style="thin">
        <color auto="1"/>
      </left>
      <right/>
      <top style="dashed">
        <color indexed="39"/>
      </top>
      <bottom style="dashed">
        <color indexed="39"/>
      </bottom>
      <diagonal/>
    </border>
    <border>
      <left/>
      <right style="double">
        <color rgb="FF0000FF"/>
      </right>
      <top style="dashed">
        <color indexed="12"/>
      </top>
      <bottom style="dashed">
        <color indexed="39"/>
      </bottom>
      <diagonal/>
    </border>
    <border>
      <left style="thin">
        <color indexed="39"/>
      </left>
      <right style="thin">
        <color indexed="39"/>
      </right>
      <top style="dashed">
        <color indexed="39"/>
      </top>
      <bottom/>
      <diagonal/>
    </border>
    <border>
      <left style="double">
        <color rgb="FF0000FF"/>
      </left>
      <right style="thin">
        <color auto="1"/>
      </right>
      <top style="double">
        <color indexed="12"/>
      </top>
      <bottom style="thin">
        <color auto="1"/>
      </bottom>
      <diagonal/>
    </border>
    <border>
      <left style="thin">
        <color auto="1"/>
      </left>
      <right style="thin">
        <color auto="1"/>
      </right>
      <top style="double">
        <color indexed="39"/>
      </top>
      <bottom style="thin">
        <color auto="1"/>
      </bottom>
      <diagonal/>
    </border>
    <border>
      <left style="thin">
        <color auto="1"/>
      </left>
      <right style="thin">
        <color auto="1"/>
      </right>
      <top style="double">
        <color indexed="12"/>
      </top>
      <bottom style="thin">
        <color auto="1"/>
      </bottom>
      <diagonal/>
    </border>
    <border>
      <left style="double">
        <color rgb="FF0000FF"/>
      </left>
      <right style="thin">
        <color auto="1"/>
      </right>
      <top style="thin">
        <color auto="1"/>
      </top>
      <bottom style="thin">
        <color auto="1"/>
      </bottom>
      <diagonal/>
    </border>
    <border>
      <left style="double">
        <color rgb="FF0000FF"/>
      </left>
      <right style="thin">
        <color auto="1"/>
      </right>
      <top style="thin">
        <color auto="1"/>
      </top>
      <bottom style="double">
        <color rgb="FF0000FF"/>
      </bottom>
      <diagonal/>
    </border>
    <border>
      <left style="thin">
        <color auto="1"/>
      </left>
      <right style="thin">
        <color auto="1"/>
      </right>
      <top style="thin">
        <color auto="1"/>
      </top>
      <bottom style="double">
        <color rgb="FF0000FF"/>
      </bottom>
      <diagonal/>
    </border>
    <border>
      <left style="thin">
        <color auto="1"/>
      </left>
      <right style="double">
        <color rgb="FF0033CC"/>
      </right>
      <top style="double">
        <color rgb="FF0033CC"/>
      </top>
      <bottom style="thin">
        <color auto="1"/>
      </bottom>
      <diagonal/>
    </border>
    <border>
      <left style="thin">
        <color auto="1"/>
      </left>
      <right style="double">
        <color rgb="FF0033CC"/>
      </right>
      <top style="thin">
        <color auto="1"/>
      </top>
      <bottom style="double">
        <color rgb="FF0033CC"/>
      </bottom>
      <diagonal/>
    </border>
    <border>
      <left style="double">
        <color indexed="39"/>
      </left>
      <right style="hair">
        <color indexed="39"/>
      </right>
      <top style="hair">
        <color indexed="39"/>
      </top>
      <bottom style="double">
        <color indexed="39"/>
      </bottom>
      <diagonal/>
    </border>
    <border>
      <left style="thin">
        <color indexed="39"/>
      </left>
      <right style="thin">
        <color indexed="39"/>
      </right>
      <top style="dashed">
        <color indexed="39"/>
      </top>
      <bottom style="double">
        <color indexed="39"/>
      </bottom>
      <diagonal/>
    </border>
    <border>
      <left style="double">
        <color indexed="39"/>
      </left>
      <right style="thin">
        <color auto="1"/>
      </right>
      <top style="double">
        <color indexed="39"/>
      </top>
      <bottom style="hair">
        <color indexed="39"/>
      </bottom>
      <diagonal/>
    </border>
    <border>
      <left style="thin">
        <color auto="1"/>
      </left>
      <right style="thin">
        <color auto="1"/>
      </right>
      <top style="double">
        <color indexed="39"/>
      </top>
      <bottom style="hair">
        <color indexed="39"/>
      </bottom>
      <diagonal/>
    </border>
    <border>
      <left style="thin">
        <color auto="1"/>
      </left>
      <right/>
      <top style="double">
        <color indexed="39"/>
      </top>
      <bottom/>
      <diagonal/>
    </border>
    <border>
      <left style="thin">
        <color auto="1"/>
      </left>
      <right style="thin">
        <color auto="1"/>
      </right>
      <top style="double">
        <color indexed="39"/>
      </top>
      <bottom style="hair">
        <color auto="1"/>
      </bottom>
      <diagonal/>
    </border>
    <border>
      <left style="thin">
        <color auto="1"/>
      </left>
      <right/>
      <top style="double">
        <color indexed="39"/>
      </top>
      <bottom style="hair">
        <color indexed="39"/>
      </bottom>
      <diagonal/>
    </border>
    <border>
      <left style="thin">
        <color auto="1"/>
      </left>
      <right style="double">
        <color indexed="39"/>
      </right>
      <top style="double">
        <color indexed="39"/>
      </top>
      <bottom style="thin">
        <color auto="1"/>
      </bottom>
      <diagonal/>
    </border>
    <border>
      <left style="double">
        <color indexed="39"/>
      </left>
      <right style="hair">
        <color indexed="39"/>
      </right>
      <top style="hair">
        <color indexed="39"/>
      </top>
      <bottom/>
      <diagonal/>
    </border>
    <border>
      <left style="thin">
        <color auto="1"/>
      </left>
      <right style="thin">
        <color auto="1"/>
      </right>
      <top style="hair">
        <color indexed="39"/>
      </top>
      <bottom/>
      <diagonal/>
    </border>
    <border>
      <left style="thin">
        <color auto="1"/>
      </left>
      <right style="thin">
        <color auto="1"/>
      </right>
      <top style="hair">
        <color auto="1"/>
      </top>
      <bottom/>
      <diagonal/>
    </border>
    <border>
      <left style="thin">
        <color auto="1"/>
      </left>
      <right style="double">
        <color indexed="39"/>
      </right>
      <top style="thin">
        <color auto="1"/>
      </top>
      <bottom/>
      <diagonal/>
    </border>
    <border>
      <left style="double">
        <color indexed="39"/>
      </left>
      <right style="hair">
        <color indexed="39"/>
      </right>
      <top/>
      <bottom style="hair">
        <color indexed="39"/>
      </bottom>
      <diagonal/>
    </border>
    <border>
      <left style="thin">
        <color auto="1"/>
      </left>
      <right style="thin">
        <color auto="1"/>
      </right>
      <top/>
      <bottom style="hair">
        <color indexed="39"/>
      </bottom>
      <diagonal/>
    </border>
    <border>
      <left style="thin">
        <color auto="1"/>
      </left>
      <right style="thin">
        <color auto="1"/>
      </right>
      <top/>
      <bottom style="hair">
        <color auto="1"/>
      </bottom>
      <diagonal/>
    </border>
    <border>
      <left style="thin">
        <color auto="1"/>
      </left>
      <right style="thin">
        <color auto="1"/>
      </right>
      <top style="hair">
        <color indexed="39"/>
      </top>
      <bottom style="hair">
        <color auto="1"/>
      </bottom>
      <diagonal/>
    </border>
    <border>
      <left style="thin">
        <color auto="1"/>
      </left>
      <right style="thin">
        <color auto="1"/>
      </right>
      <top style="hair">
        <color indexed="39"/>
      </top>
      <bottom style="hair">
        <color indexed="39"/>
      </bottom>
      <diagonal/>
    </border>
    <border>
      <left style="thin">
        <color auto="1"/>
      </left>
      <right style="double">
        <color indexed="39"/>
      </right>
      <top style="thin">
        <color auto="1"/>
      </top>
      <bottom style="hair">
        <color auto="1"/>
      </bottom>
      <diagonal/>
    </border>
    <border>
      <left style="thin">
        <color auto="1"/>
      </left>
      <right style="thin">
        <color auto="1"/>
      </right>
      <top style="hair">
        <color auto="1"/>
      </top>
      <bottom style="hair">
        <color auto="1"/>
      </bottom>
      <diagonal/>
    </border>
    <border>
      <left style="double">
        <color indexed="39"/>
      </left>
      <right style="thin">
        <color auto="1"/>
      </right>
      <top style="thin">
        <color auto="1"/>
      </top>
      <bottom style="double">
        <color indexed="39"/>
      </bottom>
      <diagonal/>
    </border>
    <border>
      <left style="thin">
        <color auto="1"/>
      </left>
      <right style="thin">
        <color auto="1"/>
      </right>
      <top style="thin">
        <color auto="1"/>
      </top>
      <bottom style="double">
        <color indexed="39"/>
      </bottom>
      <diagonal/>
    </border>
    <border>
      <left/>
      <right style="thin">
        <color auto="1"/>
      </right>
      <top style="thin">
        <color auto="1"/>
      </top>
      <bottom style="double">
        <color indexed="39"/>
      </bottom>
      <diagonal/>
    </border>
    <border>
      <left/>
      <right style="double">
        <color indexed="39"/>
      </right>
      <top style="thin">
        <color auto="1"/>
      </top>
      <bottom style="double">
        <color indexed="39"/>
      </bottom>
      <diagonal/>
    </border>
    <border>
      <left style="double">
        <color indexed="39"/>
      </left>
      <right style="thin">
        <color auto="1"/>
      </right>
      <top style="double">
        <color indexed="39"/>
      </top>
      <bottom style="thin">
        <color auto="1"/>
      </bottom>
      <diagonal/>
    </border>
    <border>
      <left style="thin">
        <color auto="1"/>
      </left>
      <right style="double">
        <color rgb="FF0000FF"/>
      </right>
      <top style="thin">
        <color auto="1"/>
      </top>
      <bottom style="thin">
        <color auto="1"/>
      </bottom>
      <diagonal/>
    </border>
    <border>
      <left style="double">
        <color auto="1"/>
      </left>
      <right style="thin">
        <color auto="1"/>
      </right>
      <top style="double">
        <color auto="1"/>
      </top>
      <bottom style="thin">
        <color auto="1"/>
      </bottom>
      <diagonal/>
    </border>
    <border>
      <left style="thin">
        <color theme="0"/>
      </left>
      <right style="thin">
        <color theme="0"/>
      </right>
      <top style="thin">
        <color theme="0"/>
      </top>
      <bottom style="thin">
        <color theme="0"/>
      </bottom>
      <diagonal/>
    </border>
    <border>
      <left style="double">
        <color auto="1"/>
      </left>
      <right style="thin">
        <color auto="1"/>
      </right>
      <top style="double">
        <color auto="1"/>
      </top>
      <bottom style="double">
        <color auto="1"/>
      </bottom>
      <diagonal/>
    </border>
    <border>
      <left style="thin">
        <color auto="1"/>
      </left>
      <right style="thin">
        <color auto="1"/>
      </right>
      <top style="double">
        <color auto="1"/>
      </top>
      <bottom style="double">
        <color auto="1"/>
      </bottom>
      <diagonal/>
    </border>
    <border>
      <left style="thin">
        <color auto="1"/>
      </left>
      <right style="double">
        <color auto="1"/>
      </right>
      <top style="double">
        <color auto="1"/>
      </top>
      <bottom style="double">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double">
        <color theme="0"/>
      </left>
      <right style="double">
        <color theme="0"/>
      </right>
      <top/>
      <bottom style="double">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double">
        <color auto="1"/>
      </right>
      <top style="double">
        <color auto="1"/>
      </top>
      <bottom/>
      <diagonal/>
    </border>
    <border>
      <left style="thin">
        <color auto="1"/>
      </left>
      <right style="double">
        <color auto="1"/>
      </right>
      <top style="thin">
        <color auto="1"/>
      </top>
      <bottom style="double">
        <color auto="1"/>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double">
        <color auto="1"/>
      </left>
      <right style="double">
        <color auto="1"/>
      </right>
      <top style="double">
        <color auto="1"/>
      </top>
      <bottom style="double">
        <color auto="1"/>
      </bottom>
      <diagonal/>
    </border>
    <border>
      <left style="double">
        <color auto="1"/>
      </left>
      <right style="thin">
        <color auto="1"/>
      </right>
      <top style="thin">
        <color auto="1"/>
      </top>
      <bottom style="thin">
        <color auto="1"/>
      </bottom>
      <diagonal/>
    </border>
    <border>
      <left style="thin">
        <color auto="1"/>
      </left>
      <right style="thin">
        <color theme="1"/>
      </right>
      <top style="thin">
        <color auto="1"/>
      </top>
      <bottom style="thin">
        <color auto="1"/>
      </bottom>
      <diagonal/>
    </border>
    <border>
      <left style="thin">
        <color theme="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double">
        <color auto="1"/>
      </bottom>
      <diagonal/>
    </border>
    <border>
      <left style="thin">
        <color auto="1"/>
      </left>
      <right style="thin">
        <color theme="1"/>
      </right>
      <top style="thin">
        <color auto="1"/>
      </top>
      <bottom style="double">
        <color auto="1"/>
      </bottom>
      <diagonal/>
    </border>
    <border>
      <left style="thin">
        <color theme="1"/>
      </left>
      <right/>
      <top style="thin">
        <color auto="1"/>
      </top>
      <bottom style="double">
        <color auto="1"/>
      </bottom>
      <diagonal/>
    </border>
    <border>
      <left/>
      <right style="double">
        <color auto="1"/>
      </right>
      <top style="thin">
        <color auto="1"/>
      </top>
      <bottom style="double">
        <color auto="1"/>
      </bottom>
      <diagonal/>
    </border>
    <border>
      <left style="thin">
        <color auto="1"/>
      </left>
      <right style="double">
        <color auto="1"/>
      </right>
      <top style="thin">
        <color auto="1"/>
      </top>
      <bottom style="thin">
        <color auto="1"/>
      </bottom>
      <diagonal/>
    </border>
    <border>
      <left style="double">
        <color auto="1"/>
      </left>
      <right/>
      <top style="double">
        <color auto="1"/>
      </top>
      <bottom/>
      <diagonal/>
    </border>
    <border>
      <left/>
      <right style="double">
        <color auto="1"/>
      </right>
      <top style="double">
        <color auto="1"/>
      </top>
      <bottom/>
      <diagonal/>
    </border>
    <border>
      <left style="double">
        <color auto="1"/>
      </left>
      <right/>
      <top/>
      <bottom style="double">
        <color auto="1"/>
      </bottom>
      <diagonal/>
    </border>
    <border>
      <left/>
      <right style="double">
        <color auto="1"/>
      </right>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thin">
        <color auto="1"/>
      </left>
      <right style="thin">
        <color auto="1"/>
      </right>
      <top/>
      <bottom/>
      <diagonal/>
    </border>
    <border>
      <left style="double">
        <color auto="1"/>
      </left>
      <right style="thin">
        <color auto="1"/>
      </right>
      <top style="thin">
        <color auto="1"/>
      </top>
      <bottom/>
      <diagonal/>
    </border>
    <border>
      <left style="thin">
        <color theme="1"/>
      </left>
      <right style="thin">
        <color theme="1"/>
      </right>
      <top style="thin">
        <color theme="1"/>
      </top>
      <bottom style="thin">
        <color theme="1"/>
      </bottom>
      <diagonal/>
    </border>
    <border>
      <left style="double">
        <color auto="1"/>
      </left>
      <right style="thin">
        <color theme="1"/>
      </right>
      <top style="thin">
        <color theme="1"/>
      </top>
      <bottom style="double">
        <color auto="1"/>
      </bottom>
      <diagonal/>
    </border>
    <border>
      <left style="thin">
        <color theme="1"/>
      </left>
      <right style="thin">
        <color theme="1"/>
      </right>
      <top style="thin">
        <color theme="1"/>
      </top>
      <bottom style="double">
        <color auto="1"/>
      </bottom>
      <diagonal/>
    </border>
    <border>
      <left style="thin">
        <color auto="1"/>
      </left>
      <right/>
      <top style="thin">
        <color auto="1"/>
      </top>
      <bottom style="double">
        <color auto="1"/>
      </bottom>
      <diagonal/>
    </border>
    <border>
      <left/>
      <right/>
      <top/>
      <bottom style="thin">
        <color theme="0"/>
      </bottom>
      <diagonal/>
    </border>
    <border>
      <left style="thin">
        <color theme="0"/>
      </left>
      <right/>
      <top style="thin">
        <color auto="1"/>
      </top>
      <bottom style="thin">
        <color theme="0"/>
      </bottom>
      <diagonal/>
    </border>
    <border>
      <left/>
      <right style="thin">
        <color theme="0"/>
      </right>
      <top style="thin">
        <color auto="1"/>
      </top>
      <bottom style="thin">
        <color theme="0"/>
      </bottom>
      <diagonal/>
    </border>
    <border>
      <left/>
      <right/>
      <top/>
      <bottom style="double">
        <color indexed="39"/>
      </bottom>
      <diagonal/>
    </border>
    <border>
      <left/>
      <right style="double">
        <color indexed="39"/>
      </right>
      <top/>
      <bottom style="double">
        <color indexed="39"/>
      </bottom>
      <diagonal/>
    </border>
    <border>
      <left style="double">
        <color indexed="39"/>
      </left>
      <right style="hair">
        <color indexed="39"/>
      </right>
      <top style="double">
        <color indexed="39"/>
      </top>
      <bottom style="double">
        <color indexed="39"/>
      </bottom>
      <diagonal/>
    </border>
    <border>
      <left style="hair">
        <color auto="1"/>
      </left>
      <right style="hair">
        <color auto="1"/>
      </right>
      <top style="double">
        <color indexed="39"/>
      </top>
      <bottom style="double">
        <color indexed="39"/>
      </bottom>
      <diagonal/>
    </border>
    <border>
      <left style="double">
        <color indexed="39"/>
      </left>
      <right style="hair">
        <color indexed="39"/>
      </right>
      <top style="double">
        <color indexed="39"/>
      </top>
      <bottom style="hair">
        <color indexed="39"/>
      </bottom>
      <diagonal/>
    </border>
    <border>
      <left style="hair">
        <color indexed="39"/>
      </left>
      <right style="hair">
        <color indexed="39"/>
      </right>
      <top style="double">
        <color indexed="39"/>
      </top>
      <bottom style="hair">
        <color indexed="39"/>
      </bottom>
      <diagonal/>
    </border>
    <border>
      <left style="hair">
        <color indexed="39"/>
      </left>
      <right style="hair">
        <color indexed="39"/>
      </right>
      <top/>
      <bottom style="hair">
        <color indexed="39"/>
      </bottom>
      <diagonal/>
    </border>
    <border>
      <left/>
      <right style="hair">
        <color rgb="FF0000FF"/>
      </right>
      <top/>
      <bottom style="hair">
        <color rgb="FF0000FF"/>
      </bottom>
      <diagonal/>
    </border>
    <border>
      <left style="hair">
        <color rgb="FF0000FF"/>
      </left>
      <right style="hair">
        <color rgb="FF0000FF"/>
      </right>
      <top/>
      <bottom style="hair">
        <color rgb="FF0000FF"/>
      </bottom>
      <diagonal/>
    </border>
    <border>
      <left style="hair">
        <color indexed="39"/>
      </left>
      <right style="hair">
        <color indexed="39"/>
      </right>
      <top style="hair">
        <color indexed="39"/>
      </top>
      <bottom style="hair">
        <color indexed="39"/>
      </bottom>
      <diagonal/>
    </border>
    <border>
      <left/>
      <right/>
      <top style="double">
        <color indexed="39"/>
      </top>
      <bottom/>
      <diagonal/>
    </border>
    <border>
      <left style="double">
        <color indexed="39"/>
      </left>
      <right style="hair">
        <color indexed="39"/>
      </right>
      <top style="double">
        <color indexed="39"/>
      </top>
      <bottom/>
      <diagonal/>
    </border>
    <border>
      <left style="hair">
        <color indexed="39"/>
      </left>
      <right style="thin">
        <color auto="1"/>
      </right>
      <top style="double">
        <color indexed="39"/>
      </top>
      <bottom/>
      <diagonal/>
    </border>
    <border>
      <left/>
      <right style="hair">
        <color indexed="39"/>
      </right>
      <top style="double">
        <color indexed="39"/>
      </top>
      <bottom/>
      <diagonal/>
    </border>
    <border>
      <left style="double">
        <color indexed="39"/>
      </left>
      <right style="double">
        <color indexed="39"/>
      </right>
      <top style="double">
        <color indexed="39"/>
      </top>
      <bottom/>
      <diagonal/>
    </border>
    <border>
      <left style="double">
        <color indexed="39"/>
      </left>
      <right style="hair">
        <color indexed="39"/>
      </right>
      <top/>
      <bottom style="double">
        <color indexed="39"/>
      </bottom>
      <diagonal/>
    </border>
    <border>
      <left style="hair">
        <color indexed="39"/>
      </left>
      <right style="thin">
        <color auto="1"/>
      </right>
      <top/>
      <bottom style="double">
        <color indexed="39"/>
      </bottom>
      <diagonal/>
    </border>
    <border>
      <left style="thin">
        <color auto="1"/>
      </left>
      <right style="double">
        <color indexed="39"/>
      </right>
      <top style="thin">
        <color auto="1"/>
      </top>
      <bottom style="double">
        <color indexed="39"/>
      </bottom>
      <diagonal/>
    </border>
    <border>
      <left style="hair">
        <color auto="1"/>
      </left>
      <right/>
      <top style="double">
        <color indexed="39"/>
      </top>
      <bottom style="double">
        <color indexed="39"/>
      </bottom>
      <diagonal/>
    </border>
    <border>
      <left/>
      <right style="double">
        <color indexed="39"/>
      </right>
      <top style="double">
        <color indexed="39"/>
      </top>
      <bottom style="double">
        <color indexed="39"/>
      </bottom>
      <diagonal/>
    </border>
    <border>
      <left/>
      <right style="thin">
        <color rgb="FFFFFFFF"/>
      </right>
      <top/>
      <bottom style="thin">
        <color rgb="FFFFFFFF"/>
      </bottom>
      <diagonal/>
    </border>
    <border>
      <left style="hair">
        <color indexed="39"/>
      </left>
      <right style="double">
        <color indexed="39"/>
      </right>
      <top style="double">
        <color indexed="39"/>
      </top>
      <bottom style="hair">
        <color indexed="39"/>
      </bottom>
      <diagonal/>
    </border>
    <border>
      <left style="hair">
        <color indexed="39"/>
      </left>
      <right style="double">
        <color indexed="39"/>
      </right>
      <top style="hair">
        <color indexed="39"/>
      </top>
      <bottom style="hair">
        <color indexed="39"/>
      </bottom>
      <diagonal/>
    </border>
    <border>
      <left style="hair">
        <color indexed="39"/>
      </left>
      <right style="hair">
        <color indexed="39"/>
      </right>
      <top style="hair">
        <color indexed="39"/>
      </top>
      <bottom/>
      <diagonal/>
    </border>
    <border>
      <left style="hair">
        <color auto="1"/>
      </left>
      <right style="double">
        <color auto="1"/>
      </right>
      <top style="hair">
        <color auto="1"/>
      </top>
      <bottom/>
      <diagonal/>
    </border>
    <border>
      <left style="hair">
        <color auto="1"/>
      </left>
      <right/>
      <top style="hair">
        <color auto="1"/>
      </top>
      <bottom/>
      <diagonal/>
    </border>
    <border>
      <left style="hair">
        <color indexed="39"/>
      </left>
      <right style="hair">
        <color indexed="39"/>
      </right>
      <top style="hair">
        <color indexed="39"/>
      </top>
      <bottom style="double">
        <color indexed="39"/>
      </bottom>
      <diagonal/>
    </border>
    <border>
      <left style="hair">
        <color auto="1"/>
      </left>
      <right style="double">
        <color rgb="FF0000FF"/>
      </right>
      <top style="hair">
        <color auto="1"/>
      </top>
      <bottom style="double">
        <color indexed="39"/>
      </bottom>
      <diagonal/>
    </border>
    <border>
      <left style="double">
        <color rgb="FF0033CC"/>
      </left>
      <right style="double">
        <color indexed="12"/>
      </right>
      <top style="double">
        <color indexed="12"/>
      </top>
      <bottom style="double">
        <color rgb="FF0033CC"/>
      </bottom>
      <diagonal/>
    </border>
    <border>
      <left style="double">
        <color indexed="39"/>
      </left>
      <right style="thin">
        <color auto="1"/>
      </right>
      <top style="double">
        <color indexed="39"/>
      </top>
      <bottom style="hair">
        <color auto="1"/>
      </bottom>
      <diagonal/>
    </border>
    <border>
      <left style="thin">
        <color auto="1"/>
      </left>
      <right style="thin">
        <color auto="1"/>
      </right>
      <top style="double">
        <color indexed="39"/>
      </top>
      <bottom/>
      <diagonal/>
    </border>
    <border>
      <left style="thin">
        <color auto="1"/>
      </left>
      <right/>
      <top style="double">
        <color indexed="39"/>
      </top>
      <bottom style="hair">
        <color auto="1"/>
      </bottom>
      <diagonal/>
    </border>
    <border>
      <left style="hair">
        <color auto="1"/>
      </left>
      <right style="double">
        <color rgb="FF0000FF"/>
      </right>
      <top style="double">
        <color indexed="39"/>
      </top>
      <bottom style="hair">
        <color auto="1"/>
      </bottom>
      <diagonal/>
    </border>
    <border>
      <left style="double">
        <color indexed="39"/>
      </left>
      <right style="thin">
        <color auto="1"/>
      </right>
      <top/>
      <bottom style="hair">
        <color auto="1"/>
      </bottom>
      <diagonal/>
    </border>
    <border>
      <left style="hair">
        <color auto="1"/>
      </left>
      <right style="double">
        <color rgb="FF0000FF"/>
      </right>
      <top style="hair">
        <color auto="1"/>
      </top>
      <bottom style="hair">
        <color auto="1"/>
      </bottom>
      <diagonal/>
    </border>
    <border>
      <left style="hair">
        <color auto="1"/>
      </left>
      <right style="hair">
        <color auto="1"/>
      </right>
      <top style="hair">
        <color auto="1"/>
      </top>
      <bottom style="hair">
        <color auto="1"/>
      </bottom>
      <diagonal/>
    </border>
    <border>
      <left/>
      <right style="double">
        <color rgb="FF0000FF"/>
      </right>
      <top/>
      <bottom/>
      <diagonal/>
    </border>
    <border>
      <left/>
      <right style="hair">
        <color indexed="39"/>
      </right>
      <top/>
      <bottom style="hair">
        <color indexed="39"/>
      </bottom>
      <diagonal/>
    </border>
    <border>
      <left/>
      <right style="hair">
        <color indexed="39"/>
      </right>
      <top style="double">
        <color indexed="39"/>
      </top>
      <bottom style="hair">
        <color indexed="39"/>
      </bottom>
      <diagonal/>
    </border>
    <border>
      <left style="thin">
        <color auto="1"/>
      </left>
      <right style="double">
        <color indexed="39"/>
      </right>
      <top style="double">
        <color indexed="39"/>
      </top>
      <bottom style="hair">
        <color auto="1"/>
      </bottom>
      <diagonal/>
    </border>
    <border>
      <left style="thin">
        <color auto="1"/>
      </left>
      <right style="double">
        <color indexed="39"/>
      </right>
      <top style="hair">
        <color auto="1"/>
      </top>
      <bottom style="double">
        <color indexed="39"/>
      </bottom>
      <diagonal/>
    </border>
    <border>
      <left style="double">
        <color indexed="39"/>
      </left>
      <right style="thin">
        <color auto="1"/>
      </right>
      <top style="hair">
        <color auto="1"/>
      </top>
      <bottom style="double">
        <color indexed="39"/>
      </bottom>
      <diagonal/>
    </border>
    <border>
      <left style="double">
        <color indexed="39"/>
      </left>
      <right style="thin">
        <color auto="1"/>
      </right>
      <top style="double">
        <color indexed="39"/>
      </top>
      <bottom/>
      <diagonal/>
    </border>
    <border>
      <left style="thin">
        <color auto="1"/>
      </left>
      <right style="double">
        <color rgb="FF0000FF"/>
      </right>
      <top style="double">
        <color indexed="39"/>
      </top>
      <bottom/>
      <diagonal/>
    </border>
    <border>
      <left style="hair">
        <color indexed="39"/>
      </left>
      <right style="hair">
        <color indexed="39"/>
      </right>
      <top style="double">
        <color indexed="39"/>
      </top>
      <bottom/>
      <diagonal/>
    </border>
    <border>
      <left style="hair">
        <color indexed="39"/>
      </left>
      <right/>
      <top style="double">
        <color indexed="39"/>
      </top>
      <bottom style="hair">
        <color indexed="39"/>
      </bottom>
      <diagonal/>
    </border>
    <border>
      <left style="hair">
        <color indexed="39"/>
      </left>
      <right/>
      <top style="hair">
        <color indexed="39"/>
      </top>
      <bottom style="hair">
        <color indexed="39"/>
      </bottom>
      <diagonal/>
    </border>
    <border>
      <left/>
      <right style="hair">
        <color indexed="39"/>
      </right>
      <top style="hair">
        <color indexed="39"/>
      </top>
      <bottom style="hair">
        <color indexed="39"/>
      </bottom>
      <diagonal/>
    </border>
    <border>
      <left style="hair">
        <color indexed="39"/>
      </left>
      <right/>
      <top style="hair">
        <color indexed="39"/>
      </top>
      <bottom style="double">
        <color indexed="39"/>
      </bottom>
      <diagonal/>
    </border>
    <border>
      <left/>
      <right style="hair">
        <color indexed="39"/>
      </right>
      <top style="hair">
        <color indexed="39"/>
      </top>
      <bottom style="double">
        <color indexed="39"/>
      </bottom>
      <diagonal/>
    </border>
    <border>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style="thin">
        <color theme="0"/>
      </right>
      <top style="thin">
        <color theme="0"/>
      </top>
      <bottom style="thin">
        <color theme="0"/>
      </bottom>
      <diagonal/>
    </border>
    <border>
      <left style="hair">
        <color indexed="39"/>
      </left>
      <right style="double">
        <color indexed="39"/>
      </right>
      <top style="double">
        <color indexed="39"/>
      </top>
      <bottom/>
      <diagonal/>
    </border>
    <border>
      <left style="double">
        <color indexed="39"/>
      </left>
      <right/>
      <top style="double">
        <color indexed="39"/>
      </top>
      <bottom/>
      <diagonal/>
    </border>
    <border>
      <left style="hair">
        <color indexed="39"/>
      </left>
      <right style="double">
        <color indexed="39"/>
      </right>
      <top/>
      <bottom style="hair">
        <color indexed="39"/>
      </bottom>
      <diagonal/>
    </border>
    <border>
      <left style="double">
        <color indexed="39"/>
      </left>
      <right/>
      <top/>
      <bottom style="hair">
        <color indexed="39"/>
      </bottom>
      <diagonal/>
    </border>
    <border>
      <left style="hair">
        <color indexed="39"/>
      </left>
      <right/>
      <top/>
      <bottom style="hair">
        <color indexed="39"/>
      </bottom>
      <diagonal/>
    </border>
    <border>
      <left style="double">
        <color rgb="FF0066FF"/>
      </left>
      <right style="hair">
        <color rgb="FF0066FF"/>
      </right>
      <top style="hair">
        <color indexed="12"/>
      </top>
      <bottom/>
      <diagonal/>
    </border>
    <border>
      <left style="double">
        <color rgb="FF0066FF"/>
      </left>
      <right style="hair">
        <color rgb="FF0066FF"/>
      </right>
      <top/>
      <bottom style="hair">
        <color rgb="FF0066FF"/>
      </bottom>
      <diagonal/>
    </border>
    <border>
      <left style="double">
        <color rgb="FF0066FF"/>
      </left>
      <right style="hair">
        <color rgb="FF0066FF"/>
      </right>
      <top style="hair">
        <color rgb="FF0066FF"/>
      </top>
      <bottom/>
      <diagonal/>
    </border>
    <border>
      <left style="hair">
        <color indexed="39"/>
      </left>
      <right style="double">
        <color indexed="39"/>
      </right>
      <top/>
      <bottom/>
      <diagonal/>
    </border>
    <border>
      <left style="hair">
        <color indexed="39"/>
      </left>
      <right style="double">
        <color indexed="39"/>
      </right>
      <top style="hair">
        <color indexed="39"/>
      </top>
      <bottom/>
      <diagonal/>
    </border>
    <border>
      <left style="double">
        <color rgb="FF0066FF"/>
      </left>
      <right style="hair">
        <color rgb="FF0066FF"/>
      </right>
      <top style="hair">
        <color rgb="FF0066FF"/>
      </top>
      <bottom style="double">
        <color rgb="FF0066FF"/>
      </bottom>
      <diagonal/>
    </border>
    <border>
      <left style="hair">
        <color indexed="39"/>
      </left>
      <right style="hair">
        <color indexed="39"/>
      </right>
      <top/>
      <bottom style="double">
        <color indexed="39"/>
      </bottom>
      <diagonal/>
    </border>
    <border>
      <left style="hair">
        <color indexed="39"/>
      </left>
      <right style="double">
        <color indexed="39"/>
      </right>
      <top/>
      <bottom style="double">
        <color indexed="39"/>
      </bottom>
      <diagonal/>
    </border>
    <border>
      <left/>
      <right style="double">
        <color indexed="39"/>
      </right>
      <top style="double">
        <color indexed="39"/>
      </top>
      <bottom/>
      <diagonal/>
    </border>
    <border>
      <left/>
      <right style="double">
        <color indexed="39"/>
      </right>
      <top/>
      <bottom style="hair">
        <color indexed="39"/>
      </bottom>
      <diagonal/>
    </border>
    <border>
      <left style="hair">
        <color rgb="FF0066FF"/>
      </left>
      <right style="double">
        <color rgb="FF0066FF"/>
      </right>
      <top style="hair">
        <color indexed="12"/>
      </top>
      <bottom/>
      <diagonal/>
    </border>
    <border>
      <left style="double">
        <color rgb="FF0066FF"/>
      </left>
      <right style="hair">
        <color rgb="FF0066FF"/>
      </right>
      <top style="hair">
        <color rgb="FF0066FF"/>
      </top>
      <bottom style="hair">
        <color rgb="FF0066FF"/>
      </bottom>
      <diagonal/>
    </border>
    <border>
      <left style="hair">
        <color rgb="FF0066FF"/>
      </left>
      <right style="double">
        <color rgb="FF0066FF"/>
      </right>
      <top/>
      <bottom style="hair">
        <color rgb="FF0066FF"/>
      </bottom>
      <diagonal/>
    </border>
    <border>
      <left style="hair">
        <color rgb="FF0066FF"/>
      </left>
      <right style="double">
        <color rgb="FF0066FF"/>
      </right>
      <top style="hair">
        <color rgb="FF0066FF"/>
      </top>
      <bottom/>
      <diagonal/>
    </border>
    <border>
      <left/>
      <right style="double">
        <color rgb="FF0066FF"/>
      </right>
      <top style="hair">
        <color rgb="FF0066FF"/>
      </top>
      <bottom style="hair">
        <color rgb="FF0066FF"/>
      </bottom>
      <diagonal/>
    </border>
    <border>
      <left style="double">
        <color rgb="FF0066FF"/>
      </left>
      <right style="hair">
        <color rgb="FF0066FF"/>
      </right>
      <top/>
      <bottom style="double">
        <color rgb="FF0066FF"/>
      </bottom>
      <diagonal/>
    </border>
    <border>
      <left style="hair">
        <color rgb="FF0066FF"/>
      </left>
      <right style="double">
        <color rgb="FF0066FF"/>
      </right>
      <top style="hair">
        <color rgb="FF0066FF"/>
      </top>
      <bottom style="double">
        <color rgb="FF0066FF"/>
      </bottom>
      <diagonal/>
    </border>
    <border>
      <left/>
      <right/>
      <top/>
      <bottom style="double">
        <color rgb="FF0000FF"/>
      </bottom>
      <diagonal/>
    </border>
    <border>
      <left style="double">
        <color rgb="FF0000FF"/>
      </left>
      <right style="thin">
        <color auto="1"/>
      </right>
      <top style="double">
        <color rgb="FF0000FF"/>
      </top>
      <bottom/>
      <diagonal/>
    </border>
    <border>
      <left style="thin">
        <color auto="1"/>
      </left>
      <right style="thin">
        <color auto="1"/>
      </right>
      <top style="double">
        <color rgb="FF0000FF"/>
      </top>
      <bottom/>
      <diagonal/>
    </border>
    <border>
      <left style="thin">
        <color auto="1"/>
      </left>
      <right/>
      <top style="double">
        <color rgb="FF0000FF"/>
      </top>
      <bottom/>
      <diagonal/>
    </border>
    <border>
      <left/>
      <right/>
      <top style="double">
        <color rgb="FF0000FF"/>
      </top>
      <bottom/>
      <diagonal/>
    </border>
    <border>
      <left/>
      <right style="thin">
        <color auto="1"/>
      </right>
      <top style="double">
        <color rgb="FF0000FF"/>
      </top>
      <bottom/>
      <diagonal/>
    </border>
    <border>
      <left style="double">
        <color rgb="FF0000FF"/>
      </left>
      <right style="thin">
        <color auto="1"/>
      </right>
      <top/>
      <bottom style="thin">
        <color auto="1"/>
      </bottom>
      <diagonal/>
    </border>
    <border>
      <left style="double">
        <color rgb="FF0000FF"/>
      </left>
      <right style="thin">
        <color auto="1"/>
      </right>
      <top style="thin">
        <color auto="1"/>
      </top>
      <bottom/>
      <diagonal/>
    </border>
    <border>
      <left style="double">
        <color rgb="FF0000FF"/>
      </left>
      <right style="thin">
        <color auto="1"/>
      </right>
      <top/>
      <bottom/>
      <diagonal/>
    </border>
    <border>
      <left style="double">
        <color rgb="FF0000FF"/>
      </left>
      <right style="thin">
        <color auto="1"/>
      </right>
      <top/>
      <bottom style="double">
        <color rgb="FF0000FF"/>
      </bottom>
      <diagonal/>
    </border>
    <border>
      <left/>
      <right style="thin">
        <color auto="1"/>
      </right>
      <top style="thin">
        <color auto="1"/>
      </top>
      <bottom style="double">
        <color rgb="FF0066FF"/>
      </bottom>
      <diagonal/>
    </border>
    <border>
      <left style="thin">
        <color auto="1"/>
      </left>
      <right style="thin">
        <color auto="1"/>
      </right>
      <top style="thin">
        <color auto="1"/>
      </top>
      <bottom style="double">
        <color rgb="FF0066FF"/>
      </bottom>
      <diagonal/>
    </border>
    <border>
      <left style="thin">
        <color auto="1"/>
      </left>
      <right style="thin">
        <color auto="1"/>
      </right>
      <top style="hair">
        <color rgb="FF0066FF"/>
      </top>
      <bottom style="double">
        <color rgb="FF0000FF"/>
      </bottom>
      <diagonal/>
    </border>
    <border>
      <left/>
      <right style="thin">
        <color auto="1"/>
      </right>
      <top/>
      <bottom style="double">
        <color rgb="FF0000FF"/>
      </bottom>
      <diagonal/>
    </border>
    <border>
      <left style="thin">
        <color auto="1"/>
      </left>
      <right style="double">
        <color rgb="FF0000FF"/>
      </right>
      <top style="double">
        <color rgb="FF0000FF"/>
      </top>
      <bottom/>
      <diagonal/>
    </border>
    <border>
      <left style="thin">
        <color auto="1"/>
      </left>
      <right style="double">
        <color rgb="FF0000FF"/>
      </right>
      <top/>
      <bottom style="thin">
        <color auto="1"/>
      </bottom>
      <diagonal/>
    </border>
    <border>
      <left/>
      <right/>
      <top/>
      <bottom style="medium">
        <color auto="1"/>
      </bottom>
      <diagonal/>
    </border>
    <border>
      <left style="medium">
        <color auto="1"/>
      </left>
      <right/>
      <top/>
      <bottom/>
      <diagonal/>
    </border>
    <border>
      <left style="medium">
        <color auto="1"/>
      </left>
      <right/>
      <top style="medium">
        <color auto="1"/>
      </top>
      <bottom/>
      <diagonal/>
    </border>
    <border>
      <left/>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style="medium">
        <color auto="1"/>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medium">
        <color auto="1"/>
      </right>
      <top style="thin">
        <color auto="1"/>
      </top>
      <bottom style="thin">
        <color auto="1"/>
      </bottom>
      <diagonal/>
    </border>
    <border>
      <left style="thin">
        <color rgb="FF000000"/>
      </left>
      <right style="thin">
        <color rgb="FF000000"/>
      </right>
      <top/>
      <bottom style="thin">
        <color rgb="FF000000"/>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bottom/>
      <diagonal/>
    </border>
    <border>
      <left style="thin">
        <color rgb="FF000000"/>
      </left>
      <right style="thin">
        <color rgb="FF000000"/>
      </right>
      <top style="thin">
        <color rgb="FF000000"/>
      </top>
      <bottom style="thin">
        <color rgb="FF000000"/>
      </bottom>
      <diagonal/>
    </border>
    <border>
      <left style="medium">
        <color auto="1"/>
      </left>
      <right style="medium">
        <color auto="1"/>
      </right>
      <top/>
      <bottom style="medium">
        <color auto="1"/>
      </bottom>
      <diagonal/>
    </border>
    <border>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top/>
      <bottom style="thin">
        <color auto="1"/>
      </bottom>
      <diagonal/>
    </border>
    <border>
      <left style="medium">
        <color auto="1"/>
      </left>
      <right style="medium">
        <color auto="1"/>
      </right>
      <top style="thin">
        <color auto="1"/>
      </top>
      <bottom style="thin">
        <color auto="1"/>
      </bottom>
      <diagonal/>
    </border>
    <border>
      <left style="medium">
        <color auto="1"/>
      </left>
      <right/>
      <top style="thin">
        <color auto="1"/>
      </top>
      <bottom style="thin">
        <color auto="1"/>
      </bottom>
      <diagonal/>
    </border>
    <border>
      <left/>
      <right style="medium">
        <color auto="1"/>
      </right>
      <top/>
      <bottom style="thin">
        <color auto="1"/>
      </bottom>
      <diagonal/>
    </border>
    <border>
      <left style="medium">
        <color auto="1"/>
      </left>
      <right/>
      <top/>
      <bottom style="medium">
        <color auto="1"/>
      </bottom>
      <diagonal/>
    </border>
    <border>
      <left/>
      <right/>
      <top style="medium">
        <color auto="1"/>
      </top>
      <bottom style="thin">
        <color auto="1"/>
      </bottom>
      <diagonal/>
    </border>
    <border>
      <left style="medium">
        <color auto="1"/>
      </left>
      <right style="medium">
        <color auto="1"/>
      </right>
      <top/>
      <bottom style="thin">
        <color auto="1"/>
      </bottom>
      <diagonal/>
    </border>
    <border>
      <left style="thin">
        <color rgb="FF000000"/>
      </left>
      <right/>
      <top style="thin">
        <color auto="1"/>
      </top>
      <bottom/>
      <diagonal/>
    </border>
    <border>
      <left style="thin">
        <color rgb="FF000000"/>
      </left>
      <right/>
      <top/>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medium">
        <color rgb="FF000000"/>
      </bottom>
      <diagonal/>
    </border>
    <border>
      <left style="medium">
        <color auto="1"/>
      </left>
      <right style="thin">
        <color auto="1"/>
      </right>
      <top style="medium">
        <color auto="1"/>
      </top>
      <bottom/>
      <diagonal/>
    </border>
    <border>
      <left/>
      <right style="thin">
        <color rgb="FF000000"/>
      </right>
      <top style="thin">
        <color auto="1"/>
      </top>
      <bottom/>
      <diagonal/>
    </border>
    <border>
      <left/>
      <right style="thin">
        <color rgb="FF000000"/>
      </right>
      <top/>
      <bottom/>
      <diagonal/>
    </border>
    <border>
      <left style="thin">
        <color indexed="9"/>
      </left>
      <right/>
      <top/>
      <bottom style="thin">
        <color theme="0"/>
      </bottom>
      <diagonal/>
    </border>
    <border>
      <left style="thin">
        <color indexed="9"/>
      </left>
      <right/>
      <top style="thin">
        <color theme="0"/>
      </top>
      <bottom style="thin">
        <color theme="0"/>
      </bottom>
      <diagonal/>
    </border>
    <border>
      <left/>
      <right/>
      <top style="thin">
        <color theme="0"/>
      </top>
      <bottom style="thin">
        <color theme="0"/>
      </bottom>
      <diagonal/>
    </border>
    <border>
      <left style="thin">
        <color indexed="9"/>
      </left>
      <right style="thin">
        <color indexed="9"/>
      </right>
      <top/>
      <bottom style="thin">
        <color indexed="9"/>
      </bottom>
      <diagonal/>
    </border>
    <border>
      <left style="thin">
        <color indexed="9"/>
      </left>
      <right/>
      <top/>
      <bottom style="thin">
        <color indexed="9"/>
      </bottom>
      <diagonal/>
    </border>
    <border>
      <left/>
      <right style="thin">
        <color rgb="FFFFFFFF"/>
      </right>
      <top/>
      <bottom/>
      <diagonal/>
    </border>
    <border>
      <left style="thin">
        <color rgb="FFFFFFFF"/>
      </left>
      <right style="thin">
        <color rgb="FFFFFFFF"/>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top/>
      <bottom/>
      <diagonal/>
    </border>
    <border>
      <left style="thin">
        <color theme="0"/>
      </left>
      <right/>
      <top style="thin">
        <color theme="0"/>
      </top>
      <bottom style="thin">
        <color theme="0"/>
      </bottom>
      <diagonal/>
    </border>
    <border>
      <left style="thin">
        <color indexed="9"/>
      </left>
      <right style="thin">
        <color indexed="9"/>
      </right>
      <top/>
      <bottom/>
      <diagonal/>
    </border>
    <border>
      <left/>
      <right/>
      <top/>
      <bottom style="thin">
        <color indexed="9"/>
      </bottom>
      <diagonal/>
    </border>
    <border>
      <left/>
      <right/>
      <top style="thin">
        <color indexed="9"/>
      </top>
      <bottom style="thin">
        <color indexed="9"/>
      </bottom>
      <diagonal/>
    </border>
    <border>
      <left style="thin">
        <color indexed="9"/>
      </left>
      <right style="thin">
        <color indexed="9"/>
      </right>
      <top style="thin">
        <color indexed="9"/>
      </top>
      <bottom/>
      <diagonal/>
    </border>
    <border>
      <left style="thin">
        <color indexed="9"/>
      </left>
      <right style="hair">
        <color indexed="22"/>
      </right>
      <top/>
      <bottom style="thin">
        <color indexed="9"/>
      </bottom>
      <diagonal/>
    </border>
    <border>
      <left style="hair">
        <color indexed="22"/>
      </left>
      <right/>
      <top/>
      <bottom style="hair">
        <color indexed="22"/>
      </bottom>
      <diagonal/>
    </border>
    <border>
      <left/>
      <right/>
      <top/>
      <bottom style="hair">
        <color indexed="22"/>
      </bottom>
      <diagonal/>
    </border>
    <border>
      <left style="thin">
        <color rgb="FFFFFFFF"/>
      </left>
      <right/>
      <top/>
      <bottom/>
      <diagonal/>
    </border>
    <border>
      <left/>
      <right style="hair">
        <color indexed="22"/>
      </right>
      <top/>
      <bottom style="thin">
        <color indexed="9"/>
      </bottom>
      <diagonal/>
    </border>
    <border>
      <left style="thin">
        <color indexed="9"/>
      </left>
      <right style="thin">
        <color indexed="9"/>
      </right>
      <top style="thin">
        <color theme="0"/>
      </top>
      <bottom/>
      <diagonal/>
    </border>
    <border>
      <left/>
      <right style="thin">
        <color theme="0"/>
      </right>
      <top/>
      <bottom style="thin">
        <color theme="0"/>
      </bottom>
      <diagonal/>
    </border>
    <border>
      <left style="thin">
        <color theme="0"/>
      </left>
      <right/>
      <top style="thin">
        <color theme="0"/>
      </top>
      <bottom/>
      <diagonal/>
    </border>
    <border>
      <left/>
      <right/>
      <top style="thin">
        <color theme="0"/>
      </top>
      <bottom style="thin">
        <color auto="1"/>
      </bottom>
      <diagonal/>
    </border>
    <border>
      <left/>
      <right style="thin">
        <color theme="0"/>
      </right>
      <top style="thin">
        <color theme="0"/>
      </top>
      <bottom style="thin">
        <color auto="1"/>
      </bottom>
      <diagonal/>
    </border>
    <border>
      <left style="thin">
        <color theme="0"/>
      </left>
      <right/>
      <top/>
      <bottom style="thin">
        <color theme="0"/>
      </bottom>
      <diagonal/>
    </border>
    <border>
      <left style="thin">
        <color theme="0"/>
      </left>
      <right/>
      <top/>
      <bottom/>
      <diagonal/>
    </border>
    <border>
      <left style="thin">
        <color theme="0"/>
      </left>
      <right/>
      <top style="thin">
        <color theme="0"/>
      </top>
      <bottom style="thin">
        <color auto="1"/>
      </bottom>
      <diagonal/>
    </border>
    <border>
      <left style="mediumDashDotDot">
        <color auto="1"/>
      </left>
      <right/>
      <top style="mediumDashDotDot">
        <color auto="1"/>
      </top>
      <bottom/>
      <diagonal/>
    </border>
    <border>
      <left/>
      <right/>
      <top style="mediumDashDotDot">
        <color auto="1"/>
      </top>
      <bottom/>
      <diagonal/>
    </border>
    <border>
      <left/>
      <right style="mediumDashDotDot">
        <color auto="1"/>
      </right>
      <top style="mediumDashDotDot">
        <color auto="1"/>
      </top>
      <bottom/>
      <diagonal/>
    </border>
    <border>
      <left style="mediumDashDotDot">
        <color auto="1"/>
      </left>
      <right/>
      <top/>
      <bottom/>
      <diagonal/>
    </border>
    <border>
      <left/>
      <right style="mediumDashDotDot">
        <color auto="1"/>
      </right>
      <top/>
      <bottom/>
      <diagonal/>
    </border>
    <border>
      <left/>
      <right/>
      <top/>
      <bottom style="mediumDashDot">
        <color auto="1"/>
      </bottom>
      <diagonal/>
    </border>
    <border>
      <left/>
      <right style="mediumDashDot">
        <color auto="1"/>
      </right>
      <top/>
      <bottom style="mediumDashDot">
        <color auto="1"/>
      </bottom>
      <diagonal/>
    </border>
    <border>
      <left style="mediumDashDot">
        <color auto="1"/>
      </left>
      <right/>
      <top style="mediumDashDot">
        <color auto="1"/>
      </top>
      <bottom/>
      <diagonal/>
    </border>
    <border>
      <left/>
      <right style="mediumDashDot">
        <color auto="1"/>
      </right>
      <top style="mediumDashDot">
        <color auto="1"/>
      </top>
      <bottom/>
      <diagonal/>
    </border>
    <border>
      <left/>
      <right/>
      <top style="mediumDashDot">
        <color auto="1"/>
      </top>
      <bottom/>
      <diagonal/>
    </border>
    <border>
      <left style="mediumDashDot">
        <color auto="1"/>
      </left>
      <right/>
      <top/>
      <bottom/>
      <diagonal/>
    </border>
    <border>
      <left/>
      <right style="mediumDashDot">
        <color auto="1"/>
      </right>
      <top/>
      <bottom/>
      <diagonal/>
    </border>
    <border>
      <left style="mediumDashDot">
        <color auto="1"/>
      </left>
      <right/>
      <top/>
      <bottom style="mediumDashDot">
        <color auto="1"/>
      </bottom>
      <diagonal/>
    </border>
    <border>
      <left style="thin">
        <color indexed="23"/>
      </left>
      <right style="thin">
        <color indexed="23"/>
      </right>
      <top style="thin">
        <color indexed="23"/>
      </top>
      <bottom style="thin">
        <color indexed="23"/>
      </bottom>
      <diagonal/>
    </border>
    <border>
      <left style="thin">
        <color rgb="FF7F7F7F"/>
      </left>
      <right style="thin">
        <color rgb="FF7F7F7F"/>
      </right>
      <top style="thin">
        <color rgb="FF7F7F7F"/>
      </top>
      <bottom style="thin">
        <color rgb="FF7F7F7F"/>
      </bottom>
      <diagonal/>
    </border>
    <border>
      <left style="thin">
        <color indexed="22"/>
      </left>
      <right style="thin">
        <color indexed="22"/>
      </right>
      <top style="thin">
        <color indexed="22"/>
      </top>
      <bottom style="thin">
        <color indexed="22"/>
      </bottom>
      <diagonal/>
    </border>
    <border>
      <left/>
      <right/>
      <top/>
      <bottom style="thick">
        <color indexed="54"/>
      </bottom>
      <diagonal/>
    </border>
    <border>
      <left/>
      <right/>
      <top style="thin">
        <color indexed="62"/>
      </top>
      <bottom style="double">
        <color indexed="62"/>
      </bottom>
      <diagonal/>
    </border>
    <border>
      <left style="thin">
        <color rgb="FFB2B2B2"/>
      </left>
      <right style="thin">
        <color rgb="FFB2B2B2"/>
      </right>
      <top style="thin">
        <color rgb="FFB2B2B2"/>
      </top>
      <bottom style="thin">
        <color rgb="FFB2B2B2"/>
      </bottom>
      <diagonal/>
    </border>
    <border>
      <left style="thin">
        <color indexed="63"/>
      </left>
      <right style="thin">
        <color indexed="63"/>
      </right>
      <top style="thin">
        <color indexed="63"/>
      </top>
      <bottom style="thin">
        <color indexed="63"/>
      </bottom>
      <diagonal/>
    </border>
    <border>
      <left/>
      <right/>
      <top/>
      <bottom style="medium">
        <color indexed="44"/>
      </bottom>
      <diagonal/>
    </border>
    <border>
      <left style="double">
        <color indexed="63"/>
      </left>
      <right style="double">
        <color indexed="63"/>
      </right>
      <top style="double">
        <color indexed="63"/>
      </top>
      <bottom style="double">
        <color indexed="63"/>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
      <left/>
      <right/>
      <top/>
      <bottom style="thick">
        <color indexed="22"/>
      </bottom>
      <diagonal/>
    </border>
    <border>
      <left/>
      <right/>
      <top/>
      <bottom style="double">
        <color indexed="52"/>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style="thin">
        <color indexed="54"/>
      </top>
      <bottom style="double">
        <color indexed="54"/>
      </bottom>
      <diagonal/>
    </border>
    <border>
      <left/>
      <right/>
      <top/>
      <bottom style="thick">
        <color indexed="49"/>
      </bottom>
      <diagonal/>
    </border>
    <border>
      <left/>
      <right/>
      <top/>
      <bottom style="thick">
        <color indexed="62"/>
      </bottom>
      <diagonal/>
    </border>
    <border>
      <left/>
      <right/>
      <top/>
      <bottom style="medium">
        <color indexed="30"/>
      </bottom>
      <diagonal/>
    </border>
  </borders>
  <cellStyleXfs count="417">
    <xf numFmtId="0" fontId="0" fillId="0" borderId="0"/>
    <xf numFmtId="42" fontId="0" fillId="0" borderId="0" applyFont="0" applyFill="0" applyBorder="0" applyAlignment="0" applyProtection="0">
      <alignment vertical="center"/>
    </xf>
    <xf numFmtId="0" fontId="84" fillId="68" borderId="0" applyNumberFormat="0" applyBorder="0" applyAlignment="0" applyProtection="0">
      <alignment vertical="center"/>
    </xf>
    <xf numFmtId="0" fontId="83" fillId="65" borderId="299" applyNumberFormat="0" applyAlignment="0" applyProtection="0">
      <alignment vertical="center"/>
    </xf>
    <xf numFmtId="44" fontId="0" fillId="0" borderId="0" applyFont="0" applyFill="0" applyBorder="0" applyAlignment="0" applyProtection="0">
      <alignment vertical="center"/>
    </xf>
    <xf numFmtId="0" fontId="76" fillId="73" borderId="0" applyNumberFormat="0" applyBorder="0" applyAlignment="0" applyProtection="0"/>
    <xf numFmtId="41" fontId="0" fillId="0" borderId="0" applyFont="0" applyFill="0" applyBorder="0" applyAlignment="0" applyProtection="0">
      <alignment vertical="center"/>
    </xf>
    <xf numFmtId="0" fontId="93" fillId="76" borderId="0" applyNumberFormat="0" applyBorder="0" applyAlignment="0" applyProtection="0">
      <alignment vertical="center"/>
    </xf>
    <xf numFmtId="0" fontId="76" fillId="59" borderId="0" applyNumberFormat="0" applyBorder="0" applyAlignment="0" applyProtection="0"/>
    <xf numFmtId="0" fontId="80" fillId="42" borderId="298" applyNumberFormat="0" applyAlignment="0" applyProtection="0">
      <alignment vertical="center"/>
    </xf>
    <xf numFmtId="0" fontId="100" fillId="76" borderId="298" applyNumberFormat="0" applyAlignment="0" applyProtection="0">
      <alignment vertical="center"/>
    </xf>
    <xf numFmtId="0" fontId="84" fillId="86" borderId="0" applyNumberFormat="0" applyBorder="0" applyAlignment="0" applyProtection="0">
      <alignment vertical="center"/>
    </xf>
    <xf numFmtId="0" fontId="104" fillId="87" borderId="0" applyNumberFormat="0" applyBorder="0" applyAlignment="0" applyProtection="0">
      <alignment vertical="center"/>
    </xf>
    <xf numFmtId="43" fontId="0" fillId="0" borderId="0" applyFont="0" applyFill="0" applyBorder="0" applyAlignment="0" applyProtection="0">
      <alignment vertical="center"/>
    </xf>
    <xf numFmtId="0" fontId="79" fillId="63" borderId="0" applyNumberFormat="0" applyBorder="0" applyAlignment="0" applyProtection="0">
      <alignment vertical="center"/>
    </xf>
    <xf numFmtId="177" fontId="78" fillId="0" borderId="1">
      <alignment horizontal="center" vertical="center"/>
      <protection locked="0"/>
    </xf>
    <xf numFmtId="0" fontId="93" fillId="82" borderId="0" applyNumberFormat="0" applyBorder="0" applyAlignment="0" applyProtection="0"/>
    <xf numFmtId="0" fontId="68" fillId="0" borderId="0" applyNumberFormat="0" applyFill="0" applyBorder="0" applyAlignment="0" applyProtection="0">
      <alignment vertical="top"/>
      <protection locked="0"/>
    </xf>
    <xf numFmtId="0" fontId="87" fillId="58" borderId="0" applyNumberFormat="0" applyBorder="0" applyAlignment="0" applyProtection="0">
      <alignment vertical="center"/>
    </xf>
    <xf numFmtId="9" fontId="51" fillId="0" borderId="0" applyFont="0" applyFill="0" applyBorder="0" applyAlignment="0" applyProtection="0">
      <alignment vertical="center"/>
    </xf>
    <xf numFmtId="0" fontId="94" fillId="77" borderId="0" applyNumberFormat="0" applyBorder="0" applyAlignment="0" applyProtection="0"/>
    <xf numFmtId="0" fontId="88" fillId="0" borderId="0" applyNumberFormat="0" applyFill="0" applyBorder="0" applyAlignment="0" applyProtection="0">
      <alignment vertical="center"/>
    </xf>
    <xf numFmtId="0" fontId="115" fillId="58" borderId="0" applyNumberFormat="0" applyBorder="0" applyAlignment="0" applyProtection="0">
      <alignment vertical="center"/>
    </xf>
    <xf numFmtId="0" fontId="6" fillId="0" borderId="0">
      <alignment vertical="center"/>
    </xf>
    <xf numFmtId="0" fontId="0" fillId="88" borderId="303" applyNumberFormat="0" applyFont="0" applyAlignment="0" applyProtection="0">
      <alignment vertical="center"/>
    </xf>
    <xf numFmtId="0" fontId="79" fillId="99" borderId="0" applyNumberFormat="0" applyBorder="0" applyAlignment="0" applyProtection="0">
      <alignment vertical="center"/>
    </xf>
    <xf numFmtId="0" fontId="102" fillId="0" borderId="0" applyNumberFormat="0" applyFill="0" applyBorder="0" applyAlignment="0" applyProtection="0">
      <alignment vertical="center"/>
    </xf>
    <xf numFmtId="0" fontId="125" fillId="0" borderId="0" applyNumberFormat="0" applyFill="0" applyBorder="0" applyAlignment="0" applyProtection="0">
      <alignment vertical="center"/>
    </xf>
    <xf numFmtId="0" fontId="110" fillId="0" borderId="0" applyNumberFormat="0" applyFill="0" applyBorder="0" applyAlignment="0" applyProtection="0">
      <alignment vertical="center"/>
    </xf>
    <xf numFmtId="0" fontId="101" fillId="0" borderId="0" applyNumberFormat="0" applyFill="0" applyBorder="0" applyAlignment="0" applyProtection="0">
      <alignment vertical="center"/>
    </xf>
    <xf numFmtId="9" fontId="77" fillId="0" borderId="0" applyFont="0" applyFill="0" applyBorder="0" applyAlignment="0" applyProtection="0">
      <alignment vertical="center"/>
    </xf>
    <xf numFmtId="0" fontId="127" fillId="0" borderId="313" applyNumberFormat="0" applyFill="0" applyAlignment="0" applyProtection="0">
      <alignment vertical="center"/>
    </xf>
    <xf numFmtId="9" fontId="10" fillId="0" borderId="0" applyFont="0" applyFill="0" applyBorder="0" applyAlignment="0" applyProtection="0"/>
    <xf numFmtId="0" fontId="130" fillId="0" borderId="313" applyNumberFormat="0" applyFill="0" applyAlignment="0" applyProtection="0">
      <alignment vertical="center"/>
    </xf>
    <xf numFmtId="0" fontId="95" fillId="0" borderId="0"/>
    <xf numFmtId="0" fontId="121" fillId="0" borderId="0"/>
    <xf numFmtId="0" fontId="93" fillId="93" borderId="0" applyNumberFormat="0" applyBorder="0" applyAlignment="0" applyProtection="0">
      <alignment vertical="center"/>
    </xf>
    <xf numFmtId="0" fontId="79" fillId="66" borderId="0" applyNumberFormat="0" applyBorder="0" applyAlignment="0" applyProtection="0">
      <alignment vertical="center"/>
    </xf>
    <xf numFmtId="0" fontId="102" fillId="0" borderId="308" applyNumberFormat="0" applyFill="0" applyAlignment="0" applyProtection="0">
      <alignment vertical="center"/>
    </xf>
    <xf numFmtId="0" fontId="79" fillId="67" borderId="0" applyNumberFormat="0" applyBorder="0" applyAlignment="0" applyProtection="0">
      <alignment vertical="center"/>
    </xf>
    <xf numFmtId="0" fontId="132" fillId="0" borderId="0" applyNumberFormat="0" applyFill="0" applyBorder="0" applyAlignment="0" applyProtection="0">
      <alignment vertical="top"/>
      <protection locked="0"/>
    </xf>
    <xf numFmtId="0" fontId="126" fillId="106" borderId="312" applyNumberFormat="0" applyAlignment="0" applyProtection="0">
      <alignment vertical="center"/>
    </xf>
    <xf numFmtId="0" fontId="121" fillId="0" borderId="0">
      <alignment vertical="center"/>
    </xf>
    <xf numFmtId="0" fontId="100" fillId="76" borderId="298" applyNumberFormat="0" applyAlignment="0" applyProtection="0"/>
    <xf numFmtId="0" fontId="136" fillId="106" borderId="299" applyNumberFormat="0" applyAlignment="0" applyProtection="0">
      <alignment vertical="center"/>
    </xf>
    <xf numFmtId="0" fontId="77" fillId="59" borderId="0" applyNumberFormat="0" applyBorder="0" applyAlignment="0" applyProtection="0">
      <alignment vertical="center"/>
    </xf>
    <xf numFmtId="0" fontId="129" fillId="112" borderId="314" applyNumberFormat="0" applyAlignment="0" applyProtection="0">
      <alignment vertical="center"/>
    </xf>
    <xf numFmtId="0" fontId="84" fillId="69" borderId="0" applyNumberFormat="0" applyBorder="0" applyAlignment="0" applyProtection="0">
      <alignment vertical="center"/>
    </xf>
    <xf numFmtId="0" fontId="79" fillId="107" borderId="0" applyNumberFormat="0" applyBorder="0" applyAlignment="0" applyProtection="0">
      <alignment vertical="center"/>
    </xf>
    <xf numFmtId="0" fontId="6" fillId="71" borderId="300" applyNumberFormat="0" applyFont="0" applyAlignment="0" applyProtection="0">
      <alignment vertical="center"/>
    </xf>
    <xf numFmtId="0" fontId="117" fillId="0" borderId="309" applyNumberFormat="0" applyFill="0" applyAlignment="0" applyProtection="0">
      <alignment vertical="center"/>
    </xf>
    <xf numFmtId="0" fontId="76" fillId="60" borderId="0" applyNumberFormat="0" applyBorder="0" applyAlignment="0" applyProtection="0">
      <alignment vertical="center"/>
    </xf>
    <xf numFmtId="0" fontId="114" fillId="0" borderId="307" applyNumberFormat="0" applyFill="0" applyAlignment="0" applyProtection="0">
      <alignment vertical="center"/>
    </xf>
    <xf numFmtId="0" fontId="12" fillId="0" borderId="0"/>
    <xf numFmtId="0" fontId="85" fillId="70" borderId="0" applyNumberFormat="0" applyBorder="0" applyAlignment="0" applyProtection="0">
      <alignment vertical="center"/>
    </xf>
    <xf numFmtId="0" fontId="111" fillId="0" borderId="305" applyNumberFormat="0" applyFill="0" applyAlignment="0" applyProtection="0"/>
    <xf numFmtId="0" fontId="81" fillId="64" borderId="0" applyNumberFormat="0" applyBorder="0" applyAlignment="0" applyProtection="0">
      <alignment vertical="center"/>
    </xf>
    <xf numFmtId="0" fontId="76" fillId="58" borderId="0" applyNumberFormat="0" applyBorder="0" applyAlignment="0" applyProtection="0">
      <alignment vertical="center"/>
    </xf>
    <xf numFmtId="0" fontId="84" fillId="116" borderId="0" applyNumberFormat="0" applyBorder="0" applyAlignment="0" applyProtection="0">
      <alignment vertical="center"/>
    </xf>
    <xf numFmtId="0" fontId="79" fillId="104" borderId="0" applyNumberFormat="0" applyBorder="0" applyAlignment="0" applyProtection="0">
      <alignment vertical="center"/>
    </xf>
    <xf numFmtId="0" fontId="137" fillId="60" borderId="0" applyNumberFormat="0" applyBorder="0" applyAlignment="0" applyProtection="0">
      <alignment vertical="center"/>
    </xf>
    <xf numFmtId="0" fontId="84" fillId="114" borderId="0" applyNumberFormat="0" applyBorder="0" applyAlignment="0" applyProtection="0">
      <alignment vertical="center"/>
    </xf>
    <xf numFmtId="0" fontId="76" fillId="60" borderId="0" applyNumberFormat="0" applyBorder="0" applyAlignment="0" applyProtection="0"/>
    <xf numFmtId="0" fontId="84" fillId="109" borderId="0" applyNumberFormat="0" applyBorder="0" applyAlignment="0" applyProtection="0">
      <alignment vertical="center"/>
    </xf>
    <xf numFmtId="0" fontId="134" fillId="42" borderId="304" applyNumberFormat="0" applyAlignment="0" applyProtection="0">
      <alignment vertical="center"/>
    </xf>
    <xf numFmtId="0" fontId="132" fillId="0" borderId="0" applyNumberFormat="0" applyFill="0" applyBorder="0" applyAlignment="0" applyProtection="0">
      <alignment vertical="top"/>
      <protection locked="0"/>
    </xf>
    <xf numFmtId="0" fontId="84" fillId="115" borderId="0" applyNumberFormat="0" applyBorder="0" applyAlignment="0" applyProtection="0">
      <alignment vertical="center"/>
    </xf>
    <xf numFmtId="0" fontId="76" fillId="58" borderId="0" applyNumberFormat="0" applyBorder="0" applyAlignment="0" applyProtection="0"/>
    <xf numFmtId="0" fontId="84" fillId="111" borderId="0" applyNumberFormat="0" applyBorder="0" applyAlignment="0" applyProtection="0">
      <alignment vertical="center"/>
    </xf>
    <xf numFmtId="0" fontId="76" fillId="73" borderId="0" applyNumberFormat="0" applyBorder="0" applyAlignment="0" applyProtection="0">
      <alignment vertical="center"/>
    </xf>
    <xf numFmtId="0" fontId="79" fillId="97" borderId="0" applyNumberFormat="0" applyBorder="0" applyAlignment="0" applyProtection="0">
      <alignment vertical="center"/>
    </xf>
    <xf numFmtId="0" fontId="79" fillId="103" borderId="0" applyNumberFormat="0" applyBorder="0" applyAlignment="0" applyProtection="0">
      <alignment vertical="center"/>
    </xf>
    <xf numFmtId="0" fontId="76" fillId="81" borderId="0" applyNumberFormat="0" applyBorder="0" applyAlignment="0" applyProtection="0">
      <alignment vertical="center"/>
    </xf>
    <xf numFmtId="0" fontId="76" fillId="48" borderId="0" applyNumberFormat="0" applyBorder="0" applyAlignment="0" applyProtection="0">
      <alignment vertical="center"/>
    </xf>
    <xf numFmtId="37" fontId="109" fillId="0" borderId="0"/>
    <xf numFmtId="0" fontId="108" fillId="92" borderId="298" applyNumberFormat="0" applyAlignment="0" applyProtection="0">
      <alignment vertical="center"/>
    </xf>
    <xf numFmtId="0" fontId="121" fillId="0" borderId="0">
      <alignment vertical="center"/>
    </xf>
    <xf numFmtId="0" fontId="84" fillId="113" borderId="0" applyNumberFormat="0" applyBorder="0" applyAlignment="0" applyProtection="0">
      <alignment vertical="center"/>
    </xf>
    <xf numFmtId="0" fontId="100" fillId="76" borderId="298" applyNumberFormat="0" applyAlignment="0" applyProtection="0"/>
    <xf numFmtId="0" fontId="84" fillId="108" borderId="0" applyNumberFormat="0" applyBorder="0" applyAlignment="0" applyProtection="0">
      <alignment vertical="center"/>
    </xf>
    <xf numFmtId="0" fontId="79" fillId="105" borderId="0" applyNumberFormat="0" applyBorder="0" applyAlignment="0" applyProtection="0">
      <alignment vertical="center"/>
    </xf>
    <xf numFmtId="0" fontId="100" fillId="76" borderId="298" applyNumberFormat="0" applyAlignment="0" applyProtection="0"/>
    <xf numFmtId="0" fontId="84" fillId="110" borderId="0" applyNumberFormat="0" applyBorder="0" applyAlignment="0" applyProtection="0">
      <alignment vertical="center"/>
    </xf>
    <xf numFmtId="0" fontId="78" fillId="119" borderId="1">
      <alignment horizontal="center" vertical="center"/>
    </xf>
    <xf numFmtId="0" fontId="79" fillId="98" borderId="0" applyNumberFormat="0" applyBorder="0" applyAlignment="0" applyProtection="0">
      <alignment vertical="center"/>
    </xf>
    <xf numFmtId="0" fontId="79" fillId="96" borderId="0" applyNumberFormat="0" applyBorder="0" applyAlignment="0" applyProtection="0">
      <alignment vertical="center"/>
    </xf>
    <xf numFmtId="0" fontId="139" fillId="120" borderId="0" applyNumberFormat="0" applyBorder="0" applyAlignment="0" applyProtection="0">
      <alignment vertical="center"/>
    </xf>
    <xf numFmtId="0" fontId="111" fillId="0" borderId="305" applyNumberFormat="0" applyFill="0" applyAlignment="0" applyProtection="0">
      <alignment vertical="center"/>
    </xf>
    <xf numFmtId="0" fontId="84" fillId="85" borderId="0" applyNumberFormat="0" applyBorder="0" applyAlignment="0" applyProtection="0">
      <alignment vertical="center"/>
    </xf>
    <xf numFmtId="0" fontId="78" fillId="121" borderId="1">
      <alignment horizontal="center" vertical="center"/>
    </xf>
    <xf numFmtId="0" fontId="79" fillId="62" borderId="0" applyNumberFormat="0" applyBorder="0" applyAlignment="0" applyProtection="0">
      <alignment vertical="center"/>
    </xf>
    <xf numFmtId="0" fontId="94" fillId="84" borderId="0" applyNumberFormat="0" applyBorder="0" applyAlignment="0" applyProtection="0">
      <alignment vertical="center"/>
    </xf>
    <xf numFmtId="0" fontId="121" fillId="0" borderId="0"/>
    <xf numFmtId="0" fontId="76" fillId="81" borderId="0" applyNumberFormat="0" applyBorder="0" applyAlignment="0" applyProtection="0"/>
    <xf numFmtId="0" fontId="76" fillId="48" borderId="0" applyNumberFormat="0" applyBorder="0" applyAlignment="0" applyProtection="0"/>
    <xf numFmtId="0" fontId="108" fillId="92" borderId="298" applyNumberFormat="0" applyAlignment="0" applyProtection="0"/>
    <xf numFmtId="0" fontId="121" fillId="0" borderId="0"/>
    <xf numFmtId="0" fontId="121" fillId="0" borderId="0">
      <alignment vertical="center"/>
    </xf>
    <xf numFmtId="0" fontId="140" fillId="0" borderId="310" applyNumberFormat="0" applyFill="0" applyAlignment="0" applyProtection="0">
      <alignment vertical="center"/>
    </xf>
    <xf numFmtId="38" fontId="91" fillId="42" borderId="0" applyNumberFormat="0" applyBorder="0" applyAlignment="0" applyProtection="0"/>
    <xf numFmtId="0" fontId="95" fillId="0" borderId="0">
      <alignment vertical="center"/>
    </xf>
    <xf numFmtId="0" fontId="6" fillId="0" borderId="0">
      <alignment vertical="center"/>
    </xf>
    <xf numFmtId="0" fontId="76" fillId="59" borderId="0" applyNumberFormat="0" applyBorder="0" applyAlignment="0" applyProtection="0">
      <alignment vertical="center"/>
    </xf>
    <xf numFmtId="0" fontId="76" fillId="117" borderId="0" applyNumberFormat="0" applyBorder="0" applyAlignment="0" applyProtection="0"/>
    <xf numFmtId="0" fontId="76" fillId="117" borderId="0" applyNumberFormat="0" applyBorder="0" applyAlignment="0" applyProtection="0">
      <alignment vertical="center"/>
    </xf>
    <xf numFmtId="0" fontId="76" fillId="61" borderId="0" applyNumberFormat="0" applyBorder="0" applyAlignment="0" applyProtection="0"/>
    <xf numFmtId="0" fontId="76" fillId="61" borderId="0" applyNumberFormat="0" applyBorder="0" applyAlignment="0" applyProtection="0">
      <alignment vertical="center"/>
    </xf>
    <xf numFmtId="0" fontId="77" fillId="48" borderId="0" applyNumberFormat="0" applyBorder="0" applyAlignment="0" applyProtection="0">
      <alignment vertical="center"/>
    </xf>
    <xf numFmtId="0" fontId="134" fillId="42" borderId="304" applyNumberFormat="0" applyAlignment="0" applyProtection="0">
      <alignment vertical="center"/>
    </xf>
    <xf numFmtId="0" fontId="51" fillId="0" borderId="0">
      <alignment vertical="center"/>
    </xf>
    <xf numFmtId="0" fontId="77" fillId="60" borderId="0" applyNumberFormat="0" applyBorder="0" applyAlignment="0" applyProtection="0">
      <alignment vertical="center"/>
    </xf>
    <xf numFmtId="0" fontId="120" fillId="0" borderId="310" applyNumberFormat="0" applyFill="0" applyAlignment="0" applyProtection="0"/>
    <xf numFmtId="0" fontId="77" fillId="58" borderId="0" applyNumberFormat="0" applyBorder="0" applyAlignment="0" applyProtection="0">
      <alignment vertical="center"/>
    </xf>
    <xf numFmtId="0" fontId="51" fillId="0" borderId="0">
      <alignment vertical="center"/>
    </xf>
    <xf numFmtId="0" fontId="77" fillId="59" borderId="0" applyNumberFormat="0" applyBorder="0" applyAlignment="0" applyProtection="0">
      <alignment vertical="center"/>
    </xf>
    <xf numFmtId="0" fontId="78" fillId="61" borderId="1">
      <alignment horizontal="center" vertical="center"/>
    </xf>
    <xf numFmtId="0" fontId="77" fillId="117" borderId="0" applyNumberFormat="0" applyBorder="0" applyAlignment="0" applyProtection="0">
      <alignment vertical="center"/>
    </xf>
    <xf numFmtId="0" fontId="77" fillId="61" borderId="0" applyNumberFormat="0" applyBorder="0" applyAlignment="0" applyProtection="0">
      <alignment vertical="center"/>
    </xf>
    <xf numFmtId="0" fontId="76" fillId="37" borderId="0" applyNumberFormat="0" applyBorder="0" applyAlignment="0" applyProtection="0"/>
    <xf numFmtId="0" fontId="76" fillId="37" borderId="0" applyNumberFormat="0" applyBorder="0" applyAlignment="0" applyProtection="0">
      <alignment vertical="center"/>
    </xf>
    <xf numFmtId="0" fontId="76" fillId="91" borderId="0" applyNumberFormat="0" applyBorder="0" applyAlignment="0" applyProtection="0"/>
    <xf numFmtId="0" fontId="76" fillId="91" borderId="0" applyNumberFormat="0" applyBorder="0" applyAlignment="0" applyProtection="0">
      <alignment vertical="center"/>
    </xf>
    <xf numFmtId="0" fontId="76" fillId="40" borderId="0" applyNumberFormat="0" applyBorder="0" applyAlignment="0" applyProtection="0"/>
    <xf numFmtId="0" fontId="76" fillId="40" borderId="0" applyNumberFormat="0" applyBorder="0" applyAlignment="0" applyProtection="0">
      <alignment vertical="center"/>
    </xf>
    <xf numFmtId="0" fontId="122" fillId="0" borderId="0" applyNumberFormat="0" applyFill="0" applyBorder="0" applyAlignment="0" applyProtection="0">
      <alignment vertical="top"/>
      <protection locked="0"/>
    </xf>
    <xf numFmtId="186" fontId="112" fillId="0" borderId="0"/>
    <xf numFmtId="0" fontId="76" fillId="59" borderId="0" applyNumberFormat="0" applyBorder="0" applyAlignment="0" applyProtection="0"/>
    <xf numFmtId="0" fontId="122" fillId="0" borderId="0" applyNumberFormat="0" applyFill="0" applyBorder="0" applyAlignment="0" applyProtection="0">
      <alignment vertical="top"/>
      <protection locked="0"/>
    </xf>
    <xf numFmtId="186" fontId="112" fillId="0" borderId="0">
      <alignment vertical="center"/>
    </xf>
    <xf numFmtId="0" fontId="76" fillId="59" borderId="0" applyNumberFormat="0" applyBorder="0" applyAlignment="0" applyProtection="0">
      <alignment vertical="center"/>
    </xf>
    <xf numFmtId="0" fontId="143" fillId="0" borderId="0" applyNumberFormat="0" applyFill="0" applyBorder="0" applyAlignment="0" applyProtection="0">
      <alignment vertical="center"/>
    </xf>
    <xf numFmtId="0" fontId="76" fillId="37" borderId="0" applyNumberFormat="0" applyBorder="0" applyAlignment="0" applyProtection="0"/>
    <xf numFmtId="0" fontId="76" fillId="37" borderId="0" applyNumberFormat="0" applyBorder="0" applyAlignment="0" applyProtection="0">
      <alignment vertical="center"/>
    </xf>
    <xf numFmtId="176" fontId="133" fillId="0" borderId="0" applyFont="0" applyFill="0" applyBorder="0" applyAlignment="0" applyProtection="0"/>
    <xf numFmtId="0" fontId="76" fillId="75" borderId="0" applyNumberFormat="0" applyBorder="0" applyAlignment="0" applyProtection="0"/>
    <xf numFmtId="0" fontId="6" fillId="0" borderId="0">
      <alignment vertical="center"/>
    </xf>
    <xf numFmtId="0" fontId="76" fillId="75" borderId="0" applyNumberFormat="0" applyBorder="0" applyAlignment="0" applyProtection="0">
      <alignment vertical="center"/>
    </xf>
    <xf numFmtId="0" fontId="82" fillId="0" borderId="0"/>
    <xf numFmtId="0" fontId="77" fillId="37" borderId="0" applyNumberFormat="0" applyBorder="0" applyAlignment="0" applyProtection="0">
      <alignment vertical="center"/>
    </xf>
    <xf numFmtId="0" fontId="77" fillId="91" borderId="0" applyNumberFormat="0" applyBorder="0" applyAlignment="0" applyProtection="0">
      <alignment vertical="center"/>
    </xf>
    <xf numFmtId="0" fontId="80" fillId="42" borderId="298" applyNumberFormat="0" applyAlignment="0" applyProtection="0">
      <alignment vertical="center"/>
    </xf>
    <xf numFmtId="0" fontId="100" fillId="76" borderId="298" applyNumberFormat="0" applyAlignment="0" applyProtection="0">
      <alignment vertical="center"/>
    </xf>
    <xf numFmtId="0" fontId="77" fillId="40" borderId="0" applyNumberFormat="0" applyBorder="0" applyAlignment="0" applyProtection="0">
      <alignment vertical="center"/>
    </xf>
    <xf numFmtId="0" fontId="77" fillId="37" borderId="0" applyNumberFormat="0" applyBorder="0" applyAlignment="0" applyProtection="0">
      <alignment vertical="center"/>
    </xf>
    <xf numFmtId="0" fontId="77" fillId="75" borderId="0" applyNumberFormat="0" applyBorder="0" applyAlignment="0" applyProtection="0">
      <alignment vertical="center"/>
    </xf>
    <xf numFmtId="0" fontId="93" fillId="36" borderId="0" applyNumberFormat="0" applyBorder="0" applyAlignment="0" applyProtection="0"/>
    <xf numFmtId="0" fontId="93" fillId="36" borderId="0" applyNumberFormat="0" applyBorder="0" applyAlignment="0" applyProtection="0">
      <alignment vertical="center"/>
    </xf>
    <xf numFmtId="0" fontId="6" fillId="0" borderId="0"/>
    <xf numFmtId="0" fontId="145" fillId="0" borderId="0" applyNumberFormat="0" applyFill="0" applyBorder="0" applyAlignment="0" applyProtection="0">
      <alignment vertical="center"/>
    </xf>
    <xf numFmtId="0" fontId="93" fillId="91" borderId="0" applyNumberFormat="0" applyBorder="0" applyAlignment="0" applyProtection="0"/>
    <xf numFmtId="0" fontId="6" fillId="0" borderId="0">
      <alignment vertical="center"/>
    </xf>
    <xf numFmtId="0" fontId="93" fillId="91" borderId="0" applyNumberFormat="0" applyBorder="0" applyAlignment="0" applyProtection="0">
      <alignment vertical="center"/>
    </xf>
    <xf numFmtId="0" fontId="6" fillId="0" borderId="0"/>
    <xf numFmtId="0" fontId="93" fillId="40" borderId="0" applyNumberFormat="0" applyBorder="0" applyAlignment="0" applyProtection="0"/>
    <xf numFmtId="0" fontId="6" fillId="0" borderId="0">
      <alignment vertical="center"/>
    </xf>
    <xf numFmtId="0" fontId="99" fillId="79" borderId="0" applyNumberFormat="0" applyBorder="0" applyAlignment="0" applyProtection="0"/>
    <xf numFmtId="0" fontId="93" fillId="40" borderId="0" applyNumberFormat="0" applyBorder="0" applyAlignment="0" applyProtection="0">
      <alignment vertical="center"/>
    </xf>
    <xf numFmtId="0" fontId="6" fillId="0" borderId="0"/>
    <xf numFmtId="0" fontId="93" fillId="90" borderId="0" applyNumberFormat="0" applyBorder="0" applyAlignment="0" applyProtection="0"/>
    <xf numFmtId="0" fontId="6" fillId="0" borderId="0">
      <alignment vertical="center"/>
    </xf>
    <xf numFmtId="0" fontId="93" fillId="90" borderId="0" applyNumberFormat="0" applyBorder="0" applyAlignment="0" applyProtection="0">
      <alignment vertical="center"/>
    </xf>
    <xf numFmtId="0" fontId="86" fillId="90" borderId="0" applyNumberFormat="0" applyBorder="0" applyAlignment="0" applyProtection="0">
      <alignment vertical="center"/>
    </xf>
    <xf numFmtId="0" fontId="77" fillId="0" borderId="0">
      <alignment vertical="center"/>
    </xf>
    <xf numFmtId="0" fontId="93" fillId="83" borderId="0" applyNumberFormat="0" applyBorder="0" applyAlignment="0" applyProtection="0"/>
    <xf numFmtId="0" fontId="93" fillId="83" borderId="0" applyNumberFormat="0" applyBorder="0" applyAlignment="0" applyProtection="0">
      <alignment vertical="center"/>
    </xf>
    <xf numFmtId="0" fontId="51" fillId="0" borderId="0">
      <alignment vertical="center"/>
    </xf>
    <xf numFmtId="0" fontId="93" fillId="74" borderId="0" applyNumberFormat="0" applyBorder="0" applyAlignment="0" applyProtection="0"/>
    <xf numFmtId="0" fontId="93" fillId="74" borderId="0" applyNumberFormat="0" applyBorder="0" applyAlignment="0" applyProtection="0">
      <alignment vertical="center"/>
    </xf>
    <xf numFmtId="0" fontId="111" fillId="0" borderId="0" applyNumberFormat="0" applyFill="0" applyBorder="0" applyAlignment="0" applyProtection="0"/>
    <xf numFmtId="0" fontId="86" fillId="36" borderId="0" applyNumberFormat="0" applyBorder="0" applyAlignment="0" applyProtection="0">
      <alignment vertical="center"/>
    </xf>
    <xf numFmtId="0" fontId="6" fillId="0" borderId="0">
      <alignment vertical="center"/>
    </xf>
    <xf numFmtId="0" fontId="86" fillId="91" borderId="0" applyNumberFormat="0" applyBorder="0" applyAlignment="0" applyProtection="0">
      <alignment vertical="center"/>
    </xf>
    <xf numFmtId="0" fontId="86" fillId="40" borderId="0" applyNumberFormat="0" applyBorder="0" applyAlignment="0" applyProtection="0">
      <alignment vertical="center"/>
    </xf>
    <xf numFmtId="0" fontId="119" fillId="102" borderId="0" applyNumberFormat="0" applyBorder="0" applyAlignment="0" applyProtection="0"/>
    <xf numFmtId="0" fontId="86" fillId="90" borderId="0" applyNumberFormat="0" applyBorder="0" applyAlignment="0" applyProtection="0">
      <alignment vertical="center"/>
    </xf>
    <xf numFmtId="0" fontId="78" fillId="119" borderId="1">
      <alignment horizontal="center" vertical="center"/>
    </xf>
    <xf numFmtId="0" fontId="86" fillId="83" borderId="0" applyNumberFormat="0" applyBorder="0" applyAlignment="0" applyProtection="0">
      <alignment vertical="center"/>
    </xf>
    <xf numFmtId="0" fontId="86" fillId="74" borderId="0" applyNumberFormat="0" applyBorder="0" applyAlignment="0" applyProtection="0">
      <alignment vertical="center"/>
    </xf>
    <xf numFmtId="189" fontId="133" fillId="0" borderId="0" applyFont="0" applyFill="0" applyBorder="0" applyAlignment="0" applyProtection="0"/>
    <xf numFmtId="0" fontId="93" fillId="89" borderId="0" applyNumberFormat="0" applyBorder="0" applyAlignment="0" applyProtection="0"/>
    <xf numFmtId="0" fontId="76" fillId="81" borderId="0" applyNumberFormat="0" applyBorder="0" applyAlignment="0" applyProtection="0"/>
    <xf numFmtId="0" fontId="76" fillId="81" borderId="0" applyNumberFormat="0" applyBorder="0" applyAlignment="0" applyProtection="0">
      <alignment vertical="center"/>
    </xf>
    <xf numFmtId="0" fontId="93" fillId="80" borderId="0" applyNumberFormat="0" applyBorder="0" applyAlignment="0" applyProtection="0"/>
    <xf numFmtId="0" fontId="93" fillId="80" borderId="0" applyNumberFormat="0" applyBorder="0" applyAlignment="0" applyProtection="0">
      <alignment vertical="center"/>
    </xf>
    <xf numFmtId="0" fontId="93" fillId="89" borderId="0" applyNumberFormat="0" applyBorder="0" applyAlignment="0" applyProtection="0">
      <alignment vertical="center"/>
    </xf>
    <xf numFmtId="0" fontId="115" fillId="58" borderId="0" applyNumberFormat="0" applyBorder="0" applyAlignment="0" applyProtection="0">
      <alignment vertical="center"/>
    </xf>
    <xf numFmtId="178" fontId="95" fillId="0" borderId="0">
      <alignment horizontal="justify" vertical="center"/>
    </xf>
    <xf numFmtId="0" fontId="93" fillId="101" borderId="0" applyNumberFormat="0" applyBorder="0" applyAlignment="0" applyProtection="0"/>
    <xf numFmtId="0" fontId="76" fillId="78" borderId="0" applyNumberFormat="0" applyBorder="0" applyAlignment="0" applyProtection="0"/>
    <xf numFmtId="0" fontId="76" fillId="78" borderId="0" applyNumberFormat="0" applyBorder="0" applyAlignment="0" applyProtection="0">
      <alignment vertical="center"/>
    </xf>
    <xf numFmtId="177" fontId="78" fillId="0" borderId="1">
      <alignment horizontal="center" vertical="center"/>
      <protection locked="0"/>
    </xf>
    <xf numFmtId="0" fontId="131" fillId="0" borderId="0" applyNumberFormat="0" applyFill="0" applyBorder="0" applyProtection="0">
      <alignment vertical="center"/>
    </xf>
    <xf numFmtId="0" fontId="93" fillId="82" borderId="0" applyNumberFormat="0" applyBorder="0" applyAlignment="0" applyProtection="0">
      <alignment vertical="center"/>
    </xf>
    <xf numFmtId="0" fontId="115" fillId="58" borderId="0" applyNumberFormat="0" applyBorder="0" applyAlignment="0" applyProtection="0">
      <alignment vertical="center"/>
    </xf>
    <xf numFmtId="0" fontId="93" fillId="101" borderId="0" applyNumberFormat="0" applyBorder="0" applyAlignment="0" applyProtection="0">
      <alignment vertical="center"/>
    </xf>
    <xf numFmtId="0" fontId="93" fillId="118" borderId="0" applyNumberFormat="0" applyBorder="0" applyAlignment="0" applyProtection="0"/>
    <xf numFmtId="0" fontId="93" fillId="82" borderId="0" applyNumberFormat="0" applyBorder="0" applyAlignment="0" applyProtection="0"/>
    <xf numFmtId="0" fontId="93" fillId="94" borderId="0" applyNumberFormat="0" applyBorder="0" applyAlignment="0" applyProtection="0">
      <alignment vertical="center"/>
    </xf>
    <xf numFmtId="0" fontId="76" fillId="78" borderId="0" applyNumberFormat="0" applyBorder="0" applyAlignment="0" applyProtection="0"/>
    <xf numFmtId="0" fontId="76" fillId="78" borderId="0" applyNumberFormat="0" applyBorder="0" applyAlignment="0" applyProtection="0">
      <alignment vertical="center"/>
    </xf>
    <xf numFmtId="0" fontId="76" fillId="95" borderId="0" applyNumberFormat="0" applyBorder="0" applyAlignment="0" applyProtection="0"/>
    <xf numFmtId="0" fontId="76" fillId="95" borderId="0" applyNumberFormat="0" applyBorder="0" applyAlignment="0" applyProtection="0">
      <alignment vertical="center"/>
    </xf>
    <xf numFmtId="0" fontId="94" fillId="77" borderId="0" applyNumberFormat="0" applyBorder="0" applyAlignment="0" applyProtection="0">
      <alignment vertical="center"/>
    </xf>
    <xf numFmtId="0" fontId="93" fillId="73" borderId="0" applyNumberFormat="0" applyBorder="0" applyAlignment="0" applyProtection="0"/>
    <xf numFmtId="0" fontId="93" fillId="73" borderId="0" applyNumberFormat="0" applyBorder="0" applyAlignment="0" applyProtection="0">
      <alignment vertical="center"/>
    </xf>
    <xf numFmtId="0" fontId="93" fillId="82" borderId="0" applyNumberFormat="0" applyBorder="0" applyAlignment="0" applyProtection="0">
      <alignment vertical="center"/>
    </xf>
    <xf numFmtId="0" fontId="93" fillId="89" borderId="0" applyNumberFormat="0" applyBorder="0" applyAlignment="0" applyProtection="0"/>
    <xf numFmtId="9" fontId="6" fillId="0" borderId="0" applyFont="0" applyFill="0" applyBorder="0" applyAlignment="0" applyProtection="0">
      <alignment vertical="center"/>
    </xf>
    <xf numFmtId="0" fontId="76" fillId="81" borderId="0" applyNumberFormat="0" applyBorder="0" applyAlignment="0" applyProtection="0"/>
    <xf numFmtId="0" fontId="76" fillId="81" borderId="0" applyNumberFormat="0" applyBorder="0" applyAlignment="0" applyProtection="0">
      <alignment vertical="center"/>
    </xf>
    <xf numFmtId="0" fontId="76" fillId="73" borderId="0" applyNumberFormat="0" applyBorder="0" applyAlignment="0" applyProtection="0"/>
    <xf numFmtId="0" fontId="6" fillId="0" borderId="0">
      <alignment vertical="center"/>
    </xf>
    <xf numFmtId="0" fontId="76" fillId="76" borderId="0" applyNumberFormat="0" applyBorder="0" applyAlignment="0" applyProtection="0"/>
    <xf numFmtId="0" fontId="76" fillId="73" borderId="0" applyNumberFormat="0" applyBorder="0" applyAlignment="0" applyProtection="0">
      <alignment vertical="center"/>
    </xf>
    <xf numFmtId="0" fontId="93" fillId="73" borderId="0" applyNumberFormat="0" applyBorder="0" applyAlignment="0" applyProtection="0"/>
    <xf numFmtId="0" fontId="93" fillId="73" borderId="0" applyNumberFormat="0" applyBorder="0" applyAlignment="0" applyProtection="0">
      <alignment vertical="center"/>
    </xf>
    <xf numFmtId="0" fontId="93" fillId="93" borderId="0" applyNumberFormat="0" applyBorder="0" applyAlignment="0" applyProtection="0"/>
    <xf numFmtId="0" fontId="93" fillId="89" borderId="0" applyNumberFormat="0" applyBorder="0" applyAlignment="0" applyProtection="0">
      <alignment vertical="center"/>
    </xf>
    <xf numFmtId="0" fontId="93" fillId="94" borderId="0" applyNumberFormat="0" applyBorder="0" applyAlignment="0" applyProtection="0"/>
    <xf numFmtId="0" fontId="76" fillId="72" borderId="0" applyNumberFormat="0" applyBorder="0" applyAlignment="0" applyProtection="0"/>
    <xf numFmtId="0" fontId="76" fillId="72" borderId="0" applyNumberFormat="0" applyBorder="0" applyAlignment="0" applyProtection="0">
      <alignment vertical="center"/>
    </xf>
    <xf numFmtId="0" fontId="76" fillId="81" borderId="0" applyNumberFormat="0" applyBorder="0" applyAlignment="0" applyProtection="0"/>
    <xf numFmtId="0" fontId="89" fillId="0" borderId="0" applyNumberFormat="0" applyFill="0" applyBorder="0" applyAlignment="0" applyProtection="0"/>
    <xf numFmtId="0" fontId="76" fillId="81" borderId="0" applyNumberFormat="0" applyBorder="0" applyAlignment="0" applyProtection="0">
      <alignment vertical="center"/>
    </xf>
    <xf numFmtId="0" fontId="82" fillId="0" borderId="0"/>
    <xf numFmtId="0" fontId="93" fillId="80" borderId="0" applyNumberFormat="0" applyBorder="0" applyAlignment="0" applyProtection="0"/>
    <xf numFmtId="0" fontId="82" fillId="0" borderId="0">
      <alignment vertical="center"/>
    </xf>
    <xf numFmtId="0" fontId="93" fillId="80" borderId="0" applyNumberFormat="0" applyBorder="0" applyAlignment="0" applyProtection="0">
      <alignment vertical="center"/>
    </xf>
    <xf numFmtId="0" fontId="78" fillId="0" borderId="1">
      <alignment vertical="center" wrapText="1"/>
      <protection locked="0"/>
    </xf>
    <xf numFmtId="0" fontId="146" fillId="61" borderId="298" applyNumberFormat="0" applyAlignment="0" applyProtection="0">
      <alignment vertical="center"/>
    </xf>
    <xf numFmtId="0" fontId="76" fillId="78" borderId="0" applyNumberFormat="0" applyBorder="0" applyAlignment="0" applyProtection="0"/>
    <xf numFmtId="0" fontId="76" fillId="78" borderId="0" applyNumberFormat="0" applyBorder="0" applyAlignment="0" applyProtection="0">
      <alignment vertical="center"/>
    </xf>
    <xf numFmtId="0" fontId="76" fillId="76" borderId="0" applyNumberFormat="0" applyBorder="0" applyAlignment="0" applyProtection="0">
      <alignment vertical="center"/>
    </xf>
    <xf numFmtId="0" fontId="93" fillId="76" borderId="0" applyNumberFormat="0" applyBorder="0" applyAlignment="0" applyProtection="0"/>
    <xf numFmtId="0" fontId="99" fillId="79" borderId="0" applyNumberFormat="0" applyBorder="0" applyAlignment="0" applyProtection="0">
      <alignment vertical="center"/>
    </xf>
    <xf numFmtId="188" fontId="118" fillId="0" borderId="0" applyFill="0" applyBorder="0" applyAlignment="0"/>
    <xf numFmtId="188" fontId="118" fillId="0" borderId="0" applyFill="0" applyBorder="0" applyAlignment="0">
      <alignment vertical="center"/>
    </xf>
    <xf numFmtId="0" fontId="148" fillId="0" borderId="0" applyNumberFormat="0" applyFill="0" applyBorder="0" applyAlignment="0" applyProtection="0"/>
    <xf numFmtId="0" fontId="150" fillId="0" borderId="0" applyNumberFormat="0" applyFill="0">
      <alignment horizontal="left" vertical="center"/>
    </xf>
    <xf numFmtId="37" fontId="109" fillId="0" borderId="0">
      <alignment vertical="center"/>
    </xf>
    <xf numFmtId="0" fontId="108" fillId="92" borderId="298" applyNumberFormat="0" applyAlignment="0" applyProtection="0">
      <alignment vertical="center"/>
    </xf>
    <xf numFmtId="0" fontId="6" fillId="71" borderId="300" applyNumberFormat="0" applyFont="0" applyAlignment="0" applyProtection="0">
      <alignment vertical="center"/>
    </xf>
    <xf numFmtId="0" fontId="108" fillId="92" borderId="298" applyNumberFormat="0" applyAlignment="0" applyProtection="0"/>
    <xf numFmtId="0" fontId="77" fillId="0" borderId="0">
      <alignment vertical="center"/>
    </xf>
    <xf numFmtId="0" fontId="113" fillId="82" borderId="306" applyNumberFormat="0" applyAlignment="0" applyProtection="0"/>
    <xf numFmtId="0" fontId="77" fillId="0" borderId="0">
      <alignment vertical="center"/>
    </xf>
    <xf numFmtId="0" fontId="113" fillId="82" borderId="306" applyNumberFormat="0" applyAlignment="0" applyProtection="0">
      <alignment vertical="center"/>
    </xf>
    <xf numFmtId="0" fontId="94" fillId="84" borderId="0" applyNumberFormat="0" applyBorder="0" applyAlignment="0" applyProtection="0"/>
    <xf numFmtId="0" fontId="94" fillId="100" borderId="0" applyNumberFormat="0" applyBorder="0" applyAlignment="0" applyProtection="0"/>
    <xf numFmtId="0" fontId="94" fillId="100" borderId="0" applyNumberFormat="0" applyBorder="0" applyAlignment="0" applyProtection="0">
      <alignment vertical="center"/>
    </xf>
    <xf numFmtId="0" fontId="86" fillId="41" borderId="0" applyNumberFormat="0" applyBorder="0" applyAlignment="0" applyProtection="0">
      <alignment vertical="center"/>
    </xf>
    <xf numFmtId="0" fontId="107" fillId="0" borderId="0" applyNumberFormat="0" applyFill="0" applyBorder="0" applyAlignment="0" applyProtection="0"/>
    <xf numFmtId="0" fontId="6" fillId="0" borderId="0"/>
    <xf numFmtId="0" fontId="107" fillId="0" borderId="0" applyNumberFormat="0" applyFill="0" applyBorder="0" applyAlignment="0" applyProtection="0">
      <alignment vertical="center"/>
    </xf>
    <xf numFmtId="0" fontId="131" fillId="0" borderId="0" applyNumberFormat="0" applyFill="0" applyBorder="0" applyAlignment="0" applyProtection="0">
      <alignment vertical="top"/>
      <protection locked="0"/>
    </xf>
    <xf numFmtId="0" fontId="10" fillId="0" borderId="0"/>
    <xf numFmtId="0" fontId="6" fillId="0" borderId="0">
      <alignment vertical="center"/>
    </xf>
    <xf numFmtId="0" fontId="124" fillId="95" borderId="0" applyNumberFormat="0" applyBorder="0" applyAlignment="0" applyProtection="0"/>
    <xf numFmtId="0" fontId="10" fillId="0" borderId="0"/>
    <xf numFmtId="0" fontId="124" fillId="95" borderId="0" applyNumberFormat="0" applyBorder="0" applyAlignment="0" applyProtection="0">
      <alignment vertical="center"/>
    </xf>
    <xf numFmtId="38" fontId="91" fillId="42" borderId="0" applyNumberFormat="0" applyBorder="0" applyAlignment="0" applyProtection="0">
      <alignment vertical="center"/>
    </xf>
    <xf numFmtId="0" fontId="10" fillId="0" borderId="0">
      <alignment vertical="center"/>
    </xf>
    <xf numFmtId="178" fontId="95" fillId="0" borderId="0">
      <alignment horizontal="justify"/>
    </xf>
    <xf numFmtId="0" fontId="92" fillId="0" borderId="219" applyNumberFormat="0" applyAlignment="0" applyProtection="0">
      <alignment horizontal="left" vertical="center"/>
    </xf>
    <xf numFmtId="0" fontId="92" fillId="0" borderId="25">
      <alignment horizontal="left" vertical="center"/>
    </xf>
    <xf numFmtId="176" fontId="82" fillId="0" borderId="0" applyFont="0" applyFill="0" applyBorder="0" applyAlignment="0" applyProtection="0"/>
    <xf numFmtId="0" fontId="141" fillId="60" borderId="0" applyNumberFormat="0" applyBorder="0" applyAlignment="0" applyProtection="0">
      <alignment vertical="center"/>
    </xf>
    <xf numFmtId="0" fontId="98" fillId="0" borderId="301" applyNumberFormat="0" applyFill="0" applyAlignment="0" applyProtection="0"/>
    <xf numFmtId="0" fontId="141" fillId="60" borderId="0" applyNumberFormat="0" applyBorder="0" applyAlignment="0" applyProtection="0">
      <alignment vertical="center"/>
    </xf>
    <xf numFmtId="0" fontId="98" fillId="0" borderId="301" applyNumberFormat="0" applyFill="0" applyAlignment="0" applyProtection="0">
      <alignment vertical="center"/>
    </xf>
    <xf numFmtId="0" fontId="120" fillId="0" borderId="310" applyNumberFormat="0" applyFill="0" applyAlignment="0" applyProtection="0">
      <alignment vertical="center"/>
    </xf>
    <xf numFmtId="0" fontId="111" fillId="0" borderId="0" applyNumberFormat="0" applyFill="0" applyBorder="0" applyAlignment="0" applyProtection="0">
      <alignment vertical="center"/>
    </xf>
    <xf numFmtId="10" fontId="91" fillId="71" borderId="1" applyNumberFormat="0" applyBorder="0" applyAlignment="0" applyProtection="0"/>
    <xf numFmtId="10" fontId="91" fillId="71" borderId="1" applyNumberFormat="0" applyBorder="0" applyAlignment="0" applyProtection="0">
      <alignment vertical="center"/>
    </xf>
    <xf numFmtId="10" fontId="91" fillId="71" borderId="1" applyNumberFormat="0" applyBorder="0" applyAlignment="0" applyProtection="0">
      <alignment vertical="center"/>
    </xf>
    <xf numFmtId="10" fontId="91" fillId="71" borderId="1" applyNumberFormat="0" applyBorder="0" applyAlignment="0" applyProtection="0"/>
    <xf numFmtId="0" fontId="100" fillId="76" borderId="298" applyNumberFormat="0" applyAlignment="0" applyProtection="0"/>
    <xf numFmtId="0" fontId="135" fillId="39" borderId="306" applyNumberFormat="0" applyAlignment="0" applyProtection="0">
      <alignment vertical="center"/>
    </xf>
    <xf numFmtId="0" fontId="123" fillId="0" borderId="311" applyNumberFormat="0" applyFill="0" applyAlignment="0" applyProtection="0"/>
    <xf numFmtId="0" fontId="123" fillId="0" borderId="311" applyNumberFormat="0" applyFill="0" applyAlignment="0" applyProtection="0">
      <alignment vertical="center"/>
    </xf>
    <xf numFmtId="38" fontId="90" fillId="0" borderId="0" applyFont="0" applyFill="0" applyBorder="0" applyAlignment="0" applyProtection="0"/>
    <xf numFmtId="0" fontId="116" fillId="60" borderId="0" applyNumberFormat="0" applyBorder="0" applyAlignment="0" applyProtection="0">
      <alignment vertical="center"/>
    </xf>
    <xf numFmtId="40" fontId="90" fillId="0" borderId="0" applyFont="0" applyFill="0" applyBorder="0" applyAlignment="0" applyProtection="0"/>
    <xf numFmtId="0" fontId="97" fillId="0" borderId="0" applyFont="0" applyFill="0" applyBorder="0" applyAlignment="0" applyProtection="0"/>
    <xf numFmtId="184" fontId="82" fillId="0" borderId="0" applyFont="0" applyFill="0" applyBorder="0" applyAlignment="0" applyProtection="0"/>
    <xf numFmtId="0" fontId="97" fillId="0" borderId="0" applyFont="0" applyFill="0" applyBorder="0" applyAlignment="0" applyProtection="0"/>
    <xf numFmtId="0" fontId="119" fillId="102" borderId="0" applyNumberFormat="0" applyBorder="0" applyAlignment="0" applyProtection="0">
      <alignment vertical="center"/>
    </xf>
    <xf numFmtId="0" fontId="122" fillId="0" borderId="0" applyNumberFormat="0" applyFill="0" applyBorder="0" applyAlignment="0" applyProtection="0">
      <alignment vertical="top"/>
      <protection locked="0"/>
    </xf>
    <xf numFmtId="186" fontId="112" fillId="0" borderId="0">
      <alignment vertical="center"/>
    </xf>
    <xf numFmtId="0" fontId="95" fillId="0" borderId="0"/>
    <xf numFmtId="0" fontId="122" fillId="0" borderId="0" applyNumberFormat="0" applyFill="0" applyBorder="0" applyAlignment="0" applyProtection="0">
      <alignment vertical="top"/>
      <protection locked="0"/>
    </xf>
    <xf numFmtId="186" fontId="112" fillId="0" borderId="0"/>
    <xf numFmtId="0" fontId="96" fillId="78" borderId="300" applyNumberFormat="0" applyFont="0" applyAlignment="0" applyProtection="0"/>
    <xf numFmtId="0" fontId="152" fillId="0" borderId="0" applyNumberFormat="0" applyFill="0" applyBorder="0" applyAlignment="0" applyProtection="0">
      <alignment vertical="center"/>
    </xf>
    <xf numFmtId="0" fontId="96" fillId="78" borderId="300" applyNumberFormat="0" applyFont="0" applyAlignment="0" applyProtection="0">
      <alignment vertical="center"/>
    </xf>
    <xf numFmtId="0" fontId="96" fillId="78" borderId="300" applyNumberFormat="0" applyFont="0" applyAlignment="0" applyProtection="0">
      <alignment vertical="center"/>
    </xf>
    <xf numFmtId="0" fontId="96" fillId="78" borderId="300" applyNumberFormat="0" applyFont="0" applyAlignment="0" applyProtection="0"/>
    <xf numFmtId="0" fontId="106" fillId="92" borderId="304" applyNumberFormat="0" applyAlignment="0" applyProtection="0"/>
    <xf numFmtId="0" fontId="106" fillId="92" borderId="304" applyNumberFormat="0" applyAlignment="0" applyProtection="0">
      <alignment vertical="center"/>
    </xf>
    <xf numFmtId="0" fontId="6" fillId="0" borderId="0">
      <alignment vertical="center"/>
    </xf>
    <xf numFmtId="0" fontId="106" fillId="92" borderId="304" applyNumberFormat="0" applyAlignment="0" applyProtection="0">
      <alignment vertical="center"/>
    </xf>
    <xf numFmtId="0" fontId="106" fillId="92" borderId="304" applyNumberFormat="0" applyAlignment="0" applyProtection="0"/>
    <xf numFmtId="10" fontId="82" fillId="0" borderId="0" applyFont="0" applyFill="0" applyBorder="0" applyAlignment="0" applyProtection="0"/>
    <xf numFmtId="10" fontId="82" fillId="0" borderId="0" applyFont="0" applyFill="0" applyBorder="0" applyAlignment="0" applyProtection="0">
      <alignment vertical="center"/>
    </xf>
    <xf numFmtId="0" fontId="89" fillId="0" borderId="0" applyNumberFormat="0" applyFill="0" applyBorder="0" applyAlignment="0" applyProtection="0">
      <alignment vertical="center"/>
    </xf>
    <xf numFmtId="0" fontId="51" fillId="0" borderId="0"/>
    <xf numFmtId="0" fontId="105" fillId="0" borderId="1">
      <alignment horizontal="center"/>
    </xf>
    <xf numFmtId="0" fontId="141" fillId="60" borderId="0" applyNumberFormat="0" applyBorder="0" applyAlignment="0" applyProtection="0">
      <alignment vertical="center"/>
    </xf>
    <xf numFmtId="0" fontId="95" fillId="0" borderId="0"/>
    <xf numFmtId="0" fontId="105" fillId="0" borderId="1">
      <alignment horizontal="center"/>
    </xf>
    <xf numFmtId="0" fontId="95" fillId="0" borderId="0">
      <alignment vertical="center"/>
    </xf>
    <xf numFmtId="0" fontId="105" fillId="0" borderId="1">
      <alignment horizontal="center" vertical="center"/>
    </xf>
    <xf numFmtId="0" fontId="115" fillId="58" borderId="0" applyNumberFormat="0" applyBorder="0" applyAlignment="0" applyProtection="0">
      <alignment vertical="center"/>
    </xf>
    <xf numFmtId="0" fontId="105" fillId="0" borderId="1">
      <alignment horizontal="center" vertical="center"/>
    </xf>
    <xf numFmtId="0" fontId="105" fillId="0" borderId="1">
      <alignment horizontal="center"/>
    </xf>
    <xf numFmtId="0" fontId="105" fillId="0" borderId="0">
      <alignment horizontal="center" vertical="center"/>
    </xf>
    <xf numFmtId="0" fontId="6" fillId="0" borderId="0"/>
    <xf numFmtId="0" fontId="145" fillId="0" borderId="0" applyNumberFormat="0" applyFill="0" applyBorder="0" applyAlignment="0" applyProtection="0"/>
    <xf numFmtId="0" fontId="94" fillId="0" borderId="315" applyNumberFormat="0" applyFill="0" applyAlignment="0" applyProtection="0"/>
    <xf numFmtId="0" fontId="94" fillId="0" borderId="315" applyNumberFormat="0" applyFill="0" applyAlignment="0" applyProtection="0">
      <alignment vertical="center"/>
    </xf>
    <xf numFmtId="0" fontId="94" fillId="0" borderId="315" applyNumberFormat="0" applyFill="0" applyAlignment="0" applyProtection="0">
      <alignment vertical="center"/>
    </xf>
    <xf numFmtId="0" fontId="94" fillId="0" borderId="315" applyNumberFormat="0" applyFill="0" applyAlignment="0" applyProtection="0"/>
    <xf numFmtId="0" fontId="148" fillId="0" borderId="0" applyNumberFormat="0" applyFill="0" applyBorder="0" applyAlignment="0" applyProtection="0">
      <alignment vertical="center"/>
    </xf>
    <xf numFmtId="0" fontId="87" fillId="58" borderId="0" applyNumberFormat="0" applyBorder="0" applyAlignment="0" applyProtection="0">
      <alignment vertical="center"/>
    </xf>
    <xf numFmtId="9" fontId="77" fillId="0" borderId="0" applyFont="0" applyFill="0" applyBorder="0" applyAlignment="0" applyProtection="0">
      <alignment vertical="center"/>
    </xf>
    <xf numFmtId="9" fontId="6" fillId="0" borderId="0" applyFont="0" applyFill="0" applyBorder="0" applyAlignment="0" applyProtection="0"/>
    <xf numFmtId="9" fontId="77" fillId="0" borderId="0" applyFont="0" applyFill="0" applyBorder="0" applyAlignment="0" applyProtection="0">
      <alignment vertical="center"/>
    </xf>
    <xf numFmtId="9" fontId="6" fillId="0" borderId="0" applyFont="0" applyFill="0" applyBorder="0" applyAlignment="0" applyProtection="0">
      <alignment vertical="center"/>
    </xf>
    <xf numFmtId="179" fontId="78" fillId="0" borderId="1">
      <alignment horizontal="center" vertical="center" wrapText="1"/>
    </xf>
    <xf numFmtId="179" fontId="78" fillId="0" borderId="1">
      <alignment horizontal="center" vertical="center" wrapText="1"/>
    </xf>
    <xf numFmtId="178" fontId="82" fillId="0" borderId="0" applyFont="0" applyFill="0" applyBorder="0" applyAlignment="0" applyProtection="0"/>
    <xf numFmtId="187" fontId="82" fillId="0" borderId="0" applyFont="0" applyFill="0" applyBorder="0" applyAlignment="0" applyProtection="0"/>
    <xf numFmtId="0" fontId="141" fillId="60" borderId="0" applyNumberFormat="0" applyBorder="0" applyAlignment="0" applyProtection="0">
      <alignment vertical="center"/>
    </xf>
    <xf numFmtId="0" fontId="149" fillId="0" borderId="316" applyNumberFormat="0" applyFill="0" applyProtection="0">
      <alignment vertical="center"/>
    </xf>
    <xf numFmtId="0" fontId="153" fillId="0" borderId="317" applyNumberFormat="0" applyFill="0" applyAlignment="0" applyProtection="0">
      <alignment vertical="center"/>
    </xf>
    <xf numFmtId="0" fontId="87" fillId="58" borderId="0" applyNumberFormat="0" applyBorder="0" applyAlignment="0" applyProtection="0">
      <alignment vertical="center"/>
    </xf>
    <xf numFmtId="0" fontId="144" fillId="0" borderId="310" applyNumberFormat="0" applyFill="0" applyProtection="0">
      <alignment vertical="center"/>
    </xf>
    <xf numFmtId="0" fontId="154" fillId="0" borderId="318" applyNumberFormat="0" applyFill="0" applyAlignment="0" applyProtection="0">
      <alignment vertical="center"/>
    </xf>
    <xf numFmtId="0" fontId="154" fillId="0" borderId="0" applyNumberFormat="0" applyFill="0" applyBorder="0" applyAlignment="0" applyProtection="0">
      <alignment vertical="center"/>
    </xf>
    <xf numFmtId="0" fontId="10" fillId="71" borderId="300" applyNumberFormat="0" applyFont="0" applyAlignment="0" applyProtection="0">
      <alignment vertical="center"/>
    </xf>
    <xf numFmtId="0" fontId="96" fillId="0" borderId="0"/>
    <xf numFmtId="0" fontId="132" fillId="0" borderId="0" applyNumberFormat="0" applyFill="0" applyBorder="0" applyAlignment="0" applyProtection="0">
      <alignment vertical="top"/>
      <protection locked="0"/>
    </xf>
    <xf numFmtId="0" fontId="132" fillId="0" borderId="0" applyNumberFormat="0" applyFill="0" applyBorder="0" applyAlignment="0" applyProtection="0">
      <alignment vertical="top"/>
      <protection locked="0"/>
    </xf>
    <xf numFmtId="0" fontId="142" fillId="60" borderId="0" applyNumberFormat="0" applyBorder="0" applyAlignment="0" applyProtection="0">
      <alignment vertical="center"/>
    </xf>
    <xf numFmtId="0" fontId="6" fillId="0" borderId="0">
      <alignment vertical="center"/>
    </xf>
    <xf numFmtId="0" fontId="141" fillId="60" borderId="0" applyNumberFormat="0" applyBorder="0" applyAlignment="0" applyProtection="0">
      <alignment vertical="center"/>
    </xf>
    <xf numFmtId="0" fontId="141" fillId="60" borderId="0" applyNumberFormat="0" applyBorder="0" applyAlignment="0" applyProtection="0">
      <alignment vertical="center"/>
    </xf>
    <xf numFmtId="0" fontId="141" fillId="60" borderId="0" applyNumberFormat="0" applyBorder="0" applyAlignment="0" applyProtection="0">
      <alignment vertical="center"/>
    </xf>
    <xf numFmtId="0" fontId="141" fillId="60" borderId="0" applyNumberFormat="0" applyBorder="0" applyAlignment="0" applyProtection="0">
      <alignment vertical="center"/>
    </xf>
    <xf numFmtId="0" fontId="137" fillId="60" borderId="0" applyNumberFormat="0" applyBorder="0" applyAlignment="0" applyProtection="0">
      <alignment vertical="center"/>
    </xf>
    <xf numFmtId="0" fontId="137" fillId="60" borderId="0" applyNumberFormat="0" applyBorder="0" applyAlignment="0" applyProtection="0">
      <alignment vertical="center"/>
    </xf>
    <xf numFmtId="0" fontId="116" fillId="60" borderId="0" applyNumberFormat="0" applyBorder="0" applyAlignment="0" applyProtection="0">
      <alignment vertical="center"/>
    </xf>
    <xf numFmtId="0" fontId="137" fillId="60" borderId="0" applyNumberFormat="0" applyBorder="0" applyAlignment="0" applyProtection="0">
      <alignment vertical="center"/>
    </xf>
    <xf numFmtId="0" fontId="137" fillId="60" borderId="0" applyNumberFormat="0" applyBorder="0" applyAlignment="0" applyProtection="0">
      <alignment vertical="center"/>
    </xf>
    <xf numFmtId="0" fontId="131" fillId="0" borderId="0" applyNumberFormat="0" applyFill="0" applyBorder="0" applyAlignment="0" applyProtection="0">
      <alignment vertical="top"/>
      <protection locked="0"/>
    </xf>
    <xf numFmtId="0" fontId="137" fillId="60" borderId="0" applyNumberFormat="0" applyBorder="0" applyAlignment="0" applyProtection="0">
      <alignment vertical="center"/>
    </xf>
    <xf numFmtId="0" fontId="12" fillId="0" borderId="0">
      <alignment vertical="center"/>
    </xf>
    <xf numFmtId="0" fontId="138" fillId="58" borderId="0" applyNumberFormat="0" applyBorder="0" applyAlignment="0" applyProtection="0">
      <alignment vertical="center"/>
    </xf>
    <xf numFmtId="0" fontId="6" fillId="0" borderId="0"/>
    <xf numFmtId="0" fontId="6" fillId="0" borderId="0">
      <alignment vertical="center"/>
    </xf>
    <xf numFmtId="0" fontId="10" fillId="0" borderId="0"/>
    <xf numFmtId="0" fontId="10" fillId="0" borderId="0">
      <alignment vertical="center"/>
    </xf>
    <xf numFmtId="0" fontId="10" fillId="0" borderId="0">
      <alignment vertical="center"/>
    </xf>
    <xf numFmtId="0" fontId="6" fillId="0" borderId="0">
      <alignment vertical="center"/>
    </xf>
    <xf numFmtId="0" fontId="51" fillId="0" borderId="0">
      <alignment vertical="center"/>
    </xf>
    <xf numFmtId="0" fontId="51" fillId="0" borderId="0">
      <alignment vertical="center"/>
    </xf>
    <xf numFmtId="0" fontId="51" fillId="0" borderId="0">
      <alignment vertical="center"/>
    </xf>
    <xf numFmtId="0" fontId="51" fillId="0" borderId="0">
      <alignment vertical="center"/>
    </xf>
    <xf numFmtId="0" fontId="6" fillId="0" borderId="0">
      <alignment vertical="center"/>
    </xf>
    <xf numFmtId="0" fontId="6" fillId="0" borderId="0"/>
    <xf numFmtId="0" fontId="6" fillId="0" borderId="0">
      <alignment vertical="center"/>
    </xf>
    <xf numFmtId="0" fontId="77" fillId="0" borderId="0">
      <alignment vertical="center"/>
    </xf>
    <xf numFmtId="0" fontId="86" fillId="83" borderId="0" applyNumberFormat="0" applyBorder="0" applyAlignment="0" applyProtection="0">
      <alignment vertical="center"/>
    </xf>
    <xf numFmtId="0" fontId="10" fillId="0" borderId="0">
      <alignment vertical="center"/>
    </xf>
    <xf numFmtId="184" fontId="133" fillId="0" borderId="0" applyFont="0" applyFill="0" applyBorder="0" applyAlignment="0" applyProtection="0"/>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xf numFmtId="0" fontId="6" fillId="0" borderId="0"/>
    <xf numFmtId="0" fontId="6" fillId="0" borderId="0">
      <alignment vertical="center"/>
    </xf>
    <xf numFmtId="0" fontId="131"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0" fontId="151" fillId="58" borderId="0" applyNumberFormat="0" applyBorder="0" applyAlignment="0" applyProtection="0">
      <alignment vertical="center"/>
    </xf>
    <xf numFmtId="0" fontId="115" fillId="58" borderId="0" applyNumberFormat="0" applyBorder="0" applyAlignment="0" applyProtection="0">
      <alignment vertical="center"/>
    </xf>
    <xf numFmtId="0" fontId="115" fillId="58" borderId="0" applyNumberFormat="0" applyBorder="0" applyAlignment="0" applyProtection="0">
      <alignment vertical="center"/>
    </xf>
    <xf numFmtId="0" fontId="115" fillId="58" borderId="0" applyNumberFormat="0" applyBorder="0" applyAlignment="0" applyProtection="0">
      <alignment vertical="center"/>
    </xf>
    <xf numFmtId="0" fontId="87" fillId="58" borderId="0" applyNumberFormat="0" applyBorder="0" applyAlignment="0" applyProtection="0">
      <alignment vertical="center"/>
    </xf>
    <xf numFmtId="0" fontId="115" fillId="58" borderId="0" applyNumberFormat="0" applyBorder="0" applyAlignment="0" applyProtection="0">
      <alignment vertical="center"/>
    </xf>
    <xf numFmtId="0" fontId="138" fillId="58" borderId="0" applyNumberFormat="0" applyBorder="0" applyAlignment="0" applyProtection="0">
      <alignment vertical="center"/>
    </xf>
    <xf numFmtId="0" fontId="87" fillId="58" borderId="0" applyNumberFormat="0" applyBorder="0" applyAlignment="0" applyProtection="0">
      <alignment vertical="center"/>
    </xf>
    <xf numFmtId="0" fontId="87" fillId="58" borderId="0" applyNumberFormat="0" applyBorder="0" applyAlignment="0" applyProtection="0">
      <alignment vertical="center"/>
    </xf>
    <xf numFmtId="0" fontId="103" fillId="0" borderId="302" applyNumberFormat="0" applyFill="0" applyAlignment="0" applyProtection="0">
      <alignment vertical="center"/>
    </xf>
    <xf numFmtId="0" fontId="103" fillId="0" borderId="302" applyNumberFormat="0" applyFill="0" applyAlignment="0" applyProtection="0">
      <alignment vertical="center"/>
    </xf>
    <xf numFmtId="0" fontId="128" fillId="0" borderId="0" applyNumberFormat="0" applyFill="0" applyBorder="0" applyAlignment="0" applyProtection="0">
      <alignment vertical="center"/>
    </xf>
    <xf numFmtId="0" fontId="78" fillId="121" borderId="1">
      <alignment horizontal="center" vertical="center"/>
    </xf>
    <xf numFmtId="0" fontId="147" fillId="0" borderId="311" applyNumberFormat="0" applyFill="0" applyAlignment="0" applyProtection="0">
      <alignment vertical="center"/>
    </xf>
    <xf numFmtId="0" fontId="86" fillId="122" borderId="0" applyNumberFormat="0" applyBorder="0" applyAlignment="0" applyProtection="0">
      <alignment vertical="center"/>
    </xf>
    <xf numFmtId="0" fontId="86" fillId="123" borderId="0" applyNumberFormat="0" applyBorder="0" applyAlignment="0" applyProtection="0">
      <alignment vertical="center"/>
    </xf>
    <xf numFmtId="0" fontId="86" fillId="49" borderId="0" applyNumberFormat="0" applyBorder="0" applyAlignment="0" applyProtection="0">
      <alignment vertical="center"/>
    </xf>
    <xf numFmtId="0" fontId="78" fillId="0" borderId="1">
      <alignment vertical="center" wrapText="1"/>
      <protection locked="0"/>
    </xf>
    <xf numFmtId="0" fontId="146" fillId="61" borderId="298" applyNumberFormat="0" applyAlignment="0" applyProtection="0">
      <alignment vertical="center"/>
    </xf>
    <xf numFmtId="0" fontId="78" fillId="71" borderId="1">
      <alignment horizontal="center" vertical="center" wrapText="1"/>
    </xf>
    <xf numFmtId="0" fontId="78" fillId="71" borderId="1">
      <alignment horizontal="center" vertical="center" wrapText="1"/>
    </xf>
    <xf numFmtId="0" fontId="78" fillId="61" borderId="1">
      <alignment horizontal="center" vertical="center"/>
    </xf>
    <xf numFmtId="0" fontId="95" fillId="0" borderId="0">
      <alignment vertical="center"/>
    </xf>
    <xf numFmtId="0" fontId="133" fillId="0" borderId="0"/>
    <xf numFmtId="0" fontId="82" fillId="0" borderId="0"/>
    <xf numFmtId="0" fontId="6" fillId="71" borderId="300" applyNumberFormat="0" applyFont="0" applyAlignment="0" applyProtection="0">
      <alignment vertical="center"/>
    </xf>
    <xf numFmtId="0" fontId="6" fillId="71" borderId="300" applyNumberFormat="0" applyFont="0" applyAlignment="0" applyProtection="0">
      <alignment vertical="center"/>
    </xf>
    <xf numFmtId="0" fontId="10" fillId="71" borderId="300" applyNumberFormat="0" applyFont="0" applyAlignment="0" applyProtection="0">
      <alignment vertical="center"/>
    </xf>
    <xf numFmtId="190" fontId="133" fillId="0" borderId="0" applyFont="0" applyFill="0" applyBorder="0" applyAlignment="0" applyProtection="0"/>
    <xf numFmtId="0" fontId="133" fillId="0" borderId="0"/>
  </cellStyleXfs>
  <cellXfs count="969">
    <xf numFmtId="0" fontId="0" fillId="0" borderId="0" xfId="0"/>
    <xf numFmtId="31" fontId="1" fillId="0" borderId="1" xfId="0" applyNumberFormat="1" applyFont="1" applyFill="1" applyBorder="1" applyAlignment="1">
      <alignment horizontal="left" vertical="center"/>
    </xf>
    <xf numFmtId="0" fontId="1" fillId="0" borderId="1" xfId="0" applyFont="1" applyFill="1" applyBorder="1" applyAlignment="1">
      <alignment vertical="center"/>
    </xf>
    <xf numFmtId="0" fontId="2" fillId="2" borderId="0" xfId="369" applyFont="1" applyFill="1" applyAlignment="1">
      <alignment vertical="center"/>
    </xf>
    <xf numFmtId="0" fontId="2" fillId="0" borderId="0" xfId="369" applyFont="1" applyAlignment="1">
      <alignment vertical="center"/>
    </xf>
    <xf numFmtId="0" fontId="3" fillId="0" borderId="0" xfId="369" applyFont="1" applyAlignment="1">
      <alignment vertical="center"/>
    </xf>
    <xf numFmtId="0" fontId="4" fillId="3" borderId="2" xfId="369" applyFont="1" applyFill="1" applyBorder="1" applyAlignment="1">
      <alignment horizontal="center" vertical="center" wrapText="1" readingOrder="1"/>
    </xf>
    <xf numFmtId="0" fontId="4" fillId="3" borderId="3" xfId="369" applyFont="1" applyFill="1" applyBorder="1" applyAlignment="1">
      <alignment horizontal="center" vertical="center" wrapText="1" readingOrder="1"/>
    </xf>
    <xf numFmtId="0" fontId="4" fillId="3" borderId="4" xfId="369" applyFont="1" applyFill="1" applyBorder="1" applyAlignment="1">
      <alignment horizontal="center" vertical="center" wrapText="1" readingOrder="1"/>
    </xf>
    <xf numFmtId="0" fontId="4" fillId="3" borderId="5" xfId="369" applyFont="1" applyFill="1" applyBorder="1" applyAlignment="1">
      <alignment horizontal="center" vertical="center" wrapText="1" readingOrder="1"/>
    </xf>
    <xf numFmtId="0" fontId="5" fillId="4" borderId="6" xfId="369" applyFont="1" applyFill="1" applyBorder="1" applyAlignment="1">
      <alignment horizontal="center" vertical="center" wrapText="1" readingOrder="1"/>
    </xf>
    <xf numFmtId="0" fontId="5" fillId="4" borderId="7" xfId="369" applyFont="1" applyFill="1" applyBorder="1" applyAlignment="1">
      <alignment horizontal="left" vertical="top" wrapText="1" readingOrder="1"/>
    </xf>
    <xf numFmtId="0" fontId="5" fillId="4" borderId="8" xfId="369" applyFont="1" applyFill="1" applyBorder="1" applyAlignment="1">
      <alignment horizontal="left" vertical="top" wrapText="1" readingOrder="1"/>
    </xf>
    <xf numFmtId="0" fontId="5" fillId="4" borderId="6" xfId="369" applyFont="1" applyFill="1" applyBorder="1" applyAlignment="1">
      <alignment horizontal="left" vertical="top" wrapText="1" readingOrder="1"/>
    </xf>
    <xf numFmtId="9" fontId="5" fillId="4" borderId="9" xfId="369" applyNumberFormat="1" applyFont="1" applyFill="1" applyBorder="1" applyAlignment="1">
      <alignment horizontal="center" vertical="center" wrapText="1" readingOrder="1"/>
    </xf>
    <xf numFmtId="0" fontId="5" fillId="4" borderId="9" xfId="369" applyFont="1" applyFill="1" applyBorder="1" applyAlignment="1">
      <alignment horizontal="center" vertical="center" wrapText="1" readingOrder="1"/>
    </xf>
    <xf numFmtId="0" fontId="5" fillId="5" borderId="10" xfId="369" applyFont="1" applyFill="1" applyBorder="1" applyAlignment="1">
      <alignment horizontal="center" vertical="center" wrapText="1" readingOrder="1"/>
    </xf>
    <xf numFmtId="0" fontId="5" fillId="5" borderId="11" xfId="369" applyFont="1" applyFill="1" applyBorder="1" applyAlignment="1">
      <alignment vertical="center" wrapText="1" readingOrder="1"/>
    </xf>
    <xf numFmtId="0" fontId="5" fillId="5" borderId="12" xfId="369" applyFont="1" applyFill="1" applyBorder="1" applyAlignment="1">
      <alignment vertical="center" wrapText="1" readingOrder="1"/>
    </xf>
    <xf numFmtId="0" fontId="5" fillId="5" borderId="10" xfId="369" applyFont="1" applyFill="1" applyBorder="1" applyAlignment="1">
      <alignment vertical="center" wrapText="1" readingOrder="1"/>
    </xf>
    <xf numFmtId="0" fontId="5" fillId="5" borderId="13" xfId="369" applyFont="1" applyFill="1" applyBorder="1" applyAlignment="1">
      <alignment horizontal="center" vertical="center" wrapText="1" readingOrder="1"/>
    </xf>
    <xf numFmtId="0" fontId="2" fillId="0" borderId="0" xfId="369" applyFont="1" applyAlignment="1">
      <alignment horizontal="left" vertical="top" wrapText="1"/>
    </xf>
    <xf numFmtId="0" fontId="6" fillId="0" borderId="0" xfId="369" applyAlignment="1">
      <alignment horizontal="left" vertical="top" wrapText="1"/>
    </xf>
    <xf numFmtId="0" fontId="0" fillId="0" borderId="0" xfId="369" applyFont="1"/>
    <xf numFmtId="0" fontId="1" fillId="6" borderId="1" xfId="316" applyFont="1" applyFill="1" applyBorder="1" applyAlignment="1">
      <alignment horizontal="center" vertical="center" wrapText="1"/>
    </xf>
    <xf numFmtId="0" fontId="7" fillId="7" borderId="1" xfId="316" applyFont="1" applyFill="1" applyBorder="1" applyAlignment="1">
      <alignment horizontal="center" vertical="center" wrapText="1"/>
    </xf>
    <xf numFmtId="0" fontId="8" fillId="8" borderId="1" xfId="316" applyFont="1" applyFill="1" applyBorder="1" applyAlignment="1">
      <alignment horizontal="center" vertical="center" wrapText="1"/>
    </xf>
    <xf numFmtId="0" fontId="1" fillId="7" borderId="14" xfId="316" applyFont="1" applyFill="1" applyBorder="1" applyAlignment="1">
      <alignment horizontal="center" vertical="center" wrapText="1"/>
    </xf>
    <xf numFmtId="0" fontId="1" fillId="7" borderId="15" xfId="316" applyFont="1" applyFill="1" applyBorder="1" applyAlignment="1">
      <alignment horizontal="center" vertical="center" wrapText="1"/>
    </xf>
    <xf numFmtId="0" fontId="9" fillId="8" borderId="1" xfId="316" applyFont="1" applyFill="1" applyBorder="1" applyAlignment="1">
      <alignment horizontal="center" vertical="center" wrapText="1"/>
    </xf>
    <xf numFmtId="0" fontId="1" fillId="7" borderId="1" xfId="316" applyFont="1" applyFill="1" applyBorder="1" applyAlignment="1">
      <alignment horizontal="center" vertical="center" wrapText="1"/>
    </xf>
    <xf numFmtId="0" fontId="1" fillId="8" borderId="1" xfId="316" applyFont="1" applyFill="1" applyBorder="1" applyAlignment="1">
      <alignment horizontal="center" vertical="center" wrapText="1"/>
    </xf>
    <xf numFmtId="0" fontId="1" fillId="8" borderId="16" xfId="316" applyFont="1" applyFill="1" applyBorder="1" applyAlignment="1">
      <alignment horizontal="left" vertical="center" wrapText="1"/>
    </xf>
    <xf numFmtId="0" fontId="1" fillId="8" borderId="17" xfId="316" applyFont="1" applyFill="1" applyBorder="1" applyAlignment="1">
      <alignment horizontal="left" vertical="center" wrapText="1"/>
    </xf>
    <xf numFmtId="0" fontId="1" fillId="8" borderId="18" xfId="316" applyFont="1" applyFill="1" applyBorder="1" applyAlignment="1">
      <alignment horizontal="left" vertical="center" wrapText="1"/>
    </xf>
    <xf numFmtId="0" fontId="1" fillId="8" borderId="0" xfId="316" applyFont="1" applyFill="1" applyBorder="1" applyAlignment="1">
      <alignment horizontal="left" vertical="center" wrapText="1"/>
    </xf>
    <xf numFmtId="0" fontId="1" fillId="8" borderId="19" xfId="316" applyFont="1" applyFill="1" applyBorder="1" applyAlignment="1">
      <alignment horizontal="left" vertical="center" wrapText="1"/>
    </xf>
    <xf numFmtId="0" fontId="1" fillId="8" borderId="20" xfId="316" applyFont="1" applyFill="1" applyBorder="1" applyAlignment="1">
      <alignment horizontal="left" vertical="center" wrapText="1"/>
    </xf>
    <xf numFmtId="0" fontId="1" fillId="9" borderId="1" xfId="316" applyFont="1" applyFill="1" applyBorder="1" applyAlignment="1">
      <alignment horizontal="center" vertical="center" wrapText="1"/>
    </xf>
    <xf numFmtId="0" fontId="1" fillId="9" borderId="1" xfId="316" applyNumberFormat="1" applyFont="1" applyFill="1" applyBorder="1" applyAlignment="1">
      <alignment horizontal="center" vertical="center" wrapText="1"/>
    </xf>
    <xf numFmtId="0" fontId="1" fillId="8" borderId="21" xfId="316" applyFont="1" applyFill="1" applyBorder="1" applyAlignment="1">
      <alignment horizontal="left" vertical="center" wrapText="1"/>
    </xf>
    <xf numFmtId="0" fontId="1" fillId="8" borderId="22" xfId="316" applyFont="1" applyFill="1" applyBorder="1" applyAlignment="1">
      <alignment horizontal="left" vertical="center" wrapText="1"/>
    </xf>
    <xf numFmtId="0" fontId="1" fillId="8" borderId="23" xfId="316" applyFont="1" applyFill="1" applyBorder="1" applyAlignment="1">
      <alignment horizontal="left" vertical="center" wrapText="1"/>
    </xf>
    <xf numFmtId="0" fontId="10" fillId="10" borderId="0" xfId="360" applyFont="1" applyFill="1"/>
    <xf numFmtId="0" fontId="10" fillId="10" borderId="0" xfId="360" applyFont="1" applyFill="1" applyAlignment="1">
      <alignment horizontal="left"/>
    </xf>
    <xf numFmtId="0" fontId="10" fillId="10" borderId="0" xfId="360" applyFont="1" applyFill="1" applyBorder="1"/>
    <xf numFmtId="0" fontId="10" fillId="0" borderId="0" xfId="360" applyFill="1"/>
    <xf numFmtId="0" fontId="10" fillId="0" borderId="0" xfId="360"/>
    <xf numFmtId="0" fontId="10" fillId="0" borderId="0" xfId="360" applyAlignment="1">
      <alignment horizontal="center"/>
    </xf>
    <xf numFmtId="0" fontId="11" fillId="10" borderId="0" xfId="360" applyFont="1" applyFill="1" applyAlignment="1">
      <alignment horizontal="center"/>
    </xf>
    <xf numFmtId="0" fontId="10" fillId="11" borderId="24" xfId="360" applyFill="1" applyBorder="1" applyAlignment="1">
      <alignment horizontal="left"/>
    </xf>
    <xf numFmtId="0" fontId="10" fillId="11" borderId="25" xfId="360" applyFill="1" applyBorder="1" applyAlignment="1">
      <alignment horizontal="left"/>
    </xf>
    <xf numFmtId="0" fontId="12" fillId="11" borderId="26" xfId="360" applyFont="1" applyFill="1" applyBorder="1" applyAlignment="1">
      <alignment horizontal="center"/>
    </xf>
    <xf numFmtId="0" fontId="12" fillId="10" borderId="0" xfId="360" applyFont="1" applyFill="1" applyAlignment="1">
      <alignment horizontal="center"/>
    </xf>
    <xf numFmtId="0" fontId="12" fillId="10" borderId="0" xfId="360" applyFont="1" applyFill="1" applyAlignment="1">
      <alignment horizontal="left"/>
    </xf>
    <xf numFmtId="0" fontId="10" fillId="10" borderId="0" xfId="360" applyFill="1" applyAlignment="1">
      <alignment horizontal="left"/>
    </xf>
    <xf numFmtId="0" fontId="13" fillId="10" borderId="20" xfId="360" applyFont="1" applyFill="1" applyBorder="1" applyAlignment="1">
      <alignment horizontal="left" wrapText="1"/>
    </xf>
    <xf numFmtId="0" fontId="0" fillId="0" borderId="27" xfId="0" applyBorder="1" applyAlignment="1">
      <alignment horizontal="left"/>
    </xf>
    <xf numFmtId="0" fontId="14" fillId="12" borderId="28" xfId="360" applyFont="1" applyFill="1" applyBorder="1" applyAlignment="1">
      <alignment horizontal="center" vertical="center"/>
    </xf>
    <xf numFmtId="183" fontId="12" fillId="13" borderId="28" xfId="360" applyNumberFormat="1" applyFont="1" applyFill="1" applyBorder="1" applyAlignment="1">
      <alignment horizontal="center" vertical="center"/>
    </xf>
    <xf numFmtId="183" fontId="12" fillId="13" borderId="29" xfId="360" applyNumberFormat="1" applyFont="1" applyFill="1" applyBorder="1" applyAlignment="1">
      <alignment horizontal="center" vertical="center"/>
    </xf>
    <xf numFmtId="0" fontId="14" fillId="12" borderId="30" xfId="360" applyFont="1" applyFill="1" applyBorder="1" applyAlignment="1">
      <alignment horizontal="center" vertical="center"/>
    </xf>
    <xf numFmtId="181" fontId="10" fillId="13" borderId="29" xfId="360" applyNumberFormat="1" applyFont="1" applyFill="1" applyBorder="1" applyAlignment="1">
      <alignment horizontal="center" vertical="center"/>
    </xf>
    <xf numFmtId="191" fontId="14" fillId="14" borderId="1" xfId="379" applyNumberFormat="1" applyFont="1" applyFill="1" applyBorder="1" applyAlignment="1">
      <alignment horizontal="center" vertical="center" wrapText="1"/>
    </xf>
    <xf numFmtId="0" fontId="14" fillId="14" borderId="1" xfId="360" applyFont="1" applyFill="1" applyBorder="1" applyAlignment="1">
      <alignment horizontal="center" vertical="center"/>
    </xf>
    <xf numFmtId="0" fontId="10" fillId="10" borderId="1" xfId="360" applyFont="1" applyFill="1" applyBorder="1" applyAlignment="1">
      <alignment horizontal="center"/>
    </xf>
    <xf numFmtId="179" fontId="10" fillId="10" borderId="1" xfId="360" applyNumberFormat="1" applyFont="1" applyFill="1" applyBorder="1" applyAlignment="1">
      <alignment horizontal="center" vertical="top"/>
    </xf>
    <xf numFmtId="179" fontId="1" fillId="13" borderId="1" xfId="165" applyNumberFormat="1" applyFont="1" applyFill="1" applyBorder="1" applyAlignment="1">
      <alignment horizontal="center" vertical="center" wrapText="1"/>
    </xf>
    <xf numFmtId="0" fontId="10" fillId="10" borderId="1" xfId="360" applyNumberFormat="1" applyFont="1" applyFill="1" applyBorder="1" applyAlignment="1">
      <alignment horizontal="center" vertical="center"/>
    </xf>
    <xf numFmtId="0" fontId="10" fillId="11" borderId="24" xfId="360" applyFont="1" applyFill="1" applyBorder="1" applyAlignment="1">
      <alignment horizontal="left"/>
    </xf>
    <xf numFmtId="0" fontId="10" fillId="11" borderId="26" xfId="360" applyFill="1" applyBorder="1"/>
    <xf numFmtId="191" fontId="14" fillId="15" borderId="31" xfId="379" applyNumberFormat="1" applyFont="1" applyFill="1" applyBorder="1" applyAlignment="1">
      <alignment horizontal="center" vertical="center"/>
    </xf>
    <xf numFmtId="0" fontId="14" fillId="14" borderId="32" xfId="360" applyFont="1" applyFill="1" applyBorder="1" applyAlignment="1">
      <alignment horizontal="center" vertical="center"/>
    </xf>
    <xf numFmtId="0" fontId="14" fillId="14" borderId="32" xfId="360" applyFont="1" applyFill="1" applyBorder="1" applyAlignment="1">
      <alignment horizontal="center"/>
    </xf>
    <xf numFmtId="193" fontId="10" fillId="0" borderId="33" xfId="360" applyNumberFormat="1" applyBorder="1" applyAlignment="1">
      <alignment horizontal="center" vertical="center"/>
    </xf>
    <xf numFmtId="193" fontId="10" fillId="13" borderId="34" xfId="360" applyNumberFormat="1" applyFill="1" applyBorder="1" applyAlignment="1">
      <alignment horizontal="center" vertical="center"/>
    </xf>
    <xf numFmtId="179" fontId="10" fillId="0" borderId="0" xfId="360" applyNumberFormat="1" applyFill="1" applyBorder="1" applyAlignment="1">
      <alignment horizontal="center" vertical="center"/>
    </xf>
    <xf numFmtId="0" fontId="10" fillId="0" borderId="0" xfId="360" applyFill="1" applyBorder="1" applyAlignment="1">
      <alignment horizontal="center" vertical="center"/>
    </xf>
    <xf numFmtId="0" fontId="10" fillId="11" borderId="24" xfId="360" applyFont="1" applyFill="1" applyBorder="1"/>
    <xf numFmtId="0" fontId="10" fillId="0" borderId="0" xfId="360" applyFont="1"/>
    <xf numFmtId="191" fontId="14" fillId="14" borderId="35" xfId="379" applyNumberFormat="1" applyFont="1" applyFill="1" applyBorder="1" applyAlignment="1">
      <alignment horizontal="center" vertical="center"/>
    </xf>
    <xf numFmtId="0" fontId="14" fillId="14" borderId="36" xfId="360" applyFont="1" applyFill="1" applyBorder="1" applyAlignment="1">
      <alignment horizontal="center" vertical="center"/>
    </xf>
    <xf numFmtId="0" fontId="14" fillId="15" borderId="37" xfId="360" applyFont="1" applyFill="1" applyBorder="1" applyAlignment="1">
      <alignment horizontal="center" vertical="center"/>
    </xf>
    <xf numFmtId="0" fontId="14" fillId="15" borderId="38" xfId="360" applyFont="1" applyFill="1" applyBorder="1" applyAlignment="1">
      <alignment horizontal="center" vertical="center"/>
    </xf>
    <xf numFmtId="0" fontId="14" fillId="14" borderId="39" xfId="360" applyFont="1" applyFill="1" applyBorder="1" applyAlignment="1">
      <alignment horizontal="left" vertical="center"/>
    </xf>
    <xf numFmtId="0" fontId="10" fillId="10" borderId="40" xfId="360" applyFont="1" applyFill="1" applyBorder="1" applyAlignment="1">
      <alignment horizontal="center"/>
    </xf>
    <xf numFmtId="179" fontId="1" fillId="13" borderId="41" xfId="165" applyNumberFormat="1" applyFont="1" applyFill="1" applyBorder="1" applyAlignment="1">
      <alignment horizontal="center" vertical="center" wrapText="1"/>
    </xf>
    <xf numFmtId="179" fontId="1" fillId="13" borderId="42" xfId="165" applyNumberFormat="1" applyFont="1" applyFill="1" applyBorder="1" applyAlignment="1">
      <alignment horizontal="center" vertical="center" wrapText="1"/>
    </xf>
    <xf numFmtId="0" fontId="14" fillId="14" borderId="39" xfId="360" applyFont="1" applyFill="1" applyBorder="1" applyAlignment="1">
      <alignment horizontal="left" vertical="center" indent="2"/>
    </xf>
    <xf numFmtId="0" fontId="10" fillId="10" borderId="43" xfId="360" applyFont="1" applyFill="1" applyBorder="1" applyAlignment="1">
      <alignment horizontal="center"/>
    </xf>
    <xf numFmtId="191" fontId="14" fillId="14" borderId="44" xfId="379" applyNumberFormat="1" applyFont="1" applyFill="1" applyBorder="1" applyAlignment="1">
      <alignment horizontal="center" vertical="center" wrapText="1"/>
    </xf>
    <xf numFmtId="191" fontId="14" fillId="14" borderId="45" xfId="379" applyNumberFormat="1" applyFont="1" applyFill="1" applyBorder="1" applyAlignment="1">
      <alignment horizontal="center" vertical="center" wrapText="1"/>
    </xf>
    <xf numFmtId="191" fontId="14" fillId="14" borderId="46" xfId="379" applyNumberFormat="1" applyFont="1" applyFill="1" applyBorder="1" applyAlignment="1">
      <alignment horizontal="center" vertical="center" wrapText="1"/>
    </xf>
    <xf numFmtId="0" fontId="14" fillId="0" borderId="47" xfId="360" applyFont="1" applyFill="1" applyBorder="1" applyAlignment="1">
      <alignment horizontal="center" vertical="center" wrapText="1"/>
    </xf>
    <xf numFmtId="193" fontId="10" fillId="0" borderId="1" xfId="360" applyNumberFormat="1" applyFont="1" applyFill="1" applyBorder="1" applyAlignment="1">
      <alignment horizontal="center" vertical="center" wrapText="1"/>
    </xf>
    <xf numFmtId="0" fontId="1" fillId="0" borderId="1" xfId="165" applyFont="1" applyFill="1" applyBorder="1" applyAlignment="1">
      <alignment horizontal="center" vertical="center" wrapText="1"/>
    </xf>
    <xf numFmtId="0" fontId="10" fillId="0" borderId="1" xfId="360" applyFont="1" applyFill="1" applyBorder="1" applyAlignment="1">
      <alignment horizontal="center" vertical="center" wrapText="1"/>
    </xf>
    <xf numFmtId="0" fontId="14" fillId="0" borderId="48" xfId="360" applyFont="1" applyFill="1" applyBorder="1" applyAlignment="1">
      <alignment horizontal="center" vertical="center" wrapText="1"/>
    </xf>
    <xf numFmtId="194" fontId="1" fillId="13" borderId="49" xfId="165" applyNumberFormat="1" applyFont="1" applyFill="1" applyBorder="1" applyAlignment="1">
      <alignment horizontal="center" vertical="center" wrapText="1"/>
    </xf>
    <xf numFmtId="0" fontId="14" fillId="14" borderId="50" xfId="360" applyFont="1" applyFill="1" applyBorder="1" applyAlignment="1">
      <alignment horizontal="center" vertical="center"/>
    </xf>
    <xf numFmtId="193" fontId="10" fillId="13" borderId="51" xfId="360" applyNumberFormat="1" applyFont="1" applyFill="1" applyBorder="1" applyAlignment="1">
      <alignment horizontal="center" vertical="center"/>
    </xf>
    <xf numFmtId="0" fontId="10" fillId="0" borderId="0" xfId="360" applyFont="1" applyFill="1" applyBorder="1" applyAlignment="1">
      <alignment horizontal="center" vertical="center"/>
    </xf>
    <xf numFmtId="0" fontId="1" fillId="0" borderId="14" xfId="165" applyFont="1" applyFill="1" applyBorder="1" applyAlignment="1">
      <alignment horizontal="center" vertical="center" wrapText="1"/>
    </xf>
    <xf numFmtId="193" fontId="10" fillId="10" borderId="0" xfId="360" applyNumberFormat="1" applyFont="1" applyFill="1" applyAlignment="1">
      <alignment horizontal="left"/>
    </xf>
    <xf numFmtId="0" fontId="14" fillId="14" borderId="52" xfId="360" applyFont="1" applyFill="1" applyBorder="1" applyAlignment="1">
      <alignment horizontal="left" vertical="center"/>
    </xf>
    <xf numFmtId="0" fontId="10" fillId="10" borderId="53" xfId="360" applyFont="1" applyFill="1" applyBorder="1" applyAlignment="1">
      <alignment horizontal="center"/>
    </xf>
    <xf numFmtId="0" fontId="10" fillId="11" borderId="25" xfId="360" applyFill="1" applyBorder="1"/>
    <xf numFmtId="0" fontId="10" fillId="11" borderId="26" xfId="360" applyFill="1" applyBorder="1" applyAlignment="1">
      <alignment horizontal="center"/>
    </xf>
    <xf numFmtId="191" fontId="14" fillId="14" borderId="54" xfId="379" applyNumberFormat="1" applyFont="1" applyFill="1" applyBorder="1" applyAlignment="1">
      <alignment horizontal="center" vertical="center"/>
    </xf>
    <xf numFmtId="0" fontId="14" fillId="14" borderId="55" xfId="360" applyFont="1" applyFill="1" applyBorder="1" applyAlignment="1">
      <alignment horizontal="center" vertical="center"/>
    </xf>
    <xf numFmtId="0" fontId="14" fillId="14" borderId="56" xfId="360" applyFont="1" applyFill="1" applyBorder="1" applyAlignment="1">
      <alignment horizontal="center" vertical="center"/>
    </xf>
    <xf numFmtId="0" fontId="14" fillId="14" borderId="57" xfId="360" applyFont="1" applyFill="1" applyBorder="1" applyAlignment="1">
      <alignment horizontal="center" vertical="center"/>
    </xf>
    <xf numFmtId="0" fontId="14" fillId="14" borderId="58" xfId="360" applyFont="1" applyFill="1" applyBorder="1" applyAlignment="1">
      <alignment horizontal="center" vertical="center"/>
    </xf>
    <xf numFmtId="0" fontId="14" fillId="15" borderId="59" xfId="360" applyFont="1" applyFill="1" applyBorder="1" applyAlignment="1">
      <alignment horizontal="center" vertical="center"/>
    </xf>
    <xf numFmtId="0" fontId="14" fillId="14" borderId="60" xfId="360" applyFont="1" applyFill="1" applyBorder="1" applyAlignment="1">
      <alignment horizontal="left" vertical="center"/>
    </xf>
    <xf numFmtId="0" fontId="10" fillId="10" borderId="61" xfId="360" applyFont="1" applyFill="1" applyBorder="1" applyAlignment="1">
      <alignment horizontal="center"/>
    </xf>
    <xf numFmtId="0" fontId="10" fillId="10" borderId="62" xfId="360" applyFont="1" applyFill="1" applyBorder="1" applyAlignment="1">
      <alignment horizontal="center"/>
    </xf>
    <xf numFmtId="0" fontId="10" fillId="13" borderId="61" xfId="360" applyFont="1" applyFill="1" applyBorder="1" applyAlignment="1">
      <alignment horizontal="center"/>
    </xf>
    <xf numFmtId="10" fontId="10" fillId="13" borderId="63" xfId="360" applyNumberFormat="1" applyFill="1" applyBorder="1" applyAlignment="1">
      <alignment horizontal="center"/>
    </xf>
    <xf numFmtId="0" fontId="14" fillId="14" borderId="24" xfId="360" applyFont="1" applyFill="1" applyBorder="1" applyAlignment="1">
      <alignment vertical="center"/>
    </xf>
    <xf numFmtId="0" fontId="14" fillId="14" borderId="25" xfId="360" applyFont="1" applyFill="1" applyBorder="1" applyAlignment="1">
      <alignment vertical="center"/>
    </xf>
    <xf numFmtId="0" fontId="14" fillId="16" borderId="25" xfId="360" applyFont="1" applyFill="1" applyBorder="1" applyAlignment="1">
      <alignment vertical="center"/>
    </xf>
    <xf numFmtId="0" fontId="14" fillId="14" borderId="64" xfId="360" applyFont="1" applyFill="1" applyBorder="1" applyAlignment="1">
      <alignment horizontal="left" vertical="center" indent="2"/>
    </xf>
    <xf numFmtId="0" fontId="10" fillId="10" borderId="65" xfId="360" applyFont="1" applyFill="1" applyBorder="1" applyAlignment="1">
      <alignment horizontal="center"/>
    </xf>
    <xf numFmtId="0" fontId="10" fillId="10" borderId="66" xfId="360" applyFont="1" applyFill="1" applyBorder="1" applyAlignment="1">
      <alignment horizontal="center"/>
    </xf>
    <xf numFmtId="0" fontId="10" fillId="13" borderId="66" xfId="360" applyFont="1" applyFill="1" applyBorder="1" applyAlignment="1">
      <alignment horizontal="center"/>
    </xf>
    <xf numFmtId="0" fontId="10" fillId="13" borderId="67" xfId="360" applyFont="1" applyFill="1" applyBorder="1" applyAlignment="1">
      <alignment horizontal="center"/>
    </xf>
    <xf numFmtId="0" fontId="10" fillId="10" borderId="68" xfId="360" applyFont="1" applyFill="1" applyBorder="1" applyAlignment="1">
      <alignment horizontal="center"/>
    </xf>
    <xf numFmtId="10" fontId="10" fillId="13" borderId="69" xfId="360" applyNumberFormat="1" applyFill="1" applyBorder="1" applyAlignment="1">
      <alignment horizontal="center"/>
    </xf>
    <xf numFmtId="0" fontId="10" fillId="10" borderId="70" xfId="360" applyFont="1" applyFill="1" applyBorder="1" applyAlignment="1">
      <alignment horizontal="center"/>
    </xf>
    <xf numFmtId="191" fontId="14" fillId="14" borderId="71" xfId="379" applyNumberFormat="1" applyFont="1" applyFill="1" applyBorder="1" applyAlignment="1">
      <alignment horizontal="center" vertical="center"/>
    </xf>
    <xf numFmtId="0" fontId="10" fillId="13" borderId="72" xfId="360" applyFill="1" applyBorder="1" applyAlignment="1">
      <alignment horizontal="center"/>
    </xf>
    <xf numFmtId="195" fontId="10" fillId="13" borderId="73" xfId="379" applyNumberFormat="1" applyFont="1" applyFill="1" applyBorder="1" applyAlignment="1">
      <alignment horizontal="center" vertical="center"/>
    </xf>
    <xf numFmtId="10" fontId="10" fillId="13" borderId="74" xfId="360" applyNumberFormat="1" applyFill="1" applyBorder="1" applyAlignment="1">
      <alignment horizontal="center"/>
    </xf>
    <xf numFmtId="0" fontId="10" fillId="0" borderId="0" xfId="360" applyFont="1" applyAlignment="1">
      <alignment horizontal="center"/>
    </xf>
    <xf numFmtId="0" fontId="10" fillId="11" borderId="25" xfId="360" applyFont="1" applyFill="1" applyBorder="1" applyAlignment="1">
      <alignment horizontal="left"/>
    </xf>
    <xf numFmtId="0" fontId="10" fillId="11" borderId="26" xfId="360" applyFont="1" applyFill="1" applyBorder="1" applyAlignment="1">
      <alignment horizontal="left"/>
    </xf>
    <xf numFmtId="191" fontId="14" fillId="14" borderId="75" xfId="379" applyNumberFormat="1" applyFont="1" applyFill="1" applyBorder="1" applyAlignment="1">
      <alignment horizontal="center" vertical="center"/>
    </xf>
    <xf numFmtId="191" fontId="14" fillId="14" borderId="45" xfId="379" applyNumberFormat="1" applyFont="1" applyFill="1" applyBorder="1" applyAlignment="1">
      <alignment horizontal="center" vertical="center"/>
    </xf>
    <xf numFmtId="191" fontId="14" fillId="15" borderId="59" xfId="379" applyNumberFormat="1" applyFont="1" applyFill="1" applyBorder="1" applyAlignment="1">
      <alignment horizontal="center" vertical="center"/>
    </xf>
    <xf numFmtId="0" fontId="14" fillId="14" borderId="1" xfId="360" applyFont="1" applyFill="1" applyBorder="1" applyAlignment="1">
      <alignment horizontal="center"/>
    </xf>
    <xf numFmtId="0" fontId="10" fillId="13" borderId="1" xfId="360" applyFill="1" applyBorder="1" applyAlignment="1">
      <alignment horizontal="center"/>
    </xf>
    <xf numFmtId="179" fontId="10" fillId="13" borderId="76" xfId="379" applyNumberFormat="1" applyFont="1" applyFill="1" applyBorder="1" applyAlignment="1">
      <alignment horizontal="center" vertical="center"/>
    </xf>
    <xf numFmtId="0" fontId="10" fillId="13" borderId="34" xfId="360" applyFill="1" applyBorder="1" applyAlignment="1">
      <alignment horizontal="center"/>
    </xf>
    <xf numFmtId="179" fontId="10" fillId="13" borderId="74" xfId="360" applyNumberFormat="1" applyFill="1" applyBorder="1" applyAlignment="1">
      <alignment horizontal="center"/>
    </xf>
    <xf numFmtId="179" fontId="10" fillId="0" borderId="0" xfId="379" applyNumberFormat="1" applyFont="1" applyFill="1" applyBorder="1" applyAlignment="1">
      <alignment horizontal="center" vertical="center"/>
    </xf>
    <xf numFmtId="0" fontId="10" fillId="0" borderId="0" xfId="360" applyBorder="1" applyAlignment="1">
      <alignment horizontal="center"/>
    </xf>
    <xf numFmtId="0" fontId="10" fillId="10" borderId="0" xfId="360" applyFont="1" applyFill="1" applyBorder="1" applyAlignment="1">
      <alignment horizontal="center"/>
    </xf>
    <xf numFmtId="0" fontId="10" fillId="0" borderId="0" xfId="360" applyFont="1" applyBorder="1" applyAlignment="1">
      <alignment horizontal="center"/>
    </xf>
    <xf numFmtId="0" fontId="10" fillId="0" borderId="0" xfId="379" applyNumberFormat="1" applyFont="1" applyFill="1" applyBorder="1" applyAlignment="1">
      <alignment horizontal="center" vertical="center"/>
    </xf>
    <xf numFmtId="0" fontId="10" fillId="0" borderId="0" xfId="360" applyFill="1" applyBorder="1" applyAlignment="1">
      <alignment horizontal="center"/>
    </xf>
    <xf numFmtId="0" fontId="10" fillId="10" borderId="0" xfId="360" applyFont="1" applyFill="1" applyBorder="1" applyAlignment="1">
      <alignment horizontal="left"/>
    </xf>
    <xf numFmtId="179" fontId="10" fillId="0" borderId="0" xfId="360" applyNumberFormat="1"/>
    <xf numFmtId="10" fontId="10" fillId="0" borderId="0" xfId="360" applyNumberFormat="1"/>
    <xf numFmtId="0" fontId="11" fillId="11" borderId="26" xfId="360" applyFont="1" applyFill="1" applyBorder="1" applyAlignment="1">
      <alignment horizontal="center"/>
    </xf>
    <xf numFmtId="0" fontId="15" fillId="10" borderId="0" xfId="360" applyFont="1" applyFill="1" applyAlignment="1">
      <alignment horizontal="center"/>
    </xf>
    <xf numFmtId="0" fontId="13" fillId="10" borderId="0" xfId="360" applyFont="1" applyFill="1" applyAlignment="1">
      <alignment horizontal="left"/>
    </xf>
    <xf numFmtId="0" fontId="12" fillId="10" borderId="0" xfId="360" applyFont="1" applyFill="1" applyBorder="1" applyAlignment="1">
      <alignment horizontal="center"/>
    </xf>
    <xf numFmtId="0" fontId="12" fillId="10" borderId="77" xfId="360" applyFont="1" applyFill="1" applyBorder="1" applyAlignment="1">
      <alignment horizontal="center"/>
    </xf>
    <xf numFmtId="58" fontId="14" fillId="14" borderId="78" xfId="360" applyNumberFormat="1" applyFont="1" applyFill="1" applyBorder="1" applyAlignment="1">
      <alignment horizontal="center" vertical="center"/>
    </xf>
    <xf numFmtId="58" fontId="14" fillId="14" borderId="79" xfId="360" applyNumberFormat="1" applyFont="1" applyFill="1" applyBorder="1" applyAlignment="1">
      <alignment horizontal="center" vertical="center"/>
    </xf>
    <xf numFmtId="0" fontId="10" fillId="10" borderId="80" xfId="360" applyFont="1" applyFill="1" applyBorder="1" applyAlignment="1">
      <alignment horizontal="center" vertical="center"/>
    </xf>
    <xf numFmtId="58" fontId="14" fillId="14" borderId="80" xfId="360" applyNumberFormat="1" applyFont="1" applyFill="1" applyBorder="1" applyAlignment="1">
      <alignment horizontal="center" vertical="center"/>
    </xf>
    <xf numFmtId="0" fontId="12" fillId="10" borderId="81" xfId="360" applyFont="1" applyFill="1" applyBorder="1" applyAlignment="1">
      <alignment horizontal="center" vertical="center"/>
    </xf>
    <xf numFmtId="58" fontId="14" fillId="14" borderId="82" xfId="360" applyNumberFormat="1" applyFont="1" applyFill="1" applyBorder="1" applyAlignment="1">
      <alignment horizontal="center" vertical="center"/>
    </xf>
    <xf numFmtId="194" fontId="1" fillId="13" borderId="83" xfId="165" applyNumberFormat="1" applyFont="1" applyFill="1" applyBorder="1" applyAlignment="1">
      <alignment horizontal="center" vertical="center" wrapText="1"/>
    </xf>
    <xf numFmtId="58" fontId="14" fillId="14" borderId="84" xfId="360" applyNumberFormat="1" applyFont="1" applyFill="1" applyBorder="1" applyAlignment="1">
      <alignment horizontal="center" vertical="center"/>
    </xf>
    <xf numFmtId="58" fontId="14" fillId="14" borderId="85" xfId="360" applyNumberFormat="1" applyFont="1" applyFill="1" applyBorder="1" applyAlignment="1">
      <alignment horizontal="center" vertical="center"/>
    </xf>
    <xf numFmtId="58" fontId="14" fillId="14" borderId="86" xfId="360" applyNumberFormat="1" applyFont="1" applyFill="1" applyBorder="1" applyAlignment="1">
      <alignment horizontal="center" vertical="center" wrapText="1"/>
    </xf>
    <xf numFmtId="58" fontId="14" fillId="14" borderId="85" xfId="360" applyNumberFormat="1" applyFont="1" applyFill="1" applyBorder="1" applyAlignment="1">
      <alignment horizontal="center" vertical="center" wrapText="1"/>
    </xf>
    <xf numFmtId="195" fontId="10" fillId="10" borderId="78" xfId="360" applyNumberFormat="1" applyFont="1" applyFill="1" applyBorder="1" applyAlignment="1">
      <alignment horizontal="center" vertical="center"/>
    </xf>
    <xf numFmtId="194" fontId="1" fillId="13" borderId="78" xfId="165" applyNumberFormat="1" applyFont="1" applyFill="1" applyBorder="1" applyAlignment="1">
      <alignment horizontal="center" vertical="center" wrapText="1"/>
    </xf>
    <xf numFmtId="194" fontId="10" fillId="10" borderId="78" xfId="360" applyNumberFormat="1" applyFont="1" applyFill="1" applyBorder="1" applyAlignment="1">
      <alignment horizontal="center" vertical="center"/>
    </xf>
    <xf numFmtId="195" fontId="10" fillId="17" borderId="78" xfId="360" applyNumberFormat="1" applyFont="1" applyFill="1" applyBorder="1" applyAlignment="1">
      <alignment horizontal="center" vertical="center"/>
    </xf>
    <xf numFmtId="194" fontId="10" fillId="17" borderId="78" xfId="360" applyNumberFormat="1" applyFont="1" applyFill="1" applyBorder="1" applyAlignment="1">
      <alignment horizontal="center" vertical="center"/>
    </xf>
    <xf numFmtId="196" fontId="1" fillId="13" borderId="78" xfId="165" applyNumberFormat="1" applyFont="1" applyFill="1" applyBorder="1" applyAlignment="1">
      <alignment horizontal="center" vertical="center" wrapText="1"/>
    </xf>
    <xf numFmtId="58" fontId="14" fillId="14" borderId="0" xfId="360" applyNumberFormat="1" applyFont="1" applyFill="1" applyBorder="1" applyAlignment="1">
      <alignment horizontal="center" vertical="center"/>
    </xf>
    <xf numFmtId="195" fontId="10" fillId="10" borderId="0" xfId="360" applyNumberFormat="1" applyFont="1" applyFill="1" applyBorder="1" applyAlignment="1">
      <alignment horizontal="center" vertical="center"/>
    </xf>
    <xf numFmtId="0" fontId="10" fillId="0" borderId="0" xfId="360" applyFont="1" applyFill="1" applyBorder="1"/>
    <xf numFmtId="0" fontId="10" fillId="0" borderId="0" xfId="360" applyAlignment="1">
      <alignment vertical="center"/>
    </xf>
    <xf numFmtId="58" fontId="14" fillId="14" borderId="77" xfId="360" applyNumberFormat="1" applyFont="1" applyFill="1" applyBorder="1" applyAlignment="1">
      <alignment horizontal="center" vertical="center" wrapText="1"/>
    </xf>
    <xf numFmtId="194" fontId="16" fillId="14" borderId="87" xfId="165" applyNumberFormat="1" applyFont="1" applyFill="1" applyBorder="1" applyAlignment="1">
      <alignment horizontal="center" vertical="center" wrapText="1"/>
    </xf>
    <xf numFmtId="0" fontId="10" fillId="0" borderId="87" xfId="360" applyFill="1" applyBorder="1" applyAlignment="1">
      <alignment horizontal="center" vertical="center"/>
    </xf>
    <xf numFmtId="194" fontId="16" fillId="12" borderId="87" xfId="165" applyNumberFormat="1" applyFont="1" applyFill="1" applyBorder="1" applyAlignment="1">
      <alignment horizontal="center" vertical="center" wrapText="1"/>
    </xf>
    <xf numFmtId="0" fontId="10" fillId="13" borderId="88" xfId="360" applyFill="1" applyBorder="1" applyAlignment="1">
      <alignment horizontal="center" vertical="center"/>
    </xf>
    <xf numFmtId="58" fontId="14" fillId="14" borderId="89" xfId="360" applyNumberFormat="1" applyFont="1" applyFill="1" applyBorder="1" applyAlignment="1">
      <alignment horizontal="center" vertical="center" wrapText="1"/>
    </xf>
    <xf numFmtId="194" fontId="16" fillId="14" borderId="89" xfId="165" applyNumberFormat="1" applyFont="1" applyFill="1" applyBorder="1" applyAlignment="1">
      <alignment horizontal="center" vertical="center" wrapText="1"/>
    </xf>
    <xf numFmtId="58" fontId="14" fillId="14" borderId="82" xfId="360" applyNumberFormat="1" applyFont="1" applyFill="1" applyBorder="1" applyAlignment="1">
      <alignment horizontal="center" vertical="center" wrapText="1"/>
    </xf>
    <xf numFmtId="194" fontId="16" fillId="14" borderId="83" xfId="165" applyNumberFormat="1" applyFont="1" applyFill="1" applyBorder="1" applyAlignment="1">
      <alignment horizontal="center" vertical="center" wrapText="1"/>
    </xf>
    <xf numFmtId="0" fontId="10" fillId="0" borderId="83" xfId="360" applyBorder="1" applyAlignment="1">
      <alignment horizontal="center" vertical="center"/>
    </xf>
    <xf numFmtId="194" fontId="16" fillId="12" borderId="83" xfId="165" applyNumberFormat="1" applyFont="1" applyFill="1" applyBorder="1" applyAlignment="1">
      <alignment horizontal="center" vertical="center" wrapText="1"/>
    </xf>
    <xf numFmtId="0" fontId="10" fillId="13" borderId="90" xfId="360" applyFill="1" applyBorder="1" applyAlignment="1">
      <alignment horizontal="center" vertical="center"/>
    </xf>
    <xf numFmtId="58" fontId="14" fillId="14" borderId="91" xfId="360" applyNumberFormat="1" applyFont="1" applyFill="1" applyBorder="1" applyAlignment="1">
      <alignment horizontal="center" vertical="center" wrapText="1"/>
    </xf>
    <xf numFmtId="194" fontId="16" fillId="14" borderId="92" xfId="165" applyNumberFormat="1" applyFont="1" applyFill="1" applyBorder="1" applyAlignment="1">
      <alignment horizontal="center" vertical="center" wrapText="1"/>
    </xf>
    <xf numFmtId="58" fontId="14" fillId="14" borderId="92" xfId="360" applyNumberFormat="1" applyFont="1" applyFill="1" applyBorder="1" applyAlignment="1">
      <alignment horizontal="center" vertical="center" wrapText="1"/>
    </xf>
    <xf numFmtId="0" fontId="10" fillId="0" borderId="93" xfId="360" applyBorder="1" applyAlignment="1">
      <alignment horizontal="center" vertical="center"/>
    </xf>
    <xf numFmtId="58" fontId="14" fillId="8" borderId="0" xfId="360" applyNumberFormat="1" applyFont="1" applyFill="1" applyBorder="1" applyAlignment="1">
      <alignment horizontal="center" vertical="center" wrapText="1"/>
    </xf>
    <xf numFmtId="0" fontId="10" fillId="0" borderId="0" xfId="360" applyBorder="1" applyAlignment="1">
      <alignment horizontal="center" vertical="center"/>
    </xf>
    <xf numFmtId="58" fontId="10" fillId="18" borderId="77" xfId="360" applyNumberFormat="1" applyFont="1" applyFill="1" applyBorder="1" applyAlignment="1">
      <alignment horizontal="center" vertical="center" wrapText="1"/>
    </xf>
    <xf numFmtId="58" fontId="10" fillId="18" borderId="87" xfId="360" applyNumberFormat="1" applyFont="1" applyFill="1" applyBorder="1" applyAlignment="1">
      <alignment horizontal="center" vertical="center" wrapText="1"/>
    </xf>
    <xf numFmtId="58" fontId="10" fillId="18" borderId="88" xfId="360" applyNumberFormat="1" applyFont="1" applyFill="1" applyBorder="1" applyAlignment="1">
      <alignment horizontal="center" vertical="center" wrapText="1"/>
    </xf>
    <xf numFmtId="0" fontId="17" fillId="0" borderId="94" xfId="360" applyFont="1" applyBorder="1" applyAlignment="1">
      <alignment horizontal="center" vertical="center"/>
    </xf>
    <xf numFmtId="0" fontId="17" fillId="0" borderId="25" xfId="360" applyFont="1" applyFill="1" applyBorder="1" applyAlignment="1">
      <alignment horizontal="center" vertical="center"/>
    </xf>
    <xf numFmtId="0" fontId="17" fillId="0" borderId="95" xfId="360" applyFont="1" applyBorder="1" applyAlignment="1">
      <alignment horizontal="center" vertical="center"/>
    </xf>
    <xf numFmtId="0" fontId="17" fillId="0" borderId="96" xfId="360" applyFont="1" applyBorder="1" applyAlignment="1">
      <alignment horizontal="center" vertical="center"/>
    </xf>
    <xf numFmtId="0" fontId="17" fillId="0" borderId="97" xfId="360" applyFont="1" applyBorder="1" applyAlignment="1">
      <alignment horizontal="center" vertical="center"/>
    </xf>
    <xf numFmtId="0" fontId="17" fillId="0" borderId="82" xfId="360" applyFont="1" applyBorder="1" applyAlignment="1">
      <alignment horizontal="center" vertical="center"/>
    </xf>
    <xf numFmtId="0" fontId="17" fillId="0" borderId="98" xfId="360" applyFont="1" applyFill="1" applyBorder="1" applyAlignment="1">
      <alignment horizontal="center" vertical="center"/>
    </xf>
    <xf numFmtId="0" fontId="17" fillId="0" borderId="99" xfId="360" applyFont="1" applyBorder="1" applyAlignment="1">
      <alignment horizontal="center" vertical="center"/>
    </xf>
    <xf numFmtId="0" fontId="17" fillId="0" borderId="100" xfId="360" applyFont="1" applyBorder="1" applyAlignment="1">
      <alignment horizontal="center" vertical="center"/>
    </xf>
    <xf numFmtId="0" fontId="17" fillId="0" borderId="101" xfId="360" applyFont="1" applyBorder="1" applyAlignment="1">
      <alignment horizontal="center" vertical="center"/>
    </xf>
    <xf numFmtId="0" fontId="10" fillId="11" borderId="1" xfId="360" applyFont="1" applyFill="1" applyBorder="1"/>
    <xf numFmtId="0" fontId="18" fillId="0" borderId="1" xfId="360" applyFont="1" applyFill="1" applyBorder="1" applyAlignment="1">
      <alignment horizontal="center" vertical="center" wrapText="1"/>
    </xf>
    <xf numFmtId="0" fontId="17" fillId="0" borderId="1" xfId="360" applyFont="1" applyBorder="1" applyAlignment="1">
      <alignment horizontal="center" vertical="center"/>
    </xf>
    <xf numFmtId="0" fontId="17" fillId="0" borderId="102" xfId="360" applyFont="1" applyBorder="1" applyAlignment="1">
      <alignment horizontal="center" vertical="center"/>
    </xf>
    <xf numFmtId="0" fontId="18" fillId="0" borderId="83" xfId="360" applyFont="1" applyFill="1" applyBorder="1" applyAlignment="1">
      <alignment horizontal="center" vertical="center" wrapText="1"/>
    </xf>
    <xf numFmtId="0" fontId="17" fillId="0" borderId="83" xfId="360" applyFont="1" applyBorder="1" applyAlignment="1">
      <alignment horizontal="center" vertical="center"/>
    </xf>
    <xf numFmtId="0" fontId="17" fillId="0" borderId="90" xfId="360" applyFont="1" applyBorder="1" applyAlignment="1">
      <alignment horizontal="center" vertical="center"/>
    </xf>
    <xf numFmtId="194" fontId="1" fillId="13" borderId="90" xfId="165" applyNumberFormat="1" applyFont="1" applyFill="1" applyBorder="1" applyAlignment="1">
      <alignment horizontal="center" vertical="center" wrapText="1"/>
    </xf>
    <xf numFmtId="0" fontId="19" fillId="19" borderId="78" xfId="0" applyFont="1" applyFill="1" applyBorder="1" applyAlignment="1">
      <alignment horizontal="center" vertical="center" wrapText="1"/>
    </xf>
    <xf numFmtId="0" fontId="20" fillId="19" borderId="78" xfId="0" applyFont="1" applyFill="1" applyBorder="1" applyAlignment="1">
      <alignment horizontal="center" vertical="center" wrapText="1"/>
    </xf>
    <xf numFmtId="181" fontId="21" fillId="20" borderId="78" xfId="0" applyNumberFormat="1" applyFont="1" applyFill="1" applyBorder="1" applyAlignment="1">
      <alignment horizontal="center" vertical="center" wrapText="1"/>
    </xf>
    <xf numFmtId="192" fontId="5" fillId="5" borderId="9" xfId="0" applyNumberFormat="1" applyFont="1" applyFill="1" applyBorder="1" applyAlignment="1">
      <alignment horizontal="left" vertical="center" wrapText="1"/>
    </xf>
    <xf numFmtId="0" fontId="10" fillId="0" borderId="78" xfId="360" applyBorder="1" applyAlignment="1">
      <alignment horizontal="center" vertical="center"/>
    </xf>
    <xf numFmtId="185" fontId="21" fillId="13" borderId="78" xfId="360" applyNumberFormat="1" applyFont="1" applyFill="1" applyBorder="1" applyAlignment="1">
      <alignment horizontal="center" vertical="center"/>
    </xf>
    <xf numFmtId="181" fontId="10" fillId="19" borderId="78" xfId="0" applyNumberFormat="1" applyFont="1" applyFill="1" applyBorder="1" applyAlignment="1">
      <alignment horizontal="center" vertical="center" wrapText="1"/>
    </xf>
    <xf numFmtId="181" fontId="10" fillId="20" borderId="78" xfId="0" applyNumberFormat="1" applyFont="1" applyFill="1" applyBorder="1" applyAlignment="1">
      <alignment horizontal="center" vertical="center" wrapText="1"/>
    </xf>
    <xf numFmtId="192" fontId="5" fillId="21" borderId="9" xfId="0" applyNumberFormat="1" applyFont="1" applyFill="1" applyBorder="1" applyAlignment="1">
      <alignment horizontal="left" vertical="center" wrapText="1"/>
    </xf>
    <xf numFmtId="194" fontId="1" fillId="22" borderId="78" xfId="165" applyNumberFormat="1" applyFont="1" applyFill="1" applyBorder="1" applyAlignment="1">
      <alignment horizontal="center" vertical="center" wrapText="1"/>
    </xf>
    <xf numFmtId="0" fontId="10" fillId="23" borderId="78" xfId="360" applyFill="1" applyBorder="1" applyAlignment="1">
      <alignment horizontal="center" vertical="center"/>
    </xf>
    <xf numFmtId="185" fontId="21" fillId="22" borderId="78" xfId="360" applyNumberFormat="1" applyFont="1" applyFill="1" applyBorder="1" applyAlignment="1">
      <alignment horizontal="center" vertical="center"/>
    </xf>
    <xf numFmtId="181" fontId="10" fillId="23" borderId="78" xfId="360" applyNumberFormat="1" applyFill="1" applyBorder="1" applyAlignment="1">
      <alignment horizontal="center" vertical="center"/>
    </xf>
    <xf numFmtId="0" fontId="10" fillId="13" borderId="78" xfId="360" applyFill="1" applyBorder="1" applyAlignment="1">
      <alignment horizontal="center" vertical="center"/>
    </xf>
    <xf numFmtId="181" fontId="10" fillId="0" borderId="0" xfId="360" applyNumberFormat="1"/>
    <xf numFmtId="194" fontId="16" fillId="14" borderId="103" xfId="165" applyNumberFormat="1" applyFont="1" applyFill="1" applyBorder="1" applyAlignment="1">
      <alignment horizontal="center" vertical="center" wrapText="1"/>
    </xf>
    <xf numFmtId="194" fontId="16" fillId="14" borderId="104" xfId="165" applyNumberFormat="1" applyFont="1" applyFill="1" applyBorder="1" applyAlignment="1">
      <alignment horizontal="center" vertical="center" wrapText="1"/>
    </xf>
    <xf numFmtId="194" fontId="16" fillId="14" borderId="93" xfId="165" applyNumberFormat="1" applyFont="1" applyFill="1" applyBorder="1" applyAlignment="1">
      <alignment horizontal="center" vertical="center" wrapText="1"/>
    </xf>
    <xf numFmtId="194" fontId="16" fillId="14" borderId="105" xfId="165" applyNumberFormat="1" applyFont="1" applyFill="1" applyBorder="1" applyAlignment="1">
      <alignment horizontal="center" vertical="center" wrapText="1"/>
    </xf>
    <xf numFmtId="194" fontId="16" fillId="14" borderId="106" xfId="165" applyNumberFormat="1" applyFont="1" applyFill="1" applyBorder="1" applyAlignment="1">
      <alignment horizontal="center" vertical="center" wrapText="1"/>
    </xf>
    <xf numFmtId="0" fontId="10" fillId="0" borderId="107" xfId="360" applyBorder="1" applyAlignment="1">
      <alignment horizontal="center" vertical="center"/>
    </xf>
    <xf numFmtId="0" fontId="10" fillId="0" borderId="108" xfId="360" applyBorder="1" applyAlignment="1">
      <alignment horizontal="center" vertical="center"/>
    </xf>
    <xf numFmtId="0" fontId="10" fillId="0" borderId="93" xfId="360" applyBorder="1" applyAlignment="1">
      <alignment horizontal="center"/>
    </xf>
    <xf numFmtId="0" fontId="10" fillId="0" borderId="0" xfId="360" applyFont="1" applyFill="1"/>
    <xf numFmtId="192" fontId="5" fillId="5" borderId="9" xfId="0" applyNumberFormat="1" applyFont="1" applyFill="1" applyBorder="1" applyAlignment="1">
      <alignment horizontal="center" vertical="center" wrapText="1"/>
    </xf>
    <xf numFmtId="192" fontId="5" fillId="21" borderId="9" xfId="0" applyNumberFormat="1" applyFont="1" applyFill="1" applyBorder="1" applyAlignment="1">
      <alignment horizontal="center" vertical="center" wrapText="1"/>
    </xf>
    <xf numFmtId="58" fontId="10" fillId="18" borderId="109" xfId="360" applyNumberFormat="1" applyFont="1" applyFill="1" applyBorder="1" applyAlignment="1">
      <alignment horizontal="center" vertical="center" wrapText="1"/>
    </xf>
    <xf numFmtId="58" fontId="10" fillId="18" borderId="110" xfId="360" applyNumberFormat="1" applyFont="1" applyFill="1" applyBorder="1" applyAlignment="1">
      <alignment horizontal="center" vertical="center" wrapText="1"/>
    </xf>
    <xf numFmtId="58" fontId="10" fillId="18" borderId="111" xfId="360" applyNumberFormat="1" applyFont="1" applyFill="1" applyBorder="1" applyAlignment="1">
      <alignment horizontal="center" vertical="center" wrapText="1"/>
    </xf>
    <xf numFmtId="0" fontId="17" fillId="0" borderId="1" xfId="360" applyFont="1" applyFill="1" applyBorder="1" applyAlignment="1">
      <alignment horizontal="center" vertical="center"/>
    </xf>
    <xf numFmtId="0" fontId="17" fillId="0" borderId="24" xfId="360" applyFont="1" applyBorder="1" applyAlignment="1">
      <alignment horizontal="left" vertical="center"/>
    </xf>
    <xf numFmtId="0" fontId="17" fillId="0" borderId="25" xfId="360" applyFont="1" applyBorder="1" applyAlignment="1">
      <alignment horizontal="left" vertical="center"/>
    </xf>
    <xf numFmtId="0" fontId="17" fillId="0" borderId="97" xfId="360" applyFont="1" applyBorder="1" applyAlignment="1">
      <alignment horizontal="left" vertical="center"/>
    </xf>
    <xf numFmtId="0" fontId="17" fillId="0" borderId="112" xfId="360" applyFont="1" applyFill="1" applyBorder="1" applyAlignment="1">
      <alignment horizontal="center" vertical="center"/>
    </xf>
    <xf numFmtId="0" fontId="17" fillId="0" borderId="14" xfId="360" applyFont="1" applyFill="1" applyBorder="1" applyAlignment="1">
      <alignment horizontal="center" vertical="center"/>
    </xf>
    <xf numFmtId="0" fontId="17" fillId="0" borderId="113" xfId="360" applyFont="1" applyBorder="1" applyAlignment="1">
      <alignment horizontal="center" vertical="center"/>
    </xf>
    <xf numFmtId="0" fontId="17" fillId="0" borderId="114" xfId="360" applyFont="1" applyFill="1" applyBorder="1" applyAlignment="1">
      <alignment horizontal="center" vertical="center"/>
    </xf>
    <xf numFmtId="0" fontId="17" fillId="0" borderId="115" xfId="360" applyFont="1" applyBorder="1" applyAlignment="1">
      <alignment horizontal="center" vertical="center"/>
    </xf>
    <xf numFmtId="0" fontId="17" fillId="0" borderId="116" xfId="360" applyFont="1" applyFill="1" applyBorder="1" applyAlignment="1">
      <alignment horizontal="center" vertical="center"/>
    </xf>
    <xf numFmtId="0" fontId="17" fillId="0" borderId="116" xfId="360" applyFont="1" applyBorder="1" applyAlignment="1">
      <alignment horizontal="center" vertical="center"/>
    </xf>
    <xf numFmtId="0" fontId="17" fillId="0" borderId="117" xfId="360" applyFont="1" applyBorder="1" applyAlignment="1">
      <alignment horizontal="left" vertical="center"/>
    </xf>
    <xf numFmtId="0" fontId="17" fillId="0" borderId="98" xfId="360" applyFont="1" applyBorder="1" applyAlignment="1">
      <alignment horizontal="left" vertical="center"/>
    </xf>
    <xf numFmtId="0" fontId="17" fillId="0" borderId="101" xfId="360" applyFont="1" applyBorder="1" applyAlignment="1">
      <alignment horizontal="left" vertical="center"/>
    </xf>
    <xf numFmtId="185" fontId="21" fillId="13" borderId="0" xfId="360" applyNumberFormat="1" applyFont="1" applyFill="1" applyBorder="1" applyAlignment="1">
      <alignment horizontal="center" vertical="center"/>
    </xf>
    <xf numFmtId="0" fontId="17" fillId="0" borderId="24" xfId="360" applyFont="1" applyBorder="1" applyAlignment="1">
      <alignment horizontal="center" vertical="center"/>
    </xf>
    <xf numFmtId="0" fontId="10" fillId="10" borderId="0" xfId="360" applyNumberFormat="1" applyFont="1" applyFill="1"/>
    <xf numFmtId="0" fontId="10" fillId="10" borderId="0" xfId="360" applyNumberFormat="1" applyFont="1" applyFill="1" applyAlignment="1"/>
    <xf numFmtId="0" fontId="10" fillId="10" borderId="0" xfId="360" applyFont="1" applyFill="1" applyAlignment="1">
      <alignment horizontal="left" vertical="top" wrapText="1"/>
    </xf>
    <xf numFmtId="0" fontId="13" fillId="10" borderId="0" xfId="360" applyFont="1" applyFill="1" applyAlignment="1">
      <alignment horizontal="left" vertical="top"/>
    </xf>
    <xf numFmtId="0" fontId="10" fillId="11" borderId="1" xfId="360" applyFont="1" applyFill="1" applyBorder="1" applyAlignment="1">
      <alignment horizontal="left"/>
    </xf>
    <xf numFmtId="58" fontId="14" fillId="14" borderId="86" xfId="360" applyNumberFormat="1" applyFont="1" applyFill="1" applyBorder="1" applyAlignment="1">
      <alignment horizontal="center" vertical="center"/>
    </xf>
    <xf numFmtId="0" fontId="10" fillId="10" borderId="78" xfId="360" applyNumberFormat="1" applyFont="1" applyFill="1" applyBorder="1" applyAlignment="1">
      <alignment horizontal="center" vertical="center"/>
    </xf>
    <xf numFmtId="0" fontId="10" fillId="17" borderId="78" xfId="360" applyNumberFormat="1" applyFont="1" applyFill="1" applyBorder="1" applyAlignment="1">
      <alignment horizontal="center" vertical="center"/>
    </xf>
    <xf numFmtId="0" fontId="10" fillId="13" borderId="78" xfId="360" applyNumberFormat="1" applyFont="1" applyFill="1" applyBorder="1" applyAlignment="1">
      <alignment horizontal="center" vertical="center"/>
    </xf>
    <xf numFmtId="0" fontId="22" fillId="10" borderId="118" xfId="360" applyNumberFormat="1" applyFont="1" applyFill="1" applyBorder="1" applyAlignment="1">
      <alignment vertical="top"/>
    </xf>
    <xf numFmtId="0" fontId="10" fillId="17" borderId="78" xfId="360" applyNumberFormat="1" applyFont="1" applyFill="1" applyBorder="1" applyAlignment="1">
      <alignment horizontal="center"/>
    </xf>
    <xf numFmtId="0" fontId="10" fillId="10" borderId="78" xfId="360" applyNumberFormat="1" applyFont="1" applyFill="1" applyBorder="1" applyAlignment="1">
      <alignment horizontal="center"/>
    </xf>
    <xf numFmtId="0" fontId="10" fillId="13" borderId="78" xfId="360" applyNumberFormat="1" applyFont="1" applyFill="1" applyBorder="1" applyAlignment="1">
      <alignment horizontal="center"/>
    </xf>
    <xf numFmtId="58" fontId="14" fillId="14" borderId="78" xfId="360" applyNumberFormat="1" applyFont="1" applyFill="1" applyBorder="1" applyAlignment="1">
      <alignment horizontal="center" vertical="center" wrapText="1"/>
    </xf>
    <xf numFmtId="197" fontId="10" fillId="13" borderId="78" xfId="360" applyNumberFormat="1" applyFont="1" applyFill="1" applyBorder="1" applyAlignment="1">
      <alignment horizontal="center" vertical="center"/>
    </xf>
    <xf numFmtId="197" fontId="10" fillId="17" borderId="78" xfId="360" applyNumberFormat="1" applyFont="1" applyFill="1" applyBorder="1" applyAlignment="1">
      <alignment horizontal="center" vertical="center"/>
    </xf>
    <xf numFmtId="181" fontId="10" fillId="17" borderId="78" xfId="360" applyNumberFormat="1" applyFont="1" applyFill="1" applyBorder="1" applyAlignment="1">
      <alignment horizontal="center" vertical="center"/>
    </xf>
    <xf numFmtId="197" fontId="10" fillId="13" borderId="0" xfId="360" applyNumberFormat="1" applyFont="1" applyFill="1" applyAlignment="1">
      <alignment horizontal="center" vertical="center"/>
    </xf>
    <xf numFmtId="0" fontId="10" fillId="10" borderId="0" xfId="360" applyNumberFormat="1" applyFont="1" applyFill="1" applyAlignment="1">
      <alignment vertical="center"/>
    </xf>
    <xf numFmtId="0" fontId="23" fillId="10" borderId="0" xfId="360" applyNumberFormat="1" applyFont="1" applyFill="1"/>
    <xf numFmtId="0" fontId="22" fillId="10" borderId="0" xfId="360" applyNumberFormat="1" applyFont="1" applyFill="1" applyAlignment="1">
      <alignment vertical="top"/>
    </xf>
    <xf numFmtId="0" fontId="10" fillId="13" borderId="78" xfId="360" applyFont="1" applyFill="1" applyBorder="1" applyAlignment="1">
      <alignment horizontal="center" vertical="center"/>
    </xf>
    <xf numFmtId="0" fontId="10" fillId="17" borderId="78" xfId="360" applyNumberFormat="1" applyFont="1" applyFill="1" applyBorder="1"/>
    <xf numFmtId="181" fontId="10" fillId="17" borderId="78" xfId="360" applyNumberFormat="1" applyFont="1" applyFill="1" applyBorder="1" applyAlignment="1">
      <alignment horizontal="center"/>
    </xf>
    <xf numFmtId="197" fontId="10" fillId="13" borderId="78" xfId="360" applyNumberFormat="1" applyFont="1" applyFill="1" applyBorder="1" applyAlignment="1">
      <alignment horizontal="center"/>
    </xf>
    <xf numFmtId="0" fontId="10" fillId="13" borderId="78" xfId="360" applyFont="1" applyFill="1" applyBorder="1" applyAlignment="1">
      <alignment horizontal="center"/>
    </xf>
    <xf numFmtId="197" fontId="10" fillId="10" borderId="78" xfId="360" applyNumberFormat="1" applyFont="1" applyFill="1" applyBorder="1" applyAlignment="1">
      <alignment horizontal="center"/>
    </xf>
    <xf numFmtId="0" fontId="10" fillId="0" borderId="0" xfId="360" applyNumberFormat="1" applyFont="1" applyFill="1"/>
    <xf numFmtId="0" fontId="10" fillId="10" borderId="0" xfId="360" applyNumberFormat="1" applyFont="1" applyFill="1" applyAlignment="1">
      <alignment horizontal="center" vertical="center"/>
    </xf>
    <xf numFmtId="0" fontId="10" fillId="22" borderId="78" xfId="360" applyNumberFormat="1" applyFont="1" applyFill="1" applyBorder="1" applyAlignment="1">
      <alignment horizontal="center" vertical="center"/>
    </xf>
    <xf numFmtId="197" fontId="10" fillId="22" borderId="78" xfId="360" applyNumberFormat="1" applyFont="1" applyFill="1" applyBorder="1" applyAlignment="1">
      <alignment horizontal="center" vertical="center"/>
    </xf>
    <xf numFmtId="0" fontId="10" fillId="10" borderId="78" xfId="360" applyNumberFormat="1" applyFont="1" applyFill="1" applyBorder="1"/>
    <xf numFmtId="58" fontId="14" fillId="14" borderId="119" xfId="360" applyNumberFormat="1" applyFont="1" applyFill="1" applyBorder="1" applyAlignment="1">
      <alignment horizontal="center" vertical="center"/>
    </xf>
    <xf numFmtId="58" fontId="14" fillId="14" borderId="120" xfId="360" applyNumberFormat="1" applyFont="1" applyFill="1" applyBorder="1" applyAlignment="1">
      <alignment horizontal="center" vertical="center"/>
    </xf>
    <xf numFmtId="0" fontId="19" fillId="19" borderId="78" xfId="0" applyFont="1" applyFill="1" applyBorder="1" applyAlignment="1">
      <alignment horizontal="center" vertical="center"/>
    </xf>
    <xf numFmtId="181" fontId="21" fillId="24" borderId="78" xfId="0" applyNumberFormat="1" applyFont="1" applyFill="1" applyBorder="1" applyAlignment="1">
      <alignment horizontal="center" vertical="center" wrapText="1"/>
    </xf>
    <xf numFmtId="192" fontId="2" fillId="25" borderId="78" xfId="363" applyNumberFormat="1" applyFont="1" applyFill="1" applyBorder="1" applyAlignment="1">
      <alignment horizontal="center" vertical="center"/>
    </xf>
    <xf numFmtId="0" fontId="22" fillId="10" borderId="0" xfId="360" applyNumberFormat="1" applyFont="1" applyFill="1" applyAlignment="1">
      <alignment horizontal="center" vertical="top"/>
    </xf>
    <xf numFmtId="0" fontId="22" fillId="10" borderId="118" xfId="360" applyNumberFormat="1" applyFont="1" applyFill="1" applyBorder="1" applyAlignment="1">
      <alignment horizontal="left" vertical="top"/>
    </xf>
    <xf numFmtId="192" fontId="2" fillId="25" borderId="78" xfId="363" applyNumberFormat="1" applyFont="1" applyFill="1" applyBorder="1" applyAlignment="1">
      <alignment horizontal="left" vertical="center" wrapText="1"/>
    </xf>
    <xf numFmtId="192" fontId="2" fillId="26" borderId="78" xfId="363" applyNumberFormat="1" applyFont="1" applyFill="1" applyBorder="1" applyAlignment="1">
      <alignment horizontal="left" vertical="center" wrapText="1"/>
    </xf>
    <xf numFmtId="192" fontId="2" fillId="26" borderId="78" xfId="363" applyNumberFormat="1" applyFont="1" applyFill="1" applyBorder="1" applyAlignment="1">
      <alignment horizontal="center" vertical="center" wrapText="1"/>
    </xf>
    <xf numFmtId="0" fontId="22" fillId="10" borderId="0" xfId="360" applyNumberFormat="1" applyFont="1" applyFill="1" applyAlignment="1">
      <alignment horizontal="left" vertical="top"/>
    </xf>
    <xf numFmtId="0" fontId="10" fillId="10" borderId="0" xfId="360" applyFont="1" applyFill="1" applyAlignment="1">
      <alignment horizontal="center"/>
    </xf>
    <xf numFmtId="58" fontId="10" fillId="10" borderId="0" xfId="360" applyNumberFormat="1" applyFont="1" applyFill="1" applyAlignment="1">
      <alignment horizontal="center"/>
    </xf>
    <xf numFmtId="58" fontId="10" fillId="10" borderId="0" xfId="360" applyNumberFormat="1" applyFont="1" applyFill="1"/>
    <xf numFmtId="58" fontId="15" fillId="10" borderId="0" xfId="360" applyNumberFormat="1" applyFont="1" applyFill="1" applyAlignment="1">
      <alignment horizontal="center"/>
    </xf>
    <xf numFmtId="0" fontId="10" fillId="10" borderId="0" xfId="360" applyFill="1"/>
    <xf numFmtId="0" fontId="10" fillId="10" borderId="121" xfId="360" applyFont="1" applyFill="1" applyBorder="1" applyAlignment="1">
      <alignment horizontal="left"/>
    </xf>
    <xf numFmtId="0" fontId="0" fillId="0" borderId="121" xfId="0" applyBorder="1" applyAlignment="1"/>
    <xf numFmtId="0" fontId="0" fillId="0" borderId="122" xfId="0" applyBorder="1" applyAlignment="1"/>
    <xf numFmtId="58" fontId="14" fillId="12" borderId="123" xfId="360" applyNumberFormat="1" applyFont="1" applyFill="1" applyBorder="1" applyAlignment="1">
      <alignment horizontal="center" vertical="center"/>
    </xf>
    <xf numFmtId="196" fontId="24" fillId="13" borderId="124" xfId="360" applyNumberFormat="1" applyFont="1" applyFill="1" applyBorder="1" applyAlignment="1">
      <alignment horizontal="center" vertical="center"/>
    </xf>
    <xf numFmtId="0" fontId="25" fillId="14" borderId="125" xfId="360" applyFont="1" applyFill="1" applyBorder="1" applyAlignment="1">
      <alignment horizontal="center" vertical="center"/>
    </xf>
    <xf numFmtId="58" fontId="14" fillId="14" borderId="126" xfId="360" applyNumberFormat="1" applyFont="1" applyFill="1" applyBorder="1" applyAlignment="1">
      <alignment horizontal="center" vertical="center"/>
    </xf>
    <xf numFmtId="58" fontId="14" fillId="14" borderId="127" xfId="360" applyNumberFormat="1" applyFont="1" applyFill="1" applyBorder="1" applyAlignment="1">
      <alignment horizontal="center" vertical="center"/>
    </xf>
    <xf numFmtId="14" fontId="10" fillId="10" borderId="128" xfId="360" applyNumberFormat="1" applyFont="1" applyFill="1" applyBorder="1"/>
    <xf numFmtId="14" fontId="10" fillId="10" borderId="129" xfId="360" applyNumberFormat="1" applyFont="1" applyFill="1" applyBorder="1"/>
    <xf numFmtId="196" fontId="24" fillId="13" borderId="130" xfId="360" applyNumberFormat="1" applyFont="1" applyFill="1" applyBorder="1" applyAlignment="1">
      <alignment horizontal="center"/>
    </xf>
    <xf numFmtId="0" fontId="14" fillId="14" borderId="60" xfId="360" applyFont="1" applyFill="1" applyBorder="1" applyAlignment="1">
      <alignment vertical="center"/>
    </xf>
    <xf numFmtId="0" fontId="10" fillId="10" borderId="131" xfId="360" applyFill="1" applyBorder="1"/>
    <xf numFmtId="0" fontId="10" fillId="10" borderId="131" xfId="360" applyFont="1" applyFill="1" applyBorder="1"/>
    <xf numFmtId="0" fontId="14" fillId="14" borderId="78" xfId="360" applyFont="1" applyFill="1" applyBorder="1" applyAlignment="1">
      <alignment horizontal="center" vertical="center"/>
    </xf>
    <xf numFmtId="0" fontId="14" fillId="14" borderId="78" xfId="360" applyFont="1" applyFill="1" applyBorder="1" applyAlignment="1">
      <alignment horizontal="center"/>
    </xf>
    <xf numFmtId="10" fontId="10" fillId="0" borderId="78" xfId="360" applyNumberFormat="1" applyFont="1" applyFill="1" applyBorder="1" applyAlignment="1">
      <alignment horizontal="center" vertical="center"/>
    </xf>
    <xf numFmtId="0" fontId="19" fillId="19" borderId="78" xfId="0" applyFont="1" applyFill="1" applyBorder="1" applyAlignment="1">
      <alignment horizontal="left" vertical="center" wrapText="1"/>
    </xf>
    <xf numFmtId="10" fontId="20" fillId="19" borderId="78" xfId="0" applyNumberFormat="1" applyFont="1" applyFill="1" applyBorder="1" applyAlignment="1">
      <alignment horizontal="center" vertical="center" wrapText="1"/>
    </xf>
    <xf numFmtId="10" fontId="21" fillId="20" borderId="78" xfId="0" applyNumberFormat="1" applyFont="1" applyFill="1" applyBorder="1" applyAlignment="1">
      <alignment horizontal="center" vertical="center" wrapText="1"/>
    </xf>
    <xf numFmtId="0" fontId="26" fillId="27" borderId="0" xfId="360" applyNumberFormat="1" applyFont="1" applyFill="1" applyAlignment="1">
      <alignment horizontal="left" vertical="top" wrapText="1"/>
    </xf>
    <xf numFmtId="58" fontId="10" fillId="11" borderId="26" xfId="360" applyNumberFormat="1" applyFont="1" applyFill="1" applyBorder="1" applyAlignment="1">
      <alignment horizontal="center"/>
    </xf>
    <xf numFmtId="179" fontId="10" fillId="10" borderId="0" xfId="360" applyNumberFormat="1" applyFont="1" applyFill="1"/>
    <xf numFmtId="0" fontId="14" fillId="12" borderId="132" xfId="360" applyFont="1" applyFill="1" applyBorder="1" applyAlignment="1">
      <alignment horizontal="center" vertical="center" wrapText="1"/>
    </xf>
    <xf numFmtId="0" fontId="10" fillId="13" borderId="133" xfId="360" applyNumberFormat="1" applyFont="1" applyFill="1" applyBorder="1" applyAlignment="1">
      <alignment horizontal="center" vertical="center"/>
    </xf>
    <xf numFmtId="0" fontId="14" fillId="14" borderId="134" xfId="360" applyFont="1" applyFill="1" applyBorder="1" applyAlignment="1">
      <alignment horizontal="center" vertical="center"/>
    </xf>
    <xf numFmtId="0" fontId="14" fillId="14" borderId="135" xfId="360" applyFont="1" applyFill="1" applyBorder="1" applyAlignment="1">
      <alignment horizontal="center" vertical="center"/>
    </xf>
    <xf numFmtId="0" fontId="14" fillId="12" borderId="136" xfId="360" applyFont="1" applyFill="1" applyBorder="1" applyAlignment="1">
      <alignment horizontal="center" vertical="center" wrapText="1"/>
    </xf>
    <xf numFmtId="0" fontId="10" fillId="13" borderId="137" xfId="360" applyNumberFormat="1" applyFont="1" applyFill="1" applyBorder="1" applyAlignment="1">
      <alignment horizontal="center" vertical="center"/>
    </xf>
    <xf numFmtId="0" fontId="10" fillId="10" borderId="73" xfId="360" applyNumberFormat="1" applyFont="1" applyFill="1" applyBorder="1" applyAlignment="1">
      <alignment horizontal="center"/>
    </xf>
    <xf numFmtId="0" fontId="10" fillId="10" borderId="138" xfId="360" applyNumberFormat="1" applyFont="1" applyFill="1" applyBorder="1" applyAlignment="1">
      <alignment horizontal="center"/>
    </xf>
    <xf numFmtId="0" fontId="14" fillId="14" borderId="1" xfId="360" applyFont="1" applyFill="1" applyBorder="1" applyAlignment="1">
      <alignment horizontal="center" vertical="center" wrapText="1"/>
    </xf>
    <xf numFmtId="0" fontId="14" fillId="12" borderId="1" xfId="360" applyFont="1" applyFill="1" applyBorder="1" applyAlignment="1">
      <alignment horizontal="center" vertical="center" wrapText="1"/>
    </xf>
    <xf numFmtId="193" fontId="10" fillId="10" borderId="1" xfId="360" applyNumberFormat="1" applyFont="1" applyFill="1" applyBorder="1" applyAlignment="1">
      <alignment horizontal="center" vertical="center"/>
    </xf>
    <xf numFmtId="193" fontId="10" fillId="13" borderId="1" xfId="360" applyNumberFormat="1" applyFont="1" applyFill="1" applyBorder="1" applyAlignment="1">
      <alignment horizontal="center" vertical="center"/>
    </xf>
    <xf numFmtId="180" fontId="24" fillId="13" borderId="139" xfId="360" applyNumberFormat="1" applyFont="1" applyFill="1" applyBorder="1" applyAlignment="1">
      <alignment horizontal="center" vertical="center"/>
    </xf>
    <xf numFmtId="180" fontId="24" fillId="13" borderId="140" xfId="360" applyNumberFormat="1" applyFont="1" applyFill="1" applyBorder="1" applyAlignment="1">
      <alignment horizontal="center" vertical="center"/>
    </xf>
    <xf numFmtId="192" fontId="27" fillId="0" borderId="141" xfId="0" applyNumberFormat="1" applyFont="1" applyFill="1" applyBorder="1" applyAlignment="1">
      <alignment horizontal="center" vertical="center" wrapText="1"/>
    </xf>
    <xf numFmtId="58" fontId="14" fillId="12" borderId="127" xfId="360" applyNumberFormat="1" applyFont="1" applyFill="1" applyBorder="1" applyAlignment="1">
      <alignment horizontal="center" vertical="center"/>
    </xf>
    <xf numFmtId="58" fontId="14" fillId="14" borderId="142" xfId="360" applyNumberFormat="1" applyFont="1" applyFill="1" applyBorder="1" applyAlignment="1">
      <alignment horizontal="center" vertical="center"/>
    </xf>
    <xf numFmtId="181" fontId="10" fillId="10" borderId="0" xfId="360" applyNumberFormat="1" applyFont="1" applyFill="1" applyAlignment="1">
      <alignment horizontal="left"/>
    </xf>
    <xf numFmtId="181" fontId="24" fillId="13" borderId="130" xfId="360" applyNumberFormat="1" applyFont="1" applyFill="1" applyBorder="1" applyAlignment="1">
      <alignment horizontal="center"/>
    </xf>
    <xf numFmtId="9" fontId="24" fillId="13" borderId="130" xfId="360" applyNumberFormat="1" applyFont="1" applyFill="1" applyBorder="1" applyAlignment="1">
      <alignment horizontal="center"/>
    </xf>
    <xf numFmtId="10" fontId="24" fillId="10" borderId="130" xfId="360" applyNumberFormat="1" applyFont="1" applyFill="1" applyBorder="1" applyAlignment="1">
      <alignment horizontal="center" wrapText="1"/>
    </xf>
    <xf numFmtId="10" fontId="24" fillId="10" borderId="143" xfId="360" applyNumberFormat="1" applyFont="1" applyFill="1" applyBorder="1" applyAlignment="1">
      <alignment horizontal="center" wrapText="1"/>
    </xf>
    <xf numFmtId="9" fontId="24" fillId="16" borderId="130" xfId="360" applyNumberFormat="1" applyFont="1" applyFill="1" applyBorder="1" applyAlignment="1">
      <alignment horizontal="center"/>
    </xf>
    <xf numFmtId="181" fontId="10" fillId="10" borderId="0" xfId="360" applyNumberFormat="1" applyFont="1" applyFill="1"/>
    <xf numFmtId="181" fontId="10" fillId="10" borderId="0" xfId="360" applyNumberFormat="1" applyFont="1" applyFill="1" applyAlignment="1">
      <alignment horizontal="center" vertical="center"/>
    </xf>
    <xf numFmtId="10" fontId="24" fillId="10" borderId="144" xfId="360" applyNumberFormat="1" applyFont="1" applyFill="1" applyBorder="1" applyAlignment="1">
      <alignment horizontal="center" wrapText="1"/>
    </xf>
    <xf numFmtId="10" fontId="24" fillId="10" borderId="145" xfId="360" applyNumberFormat="1" applyFont="1" applyFill="1" applyBorder="1" applyAlignment="1">
      <alignment horizontal="center" wrapText="1"/>
    </xf>
    <xf numFmtId="10" fontId="24" fillId="10" borderId="146" xfId="360" applyNumberFormat="1" applyFont="1" applyFill="1" applyBorder="1" applyAlignment="1">
      <alignment horizontal="center" wrapText="1"/>
    </xf>
    <xf numFmtId="10" fontId="24" fillId="10" borderId="147" xfId="360" applyNumberFormat="1" applyFont="1" applyFill="1" applyBorder="1" applyAlignment="1">
      <alignment horizontal="center" wrapText="1"/>
    </xf>
    <xf numFmtId="0" fontId="10" fillId="10" borderId="148" xfId="360" applyFont="1" applyFill="1" applyBorder="1" applyAlignment="1">
      <alignment horizontal="center" wrapText="1"/>
    </xf>
    <xf numFmtId="0" fontId="10" fillId="10" borderId="0" xfId="360" applyFont="1" applyFill="1" applyAlignment="1">
      <alignment horizontal="left" vertical="center"/>
    </xf>
    <xf numFmtId="196" fontId="10" fillId="10" borderId="0" xfId="360" applyNumberFormat="1" applyFont="1" applyFill="1" applyAlignment="1">
      <alignment horizontal="center" vertical="center"/>
    </xf>
    <xf numFmtId="0" fontId="10" fillId="10" borderId="0" xfId="360" applyFont="1" applyFill="1" applyAlignment="1">
      <alignment horizontal="center" vertical="center"/>
    </xf>
    <xf numFmtId="10" fontId="10" fillId="23" borderId="78" xfId="381" applyNumberFormat="1" applyFont="1" applyFill="1" applyBorder="1" applyAlignment="1">
      <alignment horizontal="center" vertical="center" wrapText="1"/>
    </xf>
    <xf numFmtId="0" fontId="14" fillId="10" borderId="0" xfId="360" applyFont="1" applyFill="1" applyBorder="1"/>
    <xf numFmtId="0" fontId="10" fillId="11" borderId="25" xfId="360" applyFont="1" applyFill="1" applyBorder="1"/>
    <xf numFmtId="0" fontId="10" fillId="11" borderId="26" xfId="360" applyFont="1" applyFill="1" applyBorder="1" applyAlignment="1">
      <alignment horizontal="center"/>
    </xf>
    <xf numFmtId="0" fontId="24" fillId="10" borderId="0" xfId="360" applyFont="1" applyFill="1" applyBorder="1" applyAlignment="1">
      <alignment horizontal="left"/>
    </xf>
    <xf numFmtId="0" fontId="14" fillId="12" borderId="149" xfId="360" applyFont="1" applyFill="1" applyBorder="1" applyAlignment="1">
      <alignment horizontal="center" vertical="center"/>
    </xf>
    <xf numFmtId="0" fontId="12" fillId="10" borderId="150" xfId="360" applyFont="1" applyFill="1" applyBorder="1" applyAlignment="1">
      <alignment horizontal="center" vertical="center"/>
    </xf>
    <xf numFmtId="0" fontId="14" fillId="14" borderId="151" xfId="360" applyFont="1" applyFill="1" applyBorder="1" applyAlignment="1">
      <alignment horizontal="center" vertical="center"/>
    </xf>
    <xf numFmtId="0" fontId="14" fillId="14" borderId="152" xfId="360" applyFont="1" applyFill="1" applyBorder="1" applyAlignment="1">
      <alignment horizontal="center" vertical="center"/>
    </xf>
    <xf numFmtId="0" fontId="14" fillId="14" borderId="153" xfId="360" applyFont="1" applyFill="1" applyBorder="1" applyAlignment="1">
      <alignment horizontal="center" vertical="center"/>
    </xf>
    <xf numFmtId="0" fontId="14" fillId="14" borderId="154" xfId="360" applyFont="1" applyFill="1" applyBorder="1" applyAlignment="1">
      <alignment horizontal="center"/>
    </xf>
    <xf numFmtId="0" fontId="14" fillId="14" borderId="1" xfId="360" applyFont="1" applyFill="1" applyBorder="1" applyAlignment="1">
      <alignment vertical="center"/>
    </xf>
    <xf numFmtId="0" fontId="10" fillId="10" borderId="155" xfId="360" applyFont="1" applyFill="1" applyBorder="1" applyAlignment="1">
      <alignment horizontal="center"/>
    </xf>
    <xf numFmtId="0" fontId="14" fillId="14" borderId="1" xfId="360" applyFont="1" applyFill="1" applyBorder="1" applyAlignment="1">
      <alignment horizontal="left" vertical="center" indent="1"/>
    </xf>
    <xf numFmtId="0" fontId="14" fillId="14" borderId="156" xfId="360" applyFont="1" applyFill="1" applyBorder="1" applyAlignment="1">
      <alignment horizontal="center"/>
    </xf>
    <xf numFmtId="0" fontId="14" fillId="14" borderId="26" xfId="360" applyFont="1" applyFill="1" applyBorder="1" applyAlignment="1">
      <alignment horizontal="left" vertical="center" indent="1"/>
    </xf>
    <xf numFmtId="0" fontId="14" fillId="14" borderId="26" xfId="360" applyFont="1" applyFill="1" applyBorder="1" applyAlignment="1">
      <alignment vertical="center"/>
    </xf>
    <xf numFmtId="179" fontId="10" fillId="0" borderId="157" xfId="379" applyNumberFormat="1" applyFont="1" applyFill="1" applyBorder="1" applyAlignment="1">
      <alignment horizontal="center" vertical="center"/>
    </xf>
    <xf numFmtId="179" fontId="10" fillId="10" borderId="148" xfId="360" applyNumberFormat="1" applyFont="1" applyFill="1" applyBorder="1" applyAlignment="1">
      <alignment horizontal="center"/>
    </xf>
    <xf numFmtId="0" fontId="14" fillId="0" borderId="158" xfId="360" applyFont="1" applyFill="1" applyBorder="1" applyAlignment="1">
      <alignment vertical="center"/>
    </xf>
    <xf numFmtId="0" fontId="14" fillId="10" borderId="0" xfId="360" applyFont="1" applyFill="1" applyBorder="1" applyAlignment="1">
      <alignment horizontal="center"/>
    </xf>
    <xf numFmtId="0" fontId="10" fillId="11" borderId="24" xfId="360" applyFont="1" applyFill="1" applyBorder="1" applyAlignment="1">
      <alignment horizontal="left" vertical="top"/>
    </xf>
    <xf numFmtId="0" fontId="14" fillId="14" borderId="159" xfId="360" applyFont="1" applyFill="1" applyBorder="1" applyAlignment="1">
      <alignment vertical="center"/>
    </xf>
    <xf numFmtId="0" fontId="10" fillId="10" borderId="0" xfId="360" applyFill="1" applyBorder="1" applyAlignment="1">
      <alignment horizontal="left" vertical="top"/>
    </xf>
    <xf numFmtId="0" fontId="14" fillId="12" borderId="160" xfId="360" applyFont="1" applyFill="1" applyBorder="1" applyAlignment="1">
      <alignment horizontal="center" vertical="center"/>
    </xf>
    <xf numFmtId="181" fontId="10" fillId="13" borderId="161" xfId="360" applyNumberFormat="1" applyFill="1" applyBorder="1" applyAlignment="1">
      <alignment horizontal="center"/>
    </xf>
    <xf numFmtId="0" fontId="14" fillId="14" borderId="162" xfId="360" applyFont="1" applyFill="1" applyBorder="1" applyAlignment="1">
      <alignment horizontal="center"/>
    </xf>
    <xf numFmtId="0" fontId="10" fillId="10" borderId="0" xfId="360" applyFont="1" applyFill="1" applyBorder="1" applyAlignment="1">
      <alignment horizontal="left" vertical="top"/>
    </xf>
    <xf numFmtId="0" fontId="12" fillId="10" borderId="163" xfId="360" applyFont="1" applyFill="1" applyBorder="1" applyAlignment="1">
      <alignment horizontal="center" vertical="center"/>
    </xf>
    <xf numFmtId="0" fontId="14" fillId="12" borderId="164" xfId="360" applyFont="1" applyFill="1" applyBorder="1" applyAlignment="1">
      <alignment horizontal="center" vertical="center"/>
    </xf>
    <xf numFmtId="0" fontId="13" fillId="0" borderId="0" xfId="360" applyFont="1" applyFill="1"/>
    <xf numFmtId="0" fontId="15" fillId="11" borderId="26" xfId="360" applyFont="1" applyFill="1" applyBorder="1" applyAlignment="1">
      <alignment horizontal="center"/>
    </xf>
    <xf numFmtId="0" fontId="6" fillId="10" borderId="0" xfId="360" applyFont="1" applyFill="1" applyAlignment="1">
      <alignment horizontal="left"/>
    </xf>
    <xf numFmtId="0" fontId="6" fillId="10" borderId="0" xfId="360" applyFont="1" applyFill="1"/>
    <xf numFmtId="0" fontId="12" fillId="0" borderId="132" xfId="360" applyFont="1" applyFill="1" applyBorder="1" applyAlignment="1">
      <alignment horizontal="center" vertical="center"/>
    </xf>
    <xf numFmtId="0" fontId="14" fillId="18" borderId="165" xfId="360" applyFont="1" applyFill="1" applyBorder="1" applyAlignment="1">
      <alignment horizontal="center" vertical="center"/>
    </xf>
    <xf numFmtId="0" fontId="14" fillId="14" borderId="166" xfId="360" applyFont="1" applyFill="1" applyBorder="1" applyAlignment="1">
      <alignment horizontal="center" vertical="center"/>
    </xf>
    <xf numFmtId="0" fontId="14" fillId="14" borderId="159" xfId="360" applyFont="1" applyFill="1" applyBorder="1" applyAlignment="1">
      <alignment horizontal="center" vertical="center"/>
    </xf>
    <xf numFmtId="0" fontId="12" fillId="0" borderId="64" xfId="360" applyFont="1" applyFill="1" applyBorder="1" applyAlignment="1">
      <alignment horizontal="center" vertical="center"/>
    </xf>
    <xf numFmtId="0" fontId="14" fillId="18" borderId="127" xfId="360" applyFont="1" applyFill="1" applyBorder="1" applyAlignment="1">
      <alignment horizontal="center" vertical="center"/>
    </xf>
    <xf numFmtId="0" fontId="14" fillId="14" borderId="130" xfId="360" applyFont="1" applyFill="1" applyBorder="1" applyAlignment="1">
      <alignment horizontal="center" vertical="center"/>
    </xf>
    <xf numFmtId="0" fontId="14" fillId="14" borderId="144" xfId="360" applyFont="1" applyFill="1" applyBorder="1" applyAlignment="1">
      <alignment horizontal="center" vertical="center"/>
    </xf>
    <xf numFmtId="0" fontId="14" fillId="14" borderId="39" xfId="360" applyFont="1" applyFill="1" applyBorder="1" applyAlignment="1">
      <alignment horizontal="center"/>
    </xf>
    <xf numFmtId="0" fontId="14" fillId="14" borderId="130" xfId="360" applyFont="1" applyFill="1" applyBorder="1"/>
    <xf numFmtId="0" fontId="24" fillId="13" borderId="130" xfId="360" applyFont="1" applyFill="1" applyBorder="1" applyAlignment="1">
      <alignment horizontal="center"/>
    </xf>
    <xf numFmtId="0" fontId="10" fillId="10" borderId="167" xfId="360" applyFont="1" applyFill="1" applyBorder="1" applyAlignment="1">
      <alignment horizontal="center"/>
    </xf>
    <xf numFmtId="0" fontId="24" fillId="13" borderId="130" xfId="360" applyFont="1" applyFill="1" applyBorder="1" applyAlignment="1">
      <alignment horizontal="right"/>
    </xf>
    <xf numFmtId="0" fontId="14" fillId="12" borderId="39" xfId="360" applyFont="1" applyFill="1" applyBorder="1" applyAlignment="1">
      <alignment horizontal="center"/>
    </xf>
    <xf numFmtId="0" fontId="14" fillId="12" borderId="144" xfId="360" applyFont="1" applyFill="1" applyBorder="1"/>
    <xf numFmtId="0" fontId="24" fillId="13" borderId="167" xfId="360" applyFont="1" applyFill="1" applyBorder="1" applyAlignment="1">
      <alignment horizontal="center"/>
    </xf>
    <xf numFmtId="0" fontId="24" fillId="13" borderId="168" xfId="360" applyFont="1" applyFill="1" applyBorder="1" applyAlignment="1">
      <alignment horizontal="center"/>
    </xf>
    <xf numFmtId="179" fontId="24" fillId="13" borderId="167" xfId="360" applyNumberFormat="1" applyFont="1" applyFill="1" applyBorder="1" applyAlignment="1">
      <alignment horizontal="center"/>
    </xf>
    <xf numFmtId="179" fontId="24" fillId="13" borderId="168" xfId="360" applyNumberFormat="1" applyFont="1" applyFill="1" applyBorder="1" applyAlignment="1">
      <alignment horizontal="center"/>
    </xf>
    <xf numFmtId="10" fontId="28" fillId="13" borderId="167" xfId="360" applyNumberFormat="1" applyFont="1" applyFill="1" applyBorder="1" applyAlignment="1">
      <alignment horizontal="center"/>
    </xf>
    <xf numFmtId="10" fontId="28" fillId="13" borderId="168" xfId="360" applyNumberFormat="1" applyFont="1" applyFill="1" applyBorder="1" applyAlignment="1">
      <alignment horizontal="center"/>
    </xf>
    <xf numFmtId="0" fontId="14" fillId="12" borderId="130" xfId="360" applyFont="1" applyFill="1" applyBorder="1"/>
    <xf numFmtId="0" fontId="14" fillId="12" borderId="52" xfId="360" applyFont="1" applyFill="1" applyBorder="1" applyAlignment="1">
      <alignment horizontal="center"/>
    </xf>
    <xf numFmtId="0" fontId="14" fillId="12" borderId="147" xfId="360" applyFont="1" applyFill="1" applyBorder="1"/>
    <xf numFmtId="10" fontId="28" fillId="13" borderId="169" xfId="360" applyNumberFormat="1" applyFont="1" applyFill="1" applyBorder="1" applyAlignment="1">
      <alignment horizontal="center"/>
    </xf>
    <xf numFmtId="10" fontId="28" fillId="13" borderId="170" xfId="360" applyNumberFormat="1" applyFont="1" applyFill="1" applyBorder="1" applyAlignment="1">
      <alignment horizontal="center"/>
    </xf>
    <xf numFmtId="0" fontId="10" fillId="0" borderId="0" xfId="360" applyFont="1" applyFill="1" applyBorder="1" applyAlignment="1">
      <alignment horizontal="center"/>
    </xf>
    <xf numFmtId="10" fontId="28" fillId="0" borderId="0" xfId="360" applyNumberFormat="1" applyFont="1" applyFill="1" applyBorder="1" applyAlignment="1">
      <alignment horizontal="center"/>
    </xf>
    <xf numFmtId="0" fontId="20" fillId="19" borderId="171" xfId="0" applyFont="1" applyFill="1" applyBorder="1" applyAlignment="1">
      <alignment horizontal="center" vertical="center" wrapText="1"/>
    </xf>
    <xf numFmtId="0" fontId="19" fillId="19" borderId="86" xfId="0" applyFont="1" applyFill="1" applyBorder="1" applyAlignment="1">
      <alignment horizontal="left" vertical="center" wrapText="1"/>
    </xf>
    <xf numFmtId="181" fontId="29" fillId="28" borderId="9" xfId="0" applyNumberFormat="1" applyFont="1" applyFill="1" applyBorder="1" applyAlignment="1">
      <alignment horizontal="center" vertical="center" wrapText="1"/>
    </xf>
    <xf numFmtId="181" fontId="21" fillId="29" borderId="78" xfId="0" applyNumberFormat="1" applyFont="1" applyFill="1" applyBorder="1" applyAlignment="1">
      <alignment horizontal="center" vertical="center" wrapText="1"/>
    </xf>
    <xf numFmtId="0" fontId="20" fillId="19" borderId="172" xfId="0" applyFont="1" applyFill="1" applyBorder="1" applyAlignment="1">
      <alignment horizontal="center" vertical="center" wrapText="1"/>
    </xf>
    <xf numFmtId="0" fontId="19" fillId="19" borderId="173" xfId="0" applyFont="1" applyFill="1" applyBorder="1" applyAlignment="1">
      <alignment horizontal="left" vertical="center" wrapText="1"/>
    </xf>
    <xf numFmtId="181" fontId="29" fillId="30" borderId="9" xfId="0" applyNumberFormat="1" applyFont="1" applyFill="1" applyBorder="1" applyAlignment="1">
      <alignment horizontal="center" vertical="center" wrapText="1"/>
    </xf>
    <xf numFmtId="0" fontId="19" fillId="19" borderId="85" xfId="0" applyFont="1" applyFill="1" applyBorder="1" applyAlignment="1">
      <alignment horizontal="left" vertical="center" wrapText="1"/>
    </xf>
    <xf numFmtId="0" fontId="30" fillId="14" borderId="78" xfId="360" applyFont="1" applyFill="1" applyBorder="1" applyAlignment="1">
      <alignment vertical="center"/>
    </xf>
    <xf numFmtId="0" fontId="24" fillId="13" borderId="78" xfId="360" applyFont="1" applyFill="1" applyBorder="1" applyAlignment="1">
      <alignment horizontal="center"/>
    </xf>
    <xf numFmtId="0" fontId="31" fillId="10" borderId="0" xfId="360" applyFont="1" applyFill="1"/>
    <xf numFmtId="0" fontId="10" fillId="10" borderId="168" xfId="360" applyFont="1" applyFill="1" applyBorder="1" applyAlignment="1">
      <alignment horizontal="center"/>
    </xf>
    <xf numFmtId="0" fontId="10" fillId="10" borderId="130" xfId="360" applyFont="1" applyFill="1" applyBorder="1" applyAlignment="1">
      <alignment horizontal="center"/>
    </xf>
    <xf numFmtId="0" fontId="14" fillId="14" borderId="167" xfId="360" applyFont="1" applyFill="1" applyBorder="1" applyAlignment="1">
      <alignment horizontal="center" vertical="center"/>
    </xf>
    <xf numFmtId="0" fontId="24" fillId="13" borderId="167" xfId="360" applyFont="1" applyFill="1" applyBorder="1" applyAlignment="1">
      <alignment horizontal="right"/>
    </xf>
    <xf numFmtId="0" fontId="24" fillId="0" borderId="130" xfId="360" applyFont="1" applyFill="1" applyBorder="1"/>
    <xf numFmtId="0" fontId="24" fillId="13" borderId="167" xfId="360" applyFont="1" applyFill="1" applyBorder="1"/>
    <xf numFmtId="181" fontId="29" fillId="31" borderId="9" xfId="0" applyNumberFormat="1" applyFont="1" applyFill="1" applyBorder="1" applyAlignment="1">
      <alignment horizontal="center" vertical="center" wrapText="1"/>
    </xf>
    <xf numFmtId="193" fontId="10" fillId="10" borderId="0" xfId="360" applyNumberFormat="1" applyFont="1" applyFill="1"/>
    <xf numFmtId="0" fontId="24" fillId="13" borderId="174" xfId="360" applyFont="1" applyFill="1" applyBorder="1" applyAlignment="1">
      <alignment horizontal="center"/>
    </xf>
    <xf numFmtId="0" fontId="30" fillId="8" borderId="0" xfId="360" applyFont="1" applyFill="1" applyBorder="1" applyAlignment="1">
      <alignment vertical="center"/>
    </xf>
    <xf numFmtId="10" fontId="10" fillId="8" borderId="0" xfId="360" applyNumberFormat="1" applyFont="1" applyFill="1"/>
    <xf numFmtId="0" fontId="30" fillId="8" borderId="0" xfId="360" applyFont="1" applyFill="1" applyBorder="1" applyAlignment="1">
      <alignment horizontal="center" vertical="center" wrapText="1"/>
    </xf>
    <xf numFmtId="0" fontId="10" fillId="8" borderId="0" xfId="360" applyFont="1" applyFill="1" applyBorder="1"/>
    <xf numFmtId="10" fontId="10" fillId="10" borderId="0" xfId="360" applyNumberFormat="1" applyFont="1" applyFill="1"/>
    <xf numFmtId="0" fontId="14" fillId="12" borderId="165" xfId="360" applyFont="1" applyFill="1" applyBorder="1" applyAlignment="1">
      <alignment horizontal="center" vertical="center"/>
    </xf>
    <xf numFmtId="0" fontId="14" fillId="12" borderId="175" xfId="360" applyFont="1" applyFill="1" applyBorder="1" applyAlignment="1">
      <alignment horizontal="center" vertical="center"/>
    </xf>
    <xf numFmtId="0" fontId="10" fillId="18" borderId="176" xfId="360" applyFont="1" applyFill="1" applyBorder="1" applyAlignment="1">
      <alignment horizontal="center" vertical="center"/>
    </xf>
    <xf numFmtId="0" fontId="14" fillId="12" borderId="127" xfId="360" applyFont="1" applyFill="1" applyBorder="1" applyAlignment="1">
      <alignment horizontal="center" vertical="center"/>
    </xf>
    <xf numFmtId="0" fontId="14" fillId="12" borderId="177" xfId="360" applyFont="1" applyFill="1" applyBorder="1" applyAlignment="1">
      <alignment horizontal="center" vertical="center"/>
    </xf>
    <xf numFmtId="0" fontId="10" fillId="18" borderId="178" xfId="360" applyFont="1" applyFill="1" applyBorder="1" applyAlignment="1">
      <alignment horizontal="center" vertical="center"/>
    </xf>
    <xf numFmtId="179" fontId="24" fillId="13" borderId="179" xfId="360" applyNumberFormat="1" applyFont="1" applyFill="1" applyBorder="1" applyAlignment="1">
      <alignment horizontal="center"/>
    </xf>
    <xf numFmtId="9" fontId="28" fillId="13" borderId="177" xfId="360" applyNumberFormat="1" applyFont="1" applyFill="1" applyBorder="1" applyAlignment="1">
      <alignment horizontal="center"/>
    </xf>
    <xf numFmtId="0" fontId="30" fillId="14" borderId="180" xfId="360" applyFont="1" applyFill="1" applyBorder="1" applyAlignment="1">
      <alignment horizontal="center" vertical="center"/>
    </xf>
    <xf numFmtId="0" fontId="30" fillId="14" borderId="181" xfId="360" applyFont="1" applyFill="1" applyBorder="1" applyAlignment="1">
      <alignment horizontal="center" vertical="center"/>
    </xf>
    <xf numFmtId="0" fontId="30" fillId="14" borderId="182" xfId="360" applyFont="1" applyFill="1" applyBorder="1" applyAlignment="1">
      <alignment horizontal="center" vertical="center"/>
    </xf>
    <xf numFmtId="0" fontId="30" fillId="14" borderId="182" xfId="360" applyNumberFormat="1" applyFont="1" applyFill="1" applyBorder="1" applyAlignment="1">
      <alignment horizontal="center" vertical="center" wrapText="1"/>
    </xf>
    <xf numFmtId="0" fontId="30" fillId="14" borderId="181" xfId="360" applyNumberFormat="1" applyFont="1" applyFill="1" applyBorder="1" applyAlignment="1">
      <alignment horizontal="center" vertical="center" wrapText="1"/>
    </xf>
    <xf numFmtId="9" fontId="28" fillId="13" borderId="183" xfId="360" applyNumberFormat="1" applyFont="1" applyFill="1" applyBorder="1" applyAlignment="1">
      <alignment horizontal="center"/>
    </xf>
    <xf numFmtId="0" fontId="10" fillId="0" borderId="184" xfId="360" applyFont="1" applyFill="1" applyBorder="1" applyAlignment="1">
      <alignment horizontal="center"/>
    </xf>
    <xf numFmtId="0" fontId="30" fillId="14" borderId="185" xfId="360" applyFont="1" applyFill="1" applyBorder="1" applyAlignment="1">
      <alignment horizontal="center" vertical="center"/>
    </xf>
    <xf numFmtId="0" fontId="10" fillId="0" borderId="183" xfId="360" applyFont="1" applyFill="1" applyBorder="1" applyAlignment="1">
      <alignment horizontal="center"/>
    </xf>
    <xf numFmtId="0" fontId="21" fillId="0" borderId="0" xfId="360" applyFont="1" applyFill="1" applyBorder="1" applyAlignment="1">
      <alignment horizontal="center" vertical="center"/>
    </xf>
    <xf numFmtId="10" fontId="28" fillId="13" borderId="186" xfId="360" applyNumberFormat="1" applyFont="1" applyFill="1" applyBorder="1" applyAlignment="1"/>
    <xf numFmtId="0" fontId="10" fillId="0" borderId="187" xfId="360" applyFont="1" applyFill="1" applyBorder="1" applyAlignment="1">
      <alignment horizontal="center"/>
    </xf>
    <xf numFmtId="0" fontId="10" fillId="18" borderId="188" xfId="360" applyFont="1" applyFill="1" applyBorder="1" applyAlignment="1">
      <alignment horizontal="center" vertical="center"/>
    </xf>
    <xf numFmtId="0" fontId="10" fillId="18" borderId="189" xfId="360" applyFont="1" applyFill="1" applyBorder="1" applyAlignment="1">
      <alignment horizontal="center" vertical="center"/>
    </xf>
    <xf numFmtId="9" fontId="21" fillId="10" borderId="190" xfId="360" applyNumberFormat="1" applyFont="1" applyFill="1" applyBorder="1" applyAlignment="1">
      <alignment horizontal="center" vertical="center"/>
    </xf>
    <xf numFmtId="0" fontId="30" fillId="14" borderId="191" xfId="360" applyFont="1" applyFill="1" applyBorder="1" applyAlignment="1">
      <alignment horizontal="center" vertical="center" wrapText="1"/>
    </xf>
    <xf numFmtId="9" fontId="10" fillId="0" borderId="1" xfId="19" applyNumberFormat="1" applyFont="1" applyFill="1" applyBorder="1" applyAlignment="1" applyProtection="1">
      <alignment horizontal="center" vertical="center"/>
    </xf>
    <xf numFmtId="9" fontId="21" fillId="10" borderId="192" xfId="360" applyNumberFormat="1" applyFont="1" applyFill="1" applyBorder="1" applyAlignment="1">
      <alignment horizontal="center" vertical="center"/>
    </xf>
    <xf numFmtId="9" fontId="21" fillId="10" borderId="193" xfId="360" applyNumberFormat="1" applyFont="1" applyFill="1" applyBorder="1" applyAlignment="1">
      <alignment horizontal="center" vertical="center"/>
    </xf>
    <xf numFmtId="9" fontId="21" fillId="0" borderId="193" xfId="360" applyNumberFormat="1" applyFont="1" applyFill="1" applyBorder="1" applyAlignment="1">
      <alignment horizontal="center" vertical="center"/>
    </xf>
    <xf numFmtId="9" fontId="21" fillId="0" borderId="192" xfId="360" applyNumberFormat="1" applyFont="1" applyFill="1" applyBorder="1" applyAlignment="1">
      <alignment horizontal="center" vertical="center"/>
    </xf>
    <xf numFmtId="10" fontId="10" fillId="0" borderId="194" xfId="360" applyNumberFormat="1" applyFont="1" applyFill="1" applyBorder="1" applyAlignment="1">
      <alignment horizontal="center" vertical="center"/>
    </xf>
    <xf numFmtId="0" fontId="30" fillId="14" borderId="195" xfId="360" applyFont="1" applyFill="1" applyBorder="1" applyAlignment="1">
      <alignment horizontal="center" vertical="center" wrapText="1"/>
    </xf>
    <xf numFmtId="9" fontId="21" fillId="0" borderId="196" xfId="360" applyNumberFormat="1" applyFont="1" applyFill="1" applyBorder="1" applyAlignment="1">
      <alignment horizontal="center" vertical="center"/>
    </xf>
    <xf numFmtId="0" fontId="10" fillId="10" borderId="24" xfId="360" applyFont="1" applyFill="1" applyBorder="1" applyAlignment="1">
      <alignment horizontal="center"/>
    </xf>
    <xf numFmtId="0" fontId="10" fillId="10" borderId="25" xfId="360" applyFont="1" applyFill="1" applyBorder="1" applyAlignment="1">
      <alignment horizontal="center"/>
    </xf>
    <xf numFmtId="0" fontId="10" fillId="10" borderId="26" xfId="360" applyFont="1" applyFill="1" applyBorder="1" applyAlignment="1">
      <alignment horizontal="center"/>
    </xf>
    <xf numFmtId="0" fontId="10" fillId="8" borderId="1" xfId="363" applyNumberFormat="1" applyFont="1" applyFill="1" applyBorder="1" applyAlignment="1">
      <alignment horizontal="center" vertical="center" wrapText="1"/>
    </xf>
    <xf numFmtId="192" fontId="10" fillId="8" borderId="1" xfId="363" applyNumberFormat="1" applyFont="1" applyFill="1" applyBorder="1" applyAlignment="1">
      <alignment horizontal="center" vertical="center" wrapText="1"/>
    </xf>
    <xf numFmtId="9" fontId="21" fillId="0" borderId="0" xfId="360" applyNumberFormat="1" applyFont="1" applyFill="1" applyBorder="1" applyAlignment="1">
      <alignment horizontal="center" vertical="center"/>
    </xf>
    <xf numFmtId="0" fontId="32" fillId="0" borderId="17" xfId="360" applyFont="1" applyBorder="1" applyAlignment="1">
      <alignment horizontal="center" vertical="center"/>
    </xf>
    <xf numFmtId="0" fontId="32" fillId="0" borderId="0" xfId="360" applyFont="1" applyAlignment="1">
      <alignment horizontal="center" vertical="center"/>
    </xf>
    <xf numFmtId="0" fontId="6" fillId="0" borderId="18" xfId="360" applyFont="1" applyFill="1" applyBorder="1" applyAlignment="1">
      <alignment horizontal="left" vertical="center"/>
    </xf>
    <xf numFmtId="0" fontId="6" fillId="0" borderId="0" xfId="360" applyFont="1" applyFill="1" applyBorder="1" applyAlignment="1">
      <alignment horizontal="left" vertical="center"/>
    </xf>
    <xf numFmtId="0" fontId="10" fillId="11" borderId="26" xfId="360" applyFont="1" applyFill="1" applyBorder="1" applyAlignment="1">
      <alignment horizontal="left" vertical="center"/>
    </xf>
    <xf numFmtId="0" fontId="10" fillId="0" borderId="0" xfId="360" applyFont="1" applyBorder="1" applyAlignment="1">
      <alignment horizontal="left" vertical="center"/>
    </xf>
    <xf numFmtId="0" fontId="10" fillId="0" borderId="197" xfId="360" applyBorder="1"/>
    <xf numFmtId="58" fontId="14" fillId="14" borderId="198" xfId="360" applyNumberFormat="1" applyFont="1" applyFill="1" applyBorder="1" applyAlignment="1">
      <alignment horizontal="center" vertical="center" wrapText="1"/>
    </xf>
    <xf numFmtId="58" fontId="14" fillId="14" borderId="199" xfId="360" applyNumberFormat="1" applyFont="1" applyFill="1" applyBorder="1" applyAlignment="1">
      <alignment horizontal="center" vertical="center" wrapText="1"/>
    </xf>
    <xf numFmtId="58" fontId="14" fillId="14" borderId="200" xfId="360" applyNumberFormat="1" applyFont="1" applyFill="1" applyBorder="1" applyAlignment="1">
      <alignment horizontal="center" vertical="center" wrapText="1"/>
    </xf>
    <xf numFmtId="58" fontId="14" fillId="14" borderId="201" xfId="360" applyNumberFormat="1" applyFont="1" applyFill="1" applyBorder="1" applyAlignment="1">
      <alignment horizontal="center" vertical="center" wrapText="1"/>
    </xf>
    <xf numFmtId="58" fontId="14" fillId="14" borderId="202" xfId="360" applyNumberFormat="1" applyFont="1" applyFill="1" applyBorder="1" applyAlignment="1">
      <alignment horizontal="center" vertical="center" wrapText="1"/>
    </xf>
    <xf numFmtId="58" fontId="14" fillId="14" borderId="203" xfId="360" applyNumberFormat="1" applyFont="1" applyFill="1" applyBorder="1" applyAlignment="1">
      <alignment horizontal="center" vertical="center" wrapText="1"/>
    </xf>
    <xf numFmtId="58" fontId="14" fillId="14" borderId="15" xfId="360" applyNumberFormat="1" applyFont="1" applyFill="1" applyBorder="1" applyAlignment="1">
      <alignment horizontal="center" vertical="center" wrapText="1"/>
    </xf>
    <xf numFmtId="58" fontId="14" fillId="14" borderId="1" xfId="360" applyNumberFormat="1" applyFont="1" applyFill="1" applyBorder="1" applyAlignment="1">
      <alignment horizontal="center" vertical="center" wrapText="1"/>
    </xf>
    <xf numFmtId="0" fontId="14" fillId="14" borderId="204" xfId="360" applyFont="1" applyFill="1" applyBorder="1" applyAlignment="1">
      <alignment horizontal="center" vertical="center" wrapText="1"/>
    </xf>
    <xf numFmtId="0" fontId="10" fillId="0" borderId="1" xfId="360" applyBorder="1" applyAlignment="1">
      <alignment horizontal="center" vertical="center"/>
    </xf>
    <xf numFmtId="0" fontId="21" fillId="13" borderId="1" xfId="360" applyFont="1" applyFill="1" applyBorder="1" applyAlignment="1">
      <alignment horizontal="center" vertical="center"/>
    </xf>
    <xf numFmtId="0" fontId="14" fillId="14" borderId="205" xfId="360" applyFont="1" applyFill="1" applyBorder="1" applyAlignment="1">
      <alignment horizontal="center" vertical="center" wrapText="1"/>
    </xf>
    <xf numFmtId="0" fontId="21" fillId="13" borderId="15" xfId="360" applyFont="1" applyFill="1" applyBorder="1" applyAlignment="1">
      <alignment horizontal="center" vertical="center"/>
    </xf>
    <xf numFmtId="0" fontId="14" fillId="14" borderId="206" xfId="360" applyFont="1" applyFill="1" applyBorder="1" applyAlignment="1">
      <alignment horizontal="center" vertical="center" wrapText="1"/>
    </xf>
    <xf numFmtId="0" fontId="14" fillId="14" borderId="49" xfId="360" applyFont="1" applyFill="1" applyBorder="1" applyAlignment="1">
      <alignment horizontal="center" vertical="center"/>
    </xf>
    <xf numFmtId="0" fontId="21" fillId="13" borderId="207" xfId="360" applyFont="1" applyFill="1" applyBorder="1" applyAlignment="1">
      <alignment horizontal="center" vertical="center"/>
    </xf>
    <xf numFmtId="0" fontId="21" fillId="13" borderId="208" xfId="360" applyFont="1" applyFill="1" applyBorder="1" applyAlignment="1">
      <alignment horizontal="center" vertical="center"/>
    </xf>
    <xf numFmtId="0" fontId="21" fillId="13" borderId="209" xfId="360" applyFont="1" applyFill="1" applyBorder="1" applyAlignment="1">
      <alignment horizontal="center" vertical="center"/>
    </xf>
    <xf numFmtId="0" fontId="21" fillId="13" borderId="49" xfId="360" applyFont="1" applyFill="1" applyBorder="1" applyAlignment="1">
      <alignment horizontal="center" vertical="center"/>
    </xf>
    <xf numFmtId="0" fontId="10" fillId="0" borderId="201" xfId="360" applyBorder="1" applyAlignment="1">
      <alignment horizontal="center"/>
    </xf>
    <xf numFmtId="0" fontId="10" fillId="11" borderId="24" xfId="360" applyFont="1" applyFill="1" applyBorder="1" applyAlignment="1"/>
    <xf numFmtId="0" fontId="10" fillId="11" borderId="1" xfId="360" applyFont="1" applyFill="1" applyBorder="1" applyAlignment="1"/>
    <xf numFmtId="0" fontId="10" fillId="10" borderId="18" xfId="360" applyFont="1" applyFill="1" applyBorder="1" applyAlignment="1"/>
    <xf numFmtId="0" fontId="10" fillId="10" borderId="0" xfId="360" applyFont="1" applyFill="1" applyAlignment="1"/>
    <xf numFmtId="0" fontId="10" fillId="10" borderId="197" xfId="360" applyFont="1" applyFill="1" applyBorder="1" applyAlignment="1">
      <alignment horizontal="left"/>
    </xf>
    <xf numFmtId="0" fontId="6" fillId="0" borderId="1" xfId="360" applyFont="1" applyFill="1" applyBorder="1" applyAlignment="1">
      <alignment horizontal="left" vertical="center"/>
    </xf>
    <xf numFmtId="0" fontId="10" fillId="11" borderId="19" xfId="360" applyFont="1" applyFill="1" applyBorder="1" applyAlignment="1">
      <alignment horizontal="left"/>
    </xf>
    <xf numFmtId="0" fontId="10" fillId="11" borderId="23" xfId="360" applyFont="1" applyFill="1" applyBorder="1" applyAlignment="1">
      <alignment horizontal="left" vertical="center"/>
    </xf>
    <xf numFmtId="0" fontId="6" fillId="0" borderId="1" xfId="360" applyFont="1" applyBorder="1" applyAlignment="1">
      <alignment horizontal="left" vertical="center"/>
    </xf>
    <xf numFmtId="0" fontId="32" fillId="0" borderId="17" xfId="360" applyFont="1" applyBorder="1" applyAlignment="1">
      <alignment vertical="center"/>
    </xf>
    <xf numFmtId="0" fontId="26" fillId="27" borderId="0" xfId="360" applyFont="1" applyFill="1" applyAlignment="1">
      <alignment horizontal="left" vertical="top" wrapText="1"/>
    </xf>
    <xf numFmtId="0" fontId="32" fillId="0" borderId="0" xfId="360" applyFont="1" applyBorder="1" applyAlignment="1">
      <alignment vertical="center"/>
    </xf>
    <xf numFmtId="0" fontId="10" fillId="0" borderId="0" xfId="360" applyFont="1" applyBorder="1" applyAlignment="1">
      <alignment vertical="center"/>
    </xf>
    <xf numFmtId="0" fontId="6" fillId="0" borderId="22" xfId="360" applyFont="1" applyFill="1" applyBorder="1" applyAlignment="1">
      <alignment horizontal="left" vertical="center"/>
    </xf>
    <xf numFmtId="0" fontId="10" fillId="0" borderId="0" xfId="360" applyFont="1" applyFill="1" applyBorder="1" applyAlignment="1">
      <alignment vertical="center"/>
    </xf>
    <xf numFmtId="0" fontId="26" fillId="0" borderId="0" xfId="360" applyFont="1" applyFill="1" applyAlignment="1">
      <alignment horizontal="left" vertical="top" wrapText="1"/>
    </xf>
    <xf numFmtId="0" fontId="10" fillId="0" borderId="22" xfId="360" applyFont="1" applyBorder="1" applyAlignment="1">
      <alignment horizontal="left" vertical="center"/>
    </xf>
    <xf numFmtId="0" fontId="26" fillId="0" borderId="0" xfId="360" applyFont="1" applyFill="1" applyAlignment="1">
      <alignment vertical="top"/>
    </xf>
    <xf numFmtId="0" fontId="10" fillId="0" borderId="210" xfId="360" applyBorder="1"/>
    <xf numFmtId="58" fontId="14" fillId="12" borderId="211" xfId="360" applyNumberFormat="1" applyFont="1" applyFill="1" applyBorder="1" applyAlignment="1">
      <alignment horizontal="center" vertical="center" wrapText="1"/>
    </xf>
    <xf numFmtId="58" fontId="14" fillId="12" borderId="212" xfId="360" applyNumberFormat="1" applyFont="1" applyFill="1" applyBorder="1" applyAlignment="1">
      <alignment horizontal="center" vertical="center" wrapText="1"/>
    </xf>
    <xf numFmtId="179" fontId="21" fillId="13" borderId="76" xfId="360" applyNumberFormat="1" applyFont="1" applyFill="1" applyBorder="1" applyAlignment="1">
      <alignment horizontal="center" vertical="center"/>
    </xf>
    <xf numFmtId="0" fontId="10" fillId="11" borderId="18" xfId="360" applyFont="1" applyFill="1" applyBorder="1" applyAlignment="1">
      <alignment horizontal="left"/>
    </xf>
    <xf numFmtId="0" fontId="10" fillId="11" borderId="0" xfId="360" applyFont="1" applyFill="1" applyBorder="1" applyAlignment="1">
      <alignment horizontal="left" vertical="center"/>
    </xf>
    <xf numFmtId="0" fontId="10" fillId="0" borderId="0" xfId="360" applyBorder="1"/>
    <xf numFmtId="0" fontId="7" fillId="0" borderId="0" xfId="367" applyFont="1" applyAlignment="1">
      <alignment vertical="center"/>
    </xf>
    <xf numFmtId="0" fontId="33" fillId="32" borderId="0" xfId="367" applyFont="1" applyFill="1" applyAlignment="1">
      <alignment vertical="center"/>
    </xf>
    <xf numFmtId="0" fontId="34" fillId="32" borderId="0" xfId="367" applyFont="1" applyFill="1" applyAlignment="1">
      <alignment vertical="center"/>
    </xf>
    <xf numFmtId="0" fontId="35" fillId="33" borderId="0" xfId="252" applyFont="1" applyFill="1" applyAlignment="1">
      <alignment vertical="center"/>
    </xf>
    <xf numFmtId="0" fontId="36" fillId="34" borderId="18" xfId="187" applyFont="1" applyFill="1" applyBorder="1" applyAlignment="1">
      <alignment horizontal="left" vertical="center"/>
    </xf>
    <xf numFmtId="0" fontId="36" fillId="34" borderId="0" xfId="187" applyFont="1" applyFill="1" applyBorder="1" applyAlignment="1">
      <alignment horizontal="left" vertical="center"/>
    </xf>
    <xf numFmtId="0" fontId="37" fillId="0" borderId="1" xfId="367" applyFont="1" applyBorder="1" applyAlignment="1">
      <alignment horizontal="left" vertical="center"/>
    </xf>
    <xf numFmtId="0" fontId="38" fillId="0" borderId="1" xfId="367" applyFont="1" applyBorder="1" applyAlignment="1">
      <alignment horizontal="left" vertical="center"/>
    </xf>
    <xf numFmtId="0" fontId="38" fillId="0" borderId="24" xfId="109" applyFont="1" applyBorder="1" applyAlignment="1">
      <alignment horizontal="left" vertical="center" wrapText="1"/>
    </xf>
    <xf numFmtId="0" fontId="38" fillId="0" borderId="25" xfId="109" applyFont="1" applyBorder="1" applyAlignment="1">
      <alignment horizontal="left" vertical="center" wrapText="1"/>
    </xf>
    <xf numFmtId="0" fontId="37" fillId="0" borderId="0" xfId="252" applyFont="1" applyAlignment="1">
      <alignment vertical="center"/>
    </xf>
    <xf numFmtId="0" fontId="7" fillId="0" borderId="0" xfId="367" applyFont="1" applyAlignment="1"/>
    <xf numFmtId="0" fontId="39" fillId="0" borderId="213" xfId="252" applyFont="1" applyBorder="1" applyAlignment="1">
      <alignment horizontal="center" vertical="center"/>
    </xf>
    <xf numFmtId="0" fontId="39" fillId="0" borderId="214" xfId="252" applyFont="1" applyBorder="1" applyAlignment="1">
      <alignment horizontal="center" vertical="center"/>
    </xf>
    <xf numFmtId="0" fontId="36" fillId="35" borderId="215" xfId="187" applyFont="1" applyFill="1" applyBorder="1" applyAlignment="1">
      <alignment horizontal="center" vertical="center"/>
    </xf>
    <xf numFmtId="0" fontId="36" fillId="35" borderId="216" xfId="187" applyFont="1" applyFill="1" applyBorder="1" applyAlignment="1">
      <alignment horizontal="center" vertical="center"/>
    </xf>
    <xf numFmtId="0" fontId="35" fillId="36" borderId="217" xfId="252" applyFont="1" applyFill="1" applyBorder="1" applyAlignment="1">
      <alignment horizontal="center" vertical="center"/>
    </xf>
    <xf numFmtId="0" fontId="35" fillId="36" borderId="218" xfId="252" applyFont="1" applyFill="1" applyBorder="1" applyAlignment="1">
      <alignment horizontal="center" vertical="center"/>
    </xf>
    <xf numFmtId="0" fontId="37" fillId="37" borderId="219" xfId="252" applyFont="1" applyFill="1" applyBorder="1" applyAlignment="1">
      <alignment horizontal="center"/>
    </xf>
    <xf numFmtId="0" fontId="37" fillId="37" borderId="220" xfId="252" applyFont="1" applyFill="1" applyBorder="1" applyAlignment="1">
      <alignment horizontal="center"/>
    </xf>
    <xf numFmtId="0" fontId="37" fillId="37" borderId="221" xfId="252" applyFont="1" applyFill="1" applyBorder="1" applyAlignment="1">
      <alignment horizontal="center"/>
    </xf>
    <xf numFmtId="0" fontId="39" fillId="0" borderId="218" xfId="252" applyFont="1" applyBorder="1" applyAlignment="1">
      <alignment horizontal="center" vertical="center"/>
    </xf>
    <xf numFmtId="0" fontId="35" fillId="36" borderId="215" xfId="252" applyFont="1" applyFill="1" applyBorder="1" applyAlignment="1"/>
    <xf numFmtId="0" fontId="37" fillId="37" borderId="222" xfId="252" applyFont="1" applyFill="1" applyBorder="1" applyAlignment="1">
      <alignment horizontal="center"/>
    </xf>
    <xf numFmtId="0" fontId="37" fillId="37" borderId="223" xfId="252" applyFont="1" applyFill="1" applyBorder="1" applyAlignment="1">
      <alignment horizontal="center"/>
    </xf>
    <xf numFmtId="0" fontId="37" fillId="37" borderId="224" xfId="252" applyFont="1" applyFill="1" applyBorder="1" applyAlignment="1">
      <alignment horizontal="left"/>
    </xf>
    <xf numFmtId="192" fontId="37" fillId="38" borderId="26" xfId="252" applyNumberFormat="1" applyFont="1" applyFill="1" applyBorder="1" applyAlignment="1">
      <alignment horizontal="center"/>
    </xf>
    <xf numFmtId="192" fontId="37" fillId="39" borderId="225" xfId="252" applyNumberFormat="1" applyFont="1" applyFill="1" applyBorder="1" applyAlignment="1">
      <alignment horizontal="center"/>
    </xf>
    <xf numFmtId="192" fontId="5" fillId="38" borderId="226" xfId="367" applyNumberFormat="1" applyFont="1" applyFill="1" applyBorder="1" applyAlignment="1">
      <alignment horizontal="center" vertical="center" wrapText="1"/>
    </xf>
    <xf numFmtId="192" fontId="37" fillId="39" borderId="227" xfId="252" applyNumberFormat="1" applyFont="1" applyFill="1" applyBorder="1" applyAlignment="1">
      <alignment horizontal="center"/>
    </xf>
    <xf numFmtId="192" fontId="37" fillId="38" borderId="228" xfId="252" applyNumberFormat="1" applyFont="1" applyFill="1" applyBorder="1" applyAlignment="1">
      <alignment horizontal="center"/>
    </xf>
    <xf numFmtId="192" fontId="37" fillId="39" borderId="229" xfId="252" applyNumberFormat="1" applyFont="1" applyFill="1" applyBorder="1" applyAlignment="1">
      <alignment horizontal="center"/>
    </xf>
    <xf numFmtId="0" fontId="37" fillId="37" borderId="217" xfId="252" applyFont="1" applyFill="1" applyBorder="1" applyAlignment="1">
      <alignment horizontal="left"/>
    </xf>
    <xf numFmtId="192" fontId="37" fillId="38" borderId="0" xfId="252" applyNumberFormat="1" applyFont="1" applyFill="1" applyBorder="1" applyAlignment="1">
      <alignment horizontal="center"/>
    </xf>
    <xf numFmtId="192" fontId="37" fillId="39" borderId="230" xfId="252" applyNumberFormat="1" applyFont="1" applyFill="1" applyBorder="1" applyAlignment="1">
      <alignment horizontal="center"/>
    </xf>
    <xf numFmtId="0" fontId="35" fillId="36" borderId="217" xfId="252" applyFont="1" applyFill="1" applyBorder="1" applyAlignment="1"/>
    <xf numFmtId="192" fontId="37" fillId="0" borderId="26" xfId="252" applyNumberFormat="1" applyFont="1" applyFill="1" applyBorder="1" applyAlignment="1">
      <alignment horizontal="center"/>
    </xf>
    <xf numFmtId="192" fontId="5" fillId="38" borderId="231" xfId="367" applyNumberFormat="1" applyFont="1" applyFill="1" applyBorder="1" applyAlignment="1">
      <alignment horizontal="center" vertical="center" wrapText="1"/>
    </xf>
    <xf numFmtId="192" fontId="37" fillId="0" borderId="228" xfId="252" applyNumberFormat="1" applyFont="1" applyFill="1" applyBorder="1" applyAlignment="1">
      <alignment horizontal="center"/>
    </xf>
    <xf numFmtId="0" fontId="37" fillId="37" borderId="232" xfId="252" applyFont="1" applyFill="1" applyBorder="1" applyAlignment="1">
      <alignment horizontal="left"/>
    </xf>
    <xf numFmtId="0" fontId="37" fillId="37" borderId="224" xfId="252" applyFont="1" applyFill="1" applyBorder="1" applyAlignment="1"/>
    <xf numFmtId="192" fontId="37" fillId="0" borderId="21" xfId="252" applyNumberFormat="1" applyFont="1" applyFill="1" applyBorder="1" applyAlignment="1">
      <alignment horizontal="center"/>
    </xf>
    <xf numFmtId="192" fontId="37" fillId="39" borderId="16" xfId="252" applyNumberFormat="1" applyFont="1" applyFill="1" applyBorder="1" applyAlignment="1">
      <alignment horizontal="center"/>
    </xf>
    <xf numFmtId="192" fontId="37" fillId="40" borderId="21" xfId="252" applyNumberFormat="1" applyFont="1" applyFill="1" applyBorder="1" applyAlignment="1">
      <alignment horizontal="center"/>
    </xf>
    <xf numFmtId="192" fontId="5" fillId="38" borderId="0" xfId="367" applyNumberFormat="1" applyFont="1" applyFill="1" applyBorder="1" applyAlignment="1">
      <alignment horizontal="center" vertical="center" wrapText="1"/>
    </xf>
    <xf numFmtId="192" fontId="37" fillId="38" borderId="1" xfId="252" applyNumberFormat="1" applyFont="1" applyFill="1" applyBorder="1" applyAlignment="1">
      <alignment horizontal="center"/>
    </xf>
    <xf numFmtId="192" fontId="37" fillId="39" borderId="1" xfId="252" applyNumberFormat="1" applyFont="1" applyFill="1" applyBorder="1" applyAlignment="1">
      <alignment horizontal="center"/>
    </xf>
    <xf numFmtId="192" fontId="37" fillId="40" borderId="1" xfId="252" applyNumberFormat="1" applyFont="1" applyFill="1" applyBorder="1" applyAlignment="1">
      <alignment horizontal="center"/>
    </xf>
    <xf numFmtId="192" fontId="37" fillId="39" borderId="0" xfId="252" applyNumberFormat="1" applyFont="1" applyFill="1" applyBorder="1" applyAlignment="1">
      <alignment horizontal="center"/>
    </xf>
    <xf numFmtId="192" fontId="37" fillId="40" borderId="0" xfId="252" applyNumberFormat="1" applyFont="1" applyFill="1" applyBorder="1" applyAlignment="1">
      <alignment horizontal="center"/>
    </xf>
    <xf numFmtId="0" fontId="37" fillId="37" borderId="222" xfId="252" applyFont="1" applyFill="1" applyBorder="1" applyAlignment="1"/>
    <xf numFmtId="192" fontId="37" fillId="0" borderId="1" xfId="252" applyNumberFormat="1" applyFont="1" applyFill="1" applyBorder="1" applyAlignment="1">
      <alignment horizontal="center"/>
    </xf>
    <xf numFmtId="0" fontId="7" fillId="0" borderId="222" xfId="367" applyFont="1" applyBorder="1" applyAlignment="1">
      <alignment vertical="center"/>
    </xf>
    <xf numFmtId="0" fontId="40" fillId="0" borderId="219" xfId="367" applyFont="1" applyBorder="1" applyAlignment="1">
      <alignment vertical="center"/>
    </xf>
    <xf numFmtId="0" fontId="7" fillId="0" borderId="219" xfId="367" applyFont="1" applyBorder="1" applyAlignment="1">
      <alignment vertical="center"/>
    </xf>
    <xf numFmtId="0" fontId="34" fillId="0" borderId="219" xfId="367" applyFont="1" applyBorder="1" applyAlignment="1">
      <alignment vertical="center"/>
    </xf>
    <xf numFmtId="0" fontId="41" fillId="0" borderId="219" xfId="367" applyFont="1" applyBorder="1" applyAlignment="1">
      <alignment vertical="center"/>
    </xf>
    <xf numFmtId="0" fontId="7" fillId="0" borderId="219" xfId="367" applyFont="1" applyFill="1" applyBorder="1" applyAlignment="1">
      <alignment vertical="center"/>
    </xf>
    <xf numFmtId="0" fontId="36" fillId="41" borderId="215" xfId="252" applyFont="1" applyFill="1" applyBorder="1" applyAlignment="1">
      <alignment horizontal="center" vertical="center"/>
    </xf>
    <xf numFmtId="0" fontId="36" fillId="41" borderId="216" xfId="252" applyFont="1" applyFill="1" applyBorder="1" applyAlignment="1">
      <alignment horizontal="center" vertical="center"/>
    </xf>
    <xf numFmtId="0" fontId="36" fillId="41" borderId="222" xfId="252" applyFont="1" applyFill="1" applyBorder="1" applyAlignment="1">
      <alignment horizontal="center" vertical="center"/>
    </xf>
    <xf numFmtId="0" fontId="36" fillId="41" borderId="219" xfId="252" applyFont="1" applyFill="1" applyBorder="1" applyAlignment="1">
      <alignment horizontal="center" vertical="center"/>
    </xf>
    <xf numFmtId="0" fontId="37" fillId="37" borderId="215" xfId="252" applyFont="1" applyFill="1" applyBorder="1" applyAlignment="1"/>
    <xf numFmtId="0" fontId="37" fillId="37" borderId="233" xfId="252" applyFont="1" applyFill="1" applyBorder="1" applyAlignment="1"/>
    <xf numFmtId="0" fontId="35" fillId="36" borderId="217" xfId="252" applyFont="1" applyFill="1" applyBorder="1" applyAlignment="1">
      <alignment horizontal="left" vertical="center"/>
    </xf>
    <xf numFmtId="0" fontId="37" fillId="36" borderId="217" xfId="252" applyFont="1" applyFill="1" applyBorder="1" applyAlignment="1">
      <alignment horizontal="center" vertical="center"/>
    </xf>
    <xf numFmtId="0" fontId="37" fillId="37" borderId="220" xfId="252" applyFont="1" applyFill="1" applyBorder="1" applyAlignment="1">
      <alignment horizontal="center" vertical="center"/>
    </xf>
    <xf numFmtId="0" fontId="37" fillId="37" borderId="221" xfId="252" applyFont="1" applyFill="1" applyBorder="1" applyAlignment="1">
      <alignment horizontal="center" vertical="center"/>
    </xf>
    <xf numFmtId="192" fontId="37" fillId="40" borderId="234" xfId="252" applyNumberFormat="1" applyFont="1" applyFill="1" applyBorder="1" applyAlignment="1"/>
    <xf numFmtId="192" fontId="37" fillId="39" borderId="235" xfId="252" applyNumberFormat="1" applyFont="1" applyFill="1" applyBorder="1" applyAlignment="1"/>
    <xf numFmtId="0" fontId="35" fillId="36" borderId="232" xfId="252" applyFont="1" applyFill="1" applyBorder="1" applyAlignment="1">
      <alignment horizontal="left" vertical="center"/>
    </xf>
    <xf numFmtId="0" fontId="37" fillId="36" borderId="232" xfId="252" applyFont="1" applyFill="1" applyBorder="1" applyAlignment="1">
      <alignment horizontal="center" vertical="center"/>
    </xf>
    <xf numFmtId="181" fontId="37" fillId="0" borderId="236" xfId="252" applyNumberFormat="1" applyFont="1" applyFill="1" applyBorder="1" applyAlignment="1">
      <alignment horizontal="center" vertical="center"/>
    </xf>
    <xf numFmtId="181" fontId="37" fillId="0" borderId="237" xfId="252" applyNumberFormat="1" applyFont="1" applyFill="1" applyBorder="1" applyAlignment="1">
      <alignment horizontal="center" vertical="center"/>
    </xf>
    <xf numFmtId="181" fontId="37" fillId="0" borderId="238" xfId="252" applyNumberFormat="1" applyFont="1" applyFill="1" applyBorder="1" applyAlignment="1">
      <alignment horizontal="center" vertical="center"/>
    </xf>
    <xf numFmtId="192" fontId="37" fillId="40" borderId="239" xfId="252" applyNumberFormat="1" applyFont="1" applyFill="1" applyBorder="1" applyAlignment="1"/>
    <xf numFmtId="192" fontId="37" fillId="39" borderId="225" xfId="252" applyNumberFormat="1" applyFont="1" applyFill="1" applyBorder="1" applyAlignment="1"/>
    <xf numFmtId="0" fontId="37" fillId="37" borderId="240" xfId="252" applyFont="1" applyFill="1" applyBorder="1" applyAlignment="1">
      <alignment vertical="center"/>
    </xf>
    <xf numFmtId="0" fontId="37" fillId="27" borderId="241" xfId="252" applyFont="1" applyFill="1" applyBorder="1" applyAlignment="1">
      <alignment horizontal="center" vertical="center"/>
    </xf>
    <xf numFmtId="192" fontId="37" fillId="39" borderId="239" xfId="252" applyNumberFormat="1" applyFont="1" applyFill="1" applyBorder="1" applyAlignment="1">
      <alignment horizontal="center" vertical="center"/>
    </xf>
    <xf numFmtId="192" fontId="37" fillId="42" borderId="225" xfId="252" applyNumberFormat="1" applyFont="1" applyFill="1" applyBorder="1" applyAlignment="1">
      <alignment horizontal="center" vertical="center"/>
    </xf>
    <xf numFmtId="192" fontId="37" fillId="40" borderId="238" xfId="252" applyNumberFormat="1" applyFont="1" applyFill="1" applyBorder="1" applyAlignment="1"/>
    <xf numFmtId="192" fontId="37" fillId="39" borderId="229" xfId="252" applyNumberFormat="1" applyFont="1" applyFill="1" applyBorder="1" applyAlignment="1"/>
    <xf numFmtId="0" fontId="37" fillId="37" borderId="242" xfId="252" applyFont="1" applyFill="1" applyBorder="1" applyAlignment="1">
      <alignment vertical="center"/>
    </xf>
    <xf numFmtId="0" fontId="37" fillId="37" borderId="20" xfId="252" applyFont="1" applyFill="1" applyBorder="1" applyAlignment="1">
      <alignment horizontal="left"/>
    </xf>
    <xf numFmtId="0" fontId="37" fillId="37" borderId="243" xfId="252" applyFont="1" applyFill="1" applyBorder="1" applyAlignment="1">
      <alignment horizontal="left"/>
    </xf>
    <xf numFmtId="192" fontId="37" fillId="40" borderId="26" xfId="252" applyNumberFormat="1" applyFont="1" applyFill="1" applyBorder="1" applyAlignment="1">
      <alignment horizontal="center"/>
    </xf>
    <xf numFmtId="192" fontId="37" fillId="39" borderId="237" xfId="252" applyNumberFormat="1" applyFont="1" applyFill="1" applyBorder="1" applyAlignment="1">
      <alignment horizontal="center"/>
    </xf>
    <xf numFmtId="0" fontId="39" fillId="0" borderId="244" xfId="252" applyFont="1" applyBorder="1" applyAlignment="1">
      <alignment horizontal="center" vertical="center"/>
    </xf>
    <xf numFmtId="192" fontId="37" fillId="40" borderId="228" xfId="252" applyNumberFormat="1" applyFont="1" applyFill="1" applyBorder="1" applyAlignment="1">
      <alignment horizontal="center"/>
    </xf>
    <xf numFmtId="0" fontId="39" fillId="0" borderId="214" xfId="252" applyFont="1" applyBorder="1" applyAlignment="1">
      <alignment vertical="center"/>
    </xf>
    <xf numFmtId="0" fontId="37" fillId="37" borderId="245" xfId="252" applyFont="1" applyFill="1" applyBorder="1" applyAlignment="1">
      <alignment horizontal="center"/>
    </xf>
    <xf numFmtId="0" fontId="37" fillId="0" borderId="0" xfId="252" applyFont="1" applyFill="1" applyAlignment="1"/>
    <xf numFmtId="192" fontId="29" fillId="38" borderId="231" xfId="367" applyNumberFormat="1" applyFont="1" applyFill="1" applyBorder="1" applyAlignment="1">
      <alignment vertical="center" wrapText="1"/>
    </xf>
    <xf numFmtId="0" fontId="39" fillId="0" borderId="214" xfId="252" applyFont="1" applyFill="1" applyBorder="1" applyAlignment="1">
      <alignment horizontal="center"/>
    </xf>
    <xf numFmtId="0" fontId="7" fillId="0" borderId="223" xfId="367" applyFont="1" applyBorder="1" applyAlignment="1">
      <alignment vertical="center"/>
    </xf>
    <xf numFmtId="0" fontId="37" fillId="0" borderId="218" xfId="252" applyFont="1" applyBorder="1" applyAlignment="1">
      <alignment vertical="center"/>
    </xf>
    <xf numFmtId="0" fontId="36" fillId="41" borderId="223" xfId="252" applyFont="1" applyFill="1" applyBorder="1" applyAlignment="1">
      <alignment horizontal="center" vertical="center"/>
    </xf>
    <xf numFmtId="0" fontId="37" fillId="37" borderId="224" xfId="252" applyFont="1" applyFill="1" applyBorder="1" applyAlignment="1">
      <alignment horizontal="center"/>
    </xf>
    <xf numFmtId="181" fontId="37" fillId="0" borderId="229" xfId="252" applyNumberFormat="1" applyFont="1" applyFill="1" applyBorder="1" applyAlignment="1">
      <alignment horizontal="center" vertical="center"/>
    </xf>
    <xf numFmtId="192" fontId="37" fillId="11" borderId="224" xfId="252" applyNumberFormat="1" applyFont="1" applyFill="1" applyBorder="1" applyAlignment="1">
      <alignment horizontal="center"/>
    </xf>
    <xf numFmtId="192" fontId="37" fillId="0" borderId="0" xfId="252" applyNumberFormat="1" applyFont="1" applyFill="1" applyBorder="1" applyAlignment="1">
      <alignment horizontal="center"/>
    </xf>
    <xf numFmtId="192" fontId="37" fillId="0" borderId="0" xfId="252" applyNumberFormat="1" applyFont="1" applyFill="1" applyAlignment="1">
      <alignment horizontal="center"/>
    </xf>
    <xf numFmtId="192" fontId="37" fillId="42" borderId="24" xfId="252" applyNumberFormat="1" applyFont="1" applyFill="1" applyBorder="1" applyAlignment="1">
      <alignment horizontal="center" vertical="center"/>
    </xf>
    <xf numFmtId="0" fontId="37" fillId="0" borderId="246" xfId="252" applyFont="1" applyBorder="1" applyAlignment="1">
      <alignment vertical="center"/>
    </xf>
    <xf numFmtId="0" fontId="37" fillId="0" borderId="0" xfId="252" applyFont="1" applyBorder="1" applyAlignment="1">
      <alignment vertical="center"/>
    </xf>
    <xf numFmtId="0" fontId="38" fillId="0" borderId="26" xfId="109" applyFont="1" applyBorder="1" applyAlignment="1">
      <alignment horizontal="left" vertical="center" wrapText="1"/>
    </xf>
    <xf numFmtId="0" fontId="36" fillId="41" borderId="233" xfId="252" applyFont="1" applyFill="1" applyBorder="1" applyAlignment="1">
      <alignment horizontal="center" vertical="center"/>
    </xf>
    <xf numFmtId="192" fontId="37" fillId="11" borderId="224" xfId="252" applyNumberFormat="1" applyFont="1" applyFill="1" applyBorder="1" applyAlignment="1"/>
    <xf numFmtId="192" fontId="37" fillId="0" borderId="0" xfId="252" applyNumberFormat="1" applyFont="1" applyFill="1" applyBorder="1" applyAlignment="1"/>
    <xf numFmtId="0" fontId="37" fillId="0" borderId="0" xfId="252" applyFont="1" applyFill="1" applyAlignment="1">
      <alignment vertical="center"/>
    </xf>
    <xf numFmtId="192" fontId="37" fillId="0" borderId="0" xfId="252" applyNumberFormat="1" applyFont="1" applyFill="1" applyAlignment="1"/>
    <xf numFmtId="0" fontId="35" fillId="43" borderId="0" xfId="252" applyFont="1" applyFill="1" applyAlignment="1">
      <alignment vertical="center"/>
    </xf>
    <xf numFmtId="0" fontId="38" fillId="0" borderId="1" xfId="367" applyFont="1" applyBorder="1" applyAlignment="1">
      <alignment horizontal="left" vertical="center" wrapText="1"/>
    </xf>
    <xf numFmtId="0" fontId="42" fillId="44" borderId="247" xfId="367" applyFont="1" applyFill="1" applyBorder="1" applyAlignment="1">
      <alignment horizontal="center" vertical="center" wrapText="1"/>
    </xf>
    <xf numFmtId="0" fontId="42" fillId="44" borderId="17" xfId="367" applyFont="1" applyFill="1" applyBorder="1" applyAlignment="1">
      <alignment horizontal="center" vertical="center" wrapText="1"/>
    </xf>
    <xf numFmtId="0" fontId="42" fillId="44" borderId="1" xfId="367" applyFont="1" applyFill="1" applyBorder="1" applyAlignment="1">
      <alignment horizontal="center" vertical="center" wrapText="1"/>
    </xf>
    <xf numFmtId="0" fontId="42" fillId="44" borderId="248" xfId="367" applyFont="1" applyFill="1" applyBorder="1" applyAlignment="1">
      <alignment horizontal="center" vertical="center" wrapText="1"/>
    </xf>
    <xf numFmtId="0" fontId="42" fillId="44" borderId="0" xfId="367" applyFont="1" applyFill="1" applyBorder="1" applyAlignment="1">
      <alignment horizontal="center" vertical="center" wrapText="1"/>
    </xf>
    <xf numFmtId="185" fontId="42" fillId="44" borderId="1" xfId="367" applyNumberFormat="1" applyFont="1" applyFill="1" applyBorder="1" applyAlignment="1">
      <alignment horizontal="center" vertical="center" wrapText="1"/>
    </xf>
    <xf numFmtId="0" fontId="42" fillId="44" borderId="1" xfId="367" applyFont="1" applyFill="1" applyBorder="1" applyAlignment="1">
      <alignment vertical="center" wrapText="1"/>
    </xf>
    <xf numFmtId="0" fontId="42" fillId="44" borderId="24" xfId="367" applyFont="1" applyFill="1" applyBorder="1" applyAlignment="1">
      <alignment vertical="center" wrapText="1"/>
    </xf>
    <xf numFmtId="10" fontId="43" fillId="0" borderId="1" xfId="367" applyNumberFormat="1" applyFont="1" applyBorder="1" applyAlignment="1">
      <alignment horizontal="center" vertical="center" wrapText="1"/>
    </xf>
    <xf numFmtId="10" fontId="43" fillId="0" borderId="15" xfId="367" applyNumberFormat="1" applyFont="1" applyBorder="1" applyAlignment="1">
      <alignment horizontal="center" vertical="center" wrapText="1"/>
    </xf>
    <xf numFmtId="10" fontId="29" fillId="0" borderId="249" xfId="367" applyNumberFormat="1" applyFont="1" applyBorder="1" applyAlignment="1">
      <alignment horizontal="center" vertical="center" wrapText="1"/>
    </xf>
    <xf numFmtId="10" fontId="29" fillId="0" borderId="226" xfId="367" applyNumberFormat="1" applyFont="1" applyBorder="1" applyAlignment="1">
      <alignment horizontal="center" vertical="center" wrapText="1"/>
    </xf>
    <xf numFmtId="10" fontId="29" fillId="45" borderId="250" xfId="367" applyNumberFormat="1" applyFont="1" applyFill="1" applyBorder="1" applyAlignment="1">
      <alignment horizontal="center" vertical="center" wrapText="1"/>
    </xf>
    <xf numFmtId="179" fontId="9" fillId="0" borderId="1" xfId="367" applyNumberFormat="1" applyFont="1" applyFill="1" applyBorder="1" applyAlignment="1">
      <alignment horizontal="center" vertical="center" wrapText="1"/>
    </xf>
    <xf numFmtId="185" fontId="42" fillId="44" borderId="18" xfId="367" applyNumberFormat="1" applyFont="1" applyFill="1" applyBorder="1" applyAlignment="1">
      <alignment horizontal="center" vertical="center" wrapText="1"/>
    </xf>
    <xf numFmtId="185" fontId="42" fillId="44" borderId="0" xfId="367" applyNumberFormat="1" applyFont="1" applyFill="1" applyBorder="1" applyAlignment="1">
      <alignment horizontal="center" vertical="center" wrapText="1"/>
    </xf>
    <xf numFmtId="185" fontId="42" fillId="44" borderId="22" xfId="367" applyNumberFormat="1" applyFont="1" applyFill="1" applyBorder="1" applyAlignment="1">
      <alignment horizontal="center" vertical="center" wrapText="1"/>
    </xf>
    <xf numFmtId="185" fontId="42" fillId="44" borderId="251" xfId="367" applyNumberFormat="1" applyFont="1" applyFill="1" applyBorder="1" applyAlignment="1">
      <alignment horizontal="center" vertical="center" wrapText="1"/>
    </xf>
    <xf numFmtId="185" fontId="42" fillId="44" borderId="231" xfId="367" applyNumberFormat="1" applyFont="1" applyFill="1" applyBorder="1" applyAlignment="1">
      <alignment horizontal="center" vertical="center" wrapText="1"/>
    </xf>
    <xf numFmtId="0" fontId="42" fillId="44" borderId="231" xfId="367" applyFont="1" applyFill="1" applyBorder="1" applyAlignment="1">
      <alignment vertical="center" wrapText="1"/>
    </xf>
    <xf numFmtId="0" fontId="42" fillId="44" borderId="252" xfId="367" applyFont="1" applyFill="1" applyBorder="1" applyAlignment="1">
      <alignment vertical="center" wrapText="1"/>
    </xf>
    <xf numFmtId="10" fontId="29" fillId="0" borderId="251" xfId="367" applyNumberFormat="1" applyFont="1" applyBorder="1" applyAlignment="1">
      <alignment horizontal="center" vertical="center" wrapText="1"/>
    </xf>
    <xf numFmtId="10" fontId="29" fillId="0" borderId="231" xfId="367" applyNumberFormat="1" applyFont="1" applyBorder="1" applyAlignment="1">
      <alignment horizontal="center" vertical="center" wrapText="1"/>
    </xf>
    <xf numFmtId="10" fontId="29" fillId="45" borderId="252" xfId="367" applyNumberFormat="1" applyFont="1" applyFill="1" applyBorder="1" applyAlignment="1">
      <alignment horizontal="center" vertical="center" wrapText="1"/>
    </xf>
    <xf numFmtId="0" fontId="39" fillId="0" borderId="217" xfId="252" applyFont="1" applyBorder="1" applyAlignment="1">
      <alignment horizontal="center" vertical="center"/>
    </xf>
    <xf numFmtId="192" fontId="44" fillId="46" borderId="253" xfId="367" applyNumberFormat="1" applyFont="1" applyFill="1" applyBorder="1" applyAlignment="1">
      <alignment horizontal="center" wrapText="1"/>
    </xf>
    <xf numFmtId="192" fontId="37" fillId="11" borderId="26" xfId="252" applyNumberFormat="1" applyFont="1" applyFill="1" applyBorder="1" applyAlignment="1">
      <alignment horizontal="center"/>
    </xf>
    <xf numFmtId="0" fontId="37" fillId="37" borderId="215" xfId="252" applyFont="1" applyFill="1" applyBorder="1" applyAlignment="1">
      <alignment horizontal="center"/>
    </xf>
    <xf numFmtId="192" fontId="37" fillId="11" borderId="236" xfId="252" applyNumberFormat="1" applyFont="1" applyFill="1" applyBorder="1" applyAlignment="1"/>
    <xf numFmtId="0" fontId="37" fillId="37" borderId="244" xfId="252" applyFont="1" applyFill="1" applyBorder="1" applyAlignment="1">
      <alignment horizontal="center"/>
    </xf>
    <xf numFmtId="0" fontId="36" fillId="35" borderId="1" xfId="187" applyFont="1" applyFill="1" applyBorder="1" applyAlignment="1">
      <alignment horizontal="center" vertical="center"/>
    </xf>
    <xf numFmtId="0" fontId="35" fillId="36" borderId="254" xfId="252" applyFont="1" applyFill="1" applyBorder="1" applyAlignment="1">
      <alignment vertical="center"/>
    </xf>
    <xf numFmtId="0" fontId="37" fillId="37" borderId="24" xfId="252" applyFont="1" applyFill="1" applyBorder="1" applyAlignment="1">
      <alignment horizontal="center"/>
    </xf>
    <xf numFmtId="0" fontId="37" fillId="37" borderId="26" xfId="252" applyFont="1" applyFill="1" applyBorder="1" applyAlignment="1">
      <alignment horizontal="center"/>
    </xf>
    <xf numFmtId="0" fontId="35" fillId="36" borderId="215" xfId="252" applyFont="1" applyFill="1" applyBorder="1" applyAlignment="1">
      <alignment vertical="center"/>
    </xf>
    <xf numFmtId="0" fontId="37" fillId="37" borderId="1" xfId="252" applyFont="1" applyFill="1" applyBorder="1" applyAlignment="1">
      <alignment horizontal="center"/>
    </xf>
    <xf numFmtId="0" fontId="37" fillId="37" borderId="222" xfId="252" applyFont="1" applyFill="1" applyBorder="1" applyAlignment="1">
      <alignment horizontal="left"/>
    </xf>
    <xf numFmtId="0" fontId="37" fillId="37" borderId="215" xfId="252" applyFont="1" applyFill="1" applyBorder="1" applyAlignment="1">
      <alignment horizontal="left"/>
    </xf>
    <xf numFmtId="192" fontId="37" fillId="11" borderId="0" xfId="252" applyNumberFormat="1" applyFont="1" applyFill="1" applyBorder="1" applyAlignment="1">
      <alignment horizontal="center"/>
    </xf>
    <xf numFmtId="192" fontId="37" fillId="11" borderId="20" xfId="252" applyNumberFormat="1" applyFont="1" applyFill="1" applyBorder="1" applyAlignment="1">
      <alignment horizontal="center"/>
    </xf>
    <xf numFmtId="192" fontId="37" fillId="39" borderId="20" xfId="252" applyNumberFormat="1" applyFont="1" applyFill="1" applyBorder="1" applyAlignment="1">
      <alignment horizontal="center"/>
    </xf>
    <xf numFmtId="192" fontId="37" fillId="11" borderId="1" xfId="252" applyNumberFormat="1" applyFont="1" applyFill="1" applyBorder="1" applyAlignment="1">
      <alignment horizontal="center"/>
    </xf>
    <xf numFmtId="192" fontId="37" fillId="11" borderId="1" xfId="252" applyNumberFormat="1" applyFont="1" applyFill="1" applyBorder="1" applyAlignment="1"/>
    <xf numFmtId="0" fontId="36" fillId="35" borderId="215" xfId="187" applyFont="1" applyFill="1" applyBorder="1" applyAlignment="1">
      <alignment horizontal="center" vertical="center" wrapText="1"/>
    </xf>
    <xf numFmtId="0" fontId="37" fillId="37" borderId="213" xfId="252" applyFont="1" applyFill="1" applyBorder="1" applyAlignment="1">
      <alignment horizontal="center" vertical="center"/>
    </xf>
    <xf numFmtId="0" fontId="37" fillId="37" borderId="240" xfId="252" applyFont="1" applyFill="1" applyBorder="1" applyAlignment="1">
      <alignment horizontal="center" vertical="center" wrapText="1"/>
    </xf>
    <xf numFmtId="0" fontId="37" fillId="37" borderId="243" xfId="252" applyFont="1" applyFill="1" applyBorder="1" applyAlignment="1">
      <alignment horizontal="center" vertical="center" wrapText="1"/>
    </xf>
    <xf numFmtId="0" fontId="37" fillId="37" borderId="240" xfId="252" applyFont="1" applyFill="1" applyBorder="1" applyAlignment="1">
      <alignment horizontal="center" vertical="center"/>
    </xf>
    <xf numFmtId="0" fontId="37" fillId="37" borderId="243" xfId="252" applyFont="1" applyFill="1" applyBorder="1" applyAlignment="1">
      <alignment horizontal="center" vertical="center"/>
    </xf>
    <xf numFmtId="0" fontId="45" fillId="0" borderId="219" xfId="367" applyFont="1" applyBorder="1" applyAlignment="1">
      <alignment vertical="center"/>
    </xf>
    <xf numFmtId="0" fontId="42" fillId="44" borderId="255" xfId="367" applyFont="1" applyFill="1" applyBorder="1" applyAlignment="1">
      <alignment horizontal="center" vertical="center" wrapText="1"/>
    </xf>
    <xf numFmtId="0" fontId="38" fillId="0" borderId="0" xfId="367" applyFont="1" applyBorder="1" applyAlignment="1">
      <alignment horizontal="left" vertical="center"/>
    </xf>
    <xf numFmtId="0" fontId="42" fillId="44" borderId="256" xfId="367" applyFont="1" applyFill="1" applyBorder="1" applyAlignment="1">
      <alignment horizontal="center" vertical="center" wrapText="1"/>
    </xf>
    <xf numFmtId="10" fontId="29" fillId="45" borderId="1" xfId="367" applyNumberFormat="1" applyFont="1" applyFill="1" applyBorder="1" applyAlignment="1">
      <alignment horizontal="center" vertical="center" wrapText="1"/>
    </xf>
    <xf numFmtId="0" fontId="39" fillId="0" borderId="215" xfId="252" applyFont="1" applyBorder="1" applyAlignment="1">
      <alignment horizontal="center" vertical="center"/>
    </xf>
    <xf numFmtId="0" fontId="37" fillId="37" borderId="234" xfId="252" applyFont="1" applyFill="1" applyBorder="1" applyAlignment="1">
      <alignment horizontal="center" vertical="center"/>
    </xf>
    <xf numFmtId="0" fontId="37" fillId="0" borderId="241" xfId="252" applyFont="1" applyFill="1" applyBorder="1" applyAlignment="1">
      <alignment horizontal="center" vertical="center"/>
    </xf>
    <xf numFmtId="192" fontId="37" fillId="0" borderId="239" xfId="252" applyNumberFormat="1" applyFont="1" applyFill="1" applyBorder="1" applyAlignment="1">
      <alignment horizontal="center" vertical="center"/>
    </xf>
    <xf numFmtId="0" fontId="35" fillId="36" borderId="224" xfId="252" applyFont="1" applyFill="1" applyBorder="1" applyAlignment="1">
      <alignment horizontal="left" vertical="center"/>
    </xf>
    <xf numFmtId="192" fontId="37" fillId="39" borderId="237" xfId="252" applyNumberFormat="1" applyFont="1" applyFill="1" applyBorder="1" applyAlignment="1"/>
    <xf numFmtId="0" fontId="35" fillId="36" borderId="222" xfId="252" applyFont="1" applyFill="1" applyBorder="1" applyAlignment="1">
      <alignment horizontal="left" vertical="center"/>
    </xf>
    <xf numFmtId="0" fontId="37" fillId="37" borderId="244" xfId="252" applyFont="1" applyFill="1" applyBorder="1" applyAlignment="1">
      <alignment horizontal="center" vertical="center"/>
    </xf>
    <xf numFmtId="0" fontId="7" fillId="0" borderId="224" xfId="367" applyFont="1" applyBorder="1" applyAlignment="1">
      <alignment vertical="center"/>
    </xf>
    <xf numFmtId="0" fontId="35" fillId="0" borderId="0" xfId="252" applyFont="1" applyFill="1" applyBorder="1" applyAlignment="1">
      <alignment horizontal="left" vertical="center"/>
    </xf>
    <xf numFmtId="0" fontId="7" fillId="0" borderId="0" xfId="367" applyFont="1" applyFill="1" applyBorder="1" applyAlignment="1">
      <alignment vertical="center"/>
    </xf>
    <xf numFmtId="0" fontId="37" fillId="0" borderId="217" xfId="252" applyFont="1" applyBorder="1" applyAlignment="1">
      <alignment vertical="center"/>
    </xf>
    <xf numFmtId="0" fontId="37" fillId="37" borderId="235" xfId="252" applyFont="1" applyFill="1" applyBorder="1" applyAlignment="1">
      <alignment horizontal="center" vertical="center"/>
    </xf>
    <xf numFmtId="181" fontId="37" fillId="0" borderId="1" xfId="252" applyNumberFormat="1" applyFont="1" applyFill="1" applyBorder="1" applyAlignment="1">
      <alignment horizontal="center" vertical="center"/>
    </xf>
    <xf numFmtId="0" fontId="37" fillId="0" borderId="230" xfId="252" applyFont="1" applyBorder="1" applyAlignment="1">
      <alignment vertical="center"/>
    </xf>
    <xf numFmtId="0" fontId="7" fillId="0" borderId="1" xfId="367" applyFont="1" applyBorder="1" applyAlignment="1">
      <alignment vertical="center"/>
    </xf>
    <xf numFmtId="0" fontId="6" fillId="0" borderId="0" xfId="358" applyAlignment="1">
      <alignment vertical="center" wrapText="1"/>
    </xf>
    <xf numFmtId="0" fontId="6" fillId="0" borderId="0" xfId="358" applyAlignment="1">
      <alignment horizontal="center" vertical="center"/>
    </xf>
    <xf numFmtId="0" fontId="6" fillId="0" borderId="0" xfId="358" applyAlignment="1">
      <alignment vertical="center"/>
    </xf>
    <xf numFmtId="0" fontId="46" fillId="41" borderId="257" xfId="358" applyFont="1" applyFill="1" applyBorder="1" applyAlignment="1">
      <alignment horizontal="left" vertical="center" wrapText="1"/>
    </xf>
    <xf numFmtId="0" fontId="46" fillId="41" borderId="118" xfId="358" applyFont="1" applyFill="1" applyBorder="1" applyAlignment="1">
      <alignment horizontal="left" vertical="center" wrapText="1"/>
    </xf>
    <xf numFmtId="0" fontId="47" fillId="41" borderId="258" xfId="358" applyFont="1" applyFill="1" applyBorder="1" applyAlignment="1">
      <alignment horizontal="left" vertical="center" wrapText="1"/>
    </xf>
    <xf numFmtId="0" fontId="47" fillId="41" borderId="259" xfId="358" applyFont="1" applyFill="1" applyBorder="1" applyAlignment="1">
      <alignment horizontal="left" vertical="center" wrapText="1"/>
    </xf>
    <xf numFmtId="0" fontId="47" fillId="47" borderId="259" xfId="358" applyFont="1" applyFill="1" applyBorder="1" applyAlignment="1">
      <alignment horizontal="left" vertical="center" wrapText="1"/>
    </xf>
    <xf numFmtId="0" fontId="48" fillId="41" borderId="260" xfId="358" applyFont="1" applyFill="1" applyBorder="1" applyAlignment="1">
      <alignment horizontal="center" vertical="center" wrapText="1"/>
    </xf>
    <xf numFmtId="0" fontId="48" fillId="41" borderId="261" xfId="358" applyFont="1" applyFill="1" applyBorder="1" applyAlignment="1">
      <alignment horizontal="center" vertical="center" wrapText="1"/>
    </xf>
    <xf numFmtId="0" fontId="48" fillId="47" borderId="262" xfId="358" applyFont="1" applyFill="1" applyBorder="1" applyAlignment="1">
      <alignment horizontal="center" vertical="center" wrapText="1"/>
    </xf>
    <xf numFmtId="0" fontId="48" fillId="47" borderId="263" xfId="358" applyFont="1" applyFill="1" applyBorder="1" applyAlignment="1">
      <alignment horizontal="center" vertical="center" wrapText="1"/>
    </xf>
    <xf numFmtId="0" fontId="49" fillId="37" borderId="264" xfId="358" applyFont="1" applyFill="1" applyBorder="1" applyAlignment="1">
      <alignment horizontal="center" vertical="center" wrapText="1"/>
    </xf>
    <xf numFmtId="0" fontId="49" fillId="37" borderId="265" xfId="358" applyFont="1" applyFill="1" applyBorder="1" applyAlignment="1">
      <alignment horizontal="center" vertical="center" wrapText="1"/>
    </xf>
    <xf numFmtId="0" fontId="49" fillId="0" borderId="264" xfId="358" applyFont="1" applyFill="1" applyBorder="1" applyAlignment="1">
      <alignment horizontal="center" vertical="top" wrapText="1"/>
    </xf>
    <xf numFmtId="0" fontId="49" fillId="0" borderId="265" xfId="358" applyFont="1" applyFill="1" applyBorder="1" applyAlignment="1">
      <alignment horizontal="center" vertical="center" wrapText="1"/>
    </xf>
    <xf numFmtId="0" fontId="49" fillId="48" borderId="264" xfId="358" applyFont="1" applyFill="1" applyBorder="1" applyAlignment="1">
      <alignment horizontal="center" vertical="top" wrapText="1"/>
    </xf>
    <xf numFmtId="0" fontId="49" fillId="48" borderId="265" xfId="358" applyFont="1" applyFill="1" applyBorder="1" applyAlignment="1">
      <alignment horizontal="center" vertical="center" wrapText="1"/>
    </xf>
    <xf numFmtId="0" fontId="49" fillId="0" borderId="0" xfId="358" applyFont="1" applyFill="1" applyAlignment="1">
      <alignment horizontal="center" vertical="center" wrapText="1"/>
    </xf>
    <xf numFmtId="0" fontId="46" fillId="41" borderId="266" xfId="358" applyFont="1" applyFill="1" applyBorder="1" applyAlignment="1">
      <alignment horizontal="left" vertical="center" wrapText="1"/>
    </xf>
    <xf numFmtId="0" fontId="46" fillId="41" borderId="0" xfId="358" applyFont="1" applyFill="1" applyAlignment="1">
      <alignment horizontal="left" vertical="center" wrapText="1"/>
    </xf>
    <xf numFmtId="0" fontId="47" fillId="41" borderId="267" xfId="358" applyFont="1" applyFill="1" applyBorder="1" applyAlignment="1">
      <alignment horizontal="left" vertical="center" wrapText="1"/>
    </xf>
    <xf numFmtId="0" fontId="48" fillId="41" borderId="268" xfId="358" applyFont="1" applyFill="1" applyBorder="1" applyAlignment="1">
      <alignment horizontal="center" vertical="center" wrapText="1"/>
    </xf>
    <xf numFmtId="0" fontId="49" fillId="0" borderId="264" xfId="358" applyFont="1" applyFill="1" applyBorder="1" applyAlignment="1">
      <alignment horizontal="center" vertical="center" wrapText="1"/>
    </xf>
    <xf numFmtId="0" fontId="49" fillId="48" borderId="264" xfId="358" applyFont="1" applyFill="1" applyBorder="1" applyAlignment="1">
      <alignment horizontal="center" vertical="center" wrapText="1"/>
    </xf>
    <xf numFmtId="0" fontId="46" fillId="41" borderId="261" xfId="358" applyFont="1" applyFill="1" applyBorder="1" applyAlignment="1">
      <alignment vertical="center"/>
    </xf>
    <xf numFmtId="0" fontId="46" fillId="41" borderId="269" xfId="358" applyFont="1" applyFill="1" applyBorder="1" applyAlignment="1">
      <alignment vertical="center" wrapText="1"/>
    </xf>
    <xf numFmtId="0" fontId="47" fillId="41" borderId="265" xfId="358" applyFont="1" applyFill="1" applyBorder="1" applyAlignment="1">
      <alignment horizontal="left" vertical="center" wrapText="1"/>
    </xf>
    <xf numFmtId="0" fontId="47" fillId="41" borderId="270" xfId="358" applyFont="1" applyFill="1" applyBorder="1" applyAlignment="1">
      <alignment horizontal="left" vertical="center" wrapText="1"/>
    </xf>
    <xf numFmtId="0" fontId="20" fillId="41" borderId="264" xfId="358" applyFont="1" applyFill="1" applyBorder="1" applyAlignment="1">
      <alignment horizontal="center" vertical="center" wrapText="1"/>
    </xf>
    <xf numFmtId="0" fontId="20" fillId="41" borderId="271" xfId="358" applyFont="1" applyFill="1" applyBorder="1" applyAlignment="1">
      <alignment horizontal="center" vertical="center" wrapText="1"/>
    </xf>
    <xf numFmtId="198" fontId="49" fillId="37" borderId="265" xfId="358" applyNumberFormat="1" applyFont="1" applyFill="1" applyBorder="1" applyAlignment="1">
      <alignment horizontal="center" vertical="center" wrapText="1"/>
    </xf>
    <xf numFmtId="181" fontId="49" fillId="37" borderId="270" xfId="358" applyNumberFormat="1" applyFont="1" applyFill="1" applyBorder="1" applyAlignment="1">
      <alignment horizontal="center" vertical="center" wrapText="1"/>
    </xf>
    <xf numFmtId="198" fontId="49" fillId="0" borderId="270" xfId="358" applyNumberFormat="1" applyFont="1" applyFill="1" applyBorder="1" applyAlignment="1">
      <alignment horizontal="center" vertical="center" wrapText="1"/>
    </xf>
    <xf numFmtId="0" fontId="46" fillId="0" borderId="118" xfId="358" applyFont="1" applyFill="1" applyBorder="1" applyAlignment="1">
      <alignment vertical="center" wrapText="1"/>
    </xf>
    <xf numFmtId="0" fontId="47" fillId="0" borderId="259" xfId="358" applyFont="1" applyFill="1" applyBorder="1" applyAlignment="1">
      <alignment vertical="center" wrapText="1"/>
    </xf>
    <xf numFmtId="0" fontId="50" fillId="49" borderId="272" xfId="358" applyFont="1" applyFill="1" applyBorder="1" applyAlignment="1">
      <alignment horizontal="center" vertical="center" wrapText="1"/>
    </xf>
    <xf numFmtId="0" fontId="50" fillId="50" borderId="273" xfId="360" applyFont="1" applyFill="1" applyBorder="1" applyAlignment="1">
      <alignment horizontal="center" vertical="center" wrapText="1"/>
    </xf>
    <xf numFmtId="0" fontId="50" fillId="50" borderId="274" xfId="360" applyFont="1" applyFill="1" applyBorder="1" applyAlignment="1">
      <alignment horizontal="center" vertical="center" wrapText="1"/>
    </xf>
    <xf numFmtId="0" fontId="48" fillId="47" borderId="275" xfId="358" applyFont="1" applyFill="1" applyBorder="1" applyAlignment="1">
      <alignment horizontal="center" vertical="center" wrapText="1"/>
    </xf>
    <xf numFmtId="0" fontId="48" fillId="50" borderId="260" xfId="360" applyFont="1" applyFill="1" applyBorder="1" applyAlignment="1">
      <alignment horizontal="center" vertical="center" wrapText="1"/>
    </xf>
    <xf numFmtId="181" fontId="49" fillId="42" borderId="264" xfId="360" applyNumberFormat="1" applyFont="1" applyFill="1" applyBorder="1" applyAlignment="1">
      <alignment horizontal="center" vertical="center" wrapText="1"/>
    </xf>
    <xf numFmtId="0" fontId="46" fillId="0" borderId="0" xfId="358" applyFont="1" applyFill="1" applyBorder="1" applyAlignment="1">
      <alignment vertical="center" wrapText="1"/>
    </xf>
    <xf numFmtId="0" fontId="50" fillId="49" borderId="276" xfId="358" applyFont="1" applyFill="1" applyBorder="1" applyAlignment="1">
      <alignment horizontal="center" vertical="center" wrapText="1"/>
    </xf>
    <xf numFmtId="0" fontId="46" fillId="0" borderId="269" xfId="358" applyFont="1" applyFill="1" applyBorder="1" applyAlignment="1">
      <alignment vertical="center" wrapText="1"/>
    </xf>
    <xf numFmtId="0" fontId="47" fillId="0" borderId="270" xfId="358" applyFont="1" applyFill="1" applyBorder="1" applyAlignment="1">
      <alignment vertical="center" wrapText="1"/>
    </xf>
    <xf numFmtId="0" fontId="13" fillId="0" borderId="0" xfId="358" applyFont="1" applyAlignment="1">
      <alignment horizontal="left" vertical="top" wrapText="1"/>
    </xf>
    <xf numFmtId="0" fontId="51" fillId="0" borderId="0" xfId="305" applyAlignment="1">
      <alignment horizontal="center" vertical="center"/>
    </xf>
    <xf numFmtId="0" fontId="51" fillId="0" borderId="0" xfId="305"/>
    <xf numFmtId="0" fontId="48" fillId="41" borderId="271" xfId="358" applyFont="1" applyFill="1" applyBorder="1" applyAlignment="1">
      <alignment horizontal="center" vertical="center" wrapText="1"/>
    </xf>
    <xf numFmtId="0" fontId="46" fillId="41" borderId="261" xfId="358" applyFont="1" applyFill="1" applyBorder="1" applyAlignment="1">
      <alignment horizontal="left" vertical="center" wrapText="1"/>
    </xf>
    <xf numFmtId="0" fontId="46" fillId="41" borderId="265" xfId="358" applyFont="1" applyFill="1" applyBorder="1" applyAlignment="1">
      <alignment vertical="center" wrapText="1"/>
    </xf>
    <xf numFmtId="0" fontId="46" fillId="41" borderId="270" xfId="358" applyFont="1" applyFill="1" applyBorder="1" applyAlignment="1">
      <alignment vertical="center" wrapText="1"/>
    </xf>
    <xf numFmtId="0" fontId="51" fillId="0" borderId="1" xfId="305" applyBorder="1" applyAlignment="1">
      <alignment horizontal="center" vertical="center"/>
    </xf>
    <xf numFmtId="0" fontId="49" fillId="0" borderId="1" xfId="358" applyFont="1" applyFill="1" applyBorder="1" applyAlignment="1">
      <alignment horizontal="center" vertical="center" wrapText="1"/>
    </xf>
    <xf numFmtId="0" fontId="49" fillId="0" borderId="1" xfId="358" applyFont="1" applyFill="1" applyBorder="1" applyAlignment="1">
      <alignment horizontal="center" vertical="top" wrapText="1"/>
    </xf>
    <xf numFmtId="0" fontId="46" fillId="41" borderId="0" xfId="358" applyFont="1" applyFill="1" applyBorder="1" applyAlignment="1">
      <alignment vertical="center" wrapText="1"/>
    </xf>
    <xf numFmtId="0" fontId="46" fillId="41" borderId="0" xfId="358" applyFont="1" applyFill="1" applyBorder="1" applyAlignment="1">
      <alignment horizontal="center" vertical="center" wrapText="1"/>
    </xf>
    <xf numFmtId="0" fontId="48" fillId="51" borderId="277" xfId="358" applyFont="1" applyFill="1" applyBorder="1" applyAlignment="1">
      <alignment horizontal="left" vertical="center"/>
    </xf>
    <xf numFmtId="0" fontId="48" fillId="51" borderId="277" xfId="358" applyFont="1" applyFill="1" applyBorder="1" applyAlignment="1">
      <alignment horizontal="center" vertical="center"/>
    </xf>
    <xf numFmtId="0" fontId="48" fillId="51" borderId="277" xfId="358" applyFont="1" applyFill="1" applyBorder="1" applyAlignment="1">
      <alignment horizontal="center" vertical="center" wrapText="1"/>
    </xf>
    <xf numFmtId="10" fontId="49" fillId="0" borderId="1" xfId="358" applyNumberFormat="1" applyFont="1" applyFill="1" applyBorder="1" applyAlignment="1">
      <alignment horizontal="center" vertical="center" wrapText="1"/>
    </xf>
    <xf numFmtId="193" fontId="49" fillId="0" borderId="1" xfId="358" applyNumberFormat="1" applyFont="1" applyFill="1" applyBorder="1" applyAlignment="1">
      <alignment horizontal="center" vertical="center" wrapText="1"/>
    </xf>
    <xf numFmtId="0" fontId="46" fillId="41" borderId="118" xfId="358" applyFont="1" applyFill="1" applyBorder="1" applyAlignment="1">
      <alignment horizontal="center" vertical="center" wrapText="1"/>
    </xf>
    <xf numFmtId="0" fontId="46" fillId="41" borderId="278" xfId="358" applyFont="1" applyFill="1" applyBorder="1" applyAlignment="1">
      <alignment horizontal="center" vertical="center" wrapText="1"/>
    </xf>
    <xf numFmtId="0" fontId="48" fillId="41" borderId="277" xfId="358" applyFont="1" applyFill="1" applyBorder="1" applyAlignment="1">
      <alignment horizontal="center" vertical="center" wrapText="1"/>
    </xf>
    <xf numFmtId="193" fontId="52" fillId="0" borderId="1" xfId="358" applyNumberFormat="1" applyFont="1" applyFill="1" applyBorder="1" applyAlignment="1">
      <alignment horizontal="left" vertical="center" wrapText="1"/>
    </xf>
    <xf numFmtId="196" fontId="49" fillId="0" borderId="1" xfId="358" applyNumberFormat="1" applyFont="1" applyFill="1" applyBorder="1" applyAlignment="1">
      <alignment horizontal="center" vertical="center" wrapText="1"/>
    </xf>
    <xf numFmtId="196" fontId="52" fillId="0" borderId="1" xfId="358" applyNumberFormat="1" applyFont="1" applyFill="1" applyBorder="1" applyAlignment="1">
      <alignment horizontal="left" vertical="center" wrapText="1"/>
    </xf>
    <xf numFmtId="0" fontId="53" fillId="0" borderId="78" xfId="165" applyFont="1" applyBorder="1" applyAlignment="1">
      <alignment vertical="center"/>
    </xf>
    <xf numFmtId="0" fontId="2" fillId="0" borderId="78" xfId="165" applyFont="1" applyBorder="1" applyAlignment="1">
      <alignment horizontal="left" vertical="center"/>
    </xf>
    <xf numFmtId="0" fontId="37" fillId="0" borderId="78" xfId="165" applyFont="1" applyFill="1" applyBorder="1" applyAlignment="1">
      <alignment vertical="center"/>
    </xf>
    <xf numFmtId="0" fontId="37" fillId="0" borderId="78" xfId="165" applyFont="1" applyBorder="1" applyAlignment="1">
      <alignment vertical="center"/>
    </xf>
    <xf numFmtId="0" fontId="37" fillId="0" borderId="78" xfId="165" applyFont="1" applyBorder="1" applyAlignment="1">
      <alignment horizontal="center" vertical="center"/>
    </xf>
    <xf numFmtId="0" fontId="37" fillId="0" borderId="78" xfId="165" applyFont="1" applyBorder="1" applyAlignment="1">
      <alignment horizontal="center" vertical="center" wrapText="1"/>
    </xf>
    <xf numFmtId="0" fontId="37" fillId="0" borderId="78" xfId="165" applyFont="1" applyBorder="1" applyAlignment="1">
      <alignment horizontal="left" vertical="top"/>
    </xf>
    <xf numFmtId="0" fontId="54" fillId="0" borderId="78" xfId="165" applyFont="1" applyBorder="1" applyAlignment="1">
      <alignment horizontal="center" vertical="center"/>
    </xf>
    <xf numFmtId="0" fontId="53" fillId="0" borderId="267" xfId="165" applyFont="1" applyBorder="1" applyAlignment="1">
      <alignment vertical="center"/>
    </xf>
    <xf numFmtId="0" fontId="55" fillId="52" borderId="279" xfId="187" applyFont="1" applyFill="1" applyBorder="1" applyAlignment="1">
      <alignment horizontal="center" vertical="center" wrapText="1"/>
    </xf>
    <xf numFmtId="0" fontId="55" fillId="52" borderId="280" xfId="187" applyFont="1" applyFill="1" applyBorder="1" applyAlignment="1">
      <alignment horizontal="center" vertical="center" wrapText="1"/>
    </xf>
    <xf numFmtId="0" fontId="55" fillId="52" borderId="280" xfId="187" applyFont="1" applyFill="1" applyBorder="1" applyAlignment="1">
      <alignment vertical="center" wrapText="1"/>
    </xf>
    <xf numFmtId="0" fontId="55" fillId="52" borderId="281" xfId="187" applyFont="1" applyFill="1" applyBorder="1" applyAlignment="1">
      <alignment horizontal="center" vertical="center" wrapText="1"/>
    </xf>
    <xf numFmtId="0" fontId="56" fillId="53" borderId="78" xfId="360" applyFont="1" applyFill="1" applyBorder="1" applyAlignment="1">
      <alignment horizontal="center" vertical="center"/>
    </xf>
    <xf numFmtId="0" fontId="56" fillId="53" borderId="282" xfId="360" applyFont="1" applyFill="1" applyBorder="1" applyAlignment="1">
      <alignment vertical="center"/>
    </xf>
    <xf numFmtId="0" fontId="56" fillId="0" borderId="1" xfId="360" applyFont="1" applyFill="1" applyBorder="1" applyAlignment="1">
      <alignment horizontal="left" vertical="center"/>
    </xf>
    <xf numFmtId="0" fontId="56" fillId="0" borderId="1" xfId="360" applyFont="1" applyFill="1" applyBorder="1" applyAlignment="1">
      <alignment horizontal="center" vertical="center"/>
    </xf>
    <xf numFmtId="0" fontId="57" fillId="0" borderId="1" xfId="360" applyFont="1" applyFill="1" applyBorder="1" applyAlignment="1">
      <alignment horizontal="left" vertical="center"/>
    </xf>
    <xf numFmtId="0" fontId="57" fillId="0" borderId="1" xfId="360" applyFont="1" applyFill="1" applyBorder="1" applyAlignment="1">
      <alignment horizontal="center" vertical="center"/>
    </xf>
    <xf numFmtId="0" fontId="56" fillId="53" borderId="267" xfId="360" applyFont="1" applyFill="1" applyBorder="1" applyAlignment="1">
      <alignment vertical="center"/>
    </xf>
    <xf numFmtId="0" fontId="56" fillId="0" borderId="24" xfId="360" applyFont="1" applyFill="1" applyBorder="1" applyAlignment="1">
      <alignment horizontal="left" vertical="center"/>
    </xf>
    <xf numFmtId="0" fontId="56" fillId="0" borderId="26" xfId="360" applyFont="1" applyFill="1" applyBorder="1" applyAlignment="1">
      <alignment horizontal="left" vertical="center"/>
    </xf>
    <xf numFmtId="0" fontId="57" fillId="0" borderId="24" xfId="360" applyFont="1" applyFill="1" applyBorder="1" applyAlignment="1">
      <alignment horizontal="center" vertical="center"/>
    </xf>
    <xf numFmtId="0" fontId="57" fillId="0" borderId="26" xfId="360" applyFont="1" applyFill="1" applyBorder="1" applyAlignment="1">
      <alignment horizontal="center" vertical="center"/>
    </xf>
    <xf numFmtId="0" fontId="56" fillId="53" borderId="283" xfId="360" applyFont="1" applyFill="1" applyBorder="1" applyAlignment="1">
      <alignment horizontal="left" vertical="center"/>
    </xf>
    <xf numFmtId="0" fontId="58" fillId="53" borderId="118" xfId="360" applyFont="1" applyFill="1" applyBorder="1" applyAlignment="1">
      <alignment horizontal="left" vertical="center"/>
    </xf>
    <xf numFmtId="0" fontId="56" fillId="53" borderId="118" xfId="360" applyFont="1" applyFill="1" applyBorder="1" applyAlignment="1">
      <alignment horizontal="left" vertical="center"/>
    </xf>
    <xf numFmtId="0" fontId="56" fillId="53" borderId="20" xfId="360" applyFont="1" applyFill="1" applyBorder="1" applyAlignment="1">
      <alignment horizontal="center" vertical="center"/>
    </xf>
    <xf numFmtId="0" fontId="56" fillId="53" borderId="118" xfId="360" applyFont="1" applyFill="1" applyBorder="1" applyAlignment="1">
      <alignment horizontal="center" vertical="center"/>
    </xf>
    <xf numFmtId="0" fontId="56" fillId="54" borderId="86" xfId="360" applyFont="1" applyFill="1" applyBorder="1" applyAlignment="1">
      <alignment horizontal="center" vertical="center"/>
    </xf>
    <xf numFmtId="0" fontId="56" fillId="54" borderId="282" xfId="360" applyFont="1" applyFill="1" applyBorder="1" applyAlignment="1">
      <alignment horizontal="left" vertical="center"/>
    </xf>
    <xf numFmtId="0" fontId="56" fillId="54" borderId="118" xfId="360" applyFont="1" applyFill="1" applyBorder="1" applyAlignment="1">
      <alignment horizontal="left" vertical="center"/>
    </xf>
    <xf numFmtId="0" fontId="56" fillId="54" borderId="173" xfId="360" applyFont="1" applyFill="1" applyBorder="1" applyAlignment="1">
      <alignment horizontal="center" vertical="center"/>
    </xf>
    <xf numFmtId="0" fontId="56" fillId="54" borderId="267" xfId="360" applyFont="1" applyFill="1" applyBorder="1" applyAlignment="1">
      <alignment horizontal="left" vertical="center"/>
    </xf>
    <xf numFmtId="0" fontId="56" fillId="54" borderId="259" xfId="360" applyFont="1" applyFill="1" applyBorder="1" applyAlignment="1">
      <alignment horizontal="left" vertical="center"/>
    </xf>
    <xf numFmtId="0" fontId="56" fillId="54" borderId="85" xfId="360" applyFont="1" applyFill="1" applyBorder="1" applyAlignment="1">
      <alignment horizontal="center" vertical="center"/>
    </xf>
    <xf numFmtId="0" fontId="59" fillId="52" borderId="85" xfId="187" applyFont="1" applyFill="1" applyBorder="1" applyAlignment="1">
      <alignment horizontal="center" vertical="center" wrapText="1"/>
    </xf>
    <xf numFmtId="0" fontId="60" fillId="52" borderId="85" xfId="187" applyFont="1" applyFill="1" applyBorder="1" applyAlignment="1">
      <alignment horizontal="center" vertical="center" wrapText="1"/>
    </xf>
    <xf numFmtId="0" fontId="59" fillId="52" borderId="78" xfId="187" applyFont="1" applyFill="1" applyBorder="1" applyAlignment="1">
      <alignment horizontal="center" vertical="center" wrapText="1"/>
    </xf>
    <xf numFmtId="0" fontId="56" fillId="55" borderId="78" xfId="360" applyFont="1" applyFill="1" applyBorder="1" applyAlignment="1">
      <alignment horizontal="left" vertical="top" wrapText="1"/>
    </xf>
    <xf numFmtId="0" fontId="59" fillId="52" borderId="86" xfId="187" applyFont="1" applyFill="1" applyBorder="1" applyAlignment="1">
      <alignment horizontal="center" vertical="center" wrapText="1"/>
    </xf>
    <xf numFmtId="0" fontId="60" fillId="52" borderId="86" xfId="187" applyFont="1" applyFill="1" applyBorder="1" applyAlignment="1">
      <alignment horizontal="center" vertical="center" wrapText="1"/>
    </xf>
    <xf numFmtId="0" fontId="61" fillId="52" borderId="86" xfId="187" applyFont="1" applyFill="1" applyBorder="1" applyAlignment="1">
      <alignment horizontal="center" vertical="center" wrapText="1"/>
    </xf>
    <xf numFmtId="0" fontId="56" fillId="56" borderId="78" xfId="360" applyFont="1" applyFill="1" applyBorder="1" applyAlignment="1">
      <alignment horizontal="left" vertical="center"/>
    </xf>
    <xf numFmtId="192" fontId="2" fillId="25" borderId="78" xfId="363" applyNumberFormat="1" applyFont="1" applyFill="1" applyBorder="1" applyAlignment="1">
      <alignment horizontal="center" vertical="center" wrapText="1"/>
    </xf>
    <xf numFmtId="0" fontId="56" fillId="0" borderId="78" xfId="360" applyFont="1" applyFill="1" applyBorder="1" applyAlignment="1">
      <alignment horizontal="center" vertical="center"/>
    </xf>
    <xf numFmtId="0" fontId="62" fillId="0" borderId="78" xfId="17" applyFont="1" applyFill="1" applyBorder="1" applyAlignment="1" applyProtection="1">
      <alignment vertical="center"/>
    </xf>
    <xf numFmtId="0" fontId="56" fillId="0" borderId="78" xfId="360" applyFont="1" applyFill="1" applyBorder="1" applyAlignment="1">
      <alignment horizontal="left" vertical="top" wrapText="1"/>
    </xf>
    <xf numFmtId="199" fontId="2" fillId="0" borderId="78" xfId="17" applyNumberFormat="1" applyFont="1" applyFill="1" applyBorder="1" applyAlignment="1" applyProtection="1">
      <alignment horizontal="right" vertical="center"/>
    </xf>
    <xf numFmtId="0" fontId="61" fillId="57" borderId="284" xfId="165" applyFont="1" applyFill="1" applyBorder="1" applyAlignment="1">
      <alignment horizontal="center" vertical="center" wrapText="1"/>
    </xf>
    <xf numFmtId="0" fontId="61" fillId="57" borderId="281" xfId="165" applyFont="1" applyFill="1" applyBorder="1" applyAlignment="1">
      <alignment horizontal="center" vertical="center" wrapText="1"/>
    </xf>
    <xf numFmtId="0" fontId="61" fillId="57" borderId="86" xfId="165" applyFont="1" applyFill="1" applyBorder="1" applyAlignment="1">
      <alignment horizontal="center" vertical="center"/>
    </xf>
    <xf numFmtId="0" fontId="56" fillId="0" borderId="1" xfId="360" applyFont="1" applyFill="1" applyBorder="1" applyAlignment="1">
      <alignment vertical="center"/>
    </xf>
    <xf numFmtId="0" fontId="53" fillId="0" borderId="174" xfId="165" applyFont="1" applyBorder="1" applyAlignment="1">
      <alignment vertical="center"/>
    </xf>
    <xf numFmtId="193" fontId="27" fillId="0" borderId="1" xfId="360" applyNumberFormat="1" applyFont="1" applyFill="1" applyBorder="1" applyAlignment="1">
      <alignment horizontal="center" vertical="center"/>
    </xf>
    <xf numFmtId="31" fontId="27" fillId="0" borderId="1" xfId="360" applyNumberFormat="1" applyFont="1" applyFill="1" applyBorder="1" applyAlignment="1">
      <alignment horizontal="center" vertical="center"/>
    </xf>
    <xf numFmtId="31" fontId="27" fillId="0" borderId="24" xfId="360" applyNumberFormat="1" applyFont="1" applyFill="1" applyBorder="1" applyAlignment="1">
      <alignment horizontal="center" vertical="center"/>
    </xf>
    <xf numFmtId="31" fontId="27" fillId="0" borderId="26" xfId="360" applyNumberFormat="1" applyFont="1" applyFill="1" applyBorder="1" applyAlignment="1">
      <alignment horizontal="center" vertical="center"/>
    </xf>
    <xf numFmtId="31" fontId="27" fillId="53" borderId="118" xfId="360" applyNumberFormat="1" applyFont="1" applyFill="1" applyBorder="1" applyAlignment="1">
      <alignment horizontal="center" vertical="center"/>
    </xf>
    <xf numFmtId="31" fontId="27" fillId="53" borderId="278" xfId="360" applyNumberFormat="1" applyFont="1" applyFill="1" applyBorder="1" applyAlignment="1">
      <alignment horizontal="center" vertical="center"/>
    </xf>
    <xf numFmtId="0" fontId="56" fillId="53" borderId="85" xfId="360" applyFont="1" applyFill="1" applyBorder="1" applyAlignment="1">
      <alignment vertical="center"/>
    </xf>
    <xf numFmtId="0" fontId="56" fillId="54" borderId="278" xfId="360" applyFont="1" applyFill="1" applyBorder="1" applyAlignment="1">
      <alignment horizontal="left" vertical="center"/>
    </xf>
    <xf numFmtId="0" fontId="56" fillId="54" borderId="174" xfId="360" applyFont="1" applyFill="1" applyBorder="1" applyAlignment="1">
      <alignment horizontal="left" vertical="center"/>
    </xf>
    <xf numFmtId="0" fontId="2" fillId="26" borderId="78" xfId="165" applyFont="1" applyFill="1" applyBorder="1" applyAlignment="1">
      <alignment horizontal="left" vertical="center"/>
    </xf>
    <xf numFmtId="199" fontId="2" fillId="55" borderId="78" xfId="17" applyNumberFormat="1" applyFont="1" applyFill="1" applyBorder="1" applyAlignment="1" applyProtection="1">
      <alignment horizontal="left" vertical="center"/>
    </xf>
    <xf numFmtId="0" fontId="2" fillId="0" borderId="78" xfId="17" applyFont="1" applyFill="1" applyBorder="1" applyAlignment="1" applyProtection="1">
      <alignment vertical="center"/>
    </xf>
    <xf numFmtId="0" fontId="59" fillId="52" borderId="267" xfId="187" applyFont="1" applyFill="1" applyBorder="1" applyAlignment="1">
      <alignment horizontal="center" vertical="center" wrapText="1"/>
    </xf>
    <xf numFmtId="0" fontId="59" fillId="52" borderId="174" xfId="187" applyFont="1" applyFill="1" applyBorder="1" applyAlignment="1">
      <alignment horizontal="center" vertical="center" wrapText="1"/>
    </xf>
    <xf numFmtId="0" fontId="2" fillId="26" borderId="267" xfId="165" applyFont="1" applyFill="1" applyBorder="1" applyAlignment="1">
      <alignment horizontal="center" vertical="center" wrapText="1"/>
    </xf>
    <xf numFmtId="0" fontId="2" fillId="26" borderId="174" xfId="165" applyFont="1" applyFill="1" applyBorder="1" applyAlignment="1">
      <alignment horizontal="center" vertical="center" wrapText="1"/>
    </xf>
    <xf numFmtId="0" fontId="2" fillId="25" borderId="78" xfId="165" applyFont="1" applyFill="1" applyBorder="1" applyAlignment="1">
      <alignment horizontal="left" vertical="center"/>
    </xf>
    <xf numFmtId="0" fontId="56" fillId="55" borderId="78" xfId="360" applyFont="1" applyFill="1" applyBorder="1" applyAlignment="1">
      <alignment horizontal="left" vertical="center"/>
    </xf>
    <xf numFmtId="0" fontId="56" fillId="55" borderId="267" xfId="360" applyFont="1" applyFill="1" applyBorder="1" applyAlignment="1">
      <alignment horizontal="center" vertical="top"/>
    </xf>
    <xf numFmtId="0" fontId="56" fillId="55" borderId="174" xfId="360" applyFont="1" applyFill="1" applyBorder="1" applyAlignment="1">
      <alignment horizontal="center" vertical="top"/>
    </xf>
    <xf numFmtId="0" fontId="2" fillId="26" borderId="267" xfId="165" applyFont="1" applyFill="1" applyBorder="1" applyAlignment="1">
      <alignment horizontal="center" vertical="center"/>
    </xf>
    <xf numFmtId="0" fontId="2" fillId="26" borderId="174" xfId="165" applyFont="1" applyFill="1" applyBorder="1" applyAlignment="1">
      <alignment horizontal="center" vertical="center"/>
    </xf>
    <xf numFmtId="0" fontId="2" fillId="26" borderId="78" xfId="165" applyFont="1" applyFill="1" applyBorder="1" applyAlignment="1">
      <alignment horizontal="center" vertical="center"/>
    </xf>
    <xf numFmtId="0" fontId="56" fillId="55" borderId="174" xfId="360" applyFont="1" applyFill="1" applyBorder="1" applyAlignment="1">
      <alignment horizontal="left" vertical="top"/>
    </xf>
    <xf numFmtId="192" fontId="2" fillId="26" borderId="267" xfId="363" applyNumberFormat="1" applyFont="1" applyFill="1" applyBorder="1" applyAlignment="1">
      <alignment horizontal="center" vertical="center" wrapText="1"/>
    </xf>
    <xf numFmtId="192" fontId="2" fillId="26" borderId="174" xfId="363" applyNumberFormat="1" applyFont="1" applyFill="1" applyBorder="1" applyAlignment="1">
      <alignment horizontal="center" vertical="center" wrapText="1"/>
    </xf>
    <xf numFmtId="192" fontId="2" fillId="25" borderId="267" xfId="363" applyNumberFormat="1" applyFont="1" applyFill="1" applyBorder="1" applyAlignment="1">
      <alignment horizontal="center" vertical="center" wrapText="1"/>
    </xf>
    <xf numFmtId="192" fontId="2" fillId="25" borderId="174" xfId="363" applyNumberFormat="1" applyFont="1" applyFill="1" applyBorder="1" applyAlignment="1">
      <alignment horizontal="center" vertical="center" wrapText="1"/>
    </xf>
    <xf numFmtId="0" fontId="2" fillId="25" borderId="267" xfId="165" applyFont="1" applyFill="1" applyBorder="1" applyAlignment="1">
      <alignment horizontal="left" vertical="top"/>
    </xf>
    <xf numFmtId="0" fontId="2" fillId="55" borderId="78" xfId="17" applyFont="1" applyFill="1" applyBorder="1" applyAlignment="1" applyProtection="1">
      <alignment horizontal="left" vertical="center"/>
    </xf>
    <xf numFmtId="0" fontId="63" fillId="25" borderId="259" xfId="165" applyFont="1" applyFill="1" applyBorder="1" applyAlignment="1">
      <alignment horizontal="left" vertical="top"/>
    </xf>
    <xf numFmtId="0" fontId="2" fillId="55" borderId="282" xfId="360" applyFont="1" applyFill="1" applyBorder="1" applyAlignment="1">
      <alignment horizontal="center" vertical="top"/>
    </xf>
    <xf numFmtId="0" fontId="56" fillId="55" borderId="278" xfId="360" applyFont="1" applyFill="1" applyBorder="1" applyAlignment="1">
      <alignment horizontal="center" vertical="top"/>
    </xf>
    <xf numFmtId="0" fontId="2" fillId="55" borderId="267" xfId="360" applyFont="1" applyFill="1" applyBorder="1" applyAlignment="1">
      <alignment horizontal="center" vertical="center"/>
    </xf>
    <xf numFmtId="0" fontId="56" fillId="55" borderId="174" xfId="360" applyFont="1" applyFill="1" applyBorder="1" applyAlignment="1">
      <alignment horizontal="center" vertical="center"/>
    </xf>
    <xf numFmtId="0" fontId="2" fillId="55" borderId="267" xfId="360" applyFont="1" applyFill="1" applyBorder="1" applyAlignment="1">
      <alignment horizontal="center" vertical="top"/>
    </xf>
    <xf numFmtId="0" fontId="63" fillId="25" borderId="174" xfId="165" applyFont="1" applyFill="1" applyBorder="1" applyAlignment="1">
      <alignment horizontal="left" vertical="top"/>
    </xf>
    <xf numFmtId="0" fontId="11" fillId="0" borderId="0" xfId="360" applyFont="1" applyAlignment="1">
      <alignment horizontal="center"/>
    </xf>
    <xf numFmtId="0" fontId="10" fillId="0" borderId="1" xfId="360" applyFont="1" applyBorder="1" applyAlignment="1">
      <alignment horizontal="left"/>
    </xf>
    <xf numFmtId="0" fontId="10" fillId="0" borderId="1" xfId="0" applyFont="1" applyBorder="1" applyAlignment="1">
      <alignment horizontal="left"/>
    </xf>
    <xf numFmtId="0" fontId="10" fillId="0" borderId="1" xfId="360" applyBorder="1" applyAlignment="1">
      <alignment horizontal="left"/>
    </xf>
    <xf numFmtId="0" fontId="10" fillId="0" borderId="1" xfId="0" applyFont="1" applyBorder="1" applyAlignment="1">
      <alignment horizontal="left" wrapText="1"/>
    </xf>
    <xf numFmtId="14" fontId="10" fillId="0" borderId="1" xfId="0" applyNumberFormat="1" applyFont="1" applyBorder="1" applyAlignment="1">
      <alignment horizontal="left"/>
    </xf>
    <xf numFmtId="0" fontId="64" fillId="0" borderId="0" xfId="360" applyFont="1" applyFill="1" applyBorder="1" applyAlignment="1">
      <alignment horizontal="left"/>
    </xf>
    <xf numFmtId="0" fontId="14" fillId="58" borderId="1" xfId="0" applyFont="1" applyFill="1" applyBorder="1" applyAlignment="1">
      <alignment horizontal="center" vertical="center"/>
    </xf>
    <xf numFmtId="0" fontId="31" fillId="0" borderId="1" xfId="0" applyFont="1" applyBorder="1" applyAlignment="1">
      <alignment vertical="center"/>
    </xf>
    <xf numFmtId="0" fontId="10" fillId="0" borderId="1" xfId="0" applyFont="1" applyBorder="1" applyAlignment="1">
      <alignment horizontal="left" vertical="top" wrapText="1"/>
    </xf>
    <xf numFmtId="0" fontId="0" fillId="0" borderId="1" xfId="0" applyBorder="1" applyAlignment="1">
      <alignment vertical="center"/>
    </xf>
    <xf numFmtId="0" fontId="65" fillId="45" borderId="1" xfId="0" applyFont="1" applyFill="1" applyBorder="1" applyAlignment="1">
      <alignment horizontal="center" vertical="center"/>
    </xf>
    <xf numFmtId="0" fontId="65" fillId="45" borderId="24" xfId="0" applyFont="1" applyFill="1" applyBorder="1" applyAlignment="1">
      <alignment horizontal="center" vertical="center"/>
    </xf>
    <xf numFmtId="0" fontId="65" fillId="45" borderId="25" xfId="0" applyFont="1" applyFill="1" applyBorder="1" applyAlignment="1">
      <alignment horizontal="center" vertical="center"/>
    </xf>
    <xf numFmtId="0" fontId="6" fillId="0" borderId="15" xfId="0" applyFont="1" applyBorder="1" applyAlignment="1">
      <alignment vertical="center"/>
    </xf>
    <xf numFmtId="0" fontId="10" fillId="10" borderId="1" xfId="0" applyFont="1" applyFill="1" applyBorder="1" applyAlignment="1">
      <alignment horizontal="center"/>
    </xf>
    <xf numFmtId="0" fontId="6" fillId="0" borderId="24" xfId="0" applyFont="1" applyBorder="1" applyAlignment="1">
      <alignment horizontal="left" vertical="center"/>
    </xf>
    <xf numFmtId="0" fontId="6" fillId="0" borderId="25" xfId="0" applyFont="1" applyBorder="1" applyAlignment="1">
      <alignment horizontal="left" vertical="center"/>
    </xf>
    <xf numFmtId="0" fontId="24" fillId="13" borderId="1" xfId="0" applyFont="1" applyFill="1" applyBorder="1" applyAlignment="1">
      <alignment horizontal="center"/>
    </xf>
    <xf numFmtId="0" fontId="14" fillId="18" borderId="1" xfId="0" applyFont="1" applyFill="1" applyBorder="1" applyAlignment="1">
      <alignment horizontal="center" vertical="center"/>
    </xf>
    <xf numFmtId="0" fontId="14" fillId="15" borderId="1" xfId="0" applyFont="1" applyFill="1" applyBorder="1" applyAlignment="1">
      <alignment horizontal="center"/>
    </xf>
    <xf numFmtId="0" fontId="65" fillId="45" borderId="26" xfId="0" applyFont="1" applyFill="1" applyBorder="1" applyAlignment="1">
      <alignment horizontal="center" vertical="center"/>
    </xf>
    <xf numFmtId="0" fontId="6" fillId="0" borderId="26" xfId="0" applyFont="1" applyBorder="1" applyAlignment="1">
      <alignment horizontal="left" vertical="center"/>
    </xf>
    <xf numFmtId="0" fontId="10" fillId="10" borderId="0" xfId="380" applyFont="1" applyFill="1" applyBorder="1" applyAlignment="1">
      <alignment horizontal="left"/>
    </xf>
    <xf numFmtId="0" fontId="10" fillId="10" borderId="0" xfId="380" applyFont="1" applyFill="1" applyAlignment="1">
      <alignment horizontal="left"/>
    </xf>
    <xf numFmtId="0" fontId="66" fillId="10" borderId="0" xfId="380" applyFont="1" applyFill="1" applyAlignment="1">
      <alignment horizontal="left"/>
    </xf>
    <xf numFmtId="0" fontId="10" fillId="10" borderId="285" xfId="380" applyFont="1" applyFill="1" applyBorder="1" applyAlignment="1">
      <alignment horizontal="left"/>
    </xf>
    <xf numFmtId="0" fontId="10" fillId="10" borderId="286" xfId="380" applyFont="1" applyFill="1" applyBorder="1" applyAlignment="1">
      <alignment horizontal="left"/>
    </xf>
    <xf numFmtId="0" fontId="66" fillId="10" borderId="286" xfId="380" applyFont="1" applyFill="1" applyBorder="1" applyAlignment="1">
      <alignment horizontal="left"/>
    </xf>
    <xf numFmtId="0" fontId="10" fillId="10" borderId="287" xfId="380" applyFont="1" applyFill="1" applyBorder="1" applyAlignment="1">
      <alignment horizontal="left"/>
    </xf>
    <xf numFmtId="196" fontId="10" fillId="10" borderId="0" xfId="380" applyNumberFormat="1" applyFont="1" applyFill="1" applyAlignment="1">
      <alignment horizontal="left"/>
    </xf>
    <xf numFmtId="0" fontId="6" fillId="10" borderId="288" xfId="380" applyFont="1" applyFill="1" applyBorder="1" applyAlignment="1">
      <alignment horizontal="left"/>
    </xf>
    <xf numFmtId="0" fontId="32" fillId="10" borderId="0" xfId="380" applyFont="1" applyFill="1" applyBorder="1" applyAlignment="1">
      <alignment horizontal="center"/>
    </xf>
    <xf numFmtId="0" fontId="6" fillId="10" borderId="289" xfId="380" applyFont="1" applyFill="1" applyBorder="1" applyAlignment="1">
      <alignment horizontal="left"/>
    </xf>
    <xf numFmtId="0" fontId="6" fillId="10" borderId="0" xfId="380" applyFont="1" applyFill="1" applyBorder="1" applyAlignment="1">
      <alignment horizontal="left"/>
    </xf>
    <xf numFmtId="0" fontId="67" fillId="10" borderId="0" xfId="380" applyFont="1" applyFill="1" applyBorder="1" applyAlignment="1">
      <alignment horizontal="left"/>
    </xf>
    <xf numFmtId="0" fontId="68" fillId="10" borderId="0" xfId="17" applyFill="1" applyBorder="1" applyAlignment="1" applyProtection="1">
      <alignment horizontal="left"/>
    </xf>
    <xf numFmtId="0" fontId="68" fillId="10" borderId="0" xfId="17" applyFont="1" applyFill="1" applyBorder="1" applyAlignment="1" applyProtection="1">
      <alignment horizontal="left"/>
    </xf>
    <xf numFmtId="0" fontId="68" fillId="10" borderId="0" xfId="17" applyFill="1" applyAlignment="1" applyProtection="1">
      <alignment horizontal="left"/>
    </xf>
    <xf numFmtId="0" fontId="69" fillId="10" borderId="0" xfId="380" applyFont="1" applyFill="1" applyBorder="1" applyAlignment="1">
      <alignment horizontal="left"/>
    </xf>
    <xf numFmtId="0" fontId="68" fillId="0" borderId="0" xfId="17" applyFont="1" applyAlignment="1" applyProtection="1"/>
    <xf numFmtId="0" fontId="66" fillId="10" borderId="0" xfId="380" applyFont="1" applyFill="1" applyBorder="1" applyAlignment="1">
      <alignment horizontal="left"/>
    </xf>
    <xf numFmtId="0" fontId="10" fillId="10" borderId="289" xfId="380" applyFont="1" applyFill="1" applyBorder="1" applyAlignment="1">
      <alignment horizontal="left"/>
    </xf>
    <xf numFmtId="0" fontId="10" fillId="10" borderId="288" xfId="380" applyFont="1" applyFill="1" applyBorder="1" applyAlignment="1">
      <alignment horizontal="left"/>
    </xf>
    <xf numFmtId="0" fontId="10" fillId="10" borderId="290" xfId="380" applyFont="1" applyFill="1" applyBorder="1" applyAlignment="1">
      <alignment horizontal="left"/>
    </xf>
    <xf numFmtId="0" fontId="66" fillId="10" borderId="290" xfId="380" applyFont="1" applyFill="1" applyBorder="1" applyAlignment="1">
      <alignment horizontal="left"/>
    </xf>
    <xf numFmtId="0" fontId="10" fillId="10" borderId="291" xfId="380" applyFont="1" applyFill="1" applyBorder="1" applyAlignment="1">
      <alignment horizontal="left"/>
    </xf>
    <xf numFmtId="0" fontId="10" fillId="10" borderId="292" xfId="380" applyFont="1" applyFill="1" applyBorder="1" applyAlignment="1">
      <alignment horizontal="center" vertical="center"/>
    </xf>
    <xf numFmtId="0" fontId="10" fillId="10" borderId="293" xfId="380" applyFont="1" applyFill="1" applyBorder="1" applyAlignment="1">
      <alignment horizontal="center" vertical="center"/>
    </xf>
    <xf numFmtId="0" fontId="10" fillId="10" borderId="294" xfId="380" applyFont="1" applyFill="1" applyBorder="1" applyAlignment="1">
      <alignment horizontal="left"/>
    </xf>
    <xf numFmtId="0" fontId="66" fillId="10" borderId="294" xfId="380" applyFont="1" applyFill="1" applyBorder="1" applyAlignment="1">
      <alignment horizontal="left"/>
    </xf>
    <xf numFmtId="0" fontId="10" fillId="10" borderId="293" xfId="380" applyFont="1" applyFill="1" applyBorder="1" applyAlignment="1">
      <alignment horizontal="left"/>
    </xf>
    <xf numFmtId="0" fontId="10" fillId="10" borderId="295" xfId="380" applyFont="1" applyFill="1" applyBorder="1" applyAlignment="1">
      <alignment horizontal="center" vertical="center"/>
    </xf>
    <xf numFmtId="0" fontId="10" fillId="10" borderId="296" xfId="380" applyFont="1" applyFill="1" applyBorder="1" applyAlignment="1">
      <alignment horizontal="center" vertical="center"/>
    </xf>
    <xf numFmtId="0" fontId="10" fillId="10" borderId="0" xfId="380" applyFont="1" applyFill="1" applyBorder="1" applyAlignment="1" applyProtection="1">
      <alignment horizontal="left"/>
    </xf>
    <xf numFmtId="0" fontId="10" fillId="10" borderId="296" xfId="380" applyFont="1" applyFill="1" applyBorder="1" applyAlignment="1">
      <alignment horizontal="left"/>
    </xf>
    <xf numFmtId="0" fontId="10" fillId="10" borderId="297" xfId="380" applyFont="1" applyFill="1" applyBorder="1" applyAlignment="1">
      <alignment horizontal="center" vertical="center"/>
    </xf>
    <xf numFmtId="0" fontId="10" fillId="10" borderId="291" xfId="380" applyFont="1" applyFill="1" applyBorder="1" applyAlignment="1">
      <alignment horizontal="center" vertical="center"/>
    </xf>
    <xf numFmtId="0" fontId="70" fillId="0" borderId="0" xfId="360" applyFont="1" applyAlignment="1">
      <alignment horizontal="center" vertical="center"/>
    </xf>
    <xf numFmtId="0" fontId="10" fillId="0" borderId="0" xfId="360" applyAlignment="1">
      <alignment horizontal="center" vertical="center"/>
    </xf>
    <xf numFmtId="0" fontId="71" fillId="0" borderId="1" xfId="360" applyFont="1" applyBorder="1" applyAlignment="1">
      <alignment horizontal="center" vertical="center"/>
    </xf>
    <xf numFmtId="0" fontId="72" fillId="0" borderId="1" xfId="360" applyFont="1" applyBorder="1" applyAlignment="1">
      <alignment horizontal="center" vertical="center"/>
    </xf>
    <xf numFmtId="49" fontId="10" fillId="0" borderId="1" xfId="360" applyNumberFormat="1" applyBorder="1" applyAlignment="1">
      <alignment horizontal="center" vertical="center"/>
    </xf>
    <xf numFmtId="182" fontId="10" fillId="0" borderId="1" xfId="360" applyNumberFormat="1" applyBorder="1" applyAlignment="1">
      <alignment horizontal="center" vertical="center"/>
    </xf>
    <xf numFmtId="0" fontId="10" fillId="0" borderId="1" xfId="360" applyFont="1" applyBorder="1" applyAlignment="1">
      <alignment horizontal="center" vertical="center"/>
    </xf>
    <xf numFmtId="182" fontId="10" fillId="0" borderId="1" xfId="360" applyNumberFormat="1" applyFont="1" applyBorder="1" applyAlignment="1">
      <alignment horizontal="center" vertical="center"/>
    </xf>
    <xf numFmtId="0" fontId="10" fillId="0" borderId="1" xfId="360" applyFont="1" applyBorder="1" applyAlignment="1">
      <alignment horizontal="center" vertical="center" wrapText="1"/>
    </xf>
    <xf numFmtId="0" fontId="73" fillId="0" borderId="14" xfId="360" applyFont="1" applyBorder="1" applyAlignment="1">
      <alignment horizontal="left" vertical="center" wrapText="1"/>
    </xf>
    <xf numFmtId="0" fontId="74" fillId="0" borderId="1" xfId="360" applyFont="1" applyBorder="1" applyAlignment="1">
      <alignment horizontal="left" vertical="center" wrapText="1"/>
    </xf>
    <xf numFmtId="0" fontId="10" fillId="0" borderId="1" xfId="360" applyFont="1" applyBorder="1" applyAlignment="1">
      <alignment horizontal="left" vertical="center" wrapText="1"/>
    </xf>
    <xf numFmtId="0" fontId="10" fillId="0" borderId="1" xfId="360" applyBorder="1" applyAlignment="1">
      <alignment horizontal="left" vertical="center" wrapText="1"/>
    </xf>
    <xf numFmtId="0" fontId="73" fillId="0" borderId="112" xfId="360" applyFont="1" applyBorder="1" applyAlignment="1">
      <alignment horizontal="left" vertical="center" wrapText="1"/>
    </xf>
    <xf numFmtId="0" fontId="73" fillId="0" borderId="15" xfId="360" applyFont="1" applyBorder="1" applyAlignment="1">
      <alignment horizontal="left" vertical="center" wrapText="1"/>
    </xf>
    <xf numFmtId="0" fontId="6" fillId="10" borderId="0" xfId="360" applyFont="1" applyFill="1" applyBorder="1" applyAlignment="1">
      <alignment vertical="center"/>
    </xf>
    <xf numFmtId="0" fontId="6" fillId="10" borderId="0" xfId="360" applyNumberFormat="1" applyFont="1" applyFill="1" applyBorder="1" applyAlignment="1">
      <alignment horizontal="center" vertical="center"/>
    </xf>
    <xf numFmtId="0" fontId="6" fillId="10" borderId="0" xfId="360" applyNumberFormat="1" applyFont="1" applyFill="1" applyBorder="1" applyAlignment="1">
      <alignment vertical="center"/>
    </xf>
    <xf numFmtId="0" fontId="10" fillId="10" borderId="0" xfId="360" applyNumberFormat="1" applyFill="1" applyBorder="1"/>
    <xf numFmtId="0" fontId="6" fillId="10" borderId="0" xfId="360" applyNumberFormat="1" applyFont="1" applyFill="1" applyBorder="1"/>
    <xf numFmtId="0" fontId="6" fillId="10" borderId="0" xfId="360" applyFont="1" applyFill="1" applyBorder="1"/>
    <xf numFmtId="0" fontId="75" fillId="0" borderId="0" xfId="0" applyFont="1"/>
    <xf numFmtId="0" fontId="0" fillId="0" borderId="0" xfId="0" quotePrefix="1"/>
    <xf numFmtId="0" fontId="57" fillId="0" borderId="24" xfId="360" applyFont="1" applyFill="1" applyBorder="1" applyAlignment="1" quotePrefix="1">
      <alignment horizontal="center" vertical="center"/>
    </xf>
  </cellXfs>
  <cellStyles count="417">
    <cellStyle name="常规" xfId="0" builtinId="0"/>
    <cellStyle name="货币[0]" xfId="1" builtinId="7"/>
    <cellStyle name="20% - 强调文字颜色 3" xfId="2" builtinId="38"/>
    <cellStyle name="输入" xfId="3" builtinId="20"/>
    <cellStyle name="货币" xfId="4" builtinId="4"/>
    <cellStyle name="Accent2 - 40%" xfId="5"/>
    <cellStyle name="千位分隔[0]" xfId="6" builtinId="6"/>
    <cellStyle name="Accent6 - 60% 2" xfId="7"/>
    <cellStyle name="20% - Accent4" xfId="8"/>
    <cellStyle name="计算 2" xfId="9"/>
    <cellStyle name="Input 2" xfId="10"/>
    <cellStyle name="40% - 强调文字颜色 3" xfId="11" builtinId="39"/>
    <cellStyle name="差" xfId="12" builtinId="27"/>
    <cellStyle name="千位分隔" xfId="13" builtinId="3"/>
    <cellStyle name="60% - 强调文字颜色 3" xfId="14" builtinId="40"/>
    <cellStyle name="日期" xfId="15"/>
    <cellStyle name="Accent2 - 60%" xfId="16"/>
    <cellStyle name="超链接" xfId="17" builtinId="8"/>
    <cellStyle name="好_PROJ-04-T02C 项目里程碑报告" xfId="18"/>
    <cellStyle name="百分比" xfId="19" builtinId="5"/>
    <cellStyle name="Emphasis 1" xfId="20"/>
    <cellStyle name="已访问的超链接" xfId="21" builtinId="9"/>
    <cellStyle name="好_NEWYULONG-CRS-CMMI ML5-SERVICE PLAN_20071125 2" xfId="22"/>
    <cellStyle name="常规 6" xfId="23"/>
    <cellStyle name="注释" xfId="24" builtinId="10"/>
    <cellStyle name="60% - 强调文字颜色 2" xfId="25" builtinId="36"/>
    <cellStyle name="标题 4" xfId="26" builtinId="19"/>
    <cellStyle name="警告文本" xfId="27" builtinId="11"/>
    <cellStyle name="标题" xfId="28" builtinId="15"/>
    <cellStyle name="解释性文本" xfId="29" builtinId="53"/>
    <cellStyle name="百分比 4" xfId="30"/>
    <cellStyle name="标题 1" xfId="31" builtinId="16"/>
    <cellStyle name="百分比 5" xfId="32"/>
    <cellStyle name="标题 2" xfId="33" builtinId="17"/>
    <cellStyle name="0,0_x000d__x000a_NA_x000d__x000a_" xfId="34"/>
    <cellStyle name="_项目预算模板(成本)" xfId="35"/>
    <cellStyle name="Accent6 2" xfId="36"/>
    <cellStyle name="60% - 强调文字颜色 1" xfId="37" builtinId="32"/>
    <cellStyle name="标题 3" xfId="38" builtinId="18"/>
    <cellStyle name="60% - 强调文字颜色 4" xfId="39" builtinId="44"/>
    <cellStyle name="表示済みのハイパーリンク 2" xfId="40"/>
    <cellStyle name="输出" xfId="41" builtinId="21"/>
    <cellStyle name="_Yanlian-CRS-CMMI ML4-SERVICE PLAN_20080408 2" xfId="42"/>
    <cellStyle name="Input" xfId="43"/>
    <cellStyle name="计算" xfId="44" builtinId="22"/>
    <cellStyle name="40% - 强调文字颜色 4 2" xfId="45"/>
    <cellStyle name="检查单元格" xfId="46" builtinId="23"/>
    <cellStyle name="20% - 强调文字颜色 6" xfId="47" builtinId="50"/>
    <cellStyle name="强调文字颜色 2" xfId="48" builtinId="33"/>
    <cellStyle name="注释 2 3" xfId="49"/>
    <cellStyle name="链接单元格" xfId="50" builtinId="24"/>
    <cellStyle name="20% - Accent2 2" xfId="51"/>
    <cellStyle name="汇总" xfId="52" builtinId="25"/>
    <cellStyle name="普通_expenses_AR-ITD (2)" xfId="53"/>
    <cellStyle name="好" xfId="54" builtinId="26"/>
    <cellStyle name="Heading 3" xfId="55"/>
    <cellStyle name="适中" xfId="56" builtinId="28"/>
    <cellStyle name="20% - Accent3 2" xfId="57"/>
    <cellStyle name="20% - 强调文字颜色 5" xfId="58" builtinId="46"/>
    <cellStyle name="强调文字颜色 1" xfId="59" builtinId="29"/>
    <cellStyle name="差_决策分析 2" xfId="60"/>
    <cellStyle name="20% - 强调文字颜色 1" xfId="61" builtinId="30"/>
    <cellStyle name="20% - Accent2" xfId="62"/>
    <cellStyle name="40% - 强调文字颜色 1" xfId="63" builtinId="31"/>
    <cellStyle name="输出 2" xfId="64"/>
    <cellStyle name="表示済みのハイパーリンク 2 2" xfId="65"/>
    <cellStyle name="20% - 强调文字颜色 2" xfId="66" builtinId="34"/>
    <cellStyle name="20% - Accent3" xfId="67"/>
    <cellStyle name="40% - 强调文字颜色 2" xfId="68" builtinId="35"/>
    <cellStyle name="Accent2 - 40% 2" xfId="69"/>
    <cellStyle name="强调文字颜色 3" xfId="70" builtinId="37"/>
    <cellStyle name="强调文字颜色 4" xfId="71" builtinId="41"/>
    <cellStyle name="Accent1 - 20% 2" xfId="72"/>
    <cellStyle name="20% - Accent1 2" xfId="73"/>
    <cellStyle name="no dec" xfId="74"/>
    <cellStyle name="Calculation 2" xfId="75"/>
    <cellStyle name="_项目度量管理模版323 2" xfId="76"/>
    <cellStyle name="20% - 强调文字颜色 4" xfId="77" builtinId="42"/>
    <cellStyle name="Input 3" xfId="78"/>
    <cellStyle name="40% - 强调文字颜色 4" xfId="79" builtinId="43"/>
    <cellStyle name="强调文字颜色 5" xfId="80" builtinId="45"/>
    <cellStyle name="Input 4" xfId="81"/>
    <cellStyle name="40% - 强调文字颜色 5" xfId="82" builtinId="47"/>
    <cellStyle name="自动填写" xfId="83"/>
    <cellStyle name="60% - 强调文字颜色 5" xfId="84" builtinId="48"/>
    <cellStyle name="强调文字颜色 6" xfId="85" builtinId="49"/>
    <cellStyle name="适中 2" xfId="86"/>
    <cellStyle name="Heading 3 2" xfId="87"/>
    <cellStyle name="40% - 强调文字颜色 6" xfId="88" builtinId="51"/>
    <cellStyle name="禁止写入 2" xfId="89"/>
    <cellStyle name="60% - 强调文字颜色 6" xfId="90" builtinId="52"/>
    <cellStyle name="Emphasis 2 2" xfId="91"/>
    <cellStyle name="_Yanlian-CRS-CMMI ML4-SERVICE PLAN_20080408" xfId="92"/>
    <cellStyle name="Accent1 - 20%" xfId="93"/>
    <cellStyle name="20% - Accent1" xfId="94"/>
    <cellStyle name="Calculation" xfId="95"/>
    <cellStyle name="_项目度量管理模版323" xfId="96"/>
    <cellStyle name="_项目预算模板(成本) 2" xfId="97"/>
    <cellStyle name="标题 2 2" xfId="98"/>
    <cellStyle name="Grey" xfId="99"/>
    <cellStyle name="0,0_x000d__x000a_NA_x000d__x000a_ 2" xfId="100"/>
    <cellStyle name="常规 4" xfId="101"/>
    <cellStyle name="20% - Accent4 2" xfId="102"/>
    <cellStyle name="20% - Accent5" xfId="103"/>
    <cellStyle name="20% - Accent5 2" xfId="104"/>
    <cellStyle name="20% - Accent6" xfId="105"/>
    <cellStyle name="20% - Accent6 2" xfId="106"/>
    <cellStyle name="20% - 强调文字颜色 1 2" xfId="107"/>
    <cellStyle name="输出 2 2" xfId="108"/>
    <cellStyle name="常规 2 6 2 2 5" xfId="109"/>
    <cellStyle name="20% - 强调文字颜色 2 2" xfId="110"/>
    <cellStyle name="Heading 2" xfId="111"/>
    <cellStyle name="20% - 强调文字颜色 3 2" xfId="112"/>
    <cellStyle name="常规 3" xfId="113"/>
    <cellStyle name="20% - 强调文字颜色 4 2" xfId="114"/>
    <cellStyle name="填充色2" xfId="115"/>
    <cellStyle name="20% - 强调文字颜色 5 2" xfId="116"/>
    <cellStyle name="20% - 强调文字颜色 6 2" xfId="117"/>
    <cellStyle name="40% - Accent1" xfId="118"/>
    <cellStyle name="40% - Accent1 2" xfId="119"/>
    <cellStyle name="40% - Accent2" xfId="120"/>
    <cellStyle name="40% - Accent2 2" xfId="121"/>
    <cellStyle name="40% - Accent3" xfId="122"/>
    <cellStyle name="40% - Accent3 2" xfId="123"/>
    <cellStyle name="ハイパーリンク" xfId="124"/>
    <cellStyle name="Normal - Style1" xfId="125"/>
    <cellStyle name="40% - Accent4" xfId="126"/>
    <cellStyle name="ハイパーリンク 2" xfId="127"/>
    <cellStyle name="Normal - Style1 2" xfId="128"/>
    <cellStyle name="40% - Accent4 2" xfId="129"/>
    <cellStyle name="警告文本 2" xfId="130"/>
    <cellStyle name="40% - Accent5" xfId="131"/>
    <cellStyle name="40% - Accent5 2" xfId="132"/>
    <cellStyle name="콤마_laroux" xfId="133"/>
    <cellStyle name="40% - Accent6" xfId="134"/>
    <cellStyle name="常规 8" xfId="135"/>
    <cellStyle name="40% - Accent6 2" xfId="136"/>
    <cellStyle name="Normal_#18-Internet" xfId="137"/>
    <cellStyle name="40% - 强调文字颜色 1 2" xfId="138"/>
    <cellStyle name="40% - 强调文字颜色 2 2" xfId="139"/>
    <cellStyle name="计算 2 2" xfId="140"/>
    <cellStyle name="Input 2 2" xfId="141"/>
    <cellStyle name="40% - 强调文字颜色 3 2" xfId="142"/>
    <cellStyle name="40% - 强调文字颜色 5 2" xfId="143"/>
    <cellStyle name="40% - 强调文字颜色 6 2" xfId="144"/>
    <cellStyle name="60% - Accent1" xfId="145"/>
    <cellStyle name="60% - Accent1 2" xfId="146"/>
    <cellStyle name="常规 2 2" xfId="147"/>
    <cellStyle name="Title 2" xfId="148"/>
    <cellStyle name="60% - Accent2" xfId="149"/>
    <cellStyle name="常规 2 2 2" xfId="150"/>
    <cellStyle name="60% - Accent2 2" xfId="151"/>
    <cellStyle name="常规 2 3" xfId="152"/>
    <cellStyle name="60% - Accent3" xfId="153"/>
    <cellStyle name="常规 2 3 2" xfId="154"/>
    <cellStyle name="Bad" xfId="155"/>
    <cellStyle name="60% - Accent3 2" xfId="156"/>
    <cellStyle name="常规 2 4" xfId="157"/>
    <cellStyle name="60% - Accent4" xfId="158"/>
    <cellStyle name="常规 2 4 2" xfId="159"/>
    <cellStyle name="60% - Accent4 2" xfId="160"/>
    <cellStyle name="强调文字颜色 4 2" xfId="161"/>
    <cellStyle name="常规 2 5" xfId="162"/>
    <cellStyle name="60% - Accent5" xfId="163"/>
    <cellStyle name="60% - Accent5 2" xfId="164"/>
    <cellStyle name="常规 2 6" xfId="165"/>
    <cellStyle name="60% - Accent6" xfId="166"/>
    <cellStyle name="60% - Accent6 2" xfId="167"/>
    <cellStyle name="Heading 4" xfId="168"/>
    <cellStyle name="60% - 强调文字颜色 1 2" xfId="169"/>
    <cellStyle name="常规 5" xfId="170"/>
    <cellStyle name="60% - 强调文字颜色 2 2" xfId="171"/>
    <cellStyle name="60% - 强调文字颜色 3 2" xfId="172"/>
    <cellStyle name="Neutral" xfId="173"/>
    <cellStyle name="60% - 强调文字颜色 4 2" xfId="174"/>
    <cellStyle name="自动填写 2" xfId="175"/>
    <cellStyle name="60% - 强调文字颜色 5 2" xfId="176"/>
    <cellStyle name="60% - 强调文字颜色 6 2" xfId="177"/>
    <cellStyle name="통화 [0]_laroux" xfId="178"/>
    <cellStyle name="Accent1" xfId="179"/>
    <cellStyle name="Accent1 - 40%" xfId="180"/>
    <cellStyle name="Accent1 - 40% 2" xfId="181"/>
    <cellStyle name="Accent1 - 60%" xfId="182"/>
    <cellStyle name="Accent1 - 60% 2" xfId="183"/>
    <cellStyle name="Accent1 2" xfId="184"/>
    <cellStyle name="好_MySoft-CRS-CMMI ML3-ServicePlan-20080118" xfId="185"/>
    <cellStyle name="LISAM 2" xfId="186"/>
    <cellStyle name="Accent2" xfId="187"/>
    <cellStyle name="Accent2 - 20%" xfId="188"/>
    <cellStyle name="Accent2 - 20% 2" xfId="189"/>
    <cellStyle name="日期 2" xfId="190"/>
    <cellStyle name="超链接 2" xfId="191"/>
    <cellStyle name="Accent2 - 60% 2" xfId="192"/>
    <cellStyle name="好_MySoft-CRS-CMMI ML3-ServicePlan-20080118 2" xfId="193"/>
    <cellStyle name="Accent2 2" xfId="194"/>
    <cellStyle name="Accent2 3" xfId="195"/>
    <cellStyle name="Accent3" xfId="196"/>
    <cellStyle name="Accent5 2" xfId="197"/>
    <cellStyle name="Accent3 - 20%" xfId="198"/>
    <cellStyle name="Accent3 - 20% 2" xfId="199"/>
    <cellStyle name="Accent3 - 40%" xfId="200"/>
    <cellStyle name="Accent3 - 40% 2" xfId="201"/>
    <cellStyle name="Emphasis 1 2" xfId="202"/>
    <cellStyle name="Accent3 - 60%" xfId="203"/>
    <cellStyle name="Accent3 - 60% 2" xfId="204"/>
    <cellStyle name="Accent3 2" xfId="205"/>
    <cellStyle name="Accent4" xfId="206"/>
    <cellStyle name="百分比 2 2 2" xfId="207"/>
    <cellStyle name="Accent4 - 20%" xfId="208"/>
    <cellStyle name="Accent4 - 20% 2" xfId="209"/>
    <cellStyle name="Accent4 - 40%" xfId="210"/>
    <cellStyle name="常规 3 3" xfId="211"/>
    <cellStyle name="Accent6 - 40%" xfId="212"/>
    <cellStyle name="Accent4 - 40% 2" xfId="213"/>
    <cellStyle name="Accent4 - 60%" xfId="214"/>
    <cellStyle name="Accent4 - 60% 2" xfId="215"/>
    <cellStyle name="Accent6" xfId="216"/>
    <cellStyle name="Accent4 2" xfId="217"/>
    <cellStyle name="Accent5" xfId="218"/>
    <cellStyle name="Accent5 - 20%" xfId="219"/>
    <cellStyle name="Accent5 - 20% 2" xfId="220"/>
    <cellStyle name="Accent5 - 40%" xfId="221"/>
    <cellStyle name="Sheet Title" xfId="222"/>
    <cellStyle name="Accent5 - 40% 2" xfId="223"/>
    <cellStyle name="常规 12" xfId="224"/>
    <cellStyle name="Accent5 - 60%" xfId="225"/>
    <cellStyle name="常规 12 2" xfId="226"/>
    <cellStyle name="Accent5 - 60% 2" xfId="227"/>
    <cellStyle name="正文 2" xfId="228"/>
    <cellStyle name="输入 2 2" xfId="229"/>
    <cellStyle name="Accent6 - 20%" xfId="230"/>
    <cellStyle name="Accent6 - 20% 2" xfId="231"/>
    <cellStyle name="Accent6 - 40% 2" xfId="232"/>
    <cellStyle name="Accent6 - 60%" xfId="233"/>
    <cellStyle name="Bad 2" xfId="234"/>
    <cellStyle name="Calc Currency (0)" xfId="235"/>
    <cellStyle name="Calc Currency (0) 2" xfId="236"/>
    <cellStyle name="Warning Text" xfId="237"/>
    <cellStyle name="style2" xfId="238"/>
    <cellStyle name="no dec 2" xfId="239"/>
    <cellStyle name="Calculation 2 2" xfId="240"/>
    <cellStyle name="注释 2 2" xfId="241"/>
    <cellStyle name="Calculation 3" xfId="242"/>
    <cellStyle name="常规 15" xfId="243"/>
    <cellStyle name="Check Cell" xfId="244"/>
    <cellStyle name="常规 3_2011年佰钧成组织度量数据表-提交" xfId="245"/>
    <cellStyle name="Check Cell 2" xfId="246"/>
    <cellStyle name="Emphasis 2" xfId="247"/>
    <cellStyle name="Emphasis 3" xfId="248"/>
    <cellStyle name="Emphasis 3 2" xfId="249"/>
    <cellStyle name="强调文字颜色 1 2" xfId="250"/>
    <cellStyle name="Explanatory Text" xfId="251"/>
    <cellStyle name="常规_PIM003 AMS项目度量数据表 3" xfId="252"/>
    <cellStyle name="Explanatory Text 2" xfId="253"/>
    <cellStyle name="超链接 9" xfId="254"/>
    <cellStyle name="常规 16 2" xfId="255"/>
    <cellStyle name="常规 10" xfId="256"/>
    <cellStyle name="Good" xfId="257"/>
    <cellStyle name="常规 16 2 2" xfId="258"/>
    <cellStyle name="Good 2" xfId="259"/>
    <cellStyle name="Grey 2" xfId="260"/>
    <cellStyle name="常规 3 5 2" xfId="261"/>
    <cellStyle name="LISAM" xfId="262"/>
    <cellStyle name="Header1" xfId="263"/>
    <cellStyle name="Header2" xfId="264"/>
    <cellStyle name="寘嬫愗傝 [0.00]_1997 Turnsyns Wins" xfId="265"/>
    <cellStyle name="差_MySoft-CRS-CMMI ML3-ServicePlan-20080118" xfId="266"/>
    <cellStyle name="Heading 1" xfId="267"/>
    <cellStyle name="差_MySoft-CRS-CMMI ML3-ServicePlan-20080118 2" xfId="268"/>
    <cellStyle name="Heading 1 2" xfId="269"/>
    <cellStyle name="Heading 2 2" xfId="270"/>
    <cellStyle name="Heading 4 2" xfId="271"/>
    <cellStyle name="Input [yellow]" xfId="272"/>
    <cellStyle name="Input [yellow] 2" xfId="273"/>
    <cellStyle name="Input [yellow] 2 2" xfId="274"/>
    <cellStyle name="Input [yellow] 3" xfId="275"/>
    <cellStyle name="Input_2011年佰钧成组织度量数据表-提交" xfId="276"/>
    <cellStyle name="检查单元格 2" xfId="277"/>
    <cellStyle name="Linked Cell" xfId="278"/>
    <cellStyle name="Linked Cell 2" xfId="279"/>
    <cellStyle name="Milliers [0]_1" xfId="280"/>
    <cellStyle name="差_REF-TEMP-PMC-项目周报 2" xfId="281"/>
    <cellStyle name="Milliers_1" xfId="282"/>
    <cellStyle name="Mon閠aire [0]_1OP" xfId="283"/>
    <cellStyle name="寘嬫愗傝_1997 Turns7 Turnsy" xfId="284"/>
    <cellStyle name="Mon閠aire_10]" xfId="285"/>
    <cellStyle name="Neutral 2" xfId="286"/>
    <cellStyle name="ハイパーリンク 2 2" xfId="287"/>
    <cellStyle name="Normal - Style1 2 2" xfId="288"/>
    <cellStyle name="样式 1" xfId="289"/>
    <cellStyle name="ハイパーリンク 3" xfId="290"/>
    <cellStyle name="Normal - Style1 3" xfId="291"/>
    <cellStyle name="Note" xfId="292"/>
    <cellStyle name="标题 5" xfId="293"/>
    <cellStyle name="Note 2" xfId="294"/>
    <cellStyle name="Note 2 2" xfId="295"/>
    <cellStyle name="Note 3" xfId="296"/>
    <cellStyle name="Output" xfId="297"/>
    <cellStyle name="Output 2" xfId="298"/>
    <cellStyle name="常规 14" xfId="299"/>
    <cellStyle name="Output 2 2" xfId="300"/>
    <cellStyle name="Output 3" xfId="301"/>
    <cellStyle name="Percent [2]" xfId="302"/>
    <cellStyle name="Percent [2] 2" xfId="303"/>
    <cellStyle name="Sheet Title 2" xfId="304"/>
    <cellStyle name="常规 18" xfId="305"/>
    <cellStyle name="style" xfId="306"/>
    <cellStyle name="差_CIENET-CRS-CMMI ML5-SERVICE PLAN_20071209 2" xfId="307"/>
    <cellStyle name="Style 1" xfId="308"/>
    <cellStyle name="style 3" xfId="309"/>
    <cellStyle name="Style 1 2" xfId="310"/>
    <cellStyle name="style 2" xfId="311"/>
    <cellStyle name="好_CIENET-CRS-CMMI ML5-SERVICE PLAN_20071027" xfId="312"/>
    <cellStyle name="style 2 2" xfId="313"/>
    <cellStyle name="style 4" xfId="314"/>
    <cellStyle name="style1" xfId="315"/>
    <cellStyle name="常规 2" xfId="316"/>
    <cellStyle name="Title" xfId="317"/>
    <cellStyle name="Total" xfId="318"/>
    <cellStyle name="Total 2" xfId="319"/>
    <cellStyle name="Total 2 2" xfId="320"/>
    <cellStyle name="Total 3" xfId="321"/>
    <cellStyle name="Warning Text 2" xfId="322"/>
    <cellStyle name="好_PROJ-04-T02C 项目里程碑报告 2" xfId="323"/>
    <cellStyle name="百分比 2" xfId="324"/>
    <cellStyle name="百分比 2 2" xfId="325"/>
    <cellStyle name="百分比 2 3" xfId="326"/>
    <cellStyle name="百分比 3" xfId="327"/>
    <cellStyle name="版本" xfId="328"/>
    <cellStyle name="版本 2" xfId="329"/>
    <cellStyle name="捠壿 [0.00]_1997 Turns杮" xfId="330"/>
    <cellStyle name="捠壿_1997 Turns7 Tu" xfId="331"/>
    <cellStyle name="差_NEWYULONG-CRS-CMMI ML5-SERVICE PLAN_20071125" xfId="332"/>
    <cellStyle name="标题 1 1" xfId="333"/>
    <cellStyle name="标题 1 2" xfId="334"/>
    <cellStyle name="好_YD_OPM_STANDARD_OSSP过程文档体系文件编写规范_样式" xfId="335"/>
    <cellStyle name="标题 2 1" xfId="336"/>
    <cellStyle name="标题 3 2" xfId="337"/>
    <cellStyle name="标题 4 2" xfId="338"/>
    <cellStyle name="注释 3 2" xfId="339"/>
    <cellStyle name="標準_22_画面設計書" xfId="340"/>
    <cellStyle name="表示済みのハイパーリンク" xfId="341"/>
    <cellStyle name="表示済みのハイパーリンク 3" xfId="342"/>
    <cellStyle name="差 2" xfId="343"/>
    <cellStyle name="常规 13 2" xfId="344"/>
    <cellStyle name="差_CIENET-CRS-CMMI ML5-SERVICE PLAN_20071027" xfId="345"/>
    <cellStyle name="差_CIENET-CRS-CMMI ML5-SERVICE PLAN_20071027 2" xfId="346"/>
    <cellStyle name="差_CIENET-CRS-CMMI ML5-SERVICE PLAN_20071209" xfId="347"/>
    <cellStyle name="差_NEWYULONG-CRS-CMMI ML5-SERVICE PLAN_20071125 2" xfId="348"/>
    <cellStyle name="差_PROJ-04-T02C 项目里程碑报告" xfId="349"/>
    <cellStyle name="差_PROJ-04-T02C 项目里程碑报告 2" xfId="350"/>
    <cellStyle name="差_REF-TEMP-PMC-项目周报" xfId="351"/>
    <cellStyle name="差_YD_OPM_STANDARD_OSSP过程文档体系文件编写规范_样式" xfId="352"/>
    <cellStyle name="差_YD_OPM_STANDARD_OSSP过程文档体系文件编写规范_样式 2" xfId="353"/>
    <cellStyle name="超链接 8" xfId="354"/>
    <cellStyle name="差_决策分析" xfId="355"/>
    <cellStyle name="常规 11" xfId="356"/>
    <cellStyle name="好_REF-TEMP-PMC-项目周报 2" xfId="357"/>
    <cellStyle name="常规 13" xfId="358"/>
    <cellStyle name="常规 14 2" xfId="359"/>
    <cellStyle name="常规 16" xfId="360"/>
    <cellStyle name="常规 17" xfId="361"/>
    <cellStyle name="常规 17 2" xfId="362"/>
    <cellStyle name="常规 2 2 12" xfId="363"/>
    <cellStyle name="常规 2 6 2 2" xfId="364"/>
    <cellStyle name="常规 2 6 2 2 2" xfId="365"/>
    <cellStyle name="常规 2 6 2 2 3" xfId="366"/>
    <cellStyle name="常规 2 6 2 2 4" xfId="367"/>
    <cellStyle name="常规 2_ODC属性分类和评估" xfId="368"/>
    <cellStyle name="常规 3 2" xfId="369"/>
    <cellStyle name="常规 3 2 2" xfId="370"/>
    <cellStyle name="常规 3 4" xfId="371"/>
    <cellStyle name="强调文字颜色 5 2" xfId="372"/>
    <cellStyle name="常规 3 5" xfId="373"/>
    <cellStyle name="콤마 [0]_laroux" xfId="374"/>
    <cellStyle name="常规 4 2" xfId="375"/>
    <cellStyle name="常规 4_测试和验收流程" xfId="376"/>
    <cellStyle name="常规 7" xfId="377"/>
    <cellStyle name="常规 9" xfId="378"/>
    <cellStyle name="常规_PM_PR_20020401" xfId="379"/>
    <cellStyle name="常规_sst3A1" xfId="380"/>
    <cellStyle name="常规_度量数据收集参考列表-V0.1" xfId="381"/>
    <cellStyle name="超链接 3" xfId="382"/>
    <cellStyle name="超链接 4" xfId="383"/>
    <cellStyle name="超链接 5" xfId="384"/>
    <cellStyle name="超链接 6" xfId="385"/>
    <cellStyle name="超链接 7" xfId="386"/>
    <cellStyle name="好 2" xfId="387"/>
    <cellStyle name="好_CIENET-CRS-CMMI ML5-SERVICE PLAN_20071027 2" xfId="388"/>
    <cellStyle name="好_CIENET-CRS-CMMI ML5-SERVICE PLAN_20071209" xfId="389"/>
    <cellStyle name="好_CIENET-CRS-CMMI ML5-SERVICE PLAN_20071209 2" xfId="390"/>
    <cellStyle name="好_YD_OPM_STANDARD_OSSP过程文档体系文件编写规范_样式 2" xfId="391"/>
    <cellStyle name="好_NEWYULONG-CRS-CMMI ML5-SERVICE PLAN_20071125" xfId="392"/>
    <cellStyle name="好_REF-TEMP-PMC-项目周报" xfId="393"/>
    <cellStyle name="好_决策分析" xfId="394"/>
    <cellStyle name="好_决策分析 2" xfId="395"/>
    <cellStyle name="汇总 2" xfId="396"/>
    <cellStyle name="汇总 2 2" xfId="397"/>
    <cellStyle name="解释性文本 2" xfId="398"/>
    <cellStyle name="禁止写入" xfId="399"/>
    <cellStyle name="链接单元格 2" xfId="400"/>
    <cellStyle name="强调文字颜色 2 2" xfId="401"/>
    <cellStyle name="强调文字颜色 3 2" xfId="402"/>
    <cellStyle name="强调文字颜色 6 2" xfId="403"/>
    <cellStyle name="正文" xfId="404"/>
    <cellStyle name="输入 2" xfId="405"/>
    <cellStyle name="填充色1" xfId="406"/>
    <cellStyle name="填充色1 2" xfId="407"/>
    <cellStyle name="填充色2 2" xfId="408"/>
    <cellStyle name="样式 1 2" xfId="409"/>
    <cellStyle name="一般_CPK" xfId="410"/>
    <cellStyle name="昗弨_1997 Turns7 Tu" xfId="411"/>
    <cellStyle name="注释 2" xfId="412"/>
    <cellStyle name="注释 2 2 2" xfId="413"/>
    <cellStyle name="注释 3" xfId="414"/>
    <cellStyle name="통화_laroux" xfId="415"/>
    <cellStyle name="표준_AP" xfId="416"/>
  </cellStyles>
  <dxfs count="4">
    <dxf>
      <font>
        <color indexed="20"/>
      </font>
      <fill>
        <patternFill patternType="solid">
          <bgColor indexed="45"/>
        </patternFill>
      </fill>
    </dxf>
    <dxf>
      <fill>
        <patternFill patternType="solid">
          <bgColor rgb="FFFFC7CE"/>
        </patternFill>
      </fill>
    </dxf>
    <dxf>
      <font>
        <b val="1"/>
        <i val="0"/>
      </font>
      <fill>
        <patternFill patternType="solid">
          <bgColor rgb="FFD7D7D7"/>
        </patternFill>
      </fill>
    </dxf>
    <dxf>
      <font>
        <b val="0"/>
        <i val="0"/>
      </font>
      <fill>
        <patternFill patternType="none"/>
      </fill>
    </dxf>
  </dxfs>
  <tableStyles count="1" defaultTableStyle="TableStyleMedium2">
    <tableStyle name="MySqlDefault" pivot="0" table="0" count="2">
      <tableStyleElement type="wholeTable" dxfId="3"/>
      <tableStyleElement type="headerRow" dxfId="2"/>
    </tableStyle>
  </tableStyles>
  <colors>
    <mruColors>
      <color rgb="00CCFFFF"/>
      <color rgb="00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2" Type="http://schemas.microsoft.com/office/2006/relationships/vbaProject" Target="vbaProject.bin"/><Relationship Id="rId31" Type="http://schemas.openxmlformats.org/officeDocument/2006/relationships/sharedStrings" Target="sharedStrings.xml"/><Relationship Id="rId30" Type="http://schemas.openxmlformats.org/officeDocument/2006/relationships/styles" Target="styles.xml"/><Relationship Id="rId3" Type="http://schemas.openxmlformats.org/officeDocument/2006/relationships/worksheet" Target="worksheets/sheet3.xml"/><Relationship Id="rId29" Type="http://schemas.openxmlformats.org/officeDocument/2006/relationships/theme" Target="theme/theme1.xml"/><Relationship Id="rId28" Type="http://schemas.openxmlformats.org/officeDocument/2006/relationships/externalLink" Target="externalLinks/externalLink8.xml"/><Relationship Id="rId27" Type="http://schemas.openxmlformats.org/officeDocument/2006/relationships/externalLink" Target="externalLinks/externalLink7.xml"/><Relationship Id="rId26" Type="http://schemas.openxmlformats.org/officeDocument/2006/relationships/externalLink" Target="externalLinks/externalLink6.xml"/><Relationship Id="rId25" Type="http://schemas.openxmlformats.org/officeDocument/2006/relationships/externalLink" Target="externalLinks/externalLink5.xml"/><Relationship Id="rId24" Type="http://schemas.openxmlformats.org/officeDocument/2006/relationships/externalLink" Target="externalLinks/externalLink4.xml"/><Relationship Id="rId23" Type="http://schemas.openxmlformats.org/officeDocument/2006/relationships/externalLink" Target="externalLinks/externalLink3.xml"/><Relationship Id="rId22" Type="http://schemas.openxmlformats.org/officeDocument/2006/relationships/externalLink" Target="externalLinks/externalLink2.xml"/><Relationship Id="rId21" Type="http://schemas.openxmlformats.org/officeDocument/2006/relationships/externalLink" Target="externalLinks/externalLink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9.xml.rels><?xml version="1.0" encoding="UTF-8" standalone="yes"?>
<Relationships xmlns="http://schemas.openxmlformats.org/package/2006/relationships"><Relationship Id="rId1" Type="http://schemas.openxmlformats.org/officeDocument/2006/relationships/image" Target="../media/image8.jpeg"/></Relationships>
</file>

<file path=xl/charts/_rels/chart10.xml.rels><?xml version="1.0" encoding="UTF-8" standalone="yes"?>
<Relationships xmlns="http://schemas.openxmlformats.org/package/2006/relationships"><Relationship Id="rId1" Type="http://schemas.openxmlformats.org/officeDocument/2006/relationships/image" Target="../media/image8.jpeg"/></Relationships>
</file>

<file path=xl/charts/_rels/chart11.xml.rels><?xml version="1.0" encoding="UTF-8" standalone="yes"?>
<Relationships xmlns="http://schemas.openxmlformats.org/package/2006/relationships"><Relationship Id="rId1" Type="http://schemas.openxmlformats.org/officeDocument/2006/relationships/image" Target="../media/image8.jpeg"/></Relationships>
</file>

<file path=xl/charts/_rels/chart12.xml.rels><?xml version="1.0" encoding="UTF-8" standalone="yes"?>
<Relationships xmlns="http://schemas.openxmlformats.org/package/2006/relationships"><Relationship Id="rId1" Type="http://schemas.openxmlformats.org/officeDocument/2006/relationships/image" Target="../media/image8.jpeg"/></Relationships>
</file>

<file path=xl/charts/_rels/chart13.xml.rels><?xml version="1.0" encoding="UTF-8" standalone="yes"?>
<Relationships xmlns="http://schemas.openxmlformats.org/package/2006/relationships"><Relationship Id="rId1" Type="http://schemas.openxmlformats.org/officeDocument/2006/relationships/image" Target="../media/image8.jpeg"/></Relationships>
</file>

<file path=xl/charts/_rels/chart14.xml.rels><?xml version="1.0" encoding="UTF-8" standalone="yes"?>
<Relationships xmlns="http://schemas.openxmlformats.org/package/2006/relationships"><Relationship Id="rId1" Type="http://schemas.openxmlformats.org/officeDocument/2006/relationships/image" Target="../media/image8.jpeg"/></Relationships>
</file>

<file path=xl/charts/_rels/chart15.xml.rels><?xml version="1.0" encoding="UTF-8" standalone="yes"?>
<Relationships xmlns="http://schemas.openxmlformats.org/package/2006/relationships"><Relationship Id="rId1" Type="http://schemas.openxmlformats.org/officeDocument/2006/relationships/image" Target="../media/image8.jpeg"/></Relationships>
</file>

<file path=xl/charts/_rels/chart16.xml.rels><?xml version="1.0" encoding="UTF-8" standalone="yes"?>
<Relationships xmlns="http://schemas.openxmlformats.org/package/2006/relationships"><Relationship Id="rId1" Type="http://schemas.openxmlformats.org/officeDocument/2006/relationships/image" Target="../media/image8.jpeg"/></Relationships>
</file>

<file path=xl/charts/_rels/chart17.xml.rels><?xml version="1.0" encoding="UTF-8" standalone="yes"?>
<Relationships xmlns="http://schemas.openxmlformats.org/package/2006/relationships"><Relationship Id="rId1" Type="http://schemas.openxmlformats.org/officeDocument/2006/relationships/image" Target="../media/image8.jpeg"/></Relationships>
</file>

<file path=xl/charts/_rels/chart18.xml.rels><?xml version="1.0" encoding="UTF-8" standalone="yes"?>
<Relationships xmlns="http://schemas.openxmlformats.org/package/2006/relationships"><Relationship Id="rId1" Type="http://schemas.openxmlformats.org/officeDocument/2006/relationships/image" Target="../media/image8.jpeg"/></Relationships>
</file>

<file path=xl/charts/_rels/chart20.xml.rels><?xml version="1.0" encoding="UTF-8" standalone="yes"?>
<Relationships xmlns="http://schemas.openxmlformats.org/package/2006/relationships"><Relationship Id="rId1" Type="http://schemas.openxmlformats.org/officeDocument/2006/relationships/image" Target="../media/image8.jpeg"/></Relationships>
</file>

<file path=xl/charts/_rels/chart21.xml.rels><?xml version="1.0" encoding="UTF-8" standalone="yes"?>
<Relationships xmlns="http://schemas.openxmlformats.org/package/2006/relationships"><Relationship Id="rId1" Type="http://schemas.openxmlformats.org/officeDocument/2006/relationships/image" Target="../media/image8.jpeg"/></Relationships>
</file>

<file path=xl/charts/_rels/chart22.xml.rels><?xml version="1.0" encoding="UTF-8" standalone="yes"?>
<Relationships xmlns="http://schemas.openxmlformats.org/package/2006/relationships"><Relationship Id="rId1" Type="http://schemas.openxmlformats.org/officeDocument/2006/relationships/image" Target="../media/image8.jpeg"/></Relationships>
</file>

<file path=xl/charts/_rels/chart23.xml.rels><?xml version="1.0" encoding="UTF-8" standalone="yes"?>
<Relationships xmlns="http://schemas.openxmlformats.org/package/2006/relationships"><Relationship Id="rId1" Type="http://schemas.openxmlformats.org/officeDocument/2006/relationships/image" Target="../media/image8.jpeg"/></Relationships>
</file>

<file path=xl/charts/_rels/chart24.xml.rels><?xml version="1.0" encoding="UTF-8" standalone="yes"?>
<Relationships xmlns="http://schemas.openxmlformats.org/package/2006/relationships"><Relationship Id="rId1" Type="http://schemas.openxmlformats.org/officeDocument/2006/relationships/image" Target="../media/image8.jpeg"/></Relationships>
</file>

<file path=xl/charts/_rels/chart25.xml.rels><?xml version="1.0" encoding="UTF-8" standalone="yes"?>
<Relationships xmlns="http://schemas.openxmlformats.org/package/2006/relationships"><Relationship Id="rId1" Type="http://schemas.openxmlformats.org/officeDocument/2006/relationships/image" Target="../media/image8.jpeg"/></Relationships>
</file>

<file path=xl/charts/_rels/chart26.xml.rels><?xml version="1.0" encoding="UTF-8" standalone="yes"?>
<Relationships xmlns="http://schemas.openxmlformats.org/package/2006/relationships"><Relationship Id="rId1" Type="http://schemas.openxmlformats.org/officeDocument/2006/relationships/image" Target="../media/image8.jpeg"/></Relationships>
</file>

<file path=xl/charts/_rels/chart27.xml.rels><?xml version="1.0" encoding="UTF-8" standalone="yes"?>
<Relationships xmlns="http://schemas.openxmlformats.org/package/2006/relationships"><Relationship Id="rId1" Type="http://schemas.openxmlformats.org/officeDocument/2006/relationships/image" Target="../media/image8.jpeg"/></Relationships>
</file>

<file path=xl/charts/_rels/chart28.xml.rels><?xml version="1.0" encoding="UTF-8" standalone="yes"?>
<Relationships xmlns="http://schemas.openxmlformats.org/package/2006/relationships"><Relationship Id="rId1" Type="http://schemas.openxmlformats.org/officeDocument/2006/relationships/image" Target="../media/image8.jpeg"/></Relationships>
</file>

<file path=xl/charts/_rels/chart29.xml.rels><?xml version="1.0" encoding="UTF-8" standalone="yes"?>
<Relationships xmlns="http://schemas.openxmlformats.org/package/2006/relationships"><Relationship Id="rId1" Type="http://schemas.openxmlformats.org/officeDocument/2006/relationships/image" Target="../media/image8.jpeg"/></Relationships>
</file>

<file path=xl/charts/_rels/chart30.xml.rels><?xml version="1.0" encoding="UTF-8" standalone="yes"?>
<Relationships xmlns="http://schemas.openxmlformats.org/package/2006/relationships"><Relationship Id="rId1" Type="http://schemas.openxmlformats.org/officeDocument/2006/relationships/image" Target="../media/image8.jpeg"/></Relationships>
</file>

<file path=xl/charts/_rels/chart31.xml.rels><?xml version="1.0" encoding="UTF-8" standalone="yes"?>
<Relationships xmlns="http://schemas.openxmlformats.org/package/2006/relationships"><Relationship Id="rId1" Type="http://schemas.openxmlformats.org/officeDocument/2006/relationships/image" Target="../media/image8.jpeg"/></Relationships>
</file>

<file path=xl/charts/_rels/chart32.xml.rels><?xml version="1.0" encoding="UTF-8" standalone="yes"?>
<Relationships xmlns="http://schemas.openxmlformats.org/package/2006/relationships"><Relationship Id="rId1" Type="http://schemas.openxmlformats.org/officeDocument/2006/relationships/image" Target="../media/image8.jpeg"/></Relationships>
</file>

<file path=xl/charts/_rels/chart33.xml.rels><?xml version="1.0" encoding="UTF-8" standalone="yes"?>
<Relationships xmlns="http://schemas.openxmlformats.org/package/2006/relationships"><Relationship Id="rId1" Type="http://schemas.openxmlformats.org/officeDocument/2006/relationships/image" Target="../media/image8.jpeg"/></Relationships>
</file>

<file path=xl/charts/_rels/chart34.xml.rels><?xml version="1.0" encoding="UTF-8" standalone="yes"?>
<Relationships xmlns="http://schemas.openxmlformats.org/package/2006/relationships"><Relationship Id="rId1" Type="http://schemas.openxmlformats.org/officeDocument/2006/relationships/image" Target="../media/image8.jpeg"/></Relationships>
</file>

<file path=xl/charts/_rels/chart35.xml.rels><?xml version="1.0" encoding="UTF-8" standalone="yes"?>
<Relationships xmlns="http://schemas.openxmlformats.org/package/2006/relationships"><Relationship Id="rId1" Type="http://schemas.openxmlformats.org/officeDocument/2006/relationships/image" Target="../media/image8.jpeg"/></Relationships>
</file>

<file path=xl/charts/_rels/chart36.xml.rels><?xml version="1.0" encoding="UTF-8" standalone="yes"?>
<Relationships xmlns="http://schemas.openxmlformats.org/package/2006/relationships"><Relationship Id="rId1" Type="http://schemas.openxmlformats.org/officeDocument/2006/relationships/image" Target="../media/image8.jpeg"/></Relationships>
</file>

<file path=xl/charts/_rels/chart37.xml.rels><?xml version="1.0" encoding="UTF-8" standalone="yes"?>
<Relationships xmlns="http://schemas.openxmlformats.org/package/2006/relationships"><Relationship Id="rId1" Type="http://schemas.openxmlformats.org/officeDocument/2006/relationships/image" Target="../media/image8.jpeg"/></Relationships>
</file>

<file path=xl/charts/_rels/chart38.xml.rels><?xml version="1.0" encoding="UTF-8" standalone="yes"?>
<Relationships xmlns="http://schemas.openxmlformats.org/package/2006/relationships"><Relationship Id="rId1" Type="http://schemas.openxmlformats.org/officeDocument/2006/relationships/image" Target="../media/image8.jpeg"/></Relationships>
</file>

<file path=xl/charts/_rels/chart39.xml.rels><?xml version="1.0" encoding="UTF-8" standalone="yes"?>
<Relationships xmlns="http://schemas.openxmlformats.org/package/2006/relationships"><Relationship Id="rId1" Type="http://schemas.openxmlformats.org/officeDocument/2006/relationships/image" Target="../media/image8.jpeg"/></Relationships>
</file>

<file path=xl/charts/_rels/chart40.xml.rels><?xml version="1.0" encoding="UTF-8" standalone="yes"?>
<Relationships xmlns="http://schemas.openxmlformats.org/package/2006/relationships"><Relationship Id="rId1" Type="http://schemas.openxmlformats.org/officeDocument/2006/relationships/image" Target="../media/image8.jpeg"/></Relationships>
</file>

<file path=xl/charts/_rels/chart41.xml.rels><?xml version="1.0" encoding="UTF-8" standalone="yes"?>
<Relationships xmlns="http://schemas.openxmlformats.org/package/2006/relationships"><Relationship Id="rId1" Type="http://schemas.openxmlformats.org/officeDocument/2006/relationships/image" Target="../media/image8.jpeg"/></Relationships>
</file>

<file path=xl/charts/_rels/chart42.xml.rels><?xml version="1.0" encoding="UTF-8" standalone="yes"?>
<Relationships xmlns="http://schemas.openxmlformats.org/package/2006/relationships"><Relationship Id="rId1" Type="http://schemas.openxmlformats.org/officeDocument/2006/relationships/image" Target="../media/image8.jpeg"/></Relationships>
</file>

<file path=xl/charts/_rels/chart43.xml.rels><?xml version="1.0" encoding="UTF-8" standalone="yes"?>
<Relationships xmlns="http://schemas.openxmlformats.org/package/2006/relationships"><Relationship Id="rId1" Type="http://schemas.openxmlformats.org/officeDocument/2006/relationships/image" Target="../media/image8.jpeg"/></Relationships>
</file>

<file path=xl/charts/_rels/chart44.xml.rels><?xml version="1.0" encoding="UTF-8" standalone="yes"?>
<Relationships xmlns="http://schemas.openxmlformats.org/package/2006/relationships"><Relationship Id="rId1" Type="http://schemas.openxmlformats.org/officeDocument/2006/relationships/image" Target="../media/image8.jpeg"/></Relationships>
</file>

<file path=xl/charts/_rels/chart45.xml.rels><?xml version="1.0" encoding="UTF-8" standalone="yes"?>
<Relationships xmlns="http://schemas.openxmlformats.org/package/2006/relationships"><Relationship Id="rId1" Type="http://schemas.openxmlformats.org/officeDocument/2006/relationships/image" Target="../media/image8.jpeg"/></Relationships>
</file>

<file path=xl/charts/_rels/chart46.xml.rels><?xml version="1.0" encoding="UTF-8" standalone="yes"?>
<Relationships xmlns="http://schemas.openxmlformats.org/package/2006/relationships"><Relationship Id="rId1" Type="http://schemas.openxmlformats.org/officeDocument/2006/relationships/image" Target="../media/image8.jpeg"/></Relationships>
</file>

<file path=xl/charts/_rels/chart47.xml.rels><?xml version="1.0" encoding="UTF-8" standalone="yes"?>
<Relationships xmlns="http://schemas.openxmlformats.org/package/2006/relationships"><Relationship Id="rId1" Type="http://schemas.openxmlformats.org/officeDocument/2006/relationships/image" Target="../media/image8.jpeg"/></Relationships>
</file>

<file path=xl/charts/_rels/chart51.xml.rels><?xml version="1.0" encoding="UTF-8" standalone="yes"?>
<Relationships xmlns="http://schemas.openxmlformats.org/package/2006/relationships"><Relationship Id="rId1" Type="http://schemas.openxmlformats.org/officeDocument/2006/relationships/image" Target="../media/image8.jpeg"/></Relationships>
</file>

<file path=xl/charts/_rels/chart55.xml.rels><?xml version="1.0" encoding="UTF-8" standalone="yes"?>
<Relationships xmlns="http://schemas.openxmlformats.org/package/2006/relationships"><Relationship Id="rId1" Type="http://schemas.openxmlformats.org/officeDocument/2006/relationships/image" Target="../media/image8.jpeg"/></Relationships>
</file>

<file path=xl/charts/_rels/chart59.xml.rels><?xml version="1.0" encoding="UTF-8" standalone="yes"?>
<Relationships xmlns="http://schemas.openxmlformats.org/package/2006/relationships"><Relationship Id="rId1" Type="http://schemas.openxmlformats.org/officeDocument/2006/relationships/image" Target="../media/image8.jpeg"/></Relationships>
</file>

<file path=xl/charts/_rels/chart63.xml.rels><?xml version="1.0" encoding="UTF-8" standalone="yes"?>
<Relationships xmlns="http://schemas.openxmlformats.org/package/2006/relationships"><Relationship Id="rId1" Type="http://schemas.openxmlformats.org/officeDocument/2006/relationships/image" Target="../media/image8.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endParaRPr lang="zh-CN" altLang="en-US" sz="1100"/>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需求!$B$27:$B$30</c:f>
              <c:strCache>
                <c:ptCount val="4"/>
                <c:pt idx="0">
                  <c:v>需求过程</c:v>
                </c:pt>
                <c:pt idx="1">
                  <c:v>设计过程</c:v>
                </c:pt>
                <c:pt idx="2">
                  <c:v>开发过程</c:v>
                </c:pt>
                <c:pt idx="3">
                  <c:v>测试过程</c:v>
                </c:pt>
              </c:strCache>
            </c:strRef>
          </c:cat>
          <c:val>
            <c:numRef>
              <c:f>需求!$J$27:$J$30</c:f>
              <c:numCache>
                <c:formatCode>0.00_ </c:formatCode>
                <c:ptCount val="4"/>
                <c:pt idx="0">
                  <c:v>0</c:v>
                </c:pt>
                <c:pt idx="1">
                  <c:v>0</c:v>
                </c:pt>
                <c:pt idx="2">
                  <c:v>0</c:v>
                </c:pt>
                <c:pt idx="3">
                  <c:v>0</c:v>
                </c:pt>
              </c:numCache>
            </c:numRef>
          </c:val>
        </c:ser>
        <c:dLbls>
          <c:showLegendKey val="0"/>
          <c:showVal val="0"/>
          <c:showCatName val="0"/>
          <c:showSerName val="0"/>
          <c:showPercent val="0"/>
          <c:showBubbleSize val="0"/>
        </c:dLbls>
        <c:gapWidth val="150"/>
        <c:axId val="-429582816"/>
        <c:axId val="-429588800"/>
      </c:barChart>
      <c:catAx>
        <c:axId val="-42958281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88800"/>
        <c:crosses val="autoZero"/>
        <c:auto val="1"/>
        <c:lblAlgn val="ctr"/>
        <c:lblOffset val="100"/>
        <c:noMultiLvlLbl val="0"/>
      </c:catAx>
      <c:valAx>
        <c:axId val="-429588800"/>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8281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endParaRPr lang="zh-CN" altLang="en-US" sz="1100"/>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需求!$B$52:$B$55</c:f>
              <c:strCache>
                <c:ptCount val="4"/>
                <c:pt idx="0">
                  <c:v>需求过程</c:v>
                </c:pt>
                <c:pt idx="1">
                  <c:v>设计过程</c:v>
                </c:pt>
                <c:pt idx="2">
                  <c:v>开发过程</c:v>
                </c:pt>
                <c:pt idx="3">
                  <c:v>测试过程</c:v>
                </c:pt>
              </c:strCache>
            </c:strRef>
          </c:cat>
          <c:val>
            <c:numRef>
              <c:f>需求!$J$52:$J$55</c:f>
              <c:numCache>
                <c:formatCode>0.00_ </c:formatCode>
                <c:ptCount val="4"/>
                <c:pt idx="0">
                  <c:v>0</c:v>
                </c:pt>
                <c:pt idx="1">
                  <c:v>0</c:v>
                </c:pt>
                <c:pt idx="2">
                  <c:v>0</c:v>
                </c:pt>
                <c:pt idx="3">
                  <c:v>0</c:v>
                </c:pt>
              </c:numCache>
            </c:numRef>
          </c:val>
        </c:ser>
        <c:dLbls>
          <c:showLegendKey val="0"/>
          <c:showVal val="0"/>
          <c:showCatName val="0"/>
          <c:showSerName val="0"/>
          <c:showPercent val="0"/>
          <c:showBubbleSize val="0"/>
        </c:dLbls>
        <c:gapWidth val="150"/>
        <c:axId val="-429577376"/>
        <c:axId val="-429576832"/>
      </c:barChart>
      <c:catAx>
        <c:axId val="-42957737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76832"/>
        <c:crosses val="autoZero"/>
        <c:auto val="1"/>
        <c:lblAlgn val="ctr"/>
        <c:lblOffset val="100"/>
        <c:noMultiLvlLbl val="0"/>
      </c:catAx>
      <c:valAx>
        <c:axId val="-42957683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7737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客户需求</a:t>
            </a:r>
            <a:r>
              <a:rPr lang="zh-CN" altLang="zh-CN" sz="1100" b="1" i="0" u="none" strike="noStrike" baseline="0">
                <a:effectLst/>
              </a:rPr>
              <a:t>各阶段</a:t>
            </a:r>
            <a:r>
              <a:rPr lang="zh-CN" altLang="en-US" sz="1100"/>
              <a:t>稳定度图表</a:t>
            </a:r>
            <a:endParaRPr lang="zh-CN" altLang="en-US" sz="11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需求!$B$67:$B$70</c:f>
              <c:strCache>
                <c:ptCount val="4"/>
                <c:pt idx="0">
                  <c:v>需求过程</c:v>
                </c:pt>
                <c:pt idx="1">
                  <c:v>设计过程</c:v>
                </c:pt>
                <c:pt idx="2">
                  <c:v>开发过程</c:v>
                </c:pt>
                <c:pt idx="3">
                  <c:v>测试过程</c:v>
                </c:pt>
              </c:strCache>
            </c:strRef>
          </c:cat>
          <c:val>
            <c:numRef>
              <c:f>需求!$J$67:$J$70</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429575744"/>
        <c:axId val="-429574112"/>
      </c:barChart>
      <c:catAx>
        <c:axId val="-42957574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74112"/>
        <c:crosses val="autoZero"/>
        <c:auto val="1"/>
        <c:lblAlgn val="ctr"/>
        <c:lblOffset val="100"/>
        <c:noMultiLvlLbl val="0"/>
      </c:catAx>
      <c:valAx>
        <c:axId val="-42957411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7574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endParaRPr lang="zh-CN" altLang="en-US" sz="1100"/>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需求!$B$78:$B$81</c:f>
              <c:strCache>
                <c:ptCount val="4"/>
                <c:pt idx="0">
                  <c:v>需求过程</c:v>
                </c:pt>
                <c:pt idx="1">
                  <c:v>设计过程</c:v>
                </c:pt>
                <c:pt idx="2">
                  <c:v>开发过程</c:v>
                </c:pt>
                <c:pt idx="3">
                  <c:v>测试过程</c:v>
                </c:pt>
              </c:strCache>
            </c:strRef>
          </c:cat>
          <c:val>
            <c:numRef>
              <c:f>需求!$J$78:$J$81</c:f>
              <c:numCache>
                <c:formatCode>0.00_ </c:formatCode>
                <c:ptCount val="4"/>
                <c:pt idx="0">
                  <c:v>0</c:v>
                </c:pt>
                <c:pt idx="1">
                  <c:v>0</c:v>
                </c:pt>
                <c:pt idx="2">
                  <c:v>0</c:v>
                </c:pt>
                <c:pt idx="3">
                  <c:v>0</c:v>
                </c:pt>
              </c:numCache>
            </c:numRef>
          </c:val>
        </c:ser>
        <c:dLbls>
          <c:showLegendKey val="0"/>
          <c:showVal val="0"/>
          <c:showCatName val="0"/>
          <c:showSerName val="0"/>
          <c:showPercent val="0"/>
          <c:showBubbleSize val="0"/>
        </c:dLbls>
        <c:gapWidth val="150"/>
        <c:axId val="-429587712"/>
        <c:axId val="-429586624"/>
      </c:barChart>
      <c:catAx>
        <c:axId val="-4295877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86624"/>
        <c:crosses val="autoZero"/>
        <c:auto val="1"/>
        <c:lblAlgn val="ctr"/>
        <c:lblOffset val="100"/>
        <c:noMultiLvlLbl val="0"/>
      </c:catAx>
      <c:valAx>
        <c:axId val="-429586624"/>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877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endParaRPr lang="zh-CN" altLang="en-US" sz="1100"/>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需求!$B$16:$B$19</c:f>
              <c:strCache>
                <c:ptCount val="4"/>
                <c:pt idx="0">
                  <c:v>需求过程</c:v>
                </c:pt>
                <c:pt idx="1">
                  <c:v>设计过程</c:v>
                </c:pt>
                <c:pt idx="2">
                  <c:v>开发过程</c:v>
                </c:pt>
                <c:pt idx="3">
                  <c:v>测试过程</c:v>
                </c:pt>
              </c:strCache>
            </c:strRef>
          </c:cat>
          <c:val>
            <c:numRef>
              <c:f>需求!$J$16:$J$19</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429583904"/>
        <c:axId val="-429585536"/>
      </c:barChart>
      <c:catAx>
        <c:axId val="-42958390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85536"/>
        <c:crosses val="autoZero"/>
        <c:auto val="1"/>
        <c:lblAlgn val="ctr"/>
        <c:lblOffset val="100"/>
        <c:noMultiLvlLbl val="0"/>
      </c:catAx>
      <c:valAx>
        <c:axId val="-429585536"/>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8390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endParaRPr lang="zh-CN" altLang="en-US" sz="1100"/>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需求!$B$41:$B$44</c:f>
              <c:strCache>
                <c:ptCount val="4"/>
                <c:pt idx="0">
                  <c:v>需求过程</c:v>
                </c:pt>
                <c:pt idx="1">
                  <c:v>设计过程</c:v>
                </c:pt>
                <c:pt idx="2">
                  <c:v>开发过程</c:v>
                </c:pt>
                <c:pt idx="3">
                  <c:v>测试过程</c:v>
                </c:pt>
              </c:strCache>
            </c:strRef>
          </c:cat>
          <c:val>
            <c:numRef>
              <c:f>需求!$J$41:$J$44</c:f>
              <c:numCache>
                <c:formatCode>0.00_ </c:formatCode>
                <c:ptCount val="4"/>
                <c:pt idx="0">
                  <c:v>1</c:v>
                </c:pt>
                <c:pt idx="1">
                  <c:v>1</c:v>
                </c:pt>
                <c:pt idx="2">
                  <c:v>1</c:v>
                </c:pt>
                <c:pt idx="3">
                  <c:v>1</c:v>
                </c:pt>
              </c:numCache>
            </c:numRef>
          </c:val>
        </c:ser>
        <c:dLbls>
          <c:showLegendKey val="0"/>
          <c:showVal val="0"/>
          <c:showCatName val="0"/>
          <c:showSerName val="0"/>
          <c:showPercent val="0"/>
          <c:showBubbleSize val="0"/>
        </c:dLbls>
        <c:gapWidth val="150"/>
        <c:axId val="-429584992"/>
        <c:axId val="-429582272"/>
      </c:barChart>
      <c:catAx>
        <c:axId val="-42958499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82272"/>
        <c:crosses val="autoZero"/>
        <c:auto val="1"/>
        <c:lblAlgn val="ctr"/>
        <c:lblOffset val="100"/>
        <c:noMultiLvlLbl val="0"/>
      </c:catAx>
      <c:valAx>
        <c:axId val="-429582272"/>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2958499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endParaRPr lang="zh-CN" altLang="en-US" sz="1100"/>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需求!$B$103:$B$106</c:f>
              <c:strCache>
                <c:ptCount val="4"/>
                <c:pt idx="0">
                  <c:v>需求过程</c:v>
                </c:pt>
                <c:pt idx="1">
                  <c:v>设计过程</c:v>
                </c:pt>
                <c:pt idx="2">
                  <c:v>开发过程</c:v>
                </c:pt>
                <c:pt idx="3">
                  <c:v>测试过程</c:v>
                </c:pt>
              </c:strCache>
            </c:strRef>
          </c:cat>
          <c:val>
            <c:numRef>
              <c:f>需求!$J$103:$J$106</c:f>
              <c:numCache>
                <c:formatCode>0.00_ </c:formatCode>
                <c:ptCount val="4"/>
                <c:pt idx="0">
                  <c:v>0</c:v>
                </c:pt>
                <c:pt idx="1">
                  <c:v>0</c:v>
                </c:pt>
                <c:pt idx="2">
                  <c:v>0</c:v>
                </c:pt>
                <c:pt idx="3">
                  <c:v>0</c:v>
                </c:pt>
              </c:numCache>
            </c:numRef>
          </c:val>
        </c:ser>
        <c:dLbls>
          <c:showLegendKey val="0"/>
          <c:showVal val="0"/>
          <c:showCatName val="0"/>
          <c:showSerName val="0"/>
          <c:showPercent val="0"/>
          <c:showBubbleSize val="0"/>
        </c:dLbls>
        <c:gapWidth val="150"/>
        <c:axId val="-464408352"/>
        <c:axId val="-467455248"/>
      </c:barChart>
      <c:catAx>
        <c:axId val="-46440835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67455248"/>
        <c:crosses val="autoZero"/>
        <c:auto val="1"/>
        <c:lblAlgn val="ctr"/>
        <c:lblOffset val="100"/>
        <c:noMultiLvlLbl val="0"/>
      </c:catAx>
      <c:valAx>
        <c:axId val="-467455248"/>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46440835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需求规格各阶段稳定度图表</a:t>
            </a:r>
            <a:endParaRPr lang="zh-CN" altLang="en-US" sz="1100"/>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需求!$B$92:$B$95</c:f>
              <c:strCache>
                <c:ptCount val="4"/>
                <c:pt idx="0">
                  <c:v>需求过程</c:v>
                </c:pt>
                <c:pt idx="1">
                  <c:v>设计过程</c:v>
                </c:pt>
                <c:pt idx="2">
                  <c:v>开发过程</c:v>
                </c:pt>
                <c:pt idx="3">
                  <c:v>测试过程</c:v>
                </c:pt>
              </c:strCache>
            </c:strRef>
          </c:cat>
          <c:val>
            <c:numRef>
              <c:f>需求!$J$92:$J$95</c:f>
              <c:numCache>
                <c:formatCode>0.00_ </c:formatCode>
                <c:ptCount val="4"/>
                <c:pt idx="0">
                  <c:v>1</c:v>
                </c:pt>
                <c:pt idx="1">
                  <c:v>0.986269394480297</c:v>
                </c:pt>
                <c:pt idx="2">
                  <c:v>1</c:v>
                </c:pt>
                <c:pt idx="3">
                  <c:v>1</c:v>
                </c:pt>
              </c:numCache>
            </c:numRef>
          </c:val>
        </c:ser>
        <c:dLbls>
          <c:showLegendKey val="0"/>
          <c:showVal val="0"/>
          <c:showCatName val="0"/>
          <c:showSerName val="0"/>
          <c:showPercent val="0"/>
          <c:showBubbleSize val="0"/>
        </c:dLbls>
        <c:gapWidth val="150"/>
        <c:axId val="-327823424"/>
        <c:axId val="-327821248"/>
      </c:barChart>
      <c:catAx>
        <c:axId val="-32782342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1248"/>
        <c:crosses val="autoZero"/>
        <c:auto val="1"/>
        <c:lblAlgn val="ctr"/>
        <c:lblOffset val="100"/>
        <c:noMultiLvlLbl val="0"/>
      </c:catAx>
      <c:valAx>
        <c:axId val="-327821248"/>
        <c:scaling>
          <c:orientation val="minMax"/>
        </c:scaling>
        <c:delete val="0"/>
        <c:axPos val="l"/>
        <c:majorGridlines/>
        <c:numFmt formatCode="0.00_ "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342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阶段单位规模工作量的控制图</a:t>
            </a:r>
            <a:endParaRPr lang="en-US" altLang="zh-CN"/>
          </a:p>
        </c:rich>
      </c:tx>
      <c:layout/>
      <c:overlay val="0"/>
    </c:title>
    <c:autoTitleDeleted val="0"/>
    <c:plotArea>
      <c:layout/>
      <c:lineChart>
        <c:grouping val="standard"/>
        <c:varyColors val="0"/>
        <c:ser>
          <c:idx val="0"/>
          <c:order val="0"/>
          <c:tx>
            <c:strRef>
              <c:f>工作量分布!$D$22</c:f>
              <c:strCache>
                <c:ptCount val="1"/>
                <c:pt idx="0">
                  <c:v>LOL</c:v>
                </c:pt>
              </c:strCache>
            </c:strRef>
          </c:tx>
          <c:dLbls>
            <c:delete val="1"/>
          </c:dLbls>
          <c:cat>
            <c:strRef>
              <c:f>工作量分布!$E$21:$J$21</c:f>
              <c:strCache>
                <c:ptCount val="6"/>
                <c:pt idx="0">
                  <c:v>产品立项阶段</c:v>
                </c:pt>
                <c:pt idx="1">
                  <c:v>迭代一</c:v>
                </c:pt>
                <c:pt idx="2">
                  <c:v>迭代二</c:v>
                </c:pt>
                <c:pt idx="3">
                  <c:v>迭代三</c:v>
                </c:pt>
                <c:pt idx="4">
                  <c:v>迭代四</c:v>
                </c:pt>
                <c:pt idx="5">
                  <c:v>系统集成与验收结项阶段</c:v>
                </c:pt>
              </c:strCache>
            </c:strRef>
          </c:cat>
          <c:val>
            <c:numRef>
              <c:f>工作量分布!$E$22:$J$22</c:f>
              <c:numCache>
                <c:formatCode>0.0000_ </c:formatCode>
                <c:ptCount val="6"/>
                <c:pt idx="0">
                  <c:v>0.0033</c:v>
                </c:pt>
                <c:pt idx="1">
                  <c:v>0.298</c:v>
                </c:pt>
                <c:pt idx="2">
                  <c:v>0.298</c:v>
                </c:pt>
                <c:pt idx="3">
                  <c:v>0.298</c:v>
                </c:pt>
                <c:pt idx="4">
                  <c:v>0.298</c:v>
                </c:pt>
                <c:pt idx="5">
                  <c:v>0</c:v>
                </c:pt>
              </c:numCache>
            </c:numRef>
          </c:val>
          <c:smooth val="0"/>
        </c:ser>
        <c:ser>
          <c:idx val="1"/>
          <c:order val="1"/>
          <c:tx>
            <c:strRef>
              <c:f>工作量分布!$D$23</c:f>
              <c:strCache>
                <c:ptCount val="1"/>
                <c:pt idx="0">
                  <c:v>OL</c:v>
                </c:pt>
              </c:strCache>
            </c:strRef>
          </c:tx>
          <c:dLbls>
            <c:delete val="1"/>
          </c:dLbls>
          <c:cat>
            <c:strRef>
              <c:f>工作量分布!$E$21:$J$21</c:f>
              <c:strCache>
                <c:ptCount val="6"/>
                <c:pt idx="0">
                  <c:v>产品立项阶段</c:v>
                </c:pt>
                <c:pt idx="1">
                  <c:v>迭代一</c:v>
                </c:pt>
                <c:pt idx="2">
                  <c:v>迭代二</c:v>
                </c:pt>
                <c:pt idx="3">
                  <c:v>迭代三</c:v>
                </c:pt>
                <c:pt idx="4">
                  <c:v>迭代四</c:v>
                </c:pt>
                <c:pt idx="5">
                  <c:v>系统集成与验收结项阶段</c:v>
                </c:pt>
              </c:strCache>
            </c:strRef>
          </c:cat>
          <c:val>
            <c:numRef>
              <c:f>工作量分布!$E$23:$J$23</c:f>
              <c:numCache>
                <c:formatCode>0.0000_ </c:formatCode>
                <c:ptCount val="6"/>
                <c:pt idx="0">
                  <c:v>0.15</c:v>
                </c:pt>
                <c:pt idx="1">
                  <c:v>0.482</c:v>
                </c:pt>
                <c:pt idx="2">
                  <c:v>0.482</c:v>
                </c:pt>
                <c:pt idx="3">
                  <c:v>0.482</c:v>
                </c:pt>
                <c:pt idx="4">
                  <c:v>0.482</c:v>
                </c:pt>
                <c:pt idx="5">
                  <c:v>0.0253</c:v>
                </c:pt>
              </c:numCache>
            </c:numRef>
          </c:val>
          <c:smooth val="0"/>
        </c:ser>
        <c:ser>
          <c:idx val="2"/>
          <c:order val="2"/>
          <c:tx>
            <c:strRef>
              <c:f>工作量分布!$D$24</c:f>
              <c:strCache>
                <c:ptCount val="1"/>
                <c:pt idx="0">
                  <c:v>UOL</c:v>
                </c:pt>
              </c:strCache>
            </c:strRef>
          </c:tx>
          <c:dLbls>
            <c:delete val="1"/>
          </c:dLbls>
          <c:cat>
            <c:strRef>
              <c:f>工作量分布!$E$21:$J$21</c:f>
              <c:strCache>
                <c:ptCount val="6"/>
                <c:pt idx="0">
                  <c:v>产品立项阶段</c:v>
                </c:pt>
                <c:pt idx="1">
                  <c:v>迭代一</c:v>
                </c:pt>
                <c:pt idx="2">
                  <c:v>迭代二</c:v>
                </c:pt>
                <c:pt idx="3">
                  <c:v>迭代三</c:v>
                </c:pt>
                <c:pt idx="4">
                  <c:v>迭代四</c:v>
                </c:pt>
                <c:pt idx="5">
                  <c:v>系统集成与验收结项阶段</c:v>
                </c:pt>
              </c:strCache>
            </c:strRef>
          </c:cat>
          <c:val>
            <c:numRef>
              <c:f>工作量分布!$E$24:$J$24</c:f>
              <c:numCache>
                <c:formatCode>0.0000_ </c:formatCode>
                <c:ptCount val="6"/>
                <c:pt idx="0">
                  <c:v>0.2967</c:v>
                </c:pt>
                <c:pt idx="1">
                  <c:v>0.6661</c:v>
                </c:pt>
                <c:pt idx="2">
                  <c:v>0.6661</c:v>
                </c:pt>
                <c:pt idx="3">
                  <c:v>0.6661</c:v>
                </c:pt>
                <c:pt idx="4">
                  <c:v>0.6661</c:v>
                </c:pt>
                <c:pt idx="5">
                  <c:v>0.0784</c:v>
                </c:pt>
              </c:numCache>
            </c:numRef>
          </c:val>
          <c:smooth val="0"/>
        </c:ser>
        <c:ser>
          <c:idx val="3"/>
          <c:order val="3"/>
          <c:tx>
            <c:strRef>
              <c:f>工作量分布!$D$25</c:f>
              <c:strCache>
                <c:ptCount val="1"/>
                <c:pt idx="0">
                  <c:v>计划数据</c:v>
                </c:pt>
              </c:strCache>
            </c:strRef>
          </c:tx>
          <c:dLbls>
            <c:delete val="1"/>
          </c:dLbls>
          <c:cat>
            <c:strRef>
              <c:f>工作量分布!$E$21:$J$21</c:f>
              <c:strCache>
                <c:ptCount val="6"/>
                <c:pt idx="0">
                  <c:v>产品立项阶段</c:v>
                </c:pt>
                <c:pt idx="1">
                  <c:v>迭代一</c:v>
                </c:pt>
                <c:pt idx="2">
                  <c:v>迭代二</c:v>
                </c:pt>
                <c:pt idx="3">
                  <c:v>迭代三</c:v>
                </c:pt>
                <c:pt idx="4">
                  <c:v>迭代四</c:v>
                </c:pt>
                <c:pt idx="5">
                  <c:v>系统集成与验收结项阶段</c:v>
                </c:pt>
              </c:strCache>
            </c:strRef>
          </c:cat>
          <c:val>
            <c:numRef>
              <c:f>工作量分布!$E$25:$J$25</c:f>
              <c:numCache>
                <c:formatCode>General</c:formatCode>
                <c:ptCount val="6"/>
                <c:pt idx="0">
                  <c:v>0.0620192860860751</c:v>
                </c:pt>
                <c:pt idx="1">
                  <c:v>0.490226195538733</c:v>
                </c:pt>
                <c:pt idx="2">
                  <c:v>0.480651823694109</c:v>
                </c:pt>
                <c:pt idx="3">
                  <c:v>0.57206843088666</c:v>
                </c:pt>
                <c:pt idx="4">
                  <c:v>0.60319295548812</c:v>
                </c:pt>
                <c:pt idx="5">
                  <c:v>0.0620192860860751</c:v>
                </c:pt>
              </c:numCache>
            </c:numRef>
          </c:val>
          <c:smooth val="0"/>
        </c:ser>
        <c:ser>
          <c:idx val="4"/>
          <c:order val="4"/>
          <c:tx>
            <c:strRef>
              <c:f>工作量分布!$D$26</c:f>
              <c:strCache>
                <c:ptCount val="1"/>
                <c:pt idx="0">
                  <c:v>实际数据</c:v>
                </c:pt>
              </c:strCache>
            </c:strRef>
          </c:tx>
          <c:dLbls>
            <c:delete val="1"/>
          </c:dLbls>
          <c:cat>
            <c:strRef>
              <c:f>工作量分布!$E$21:$J$21</c:f>
              <c:strCache>
                <c:ptCount val="6"/>
                <c:pt idx="0">
                  <c:v>产品立项阶段</c:v>
                </c:pt>
                <c:pt idx="1">
                  <c:v>迭代一</c:v>
                </c:pt>
                <c:pt idx="2">
                  <c:v>迭代二</c:v>
                </c:pt>
                <c:pt idx="3">
                  <c:v>迭代三</c:v>
                </c:pt>
                <c:pt idx="4">
                  <c:v>迭代四</c:v>
                </c:pt>
                <c:pt idx="5">
                  <c:v>系统集成与验收结项阶段</c:v>
                </c:pt>
              </c:strCache>
            </c:strRef>
          </c:cat>
          <c:val>
            <c:numRef>
              <c:f>工作量分布!$E$26:$J$26</c:f>
              <c:numCache>
                <c:formatCode>General</c:formatCode>
                <c:ptCount val="6"/>
                <c:pt idx="0">
                  <c:v>0.0599265813768731</c:v>
                </c:pt>
                <c:pt idx="1">
                  <c:v>0.516330954269099</c:v>
                </c:pt>
                <c:pt idx="2">
                  <c:v>0.497355533790402</c:v>
                </c:pt>
                <c:pt idx="3">
                  <c:v>0.588347529812607</c:v>
                </c:pt>
                <c:pt idx="4">
                  <c:v>0.640615722924684</c:v>
                </c:pt>
                <c:pt idx="5">
                  <c:v>0.0606114565926088</c:v>
                </c:pt>
              </c:numCache>
            </c:numRef>
          </c:val>
          <c:smooth val="0"/>
        </c:ser>
        <c:dLbls>
          <c:showLegendKey val="0"/>
          <c:showVal val="0"/>
          <c:showCatName val="0"/>
          <c:showSerName val="0"/>
          <c:showPercent val="0"/>
          <c:showBubbleSize val="0"/>
        </c:dLbls>
        <c:marker val="1"/>
        <c:smooth val="0"/>
        <c:axId val="-327820160"/>
        <c:axId val="-327829408"/>
      </c:lineChart>
      <c:catAx>
        <c:axId val="-32782016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9408"/>
        <c:crosses val="autoZero"/>
        <c:auto val="1"/>
        <c:lblAlgn val="ctr"/>
        <c:lblOffset val="100"/>
        <c:noMultiLvlLbl val="0"/>
      </c:catAx>
      <c:valAx>
        <c:axId val="-32782940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016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dLbls>
            <c:delete val="1"/>
          </c:dLbls>
          <c:val>
            <c:numRef>
              <c:f>工作量分布!$E$63:$H$63</c:f>
              <c:numCache>
                <c:formatCode>0.0000_ </c:formatCode>
                <c:ptCount val="4"/>
                <c:pt idx="0">
                  <c:v>0.012</c:v>
                </c:pt>
                <c:pt idx="1">
                  <c:v>0.1326</c:v>
                </c:pt>
                <c:pt idx="2">
                  <c:v>0.0009</c:v>
                </c:pt>
                <c:pt idx="3">
                  <c:v>-0.3877</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dLbls>
            <c:delete val="1"/>
          </c:dLbls>
          <c:val>
            <c:numRef>
              <c:f>工作量分布!$E$64:$H$64</c:f>
              <c:numCache>
                <c:formatCode>0.0000_ </c:formatCode>
                <c:ptCount val="4"/>
                <c:pt idx="0">
                  <c:v>0.132</c:v>
                </c:pt>
                <c:pt idx="1">
                  <c:v>0.93</c:v>
                </c:pt>
                <c:pt idx="2">
                  <c:v>0.2019</c:v>
                </c:pt>
                <c:pt idx="3">
                  <c:v>0.0045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dLbls>
            <c:delete val="1"/>
          </c:dLbls>
          <c:val>
            <c:numRef>
              <c:f>工作量分布!$E$65:$H$65</c:f>
              <c:numCache>
                <c:formatCode>0.0000_ </c:formatCode>
                <c:ptCount val="4"/>
                <c:pt idx="0">
                  <c:v>0.252</c:v>
                </c:pt>
                <c:pt idx="1">
                  <c:v>1.7274</c:v>
                </c:pt>
                <c:pt idx="2">
                  <c:v>0.4029</c:v>
                </c:pt>
                <c:pt idx="3">
                  <c:v>0.3967</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工作量分布!$D$66</c:f>
              <c:strCache>
                <c:ptCount val="1"/>
                <c:pt idx="0">
                  <c:v>计划数据</c:v>
                </c:pt>
              </c:strCache>
            </c:strRef>
          </c:tx>
          <c:dLbls>
            <c:delete val="1"/>
          </c:dLbls>
          <c:val>
            <c:numRef>
              <c:f>工作量分布!$E$66:$H$66</c:f>
              <c:numCache>
                <c:formatCode>General</c:formatCode>
                <c:ptCount val="4"/>
                <c:pt idx="0">
                  <c:v>0.12239248034076</c:v>
                </c:pt>
                <c:pt idx="1">
                  <c:v>0.2039874672346</c:v>
                </c:pt>
                <c:pt idx="2">
                  <c:v>1.06073482961992</c:v>
                </c:pt>
                <c:pt idx="3">
                  <c:v>0.652759895150721</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工作量分布!$D$67</c:f>
              <c:strCache>
                <c:ptCount val="1"/>
                <c:pt idx="0">
                  <c:v>实际数据</c:v>
                </c:pt>
              </c:strCache>
            </c:strRef>
          </c:tx>
          <c:dLbls>
            <c:delete val="1"/>
          </c:dLbls>
          <c:val>
            <c:numRef>
              <c:f>工作量分布!$E$67:$H$67</c:f>
              <c:numCache>
                <c:formatCode>General</c:formatCode>
                <c:ptCount val="4"/>
                <c:pt idx="0">
                  <c:v>0.118262614678899</c:v>
                </c:pt>
                <c:pt idx="1">
                  <c:v>0.193520642201835</c:v>
                </c:pt>
                <c:pt idx="2">
                  <c:v>1.03722968545216</c:v>
                </c:pt>
                <c:pt idx="3">
                  <c:v>0.587729357798165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327816896"/>
        <c:axId val="-327820704"/>
      </c:lineChart>
      <c:catAx>
        <c:axId val="-327816896"/>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0704"/>
        <c:crosses val="autoZero"/>
        <c:auto val="1"/>
        <c:lblAlgn val="ctr"/>
        <c:lblOffset val="100"/>
        <c:noMultiLvlLbl val="0"/>
      </c:catAx>
      <c:valAx>
        <c:axId val="-32782070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689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dLbls>
            <c:delete val="1"/>
          </c:dLbls>
          <c:cat>
            <c:strRef>
              <c:f>工作量分布!$E$107:$H$107</c:f>
              <c:strCache>
                <c:ptCount val="4"/>
                <c:pt idx="0">
                  <c:v>需求过程</c:v>
                </c:pt>
                <c:pt idx="1">
                  <c:v>设计过程</c:v>
                </c:pt>
                <c:pt idx="2">
                  <c:v>开发过程</c:v>
                </c:pt>
                <c:pt idx="3">
                  <c:v>测试过程</c:v>
                </c:pt>
              </c:strCache>
            </c:strRef>
          </c:cat>
          <c:val>
            <c:numRef>
              <c:f>工作量分布!$E$63:$H$63</c:f>
              <c:numCache>
                <c:formatCode>0.0000_ </c:formatCode>
                <c:ptCount val="4"/>
                <c:pt idx="0">
                  <c:v>0.012</c:v>
                </c:pt>
                <c:pt idx="1">
                  <c:v>0.1326</c:v>
                </c:pt>
                <c:pt idx="2">
                  <c:v>0.0009</c:v>
                </c:pt>
                <c:pt idx="3">
                  <c:v>-0.3877</c:v>
                </c:pt>
              </c:numCache>
            </c:numRef>
          </c:val>
          <c:smooth val="0"/>
        </c:ser>
        <c:ser>
          <c:idx val="1"/>
          <c:order val="1"/>
          <c:tx>
            <c:strRef>
              <c:f>工作量分布!$D$109</c:f>
              <c:strCache>
                <c:ptCount val="1"/>
                <c:pt idx="0">
                  <c:v>OL</c:v>
                </c:pt>
              </c:strCache>
            </c:strRef>
          </c:tx>
          <c:dLbls>
            <c:delete val="1"/>
          </c:dLbls>
          <c:cat>
            <c:strRef>
              <c:f>工作量分布!$E$107:$H$107</c:f>
              <c:strCache>
                <c:ptCount val="4"/>
                <c:pt idx="0">
                  <c:v>需求过程</c:v>
                </c:pt>
                <c:pt idx="1">
                  <c:v>设计过程</c:v>
                </c:pt>
                <c:pt idx="2">
                  <c:v>开发过程</c:v>
                </c:pt>
                <c:pt idx="3">
                  <c:v>测试过程</c:v>
                </c:pt>
              </c:strCache>
            </c:strRef>
          </c:cat>
          <c:val>
            <c:numRef>
              <c:f>工作量分布!$E$109:$H$109</c:f>
              <c:numCache>
                <c:formatCode>0.0000_ </c:formatCode>
                <c:ptCount val="4"/>
                <c:pt idx="0">
                  <c:v>0.132</c:v>
                </c:pt>
                <c:pt idx="1">
                  <c:v>0.93</c:v>
                </c:pt>
                <c:pt idx="2">
                  <c:v>0.2019</c:v>
                </c:pt>
                <c:pt idx="3">
                  <c:v>0.0045</c:v>
                </c:pt>
              </c:numCache>
            </c:numRef>
          </c:val>
          <c:smooth val="0"/>
        </c:ser>
        <c:ser>
          <c:idx val="2"/>
          <c:order val="2"/>
          <c:tx>
            <c:strRef>
              <c:f>工作量分布!$D$110</c:f>
              <c:strCache>
                <c:ptCount val="1"/>
                <c:pt idx="0">
                  <c:v>UOL</c:v>
                </c:pt>
              </c:strCache>
            </c:strRef>
          </c:tx>
          <c:dLbls>
            <c:delete val="1"/>
          </c:dLbls>
          <c:cat>
            <c:strRef>
              <c:f>工作量分布!$E$107:$H$107</c:f>
              <c:strCache>
                <c:ptCount val="4"/>
                <c:pt idx="0">
                  <c:v>需求过程</c:v>
                </c:pt>
                <c:pt idx="1">
                  <c:v>设计过程</c:v>
                </c:pt>
                <c:pt idx="2">
                  <c:v>开发过程</c:v>
                </c:pt>
                <c:pt idx="3">
                  <c:v>测试过程</c:v>
                </c:pt>
              </c:strCache>
            </c:strRef>
          </c:cat>
          <c:val>
            <c:numRef>
              <c:f>工作量分布!$E$110:$H$110</c:f>
              <c:numCache>
                <c:formatCode>0.0000_ </c:formatCode>
                <c:ptCount val="4"/>
                <c:pt idx="0">
                  <c:v>0.252</c:v>
                </c:pt>
                <c:pt idx="1">
                  <c:v>1.7274</c:v>
                </c:pt>
                <c:pt idx="2">
                  <c:v>0.4029</c:v>
                </c:pt>
                <c:pt idx="3">
                  <c:v>0.3967</c:v>
                </c:pt>
              </c:numCache>
            </c:numRef>
          </c:val>
          <c:smooth val="0"/>
        </c:ser>
        <c:ser>
          <c:idx val="3"/>
          <c:order val="3"/>
          <c:tx>
            <c:strRef>
              <c:f>工作量分布!$D$111</c:f>
              <c:strCache>
                <c:ptCount val="1"/>
                <c:pt idx="0">
                  <c:v>计划数据</c:v>
                </c:pt>
              </c:strCache>
            </c:strRef>
          </c:tx>
          <c:dLbls>
            <c:delete val="1"/>
          </c:dLbls>
          <c:cat>
            <c:strRef>
              <c:f>工作量分布!$E$107:$H$107</c:f>
              <c:strCache>
                <c:ptCount val="4"/>
                <c:pt idx="0">
                  <c:v>需求过程</c:v>
                </c:pt>
                <c:pt idx="1">
                  <c:v>设计过程</c:v>
                </c:pt>
                <c:pt idx="2">
                  <c:v>开发过程</c:v>
                </c:pt>
                <c:pt idx="3">
                  <c:v>测试过程</c:v>
                </c:pt>
              </c:strCache>
            </c:strRef>
          </c:cat>
          <c:val>
            <c:numRef>
              <c:f>工作量分布!$E$111:$H$111</c:f>
              <c:numCache>
                <c:formatCode>General</c:formatCode>
                <c:ptCount val="4"/>
                <c:pt idx="0">
                  <c:v>0.124830484442694</c:v>
                </c:pt>
                <c:pt idx="1">
                  <c:v>0.20805080740449</c:v>
                </c:pt>
                <c:pt idx="2">
                  <c:v>1.08186419850335</c:v>
                </c:pt>
                <c:pt idx="3">
                  <c:v>0.665762583694368</c:v>
                </c:pt>
              </c:numCache>
            </c:numRef>
          </c:val>
          <c:smooth val="0"/>
        </c:ser>
        <c:ser>
          <c:idx val="4"/>
          <c:order val="4"/>
          <c:tx>
            <c:strRef>
              <c:f>工作量分布!$D$112</c:f>
              <c:strCache>
                <c:ptCount val="1"/>
                <c:pt idx="0">
                  <c:v>实际数据</c:v>
                </c:pt>
              </c:strCache>
            </c:strRef>
          </c:tx>
          <c:dLbls>
            <c:delete val="1"/>
          </c:dLbls>
          <c:cat>
            <c:strRef>
              <c:f>工作量分布!$E$107:$H$107</c:f>
              <c:strCache>
                <c:ptCount val="4"/>
                <c:pt idx="0">
                  <c:v>需求过程</c:v>
                </c:pt>
                <c:pt idx="1">
                  <c:v>设计过程</c:v>
                </c:pt>
                <c:pt idx="2">
                  <c:v>开发过程</c:v>
                </c:pt>
                <c:pt idx="3">
                  <c:v>测试过程</c:v>
                </c:pt>
              </c:strCache>
            </c:strRef>
          </c:cat>
          <c:val>
            <c:numRef>
              <c:f>工作量分布!$E$112:$H$112</c:f>
              <c:numCache>
                <c:formatCode>General</c:formatCode>
                <c:ptCount val="4"/>
                <c:pt idx="0">
                  <c:v>0.118649074438755</c:v>
                </c:pt>
                <c:pt idx="1">
                  <c:v>0.197420244190626</c:v>
                </c:pt>
                <c:pt idx="2">
                  <c:v>1.04224103977944</c:v>
                </c:pt>
                <c:pt idx="3">
                  <c:v>0.65232374950768</c:v>
                </c:pt>
              </c:numCache>
            </c:numRef>
          </c:val>
          <c:smooth val="0"/>
        </c:ser>
        <c:dLbls>
          <c:showLegendKey val="0"/>
          <c:showVal val="0"/>
          <c:showCatName val="0"/>
          <c:showSerName val="0"/>
          <c:showPercent val="0"/>
          <c:showBubbleSize val="0"/>
        </c:dLbls>
        <c:marker val="1"/>
        <c:smooth val="0"/>
        <c:axId val="-327828320"/>
        <c:axId val="-327830496"/>
      </c:lineChart>
      <c:catAx>
        <c:axId val="-327828320"/>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30496"/>
        <c:crosses val="autoZero"/>
        <c:auto val="1"/>
        <c:lblAlgn val="ctr"/>
        <c:lblOffset val="100"/>
        <c:noMultiLvlLbl val="0"/>
      </c:catAx>
      <c:valAx>
        <c:axId val="-32783049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832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dLbls>
            <c:delete val="1"/>
          </c:dLbls>
          <c:val>
            <c:numRef>
              <c:f>工作量分布!$E$63:$H$63</c:f>
              <c:numCache>
                <c:formatCode>0.0000_ </c:formatCode>
                <c:ptCount val="4"/>
                <c:pt idx="0">
                  <c:v>0.012</c:v>
                </c:pt>
                <c:pt idx="1">
                  <c:v>0.1326</c:v>
                </c:pt>
                <c:pt idx="2">
                  <c:v>0.0009</c:v>
                </c:pt>
                <c:pt idx="3">
                  <c:v>-0.3877</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dLbls>
            <c:delete val="1"/>
          </c:dLbls>
          <c:val>
            <c:numRef>
              <c:f>工作量分布!$E$64:$H$64</c:f>
              <c:numCache>
                <c:formatCode>0.0000_ </c:formatCode>
                <c:ptCount val="4"/>
                <c:pt idx="0">
                  <c:v>0.132</c:v>
                </c:pt>
                <c:pt idx="1">
                  <c:v>0.93</c:v>
                </c:pt>
                <c:pt idx="2">
                  <c:v>0.2019</c:v>
                </c:pt>
                <c:pt idx="3">
                  <c:v>0.0045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dLbls>
            <c:delete val="1"/>
          </c:dLbls>
          <c:val>
            <c:numRef>
              <c:f>工作量分布!$E$65:$H$65</c:f>
              <c:numCache>
                <c:formatCode>0.0000_ </c:formatCode>
                <c:ptCount val="4"/>
                <c:pt idx="0">
                  <c:v>0.252</c:v>
                </c:pt>
                <c:pt idx="1">
                  <c:v>1.7274</c:v>
                </c:pt>
                <c:pt idx="2">
                  <c:v>0.4029</c:v>
                </c:pt>
                <c:pt idx="3">
                  <c:v>0.3967</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工作量分布!$D$156</c:f>
              <c:strCache>
                <c:ptCount val="1"/>
                <c:pt idx="0">
                  <c:v>计划数据</c:v>
                </c:pt>
              </c:strCache>
            </c:strRef>
          </c:tx>
          <c:dLbls>
            <c:delete val="1"/>
          </c:dLbls>
          <c:val>
            <c:numRef>
              <c:f>工作量分布!$E$156:$H$156</c:f>
              <c:numCache>
                <c:formatCode>General</c:formatCode>
                <c:ptCount val="4"/>
                <c:pt idx="0">
                  <c:v>0.10488255733148</c:v>
                </c:pt>
                <c:pt idx="1">
                  <c:v>0.174804262219134</c:v>
                </c:pt>
                <c:pt idx="2">
                  <c:v>0.908982163539495</c:v>
                </c:pt>
                <c:pt idx="3">
                  <c:v>0.559373639101228</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工作量分布!$D$157</c:f>
              <c:strCache>
                <c:ptCount val="1"/>
                <c:pt idx="0">
                  <c:v>实际数据</c:v>
                </c:pt>
              </c:strCache>
            </c:strRef>
          </c:tx>
          <c:dLbls>
            <c:delete val="1"/>
          </c:dLbls>
          <c:val>
            <c:numRef>
              <c:f>工作量分布!$E$157:$H$157</c:f>
              <c:numCache>
                <c:formatCode>General</c:formatCode>
                <c:ptCount val="4"/>
                <c:pt idx="0">
                  <c:v>0.0984479962937225</c:v>
                </c:pt>
                <c:pt idx="1">
                  <c:v>0.178075052119527</c:v>
                </c:pt>
                <c:pt idx="2">
                  <c:v>0.878793143386611</c:v>
                </c:pt>
                <c:pt idx="3">
                  <c:v>0.54435950891823</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327817984"/>
        <c:axId val="-327826688"/>
      </c:lineChart>
      <c:catAx>
        <c:axId val="-32781798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6688"/>
        <c:crosses val="autoZero"/>
        <c:auto val="1"/>
        <c:lblAlgn val="ctr"/>
        <c:lblOffset val="100"/>
        <c:noMultiLvlLbl val="0"/>
      </c:catAx>
      <c:valAx>
        <c:axId val="-32782668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798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过程单位规模工作量的控制图</a:t>
            </a:r>
            <a:endParaRPr lang="en-US" altLang="zh-CN"/>
          </a:p>
        </c:rich>
      </c:tx>
      <c:layout/>
      <c:overlay val="0"/>
    </c:title>
    <c:autoTitleDeleted val="0"/>
    <c:plotArea>
      <c:layout/>
      <c:lineChart>
        <c:grouping val="standard"/>
        <c:varyColors val="0"/>
        <c:ser>
          <c:idx val="0"/>
          <c:order val="0"/>
          <c:tx>
            <c:strRef>
              <c:f>工作量分布!$D$63</c:f>
              <c:strCache>
                <c:ptCount val="1"/>
                <c:pt idx="0">
                  <c:v>LOL</c:v>
                </c:pt>
              </c:strCache>
            </c:strRef>
          </c:tx>
          <c:dLbls>
            <c:delete val="1"/>
          </c:dLbls>
          <c:val>
            <c:numRef>
              <c:f>工作量分布!$E$63:$H$63</c:f>
              <c:numCache>
                <c:formatCode>0.0000_ </c:formatCode>
                <c:ptCount val="4"/>
                <c:pt idx="0">
                  <c:v>0.012</c:v>
                </c:pt>
                <c:pt idx="1">
                  <c:v>0.1326</c:v>
                </c:pt>
                <c:pt idx="2">
                  <c:v>0.0009</c:v>
                </c:pt>
                <c:pt idx="3">
                  <c:v>-0.3877</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1"/>
          <c:order val="1"/>
          <c:tx>
            <c:strRef>
              <c:f>工作量分布!$D$64</c:f>
              <c:strCache>
                <c:ptCount val="1"/>
                <c:pt idx="0">
                  <c:v>OL</c:v>
                </c:pt>
              </c:strCache>
            </c:strRef>
          </c:tx>
          <c:dLbls>
            <c:delete val="1"/>
          </c:dLbls>
          <c:val>
            <c:numRef>
              <c:f>工作量分布!$E$64:$H$64</c:f>
              <c:numCache>
                <c:formatCode>0.0000_ </c:formatCode>
                <c:ptCount val="4"/>
                <c:pt idx="0">
                  <c:v>0.132</c:v>
                </c:pt>
                <c:pt idx="1">
                  <c:v>0.93</c:v>
                </c:pt>
                <c:pt idx="2">
                  <c:v>0.2019</c:v>
                </c:pt>
                <c:pt idx="3">
                  <c:v>0.0045</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2"/>
          <c:order val="2"/>
          <c:tx>
            <c:strRef>
              <c:f>工作量分布!$D$65</c:f>
              <c:strCache>
                <c:ptCount val="1"/>
                <c:pt idx="0">
                  <c:v>UOL</c:v>
                </c:pt>
              </c:strCache>
            </c:strRef>
          </c:tx>
          <c:dLbls>
            <c:delete val="1"/>
          </c:dLbls>
          <c:val>
            <c:numRef>
              <c:f>工作量分布!$E$65:$H$65</c:f>
              <c:numCache>
                <c:formatCode>0.0000_ </c:formatCode>
                <c:ptCount val="4"/>
                <c:pt idx="0">
                  <c:v>0.252</c:v>
                </c:pt>
                <c:pt idx="1">
                  <c:v>1.7274</c:v>
                </c:pt>
                <c:pt idx="2">
                  <c:v>0.4029</c:v>
                </c:pt>
                <c:pt idx="3">
                  <c:v>0.3967</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3"/>
          <c:order val="3"/>
          <c:tx>
            <c:strRef>
              <c:f>工作量分布!$D$201</c:f>
              <c:strCache>
                <c:ptCount val="1"/>
                <c:pt idx="0">
                  <c:v>计划数据</c:v>
                </c:pt>
              </c:strCache>
            </c:strRef>
          </c:tx>
          <c:dLbls>
            <c:delete val="1"/>
          </c:dLbls>
          <c:val>
            <c:numRef>
              <c:f>工作量分布!$E$201:$H$201</c:f>
              <c:numCache>
                <c:formatCode>General</c:formatCode>
                <c:ptCount val="4"/>
                <c:pt idx="0">
                  <c:v>0.0994706576960044</c:v>
                </c:pt>
                <c:pt idx="1">
                  <c:v>0.163538940809969</c:v>
                </c:pt>
                <c:pt idx="2">
                  <c:v>0.862079033365372</c:v>
                </c:pt>
                <c:pt idx="3">
                  <c:v>0.53051017437869</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ser>
          <c:idx val="4"/>
          <c:order val="4"/>
          <c:tx>
            <c:strRef>
              <c:f>工作量分布!$D$202</c:f>
              <c:strCache>
                <c:ptCount val="1"/>
                <c:pt idx="0">
                  <c:v>实际数据</c:v>
                </c:pt>
              </c:strCache>
            </c:strRef>
          </c:tx>
          <c:dLbls>
            <c:delete val="1"/>
          </c:dLbls>
          <c:val>
            <c:numRef>
              <c:f>工作量分布!$E$202:$H$202</c:f>
              <c:numCache>
                <c:formatCode>General</c:formatCode>
                <c:ptCount val="4"/>
                <c:pt idx="0">
                  <c:v>0.130440752437182</c:v>
                </c:pt>
                <c:pt idx="1">
                  <c:v>0.128673980766626</c:v>
                </c:pt>
                <c:pt idx="2">
                  <c:v>0.828985308252094</c:v>
                </c:pt>
                <c:pt idx="3">
                  <c:v>0.471131401894824</c:v>
                </c:pt>
              </c:numCache>
            </c:numRef>
          </c:val>
          <c:smooth val="0"/>
          <c:extLst>
            <c:ext xmlns:c15="http://schemas.microsoft.com/office/drawing/2012/chart" uri="{02D57815-91ED-43cb-92C2-25804820EDAC}">
              <c15:filteredCategoryTitle>
                <c15:cat>
                  <c:strRef>
                    <c:extLst>
                      <c:ext uri="{02D57815-91ED-43cb-92C2-25804820EDAC}">
                        <c15:formulaRef>
                          <c15:sqref>工作量分布!$E$62:$H$62</c15:sqref>
                        </c15:formulaRef>
                      </c:ext>
                    </c:extLst>
                    <c:strCache>
                      <c:ptCount val="4"/>
                      <c:pt idx="0">
                        <c:v>需求过程</c:v>
                      </c:pt>
                      <c:pt idx="1">
                        <c:v>设计过程</c:v>
                      </c:pt>
                      <c:pt idx="2">
                        <c:v>开发过程</c:v>
                      </c:pt>
                      <c:pt idx="3">
                        <c:v>测试过程</c:v>
                      </c:pt>
                    </c:strCache>
                  </c:strRef>
                </c15:cat>
              </c15:filteredCategoryTitle>
            </c:ext>
          </c:extLst>
        </c:ser>
        <c:dLbls>
          <c:showLegendKey val="0"/>
          <c:showVal val="0"/>
          <c:showCatName val="0"/>
          <c:showSerName val="0"/>
          <c:showPercent val="0"/>
          <c:showBubbleSize val="0"/>
        </c:dLbls>
        <c:marker val="1"/>
        <c:smooth val="0"/>
        <c:axId val="-327828864"/>
        <c:axId val="-327825600"/>
      </c:lineChart>
      <c:catAx>
        <c:axId val="-327828864"/>
        <c:scaling>
          <c:orientation val="minMax"/>
        </c:scaling>
        <c:delete val="0"/>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5600"/>
        <c:crosses val="autoZero"/>
        <c:auto val="1"/>
        <c:lblAlgn val="ctr"/>
        <c:lblOffset val="100"/>
        <c:noMultiLvlLbl val="0"/>
      </c:catAx>
      <c:valAx>
        <c:axId val="-3278256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886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迭代阶段工作量偏差率的控制图</a:t>
            </a:r>
            <a:endParaRPr lang="en-US" altLang="zh-CN"/>
          </a:p>
        </c:rich>
      </c:tx>
      <c:layout/>
      <c:overlay val="0"/>
    </c:title>
    <c:autoTitleDeleted val="0"/>
    <c:plotArea>
      <c:layout/>
      <c:lineChart>
        <c:grouping val="standard"/>
        <c:varyColors val="0"/>
        <c:ser>
          <c:idx val="0"/>
          <c:order val="0"/>
          <c:tx>
            <c:strRef>
              <c:f>工作量分布!$P$108</c:f>
              <c:strCache>
                <c:ptCount val="1"/>
                <c:pt idx="0">
                  <c:v>项目数据</c:v>
                </c:pt>
              </c:strCache>
            </c:strRef>
          </c:tx>
          <c:dLbls>
            <c:delete val="1"/>
          </c:dLbls>
          <c:cat>
            <c:strRef>
              <c:f>工作量分布!$O$109:$O$112</c:f>
              <c:strCache>
                <c:ptCount val="4"/>
                <c:pt idx="0">
                  <c:v>需求过程</c:v>
                </c:pt>
                <c:pt idx="1">
                  <c:v>设计过程</c:v>
                </c:pt>
                <c:pt idx="2">
                  <c:v>开发过程</c:v>
                </c:pt>
                <c:pt idx="3">
                  <c:v>测试过程</c:v>
                </c:pt>
              </c:strCache>
            </c:strRef>
          </c:cat>
          <c:val>
            <c:numRef>
              <c:f>工作量分布!$P$109:$P$112</c:f>
              <c:numCache>
                <c:formatCode>0.00_);[Red]\(0.00\)</c:formatCode>
                <c:ptCount val="4"/>
                <c:pt idx="0">
                  <c:v>-0.0495184331899012</c:v>
                </c:pt>
                <c:pt idx="1">
                  <c:v>-0.0510959959563909</c:v>
                </c:pt>
                <c:pt idx="2">
                  <c:v>-0.0366248913483982</c:v>
                </c:pt>
                <c:pt idx="3">
                  <c:v>-0.0201856255004815</c:v>
                </c:pt>
              </c:numCache>
            </c:numRef>
          </c:val>
          <c:smooth val="0"/>
        </c:ser>
        <c:ser>
          <c:idx val="1"/>
          <c:order val="1"/>
          <c:tx>
            <c:strRef>
              <c:f>工作量分布!$Q$108</c:f>
              <c:strCache>
                <c:ptCount val="1"/>
                <c:pt idx="0">
                  <c:v>LOL</c:v>
                </c:pt>
              </c:strCache>
            </c:strRef>
          </c:tx>
          <c:dLbls>
            <c:delete val="1"/>
          </c:dLbls>
          <c:cat>
            <c:strRef>
              <c:f>工作量分布!$O$109:$O$112</c:f>
              <c:strCache>
                <c:ptCount val="4"/>
                <c:pt idx="0">
                  <c:v>需求过程</c:v>
                </c:pt>
                <c:pt idx="1">
                  <c:v>设计过程</c:v>
                </c:pt>
                <c:pt idx="2">
                  <c:v>开发过程</c:v>
                </c:pt>
                <c:pt idx="3">
                  <c:v>测试过程</c:v>
                </c:pt>
              </c:strCache>
            </c:strRef>
          </c:cat>
          <c:val>
            <c:numRef>
              <c:f>工作量分布!$Q$109:$Q$112</c:f>
              <c:numCache>
                <c:formatCode>General</c:formatCode>
                <c:ptCount val="4"/>
                <c:pt idx="0">
                  <c:v>-0.15</c:v>
                </c:pt>
                <c:pt idx="1">
                  <c:v>-0.15</c:v>
                </c:pt>
                <c:pt idx="2">
                  <c:v>-0.15</c:v>
                </c:pt>
                <c:pt idx="3">
                  <c:v>-0.15</c:v>
                </c:pt>
              </c:numCache>
            </c:numRef>
          </c:val>
          <c:smooth val="0"/>
        </c:ser>
        <c:ser>
          <c:idx val="2"/>
          <c:order val="2"/>
          <c:tx>
            <c:strRef>
              <c:f>工作量分布!$R$108</c:f>
              <c:strCache>
                <c:ptCount val="1"/>
                <c:pt idx="0">
                  <c:v>OL</c:v>
                </c:pt>
              </c:strCache>
            </c:strRef>
          </c:tx>
          <c:dLbls>
            <c:delete val="1"/>
          </c:dLbls>
          <c:cat>
            <c:strRef>
              <c:f>工作量分布!$O$109:$O$112</c:f>
              <c:strCache>
                <c:ptCount val="4"/>
                <c:pt idx="0">
                  <c:v>需求过程</c:v>
                </c:pt>
                <c:pt idx="1">
                  <c:v>设计过程</c:v>
                </c:pt>
                <c:pt idx="2">
                  <c:v>开发过程</c:v>
                </c:pt>
                <c:pt idx="3">
                  <c:v>测试过程</c:v>
                </c:pt>
              </c:strCache>
            </c:strRef>
          </c:cat>
          <c:val>
            <c:numRef>
              <c:f>工作量分布!$R$109:$R$112</c:f>
              <c:numCache>
                <c:formatCode>0.0000_);[Red]\(0.0000\)</c:formatCode>
                <c:ptCount val="4"/>
                <c:pt idx="0">
                  <c:v>0.1262</c:v>
                </c:pt>
                <c:pt idx="1">
                  <c:v>0.1262</c:v>
                </c:pt>
                <c:pt idx="2">
                  <c:v>0.1262</c:v>
                </c:pt>
                <c:pt idx="3">
                  <c:v>0.1262</c:v>
                </c:pt>
              </c:numCache>
            </c:numRef>
          </c:val>
          <c:smooth val="0"/>
        </c:ser>
        <c:ser>
          <c:idx val="3"/>
          <c:order val="3"/>
          <c:tx>
            <c:strRef>
              <c:f>工作量分布!$S$108</c:f>
              <c:strCache>
                <c:ptCount val="1"/>
                <c:pt idx="0">
                  <c:v>UOL</c:v>
                </c:pt>
              </c:strCache>
            </c:strRef>
          </c:tx>
          <c:dLbls>
            <c:delete val="1"/>
          </c:dLbls>
          <c:cat>
            <c:strRef>
              <c:f>工作量分布!$O$109:$O$112</c:f>
              <c:strCache>
                <c:ptCount val="4"/>
                <c:pt idx="0">
                  <c:v>需求过程</c:v>
                </c:pt>
                <c:pt idx="1">
                  <c:v>设计过程</c:v>
                </c:pt>
                <c:pt idx="2">
                  <c:v>开发过程</c:v>
                </c:pt>
                <c:pt idx="3">
                  <c:v>测试过程</c:v>
                </c:pt>
              </c:strCache>
            </c:strRef>
          </c:cat>
          <c:val>
            <c:numRef>
              <c:f>工作量分布!$S$109:$S$112</c:f>
              <c:numCache>
                <c:formatCode>0.0000_);[Red]\(0.0000\)</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27822880"/>
        <c:axId val="-327824512"/>
      </c:lineChart>
      <c:catAx>
        <c:axId val="-32782288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4512"/>
        <c:crosses val="autoZero"/>
        <c:auto val="1"/>
        <c:lblAlgn val="ctr"/>
        <c:lblOffset val="100"/>
        <c:noMultiLvlLbl val="0"/>
      </c:catAx>
      <c:valAx>
        <c:axId val="-327824512"/>
        <c:scaling>
          <c:orientation val="minMax"/>
        </c:scaling>
        <c:delete val="0"/>
        <c:axPos val="l"/>
        <c:majorGridlines/>
        <c:numFmt formatCode="0.00_);[Red]\(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288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迭代阶段工作量偏差率的控制图</a:t>
            </a:r>
            <a:endParaRPr lang="en-US" altLang="zh-CN"/>
          </a:p>
        </c:rich>
      </c:tx>
      <c:layout/>
      <c:overlay val="0"/>
    </c:title>
    <c:autoTitleDeleted val="0"/>
    <c:plotArea>
      <c:layout/>
      <c:lineChart>
        <c:grouping val="standard"/>
        <c:varyColors val="0"/>
        <c:ser>
          <c:idx val="0"/>
          <c:order val="0"/>
          <c:tx>
            <c:strRef>
              <c:f>工作量分布!$P$153</c:f>
              <c:strCache>
                <c:ptCount val="1"/>
                <c:pt idx="0">
                  <c:v>项目数据</c:v>
                </c:pt>
              </c:strCache>
            </c:strRef>
          </c:tx>
          <c:dLbls>
            <c:delete val="1"/>
          </c:dLbls>
          <c:cat>
            <c:strRef>
              <c:f>工作量分布!$O$154:$O$157</c:f>
              <c:strCache>
                <c:ptCount val="4"/>
                <c:pt idx="0">
                  <c:v>需求过程</c:v>
                </c:pt>
                <c:pt idx="1">
                  <c:v>设计过程</c:v>
                </c:pt>
                <c:pt idx="2">
                  <c:v>开发过程</c:v>
                </c:pt>
                <c:pt idx="3">
                  <c:v>测试过程</c:v>
                </c:pt>
              </c:strCache>
            </c:strRef>
          </c:cat>
          <c:val>
            <c:numRef>
              <c:f>工作量分布!$P$154:$P$157</c:f>
              <c:numCache>
                <c:formatCode>0.00_);[Red]\(0.00\)</c:formatCode>
                <c:ptCount val="4"/>
                <c:pt idx="0">
                  <c:v>-0.0613501539385748</c:v>
                </c:pt>
                <c:pt idx="1">
                  <c:v>0.018711156460782</c:v>
                </c:pt>
                <c:pt idx="2">
                  <c:v>-0.0332118949785887</c:v>
                </c:pt>
                <c:pt idx="3">
                  <c:v>-0.0268409684216107</c:v>
                </c:pt>
              </c:numCache>
            </c:numRef>
          </c:val>
          <c:smooth val="0"/>
        </c:ser>
        <c:ser>
          <c:idx val="1"/>
          <c:order val="1"/>
          <c:tx>
            <c:strRef>
              <c:f>工作量分布!$Q$153</c:f>
              <c:strCache>
                <c:ptCount val="1"/>
                <c:pt idx="0">
                  <c:v>LOL</c:v>
                </c:pt>
              </c:strCache>
            </c:strRef>
          </c:tx>
          <c:dLbls>
            <c:delete val="1"/>
          </c:dLbls>
          <c:cat>
            <c:strRef>
              <c:f>工作量分布!$O$154:$O$157</c:f>
              <c:strCache>
                <c:ptCount val="4"/>
                <c:pt idx="0">
                  <c:v>需求过程</c:v>
                </c:pt>
                <c:pt idx="1">
                  <c:v>设计过程</c:v>
                </c:pt>
                <c:pt idx="2">
                  <c:v>开发过程</c:v>
                </c:pt>
                <c:pt idx="3">
                  <c:v>测试过程</c:v>
                </c:pt>
              </c:strCache>
            </c:strRef>
          </c:cat>
          <c:val>
            <c:numRef>
              <c:f>工作量分布!$Q$154:$Q$157</c:f>
              <c:numCache>
                <c:formatCode>General</c:formatCode>
                <c:ptCount val="4"/>
                <c:pt idx="0">
                  <c:v>-0.15</c:v>
                </c:pt>
                <c:pt idx="1">
                  <c:v>-0.15</c:v>
                </c:pt>
                <c:pt idx="2">
                  <c:v>-0.15</c:v>
                </c:pt>
                <c:pt idx="3">
                  <c:v>-0.15</c:v>
                </c:pt>
              </c:numCache>
            </c:numRef>
          </c:val>
          <c:smooth val="0"/>
        </c:ser>
        <c:ser>
          <c:idx val="2"/>
          <c:order val="2"/>
          <c:tx>
            <c:strRef>
              <c:f>工作量分布!$R$153</c:f>
              <c:strCache>
                <c:ptCount val="1"/>
                <c:pt idx="0">
                  <c:v>OL</c:v>
                </c:pt>
              </c:strCache>
            </c:strRef>
          </c:tx>
          <c:dLbls>
            <c:delete val="1"/>
          </c:dLbls>
          <c:cat>
            <c:strRef>
              <c:f>工作量分布!$O$154:$O$157</c:f>
              <c:strCache>
                <c:ptCount val="4"/>
                <c:pt idx="0">
                  <c:v>需求过程</c:v>
                </c:pt>
                <c:pt idx="1">
                  <c:v>设计过程</c:v>
                </c:pt>
                <c:pt idx="2">
                  <c:v>开发过程</c:v>
                </c:pt>
                <c:pt idx="3">
                  <c:v>测试过程</c:v>
                </c:pt>
              </c:strCache>
            </c:strRef>
          </c:cat>
          <c:val>
            <c:numRef>
              <c:f>工作量分布!$R$154:$R$157</c:f>
              <c:numCache>
                <c:formatCode>0.0000_);[Red]\(0.0000\)</c:formatCode>
                <c:ptCount val="4"/>
                <c:pt idx="0">
                  <c:v>0.1262</c:v>
                </c:pt>
                <c:pt idx="1">
                  <c:v>0.1262</c:v>
                </c:pt>
                <c:pt idx="2">
                  <c:v>0.1262</c:v>
                </c:pt>
                <c:pt idx="3">
                  <c:v>0.1262</c:v>
                </c:pt>
              </c:numCache>
            </c:numRef>
          </c:val>
          <c:smooth val="0"/>
        </c:ser>
        <c:ser>
          <c:idx val="3"/>
          <c:order val="3"/>
          <c:tx>
            <c:strRef>
              <c:f>工作量分布!$S$153</c:f>
              <c:strCache>
                <c:ptCount val="1"/>
                <c:pt idx="0">
                  <c:v>UOL</c:v>
                </c:pt>
              </c:strCache>
            </c:strRef>
          </c:tx>
          <c:dLbls>
            <c:delete val="1"/>
          </c:dLbls>
          <c:cat>
            <c:strRef>
              <c:f>工作量分布!$O$154:$O$157</c:f>
              <c:strCache>
                <c:ptCount val="4"/>
                <c:pt idx="0">
                  <c:v>需求过程</c:v>
                </c:pt>
                <c:pt idx="1">
                  <c:v>设计过程</c:v>
                </c:pt>
                <c:pt idx="2">
                  <c:v>开发过程</c:v>
                </c:pt>
                <c:pt idx="3">
                  <c:v>测试过程</c:v>
                </c:pt>
              </c:strCache>
            </c:strRef>
          </c:cat>
          <c:val>
            <c:numRef>
              <c:f>工作量分布!$S$154:$S$157</c:f>
              <c:numCache>
                <c:formatCode>0.0000_);[Red]\(0.0000\)</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27819616"/>
        <c:axId val="-327816352"/>
      </c:lineChart>
      <c:catAx>
        <c:axId val="-32781961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6352"/>
        <c:crosses val="autoZero"/>
        <c:auto val="1"/>
        <c:lblAlgn val="ctr"/>
        <c:lblOffset val="100"/>
        <c:noMultiLvlLbl val="0"/>
      </c:catAx>
      <c:valAx>
        <c:axId val="-327816352"/>
        <c:scaling>
          <c:orientation val="minMax"/>
        </c:scaling>
        <c:delete val="0"/>
        <c:axPos val="l"/>
        <c:majorGridlines/>
        <c:numFmt formatCode="0.00_);[Red]\(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961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迭代阶段工作量偏差率的控制图</a:t>
            </a:r>
            <a:endParaRPr lang="en-US" altLang="zh-CN"/>
          </a:p>
        </c:rich>
      </c:tx>
      <c:layout/>
      <c:overlay val="0"/>
    </c:title>
    <c:autoTitleDeleted val="0"/>
    <c:plotArea>
      <c:layout/>
      <c:lineChart>
        <c:grouping val="standard"/>
        <c:varyColors val="0"/>
        <c:ser>
          <c:idx val="0"/>
          <c:order val="0"/>
          <c:tx>
            <c:strRef>
              <c:f>工作量分布!$P$198</c:f>
              <c:strCache>
                <c:ptCount val="1"/>
                <c:pt idx="0">
                  <c:v>项目实际数据</c:v>
                </c:pt>
              </c:strCache>
            </c:strRef>
          </c:tx>
          <c:dLbls>
            <c:delete val="1"/>
          </c:dLbls>
          <c:cat>
            <c:strRef>
              <c:f>工作量分布!$O$199:$O$202</c:f>
              <c:strCache>
                <c:ptCount val="4"/>
                <c:pt idx="0">
                  <c:v>需求过程</c:v>
                </c:pt>
                <c:pt idx="1">
                  <c:v>设计过程</c:v>
                </c:pt>
                <c:pt idx="2">
                  <c:v>开发过程</c:v>
                </c:pt>
                <c:pt idx="3">
                  <c:v>测试过程</c:v>
                </c:pt>
              </c:strCache>
            </c:strRef>
          </c:cat>
          <c:val>
            <c:numRef>
              <c:f>工作量分布!$P$199:$P$202</c:f>
              <c:numCache>
                <c:formatCode>0.00_);[Red]\(0.00\)</c:formatCode>
                <c:ptCount val="4"/>
                <c:pt idx="0">
                  <c:v>0.311349049644638</c:v>
                </c:pt>
                <c:pt idx="1">
                  <c:v>-0.213190570213217</c:v>
                </c:pt>
                <c:pt idx="2">
                  <c:v>-0.0383882728061333</c:v>
                </c:pt>
                <c:pt idx="3">
                  <c:v>-0.111927678961875</c:v>
                </c:pt>
              </c:numCache>
            </c:numRef>
          </c:val>
          <c:smooth val="0"/>
        </c:ser>
        <c:ser>
          <c:idx val="1"/>
          <c:order val="1"/>
          <c:tx>
            <c:strRef>
              <c:f>工作量分布!$Q$198</c:f>
              <c:strCache>
                <c:ptCount val="1"/>
                <c:pt idx="0">
                  <c:v>LOL</c:v>
                </c:pt>
              </c:strCache>
            </c:strRef>
          </c:tx>
          <c:dLbls>
            <c:delete val="1"/>
          </c:dLbls>
          <c:cat>
            <c:strRef>
              <c:f>工作量分布!$O$199:$O$202</c:f>
              <c:strCache>
                <c:ptCount val="4"/>
                <c:pt idx="0">
                  <c:v>需求过程</c:v>
                </c:pt>
                <c:pt idx="1">
                  <c:v>设计过程</c:v>
                </c:pt>
                <c:pt idx="2">
                  <c:v>开发过程</c:v>
                </c:pt>
                <c:pt idx="3">
                  <c:v>测试过程</c:v>
                </c:pt>
              </c:strCache>
            </c:strRef>
          </c:cat>
          <c:val>
            <c:numRef>
              <c:f>工作量分布!$Q$199:$Q$202</c:f>
              <c:numCache>
                <c:formatCode>General</c:formatCode>
                <c:ptCount val="4"/>
                <c:pt idx="0">
                  <c:v>-0.15</c:v>
                </c:pt>
                <c:pt idx="1">
                  <c:v>-0.15</c:v>
                </c:pt>
                <c:pt idx="2">
                  <c:v>-0.15</c:v>
                </c:pt>
                <c:pt idx="3">
                  <c:v>-0.15</c:v>
                </c:pt>
              </c:numCache>
            </c:numRef>
          </c:val>
          <c:smooth val="0"/>
        </c:ser>
        <c:ser>
          <c:idx val="2"/>
          <c:order val="2"/>
          <c:tx>
            <c:strRef>
              <c:f>工作量分布!$R$198</c:f>
              <c:strCache>
                <c:ptCount val="1"/>
                <c:pt idx="0">
                  <c:v>OL</c:v>
                </c:pt>
              </c:strCache>
            </c:strRef>
          </c:tx>
          <c:dLbls>
            <c:delete val="1"/>
          </c:dLbls>
          <c:cat>
            <c:strRef>
              <c:f>工作量分布!$O$199:$O$202</c:f>
              <c:strCache>
                <c:ptCount val="4"/>
                <c:pt idx="0">
                  <c:v>需求过程</c:v>
                </c:pt>
                <c:pt idx="1">
                  <c:v>设计过程</c:v>
                </c:pt>
                <c:pt idx="2">
                  <c:v>开发过程</c:v>
                </c:pt>
                <c:pt idx="3">
                  <c:v>测试过程</c:v>
                </c:pt>
              </c:strCache>
            </c:strRef>
          </c:cat>
          <c:val>
            <c:numRef>
              <c:f>工作量分布!$R$199:$R$202</c:f>
              <c:numCache>
                <c:formatCode>0.0000_);[Red]\(0.0000\)</c:formatCode>
                <c:ptCount val="4"/>
                <c:pt idx="0">
                  <c:v>0.1262</c:v>
                </c:pt>
                <c:pt idx="1">
                  <c:v>0.1262</c:v>
                </c:pt>
                <c:pt idx="2">
                  <c:v>0.1262</c:v>
                </c:pt>
                <c:pt idx="3">
                  <c:v>0.1262</c:v>
                </c:pt>
              </c:numCache>
            </c:numRef>
          </c:val>
          <c:smooth val="0"/>
        </c:ser>
        <c:ser>
          <c:idx val="3"/>
          <c:order val="3"/>
          <c:tx>
            <c:strRef>
              <c:f>工作量分布!$S$198</c:f>
              <c:strCache>
                <c:ptCount val="1"/>
                <c:pt idx="0">
                  <c:v>UOL</c:v>
                </c:pt>
              </c:strCache>
            </c:strRef>
          </c:tx>
          <c:dLbls>
            <c:delete val="1"/>
          </c:dLbls>
          <c:cat>
            <c:strRef>
              <c:f>工作量分布!$O$199:$O$202</c:f>
              <c:strCache>
                <c:ptCount val="4"/>
                <c:pt idx="0">
                  <c:v>需求过程</c:v>
                </c:pt>
                <c:pt idx="1">
                  <c:v>设计过程</c:v>
                </c:pt>
                <c:pt idx="2">
                  <c:v>开发过程</c:v>
                </c:pt>
                <c:pt idx="3">
                  <c:v>测试过程</c:v>
                </c:pt>
              </c:strCache>
            </c:strRef>
          </c:cat>
          <c:val>
            <c:numRef>
              <c:f>工作量分布!$S$199:$S$202</c:f>
              <c:numCache>
                <c:formatCode>0.0000_);[Red]\(0.0000\)</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27819072"/>
        <c:axId val="-327818528"/>
      </c:lineChart>
      <c:catAx>
        <c:axId val="-32781907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8528"/>
        <c:crosses val="autoZero"/>
        <c:auto val="1"/>
        <c:lblAlgn val="ctr"/>
        <c:lblOffset val="100"/>
        <c:noMultiLvlLbl val="0"/>
      </c:catAx>
      <c:valAx>
        <c:axId val="-327818528"/>
        <c:scaling>
          <c:orientation val="minMax"/>
        </c:scaling>
        <c:delete val="0"/>
        <c:axPos val="l"/>
        <c:majorGridlines/>
        <c:numFmt formatCode="0.00_);[Red]\(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907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迭代阶段工作量偏差率的控制图</a:t>
            </a:r>
            <a:endParaRPr lang="en-US" altLang="zh-CN"/>
          </a:p>
        </c:rich>
      </c:tx>
      <c:layout/>
      <c:overlay val="0"/>
    </c:title>
    <c:autoTitleDeleted val="0"/>
    <c:plotArea>
      <c:layout/>
      <c:lineChart>
        <c:grouping val="standard"/>
        <c:varyColors val="0"/>
        <c:ser>
          <c:idx val="0"/>
          <c:order val="0"/>
          <c:tx>
            <c:strRef>
              <c:f>工作量分布!$P$63</c:f>
              <c:strCache>
                <c:ptCount val="1"/>
                <c:pt idx="0">
                  <c:v>项目数据</c:v>
                </c:pt>
              </c:strCache>
            </c:strRef>
          </c:tx>
          <c:dLbls>
            <c:delete val="1"/>
          </c:dLbls>
          <c:cat>
            <c:strRef>
              <c:f>工作量分布!$O$64:$O$67</c:f>
              <c:strCache>
                <c:ptCount val="4"/>
                <c:pt idx="0">
                  <c:v>需求过程</c:v>
                </c:pt>
                <c:pt idx="1">
                  <c:v>设计过程</c:v>
                </c:pt>
                <c:pt idx="2">
                  <c:v>开发过程</c:v>
                </c:pt>
                <c:pt idx="3">
                  <c:v>测试过程</c:v>
                </c:pt>
              </c:strCache>
            </c:strRef>
          </c:cat>
          <c:val>
            <c:numRef>
              <c:f>工作量分布!$P$64:$P$67</c:f>
              <c:numCache>
                <c:formatCode>0.00_);[Red]\(0.00\)</c:formatCode>
                <c:ptCount val="4"/>
                <c:pt idx="0">
                  <c:v>-0.0337428055250033</c:v>
                </c:pt>
                <c:pt idx="1">
                  <c:v>-0.0513111181518217</c:v>
                </c:pt>
                <c:pt idx="2">
                  <c:v>-0.0221593026941344</c:v>
                </c:pt>
                <c:pt idx="3">
                  <c:v>-0.0996239778755714</c:v>
                </c:pt>
              </c:numCache>
            </c:numRef>
          </c:val>
          <c:smooth val="0"/>
        </c:ser>
        <c:ser>
          <c:idx val="1"/>
          <c:order val="1"/>
          <c:tx>
            <c:strRef>
              <c:f>工作量分布!$Q$63</c:f>
              <c:strCache>
                <c:ptCount val="1"/>
                <c:pt idx="0">
                  <c:v>LOL</c:v>
                </c:pt>
              </c:strCache>
            </c:strRef>
          </c:tx>
          <c:dLbls>
            <c:delete val="1"/>
          </c:dLbls>
          <c:cat>
            <c:strRef>
              <c:f>工作量分布!$O$64:$O$67</c:f>
              <c:strCache>
                <c:ptCount val="4"/>
                <c:pt idx="0">
                  <c:v>需求过程</c:v>
                </c:pt>
                <c:pt idx="1">
                  <c:v>设计过程</c:v>
                </c:pt>
                <c:pt idx="2">
                  <c:v>开发过程</c:v>
                </c:pt>
                <c:pt idx="3">
                  <c:v>测试过程</c:v>
                </c:pt>
              </c:strCache>
            </c:strRef>
          </c:cat>
          <c:val>
            <c:numRef>
              <c:f>工作量分布!$Q$64:$Q$67</c:f>
              <c:numCache>
                <c:formatCode>General</c:formatCode>
                <c:ptCount val="4"/>
                <c:pt idx="0">
                  <c:v>-0.15</c:v>
                </c:pt>
                <c:pt idx="1">
                  <c:v>-0.15</c:v>
                </c:pt>
                <c:pt idx="2">
                  <c:v>-0.15</c:v>
                </c:pt>
                <c:pt idx="3">
                  <c:v>-0.15</c:v>
                </c:pt>
              </c:numCache>
            </c:numRef>
          </c:val>
          <c:smooth val="0"/>
        </c:ser>
        <c:ser>
          <c:idx val="2"/>
          <c:order val="2"/>
          <c:tx>
            <c:strRef>
              <c:f>工作量分布!$R$63</c:f>
              <c:strCache>
                <c:ptCount val="1"/>
                <c:pt idx="0">
                  <c:v>OL</c:v>
                </c:pt>
              </c:strCache>
            </c:strRef>
          </c:tx>
          <c:dLbls>
            <c:delete val="1"/>
          </c:dLbls>
          <c:cat>
            <c:strRef>
              <c:f>工作量分布!$O$64:$O$67</c:f>
              <c:strCache>
                <c:ptCount val="4"/>
                <c:pt idx="0">
                  <c:v>需求过程</c:v>
                </c:pt>
                <c:pt idx="1">
                  <c:v>设计过程</c:v>
                </c:pt>
                <c:pt idx="2">
                  <c:v>开发过程</c:v>
                </c:pt>
                <c:pt idx="3">
                  <c:v>测试过程</c:v>
                </c:pt>
              </c:strCache>
            </c:strRef>
          </c:cat>
          <c:val>
            <c:numRef>
              <c:f>工作量分布!$R$64:$R$67</c:f>
              <c:numCache>
                <c:formatCode>0.0000_);[Red]\(0.0000\)</c:formatCode>
                <c:ptCount val="4"/>
                <c:pt idx="0">
                  <c:v>0.1262</c:v>
                </c:pt>
                <c:pt idx="1">
                  <c:v>0.1262</c:v>
                </c:pt>
                <c:pt idx="2">
                  <c:v>0.1262</c:v>
                </c:pt>
                <c:pt idx="3">
                  <c:v>0.1262</c:v>
                </c:pt>
              </c:numCache>
            </c:numRef>
          </c:val>
          <c:smooth val="0"/>
        </c:ser>
        <c:ser>
          <c:idx val="3"/>
          <c:order val="3"/>
          <c:tx>
            <c:strRef>
              <c:f>工作量分布!$S$63</c:f>
              <c:strCache>
                <c:ptCount val="1"/>
                <c:pt idx="0">
                  <c:v>UOL</c:v>
                </c:pt>
              </c:strCache>
            </c:strRef>
          </c:tx>
          <c:dLbls>
            <c:delete val="1"/>
          </c:dLbls>
          <c:cat>
            <c:strRef>
              <c:f>工作量分布!$O$64:$O$67</c:f>
              <c:strCache>
                <c:ptCount val="4"/>
                <c:pt idx="0">
                  <c:v>需求过程</c:v>
                </c:pt>
                <c:pt idx="1">
                  <c:v>设计过程</c:v>
                </c:pt>
                <c:pt idx="2">
                  <c:v>开发过程</c:v>
                </c:pt>
                <c:pt idx="3">
                  <c:v>测试过程</c:v>
                </c:pt>
              </c:strCache>
            </c:strRef>
          </c:cat>
          <c:val>
            <c:numRef>
              <c:f>工作量分布!$S$64:$S$67</c:f>
              <c:numCache>
                <c:formatCode>0.0000_);[Red]\(0.0000\)</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27827776"/>
        <c:axId val="-327822336"/>
      </c:lineChart>
      <c:catAx>
        <c:axId val="-32782777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2336"/>
        <c:crosses val="autoZero"/>
        <c:auto val="1"/>
        <c:lblAlgn val="ctr"/>
        <c:lblOffset val="100"/>
        <c:noMultiLvlLbl val="0"/>
      </c:catAx>
      <c:valAx>
        <c:axId val="-327822336"/>
        <c:scaling>
          <c:orientation val="minMax"/>
        </c:scaling>
        <c:delete val="0"/>
        <c:axPos val="l"/>
        <c:majorGridlines/>
        <c:numFmt formatCode="0.00_);[Red]\(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777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阶段工作量偏差率的控制图</a:t>
            </a:r>
            <a:endParaRPr lang="en-US" altLang="zh-CN"/>
          </a:p>
        </c:rich>
      </c:tx>
      <c:layout/>
      <c:overlay val="0"/>
    </c:title>
    <c:autoTitleDeleted val="0"/>
    <c:plotArea>
      <c:layout/>
      <c:lineChart>
        <c:grouping val="standard"/>
        <c:varyColors val="0"/>
        <c:ser>
          <c:idx val="0"/>
          <c:order val="0"/>
          <c:tx>
            <c:strRef>
              <c:f>工作量分布!$P$22</c:f>
              <c:strCache>
                <c:ptCount val="1"/>
                <c:pt idx="0">
                  <c:v>项目数据</c:v>
                </c:pt>
              </c:strCache>
            </c:strRef>
          </c:tx>
          <c:dLbls>
            <c:delete val="1"/>
          </c:dLbls>
          <c:cat>
            <c:strRef>
              <c:f>工作量分布!$O$23:$O$26</c:f>
              <c:strCache>
                <c:ptCount val="4"/>
                <c:pt idx="0">
                  <c:v>需求过程</c:v>
                </c:pt>
                <c:pt idx="1">
                  <c:v>设计过程</c:v>
                </c:pt>
                <c:pt idx="2">
                  <c:v>开发过程</c:v>
                </c:pt>
                <c:pt idx="3">
                  <c:v>测试过程</c:v>
                </c:pt>
              </c:strCache>
            </c:strRef>
          </c:cat>
          <c:val>
            <c:numRef>
              <c:f>工作量分布!$P$23:$P$26</c:f>
              <c:numCache>
                <c:formatCode>0.00_);[Red]\(0.00\)</c:formatCode>
                <c:ptCount val="4"/>
                <c:pt idx="0">
                  <c:v>-0.0337428055250033</c:v>
                </c:pt>
                <c:pt idx="1">
                  <c:v>-0.0505581904678148</c:v>
                </c:pt>
                <c:pt idx="2">
                  <c:v>-0.0335850492483544</c:v>
                </c:pt>
                <c:pt idx="3">
                  <c:v>-0.0276691888740177</c:v>
                </c:pt>
              </c:numCache>
            </c:numRef>
          </c:val>
          <c:smooth val="0"/>
        </c:ser>
        <c:ser>
          <c:idx val="1"/>
          <c:order val="1"/>
          <c:tx>
            <c:strRef>
              <c:f>工作量分布!$Q$22</c:f>
              <c:strCache>
                <c:ptCount val="1"/>
                <c:pt idx="0">
                  <c:v>LOL</c:v>
                </c:pt>
              </c:strCache>
            </c:strRef>
          </c:tx>
          <c:dLbls>
            <c:delete val="1"/>
          </c:dLbls>
          <c:cat>
            <c:strRef>
              <c:f>工作量分布!$O$23:$O$26</c:f>
              <c:strCache>
                <c:ptCount val="4"/>
                <c:pt idx="0">
                  <c:v>需求过程</c:v>
                </c:pt>
                <c:pt idx="1">
                  <c:v>设计过程</c:v>
                </c:pt>
                <c:pt idx="2">
                  <c:v>开发过程</c:v>
                </c:pt>
                <c:pt idx="3">
                  <c:v>测试过程</c:v>
                </c:pt>
              </c:strCache>
            </c:strRef>
          </c:cat>
          <c:val>
            <c:numRef>
              <c:f>工作量分布!$Q$23:$Q$26</c:f>
              <c:numCache>
                <c:formatCode>General</c:formatCode>
                <c:ptCount val="4"/>
                <c:pt idx="0">
                  <c:v>-0.15</c:v>
                </c:pt>
                <c:pt idx="1">
                  <c:v>-0.15</c:v>
                </c:pt>
                <c:pt idx="2">
                  <c:v>-0.15</c:v>
                </c:pt>
                <c:pt idx="3">
                  <c:v>-0.15</c:v>
                </c:pt>
              </c:numCache>
            </c:numRef>
          </c:val>
          <c:smooth val="0"/>
        </c:ser>
        <c:ser>
          <c:idx val="2"/>
          <c:order val="2"/>
          <c:tx>
            <c:strRef>
              <c:f>工作量分布!$R$22</c:f>
              <c:strCache>
                <c:ptCount val="1"/>
                <c:pt idx="0">
                  <c:v>OL</c:v>
                </c:pt>
              </c:strCache>
            </c:strRef>
          </c:tx>
          <c:dLbls>
            <c:delete val="1"/>
          </c:dLbls>
          <c:cat>
            <c:strRef>
              <c:f>工作量分布!$O$23:$O$26</c:f>
              <c:strCache>
                <c:ptCount val="4"/>
                <c:pt idx="0">
                  <c:v>需求过程</c:v>
                </c:pt>
                <c:pt idx="1">
                  <c:v>设计过程</c:v>
                </c:pt>
                <c:pt idx="2">
                  <c:v>开发过程</c:v>
                </c:pt>
                <c:pt idx="3">
                  <c:v>测试过程</c:v>
                </c:pt>
              </c:strCache>
            </c:strRef>
          </c:cat>
          <c:val>
            <c:numRef>
              <c:f>工作量分布!$R$23:$R$26</c:f>
              <c:numCache>
                <c:formatCode>0.0000_);[Red]\(0.0000\)</c:formatCode>
                <c:ptCount val="4"/>
                <c:pt idx="0">
                  <c:v>0.1262</c:v>
                </c:pt>
                <c:pt idx="1">
                  <c:v>0.1262</c:v>
                </c:pt>
                <c:pt idx="2">
                  <c:v>0.1262</c:v>
                </c:pt>
                <c:pt idx="3">
                  <c:v>0.1262</c:v>
                </c:pt>
              </c:numCache>
            </c:numRef>
          </c:val>
          <c:smooth val="0"/>
        </c:ser>
        <c:ser>
          <c:idx val="3"/>
          <c:order val="3"/>
          <c:tx>
            <c:strRef>
              <c:f>工作量分布!$S$22</c:f>
              <c:strCache>
                <c:ptCount val="1"/>
                <c:pt idx="0">
                  <c:v>UOL</c:v>
                </c:pt>
              </c:strCache>
            </c:strRef>
          </c:tx>
          <c:dLbls>
            <c:delete val="1"/>
          </c:dLbls>
          <c:cat>
            <c:strRef>
              <c:f>工作量分布!$O$23:$O$26</c:f>
              <c:strCache>
                <c:ptCount val="4"/>
                <c:pt idx="0">
                  <c:v>需求过程</c:v>
                </c:pt>
                <c:pt idx="1">
                  <c:v>设计过程</c:v>
                </c:pt>
                <c:pt idx="2">
                  <c:v>开发过程</c:v>
                </c:pt>
                <c:pt idx="3">
                  <c:v>测试过程</c:v>
                </c:pt>
              </c:strCache>
            </c:strRef>
          </c:cat>
          <c:val>
            <c:numRef>
              <c:f>工作量分布!$S$23:$S$26</c:f>
              <c:numCache>
                <c:formatCode>0.0000_);[Red]\(0.0000\)</c:formatCode>
                <c:ptCount val="4"/>
                <c:pt idx="0">
                  <c:v>0.3</c:v>
                </c:pt>
                <c:pt idx="1">
                  <c:v>0.3</c:v>
                </c:pt>
                <c:pt idx="2">
                  <c:v>0.3</c:v>
                </c:pt>
                <c:pt idx="3">
                  <c:v>0.3</c:v>
                </c:pt>
              </c:numCache>
            </c:numRef>
          </c:val>
          <c:smooth val="0"/>
        </c:ser>
        <c:dLbls>
          <c:showLegendKey val="0"/>
          <c:showVal val="0"/>
          <c:showCatName val="0"/>
          <c:showSerName val="0"/>
          <c:showPercent val="0"/>
          <c:showBubbleSize val="0"/>
        </c:dLbls>
        <c:marker val="1"/>
        <c:smooth val="0"/>
        <c:axId val="-327821792"/>
        <c:axId val="-327817440"/>
      </c:lineChart>
      <c:catAx>
        <c:axId val="-32782179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7440"/>
        <c:crosses val="autoZero"/>
        <c:auto val="1"/>
        <c:lblAlgn val="ctr"/>
        <c:lblOffset val="100"/>
        <c:noMultiLvlLbl val="0"/>
      </c:catAx>
      <c:valAx>
        <c:axId val="-327817440"/>
        <c:scaling>
          <c:orientation val="minMax"/>
        </c:scaling>
        <c:delete val="0"/>
        <c:axPos val="l"/>
        <c:majorGridlines/>
        <c:numFmt formatCode="0.00_);[Red]\(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179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估算之间的偏差</a:t>
            </a:r>
            <a:endParaRPr lang="zh-CN" altLang="en-US" sz="1100"/>
          </a:p>
        </c:rich>
      </c:tx>
      <c:layout/>
      <c:overlay val="0"/>
    </c:title>
    <c:autoTitleDeleted val="0"/>
    <c:plotArea>
      <c:layout/>
      <c:barChart>
        <c:barDir val="col"/>
        <c:grouping val="clustered"/>
        <c:varyColors val="1"/>
        <c:ser>
          <c:idx val="0"/>
          <c:order val="0"/>
          <c:invertIfNegative val="0"/>
          <c:dPt>
            <c:idx val="0"/>
            <c:invertIfNegative val="0"/>
            <c:bubble3D val="0"/>
          </c:dPt>
          <c:dPt>
            <c:idx val="1"/>
            <c:invertIfNegative val="0"/>
            <c:bubble3D val="0"/>
          </c:dPt>
          <c:dPt>
            <c:idx val="2"/>
            <c:invertIfNegative val="0"/>
            <c:bubble3D val="0"/>
          </c:dPt>
          <c:dPt>
            <c:idx val="3"/>
            <c:invertIfNegative val="0"/>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项目进度!$A$60:$A$63</c:f>
              <c:strCache>
                <c:ptCount val="4"/>
                <c:pt idx="0" c:formatCode="0.00_);[Red]\(0.00\)">
                  <c:v>迭代一</c:v>
                </c:pt>
                <c:pt idx="1" c:formatCode="0.00_);[Red]\(0.00\)">
                  <c:v>迭代二</c:v>
                </c:pt>
                <c:pt idx="2" c:formatCode="0.00_);[Red]\(0.00\)">
                  <c:v>迭代三</c:v>
                </c:pt>
                <c:pt idx="3" c:formatCode="0.00_);[Red]\(0.00\)">
                  <c:v>迭代四</c:v>
                </c:pt>
              </c:strCache>
            </c:strRef>
          </c:cat>
          <c:val>
            <c:numRef>
              <c:f>项目进度!$G$60:$G$63</c:f>
              <c:numCache>
                <c:formatCode>0.00_);[Red]\(0.00\)</c:formatCode>
                <c:ptCount val="4"/>
                <c:pt idx="0">
                  <c:v>0.383488333333333</c:v>
                </c:pt>
                <c:pt idx="1">
                  <c:v>-0.119598333333333</c:v>
                </c:pt>
                <c:pt idx="2">
                  <c:v>-0.396296</c:v>
                </c:pt>
                <c:pt idx="3">
                  <c:v>-0.195061333333333</c:v>
                </c:pt>
              </c:numCache>
            </c:numRef>
          </c:val>
        </c:ser>
        <c:dLbls>
          <c:showLegendKey val="0"/>
          <c:showVal val="0"/>
          <c:showCatName val="0"/>
          <c:showSerName val="0"/>
          <c:showPercent val="0"/>
          <c:showBubbleSize val="0"/>
        </c:dLbls>
        <c:gapWidth val="150"/>
        <c:axId val="-327815808"/>
        <c:axId val="-327815264"/>
      </c:barChart>
      <c:catAx>
        <c:axId val="-327815808"/>
        <c:scaling>
          <c:orientation val="minMax"/>
        </c:scaling>
        <c:delete val="1"/>
        <c:axPos val="b"/>
        <c:numFmt formatCode="General" sourceLinked="0"/>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5264"/>
        <c:crosses val="autoZero"/>
        <c:auto val="1"/>
        <c:lblAlgn val="ctr"/>
        <c:lblOffset val="100"/>
        <c:noMultiLvlLbl val="0"/>
      </c:catAx>
      <c:valAx>
        <c:axId val="-327815264"/>
        <c:scaling>
          <c:orientation val="minMax"/>
        </c:scaling>
        <c:delete val="0"/>
        <c:axPos val="l"/>
        <c:majorGridlines/>
        <c:numFmt formatCode="0.00_);[Red]\(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1580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进度偏差的控制图</a:t>
            </a:r>
            <a:endParaRPr lang="en-US" altLang="zh-CN"/>
          </a:p>
        </c:rich>
      </c:tx>
      <c:layout/>
      <c:overlay val="0"/>
    </c:title>
    <c:autoTitleDeleted val="0"/>
    <c:plotArea>
      <c:layout/>
      <c:lineChart>
        <c:grouping val="standard"/>
        <c:varyColors val="0"/>
        <c:ser>
          <c:idx val="0"/>
          <c:order val="0"/>
          <c:tx>
            <c:strRef>
              <c:f>项目进度!$B$31</c:f>
              <c:strCache>
                <c:ptCount val="1"/>
                <c:pt idx="0">
                  <c:v>LOL</c:v>
                </c:pt>
              </c:strCache>
            </c:strRef>
          </c:tx>
          <c:dLbls>
            <c:delete val="1"/>
          </c:dLbls>
          <c:cat>
            <c:strRef>
              <c:f>[0]!周次于画图</c:f>
              <c:strCache>
                <c:ptCount val="27"/>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pt idx="21">
                  <c:v>第22周</c:v>
                </c:pt>
                <c:pt idx="22">
                  <c:v>第23周</c:v>
                </c:pt>
                <c:pt idx="23">
                  <c:v>第24周</c:v>
                </c:pt>
                <c:pt idx="24">
                  <c:v>第25周</c:v>
                </c:pt>
                <c:pt idx="25">
                  <c:v>第26周</c:v>
                </c:pt>
                <c:pt idx="26">
                  <c:v>第27周</c:v>
                </c:pt>
              </c:strCache>
            </c:strRef>
          </c:cat>
          <c:val>
            <c:numRef>
              <c:f>[0]!进度偏差的下限于画图</c:f>
              <c:numCache>
                <c:formatCode>0.00%</c:formatCode>
                <c:ptCount val="27"/>
                <c:pt idx="0">
                  <c:v>-0.1037</c:v>
                </c:pt>
                <c:pt idx="1">
                  <c:v>-0.1037</c:v>
                </c:pt>
                <c:pt idx="2">
                  <c:v>-0.1037</c:v>
                </c:pt>
                <c:pt idx="3">
                  <c:v>-0.1037</c:v>
                </c:pt>
                <c:pt idx="4">
                  <c:v>-0.1037</c:v>
                </c:pt>
                <c:pt idx="5">
                  <c:v>-0.1037</c:v>
                </c:pt>
                <c:pt idx="6">
                  <c:v>-0.1037</c:v>
                </c:pt>
                <c:pt idx="7">
                  <c:v>-0.1037</c:v>
                </c:pt>
                <c:pt idx="8">
                  <c:v>-0.1037</c:v>
                </c:pt>
                <c:pt idx="9">
                  <c:v>-0.1037</c:v>
                </c:pt>
                <c:pt idx="10">
                  <c:v>-0.1037</c:v>
                </c:pt>
                <c:pt idx="11">
                  <c:v>-0.1037</c:v>
                </c:pt>
                <c:pt idx="12">
                  <c:v>-0.1037</c:v>
                </c:pt>
                <c:pt idx="13">
                  <c:v>-0.1037</c:v>
                </c:pt>
                <c:pt idx="14">
                  <c:v>-0.1037</c:v>
                </c:pt>
                <c:pt idx="15">
                  <c:v>-0.1037</c:v>
                </c:pt>
                <c:pt idx="16">
                  <c:v>-0.1037</c:v>
                </c:pt>
                <c:pt idx="17">
                  <c:v>-0.1037</c:v>
                </c:pt>
                <c:pt idx="18">
                  <c:v>-0.1037</c:v>
                </c:pt>
                <c:pt idx="19">
                  <c:v>-0.1037</c:v>
                </c:pt>
                <c:pt idx="20">
                  <c:v>-0.1037</c:v>
                </c:pt>
                <c:pt idx="21">
                  <c:v>-0.1037</c:v>
                </c:pt>
                <c:pt idx="22">
                  <c:v>-0.1037</c:v>
                </c:pt>
                <c:pt idx="23">
                  <c:v>-0.1037</c:v>
                </c:pt>
                <c:pt idx="24">
                  <c:v>-0.1037</c:v>
                </c:pt>
                <c:pt idx="25">
                  <c:v>-0.1037</c:v>
                </c:pt>
                <c:pt idx="26">
                  <c:v>-0.1037</c:v>
                </c:pt>
              </c:numCache>
            </c:numRef>
          </c:val>
          <c:smooth val="0"/>
        </c:ser>
        <c:ser>
          <c:idx val="1"/>
          <c:order val="1"/>
          <c:tx>
            <c:strRef>
              <c:f>项目进度!$B$32</c:f>
              <c:strCache>
                <c:ptCount val="1"/>
                <c:pt idx="0">
                  <c:v>OL</c:v>
                </c:pt>
              </c:strCache>
            </c:strRef>
          </c:tx>
          <c:dLbls>
            <c:delete val="1"/>
          </c:dLbls>
          <c:cat>
            <c:strRef>
              <c:f>[0]!周次于画图</c:f>
              <c:strCache>
                <c:ptCount val="27"/>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pt idx="21">
                  <c:v>第22周</c:v>
                </c:pt>
                <c:pt idx="22">
                  <c:v>第23周</c:v>
                </c:pt>
                <c:pt idx="23">
                  <c:v>第24周</c:v>
                </c:pt>
                <c:pt idx="24">
                  <c:v>第25周</c:v>
                </c:pt>
                <c:pt idx="25">
                  <c:v>第26周</c:v>
                </c:pt>
                <c:pt idx="26">
                  <c:v>第27周</c:v>
                </c:pt>
              </c:strCache>
            </c:strRef>
          </c:cat>
          <c:val>
            <c:numRef>
              <c:f>[0]!进度偏差的均值于画图</c:f>
              <c:numCache>
                <c:formatCode>0.00%</c:formatCode>
                <c:ptCount val="27"/>
                <c:pt idx="0">
                  <c:v>-0.0171</c:v>
                </c:pt>
                <c:pt idx="1">
                  <c:v>-0.0171</c:v>
                </c:pt>
                <c:pt idx="2">
                  <c:v>-0.0171</c:v>
                </c:pt>
                <c:pt idx="3">
                  <c:v>-0.0171</c:v>
                </c:pt>
                <c:pt idx="4">
                  <c:v>-0.0171</c:v>
                </c:pt>
                <c:pt idx="5">
                  <c:v>-0.0171</c:v>
                </c:pt>
                <c:pt idx="6">
                  <c:v>-0.0171</c:v>
                </c:pt>
                <c:pt idx="7">
                  <c:v>-0.0171</c:v>
                </c:pt>
                <c:pt idx="8">
                  <c:v>-0.0171</c:v>
                </c:pt>
                <c:pt idx="9">
                  <c:v>-0.0171</c:v>
                </c:pt>
                <c:pt idx="10">
                  <c:v>-0.0171</c:v>
                </c:pt>
                <c:pt idx="11">
                  <c:v>-0.0171</c:v>
                </c:pt>
                <c:pt idx="12">
                  <c:v>-0.0171</c:v>
                </c:pt>
                <c:pt idx="13">
                  <c:v>-0.0171</c:v>
                </c:pt>
                <c:pt idx="14">
                  <c:v>-0.0171</c:v>
                </c:pt>
                <c:pt idx="15">
                  <c:v>-0.0171</c:v>
                </c:pt>
                <c:pt idx="16">
                  <c:v>-0.0171</c:v>
                </c:pt>
                <c:pt idx="17">
                  <c:v>-0.0171</c:v>
                </c:pt>
                <c:pt idx="18">
                  <c:v>-0.0171</c:v>
                </c:pt>
                <c:pt idx="19">
                  <c:v>-0.0171</c:v>
                </c:pt>
                <c:pt idx="20">
                  <c:v>-0.0171</c:v>
                </c:pt>
                <c:pt idx="21">
                  <c:v>-0.0171</c:v>
                </c:pt>
                <c:pt idx="22">
                  <c:v>-0.0171</c:v>
                </c:pt>
                <c:pt idx="23">
                  <c:v>-0.0171</c:v>
                </c:pt>
                <c:pt idx="24">
                  <c:v>-0.0171</c:v>
                </c:pt>
                <c:pt idx="25">
                  <c:v>-0.0171</c:v>
                </c:pt>
                <c:pt idx="26">
                  <c:v>-0.0171</c:v>
                </c:pt>
              </c:numCache>
            </c:numRef>
          </c:val>
          <c:smooth val="0"/>
        </c:ser>
        <c:ser>
          <c:idx val="2"/>
          <c:order val="2"/>
          <c:tx>
            <c:strRef>
              <c:f>项目进度!$B$33</c:f>
              <c:strCache>
                <c:ptCount val="1"/>
                <c:pt idx="0">
                  <c:v>UOL</c:v>
                </c:pt>
              </c:strCache>
            </c:strRef>
          </c:tx>
          <c:dLbls>
            <c:delete val="1"/>
          </c:dLbls>
          <c:cat>
            <c:strRef>
              <c:f>[0]!周次于画图</c:f>
              <c:strCache>
                <c:ptCount val="27"/>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pt idx="21">
                  <c:v>第22周</c:v>
                </c:pt>
                <c:pt idx="22">
                  <c:v>第23周</c:v>
                </c:pt>
                <c:pt idx="23">
                  <c:v>第24周</c:v>
                </c:pt>
                <c:pt idx="24">
                  <c:v>第25周</c:v>
                </c:pt>
                <c:pt idx="25">
                  <c:v>第26周</c:v>
                </c:pt>
                <c:pt idx="26">
                  <c:v>第27周</c:v>
                </c:pt>
              </c:strCache>
            </c:strRef>
          </c:cat>
          <c:val>
            <c:numRef>
              <c:f>[0]!进度偏差的上限于画图</c:f>
              <c:numCache>
                <c:formatCode>0.00%</c:formatCode>
                <c:ptCount val="27"/>
                <c:pt idx="0">
                  <c:v>0.0695</c:v>
                </c:pt>
                <c:pt idx="1">
                  <c:v>0.0695</c:v>
                </c:pt>
                <c:pt idx="2">
                  <c:v>0.0695</c:v>
                </c:pt>
                <c:pt idx="3">
                  <c:v>0.0695</c:v>
                </c:pt>
                <c:pt idx="4">
                  <c:v>0.0695</c:v>
                </c:pt>
                <c:pt idx="5">
                  <c:v>0.0695</c:v>
                </c:pt>
                <c:pt idx="6">
                  <c:v>0.0695</c:v>
                </c:pt>
                <c:pt idx="7">
                  <c:v>0.0695</c:v>
                </c:pt>
                <c:pt idx="8">
                  <c:v>0.0695</c:v>
                </c:pt>
                <c:pt idx="9">
                  <c:v>0.0695</c:v>
                </c:pt>
                <c:pt idx="10">
                  <c:v>0.0695</c:v>
                </c:pt>
                <c:pt idx="11">
                  <c:v>0.0695</c:v>
                </c:pt>
                <c:pt idx="12">
                  <c:v>0.0695</c:v>
                </c:pt>
                <c:pt idx="13">
                  <c:v>0.0695</c:v>
                </c:pt>
                <c:pt idx="14">
                  <c:v>0.0695</c:v>
                </c:pt>
                <c:pt idx="15">
                  <c:v>0.0695</c:v>
                </c:pt>
                <c:pt idx="16">
                  <c:v>0.0695</c:v>
                </c:pt>
                <c:pt idx="17">
                  <c:v>0.0695</c:v>
                </c:pt>
                <c:pt idx="18">
                  <c:v>0.0695</c:v>
                </c:pt>
                <c:pt idx="19">
                  <c:v>0.0695</c:v>
                </c:pt>
                <c:pt idx="20">
                  <c:v>0.0695</c:v>
                </c:pt>
                <c:pt idx="21">
                  <c:v>0.0695</c:v>
                </c:pt>
                <c:pt idx="22">
                  <c:v>0.0695</c:v>
                </c:pt>
                <c:pt idx="23">
                  <c:v>0.0695</c:v>
                </c:pt>
                <c:pt idx="24">
                  <c:v>0.0695</c:v>
                </c:pt>
                <c:pt idx="25">
                  <c:v>0.0695</c:v>
                </c:pt>
                <c:pt idx="26">
                  <c:v>0.0695</c:v>
                </c:pt>
              </c:numCache>
            </c:numRef>
          </c:val>
          <c:smooth val="0"/>
        </c:ser>
        <c:ser>
          <c:idx val="3"/>
          <c:order val="3"/>
          <c:tx>
            <c:strRef>
              <c:f>项目进度!$A$29</c:f>
              <c:strCache>
                <c:ptCount val="1"/>
                <c:pt idx="0">
                  <c:v>项目数据</c:v>
                </c:pt>
              </c:strCache>
            </c:strRef>
          </c:tx>
          <c:dLbls>
            <c:delete val="1"/>
          </c:dLbls>
          <c:cat>
            <c:strRef>
              <c:f>[0]!周次于画图</c:f>
              <c:strCache>
                <c:ptCount val="27"/>
                <c:pt idx="0">
                  <c:v>第1周</c:v>
                </c:pt>
                <c:pt idx="1">
                  <c:v>第2周</c:v>
                </c:pt>
                <c:pt idx="2">
                  <c:v>第3周</c:v>
                </c:pt>
                <c:pt idx="3">
                  <c:v>第4周</c:v>
                </c:pt>
                <c:pt idx="4">
                  <c:v>第5周</c:v>
                </c:pt>
                <c:pt idx="5">
                  <c:v>第6周</c:v>
                </c:pt>
                <c:pt idx="6">
                  <c:v>第7周</c:v>
                </c:pt>
                <c:pt idx="7">
                  <c:v>第8周</c:v>
                </c:pt>
                <c:pt idx="8">
                  <c:v>第9周</c:v>
                </c:pt>
                <c:pt idx="9">
                  <c:v>第10周</c:v>
                </c:pt>
                <c:pt idx="10">
                  <c:v>第11周</c:v>
                </c:pt>
                <c:pt idx="11">
                  <c:v>第12周</c:v>
                </c:pt>
                <c:pt idx="12">
                  <c:v>第13周</c:v>
                </c:pt>
                <c:pt idx="13">
                  <c:v>第14周</c:v>
                </c:pt>
                <c:pt idx="14">
                  <c:v>第15周</c:v>
                </c:pt>
                <c:pt idx="15">
                  <c:v>第16周</c:v>
                </c:pt>
                <c:pt idx="16">
                  <c:v>第17周</c:v>
                </c:pt>
                <c:pt idx="17">
                  <c:v>第18周</c:v>
                </c:pt>
                <c:pt idx="18">
                  <c:v>第19周</c:v>
                </c:pt>
                <c:pt idx="19">
                  <c:v>第20周</c:v>
                </c:pt>
                <c:pt idx="20">
                  <c:v>第21周</c:v>
                </c:pt>
                <c:pt idx="21">
                  <c:v>第22周</c:v>
                </c:pt>
                <c:pt idx="22">
                  <c:v>第23周</c:v>
                </c:pt>
                <c:pt idx="23">
                  <c:v>第24周</c:v>
                </c:pt>
                <c:pt idx="24">
                  <c:v>第25周</c:v>
                </c:pt>
                <c:pt idx="25">
                  <c:v>第26周</c:v>
                </c:pt>
                <c:pt idx="26">
                  <c:v>第27周</c:v>
                </c:pt>
              </c:strCache>
            </c:strRef>
          </c:cat>
          <c:val>
            <c:numRef>
              <c:f>[0]!周进度偏差于画图</c:f>
              <c:numCache>
                <c:formatCode>0.00%</c:formatCode>
                <c:ptCount val="27"/>
                <c:pt idx="0">
                  <c:v>0</c:v>
                </c:pt>
                <c:pt idx="1">
                  <c:v>0</c:v>
                </c:pt>
                <c:pt idx="2">
                  <c:v>0</c:v>
                </c:pt>
                <c:pt idx="3">
                  <c:v>0</c:v>
                </c:pt>
                <c:pt idx="4">
                  <c:v>-0.01</c:v>
                </c:pt>
                <c:pt idx="5">
                  <c:v>-0.02</c:v>
                </c:pt>
                <c:pt idx="6">
                  <c:v>-0.027</c:v>
                </c:pt>
                <c:pt idx="7">
                  <c:v>-0.0304</c:v>
                </c:pt>
                <c:pt idx="8">
                  <c:v>-0.0425</c:v>
                </c:pt>
                <c:pt idx="9">
                  <c:v>-0.05</c:v>
                </c:pt>
                <c:pt idx="10">
                  <c:v>-0.054</c:v>
                </c:pt>
                <c:pt idx="11">
                  <c:v>-0.034</c:v>
                </c:pt>
                <c:pt idx="12">
                  <c:v>-0.0103</c:v>
                </c:pt>
                <c:pt idx="13">
                  <c:v>0.0201</c:v>
                </c:pt>
                <c:pt idx="14">
                  <c:v>0.009</c:v>
                </c:pt>
                <c:pt idx="15">
                  <c:v>0.0068</c:v>
                </c:pt>
                <c:pt idx="16">
                  <c:v>-0.01</c:v>
                </c:pt>
                <c:pt idx="17">
                  <c:v>-0.0033</c:v>
                </c:pt>
                <c:pt idx="18">
                  <c:v>0.008</c:v>
                </c:pt>
                <c:pt idx="19">
                  <c:v>0.0115</c:v>
                </c:pt>
                <c:pt idx="20">
                  <c:v>-0.03</c:v>
                </c:pt>
                <c:pt idx="21">
                  <c:v>-0.023</c:v>
                </c:pt>
                <c:pt idx="22">
                  <c:v>-0.017</c:v>
                </c:pt>
                <c:pt idx="23">
                  <c:v>-0.024</c:v>
                </c:pt>
                <c:pt idx="24">
                  <c:v>-0.009</c:v>
                </c:pt>
                <c:pt idx="25">
                  <c:v>-0.004</c:v>
                </c:pt>
                <c:pt idx="26">
                  <c:v>0</c:v>
                </c:pt>
              </c:numCache>
            </c:numRef>
          </c:val>
          <c:smooth val="0"/>
        </c:ser>
        <c:dLbls>
          <c:showLegendKey val="0"/>
          <c:showVal val="0"/>
          <c:showCatName val="0"/>
          <c:showSerName val="0"/>
          <c:showPercent val="0"/>
          <c:showBubbleSize val="0"/>
        </c:dLbls>
        <c:marker val="1"/>
        <c:smooth val="0"/>
        <c:axId val="-327829952"/>
        <c:axId val="-327827232"/>
      </c:lineChart>
      <c:catAx>
        <c:axId val="-32782995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7232"/>
        <c:crosses val="autoZero"/>
        <c:auto val="1"/>
        <c:lblAlgn val="ctr"/>
        <c:lblOffset val="100"/>
        <c:noMultiLvlLbl val="0"/>
      </c:catAx>
      <c:valAx>
        <c:axId val="-327827232"/>
        <c:scaling>
          <c:orientation val="minMax"/>
        </c:scaling>
        <c:delete val="0"/>
        <c:axPos val="l"/>
        <c:majorGridlines/>
        <c:numFmt formatCode="0.00%"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995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迭代需求过程单位规模工期的控制图</a:t>
            </a:r>
            <a:endParaRPr lang="en-US" altLang="zh-CN"/>
          </a:p>
        </c:rich>
      </c:tx>
      <c:layout/>
      <c:overlay val="0"/>
    </c:title>
    <c:autoTitleDeleted val="0"/>
    <c:plotArea>
      <c:layout/>
      <c:lineChart>
        <c:grouping val="standard"/>
        <c:varyColors val="0"/>
        <c:ser>
          <c:idx val="0"/>
          <c:order val="0"/>
          <c:tx>
            <c:strRef>
              <c:f>项目进度!$O$4</c:f>
              <c:strCache>
                <c:ptCount val="1"/>
                <c:pt idx="0">
                  <c:v>项目实际数据</c:v>
                </c:pt>
              </c:strCache>
            </c:strRef>
          </c:tx>
          <c:dLbls>
            <c:delete val="1"/>
          </c:dLbls>
          <c:cat>
            <c:strRef>
              <c:f>项目进度!$N$5:$N$8</c:f>
              <c:strCache>
                <c:ptCount val="4"/>
                <c:pt idx="0">
                  <c:v>迭代一需求</c:v>
                </c:pt>
                <c:pt idx="1">
                  <c:v>迭代二需求</c:v>
                </c:pt>
                <c:pt idx="2">
                  <c:v>迭代三需求</c:v>
                </c:pt>
                <c:pt idx="3">
                  <c:v>迭代四需求</c:v>
                </c:pt>
              </c:strCache>
            </c:strRef>
          </c:cat>
          <c:val>
            <c:numRef>
              <c:f>项目进度!$O$5:$O$8</c:f>
              <c:numCache>
                <c:formatCode>0.0000_ </c:formatCode>
                <c:ptCount val="4"/>
                <c:pt idx="0">
                  <c:v>0.0327653997378768</c:v>
                </c:pt>
                <c:pt idx="1">
                  <c:v>0.0236313509255612</c:v>
                </c:pt>
                <c:pt idx="2">
                  <c:v>0.0463284688441047</c:v>
                </c:pt>
                <c:pt idx="3">
                  <c:v>0.0411918165591103</c:v>
                </c:pt>
              </c:numCache>
            </c:numRef>
          </c:val>
          <c:smooth val="0"/>
        </c:ser>
        <c:ser>
          <c:idx val="1"/>
          <c:order val="1"/>
          <c:tx>
            <c:strRef>
              <c:f>项目进度!$P$4</c:f>
              <c:strCache>
                <c:ptCount val="1"/>
                <c:pt idx="0">
                  <c:v>LOL</c:v>
                </c:pt>
              </c:strCache>
            </c:strRef>
          </c:tx>
          <c:dLbls>
            <c:delete val="1"/>
          </c:dLbls>
          <c:cat>
            <c:strRef>
              <c:f>项目进度!$N$5:$N$8</c:f>
              <c:strCache>
                <c:ptCount val="4"/>
                <c:pt idx="0">
                  <c:v>迭代一需求</c:v>
                </c:pt>
                <c:pt idx="1">
                  <c:v>迭代二需求</c:v>
                </c:pt>
                <c:pt idx="2">
                  <c:v>迭代三需求</c:v>
                </c:pt>
                <c:pt idx="3">
                  <c:v>迭代四需求</c:v>
                </c:pt>
              </c:strCache>
            </c:strRef>
          </c:cat>
          <c:val>
            <c:numRef>
              <c:f>项目进度!$P$5:$P$8</c:f>
              <c:numCache>
                <c:formatCode>0.0000_);[Red]\(0.0000\)</c:formatCode>
                <c:ptCount val="4"/>
                <c:pt idx="0">
                  <c:v>0.0041</c:v>
                </c:pt>
                <c:pt idx="1">
                  <c:v>0.0041</c:v>
                </c:pt>
                <c:pt idx="2">
                  <c:v>0.0041</c:v>
                </c:pt>
                <c:pt idx="3">
                  <c:v>0.0041</c:v>
                </c:pt>
              </c:numCache>
            </c:numRef>
          </c:val>
          <c:smooth val="0"/>
        </c:ser>
        <c:ser>
          <c:idx val="2"/>
          <c:order val="2"/>
          <c:tx>
            <c:strRef>
              <c:f>项目进度!$Q$4</c:f>
              <c:strCache>
                <c:ptCount val="1"/>
                <c:pt idx="0">
                  <c:v>OL</c:v>
                </c:pt>
              </c:strCache>
            </c:strRef>
          </c:tx>
          <c:dLbls>
            <c:delete val="1"/>
          </c:dLbls>
          <c:cat>
            <c:strRef>
              <c:f>项目进度!$N$5:$N$8</c:f>
              <c:strCache>
                <c:ptCount val="4"/>
                <c:pt idx="0">
                  <c:v>迭代一需求</c:v>
                </c:pt>
                <c:pt idx="1">
                  <c:v>迭代二需求</c:v>
                </c:pt>
                <c:pt idx="2">
                  <c:v>迭代三需求</c:v>
                </c:pt>
                <c:pt idx="3">
                  <c:v>迭代四需求</c:v>
                </c:pt>
              </c:strCache>
            </c:strRef>
          </c:cat>
          <c:val>
            <c:numRef>
              <c:f>项目进度!$Q$5:$Q$8</c:f>
              <c:numCache>
                <c:formatCode>0.0000_);[Red]\(0.0000\)</c:formatCode>
                <c:ptCount val="4"/>
                <c:pt idx="0">
                  <c:v>0.0341</c:v>
                </c:pt>
                <c:pt idx="1">
                  <c:v>0.0341</c:v>
                </c:pt>
                <c:pt idx="2">
                  <c:v>0.0341</c:v>
                </c:pt>
                <c:pt idx="3">
                  <c:v>0.0341</c:v>
                </c:pt>
              </c:numCache>
            </c:numRef>
          </c:val>
          <c:smooth val="0"/>
        </c:ser>
        <c:ser>
          <c:idx val="3"/>
          <c:order val="3"/>
          <c:tx>
            <c:strRef>
              <c:f>项目进度!$R$4</c:f>
              <c:strCache>
                <c:ptCount val="1"/>
                <c:pt idx="0">
                  <c:v>U0L</c:v>
                </c:pt>
              </c:strCache>
            </c:strRef>
          </c:tx>
          <c:dLbls>
            <c:delete val="1"/>
          </c:dLbls>
          <c:cat>
            <c:strRef>
              <c:f>项目进度!$N$5:$N$8</c:f>
              <c:strCache>
                <c:ptCount val="4"/>
                <c:pt idx="0">
                  <c:v>迭代一需求</c:v>
                </c:pt>
                <c:pt idx="1">
                  <c:v>迭代二需求</c:v>
                </c:pt>
                <c:pt idx="2">
                  <c:v>迭代三需求</c:v>
                </c:pt>
                <c:pt idx="3">
                  <c:v>迭代四需求</c:v>
                </c:pt>
              </c:strCache>
            </c:strRef>
          </c:cat>
          <c:val>
            <c:numRef>
              <c:f>项目进度!$R$5:$R$8</c:f>
              <c:numCache>
                <c:formatCode>0.0000_);[Red]\(0.0000\)</c:formatCode>
                <c:ptCount val="4"/>
                <c:pt idx="0">
                  <c:v>0.0641</c:v>
                </c:pt>
                <c:pt idx="1">
                  <c:v>0.0641</c:v>
                </c:pt>
                <c:pt idx="2">
                  <c:v>0.0641</c:v>
                </c:pt>
                <c:pt idx="3">
                  <c:v>0.0641</c:v>
                </c:pt>
              </c:numCache>
            </c:numRef>
          </c:val>
          <c:smooth val="0"/>
        </c:ser>
        <c:dLbls>
          <c:showLegendKey val="0"/>
          <c:showVal val="0"/>
          <c:showCatName val="0"/>
          <c:showSerName val="0"/>
          <c:showPercent val="0"/>
          <c:showBubbleSize val="0"/>
        </c:dLbls>
        <c:marker val="1"/>
        <c:smooth val="0"/>
        <c:axId val="-327826144"/>
        <c:axId val="-327825056"/>
      </c:lineChart>
      <c:catAx>
        <c:axId val="-32782614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5056"/>
        <c:crosses val="autoZero"/>
        <c:auto val="1"/>
        <c:lblAlgn val="ctr"/>
        <c:lblOffset val="100"/>
        <c:noMultiLvlLbl val="0"/>
      </c:catAx>
      <c:valAx>
        <c:axId val="-32782505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614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迭代开发过程单位规模工期的控制图</a:t>
            </a:r>
            <a:endParaRPr lang="en-US" altLang="zh-CN"/>
          </a:p>
        </c:rich>
      </c:tx>
      <c:layout/>
      <c:overlay val="0"/>
    </c:title>
    <c:autoTitleDeleted val="0"/>
    <c:plotArea>
      <c:layout/>
      <c:lineChart>
        <c:grouping val="standard"/>
        <c:varyColors val="0"/>
        <c:ser>
          <c:idx val="0"/>
          <c:order val="0"/>
          <c:tx>
            <c:strRef>
              <c:f>项目进度!$O$12</c:f>
              <c:strCache>
                <c:ptCount val="1"/>
                <c:pt idx="0">
                  <c:v>项目实际数据</c:v>
                </c:pt>
              </c:strCache>
            </c:strRef>
          </c:tx>
          <c:dLbls>
            <c:delete val="1"/>
          </c:dLbls>
          <c:cat>
            <c:strRef>
              <c:f>项目进度!$N$13:$N$16</c:f>
              <c:strCache>
                <c:ptCount val="4"/>
                <c:pt idx="0">
                  <c:v>迭代一开发</c:v>
                </c:pt>
                <c:pt idx="1">
                  <c:v>迭代二开发</c:v>
                </c:pt>
                <c:pt idx="2">
                  <c:v>迭代三开发</c:v>
                </c:pt>
                <c:pt idx="3">
                  <c:v>迭代四开发</c:v>
                </c:pt>
              </c:strCache>
            </c:strRef>
          </c:cat>
          <c:val>
            <c:numRef>
              <c:f>项目进度!$O$13:$O$16</c:f>
              <c:numCache>
                <c:formatCode>0.0000_ </c:formatCode>
                <c:ptCount val="4"/>
                <c:pt idx="0">
                  <c:v>0.147444298820446</c:v>
                </c:pt>
                <c:pt idx="1">
                  <c:v>0.228436392280425</c:v>
                </c:pt>
                <c:pt idx="2">
                  <c:v>0.39379198517489</c:v>
                </c:pt>
                <c:pt idx="3">
                  <c:v>0.192228477275848</c:v>
                </c:pt>
              </c:numCache>
            </c:numRef>
          </c:val>
          <c:smooth val="0"/>
        </c:ser>
        <c:ser>
          <c:idx val="1"/>
          <c:order val="1"/>
          <c:tx>
            <c:strRef>
              <c:f>项目进度!$P$12</c:f>
              <c:strCache>
                <c:ptCount val="1"/>
                <c:pt idx="0">
                  <c:v>LOL</c:v>
                </c:pt>
              </c:strCache>
            </c:strRef>
          </c:tx>
          <c:dLbls>
            <c:delete val="1"/>
          </c:dLbls>
          <c:cat>
            <c:strRef>
              <c:f>项目进度!$N$13:$N$16</c:f>
              <c:strCache>
                <c:ptCount val="4"/>
                <c:pt idx="0">
                  <c:v>迭代一开发</c:v>
                </c:pt>
                <c:pt idx="1">
                  <c:v>迭代二开发</c:v>
                </c:pt>
                <c:pt idx="2">
                  <c:v>迭代三开发</c:v>
                </c:pt>
                <c:pt idx="3">
                  <c:v>迭代四开发</c:v>
                </c:pt>
              </c:strCache>
            </c:strRef>
          </c:cat>
          <c:val>
            <c:numRef>
              <c:f>项目进度!$P$13:$P$16</c:f>
              <c:numCache>
                <c:formatCode>0.0000_);[Red]\(0.0000\)</c:formatCode>
                <c:ptCount val="4"/>
                <c:pt idx="0">
                  <c:v>0.0002</c:v>
                </c:pt>
                <c:pt idx="1">
                  <c:v>0.0002</c:v>
                </c:pt>
                <c:pt idx="2">
                  <c:v>0.0002</c:v>
                </c:pt>
                <c:pt idx="3">
                  <c:v>0.0002</c:v>
                </c:pt>
              </c:numCache>
            </c:numRef>
          </c:val>
          <c:smooth val="0"/>
        </c:ser>
        <c:ser>
          <c:idx val="2"/>
          <c:order val="2"/>
          <c:tx>
            <c:strRef>
              <c:f>项目进度!$Q$12</c:f>
              <c:strCache>
                <c:ptCount val="1"/>
                <c:pt idx="0">
                  <c:v>OL</c:v>
                </c:pt>
              </c:strCache>
            </c:strRef>
          </c:tx>
          <c:dLbls>
            <c:delete val="1"/>
          </c:dLbls>
          <c:cat>
            <c:strRef>
              <c:f>项目进度!$N$13:$N$16</c:f>
              <c:strCache>
                <c:ptCount val="4"/>
                <c:pt idx="0">
                  <c:v>迭代一开发</c:v>
                </c:pt>
                <c:pt idx="1">
                  <c:v>迭代二开发</c:v>
                </c:pt>
                <c:pt idx="2">
                  <c:v>迭代三开发</c:v>
                </c:pt>
                <c:pt idx="3">
                  <c:v>迭代四开发</c:v>
                </c:pt>
              </c:strCache>
            </c:strRef>
          </c:cat>
          <c:val>
            <c:numRef>
              <c:f>项目进度!$Q$13:$Q$16</c:f>
              <c:numCache>
                <c:formatCode>0.0000_);[Red]\(0.0000\)</c:formatCode>
                <c:ptCount val="4"/>
                <c:pt idx="0">
                  <c:v>0.269</c:v>
                </c:pt>
                <c:pt idx="1">
                  <c:v>0.269</c:v>
                </c:pt>
                <c:pt idx="2">
                  <c:v>0.269</c:v>
                </c:pt>
                <c:pt idx="3">
                  <c:v>0.269</c:v>
                </c:pt>
              </c:numCache>
            </c:numRef>
          </c:val>
          <c:smooth val="0"/>
        </c:ser>
        <c:ser>
          <c:idx val="3"/>
          <c:order val="3"/>
          <c:tx>
            <c:strRef>
              <c:f>项目进度!$R$12</c:f>
              <c:strCache>
                <c:ptCount val="1"/>
                <c:pt idx="0">
                  <c:v>U0L</c:v>
                </c:pt>
              </c:strCache>
            </c:strRef>
          </c:tx>
          <c:dLbls>
            <c:delete val="1"/>
          </c:dLbls>
          <c:cat>
            <c:strRef>
              <c:f>项目进度!$N$13:$N$16</c:f>
              <c:strCache>
                <c:ptCount val="4"/>
                <c:pt idx="0">
                  <c:v>迭代一开发</c:v>
                </c:pt>
                <c:pt idx="1">
                  <c:v>迭代二开发</c:v>
                </c:pt>
                <c:pt idx="2">
                  <c:v>迭代三开发</c:v>
                </c:pt>
                <c:pt idx="3">
                  <c:v>迭代四开发</c:v>
                </c:pt>
              </c:strCache>
            </c:strRef>
          </c:cat>
          <c:val>
            <c:numRef>
              <c:f>项目进度!$R$13:$R$16</c:f>
              <c:numCache>
                <c:formatCode>0.0000_);[Red]\(0.0000\)</c:formatCode>
                <c:ptCount val="4"/>
                <c:pt idx="0">
                  <c:v>0.5378</c:v>
                </c:pt>
                <c:pt idx="1">
                  <c:v>0.5378</c:v>
                </c:pt>
                <c:pt idx="2">
                  <c:v>0.5378</c:v>
                </c:pt>
                <c:pt idx="3">
                  <c:v>0.5378</c:v>
                </c:pt>
              </c:numCache>
            </c:numRef>
          </c:val>
          <c:smooth val="0"/>
        </c:ser>
        <c:dLbls>
          <c:showLegendKey val="0"/>
          <c:showVal val="0"/>
          <c:showCatName val="0"/>
          <c:showSerName val="0"/>
          <c:showPercent val="0"/>
          <c:showBubbleSize val="0"/>
        </c:dLbls>
        <c:marker val="1"/>
        <c:smooth val="0"/>
        <c:axId val="-327823968"/>
        <c:axId val="-324451872"/>
      </c:lineChart>
      <c:catAx>
        <c:axId val="-32782396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1872"/>
        <c:crosses val="autoZero"/>
        <c:auto val="1"/>
        <c:lblAlgn val="ctr"/>
        <c:lblOffset val="100"/>
        <c:noMultiLvlLbl val="0"/>
      </c:catAx>
      <c:valAx>
        <c:axId val="-32445187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782396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迭代测试过程单位规模工期的控制图</a:t>
            </a:r>
            <a:endParaRPr lang="en-US" altLang="zh-CN"/>
          </a:p>
        </c:rich>
      </c:tx>
      <c:layout/>
      <c:overlay val="0"/>
    </c:title>
    <c:autoTitleDeleted val="0"/>
    <c:plotArea>
      <c:layout/>
      <c:lineChart>
        <c:grouping val="standard"/>
        <c:varyColors val="0"/>
        <c:ser>
          <c:idx val="0"/>
          <c:order val="0"/>
          <c:tx>
            <c:strRef>
              <c:f>项目进度!$O$19</c:f>
              <c:strCache>
                <c:ptCount val="1"/>
                <c:pt idx="0">
                  <c:v>项目实际数据</c:v>
                </c:pt>
              </c:strCache>
            </c:strRef>
          </c:tx>
          <c:dLbls>
            <c:delete val="1"/>
          </c:dLbls>
          <c:cat>
            <c:strRef>
              <c:f>项目进度!$N$20:$N$23</c:f>
              <c:strCache>
                <c:ptCount val="4"/>
                <c:pt idx="0">
                  <c:v>迭代一测试</c:v>
                </c:pt>
                <c:pt idx="1">
                  <c:v>迭代二测试</c:v>
                </c:pt>
                <c:pt idx="2">
                  <c:v>迭代三测试</c:v>
                </c:pt>
                <c:pt idx="3">
                  <c:v>迭代四测试</c:v>
                </c:pt>
              </c:strCache>
            </c:strRef>
          </c:cat>
          <c:val>
            <c:numRef>
              <c:f>项目进度!$O$20:$O$23</c:f>
              <c:numCache>
                <c:formatCode>0.0000_ </c:formatCode>
                <c:ptCount val="4"/>
                <c:pt idx="0">
                  <c:v>0.139252948885976</c:v>
                </c:pt>
                <c:pt idx="1">
                  <c:v>0.165419456478929</c:v>
                </c:pt>
                <c:pt idx="2">
                  <c:v>0.231642344220524</c:v>
                </c:pt>
                <c:pt idx="3">
                  <c:v>0.123575449677331</c:v>
                </c:pt>
              </c:numCache>
            </c:numRef>
          </c:val>
          <c:smooth val="0"/>
        </c:ser>
        <c:ser>
          <c:idx val="1"/>
          <c:order val="1"/>
          <c:tx>
            <c:strRef>
              <c:f>项目进度!$P$19</c:f>
              <c:strCache>
                <c:ptCount val="1"/>
                <c:pt idx="0">
                  <c:v>LOL</c:v>
                </c:pt>
              </c:strCache>
            </c:strRef>
          </c:tx>
          <c:dLbls>
            <c:delete val="1"/>
          </c:dLbls>
          <c:cat>
            <c:strRef>
              <c:f>项目进度!$N$20:$N$23</c:f>
              <c:strCache>
                <c:ptCount val="4"/>
                <c:pt idx="0">
                  <c:v>迭代一测试</c:v>
                </c:pt>
                <c:pt idx="1">
                  <c:v>迭代二测试</c:v>
                </c:pt>
                <c:pt idx="2">
                  <c:v>迭代三测试</c:v>
                </c:pt>
                <c:pt idx="3">
                  <c:v>迭代四测试</c:v>
                </c:pt>
              </c:strCache>
            </c:strRef>
          </c:cat>
          <c:val>
            <c:numRef>
              <c:f>项目进度!$P$20:$P$23</c:f>
              <c:numCache>
                <c:formatCode>0.0000_);[Red]\(0.0000\)</c:formatCode>
                <c:ptCount val="4"/>
                <c:pt idx="0">
                  <c:v>0.0003</c:v>
                </c:pt>
                <c:pt idx="1">
                  <c:v>0.0003</c:v>
                </c:pt>
                <c:pt idx="2">
                  <c:v>0.0003</c:v>
                </c:pt>
                <c:pt idx="3">
                  <c:v>0.0003</c:v>
                </c:pt>
              </c:numCache>
            </c:numRef>
          </c:val>
          <c:smooth val="0"/>
        </c:ser>
        <c:ser>
          <c:idx val="2"/>
          <c:order val="2"/>
          <c:tx>
            <c:strRef>
              <c:f>项目进度!$Q$19</c:f>
              <c:strCache>
                <c:ptCount val="1"/>
                <c:pt idx="0">
                  <c:v>OL</c:v>
                </c:pt>
              </c:strCache>
            </c:strRef>
          </c:tx>
          <c:dLbls>
            <c:delete val="1"/>
          </c:dLbls>
          <c:cat>
            <c:strRef>
              <c:f>项目进度!$N$20:$N$23</c:f>
              <c:strCache>
                <c:ptCount val="4"/>
                <c:pt idx="0">
                  <c:v>迭代一测试</c:v>
                </c:pt>
                <c:pt idx="1">
                  <c:v>迭代二测试</c:v>
                </c:pt>
                <c:pt idx="2">
                  <c:v>迭代三测试</c:v>
                </c:pt>
                <c:pt idx="3">
                  <c:v>迭代四测试</c:v>
                </c:pt>
              </c:strCache>
            </c:strRef>
          </c:cat>
          <c:val>
            <c:numRef>
              <c:f>项目进度!$Q$20:$Q$23</c:f>
              <c:numCache>
                <c:formatCode>0.0000_);[Red]\(0.0000\)</c:formatCode>
                <c:ptCount val="4"/>
                <c:pt idx="0">
                  <c:v>0.2412</c:v>
                </c:pt>
                <c:pt idx="1">
                  <c:v>0.2412</c:v>
                </c:pt>
                <c:pt idx="2">
                  <c:v>0.2412</c:v>
                </c:pt>
                <c:pt idx="3">
                  <c:v>0.2412</c:v>
                </c:pt>
              </c:numCache>
            </c:numRef>
          </c:val>
          <c:smooth val="0"/>
        </c:ser>
        <c:ser>
          <c:idx val="3"/>
          <c:order val="3"/>
          <c:tx>
            <c:strRef>
              <c:f>项目进度!$R$19</c:f>
              <c:strCache>
                <c:ptCount val="1"/>
                <c:pt idx="0">
                  <c:v>U0L</c:v>
                </c:pt>
              </c:strCache>
            </c:strRef>
          </c:tx>
          <c:dLbls>
            <c:delete val="1"/>
          </c:dLbls>
          <c:cat>
            <c:strRef>
              <c:f>项目进度!$N$20:$N$23</c:f>
              <c:strCache>
                <c:ptCount val="4"/>
                <c:pt idx="0">
                  <c:v>迭代一测试</c:v>
                </c:pt>
                <c:pt idx="1">
                  <c:v>迭代二测试</c:v>
                </c:pt>
                <c:pt idx="2">
                  <c:v>迭代三测试</c:v>
                </c:pt>
                <c:pt idx="3">
                  <c:v>迭代四测试</c:v>
                </c:pt>
              </c:strCache>
            </c:strRef>
          </c:cat>
          <c:val>
            <c:numRef>
              <c:f>项目进度!$R$20:$R$23</c:f>
              <c:numCache>
                <c:formatCode>0.0000_);[Red]\(0.0000\)</c:formatCode>
                <c:ptCount val="4"/>
                <c:pt idx="0">
                  <c:v>0.4821</c:v>
                </c:pt>
                <c:pt idx="1">
                  <c:v>0.4821</c:v>
                </c:pt>
                <c:pt idx="2">
                  <c:v>0.4821</c:v>
                </c:pt>
                <c:pt idx="3">
                  <c:v>0.4821</c:v>
                </c:pt>
              </c:numCache>
            </c:numRef>
          </c:val>
          <c:smooth val="0"/>
        </c:ser>
        <c:dLbls>
          <c:showLegendKey val="0"/>
          <c:showVal val="0"/>
          <c:showCatName val="0"/>
          <c:showSerName val="0"/>
          <c:showPercent val="0"/>
          <c:showBubbleSize val="0"/>
        </c:dLbls>
        <c:marker val="1"/>
        <c:smooth val="0"/>
        <c:axId val="-324452416"/>
        <c:axId val="-324444800"/>
      </c:lineChart>
      <c:catAx>
        <c:axId val="-32445241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4800"/>
        <c:crosses val="autoZero"/>
        <c:auto val="1"/>
        <c:lblAlgn val="ctr"/>
        <c:lblOffset val="100"/>
        <c:noMultiLvlLbl val="0"/>
      </c:catAx>
      <c:valAx>
        <c:axId val="-3244448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241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layout/>
      <c:overlay val="0"/>
    </c:title>
    <c:autoTitleDeleted val="0"/>
    <c:plotArea>
      <c:layout/>
      <c:lineChart>
        <c:grouping val="standard"/>
        <c:varyColors val="0"/>
        <c:ser>
          <c:idx val="0"/>
          <c:order val="0"/>
          <c:tx>
            <c:strRef>
              <c:f>过程产出缺陷度量!$N$7</c:f>
              <c:strCache>
                <c:ptCount val="1"/>
                <c:pt idx="0">
                  <c:v>LOL</c:v>
                </c:pt>
              </c:strCache>
            </c:strRef>
          </c:tx>
          <c:dLbls>
            <c:delete val="1"/>
          </c:dLbls>
          <c:cat>
            <c:strRef>
              <c:f>[0]!客户需求评审次数</c:f>
              <c:strCache>
                <c:ptCount val="2"/>
                <c:pt idx="0" c:formatCode="m&quot;月&quot;d&quot;日&quot;">
                  <c:v>第1次评审</c:v>
                </c:pt>
                <c:pt idx="1" c:formatCode="m&quot;月&quot;d&quot;日&quot;">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过程产出缺陷度量!$O$7</c:f>
              <c:strCache>
                <c:ptCount val="1"/>
                <c:pt idx="0">
                  <c:v>OL</c:v>
                </c:pt>
              </c:strCache>
            </c:strRef>
          </c:tx>
          <c:dLbls>
            <c:delete val="1"/>
          </c:dLbls>
          <c:cat>
            <c:strRef>
              <c:f>[0]!客户需求评审次数</c:f>
              <c:strCache>
                <c:ptCount val="2"/>
                <c:pt idx="0" c:formatCode="m&quot;月&quot;d&quot;日&quot;">
                  <c:v>第1次评审</c:v>
                </c:pt>
                <c:pt idx="1" c:formatCode="m&quot;月&quot;d&quot;日&quot;">
                  <c:v>第2次评审</c:v>
                </c:pt>
              </c:strCache>
            </c:strRef>
          </c:cat>
          <c:val>
            <c:numRef>
              <c:f>[0]!客户需求评审缺陷密度的均值</c:f>
              <c:numCache>
                <c:formatCode>0.0000_ </c:formatCode>
                <c:ptCount val="2"/>
                <c:pt idx="0">
                  <c:v>0.2111</c:v>
                </c:pt>
                <c:pt idx="1">
                  <c:v>0.2111</c:v>
                </c:pt>
              </c:numCache>
            </c:numRef>
          </c:val>
          <c:smooth val="0"/>
        </c:ser>
        <c:ser>
          <c:idx val="2"/>
          <c:order val="2"/>
          <c:tx>
            <c:strRef>
              <c:f>过程产出缺陷度量!$P$7</c:f>
              <c:strCache>
                <c:ptCount val="1"/>
                <c:pt idx="0">
                  <c:v>UOL</c:v>
                </c:pt>
              </c:strCache>
            </c:strRef>
          </c:tx>
          <c:dLbls>
            <c:delete val="1"/>
          </c:dLbls>
          <c:cat>
            <c:strRef>
              <c:f>[0]!客户需求评审次数</c:f>
              <c:strCache>
                <c:ptCount val="2"/>
                <c:pt idx="0" c:formatCode="m&quot;月&quot;d&quot;日&quot;">
                  <c:v>第1次评审</c:v>
                </c:pt>
                <c:pt idx="1" c:formatCode="m&quot;月&quot;d&quot;日&quot;">
                  <c:v>第2次评审</c:v>
                </c:pt>
              </c:strCache>
            </c:strRef>
          </c:cat>
          <c:val>
            <c:numRef>
              <c:f>[0]!客户需求评审缺陷密度的上限</c:f>
              <c:numCache>
                <c:formatCode>0.0000_ </c:formatCode>
                <c:ptCount val="2"/>
                <c:pt idx="0">
                  <c:v>0.627</c:v>
                </c:pt>
                <c:pt idx="1">
                  <c:v>0.627</c:v>
                </c:pt>
              </c:numCache>
            </c:numRef>
          </c:val>
          <c:smooth val="0"/>
        </c:ser>
        <c:ser>
          <c:idx val="3"/>
          <c:order val="3"/>
          <c:tx>
            <c:strRef>
              <c:f>"项目数据"</c:f>
              <c:strCache>
                <c:ptCount val="1"/>
                <c:pt idx="0">
                  <c:v>项目数据</c:v>
                </c:pt>
              </c:strCache>
            </c:strRef>
          </c:tx>
          <c:dLbls>
            <c:delete val="1"/>
          </c:dLbls>
          <c:cat>
            <c:strRef>
              <c:f>[0]!客户需求评审次数</c:f>
              <c:strCache>
                <c:ptCount val="2"/>
                <c:pt idx="0" c:formatCode="m&quot;月&quot;d&quot;日&quot;">
                  <c:v>第1次评审</c:v>
                </c:pt>
                <c:pt idx="1" c:formatCode="m&quot;月&quot;d&quot;日&quot;">
                  <c:v>第2次评审</c:v>
                </c:pt>
              </c:strCache>
            </c:strRef>
          </c:cat>
          <c:val>
            <c:numRef>
              <c:f>[0]!客户需求评审缺陷密度</c:f>
              <c:numCache>
                <c:formatCode>0.000_ </c:formatCode>
                <c:ptCount val="2"/>
                <c:pt idx="0">
                  <c:v>0.4</c:v>
                </c:pt>
                <c:pt idx="1">
                  <c:v>0.28</c:v>
                </c:pt>
              </c:numCache>
            </c:numRef>
          </c:val>
          <c:smooth val="0"/>
        </c:ser>
        <c:dLbls>
          <c:showLegendKey val="0"/>
          <c:showVal val="0"/>
          <c:showCatName val="0"/>
          <c:showSerName val="0"/>
          <c:showPercent val="0"/>
          <c:showBubbleSize val="0"/>
        </c:dLbls>
        <c:marker val="1"/>
        <c:smooth val="0"/>
        <c:axId val="-324454048"/>
        <c:axId val="-324455136"/>
      </c:lineChart>
      <c:catAx>
        <c:axId val="-32445404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5136"/>
        <c:crosses val="autoZero"/>
        <c:auto val="1"/>
        <c:lblAlgn val="ctr"/>
        <c:lblOffset val="100"/>
        <c:noMultiLvlLbl val="0"/>
      </c:catAx>
      <c:valAx>
        <c:axId val="-32445513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404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layout/>
      <c:overlay val="0"/>
    </c:title>
    <c:autoTitleDeleted val="0"/>
    <c:plotArea>
      <c:layout/>
      <c:lineChart>
        <c:grouping val="standard"/>
        <c:varyColors val="0"/>
        <c:ser>
          <c:idx val="0"/>
          <c:order val="0"/>
          <c:tx>
            <c:strRef>
              <c:f>过程产出缺陷度量!$N$30</c:f>
              <c:strCache>
                <c:ptCount val="1"/>
                <c:pt idx="0">
                  <c:v>LOL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ser>
        <c:ser>
          <c:idx val="1"/>
          <c:order val="1"/>
          <c:tx>
            <c:strRef>
              <c:f>过程产出缺陷度量!$O$30</c:f>
              <c:strCache>
                <c:ptCount val="1"/>
                <c:pt idx="0">
                  <c:v>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[0]!需求规格评审缺陷密度的均值于画图</c:f>
              <c:numCache>
                <c:formatCode>0.0000_ </c:formatCode>
                <c:ptCount val="4"/>
                <c:pt idx="0">
                  <c:v>0.0754</c:v>
                </c:pt>
                <c:pt idx="1">
                  <c:v>0.0754</c:v>
                </c:pt>
                <c:pt idx="2">
                  <c:v>0.0754</c:v>
                </c:pt>
                <c:pt idx="3">
                  <c:v>0.0754</c:v>
                </c:pt>
              </c:numCache>
            </c:numRef>
          </c:val>
          <c:smooth val="0"/>
        </c:ser>
        <c:ser>
          <c:idx val="2"/>
          <c:order val="2"/>
          <c:tx>
            <c:strRef>
              <c:f>过程产出缺陷度量!$P$30</c:f>
              <c:strCache>
                <c:ptCount val="1"/>
                <c:pt idx="0">
                  <c:v>UOL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ser>
        <c:ser>
          <c:idx val="3"/>
          <c:order val="3"/>
          <c:tx>
            <c:strRef>
              <c:f>"项目数据"</c:f>
              <c:strCache>
                <c:ptCount val="1"/>
                <c:pt idx="0">
                  <c:v>项目数据</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324453504"/>
        <c:axId val="-324452960"/>
      </c:lineChart>
      <c:catAx>
        <c:axId val="-324453504"/>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2960"/>
        <c:crosses val="autoZero"/>
        <c:auto val="1"/>
        <c:lblAlgn val="ctr"/>
        <c:lblOffset val="100"/>
        <c:noMultiLvlLbl val="0"/>
      </c:catAx>
      <c:valAx>
        <c:axId val="-32445296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350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layout/>
      <c:overlay val="0"/>
    </c:title>
    <c:autoTitleDeleted val="0"/>
    <c:plotArea>
      <c:layout/>
      <c:lineChart>
        <c:grouping val="standard"/>
        <c:varyColors val="0"/>
        <c:ser>
          <c:idx val="0"/>
          <c:order val="0"/>
          <c:tx>
            <c:strRef>
              <c:f>过程产出缺陷度量!$N$57</c:f>
              <c:strCache>
                <c:ptCount val="1"/>
                <c:pt idx="0">
                  <c:v>LOL</c:v>
                </c:pt>
              </c:strCache>
            </c:strRef>
          </c:tx>
          <c:dLbls>
            <c:delete val="1"/>
          </c:dLbls>
          <c:cat>
            <c:strRef>
              <c:f>[0]!设计评审次数于画图</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过程产出缺陷度量!$O$57</c:f>
              <c:strCache>
                <c:ptCount val="1"/>
                <c:pt idx="0">
                  <c:v>OL</c:v>
                </c:pt>
              </c:strCache>
            </c:strRef>
          </c:tx>
          <c:dLbls>
            <c:delete val="1"/>
          </c:dLbls>
          <c:cat>
            <c:strRef>
              <c:f>[0]!设计评审次数于画图</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[0]!设计评审缺陷密度的均值于画图</c:f>
              <c:numCache>
                <c:formatCode>0.0000_ </c:formatCode>
                <c:ptCount val="3"/>
                <c:pt idx="0">
                  <c:v>0.0834</c:v>
                </c:pt>
                <c:pt idx="1">
                  <c:v>0.0834</c:v>
                </c:pt>
                <c:pt idx="2">
                  <c:v>0.0834</c:v>
                </c:pt>
              </c:numCache>
            </c:numRef>
          </c:val>
          <c:smooth val="0"/>
        </c:ser>
        <c:ser>
          <c:idx val="2"/>
          <c:order val="2"/>
          <c:tx>
            <c:strRef>
              <c:f>过程产出缺陷度量!$P$57</c:f>
              <c:strCache>
                <c:ptCount val="1"/>
                <c:pt idx="0">
                  <c:v>UOL</c:v>
                </c:pt>
              </c:strCache>
            </c:strRef>
          </c:tx>
          <c:dLbls>
            <c:delete val="1"/>
          </c:dLbls>
          <c:cat>
            <c:strRef>
              <c:f>[0]!设计评审次数于画图</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[0]!设计评审缺陷密度的上限于画图</c:f>
              <c:numCache>
                <c:formatCode>0.0000_ </c:formatCode>
                <c:ptCount val="3"/>
                <c:pt idx="0">
                  <c:v>0.2204</c:v>
                </c:pt>
                <c:pt idx="1">
                  <c:v>0.2204</c:v>
                </c:pt>
                <c:pt idx="2">
                  <c:v>0.2204</c:v>
                </c:pt>
              </c:numCache>
            </c:numRef>
          </c:val>
          <c:smooth val="0"/>
        </c:ser>
        <c:ser>
          <c:idx val="3"/>
          <c:order val="3"/>
          <c:tx>
            <c:strRef>
              <c:f>"项目数据"</c:f>
              <c:strCache>
                <c:ptCount val="1"/>
                <c:pt idx="0">
                  <c:v>项目数据</c:v>
                </c:pt>
              </c:strCache>
            </c:strRef>
          </c:tx>
          <c:dLbls>
            <c:delete val="1"/>
          </c:dLbls>
          <c:cat>
            <c:strRef>
              <c:f>[0]!设计评审次数于画图</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[0]!设计评审缺陷密度于画图</c:f>
              <c:numCache>
                <c:formatCode>0.000_ </c:formatCode>
                <c:ptCount val="3"/>
                <c:pt idx="0">
                  <c:v>0.166666666666667</c:v>
                </c:pt>
                <c:pt idx="1">
                  <c:v>0</c:v>
                </c:pt>
                <c:pt idx="2">
                  <c:v>0</c:v>
                </c:pt>
              </c:numCache>
            </c:numRef>
          </c:val>
          <c:smooth val="0"/>
        </c:ser>
        <c:dLbls>
          <c:showLegendKey val="0"/>
          <c:showVal val="0"/>
          <c:showCatName val="0"/>
          <c:showSerName val="0"/>
          <c:showPercent val="0"/>
          <c:showBubbleSize val="0"/>
        </c:dLbls>
        <c:marker val="1"/>
        <c:smooth val="0"/>
        <c:axId val="-324451328"/>
        <c:axId val="-324442624"/>
      </c:lineChart>
      <c:catAx>
        <c:axId val="-32445132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2624"/>
        <c:crosses val="autoZero"/>
        <c:auto val="1"/>
        <c:lblAlgn val="ctr"/>
        <c:lblOffset val="100"/>
        <c:noMultiLvlLbl val="0"/>
      </c:catAx>
      <c:valAx>
        <c:axId val="-32444262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132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layout/>
      <c:overlay val="0"/>
    </c:title>
    <c:autoTitleDeleted val="0"/>
    <c:plotArea>
      <c:layout/>
      <c:lineChart>
        <c:grouping val="standard"/>
        <c:varyColors val="0"/>
        <c:ser>
          <c:idx val="0"/>
          <c:order val="0"/>
          <c:tx>
            <c:strRef>
              <c:f>过程产出缺陷度量!$N$84</c:f>
              <c:strCache>
                <c:ptCount val="1"/>
                <c:pt idx="0">
                  <c:v>LOL</c:v>
                </c:pt>
              </c:strCache>
            </c:strRef>
          </c:tx>
          <c:dLbls>
            <c:delete val="1"/>
          </c:dLbls>
          <c:cat>
            <c:strRef>
              <c:f>[0]!测试用例评审次数于画图</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[0]!测试用例评审缺陷密度的下限于画图</c:f>
              <c:numCache>
                <c:formatCode>0.0000_ </c:formatCode>
                <c:ptCount val="3"/>
                <c:pt idx="0">
                  <c:v>0.0008</c:v>
                </c:pt>
                <c:pt idx="1">
                  <c:v>0.0008</c:v>
                </c:pt>
                <c:pt idx="2">
                  <c:v>0.0008</c:v>
                </c:pt>
              </c:numCache>
            </c:numRef>
          </c:val>
          <c:smooth val="0"/>
        </c:ser>
        <c:ser>
          <c:idx val="1"/>
          <c:order val="1"/>
          <c:tx>
            <c:strRef>
              <c:f>过程产出缺陷度量!$O$84</c:f>
              <c:strCache>
                <c:ptCount val="1"/>
                <c:pt idx="0">
                  <c:v>OL</c:v>
                </c:pt>
              </c:strCache>
            </c:strRef>
          </c:tx>
          <c:dLbls>
            <c:delete val="1"/>
          </c:dLbls>
          <c:cat>
            <c:strRef>
              <c:f>[0]!测试用例评审次数于画图</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[0]!测试用例评审缺陷密度的均值于画图</c:f>
              <c:numCache>
                <c:formatCode>0.0000_ </c:formatCode>
                <c:ptCount val="3"/>
                <c:pt idx="0">
                  <c:v>0.011</c:v>
                </c:pt>
                <c:pt idx="1">
                  <c:v>0.011</c:v>
                </c:pt>
                <c:pt idx="2">
                  <c:v>0.011</c:v>
                </c:pt>
              </c:numCache>
            </c:numRef>
          </c:val>
          <c:smooth val="0"/>
        </c:ser>
        <c:ser>
          <c:idx val="2"/>
          <c:order val="2"/>
          <c:tx>
            <c:strRef>
              <c:f>过程产出缺陷度量!$P$84</c:f>
              <c:strCache>
                <c:ptCount val="1"/>
                <c:pt idx="0">
                  <c:v>UOL</c:v>
                </c:pt>
              </c:strCache>
            </c:strRef>
          </c:tx>
          <c:dLbls>
            <c:delete val="1"/>
          </c:dLbls>
          <c:cat>
            <c:strRef>
              <c:f>[0]!测试用例评审次数于画图</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[0]!测试用例评审缺陷密度的上限于画图</c:f>
              <c:numCache>
                <c:formatCode>0.0000_ </c:formatCode>
                <c:ptCount val="3"/>
                <c:pt idx="0">
                  <c:v>0.0212</c:v>
                </c:pt>
                <c:pt idx="1">
                  <c:v>0.0212</c:v>
                </c:pt>
                <c:pt idx="2">
                  <c:v>0.0212</c:v>
                </c:pt>
              </c:numCache>
            </c:numRef>
          </c:val>
          <c:smooth val="0"/>
        </c:ser>
        <c:ser>
          <c:idx val="3"/>
          <c:order val="3"/>
          <c:tx>
            <c:strRef>
              <c:f>"项目数据"</c:f>
              <c:strCache>
                <c:ptCount val="1"/>
                <c:pt idx="0">
                  <c:v>项目数据</c:v>
                </c:pt>
              </c:strCache>
            </c:strRef>
          </c:tx>
          <c:dLbls>
            <c:delete val="1"/>
          </c:dLbls>
          <c:cat>
            <c:strRef>
              <c:f>[0]!测试用例评审次数于画图</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[0]!测试用例评审缺陷密度于画图</c:f>
              <c:numCache>
                <c:formatCode>0.000_ </c:formatCode>
                <c:ptCount val="3"/>
                <c:pt idx="0">
                  <c:v>0.0072289156626506</c:v>
                </c:pt>
                <c:pt idx="1">
                  <c:v>0</c:v>
                </c:pt>
                <c:pt idx="2">
                  <c:v>0</c:v>
                </c:pt>
              </c:numCache>
            </c:numRef>
          </c:val>
          <c:smooth val="0"/>
        </c:ser>
        <c:dLbls>
          <c:showLegendKey val="0"/>
          <c:showVal val="0"/>
          <c:showCatName val="0"/>
          <c:showSerName val="0"/>
          <c:showPercent val="0"/>
          <c:showBubbleSize val="0"/>
        </c:dLbls>
        <c:marker val="1"/>
        <c:smooth val="0"/>
        <c:axId val="-324450784"/>
        <c:axId val="-324450240"/>
      </c:lineChart>
      <c:catAx>
        <c:axId val="-32445078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0240"/>
        <c:crosses val="autoZero"/>
        <c:auto val="1"/>
        <c:lblAlgn val="ctr"/>
        <c:lblOffset val="100"/>
        <c:noMultiLvlLbl val="0"/>
      </c:catAx>
      <c:valAx>
        <c:axId val="-32445024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078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layout/>
      <c:overlay val="0"/>
    </c:title>
    <c:autoTitleDeleted val="0"/>
    <c:plotArea>
      <c:layout/>
      <c:lineChart>
        <c:grouping val="standard"/>
        <c:varyColors val="0"/>
        <c:ser>
          <c:idx val="0"/>
          <c:order val="0"/>
          <c:tx>
            <c:strRef>
              <c:f>过程产出缺陷度量!$N$109</c:f>
              <c:strCache>
                <c:ptCount val="1"/>
                <c:pt idx="0">
                  <c:v>LOL</c:v>
                </c:pt>
              </c:strCache>
            </c:strRef>
          </c:tx>
          <c:dLbls>
            <c:delete val="1"/>
          </c:dLbls>
          <c:cat>
            <c:strRef>
              <c:f>[0]!代码走查次数于画图</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过程产出缺陷度量!$O$109</c:f>
              <c:strCache>
                <c:ptCount val="1"/>
                <c:pt idx="0">
                  <c:v>OL</c:v>
                </c:pt>
              </c:strCache>
            </c:strRef>
          </c:tx>
          <c:dLbls>
            <c:delete val="1"/>
          </c:dLbls>
          <c:cat>
            <c:strRef>
              <c:f>[0]!代码走查次数于画图</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[0]!代码走查缺陷密度的均值于画图</c:f>
              <c:numCache>
                <c:formatCode>0.0000_ </c:formatCode>
                <c:ptCount val="4"/>
                <c:pt idx="0">
                  <c:v>0.0506</c:v>
                </c:pt>
                <c:pt idx="1">
                  <c:v>0.0506</c:v>
                </c:pt>
                <c:pt idx="2">
                  <c:v>0.0506</c:v>
                </c:pt>
                <c:pt idx="3">
                  <c:v>0.0506</c:v>
                </c:pt>
              </c:numCache>
            </c:numRef>
          </c:val>
          <c:smooth val="0"/>
        </c:ser>
        <c:ser>
          <c:idx val="2"/>
          <c:order val="2"/>
          <c:tx>
            <c:strRef>
              <c:f>过程产出缺陷度量!$P$109</c:f>
              <c:strCache>
                <c:ptCount val="1"/>
                <c:pt idx="0">
                  <c:v>UOL</c:v>
                </c:pt>
              </c:strCache>
            </c:strRef>
          </c:tx>
          <c:dLbls>
            <c:delete val="1"/>
          </c:dLbls>
          <c:cat>
            <c:strRef>
              <c:f>[0]!代码走查次数于画图</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[0]!代码走查缺陷密度的上限于画图</c:f>
              <c:numCache>
                <c:formatCode>0.0000_ </c:formatCode>
                <c:ptCount val="4"/>
                <c:pt idx="0">
                  <c:v>0.1544</c:v>
                </c:pt>
                <c:pt idx="1">
                  <c:v>0.1544</c:v>
                </c:pt>
                <c:pt idx="2">
                  <c:v>0.1544</c:v>
                </c:pt>
                <c:pt idx="3">
                  <c:v>0.1544</c:v>
                </c:pt>
              </c:numCache>
            </c:numRef>
          </c:val>
          <c:smooth val="0"/>
        </c:ser>
        <c:ser>
          <c:idx val="3"/>
          <c:order val="3"/>
          <c:tx>
            <c:strRef>
              <c:f>"项目数据"</c:f>
              <c:strCache>
                <c:ptCount val="1"/>
                <c:pt idx="0">
                  <c:v>项目数据</c:v>
                </c:pt>
              </c:strCache>
            </c:strRef>
          </c:tx>
          <c:dLbls>
            <c:delete val="1"/>
          </c:dLbls>
          <c:cat>
            <c:strRef>
              <c:f>[0]!代码走查次数于画图</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[0]!代码走查缺陷密度于画图</c:f>
              <c:numCache>
                <c:formatCode>0.000_ </c:formatCode>
                <c:ptCount val="4"/>
                <c:pt idx="0">
                  <c:v>0.0327653997378768</c:v>
                </c:pt>
                <c:pt idx="1">
                  <c:v>0</c:v>
                </c:pt>
                <c:pt idx="2">
                  <c:v>0</c:v>
                </c:pt>
                <c:pt idx="3">
                  <c:v>0</c:v>
                </c:pt>
              </c:numCache>
            </c:numRef>
          </c:val>
          <c:smooth val="0"/>
        </c:ser>
        <c:dLbls>
          <c:showLegendKey val="0"/>
          <c:showVal val="0"/>
          <c:showCatName val="0"/>
          <c:showSerName val="0"/>
          <c:showPercent val="0"/>
          <c:showBubbleSize val="0"/>
        </c:dLbls>
        <c:marker val="1"/>
        <c:smooth val="0"/>
        <c:axId val="-324443168"/>
        <c:axId val="-324448064"/>
      </c:lineChart>
      <c:catAx>
        <c:axId val="-32444316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8064"/>
        <c:crosses val="autoZero"/>
        <c:auto val="1"/>
        <c:lblAlgn val="ctr"/>
        <c:lblOffset val="100"/>
        <c:noMultiLvlLbl val="0"/>
      </c:catAx>
      <c:valAx>
        <c:axId val="-32444806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316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layout/>
      <c:overlay val="0"/>
    </c:title>
    <c:autoTitleDeleted val="0"/>
    <c:plotArea>
      <c:layout/>
      <c:lineChart>
        <c:grouping val="standard"/>
        <c:varyColors val="0"/>
        <c:ser>
          <c:idx val="0"/>
          <c:order val="0"/>
          <c:tx>
            <c:strRef>
              <c:f>过程产出缺陷度量!$N$7</c:f>
              <c:strCache>
                <c:ptCount val="1"/>
                <c:pt idx="0">
                  <c:v>LOL</c:v>
                </c:pt>
              </c:strCache>
            </c:strRef>
          </c:tx>
          <c:dLbls>
            <c:delete val="1"/>
          </c:dLbls>
          <c:cat>
            <c:strRef>
              <c:f>过程产出缺陷度量!$A$167:$A$168</c:f>
              <c:strCache>
                <c:ptCount val="2"/>
                <c:pt idx="0" c:formatCode="m&quot;月&quot;d&quot;日&quot;">
                  <c:v>第1次评审</c:v>
                </c:pt>
                <c:pt idx="1" c:formatCode="m&quot;月&quot;d&quot;日&quot;">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过程产出缺陷度量!$O$7</c:f>
              <c:strCache>
                <c:ptCount val="1"/>
                <c:pt idx="0">
                  <c:v>OL</c:v>
                </c:pt>
              </c:strCache>
            </c:strRef>
          </c:tx>
          <c:dLbls>
            <c:delete val="1"/>
          </c:dLbls>
          <c:cat>
            <c:strRef>
              <c:f>过程产出缺陷度量!$A$167:$A$168</c:f>
              <c:strCache>
                <c:ptCount val="2"/>
                <c:pt idx="0" c:formatCode="m&quot;月&quot;d&quot;日&quot;">
                  <c:v>第1次评审</c:v>
                </c:pt>
                <c:pt idx="1" c:formatCode="m&quot;月&quot;d&quot;日&quot;">
                  <c:v>第2次评审</c:v>
                </c:pt>
              </c:strCache>
            </c:strRef>
          </c:cat>
          <c:val>
            <c:numRef>
              <c:f>[0]!客户需求评审缺陷密度的均值</c:f>
              <c:numCache>
                <c:formatCode>0.0000_ </c:formatCode>
                <c:ptCount val="2"/>
                <c:pt idx="0">
                  <c:v>0.2111</c:v>
                </c:pt>
                <c:pt idx="1">
                  <c:v>0.2111</c:v>
                </c:pt>
              </c:numCache>
            </c:numRef>
          </c:val>
          <c:smooth val="0"/>
        </c:ser>
        <c:ser>
          <c:idx val="2"/>
          <c:order val="2"/>
          <c:tx>
            <c:strRef>
              <c:f>过程产出缺陷度量!$P$7</c:f>
              <c:strCache>
                <c:ptCount val="1"/>
                <c:pt idx="0">
                  <c:v>UOL</c:v>
                </c:pt>
              </c:strCache>
            </c:strRef>
          </c:tx>
          <c:dLbls>
            <c:delete val="1"/>
          </c:dLbls>
          <c:cat>
            <c:strRef>
              <c:f>过程产出缺陷度量!$A$167:$A$168</c:f>
              <c:strCache>
                <c:ptCount val="2"/>
                <c:pt idx="0" c:formatCode="m&quot;月&quot;d&quot;日&quot;">
                  <c:v>第1次评审</c:v>
                </c:pt>
                <c:pt idx="1" c:formatCode="m&quot;月&quot;d&quot;日&quot;">
                  <c:v>第2次评审</c:v>
                </c:pt>
              </c:strCache>
            </c:strRef>
          </c:cat>
          <c:val>
            <c:numRef>
              <c:f>[0]!客户需求评审缺陷密度的上限</c:f>
              <c:numCache>
                <c:formatCode>0.0000_ </c:formatCode>
                <c:ptCount val="2"/>
                <c:pt idx="0">
                  <c:v>0.627</c:v>
                </c:pt>
                <c:pt idx="1">
                  <c:v>0.627</c:v>
                </c:pt>
              </c:numCache>
            </c:numRef>
          </c:val>
          <c:smooth val="0"/>
        </c:ser>
        <c:ser>
          <c:idx val="3"/>
          <c:order val="3"/>
          <c:tx>
            <c:strRef>
              <c:f>"项目数据"</c:f>
              <c:strCache>
                <c:ptCount val="1"/>
                <c:pt idx="0">
                  <c:v>项目数据</c:v>
                </c:pt>
              </c:strCache>
            </c:strRef>
          </c:tx>
          <c:dLbls>
            <c:delete val="1"/>
          </c:dLbls>
          <c:cat>
            <c:strRef>
              <c:f>过程产出缺陷度量!$A$167:$A$168</c:f>
              <c:strCache>
                <c:ptCount val="2"/>
                <c:pt idx="0" c:formatCode="m&quot;月&quot;d&quot;日&quot;">
                  <c:v>第1次评审</c:v>
                </c:pt>
                <c:pt idx="1" c:formatCode="m&quot;月&quot;d&quot;日&quot;">
                  <c:v>第2次评审</c:v>
                </c:pt>
              </c:strCache>
            </c:strRef>
          </c:cat>
          <c:val>
            <c:numRef>
              <c:f>过程产出缺陷度量!$L$167:$L$168</c:f>
              <c:numCache>
                <c:formatCode>0.000_ </c:formatCode>
                <c:ptCount val="2"/>
                <c:pt idx="0">
                  <c:v>0.384615384615385</c:v>
                </c:pt>
                <c:pt idx="1">
                  <c:v>0</c:v>
                </c:pt>
              </c:numCache>
            </c:numRef>
          </c:val>
          <c:smooth val="0"/>
        </c:ser>
        <c:dLbls>
          <c:showLegendKey val="0"/>
          <c:showVal val="0"/>
          <c:showCatName val="0"/>
          <c:showSerName val="0"/>
          <c:showPercent val="0"/>
          <c:showBubbleSize val="0"/>
        </c:dLbls>
        <c:marker val="1"/>
        <c:smooth val="0"/>
        <c:axId val="-324446976"/>
        <c:axId val="-324445344"/>
      </c:lineChart>
      <c:catAx>
        <c:axId val="-324446976"/>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5344"/>
        <c:crosses val="autoZero"/>
        <c:auto val="1"/>
        <c:lblAlgn val="ctr"/>
        <c:lblOffset val="100"/>
        <c:noMultiLvlLbl val="0"/>
      </c:catAx>
      <c:valAx>
        <c:axId val="-32444534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697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layout/>
      <c:overlay val="0"/>
    </c:title>
    <c:autoTitleDeleted val="0"/>
    <c:plotArea>
      <c:layout/>
      <c:lineChart>
        <c:grouping val="standard"/>
        <c:varyColors val="0"/>
        <c:ser>
          <c:idx val="0"/>
          <c:order val="0"/>
          <c:tx>
            <c:strRef>
              <c:f>过程产出缺陷度量!$N$30</c:f>
              <c:strCache>
                <c:ptCount val="1"/>
                <c:pt idx="0">
                  <c:v>LOL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ser>
        <c:ser>
          <c:idx val="1"/>
          <c:order val="1"/>
          <c:tx>
            <c:strRef>
              <c:f>过程产出缺陷度量!$O$30</c:f>
              <c:strCache>
                <c:ptCount val="1"/>
                <c:pt idx="0">
                  <c:v>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[0]!需求规格评审缺陷密度的均值于画图</c:f>
              <c:numCache>
                <c:formatCode>0.0000_ </c:formatCode>
                <c:ptCount val="4"/>
                <c:pt idx="0">
                  <c:v>0.0754</c:v>
                </c:pt>
                <c:pt idx="1">
                  <c:v>0.0754</c:v>
                </c:pt>
                <c:pt idx="2">
                  <c:v>0.0754</c:v>
                </c:pt>
                <c:pt idx="3">
                  <c:v>0.0754</c:v>
                </c:pt>
              </c:numCache>
            </c:numRef>
          </c:val>
          <c:smooth val="0"/>
        </c:ser>
        <c:ser>
          <c:idx val="2"/>
          <c:order val="2"/>
          <c:tx>
            <c:strRef>
              <c:f>过程产出缺陷度量!$P$30</c:f>
              <c:strCache>
                <c:ptCount val="1"/>
                <c:pt idx="0">
                  <c:v>UOL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ser>
        <c:ser>
          <c:idx val="3"/>
          <c:order val="3"/>
          <c:tx>
            <c:strRef>
              <c:f>"项目数据"</c:f>
              <c:strCache>
                <c:ptCount val="1"/>
                <c:pt idx="0">
                  <c:v>项目数据</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324443712"/>
        <c:axId val="-324444256"/>
      </c:lineChart>
      <c:catAx>
        <c:axId val="-32444371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4256"/>
        <c:crosses val="autoZero"/>
        <c:auto val="1"/>
        <c:lblAlgn val="ctr"/>
        <c:lblOffset val="100"/>
        <c:noMultiLvlLbl val="0"/>
      </c:catAx>
      <c:valAx>
        <c:axId val="-32444425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37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layout/>
      <c:overlay val="0"/>
    </c:title>
    <c:autoTitleDeleted val="0"/>
    <c:plotArea>
      <c:layout/>
      <c:lineChart>
        <c:grouping val="standard"/>
        <c:varyColors val="0"/>
        <c:ser>
          <c:idx val="0"/>
          <c:order val="0"/>
          <c:tx>
            <c:strRef>
              <c:f>过程产出缺陷度量!$N$57</c:f>
              <c:strCache>
                <c:ptCount val="1"/>
                <c:pt idx="0">
                  <c:v>LOL</c:v>
                </c:pt>
              </c:strCache>
            </c:strRef>
          </c:tx>
          <c:dLbls>
            <c:delete val="1"/>
          </c:dLbls>
          <c:cat>
            <c:strRef>
              <c:f>过程产出缺陷度量!$A$216:$A$218</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过程产出缺陷度量!$O$57</c:f>
              <c:strCache>
                <c:ptCount val="1"/>
                <c:pt idx="0">
                  <c:v>OL</c:v>
                </c:pt>
              </c:strCache>
            </c:strRef>
          </c:tx>
          <c:dLbls>
            <c:delete val="1"/>
          </c:dLbls>
          <c:cat>
            <c:strRef>
              <c:f>过程产出缺陷度量!$A$216:$A$218</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[0]!设计评审缺陷密度的均值于画图</c:f>
              <c:numCache>
                <c:formatCode>0.0000_ </c:formatCode>
                <c:ptCount val="3"/>
                <c:pt idx="0">
                  <c:v>0.0834</c:v>
                </c:pt>
                <c:pt idx="1">
                  <c:v>0.0834</c:v>
                </c:pt>
                <c:pt idx="2">
                  <c:v>0.0834</c:v>
                </c:pt>
              </c:numCache>
            </c:numRef>
          </c:val>
          <c:smooth val="0"/>
        </c:ser>
        <c:ser>
          <c:idx val="2"/>
          <c:order val="2"/>
          <c:tx>
            <c:strRef>
              <c:f>过程产出缺陷度量!$P$57</c:f>
              <c:strCache>
                <c:ptCount val="1"/>
                <c:pt idx="0">
                  <c:v>UOL</c:v>
                </c:pt>
              </c:strCache>
            </c:strRef>
          </c:tx>
          <c:dLbls>
            <c:delete val="1"/>
          </c:dLbls>
          <c:cat>
            <c:strRef>
              <c:f>过程产出缺陷度量!$A$216:$A$218</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[0]!设计评审缺陷密度的上限于画图</c:f>
              <c:numCache>
                <c:formatCode>0.0000_ </c:formatCode>
                <c:ptCount val="3"/>
                <c:pt idx="0">
                  <c:v>0.2204</c:v>
                </c:pt>
                <c:pt idx="1">
                  <c:v>0.2204</c:v>
                </c:pt>
                <c:pt idx="2">
                  <c:v>0.2204</c:v>
                </c:pt>
              </c:numCache>
            </c:numRef>
          </c:val>
          <c:smooth val="0"/>
        </c:ser>
        <c:ser>
          <c:idx val="3"/>
          <c:order val="3"/>
          <c:tx>
            <c:strRef>
              <c:f>"项目数据"</c:f>
              <c:strCache>
                <c:ptCount val="1"/>
                <c:pt idx="0">
                  <c:v>项目数据</c:v>
                </c:pt>
              </c:strCache>
            </c:strRef>
          </c:tx>
          <c:dLbls>
            <c:delete val="1"/>
          </c:dLbls>
          <c:cat>
            <c:strRef>
              <c:f>过程产出缺陷度量!$A$216:$A$218</c:f>
              <c:strCache>
                <c:ptCount val="3"/>
                <c:pt idx="0" c:formatCode="m&quot;月&quot;d&quot;日&quot;">
                  <c:v>第1次评审</c:v>
                </c:pt>
                <c:pt idx="1" c:formatCode="m&quot;月&quot;d&quot;日&quot;">
                  <c:v>第2次评审</c:v>
                </c:pt>
                <c:pt idx="2" c:formatCode="m&quot;月&quot;d&quot;日&quot;">
                  <c:v>第3次评审</c:v>
                </c:pt>
              </c:strCache>
            </c:strRef>
          </c:cat>
          <c:val>
            <c:numRef>
              <c:f>过程产出缺陷度量!$L$216:$L$218</c:f>
              <c:numCache>
                <c:formatCode>0.000_ </c:formatCode>
                <c:ptCount val="3"/>
                <c:pt idx="0">
                  <c:v>0.133333333333333</c:v>
                </c:pt>
                <c:pt idx="1">
                  <c:v>0</c:v>
                </c:pt>
                <c:pt idx="2">
                  <c:v>0</c:v>
                </c:pt>
              </c:numCache>
            </c:numRef>
          </c:val>
          <c:smooth val="0"/>
        </c:ser>
        <c:dLbls>
          <c:showLegendKey val="0"/>
          <c:showVal val="0"/>
          <c:showCatName val="0"/>
          <c:showSerName val="0"/>
          <c:showPercent val="0"/>
          <c:showBubbleSize val="0"/>
        </c:dLbls>
        <c:marker val="1"/>
        <c:smooth val="0"/>
        <c:axId val="-324449696"/>
        <c:axId val="-324445888"/>
      </c:lineChart>
      <c:catAx>
        <c:axId val="-32444969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5888"/>
        <c:crosses val="autoZero"/>
        <c:auto val="1"/>
        <c:lblAlgn val="ctr"/>
        <c:lblOffset val="100"/>
        <c:noMultiLvlLbl val="0"/>
      </c:catAx>
      <c:valAx>
        <c:axId val="-32444588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969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layout/>
      <c:overlay val="0"/>
    </c:title>
    <c:autoTitleDeleted val="0"/>
    <c:plotArea>
      <c:layout/>
      <c:lineChart>
        <c:grouping val="standard"/>
        <c:varyColors val="0"/>
        <c:ser>
          <c:idx val="0"/>
          <c:order val="0"/>
          <c:tx>
            <c:strRef>
              <c:f>过程产出缺陷度量!$N$84</c:f>
              <c:strCache>
                <c:ptCount val="1"/>
                <c:pt idx="0">
                  <c:v>LOL</c:v>
                </c:pt>
              </c:strCache>
            </c:strRef>
          </c:tx>
          <c:dLbls>
            <c:delete val="1"/>
          </c:dLbls>
          <c:cat>
            <c:strRef>
              <c:f>过程产出缺陷度量!$A$243:$A$245</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[0]!测试用例评审缺陷密度的下限于画图</c:f>
              <c:numCache>
                <c:formatCode>0.0000_ </c:formatCode>
                <c:ptCount val="3"/>
                <c:pt idx="0">
                  <c:v>0.0008</c:v>
                </c:pt>
                <c:pt idx="1">
                  <c:v>0.0008</c:v>
                </c:pt>
                <c:pt idx="2">
                  <c:v>0.0008</c:v>
                </c:pt>
              </c:numCache>
            </c:numRef>
          </c:val>
          <c:smooth val="0"/>
        </c:ser>
        <c:ser>
          <c:idx val="1"/>
          <c:order val="1"/>
          <c:tx>
            <c:strRef>
              <c:f>过程产出缺陷度量!$O$84</c:f>
              <c:strCache>
                <c:ptCount val="1"/>
                <c:pt idx="0">
                  <c:v>OL</c:v>
                </c:pt>
              </c:strCache>
            </c:strRef>
          </c:tx>
          <c:dLbls>
            <c:delete val="1"/>
          </c:dLbls>
          <c:cat>
            <c:strRef>
              <c:f>过程产出缺陷度量!$A$243:$A$245</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[0]!测试用例评审缺陷密度的均值于画图</c:f>
              <c:numCache>
                <c:formatCode>0.0000_ </c:formatCode>
                <c:ptCount val="3"/>
                <c:pt idx="0">
                  <c:v>0.011</c:v>
                </c:pt>
                <c:pt idx="1">
                  <c:v>0.011</c:v>
                </c:pt>
                <c:pt idx="2">
                  <c:v>0.011</c:v>
                </c:pt>
              </c:numCache>
            </c:numRef>
          </c:val>
          <c:smooth val="0"/>
        </c:ser>
        <c:ser>
          <c:idx val="2"/>
          <c:order val="2"/>
          <c:tx>
            <c:strRef>
              <c:f>过程产出缺陷度量!$P$84</c:f>
              <c:strCache>
                <c:ptCount val="1"/>
                <c:pt idx="0">
                  <c:v>UOL</c:v>
                </c:pt>
              </c:strCache>
            </c:strRef>
          </c:tx>
          <c:dLbls>
            <c:delete val="1"/>
          </c:dLbls>
          <c:cat>
            <c:strRef>
              <c:f>过程产出缺陷度量!$A$243:$A$245</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[0]!测试用例评审缺陷密度的上限于画图</c:f>
              <c:numCache>
                <c:formatCode>0.0000_ </c:formatCode>
                <c:ptCount val="3"/>
                <c:pt idx="0">
                  <c:v>0.0212</c:v>
                </c:pt>
                <c:pt idx="1">
                  <c:v>0.0212</c:v>
                </c:pt>
                <c:pt idx="2">
                  <c:v>0.0212</c:v>
                </c:pt>
              </c:numCache>
            </c:numRef>
          </c:val>
          <c:smooth val="0"/>
        </c:ser>
        <c:ser>
          <c:idx val="3"/>
          <c:order val="3"/>
          <c:tx>
            <c:strRef>
              <c:f>"项目数据"</c:f>
              <c:strCache>
                <c:ptCount val="1"/>
                <c:pt idx="0">
                  <c:v>项目数据</c:v>
                </c:pt>
              </c:strCache>
            </c:strRef>
          </c:tx>
          <c:dLbls>
            <c:delete val="1"/>
          </c:dLbls>
          <c:cat>
            <c:strRef>
              <c:f>过程产出缺陷度量!$A$243:$A$245</c:f>
              <c:strCache>
                <c:ptCount val="3"/>
                <c:pt idx="0" c:formatCode="m&quot;月&quot;d&quot;日&quot;">
                  <c:v>第1次评审</c:v>
                </c:pt>
                <c:pt idx="1" c:formatCode="m&quot;月&quot;d&quot;日&quot;">
                  <c:v>第2次评审</c:v>
                </c:pt>
                <c:pt idx="2" c:formatCode="m&quot;月&quot;d&quot;日&quot;">
                  <c:v>第3次评审</c:v>
                </c:pt>
              </c:strCache>
            </c:strRef>
          </c:cat>
          <c:val>
            <c:numRef>
              <c:f>过程产出缺陷度量!$L$243:$L$245</c:f>
              <c:numCache>
                <c:formatCode>0.000_ </c:formatCode>
                <c:ptCount val="3"/>
                <c:pt idx="0">
                  <c:v>0.0292490118577075</c:v>
                </c:pt>
                <c:pt idx="1">
                  <c:v>0</c:v>
                </c:pt>
                <c:pt idx="2">
                  <c:v>0</c:v>
                </c:pt>
              </c:numCache>
            </c:numRef>
          </c:val>
          <c:smooth val="0"/>
        </c:ser>
        <c:dLbls>
          <c:showLegendKey val="0"/>
          <c:showVal val="0"/>
          <c:showCatName val="0"/>
          <c:showSerName val="0"/>
          <c:showPercent val="0"/>
          <c:showBubbleSize val="0"/>
        </c:dLbls>
        <c:marker val="1"/>
        <c:smooth val="0"/>
        <c:axId val="-324454592"/>
        <c:axId val="-324442080"/>
      </c:lineChart>
      <c:catAx>
        <c:axId val="-32445459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2080"/>
        <c:crosses val="autoZero"/>
        <c:auto val="1"/>
        <c:lblAlgn val="ctr"/>
        <c:lblOffset val="100"/>
        <c:noMultiLvlLbl val="0"/>
      </c:catAx>
      <c:valAx>
        <c:axId val="-32444208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459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layout/>
      <c:overlay val="0"/>
    </c:title>
    <c:autoTitleDeleted val="0"/>
    <c:plotArea>
      <c:layout/>
      <c:lineChart>
        <c:grouping val="standard"/>
        <c:varyColors val="0"/>
        <c:ser>
          <c:idx val="0"/>
          <c:order val="0"/>
          <c:tx>
            <c:strRef>
              <c:f>过程产出缺陷度量!$N$109</c:f>
              <c:strCache>
                <c:ptCount val="1"/>
                <c:pt idx="0">
                  <c:v>LOL</c:v>
                </c:pt>
              </c:strCache>
            </c:strRef>
          </c:tx>
          <c:dLbls>
            <c:delete val="1"/>
          </c:dLbls>
          <c:cat>
            <c:strRef>
              <c:f>过程产出缺陷度量!$A$268:$A$271</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过程产出缺陷度量!$O$109</c:f>
              <c:strCache>
                <c:ptCount val="1"/>
                <c:pt idx="0">
                  <c:v>OL</c:v>
                </c:pt>
              </c:strCache>
            </c:strRef>
          </c:tx>
          <c:dLbls>
            <c:delete val="1"/>
          </c:dLbls>
          <c:cat>
            <c:strRef>
              <c:f>过程产出缺陷度量!$A$268:$A$271</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[0]!代码走查缺陷密度的均值于画图</c:f>
              <c:numCache>
                <c:formatCode>0.0000_ </c:formatCode>
                <c:ptCount val="4"/>
                <c:pt idx="0">
                  <c:v>0.0506</c:v>
                </c:pt>
                <c:pt idx="1">
                  <c:v>0.0506</c:v>
                </c:pt>
                <c:pt idx="2">
                  <c:v>0.0506</c:v>
                </c:pt>
                <c:pt idx="3">
                  <c:v>0.0506</c:v>
                </c:pt>
              </c:numCache>
            </c:numRef>
          </c:val>
          <c:smooth val="0"/>
        </c:ser>
        <c:ser>
          <c:idx val="2"/>
          <c:order val="2"/>
          <c:tx>
            <c:strRef>
              <c:f>过程产出缺陷度量!$P$109</c:f>
              <c:strCache>
                <c:ptCount val="1"/>
                <c:pt idx="0">
                  <c:v>UOL</c:v>
                </c:pt>
              </c:strCache>
            </c:strRef>
          </c:tx>
          <c:dLbls>
            <c:delete val="1"/>
          </c:dLbls>
          <c:cat>
            <c:strRef>
              <c:f>过程产出缺陷度量!$A$268:$A$271</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[0]!代码走查缺陷密度的上限于画图</c:f>
              <c:numCache>
                <c:formatCode>0.0000_ </c:formatCode>
                <c:ptCount val="4"/>
                <c:pt idx="0">
                  <c:v>0.1544</c:v>
                </c:pt>
                <c:pt idx="1">
                  <c:v>0.1544</c:v>
                </c:pt>
                <c:pt idx="2">
                  <c:v>0.1544</c:v>
                </c:pt>
                <c:pt idx="3">
                  <c:v>0.1544</c:v>
                </c:pt>
              </c:numCache>
            </c:numRef>
          </c:val>
          <c:smooth val="0"/>
        </c:ser>
        <c:ser>
          <c:idx val="3"/>
          <c:order val="3"/>
          <c:tx>
            <c:strRef>
              <c:f>"项目数据"</c:f>
              <c:strCache>
                <c:ptCount val="1"/>
                <c:pt idx="0">
                  <c:v>项目数据</c:v>
                </c:pt>
              </c:strCache>
            </c:strRef>
          </c:tx>
          <c:dLbls>
            <c:delete val="1"/>
          </c:dLbls>
          <c:cat>
            <c:strRef>
              <c:f>过程产出缺陷度量!$A$268:$A$271</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过程产出缺陷度量!$L$268:$L$271</c:f>
              <c:numCache>
                <c:formatCode>0.000_ </c:formatCode>
                <c:ptCount val="4"/>
                <c:pt idx="0">
                  <c:v>0.118156754627806</c:v>
                </c:pt>
                <c:pt idx="1">
                  <c:v>0</c:v>
                </c:pt>
                <c:pt idx="2">
                  <c:v>0</c:v>
                </c:pt>
                <c:pt idx="3">
                  <c:v>0</c:v>
                </c:pt>
              </c:numCache>
            </c:numRef>
          </c:val>
          <c:smooth val="0"/>
        </c:ser>
        <c:dLbls>
          <c:showLegendKey val="0"/>
          <c:showVal val="0"/>
          <c:showCatName val="0"/>
          <c:showSerName val="0"/>
          <c:showPercent val="0"/>
          <c:showBubbleSize val="0"/>
        </c:dLbls>
        <c:marker val="1"/>
        <c:smooth val="0"/>
        <c:axId val="-324449152"/>
        <c:axId val="-324448608"/>
      </c:lineChart>
      <c:catAx>
        <c:axId val="-32444915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8608"/>
        <c:crosses val="autoZero"/>
        <c:auto val="1"/>
        <c:lblAlgn val="ctr"/>
        <c:lblOffset val="100"/>
        <c:noMultiLvlLbl val="0"/>
      </c:catAx>
      <c:valAx>
        <c:axId val="-32444860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915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layout/>
      <c:overlay val="0"/>
    </c:title>
    <c:autoTitleDeleted val="0"/>
    <c:plotArea>
      <c:layout/>
      <c:lineChart>
        <c:grouping val="standard"/>
        <c:varyColors val="0"/>
        <c:ser>
          <c:idx val="0"/>
          <c:order val="0"/>
          <c:tx>
            <c:strRef>
              <c:f>过程产出缺陷度量!$N$7</c:f>
              <c:strCache>
                <c:ptCount val="1"/>
                <c:pt idx="0">
                  <c:v>LOL</c:v>
                </c:pt>
              </c:strCache>
            </c:strRef>
          </c:tx>
          <c:dLbls>
            <c:delete val="1"/>
          </c:dLbls>
          <c:cat>
            <c:strRef>
              <c:f>过程产出缺陷度量!$A$325:$A$326</c:f>
              <c:strCache>
                <c:ptCount val="2"/>
                <c:pt idx="0" c:formatCode="m&quot;月&quot;d&quot;日&quot;">
                  <c:v>第1次评审</c:v>
                </c:pt>
                <c:pt idx="1" c:formatCode="m&quot;月&quot;d&quot;日&quot;">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过程产出缺陷度量!$O$7</c:f>
              <c:strCache>
                <c:ptCount val="1"/>
                <c:pt idx="0">
                  <c:v>OL</c:v>
                </c:pt>
              </c:strCache>
            </c:strRef>
          </c:tx>
          <c:dLbls>
            <c:delete val="1"/>
          </c:dLbls>
          <c:cat>
            <c:strRef>
              <c:f>过程产出缺陷度量!$A$325:$A$326</c:f>
              <c:strCache>
                <c:ptCount val="2"/>
                <c:pt idx="0" c:formatCode="m&quot;月&quot;d&quot;日&quot;">
                  <c:v>第1次评审</c:v>
                </c:pt>
                <c:pt idx="1" c:formatCode="m&quot;月&quot;d&quot;日&quot;">
                  <c:v>第2次评审</c:v>
                </c:pt>
              </c:strCache>
            </c:strRef>
          </c:cat>
          <c:val>
            <c:numRef>
              <c:f>[0]!客户需求评审缺陷密度的均值</c:f>
              <c:numCache>
                <c:formatCode>0.0000_ </c:formatCode>
                <c:ptCount val="2"/>
                <c:pt idx="0">
                  <c:v>0.2111</c:v>
                </c:pt>
                <c:pt idx="1">
                  <c:v>0.2111</c:v>
                </c:pt>
              </c:numCache>
            </c:numRef>
          </c:val>
          <c:smooth val="0"/>
        </c:ser>
        <c:ser>
          <c:idx val="2"/>
          <c:order val="2"/>
          <c:tx>
            <c:strRef>
              <c:f>过程产出缺陷度量!$P$7</c:f>
              <c:strCache>
                <c:ptCount val="1"/>
                <c:pt idx="0">
                  <c:v>UOL</c:v>
                </c:pt>
              </c:strCache>
            </c:strRef>
          </c:tx>
          <c:dLbls>
            <c:delete val="1"/>
          </c:dLbls>
          <c:cat>
            <c:strRef>
              <c:f>过程产出缺陷度量!$A$325:$A$326</c:f>
              <c:strCache>
                <c:ptCount val="2"/>
                <c:pt idx="0" c:formatCode="m&quot;月&quot;d&quot;日&quot;">
                  <c:v>第1次评审</c:v>
                </c:pt>
                <c:pt idx="1" c:formatCode="m&quot;月&quot;d&quot;日&quot;">
                  <c:v>第2次评审</c:v>
                </c:pt>
              </c:strCache>
            </c:strRef>
          </c:cat>
          <c:val>
            <c:numRef>
              <c:f>[0]!客户需求评审缺陷密度的上限</c:f>
              <c:numCache>
                <c:formatCode>0.0000_ </c:formatCode>
                <c:ptCount val="2"/>
                <c:pt idx="0">
                  <c:v>0.627</c:v>
                </c:pt>
                <c:pt idx="1">
                  <c:v>0.627</c:v>
                </c:pt>
              </c:numCache>
            </c:numRef>
          </c:val>
          <c:smooth val="0"/>
        </c:ser>
        <c:ser>
          <c:idx val="3"/>
          <c:order val="3"/>
          <c:tx>
            <c:strRef>
              <c:f>"项目数据"</c:f>
              <c:strCache>
                <c:ptCount val="1"/>
                <c:pt idx="0">
                  <c:v>项目数据</c:v>
                </c:pt>
              </c:strCache>
            </c:strRef>
          </c:tx>
          <c:dLbls>
            <c:delete val="1"/>
          </c:dLbls>
          <c:cat>
            <c:strRef>
              <c:f>过程产出缺陷度量!$A$325:$A$326</c:f>
              <c:strCache>
                <c:ptCount val="2"/>
                <c:pt idx="0" c:formatCode="m&quot;月&quot;d&quot;日&quot;">
                  <c:v>第1次评审</c:v>
                </c:pt>
                <c:pt idx="1" c:formatCode="m&quot;月&quot;d&quot;日&quot;">
                  <c:v>第2次评审</c:v>
                </c:pt>
              </c:strCache>
            </c:strRef>
          </c:cat>
          <c:val>
            <c:numRef>
              <c:f>过程产出缺陷度量!$L$325:$L$326</c:f>
              <c:numCache>
                <c:formatCode>0.000_ </c:formatCode>
                <c:ptCount val="2"/>
                <c:pt idx="0">
                  <c:v>0.291666666666667</c:v>
                </c:pt>
                <c:pt idx="1">
                  <c:v>0</c:v>
                </c:pt>
              </c:numCache>
            </c:numRef>
          </c:val>
          <c:smooth val="0"/>
        </c:ser>
        <c:dLbls>
          <c:showLegendKey val="0"/>
          <c:showVal val="0"/>
          <c:showCatName val="0"/>
          <c:showSerName val="0"/>
          <c:showPercent val="0"/>
          <c:showBubbleSize val="0"/>
        </c:dLbls>
        <c:marker val="1"/>
        <c:smooth val="0"/>
        <c:axId val="-324447520"/>
        <c:axId val="-324441536"/>
      </c:lineChart>
      <c:catAx>
        <c:axId val="-324447520"/>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1536"/>
        <c:crosses val="autoZero"/>
        <c:auto val="1"/>
        <c:lblAlgn val="ctr"/>
        <c:lblOffset val="100"/>
        <c:noMultiLvlLbl val="0"/>
      </c:catAx>
      <c:valAx>
        <c:axId val="-32444153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752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layout/>
      <c:overlay val="0"/>
    </c:title>
    <c:autoTitleDeleted val="0"/>
    <c:plotArea>
      <c:layout/>
      <c:lineChart>
        <c:grouping val="standard"/>
        <c:varyColors val="0"/>
        <c:ser>
          <c:idx val="0"/>
          <c:order val="0"/>
          <c:tx>
            <c:strRef>
              <c:f>过程产出缺陷度量!$N$30</c:f>
              <c:strCache>
                <c:ptCount val="1"/>
                <c:pt idx="0">
                  <c:v>LOL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ser>
        <c:ser>
          <c:idx val="1"/>
          <c:order val="1"/>
          <c:tx>
            <c:strRef>
              <c:f>过程产出缺陷度量!$O$30</c:f>
              <c:strCache>
                <c:ptCount val="1"/>
                <c:pt idx="0">
                  <c:v>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[0]!需求规格评审缺陷密度的均值于画图</c:f>
              <c:numCache>
                <c:formatCode>0.0000_ </c:formatCode>
                <c:ptCount val="4"/>
                <c:pt idx="0">
                  <c:v>0.0754</c:v>
                </c:pt>
                <c:pt idx="1">
                  <c:v>0.0754</c:v>
                </c:pt>
                <c:pt idx="2">
                  <c:v>0.0754</c:v>
                </c:pt>
                <c:pt idx="3">
                  <c:v>0.0754</c:v>
                </c:pt>
              </c:numCache>
            </c:numRef>
          </c:val>
          <c:smooth val="0"/>
        </c:ser>
        <c:ser>
          <c:idx val="2"/>
          <c:order val="2"/>
          <c:tx>
            <c:strRef>
              <c:f>过程产出缺陷度量!$P$30</c:f>
              <c:strCache>
                <c:ptCount val="1"/>
                <c:pt idx="0">
                  <c:v>UOL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ser>
        <c:ser>
          <c:idx val="3"/>
          <c:order val="3"/>
          <c:tx>
            <c:strRef>
              <c:f>"项目数据"</c:f>
              <c:strCache>
                <c:ptCount val="1"/>
                <c:pt idx="0">
                  <c:v>项目数据</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324446432"/>
        <c:axId val="-324456768"/>
      </c:lineChart>
      <c:catAx>
        <c:axId val="-324446432"/>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6768"/>
        <c:crosses val="autoZero"/>
        <c:auto val="1"/>
        <c:lblAlgn val="ctr"/>
        <c:lblOffset val="100"/>
        <c:noMultiLvlLbl val="0"/>
      </c:catAx>
      <c:valAx>
        <c:axId val="-324456768"/>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4643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layout/>
      <c:overlay val="0"/>
    </c:title>
    <c:autoTitleDeleted val="0"/>
    <c:plotArea>
      <c:layout/>
      <c:lineChart>
        <c:grouping val="standard"/>
        <c:varyColors val="0"/>
        <c:ser>
          <c:idx val="0"/>
          <c:order val="0"/>
          <c:tx>
            <c:strRef>
              <c:f>过程产出缺陷度量!$N$57</c:f>
              <c:strCache>
                <c:ptCount val="1"/>
                <c:pt idx="0">
                  <c:v>LOL</c:v>
                </c:pt>
              </c:strCache>
            </c:strRef>
          </c:tx>
          <c:dLbls>
            <c:delete val="1"/>
          </c:dLbls>
          <c:cat>
            <c:strRef>
              <c:f>过程产出缺陷度量!$A$374:$A$376</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过程产出缺陷度量!$O$57</c:f>
              <c:strCache>
                <c:ptCount val="1"/>
                <c:pt idx="0">
                  <c:v>OL</c:v>
                </c:pt>
              </c:strCache>
            </c:strRef>
          </c:tx>
          <c:dLbls>
            <c:delete val="1"/>
          </c:dLbls>
          <c:cat>
            <c:strRef>
              <c:f>过程产出缺陷度量!$A$374:$A$376</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[0]!设计评审缺陷密度的均值于画图</c:f>
              <c:numCache>
                <c:formatCode>0.0000_ </c:formatCode>
                <c:ptCount val="3"/>
                <c:pt idx="0">
                  <c:v>0.0834</c:v>
                </c:pt>
                <c:pt idx="1">
                  <c:v>0.0834</c:v>
                </c:pt>
                <c:pt idx="2">
                  <c:v>0.0834</c:v>
                </c:pt>
              </c:numCache>
            </c:numRef>
          </c:val>
          <c:smooth val="0"/>
        </c:ser>
        <c:ser>
          <c:idx val="2"/>
          <c:order val="2"/>
          <c:tx>
            <c:strRef>
              <c:f>过程产出缺陷度量!$P$57</c:f>
              <c:strCache>
                <c:ptCount val="1"/>
                <c:pt idx="0">
                  <c:v>UOL</c:v>
                </c:pt>
              </c:strCache>
            </c:strRef>
          </c:tx>
          <c:dLbls>
            <c:delete val="1"/>
          </c:dLbls>
          <c:cat>
            <c:strRef>
              <c:f>过程产出缺陷度量!$A$374:$A$376</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[0]!设计评审缺陷密度的上限于画图</c:f>
              <c:numCache>
                <c:formatCode>0.0000_ </c:formatCode>
                <c:ptCount val="3"/>
                <c:pt idx="0">
                  <c:v>0.2204</c:v>
                </c:pt>
                <c:pt idx="1">
                  <c:v>0.2204</c:v>
                </c:pt>
                <c:pt idx="2">
                  <c:v>0.2204</c:v>
                </c:pt>
              </c:numCache>
            </c:numRef>
          </c:val>
          <c:smooth val="0"/>
        </c:ser>
        <c:ser>
          <c:idx val="3"/>
          <c:order val="3"/>
          <c:tx>
            <c:strRef>
              <c:f>"项目数据"</c:f>
              <c:strCache>
                <c:ptCount val="1"/>
                <c:pt idx="0">
                  <c:v>项目数据</c:v>
                </c:pt>
              </c:strCache>
            </c:strRef>
          </c:tx>
          <c:dLbls>
            <c:delete val="1"/>
          </c:dLbls>
          <c:cat>
            <c:strRef>
              <c:f>过程产出缺陷度量!$A$374:$A$376</c:f>
              <c:strCache>
                <c:ptCount val="3"/>
                <c:pt idx="0" c:formatCode="m&quot;月&quot;d&quot;日&quot;">
                  <c:v>第1次评审</c:v>
                </c:pt>
                <c:pt idx="1" c:formatCode="m&quot;月&quot;d&quot;日&quot;">
                  <c:v>第2次评审</c:v>
                </c:pt>
                <c:pt idx="2" c:formatCode="m&quot;月&quot;d&quot;日&quot;">
                  <c:v>第3次评审</c:v>
                </c:pt>
              </c:strCache>
            </c:strRef>
          </c:cat>
          <c:val>
            <c:numRef>
              <c:f>过程产出缺陷度量!$L$374:$L$376</c:f>
              <c:numCache>
                <c:formatCode>0.000_ </c:formatCode>
                <c:ptCount val="3"/>
                <c:pt idx="0">
                  <c:v>0.0625</c:v>
                </c:pt>
                <c:pt idx="1">
                  <c:v>0</c:v>
                </c:pt>
                <c:pt idx="2">
                  <c:v>0</c:v>
                </c:pt>
              </c:numCache>
            </c:numRef>
          </c:val>
          <c:smooth val="0"/>
        </c:ser>
        <c:dLbls>
          <c:showLegendKey val="0"/>
          <c:showVal val="0"/>
          <c:showCatName val="0"/>
          <c:showSerName val="0"/>
          <c:showPercent val="0"/>
          <c:showBubbleSize val="0"/>
        </c:dLbls>
        <c:marker val="1"/>
        <c:smooth val="0"/>
        <c:axId val="-324456224"/>
        <c:axId val="-324455680"/>
      </c:lineChart>
      <c:catAx>
        <c:axId val="-32445622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5680"/>
        <c:crosses val="autoZero"/>
        <c:auto val="1"/>
        <c:lblAlgn val="ctr"/>
        <c:lblOffset val="100"/>
        <c:noMultiLvlLbl val="0"/>
      </c:catAx>
      <c:valAx>
        <c:axId val="-32445568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445622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layout/>
      <c:overlay val="0"/>
    </c:title>
    <c:autoTitleDeleted val="0"/>
    <c:plotArea>
      <c:layout/>
      <c:lineChart>
        <c:grouping val="standard"/>
        <c:varyColors val="0"/>
        <c:ser>
          <c:idx val="0"/>
          <c:order val="0"/>
          <c:tx>
            <c:strRef>
              <c:f>过程产出缺陷度量!$N$84</c:f>
              <c:strCache>
                <c:ptCount val="1"/>
                <c:pt idx="0">
                  <c:v>LOL</c:v>
                </c:pt>
              </c:strCache>
            </c:strRef>
          </c:tx>
          <c:dLbls>
            <c:delete val="1"/>
          </c:dLbls>
          <c:cat>
            <c:strRef>
              <c:f>过程产出缺陷度量!$A$401:$A$403</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[0]!测试用例评审缺陷密度的下限于画图</c:f>
              <c:numCache>
                <c:formatCode>0.0000_ </c:formatCode>
                <c:ptCount val="3"/>
                <c:pt idx="0">
                  <c:v>0.0008</c:v>
                </c:pt>
                <c:pt idx="1">
                  <c:v>0.0008</c:v>
                </c:pt>
                <c:pt idx="2">
                  <c:v>0.0008</c:v>
                </c:pt>
              </c:numCache>
            </c:numRef>
          </c:val>
          <c:smooth val="0"/>
        </c:ser>
        <c:ser>
          <c:idx val="1"/>
          <c:order val="1"/>
          <c:tx>
            <c:strRef>
              <c:f>过程产出缺陷度量!$O$84</c:f>
              <c:strCache>
                <c:ptCount val="1"/>
                <c:pt idx="0">
                  <c:v>OL</c:v>
                </c:pt>
              </c:strCache>
            </c:strRef>
          </c:tx>
          <c:dLbls>
            <c:delete val="1"/>
          </c:dLbls>
          <c:cat>
            <c:strRef>
              <c:f>过程产出缺陷度量!$A$401:$A$403</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[0]!测试用例评审缺陷密度的均值于画图</c:f>
              <c:numCache>
                <c:formatCode>0.0000_ </c:formatCode>
                <c:ptCount val="3"/>
                <c:pt idx="0">
                  <c:v>0.011</c:v>
                </c:pt>
                <c:pt idx="1">
                  <c:v>0.011</c:v>
                </c:pt>
                <c:pt idx="2">
                  <c:v>0.011</c:v>
                </c:pt>
              </c:numCache>
            </c:numRef>
          </c:val>
          <c:smooth val="0"/>
        </c:ser>
        <c:ser>
          <c:idx val="2"/>
          <c:order val="2"/>
          <c:tx>
            <c:strRef>
              <c:f>过程产出缺陷度量!$P$84</c:f>
              <c:strCache>
                <c:ptCount val="1"/>
                <c:pt idx="0">
                  <c:v>UOL</c:v>
                </c:pt>
              </c:strCache>
            </c:strRef>
          </c:tx>
          <c:dLbls>
            <c:delete val="1"/>
          </c:dLbls>
          <c:cat>
            <c:strRef>
              <c:f>过程产出缺陷度量!$A$401:$A$403</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[0]!测试用例评审缺陷密度的上限于画图</c:f>
              <c:numCache>
                <c:formatCode>0.0000_ </c:formatCode>
                <c:ptCount val="3"/>
                <c:pt idx="0">
                  <c:v>0.0212</c:v>
                </c:pt>
                <c:pt idx="1">
                  <c:v>0.0212</c:v>
                </c:pt>
                <c:pt idx="2">
                  <c:v>0.0212</c:v>
                </c:pt>
              </c:numCache>
            </c:numRef>
          </c:val>
          <c:smooth val="0"/>
        </c:ser>
        <c:ser>
          <c:idx val="3"/>
          <c:order val="3"/>
          <c:tx>
            <c:strRef>
              <c:f>"项目数据"</c:f>
              <c:strCache>
                <c:ptCount val="1"/>
                <c:pt idx="0">
                  <c:v>项目数据</c:v>
                </c:pt>
              </c:strCache>
            </c:strRef>
          </c:tx>
          <c:dLbls>
            <c:delete val="1"/>
          </c:dLbls>
          <c:cat>
            <c:strRef>
              <c:f>过程产出缺陷度量!$A$401:$A$403</c:f>
              <c:strCache>
                <c:ptCount val="3"/>
                <c:pt idx="0" c:formatCode="m&quot;月&quot;d&quot;日&quot;">
                  <c:v>第1次评审</c:v>
                </c:pt>
                <c:pt idx="1" c:formatCode="m&quot;月&quot;d&quot;日&quot;">
                  <c:v>第2次评审</c:v>
                </c:pt>
                <c:pt idx="2" c:formatCode="m&quot;月&quot;d&quot;日&quot;">
                  <c:v>第3次评审</c:v>
                </c:pt>
              </c:strCache>
            </c:strRef>
          </c:cat>
          <c:val>
            <c:numRef>
              <c:f>过程产出缺陷度量!$L$401:$L$403</c:f>
              <c:numCache>
                <c:formatCode>0.000_ </c:formatCode>
                <c:ptCount val="3"/>
                <c:pt idx="0">
                  <c:v>0.0106837606837607</c:v>
                </c:pt>
                <c:pt idx="1">
                  <c:v>0</c:v>
                </c:pt>
                <c:pt idx="2">
                  <c:v>0</c:v>
                </c:pt>
              </c:numCache>
            </c:numRef>
          </c:val>
          <c:smooth val="0"/>
        </c:ser>
        <c:dLbls>
          <c:showLegendKey val="0"/>
          <c:showVal val="0"/>
          <c:showCatName val="0"/>
          <c:showSerName val="0"/>
          <c:showPercent val="0"/>
          <c:showBubbleSize val="0"/>
        </c:dLbls>
        <c:marker val="1"/>
        <c:smooth val="0"/>
        <c:axId val="-321681056"/>
        <c:axId val="-321681600"/>
      </c:lineChart>
      <c:catAx>
        <c:axId val="-321681056"/>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81600"/>
        <c:crosses val="autoZero"/>
        <c:auto val="1"/>
        <c:lblAlgn val="ctr"/>
        <c:lblOffset val="100"/>
        <c:noMultiLvlLbl val="0"/>
      </c:catAx>
      <c:valAx>
        <c:axId val="-3216816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8105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layout/>
      <c:overlay val="0"/>
    </c:title>
    <c:autoTitleDeleted val="0"/>
    <c:plotArea>
      <c:layout/>
      <c:lineChart>
        <c:grouping val="standard"/>
        <c:varyColors val="0"/>
        <c:ser>
          <c:idx val="0"/>
          <c:order val="0"/>
          <c:tx>
            <c:strRef>
              <c:f>过程产出缺陷度量!$N$109</c:f>
              <c:strCache>
                <c:ptCount val="1"/>
                <c:pt idx="0">
                  <c:v>LOL</c:v>
                </c:pt>
              </c:strCache>
            </c:strRef>
          </c:tx>
          <c:dLbls>
            <c:delete val="1"/>
          </c:dLbls>
          <c:cat>
            <c:strRef>
              <c:f>过程产出缺陷度量!$A$426:$A$429</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过程产出缺陷度量!$O$109</c:f>
              <c:strCache>
                <c:ptCount val="1"/>
                <c:pt idx="0">
                  <c:v>OL</c:v>
                </c:pt>
              </c:strCache>
            </c:strRef>
          </c:tx>
          <c:dLbls>
            <c:delete val="1"/>
          </c:dLbls>
          <c:cat>
            <c:strRef>
              <c:f>过程产出缺陷度量!$A$426:$A$429</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[0]!代码走查缺陷密度的均值于画图</c:f>
              <c:numCache>
                <c:formatCode>0.0000_ </c:formatCode>
                <c:ptCount val="4"/>
                <c:pt idx="0">
                  <c:v>0.0506</c:v>
                </c:pt>
                <c:pt idx="1">
                  <c:v>0.0506</c:v>
                </c:pt>
                <c:pt idx="2">
                  <c:v>0.0506</c:v>
                </c:pt>
                <c:pt idx="3">
                  <c:v>0.0506</c:v>
                </c:pt>
              </c:numCache>
            </c:numRef>
          </c:val>
          <c:smooth val="0"/>
        </c:ser>
        <c:ser>
          <c:idx val="2"/>
          <c:order val="2"/>
          <c:tx>
            <c:strRef>
              <c:f>过程产出缺陷度量!$P$109</c:f>
              <c:strCache>
                <c:ptCount val="1"/>
                <c:pt idx="0">
                  <c:v>UOL</c:v>
                </c:pt>
              </c:strCache>
            </c:strRef>
          </c:tx>
          <c:dLbls>
            <c:delete val="1"/>
          </c:dLbls>
          <c:cat>
            <c:strRef>
              <c:f>过程产出缺陷度量!$A$426:$A$429</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[0]!代码走查缺陷密度的上限于画图</c:f>
              <c:numCache>
                <c:formatCode>0.0000_ </c:formatCode>
                <c:ptCount val="4"/>
                <c:pt idx="0">
                  <c:v>0.1544</c:v>
                </c:pt>
                <c:pt idx="1">
                  <c:v>0.1544</c:v>
                </c:pt>
                <c:pt idx="2">
                  <c:v>0.1544</c:v>
                </c:pt>
                <c:pt idx="3">
                  <c:v>0.1544</c:v>
                </c:pt>
              </c:numCache>
            </c:numRef>
          </c:val>
          <c:smooth val="0"/>
        </c:ser>
        <c:ser>
          <c:idx val="3"/>
          <c:order val="3"/>
          <c:tx>
            <c:strRef>
              <c:f>"项目数据"</c:f>
              <c:strCache>
                <c:ptCount val="1"/>
                <c:pt idx="0">
                  <c:v>项目数据</c:v>
                </c:pt>
              </c:strCache>
            </c:strRef>
          </c:tx>
          <c:dLbls>
            <c:delete val="1"/>
          </c:dLbls>
          <c:cat>
            <c:strRef>
              <c:f>过程产出缺陷度量!$A$426:$A$429</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过程产出缺陷度量!$L$426:$L$429</c:f>
              <c:numCache>
                <c:formatCode>0.000_ </c:formatCode>
                <c:ptCount val="4"/>
                <c:pt idx="0">
                  <c:v>0.208478109798471</c:v>
                </c:pt>
                <c:pt idx="1">
                  <c:v>0</c:v>
                </c:pt>
                <c:pt idx="2">
                  <c:v>0</c:v>
                </c:pt>
                <c:pt idx="3">
                  <c:v>0</c:v>
                </c:pt>
              </c:numCache>
            </c:numRef>
          </c:val>
          <c:smooth val="0"/>
        </c:ser>
        <c:dLbls>
          <c:showLegendKey val="0"/>
          <c:showVal val="0"/>
          <c:showCatName val="0"/>
          <c:showSerName val="0"/>
          <c:showPercent val="0"/>
          <c:showBubbleSize val="0"/>
        </c:dLbls>
        <c:marker val="1"/>
        <c:smooth val="0"/>
        <c:axId val="-321683232"/>
        <c:axId val="-321672896"/>
      </c:lineChart>
      <c:catAx>
        <c:axId val="-32168323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2896"/>
        <c:crosses val="autoZero"/>
        <c:auto val="1"/>
        <c:lblAlgn val="ctr"/>
        <c:lblOffset val="100"/>
        <c:noMultiLvlLbl val="0"/>
      </c:catAx>
      <c:valAx>
        <c:axId val="-32167289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8323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客户需求评审缺陷密度的控制图</a:t>
            </a:r>
            <a:endParaRPr lang="en-US" altLang="zh-CN"/>
          </a:p>
        </c:rich>
      </c:tx>
      <c:layout/>
      <c:overlay val="0"/>
    </c:title>
    <c:autoTitleDeleted val="0"/>
    <c:plotArea>
      <c:layout/>
      <c:lineChart>
        <c:grouping val="standard"/>
        <c:varyColors val="0"/>
        <c:ser>
          <c:idx val="0"/>
          <c:order val="0"/>
          <c:tx>
            <c:strRef>
              <c:f>过程产出缺陷度量!$N$7</c:f>
              <c:strCache>
                <c:ptCount val="1"/>
                <c:pt idx="0">
                  <c:v>LOL</c:v>
                </c:pt>
              </c:strCache>
            </c:strRef>
          </c:tx>
          <c:dLbls>
            <c:delete val="1"/>
          </c:dLbls>
          <c:cat>
            <c:strRef>
              <c:f>过程产出缺陷度量!$A$483:$A$484</c:f>
              <c:strCache>
                <c:ptCount val="2"/>
                <c:pt idx="0" c:formatCode="m&quot;月&quot;d&quot;日&quot;">
                  <c:v>第1次评审</c:v>
                </c:pt>
                <c:pt idx="1" c:formatCode="m&quot;月&quot;d&quot;日&quot;">
                  <c:v>第2次评审</c:v>
                </c:pt>
              </c:strCache>
            </c:strRef>
          </c:cat>
          <c:val>
            <c:numRef>
              <c:f>[0]!客户需求评审缺陷密度的下限</c:f>
              <c:numCache>
                <c:formatCode>0.0000_ </c:formatCode>
                <c:ptCount val="2"/>
                <c:pt idx="0">
                  <c:v>0</c:v>
                </c:pt>
                <c:pt idx="1">
                  <c:v>0</c:v>
                </c:pt>
              </c:numCache>
            </c:numRef>
          </c:val>
          <c:smooth val="0"/>
        </c:ser>
        <c:ser>
          <c:idx val="1"/>
          <c:order val="1"/>
          <c:tx>
            <c:strRef>
              <c:f>过程产出缺陷度量!$O$7</c:f>
              <c:strCache>
                <c:ptCount val="1"/>
                <c:pt idx="0">
                  <c:v>OL</c:v>
                </c:pt>
              </c:strCache>
            </c:strRef>
          </c:tx>
          <c:dLbls>
            <c:delete val="1"/>
          </c:dLbls>
          <c:cat>
            <c:strRef>
              <c:f>过程产出缺陷度量!$A$483:$A$484</c:f>
              <c:strCache>
                <c:ptCount val="2"/>
                <c:pt idx="0" c:formatCode="m&quot;月&quot;d&quot;日&quot;">
                  <c:v>第1次评审</c:v>
                </c:pt>
                <c:pt idx="1" c:formatCode="m&quot;月&quot;d&quot;日&quot;">
                  <c:v>第2次评审</c:v>
                </c:pt>
              </c:strCache>
            </c:strRef>
          </c:cat>
          <c:val>
            <c:numRef>
              <c:f>[0]!客户需求评审缺陷密度的均值</c:f>
              <c:numCache>
                <c:formatCode>0.0000_ </c:formatCode>
                <c:ptCount val="2"/>
                <c:pt idx="0">
                  <c:v>0.2111</c:v>
                </c:pt>
                <c:pt idx="1">
                  <c:v>0.2111</c:v>
                </c:pt>
              </c:numCache>
            </c:numRef>
          </c:val>
          <c:smooth val="0"/>
        </c:ser>
        <c:ser>
          <c:idx val="2"/>
          <c:order val="2"/>
          <c:tx>
            <c:strRef>
              <c:f>过程产出缺陷度量!$P$7</c:f>
              <c:strCache>
                <c:ptCount val="1"/>
                <c:pt idx="0">
                  <c:v>UOL</c:v>
                </c:pt>
              </c:strCache>
            </c:strRef>
          </c:tx>
          <c:dLbls>
            <c:delete val="1"/>
          </c:dLbls>
          <c:cat>
            <c:strRef>
              <c:f>过程产出缺陷度量!$A$483:$A$484</c:f>
              <c:strCache>
                <c:ptCount val="2"/>
                <c:pt idx="0" c:formatCode="m&quot;月&quot;d&quot;日&quot;">
                  <c:v>第1次评审</c:v>
                </c:pt>
                <c:pt idx="1" c:formatCode="m&quot;月&quot;d&quot;日&quot;">
                  <c:v>第2次评审</c:v>
                </c:pt>
              </c:strCache>
            </c:strRef>
          </c:cat>
          <c:val>
            <c:numRef>
              <c:f>[0]!客户需求评审缺陷密度的上限</c:f>
              <c:numCache>
                <c:formatCode>0.0000_ </c:formatCode>
                <c:ptCount val="2"/>
                <c:pt idx="0">
                  <c:v>0.627</c:v>
                </c:pt>
                <c:pt idx="1">
                  <c:v>0.627</c:v>
                </c:pt>
              </c:numCache>
            </c:numRef>
          </c:val>
          <c:smooth val="0"/>
        </c:ser>
        <c:ser>
          <c:idx val="3"/>
          <c:order val="3"/>
          <c:tx>
            <c:strRef>
              <c:f>"项目数据"</c:f>
              <c:strCache>
                <c:ptCount val="1"/>
                <c:pt idx="0">
                  <c:v>项目数据</c:v>
                </c:pt>
              </c:strCache>
            </c:strRef>
          </c:tx>
          <c:dLbls>
            <c:delete val="1"/>
          </c:dLbls>
          <c:cat>
            <c:strRef>
              <c:f>过程产出缺陷度量!$A$483:$A$484</c:f>
              <c:strCache>
                <c:ptCount val="2"/>
                <c:pt idx="0" c:formatCode="m&quot;月&quot;d&quot;日&quot;">
                  <c:v>第1次评审</c:v>
                </c:pt>
                <c:pt idx="1" c:formatCode="m&quot;月&quot;d&quot;日&quot;">
                  <c:v>第2次评审</c:v>
                </c:pt>
              </c:strCache>
            </c:strRef>
          </c:cat>
          <c:val>
            <c:numRef>
              <c:f>过程产出缺陷度量!$L$483:$L$484</c:f>
              <c:numCache>
                <c:formatCode>0.000_ </c:formatCode>
                <c:ptCount val="2"/>
                <c:pt idx="0">
                  <c:v>0.333333333333333</c:v>
                </c:pt>
                <c:pt idx="1">
                  <c:v>0</c:v>
                </c:pt>
              </c:numCache>
            </c:numRef>
          </c:val>
          <c:smooth val="0"/>
        </c:ser>
        <c:dLbls>
          <c:showLegendKey val="0"/>
          <c:showVal val="0"/>
          <c:showCatName val="0"/>
          <c:showSerName val="0"/>
          <c:showPercent val="0"/>
          <c:showBubbleSize val="0"/>
        </c:dLbls>
        <c:marker val="1"/>
        <c:smooth val="0"/>
        <c:axId val="-321679968"/>
        <c:axId val="-321673984"/>
      </c:lineChart>
      <c:catAx>
        <c:axId val="-321679968"/>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3984"/>
        <c:crosses val="autoZero"/>
        <c:auto val="1"/>
        <c:lblAlgn val="ctr"/>
        <c:lblOffset val="100"/>
        <c:noMultiLvlLbl val="0"/>
      </c:catAx>
      <c:valAx>
        <c:axId val="-32167398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996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需求规格评审缺陷密度的控制图</a:t>
            </a:r>
            <a:endParaRPr lang="en-US" altLang="zh-CN"/>
          </a:p>
        </c:rich>
      </c:tx>
      <c:layout/>
      <c:overlay val="0"/>
    </c:title>
    <c:autoTitleDeleted val="0"/>
    <c:plotArea>
      <c:layout/>
      <c:lineChart>
        <c:grouping val="standard"/>
        <c:varyColors val="0"/>
        <c:ser>
          <c:idx val="0"/>
          <c:order val="0"/>
          <c:tx>
            <c:strRef>
              <c:f>过程产出缺陷度量!$N$30</c:f>
              <c:strCache>
                <c:ptCount val="1"/>
                <c:pt idx="0">
                  <c:v>LOL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[0]!需求规格评审缺陷密度的下限于画图</c:f>
              <c:numCache>
                <c:formatCode>0.0000_ </c:formatCode>
                <c:ptCount val="4"/>
                <c:pt idx="0">
                  <c:v>0</c:v>
                </c:pt>
                <c:pt idx="1">
                  <c:v>0</c:v>
                </c:pt>
                <c:pt idx="2">
                  <c:v>0</c:v>
                </c:pt>
                <c:pt idx="3">
                  <c:v>0</c:v>
                </c:pt>
              </c:numCache>
            </c:numRef>
          </c:val>
          <c:smooth val="0"/>
        </c:ser>
        <c:ser>
          <c:idx val="1"/>
          <c:order val="1"/>
          <c:tx>
            <c:strRef>
              <c:f>过程产出缺陷度量!$O$30</c:f>
              <c:strCache>
                <c:ptCount val="1"/>
                <c:pt idx="0">
                  <c:v>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[0]!需求规格评审缺陷密度的均值于画图</c:f>
              <c:numCache>
                <c:formatCode>0.0000_ </c:formatCode>
                <c:ptCount val="4"/>
                <c:pt idx="0">
                  <c:v>0.0754</c:v>
                </c:pt>
                <c:pt idx="1">
                  <c:v>0.0754</c:v>
                </c:pt>
                <c:pt idx="2">
                  <c:v>0.0754</c:v>
                </c:pt>
                <c:pt idx="3">
                  <c:v>0.0754</c:v>
                </c:pt>
              </c:numCache>
            </c:numRef>
          </c:val>
          <c:smooth val="0"/>
        </c:ser>
        <c:ser>
          <c:idx val="2"/>
          <c:order val="2"/>
          <c:tx>
            <c:strRef>
              <c:f>过程产出缺陷度量!$P$30</c:f>
              <c:strCache>
                <c:ptCount val="1"/>
                <c:pt idx="0">
                  <c:v>UOL</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[0]!需求规格评审缺陷密度的上限于画图</c:f>
              <c:numCache>
                <c:formatCode>0.0000_ </c:formatCode>
                <c:ptCount val="4"/>
                <c:pt idx="0">
                  <c:v>0.2273</c:v>
                </c:pt>
                <c:pt idx="1">
                  <c:v>0.2273</c:v>
                </c:pt>
                <c:pt idx="2">
                  <c:v>0.2273</c:v>
                </c:pt>
                <c:pt idx="3">
                  <c:v>0.2273</c:v>
                </c:pt>
              </c:numCache>
            </c:numRef>
          </c:val>
          <c:smooth val="0"/>
        </c:ser>
        <c:ser>
          <c:idx val="3"/>
          <c:order val="3"/>
          <c:tx>
            <c:strRef>
              <c:f>"项目数据"</c:f>
              <c:strCache>
                <c:ptCount val="1"/>
                <c:pt idx="0">
                  <c:v>项目数据</c:v>
                </c:pt>
              </c:strCache>
            </c:strRef>
          </c:tx>
          <c:dLbls>
            <c:delete val="1"/>
          </c:dLbls>
          <c:cat>
            <c:strRef>
              <c:f>[0]!需求规格评审次数于画图</c:f>
              <c:strCache>
                <c:ptCount val="4"/>
                <c:pt idx="0" c:formatCode="m&quot;月&quot;d&quot;日&quot;">
                  <c:v>第1次评审</c:v>
                </c:pt>
                <c:pt idx="1" c:formatCode="m&quot;月&quot;d&quot;日&quot;">
                  <c:v>第2次评审</c:v>
                </c:pt>
                <c:pt idx="2" c:formatCode="m&quot;月&quot;d&quot;日&quot;">
                  <c:v>第3次评审</c:v>
                </c:pt>
                <c:pt idx="3" c:formatCode="m&quot;月&quot;d&quot;日&quot;">
                  <c:v>第4次评审</c:v>
                </c:pt>
              </c:strCache>
            </c:strRef>
          </c:cat>
          <c:val>
            <c:numRef>
              <c:f>[0]!需求规格评审缺陷密度于画图</c:f>
              <c:numCache>
                <c:formatCode>0.000_ </c:formatCode>
                <c:ptCount val="4"/>
                <c:pt idx="0">
                  <c:v>0</c:v>
                </c:pt>
                <c:pt idx="1">
                  <c:v>0</c:v>
                </c:pt>
                <c:pt idx="2">
                  <c:v>0</c:v>
                </c:pt>
                <c:pt idx="3">
                  <c:v>0</c:v>
                </c:pt>
              </c:numCache>
            </c:numRef>
          </c:val>
          <c:smooth val="0"/>
        </c:ser>
        <c:dLbls>
          <c:showLegendKey val="0"/>
          <c:showVal val="0"/>
          <c:showCatName val="0"/>
          <c:showSerName val="0"/>
          <c:showPercent val="0"/>
          <c:showBubbleSize val="0"/>
        </c:dLbls>
        <c:marker val="1"/>
        <c:smooth val="0"/>
        <c:axId val="-321670176"/>
        <c:axId val="-321670720"/>
      </c:lineChart>
      <c:catAx>
        <c:axId val="-321670176"/>
        <c:scaling>
          <c:orientation val="minMax"/>
        </c:scaling>
        <c:delete val="0"/>
        <c:axPos val="b"/>
        <c:numFmt formatCode="General" sourceLinked="0"/>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0720"/>
        <c:crosses val="autoZero"/>
        <c:auto val="1"/>
        <c:lblAlgn val="ctr"/>
        <c:lblOffset val="100"/>
        <c:noMultiLvlLbl val="0"/>
      </c:catAx>
      <c:valAx>
        <c:axId val="-32167072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017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设计评审缺陷密度的控制图</a:t>
            </a:r>
            <a:endParaRPr lang="en-US" altLang="zh-CN"/>
          </a:p>
        </c:rich>
      </c:tx>
      <c:layout/>
      <c:overlay val="0"/>
    </c:title>
    <c:autoTitleDeleted val="0"/>
    <c:plotArea>
      <c:layout/>
      <c:lineChart>
        <c:grouping val="standard"/>
        <c:varyColors val="0"/>
        <c:ser>
          <c:idx val="0"/>
          <c:order val="0"/>
          <c:tx>
            <c:strRef>
              <c:f>过程产出缺陷度量!$N$57</c:f>
              <c:strCache>
                <c:ptCount val="1"/>
                <c:pt idx="0">
                  <c:v>LOL</c:v>
                </c:pt>
              </c:strCache>
            </c:strRef>
          </c:tx>
          <c:dLbls>
            <c:delete val="1"/>
          </c:dLbls>
          <c:cat>
            <c:strRef>
              <c:f>过程产出缺陷度量!$A$532:$A$534</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[0]!设计评审缺陷密度的下限于画图</c:f>
              <c:numCache>
                <c:formatCode>0.0000_ </c:formatCode>
                <c:ptCount val="3"/>
                <c:pt idx="0">
                  <c:v>0</c:v>
                </c:pt>
                <c:pt idx="1">
                  <c:v>0</c:v>
                </c:pt>
                <c:pt idx="2">
                  <c:v>0</c:v>
                </c:pt>
              </c:numCache>
            </c:numRef>
          </c:val>
          <c:smooth val="0"/>
        </c:ser>
        <c:ser>
          <c:idx val="1"/>
          <c:order val="1"/>
          <c:tx>
            <c:strRef>
              <c:f>过程产出缺陷度量!$O$57</c:f>
              <c:strCache>
                <c:ptCount val="1"/>
                <c:pt idx="0">
                  <c:v>OL</c:v>
                </c:pt>
              </c:strCache>
            </c:strRef>
          </c:tx>
          <c:dLbls>
            <c:delete val="1"/>
          </c:dLbls>
          <c:cat>
            <c:strRef>
              <c:f>过程产出缺陷度量!$A$532:$A$534</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[0]!设计评审缺陷密度的均值于画图</c:f>
              <c:numCache>
                <c:formatCode>0.0000_ </c:formatCode>
                <c:ptCount val="3"/>
                <c:pt idx="0">
                  <c:v>0.0834</c:v>
                </c:pt>
                <c:pt idx="1">
                  <c:v>0.0834</c:v>
                </c:pt>
                <c:pt idx="2">
                  <c:v>0.0834</c:v>
                </c:pt>
              </c:numCache>
            </c:numRef>
          </c:val>
          <c:smooth val="0"/>
        </c:ser>
        <c:ser>
          <c:idx val="2"/>
          <c:order val="2"/>
          <c:tx>
            <c:strRef>
              <c:f>过程产出缺陷度量!$P$57</c:f>
              <c:strCache>
                <c:ptCount val="1"/>
                <c:pt idx="0">
                  <c:v>UOL</c:v>
                </c:pt>
              </c:strCache>
            </c:strRef>
          </c:tx>
          <c:dLbls>
            <c:delete val="1"/>
          </c:dLbls>
          <c:cat>
            <c:strRef>
              <c:f>过程产出缺陷度量!$A$532:$A$534</c:f>
              <c:strCache>
                <c:ptCount val="3"/>
                <c:pt idx="0" c:formatCode="m&quot;月&quot;d&quot;日&quot;">
                  <c:v>第1次评审</c:v>
                </c:pt>
                <c:pt idx="1" c:formatCode="m&quot;月&quot;d&quot;日&quot;">
                  <c:v>第2次评审</c:v>
                </c:pt>
                <c:pt idx="2" c:formatCode="m&quot;月&quot;d&quot;日&quot;">
                  <c:v>第3次评审</c:v>
                </c:pt>
              </c:strCache>
            </c:strRef>
          </c:cat>
          <c:val>
            <c:numRef>
              <c:f>[0]!设计评审缺陷密度的上限于画图</c:f>
              <c:numCache>
                <c:formatCode>0.0000_ </c:formatCode>
                <c:ptCount val="3"/>
                <c:pt idx="0">
                  <c:v>0.2204</c:v>
                </c:pt>
                <c:pt idx="1">
                  <c:v>0.2204</c:v>
                </c:pt>
                <c:pt idx="2">
                  <c:v>0.2204</c:v>
                </c:pt>
              </c:numCache>
            </c:numRef>
          </c:val>
          <c:smooth val="0"/>
        </c:ser>
        <c:ser>
          <c:idx val="3"/>
          <c:order val="3"/>
          <c:tx>
            <c:strRef>
              <c:f>"项目数据"</c:f>
              <c:strCache>
                <c:ptCount val="1"/>
                <c:pt idx="0">
                  <c:v>项目数据</c:v>
                </c:pt>
              </c:strCache>
            </c:strRef>
          </c:tx>
          <c:dLbls>
            <c:delete val="1"/>
          </c:dLbls>
          <c:cat>
            <c:strRef>
              <c:f>过程产出缺陷度量!$A$532:$A$534</c:f>
              <c:strCache>
                <c:ptCount val="3"/>
                <c:pt idx="0" c:formatCode="m&quot;月&quot;d&quot;日&quot;">
                  <c:v>第1次评审</c:v>
                </c:pt>
                <c:pt idx="1" c:formatCode="m&quot;月&quot;d&quot;日&quot;">
                  <c:v>第2次评审</c:v>
                </c:pt>
                <c:pt idx="2" c:formatCode="m&quot;月&quot;d&quot;日&quot;">
                  <c:v>第3次评审</c:v>
                </c:pt>
              </c:strCache>
            </c:strRef>
          </c:cat>
          <c:val>
            <c:numRef>
              <c:f>过程产出缺陷度量!$L$532:$L$534</c:f>
              <c:numCache>
                <c:formatCode>0.000_ </c:formatCode>
                <c:ptCount val="3"/>
                <c:pt idx="0">
                  <c:v>0.05</c:v>
                </c:pt>
                <c:pt idx="1">
                  <c:v>0</c:v>
                </c:pt>
                <c:pt idx="2">
                  <c:v>0</c:v>
                </c:pt>
              </c:numCache>
            </c:numRef>
          </c:val>
          <c:smooth val="0"/>
        </c:ser>
        <c:dLbls>
          <c:showLegendKey val="0"/>
          <c:showVal val="0"/>
          <c:showCatName val="0"/>
          <c:showSerName val="0"/>
          <c:showPercent val="0"/>
          <c:showBubbleSize val="0"/>
        </c:dLbls>
        <c:marker val="1"/>
        <c:smooth val="0"/>
        <c:axId val="-321679424"/>
        <c:axId val="-321668544"/>
      </c:lineChart>
      <c:catAx>
        <c:axId val="-32167942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68544"/>
        <c:crosses val="autoZero"/>
        <c:auto val="1"/>
        <c:lblAlgn val="ctr"/>
        <c:lblOffset val="100"/>
        <c:noMultiLvlLbl val="0"/>
      </c:catAx>
      <c:valAx>
        <c:axId val="-32166854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942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测试用例评审缺陷密度的控制图</a:t>
            </a:r>
            <a:endParaRPr lang="en-US" altLang="zh-CN"/>
          </a:p>
        </c:rich>
      </c:tx>
      <c:layout/>
      <c:overlay val="0"/>
    </c:title>
    <c:autoTitleDeleted val="0"/>
    <c:plotArea>
      <c:layout/>
      <c:lineChart>
        <c:grouping val="standard"/>
        <c:varyColors val="0"/>
        <c:ser>
          <c:idx val="0"/>
          <c:order val="0"/>
          <c:tx>
            <c:strRef>
              <c:f>过程产出缺陷度量!$N$84</c:f>
              <c:strCache>
                <c:ptCount val="1"/>
                <c:pt idx="0">
                  <c:v>LOL</c:v>
                </c:pt>
              </c:strCache>
            </c:strRef>
          </c:tx>
          <c:dLbls>
            <c:delete val="1"/>
          </c:dLbls>
          <c:cat>
            <c:strRef>
              <c:f>过程产出缺陷度量!$A$559:$A$561</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[0]!测试用例评审缺陷密度的下限于画图</c:f>
              <c:numCache>
                <c:formatCode>0.0000_ </c:formatCode>
                <c:ptCount val="3"/>
                <c:pt idx="0">
                  <c:v>0.0008</c:v>
                </c:pt>
                <c:pt idx="1">
                  <c:v>0.0008</c:v>
                </c:pt>
                <c:pt idx="2">
                  <c:v>0.0008</c:v>
                </c:pt>
              </c:numCache>
            </c:numRef>
          </c:val>
          <c:smooth val="0"/>
        </c:ser>
        <c:ser>
          <c:idx val="1"/>
          <c:order val="1"/>
          <c:tx>
            <c:strRef>
              <c:f>过程产出缺陷度量!$O$84</c:f>
              <c:strCache>
                <c:ptCount val="1"/>
                <c:pt idx="0">
                  <c:v>OL</c:v>
                </c:pt>
              </c:strCache>
            </c:strRef>
          </c:tx>
          <c:dLbls>
            <c:delete val="1"/>
          </c:dLbls>
          <c:cat>
            <c:strRef>
              <c:f>过程产出缺陷度量!$A$559:$A$561</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[0]!测试用例评审缺陷密度的均值于画图</c:f>
              <c:numCache>
                <c:formatCode>0.0000_ </c:formatCode>
                <c:ptCount val="3"/>
                <c:pt idx="0">
                  <c:v>0.011</c:v>
                </c:pt>
                <c:pt idx="1">
                  <c:v>0.011</c:v>
                </c:pt>
                <c:pt idx="2">
                  <c:v>0.011</c:v>
                </c:pt>
              </c:numCache>
            </c:numRef>
          </c:val>
          <c:smooth val="0"/>
        </c:ser>
        <c:ser>
          <c:idx val="2"/>
          <c:order val="2"/>
          <c:tx>
            <c:strRef>
              <c:f>过程产出缺陷度量!$P$84</c:f>
              <c:strCache>
                <c:ptCount val="1"/>
                <c:pt idx="0">
                  <c:v>UOL</c:v>
                </c:pt>
              </c:strCache>
            </c:strRef>
          </c:tx>
          <c:dLbls>
            <c:delete val="1"/>
          </c:dLbls>
          <c:cat>
            <c:strRef>
              <c:f>过程产出缺陷度量!$A$559:$A$561</c:f>
              <c:strCache>
                <c:ptCount val="3"/>
                <c:pt idx="0" c:formatCode="m&quot;月&quot;d&quot;日&quot;">
                  <c:v>第1次评审</c:v>
                </c:pt>
                <c:pt idx="1" c:formatCode="m&quot;月&quot;d&quot;日&quot;">
                  <c:v>第2次评审</c:v>
                </c:pt>
                <c:pt idx="2" c:formatCode="m&quot;月&quot;d&quot;日&quot;">
                  <c:v>第3次评审</c:v>
                </c:pt>
              </c:strCache>
            </c:strRef>
          </c:cat>
          <c:val>
            <c:numRef>
              <c:f>[0]!测试用例评审缺陷密度的上限于画图</c:f>
              <c:numCache>
                <c:formatCode>0.0000_ </c:formatCode>
                <c:ptCount val="3"/>
                <c:pt idx="0">
                  <c:v>0.0212</c:v>
                </c:pt>
                <c:pt idx="1">
                  <c:v>0.0212</c:v>
                </c:pt>
                <c:pt idx="2">
                  <c:v>0.0212</c:v>
                </c:pt>
              </c:numCache>
            </c:numRef>
          </c:val>
          <c:smooth val="0"/>
        </c:ser>
        <c:ser>
          <c:idx val="3"/>
          <c:order val="3"/>
          <c:tx>
            <c:strRef>
              <c:f>"项目数据"</c:f>
              <c:strCache>
                <c:ptCount val="1"/>
                <c:pt idx="0">
                  <c:v>项目数据</c:v>
                </c:pt>
              </c:strCache>
            </c:strRef>
          </c:tx>
          <c:dLbls>
            <c:delete val="1"/>
          </c:dLbls>
          <c:cat>
            <c:strRef>
              <c:f>过程产出缺陷度量!$A$559:$A$561</c:f>
              <c:strCache>
                <c:ptCount val="3"/>
                <c:pt idx="0" c:formatCode="m&quot;月&quot;d&quot;日&quot;">
                  <c:v>第1次评审</c:v>
                </c:pt>
                <c:pt idx="1" c:formatCode="m&quot;月&quot;d&quot;日&quot;">
                  <c:v>第2次评审</c:v>
                </c:pt>
                <c:pt idx="2" c:formatCode="m&quot;月&quot;d&quot;日&quot;">
                  <c:v>第3次评审</c:v>
                </c:pt>
              </c:strCache>
            </c:strRef>
          </c:cat>
          <c:val>
            <c:numRef>
              <c:f>过程产出缺陷度量!$L$559:$L$561</c:f>
              <c:numCache>
                <c:formatCode>0.000_ </c:formatCode>
                <c:ptCount val="3"/>
                <c:pt idx="0">
                  <c:v>0.00321027287319422</c:v>
                </c:pt>
                <c:pt idx="1">
                  <c:v>0</c:v>
                </c:pt>
                <c:pt idx="2">
                  <c:v>0</c:v>
                </c:pt>
              </c:numCache>
            </c:numRef>
          </c:val>
          <c:smooth val="0"/>
        </c:ser>
        <c:dLbls>
          <c:showLegendKey val="0"/>
          <c:showVal val="0"/>
          <c:showCatName val="0"/>
          <c:showSerName val="0"/>
          <c:showPercent val="0"/>
          <c:showBubbleSize val="0"/>
        </c:dLbls>
        <c:marker val="1"/>
        <c:smooth val="0"/>
        <c:axId val="-321682688"/>
        <c:axId val="-321672352"/>
      </c:lineChart>
      <c:catAx>
        <c:axId val="-32168268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2352"/>
        <c:crosses val="autoZero"/>
        <c:auto val="1"/>
        <c:lblAlgn val="ctr"/>
        <c:lblOffset val="100"/>
        <c:noMultiLvlLbl val="0"/>
      </c:catAx>
      <c:valAx>
        <c:axId val="-32167235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8268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代码走查缺陷密度的控制图</a:t>
            </a:r>
            <a:endParaRPr lang="en-US" altLang="zh-CN"/>
          </a:p>
        </c:rich>
      </c:tx>
      <c:layout/>
      <c:overlay val="0"/>
    </c:title>
    <c:autoTitleDeleted val="0"/>
    <c:plotArea>
      <c:layout/>
      <c:lineChart>
        <c:grouping val="standard"/>
        <c:varyColors val="0"/>
        <c:ser>
          <c:idx val="0"/>
          <c:order val="0"/>
          <c:tx>
            <c:strRef>
              <c:f>过程产出缺陷度量!$N$109</c:f>
              <c:strCache>
                <c:ptCount val="1"/>
                <c:pt idx="0">
                  <c:v>LOL</c:v>
                </c:pt>
              </c:strCache>
            </c:strRef>
          </c:tx>
          <c:dLbls>
            <c:delete val="1"/>
          </c:dLbls>
          <c:cat>
            <c:strRef>
              <c:f>过程产出缺陷度量!$A$584:$A$587</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[0]!代码走查缺陷密度的下限于画图</c:f>
              <c:numCache>
                <c:formatCode>0.0000_ </c:formatCode>
                <c:ptCount val="4"/>
                <c:pt idx="0">
                  <c:v>0</c:v>
                </c:pt>
                <c:pt idx="1">
                  <c:v>0</c:v>
                </c:pt>
                <c:pt idx="2">
                  <c:v>0</c:v>
                </c:pt>
                <c:pt idx="3">
                  <c:v>0</c:v>
                </c:pt>
              </c:numCache>
            </c:numRef>
          </c:val>
          <c:smooth val="0"/>
        </c:ser>
        <c:ser>
          <c:idx val="1"/>
          <c:order val="1"/>
          <c:tx>
            <c:strRef>
              <c:f>过程产出缺陷度量!$O$109</c:f>
              <c:strCache>
                <c:ptCount val="1"/>
                <c:pt idx="0">
                  <c:v>OL</c:v>
                </c:pt>
              </c:strCache>
            </c:strRef>
          </c:tx>
          <c:dLbls>
            <c:delete val="1"/>
          </c:dLbls>
          <c:cat>
            <c:strRef>
              <c:f>过程产出缺陷度量!$A$584:$A$587</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[0]!代码走查缺陷密度的均值于画图</c:f>
              <c:numCache>
                <c:formatCode>0.0000_ </c:formatCode>
                <c:ptCount val="4"/>
                <c:pt idx="0">
                  <c:v>0.0506</c:v>
                </c:pt>
                <c:pt idx="1">
                  <c:v>0.0506</c:v>
                </c:pt>
                <c:pt idx="2">
                  <c:v>0.0506</c:v>
                </c:pt>
                <c:pt idx="3">
                  <c:v>0.0506</c:v>
                </c:pt>
              </c:numCache>
            </c:numRef>
          </c:val>
          <c:smooth val="0"/>
        </c:ser>
        <c:ser>
          <c:idx val="2"/>
          <c:order val="2"/>
          <c:tx>
            <c:strRef>
              <c:f>过程产出缺陷度量!$P$109</c:f>
              <c:strCache>
                <c:ptCount val="1"/>
                <c:pt idx="0">
                  <c:v>UOL</c:v>
                </c:pt>
              </c:strCache>
            </c:strRef>
          </c:tx>
          <c:dLbls>
            <c:delete val="1"/>
          </c:dLbls>
          <c:cat>
            <c:strRef>
              <c:f>过程产出缺陷度量!$A$584:$A$587</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[0]!代码走查缺陷密度的上限于画图</c:f>
              <c:numCache>
                <c:formatCode>0.0000_ </c:formatCode>
                <c:ptCount val="4"/>
                <c:pt idx="0">
                  <c:v>0.1544</c:v>
                </c:pt>
                <c:pt idx="1">
                  <c:v>0.1544</c:v>
                </c:pt>
                <c:pt idx="2">
                  <c:v>0.1544</c:v>
                </c:pt>
                <c:pt idx="3">
                  <c:v>0.1544</c:v>
                </c:pt>
              </c:numCache>
            </c:numRef>
          </c:val>
          <c:smooth val="0"/>
        </c:ser>
        <c:ser>
          <c:idx val="3"/>
          <c:order val="3"/>
          <c:tx>
            <c:strRef>
              <c:f>"项目数据"</c:f>
              <c:strCache>
                <c:ptCount val="1"/>
                <c:pt idx="0">
                  <c:v>项目数据</c:v>
                </c:pt>
              </c:strCache>
            </c:strRef>
          </c:tx>
          <c:dLbls>
            <c:delete val="1"/>
          </c:dLbls>
          <c:cat>
            <c:strRef>
              <c:f>过程产出缺陷度量!$A$584:$A$587</c:f>
              <c:strCache>
                <c:ptCount val="4"/>
                <c:pt idx="0" c:formatCode="m&quot;月&quot;d&quot;日&quot;">
                  <c:v>第1次走查</c:v>
                </c:pt>
                <c:pt idx="1" c:formatCode="m&quot;月&quot;d&quot;日&quot;">
                  <c:v>第2次走查</c:v>
                </c:pt>
                <c:pt idx="2" c:formatCode="m&quot;月&quot;d&quot;日&quot;">
                  <c:v>第3次走查</c:v>
                </c:pt>
                <c:pt idx="3" c:formatCode="m&quot;月&quot;d&quot;日&quot;">
                  <c:v>第4次走查</c:v>
                </c:pt>
              </c:strCache>
            </c:strRef>
          </c:cat>
          <c:val>
            <c:numRef>
              <c:f>过程产出缺陷度量!$L$584:$L$587</c:f>
              <c:numCache>
                <c:formatCode>0.000_ </c:formatCode>
                <c:ptCount val="4"/>
                <c:pt idx="0">
                  <c:v>0.219689688315255</c:v>
                </c:pt>
                <c:pt idx="1">
                  <c:v>0</c:v>
                </c:pt>
                <c:pt idx="2">
                  <c:v>0</c:v>
                </c:pt>
                <c:pt idx="3">
                  <c:v>0</c:v>
                </c:pt>
              </c:numCache>
            </c:numRef>
          </c:val>
          <c:smooth val="0"/>
        </c:ser>
        <c:dLbls>
          <c:showLegendKey val="0"/>
          <c:showVal val="0"/>
          <c:showCatName val="0"/>
          <c:showSerName val="0"/>
          <c:showPercent val="0"/>
          <c:showBubbleSize val="0"/>
        </c:dLbls>
        <c:marker val="1"/>
        <c:smooth val="0"/>
        <c:axId val="-321676160"/>
        <c:axId val="-321668000"/>
      </c:lineChart>
      <c:catAx>
        <c:axId val="-32167616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68000"/>
        <c:crosses val="autoZero"/>
        <c:auto val="1"/>
        <c:lblAlgn val="ctr"/>
        <c:lblOffset val="100"/>
        <c:noMultiLvlLbl val="0"/>
      </c:catAx>
      <c:valAx>
        <c:axId val="-3216680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616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测试用例覆盖密度控制图</a:t>
            </a:r>
            <a:endParaRPr lang="en-US" altLang="zh-CN"/>
          </a:p>
        </c:rich>
      </c:tx>
      <c:layout/>
      <c:overlay val="0"/>
    </c:title>
    <c:autoTitleDeleted val="0"/>
    <c:plotArea>
      <c:layout/>
      <c:lineChart>
        <c:grouping val="standard"/>
        <c:varyColors val="0"/>
        <c:ser>
          <c:idx val="0"/>
          <c:order val="0"/>
          <c:tx>
            <c:strRef>
              <c:f>"项目数据"</c:f>
              <c:strCache>
                <c:ptCount val="1"/>
                <c:pt idx="0">
                  <c:v>项目数据</c:v>
                </c:pt>
              </c:strCache>
            </c:strRef>
          </c:tx>
          <c:dLbls>
            <c:delete val="1"/>
          </c:dLbls>
          <c:cat>
            <c:strRef>
              <c:f>过程产出缺陷度量!$A$612</c:f>
              <c:strCache>
                <c:ptCount val="1"/>
                <c:pt idx="0" c:formatCode="m&quot;月&quot;d&quot;日&quot;">
                  <c:v>迭代四</c:v>
                </c:pt>
              </c:strCache>
            </c:strRef>
          </c:cat>
          <c:val>
            <c:numRef>
              <c:f>过程产出缺陷度量!$E$612</c:f>
              <c:numCache>
                <c:formatCode>0.000_ </c:formatCode>
                <c:ptCount val="1"/>
                <c:pt idx="0">
                  <c:v>25.6625017163257</c:v>
                </c:pt>
              </c:numCache>
            </c:numRef>
          </c:val>
          <c:smooth val="0"/>
        </c:ser>
        <c:ser>
          <c:idx val="1"/>
          <c:order val="1"/>
          <c:tx>
            <c:strRef>
              <c:f>过程产出缺陷度量!$F$611</c:f>
              <c:strCache>
                <c:ptCount val="1"/>
                <c:pt idx="0">
                  <c:v>LOL</c:v>
                </c:pt>
              </c:strCache>
            </c:strRef>
          </c:tx>
          <c:dLbls>
            <c:delete val="1"/>
          </c:dLbls>
          <c:cat>
            <c:strRef>
              <c:f>过程产出缺陷度量!$A$612</c:f>
              <c:strCache>
                <c:ptCount val="1"/>
                <c:pt idx="0" c:formatCode="m&quot;月&quot;d&quot;日&quot;">
                  <c:v>迭代四</c:v>
                </c:pt>
              </c:strCache>
            </c:strRef>
          </c:cat>
          <c:val>
            <c:numRef>
              <c:f>过程产出缺陷度量!$F$612</c:f>
              <c:numCache>
                <c:formatCode>0.0000_);[Red]\(0.0000\)</c:formatCode>
                <c:ptCount val="1"/>
                <c:pt idx="0">
                  <c:v>0</c:v>
                </c:pt>
              </c:numCache>
            </c:numRef>
          </c:val>
          <c:smooth val="0"/>
        </c:ser>
        <c:ser>
          <c:idx val="2"/>
          <c:order val="2"/>
          <c:tx>
            <c:strRef>
              <c:f>过程产出缺陷度量!$G$611</c:f>
              <c:strCache>
                <c:ptCount val="1"/>
                <c:pt idx="0">
                  <c:v>OL</c:v>
                </c:pt>
              </c:strCache>
            </c:strRef>
          </c:tx>
          <c:dLbls>
            <c:delete val="1"/>
          </c:dLbls>
          <c:cat>
            <c:strRef>
              <c:f>过程产出缺陷度量!$A$612</c:f>
              <c:strCache>
                <c:ptCount val="1"/>
                <c:pt idx="0" c:formatCode="m&quot;月&quot;d&quot;日&quot;">
                  <c:v>迭代四</c:v>
                </c:pt>
              </c:strCache>
            </c:strRef>
          </c:cat>
          <c:val>
            <c:numRef>
              <c:f>过程产出缺陷度量!$G$612</c:f>
              <c:numCache>
                <c:formatCode>0.0000_);[Red]\(0.0000\)</c:formatCode>
                <c:ptCount val="1"/>
                <c:pt idx="0">
                  <c:v>9.869</c:v>
                </c:pt>
              </c:numCache>
            </c:numRef>
          </c:val>
          <c:smooth val="0"/>
        </c:ser>
        <c:ser>
          <c:idx val="3"/>
          <c:order val="3"/>
          <c:tx>
            <c:strRef>
              <c:f>过程产出缺陷度量!$H$611</c:f>
              <c:strCache>
                <c:ptCount val="1"/>
                <c:pt idx="0">
                  <c:v>UOL</c:v>
                </c:pt>
              </c:strCache>
            </c:strRef>
          </c:tx>
          <c:dLbls>
            <c:delete val="1"/>
          </c:dLbls>
          <c:cat>
            <c:strRef>
              <c:f>过程产出缺陷度量!$A$612</c:f>
              <c:strCache>
                <c:ptCount val="1"/>
                <c:pt idx="0" c:formatCode="m&quot;月&quot;d&quot;日&quot;">
                  <c:v>迭代四</c:v>
                </c:pt>
              </c:strCache>
            </c:strRef>
          </c:cat>
          <c:val>
            <c:numRef>
              <c:f>过程产出缺陷度量!$H$612</c:f>
              <c:numCache>
                <c:formatCode>0.0000_);[Red]\(0.0000\)</c:formatCode>
                <c:ptCount val="1"/>
                <c:pt idx="0">
                  <c:v>21.176</c:v>
                </c:pt>
              </c:numCache>
            </c:numRef>
          </c:val>
          <c:smooth val="0"/>
        </c:ser>
        <c:dLbls>
          <c:showLegendKey val="0"/>
          <c:showVal val="0"/>
          <c:showCatName val="0"/>
          <c:showSerName val="0"/>
          <c:showPercent val="0"/>
          <c:showBubbleSize val="0"/>
        </c:dLbls>
        <c:marker val="1"/>
        <c:smooth val="0"/>
        <c:axId val="-321678880"/>
        <c:axId val="-321678336"/>
      </c:lineChart>
      <c:catAx>
        <c:axId val="-32167888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8336"/>
        <c:crosses val="autoZero"/>
        <c:auto val="1"/>
        <c:lblAlgn val="ctr"/>
        <c:lblOffset val="100"/>
        <c:noMultiLvlLbl val="0"/>
      </c:catAx>
      <c:valAx>
        <c:axId val="-321678336"/>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888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测试用例覆盖密度控制图</a:t>
            </a:r>
            <a:endParaRPr lang="en-US" altLang="zh-CN"/>
          </a:p>
        </c:rich>
      </c:tx>
      <c:layout/>
      <c:overlay val="0"/>
    </c:title>
    <c:autoTitleDeleted val="0"/>
    <c:plotArea>
      <c:layout/>
      <c:lineChart>
        <c:grouping val="standard"/>
        <c:varyColors val="0"/>
        <c:ser>
          <c:idx val="0"/>
          <c:order val="0"/>
          <c:tx>
            <c:strRef>
              <c:f>"项目数据"</c:f>
              <c:strCache>
                <c:ptCount val="1"/>
                <c:pt idx="0">
                  <c:v>项目数据</c:v>
                </c:pt>
              </c:strCache>
            </c:strRef>
          </c:tx>
          <c:dLbls>
            <c:delete val="1"/>
          </c:dLbls>
          <c:cat>
            <c:strRef>
              <c:f>过程产出缺陷度量!$A$137</c:f>
              <c:strCache>
                <c:ptCount val="1"/>
                <c:pt idx="0" c:formatCode="m&quot;月&quot;d&quot;日&quot;">
                  <c:v>迭代一</c:v>
                </c:pt>
              </c:strCache>
            </c:strRef>
          </c:cat>
          <c:val>
            <c:numRef>
              <c:f>过程产出缺陷度量!$E$137</c:f>
              <c:numCache>
                <c:formatCode>0.000_ </c:formatCode>
                <c:ptCount val="1"/>
                <c:pt idx="0">
                  <c:v>3.39941022280472</c:v>
                </c:pt>
              </c:numCache>
            </c:numRef>
          </c:val>
          <c:smooth val="0"/>
        </c:ser>
        <c:ser>
          <c:idx val="1"/>
          <c:order val="1"/>
          <c:tx>
            <c:strRef>
              <c:f>过程产出缺陷度量!$F$136</c:f>
              <c:strCache>
                <c:ptCount val="1"/>
                <c:pt idx="0">
                  <c:v>LOL</c:v>
                </c:pt>
              </c:strCache>
            </c:strRef>
          </c:tx>
          <c:dLbls>
            <c:delete val="1"/>
          </c:dLbls>
          <c:cat>
            <c:strRef>
              <c:f>过程产出缺陷度量!$A$137</c:f>
              <c:strCache>
                <c:ptCount val="1"/>
                <c:pt idx="0" c:formatCode="m&quot;月&quot;d&quot;日&quot;">
                  <c:v>迭代一</c:v>
                </c:pt>
              </c:strCache>
            </c:strRef>
          </c:cat>
          <c:val>
            <c:numRef>
              <c:f>过程产出缺陷度量!$F$137</c:f>
              <c:numCache>
                <c:formatCode>0.0000_);[Red]\(0.0000\)</c:formatCode>
                <c:ptCount val="1"/>
                <c:pt idx="0">
                  <c:v>0</c:v>
                </c:pt>
              </c:numCache>
            </c:numRef>
          </c:val>
          <c:smooth val="0"/>
        </c:ser>
        <c:ser>
          <c:idx val="2"/>
          <c:order val="2"/>
          <c:tx>
            <c:strRef>
              <c:f>过程产出缺陷度量!$G$136</c:f>
              <c:strCache>
                <c:ptCount val="1"/>
                <c:pt idx="0">
                  <c:v>OL</c:v>
                </c:pt>
              </c:strCache>
            </c:strRef>
          </c:tx>
          <c:dLbls>
            <c:delete val="1"/>
          </c:dLbls>
          <c:cat>
            <c:strRef>
              <c:f>过程产出缺陷度量!$A$137</c:f>
              <c:strCache>
                <c:ptCount val="1"/>
                <c:pt idx="0" c:formatCode="m&quot;月&quot;d&quot;日&quot;">
                  <c:v>迭代一</c:v>
                </c:pt>
              </c:strCache>
            </c:strRef>
          </c:cat>
          <c:val>
            <c:numRef>
              <c:f>过程产出缺陷度量!$G$137</c:f>
              <c:numCache>
                <c:formatCode>0.0000_);[Red]\(0.0000\)</c:formatCode>
                <c:ptCount val="1"/>
                <c:pt idx="0">
                  <c:v>9.869</c:v>
                </c:pt>
              </c:numCache>
            </c:numRef>
          </c:val>
          <c:smooth val="0"/>
        </c:ser>
        <c:ser>
          <c:idx val="3"/>
          <c:order val="3"/>
          <c:tx>
            <c:strRef>
              <c:f>过程产出缺陷度量!$H$136</c:f>
              <c:strCache>
                <c:ptCount val="1"/>
                <c:pt idx="0">
                  <c:v>UOL</c:v>
                </c:pt>
              </c:strCache>
            </c:strRef>
          </c:tx>
          <c:dLbls>
            <c:delete val="1"/>
          </c:dLbls>
          <c:cat>
            <c:strRef>
              <c:f>过程产出缺陷度量!$A$137</c:f>
              <c:strCache>
                <c:ptCount val="1"/>
                <c:pt idx="0" c:formatCode="m&quot;月&quot;d&quot;日&quot;">
                  <c:v>迭代一</c:v>
                </c:pt>
              </c:strCache>
            </c:strRef>
          </c:cat>
          <c:val>
            <c:numRef>
              <c:f>过程产出缺陷度量!$H$137</c:f>
              <c:numCache>
                <c:formatCode>0.0000_);[Red]\(0.0000\)</c:formatCode>
                <c:ptCount val="1"/>
                <c:pt idx="0">
                  <c:v>21.176</c:v>
                </c:pt>
              </c:numCache>
            </c:numRef>
          </c:val>
          <c:smooth val="0"/>
        </c:ser>
        <c:dLbls>
          <c:showLegendKey val="0"/>
          <c:showVal val="0"/>
          <c:showCatName val="0"/>
          <c:showSerName val="0"/>
          <c:showPercent val="0"/>
          <c:showBubbleSize val="0"/>
        </c:dLbls>
        <c:marker val="1"/>
        <c:smooth val="0"/>
        <c:axId val="-321675072"/>
        <c:axId val="-321675616"/>
      </c:lineChart>
      <c:catAx>
        <c:axId val="-32167507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5616"/>
        <c:crosses val="autoZero"/>
        <c:auto val="1"/>
        <c:lblAlgn val="ctr"/>
        <c:lblOffset val="100"/>
        <c:noMultiLvlLbl val="0"/>
      </c:catAx>
      <c:valAx>
        <c:axId val="-321675616"/>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507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测试用例覆盖密度控制图</a:t>
            </a:r>
            <a:endParaRPr lang="en-US" altLang="zh-CN"/>
          </a:p>
        </c:rich>
      </c:tx>
      <c:layout/>
      <c:overlay val="0"/>
    </c:title>
    <c:autoTitleDeleted val="0"/>
    <c:plotArea>
      <c:layout/>
      <c:lineChart>
        <c:grouping val="standard"/>
        <c:varyColors val="0"/>
        <c:ser>
          <c:idx val="0"/>
          <c:order val="0"/>
          <c:tx>
            <c:strRef>
              <c:f>"项目数据"</c:f>
              <c:strCache>
                <c:ptCount val="1"/>
                <c:pt idx="0">
                  <c:v>项目数据</c:v>
                </c:pt>
              </c:strCache>
            </c:strRef>
          </c:tx>
          <c:dLbls>
            <c:delete val="1"/>
          </c:dLbls>
          <c:cat>
            <c:strRef>
              <c:f>过程产出缺陷度量!$A$295</c:f>
              <c:strCache>
                <c:ptCount val="1"/>
                <c:pt idx="0" c:formatCode="m&quot;月&quot;d&quot;日&quot;">
                  <c:v>迭代二</c:v>
                </c:pt>
              </c:strCache>
            </c:strRef>
          </c:cat>
          <c:val>
            <c:numRef>
              <c:f>过程产出缺陷度量!$E$295</c:f>
              <c:numCache>
                <c:formatCode>0.000_ </c:formatCode>
                <c:ptCount val="1"/>
                <c:pt idx="0">
                  <c:v>9.96455297361166</c:v>
                </c:pt>
              </c:numCache>
            </c:numRef>
          </c:val>
          <c:smooth val="0"/>
        </c:ser>
        <c:ser>
          <c:idx val="1"/>
          <c:order val="1"/>
          <c:tx>
            <c:strRef>
              <c:f>过程产出缺陷度量!$F$294</c:f>
              <c:strCache>
                <c:ptCount val="1"/>
                <c:pt idx="0">
                  <c:v>LOL</c:v>
                </c:pt>
              </c:strCache>
            </c:strRef>
          </c:tx>
          <c:dLbls>
            <c:delete val="1"/>
          </c:dLbls>
          <c:cat>
            <c:strRef>
              <c:f>过程产出缺陷度量!$A$295</c:f>
              <c:strCache>
                <c:ptCount val="1"/>
                <c:pt idx="0" c:formatCode="m&quot;月&quot;d&quot;日&quot;">
                  <c:v>迭代二</c:v>
                </c:pt>
              </c:strCache>
            </c:strRef>
          </c:cat>
          <c:val>
            <c:numRef>
              <c:f>过程产出缺陷度量!$F$295</c:f>
              <c:numCache>
                <c:formatCode>0.0000_);[Red]\(0.0000\)</c:formatCode>
                <c:ptCount val="1"/>
                <c:pt idx="0">
                  <c:v>0</c:v>
                </c:pt>
              </c:numCache>
            </c:numRef>
          </c:val>
          <c:smooth val="0"/>
        </c:ser>
        <c:ser>
          <c:idx val="2"/>
          <c:order val="2"/>
          <c:tx>
            <c:strRef>
              <c:f>过程产出缺陷度量!$G$294</c:f>
              <c:strCache>
                <c:ptCount val="1"/>
                <c:pt idx="0">
                  <c:v>OL</c:v>
                </c:pt>
              </c:strCache>
            </c:strRef>
          </c:tx>
          <c:dLbls>
            <c:delete val="1"/>
          </c:dLbls>
          <c:cat>
            <c:strRef>
              <c:f>过程产出缺陷度量!$A$295</c:f>
              <c:strCache>
                <c:ptCount val="1"/>
                <c:pt idx="0" c:formatCode="m&quot;月&quot;d&quot;日&quot;">
                  <c:v>迭代二</c:v>
                </c:pt>
              </c:strCache>
            </c:strRef>
          </c:cat>
          <c:val>
            <c:numRef>
              <c:f>过程产出缺陷度量!$G$295</c:f>
              <c:numCache>
                <c:formatCode>0.0000_);[Red]\(0.0000\)</c:formatCode>
                <c:ptCount val="1"/>
                <c:pt idx="0">
                  <c:v>9.869</c:v>
                </c:pt>
              </c:numCache>
            </c:numRef>
          </c:val>
          <c:smooth val="0"/>
        </c:ser>
        <c:ser>
          <c:idx val="3"/>
          <c:order val="3"/>
          <c:tx>
            <c:strRef>
              <c:f>过程产出缺陷度量!$H$294</c:f>
              <c:strCache>
                <c:ptCount val="1"/>
                <c:pt idx="0">
                  <c:v>UOL</c:v>
                </c:pt>
              </c:strCache>
            </c:strRef>
          </c:tx>
          <c:dLbls>
            <c:delete val="1"/>
          </c:dLbls>
          <c:cat>
            <c:strRef>
              <c:f>过程产出缺陷度量!$A$295</c:f>
              <c:strCache>
                <c:ptCount val="1"/>
                <c:pt idx="0" c:formatCode="m&quot;月&quot;d&quot;日&quot;">
                  <c:v>迭代二</c:v>
                </c:pt>
              </c:strCache>
            </c:strRef>
          </c:cat>
          <c:val>
            <c:numRef>
              <c:f>过程产出缺陷度量!$H$295</c:f>
              <c:numCache>
                <c:formatCode>0.0000_);[Red]\(0.0000\)</c:formatCode>
                <c:ptCount val="1"/>
                <c:pt idx="0">
                  <c:v>21.176</c:v>
                </c:pt>
              </c:numCache>
            </c:numRef>
          </c:val>
          <c:smooth val="0"/>
        </c:ser>
        <c:dLbls>
          <c:showLegendKey val="0"/>
          <c:showVal val="0"/>
          <c:showCatName val="0"/>
          <c:showSerName val="0"/>
          <c:showPercent val="0"/>
          <c:showBubbleSize val="0"/>
        </c:dLbls>
        <c:marker val="1"/>
        <c:smooth val="0"/>
        <c:axId val="-321680512"/>
        <c:axId val="-321682144"/>
      </c:lineChart>
      <c:catAx>
        <c:axId val="-32168051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82144"/>
        <c:crosses val="autoZero"/>
        <c:auto val="1"/>
        <c:lblAlgn val="ctr"/>
        <c:lblOffset val="100"/>
        <c:noMultiLvlLbl val="0"/>
      </c:catAx>
      <c:valAx>
        <c:axId val="-321682144"/>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805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测试用例覆盖密度控制图</a:t>
            </a:r>
            <a:endParaRPr lang="en-US" altLang="zh-CN"/>
          </a:p>
        </c:rich>
      </c:tx>
      <c:layout/>
      <c:overlay val="0"/>
    </c:title>
    <c:autoTitleDeleted val="0"/>
    <c:plotArea>
      <c:layout/>
      <c:lineChart>
        <c:grouping val="standard"/>
        <c:varyColors val="0"/>
        <c:ser>
          <c:idx val="0"/>
          <c:order val="0"/>
          <c:tx>
            <c:strRef>
              <c:f>"项目数据"</c:f>
              <c:strCache>
                <c:ptCount val="1"/>
                <c:pt idx="0">
                  <c:v>项目数据</c:v>
                </c:pt>
              </c:strCache>
            </c:strRef>
          </c:tx>
          <c:dLbls>
            <c:delete val="1"/>
          </c:dLbls>
          <c:cat>
            <c:strRef>
              <c:f>过程产出缺陷度量!$A$453</c:f>
              <c:strCache>
                <c:ptCount val="1"/>
                <c:pt idx="0" c:formatCode="m&quot;月&quot;d&quot;日&quot;">
                  <c:v>迭代三</c:v>
                </c:pt>
              </c:strCache>
            </c:strRef>
          </c:cat>
          <c:val>
            <c:numRef>
              <c:f>过程产出缺陷度量!$E$453</c:f>
              <c:numCache>
                <c:formatCode>0.000_ </c:formatCode>
                <c:ptCount val="1"/>
                <c:pt idx="0">
                  <c:v>10.8408617095205</c:v>
                </c:pt>
              </c:numCache>
            </c:numRef>
          </c:val>
          <c:smooth val="0"/>
        </c:ser>
        <c:ser>
          <c:idx val="1"/>
          <c:order val="1"/>
          <c:tx>
            <c:strRef>
              <c:f>过程产出缺陷度量!$F$452</c:f>
              <c:strCache>
                <c:ptCount val="1"/>
                <c:pt idx="0">
                  <c:v>LOL</c:v>
                </c:pt>
              </c:strCache>
            </c:strRef>
          </c:tx>
          <c:dLbls>
            <c:delete val="1"/>
          </c:dLbls>
          <c:cat>
            <c:strRef>
              <c:f>过程产出缺陷度量!$A$453</c:f>
              <c:strCache>
                <c:ptCount val="1"/>
                <c:pt idx="0" c:formatCode="m&quot;月&quot;d&quot;日&quot;">
                  <c:v>迭代三</c:v>
                </c:pt>
              </c:strCache>
            </c:strRef>
          </c:cat>
          <c:val>
            <c:numRef>
              <c:f>过程产出缺陷度量!$F$453</c:f>
              <c:numCache>
                <c:formatCode>0.0000_);[Red]\(0.0000\)</c:formatCode>
                <c:ptCount val="1"/>
                <c:pt idx="0">
                  <c:v>0</c:v>
                </c:pt>
              </c:numCache>
            </c:numRef>
          </c:val>
          <c:smooth val="0"/>
        </c:ser>
        <c:ser>
          <c:idx val="2"/>
          <c:order val="2"/>
          <c:tx>
            <c:strRef>
              <c:f>过程产出缺陷度量!$G$452</c:f>
              <c:strCache>
                <c:ptCount val="1"/>
                <c:pt idx="0">
                  <c:v>OL</c:v>
                </c:pt>
              </c:strCache>
            </c:strRef>
          </c:tx>
          <c:dLbls>
            <c:delete val="1"/>
          </c:dLbls>
          <c:cat>
            <c:strRef>
              <c:f>过程产出缺陷度量!$A$453</c:f>
              <c:strCache>
                <c:ptCount val="1"/>
                <c:pt idx="0" c:formatCode="m&quot;月&quot;d&quot;日&quot;">
                  <c:v>迭代三</c:v>
                </c:pt>
              </c:strCache>
            </c:strRef>
          </c:cat>
          <c:val>
            <c:numRef>
              <c:f>过程产出缺陷度量!$G$453</c:f>
              <c:numCache>
                <c:formatCode>0.0000_);[Red]\(0.0000\)</c:formatCode>
                <c:ptCount val="1"/>
                <c:pt idx="0">
                  <c:v>9.869</c:v>
                </c:pt>
              </c:numCache>
            </c:numRef>
          </c:val>
          <c:smooth val="0"/>
        </c:ser>
        <c:ser>
          <c:idx val="3"/>
          <c:order val="3"/>
          <c:tx>
            <c:strRef>
              <c:f>过程产出缺陷度量!$H$452</c:f>
              <c:strCache>
                <c:ptCount val="1"/>
                <c:pt idx="0">
                  <c:v>UOL</c:v>
                </c:pt>
              </c:strCache>
            </c:strRef>
          </c:tx>
          <c:dLbls>
            <c:delete val="1"/>
          </c:dLbls>
          <c:cat>
            <c:strRef>
              <c:f>过程产出缺陷度量!$A$453</c:f>
              <c:strCache>
                <c:ptCount val="1"/>
                <c:pt idx="0" c:formatCode="m&quot;月&quot;d&quot;日&quot;">
                  <c:v>迭代三</c:v>
                </c:pt>
              </c:strCache>
            </c:strRef>
          </c:cat>
          <c:val>
            <c:numRef>
              <c:f>过程产出缺陷度量!$H$453</c:f>
              <c:numCache>
                <c:formatCode>0.0000_);[Red]\(0.0000\)</c:formatCode>
                <c:ptCount val="1"/>
                <c:pt idx="0">
                  <c:v>21.176</c:v>
                </c:pt>
              </c:numCache>
            </c:numRef>
          </c:val>
          <c:smooth val="0"/>
        </c:ser>
        <c:dLbls>
          <c:showLegendKey val="0"/>
          <c:showVal val="0"/>
          <c:showCatName val="0"/>
          <c:showSerName val="0"/>
          <c:showPercent val="0"/>
          <c:showBubbleSize val="0"/>
        </c:dLbls>
        <c:marker val="1"/>
        <c:smooth val="0"/>
        <c:axId val="-321673440"/>
        <c:axId val="-321677792"/>
      </c:lineChart>
      <c:catAx>
        <c:axId val="-321673440"/>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7792"/>
        <c:crosses val="autoZero"/>
        <c:auto val="1"/>
        <c:lblAlgn val="ctr"/>
        <c:lblOffset val="100"/>
        <c:noMultiLvlLbl val="0"/>
      </c:catAx>
      <c:valAx>
        <c:axId val="-321677792"/>
        <c:scaling>
          <c:orientation val="minMax"/>
        </c:scaling>
        <c:delete val="0"/>
        <c:axPos val="l"/>
        <c:majorGridlines/>
        <c:numFmt formatCode="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34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Lbls>
            <c:delete val="1"/>
          </c:dLbls>
          <c:cat>
            <c:strRef>
              <c:f>测试及验收缺陷度量!$B$47:$B$50</c:f>
              <c:strCache>
                <c:ptCount val="4"/>
                <c:pt idx="0">
                  <c:v>需求阶段</c:v>
                </c:pt>
                <c:pt idx="1">
                  <c:v>编码阶段</c:v>
                </c:pt>
                <c:pt idx="2">
                  <c:v>无</c:v>
                </c:pt>
                <c:pt idx="3">
                  <c:v>其他</c:v>
                </c:pt>
              </c:strCache>
            </c:strRef>
          </c:cat>
          <c:val>
            <c:numRef>
              <c:f>测试及验收缺陷度量!$C$47:$C$50</c:f>
              <c:numCache>
                <c:formatCode>General</c:formatCode>
                <c:ptCount val="4"/>
                <c:pt idx="0">
                  <c:v>6</c:v>
                </c:pt>
                <c:pt idx="1">
                  <c:v>61</c:v>
                </c:pt>
                <c:pt idx="2">
                  <c:v>1</c:v>
                </c:pt>
                <c:pt idx="3">
                  <c:v>41</c:v>
                </c:pt>
              </c:numCache>
            </c:numRef>
          </c:val>
        </c:ser>
        <c:dLbls>
          <c:showLegendKey val="0"/>
          <c:showVal val="0"/>
          <c:showCatName val="0"/>
          <c:showSerName val="0"/>
          <c:showPercent val="0"/>
          <c:showBubbleSize val="0"/>
        </c:dLbls>
        <c:gapWidth val="150"/>
        <c:axId val="-321677248"/>
        <c:axId val="-321671808"/>
      </c:barChart>
      <c:catAx>
        <c:axId val="-32167724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1808"/>
        <c:crosses val="autoZero"/>
        <c:auto val="1"/>
        <c:lblAlgn val="ctr"/>
        <c:lblOffset val="100"/>
        <c:noMultiLvlLbl val="0"/>
      </c:catAx>
      <c:valAx>
        <c:axId val="-32167180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724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测试及验收缺陷度量!$B$57:$B$61</c:f>
              <c:strCache>
                <c:ptCount val="5"/>
                <c:pt idx="0">
                  <c:v>环境</c:v>
                </c:pt>
                <c:pt idx="1">
                  <c:v>后台</c:v>
                </c:pt>
                <c:pt idx="2">
                  <c:v>前端</c:v>
                </c:pt>
                <c:pt idx="3">
                  <c:v>其他</c:v>
                </c:pt>
                <c:pt idx="4">
                  <c:v>不是缺陷</c:v>
                </c:pt>
              </c:strCache>
            </c:strRef>
          </c:cat>
          <c:val>
            <c:numRef>
              <c:f>测试及验收缺陷度量!$C$57:$C$61</c:f>
              <c:numCache>
                <c:formatCode>General</c:formatCode>
                <c:ptCount val="5"/>
                <c:pt idx="0">
                  <c:v>1</c:v>
                </c:pt>
                <c:pt idx="1">
                  <c:v>62</c:v>
                </c:pt>
                <c:pt idx="2">
                  <c:v>38</c:v>
                </c:pt>
                <c:pt idx="3">
                  <c:v>7</c:v>
                </c:pt>
                <c:pt idx="4">
                  <c:v>1</c:v>
                </c:pt>
              </c:numCache>
            </c:numRef>
          </c:val>
        </c:ser>
        <c:dLbls>
          <c:showLegendKey val="0"/>
          <c:showVal val="0"/>
          <c:showCatName val="0"/>
          <c:showSerName val="0"/>
          <c:showPercent val="0"/>
          <c:showBubbleSize val="0"/>
        </c:dLbls>
        <c:gapWidth val="150"/>
        <c:axId val="-321676704"/>
        <c:axId val="-321669632"/>
      </c:barChart>
      <c:catAx>
        <c:axId val="-321676704"/>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69632"/>
        <c:crosses val="autoZero"/>
        <c:auto val="1"/>
        <c:lblAlgn val="ctr"/>
        <c:lblOffset val="100"/>
        <c:noMultiLvlLbl val="0"/>
      </c:catAx>
      <c:valAx>
        <c:axId val="-321669632"/>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670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测试及验收缺陷度量!$B$69:$B$75</c:f>
              <c:strCache>
                <c:ptCount val="7"/>
                <c:pt idx="0">
                  <c:v>需求问题</c:v>
                </c:pt>
                <c:pt idx="1">
                  <c:v>功能性错误</c:v>
                </c:pt>
                <c:pt idx="2">
                  <c:v>UI问题</c:v>
                </c:pt>
              </c:strCache>
            </c:strRef>
          </c:cat>
          <c:val>
            <c:numRef>
              <c:f>测试及验收缺陷度量!$C$69:$C$75</c:f>
              <c:numCache>
                <c:formatCode>General</c:formatCode>
                <c:ptCount val="7"/>
                <c:pt idx="0">
                  <c:v>4</c:v>
                </c:pt>
                <c:pt idx="1">
                  <c:v>103</c:v>
                </c:pt>
                <c:pt idx="2">
                  <c:v>2</c:v>
                </c:pt>
              </c:numCache>
            </c:numRef>
          </c:val>
        </c:ser>
        <c:dLbls>
          <c:showLegendKey val="0"/>
          <c:showVal val="0"/>
          <c:showCatName val="0"/>
          <c:showSerName val="0"/>
          <c:showPercent val="0"/>
          <c:showBubbleSize val="0"/>
        </c:dLbls>
        <c:gapWidth val="150"/>
        <c:axId val="-321674528"/>
        <c:axId val="-321671264"/>
      </c:barChart>
      <c:catAx>
        <c:axId val="-32167452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1264"/>
        <c:crosses val="autoZero"/>
        <c:auto val="1"/>
        <c:lblAlgn val="ctr"/>
        <c:lblOffset val="100"/>
        <c:noMultiLvlLbl val="0"/>
      </c:catAx>
      <c:valAx>
        <c:axId val="-32167126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74528"/>
        <c:crosses val="autoZero"/>
        <c:crossBetween val="between"/>
      </c:valAx>
      <c:spPr>
        <a:noFill/>
        <a:ln w="25400">
          <a:noFill/>
        </a:ln>
      </c:spPr>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layout/>
      <c:overlay val="0"/>
    </c:title>
    <c:autoTitleDeleted val="0"/>
    <c:plotArea>
      <c:layout/>
      <c:lineChart>
        <c:grouping val="standard"/>
        <c:varyColors val="0"/>
        <c:ser>
          <c:idx val="0"/>
          <c:order val="0"/>
          <c:tx>
            <c:strRef>
              <c:f>测试及验收缺陷度量!$L$10</c:f>
              <c:strCache>
                <c:ptCount val="1"/>
                <c:pt idx="0">
                  <c:v>LOL</c:v>
                </c:pt>
              </c:strCache>
            </c:strRef>
          </c:tx>
          <c:dLbls>
            <c:delete val="1"/>
          </c:dLbls>
          <c:cat>
            <c:strRef>
              <c:f>[0]!测试轮次于画图</c:f>
              <c:strCache>
                <c:ptCount val="5"/>
                <c:pt idx="0" c:formatCode="m&quot;月&quot;d&quot;日&quot;">
                  <c:v>测试第1轮</c:v>
                </c:pt>
                <c:pt idx="1" c:formatCode="m&quot;月&quot;d&quot;日&quot;">
                  <c:v>测试第2轮</c:v>
                </c:pt>
                <c:pt idx="2" c:formatCode="m&quot;月&quot;d&quot;日&quot;">
                  <c:v>测试第3轮</c:v>
                </c:pt>
                <c:pt idx="3" c:formatCode="m&quot;月&quot;d&quot;日&quot;">
                  <c:v>测试第4轮</c:v>
                </c:pt>
                <c:pt idx="4" c:formatCode="m&quot;月&quot;d&quot;日&quot;">
                  <c:v>测试第5轮</c:v>
                </c:pt>
              </c:strCache>
            </c:strRef>
          </c:cat>
          <c:val>
            <c:numRef>
              <c:f>[0]!测试加权缺陷密度的下限于画图</c:f>
              <c:numCache>
                <c:formatCode>0.0000_ </c:formatCode>
                <c:ptCount val="5"/>
                <c:pt idx="0">
                  <c:v>0</c:v>
                </c:pt>
                <c:pt idx="1">
                  <c:v>0</c:v>
                </c:pt>
                <c:pt idx="2">
                  <c:v>0</c:v>
                </c:pt>
                <c:pt idx="3">
                  <c:v>0</c:v>
                </c:pt>
                <c:pt idx="4">
                  <c:v>0</c:v>
                </c:pt>
              </c:numCache>
            </c:numRef>
          </c:val>
          <c:smooth val="0"/>
        </c:ser>
        <c:ser>
          <c:idx val="1"/>
          <c:order val="1"/>
          <c:tx>
            <c:strRef>
              <c:f>测试及验收缺陷度量!$M$10</c:f>
              <c:strCache>
                <c:ptCount val="1"/>
                <c:pt idx="0">
                  <c:v>OL</c:v>
                </c:pt>
              </c:strCache>
            </c:strRef>
          </c:tx>
          <c:dLbls>
            <c:delete val="1"/>
          </c:dLbls>
          <c:cat>
            <c:strRef>
              <c:f>[0]!测试轮次于画图</c:f>
              <c:strCache>
                <c:ptCount val="5"/>
                <c:pt idx="0" c:formatCode="m&quot;月&quot;d&quot;日&quot;">
                  <c:v>测试第1轮</c:v>
                </c:pt>
                <c:pt idx="1" c:formatCode="m&quot;月&quot;d&quot;日&quot;">
                  <c:v>测试第2轮</c:v>
                </c:pt>
                <c:pt idx="2" c:formatCode="m&quot;月&quot;d&quot;日&quot;">
                  <c:v>测试第3轮</c:v>
                </c:pt>
                <c:pt idx="3" c:formatCode="m&quot;月&quot;d&quot;日&quot;">
                  <c:v>测试第4轮</c:v>
                </c:pt>
                <c:pt idx="4" c:formatCode="m&quot;月&quot;d&quot;日&quot;">
                  <c:v>测试第5轮</c:v>
                </c:pt>
              </c:strCache>
            </c:strRef>
          </c:cat>
          <c:val>
            <c:numRef>
              <c:f>[0]!测试加权缺陷密度的均值于画图</c:f>
              <c:numCache>
                <c:formatCode>0.0000_ </c:formatCode>
                <c:ptCount val="5"/>
                <c:pt idx="0">
                  <c:v>1.2</c:v>
                </c:pt>
                <c:pt idx="1">
                  <c:v>1.2</c:v>
                </c:pt>
                <c:pt idx="2">
                  <c:v>1.2</c:v>
                </c:pt>
                <c:pt idx="3">
                  <c:v>1.2</c:v>
                </c:pt>
                <c:pt idx="4">
                  <c:v>1.2</c:v>
                </c:pt>
              </c:numCache>
            </c:numRef>
          </c:val>
          <c:smooth val="0"/>
        </c:ser>
        <c:ser>
          <c:idx val="2"/>
          <c:order val="2"/>
          <c:tx>
            <c:strRef>
              <c:f>测试及验收缺陷度量!$N$10</c:f>
              <c:strCache>
                <c:ptCount val="1"/>
                <c:pt idx="0">
                  <c:v>UOL</c:v>
                </c:pt>
              </c:strCache>
            </c:strRef>
          </c:tx>
          <c:dLbls>
            <c:delete val="1"/>
          </c:dLbls>
          <c:cat>
            <c:strRef>
              <c:f>[0]!测试轮次于画图</c:f>
              <c:strCache>
                <c:ptCount val="5"/>
                <c:pt idx="0" c:formatCode="m&quot;月&quot;d&quot;日&quot;">
                  <c:v>测试第1轮</c:v>
                </c:pt>
                <c:pt idx="1" c:formatCode="m&quot;月&quot;d&quot;日&quot;">
                  <c:v>测试第2轮</c:v>
                </c:pt>
                <c:pt idx="2" c:formatCode="m&quot;月&quot;d&quot;日&quot;">
                  <c:v>测试第3轮</c:v>
                </c:pt>
                <c:pt idx="3" c:formatCode="m&quot;月&quot;d&quot;日&quot;">
                  <c:v>测试第4轮</c:v>
                </c:pt>
                <c:pt idx="4" c:formatCode="m&quot;月&quot;d&quot;日&quot;">
                  <c:v>测试第5轮</c:v>
                </c:pt>
              </c:strCache>
            </c:strRef>
          </c:cat>
          <c:val>
            <c:numRef>
              <c:f>[0]!测试加权缺陷密度的上限于画图</c:f>
              <c:numCache>
                <c:formatCode>0.0000_ </c:formatCode>
                <c:ptCount val="5"/>
                <c:pt idx="0">
                  <c:v>2.4</c:v>
                </c:pt>
                <c:pt idx="1">
                  <c:v>2.4</c:v>
                </c:pt>
                <c:pt idx="2">
                  <c:v>2.4</c:v>
                </c:pt>
                <c:pt idx="3">
                  <c:v>2.4</c:v>
                </c:pt>
                <c:pt idx="4">
                  <c:v>2.4</c:v>
                </c:pt>
              </c:numCache>
            </c:numRef>
          </c:val>
          <c:smooth val="0"/>
        </c:ser>
        <c:ser>
          <c:idx val="3"/>
          <c:order val="3"/>
          <c:tx>
            <c:strRef>
              <c:f>"项目数据"</c:f>
              <c:strCache>
                <c:ptCount val="1"/>
                <c:pt idx="0">
                  <c:v>项目数据</c:v>
                </c:pt>
              </c:strCache>
            </c:strRef>
          </c:tx>
          <c:dLbls>
            <c:delete val="1"/>
          </c:dLbls>
          <c:cat>
            <c:strRef>
              <c:f>[0]!测试轮次于画图</c:f>
              <c:strCache>
                <c:ptCount val="5"/>
                <c:pt idx="0" c:formatCode="m&quot;月&quot;d&quot;日&quot;">
                  <c:v>测试第1轮</c:v>
                </c:pt>
                <c:pt idx="1" c:formatCode="m&quot;月&quot;d&quot;日&quot;">
                  <c:v>测试第2轮</c:v>
                </c:pt>
                <c:pt idx="2" c:formatCode="m&quot;月&quot;d&quot;日&quot;">
                  <c:v>测试第3轮</c:v>
                </c:pt>
                <c:pt idx="3" c:formatCode="m&quot;月&quot;d&quot;日&quot;">
                  <c:v>测试第4轮</c:v>
                </c:pt>
                <c:pt idx="4" c:formatCode="m&quot;月&quot;d&quot;日&quot;">
                  <c:v>测试第5轮</c:v>
                </c:pt>
              </c:strCache>
            </c:strRef>
          </c:cat>
          <c:val>
            <c:numRef>
              <c:f>[0]!测试加权缺陷密度于画图</c:f>
              <c:numCache>
                <c:formatCode>0.000_);[Red]\(0.000\)</c:formatCode>
                <c:ptCount val="5"/>
                <c:pt idx="0">
                  <c:v>0.191677588466579</c:v>
                </c:pt>
                <c:pt idx="1">
                  <c:v>0.164646133682831</c:v>
                </c:pt>
                <c:pt idx="2">
                  <c:v>0.307994757536042</c:v>
                </c:pt>
                <c:pt idx="3">
                  <c:v>0.14089121887287</c:v>
                </c:pt>
                <c:pt idx="4">
                  <c:v>0.0491480996068152</c:v>
                </c:pt>
              </c:numCache>
            </c:numRef>
          </c:val>
          <c:smooth val="0"/>
        </c:ser>
        <c:dLbls>
          <c:showLegendKey val="0"/>
          <c:showVal val="0"/>
          <c:showCatName val="0"/>
          <c:showSerName val="0"/>
          <c:showPercent val="0"/>
          <c:showBubbleSize val="0"/>
        </c:dLbls>
        <c:marker val="1"/>
        <c:smooth val="0"/>
        <c:axId val="-321669088"/>
        <c:axId val="-325429200"/>
      </c:lineChart>
      <c:catAx>
        <c:axId val="-321669088"/>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29200"/>
        <c:crosses val="autoZero"/>
        <c:auto val="1"/>
        <c:lblAlgn val="ctr"/>
        <c:lblOffset val="100"/>
        <c:noMultiLvlLbl val="0"/>
      </c:catAx>
      <c:valAx>
        <c:axId val="-325429200"/>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166908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delete val="1"/>
          </c:dLbls>
          <c:cat>
            <c:strRef>
              <c:f>测试及验收缺陷度量!$B$129:$B$133</c:f>
              <c:strCache>
                <c:ptCount val="5"/>
                <c:pt idx="0">
                  <c:v>需求阶段</c:v>
                </c:pt>
                <c:pt idx="1">
                  <c:v>设计阶段</c:v>
                </c:pt>
                <c:pt idx="2">
                  <c:v>编码阶段</c:v>
                </c:pt>
                <c:pt idx="3">
                  <c:v>无</c:v>
                </c:pt>
                <c:pt idx="4">
                  <c:v>其他</c:v>
                </c:pt>
              </c:strCache>
            </c:strRef>
          </c:cat>
          <c:val>
            <c:numRef>
              <c:f>测试及验收缺陷度量!$C$129:$C$133</c:f>
              <c:numCache>
                <c:formatCode>General</c:formatCode>
                <c:ptCount val="5"/>
                <c:pt idx="0">
                  <c:v>6</c:v>
                </c:pt>
                <c:pt idx="1">
                  <c:v>1</c:v>
                </c:pt>
                <c:pt idx="2">
                  <c:v>154</c:v>
                </c:pt>
                <c:pt idx="3">
                  <c:v>6</c:v>
                </c:pt>
                <c:pt idx="4">
                  <c:v>76</c:v>
                </c:pt>
              </c:numCache>
            </c:numRef>
          </c:val>
        </c:ser>
        <c:dLbls>
          <c:showLegendKey val="0"/>
          <c:showVal val="0"/>
          <c:showCatName val="0"/>
          <c:showSerName val="0"/>
          <c:showPercent val="0"/>
          <c:showBubbleSize val="0"/>
        </c:dLbls>
        <c:gapWidth val="150"/>
        <c:axId val="-325449328"/>
        <c:axId val="-325447696"/>
      </c:barChart>
      <c:catAx>
        <c:axId val="-32544932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7696"/>
        <c:crosses val="autoZero"/>
        <c:auto val="1"/>
        <c:lblAlgn val="ctr"/>
        <c:lblOffset val="100"/>
        <c:noMultiLvlLbl val="0"/>
      </c:catAx>
      <c:valAx>
        <c:axId val="-32544769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9328"/>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测试及验收缺陷度量!$B$140:$B$145</c:f>
              <c:strCache>
                <c:ptCount val="6"/>
                <c:pt idx="0">
                  <c:v>环境</c:v>
                </c:pt>
                <c:pt idx="1">
                  <c:v>后台</c:v>
                </c:pt>
                <c:pt idx="2">
                  <c:v>前端</c:v>
                </c:pt>
                <c:pt idx="3">
                  <c:v>其他</c:v>
                </c:pt>
                <c:pt idx="4">
                  <c:v>不是缺陷</c:v>
                </c:pt>
                <c:pt idx="5">
                  <c:v>UED</c:v>
                </c:pt>
              </c:strCache>
            </c:strRef>
          </c:cat>
          <c:val>
            <c:numRef>
              <c:f>测试及验收缺陷度量!$C$140:$C$145</c:f>
              <c:numCache>
                <c:formatCode>General</c:formatCode>
                <c:ptCount val="6"/>
                <c:pt idx="0">
                  <c:v>2</c:v>
                </c:pt>
                <c:pt idx="1">
                  <c:v>106</c:v>
                </c:pt>
                <c:pt idx="2">
                  <c:v>119</c:v>
                </c:pt>
                <c:pt idx="3">
                  <c:v>9</c:v>
                </c:pt>
                <c:pt idx="4">
                  <c:v>5</c:v>
                </c:pt>
                <c:pt idx="5">
                  <c:v>2</c:v>
                </c:pt>
              </c:numCache>
            </c:numRef>
          </c:val>
        </c:ser>
        <c:dLbls>
          <c:showLegendKey val="0"/>
          <c:showVal val="0"/>
          <c:showCatName val="0"/>
          <c:showSerName val="0"/>
          <c:showPercent val="0"/>
          <c:showBubbleSize val="0"/>
        </c:dLbls>
        <c:gapWidth val="150"/>
        <c:axId val="-325428656"/>
        <c:axId val="-325427024"/>
      </c:barChart>
      <c:catAx>
        <c:axId val="-32542865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27024"/>
        <c:crosses val="autoZero"/>
        <c:auto val="1"/>
        <c:lblAlgn val="ctr"/>
        <c:lblOffset val="100"/>
        <c:noMultiLvlLbl val="0"/>
      </c:catAx>
      <c:valAx>
        <c:axId val="-32542702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2865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测试及验收缺陷度量!$B$153:$B$156</c:f>
              <c:strCache>
                <c:ptCount val="4"/>
                <c:pt idx="0">
                  <c:v>需求问题</c:v>
                </c:pt>
                <c:pt idx="1">
                  <c:v>数据错误</c:v>
                </c:pt>
                <c:pt idx="2">
                  <c:v>功能性错误</c:v>
                </c:pt>
                <c:pt idx="3">
                  <c:v>UI问题</c:v>
                </c:pt>
              </c:strCache>
            </c:strRef>
          </c:cat>
          <c:val>
            <c:numRef>
              <c:f>测试及验收缺陷度量!$C$153:$C$156</c:f>
              <c:numCache>
                <c:formatCode>General</c:formatCode>
                <c:ptCount val="4"/>
                <c:pt idx="0">
                  <c:v>4</c:v>
                </c:pt>
                <c:pt idx="1">
                  <c:v>1</c:v>
                </c:pt>
                <c:pt idx="2">
                  <c:v>226</c:v>
                </c:pt>
                <c:pt idx="3">
                  <c:v>12</c:v>
                </c:pt>
              </c:numCache>
            </c:numRef>
          </c:val>
        </c:ser>
        <c:dLbls>
          <c:showLegendKey val="0"/>
          <c:showVal val="0"/>
          <c:showCatName val="0"/>
          <c:showSerName val="0"/>
          <c:showPercent val="0"/>
          <c:showBubbleSize val="0"/>
        </c:dLbls>
        <c:gapWidth val="150"/>
        <c:axId val="-325457488"/>
        <c:axId val="-325452048"/>
      </c:barChart>
      <c:catAx>
        <c:axId val="-325457488"/>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2048"/>
        <c:crosses val="autoZero"/>
        <c:auto val="1"/>
        <c:lblAlgn val="ctr"/>
        <c:lblOffset val="100"/>
        <c:noMultiLvlLbl val="0"/>
      </c:catAx>
      <c:valAx>
        <c:axId val="-32545204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7488"/>
        <c:crosses val="autoZero"/>
        <c:crossBetween val="between"/>
      </c:valAx>
      <c:spPr>
        <a:noFill/>
        <a:ln w="25400">
          <a:noFill/>
        </a:ln>
      </c:spPr>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layout/>
      <c:overlay val="0"/>
    </c:title>
    <c:autoTitleDeleted val="0"/>
    <c:plotArea>
      <c:layout/>
      <c:lineChart>
        <c:grouping val="standard"/>
        <c:varyColors val="0"/>
        <c:ser>
          <c:idx val="0"/>
          <c:order val="0"/>
          <c:tx>
            <c:strRef>
              <c:f>测试及验收缺陷度量!$L$10</c:f>
              <c:strCache>
                <c:ptCount val="1"/>
                <c:pt idx="0">
                  <c:v>LOL</c:v>
                </c:pt>
              </c:strCache>
            </c:strRef>
          </c:tx>
          <c:dLbls>
            <c:delete val="1"/>
          </c:dLbls>
          <c:cat>
            <c:strRef>
              <c:f>测试及验收缺陷度量!$A$94:$A$97</c:f>
              <c:strCache>
                <c:ptCount val="4"/>
                <c:pt idx="0" c:formatCode="m&quot;月&quot;d&quot;日&quot;">
                  <c:v>测试第1轮</c:v>
                </c:pt>
                <c:pt idx="1" c:formatCode="m&quot;月&quot;d&quot;日&quot;">
                  <c:v>测试第2轮</c:v>
                </c:pt>
                <c:pt idx="2" c:formatCode="m&quot;月&quot;d&quot;日&quot;">
                  <c:v>测试第3轮</c:v>
                </c:pt>
                <c:pt idx="3" c:formatCode="m&quot;月&quot;d&quot;日&quot;">
                  <c:v>测试第4轮</c:v>
                </c:pt>
              </c:strCache>
            </c:strRef>
          </c:cat>
          <c:val>
            <c:numRef>
              <c:f>测试及验收缺陷度量!$L$94:$L$97</c:f>
              <c:numCache>
                <c:formatCode>0.0000_ </c:formatCode>
                <c:ptCount val="4"/>
                <c:pt idx="0">
                  <c:v>0</c:v>
                </c:pt>
                <c:pt idx="1">
                  <c:v>0</c:v>
                </c:pt>
                <c:pt idx="2">
                  <c:v>0</c:v>
                </c:pt>
                <c:pt idx="3">
                  <c:v>0</c:v>
                </c:pt>
              </c:numCache>
            </c:numRef>
          </c:val>
          <c:smooth val="0"/>
        </c:ser>
        <c:ser>
          <c:idx val="1"/>
          <c:order val="1"/>
          <c:tx>
            <c:strRef>
              <c:f>测试及验收缺陷度量!$M$10</c:f>
              <c:strCache>
                <c:ptCount val="1"/>
                <c:pt idx="0">
                  <c:v>OL</c:v>
                </c:pt>
              </c:strCache>
            </c:strRef>
          </c:tx>
          <c:dLbls>
            <c:delete val="1"/>
          </c:dLbls>
          <c:cat>
            <c:strRef>
              <c:f>测试及验收缺陷度量!$A$94:$A$97</c:f>
              <c:strCache>
                <c:ptCount val="4"/>
                <c:pt idx="0" c:formatCode="m&quot;月&quot;d&quot;日&quot;">
                  <c:v>测试第1轮</c:v>
                </c:pt>
                <c:pt idx="1" c:formatCode="m&quot;月&quot;d&quot;日&quot;">
                  <c:v>测试第2轮</c:v>
                </c:pt>
                <c:pt idx="2" c:formatCode="m&quot;月&quot;d&quot;日&quot;">
                  <c:v>测试第3轮</c:v>
                </c:pt>
                <c:pt idx="3" c:formatCode="m&quot;月&quot;d&quot;日&quot;">
                  <c:v>测试第4轮</c:v>
                </c:pt>
              </c:strCache>
            </c:strRef>
          </c:cat>
          <c:val>
            <c:numRef>
              <c:f>测试及验收缺陷度量!$M$94:$M$97</c:f>
              <c:numCache>
                <c:formatCode>0.0000_ </c:formatCode>
                <c:ptCount val="4"/>
                <c:pt idx="0">
                  <c:v>1.2</c:v>
                </c:pt>
                <c:pt idx="1">
                  <c:v>1.2</c:v>
                </c:pt>
                <c:pt idx="2">
                  <c:v>1.2</c:v>
                </c:pt>
                <c:pt idx="3">
                  <c:v>1.2</c:v>
                </c:pt>
              </c:numCache>
            </c:numRef>
          </c:val>
          <c:smooth val="0"/>
        </c:ser>
        <c:ser>
          <c:idx val="2"/>
          <c:order val="2"/>
          <c:tx>
            <c:strRef>
              <c:f>测试及验收缺陷度量!$N$10</c:f>
              <c:strCache>
                <c:ptCount val="1"/>
                <c:pt idx="0">
                  <c:v>UOL</c:v>
                </c:pt>
              </c:strCache>
            </c:strRef>
          </c:tx>
          <c:dLbls>
            <c:delete val="1"/>
          </c:dLbls>
          <c:cat>
            <c:strRef>
              <c:f>测试及验收缺陷度量!$A$94:$A$97</c:f>
              <c:strCache>
                <c:ptCount val="4"/>
                <c:pt idx="0" c:formatCode="m&quot;月&quot;d&quot;日&quot;">
                  <c:v>测试第1轮</c:v>
                </c:pt>
                <c:pt idx="1" c:formatCode="m&quot;月&quot;d&quot;日&quot;">
                  <c:v>测试第2轮</c:v>
                </c:pt>
                <c:pt idx="2" c:formatCode="m&quot;月&quot;d&quot;日&quot;">
                  <c:v>测试第3轮</c:v>
                </c:pt>
                <c:pt idx="3" c:formatCode="m&quot;月&quot;d&quot;日&quot;">
                  <c:v>测试第4轮</c:v>
                </c:pt>
              </c:strCache>
            </c:strRef>
          </c:cat>
          <c:val>
            <c:numRef>
              <c:f>测试及验收缺陷度量!$N$94:$N$97</c:f>
              <c:numCache>
                <c:formatCode>0.0000_ </c:formatCode>
                <c:ptCount val="4"/>
                <c:pt idx="0">
                  <c:v>2.4</c:v>
                </c:pt>
                <c:pt idx="1">
                  <c:v>2.4</c:v>
                </c:pt>
                <c:pt idx="2">
                  <c:v>2.4</c:v>
                </c:pt>
                <c:pt idx="3">
                  <c:v>2.4</c:v>
                </c:pt>
              </c:numCache>
            </c:numRef>
          </c:val>
          <c:smooth val="0"/>
        </c:ser>
        <c:ser>
          <c:idx val="3"/>
          <c:order val="3"/>
          <c:tx>
            <c:strRef>
              <c:f>"项目数据"</c:f>
              <c:strCache>
                <c:ptCount val="1"/>
                <c:pt idx="0">
                  <c:v>项目数据</c:v>
                </c:pt>
              </c:strCache>
            </c:strRef>
          </c:tx>
          <c:dLbls>
            <c:delete val="1"/>
          </c:dLbls>
          <c:cat>
            <c:strRef>
              <c:f>测试及验收缺陷度量!$A$94:$A$97</c:f>
              <c:strCache>
                <c:ptCount val="4"/>
                <c:pt idx="0" c:formatCode="m&quot;月&quot;d&quot;日&quot;">
                  <c:v>测试第1轮</c:v>
                </c:pt>
                <c:pt idx="1" c:formatCode="m&quot;月&quot;d&quot;日&quot;">
                  <c:v>测试第2轮</c:v>
                </c:pt>
                <c:pt idx="2" c:formatCode="m&quot;月&quot;d&quot;日&quot;">
                  <c:v>测试第3轮</c:v>
                </c:pt>
                <c:pt idx="3" c:formatCode="m&quot;月&quot;d&quot;日&quot;">
                  <c:v>测试第4轮</c:v>
                </c:pt>
              </c:strCache>
            </c:strRef>
          </c:cat>
          <c:val>
            <c:numRef>
              <c:f>测试及验收缺陷度量!$K$94:$K$97</c:f>
              <c:numCache>
                <c:formatCode>0.000_);[Red]\(0.000\)</c:formatCode>
                <c:ptCount val="4"/>
                <c:pt idx="0">
                  <c:v>0.211894446632533</c:v>
                </c:pt>
                <c:pt idx="1">
                  <c:v>0.351319417093344</c:v>
                </c:pt>
                <c:pt idx="2">
                  <c:v>0.377313903111461</c:v>
                </c:pt>
                <c:pt idx="3">
                  <c:v>0</c:v>
                </c:pt>
              </c:numCache>
            </c:numRef>
          </c:val>
          <c:smooth val="0"/>
        </c:ser>
        <c:dLbls>
          <c:showLegendKey val="0"/>
          <c:showVal val="0"/>
          <c:showCatName val="0"/>
          <c:showSerName val="0"/>
          <c:showPercent val="0"/>
          <c:showBubbleSize val="0"/>
        </c:dLbls>
        <c:marker val="1"/>
        <c:smooth val="0"/>
        <c:axId val="-325448784"/>
        <c:axId val="-325442256"/>
      </c:lineChart>
      <c:catAx>
        <c:axId val="-32544878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2256"/>
        <c:crosses val="autoZero"/>
        <c:auto val="1"/>
        <c:lblAlgn val="ctr"/>
        <c:lblOffset val="100"/>
        <c:noMultiLvlLbl val="0"/>
      </c:catAx>
      <c:valAx>
        <c:axId val="-325442256"/>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878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Lbls>
            <c:delete val="1"/>
          </c:dLbls>
          <c:cat>
            <c:strRef>
              <c:f>测试及验收缺陷度量!$B$213:$B$217</c:f>
              <c:strCache>
                <c:ptCount val="5"/>
                <c:pt idx="0">
                  <c:v>需求阶段</c:v>
                </c:pt>
                <c:pt idx="1">
                  <c:v>设计阶段</c:v>
                </c:pt>
                <c:pt idx="2">
                  <c:v>编码阶段</c:v>
                </c:pt>
                <c:pt idx="3">
                  <c:v>无</c:v>
                </c:pt>
                <c:pt idx="4">
                  <c:v>其他</c:v>
                </c:pt>
              </c:strCache>
            </c:strRef>
          </c:cat>
          <c:val>
            <c:numRef>
              <c:f>测试及验收缺陷度量!$C$213:$C$217</c:f>
              <c:numCache>
                <c:formatCode>General</c:formatCode>
                <c:ptCount val="5"/>
                <c:pt idx="0">
                  <c:v>2</c:v>
                </c:pt>
                <c:pt idx="1">
                  <c:v>2</c:v>
                </c:pt>
                <c:pt idx="2">
                  <c:v>21</c:v>
                </c:pt>
                <c:pt idx="3">
                  <c:v>4</c:v>
                </c:pt>
                <c:pt idx="4">
                  <c:v>5</c:v>
                </c:pt>
              </c:numCache>
            </c:numRef>
          </c:val>
        </c:ser>
        <c:dLbls>
          <c:showLegendKey val="0"/>
          <c:showVal val="0"/>
          <c:showCatName val="0"/>
          <c:showSerName val="0"/>
          <c:showPercent val="0"/>
          <c:showBubbleSize val="0"/>
        </c:dLbls>
        <c:gapWidth val="150"/>
        <c:axId val="-325434096"/>
        <c:axId val="-325443888"/>
      </c:barChart>
      <c:catAx>
        <c:axId val="-32543409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3888"/>
        <c:crosses val="autoZero"/>
        <c:auto val="1"/>
        <c:lblAlgn val="ctr"/>
        <c:lblOffset val="100"/>
        <c:noMultiLvlLbl val="0"/>
      </c:catAx>
      <c:valAx>
        <c:axId val="-32544388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3409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测试及验收缺陷度量!$B$224:$B$227</c:f>
              <c:strCache>
                <c:ptCount val="4"/>
                <c:pt idx="0">
                  <c:v>环境</c:v>
                </c:pt>
                <c:pt idx="1">
                  <c:v>后台</c:v>
                </c:pt>
                <c:pt idx="2">
                  <c:v>其他</c:v>
                </c:pt>
                <c:pt idx="3">
                  <c:v>不是缺陷</c:v>
                </c:pt>
              </c:strCache>
            </c:strRef>
          </c:cat>
          <c:val>
            <c:numRef>
              <c:f>测试及验收缺陷度量!$C$224:$C$227</c:f>
              <c:numCache>
                <c:formatCode>General</c:formatCode>
                <c:ptCount val="4"/>
                <c:pt idx="0">
                  <c:v>11</c:v>
                </c:pt>
                <c:pt idx="1">
                  <c:v>19</c:v>
                </c:pt>
                <c:pt idx="2">
                  <c:v>1</c:v>
                </c:pt>
                <c:pt idx="3">
                  <c:v>3</c:v>
                </c:pt>
              </c:numCache>
            </c:numRef>
          </c:val>
        </c:ser>
        <c:dLbls>
          <c:showLegendKey val="0"/>
          <c:showVal val="0"/>
          <c:showCatName val="0"/>
          <c:showSerName val="0"/>
          <c:showPercent val="0"/>
          <c:showBubbleSize val="0"/>
        </c:dLbls>
        <c:gapWidth val="150"/>
        <c:axId val="-325441712"/>
        <c:axId val="-325436816"/>
      </c:barChart>
      <c:catAx>
        <c:axId val="-32544171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36816"/>
        <c:crosses val="autoZero"/>
        <c:auto val="1"/>
        <c:lblAlgn val="ctr"/>
        <c:lblOffset val="100"/>
        <c:noMultiLvlLbl val="0"/>
      </c:catAx>
      <c:valAx>
        <c:axId val="-325436816"/>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171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测试及验收缺陷度量!$B$236:$B$242</c:f>
              <c:strCache>
                <c:ptCount val="7"/>
                <c:pt idx="0">
                  <c:v>功能性错误</c:v>
                </c:pt>
                <c:pt idx="1">
                  <c:v>兼容性问题</c:v>
                </c:pt>
                <c:pt idx="2">
                  <c:v>UI问题</c:v>
                </c:pt>
              </c:strCache>
            </c:strRef>
          </c:cat>
          <c:val>
            <c:numRef>
              <c:f>测试及验收缺陷度量!$C$236:$C$242</c:f>
              <c:numCache>
                <c:formatCode>General</c:formatCode>
                <c:ptCount val="7"/>
                <c:pt idx="0">
                  <c:v>30</c:v>
                </c:pt>
                <c:pt idx="1">
                  <c:v>2</c:v>
                </c:pt>
                <c:pt idx="2">
                  <c:v>2</c:v>
                </c:pt>
              </c:numCache>
            </c:numRef>
          </c:val>
        </c:ser>
        <c:dLbls>
          <c:showLegendKey val="0"/>
          <c:showVal val="0"/>
          <c:showCatName val="0"/>
          <c:showSerName val="0"/>
          <c:showPercent val="0"/>
          <c:showBubbleSize val="0"/>
        </c:dLbls>
        <c:gapWidth val="150"/>
        <c:axId val="-325458032"/>
        <c:axId val="-325456944"/>
      </c:barChart>
      <c:catAx>
        <c:axId val="-32545803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6944"/>
        <c:crosses val="autoZero"/>
        <c:auto val="1"/>
        <c:lblAlgn val="ctr"/>
        <c:lblOffset val="100"/>
        <c:noMultiLvlLbl val="0"/>
      </c:catAx>
      <c:valAx>
        <c:axId val="-32545694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8032"/>
        <c:crosses val="autoZero"/>
        <c:crossBetween val="between"/>
      </c:valAx>
      <c:spPr>
        <a:noFill/>
        <a:ln w="25400">
          <a:noFill/>
        </a:ln>
      </c:spPr>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layout/>
      <c:overlay val="0"/>
    </c:title>
    <c:autoTitleDeleted val="0"/>
    <c:plotArea>
      <c:layout/>
      <c:lineChart>
        <c:grouping val="standard"/>
        <c:varyColors val="0"/>
        <c:ser>
          <c:idx val="0"/>
          <c:order val="0"/>
          <c:tx>
            <c:strRef>
              <c:f>测试及验收缺陷度量!$L$10</c:f>
              <c:strCache>
                <c:ptCount val="1"/>
                <c:pt idx="0">
                  <c:v>LOL</c:v>
                </c:pt>
              </c:strCache>
            </c:strRef>
          </c:tx>
          <c:dLbls>
            <c:delete val="1"/>
          </c:dLbls>
          <c:cat>
            <c:strRef>
              <c:f>测试及验收缺陷度量!$A$178:$A$180</c:f>
              <c:strCache>
                <c:ptCount val="3"/>
                <c:pt idx="0" c:formatCode="m&quot;月&quot;d&quot;日&quot;">
                  <c:v>测试第1轮</c:v>
                </c:pt>
                <c:pt idx="1" c:formatCode="m&quot;月&quot;d&quot;日&quot;">
                  <c:v>测试第2轮</c:v>
                </c:pt>
                <c:pt idx="2" c:formatCode="m&quot;月&quot;d&quot;日&quot;">
                  <c:v>测试第3轮</c:v>
                </c:pt>
              </c:strCache>
            </c:strRef>
          </c:cat>
          <c:val>
            <c:numRef>
              <c:f>[0]!测试加权缺陷密度的下限于画图</c:f>
              <c:numCache>
                <c:formatCode>0.0000_ </c:formatCode>
                <c:ptCount val="5"/>
                <c:pt idx="0">
                  <c:v>0</c:v>
                </c:pt>
                <c:pt idx="1">
                  <c:v>0</c:v>
                </c:pt>
                <c:pt idx="2">
                  <c:v>0</c:v>
                </c:pt>
                <c:pt idx="3">
                  <c:v>0</c:v>
                </c:pt>
                <c:pt idx="4">
                  <c:v>0</c:v>
                </c:pt>
              </c:numCache>
            </c:numRef>
          </c:val>
          <c:smooth val="0"/>
        </c:ser>
        <c:ser>
          <c:idx val="1"/>
          <c:order val="1"/>
          <c:tx>
            <c:strRef>
              <c:f>测试及验收缺陷度量!$M$10</c:f>
              <c:strCache>
                <c:ptCount val="1"/>
                <c:pt idx="0">
                  <c:v>OL</c:v>
                </c:pt>
              </c:strCache>
            </c:strRef>
          </c:tx>
          <c:dLbls>
            <c:delete val="1"/>
          </c:dLbls>
          <c:cat>
            <c:strRef>
              <c:f>测试及验收缺陷度量!$A$178:$A$180</c:f>
              <c:strCache>
                <c:ptCount val="3"/>
                <c:pt idx="0" c:formatCode="m&quot;月&quot;d&quot;日&quot;">
                  <c:v>测试第1轮</c:v>
                </c:pt>
                <c:pt idx="1" c:formatCode="m&quot;月&quot;d&quot;日&quot;">
                  <c:v>测试第2轮</c:v>
                </c:pt>
                <c:pt idx="2" c:formatCode="m&quot;月&quot;d&quot;日&quot;">
                  <c:v>测试第3轮</c:v>
                </c:pt>
              </c:strCache>
            </c:strRef>
          </c:cat>
          <c:val>
            <c:numRef>
              <c:f>[0]!测试加权缺陷密度的均值于画图</c:f>
              <c:numCache>
                <c:formatCode>0.0000_ </c:formatCode>
                <c:ptCount val="5"/>
                <c:pt idx="0">
                  <c:v>1.2</c:v>
                </c:pt>
                <c:pt idx="1">
                  <c:v>1.2</c:v>
                </c:pt>
                <c:pt idx="2">
                  <c:v>1.2</c:v>
                </c:pt>
                <c:pt idx="3">
                  <c:v>1.2</c:v>
                </c:pt>
                <c:pt idx="4">
                  <c:v>1.2</c:v>
                </c:pt>
              </c:numCache>
            </c:numRef>
          </c:val>
          <c:smooth val="0"/>
        </c:ser>
        <c:ser>
          <c:idx val="2"/>
          <c:order val="2"/>
          <c:tx>
            <c:strRef>
              <c:f>测试及验收缺陷度量!$N$10</c:f>
              <c:strCache>
                <c:ptCount val="1"/>
                <c:pt idx="0">
                  <c:v>UOL</c:v>
                </c:pt>
              </c:strCache>
            </c:strRef>
          </c:tx>
          <c:dLbls>
            <c:delete val="1"/>
          </c:dLbls>
          <c:cat>
            <c:strRef>
              <c:f>测试及验收缺陷度量!$A$178:$A$180</c:f>
              <c:strCache>
                <c:ptCount val="3"/>
                <c:pt idx="0" c:formatCode="m&quot;月&quot;d&quot;日&quot;">
                  <c:v>测试第1轮</c:v>
                </c:pt>
                <c:pt idx="1" c:formatCode="m&quot;月&quot;d&quot;日&quot;">
                  <c:v>测试第2轮</c:v>
                </c:pt>
                <c:pt idx="2" c:formatCode="m&quot;月&quot;d&quot;日&quot;">
                  <c:v>测试第3轮</c:v>
                </c:pt>
              </c:strCache>
            </c:strRef>
          </c:cat>
          <c:val>
            <c:numRef>
              <c:f>[0]!测试加权缺陷密度的上限于画图</c:f>
              <c:numCache>
                <c:formatCode>0.0000_ </c:formatCode>
                <c:ptCount val="5"/>
                <c:pt idx="0">
                  <c:v>2.4</c:v>
                </c:pt>
                <c:pt idx="1">
                  <c:v>2.4</c:v>
                </c:pt>
                <c:pt idx="2">
                  <c:v>2.4</c:v>
                </c:pt>
                <c:pt idx="3">
                  <c:v>2.4</c:v>
                </c:pt>
                <c:pt idx="4">
                  <c:v>2.4</c:v>
                </c:pt>
              </c:numCache>
            </c:numRef>
          </c:val>
          <c:smooth val="0"/>
        </c:ser>
        <c:ser>
          <c:idx val="3"/>
          <c:order val="3"/>
          <c:tx>
            <c:strRef>
              <c:f>"项目数据"</c:f>
              <c:strCache>
                <c:ptCount val="1"/>
                <c:pt idx="0">
                  <c:v>项目数据</c:v>
                </c:pt>
              </c:strCache>
            </c:strRef>
          </c:tx>
          <c:dLbls>
            <c:delete val="1"/>
          </c:dLbls>
          <c:cat>
            <c:strRef>
              <c:f>测试及验收缺陷度量!$A$178:$A$180</c:f>
              <c:strCache>
                <c:ptCount val="3"/>
                <c:pt idx="0" c:formatCode="m&quot;月&quot;d&quot;日&quot;">
                  <c:v>测试第1轮</c:v>
                </c:pt>
                <c:pt idx="1" c:formatCode="m&quot;月&quot;d&quot;日&quot;">
                  <c:v>测试第2轮</c:v>
                </c:pt>
                <c:pt idx="2" c:formatCode="m&quot;月&quot;d&quot;日&quot;">
                  <c:v>测试第3轮</c:v>
                </c:pt>
              </c:strCache>
            </c:strRef>
          </c:cat>
          <c:val>
            <c:numRef>
              <c:f>测试及验收缺陷度量!$K$178:$K$180</c:f>
              <c:numCache>
                <c:formatCode>0.000_);[Red]\(0.000\)</c:formatCode>
                <c:ptCount val="3"/>
                <c:pt idx="0">
                  <c:v>0.111188325225851</c:v>
                </c:pt>
                <c:pt idx="1">
                  <c:v>0.111188325225851</c:v>
                </c:pt>
                <c:pt idx="2">
                  <c:v>0.00926569376882094</c:v>
                </c:pt>
              </c:numCache>
            </c:numRef>
          </c:val>
          <c:smooth val="0"/>
        </c:ser>
        <c:dLbls>
          <c:showLegendKey val="0"/>
          <c:showVal val="0"/>
          <c:showCatName val="0"/>
          <c:showSerName val="0"/>
          <c:showPercent val="0"/>
          <c:showBubbleSize val="0"/>
        </c:dLbls>
        <c:marker val="1"/>
        <c:smooth val="0"/>
        <c:axId val="-325451504"/>
        <c:axId val="-325455312"/>
      </c:lineChart>
      <c:catAx>
        <c:axId val="-325451504"/>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5312"/>
        <c:crosses val="autoZero"/>
        <c:auto val="1"/>
        <c:lblAlgn val="ctr"/>
        <c:lblOffset val="100"/>
        <c:noMultiLvlLbl val="0"/>
      </c:catAx>
      <c:valAx>
        <c:axId val="-325455312"/>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1504"/>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缺陷来源</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delete val="1"/>
          </c:dLbls>
          <c:cat>
            <c:strRef>
              <c:f>测试及验收缺陷度量!$B$296:$B$301</c:f>
              <c:strCache>
                <c:ptCount val="6"/>
                <c:pt idx="0">
                  <c:v>需求阶段</c:v>
                </c:pt>
                <c:pt idx="1">
                  <c:v>设计阶段</c:v>
                </c:pt>
                <c:pt idx="2">
                  <c:v>编码阶段</c:v>
                </c:pt>
                <c:pt idx="3">
                  <c:v>未确定</c:v>
                </c:pt>
                <c:pt idx="4">
                  <c:v>无</c:v>
                </c:pt>
                <c:pt idx="5">
                  <c:v>其他</c:v>
                </c:pt>
              </c:strCache>
            </c:strRef>
          </c:cat>
          <c:val>
            <c:numRef>
              <c:f>测试及验收缺陷度量!$C$296:$C$301</c:f>
              <c:numCache>
                <c:formatCode>General</c:formatCode>
                <c:ptCount val="6"/>
                <c:pt idx="0">
                  <c:v>18</c:v>
                </c:pt>
                <c:pt idx="1">
                  <c:v>6</c:v>
                </c:pt>
                <c:pt idx="2">
                  <c:v>149</c:v>
                </c:pt>
                <c:pt idx="3">
                  <c:v>2</c:v>
                </c:pt>
                <c:pt idx="4">
                  <c:v>2</c:v>
                </c:pt>
                <c:pt idx="5">
                  <c:v>55</c:v>
                </c:pt>
              </c:numCache>
            </c:numRef>
          </c:val>
        </c:ser>
        <c:dLbls>
          <c:showLegendKey val="0"/>
          <c:showVal val="0"/>
          <c:showCatName val="0"/>
          <c:showSerName val="0"/>
          <c:showPercent val="0"/>
          <c:showBubbleSize val="0"/>
        </c:dLbls>
        <c:gapWidth val="150"/>
        <c:axId val="-325434640"/>
        <c:axId val="-325456400"/>
      </c:barChart>
      <c:catAx>
        <c:axId val="-32543464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6400"/>
        <c:crosses val="autoZero"/>
        <c:auto val="1"/>
        <c:lblAlgn val="ctr"/>
        <c:lblOffset val="100"/>
        <c:noMultiLvlLbl val="0"/>
      </c:catAx>
      <c:valAx>
        <c:axId val="-325456400"/>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346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0" vertOverflow="ellipsis" vert="horz" wrap="square" anchor="ctr" anchorCtr="1"/>
          <a:lstStyle/>
          <a:p>
            <a:pPr>
              <a:defRPr lang="zh-CN" sz="1200" b="1" i="0" u="none" strike="noStrike" kern="1200" baseline="0">
                <a:solidFill>
                  <a:schemeClr val="tx1"/>
                </a:solidFill>
                <a:latin typeface="+mn-lt"/>
                <a:ea typeface="+mn-ea"/>
                <a:cs typeface="+mn-cs"/>
              </a:defRPr>
            </a:pPr>
            <a:r>
              <a:rPr lang="zh-CN" altLang="en-US" sz="1200"/>
              <a:t>缺陷位置</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测试及验收缺陷度量!$B$308:$B$313</c:f>
              <c:strCache>
                <c:ptCount val="6"/>
                <c:pt idx="0">
                  <c:v>环境</c:v>
                </c:pt>
                <c:pt idx="1">
                  <c:v>未确定</c:v>
                </c:pt>
                <c:pt idx="2">
                  <c:v>后台</c:v>
                </c:pt>
                <c:pt idx="3">
                  <c:v>前端</c:v>
                </c:pt>
                <c:pt idx="4">
                  <c:v>其他</c:v>
                </c:pt>
                <c:pt idx="5">
                  <c:v>不是缺陷</c:v>
                </c:pt>
              </c:strCache>
            </c:strRef>
          </c:cat>
          <c:val>
            <c:numRef>
              <c:f>测试及验收缺陷度量!$C$308:$C$313</c:f>
              <c:numCache>
                <c:formatCode>General</c:formatCode>
                <c:ptCount val="6"/>
                <c:pt idx="0">
                  <c:v>5</c:v>
                </c:pt>
                <c:pt idx="1">
                  <c:v>2</c:v>
                </c:pt>
                <c:pt idx="2">
                  <c:v>96</c:v>
                </c:pt>
                <c:pt idx="3">
                  <c:v>117</c:v>
                </c:pt>
                <c:pt idx="4">
                  <c:v>7</c:v>
                </c:pt>
                <c:pt idx="5">
                  <c:v>5</c:v>
                </c:pt>
              </c:numCache>
            </c:numRef>
          </c:val>
        </c:ser>
        <c:dLbls>
          <c:showLegendKey val="0"/>
          <c:showVal val="0"/>
          <c:showCatName val="0"/>
          <c:showSerName val="0"/>
          <c:showPercent val="0"/>
          <c:showBubbleSize val="0"/>
        </c:dLbls>
        <c:gapWidth val="150"/>
        <c:axId val="-325433552"/>
        <c:axId val="-325454224"/>
      </c:barChart>
      <c:catAx>
        <c:axId val="-325433552"/>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4224"/>
        <c:crosses val="autoZero"/>
        <c:auto val="1"/>
        <c:lblAlgn val="ctr"/>
        <c:lblOffset val="100"/>
        <c:noMultiLvlLbl val="0"/>
      </c:catAx>
      <c:valAx>
        <c:axId val="-32545422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3355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sz="1200"/>
              <a:t>缺陷类型</a:t>
            </a:r>
            <a:endParaRPr lang="zh-CN" altLang="en-US" sz="12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Lbls>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测试及验收缺陷度量!$B$321:$B$327</c:f>
              <c:strCache>
                <c:ptCount val="7"/>
                <c:pt idx="0">
                  <c:v>需求问题</c:v>
                </c:pt>
                <c:pt idx="1">
                  <c:v>功能性错误</c:v>
                </c:pt>
                <c:pt idx="2">
                  <c:v>兼容性问题</c:v>
                </c:pt>
                <c:pt idx="3">
                  <c:v>UI问题</c:v>
                </c:pt>
              </c:strCache>
            </c:strRef>
          </c:cat>
          <c:val>
            <c:numRef>
              <c:f>测试及验收缺陷度量!$C$321:$C$327</c:f>
              <c:numCache>
                <c:formatCode>General</c:formatCode>
                <c:ptCount val="7"/>
                <c:pt idx="0">
                  <c:v>3</c:v>
                </c:pt>
                <c:pt idx="1">
                  <c:v>219</c:v>
                </c:pt>
                <c:pt idx="2">
                  <c:v>1</c:v>
                </c:pt>
                <c:pt idx="3">
                  <c:v>9</c:v>
                </c:pt>
              </c:numCache>
            </c:numRef>
          </c:val>
        </c:ser>
        <c:dLbls>
          <c:showLegendKey val="0"/>
          <c:showVal val="0"/>
          <c:showCatName val="0"/>
          <c:showSerName val="0"/>
          <c:showPercent val="0"/>
          <c:showBubbleSize val="0"/>
        </c:dLbls>
        <c:gapWidth val="150"/>
        <c:axId val="-325458576"/>
        <c:axId val="-325435184"/>
      </c:barChart>
      <c:catAx>
        <c:axId val="-32545857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35184"/>
        <c:crosses val="autoZero"/>
        <c:auto val="1"/>
        <c:lblAlgn val="ctr"/>
        <c:lblOffset val="100"/>
        <c:noMultiLvlLbl val="0"/>
      </c:catAx>
      <c:valAx>
        <c:axId val="-325435184"/>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58576"/>
        <c:crosses val="autoZero"/>
        <c:crossBetween val="between"/>
      </c:valAx>
      <c:spPr>
        <a:noFill/>
        <a:ln w="25400">
          <a:noFill/>
        </a:ln>
      </c:spPr>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r>
              <a:rPr lang="zh-CN" altLang="en-US"/>
              <a:t>测试加权缺陷密度的控制图</a:t>
            </a:r>
            <a:endParaRPr lang="en-US" altLang="zh-CN"/>
          </a:p>
        </c:rich>
      </c:tx>
      <c:layout/>
      <c:overlay val="0"/>
    </c:title>
    <c:autoTitleDeleted val="0"/>
    <c:plotArea>
      <c:layout/>
      <c:lineChart>
        <c:grouping val="standard"/>
        <c:varyColors val="0"/>
        <c:ser>
          <c:idx val="0"/>
          <c:order val="0"/>
          <c:tx>
            <c:strRef>
              <c:f>测试及验收缺陷度量!$L$10</c:f>
              <c:strCache>
                <c:ptCount val="1"/>
                <c:pt idx="0">
                  <c:v>LOL</c:v>
                </c:pt>
              </c:strCache>
            </c:strRef>
          </c:tx>
          <c:dLbls>
            <c:delete val="1"/>
          </c:dLbls>
          <c:cat>
            <c:strRef>
              <c:f>测试及验收缺陷度量!$A$261:$A$264</c:f>
              <c:strCache>
                <c:ptCount val="4"/>
                <c:pt idx="0" c:formatCode="m&quot;月&quot;d&quot;日&quot;">
                  <c:v>测试第1轮</c:v>
                </c:pt>
                <c:pt idx="1" c:formatCode="m&quot;月&quot;d&quot;日&quot;">
                  <c:v>测试第2轮</c:v>
                </c:pt>
                <c:pt idx="2" c:formatCode="m&quot;月&quot;d&quot;日&quot;">
                  <c:v>测试第3轮</c:v>
                </c:pt>
                <c:pt idx="3" c:formatCode="m&quot;月&quot;d&quot;日&quot;">
                  <c:v>测试第4轮</c:v>
                </c:pt>
              </c:strCache>
            </c:strRef>
          </c:cat>
          <c:val>
            <c:numRef>
              <c:f>[0]!测试加权缺陷密度的下限于画图</c:f>
              <c:numCache>
                <c:formatCode>0.0000_ </c:formatCode>
                <c:ptCount val="5"/>
                <c:pt idx="0">
                  <c:v>0</c:v>
                </c:pt>
                <c:pt idx="1">
                  <c:v>0</c:v>
                </c:pt>
                <c:pt idx="2">
                  <c:v>0</c:v>
                </c:pt>
                <c:pt idx="3">
                  <c:v>0</c:v>
                </c:pt>
                <c:pt idx="4">
                  <c:v>0</c:v>
                </c:pt>
              </c:numCache>
            </c:numRef>
          </c:val>
          <c:smooth val="0"/>
        </c:ser>
        <c:ser>
          <c:idx val="1"/>
          <c:order val="1"/>
          <c:tx>
            <c:strRef>
              <c:f>测试及验收缺陷度量!$M$10</c:f>
              <c:strCache>
                <c:ptCount val="1"/>
                <c:pt idx="0">
                  <c:v>OL</c:v>
                </c:pt>
              </c:strCache>
            </c:strRef>
          </c:tx>
          <c:dLbls>
            <c:delete val="1"/>
          </c:dLbls>
          <c:cat>
            <c:strRef>
              <c:f>测试及验收缺陷度量!$A$261:$A$264</c:f>
              <c:strCache>
                <c:ptCount val="4"/>
                <c:pt idx="0" c:formatCode="m&quot;月&quot;d&quot;日&quot;">
                  <c:v>测试第1轮</c:v>
                </c:pt>
                <c:pt idx="1" c:formatCode="m&quot;月&quot;d&quot;日&quot;">
                  <c:v>测试第2轮</c:v>
                </c:pt>
                <c:pt idx="2" c:formatCode="m&quot;月&quot;d&quot;日&quot;">
                  <c:v>测试第3轮</c:v>
                </c:pt>
                <c:pt idx="3" c:formatCode="m&quot;月&quot;d&quot;日&quot;">
                  <c:v>测试第4轮</c:v>
                </c:pt>
              </c:strCache>
            </c:strRef>
          </c:cat>
          <c:val>
            <c:numRef>
              <c:f>[0]!测试加权缺陷密度的均值于画图</c:f>
              <c:numCache>
                <c:formatCode>0.0000_ </c:formatCode>
                <c:ptCount val="5"/>
                <c:pt idx="0">
                  <c:v>1.2</c:v>
                </c:pt>
                <c:pt idx="1">
                  <c:v>1.2</c:v>
                </c:pt>
                <c:pt idx="2">
                  <c:v>1.2</c:v>
                </c:pt>
                <c:pt idx="3">
                  <c:v>1.2</c:v>
                </c:pt>
                <c:pt idx="4">
                  <c:v>1.2</c:v>
                </c:pt>
              </c:numCache>
            </c:numRef>
          </c:val>
          <c:smooth val="0"/>
        </c:ser>
        <c:ser>
          <c:idx val="2"/>
          <c:order val="2"/>
          <c:tx>
            <c:strRef>
              <c:f>测试及验收缺陷度量!$N$10</c:f>
              <c:strCache>
                <c:ptCount val="1"/>
                <c:pt idx="0">
                  <c:v>UOL</c:v>
                </c:pt>
              </c:strCache>
            </c:strRef>
          </c:tx>
          <c:dLbls>
            <c:delete val="1"/>
          </c:dLbls>
          <c:cat>
            <c:strRef>
              <c:f>测试及验收缺陷度量!$A$261:$A$264</c:f>
              <c:strCache>
                <c:ptCount val="4"/>
                <c:pt idx="0" c:formatCode="m&quot;月&quot;d&quot;日&quot;">
                  <c:v>测试第1轮</c:v>
                </c:pt>
                <c:pt idx="1" c:formatCode="m&quot;月&quot;d&quot;日&quot;">
                  <c:v>测试第2轮</c:v>
                </c:pt>
                <c:pt idx="2" c:formatCode="m&quot;月&quot;d&quot;日&quot;">
                  <c:v>测试第3轮</c:v>
                </c:pt>
                <c:pt idx="3" c:formatCode="m&quot;月&quot;d&quot;日&quot;">
                  <c:v>测试第4轮</c:v>
                </c:pt>
              </c:strCache>
            </c:strRef>
          </c:cat>
          <c:val>
            <c:numRef>
              <c:f>[0]!测试加权缺陷密度的上限于画图</c:f>
              <c:numCache>
                <c:formatCode>0.0000_ </c:formatCode>
                <c:ptCount val="5"/>
                <c:pt idx="0">
                  <c:v>2.4</c:v>
                </c:pt>
                <c:pt idx="1">
                  <c:v>2.4</c:v>
                </c:pt>
                <c:pt idx="2">
                  <c:v>2.4</c:v>
                </c:pt>
                <c:pt idx="3">
                  <c:v>2.4</c:v>
                </c:pt>
                <c:pt idx="4">
                  <c:v>2.4</c:v>
                </c:pt>
              </c:numCache>
            </c:numRef>
          </c:val>
          <c:smooth val="0"/>
        </c:ser>
        <c:ser>
          <c:idx val="3"/>
          <c:order val="3"/>
          <c:tx>
            <c:strRef>
              <c:f>"项目数据"</c:f>
              <c:strCache>
                <c:ptCount val="1"/>
                <c:pt idx="0">
                  <c:v>项目数据</c:v>
                </c:pt>
              </c:strCache>
            </c:strRef>
          </c:tx>
          <c:dLbls>
            <c:delete val="1"/>
          </c:dLbls>
          <c:cat>
            <c:strRef>
              <c:f>测试及验收缺陷度量!$A$261:$A$264</c:f>
              <c:strCache>
                <c:ptCount val="4"/>
                <c:pt idx="0" c:formatCode="m&quot;月&quot;d&quot;日&quot;">
                  <c:v>测试第1轮</c:v>
                </c:pt>
                <c:pt idx="1" c:formatCode="m&quot;月&quot;d&quot;日&quot;">
                  <c:v>测试第2轮</c:v>
                </c:pt>
                <c:pt idx="2" c:formatCode="m&quot;月&quot;d&quot;日&quot;">
                  <c:v>测试第3轮</c:v>
                </c:pt>
                <c:pt idx="3" c:formatCode="m&quot;月&quot;d&quot;日&quot;">
                  <c:v>测试第4轮</c:v>
                </c:pt>
              </c:strCache>
            </c:strRef>
          </c:cat>
          <c:val>
            <c:numRef>
              <c:f>测试及验收缺陷度量!$K$261:$K$264</c:f>
              <c:numCache>
                <c:formatCode>0.000_);[Red]\(0.000\)</c:formatCode>
                <c:ptCount val="4"/>
                <c:pt idx="0">
                  <c:v>0.795002059590828</c:v>
                </c:pt>
                <c:pt idx="1">
                  <c:v>0.40093368117534</c:v>
                </c:pt>
                <c:pt idx="2">
                  <c:v>0.131382906677502</c:v>
                </c:pt>
                <c:pt idx="3">
                  <c:v>0.00274612110394068</c:v>
                </c:pt>
              </c:numCache>
            </c:numRef>
          </c:val>
          <c:smooth val="0"/>
        </c:ser>
        <c:dLbls>
          <c:showLegendKey val="0"/>
          <c:showVal val="0"/>
          <c:showCatName val="0"/>
          <c:showSerName val="0"/>
          <c:showPercent val="0"/>
          <c:showBubbleSize val="0"/>
        </c:dLbls>
        <c:marker val="1"/>
        <c:smooth val="0"/>
        <c:axId val="-325449872"/>
        <c:axId val="-325437904"/>
      </c:lineChart>
      <c:catAx>
        <c:axId val="-325449872"/>
        <c:scaling>
          <c:orientation val="minMax"/>
        </c:scaling>
        <c:delete val="0"/>
        <c:axPos val="b"/>
        <c:numFmt formatCode="General" sourceLinked="1"/>
        <c:majorTickMark val="out"/>
        <c:minorTickMark val="none"/>
        <c:tickLblPos val="low"/>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37904"/>
        <c:crosses val="autoZero"/>
        <c:auto val="1"/>
        <c:lblAlgn val="ctr"/>
        <c:lblOffset val="100"/>
        <c:noMultiLvlLbl val="0"/>
      </c:catAx>
      <c:valAx>
        <c:axId val="-325437904"/>
        <c:scaling>
          <c:orientation val="minMax"/>
        </c:scaling>
        <c:delete val="0"/>
        <c:axPos val="l"/>
        <c:majorGridlines/>
        <c:numFmt formatCode="0.0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9872"/>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zero"/>
    <c:showDLblsOverMax val="0"/>
  </c:chart>
  <c:spPr>
    <a:blipFill>
      <a:blip xmlns:r="http://schemas.openxmlformats.org/officeDocument/2006/relationships" r:embed="rId1"/>
      <a:tile tx="0" ty="0" sx="100000" sy="100000" flip="none" algn="tl"/>
    </a:blipFill>
  </c:spPr>
  <c:txPr>
    <a:bodyPr/>
    <a:lstStyle/>
    <a:p>
      <a:pPr>
        <a:defRPr lang="zh-CN"/>
      </a:pPr>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各阶段资源到位率</a:t>
            </a:r>
            <a:endParaRPr lang="zh-CN" altLang="en-US" sz="1100"/>
          </a:p>
        </c:rich>
      </c:tx>
      <c:layout/>
      <c:overlay val="0"/>
    </c:title>
    <c:autoTitleDeleted val="0"/>
    <c:plotArea>
      <c:layout/>
      <c:barChart>
        <c:barDir val="col"/>
        <c:grouping val="clustered"/>
        <c:varyColors val="0"/>
        <c:ser>
          <c:idx val="0"/>
          <c:order val="0"/>
          <c:tx>
            <c:strRef>
              <c:f>"计划"</c:f>
              <c:strCache>
                <c:ptCount val="1"/>
                <c:pt idx="0">
                  <c:v>计划</c:v>
                </c:pt>
              </c:strCache>
            </c:strRef>
          </c:tx>
          <c:invertIfNegative val="0"/>
          <c:dPt>
            <c:idx val="1"/>
            <c:invertIfNegative val="0"/>
            <c:bubble3D val="0"/>
          </c:dPt>
          <c:dLbls>
            <c:delete val="1"/>
          </c:dLbls>
          <c:cat>
            <c:strRef>
              <c:f>人员统计!$A$48:$A$69</c:f>
              <c:strCache>
                <c:ptCount val="22"/>
                <c:pt idx="0">
                  <c:v>产品立项阶段</c:v>
                </c:pt>
                <c:pt idx="1">
                  <c:v>迭代一</c:v>
                </c:pt>
                <c:pt idx="2">
                  <c:v>迭代一需求</c:v>
                </c:pt>
                <c:pt idx="3">
                  <c:v>迭代一设计</c:v>
                </c:pt>
                <c:pt idx="4">
                  <c:v>迭代一开发</c:v>
                </c:pt>
                <c:pt idx="5">
                  <c:v>迭代一测试</c:v>
                </c:pt>
                <c:pt idx="6">
                  <c:v>迭代二</c:v>
                </c:pt>
                <c:pt idx="7">
                  <c:v>迭代二需求</c:v>
                </c:pt>
                <c:pt idx="8">
                  <c:v>迭代二设计</c:v>
                </c:pt>
                <c:pt idx="9">
                  <c:v>迭代二开发</c:v>
                </c:pt>
                <c:pt idx="10">
                  <c:v>迭代二测试</c:v>
                </c:pt>
                <c:pt idx="11">
                  <c:v>迭代三</c:v>
                </c:pt>
                <c:pt idx="12">
                  <c:v>迭代三需求</c:v>
                </c:pt>
                <c:pt idx="13">
                  <c:v>迭代三设计</c:v>
                </c:pt>
                <c:pt idx="14">
                  <c:v>迭代三开发</c:v>
                </c:pt>
                <c:pt idx="15">
                  <c:v>迭代三测试</c:v>
                </c:pt>
                <c:pt idx="16">
                  <c:v>迭代四</c:v>
                </c:pt>
                <c:pt idx="17">
                  <c:v>迭代四需求</c:v>
                </c:pt>
                <c:pt idx="18">
                  <c:v>迭代四设计</c:v>
                </c:pt>
                <c:pt idx="19">
                  <c:v>迭代四开发</c:v>
                </c:pt>
                <c:pt idx="20">
                  <c:v>迭代四测试</c:v>
                </c:pt>
                <c:pt idx="21">
                  <c:v>系统集成与验收结项阶段</c:v>
                </c:pt>
              </c:strCache>
            </c:strRef>
          </c:cat>
          <c:val>
            <c:numRef>
              <c:f>人员统计!$B$48:$B$69</c:f>
              <c:numCache>
                <c:formatCode>General</c:formatCode>
                <c:ptCount val="22"/>
                <c:pt idx="0">
                  <c:v>1</c:v>
                </c:pt>
                <c:pt idx="2">
                  <c:v>4</c:v>
                </c:pt>
                <c:pt idx="3">
                  <c:v>3</c:v>
                </c:pt>
                <c:pt idx="4">
                  <c:v>6</c:v>
                </c:pt>
                <c:pt idx="5">
                  <c:v>4</c:v>
                </c:pt>
                <c:pt idx="7">
                  <c:v>5</c:v>
                </c:pt>
                <c:pt idx="8">
                  <c:v>3</c:v>
                </c:pt>
                <c:pt idx="9">
                  <c:v>4</c:v>
                </c:pt>
                <c:pt idx="10">
                  <c:v>3</c:v>
                </c:pt>
                <c:pt idx="12">
                  <c:v>2</c:v>
                </c:pt>
                <c:pt idx="13">
                  <c:v>2</c:v>
                </c:pt>
                <c:pt idx="14">
                  <c:v>2</c:v>
                </c:pt>
                <c:pt idx="15">
                  <c:v>2</c:v>
                </c:pt>
                <c:pt idx="17">
                  <c:v>3</c:v>
                </c:pt>
                <c:pt idx="18">
                  <c:v>3</c:v>
                </c:pt>
                <c:pt idx="19">
                  <c:v>4</c:v>
                </c:pt>
                <c:pt idx="20">
                  <c:v>4</c:v>
                </c:pt>
                <c:pt idx="21">
                  <c:v>3</c:v>
                </c:pt>
              </c:numCache>
            </c:numRef>
          </c:val>
        </c:ser>
        <c:ser>
          <c:idx val="1"/>
          <c:order val="1"/>
          <c:tx>
            <c:strRef>
              <c:f>"实际"</c:f>
              <c:strCache>
                <c:ptCount val="1"/>
                <c:pt idx="0">
                  <c:v>实际</c:v>
                </c:pt>
              </c:strCache>
            </c:strRef>
          </c:tx>
          <c:invertIfNegative val="0"/>
          <c:dLbls>
            <c:delete val="1"/>
          </c:dLbls>
          <c:cat>
            <c:strRef>
              <c:f>人员统计!$A$48:$A$69</c:f>
              <c:strCache>
                <c:ptCount val="22"/>
                <c:pt idx="0">
                  <c:v>产品立项阶段</c:v>
                </c:pt>
                <c:pt idx="1">
                  <c:v>迭代一</c:v>
                </c:pt>
                <c:pt idx="2">
                  <c:v>迭代一需求</c:v>
                </c:pt>
                <c:pt idx="3">
                  <c:v>迭代一设计</c:v>
                </c:pt>
                <c:pt idx="4">
                  <c:v>迭代一开发</c:v>
                </c:pt>
                <c:pt idx="5">
                  <c:v>迭代一测试</c:v>
                </c:pt>
                <c:pt idx="6">
                  <c:v>迭代二</c:v>
                </c:pt>
                <c:pt idx="7">
                  <c:v>迭代二需求</c:v>
                </c:pt>
                <c:pt idx="8">
                  <c:v>迭代二设计</c:v>
                </c:pt>
                <c:pt idx="9">
                  <c:v>迭代二开发</c:v>
                </c:pt>
                <c:pt idx="10">
                  <c:v>迭代二测试</c:v>
                </c:pt>
                <c:pt idx="11">
                  <c:v>迭代三</c:v>
                </c:pt>
                <c:pt idx="12">
                  <c:v>迭代三需求</c:v>
                </c:pt>
                <c:pt idx="13">
                  <c:v>迭代三设计</c:v>
                </c:pt>
                <c:pt idx="14">
                  <c:v>迭代三开发</c:v>
                </c:pt>
                <c:pt idx="15">
                  <c:v>迭代三测试</c:v>
                </c:pt>
                <c:pt idx="16">
                  <c:v>迭代四</c:v>
                </c:pt>
                <c:pt idx="17">
                  <c:v>迭代四需求</c:v>
                </c:pt>
                <c:pt idx="18">
                  <c:v>迭代四设计</c:v>
                </c:pt>
                <c:pt idx="19">
                  <c:v>迭代四开发</c:v>
                </c:pt>
                <c:pt idx="20">
                  <c:v>迭代四测试</c:v>
                </c:pt>
                <c:pt idx="21">
                  <c:v>系统集成与验收结项阶段</c:v>
                </c:pt>
              </c:strCache>
            </c:strRef>
          </c:cat>
          <c:val>
            <c:numRef>
              <c:f>人员统计!$C$48:$C$69</c:f>
              <c:numCache>
                <c:formatCode>General</c:formatCode>
                <c:ptCount val="22"/>
                <c:pt idx="0">
                  <c:v>1</c:v>
                </c:pt>
                <c:pt idx="2">
                  <c:v>4</c:v>
                </c:pt>
                <c:pt idx="3">
                  <c:v>3</c:v>
                </c:pt>
                <c:pt idx="4">
                  <c:v>6</c:v>
                </c:pt>
                <c:pt idx="5">
                  <c:v>4</c:v>
                </c:pt>
                <c:pt idx="7">
                  <c:v>5</c:v>
                </c:pt>
                <c:pt idx="8">
                  <c:v>3</c:v>
                </c:pt>
                <c:pt idx="9">
                  <c:v>4</c:v>
                </c:pt>
                <c:pt idx="10">
                  <c:v>3</c:v>
                </c:pt>
                <c:pt idx="12">
                  <c:v>2</c:v>
                </c:pt>
                <c:pt idx="13">
                  <c:v>2</c:v>
                </c:pt>
                <c:pt idx="14">
                  <c:v>2</c:v>
                </c:pt>
                <c:pt idx="15">
                  <c:v>2</c:v>
                </c:pt>
                <c:pt idx="17">
                  <c:v>3</c:v>
                </c:pt>
                <c:pt idx="18">
                  <c:v>3</c:v>
                </c:pt>
                <c:pt idx="19">
                  <c:v>4</c:v>
                </c:pt>
                <c:pt idx="20">
                  <c:v>4</c:v>
                </c:pt>
                <c:pt idx="21">
                  <c:v>3</c:v>
                </c:pt>
              </c:numCache>
            </c:numRef>
          </c:val>
        </c:ser>
        <c:dLbls>
          <c:showLegendKey val="0"/>
          <c:showVal val="0"/>
          <c:showCatName val="0"/>
          <c:showSerName val="0"/>
          <c:showPercent val="0"/>
          <c:showBubbleSize val="0"/>
        </c:dLbls>
        <c:gapWidth val="150"/>
        <c:axId val="-325448240"/>
        <c:axId val="-325433008"/>
      </c:barChart>
      <c:catAx>
        <c:axId val="-32544824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33008"/>
        <c:crosses val="autoZero"/>
        <c:auto val="1"/>
        <c:lblAlgn val="ctr"/>
        <c:lblOffset val="100"/>
        <c:noMultiLvlLbl val="0"/>
      </c:catAx>
      <c:valAx>
        <c:axId val="-325433008"/>
        <c:scaling>
          <c:orientation val="minMax"/>
        </c:scaling>
        <c:delete val="0"/>
        <c:axPos val="l"/>
        <c:majorGridlines/>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8240"/>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各阶段人员变动率</a:t>
            </a:r>
            <a:endParaRPr lang="zh-CN" altLang="en-US" sz="1100"/>
          </a:p>
        </c:rich>
      </c:tx>
      <c:layout/>
      <c:overlay val="0"/>
    </c:title>
    <c:autoTitleDeleted val="0"/>
    <c:plotArea>
      <c:layout>
        <c:manualLayout>
          <c:layoutTarget val="inner"/>
          <c:xMode val="edge"/>
          <c:yMode val="edge"/>
          <c:x val="0.0966985108655956"/>
          <c:y val="0.0951660295575086"/>
          <c:w val="0.766327063473373"/>
          <c:h val="0.833335729299398"/>
        </c:manualLayout>
      </c:layout>
      <c:lineChart>
        <c:grouping val="standard"/>
        <c:varyColors val="0"/>
        <c:ser>
          <c:idx val="0"/>
          <c:order val="0"/>
          <c:marker>
            <c:symbol val="none"/>
          </c:marker>
          <c:dLbls>
            <c:delete val="1"/>
          </c:dLbls>
          <c:cat>
            <c:strRef>
              <c:f>人员统计!$I$77:$I$82</c:f>
              <c:strCache>
                <c:ptCount val="6"/>
                <c:pt idx="0">
                  <c:v>产品立项阶段</c:v>
                </c:pt>
                <c:pt idx="1">
                  <c:v>迭代一</c:v>
                </c:pt>
                <c:pt idx="2">
                  <c:v>迭代二</c:v>
                </c:pt>
                <c:pt idx="3">
                  <c:v>迭代三</c:v>
                </c:pt>
                <c:pt idx="4">
                  <c:v>迭代四</c:v>
                </c:pt>
                <c:pt idx="5">
                  <c:v>系统集成与验收结项阶段</c:v>
                </c:pt>
              </c:strCache>
            </c:strRef>
          </c:cat>
          <c:val>
            <c:numRef>
              <c:f>人员统计!$J$77:$J$82</c:f>
              <c:numCache>
                <c:formatCode>0.00%</c:formatCode>
                <c:ptCount val="6"/>
                <c:pt idx="0">
                  <c:v>0</c:v>
                </c:pt>
                <c:pt idx="1" c:formatCode="General">
                  <c:v>2</c:v>
                </c:pt>
                <c:pt idx="2" c:formatCode="General">
                  <c:v>1.2</c:v>
                </c:pt>
                <c:pt idx="3" c:formatCode="General">
                  <c:v>1</c:v>
                </c:pt>
                <c:pt idx="4" c:formatCode="General">
                  <c:v>0.333333333333333</c:v>
                </c:pt>
                <c:pt idx="5">
                  <c:v>0</c:v>
                </c:pt>
              </c:numCache>
            </c:numRef>
          </c:val>
          <c:smooth val="0"/>
        </c:ser>
        <c:dLbls>
          <c:showLegendKey val="0"/>
          <c:showVal val="0"/>
          <c:showCatName val="0"/>
          <c:showSerName val="0"/>
          <c:showPercent val="0"/>
          <c:showBubbleSize val="0"/>
        </c:dLbls>
        <c:marker val="0"/>
        <c:smooth val="0"/>
        <c:axId val="-325431376"/>
        <c:axId val="-325427568"/>
      </c:lineChart>
      <c:catAx>
        <c:axId val="-325431376"/>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27568"/>
        <c:crosses val="autoZero"/>
        <c:auto val="1"/>
        <c:lblAlgn val="ctr"/>
        <c:lblOffset val="100"/>
        <c:noMultiLvlLbl val="0"/>
      </c:catAx>
      <c:valAx>
        <c:axId val="-325427568"/>
        <c:scaling>
          <c:orientation val="minMax"/>
        </c:scaling>
        <c:delete val="0"/>
        <c:axPos val="l"/>
        <c:majorGridlines/>
        <c:title>
          <c:layout/>
          <c:overlay val="0"/>
          <c:txPr>
            <a:bodyPr rot="-5400000" spcFirstLastPara="0" vertOverflow="ellipsis" vert="horz" wrap="square" anchor="ctr" anchorCtr="1"/>
            <a:lstStyle/>
            <a:p>
              <a:pPr>
                <a:defRPr lang="zh-CN" sz="1000" b="1" i="0" u="none" strike="noStrike" kern="1200" baseline="0">
                  <a:solidFill>
                    <a:schemeClr val="tx1"/>
                  </a:solidFill>
                  <a:latin typeface="+mn-lt"/>
                  <a:ea typeface="+mn-ea"/>
                  <a:cs typeface="+mn-cs"/>
                </a:defRPr>
              </a:pPr>
            </a:p>
          </c:txPr>
        </c:title>
        <c:numFmt formatCode="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31376"/>
        <c:crosses val="autoZero"/>
        <c:crossBetween val="between"/>
      </c:valAx>
    </c:plotArea>
    <c:legend>
      <c:legendPos val="r"/>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legend>
    <c:plotVisOnly val="1"/>
    <c:dispBlanksAs val="gap"/>
    <c:showDLblsOverMax val="0"/>
  </c:chart>
  <c:txPr>
    <a:bodyPr/>
    <a:lstStyle/>
    <a:p>
      <a:pPr>
        <a:defRPr lang="zh-CN"/>
      </a:pPr>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zh-CN" sz="1100" b="1" i="0" u="none" strike="noStrike" kern="1200" baseline="0">
                <a:solidFill>
                  <a:schemeClr val="tx1"/>
                </a:solidFill>
                <a:latin typeface="+mn-lt"/>
                <a:ea typeface="+mn-ea"/>
                <a:cs typeface="+mn-cs"/>
              </a:defRPr>
            </a:pPr>
            <a:r>
              <a:rPr lang="zh-CN" altLang="en-US" sz="1100"/>
              <a:t>各角色技能系数</a:t>
            </a:r>
            <a:endParaRPr lang="zh-CN" altLang="en-US" sz="1100"/>
          </a:p>
        </c:rich>
      </c:tx>
      <c:layout/>
      <c:overlay val="0"/>
    </c:title>
    <c:autoTitleDeleted val="0"/>
    <c:plotArea>
      <c:layout/>
      <c:barChart>
        <c:barDir val="col"/>
        <c:grouping val="clustered"/>
        <c:varyColors val="1"/>
        <c:ser>
          <c:idx val="0"/>
          <c:order val="0"/>
          <c:invertIfNegative val="1"/>
          <c:dPt>
            <c:idx val="0"/>
            <c:invertIfNegative val="1"/>
            <c:bubble3D val="0"/>
          </c:dPt>
          <c:dPt>
            <c:idx val="1"/>
            <c:invertIfNegative val="1"/>
            <c:bubble3D val="0"/>
          </c:dPt>
          <c:dPt>
            <c:idx val="2"/>
            <c:invertIfNegative val="1"/>
            <c:bubble3D val="0"/>
          </c:dPt>
          <c:dPt>
            <c:idx val="3"/>
            <c:invertIfNegative val="1"/>
            <c:bubble3D val="0"/>
          </c:dPt>
          <c:dPt>
            <c:idx val="4"/>
            <c:invertIfNegative val="1"/>
            <c:bubble3D val="0"/>
          </c:dPt>
          <c:dPt>
            <c:idx val="5"/>
            <c:invertIfNegative val="1"/>
            <c:bubble3D val="0"/>
          </c:dPt>
          <c:dPt>
            <c:idx val="6"/>
            <c:invertIfNegative val="1"/>
            <c:bubble3D val="0"/>
          </c:dPt>
          <c:dPt>
            <c:idx val="7"/>
            <c:invertIfNegative val="1"/>
            <c:bubble3D val="0"/>
          </c:dPt>
          <c:dPt>
            <c:idx val="8"/>
            <c:invertIfNegative val="1"/>
            <c:bubble3D val="0"/>
          </c:dPt>
          <c:dLbls>
            <c:numFmt formatCode="#,##0.00_);[Red]\(#,##0.00\)" sourceLinked="0"/>
            <c:spPr>
              <a:noFill/>
              <a:ln>
                <a:noFill/>
              </a:ln>
              <a:effectLst/>
            </c:spPr>
            <c:txPr>
              <a:bodyPr rot="0" spcFirstLastPara="0" vertOverflow="ellipsis" vert="horz" wrap="square" lIns="38100" tIns="19050" rIns="38100" bIns="19050" anchor="ctr" anchorCtr="1"/>
              <a:lstStyle/>
              <a:p>
                <a:pPr>
                  <a:defRPr lang="zh-CN" sz="1000" b="0" i="0" u="none" strike="noStrike" kern="1200" baseline="0">
                    <a:solidFill>
                      <a:schemeClr val="tx1"/>
                    </a:solidFill>
                    <a:latin typeface="+mn-lt"/>
                    <a:ea typeface="+mn-ea"/>
                    <a:cs typeface="+mn-cs"/>
                  </a:defRPr>
                </a:pP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15:leaderLines/>
              </c:ext>
            </c:extLst>
          </c:dLbls>
          <c:cat>
            <c:strRef>
              <c:f>人员统计!$B$40:$J$40</c:f>
              <c:strCache>
                <c:ptCount val="9"/>
                <c:pt idx="0">
                  <c:v>项目经理</c:v>
                </c:pt>
                <c:pt idx="1">
                  <c:v>策划团队</c:v>
                </c:pt>
                <c:pt idx="2">
                  <c:v>需求分析</c:v>
                </c:pt>
                <c:pt idx="3">
                  <c:v>开发团队</c:v>
                </c:pt>
                <c:pt idx="4">
                  <c:v>测试团队</c:v>
                </c:pt>
                <c:pt idx="5">
                  <c:v>UI及美工团队</c:v>
                </c:pt>
                <c:pt idx="6">
                  <c:v>架构师团队</c:v>
                </c:pt>
                <c:pt idx="7">
                  <c:v>质量保证工程师</c:v>
                </c:pt>
                <c:pt idx="8">
                  <c:v>配置管理工程师</c:v>
                </c:pt>
              </c:strCache>
            </c:strRef>
          </c:cat>
          <c:val>
            <c:numRef>
              <c:f>人员统计!$B$41:$J$41</c:f>
              <c:numCache>
                <c:formatCode>0.00_);[Red]\(0.00\)</c:formatCode>
                <c:ptCount val="9"/>
                <c:pt idx="0">
                  <c:v>1.6</c:v>
                </c:pt>
                <c:pt idx="1">
                  <c:v>0</c:v>
                </c:pt>
                <c:pt idx="2">
                  <c:v>0</c:v>
                </c:pt>
                <c:pt idx="3">
                  <c:v>1.5</c:v>
                </c:pt>
                <c:pt idx="4">
                  <c:v>1.46875</c:v>
                </c:pt>
                <c:pt idx="5">
                  <c:v>0</c:v>
                </c:pt>
                <c:pt idx="6">
                  <c:v>0</c:v>
                </c:pt>
                <c:pt idx="7">
                  <c:v>1.6</c:v>
                </c:pt>
                <c:pt idx="8">
                  <c:v>1.6</c:v>
                </c:pt>
              </c:numCache>
            </c:numRef>
          </c:val>
        </c:ser>
        <c:dLbls>
          <c:showLegendKey val="0"/>
          <c:showVal val="0"/>
          <c:showCatName val="0"/>
          <c:showSerName val="0"/>
          <c:showPercent val="0"/>
          <c:showBubbleSize val="0"/>
        </c:dLbls>
        <c:gapWidth val="150"/>
        <c:axId val="-325426480"/>
        <c:axId val="-325445520"/>
      </c:barChart>
      <c:catAx>
        <c:axId val="-325426480"/>
        <c:scaling>
          <c:orientation val="minMax"/>
        </c:scaling>
        <c:delete val="0"/>
        <c:axPos val="b"/>
        <c:numFmt formatCode="General"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45520"/>
        <c:crosses val="autoZero"/>
        <c:auto val="1"/>
        <c:lblAlgn val="ctr"/>
        <c:lblOffset val="100"/>
        <c:noMultiLvlLbl val="0"/>
      </c:catAx>
      <c:valAx>
        <c:axId val="-325445520"/>
        <c:scaling>
          <c:orientation val="minMax"/>
        </c:scaling>
        <c:delete val="0"/>
        <c:axPos val="l"/>
        <c:majorGridlines/>
        <c:numFmt formatCode="0.00_);[Red]\(0.00\)" sourceLinked="1"/>
        <c:majorTickMark val="none"/>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p>
        </c:txPr>
        <c:crossAx val="-325426480"/>
        <c:crosses val="autoZero"/>
        <c:crossBetween val="between"/>
      </c:valAx>
    </c:plotArea>
    <c:plotVisOnly val="1"/>
    <c:dispBlanksAs val="gap"/>
    <c:showDLblsOverMax val="0"/>
  </c:chart>
  <c:txPr>
    <a:bodyPr/>
    <a:lstStyle/>
    <a:p>
      <a:pPr>
        <a:defRPr lang="zh-CN"/>
      </a:pPr>
    </a:p>
  </c:txPr>
  <c:printSettings>
    <c:headerFooter/>
    <c:pageMargins b="0.75" l="0.7" r="0.7" t="0.75" header="0.3" footer="0.3"/>
    <c:pageSetup/>
  </c:printSettings>
</c:chartSpace>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ctrlProps/ctrlProp3.xml><?xml version="1.0" encoding="utf-8"?>
<formControlPr xmlns="http://schemas.microsoft.com/office/spreadsheetml/2009/9/main" objectType="Button" val="0"/>
</file>

<file path=xl/ctrlProps/ctrlProp4.xml><?xml version="1.0" encoding="utf-8"?>
<formControlPr xmlns="http://schemas.microsoft.com/office/spreadsheetml/2009/9/main" objectType="Button" val="0"/>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ctrlProps/ctrlProp13.xml><?xml version="1.0" encoding="utf-8"?>
<formControlPr xmlns="http://schemas.microsoft.com/office/spreadsheetml/2009/9/main" objectType="Button" val="0"/>
</file>

<file path=xl/ctrlProps/ctrlProp14.xml><?xml version="1.0" encoding="utf-8"?>
<formControlPr xmlns="http://schemas.microsoft.com/office/spreadsheetml/2009/9/main" objectType="Button" val="0"/>
</file>

<file path=xl/ctrlProps/ctrlProp15.xml><?xml version="1.0" encoding="utf-8"?>
<formControlPr xmlns="http://schemas.microsoft.com/office/spreadsheetml/2009/9/main" objectType="Button" val="0"/>
</file>

<file path=xl/ctrlProps/ctrlProp16.xml><?xml version="1.0" encoding="utf-8"?>
<formControlPr xmlns="http://schemas.microsoft.com/office/spreadsheetml/2009/9/main" objectType="Button" val="0"/>
</file>

<file path=xl/ctrlProps/ctrlProp17.xml><?xml version="1.0" encoding="utf-8"?>
<formControlPr xmlns="http://schemas.microsoft.com/office/spreadsheetml/2009/9/main" objectType="Button" val="0"/>
</file>

<file path=xl/ctrlProps/ctrlProp18.xml><?xml version="1.0" encoding="utf-8"?>
<formControlPr xmlns="http://schemas.microsoft.com/office/spreadsheetml/2009/9/main" objectType="Button" val="0"/>
</file>

<file path=xl/ctrlProps/ctrlProp19.xml><?xml version="1.0" encoding="utf-8"?>
<formControlPr xmlns="http://schemas.microsoft.com/office/spreadsheetml/2009/9/main" objectType="Button" val="0"/>
</file>

<file path=xl/ctrlProps/ctrlProp20.xml><?xml version="1.0" encoding="utf-8"?>
<formControlPr xmlns="http://schemas.microsoft.com/office/spreadsheetml/2009/9/main" objectType="Button" val="0"/>
</file>

<file path=xl/ctrlProps/ctrlProp21.xml><?xml version="1.0" encoding="utf-8"?>
<formControlPr xmlns="http://schemas.microsoft.com/office/spreadsheetml/2009/9/main" objectType="Button" val="0"/>
</file>

<file path=xl/ctrlProps/ctrlProp22.xml><?xml version="1.0" encoding="utf-8"?>
<formControlPr xmlns="http://schemas.microsoft.com/office/spreadsheetml/2009/9/main" objectType="Button" val="0"/>
</file>

<file path=xl/ctrlProps/ctrlProp23.xml><?xml version="1.0" encoding="utf-8"?>
<formControlPr xmlns="http://schemas.microsoft.com/office/spreadsheetml/2009/9/main" objectType="Button" val="0"/>
</file>

<file path=xl/ctrlProps/ctrlProp24.xml><?xml version="1.0" encoding="utf-8"?>
<formControlPr xmlns="http://schemas.microsoft.com/office/spreadsheetml/2009/9/main" objectType="Button" val="0"/>
</file>

<file path=xl/ctrlProps/ctrlProp25.xml><?xml version="1.0" encoding="utf-8"?>
<formControlPr xmlns="http://schemas.microsoft.com/office/spreadsheetml/2009/9/main" objectType="Button" val="0"/>
</file>

<file path=xl/ctrlProps/ctrlProp26.xml><?xml version="1.0" encoding="utf-8"?>
<formControlPr xmlns="http://schemas.microsoft.com/office/spreadsheetml/2009/9/main" objectType="Button" val="0"/>
</file>

<file path=xl/ctrlProps/ctrlProp27.xml><?xml version="1.0" encoding="utf-8"?>
<formControlPr xmlns="http://schemas.microsoft.com/office/spreadsheetml/2009/9/main" objectType="Button" val="0"/>
</file>

<file path=xl/ctrlProps/ctrlProp28.xml><?xml version="1.0" encoding="utf-8"?>
<formControlPr xmlns="http://schemas.microsoft.com/office/spreadsheetml/2009/9/main" objectType="Button" val="0"/>
</file>

<file path=xl/ctrlProps/ctrlProp29.xml><?xml version="1.0" encoding="utf-8"?>
<formControlPr xmlns="http://schemas.microsoft.com/office/spreadsheetml/2009/9/main" objectType="Button" val="0"/>
</file>

<file path=xl/ctrlProps/ctrlProp30.xml><?xml version="1.0" encoding="utf-8"?>
<formControlPr xmlns="http://schemas.microsoft.com/office/spreadsheetml/2009/9/main" objectType="Button" val="0"/>
</file>

<file path=xl/ctrlProps/ctrlProp31.xml><?xml version="1.0" encoding="utf-8"?>
<formControlPr xmlns="http://schemas.microsoft.com/office/spreadsheetml/2009/9/main" objectType="Button" val="0"/>
</file>

<file path=xl/ctrlProps/ctrlProp32.xml><?xml version="1.0" encoding="utf-8"?>
<formControlPr xmlns="http://schemas.microsoft.com/office/spreadsheetml/2009/9/main" objectType="Button" val="0"/>
</file>

<file path=xl/ctrlProps/ctrlProp33.xml><?xml version="1.0" encoding="utf-8"?>
<formControlPr xmlns="http://schemas.microsoft.com/office/spreadsheetml/2009/9/main" objectType="Button" val="0"/>
</file>

<file path=xl/ctrlProps/ctrlProp34.xml><?xml version="1.0" encoding="utf-8"?>
<formControlPr xmlns="http://schemas.microsoft.com/office/spreadsheetml/2009/9/main" objectType="Button" val="0"/>
</file>

<file path=xl/ctrlProps/ctrlProp35.xml><?xml version="1.0" encoding="utf-8"?>
<formControlPr xmlns="http://schemas.microsoft.com/office/spreadsheetml/2009/9/main" objectType="Button" val="0"/>
</file>

<file path=xl/ctrlProps/ctrlProp36.xml><?xml version="1.0" encoding="utf-8"?>
<formControlPr xmlns="http://schemas.microsoft.com/office/spreadsheetml/2009/9/main" objectType="Button" val="0"/>
</file>

<file path=xl/ctrlProps/ctrlProp37.xml><?xml version="1.0" encoding="utf-8"?>
<formControlPr xmlns="http://schemas.microsoft.com/office/spreadsheetml/2009/9/main" objectType="Button" val="0"/>
</file>

<file path=xl/ctrlProps/ctrlProp38.xml><?xml version="1.0" encoding="utf-8"?>
<formControlPr xmlns="http://schemas.microsoft.com/office/spreadsheetml/2009/9/main" objectType="Button" val="0"/>
</file>

<file path=xl/ctrlProps/ctrlProp39.xml><?xml version="1.0" encoding="utf-8"?>
<formControlPr xmlns="http://schemas.microsoft.com/office/spreadsheetml/2009/9/main" objectType="Button" val="0"/>
</file>

<file path=xl/ctrlProps/ctrlProp40.xml><?xml version="1.0" encoding="utf-8"?>
<formControlPr xmlns="http://schemas.microsoft.com/office/spreadsheetml/2009/9/main" objectType="Button" val="0"/>
</file>

<file path=xl/ctrlProps/ctrlProp41.xml><?xml version="1.0" encoding="utf-8"?>
<formControlPr xmlns="http://schemas.microsoft.com/office/spreadsheetml/2009/9/main" objectType="Button" val="0"/>
</file>

<file path=xl/ctrlProps/ctrlProp42.xml><?xml version="1.0" encoding="utf-8"?>
<formControlPr xmlns="http://schemas.microsoft.com/office/spreadsheetml/2009/9/main" objectType="Button" val="0"/>
</file>

<file path=xl/ctrlProps/ctrlProp43.xml><?xml version="1.0" encoding="utf-8"?>
<formControlPr xmlns="http://schemas.microsoft.com/office/spreadsheetml/2009/9/main" objectType="Button" val="0"/>
</file>

<file path=xl/ctrlProps/ctrlProp44.xml><?xml version="1.0" encoding="utf-8"?>
<formControlPr xmlns="http://schemas.microsoft.com/office/spreadsheetml/2009/9/main" objectType="Button" val="0"/>
</file>

<file path=xl/ctrlProps/ctrlProp45.xml><?xml version="1.0" encoding="utf-8"?>
<formControlPr xmlns="http://schemas.microsoft.com/office/spreadsheetml/2009/9/main" objectType="Button" val="0"/>
</file>

<file path=xl/ctrlProps/ctrlProp46.xml><?xml version="1.0" encoding="utf-8"?>
<formControlPr xmlns="http://schemas.microsoft.com/office/spreadsheetml/2009/9/main" objectType="Button" val="0"/>
</file>

<file path=xl/ctrlProps/ctrlProp47.xml><?xml version="1.0" encoding="utf-8"?>
<formControlPr xmlns="http://schemas.microsoft.com/office/spreadsheetml/2009/9/main" objectType="Button" val="0"/>
</file>

<file path=xl/ctrlProps/ctrlProp48.xml><?xml version="1.0" encoding="utf-8"?>
<formControlPr xmlns="http://schemas.microsoft.com/office/spreadsheetml/2009/9/main" objectType="Button" val="0"/>
</file>

<file path=xl/ctrlProps/ctrlProp49.xml><?xml version="1.0" encoding="utf-8"?>
<formControlPr xmlns="http://schemas.microsoft.com/office/spreadsheetml/2009/9/main" objectType="Button" val="0"/>
</file>

<file path=xl/ctrlProps/ctrlProp50.xml><?xml version="1.0" encoding="utf-8"?>
<formControlPr xmlns="http://schemas.microsoft.com/office/spreadsheetml/2009/9/main" objectType="Button" val="0"/>
</file>

<file path=xl/ctrlProps/ctrlProp51.xml><?xml version="1.0" encoding="utf-8"?>
<formControlPr xmlns="http://schemas.microsoft.com/office/spreadsheetml/2009/9/main" objectType="Button" val="0"/>
</file>

<file path=xl/ctrlProps/ctrlProp52.xml><?xml version="1.0" encoding="utf-8"?>
<formControlPr xmlns="http://schemas.microsoft.com/office/spreadsheetml/2009/9/main" objectType="Button" val="0"/>
</file>

<file path=xl/ctrlProps/ctrlProp53.xml><?xml version="1.0" encoding="utf-8"?>
<formControlPr xmlns="http://schemas.microsoft.com/office/spreadsheetml/2009/9/main" objectType="Button" val="0"/>
</file>

<file path=xl/ctrlProps/ctrlProp54.xml><?xml version="1.0" encoding="utf-8"?>
<formControlPr xmlns="http://schemas.microsoft.com/office/spreadsheetml/2009/9/main" objectType="Button" val="0"/>
</file>

<file path=xl/ctrlProps/ctrlProp55.xml><?xml version="1.0" encoding="utf-8"?>
<formControlPr xmlns="http://schemas.microsoft.com/office/spreadsheetml/2009/9/main" objectType="Button" val="0"/>
</file>

<file path=xl/ctrlProps/ctrlProp56.xml><?xml version="1.0" encoding="utf-8"?>
<formControlPr xmlns="http://schemas.microsoft.com/office/spreadsheetml/2009/9/main" objectType="Button"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7" Type="http://schemas.openxmlformats.org/officeDocument/2006/relationships/chart" Target="../charts/chart7.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9" Type="http://schemas.openxmlformats.org/officeDocument/2006/relationships/chart" Target="../charts/chart17.xml"/><Relationship Id="rId8" Type="http://schemas.openxmlformats.org/officeDocument/2006/relationships/chart" Target="../charts/chart16.xml"/><Relationship Id="rId7" Type="http://schemas.openxmlformats.org/officeDocument/2006/relationships/chart" Target="../charts/chart15.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 Id="rId3" Type="http://schemas.openxmlformats.org/officeDocument/2006/relationships/chart" Target="../charts/chart11.xml"/><Relationship Id="rId2" Type="http://schemas.openxmlformats.org/officeDocument/2006/relationships/chart" Target="../charts/chart10.xml"/><Relationship Id="rId10" Type="http://schemas.openxmlformats.org/officeDocument/2006/relationships/chart" Target="../charts/chart18.xml"/><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5" Type="http://schemas.openxmlformats.org/officeDocument/2006/relationships/chart" Target="../charts/chart23.xml"/><Relationship Id="rId4" Type="http://schemas.openxmlformats.org/officeDocument/2006/relationships/chart" Target="../charts/chart22.xml"/><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7.xml.rels><?xml version="1.0" encoding="UTF-8" standalone="yes"?>
<Relationships xmlns="http://schemas.openxmlformats.org/package/2006/relationships"><Relationship Id="rId9" Type="http://schemas.openxmlformats.org/officeDocument/2006/relationships/chart" Target="../charts/chart32.xml"/><Relationship Id="rId8" Type="http://schemas.openxmlformats.org/officeDocument/2006/relationships/chart" Target="../charts/chart31.xml"/><Relationship Id="rId7" Type="http://schemas.openxmlformats.org/officeDocument/2006/relationships/chart" Target="../charts/chart30.xml"/><Relationship Id="rId6" Type="http://schemas.openxmlformats.org/officeDocument/2006/relationships/chart" Target="../charts/chart29.xml"/><Relationship Id="rId5" Type="http://schemas.openxmlformats.org/officeDocument/2006/relationships/chart" Target="../charts/chart28.xml"/><Relationship Id="rId4" Type="http://schemas.openxmlformats.org/officeDocument/2006/relationships/chart" Target="../charts/chart27.xml"/><Relationship Id="rId3" Type="http://schemas.openxmlformats.org/officeDocument/2006/relationships/chart" Target="../charts/chart26.xml"/><Relationship Id="rId24" Type="http://schemas.openxmlformats.org/officeDocument/2006/relationships/chart" Target="../charts/chart47.xml"/><Relationship Id="rId23" Type="http://schemas.openxmlformats.org/officeDocument/2006/relationships/chart" Target="../charts/chart46.xml"/><Relationship Id="rId22" Type="http://schemas.openxmlformats.org/officeDocument/2006/relationships/chart" Target="../charts/chart45.xml"/><Relationship Id="rId21" Type="http://schemas.openxmlformats.org/officeDocument/2006/relationships/chart" Target="../charts/chart44.xml"/><Relationship Id="rId20" Type="http://schemas.openxmlformats.org/officeDocument/2006/relationships/chart" Target="../charts/chart43.xml"/><Relationship Id="rId2" Type="http://schemas.openxmlformats.org/officeDocument/2006/relationships/chart" Target="../charts/chart25.xml"/><Relationship Id="rId19" Type="http://schemas.openxmlformats.org/officeDocument/2006/relationships/chart" Target="../charts/chart42.xml"/><Relationship Id="rId18" Type="http://schemas.openxmlformats.org/officeDocument/2006/relationships/chart" Target="../charts/chart41.xml"/><Relationship Id="rId17" Type="http://schemas.openxmlformats.org/officeDocument/2006/relationships/chart" Target="../charts/chart40.xml"/><Relationship Id="rId16" Type="http://schemas.openxmlformats.org/officeDocument/2006/relationships/chart" Target="../charts/chart39.xml"/><Relationship Id="rId15" Type="http://schemas.openxmlformats.org/officeDocument/2006/relationships/chart" Target="../charts/chart38.xml"/><Relationship Id="rId14" Type="http://schemas.openxmlformats.org/officeDocument/2006/relationships/chart" Target="../charts/chart37.xml"/><Relationship Id="rId13" Type="http://schemas.openxmlformats.org/officeDocument/2006/relationships/chart" Target="../charts/chart36.xml"/><Relationship Id="rId12" Type="http://schemas.openxmlformats.org/officeDocument/2006/relationships/chart" Target="../charts/chart35.xml"/><Relationship Id="rId11" Type="http://schemas.openxmlformats.org/officeDocument/2006/relationships/chart" Target="../charts/chart34.xml"/><Relationship Id="rId10" Type="http://schemas.openxmlformats.org/officeDocument/2006/relationships/chart" Target="../charts/chart33.xml"/><Relationship Id="rId1" Type="http://schemas.openxmlformats.org/officeDocument/2006/relationships/chart" Target="../charts/chart24.xml"/></Relationships>
</file>

<file path=xl/drawings/_rels/drawing8.xml.rels><?xml version="1.0" encoding="UTF-8" standalone="yes"?>
<Relationships xmlns="http://schemas.openxmlformats.org/package/2006/relationships"><Relationship Id="rId9" Type="http://schemas.openxmlformats.org/officeDocument/2006/relationships/chart" Target="../charts/chart56.xml"/><Relationship Id="rId8" Type="http://schemas.openxmlformats.org/officeDocument/2006/relationships/chart" Target="../charts/chart55.xml"/><Relationship Id="rId7" Type="http://schemas.openxmlformats.org/officeDocument/2006/relationships/chart" Target="../charts/chart54.xml"/><Relationship Id="rId6" Type="http://schemas.openxmlformats.org/officeDocument/2006/relationships/chart" Target="../charts/chart53.xml"/><Relationship Id="rId5" Type="http://schemas.openxmlformats.org/officeDocument/2006/relationships/chart" Target="../charts/chart52.xml"/><Relationship Id="rId4" Type="http://schemas.openxmlformats.org/officeDocument/2006/relationships/chart" Target="../charts/chart51.xml"/><Relationship Id="rId3" Type="http://schemas.openxmlformats.org/officeDocument/2006/relationships/chart" Target="../charts/chart50.xml"/><Relationship Id="rId2" Type="http://schemas.openxmlformats.org/officeDocument/2006/relationships/chart" Target="../charts/chart49.xml"/><Relationship Id="rId19" Type="http://schemas.openxmlformats.org/officeDocument/2006/relationships/image" Target="../media/image11.png"/><Relationship Id="rId18" Type="http://schemas.openxmlformats.org/officeDocument/2006/relationships/image" Target="../media/image10.png"/><Relationship Id="rId17" Type="http://schemas.openxmlformats.org/officeDocument/2006/relationships/image" Target="../media/image9.png"/><Relationship Id="rId16" Type="http://schemas.openxmlformats.org/officeDocument/2006/relationships/chart" Target="../charts/chart63.xml"/><Relationship Id="rId15" Type="http://schemas.openxmlformats.org/officeDocument/2006/relationships/chart" Target="../charts/chart62.xml"/><Relationship Id="rId14" Type="http://schemas.openxmlformats.org/officeDocument/2006/relationships/chart" Target="../charts/chart61.xml"/><Relationship Id="rId13" Type="http://schemas.openxmlformats.org/officeDocument/2006/relationships/chart" Target="../charts/chart60.xml"/><Relationship Id="rId12" Type="http://schemas.openxmlformats.org/officeDocument/2006/relationships/chart" Target="../charts/chart59.xml"/><Relationship Id="rId11" Type="http://schemas.openxmlformats.org/officeDocument/2006/relationships/chart" Target="../charts/chart58.xml"/><Relationship Id="rId10" Type="http://schemas.openxmlformats.org/officeDocument/2006/relationships/chart" Target="../charts/chart57.xml"/><Relationship Id="rId1" Type="http://schemas.openxmlformats.org/officeDocument/2006/relationships/chart" Target="../charts/chart4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6.xml"/><Relationship Id="rId2" Type="http://schemas.openxmlformats.org/officeDocument/2006/relationships/chart" Target="../charts/chart65.xml"/><Relationship Id="rId1" Type="http://schemas.openxmlformats.org/officeDocument/2006/relationships/chart" Target="../charts/chart64.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0</xdr:row>
      <xdr:rowOff>0</xdr:rowOff>
    </xdr:from>
    <xdr:to>
      <xdr:col>1</xdr:col>
      <xdr:colOff>285750</xdr:colOff>
      <xdr:row>3</xdr:row>
      <xdr:rowOff>57150</xdr:rowOff>
    </xdr:to>
    <xdr:pic>
      <xdr:nvPicPr>
        <xdr:cNvPr id="3" name="图片 2" descr="国泰安新标志（彩色）"/>
        <xdr:cNvPicPr>
          <a:picLocks noChangeAspect="1" noChangeArrowheads="1"/>
        </xdr:cNvPicPr>
      </xdr:nvPicPr>
      <xdr:blipFill>
        <a:blip r:embed="rId1" cstate="print">
          <a:extLst>
            <a:ext uri="{28A0092B-C50C-407E-A947-70E740481C1C}">
              <a14:useLocalDpi xmlns:a14="http://schemas.microsoft.com/office/drawing/2010/main" val="0"/>
            </a:ext>
          </a:extLst>
        </a:blip>
        <a:srcRect t="21819" b="25455"/>
        <a:stretch>
          <a:fillRect/>
        </a:stretch>
      </xdr:blipFill>
      <xdr:spPr>
        <a:xfrm>
          <a:off x="0" y="0"/>
          <a:ext cx="1476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2</xdr:col>
          <xdr:colOff>295275</xdr:colOff>
          <xdr:row>25</xdr:row>
          <xdr:rowOff>85725</xdr:rowOff>
        </xdr:from>
        <xdr:to>
          <xdr:col>3</xdr:col>
          <xdr:colOff>942975</xdr:colOff>
          <xdr:row>26</xdr:row>
          <xdr:rowOff>161925</xdr:rowOff>
        </xdr:to>
        <xdr:sp macro="[0]!ye">
          <xdr:nvSpPr>
            <xdr:cNvPr id="66561" name="Button 1" hidden="1">
              <a:extLst>
                <a:ext uri="{63B3BB69-23CF-44E3-9099-C40C66FF867C}">
                  <a14:compatExt spid="_x0000_s66561"/>
                </a:ext>
              </a:extLst>
            </xdr:cNvPr>
            <xdr:cNvSpPr/>
          </xdr:nvSpPr>
          <xdr:spPr>
            <a:xfrm>
              <a:off x="1666875" y="5838825"/>
              <a:ext cx="1152525" cy="28575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panose="02010600030101010101" pitchFamily="7" charset="-122"/>
                  <a:ea typeface="宋体" panose="02010600030101010101" pitchFamily="7" charset="-122"/>
                </a:rPr>
                <a:t>启用自带的单元格操作</a:t>
              </a:r>
              <a:endParaRPr lang="zh-CN" altLang="en-US" sz="8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295275</xdr:colOff>
          <xdr:row>27</xdr:row>
          <xdr:rowOff>66675</xdr:rowOff>
        </xdr:from>
        <xdr:to>
          <xdr:col>3</xdr:col>
          <xdr:colOff>942975</xdr:colOff>
          <xdr:row>28</xdr:row>
          <xdr:rowOff>142875</xdr:rowOff>
        </xdr:to>
        <xdr:sp macro="[0]!MarcoHide">
          <xdr:nvSpPr>
            <xdr:cNvPr id="66562" name="Button 2" hidden="1">
              <a:extLst>
                <a:ext uri="{63B3BB69-23CF-44E3-9099-C40C66FF867C}">
                  <a14:compatExt spid="_x0000_s66562"/>
                </a:ext>
              </a:extLst>
            </xdr:cNvPr>
            <xdr:cNvSpPr/>
          </xdr:nvSpPr>
          <xdr:spPr>
            <a:xfrm>
              <a:off x="1666875" y="6238875"/>
              <a:ext cx="1152525" cy="285750"/>
            </a:xfrm>
            <a:prstGeom prst="rect">
              <a:avLst/>
            </a:prstGeom>
          </xdr:spPr>
          <xdr:txBody>
            <a:bodyPr vertOverflow="clip" wrap="square" lIns="27432" tIns="18288" rIns="27432" bIns="18288" anchor="ctr" upright="1"/>
            <a:lstStyle/>
            <a:p>
              <a:pPr algn="ctr" rtl="0">
                <a:defRPr sz="1000"/>
              </a:pPr>
              <a:r>
                <a:rPr lang="zh-CN" altLang="en-US" sz="800" b="0" i="0" u="none" strike="noStrike" baseline="0">
                  <a:solidFill>
                    <a:srgbClr val="000000"/>
                  </a:solidFill>
                  <a:latin typeface="宋体" panose="02010600030101010101" pitchFamily="7" charset="-122"/>
                  <a:ea typeface="宋体" panose="02010600030101010101" pitchFamily="7" charset="-122"/>
                </a:rPr>
                <a:t>禁止自带的单元格操作</a:t>
              </a:r>
              <a:endParaRPr lang="zh-CN" altLang="en-US" sz="800" b="0" i="0" u="none" strike="noStrike" baseline="0">
                <a:solidFill>
                  <a:srgbClr val="00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141</xdr:row>
      <xdr:rowOff>19050</xdr:rowOff>
    </xdr:from>
    <xdr:to>
      <xdr:col>20</xdr:col>
      <xdr:colOff>598427</xdr:colOff>
      <xdr:row>175</xdr:row>
      <xdr:rowOff>94512</xdr:rowOff>
    </xdr:to>
    <xdr:pic>
      <xdr:nvPicPr>
        <xdr:cNvPr id="3" name="图片 2"/>
        <xdr:cNvPicPr>
          <a:picLocks noChangeAspect="1"/>
        </xdr:cNvPicPr>
      </xdr:nvPicPr>
      <xdr:blipFill>
        <a:blip r:embed="rId1"/>
        <a:stretch>
          <a:fillRect/>
        </a:stretch>
      </xdr:blipFill>
      <xdr:spPr>
        <a:xfrm>
          <a:off x="0" y="26262965"/>
          <a:ext cx="13180695" cy="5904230"/>
        </a:xfrm>
        <a:prstGeom prst="rect">
          <a:avLst/>
        </a:prstGeom>
      </xdr:spPr>
    </xdr:pic>
    <xdr:clientData/>
  </xdr:twoCellAnchor>
  <xdr:twoCellAnchor editAs="oneCell">
    <xdr:from>
      <xdr:col>0</xdr:col>
      <xdr:colOff>0</xdr:colOff>
      <xdr:row>106</xdr:row>
      <xdr:rowOff>0</xdr:rowOff>
    </xdr:from>
    <xdr:to>
      <xdr:col>20</xdr:col>
      <xdr:colOff>569856</xdr:colOff>
      <xdr:row>140</xdr:row>
      <xdr:rowOff>65938</xdr:rowOff>
    </xdr:to>
    <xdr:pic>
      <xdr:nvPicPr>
        <xdr:cNvPr id="4" name="图片 3"/>
        <xdr:cNvPicPr>
          <a:picLocks noChangeAspect="1"/>
        </xdr:cNvPicPr>
      </xdr:nvPicPr>
      <xdr:blipFill>
        <a:blip r:embed="rId2"/>
        <a:stretch>
          <a:fillRect/>
        </a:stretch>
      </xdr:blipFill>
      <xdr:spPr>
        <a:xfrm>
          <a:off x="0" y="20243165"/>
          <a:ext cx="13152120" cy="5894705"/>
        </a:xfrm>
        <a:prstGeom prst="rect">
          <a:avLst/>
        </a:prstGeom>
      </xdr:spPr>
    </xdr:pic>
    <xdr:clientData/>
  </xdr:twoCellAnchor>
  <xdr:twoCellAnchor editAs="oneCell">
    <xdr:from>
      <xdr:col>0</xdr:col>
      <xdr:colOff>0</xdr:colOff>
      <xdr:row>86</xdr:row>
      <xdr:rowOff>0</xdr:rowOff>
    </xdr:from>
    <xdr:to>
      <xdr:col>20</xdr:col>
      <xdr:colOff>674618</xdr:colOff>
      <xdr:row>108</xdr:row>
      <xdr:rowOff>123338</xdr:rowOff>
    </xdr:to>
    <xdr:pic>
      <xdr:nvPicPr>
        <xdr:cNvPr id="5" name="图片 4"/>
        <xdr:cNvPicPr>
          <a:picLocks noChangeAspect="1"/>
        </xdr:cNvPicPr>
      </xdr:nvPicPr>
      <xdr:blipFill>
        <a:blip r:embed="rId3"/>
        <a:stretch>
          <a:fillRect/>
        </a:stretch>
      </xdr:blipFill>
      <xdr:spPr>
        <a:xfrm>
          <a:off x="0" y="16814165"/>
          <a:ext cx="13256895" cy="3895090"/>
        </a:xfrm>
        <a:prstGeom prst="rect">
          <a:avLst/>
        </a:prstGeom>
      </xdr:spPr>
    </xdr:pic>
    <xdr:clientData/>
  </xdr:twoCellAnchor>
  <xdr:twoCellAnchor editAs="oneCell">
    <xdr:from>
      <xdr:col>0</xdr:col>
      <xdr:colOff>0</xdr:colOff>
      <xdr:row>58</xdr:row>
      <xdr:rowOff>123825</xdr:rowOff>
    </xdr:from>
    <xdr:to>
      <xdr:col>20</xdr:col>
      <xdr:colOff>722237</xdr:colOff>
      <xdr:row>85</xdr:row>
      <xdr:rowOff>123246</xdr:rowOff>
    </xdr:to>
    <xdr:pic>
      <xdr:nvPicPr>
        <xdr:cNvPr id="7" name="图片 6"/>
        <xdr:cNvPicPr>
          <a:picLocks noChangeAspect="1"/>
        </xdr:cNvPicPr>
      </xdr:nvPicPr>
      <xdr:blipFill>
        <a:blip r:embed="rId4"/>
        <a:stretch>
          <a:fillRect/>
        </a:stretch>
      </xdr:blipFill>
      <xdr:spPr>
        <a:xfrm>
          <a:off x="0" y="12137390"/>
          <a:ext cx="13304520" cy="4628515"/>
        </a:xfrm>
        <a:prstGeom prst="rect">
          <a:avLst/>
        </a:prstGeom>
      </xdr:spPr>
    </xdr:pic>
    <xdr:clientData/>
  </xdr:twoCellAnchor>
  <xdr:twoCellAnchor editAs="oneCell">
    <xdr:from>
      <xdr:col>0</xdr:col>
      <xdr:colOff>0</xdr:colOff>
      <xdr:row>40</xdr:row>
      <xdr:rowOff>38100</xdr:rowOff>
    </xdr:from>
    <xdr:to>
      <xdr:col>20</xdr:col>
      <xdr:colOff>731761</xdr:colOff>
      <xdr:row>58</xdr:row>
      <xdr:rowOff>66286</xdr:rowOff>
    </xdr:to>
    <xdr:pic>
      <xdr:nvPicPr>
        <xdr:cNvPr id="8" name="图片 7"/>
        <xdr:cNvPicPr>
          <a:picLocks noChangeAspect="1"/>
        </xdr:cNvPicPr>
      </xdr:nvPicPr>
      <xdr:blipFill>
        <a:blip r:embed="rId5"/>
        <a:stretch>
          <a:fillRect/>
        </a:stretch>
      </xdr:blipFill>
      <xdr:spPr>
        <a:xfrm>
          <a:off x="0" y="8965565"/>
          <a:ext cx="13314045" cy="3114040"/>
        </a:xfrm>
        <a:prstGeom prst="rect">
          <a:avLst/>
        </a:prstGeom>
      </xdr:spPr>
    </xdr:pic>
    <xdr:clientData/>
  </xdr:twoCellAnchor>
  <xdr:twoCellAnchor editAs="oneCell">
    <xdr:from>
      <xdr:col>0</xdr:col>
      <xdr:colOff>0</xdr:colOff>
      <xdr:row>19</xdr:row>
      <xdr:rowOff>104775</xdr:rowOff>
    </xdr:from>
    <xdr:to>
      <xdr:col>20</xdr:col>
      <xdr:colOff>750808</xdr:colOff>
      <xdr:row>39</xdr:row>
      <xdr:rowOff>85299</xdr:rowOff>
    </xdr:to>
    <xdr:pic>
      <xdr:nvPicPr>
        <xdr:cNvPr id="9" name="图片 8"/>
        <xdr:cNvPicPr>
          <a:picLocks noChangeAspect="1"/>
        </xdr:cNvPicPr>
      </xdr:nvPicPr>
      <xdr:blipFill>
        <a:blip r:embed="rId6"/>
        <a:stretch>
          <a:fillRect/>
        </a:stretch>
      </xdr:blipFill>
      <xdr:spPr>
        <a:xfrm>
          <a:off x="0" y="5431790"/>
          <a:ext cx="13333095" cy="3409315"/>
        </a:xfrm>
        <a:prstGeom prst="rect">
          <a:avLst/>
        </a:prstGeom>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10</xdr:col>
      <xdr:colOff>809625</xdr:colOff>
      <xdr:row>22</xdr:row>
      <xdr:rowOff>104775</xdr:rowOff>
    </xdr:from>
    <xdr:to>
      <xdr:col>18</xdr:col>
      <xdr:colOff>9525</xdr:colOff>
      <xdr:row>32</xdr:row>
      <xdr:rowOff>133350</xdr:rowOff>
    </xdr:to>
    <xdr:graphicFrame>
      <xdr:nvGraphicFramePr>
        <xdr:cNvPr id="3" name="图表 2"/>
        <xdr:cNvGraphicFramePr/>
      </xdr:nvGraphicFramePr>
      <xdr:xfrm>
        <a:off x="8524875" y="4629150"/>
        <a:ext cx="4857750" cy="24574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809625</xdr:colOff>
      <xdr:row>47</xdr:row>
      <xdr:rowOff>104775</xdr:rowOff>
    </xdr:from>
    <xdr:to>
      <xdr:col>18</xdr:col>
      <xdr:colOff>9525</xdr:colOff>
      <xdr:row>57</xdr:row>
      <xdr:rowOff>133350</xdr:rowOff>
    </xdr:to>
    <xdr:graphicFrame>
      <xdr:nvGraphicFramePr>
        <xdr:cNvPr id="7" name="图表 6"/>
        <xdr:cNvGraphicFramePr/>
      </xdr:nvGraphicFramePr>
      <xdr:xfrm>
        <a:off x="8524875" y="10534650"/>
        <a:ext cx="4857750" cy="24574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800100</xdr:colOff>
      <xdr:row>62</xdr:row>
      <xdr:rowOff>95250</xdr:rowOff>
    </xdr:from>
    <xdr:to>
      <xdr:col>18</xdr:col>
      <xdr:colOff>19050</xdr:colOff>
      <xdr:row>72</xdr:row>
      <xdr:rowOff>9525</xdr:rowOff>
    </xdr:to>
    <xdr:graphicFrame>
      <xdr:nvGraphicFramePr>
        <xdr:cNvPr id="8" name="图表 7"/>
        <xdr:cNvGraphicFramePr/>
      </xdr:nvGraphicFramePr>
      <xdr:xfrm>
        <a:off x="8515350" y="13877925"/>
        <a:ext cx="4876800" cy="241935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809625</xdr:colOff>
      <xdr:row>73</xdr:row>
      <xdr:rowOff>104775</xdr:rowOff>
    </xdr:from>
    <xdr:to>
      <xdr:col>18</xdr:col>
      <xdr:colOff>9525</xdr:colOff>
      <xdr:row>83</xdr:row>
      <xdr:rowOff>133350</xdr:rowOff>
    </xdr:to>
    <xdr:graphicFrame>
      <xdr:nvGraphicFramePr>
        <xdr:cNvPr id="9" name="图表 8"/>
        <xdr:cNvGraphicFramePr/>
      </xdr:nvGraphicFramePr>
      <xdr:xfrm>
        <a:off x="8524875" y="16544925"/>
        <a:ext cx="4857750" cy="245745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0</xdr:colOff>
      <xdr:row>11</xdr:row>
      <xdr:rowOff>123825</xdr:rowOff>
    </xdr:from>
    <xdr:to>
      <xdr:col>18</xdr:col>
      <xdr:colOff>57150</xdr:colOff>
      <xdr:row>21</xdr:row>
      <xdr:rowOff>76200</xdr:rowOff>
    </xdr:to>
    <xdr:graphicFrame>
      <xdr:nvGraphicFramePr>
        <xdr:cNvPr id="4" name="图表 3"/>
        <xdr:cNvGraphicFramePr/>
      </xdr:nvGraphicFramePr>
      <xdr:xfrm>
        <a:off x="8572500" y="1990725"/>
        <a:ext cx="4857750" cy="245745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800100</xdr:colOff>
      <xdr:row>37</xdr:row>
      <xdr:rowOff>47625</xdr:rowOff>
    </xdr:from>
    <xdr:to>
      <xdr:col>18</xdr:col>
      <xdr:colOff>0</xdr:colOff>
      <xdr:row>47</xdr:row>
      <xdr:rowOff>0</xdr:rowOff>
    </xdr:to>
    <xdr:graphicFrame>
      <xdr:nvGraphicFramePr>
        <xdr:cNvPr id="5" name="图表 4"/>
        <xdr:cNvGraphicFramePr/>
      </xdr:nvGraphicFramePr>
      <xdr:xfrm>
        <a:off x="8515350" y="7972425"/>
        <a:ext cx="4857750" cy="245745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809625</xdr:colOff>
      <xdr:row>98</xdr:row>
      <xdr:rowOff>104775</xdr:rowOff>
    </xdr:from>
    <xdr:to>
      <xdr:col>18</xdr:col>
      <xdr:colOff>9525</xdr:colOff>
      <xdr:row>108</xdr:row>
      <xdr:rowOff>133350</xdr:rowOff>
    </xdr:to>
    <xdr:graphicFrame>
      <xdr:nvGraphicFramePr>
        <xdr:cNvPr id="10" name="图表 9"/>
        <xdr:cNvGraphicFramePr/>
      </xdr:nvGraphicFramePr>
      <xdr:xfrm>
        <a:off x="8524875" y="22383750"/>
        <a:ext cx="4857750" cy="245745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123825</xdr:rowOff>
    </xdr:from>
    <xdr:to>
      <xdr:col>18</xdr:col>
      <xdr:colOff>57150</xdr:colOff>
      <xdr:row>97</xdr:row>
      <xdr:rowOff>76200</xdr:rowOff>
    </xdr:to>
    <xdr:graphicFrame>
      <xdr:nvGraphicFramePr>
        <xdr:cNvPr id="11" name="图表 10"/>
        <xdr:cNvGraphicFramePr/>
      </xdr:nvGraphicFramePr>
      <xdr:xfrm>
        <a:off x="8572500" y="19745325"/>
        <a:ext cx="4857750" cy="245745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26</xdr:row>
      <xdr:rowOff>99695</xdr:rowOff>
    </xdr:from>
    <xdr:to>
      <xdr:col>12</xdr:col>
      <xdr:colOff>514350</xdr:colOff>
      <xdr:row>45</xdr:row>
      <xdr:rowOff>18733</xdr:rowOff>
    </xdr:to>
    <xdr:graphicFrame>
      <xdr:nvGraphicFramePr>
        <xdr:cNvPr id="5" name="图表 4"/>
        <xdr:cNvGraphicFramePr/>
      </xdr:nvGraphicFramePr>
      <xdr:xfrm>
        <a:off x="152400" y="5064760"/>
        <a:ext cx="8477250" cy="287147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152400</xdr:colOff>
      <xdr:row>67</xdr:row>
      <xdr:rowOff>90487</xdr:rowOff>
    </xdr:from>
    <xdr:to>
      <xdr:col>12</xdr:col>
      <xdr:colOff>514350</xdr:colOff>
      <xdr:row>86</xdr:row>
      <xdr:rowOff>9525</xdr:rowOff>
    </xdr:to>
    <xdr:graphicFrame>
      <xdr:nvGraphicFramePr>
        <xdr:cNvPr id="7" name="图表 6"/>
        <xdr:cNvGraphicFramePr/>
      </xdr:nvGraphicFramePr>
      <xdr:xfrm>
        <a:off x="152400" y="11884660"/>
        <a:ext cx="8477250" cy="2872105"/>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152400</xdr:colOff>
      <xdr:row>112</xdr:row>
      <xdr:rowOff>90487</xdr:rowOff>
    </xdr:from>
    <xdr:to>
      <xdr:col>12</xdr:col>
      <xdr:colOff>514350</xdr:colOff>
      <xdr:row>131</xdr:row>
      <xdr:rowOff>9525</xdr:rowOff>
    </xdr:to>
    <xdr:graphicFrame>
      <xdr:nvGraphicFramePr>
        <xdr:cNvPr id="3" name="图表 2"/>
        <xdr:cNvGraphicFramePr/>
      </xdr:nvGraphicFramePr>
      <xdr:xfrm>
        <a:off x="152400" y="19323685"/>
        <a:ext cx="8477250" cy="287210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152400</xdr:colOff>
      <xdr:row>157</xdr:row>
      <xdr:rowOff>90487</xdr:rowOff>
    </xdr:from>
    <xdr:to>
      <xdr:col>12</xdr:col>
      <xdr:colOff>514350</xdr:colOff>
      <xdr:row>176</xdr:row>
      <xdr:rowOff>9525</xdr:rowOff>
    </xdr:to>
    <xdr:graphicFrame>
      <xdr:nvGraphicFramePr>
        <xdr:cNvPr id="9" name="图表 8"/>
        <xdr:cNvGraphicFramePr/>
      </xdr:nvGraphicFramePr>
      <xdr:xfrm>
        <a:off x="152400" y="26762710"/>
        <a:ext cx="8477250" cy="2872105"/>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152400</xdr:colOff>
      <xdr:row>202</xdr:row>
      <xdr:rowOff>90487</xdr:rowOff>
    </xdr:from>
    <xdr:to>
      <xdr:col>12</xdr:col>
      <xdr:colOff>514350</xdr:colOff>
      <xdr:row>221</xdr:row>
      <xdr:rowOff>9525</xdr:rowOff>
    </xdr:to>
    <xdr:graphicFrame>
      <xdr:nvGraphicFramePr>
        <xdr:cNvPr id="11" name="图表 10"/>
        <xdr:cNvGraphicFramePr/>
      </xdr:nvGraphicFramePr>
      <xdr:xfrm>
        <a:off x="152400" y="34201735"/>
        <a:ext cx="8477250" cy="2872105"/>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13</xdr:col>
      <xdr:colOff>438150</xdr:colOff>
      <xdr:row>114</xdr:row>
      <xdr:rowOff>38100</xdr:rowOff>
    </xdr:from>
    <xdr:to>
      <xdr:col>21</xdr:col>
      <xdr:colOff>400050</xdr:colOff>
      <xdr:row>129</xdr:row>
      <xdr:rowOff>66675</xdr:rowOff>
    </xdr:to>
    <xdr:graphicFrame>
      <xdr:nvGraphicFramePr>
        <xdr:cNvPr id="12" name="图表 11"/>
        <xdr:cNvGraphicFramePr>
          <a:graphicFrameLocks noChangeAspect="1"/>
        </xdr:cNvGraphicFramePr>
      </xdr:nvGraphicFramePr>
      <xdr:xfrm>
        <a:off x="9105900" y="19576415"/>
        <a:ext cx="6410325" cy="2371725"/>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457200</xdr:colOff>
      <xdr:row>158</xdr:row>
      <xdr:rowOff>28575</xdr:rowOff>
    </xdr:from>
    <xdr:to>
      <xdr:col>21</xdr:col>
      <xdr:colOff>419100</xdr:colOff>
      <xdr:row>173</xdr:row>
      <xdr:rowOff>57150</xdr:rowOff>
    </xdr:to>
    <xdr:graphicFrame>
      <xdr:nvGraphicFramePr>
        <xdr:cNvPr id="13" name="图表 12"/>
        <xdr:cNvGraphicFramePr>
          <a:graphicFrameLocks noChangeAspect="1"/>
        </xdr:cNvGraphicFramePr>
      </xdr:nvGraphicFramePr>
      <xdr:xfrm>
        <a:off x="9124950" y="26853515"/>
        <a:ext cx="6410325" cy="2371725"/>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428625</xdr:colOff>
      <xdr:row>203</xdr:row>
      <xdr:rowOff>95250</xdr:rowOff>
    </xdr:from>
    <xdr:to>
      <xdr:col>21</xdr:col>
      <xdr:colOff>390525</xdr:colOff>
      <xdr:row>218</xdr:row>
      <xdr:rowOff>123825</xdr:rowOff>
    </xdr:to>
    <xdr:graphicFrame>
      <xdr:nvGraphicFramePr>
        <xdr:cNvPr id="14" name="图表 13"/>
        <xdr:cNvGraphicFramePr>
          <a:graphicFrameLocks noChangeAspect="1"/>
        </xdr:cNvGraphicFramePr>
      </xdr:nvGraphicFramePr>
      <xdr:xfrm>
        <a:off x="9096375" y="34359215"/>
        <a:ext cx="6410325" cy="2371725"/>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13</xdr:col>
      <xdr:colOff>361950</xdr:colOff>
      <xdr:row>68</xdr:row>
      <xdr:rowOff>104775</xdr:rowOff>
    </xdr:from>
    <xdr:to>
      <xdr:col>21</xdr:col>
      <xdr:colOff>323850</xdr:colOff>
      <xdr:row>83</xdr:row>
      <xdr:rowOff>133350</xdr:rowOff>
    </xdr:to>
    <xdr:graphicFrame>
      <xdr:nvGraphicFramePr>
        <xdr:cNvPr id="15" name="图表 14"/>
        <xdr:cNvGraphicFramePr>
          <a:graphicFrameLocks noChangeAspect="1"/>
        </xdr:cNvGraphicFramePr>
      </xdr:nvGraphicFramePr>
      <xdr:xfrm>
        <a:off x="9029700" y="12051665"/>
        <a:ext cx="6410325" cy="2371725"/>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13</xdr:col>
      <xdr:colOff>323850</xdr:colOff>
      <xdr:row>27</xdr:row>
      <xdr:rowOff>95250</xdr:rowOff>
    </xdr:from>
    <xdr:to>
      <xdr:col>21</xdr:col>
      <xdr:colOff>285750</xdr:colOff>
      <xdr:row>42</xdr:row>
      <xdr:rowOff>123825</xdr:rowOff>
    </xdr:to>
    <xdr:graphicFrame>
      <xdr:nvGraphicFramePr>
        <xdr:cNvPr id="16" name="图表 15"/>
        <xdr:cNvGraphicFramePr>
          <a:graphicFrameLocks noChangeAspect="1"/>
        </xdr:cNvGraphicFramePr>
      </xdr:nvGraphicFramePr>
      <xdr:xfrm>
        <a:off x="8991600" y="5212715"/>
        <a:ext cx="6410325" cy="2371725"/>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7</xdr:col>
      <xdr:colOff>857250</xdr:colOff>
      <xdr:row>55</xdr:row>
      <xdr:rowOff>85725</xdr:rowOff>
    </xdr:from>
    <xdr:to>
      <xdr:col>12</xdr:col>
      <xdr:colOff>381000</xdr:colOff>
      <xdr:row>69</xdr:row>
      <xdr:rowOff>142875</xdr:rowOff>
    </xdr:to>
    <xdr:graphicFrame>
      <xdr:nvGraphicFramePr>
        <xdr:cNvPr id="2" name="图表 2"/>
        <xdr:cNvGraphicFramePr/>
      </xdr:nvGraphicFramePr>
      <xdr:xfrm>
        <a:off x="9896475" y="9439275"/>
        <a:ext cx="4705350" cy="27908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285751</xdr:colOff>
      <xdr:row>33</xdr:row>
      <xdr:rowOff>133350</xdr:rowOff>
    </xdr:from>
    <xdr:to>
      <xdr:col>6</xdr:col>
      <xdr:colOff>895351</xdr:colOff>
      <xdr:row>46</xdr:row>
      <xdr:rowOff>142875</xdr:rowOff>
    </xdr:to>
    <xdr:graphicFrame>
      <xdr:nvGraphicFramePr>
        <xdr:cNvPr id="3" name="图表 2"/>
        <xdr:cNvGraphicFramePr/>
      </xdr:nvGraphicFramePr>
      <xdr:xfrm>
        <a:off x="285750" y="6438900"/>
        <a:ext cx="8267700" cy="2314575"/>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33</xdr:row>
          <xdr:rowOff>171450</xdr:rowOff>
        </xdr:from>
        <xdr:to>
          <xdr:col>7</xdr:col>
          <xdr:colOff>676275</xdr:colOff>
          <xdr:row>35</xdr:row>
          <xdr:rowOff>133350</xdr:rowOff>
        </xdr:to>
        <xdr:sp macro="[0]!Button1_Click_week_added">
          <xdr:nvSpPr>
            <xdr:cNvPr id="58371" name="Button 3" hidden="1">
              <a:extLst>
                <a:ext uri="{63B3BB69-23CF-44E3-9099-C40C66FF867C}">
                  <a14:compatExt spid="_x0000_s58371"/>
                </a:ext>
              </a:extLst>
            </xdr:cNvPr>
            <xdr:cNvSpPr/>
          </xdr:nvSpPr>
          <xdr:spPr>
            <a:xfrm>
              <a:off x="9048750" y="6477000"/>
              <a:ext cx="666750"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增加周次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36</xdr:row>
          <xdr:rowOff>28575</xdr:rowOff>
        </xdr:from>
        <xdr:to>
          <xdr:col>7</xdr:col>
          <xdr:colOff>685800</xdr:colOff>
          <xdr:row>37</xdr:row>
          <xdr:rowOff>171450</xdr:rowOff>
        </xdr:to>
        <xdr:sp macro="[0]!Button2_Click_week_delete">
          <xdr:nvSpPr>
            <xdr:cNvPr id="58372" name="Button 4" hidden="1">
              <a:extLst>
                <a:ext uri="{63B3BB69-23CF-44E3-9099-C40C66FF867C}">
                  <a14:compatExt spid="_x0000_s58372"/>
                </a:ext>
              </a:extLst>
            </xdr:cNvPr>
            <xdr:cNvSpPr/>
          </xdr:nvSpPr>
          <xdr:spPr>
            <a:xfrm>
              <a:off x="9058275" y="6877050"/>
              <a:ext cx="666750"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删除周次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18</xdr:col>
      <xdr:colOff>228600</xdr:colOff>
      <xdr:row>0</xdr:row>
      <xdr:rowOff>220345</xdr:rowOff>
    </xdr:from>
    <xdr:to>
      <xdr:col>25</xdr:col>
      <xdr:colOff>257810</xdr:colOff>
      <xdr:row>10</xdr:row>
      <xdr:rowOff>26035</xdr:rowOff>
    </xdr:to>
    <xdr:graphicFrame>
      <xdr:nvGraphicFramePr>
        <xdr:cNvPr id="4" name="图表 3"/>
        <xdr:cNvGraphicFramePr>
          <a:graphicFrameLocks noChangeAspect="1"/>
        </xdr:cNvGraphicFramePr>
      </xdr:nvGraphicFramePr>
      <xdr:xfrm>
        <a:off x="19802475" y="220345"/>
        <a:ext cx="4829810" cy="178689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18</xdr:col>
      <xdr:colOff>123825</xdr:colOff>
      <xdr:row>9</xdr:row>
      <xdr:rowOff>171450</xdr:rowOff>
    </xdr:from>
    <xdr:to>
      <xdr:col>25</xdr:col>
      <xdr:colOff>153035</xdr:colOff>
      <xdr:row>19</xdr:row>
      <xdr:rowOff>53340</xdr:rowOff>
    </xdr:to>
    <xdr:graphicFrame>
      <xdr:nvGraphicFramePr>
        <xdr:cNvPr id="5" name="图表 4"/>
        <xdr:cNvGraphicFramePr>
          <a:graphicFrameLocks noChangeAspect="1"/>
        </xdr:cNvGraphicFramePr>
      </xdr:nvGraphicFramePr>
      <xdr:xfrm>
        <a:off x="19697700" y="1962150"/>
        <a:ext cx="4829810" cy="178689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47625</xdr:colOff>
      <xdr:row>19</xdr:row>
      <xdr:rowOff>47625</xdr:rowOff>
    </xdr:from>
    <xdr:to>
      <xdr:col>25</xdr:col>
      <xdr:colOff>76835</xdr:colOff>
      <xdr:row>28</xdr:row>
      <xdr:rowOff>129540</xdr:rowOff>
    </xdr:to>
    <xdr:graphicFrame>
      <xdr:nvGraphicFramePr>
        <xdr:cNvPr id="6" name="图表 5"/>
        <xdr:cNvGraphicFramePr>
          <a:graphicFrameLocks noChangeAspect="1"/>
        </xdr:cNvGraphicFramePr>
      </xdr:nvGraphicFramePr>
      <xdr:xfrm>
        <a:off x="19621500" y="3743325"/>
        <a:ext cx="4829810" cy="178689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11</xdr:row>
          <xdr:rowOff>104775</xdr:rowOff>
        </xdr:from>
        <xdr:to>
          <xdr:col>1</xdr:col>
          <xdr:colOff>266700</xdr:colOff>
          <xdr:row>13</xdr:row>
          <xdr:rowOff>19050</xdr:rowOff>
        </xdr:to>
        <xdr:sp macro="[0]!Button3_Click_Crreview_add">
          <xdr:nvSpPr>
            <xdr:cNvPr id="62466" name="Button 2" hidden="1">
              <a:extLst>
                <a:ext uri="{63B3BB69-23CF-44E3-9099-C40C66FF867C}">
                  <a14:compatExt spid="_x0000_s62466"/>
                </a:ext>
              </a:extLst>
            </xdr:cNvPr>
            <xdr:cNvSpPr/>
          </xdr:nvSpPr>
          <xdr:spPr>
            <a:xfrm>
              <a:off x="114300" y="2581275"/>
              <a:ext cx="904875" cy="2190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619125</xdr:colOff>
      <xdr:row>11</xdr:row>
      <xdr:rowOff>95250</xdr:rowOff>
    </xdr:from>
    <xdr:to>
      <xdr:col>11</xdr:col>
      <xdr:colOff>142875</xdr:colOff>
      <xdr:row>25</xdr:row>
      <xdr:rowOff>123825</xdr:rowOff>
    </xdr:to>
    <xdr:graphicFrame>
      <xdr:nvGraphicFramePr>
        <xdr:cNvPr id="3" name="图表 2"/>
        <xdr:cNvGraphicFramePr>
          <a:graphicFrameLocks noChangeAspect="1"/>
        </xdr:cNvGraphicFramePr>
      </xdr:nvGraphicFramePr>
      <xdr:xfrm>
        <a:off x="1371600" y="2571750"/>
        <a:ext cx="6296025" cy="21621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37</xdr:row>
          <xdr:rowOff>47625</xdr:rowOff>
        </xdr:from>
        <xdr:to>
          <xdr:col>1</xdr:col>
          <xdr:colOff>257175</xdr:colOff>
          <xdr:row>38</xdr:row>
          <xdr:rowOff>142875</xdr:rowOff>
        </xdr:to>
        <xdr:sp macro="[0]!Button4_Click_Frreview_add">
          <xdr:nvSpPr>
            <xdr:cNvPr id="62468" name="Button 4" hidden="1">
              <a:extLst>
                <a:ext uri="{63B3BB69-23CF-44E3-9099-C40C66FF867C}">
                  <a14:compatExt spid="_x0000_s62468"/>
                </a:ext>
              </a:extLst>
            </xdr:cNvPr>
            <xdr:cNvSpPr/>
          </xdr:nvSpPr>
          <xdr:spPr>
            <a:xfrm>
              <a:off x="95250" y="6953250"/>
              <a:ext cx="914400" cy="2476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552450</xdr:colOff>
      <xdr:row>36</xdr:row>
      <xdr:rowOff>85725</xdr:rowOff>
    </xdr:from>
    <xdr:to>
      <xdr:col>11</xdr:col>
      <xdr:colOff>133350</xdr:colOff>
      <xdr:row>52</xdr:row>
      <xdr:rowOff>57150</xdr:rowOff>
    </xdr:to>
    <xdr:graphicFrame>
      <xdr:nvGraphicFramePr>
        <xdr:cNvPr id="5" name="图表 4"/>
        <xdr:cNvGraphicFramePr>
          <a:graphicFrameLocks noChangeAspect="1"/>
        </xdr:cNvGraphicFramePr>
      </xdr:nvGraphicFramePr>
      <xdr:xfrm>
        <a:off x="1304925" y="6838950"/>
        <a:ext cx="6353175" cy="2505075"/>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62</xdr:row>
          <xdr:rowOff>104775</xdr:rowOff>
        </xdr:from>
        <xdr:to>
          <xdr:col>1</xdr:col>
          <xdr:colOff>238125</xdr:colOff>
          <xdr:row>64</xdr:row>
          <xdr:rowOff>57150</xdr:rowOff>
        </xdr:to>
        <xdr:sp macro="[0]!button5_Click_Dreview_add">
          <xdr:nvSpPr>
            <xdr:cNvPr id="62469" name="Button 5" hidden="1">
              <a:extLst>
                <a:ext uri="{63B3BB69-23CF-44E3-9099-C40C66FF867C}">
                  <a14:compatExt spid="_x0000_s62469"/>
                </a:ext>
              </a:extLst>
            </xdr:cNvPr>
            <xdr:cNvSpPr/>
          </xdr:nvSpPr>
          <xdr:spPr>
            <a:xfrm>
              <a:off x="85725" y="11296650"/>
              <a:ext cx="904875"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390525</xdr:colOff>
      <xdr:row>62</xdr:row>
      <xdr:rowOff>66675</xdr:rowOff>
    </xdr:from>
    <xdr:to>
      <xdr:col>11</xdr:col>
      <xdr:colOff>28575</xdr:colOff>
      <xdr:row>79</xdr:row>
      <xdr:rowOff>66675</xdr:rowOff>
    </xdr:to>
    <xdr:graphicFrame>
      <xdr:nvGraphicFramePr>
        <xdr:cNvPr id="7" name="图表 6"/>
        <xdr:cNvGraphicFramePr>
          <a:graphicFrameLocks noChangeAspect="1"/>
        </xdr:cNvGraphicFramePr>
      </xdr:nvGraphicFramePr>
      <xdr:xfrm>
        <a:off x="1143000" y="11258550"/>
        <a:ext cx="6410325" cy="259080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89</xdr:row>
          <xdr:rowOff>76200</xdr:rowOff>
        </xdr:from>
        <xdr:to>
          <xdr:col>1</xdr:col>
          <xdr:colOff>295275</xdr:colOff>
          <xdr:row>91</xdr:row>
          <xdr:rowOff>19050</xdr:rowOff>
        </xdr:to>
        <xdr:sp macro="[0]!button6_Click_Tcreview_add">
          <xdr:nvSpPr>
            <xdr:cNvPr id="62472" name="Button 8" hidden="1">
              <a:extLst>
                <a:ext uri="{63B3BB69-23CF-44E3-9099-C40C66FF867C}">
                  <a14:compatExt spid="_x0000_s62472"/>
                </a:ext>
              </a:extLst>
            </xdr:cNvPr>
            <xdr:cNvSpPr/>
          </xdr:nvSpPr>
          <xdr:spPr>
            <a:xfrm>
              <a:off x="104775" y="15814040"/>
              <a:ext cx="942975" cy="2476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361950</xdr:colOff>
      <xdr:row>89</xdr:row>
      <xdr:rowOff>57150</xdr:rowOff>
    </xdr:from>
    <xdr:to>
      <xdr:col>11</xdr:col>
      <xdr:colOff>0</xdr:colOff>
      <xdr:row>104</xdr:row>
      <xdr:rowOff>142875</xdr:rowOff>
    </xdr:to>
    <xdr:graphicFrame>
      <xdr:nvGraphicFramePr>
        <xdr:cNvPr id="12" name="图表 11"/>
        <xdr:cNvGraphicFramePr>
          <a:graphicFrameLocks noChangeAspect="1"/>
        </xdr:cNvGraphicFramePr>
      </xdr:nvGraphicFramePr>
      <xdr:xfrm>
        <a:off x="1114425" y="15794990"/>
        <a:ext cx="6410325" cy="2371725"/>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115</xdr:row>
          <xdr:rowOff>85725</xdr:rowOff>
        </xdr:from>
        <xdr:to>
          <xdr:col>1</xdr:col>
          <xdr:colOff>342900</xdr:colOff>
          <xdr:row>117</xdr:row>
          <xdr:rowOff>19050</xdr:rowOff>
        </xdr:to>
        <xdr:sp macro="[0]!Button7_Click_Creview_add">
          <xdr:nvSpPr>
            <xdr:cNvPr id="62473" name="Button 9" hidden="1">
              <a:extLst>
                <a:ext uri="{63B3BB69-23CF-44E3-9099-C40C66FF867C}">
                  <a14:compatExt spid="_x0000_s62473"/>
                </a:ext>
              </a:extLst>
            </xdr:cNvPr>
            <xdr:cNvSpPr/>
          </xdr:nvSpPr>
          <xdr:spPr>
            <a:xfrm>
              <a:off x="200025" y="20205065"/>
              <a:ext cx="895350" cy="2381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增加走查次数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438150</xdr:colOff>
      <xdr:row>115</xdr:row>
      <xdr:rowOff>57150</xdr:rowOff>
    </xdr:from>
    <xdr:to>
      <xdr:col>11</xdr:col>
      <xdr:colOff>76200</xdr:colOff>
      <xdr:row>131</xdr:row>
      <xdr:rowOff>142875</xdr:rowOff>
    </xdr:to>
    <xdr:graphicFrame>
      <xdr:nvGraphicFramePr>
        <xdr:cNvPr id="11" name="图表 10"/>
        <xdr:cNvGraphicFramePr>
          <a:graphicFrameLocks noChangeAspect="1"/>
        </xdr:cNvGraphicFramePr>
      </xdr:nvGraphicFramePr>
      <xdr:xfrm>
        <a:off x="1190625" y="20176490"/>
        <a:ext cx="6410325" cy="2524125"/>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13</xdr:row>
          <xdr:rowOff>85725</xdr:rowOff>
        </xdr:from>
        <xdr:to>
          <xdr:col>1</xdr:col>
          <xdr:colOff>266700</xdr:colOff>
          <xdr:row>15</xdr:row>
          <xdr:rowOff>0</xdr:rowOff>
        </xdr:to>
        <xdr:sp macro="[0]!Button9_Click_Crreview_delete">
          <xdr:nvSpPr>
            <xdr:cNvPr id="62474" name="Button 10" hidden="1">
              <a:extLst>
                <a:ext uri="{63B3BB69-23CF-44E3-9099-C40C66FF867C}">
                  <a14:compatExt spid="_x0000_s62474"/>
                </a:ext>
              </a:extLst>
            </xdr:cNvPr>
            <xdr:cNvSpPr/>
          </xdr:nvSpPr>
          <xdr:spPr>
            <a:xfrm>
              <a:off x="114300" y="2867025"/>
              <a:ext cx="904875" cy="2190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13</xdr:col>
      <xdr:colOff>0</xdr:colOff>
      <xdr:row>14</xdr:row>
      <xdr:rowOff>19050</xdr:rowOff>
    </xdr:from>
    <xdr:to>
      <xdr:col>16</xdr:col>
      <xdr:colOff>628650</xdr:colOff>
      <xdr:row>19</xdr:row>
      <xdr:rowOff>38100</xdr:rowOff>
    </xdr:to>
    <xdr:sp>
      <xdr:nvSpPr>
        <xdr:cNvPr id="2" name="文本框 1"/>
        <xdr:cNvSpPr txBox="1">
          <a:spLocks noChangeAspect="1"/>
        </xdr:cNvSpPr>
      </xdr:nvSpPr>
      <xdr:spPr>
        <a:xfrm>
          <a:off x="9163050" y="2952750"/>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xdr:twoCellAnchor editAs="oneCell">
    <xdr:from>
      <xdr:col>11</xdr:col>
      <xdr:colOff>762000</xdr:colOff>
      <xdr:row>39</xdr:row>
      <xdr:rowOff>38100</xdr:rowOff>
    </xdr:from>
    <xdr:to>
      <xdr:col>15</xdr:col>
      <xdr:colOff>438150</xdr:colOff>
      <xdr:row>45</xdr:row>
      <xdr:rowOff>0</xdr:rowOff>
    </xdr:to>
    <xdr:sp>
      <xdr:nvSpPr>
        <xdr:cNvPr id="15" name="文本框 14"/>
        <xdr:cNvSpPr txBox="1">
          <a:spLocks noChangeAspect="1"/>
        </xdr:cNvSpPr>
      </xdr:nvSpPr>
      <xdr:spPr>
        <a:xfrm>
          <a:off x="8286750" y="7248525"/>
          <a:ext cx="2686050" cy="952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endParaRPr lang="zh-CN" altLang="en-US" sz="800">
            <a:solidFill>
              <a:srgbClr val="FF0000"/>
            </a:solidFill>
            <a:latin typeface="+mn-ea"/>
            <a:ea typeface="+mn-ea"/>
          </a:endParaRP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39</xdr:row>
          <xdr:rowOff>76200</xdr:rowOff>
        </xdr:from>
        <xdr:to>
          <xdr:col>1</xdr:col>
          <xdr:colOff>247650</xdr:colOff>
          <xdr:row>41</xdr:row>
          <xdr:rowOff>28575</xdr:rowOff>
        </xdr:to>
        <xdr:sp macro="[0]!Button10_Click_Frreview_delete">
          <xdr:nvSpPr>
            <xdr:cNvPr id="62475" name="Button 11" hidden="1">
              <a:extLst>
                <a:ext uri="{63B3BB69-23CF-44E3-9099-C40C66FF867C}">
                  <a14:compatExt spid="_x0000_s62475"/>
                </a:ext>
              </a:extLst>
            </xdr:cNvPr>
            <xdr:cNvSpPr/>
          </xdr:nvSpPr>
          <xdr:spPr>
            <a:xfrm>
              <a:off x="85725" y="7286625"/>
              <a:ext cx="914400"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11</xdr:col>
      <xdr:colOff>657225</xdr:colOff>
      <xdr:row>67</xdr:row>
      <xdr:rowOff>76200</xdr:rowOff>
    </xdr:from>
    <xdr:to>
      <xdr:col>15</xdr:col>
      <xdr:colOff>333375</xdr:colOff>
      <xdr:row>73</xdr:row>
      <xdr:rowOff>95250</xdr:rowOff>
    </xdr:to>
    <xdr:sp>
      <xdr:nvSpPr>
        <xdr:cNvPr id="16" name="文本框 15"/>
        <xdr:cNvSpPr txBox="1">
          <a:spLocks noChangeAspect="1"/>
        </xdr:cNvSpPr>
      </xdr:nvSpPr>
      <xdr:spPr>
        <a:xfrm>
          <a:off x="8181975" y="12030075"/>
          <a:ext cx="2686050"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64</xdr:row>
          <xdr:rowOff>114300</xdr:rowOff>
        </xdr:from>
        <xdr:to>
          <xdr:col>1</xdr:col>
          <xdr:colOff>247650</xdr:colOff>
          <xdr:row>66</xdr:row>
          <xdr:rowOff>66675</xdr:rowOff>
        </xdr:to>
        <xdr:sp macro="[0]!Button11_Click_Dreview_delete">
          <xdr:nvSpPr>
            <xdr:cNvPr id="62476" name="Button 12" hidden="1">
              <a:extLst>
                <a:ext uri="{63B3BB69-23CF-44E3-9099-C40C66FF867C}">
                  <a14:compatExt spid="_x0000_s62476"/>
                </a:ext>
              </a:extLst>
            </xdr:cNvPr>
            <xdr:cNvSpPr/>
          </xdr:nvSpPr>
          <xdr:spPr>
            <a:xfrm>
              <a:off x="85725" y="11610975"/>
              <a:ext cx="914400"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11</xdr:col>
      <xdr:colOff>638175</xdr:colOff>
      <xdr:row>93</xdr:row>
      <xdr:rowOff>28574</xdr:rowOff>
    </xdr:from>
    <xdr:to>
      <xdr:col>15</xdr:col>
      <xdr:colOff>314325</xdr:colOff>
      <xdr:row>99</xdr:row>
      <xdr:rowOff>95249</xdr:rowOff>
    </xdr:to>
    <xdr:sp>
      <xdr:nvSpPr>
        <xdr:cNvPr id="18" name="文本框 17"/>
        <xdr:cNvSpPr txBox="1">
          <a:spLocks noChangeAspect="1"/>
        </xdr:cNvSpPr>
      </xdr:nvSpPr>
      <xdr:spPr>
        <a:xfrm>
          <a:off x="8162925" y="16375380"/>
          <a:ext cx="2686050" cy="981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91</xdr:row>
          <xdr:rowOff>142875</xdr:rowOff>
        </xdr:from>
        <xdr:to>
          <xdr:col>1</xdr:col>
          <xdr:colOff>276225</xdr:colOff>
          <xdr:row>93</xdr:row>
          <xdr:rowOff>95250</xdr:rowOff>
        </xdr:to>
        <xdr:sp macro="[0]!Button12_Click_Tcreview_delete">
          <xdr:nvSpPr>
            <xdr:cNvPr id="62477" name="Button 13" hidden="1">
              <a:extLst>
                <a:ext uri="{63B3BB69-23CF-44E3-9099-C40C66FF867C}">
                  <a14:compatExt spid="_x0000_s62477"/>
                </a:ext>
              </a:extLst>
            </xdr:cNvPr>
            <xdr:cNvSpPr/>
          </xdr:nvSpPr>
          <xdr:spPr>
            <a:xfrm>
              <a:off x="114300" y="16185515"/>
              <a:ext cx="914400"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117</xdr:row>
          <xdr:rowOff>104775</xdr:rowOff>
        </xdr:from>
        <xdr:to>
          <xdr:col>1</xdr:col>
          <xdr:colOff>342900</xdr:colOff>
          <xdr:row>119</xdr:row>
          <xdr:rowOff>57150</xdr:rowOff>
        </xdr:to>
        <xdr:sp macro="[0]!Button13_Click_Creview_delete">
          <xdr:nvSpPr>
            <xdr:cNvPr id="62479" name="Button 15" hidden="1">
              <a:extLst>
                <a:ext uri="{63B3BB69-23CF-44E3-9099-C40C66FF867C}">
                  <a14:compatExt spid="_x0000_s62479"/>
                </a:ext>
              </a:extLst>
            </xdr:cNvPr>
            <xdr:cNvSpPr/>
          </xdr:nvSpPr>
          <xdr:spPr>
            <a:xfrm>
              <a:off x="180975" y="20528915"/>
              <a:ext cx="914400"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删除走查次数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170</xdr:row>
          <xdr:rowOff>104775</xdr:rowOff>
        </xdr:from>
        <xdr:to>
          <xdr:col>1</xdr:col>
          <xdr:colOff>266700</xdr:colOff>
          <xdr:row>172</xdr:row>
          <xdr:rowOff>123825</xdr:rowOff>
        </xdr:to>
        <xdr:sp macro="[0]!Button3_Click_Crreview_add">
          <xdr:nvSpPr>
            <xdr:cNvPr id="62489" name="Button 25" hidden="1">
              <a:extLst>
                <a:ext uri="{63B3BB69-23CF-44E3-9099-C40C66FF867C}">
                  <a14:compatExt spid="_x0000_s62489"/>
                </a:ext>
              </a:extLst>
            </xdr:cNvPr>
            <xdr:cNvSpPr/>
          </xdr:nvSpPr>
          <xdr:spPr>
            <a:xfrm>
              <a:off x="114300" y="31339790"/>
              <a:ext cx="904875"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619125</xdr:colOff>
      <xdr:row>170</xdr:row>
      <xdr:rowOff>95250</xdr:rowOff>
    </xdr:from>
    <xdr:to>
      <xdr:col>11</xdr:col>
      <xdr:colOff>142875</xdr:colOff>
      <xdr:row>185</xdr:row>
      <xdr:rowOff>66675</xdr:rowOff>
    </xdr:to>
    <xdr:graphicFrame>
      <xdr:nvGraphicFramePr>
        <xdr:cNvPr id="6" name="图表 5"/>
        <xdr:cNvGraphicFramePr>
          <a:graphicFrameLocks noChangeAspect="1"/>
        </xdr:cNvGraphicFramePr>
      </xdr:nvGraphicFramePr>
      <xdr:xfrm>
        <a:off x="1371600" y="31330265"/>
        <a:ext cx="6296025" cy="2257425"/>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195</xdr:row>
          <xdr:rowOff>47625</xdr:rowOff>
        </xdr:from>
        <xdr:to>
          <xdr:col>1</xdr:col>
          <xdr:colOff>257175</xdr:colOff>
          <xdr:row>197</xdr:row>
          <xdr:rowOff>38100</xdr:rowOff>
        </xdr:to>
        <xdr:sp macro="[0]!Button4_Click_Frreview_add">
          <xdr:nvSpPr>
            <xdr:cNvPr id="62490" name="Button 26" hidden="1">
              <a:extLst>
                <a:ext uri="{63B3BB69-23CF-44E3-9099-C40C66FF867C}">
                  <a14:compatExt spid="_x0000_s62490"/>
                </a:ext>
              </a:extLst>
            </xdr:cNvPr>
            <xdr:cNvSpPr/>
          </xdr:nvSpPr>
          <xdr:spPr>
            <a:xfrm>
              <a:off x="95250" y="35559365"/>
              <a:ext cx="914400" cy="2952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552450</xdr:colOff>
      <xdr:row>194</xdr:row>
      <xdr:rowOff>85725</xdr:rowOff>
    </xdr:from>
    <xdr:to>
      <xdr:col>11</xdr:col>
      <xdr:colOff>133350</xdr:colOff>
      <xdr:row>210</xdr:row>
      <xdr:rowOff>142875</xdr:rowOff>
    </xdr:to>
    <xdr:graphicFrame>
      <xdr:nvGraphicFramePr>
        <xdr:cNvPr id="9" name="图表 8"/>
        <xdr:cNvGraphicFramePr>
          <a:graphicFrameLocks noChangeAspect="1"/>
        </xdr:cNvGraphicFramePr>
      </xdr:nvGraphicFramePr>
      <xdr:xfrm>
        <a:off x="1304925" y="35445065"/>
        <a:ext cx="6353175" cy="259080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220</xdr:row>
          <xdr:rowOff>104775</xdr:rowOff>
        </xdr:from>
        <xdr:to>
          <xdr:col>1</xdr:col>
          <xdr:colOff>238125</xdr:colOff>
          <xdr:row>223</xdr:row>
          <xdr:rowOff>9525</xdr:rowOff>
        </xdr:to>
        <xdr:sp macro="[0]!button5_Click_Dreview_add">
          <xdr:nvSpPr>
            <xdr:cNvPr id="62491" name="Button 27" hidden="1">
              <a:extLst>
                <a:ext uri="{63B3BB69-23CF-44E3-9099-C40C66FF867C}">
                  <a14:compatExt spid="_x0000_s62491"/>
                </a:ext>
              </a:extLst>
            </xdr:cNvPr>
            <xdr:cNvSpPr/>
          </xdr:nvSpPr>
          <xdr:spPr>
            <a:xfrm>
              <a:off x="85725" y="39902765"/>
              <a:ext cx="904875" cy="3619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390525</xdr:colOff>
      <xdr:row>220</xdr:row>
      <xdr:rowOff>66675</xdr:rowOff>
    </xdr:from>
    <xdr:to>
      <xdr:col>11</xdr:col>
      <xdr:colOff>28575</xdr:colOff>
      <xdr:row>237</xdr:row>
      <xdr:rowOff>133350</xdr:rowOff>
    </xdr:to>
    <xdr:graphicFrame>
      <xdr:nvGraphicFramePr>
        <xdr:cNvPr id="13" name="图表 12"/>
        <xdr:cNvGraphicFramePr>
          <a:graphicFrameLocks noChangeAspect="1"/>
        </xdr:cNvGraphicFramePr>
      </xdr:nvGraphicFramePr>
      <xdr:xfrm>
        <a:off x="1143000" y="39864665"/>
        <a:ext cx="6410325" cy="2657475"/>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247</xdr:row>
          <xdr:rowOff>76200</xdr:rowOff>
        </xdr:from>
        <xdr:to>
          <xdr:col>1</xdr:col>
          <xdr:colOff>295275</xdr:colOff>
          <xdr:row>249</xdr:row>
          <xdr:rowOff>95250</xdr:rowOff>
        </xdr:to>
        <xdr:sp macro="[0]!button6_Click_Tcreview_add">
          <xdr:nvSpPr>
            <xdr:cNvPr id="62492" name="Button 28" hidden="1">
              <a:extLst>
                <a:ext uri="{63B3BB69-23CF-44E3-9099-C40C66FF867C}">
                  <a14:compatExt spid="_x0000_s62492"/>
                </a:ext>
              </a:extLst>
            </xdr:cNvPr>
            <xdr:cNvSpPr/>
          </xdr:nvSpPr>
          <xdr:spPr>
            <a:xfrm>
              <a:off x="104775" y="44420155"/>
              <a:ext cx="942975"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361950</xdr:colOff>
      <xdr:row>247</xdr:row>
      <xdr:rowOff>57150</xdr:rowOff>
    </xdr:from>
    <xdr:to>
      <xdr:col>11</xdr:col>
      <xdr:colOff>0</xdr:colOff>
      <xdr:row>263</xdr:row>
      <xdr:rowOff>47625</xdr:rowOff>
    </xdr:to>
    <xdr:graphicFrame>
      <xdr:nvGraphicFramePr>
        <xdr:cNvPr id="17" name="图表 16"/>
        <xdr:cNvGraphicFramePr>
          <a:graphicFrameLocks noChangeAspect="1"/>
        </xdr:cNvGraphicFramePr>
      </xdr:nvGraphicFramePr>
      <xdr:xfrm>
        <a:off x="1114425" y="44401105"/>
        <a:ext cx="6410325" cy="2428875"/>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273</xdr:row>
          <xdr:rowOff>85725</xdr:rowOff>
        </xdr:from>
        <xdr:to>
          <xdr:col>1</xdr:col>
          <xdr:colOff>342900</xdr:colOff>
          <xdr:row>275</xdr:row>
          <xdr:rowOff>104775</xdr:rowOff>
        </xdr:to>
        <xdr:sp macro="[0]!Button7_Click_Creview_add">
          <xdr:nvSpPr>
            <xdr:cNvPr id="62493" name="Button 29" hidden="1">
              <a:extLst>
                <a:ext uri="{63B3BB69-23CF-44E3-9099-C40C66FF867C}">
                  <a14:compatExt spid="_x0000_s62493"/>
                </a:ext>
              </a:extLst>
            </xdr:cNvPr>
            <xdr:cNvSpPr/>
          </xdr:nvSpPr>
          <xdr:spPr>
            <a:xfrm>
              <a:off x="200025" y="48811180"/>
              <a:ext cx="895350"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增加走查次数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438150</xdr:colOff>
      <xdr:row>273</xdr:row>
      <xdr:rowOff>57150</xdr:rowOff>
    </xdr:from>
    <xdr:to>
      <xdr:col>11</xdr:col>
      <xdr:colOff>76200</xdr:colOff>
      <xdr:row>290</xdr:row>
      <xdr:rowOff>47625</xdr:rowOff>
    </xdr:to>
    <xdr:graphicFrame>
      <xdr:nvGraphicFramePr>
        <xdr:cNvPr id="20" name="图表 19"/>
        <xdr:cNvGraphicFramePr>
          <a:graphicFrameLocks noChangeAspect="1"/>
        </xdr:cNvGraphicFramePr>
      </xdr:nvGraphicFramePr>
      <xdr:xfrm>
        <a:off x="1190625" y="48782605"/>
        <a:ext cx="6410325" cy="2581275"/>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172</xdr:row>
          <xdr:rowOff>85725</xdr:rowOff>
        </xdr:from>
        <xdr:to>
          <xdr:col>1</xdr:col>
          <xdr:colOff>266700</xdr:colOff>
          <xdr:row>174</xdr:row>
          <xdr:rowOff>85725</xdr:rowOff>
        </xdr:to>
        <xdr:sp macro="[0]!Button9_Click_Crreview_delete">
          <xdr:nvSpPr>
            <xdr:cNvPr id="62494" name="Button 30" hidden="1">
              <a:extLst>
                <a:ext uri="{63B3BB69-23CF-44E3-9099-C40C66FF867C}">
                  <a14:compatExt spid="_x0000_s62494"/>
                </a:ext>
              </a:extLst>
            </xdr:cNvPr>
            <xdr:cNvSpPr/>
          </xdr:nvSpPr>
          <xdr:spPr>
            <a:xfrm>
              <a:off x="114300" y="31625540"/>
              <a:ext cx="904875" cy="3048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13</xdr:col>
      <xdr:colOff>0</xdr:colOff>
      <xdr:row>173</xdr:row>
      <xdr:rowOff>19050</xdr:rowOff>
    </xdr:from>
    <xdr:to>
      <xdr:col>16</xdr:col>
      <xdr:colOff>628650</xdr:colOff>
      <xdr:row>178</xdr:row>
      <xdr:rowOff>38100</xdr:rowOff>
    </xdr:to>
    <xdr:sp>
      <xdr:nvSpPr>
        <xdr:cNvPr id="22" name="文本框 21"/>
        <xdr:cNvSpPr txBox="1">
          <a:spLocks noChangeAspect="1"/>
        </xdr:cNvSpPr>
      </xdr:nvSpPr>
      <xdr:spPr>
        <a:xfrm>
          <a:off x="9163050" y="31711265"/>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xdr:twoCellAnchor editAs="oneCell">
    <xdr:from>
      <xdr:col>11</xdr:col>
      <xdr:colOff>762000</xdr:colOff>
      <xdr:row>197</xdr:row>
      <xdr:rowOff>38100</xdr:rowOff>
    </xdr:from>
    <xdr:to>
      <xdr:col>15</xdr:col>
      <xdr:colOff>438150</xdr:colOff>
      <xdr:row>203</xdr:row>
      <xdr:rowOff>38100</xdr:rowOff>
    </xdr:to>
    <xdr:sp>
      <xdr:nvSpPr>
        <xdr:cNvPr id="23" name="文本框 22"/>
        <xdr:cNvSpPr txBox="1">
          <a:spLocks noChangeAspect="1"/>
        </xdr:cNvSpPr>
      </xdr:nvSpPr>
      <xdr:spPr>
        <a:xfrm>
          <a:off x="8286750" y="35854640"/>
          <a:ext cx="268605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endParaRPr lang="zh-CN" altLang="en-US" sz="800">
            <a:solidFill>
              <a:srgbClr val="FF0000"/>
            </a:solidFill>
            <a:latin typeface="+mn-ea"/>
            <a:ea typeface="+mn-ea"/>
          </a:endParaRP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197</xdr:row>
          <xdr:rowOff>76200</xdr:rowOff>
        </xdr:from>
        <xdr:to>
          <xdr:col>1</xdr:col>
          <xdr:colOff>247650</xdr:colOff>
          <xdr:row>199</xdr:row>
          <xdr:rowOff>104775</xdr:rowOff>
        </xdr:to>
        <xdr:sp macro="[0]!Button10_Click_Frreview_delete">
          <xdr:nvSpPr>
            <xdr:cNvPr id="62495" name="Button 31" hidden="1">
              <a:extLst>
                <a:ext uri="{63B3BB69-23CF-44E3-9099-C40C66FF867C}">
                  <a14:compatExt spid="_x0000_s62495"/>
                </a:ext>
              </a:extLst>
            </xdr:cNvPr>
            <xdr:cNvSpPr/>
          </xdr:nvSpPr>
          <xdr:spPr>
            <a:xfrm>
              <a:off x="85725" y="35892740"/>
              <a:ext cx="914400" cy="3333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11</xdr:col>
      <xdr:colOff>657225</xdr:colOff>
      <xdr:row>225</xdr:row>
      <xdr:rowOff>76200</xdr:rowOff>
    </xdr:from>
    <xdr:to>
      <xdr:col>15</xdr:col>
      <xdr:colOff>333375</xdr:colOff>
      <xdr:row>232</xdr:row>
      <xdr:rowOff>19050</xdr:rowOff>
    </xdr:to>
    <xdr:sp>
      <xdr:nvSpPr>
        <xdr:cNvPr id="25" name="文本框 24"/>
        <xdr:cNvSpPr txBox="1">
          <a:spLocks noChangeAspect="1"/>
        </xdr:cNvSpPr>
      </xdr:nvSpPr>
      <xdr:spPr>
        <a:xfrm>
          <a:off x="8181975" y="40636190"/>
          <a:ext cx="2686050"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222</xdr:row>
          <xdr:rowOff>114300</xdr:rowOff>
        </xdr:from>
        <xdr:to>
          <xdr:col>1</xdr:col>
          <xdr:colOff>247650</xdr:colOff>
          <xdr:row>225</xdr:row>
          <xdr:rowOff>28575</xdr:rowOff>
        </xdr:to>
        <xdr:sp macro="[0]!Button11_Click_Dreview_delete">
          <xdr:nvSpPr>
            <xdr:cNvPr id="62496" name="Button 32" hidden="1">
              <a:extLst>
                <a:ext uri="{63B3BB69-23CF-44E3-9099-C40C66FF867C}">
                  <a14:compatExt spid="_x0000_s62496"/>
                </a:ext>
              </a:extLst>
            </xdr:cNvPr>
            <xdr:cNvSpPr/>
          </xdr:nvSpPr>
          <xdr:spPr>
            <a:xfrm>
              <a:off x="85725" y="40217090"/>
              <a:ext cx="914400" cy="3714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11</xdr:col>
      <xdr:colOff>638175</xdr:colOff>
      <xdr:row>251</xdr:row>
      <xdr:rowOff>28574</xdr:rowOff>
    </xdr:from>
    <xdr:to>
      <xdr:col>15</xdr:col>
      <xdr:colOff>314325</xdr:colOff>
      <xdr:row>257</xdr:row>
      <xdr:rowOff>123823</xdr:rowOff>
    </xdr:to>
    <xdr:sp>
      <xdr:nvSpPr>
        <xdr:cNvPr id="27" name="文本框 26"/>
        <xdr:cNvSpPr txBox="1">
          <a:spLocks noChangeAspect="1"/>
        </xdr:cNvSpPr>
      </xdr:nvSpPr>
      <xdr:spPr>
        <a:xfrm>
          <a:off x="8162925" y="44981495"/>
          <a:ext cx="2686050"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249</xdr:row>
          <xdr:rowOff>142875</xdr:rowOff>
        </xdr:from>
        <xdr:to>
          <xdr:col>1</xdr:col>
          <xdr:colOff>276225</xdr:colOff>
          <xdr:row>252</xdr:row>
          <xdr:rowOff>85725</xdr:rowOff>
        </xdr:to>
        <xdr:sp macro="[0]!Button12_Click_Tcreview_delete">
          <xdr:nvSpPr>
            <xdr:cNvPr id="62497" name="Button 33" hidden="1">
              <a:extLst>
                <a:ext uri="{63B3BB69-23CF-44E3-9099-C40C66FF867C}">
                  <a14:compatExt spid="_x0000_s62497"/>
                </a:ext>
              </a:extLst>
            </xdr:cNvPr>
            <xdr:cNvSpPr/>
          </xdr:nvSpPr>
          <xdr:spPr>
            <a:xfrm>
              <a:off x="114300" y="44791630"/>
              <a:ext cx="914400" cy="4000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275</xdr:row>
          <xdr:rowOff>104775</xdr:rowOff>
        </xdr:from>
        <xdr:to>
          <xdr:col>1</xdr:col>
          <xdr:colOff>342900</xdr:colOff>
          <xdr:row>278</xdr:row>
          <xdr:rowOff>9525</xdr:rowOff>
        </xdr:to>
        <xdr:sp macro="[0]!Button13_Click_Creview_delete">
          <xdr:nvSpPr>
            <xdr:cNvPr id="62498" name="Button 34" hidden="1">
              <a:extLst>
                <a:ext uri="{63B3BB69-23CF-44E3-9099-C40C66FF867C}">
                  <a14:compatExt spid="_x0000_s62498"/>
                </a:ext>
              </a:extLst>
            </xdr:cNvPr>
            <xdr:cNvSpPr/>
          </xdr:nvSpPr>
          <xdr:spPr>
            <a:xfrm>
              <a:off x="180975" y="49135030"/>
              <a:ext cx="914400" cy="3619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删除走查次数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328</xdr:row>
          <xdr:rowOff>104775</xdr:rowOff>
        </xdr:from>
        <xdr:to>
          <xdr:col>1</xdr:col>
          <xdr:colOff>266700</xdr:colOff>
          <xdr:row>330</xdr:row>
          <xdr:rowOff>123825</xdr:rowOff>
        </xdr:to>
        <xdr:sp macro="[0]!Button3_Click_Crreview_add">
          <xdr:nvSpPr>
            <xdr:cNvPr id="62507" name="Button 43" hidden="1">
              <a:extLst>
                <a:ext uri="{63B3BB69-23CF-44E3-9099-C40C66FF867C}">
                  <a14:compatExt spid="_x0000_s62507"/>
                </a:ext>
              </a:extLst>
            </xdr:cNvPr>
            <xdr:cNvSpPr/>
          </xdr:nvSpPr>
          <xdr:spPr>
            <a:xfrm>
              <a:off x="114300" y="59945905"/>
              <a:ext cx="904875"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619125</xdr:colOff>
      <xdr:row>328</xdr:row>
      <xdr:rowOff>95250</xdr:rowOff>
    </xdr:from>
    <xdr:to>
      <xdr:col>11</xdr:col>
      <xdr:colOff>142875</xdr:colOff>
      <xdr:row>343</xdr:row>
      <xdr:rowOff>66675</xdr:rowOff>
    </xdr:to>
    <xdr:graphicFrame>
      <xdr:nvGraphicFramePr>
        <xdr:cNvPr id="8" name="图表 7"/>
        <xdr:cNvGraphicFramePr>
          <a:graphicFrameLocks noChangeAspect="1"/>
        </xdr:cNvGraphicFramePr>
      </xdr:nvGraphicFramePr>
      <xdr:xfrm>
        <a:off x="1371600" y="59936380"/>
        <a:ext cx="6296025" cy="2257425"/>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353</xdr:row>
          <xdr:rowOff>47625</xdr:rowOff>
        </xdr:from>
        <xdr:to>
          <xdr:col>1</xdr:col>
          <xdr:colOff>257175</xdr:colOff>
          <xdr:row>355</xdr:row>
          <xdr:rowOff>38100</xdr:rowOff>
        </xdr:to>
        <xdr:sp macro="[0]!Button4_Click_Frreview_add">
          <xdr:nvSpPr>
            <xdr:cNvPr id="62508" name="Button 44" hidden="1">
              <a:extLst>
                <a:ext uri="{63B3BB69-23CF-44E3-9099-C40C66FF867C}">
                  <a14:compatExt spid="_x0000_s62508"/>
                </a:ext>
              </a:extLst>
            </xdr:cNvPr>
            <xdr:cNvSpPr/>
          </xdr:nvSpPr>
          <xdr:spPr>
            <a:xfrm>
              <a:off x="95250" y="64165480"/>
              <a:ext cx="914400" cy="2952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552450</xdr:colOff>
      <xdr:row>352</xdr:row>
      <xdr:rowOff>85725</xdr:rowOff>
    </xdr:from>
    <xdr:to>
      <xdr:col>11</xdr:col>
      <xdr:colOff>133350</xdr:colOff>
      <xdr:row>368</xdr:row>
      <xdr:rowOff>142875</xdr:rowOff>
    </xdr:to>
    <xdr:graphicFrame>
      <xdr:nvGraphicFramePr>
        <xdr:cNvPr id="14" name="图表 13"/>
        <xdr:cNvGraphicFramePr>
          <a:graphicFrameLocks noChangeAspect="1"/>
        </xdr:cNvGraphicFramePr>
      </xdr:nvGraphicFramePr>
      <xdr:xfrm>
        <a:off x="1304925" y="64051180"/>
        <a:ext cx="6353175" cy="259080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378</xdr:row>
          <xdr:rowOff>104775</xdr:rowOff>
        </xdr:from>
        <xdr:to>
          <xdr:col>1</xdr:col>
          <xdr:colOff>238125</xdr:colOff>
          <xdr:row>381</xdr:row>
          <xdr:rowOff>9525</xdr:rowOff>
        </xdr:to>
        <xdr:sp macro="[0]!button5_Click_Dreview_add">
          <xdr:nvSpPr>
            <xdr:cNvPr id="62509" name="Button 45" hidden="1">
              <a:extLst>
                <a:ext uri="{63B3BB69-23CF-44E3-9099-C40C66FF867C}">
                  <a14:compatExt spid="_x0000_s62509"/>
                </a:ext>
              </a:extLst>
            </xdr:cNvPr>
            <xdr:cNvSpPr/>
          </xdr:nvSpPr>
          <xdr:spPr>
            <a:xfrm>
              <a:off x="85725" y="68508880"/>
              <a:ext cx="904875" cy="3619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390525</xdr:colOff>
      <xdr:row>378</xdr:row>
      <xdr:rowOff>66675</xdr:rowOff>
    </xdr:from>
    <xdr:to>
      <xdr:col>11</xdr:col>
      <xdr:colOff>28575</xdr:colOff>
      <xdr:row>395</xdr:row>
      <xdr:rowOff>133350</xdr:rowOff>
    </xdr:to>
    <xdr:graphicFrame>
      <xdr:nvGraphicFramePr>
        <xdr:cNvPr id="21" name="图表 20"/>
        <xdr:cNvGraphicFramePr>
          <a:graphicFrameLocks noChangeAspect="1"/>
        </xdr:cNvGraphicFramePr>
      </xdr:nvGraphicFramePr>
      <xdr:xfrm>
        <a:off x="1143000" y="68470780"/>
        <a:ext cx="6410325" cy="2657475"/>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405</xdr:row>
          <xdr:rowOff>76200</xdr:rowOff>
        </xdr:from>
        <xdr:to>
          <xdr:col>1</xdr:col>
          <xdr:colOff>295275</xdr:colOff>
          <xdr:row>407</xdr:row>
          <xdr:rowOff>95250</xdr:rowOff>
        </xdr:to>
        <xdr:sp macro="[0]!button6_Click_Tcreview_add">
          <xdr:nvSpPr>
            <xdr:cNvPr id="62510" name="Button 46" hidden="1">
              <a:extLst>
                <a:ext uri="{63B3BB69-23CF-44E3-9099-C40C66FF867C}">
                  <a14:compatExt spid="_x0000_s62510"/>
                </a:ext>
              </a:extLst>
            </xdr:cNvPr>
            <xdr:cNvSpPr/>
          </xdr:nvSpPr>
          <xdr:spPr>
            <a:xfrm>
              <a:off x="104775" y="73026270"/>
              <a:ext cx="942975"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361950</xdr:colOff>
      <xdr:row>405</xdr:row>
      <xdr:rowOff>57150</xdr:rowOff>
    </xdr:from>
    <xdr:to>
      <xdr:col>11</xdr:col>
      <xdr:colOff>0</xdr:colOff>
      <xdr:row>421</xdr:row>
      <xdr:rowOff>47625</xdr:rowOff>
    </xdr:to>
    <xdr:graphicFrame>
      <xdr:nvGraphicFramePr>
        <xdr:cNvPr id="26" name="图表 25"/>
        <xdr:cNvGraphicFramePr>
          <a:graphicFrameLocks noChangeAspect="1"/>
        </xdr:cNvGraphicFramePr>
      </xdr:nvGraphicFramePr>
      <xdr:xfrm>
        <a:off x="1114425" y="73007220"/>
        <a:ext cx="6410325" cy="2428875"/>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431</xdr:row>
          <xdr:rowOff>85725</xdr:rowOff>
        </xdr:from>
        <xdr:to>
          <xdr:col>1</xdr:col>
          <xdr:colOff>342900</xdr:colOff>
          <xdr:row>433</xdr:row>
          <xdr:rowOff>104775</xdr:rowOff>
        </xdr:to>
        <xdr:sp macro="[0]!Button7_Click_Creview_add">
          <xdr:nvSpPr>
            <xdr:cNvPr id="62511" name="Button 47" hidden="1">
              <a:extLst>
                <a:ext uri="{63B3BB69-23CF-44E3-9099-C40C66FF867C}">
                  <a14:compatExt spid="_x0000_s62511"/>
                </a:ext>
              </a:extLst>
            </xdr:cNvPr>
            <xdr:cNvSpPr/>
          </xdr:nvSpPr>
          <xdr:spPr>
            <a:xfrm>
              <a:off x="200025" y="77417295"/>
              <a:ext cx="895350"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增加走查次数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438150</xdr:colOff>
      <xdr:row>431</xdr:row>
      <xdr:rowOff>57150</xdr:rowOff>
    </xdr:from>
    <xdr:to>
      <xdr:col>11</xdr:col>
      <xdr:colOff>76200</xdr:colOff>
      <xdr:row>448</xdr:row>
      <xdr:rowOff>47625</xdr:rowOff>
    </xdr:to>
    <xdr:graphicFrame>
      <xdr:nvGraphicFramePr>
        <xdr:cNvPr id="29" name="图表 28"/>
        <xdr:cNvGraphicFramePr>
          <a:graphicFrameLocks noChangeAspect="1"/>
        </xdr:cNvGraphicFramePr>
      </xdr:nvGraphicFramePr>
      <xdr:xfrm>
        <a:off x="1190625" y="77388720"/>
        <a:ext cx="6410325" cy="2581275"/>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330</xdr:row>
          <xdr:rowOff>85725</xdr:rowOff>
        </xdr:from>
        <xdr:to>
          <xdr:col>1</xdr:col>
          <xdr:colOff>266700</xdr:colOff>
          <xdr:row>332</xdr:row>
          <xdr:rowOff>85725</xdr:rowOff>
        </xdr:to>
        <xdr:sp macro="[0]!Button9_Click_Crreview_delete">
          <xdr:nvSpPr>
            <xdr:cNvPr id="62512" name="Button 48" hidden="1">
              <a:extLst>
                <a:ext uri="{63B3BB69-23CF-44E3-9099-C40C66FF867C}">
                  <a14:compatExt spid="_x0000_s62512"/>
                </a:ext>
              </a:extLst>
            </xdr:cNvPr>
            <xdr:cNvSpPr/>
          </xdr:nvSpPr>
          <xdr:spPr>
            <a:xfrm>
              <a:off x="114300" y="60231655"/>
              <a:ext cx="904875" cy="3048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13</xdr:col>
      <xdr:colOff>0</xdr:colOff>
      <xdr:row>331</xdr:row>
      <xdr:rowOff>19050</xdr:rowOff>
    </xdr:from>
    <xdr:to>
      <xdr:col>16</xdr:col>
      <xdr:colOff>628650</xdr:colOff>
      <xdr:row>336</xdr:row>
      <xdr:rowOff>38100</xdr:rowOff>
    </xdr:to>
    <xdr:sp>
      <xdr:nvSpPr>
        <xdr:cNvPr id="31" name="文本框 30"/>
        <xdr:cNvSpPr txBox="1">
          <a:spLocks noChangeAspect="1"/>
        </xdr:cNvSpPr>
      </xdr:nvSpPr>
      <xdr:spPr>
        <a:xfrm>
          <a:off x="9163050" y="60317380"/>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xdr:twoCellAnchor editAs="oneCell">
    <xdr:from>
      <xdr:col>11</xdr:col>
      <xdr:colOff>762000</xdr:colOff>
      <xdr:row>355</xdr:row>
      <xdr:rowOff>38100</xdr:rowOff>
    </xdr:from>
    <xdr:to>
      <xdr:col>15</xdr:col>
      <xdr:colOff>438150</xdr:colOff>
      <xdr:row>361</xdr:row>
      <xdr:rowOff>38100</xdr:rowOff>
    </xdr:to>
    <xdr:sp>
      <xdr:nvSpPr>
        <xdr:cNvPr id="32" name="文本框 31"/>
        <xdr:cNvSpPr txBox="1">
          <a:spLocks noChangeAspect="1"/>
        </xdr:cNvSpPr>
      </xdr:nvSpPr>
      <xdr:spPr>
        <a:xfrm>
          <a:off x="8286750" y="64460755"/>
          <a:ext cx="268605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endParaRPr lang="zh-CN" altLang="en-US" sz="800">
            <a:solidFill>
              <a:srgbClr val="FF0000"/>
            </a:solidFill>
            <a:latin typeface="+mn-ea"/>
            <a:ea typeface="+mn-ea"/>
          </a:endParaRP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355</xdr:row>
          <xdr:rowOff>76200</xdr:rowOff>
        </xdr:from>
        <xdr:to>
          <xdr:col>1</xdr:col>
          <xdr:colOff>247650</xdr:colOff>
          <xdr:row>357</xdr:row>
          <xdr:rowOff>104775</xdr:rowOff>
        </xdr:to>
        <xdr:sp macro="[0]!Button10_Click_Frreview_delete">
          <xdr:nvSpPr>
            <xdr:cNvPr id="62513" name="Button 49" hidden="1">
              <a:extLst>
                <a:ext uri="{63B3BB69-23CF-44E3-9099-C40C66FF867C}">
                  <a14:compatExt spid="_x0000_s62513"/>
                </a:ext>
              </a:extLst>
            </xdr:cNvPr>
            <xdr:cNvSpPr/>
          </xdr:nvSpPr>
          <xdr:spPr>
            <a:xfrm>
              <a:off x="85725" y="64498855"/>
              <a:ext cx="914400" cy="3333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11</xdr:col>
      <xdr:colOff>657225</xdr:colOff>
      <xdr:row>383</xdr:row>
      <xdr:rowOff>76200</xdr:rowOff>
    </xdr:from>
    <xdr:to>
      <xdr:col>15</xdr:col>
      <xdr:colOff>333375</xdr:colOff>
      <xdr:row>390</xdr:row>
      <xdr:rowOff>19050</xdr:rowOff>
    </xdr:to>
    <xdr:sp>
      <xdr:nvSpPr>
        <xdr:cNvPr id="34" name="文本框 33"/>
        <xdr:cNvSpPr txBox="1">
          <a:spLocks noChangeAspect="1"/>
        </xdr:cNvSpPr>
      </xdr:nvSpPr>
      <xdr:spPr>
        <a:xfrm>
          <a:off x="8181975" y="69242305"/>
          <a:ext cx="2686050"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380</xdr:row>
          <xdr:rowOff>114300</xdr:rowOff>
        </xdr:from>
        <xdr:to>
          <xdr:col>1</xdr:col>
          <xdr:colOff>247650</xdr:colOff>
          <xdr:row>383</xdr:row>
          <xdr:rowOff>28575</xdr:rowOff>
        </xdr:to>
        <xdr:sp macro="[0]!Button11_Click_Dreview_delete">
          <xdr:nvSpPr>
            <xdr:cNvPr id="62514" name="Button 50" hidden="1">
              <a:extLst>
                <a:ext uri="{63B3BB69-23CF-44E3-9099-C40C66FF867C}">
                  <a14:compatExt spid="_x0000_s62514"/>
                </a:ext>
              </a:extLst>
            </xdr:cNvPr>
            <xdr:cNvSpPr/>
          </xdr:nvSpPr>
          <xdr:spPr>
            <a:xfrm>
              <a:off x="85725" y="68823205"/>
              <a:ext cx="914400" cy="3714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11</xdr:col>
      <xdr:colOff>638175</xdr:colOff>
      <xdr:row>409</xdr:row>
      <xdr:rowOff>28574</xdr:rowOff>
    </xdr:from>
    <xdr:to>
      <xdr:col>15</xdr:col>
      <xdr:colOff>314325</xdr:colOff>
      <xdr:row>415</xdr:row>
      <xdr:rowOff>123823</xdr:rowOff>
    </xdr:to>
    <xdr:sp>
      <xdr:nvSpPr>
        <xdr:cNvPr id="36" name="文本框 35"/>
        <xdr:cNvSpPr txBox="1">
          <a:spLocks noChangeAspect="1"/>
        </xdr:cNvSpPr>
      </xdr:nvSpPr>
      <xdr:spPr>
        <a:xfrm>
          <a:off x="8162925" y="73587610"/>
          <a:ext cx="2686050"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407</xdr:row>
          <xdr:rowOff>142875</xdr:rowOff>
        </xdr:from>
        <xdr:to>
          <xdr:col>1</xdr:col>
          <xdr:colOff>276225</xdr:colOff>
          <xdr:row>410</xdr:row>
          <xdr:rowOff>85725</xdr:rowOff>
        </xdr:to>
        <xdr:sp macro="[0]!Button12_Click_Tcreview_delete">
          <xdr:nvSpPr>
            <xdr:cNvPr id="62515" name="Button 51" hidden="1">
              <a:extLst>
                <a:ext uri="{63B3BB69-23CF-44E3-9099-C40C66FF867C}">
                  <a14:compatExt spid="_x0000_s62515"/>
                </a:ext>
              </a:extLst>
            </xdr:cNvPr>
            <xdr:cNvSpPr/>
          </xdr:nvSpPr>
          <xdr:spPr>
            <a:xfrm>
              <a:off x="114300" y="73397745"/>
              <a:ext cx="914400" cy="4000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433</xdr:row>
          <xdr:rowOff>104775</xdr:rowOff>
        </xdr:from>
        <xdr:to>
          <xdr:col>1</xdr:col>
          <xdr:colOff>342900</xdr:colOff>
          <xdr:row>436</xdr:row>
          <xdr:rowOff>9525</xdr:rowOff>
        </xdr:to>
        <xdr:sp macro="[0]!Button13_Click_Creview_delete">
          <xdr:nvSpPr>
            <xdr:cNvPr id="62516" name="Button 52" hidden="1">
              <a:extLst>
                <a:ext uri="{63B3BB69-23CF-44E3-9099-C40C66FF867C}">
                  <a14:compatExt spid="_x0000_s62516"/>
                </a:ext>
              </a:extLst>
            </xdr:cNvPr>
            <xdr:cNvSpPr/>
          </xdr:nvSpPr>
          <xdr:spPr>
            <a:xfrm>
              <a:off x="180975" y="77741145"/>
              <a:ext cx="914400" cy="3619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删除走查次数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486</xdr:row>
          <xdr:rowOff>104775</xdr:rowOff>
        </xdr:from>
        <xdr:to>
          <xdr:col>1</xdr:col>
          <xdr:colOff>266700</xdr:colOff>
          <xdr:row>488</xdr:row>
          <xdr:rowOff>123825</xdr:rowOff>
        </xdr:to>
        <xdr:sp macro="[0]!Button3_Click_Crreview_add">
          <xdr:nvSpPr>
            <xdr:cNvPr id="62525" name="Button 61" hidden="1">
              <a:extLst>
                <a:ext uri="{63B3BB69-23CF-44E3-9099-C40C66FF867C}">
                  <a14:compatExt spid="_x0000_s62525"/>
                </a:ext>
              </a:extLst>
            </xdr:cNvPr>
            <xdr:cNvSpPr/>
          </xdr:nvSpPr>
          <xdr:spPr>
            <a:xfrm>
              <a:off x="114300" y="88390095"/>
              <a:ext cx="904875"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619125</xdr:colOff>
      <xdr:row>486</xdr:row>
      <xdr:rowOff>95250</xdr:rowOff>
    </xdr:from>
    <xdr:to>
      <xdr:col>11</xdr:col>
      <xdr:colOff>142875</xdr:colOff>
      <xdr:row>501</xdr:row>
      <xdr:rowOff>66675</xdr:rowOff>
    </xdr:to>
    <xdr:graphicFrame>
      <xdr:nvGraphicFramePr>
        <xdr:cNvPr id="10" name="图表 9"/>
        <xdr:cNvGraphicFramePr>
          <a:graphicFrameLocks noChangeAspect="1"/>
        </xdr:cNvGraphicFramePr>
      </xdr:nvGraphicFramePr>
      <xdr:xfrm>
        <a:off x="1371600" y="88380570"/>
        <a:ext cx="6296025" cy="2257425"/>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511</xdr:row>
          <xdr:rowOff>47625</xdr:rowOff>
        </xdr:from>
        <xdr:to>
          <xdr:col>1</xdr:col>
          <xdr:colOff>257175</xdr:colOff>
          <xdr:row>513</xdr:row>
          <xdr:rowOff>38100</xdr:rowOff>
        </xdr:to>
        <xdr:sp macro="[0]!Button4_Click_Frreview_add">
          <xdr:nvSpPr>
            <xdr:cNvPr id="62526" name="Button 62" hidden="1">
              <a:extLst>
                <a:ext uri="{63B3BB69-23CF-44E3-9099-C40C66FF867C}">
                  <a14:compatExt spid="_x0000_s62526"/>
                </a:ext>
              </a:extLst>
            </xdr:cNvPr>
            <xdr:cNvSpPr/>
          </xdr:nvSpPr>
          <xdr:spPr>
            <a:xfrm>
              <a:off x="95250" y="92609670"/>
              <a:ext cx="914400" cy="2952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552450</xdr:colOff>
      <xdr:row>510</xdr:row>
      <xdr:rowOff>85725</xdr:rowOff>
    </xdr:from>
    <xdr:to>
      <xdr:col>11</xdr:col>
      <xdr:colOff>133350</xdr:colOff>
      <xdr:row>526</xdr:row>
      <xdr:rowOff>142875</xdr:rowOff>
    </xdr:to>
    <xdr:graphicFrame>
      <xdr:nvGraphicFramePr>
        <xdr:cNvPr id="24" name="图表 23"/>
        <xdr:cNvGraphicFramePr>
          <a:graphicFrameLocks noChangeAspect="1"/>
        </xdr:cNvGraphicFramePr>
      </xdr:nvGraphicFramePr>
      <xdr:xfrm>
        <a:off x="1304925" y="92495370"/>
        <a:ext cx="6353175" cy="259080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85725</xdr:colOff>
          <xdr:row>536</xdr:row>
          <xdr:rowOff>104775</xdr:rowOff>
        </xdr:from>
        <xdr:to>
          <xdr:col>1</xdr:col>
          <xdr:colOff>238125</xdr:colOff>
          <xdr:row>539</xdr:row>
          <xdr:rowOff>9525</xdr:rowOff>
        </xdr:to>
        <xdr:sp macro="[0]!button5_Click_Dreview_add">
          <xdr:nvSpPr>
            <xdr:cNvPr id="62527" name="Button 63" hidden="1">
              <a:extLst>
                <a:ext uri="{63B3BB69-23CF-44E3-9099-C40C66FF867C}">
                  <a14:compatExt spid="_x0000_s62527"/>
                </a:ext>
              </a:extLst>
            </xdr:cNvPr>
            <xdr:cNvSpPr/>
          </xdr:nvSpPr>
          <xdr:spPr>
            <a:xfrm>
              <a:off x="85725" y="96953070"/>
              <a:ext cx="904875" cy="3619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390525</xdr:colOff>
      <xdr:row>536</xdr:row>
      <xdr:rowOff>66675</xdr:rowOff>
    </xdr:from>
    <xdr:to>
      <xdr:col>11</xdr:col>
      <xdr:colOff>28575</xdr:colOff>
      <xdr:row>553</xdr:row>
      <xdr:rowOff>133350</xdr:rowOff>
    </xdr:to>
    <xdr:graphicFrame>
      <xdr:nvGraphicFramePr>
        <xdr:cNvPr id="30" name="图表 29"/>
        <xdr:cNvGraphicFramePr>
          <a:graphicFrameLocks noChangeAspect="1"/>
        </xdr:cNvGraphicFramePr>
      </xdr:nvGraphicFramePr>
      <xdr:xfrm>
        <a:off x="1143000" y="96914970"/>
        <a:ext cx="6410325" cy="2657475"/>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563</xdr:row>
          <xdr:rowOff>76200</xdr:rowOff>
        </xdr:from>
        <xdr:to>
          <xdr:col>1</xdr:col>
          <xdr:colOff>295275</xdr:colOff>
          <xdr:row>565</xdr:row>
          <xdr:rowOff>95250</xdr:rowOff>
        </xdr:to>
        <xdr:sp macro="[0]!button6_Click_Tcreview_add">
          <xdr:nvSpPr>
            <xdr:cNvPr id="62528" name="Button 64" hidden="1">
              <a:extLst>
                <a:ext uri="{63B3BB69-23CF-44E3-9099-C40C66FF867C}">
                  <a14:compatExt spid="_x0000_s62528"/>
                </a:ext>
              </a:extLst>
            </xdr:cNvPr>
            <xdr:cNvSpPr/>
          </xdr:nvSpPr>
          <xdr:spPr>
            <a:xfrm>
              <a:off x="104775" y="101470460"/>
              <a:ext cx="942975"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361950</xdr:colOff>
      <xdr:row>563</xdr:row>
      <xdr:rowOff>57150</xdr:rowOff>
    </xdr:from>
    <xdr:to>
      <xdr:col>11</xdr:col>
      <xdr:colOff>0</xdr:colOff>
      <xdr:row>579</xdr:row>
      <xdr:rowOff>47625</xdr:rowOff>
    </xdr:to>
    <xdr:graphicFrame>
      <xdr:nvGraphicFramePr>
        <xdr:cNvPr id="35" name="图表 34"/>
        <xdr:cNvGraphicFramePr>
          <a:graphicFrameLocks noChangeAspect="1"/>
        </xdr:cNvGraphicFramePr>
      </xdr:nvGraphicFramePr>
      <xdr:xfrm>
        <a:off x="1114425" y="101451410"/>
        <a:ext cx="6410325" cy="2428875"/>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200025</xdr:colOff>
          <xdr:row>589</xdr:row>
          <xdr:rowOff>85725</xdr:rowOff>
        </xdr:from>
        <xdr:to>
          <xdr:col>1</xdr:col>
          <xdr:colOff>342900</xdr:colOff>
          <xdr:row>591</xdr:row>
          <xdr:rowOff>104775</xdr:rowOff>
        </xdr:to>
        <xdr:sp macro="[0]!Button7_Click_Creview_add">
          <xdr:nvSpPr>
            <xdr:cNvPr id="62529" name="Button 65" hidden="1">
              <a:extLst>
                <a:ext uri="{63B3BB69-23CF-44E3-9099-C40C66FF867C}">
                  <a14:compatExt spid="_x0000_s62529"/>
                </a:ext>
              </a:extLst>
            </xdr:cNvPr>
            <xdr:cNvSpPr/>
          </xdr:nvSpPr>
          <xdr:spPr>
            <a:xfrm>
              <a:off x="200025" y="105861485"/>
              <a:ext cx="895350" cy="3238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增加走查次数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xdr:col>
      <xdr:colOff>438150</xdr:colOff>
      <xdr:row>589</xdr:row>
      <xdr:rowOff>57150</xdr:rowOff>
    </xdr:from>
    <xdr:to>
      <xdr:col>11</xdr:col>
      <xdr:colOff>76200</xdr:colOff>
      <xdr:row>606</xdr:row>
      <xdr:rowOff>47625</xdr:rowOff>
    </xdr:to>
    <xdr:graphicFrame>
      <xdr:nvGraphicFramePr>
        <xdr:cNvPr id="38" name="图表 37"/>
        <xdr:cNvGraphicFramePr>
          <a:graphicFrameLocks noChangeAspect="1"/>
        </xdr:cNvGraphicFramePr>
      </xdr:nvGraphicFramePr>
      <xdr:xfrm>
        <a:off x="1190625" y="105832910"/>
        <a:ext cx="6410325" cy="2581275"/>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488</xdr:row>
          <xdr:rowOff>85725</xdr:rowOff>
        </xdr:from>
        <xdr:to>
          <xdr:col>1</xdr:col>
          <xdr:colOff>266700</xdr:colOff>
          <xdr:row>490</xdr:row>
          <xdr:rowOff>85725</xdr:rowOff>
        </xdr:to>
        <xdr:sp macro="[0]!Button9_Click_Crreview_delete">
          <xdr:nvSpPr>
            <xdr:cNvPr id="62530" name="Button 66" hidden="1">
              <a:extLst>
                <a:ext uri="{63B3BB69-23CF-44E3-9099-C40C66FF867C}">
                  <a14:compatExt spid="_x0000_s62530"/>
                </a:ext>
              </a:extLst>
            </xdr:cNvPr>
            <xdr:cNvSpPr/>
          </xdr:nvSpPr>
          <xdr:spPr>
            <a:xfrm>
              <a:off x="114300" y="88675845"/>
              <a:ext cx="904875" cy="3048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13</xdr:col>
      <xdr:colOff>0</xdr:colOff>
      <xdr:row>489</xdr:row>
      <xdr:rowOff>19050</xdr:rowOff>
    </xdr:from>
    <xdr:to>
      <xdr:col>16</xdr:col>
      <xdr:colOff>628650</xdr:colOff>
      <xdr:row>494</xdr:row>
      <xdr:rowOff>38100</xdr:rowOff>
    </xdr:to>
    <xdr:sp>
      <xdr:nvSpPr>
        <xdr:cNvPr id="40" name="文本框 39"/>
        <xdr:cNvSpPr txBox="1">
          <a:spLocks noChangeAspect="1"/>
        </xdr:cNvSpPr>
      </xdr:nvSpPr>
      <xdr:spPr>
        <a:xfrm>
          <a:off x="9163050" y="88761570"/>
          <a:ext cx="2686050" cy="781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xdr:twoCellAnchor editAs="oneCell">
    <xdr:from>
      <xdr:col>11</xdr:col>
      <xdr:colOff>762000</xdr:colOff>
      <xdr:row>513</xdr:row>
      <xdr:rowOff>38100</xdr:rowOff>
    </xdr:from>
    <xdr:to>
      <xdr:col>15</xdr:col>
      <xdr:colOff>438150</xdr:colOff>
      <xdr:row>519</xdr:row>
      <xdr:rowOff>38100</xdr:rowOff>
    </xdr:to>
    <xdr:sp>
      <xdr:nvSpPr>
        <xdr:cNvPr id="41" name="文本框 40"/>
        <xdr:cNvSpPr txBox="1">
          <a:spLocks noChangeAspect="1"/>
        </xdr:cNvSpPr>
      </xdr:nvSpPr>
      <xdr:spPr>
        <a:xfrm>
          <a:off x="8286750" y="92904945"/>
          <a:ext cx="2686050" cy="990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latin typeface="+mn-ea"/>
              <a:ea typeface="+mn-ea"/>
            </a:rPr>
            <a:t>请勿对“第</a:t>
          </a:r>
          <a:r>
            <a:rPr lang="en-US" altLang="zh-CN" sz="800">
              <a:solidFill>
                <a:srgbClr val="FF0000"/>
              </a:solidFill>
              <a:latin typeface="+mn-ea"/>
              <a:ea typeface="+mn-ea"/>
            </a:rPr>
            <a:t>N</a:t>
          </a:r>
          <a:r>
            <a:rPr lang="zh-CN" altLang="en-US" sz="800">
              <a:solidFill>
                <a:srgbClr val="FF0000"/>
              </a:solidFill>
              <a:latin typeface="+mn-ea"/>
              <a:ea typeface="+mn-ea"/>
            </a:rPr>
            <a:t>次评审”行进行删除或者填写，以免造成不必要的错误</a:t>
          </a:r>
          <a:endParaRPr lang="zh-CN" altLang="en-US" sz="800">
            <a:solidFill>
              <a:srgbClr val="FF0000"/>
            </a:solidFill>
            <a:latin typeface="+mn-ea"/>
            <a:ea typeface="+mn-ea"/>
          </a:endParaRP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513</xdr:row>
          <xdr:rowOff>76200</xdr:rowOff>
        </xdr:from>
        <xdr:to>
          <xdr:col>1</xdr:col>
          <xdr:colOff>247650</xdr:colOff>
          <xdr:row>515</xdr:row>
          <xdr:rowOff>104775</xdr:rowOff>
        </xdr:to>
        <xdr:sp macro="[0]!Button10_Click_Frreview_delete">
          <xdr:nvSpPr>
            <xdr:cNvPr id="62531" name="Button 67" hidden="1">
              <a:extLst>
                <a:ext uri="{63B3BB69-23CF-44E3-9099-C40C66FF867C}">
                  <a14:compatExt spid="_x0000_s62531"/>
                </a:ext>
              </a:extLst>
            </xdr:cNvPr>
            <xdr:cNvSpPr/>
          </xdr:nvSpPr>
          <xdr:spPr>
            <a:xfrm>
              <a:off x="85725" y="92943045"/>
              <a:ext cx="914400" cy="3333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11</xdr:col>
      <xdr:colOff>657225</xdr:colOff>
      <xdr:row>541</xdr:row>
      <xdr:rowOff>76200</xdr:rowOff>
    </xdr:from>
    <xdr:to>
      <xdr:col>15</xdr:col>
      <xdr:colOff>333375</xdr:colOff>
      <xdr:row>548</xdr:row>
      <xdr:rowOff>19050</xdr:rowOff>
    </xdr:to>
    <xdr:sp>
      <xdr:nvSpPr>
        <xdr:cNvPr id="43" name="文本框 42"/>
        <xdr:cNvSpPr txBox="1">
          <a:spLocks noChangeAspect="1"/>
        </xdr:cNvSpPr>
      </xdr:nvSpPr>
      <xdr:spPr>
        <a:xfrm>
          <a:off x="8181975" y="97686495"/>
          <a:ext cx="2686050"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85725</xdr:colOff>
          <xdr:row>538</xdr:row>
          <xdr:rowOff>114300</xdr:rowOff>
        </xdr:from>
        <xdr:to>
          <xdr:col>1</xdr:col>
          <xdr:colOff>247650</xdr:colOff>
          <xdr:row>541</xdr:row>
          <xdr:rowOff>28575</xdr:rowOff>
        </xdr:to>
        <xdr:sp macro="[0]!Button11_Click_Dreview_delete">
          <xdr:nvSpPr>
            <xdr:cNvPr id="62532" name="Button 68" hidden="1">
              <a:extLst>
                <a:ext uri="{63B3BB69-23CF-44E3-9099-C40C66FF867C}">
                  <a14:compatExt spid="_x0000_s62532"/>
                </a:ext>
              </a:extLst>
            </xdr:cNvPr>
            <xdr:cNvSpPr/>
          </xdr:nvSpPr>
          <xdr:spPr>
            <a:xfrm>
              <a:off x="85725" y="97267395"/>
              <a:ext cx="914400" cy="3714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editAs="oneCell">
    <xdr:from>
      <xdr:col>11</xdr:col>
      <xdr:colOff>638175</xdr:colOff>
      <xdr:row>567</xdr:row>
      <xdr:rowOff>28574</xdr:rowOff>
    </xdr:from>
    <xdr:to>
      <xdr:col>15</xdr:col>
      <xdr:colOff>314325</xdr:colOff>
      <xdr:row>573</xdr:row>
      <xdr:rowOff>123823</xdr:rowOff>
    </xdr:to>
    <xdr:sp>
      <xdr:nvSpPr>
        <xdr:cNvPr id="45" name="文本框 44"/>
        <xdr:cNvSpPr txBox="1">
          <a:spLocks noChangeAspect="1"/>
        </xdr:cNvSpPr>
      </xdr:nvSpPr>
      <xdr:spPr>
        <a:xfrm>
          <a:off x="8162925" y="102031800"/>
          <a:ext cx="2686050"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r>
            <a:rPr lang="zh-CN" altLang="en-US" sz="800">
              <a:solidFill>
                <a:srgbClr val="FF0000"/>
              </a:solidFill>
            </a:rPr>
            <a:t>说明：</a:t>
          </a:r>
          <a:endParaRPr lang="zh-CN" altLang="en-US" sz="800">
            <a:solidFill>
              <a:srgbClr val="FF0000"/>
            </a:solidFill>
          </a:endParaRPr>
        </a:p>
        <a:p>
          <a:r>
            <a:rPr lang="en-US" altLang="zh-CN" sz="800">
              <a:solidFill>
                <a:srgbClr val="FF0000"/>
              </a:solidFill>
            </a:rPr>
            <a:t>1.</a:t>
          </a:r>
          <a:r>
            <a:rPr lang="zh-CN" altLang="en-US" sz="800">
              <a:solidFill>
                <a:srgbClr val="FF0000"/>
              </a:solidFill>
            </a:rPr>
            <a:t>缺陷数据取自评审报告；</a:t>
          </a:r>
          <a:endParaRPr lang="zh-CN" altLang="en-US" sz="800">
            <a:solidFill>
              <a:srgbClr val="FF0000"/>
            </a:solidFill>
          </a:endParaRPr>
        </a:p>
        <a:p>
          <a:r>
            <a:rPr lang="en-US" altLang="zh-CN" sz="800">
              <a:solidFill>
                <a:srgbClr val="FF0000"/>
              </a:solidFill>
            </a:rPr>
            <a:t>2.</a:t>
          </a:r>
          <a:r>
            <a:rPr lang="zh-CN" altLang="en-US" sz="800">
              <a:solidFill>
                <a:srgbClr val="FF0000"/>
              </a:solidFill>
            </a:rPr>
            <a:t>以正式会议评审或邮件评审作为一次评审；</a:t>
          </a:r>
          <a:endParaRPr lang="zh-CN" altLang="en-US" sz="800">
            <a:solidFill>
              <a:srgbClr val="FF0000"/>
            </a:solidFill>
          </a:endParaRPr>
        </a:p>
        <a:p>
          <a:r>
            <a:rPr lang="en-US" altLang="zh-CN" sz="800">
              <a:solidFill>
                <a:srgbClr val="FF0000"/>
              </a:solidFill>
            </a:rPr>
            <a:t>3.</a:t>
          </a:r>
          <a:r>
            <a:rPr lang="zh-CN" altLang="en-US" sz="800">
              <a:solidFill>
                <a:srgbClr val="FF0000"/>
              </a:solidFill>
            </a:rPr>
            <a:t>若需增加评审次数，请点击添加按钮；</a:t>
          </a:r>
          <a:endParaRPr lang="zh-CN" altLang="en-US" sz="800">
            <a:solidFill>
              <a:srgbClr val="FF0000"/>
            </a:solidFill>
          </a:endParaRPr>
        </a:p>
        <a:p>
          <a:r>
            <a:rPr lang="en-US" altLang="zh-CN" sz="800">
              <a:solidFill>
                <a:srgbClr val="FF0000"/>
              </a:solidFill>
            </a:rPr>
            <a:t>4.</a:t>
          </a:r>
          <a:r>
            <a:rPr lang="zh-CN" altLang="en-US" sz="800">
              <a:solidFill>
                <a:srgbClr val="FF0000"/>
              </a:solidFill>
            </a:rPr>
            <a:t>请勿对“第</a:t>
          </a:r>
          <a:r>
            <a:rPr lang="en-US" altLang="zh-CN" sz="800">
              <a:solidFill>
                <a:srgbClr val="FF0000"/>
              </a:solidFill>
            </a:rPr>
            <a:t>N</a:t>
          </a:r>
          <a:r>
            <a:rPr lang="zh-CN" altLang="en-US" sz="800">
              <a:solidFill>
                <a:srgbClr val="FF0000"/>
              </a:solidFill>
            </a:rPr>
            <a:t>次评审”行进行删除或者填写，以免造成不必要的错误；</a:t>
          </a:r>
          <a:endParaRPr lang="zh-CN" altLang="en-US" sz="800">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114300</xdr:colOff>
          <xdr:row>565</xdr:row>
          <xdr:rowOff>142875</xdr:rowOff>
        </xdr:from>
        <xdr:to>
          <xdr:col>1</xdr:col>
          <xdr:colOff>276225</xdr:colOff>
          <xdr:row>568</xdr:row>
          <xdr:rowOff>85725</xdr:rowOff>
        </xdr:to>
        <xdr:sp macro="[0]!Button12_Click_Tcreview_delete">
          <xdr:nvSpPr>
            <xdr:cNvPr id="62533" name="Button 69" hidden="1">
              <a:extLst>
                <a:ext uri="{63B3BB69-23CF-44E3-9099-C40C66FF867C}">
                  <a14:compatExt spid="_x0000_s62533"/>
                </a:ext>
              </a:extLst>
            </xdr:cNvPr>
            <xdr:cNvSpPr/>
          </xdr:nvSpPr>
          <xdr:spPr>
            <a:xfrm>
              <a:off x="114300" y="101841935"/>
              <a:ext cx="914400" cy="4000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删除评审次数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591</xdr:row>
          <xdr:rowOff>104775</xdr:rowOff>
        </xdr:from>
        <xdr:to>
          <xdr:col>1</xdr:col>
          <xdr:colOff>342900</xdr:colOff>
          <xdr:row>594</xdr:row>
          <xdr:rowOff>9525</xdr:rowOff>
        </xdr:to>
        <xdr:sp macro="[0]!Button13_Click_Creview_delete">
          <xdr:nvSpPr>
            <xdr:cNvPr id="62534" name="Button 70" hidden="1">
              <a:extLst>
                <a:ext uri="{63B3BB69-23CF-44E3-9099-C40C66FF867C}">
                  <a14:compatExt spid="_x0000_s62534"/>
                </a:ext>
              </a:extLst>
            </xdr:cNvPr>
            <xdr:cNvSpPr/>
          </xdr:nvSpPr>
          <xdr:spPr>
            <a:xfrm>
              <a:off x="180975" y="106185335"/>
              <a:ext cx="914400" cy="36195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删除走查次数</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oneCellAnchor>
    <xdr:from>
      <xdr:col>1</xdr:col>
      <xdr:colOff>0</xdr:colOff>
      <xdr:row>616</xdr:row>
      <xdr:rowOff>0</xdr:rowOff>
    </xdr:from>
    <xdr:ext cx="6410325" cy="2524125"/>
    <xdr:graphicFrame>
      <xdr:nvGraphicFramePr>
        <xdr:cNvPr id="78" name="图表 77"/>
        <xdr:cNvGraphicFramePr>
          <a:graphicFrameLocks noChangeAspect="1"/>
        </xdr:cNvGraphicFramePr>
      </xdr:nvGraphicFramePr>
      <xdr:xfrm>
        <a:off x="752475" y="111986060"/>
        <a:ext cx="6410325" cy="2524125"/>
      </xdr:xfrm>
      <a:graphic>
        <a:graphicData uri="http://schemas.openxmlformats.org/drawingml/2006/chart">
          <c:chart xmlns:c="http://schemas.openxmlformats.org/drawingml/2006/chart" xmlns:r="http://schemas.openxmlformats.org/officeDocument/2006/relationships" r:id="rId21"/>
        </a:graphicData>
      </a:graphic>
    </xdr:graphicFrame>
    <xdr:clientData/>
  </xdr:oneCellAnchor>
  <xdr:oneCellAnchor>
    <xdr:from>
      <xdr:col>1</xdr:col>
      <xdr:colOff>0</xdr:colOff>
      <xdr:row>141</xdr:row>
      <xdr:rowOff>0</xdr:rowOff>
    </xdr:from>
    <xdr:ext cx="6410325" cy="2524125"/>
    <xdr:graphicFrame>
      <xdr:nvGraphicFramePr>
        <xdr:cNvPr id="79" name="图表 78"/>
        <xdr:cNvGraphicFramePr>
          <a:graphicFrameLocks noChangeAspect="1"/>
        </xdr:cNvGraphicFramePr>
      </xdr:nvGraphicFramePr>
      <xdr:xfrm>
        <a:off x="752475" y="26177240"/>
        <a:ext cx="6410325" cy="2524125"/>
      </xdr:xfrm>
      <a:graphic>
        <a:graphicData uri="http://schemas.openxmlformats.org/drawingml/2006/chart">
          <c:chart xmlns:c="http://schemas.openxmlformats.org/drawingml/2006/chart" xmlns:r="http://schemas.openxmlformats.org/officeDocument/2006/relationships" r:id="rId22"/>
        </a:graphicData>
      </a:graphic>
    </xdr:graphicFrame>
    <xdr:clientData/>
  </xdr:oneCellAnchor>
  <xdr:oneCellAnchor>
    <xdr:from>
      <xdr:col>1</xdr:col>
      <xdr:colOff>0</xdr:colOff>
      <xdr:row>299</xdr:row>
      <xdr:rowOff>0</xdr:rowOff>
    </xdr:from>
    <xdr:ext cx="6410325" cy="2524125"/>
    <xdr:graphicFrame>
      <xdr:nvGraphicFramePr>
        <xdr:cNvPr id="80" name="图表 79"/>
        <xdr:cNvGraphicFramePr>
          <a:graphicFrameLocks noChangeAspect="1"/>
        </xdr:cNvGraphicFramePr>
      </xdr:nvGraphicFramePr>
      <xdr:xfrm>
        <a:off x="752475" y="54783355"/>
        <a:ext cx="6410325" cy="2524125"/>
      </xdr:xfrm>
      <a:graphic>
        <a:graphicData uri="http://schemas.openxmlformats.org/drawingml/2006/chart">
          <c:chart xmlns:c="http://schemas.openxmlformats.org/drawingml/2006/chart" xmlns:r="http://schemas.openxmlformats.org/officeDocument/2006/relationships" r:id="rId23"/>
        </a:graphicData>
      </a:graphic>
    </xdr:graphicFrame>
    <xdr:clientData/>
  </xdr:oneCellAnchor>
  <xdr:oneCellAnchor>
    <xdr:from>
      <xdr:col>1</xdr:col>
      <xdr:colOff>0</xdr:colOff>
      <xdr:row>457</xdr:row>
      <xdr:rowOff>0</xdr:rowOff>
    </xdr:from>
    <xdr:ext cx="6410325" cy="2524125"/>
    <xdr:graphicFrame>
      <xdr:nvGraphicFramePr>
        <xdr:cNvPr id="81" name="图表 80"/>
        <xdr:cNvGraphicFramePr>
          <a:graphicFrameLocks noChangeAspect="1"/>
        </xdr:cNvGraphicFramePr>
      </xdr:nvGraphicFramePr>
      <xdr:xfrm>
        <a:off x="752475" y="83389470"/>
        <a:ext cx="6410325" cy="2524125"/>
      </xdr:xfrm>
      <a:graphic>
        <a:graphicData uri="http://schemas.openxmlformats.org/drawingml/2006/chart">
          <c:chart xmlns:c="http://schemas.openxmlformats.org/drawingml/2006/chart" xmlns:r="http://schemas.openxmlformats.org/officeDocument/2006/relationships" r:id="rId24"/>
        </a:graphicData>
      </a:graphic>
    </xdr:graphicFrame>
    <xdr:clientData/>
  </xdr:oneCellAnchor>
</xdr:wsDr>
</file>

<file path=xl/drawings/drawing8.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85725</xdr:colOff>
          <xdr:row>22</xdr:row>
          <xdr:rowOff>28575</xdr:rowOff>
        </xdr:from>
        <xdr:to>
          <xdr:col>1</xdr:col>
          <xdr:colOff>66675</xdr:colOff>
          <xdr:row>23</xdr:row>
          <xdr:rowOff>95250</xdr:rowOff>
        </xdr:to>
        <xdr:sp macro="[0]!Button14_Click_Test_delete">
          <xdr:nvSpPr>
            <xdr:cNvPr id="63492" name="Button 4" hidden="1">
              <a:extLst>
                <a:ext uri="{63B3BB69-23CF-44E3-9099-C40C66FF867C}">
                  <a14:compatExt spid="_x0000_s63492"/>
                </a:ext>
              </a:extLst>
            </xdr:cNvPr>
            <xdr:cNvSpPr/>
          </xdr:nvSpPr>
          <xdr:spPr>
            <a:xfrm>
              <a:off x="85725" y="4179570"/>
              <a:ext cx="895350"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删除测试轮次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20</xdr:row>
          <xdr:rowOff>28575</xdr:rowOff>
        </xdr:from>
        <xdr:to>
          <xdr:col>1</xdr:col>
          <xdr:colOff>76200</xdr:colOff>
          <xdr:row>20</xdr:row>
          <xdr:rowOff>257175</xdr:rowOff>
        </xdr:to>
        <xdr:sp macro="[0]!button8_Click_Test_add">
          <xdr:nvSpPr>
            <xdr:cNvPr id="63491" name="Button 3" hidden="1">
              <a:extLst>
                <a:ext uri="{63B3BB69-23CF-44E3-9099-C40C66FF867C}">
                  <a14:compatExt spid="_x0000_s63491"/>
                </a:ext>
              </a:extLst>
            </xdr:cNvPr>
            <xdr:cNvSpPr/>
          </xdr:nvSpPr>
          <xdr:spPr>
            <a:xfrm>
              <a:off x="95250" y="3733800"/>
              <a:ext cx="895350" cy="2286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增加测试轮次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5</xdr:col>
      <xdr:colOff>742950</xdr:colOff>
      <xdr:row>42</xdr:row>
      <xdr:rowOff>0</xdr:rowOff>
    </xdr:from>
    <xdr:to>
      <xdr:col>14</xdr:col>
      <xdr:colOff>0</xdr:colOff>
      <xdr:row>51</xdr:row>
      <xdr:rowOff>152400</xdr:rowOff>
    </xdr:to>
    <xdr:graphicFrame>
      <xdr:nvGraphicFramePr>
        <xdr:cNvPr id="2" name="图表 2"/>
        <xdr:cNvGraphicFramePr/>
      </xdr:nvGraphicFramePr>
      <xdr:xfrm>
        <a:off x="5172075" y="9413875"/>
        <a:ext cx="6172200" cy="266128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771525</xdr:colOff>
      <xdr:row>53</xdr:row>
      <xdr:rowOff>152400</xdr:rowOff>
    </xdr:from>
    <xdr:to>
      <xdr:col>13</xdr:col>
      <xdr:colOff>676275</xdr:colOff>
      <xdr:row>63</xdr:row>
      <xdr:rowOff>28575</xdr:rowOff>
    </xdr:to>
    <xdr:graphicFrame>
      <xdr:nvGraphicFramePr>
        <xdr:cNvPr id="3" name="图表 3"/>
        <xdr:cNvGraphicFramePr/>
      </xdr:nvGraphicFramePr>
      <xdr:xfrm>
        <a:off x="5200650" y="12379960"/>
        <a:ext cx="6086475" cy="154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247650</xdr:colOff>
      <xdr:row>66</xdr:row>
      <xdr:rowOff>38100</xdr:rowOff>
    </xdr:from>
    <xdr:to>
      <xdr:col>14</xdr:col>
      <xdr:colOff>485775</xdr:colOff>
      <xdr:row>82</xdr:row>
      <xdr:rowOff>142875</xdr:rowOff>
    </xdr:to>
    <xdr:graphicFrame>
      <xdr:nvGraphicFramePr>
        <xdr:cNvPr id="4" name="图表 4"/>
        <xdr:cNvGraphicFramePr/>
      </xdr:nvGraphicFramePr>
      <xdr:xfrm>
        <a:off x="5657850" y="14389735"/>
        <a:ext cx="6172200" cy="277177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152400</xdr:colOff>
      <xdr:row>19</xdr:row>
      <xdr:rowOff>85725</xdr:rowOff>
    </xdr:from>
    <xdr:to>
      <xdr:col>9</xdr:col>
      <xdr:colOff>66675</xdr:colOff>
      <xdr:row>29</xdr:row>
      <xdr:rowOff>85725</xdr:rowOff>
    </xdr:to>
    <xdr:graphicFrame>
      <xdr:nvGraphicFramePr>
        <xdr:cNvPr id="7" name="图表 6"/>
        <xdr:cNvGraphicFramePr>
          <a:graphicFrameLocks noChangeAspect="1"/>
        </xdr:cNvGraphicFramePr>
      </xdr:nvGraphicFramePr>
      <xdr:xfrm>
        <a:off x="1066800" y="3581400"/>
        <a:ext cx="6553200" cy="2282825"/>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65</xdr:row>
      <xdr:rowOff>0</xdr:rowOff>
    </xdr:from>
    <xdr:to>
      <xdr:col>4</xdr:col>
      <xdr:colOff>838200</xdr:colOff>
      <xdr:row>66</xdr:row>
      <xdr:rowOff>95250</xdr:rowOff>
    </xdr:to>
    <xdr:pic>
      <xdr:nvPicPr>
        <xdr:cNvPr id="5" name="图片 4"/>
        <xdr:cNvPicPr>
          <a:picLocks noChangeAspect="1"/>
        </xdr:cNvPicPr>
      </xdr:nvPicPr>
      <xdr:blipFill>
        <a:blip r:embed="rId17"/>
        <a:stretch>
          <a:fillRect/>
        </a:stretch>
      </xdr:blipFill>
      <xdr:spPr>
        <a:xfrm>
          <a:off x="1876425" y="14199235"/>
          <a:ext cx="2524125" cy="247650"/>
        </a:xfrm>
        <a:prstGeom prst="rect">
          <a:avLst/>
        </a:prstGeom>
        <a:noFill/>
        <a:ln w="9525">
          <a:noFill/>
        </a:ln>
      </xdr:spPr>
    </xdr:pic>
    <xdr:clientData/>
  </xdr:twoCellAnchor>
  <xdr:twoCellAnchor>
    <xdr:from>
      <xdr:col>2</xdr:col>
      <xdr:colOff>0</xdr:colOff>
      <xdr:row>43</xdr:row>
      <xdr:rowOff>0</xdr:rowOff>
    </xdr:from>
    <xdr:to>
      <xdr:col>5</xdr:col>
      <xdr:colOff>313690</xdr:colOff>
      <xdr:row>44</xdr:row>
      <xdr:rowOff>106680</xdr:rowOff>
    </xdr:to>
    <xdr:pic>
      <xdr:nvPicPr>
        <xdr:cNvPr id="8" name="图片 7"/>
        <xdr:cNvPicPr>
          <a:picLocks noChangeAspect="1"/>
        </xdr:cNvPicPr>
      </xdr:nvPicPr>
      <xdr:blipFill>
        <a:blip r:embed="rId18"/>
        <a:stretch>
          <a:fillRect/>
        </a:stretch>
      </xdr:blipFill>
      <xdr:spPr>
        <a:xfrm>
          <a:off x="1876425" y="9707245"/>
          <a:ext cx="2866390" cy="400050"/>
        </a:xfrm>
        <a:prstGeom prst="rect">
          <a:avLst/>
        </a:prstGeom>
        <a:noFill/>
        <a:ln w="9525">
          <a:noFill/>
        </a:ln>
      </xdr:spPr>
    </xdr:pic>
    <xdr:clientData/>
  </xdr:twoCellAnchor>
  <xdr:twoCellAnchor>
    <xdr:from>
      <xdr:col>2</xdr:col>
      <xdr:colOff>38100</xdr:colOff>
      <xdr:row>50</xdr:row>
      <xdr:rowOff>152400</xdr:rowOff>
    </xdr:from>
    <xdr:to>
      <xdr:col>5</xdr:col>
      <xdr:colOff>132715</xdr:colOff>
      <xdr:row>52</xdr:row>
      <xdr:rowOff>125730</xdr:rowOff>
    </xdr:to>
    <xdr:pic>
      <xdr:nvPicPr>
        <xdr:cNvPr id="9" name="图片 8"/>
        <xdr:cNvPicPr>
          <a:picLocks noChangeAspect="1"/>
        </xdr:cNvPicPr>
      </xdr:nvPicPr>
      <xdr:blipFill>
        <a:blip r:embed="rId19"/>
        <a:stretch>
          <a:fillRect/>
        </a:stretch>
      </xdr:blipFill>
      <xdr:spPr>
        <a:xfrm>
          <a:off x="1914525" y="11913235"/>
          <a:ext cx="2647315" cy="28765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104</xdr:row>
          <xdr:rowOff>28575</xdr:rowOff>
        </xdr:from>
        <xdr:to>
          <xdr:col>1</xdr:col>
          <xdr:colOff>66675</xdr:colOff>
          <xdr:row>105</xdr:row>
          <xdr:rowOff>95250</xdr:rowOff>
        </xdr:to>
        <xdr:sp macro="[0]!Button14_Click_Test_delete">
          <xdr:nvSpPr>
            <xdr:cNvPr id="63496" name="Button 8" hidden="1">
              <a:extLst>
                <a:ext uri="{63B3BB69-23CF-44E3-9099-C40C66FF867C}">
                  <a14:compatExt spid="_x0000_s63496"/>
                </a:ext>
              </a:extLst>
            </xdr:cNvPr>
            <xdr:cNvSpPr/>
          </xdr:nvSpPr>
          <xdr:spPr>
            <a:xfrm>
              <a:off x="85725" y="21445855"/>
              <a:ext cx="895350"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删除测试轮次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102</xdr:row>
          <xdr:rowOff>28575</xdr:rowOff>
        </xdr:from>
        <xdr:to>
          <xdr:col>1</xdr:col>
          <xdr:colOff>76200</xdr:colOff>
          <xdr:row>102</xdr:row>
          <xdr:rowOff>257175</xdr:rowOff>
        </xdr:to>
        <xdr:sp macro="[0]!button8_Click_Test_add">
          <xdr:nvSpPr>
            <xdr:cNvPr id="63497" name="Button 9" hidden="1">
              <a:extLst>
                <a:ext uri="{63B3BB69-23CF-44E3-9099-C40C66FF867C}">
                  <a14:compatExt spid="_x0000_s63497"/>
                </a:ext>
              </a:extLst>
            </xdr:cNvPr>
            <xdr:cNvSpPr/>
          </xdr:nvSpPr>
          <xdr:spPr>
            <a:xfrm>
              <a:off x="95250" y="21000085"/>
              <a:ext cx="895350" cy="2286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增加测试轮次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5</xdr:col>
      <xdr:colOff>742950</xdr:colOff>
      <xdr:row>124</xdr:row>
      <xdr:rowOff>0</xdr:rowOff>
    </xdr:from>
    <xdr:to>
      <xdr:col>14</xdr:col>
      <xdr:colOff>0</xdr:colOff>
      <xdr:row>134</xdr:row>
      <xdr:rowOff>152400</xdr:rowOff>
    </xdr:to>
    <xdr:graphicFrame>
      <xdr:nvGraphicFramePr>
        <xdr:cNvPr id="12" name="图表 2"/>
        <xdr:cNvGraphicFramePr/>
      </xdr:nvGraphicFramePr>
      <xdr:xfrm>
        <a:off x="5172075" y="26680160"/>
        <a:ext cx="6172200" cy="2954655"/>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771525</xdr:colOff>
      <xdr:row>136</xdr:row>
      <xdr:rowOff>152400</xdr:rowOff>
    </xdr:from>
    <xdr:to>
      <xdr:col>13</xdr:col>
      <xdr:colOff>676275</xdr:colOff>
      <xdr:row>147</xdr:row>
      <xdr:rowOff>28575</xdr:rowOff>
    </xdr:to>
    <xdr:graphicFrame>
      <xdr:nvGraphicFramePr>
        <xdr:cNvPr id="13" name="图表 3"/>
        <xdr:cNvGraphicFramePr/>
      </xdr:nvGraphicFramePr>
      <xdr:xfrm>
        <a:off x="5200650" y="29939615"/>
        <a:ext cx="6086475" cy="171450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247650</xdr:colOff>
      <xdr:row>150</xdr:row>
      <xdr:rowOff>38100</xdr:rowOff>
    </xdr:from>
    <xdr:to>
      <xdr:col>14</xdr:col>
      <xdr:colOff>485775</xdr:colOff>
      <xdr:row>166</xdr:row>
      <xdr:rowOff>142875</xdr:rowOff>
    </xdr:to>
    <xdr:graphicFrame>
      <xdr:nvGraphicFramePr>
        <xdr:cNvPr id="14" name="图表 4"/>
        <xdr:cNvGraphicFramePr/>
      </xdr:nvGraphicFramePr>
      <xdr:xfrm>
        <a:off x="5657850" y="32120840"/>
        <a:ext cx="6172200" cy="2771775"/>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152400</xdr:colOff>
      <xdr:row>101</xdr:row>
      <xdr:rowOff>85725</xdr:rowOff>
    </xdr:from>
    <xdr:to>
      <xdr:col>9</xdr:col>
      <xdr:colOff>66675</xdr:colOff>
      <xdr:row>111</xdr:row>
      <xdr:rowOff>85725</xdr:rowOff>
    </xdr:to>
    <xdr:graphicFrame>
      <xdr:nvGraphicFramePr>
        <xdr:cNvPr id="15" name="图表 14"/>
        <xdr:cNvGraphicFramePr>
          <a:graphicFrameLocks noChangeAspect="1"/>
        </xdr:cNvGraphicFramePr>
      </xdr:nvGraphicFramePr>
      <xdr:xfrm>
        <a:off x="1066800" y="20847685"/>
        <a:ext cx="6553200" cy="2282825"/>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149</xdr:row>
      <xdr:rowOff>0</xdr:rowOff>
    </xdr:from>
    <xdr:to>
      <xdr:col>4</xdr:col>
      <xdr:colOff>838200</xdr:colOff>
      <xdr:row>150</xdr:row>
      <xdr:rowOff>95250</xdr:rowOff>
    </xdr:to>
    <xdr:pic>
      <xdr:nvPicPr>
        <xdr:cNvPr id="16" name="图片 15"/>
        <xdr:cNvPicPr>
          <a:picLocks noChangeAspect="1"/>
        </xdr:cNvPicPr>
      </xdr:nvPicPr>
      <xdr:blipFill>
        <a:blip r:embed="rId17"/>
        <a:stretch>
          <a:fillRect/>
        </a:stretch>
      </xdr:blipFill>
      <xdr:spPr>
        <a:xfrm>
          <a:off x="1876425" y="31930340"/>
          <a:ext cx="2524125" cy="247650"/>
        </a:xfrm>
        <a:prstGeom prst="rect">
          <a:avLst/>
        </a:prstGeom>
        <a:noFill/>
        <a:ln w="9525">
          <a:noFill/>
        </a:ln>
      </xdr:spPr>
    </xdr:pic>
    <xdr:clientData/>
  </xdr:twoCellAnchor>
  <xdr:twoCellAnchor>
    <xdr:from>
      <xdr:col>2</xdr:col>
      <xdr:colOff>0</xdr:colOff>
      <xdr:row>125</xdr:row>
      <xdr:rowOff>0</xdr:rowOff>
    </xdr:from>
    <xdr:to>
      <xdr:col>5</xdr:col>
      <xdr:colOff>313690</xdr:colOff>
      <xdr:row>126</xdr:row>
      <xdr:rowOff>106680</xdr:rowOff>
    </xdr:to>
    <xdr:pic>
      <xdr:nvPicPr>
        <xdr:cNvPr id="17" name="图片 16"/>
        <xdr:cNvPicPr>
          <a:picLocks noChangeAspect="1"/>
        </xdr:cNvPicPr>
      </xdr:nvPicPr>
      <xdr:blipFill>
        <a:blip r:embed="rId18"/>
        <a:stretch>
          <a:fillRect/>
        </a:stretch>
      </xdr:blipFill>
      <xdr:spPr>
        <a:xfrm>
          <a:off x="1876425" y="26973530"/>
          <a:ext cx="2866390" cy="400050"/>
        </a:xfrm>
        <a:prstGeom prst="rect">
          <a:avLst/>
        </a:prstGeom>
        <a:noFill/>
        <a:ln w="9525">
          <a:noFill/>
        </a:ln>
      </xdr:spPr>
    </xdr:pic>
    <xdr:clientData/>
  </xdr:twoCellAnchor>
  <xdr:twoCellAnchor>
    <xdr:from>
      <xdr:col>2</xdr:col>
      <xdr:colOff>38100</xdr:colOff>
      <xdr:row>133</xdr:row>
      <xdr:rowOff>152400</xdr:rowOff>
    </xdr:from>
    <xdr:to>
      <xdr:col>5</xdr:col>
      <xdr:colOff>132715</xdr:colOff>
      <xdr:row>135</xdr:row>
      <xdr:rowOff>125730</xdr:rowOff>
    </xdr:to>
    <xdr:pic>
      <xdr:nvPicPr>
        <xdr:cNvPr id="18" name="图片 17"/>
        <xdr:cNvPicPr>
          <a:picLocks noChangeAspect="1"/>
        </xdr:cNvPicPr>
      </xdr:nvPicPr>
      <xdr:blipFill>
        <a:blip r:embed="rId19"/>
        <a:stretch>
          <a:fillRect/>
        </a:stretch>
      </xdr:blipFill>
      <xdr:spPr>
        <a:xfrm>
          <a:off x="1914525" y="29472890"/>
          <a:ext cx="2647315" cy="28765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188</xdr:row>
          <xdr:rowOff>28575</xdr:rowOff>
        </xdr:from>
        <xdr:to>
          <xdr:col>1</xdr:col>
          <xdr:colOff>66675</xdr:colOff>
          <xdr:row>189</xdr:row>
          <xdr:rowOff>95250</xdr:rowOff>
        </xdr:to>
        <xdr:sp macro="[0]!Button14_Click_Test_delete">
          <xdr:nvSpPr>
            <xdr:cNvPr id="63501" name="Button 13" hidden="1">
              <a:extLst>
                <a:ext uri="{63B3BB69-23CF-44E3-9099-C40C66FF867C}">
                  <a14:compatExt spid="_x0000_s63501"/>
                </a:ext>
              </a:extLst>
            </xdr:cNvPr>
            <xdr:cNvSpPr/>
          </xdr:nvSpPr>
          <xdr:spPr>
            <a:xfrm>
              <a:off x="85725" y="39176960"/>
              <a:ext cx="895350"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删除测试轮次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186</xdr:row>
          <xdr:rowOff>28575</xdr:rowOff>
        </xdr:from>
        <xdr:to>
          <xdr:col>1</xdr:col>
          <xdr:colOff>76200</xdr:colOff>
          <xdr:row>186</xdr:row>
          <xdr:rowOff>257175</xdr:rowOff>
        </xdr:to>
        <xdr:sp macro="[0]!button8_Click_Test_add">
          <xdr:nvSpPr>
            <xdr:cNvPr id="63502" name="Button 14" hidden="1">
              <a:extLst>
                <a:ext uri="{63B3BB69-23CF-44E3-9099-C40C66FF867C}">
                  <a14:compatExt spid="_x0000_s63502"/>
                </a:ext>
              </a:extLst>
            </xdr:cNvPr>
            <xdr:cNvSpPr/>
          </xdr:nvSpPr>
          <xdr:spPr>
            <a:xfrm>
              <a:off x="95250" y="38731190"/>
              <a:ext cx="895350" cy="2286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增加测试轮次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5</xdr:col>
      <xdr:colOff>742950</xdr:colOff>
      <xdr:row>208</xdr:row>
      <xdr:rowOff>0</xdr:rowOff>
    </xdr:from>
    <xdr:to>
      <xdr:col>14</xdr:col>
      <xdr:colOff>0</xdr:colOff>
      <xdr:row>218</xdr:row>
      <xdr:rowOff>152400</xdr:rowOff>
    </xdr:to>
    <xdr:graphicFrame>
      <xdr:nvGraphicFramePr>
        <xdr:cNvPr id="19" name="图表 2"/>
        <xdr:cNvGraphicFramePr/>
      </xdr:nvGraphicFramePr>
      <xdr:xfrm>
        <a:off x="5172075" y="44411265"/>
        <a:ext cx="6172200" cy="2954655"/>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771525</xdr:colOff>
      <xdr:row>220</xdr:row>
      <xdr:rowOff>152400</xdr:rowOff>
    </xdr:from>
    <xdr:to>
      <xdr:col>13</xdr:col>
      <xdr:colOff>676275</xdr:colOff>
      <xdr:row>230</xdr:row>
      <xdr:rowOff>28575</xdr:rowOff>
    </xdr:to>
    <xdr:graphicFrame>
      <xdr:nvGraphicFramePr>
        <xdr:cNvPr id="20" name="图表 3"/>
        <xdr:cNvGraphicFramePr/>
      </xdr:nvGraphicFramePr>
      <xdr:xfrm>
        <a:off x="5200650" y="47670720"/>
        <a:ext cx="6086475" cy="154305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247650</xdr:colOff>
      <xdr:row>233</xdr:row>
      <xdr:rowOff>38100</xdr:rowOff>
    </xdr:from>
    <xdr:to>
      <xdr:col>14</xdr:col>
      <xdr:colOff>485775</xdr:colOff>
      <xdr:row>249</xdr:row>
      <xdr:rowOff>142875</xdr:rowOff>
    </xdr:to>
    <xdr:graphicFrame>
      <xdr:nvGraphicFramePr>
        <xdr:cNvPr id="21" name="图表 4"/>
        <xdr:cNvGraphicFramePr/>
      </xdr:nvGraphicFramePr>
      <xdr:xfrm>
        <a:off x="5657850" y="49680495"/>
        <a:ext cx="6172200" cy="2771775"/>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152400</xdr:colOff>
      <xdr:row>185</xdr:row>
      <xdr:rowOff>85725</xdr:rowOff>
    </xdr:from>
    <xdr:to>
      <xdr:col>9</xdr:col>
      <xdr:colOff>66675</xdr:colOff>
      <xdr:row>195</xdr:row>
      <xdr:rowOff>85725</xdr:rowOff>
    </xdr:to>
    <xdr:graphicFrame>
      <xdr:nvGraphicFramePr>
        <xdr:cNvPr id="22" name="图表 21"/>
        <xdr:cNvGraphicFramePr>
          <a:graphicFrameLocks noChangeAspect="1"/>
        </xdr:cNvGraphicFramePr>
      </xdr:nvGraphicFramePr>
      <xdr:xfrm>
        <a:off x="1066800" y="38578790"/>
        <a:ext cx="6553200" cy="2282825"/>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0</xdr:colOff>
      <xdr:row>232</xdr:row>
      <xdr:rowOff>0</xdr:rowOff>
    </xdr:from>
    <xdr:to>
      <xdr:col>4</xdr:col>
      <xdr:colOff>838200</xdr:colOff>
      <xdr:row>233</xdr:row>
      <xdr:rowOff>95250</xdr:rowOff>
    </xdr:to>
    <xdr:pic>
      <xdr:nvPicPr>
        <xdr:cNvPr id="23" name="图片 22"/>
        <xdr:cNvPicPr>
          <a:picLocks noChangeAspect="1"/>
        </xdr:cNvPicPr>
      </xdr:nvPicPr>
      <xdr:blipFill>
        <a:blip r:embed="rId17"/>
        <a:stretch>
          <a:fillRect/>
        </a:stretch>
      </xdr:blipFill>
      <xdr:spPr>
        <a:xfrm>
          <a:off x="1876425" y="49489995"/>
          <a:ext cx="2524125" cy="247650"/>
        </a:xfrm>
        <a:prstGeom prst="rect">
          <a:avLst/>
        </a:prstGeom>
        <a:noFill/>
        <a:ln w="9525">
          <a:noFill/>
        </a:ln>
      </xdr:spPr>
    </xdr:pic>
    <xdr:clientData/>
  </xdr:twoCellAnchor>
  <xdr:twoCellAnchor>
    <xdr:from>
      <xdr:col>2</xdr:col>
      <xdr:colOff>0</xdr:colOff>
      <xdr:row>209</xdr:row>
      <xdr:rowOff>0</xdr:rowOff>
    </xdr:from>
    <xdr:to>
      <xdr:col>5</xdr:col>
      <xdr:colOff>313690</xdr:colOff>
      <xdr:row>210</xdr:row>
      <xdr:rowOff>106680</xdr:rowOff>
    </xdr:to>
    <xdr:pic>
      <xdr:nvPicPr>
        <xdr:cNvPr id="24" name="图片 23"/>
        <xdr:cNvPicPr>
          <a:picLocks noChangeAspect="1"/>
        </xdr:cNvPicPr>
      </xdr:nvPicPr>
      <xdr:blipFill>
        <a:blip r:embed="rId18"/>
        <a:stretch>
          <a:fillRect/>
        </a:stretch>
      </xdr:blipFill>
      <xdr:spPr>
        <a:xfrm>
          <a:off x="1876425" y="44704635"/>
          <a:ext cx="2866390" cy="400050"/>
        </a:xfrm>
        <a:prstGeom prst="rect">
          <a:avLst/>
        </a:prstGeom>
        <a:noFill/>
        <a:ln w="9525">
          <a:noFill/>
        </a:ln>
      </xdr:spPr>
    </xdr:pic>
    <xdr:clientData/>
  </xdr:twoCellAnchor>
  <xdr:twoCellAnchor>
    <xdr:from>
      <xdr:col>2</xdr:col>
      <xdr:colOff>38100</xdr:colOff>
      <xdr:row>217</xdr:row>
      <xdr:rowOff>152400</xdr:rowOff>
    </xdr:from>
    <xdr:to>
      <xdr:col>5</xdr:col>
      <xdr:colOff>132715</xdr:colOff>
      <xdr:row>219</xdr:row>
      <xdr:rowOff>125730</xdr:rowOff>
    </xdr:to>
    <xdr:pic>
      <xdr:nvPicPr>
        <xdr:cNvPr id="25" name="图片 24"/>
        <xdr:cNvPicPr>
          <a:picLocks noChangeAspect="1"/>
        </xdr:cNvPicPr>
      </xdr:nvPicPr>
      <xdr:blipFill>
        <a:blip r:embed="rId19"/>
        <a:stretch>
          <a:fillRect/>
        </a:stretch>
      </xdr:blipFill>
      <xdr:spPr>
        <a:xfrm>
          <a:off x="1914525" y="47203995"/>
          <a:ext cx="2647315" cy="287655"/>
        </a:xfrm>
        <a:prstGeom prst="rect">
          <a:avLst/>
        </a:prstGeom>
        <a:noFill/>
        <a:ln w="9525">
          <a:noFill/>
        </a:ln>
      </xdr:spPr>
    </xdr:pic>
    <xdr:clientData/>
  </xdr:twoCellAnchor>
  <mc:AlternateContent xmlns:mc="http://schemas.openxmlformats.org/markup-compatibility/2006">
    <mc:Choice xmlns:a14="http://schemas.microsoft.com/office/drawing/2010/main" Requires="a14">
      <xdr:twoCellAnchor editAs="oneCell">
        <xdr:from>
          <xdr:col>0</xdr:col>
          <xdr:colOff>85725</xdr:colOff>
          <xdr:row>271</xdr:row>
          <xdr:rowOff>28575</xdr:rowOff>
        </xdr:from>
        <xdr:to>
          <xdr:col>1</xdr:col>
          <xdr:colOff>66675</xdr:colOff>
          <xdr:row>272</xdr:row>
          <xdr:rowOff>95250</xdr:rowOff>
        </xdr:to>
        <xdr:sp macro="[0]!Button14_Click_Test_delete">
          <xdr:nvSpPr>
            <xdr:cNvPr id="63506" name="Button 18" hidden="1">
              <a:extLst>
                <a:ext uri="{63B3BB69-23CF-44E3-9099-C40C66FF867C}">
                  <a14:compatExt spid="_x0000_s63506"/>
                </a:ext>
              </a:extLst>
            </xdr:cNvPr>
            <xdr:cNvSpPr/>
          </xdr:nvSpPr>
          <xdr:spPr>
            <a:xfrm>
              <a:off x="85725" y="56736615"/>
              <a:ext cx="895350" cy="25717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删除测试轮次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269</xdr:row>
          <xdr:rowOff>28575</xdr:rowOff>
        </xdr:from>
        <xdr:to>
          <xdr:col>1</xdr:col>
          <xdr:colOff>76200</xdr:colOff>
          <xdr:row>269</xdr:row>
          <xdr:rowOff>257175</xdr:rowOff>
        </xdr:to>
        <xdr:sp macro="[0]!button8_Click_Test_add">
          <xdr:nvSpPr>
            <xdr:cNvPr id="63507" name="Button 19" hidden="1">
              <a:extLst>
                <a:ext uri="{63B3BB69-23CF-44E3-9099-C40C66FF867C}">
                  <a14:compatExt spid="_x0000_s63507"/>
                </a:ext>
              </a:extLst>
            </xdr:cNvPr>
            <xdr:cNvSpPr/>
          </xdr:nvSpPr>
          <xdr:spPr>
            <a:xfrm>
              <a:off x="95250" y="56290845"/>
              <a:ext cx="895350" cy="2286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增加测试轮次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twoCellAnchor>
    <xdr:from>
      <xdr:col>5</xdr:col>
      <xdr:colOff>742950</xdr:colOff>
      <xdr:row>291</xdr:row>
      <xdr:rowOff>0</xdr:rowOff>
    </xdr:from>
    <xdr:to>
      <xdr:col>14</xdr:col>
      <xdr:colOff>0</xdr:colOff>
      <xdr:row>302</xdr:row>
      <xdr:rowOff>152400</xdr:rowOff>
    </xdr:to>
    <xdr:graphicFrame>
      <xdr:nvGraphicFramePr>
        <xdr:cNvPr id="11" name="图表 2"/>
        <xdr:cNvGraphicFramePr/>
      </xdr:nvGraphicFramePr>
      <xdr:xfrm>
        <a:off x="5172075" y="61970920"/>
        <a:ext cx="6172200" cy="3248025"/>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771525</xdr:colOff>
      <xdr:row>304</xdr:row>
      <xdr:rowOff>152400</xdr:rowOff>
    </xdr:from>
    <xdr:to>
      <xdr:col>13</xdr:col>
      <xdr:colOff>676275</xdr:colOff>
      <xdr:row>315</xdr:row>
      <xdr:rowOff>28575</xdr:rowOff>
    </xdr:to>
    <xdr:graphicFrame>
      <xdr:nvGraphicFramePr>
        <xdr:cNvPr id="26" name="图表 3"/>
        <xdr:cNvGraphicFramePr/>
      </xdr:nvGraphicFramePr>
      <xdr:xfrm>
        <a:off x="5200650" y="65523745"/>
        <a:ext cx="6086475" cy="169545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247650</xdr:colOff>
      <xdr:row>318</xdr:row>
      <xdr:rowOff>38100</xdr:rowOff>
    </xdr:from>
    <xdr:to>
      <xdr:col>14</xdr:col>
      <xdr:colOff>485775</xdr:colOff>
      <xdr:row>334</xdr:row>
      <xdr:rowOff>142875</xdr:rowOff>
    </xdr:to>
    <xdr:graphicFrame>
      <xdr:nvGraphicFramePr>
        <xdr:cNvPr id="27" name="图表 4"/>
        <xdr:cNvGraphicFramePr/>
      </xdr:nvGraphicFramePr>
      <xdr:xfrm>
        <a:off x="5657850" y="67685920"/>
        <a:ext cx="6172200" cy="2771775"/>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xdr:col>
      <xdr:colOff>152400</xdr:colOff>
      <xdr:row>268</xdr:row>
      <xdr:rowOff>85725</xdr:rowOff>
    </xdr:from>
    <xdr:to>
      <xdr:col>9</xdr:col>
      <xdr:colOff>66675</xdr:colOff>
      <xdr:row>278</xdr:row>
      <xdr:rowOff>85725</xdr:rowOff>
    </xdr:to>
    <xdr:graphicFrame>
      <xdr:nvGraphicFramePr>
        <xdr:cNvPr id="28" name="图表 27"/>
        <xdr:cNvGraphicFramePr>
          <a:graphicFrameLocks noChangeAspect="1"/>
        </xdr:cNvGraphicFramePr>
      </xdr:nvGraphicFramePr>
      <xdr:xfrm>
        <a:off x="1066800" y="56138445"/>
        <a:ext cx="6553200" cy="2282825"/>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0</xdr:colOff>
      <xdr:row>317</xdr:row>
      <xdr:rowOff>0</xdr:rowOff>
    </xdr:from>
    <xdr:to>
      <xdr:col>4</xdr:col>
      <xdr:colOff>838200</xdr:colOff>
      <xdr:row>318</xdr:row>
      <xdr:rowOff>95250</xdr:rowOff>
    </xdr:to>
    <xdr:pic>
      <xdr:nvPicPr>
        <xdr:cNvPr id="29" name="图片 28"/>
        <xdr:cNvPicPr>
          <a:picLocks noChangeAspect="1"/>
        </xdr:cNvPicPr>
      </xdr:nvPicPr>
      <xdr:blipFill>
        <a:blip r:embed="rId17"/>
        <a:stretch>
          <a:fillRect/>
        </a:stretch>
      </xdr:blipFill>
      <xdr:spPr>
        <a:xfrm>
          <a:off x="1876425" y="67495420"/>
          <a:ext cx="2524125" cy="247650"/>
        </a:xfrm>
        <a:prstGeom prst="rect">
          <a:avLst/>
        </a:prstGeom>
        <a:noFill/>
        <a:ln w="9525">
          <a:noFill/>
        </a:ln>
      </xdr:spPr>
    </xdr:pic>
    <xdr:clientData/>
  </xdr:twoCellAnchor>
  <xdr:twoCellAnchor>
    <xdr:from>
      <xdr:col>2</xdr:col>
      <xdr:colOff>0</xdr:colOff>
      <xdr:row>292</xdr:row>
      <xdr:rowOff>0</xdr:rowOff>
    </xdr:from>
    <xdr:to>
      <xdr:col>5</xdr:col>
      <xdr:colOff>313690</xdr:colOff>
      <xdr:row>293</xdr:row>
      <xdr:rowOff>106680</xdr:rowOff>
    </xdr:to>
    <xdr:pic>
      <xdr:nvPicPr>
        <xdr:cNvPr id="30" name="图片 29"/>
        <xdr:cNvPicPr>
          <a:picLocks noChangeAspect="1"/>
        </xdr:cNvPicPr>
      </xdr:nvPicPr>
      <xdr:blipFill>
        <a:blip r:embed="rId18"/>
        <a:stretch>
          <a:fillRect/>
        </a:stretch>
      </xdr:blipFill>
      <xdr:spPr>
        <a:xfrm>
          <a:off x="1876425" y="62264290"/>
          <a:ext cx="2866390" cy="400050"/>
        </a:xfrm>
        <a:prstGeom prst="rect">
          <a:avLst/>
        </a:prstGeom>
        <a:noFill/>
        <a:ln w="9525">
          <a:noFill/>
        </a:ln>
      </xdr:spPr>
    </xdr:pic>
    <xdr:clientData/>
  </xdr:twoCellAnchor>
  <xdr:twoCellAnchor>
    <xdr:from>
      <xdr:col>2</xdr:col>
      <xdr:colOff>38100</xdr:colOff>
      <xdr:row>301</xdr:row>
      <xdr:rowOff>152400</xdr:rowOff>
    </xdr:from>
    <xdr:to>
      <xdr:col>5</xdr:col>
      <xdr:colOff>132715</xdr:colOff>
      <xdr:row>303</xdr:row>
      <xdr:rowOff>125730</xdr:rowOff>
    </xdr:to>
    <xdr:pic>
      <xdr:nvPicPr>
        <xdr:cNvPr id="31" name="图片 30"/>
        <xdr:cNvPicPr>
          <a:picLocks noChangeAspect="1"/>
        </xdr:cNvPicPr>
      </xdr:nvPicPr>
      <xdr:blipFill>
        <a:blip r:embed="rId19"/>
        <a:stretch>
          <a:fillRect/>
        </a:stretch>
      </xdr:blipFill>
      <xdr:spPr>
        <a:xfrm>
          <a:off x="1914525" y="65057020"/>
          <a:ext cx="2647315" cy="287655"/>
        </a:xfrm>
        <a:prstGeom prst="rect">
          <a:avLst/>
        </a:prstGeom>
        <a:noFill/>
        <a:ln w="9525">
          <a:noFill/>
        </a:ln>
      </xdr:spPr>
    </xdr:pic>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5</xdr:col>
      <xdr:colOff>180975</xdr:colOff>
      <xdr:row>43</xdr:row>
      <xdr:rowOff>9525</xdr:rowOff>
    </xdr:from>
    <xdr:to>
      <xdr:col>10</xdr:col>
      <xdr:colOff>123825</xdr:colOff>
      <xdr:row>72</xdr:row>
      <xdr:rowOff>19050</xdr:rowOff>
    </xdr:to>
    <xdr:graphicFrame>
      <xdr:nvGraphicFramePr>
        <xdr:cNvPr id="2" name="图表 4"/>
        <xdr:cNvGraphicFramePr/>
      </xdr:nvGraphicFramePr>
      <xdr:xfrm>
        <a:off x="5943600" y="8839200"/>
        <a:ext cx="4733925" cy="450532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200025</xdr:colOff>
      <xdr:row>73</xdr:row>
      <xdr:rowOff>142875</xdr:rowOff>
    </xdr:from>
    <xdr:to>
      <xdr:col>22</xdr:col>
      <xdr:colOff>276225</xdr:colOff>
      <xdr:row>115</xdr:row>
      <xdr:rowOff>66675</xdr:rowOff>
    </xdr:to>
    <xdr:graphicFrame>
      <xdr:nvGraphicFramePr>
        <xdr:cNvPr id="3" name="图表 6"/>
        <xdr:cNvGraphicFramePr/>
      </xdr:nvGraphicFramePr>
      <xdr:xfrm>
        <a:off x="10753725" y="13620750"/>
        <a:ext cx="8382000" cy="5057775"/>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352425</xdr:colOff>
      <xdr:row>33</xdr:row>
      <xdr:rowOff>76200</xdr:rowOff>
    </xdr:from>
    <xdr:to>
      <xdr:col>16</xdr:col>
      <xdr:colOff>228600</xdr:colOff>
      <xdr:row>62</xdr:row>
      <xdr:rowOff>104775</xdr:rowOff>
    </xdr:to>
    <xdr:graphicFrame>
      <xdr:nvGraphicFramePr>
        <xdr:cNvPr id="5" name="图表 11"/>
        <xdr:cNvGraphicFramePr/>
      </xdr:nvGraphicFramePr>
      <xdr:xfrm>
        <a:off x="10906125" y="7343775"/>
        <a:ext cx="4114800" cy="4505325"/>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33</xdr:row>
          <xdr:rowOff>47625</xdr:rowOff>
        </xdr:from>
        <xdr:to>
          <xdr:col>0</xdr:col>
          <xdr:colOff>685800</xdr:colOff>
          <xdr:row>34</xdr:row>
          <xdr:rowOff>57150</xdr:rowOff>
        </xdr:to>
        <xdr:sp macro="[0]!Button25_Click_Member_add">
          <xdr:nvSpPr>
            <xdr:cNvPr id="41989" name="Button 5" hidden="1">
              <a:extLst>
                <a:ext uri="{63B3BB69-23CF-44E3-9099-C40C66FF867C}">
                  <a14:compatExt spid="_x0000_s41989"/>
                </a:ext>
              </a:extLst>
            </xdr:cNvPr>
            <xdr:cNvSpPr/>
          </xdr:nvSpPr>
          <xdr:spPr>
            <a:xfrm>
              <a:off x="38100" y="7315200"/>
              <a:ext cx="647700" cy="161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新增成员 5</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742950</xdr:colOff>
          <xdr:row>33</xdr:row>
          <xdr:rowOff>47625</xdr:rowOff>
        </xdr:from>
        <xdr:to>
          <xdr:col>0</xdr:col>
          <xdr:colOff>1390650</xdr:colOff>
          <xdr:row>34</xdr:row>
          <xdr:rowOff>57150</xdr:rowOff>
        </xdr:to>
        <xdr:sp macro="[0]!Button26_Click_Member_delete">
          <xdr:nvSpPr>
            <xdr:cNvPr id="41992" name="Button 8" hidden="1">
              <a:extLst>
                <a:ext uri="{63B3BB69-23CF-44E3-9099-C40C66FF867C}">
                  <a14:compatExt spid="_x0000_s41992"/>
                </a:ext>
              </a:extLst>
            </xdr:cNvPr>
            <xdr:cNvSpPr/>
          </xdr:nvSpPr>
          <xdr:spPr>
            <a:xfrm>
              <a:off x="742950" y="7315200"/>
              <a:ext cx="647700" cy="1619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删除成员 5</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209550</xdr:colOff>
          <xdr:row>7</xdr:row>
          <xdr:rowOff>85725</xdr:rowOff>
        </xdr:from>
        <xdr:to>
          <xdr:col>35</xdr:col>
          <xdr:colOff>238125</xdr:colOff>
          <xdr:row>8</xdr:row>
          <xdr:rowOff>171450</xdr:rowOff>
        </xdr:to>
        <xdr:sp macro="[0]!Button27_Click_week_add">
          <xdr:nvSpPr>
            <xdr:cNvPr id="42008" name="Button 24" hidden="1">
              <a:extLst>
                <a:ext uri="{63B3BB69-23CF-44E3-9099-C40C66FF867C}">
                  <a14:compatExt spid="_x0000_s42008"/>
                </a:ext>
              </a:extLst>
            </xdr:cNvPr>
            <xdr:cNvSpPr/>
          </xdr:nvSpPr>
          <xdr:spPr>
            <a:xfrm>
              <a:off x="27298650" y="2400300"/>
              <a:ext cx="714375" cy="276225"/>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增加周次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200025</xdr:colOff>
          <xdr:row>9</xdr:row>
          <xdr:rowOff>76200</xdr:rowOff>
        </xdr:from>
        <xdr:to>
          <xdr:col>35</xdr:col>
          <xdr:colOff>238125</xdr:colOff>
          <xdr:row>10</xdr:row>
          <xdr:rowOff>152400</xdr:rowOff>
        </xdr:to>
        <xdr:sp macro="[0]!Button28_Click_week_delete">
          <xdr:nvSpPr>
            <xdr:cNvPr id="42014" name="Button 30" hidden="1">
              <a:extLst>
                <a:ext uri="{63B3BB69-23CF-44E3-9099-C40C66FF867C}">
                  <a14:compatExt spid="_x0000_s42014"/>
                </a:ext>
              </a:extLst>
            </xdr:cNvPr>
            <xdr:cNvSpPr/>
          </xdr:nvSpPr>
          <xdr:spPr>
            <a:xfrm>
              <a:off x="27289125" y="2771775"/>
              <a:ext cx="723900" cy="26670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panose="02010600030101010101" pitchFamily="7" charset="-122"/>
                  <a:ea typeface="宋体" panose="02010600030101010101" pitchFamily="7" charset="-122"/>
                </a:rPr>
                <a:t>删除周次</a:t>
              </a:r>
              <a:endParaRPr lang="zh-CN" altLang="en-US" sz="1100" b="0" i="0" u="none" strike="noStrike" baseline="0">
                <a:solidFill>
                  <a:srgbClr val="FF0000"/>
                </a:solidFill>
                <a:latin typeface="宋体" panose="02010600030101010101" pitchFamily="7" charset="-122"/>
                <a:ea typeface="宋体" panose="02010600030101010101" pitchFamily="7" charset="-122"/>
              </a:endParaRPr>
            </a:p>
          </xdr:txBody>
        </xdr:sp>
        <xdr:clientData fPrintsWithSheet="0"/>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533400</xdr:colOff>
      <xdr:row>6</xdr:row>
      <xdr:rowOff>114300</xdr:rowOff>
    </xdr:from>
    <xdr:to>
      <xdr:col>7</xdr:col>
      <xdr:colOff>799357</xdr:colOff>
      <xdr:row>19</xdr:row>
      <xdr:rowOff>171102</xdr:rowOff>
    </xdr:to>
    <xdr:pic>
      <xdr:nvPicPr>
        <xdr:cNvPr id="5" name="图片 4"/>
        <xdr:cNvPicPr>
          <a:picLocks noChangeAspect="1"/>
        </xdr:cNvPicPr>
      </xdr:nvPicPr>
      <xdr:blipFill>
        <a:blip r:embed="rId1"/>
        <a:stretch>
          <a:fillRect/>
        </a:stretch>
      </xdr:blipFill>
      <xdr:spPr>
        <a:xfrm>
          <a:off x="533400" y="1371600"/>
          <a:ext cx="5942330" cy="278066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95.118\&#36719;&#20214;&#24320;&#21457;&#36807;&#31243;&#20307;&#31995;&#65288;CMMI%20L5&#65289;&#25991;&#26723;&#24211;\&#32452;&#32455;&#30456;&#20851;&#30340;&#36807;&#31243;\6&#32452;&#32455;&#24230;&#37327;&#19982;&#20998;&#26512;&#36807;&#31243;\&#24180;&#24230;&#32452;&#32455;&#24230;&#37327;&#35745;&#21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95.118\&#30000;&#25991;&#35878;&#36164;&#26009;\My%20Work\Shenzhen\Shenzhen%20SZSE\&#31532;&#20108;&#36718;&#25913;&#36827;\ODC.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92.168.195.118\Documents%20and%20Settings\km11\Desktop\Book7.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192.168.195.118\&#30000;&#25991;&#35878;&#36164;&#26009;\My%20Work\Shanghai\Shanghai%20Newegg\&#22235;&#32423;\03%20Process%20Definition\L4\20081211\CDMIS%20PPB\CDMIS&#38656;&#27714;&#35780;&#23457;&#32570;&#38519;&#23494;&#24230;PPB_20081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95.118\&#30000;&#25991;&#35878;&#36164;&#26009;\My%20Work\Shenzhen\Shenzhen%20SZSE\&#31532;&#20108;&#36718;&#25913;&#36827;\&#36719;&#20214;&#27979;&#35797;&#35745;&#21010;&#27169;&#26495;(2010031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192.168.195.118\Documents%20and%20Settings\bc31\Local%20Settings\Temp\TFSTemp\v833A.tmp\1312791\&#35780;&#23457;&#31649;&#29702;&#34920;&#21333;(C132934).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Server\TQM1.1\VSS_20050517\02_ProjectProduction\04_Coding\03_TQM_Templet\04_OrganizationSupport\01_&#34892;&#25919;&#31649;&#29702;\01_&#25991;&#20214;&#31649;&#29702;\&#25991;&#20214;&#32534;&#20889;&#35268;&#33539;.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192.168.195.118\jsmstcpro\CMMI%20Project%20Management\04_&#20020;&#26102;&#30446;&#24405;\wy\&#36827;&#24230;&#31649;&#29702;&#34920;.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封面 "/>
      <sheetName val="文档修改控制页"/>
      <sheetName val="目录"/>
      <sheetName val="填表说明"/>
      <sheetName val="组织度量目标值"/>
      <sheetName val="组织度量指标与度量项描述"/>
      <sheetName val="建立组织PCB及过程模型"/>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文档信息"/>
      <sheetName val="每日测试活动情况"/>
      <sheetName val="每日问题风险情况"/>
      <sheetName val="每日缺陷统计与分析"/>
      <sheetName val="基础配置表"/>
      <sheetName val="ODC配置表"/>
      <sheetName val="ODC中文配置表"/>
    </sheetNames>
    <sheetDataSet>
      <sheetData sheetId="0"/>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Sheet1"/>
      <sheetName val="Sheet2"/>
      <sheetName val="Sheet3"/>
      <sheetName val="VSTS_ValidationWS_1"/>
    </sheetNames>
    <sheetDataSet>
      <sheetData sheetId="0" refreshError="1"/>
      <sheetData sheetId="1" refreshError="1"/>
      <sheetData sheetId="2" refreshError="1"/>
      <sheetData sheetId="3"/>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指导说明"/>
      <sheetName val="修订记录"/>
      <sheetName val="5-假设检验"/>
      <sheetName val="4-控制图分析 (2)"/>
      <sheetName val="4-控制图分析 (1)"/>
      <sheetName val="3-正态检验"/>
      <sheetName val="2-数据检查"/>
      <sheetName val="1-原始数据"/>
      <sheetName val="0-累积不可用数据"/>
    </sheetNames>
    <sheetDataSet>
      <sheetData sheetId="0" refreshError="1"/>
      <sheetData sheetId="1" refreshError="1"/>
      <sheetData sheetId="2"/>
      <sheetData sheetId="3"/>
      <sheetData sheetId="4"/>
      <sheetData sheetId="5" refreshError="1"/>
      <sheetData sheetId="6"/>
      <sheetData sheetId="7" refreshError="1"/>
      <sheetData sheetId="8"/>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文档信息"/>
      <sheetName val="项目概述"/>
      <sheetName val="测试范围"/>
      <sheetName val="测试里程碑"/>
      <sheetName val="风险分析与规避"/>
      <sheetName val="资源进度计划"/>
      <sheetName val="资源附表"/>
      <sheetName val="资源投入估算"/>
      <sheetName val="SIT&amp;UAT详细计划"/>
      <sheetName val="测试方法"/>
      <sheetName val="测试组织与策略"/>
      <sheetName val="规约"/>
      <sheetName val="测试估算"/>
      <sheetName val="变更差异"/>
      <sheetName val="质量度量标准"/>
      <sheetName val="测试角色职责表"/>
      <sheetName val="参考及交付文献"/>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指导说明"/>
      <sheetName val="修改记录"/>
      <sheetName val="评审记录表"/>
    </sheetNames>
    <sheetDataSet>
      <sheetData sheetId="0"/>
      <sheetData sheetId="1" refreshError="1"/>
      <sheetData sheetId="2"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发行控制"/>
      <sheetName val="使用指南"/>
      <sheetName val="文件编写导则"/>
      <sheetName val="附录1"/>
      <sheetName val="附录2"/>
    </sheetNames>
    <sheetDataSet>
      <sheetData sheetId="0" refreshError="1"/>
      <sheetData sheetId="1" refreshError="1"/>
      <sheetData sheetId="2" refreshError="1"/>
      <sheetData sheetId="3" refreshError="1"/>
      <sheetData sheetId="4"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目录"/>
      <sheetName val="总体计划"/>
      <sheetName val="人员计划"/>
      <sheetName val="培训计划"/>
      <sheetName val="进度计划"/>
    </sheetNames>
    <sheetDataSet>
      <sheetData sheetId="0"/>
      <sheetData sheetId="1" refreshError="1"/>
      <sheetData sheetId="2"/>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5" Type="http://schemas.openxmlformats.org/officeDocument/2006/relationships/ctrlProp" Target="../ctrlProps/ctrlProp4.xml"/><Relationship Id="rId4" Type="http://schemas.openxmlformats.org/officeDocument/2006/relationships/ctrlProp" Target="../ctrlProps/ctrlProp3.xml"/><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9" Type="http://schemas.openxmlformats.org/officeDocument/2006/relationships/ctrlProp" Target="../ctrlProps/ctrlProp10.xml"/><Relationship Id="rId8" Type="http://schemas.openxmlformats.org/officeDocument/2006/relationships/ctrlProp" Target="../ctrlProps/ctrlProp9.xml"/><Relationship Id="rId7" Type="http://schemas.openxmlformats.org/officeDocument/2006/relationships/ctrlProp" Target="../ctrlProps/ctrlProp8.xml"/><Relationship Id="rId6" Type="http://schemas.openxmlformats.org/officeDocument/2006/relationships/ctrlProp" Target="../ctrlProps/ctrlProp7.xml"/><Relationship Id="rId5" Type="http://schemas.openxmlformats.org/officeDocument/2006/relationships/ctrlProp" Target="../ctrlProps/ctrlProp6.xml"/><Relationship Id="rId43" Type="http://schemas.openxmlformats.org/officeDocument/2006/relationships/ctrlProp" Target="../ctrlProps/ctrlProp44.xml"/><Relationship Id="rId42" Type="http://schemas.openxmlformats.org/officeDocument/2006/relationships/ctrlProp" Target="../ctrlProps/ctrlProp43.xml"/><Relationship Id="rId41" Type="http://schemas.openxmlformats.org/officeDocument/2006/relationships/ctrlProp" Target="../ctrlProps/ctrlProp42.xml"/><Relationship Id="rId40" Type="http://schemas.openxmlformats.org/officeDocument/2006/relationships/ctrlProp" Target="../ctrlProps/ctrlProp41.xml"/><Relationship Id="rId4" Type="http://schemas.openxmlformats.org/officeDocument/2006/relationships/ctrlProp" Target="../ctrlProps/ctrlProp5.xml"/><Relationship Id="rId39" Type="http://schemas.openxmlformats.org/officeDocument/2006/relationships/ctrlProp" Target="../ctrlProps/ctrlProp40.xml"/><Relationship Id="rId38" Type="http://schemas.openxmlformats.org/officeDocument/2006/relationships/ctrlProp" Target="../ctrlProps/ctrlProp39.xml"/><Relationship Id="rId37" Type="http://schemas.openxmlformats.org/officeDocument/2006/relationships/ctrlProp" Target="../ctrlProps/ctrlProp38.xml"/><Relationship Id="rId36" Type="http://schemas.openxmlformats.org/officeDocument/2006/relationships/ctrlProp" Target="../ctrlProps/ctrlProp37.xml"/><Relationship Id="rId35" Type="http://schemas.openxmlformats.org/officeDocument/2006/relationships/ctrlProp" Target="../ctrlProps/ctrlProp36.xml"/><Relationship Id="rId34" Type="http://schemas.openxmlformats.org/officeDocument/2006/relationships/ctrlProp" Target="../ctrlProps/ctrlProp35.xml"/><Relationship Id="rId33" Type="http://schemas.openxmlformats.org/officeDocument/2006/relationships/ctrlProp" Target="../ctrlProps/ctrlProp34.xml"/><Relationship Id="rId32" Type="http://schemas.openxmlformats.org/officeDocument/2006/relationships/ctrlProp" Target="../ctrlProps/ctrlProp33.xml"/><Relationship Id="rId31" Type="http://schemas.openxmlformats.org/officeDocument/2006/relationships/ctrlProp" Target="../ctrlProps/ctrlProp32.xml"/><Relationship Id="rId30" Type="http://schemas.openxmlformats.org/officeDocument/2006/relationships/ctrlProp" Target="../ctrlProps/ctrlProp31.xml"/><Relationship Id="rId3" Type="http://schemas.openxmlformats.org/officeDocument/2006/relationships/vmlDrawing" Target="../drawings/vmlDrawing11.vml"/><Relationship Id="rId29" Type="http://schemas.openxmlformats.org/officeDocument/2006/relationships/ctrlProp" Target="../ctrlProps/ctrlProp30.xml"/><Relationship Id="rId28" Type="http://schemas.openxmlformats.org/officeDocument/2006/relationships/ctrlProp" Target="../ctrlProps/ctrlProp29.xml"/><Relationship Id="rId27" Type="http://schemas.openxmlformats.org/officeDocument/2006/relationships/ctrlProp" Target="../ctrlProps/ctrlProp28.xml"/><Relationship Id="rId26" Type="http://schemas.openxmlformats.org/officeDocument/2006/relationships/ctrlProp" Target="../ctrlProps/ctrlProp27.xml"/><Relationship Id="rId25" Type="http://schemas.openxmlformats.org/officeDocument/2006/relationships/ctrlProp" Target="../ctrlProps/ctrlProp26.xml"/><Relationship Id="rId24" Type="http://schemas.openxmlformats.org/officeDocument/2006/relationships/ctrlProp" Target="../ctrlProps/ctrlProp25.xml"/><Relationship Id="rId23" Type="http://schemas.openxmlformats.org/officeDocument/2006/relationships/ctrlProp" Target="../ctrlProps/ctrlProp24.xml"/><Relationship Id="rId22" Type="http://schemas.openxmlformats.org/officeDocument/2006/relationships/ctrlProp" Target="../ctrlProps/ctrlProp23.xml"/><Relationship Id="rId21" Type="http://schemas.openxmlformats.org/officeDocument/2006/relationships/ctrlProp" Target="../ctrlProps/ctrlProp22.xml"/><Relationship Id="rId20" Type="http://schemas.openxmlformats.org/officeDocument/2006/relationships/ctrlProp" Target="../ctrlProps/ctrlProp21.xml"/><Relationship Id="rId2" Type="http://schemas.openxmlformats.org/officeDocument/2006/relationships/drawing" Target="../drawings/drawing7.xml"/><Relationship Id="rId19" Type="http://schemas.openxmlformats.org/officeDocument/2006/relationships/ctrlProp" Target="../ctrlProps/ctrlProp20.xml"/><Relationship Id="rId18" Type="http://schemas.openxmlformats.org/officeDocument/2006/relationships/ctrlProp" Target="../ctrlProps/ctrlProp19.xml"/><Relationship Id="rId17" Type="http://schemas.openxmlformats.org/officeDocument/2006/relationships/ctrlProp" Target="../ctrlProps/ctrlProp18.xml"/><Relationship Id="rId16" Type="http://schemas.openxmlformats.org/officeDocument/2006/relationships/ctrlProp" Target="../ctrlProps/ctrlProp17.xml"/><Relationship Id="rId15" Type="http://schemas.openxmlformats.org/officeDocument/2006/relationships/ctrlProp" Target="../ctrlProps/ctrlProp16.xml"/><Relationship Id="rId14" Type="http://schemas.openxmlformats.org/officeDocument/2006/relationships/ctrlProp" Target="../ctrlProps/ctrlProp15.xml"/><Relationship Id="rId13" Type="http://schemas.openxmlformats.org/officeDocument/2006/relationships/ctrlProp" Target="../ctrlProps/ctrlProp14.xml"/><Relationship Id="rId12" Type="http://schemas.openxmlformats.org/officeDocument/2006/relationships/ctrlProp" Target="../ctrlProps/ctrlProp13.xml"/><Relationship Id="rId11" Type="http://schemas.openxmlformats.org/officeDocument/2006/relationships/ctrlProp" Target="../ctrlProps/ctrlProp12.xml"/><Relationship Id="rId10" Type="http://schemas.openxmlformats.org/officeDocument/2006/relationships/ctrlProp" Target="../ctrlProps/ctrlProp11.xml"/><Relationship Id="rId1"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9" Type="http://schemas.openxmlformats.org/officeDocument/2006/relationships/ctrlProp" Target="../ctrlProps/ctrlProp50.xml"/><Relationship Id="rId8" Type="http://schemas.openxmlformats.org/officeDocument/2006/relationships/ctrlProp" Target="../ctrlProps/ctrlProp49.xml"/><Relationship Id="rId7" Type="http://schemas.openxmlformats.org/officeDocument/2006/relationships/ctrlProp" Target="../ctrlProps/ctrlProp48.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3" Type="http://schemas.openxmlformats.org/officeDocument/2006/relationships/vmlDrawing" Target="../drawings/vmlDrawing12.vml"/><Relationship Id="rId2" Type="http://schemas.openxmlformats.org/officeDocument/2006/relationships/drawing" Target="../drawings/drawing8.xml"/><Relationship Id="rId11" Type="http://schemas.openxmlformats.org/officeDocument/2006/relationships/ctrlProp" Target="../ctrlProps/ctrlProp52.xml"/><Relationship Id="rId10" Type="http://schemas.openxmlformats.org/officeDocument/2006/relationships/ctrlProp" Target="../ctrlProps/ctrlProp51.xml"/><Relationship Id="rId1"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7" Type="http://schemas.openxmlformats.org/officeDocument/2006/relationships/ctrlProp" Target="../ctrlProps/ctrlProp56.xml"/><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comments" Target="../comments1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P10007"/>
  <sheetViews>
    <sheetView workbookViewId="0">
      <selection activeCell="A1" sqref="A1"/>
    </sheetView>
  </sheetViews>
  <sheetFormatPr defaultColWidth="9" defaultRowHeight="13.5"/>
  <cols>
    <col min="1" max="10" width="36.625" customWidth="1"/>
  </cols>
  <sheetData>
    <row r="1" spans="1:1">
      <c r="A1" s="968" t="s">
        <v>0</v>
      </c>
    </row>
    <row r="2" spans="16:16">
      <c r="P2" t="e">
        <f ca="1">CB.RecalcCounterFN()</f>
        <v>#NAME?</v>
      </c>
    </row>
    <row r="3" spans="1:3">
      <c r="A3" t="s">
        <v>1</v>
      </c>
      <c r="B3" t="s">
        <v>2</v>
      </c>
      <c r="C3">
        <v>0</v>
      </c>
    </row>
    <row r="4" spans="1:1">
      <c r="A4" t="s">
        <v>3</v>
      </c>
    </row>
    <row r="5" spans="1:1">
      <c r="A5" t="s">
        <v>4</v>
      </c>
    </row>
    <row r="7" spans="1:2">
      <c r="A7" s="968" t="s">
        <v>5</v>
      </c>
      <c r="B7" t="s">
        <v>6</v>
      </c>
    </row>
    <row r="8" spans="2:2">
      <c r="B8">
        <v>3</v>
      </c>
    </row>
    <row r="10" spans="1:1">
      <c r="A10" t="s">
        <v>7</v>
      </c>
    </row>
    <row r="11" spans="1:3">
      <c r="A11" t="e">
        <f>CB_DATA_!#REF!</f>
        <v>#REF!</v>
      </c>
      <c r="B11" t="e">
        <f>迭代模型!#REF!</f>
        <v>#REF!</v>
      </c>
      <c r="C11" t="e">
        <f>总模型!#REF!</f>
        <v>#REF!</v>
      </c>
    </row>
    <row r="13" spans="1:1">
      <c r="A13" t="s">
        <v>8</v>
      </c>
    </row>
    <row r="14" spans="1:3">
      <c r="A14" t="s">
        <v>9</v>
      </c>
      <c r="B14" s="969" t="s">
        <v>10</v>
      </c>
      <c r="C14" s="969" t="s">
        <v>11</v>
      </c>
    </row>
    <row r="16" spans="1:1">
      <c r="A16" t="s">
        <v>12</v>
      </c>
    </row>
    <row r="19" spans="1:1">
      <c r="A19" t="s">
        <v>13</v>
      </c>
    </row>
    <row r="20" spans="1:3">
      <c r="A20">
        <v>31</v>
      </c>
      <c r="B20">
        <v>34</v>
      </c>
      <c r="C20">
        <v>34</v>
      </c>
    </row>
    <row r="25" spans="1:1">
      <c r="A25" s="968" t="s">
        <v>14</v>
      </c>
    </row>
    <row r="26" spans="1:3">
      <c r="A26" s="969" t="s">
        <v>15</v>
      </c>
      <c r="B26" s="969" t="s">
        <v>16</v>
      </c>
      <c r="C26" s="969" t="s">
        <v>16</v>
      </c>
    </row>
    <row r="27" spans="1:3">
      <c r="A27" t="s">
        <v>17</v>
      </c>
      <c r="B27" t="s">
        <v>18</v>
      </c>
      <c r="C27" t="s">
        <v>19</v>
      </c>
    </row>
    <row r="28" spans="1:3">
      <c r="A28" s="969" t="s">
        <v>20</v>
      </c>
      <c r="B28" s="969" t="s">
        <v>20</v>
      </c>
      <c r="C28" s="969" t="s">
        <v>20</v>
      </c>
    </row>
    <row r="29" spans="1:3">
      <c r="A29" s="969" t="s">
        <v>21</v>
      </c>
      <c r="B29" s="969" t="s">
        <v>15</v>
      </c>
      <c r="C29" s="969" t="s">
        <v>15</v>
      </c>
    </row>
    <row r="30" spans="1:3">
      <c r="A30" t="s">
        <v>22</v>
      </c>
      <c r="B30" t="s">
        <v>23</v>
      </c>
      <c r="C30" t="s">
        <v>23</v>
      </c>
    </row>
    <row r="31" spans="1:3">
      <c r="A31" s="969" t="s">
        <v>24</v>
      </c>
      <c r="B31" s="969" t="s">
        <v>20</v>
      </c>
      <c r="C31" s="969" t="s">
        <v>20</v>
      </c>
    </row>
    <row r="32" spans="2:3">
      <c r="B32" s="969" t="s">
        <v>25</v>
      </c>
      <c r="C32" s="969" t="s">
        <v>25</v>
      </c>
    </row>
    <row r="33" spans="2:3">
      <c r="B33" t="s">
        <v>26</v>
      </c>
      <c r="C33" t="s">
        <v>27</v>
      </c>
    </row>
    <row r="34" spans="2:3">
      <c r="B34" s="969" t="s">
        <v>20</v>
      </c>
      <c r="C34" s="969" t="s">
        <v>20</v>
      </c>
    </row>
    <row r="10000" spans="1:1">
      <c r="A10000" t="s">
        <v>28</v>
      </c>
    </row>
    <row r="10001" spans="1:1">
      <c r="A10001" t="b">
        <f>"{0.CERTAINTY(0.4,0.7)}"&gt;=0.9</f>
        <v>1</v>
      </c>
    </row>
    <row r="10002" spans="1:1">
      <c r="A10002" t="b">
        <f>"{0.CERTAINTY(-0.15,0.3)}"&gt;=0.9</f>
        <v>1</v>
      </c>
    </row>
    <row r="10003" spans="1:1">
      <c r="A10003" t="b">
        <f>"{0.CERTAINTY(0,0.03)}"&gt;=0.9</f>
        <v>1</v>
      </c>
    </row>
    <row r="10007" spans="1:1">
      <c r="A10007" t="str">
        <f>"{0.CERTAINTY(-1.11E+307,0.7)}"</f>
        <v>{0.CERTAINTY(-1.11E+307,0.7)}</v>
      </c>
    </row>
  </sheetData>
  <pageMargins left="0.699305555555556" right="0.699305555555556" top="0.75" bottom="0.75" header="0.3" footer="0.3"/>
  <pageSetup paperSize="9"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F22"/>
  <sheetViews>
    <sheetView showGridLines="0" workbookViewId="0">
      <selection activeCell="N13" sqref="N13"/>
    </sheetView>
  </sheetViews>
  <sheetFormatPr defaultColWidth="9" defaultRowHeight="12" outlineLevelCol="5"/>
  <cols>
    <col min="1" max="1" width="15.625" style="47" customWidth="1"/>
    <col min="2" max="2" width="14.25" style="47" customWidth="1"/>
    <col min="3" max="3" width="11.625" style="47" customWidth="1"/>
    <col min="4" max="5" width="9" style="47"/>
    <col min="6" max="6" width="26.375" style="47" customWidth="1"/>
    <col min="7" max="256" width="9" style="47"/>
    <col min="257" max="257" width="15.625" style="47" customWidth="1"/>
    <col min="258" max="258" width="14.25" style="47" customWidth="1"/>
    <col min="259" max="259" width="11.625" style="47" customWidth="1"/>
    <col min="260" max="261" width="9" style="47"/>
    <col min="262" max="262" width="26.375" style="47" customWidth="1"/>
    <col min="263" max="512" width="9" style="47"/>
    <col min="513" max="513" width="15.625" style="47" customWidth="1"/>
    <col min="514" max="514" width="14.25" style="47" customWidth="1"/>
    <col min="515" max="515" width="11.625" style="47" customWidth="1"/>
    <col min="516" max="517" width="9" style="47"/>
    <col min="518" max="518" width="26.375" style="47" customWidth="1"/>
    <col min="519" max="768" width="9" style="47"/>
    <col min="769" max="769" width="15.625" style="47" customWidth="1"/>
    <col min="770" max="770" width="14.25" style="47" customWidth="1"/>
    <col min="771" max="771" width="11.625" style="47" customWidth="1"/>
    <col min="772" max="773" width="9" style="47"/>
    <col min="774" max="774" width="26.375" style="47" customWidth="1"/>
    <col min="775" max="1024" width="9" style="47"/>
    <col min="1025" max="1025" width="15.625" style="47" customWidth="1"/>
    <col min="1026" max="1026" width="14.25" style="47" customWidth="1"/>
    <col min="1027" max="1027" width="11.625" style="47" customWidth="1"/>
    <col min="1028" max="1029" width="9" style="47"/>
    <col min="1030" max="1030" width="26.375" style="47" customWidth="1"/>
    <col min="1031" max="1280" width="9" style="47"/>
    <col min="1281" max="1281" width="15.625" style="47" customWidth="1"/>
    <col min="1282" max="1282" width="14.25" style="47" customWidth="1"/>
    <col min="1283" max="1283" width="11.625" style="47" customWidth="1"/>
    <col min="1284" max="1285" width="9" style="47"/>
    <col min="1286" max="1286" width="26.375" style="47" customWidth="1"/>
    <col min="1287" max="1536" width="9" style="47"/>
    <col min="1537" max="1537" width="15.625" style="47" customWidth="1"/>
    <col min="1538" max="1538" width="14.25" style="47" customWidth="1"/>
    <col min="1539" max="1539" width="11.625" style="47" customWidth="1"/>
    <col min="1540" max="1541" width="9" style="47"/>
    <col min="1542" max="1542" width="26.375" style="47" customWidth="1"/>
    <col min="1543" max="1792" width="9" style="47"/>
    <col min="1793" max="1793" width="15.625" style="47" customWidth="1"/>
    <col min="1794" max="1794" width="14.25" style="47" customWidth="1"/>
    <col min="1795" max="1795" width="11.625" style="47" customWidth="1"/>
    <col min="1796" max="1797" width="9" style="47"/>
    <col min="1798" max="1798" width="26.375" style="47" customWidth="1"/>
    <col min="1799" max="2048" width="9" style="47"/>
    <col min="2049" max="2049" width="15.625" style="47" customWidth="1"/>
    <col min="2050" max="2050" width="14.25" style="47" customWidth="1"/>
    <col min="2051" max="2051" width="11.625" style="47" customWidth="1"/>
    <col min="2052" max="2053" width="9" style="47"/>
    <col min="2054" max="2054" width="26.375" style="47" customWidth="1"/>
    <col min="2055" max="2304" width="9" style="47"/>
    <col min="2305" max="2305" width="15.625" style="47" customWidth="1"/>
    <col min="2306" max="2306" width="14.25" style="47" customWidth="1"/>
    <col min="2307" max="2307" width="11.625" style="47" customWidth="1"/>
    <col min="2308" max="2309" width="9" style="47"/>
    <col min="2310" max="2310" width="26.375" style="47" customWidth="1"/>
    <col min="2311" max="2560" width="9" style="47"/>
    <col min="2561" max="2561" width="15.625" style="47" customWidth="1"/>
    <col min="2562" max="2562" width="14.25" style="47" customWidth="1"/>
    <col min="2563" max="2563" width="11.625" style="47" customWidth="1"/>
    <col min="2564" max="2565" width="9" style="47"/>
    <col min="2566" max="2566" width="26.375" style="47" customWidth="1"/>
    <col min="2567" max="2816" width="9" style="47"/>
    <col min="2817" max="2817" width="15.625" style="47" customWidth="1"/>
    <col min="2818" max="2818" width="14.25" style="47" customWidth="1"/>
    <col min="2819" max="2819" width="11.625" style="47" customWidth="1"/>
    <col min="2820" max="2821" width="9" style="47"/>
    <col min="2822" max="2822" width="26.375" style="47" customWidth="1"/>
    <col min="2823" max="3072" width="9" style="47"/>
    <col min="3073" max="3073" width="15.625" style="47" customWidth="1"/>
    <col min="3074" max="3074" width="14.25" style="47" customWidth="1"/>
    <col min="3075" max="3075" width="11.625" style="47" customWidth="1"/>
    <col min="3076" max="3077" width="9" style="47"/>
    <col min="3078" max="3078" width="26.375" style="47" customWidth="1"/>
    <col min="3079" max="3328" width="9" style="47"/>
    <col min="3329" max="3329" width="15.625" style="47" customWidth="1"/>
    <col min="3330" max="3330" width="14.25" style="47" customWidth="1"/>
    <col min="3331" max="3331" width="11.625" style="47" customWidth="1"/>
    <col min="3332" max="3333" width="9" style="47"/>
    <col min="3334" max="3334" width="26.375" style="47" customWidth="1"/>
    <col min="3335" max="3584" width="9" style="47"/>
    <col min="3585" max="3585" width="15.625" style="47" customWidth="1"/>
    <col min="3586" max="3586" width="14.25" style="47" customWidth="1"/>
    <col min="3587" max="3587" width="11.625" style="47" customWidth="1"/>
    <col min="3588" max="3589" width="9" style="47"/>
    <col min="3590" max="3590" width="26.375" style="47" customWidth="1"/>
    <col min="3591" max="3840" width="9" style="47"/>
    <col min="3841" max="3841" width="15.625" style="47" customWidth="1"/>
    <col min="3842" max="3842" width="14.25" style="47" customWidth="1"/>
    <col min="3843" max="3843" width="11.625" style="47" customWidth="1"/>
    <col min="3844" max="3845" width="9" style="47"/>
    <col min="3846" max="3846" width="26.375" style="47" customWidth="1"/>
    <col min="3847" max="4096" width="9" style="47"/>
    <col min="4097" max="4097" width="15.625" style="47" customWidth="1"/>
    <col min="4098" max="4098" width="14.25" style="47" customWidth="1"/>
    <col min="4099" max="4099" width="11.625" style="47" customWidth="1"/>
    <col min="4100" max="4101" width="9" style="47"/>
    <col min="4102" max="4102" width="26.375" style="47" customWidth="1"/>
    <col min="4103" max="4352" width="9" style="47"/>
    <col min="4353" max="4353" width="15.625" style="47" customWidth="1"/>
    <col min="4354" max="4354" width="14.25" style="47" customWidth="1"/>
    <col min="4355" max="4355" width="11.625" style="47" customWidth="1"/>
    <col min="4356" max="4357" width="9" style="47"/>
    <col min="4358" max="4358" width="26.375" style="47" customWidth="1"/>
    <col min="4359" max="4608" width="9" style="47"/>
    <col min="4609" max="4609" width="15.625" style="47" customWidth="1"/>
    <col min="4610" max="4610" width="14.25" style="47" customWidth="1"/>
    <col min="4611" max="4611" width="11.625" style="47" customWidth="1"/>
    <col min="4612" max="4613" width="9" style="47"/>
    <col min="4614" max="4614" width="26.375" style="47" customWidth="1"/>
    <col min="4615" max="4864" width="9" style="47"/>
    <col min="4865" max="4865" width="15.625" style="47" customWidth="1"/>
    <col min="4866" max="4866" width="14.25" style="47" customWidth="1"/>
    <col min="4867" max="4867" width="11.625" style="47" customWidth="1"/>
    <col min="4868" max="4869" width="9" style="47"/>
    <col min="4870" max="4870" width="26.375" style="47" customWidth="1"/>
    <col min="4871" max="5120" width="9" style="47"/>
    <col min="5121" max="5121" width="15.625" style="47" customWidth="1"/>
    <col min="5122" max="5122" width="14.25" style="47" customWidth="1"/>
    <col min="5123" max="5123" width="11.625" style="47" customWidth="1"/>
    <col min="5124" max="5125" width="9" style="47"/>
    <col min="5126" max="5126" width="26.375" style="47" customWidth="1"/>
    <col min="5127" max="5376" width="9" style="47"/>
    <col min="5377" max="5377" width="15.625" style="47" customWidth="1"/>
    <col min="5378" max="5378" width="14.25" style="47" customWidth="1"/>
    <col min="5379" max="5379" width="11.625" style="47" customWidth="1"/>
    <col min="5380" max="5381" width="9" style="47"/>
    <col min="5382" max="5382" width="26.375" style="47" customWidth="1"/>
    <col min="5383" max="5632" width="9" style="47"/>
    <col min="5633" max="5633" width="15.625" style="47" customWidth="1"/>
    <col min="5634" max="5634" width="14.25" style="47" customWidth="1"/>
    <col min="5635" max="5635" width="11.625" style="47" customWidth="1"/>
    <col min="5636" max="5637" width="9" style="47"/>
    <col min="5638" max="5638" width="26.375" style="47" customWidth="1"/>
    <col min="5639" max="5888" width="9" style="47"/>
    <col min="5889" max="5889" width="15.625" style="47" customWidth="1"/>
    <col min="5890" max="5890" width="14.25" style="47" customWidth="1"/>
    <col min="5891" max="5891" width="11.625" style="47" customWidth="1"/>
    <col min="5892" max="5893" width="9" style="47"/>
    <col min="5894" max="5894" width="26.375" style="47" customWidth="1"/>
    <col min="5895" max="6144" width="9" style="47"/>
    <col min="6145" max="6145" width="15.625" style="47" customWidth="1"/>
    <col min="6146" max="6146" width="14.25" style="47" customWidth="1"/>
    <col min="6147" max="6147" width="11.625" style="47" customWidth="1"/>
    <col min="6148" max="6149" width="9" style="47"/>
    <col min="6150" max="6150" width="26.375" style="47" customWidth="1"/>
    <col min="6151" max="6400" width="9" style="47"/>
    <col min="6401" max="6401" width="15.625" style="47" customWidth="1"/>
    <col min="6402" max="6402" width="14.25" style="47" customWidth="1"/>
    <col min="6403" max="6403" width="11.625" style="47" customWidth="1"/>
    <col min="6404" max="6405" width="9" style="47"/>
    <col min="6406" max="6406" width="26.375" style="47" customWidth="1"/>
    <col min="6407" max="6656" width="9" style="47"/>
    <col min="6657" max="6657" width="15.625" style="47" customWidth="1"/>
    <col min="6658" max="6658" width="14.25" style="47" customWidth="1"/>
    <col min="6659" max="6659" width="11.625" style="47" customWidth="1"/>
    <col min="6660" max="6661" width="9" style="47"/>
    <col min="6662" max="6662" width="26.375" style="47" customWidth="1"/>
    <col min="6663" max="6912" width="9" style="47"/>
    <col min="6913" max="6913" width="15.625" style="47" customWidth="1"/>
    <col min="6914" max="6914" width="14.25" style="47" customWidth="1"/>
    <col min="6915" max="6915" width="11.625" style="47" customWidth="1"/>
    <col min="6916" max="6917" width="9" style="47"/>
    <col min="6918" max="6918" width="26.375" style="47" customWidth="1"/>
    <col min="6919" max="7168" width="9" style="47"/>
    <col min="7169" max="7169" width="15.625" style="47" customWidth="1"/>
    <col min="7170" max="7170" width="14.25" style="47" customWidth="1"/>
    <col min="7171" max="7171" width="11.625" style="47" customWidth="1"/>
    <col min="7172" max="7173" width="9" style="47"/>
    <col min="7174" max="7174" width="26.375" style="47" customWidth="1"/>
    <col min="7175" max="7424" width="9" style="47"/>
    <col min="7425" max="7425" width="15.625" style="47" customWidth="1"/>
    <col min="7426" max="7426" width="14.25" style="47" customWidth="1"/>
    <col min="7427" max="7427" width="11.625" style="47" customWidth="1"/>
    <col min="7428" max="7429" width="9" style="47"/>
    <col min="7430" max="7430" width="26.375" style="47" customWidth="1"/>
    <col min="7431" max="7680" width="9" style="47"/>
    <col min="7681" max="7681" width="15.625" style="47" customWidth="1"/>
    <col min="7682" max="7682" width="14.25" style="47" customWidth="1"/>
    <col min="7683" max="7683" width="11.625" style="47" customWidth="1"/>
    <col min="7684" max="7685" width="9" style="47"/>
    <col min="7686" max="7686" width="26.375" style="47" customWidth="1"/>
    <col min="7687" max="7936" width="9" style="47"/>
    <col min="7937" max="7937" width="15.625" style="47" customWidth="1"/>
    <col min="7938" max="7938" width="14.25" style="47" customWidth="1"/>
    <col min="7939" max="7939" width="11.625" style="47" customWidth="1"/>
    <col min="7940" max="7941" width="9" style="47"/>
    <col min="7942" max="7942" width="26.375" style="47" customWidth="1"/>
    <col min="7943" max="8192" width="9" style="47"/>
    <col min="8193" max="8193" width="15.625" style="47" customWidth="1"/>
    <col min="8194" max="8194" width="14.25" style="47" customWidth="1"/>
    <col min="8195" max="8195" width="11.625" style="47" customWidth="1"/>
    <col min="8196" max="8197" width="9" style="47"/>
    <col min="8198" max="8198" width="26.375" style="47" customWidth="1"/>
    <col min="8199" max="8448" width="9" style="47"/>
    <col min="8449" max="8449" width="15.625" style="47" customWidth="1"/>
    <col min="8450" max="8450" width="14.25" style="47" customWidth="1"/>
    <col min="8451" max="8451" width="11.625" style="47" customWidth="1"/>
    <col min="8452" max="8453" width="9" style="47"/>
    <col min="8454" max="8454" width="26.375" style="47" customWidth="1"/>
    <col min="8455" max="8704" width="9" style="47"/>
    <col min="8705" max="8705" width="15.625" style="47" customWidth="1"/>
    <col min="8706" max="8706" width="14.25" style="47" customWidth="1"/>
    <col min="8707" max="8707" width="11.625" style="47" customWidth="1"/>
    <col min="8708" max="8709" width="9" style="47"/>
    <col min="8710" max="8710" width="26.375" style="47" customWidth="1"/>
    <col min="8711" max="8960" width="9" style="47"/>
    <col min="8961" max="8961" width="15.625" style="47" customWidth="1"/>
    <col min="8962" max="8962" width="14.25" style="47" customWidth="1"/>
    <col min="8963" max="8963" width="11.625" style="47" customWidth="1"/>
    <col min="8964" max="8965" width="9" style="47"/>
    <col min="8966" max="8966" width="26.375" style="47" customWidth="1"/>
    <col min="8967" max="9216" width="9" style="47"/>
    <col min="9217" max="9217" width="15.625" style="47" customWidth="1"/>
    <col min="9218" max="9218" width="14.25" style="47" customWidth="1"/>
    <col min="9219" max="9219" width="11.625" style="47" customWidth="1"/>
    <col min="9220" max="9221" width="9" style="47"/>
    <col min="9222" max="9222" width="26.375" style="47" customWidth="1"/>
    <col min="9223" max="9472" width="9" style="47"/>
    <col min="9473" max="9473" width="15.625" style="47" customWidth="1"/>
    <col min="9474" max="9474" width="14.25" style="47" customWidth="1"/>
    <col min="9475" max="9475" width="11.625" style="47" customWidth="1"/>
    <col min="9476" max="9477" width="9" style="47"/>
    <col min="9478" max="9478" width="26.375" style="47" customWidth="1"/>
    <col min="9479" max="9728" width="9" style="47"/>
    <col min="9729" max="9729" width="15.625" style="47" customWidth="1"/>
    <col min="9730" max="9730" width="14.25" style="47" customWidth="1"/>
    <col min="9731" max="9731" width="11.625" style="47" customWidth="1"/>
    <col min="9732" max="9733" width="9" style="47"/>
    <col min="9734" max="9734" width="26.375" style="47" customWidth="1"/>
    <col min="9735" max="9984" width="9" style="47"/>
    <col min="9985" max="9985" width="15.625" style="47" customWidth="1"/>
    <col min="9986" max="9986" width="14.25" style="47" customWidth="1"/>
    <col min="9987" max="9987" width="11.625" style="47" customWidth="1"/>
    <col min="9988" max="9989" width="9" style="47"/>
    <col min="9990" max="9990" width="26.375" style="47" customWidth="1"/>
    <col min="9991" max="10240" width="9" style="47"/>
    <col min="10241" max="10241" width="15.625" style="47" customWidth="1"/>
    <col min="10242" max="10242" width="14.25" style="47" customWidth="1"/>
    <col min="10243" max="10243" width="11.625" style="47" customWidth="1"/>
    <col min="10244" max="10245" width="9" style="47"/>
    <col min="10246" max="10246" width="26.375" style="47" customWidth="1"/>
    <col min="10247" max="10496" width="9" style="47"/>
    <col min="10497" max="10497" width="15.625" style="47" customWidth="1"/>
    <col min="10498" max="10498" width="14.25" style="47" customWidth="1"/>
    <col min="10499" max="10499" width="11.625" style="47" customWidth="1"/>
    <col min="10500" max="10501" width="9" style="47"/>
    <col min="10502" max="10502" width="26.375" style="47" customWidth="1"/>
    <col min="10503" max="10752" width="9" style="47"/>
    <col min="10753" max="10753" width="15.625" style="47" customWidth="1"/>
    <col min="10754" max="10754" width="14.25" style="47" customWidth="1"/>
    <col min="10755" max="10755" width="11.625" style="47" customWidth="1"/>
    <col min="10756" max="10757" width="9" style="47"/>
    <col min="10758" max="10758" width="26.375" style="47" customWidth="1"/>
    <col min="10759" max="11008" width="9" style="47"/>
    <col min="11009" max="11009" width="15.625" style="47" customWidth="1"/>
    <col min="11010" max="11010" width="14.25" style="47" customWidth="1"/>
    <col min="11011" max="11011" width="11.625" style="47" customWidth="1"/>
    <col min="11012" max="11013" width="9" style="47"/>
    <col min="11014" max="11014" width="26.375" style="47" customWidth="1"/>
    <col min="11015" max="11264" width="9" style="47"/>
    <col min="11265" max="11265" width="15.625" style="47" customWidth="1"/>
    <col min="11266" max="11266" width="14.25" style="47" customWidth="1"/>
    <col min="11267" max="11267" width="11.625" style="47" customWidth="1"/>
    <col min="11268" max="11269" width="9" style="47"/>
    <col min="11270" max="11270" width="26.375" style="47" customWidth="1"/>
    <col min="11271" max="11520" width="9" style="47"/>
    <col min="11521" max="11521" width="15.625" style="47" customWidth="1"/>
    <col min="11522" max="11522" width="14.25" style="47" customWidth="1"/>
    <col min="11523" max="11523" width="11.625" style="47" customWidth="1"/>
    <col min="11524" max="11525" width="9" style="47"/>
    <col min="11526" max="11526" width="26.375" style="47" customWidth="1"/>
    <col min="11527" max="11776" width="9" style="47"/>
    <col min="11777" max="11777" width="15.625" style="47" customWidth="1"/>
    <col min="11778" max="11778" width="14.25" style="47" customWidth="1"/>
    <col min="11779" max="11779" width="11.625" style="47" customWidth="1"/>
    <col min="11780" max="11781" width="9" style="47"/>
    <col min="11782" max="11782" width="26.375" style="47" customWidth="1"/>
    <col min="11783" max="12032" width="9" style="47"/>
    <col min="12033" max="12033" width="15.625" style="47" customWidth="1"/>
    <col min="12034" max="12034" width="14.25" style="47" customWidth="1"/>
    <col min="12035" max="12035" width="11.625" style="47" customWidth="1"/>
    <col min="12036" max="12037" width="9" style="47"/>
    <col min="12038" max="12038" width="26.375" style="47" customWidth="1"/>
    <col min="12039" max="12288" width="9" style="47"/>
    <col min="12289" max="12289" width="15.625" style="47" customWidth="1"/>
    <col min="12290" max="12290" width="14.25" style="47" customWidth="1"/>
    <col min="12291" max="12291" width="11.625" style="47" customWidth="1"/>
    <col min="12292" max="12293" width="9" style="47"/>
    <col min="12294" max="12294" width="26.375" style="47" customWidth="1"/>
    <col min="12295" max="12544" width="9" style="47"/>
    <col min="12545" max="12545" width="15.625" style="47" customWidth="1"/>
    <col min="12546" max="12546" width="14.25" style="47" customWidth="1"/>
    <col min="12547" max="12547" width="11.625" style="47" customWidth="1"/>
    <col min="12548" max="12549" width="9" style="47"/>
    <col min="12550" max="12550" width="26.375" style="47" customWidth="1"/>
    <col min="12551" max="12800" width="9" style="47"/>
    <col min="12801" max="12801" width="15.625" style="47" customWidth="1"/>
    <col min="12802" max="12802" width="14.25" style="47" customWidth="1"/>
    <col min="12803" max="12803" width="11.625" style="47" customWidth="1"/>
    <col min="12804" max="12805" width="9" style="47"/>
    <col min="12806" max="12806" width="26.375" style="47" customWidth="1"/>
    <col min="12807" max="13056" width="9" style="47"/>
    <col min="13057" max="13057" width="15.625" style="47" customWidth="1"/>
    <col min="13058" max="13058" width="14.25" style="47" customWidth="1"/>
    <col min="13059" max="13059" width="11.625" style="47" customWidth="1"/>
    <col min="13060" max="13061" width="9" style="47"/>
    <col min="13062" max="13062" width="26.375" style="47" customWidth="1"/>
    <col min="13063" max="13312" width="9" style="47"/>
    <col min="13313" max="13313" width="15.625" style="47" customWidth="1"/>
    <col min="13314" max="13314" width="14.25" style="47" customWidth="1"/>
    <col min="13315" max="13315" width="11.625" style="47" customWidth="1"/>
    <col min="13316" max="13317" width="9" style="47"/>
    <col min="13318" max="13318" width="26.375" style="47" customWidth="1"/>
    <col min="13319" max="13568" width="9" style="47"/>
    <col min="13569" max="13569" width="15.625" style="47" customWidth="1"/>
    <col min="13570" max="13570" width="14.25" style="47" customWidth="1"/>
    <col min="13571" max="13571" width="11.625" style="47" customWidth="1"/>
    <col min="13572" max="13573" width="9" style="47"/>
    <col min="13574" max="13574" width="26.375" style="47" customWidth="1"/>
    <col min="13575" max="13824" width="9" style="47"/>
    <col min="13825" max="13825" width="15.625" style="47" customWidth="1"/>
    <col min="13826" max="13826" width="14.25" style="47" customWidth="1"/>
    <col min="13827" max="13827" width="11.625" style="47" customWidth="1"/>
    <col min="13828" max="13829" width="9" style="47"/>
    <col min="13830" max="13830" width="26.375" style="47" customWidth="1"/>
    <col min="13831" max="14080" width="9" style="47"/>
    <col min="14081" max="14081" width="15.625" style="47" customWidth="1"/>
    <col min="14082" max="14082" width="14.25" style="47" customWidth="1"/>
    <col min="14083" max="14083" width="11.625" style="47" customWidth="1"/>
    <col min="14084" max="14085" width="9" style="47"/>
    <col min="14086" max="14086" width="26.375" style="47" customWidth="1"/>
    <col min="14087" max="14336" width="9" style="47"/>
    <col min="14337" max="14337" width="15.625" style="47" customWidth="1"/>
    <col min="14338" max="14338" width="14.25" style="47" customWidth="1"/>
    <col min="14339" max="14339" width="11.625" style="47" customWidth="1"/>
    <col min="14340" max="14341" width="9" style="47"/>
    <col min="14342" max="14342" width="26.375" style="47" customWidth="1"/>
    <col min="14343" max="14592" width="9" style="47"/>
    <col min="14593" max="14593" width="15.625" style="47" customWidth="1"/>
    <col min="14594" max="14594" width="14.25" style="47" customWidth="1"/>
    <col min="14595" max="14595" width="11.625" style="47" customWidth="1"/>
    <col min="14596" max="14597" width="9" style="47"/>
    <col min="14598" max="14598" width="26.375" style="47" customWidth="1"/>
    <col min="14599" max="14848" width="9" style="47"/>
    <col min="14849" max="14849" width="15.625" style="47" customWidth="1"/>
    <col min="14850" max="14850" width="14.25" style="47" customWidth="1"/>
    <col min="14851" max="14851" width="11.625" style="47" customWidth="1"/>
    <col min="14852" max="14853" width="9" style="47"/>
    <col min="14854" max="14854" width="26.375" style="47" customWidth="1"/>
    <col min="14855" max="15104" width="9" style="47"/>
    <col min="15105" max="15105" width="15.625" style="47" customWidth="1"/>
    <col min="15106" max="15106" width="14.25" style="47" customWidth="1"/>
    <col min="15107" max="15107" width="11.625" style="47" customWidth="1"/>
    <col min="15108" max="15109" width="9" style="47"/>
    <col min="15110" max="15110" width="26.375" style="47" customWidth="1"/>
    <col min="15111" max="15360" width="9" style="47"/>
    <col min="15361" max="15361" width="15.625" style="47" customWidth="1"/>
    <col min="15362" max="15362" width="14.25" style="47" customWidth="1"/>
    <col min="15363" max="15363" width="11.625" style="47" customWidth="1"/>
    <col min="15364" max="15365" width="9" style="47"/>
    <col min="15366" max="15366" width="26.375" style="47" customWidth="1"/>
    <col min="15367" max="15616" width="9" style="47"/>
    <col min="15617" max="15617" width="15.625" style="47" customWidth="1"/>
    <col min="15618" max="15618" width="14.25" style="47" customWidth="1"/>
    <col min="15619" max="15619" width="11.625" style="47" customWidth="1"/>
    <col min="15620" max="15621" width="9" style="47"/>
    <col min="15622" max="15622" width="26.375" style="47" customWidth="1"/>
    <col min="15623" max="15872" width="9" style="47"/>
    <col min="15873" max="15873" width="15.625" style="47" customWidth="1"/>
    <col min="15874" max="15874" width="14.25" style="47" customWidth="1"/>
    <col min="15875" max="15875" width="11.625" style="47" customWidth="1"/>
    <col min="15876" max="15877" width="9" style="47"/>
    <col min="15878" max="15878" width="26.375" style="47" customWidth="1"/>
    <col min="15879" max="16128" width="9" style="47"/>
    <col min="16129" max="16129" width="15.625" style="47" customWidth="1"/>
    <col min="16130" max="16130" width="14.25" style="47" customWidth="1"/>
    <col min="16131" max="16131" width="11.625" style="47" customWidth="1"/>
    <col min="16132" max="16133" width="9" style="47"/>
    <col min="16134" max="16134" width="26.375" style="47" customWidth="1"/>
    <col min="16135" max="16384" width="9" style="47"/>
  </cols>
  <sheetData>
    <row r="1" spans="1:6">
      <c r="A1" s="947" t="s">
        <v>29</v>
      </c>
      <c r="B1" s="947"/>
      <c r="C1" s="947"/>
      <c r="D1" s="947"/>
      <c r="E1" s="947"/>
      <c r="F1" s="947"/>
    </row>
    <row r="2" spans="1:6">
      <c r="A2" s="947"/>
      <c r="B2" s="947"/>
      <c r="C2" s="947"/>
      <c r="D2" s="947"/>
      <c r="E2" s="947"/>
      <c r="F2" s="947"/>
    </row>
    <row r="3" ht="15" customHeight="1" spans="1:6">
      <c r="A3" s="948"/>
      <c r="B3" s="948"/>
      <c r="C3" s="948"/>
      <c r="D3" s="948"/>
      <c r="E3" s="948"/>
      <c r="F3" s="948"/>
    </row>
    <row r="4" spans="1:6">
      <c r="A4" s="179"/>
      <c r="B4" s="509" t="s">
        <v>30</v>
      </c>
      <c r="C4" s="509"/>
      <c r="D4" s="509"/>
      <c r="E4" s="509"/>
      <c r="F4" s="509"/>
    </row>
    <row r="5" ht="13.5" spans="1:6">
      <c r="A5" s="179"/>
      <c r="B5" s="949" t="s">
        <v>31</v>
      </c>
      <c r="C5" s="949" t="s">
        <v>32</v>
      </c>
      <c r="D5" s="950" t="s">
        <v>33</v>
      </c>
      <c r="E5" s="949" t="s">
        <v>34</v>
      </c>
      <c r="F5" s="949" t="s">
        <v>35</v>
      </c>
    </row>
    <row r="6" ht="12.75" customHeight="1" spans="1:6">
      <c r="A6" s="179"/>
      <c r="B6" s="951" t="s">
        <v>36</v>
      </c>
      <c r="C6" s="952">
        <v>40784</v>
      </c>
      <c r="D6" s="953" t="s">
        <v>37</v>
      </c>
      <c r="E6" s="953" t="s">
        <v>38</v>
      </c>
      <c r="F6" s="953" t="s">
        <v>39</v>
      </c>
    </row>
    <row r="7" ht="12.75" customHeight="1" spans="1:6">
      <c r="A7" s="179"/>
      <c r="B7" s="509" t="s">
        <v>40</v>
      </c>
      <c r="C7" s="954">
        <v>40886</v>
      </c>
      <c r="D7" s="953" t="s">
        <v>41</v>
      </c>
      <c r="E7" s="953" t="s">
        <v>42</v>
      </c>
      <c r="F7" s="953" t="s">
        <v>43</v>
      </c>
    </row>
    <row r="8" ht="27.75" customHeight="1" spans="1:6">
      <c r="A8" s="179"/>
      <c r="B8" s="953" t="s">
        <v>44</v>
      </c>
      <c r="C8" s="954">
        <v>41501</v>
      </c>
      <c r="D8" s="953" t="s">
        <v>41</v>
      </c>
      <c r="E8" s="953" t="s">
        <v>42</v>
      </c>
      <c r="F8" s="955" t="s">
        <v>45</v>
      </c>
    </row>
    <row r="9" ht="18.75" customHeight="1" spans="1:6">
      <c r="A9" s="179"/>
      <c r="B9" s="953" t="s">
        <v>46</v>
      </c>
      <c r="C9" s="954">
        <v>41978</v>
      </c>
      <c r="D9" s="953" t="s">
        <v>41</v>
      </c>
      <c r="E9" s="953" t="s">
        <v>42</v>
      </c>
      <c r="F9" s="955" t="s">
        <v>47</v>
      </c>
    </row>
    <row r="10" ht="21" customHeight="1" spans="1:6">
      <c r="A10" s="179"/>
      <c r="B10" s="953" t="s">
        <v>48</v>
      </c>
      <c r="C10" s="954">
        <v>42124</v>
      </c>
      <c r="D10" s="953" t="s">
        <v>41</v>
      </c>
      <c r="E10" s="953" t="s">
        <v>42</v>
      </c>
      <c r="F10" s="955" t="s">
        <v>49</v>
      </c>
    </row>
    <row r="11" ht="21" customHeight="1" spans="1:6">
      <c r="A11" s="179"/>
      <c r="B11" s="953" t="s">
        <v>50</v>
      </c>
      <c r="C11" s="954">
        <v>43075</v>
      </c>
      <c r="D11" s="953" t="s">
        <v>41</v>
      </c>
      <c r="E11" s="953" t="s">
        <v>51</v>
      </c>
      <c r="F11" s="955" t="s">
        <v>52</v>
      </c>
    </row>
    <row r="12" spans="1:6">
      <c r="A12" s="179"/>
      <c r="B12" s="179"/>
      <c r="C12" s="179"/>
      <c r="D12" s="179"/>
      <c r="E12" s="179"/>
      <c r="F12" s="179"/>
    </row>
    <row r="13" ht="68.25" customHeight="1" spans="1:6">
      <c r="A13" s="956" t="s">
        <v>53</v>
      </c>
      <c r="B13" s="957" t="s">
        <v>54</v>
      </c>
      <c r="C13" s="958" t="s">
        <v>55</v>
      </c>
      <c r="D13" s="959"/>
      <c r="E13" s="959"/>
      <c r="F13" s="959"/>
    </row>
    <row r="14" ht="68.25" customHeight="1" spans="1:6">
      <c r="A14" s="960"/>
      <c r="B14" s="957" t="s">
        <v>56</v>
      </c>
      <c r="C14" s="959" t="s">
        <v>57</v>
      </c>
      <c r="D14" s="959"/>
      <c r="E14" s="959"/>
      <c r="F14" s="959"/>
    </row>
    <row r="15" ht="68.25" customHeight="1" spans="1:6">
      <c r="A15" s="960"/>
      <c r="B15" s="957" t="s">
        <v>58</v>
      </c>
      <c r="C15" s="959" t="s">
        <v>59</v>
      </c>
      <c r="D15" s="959"/>
      <c r="E15" s="959"/>
      <c r="F15" s="959"/>
    </row>
    <row r="16" ht="68.25" customHeight="1" spans="1:6">
      <c r="A16" s="961"/>
      <c r="B16" s="957" t="s">
        <v>60</v>
      </c>
      <c r="C16" s="959" t="s">
        <v>61</v>
      </c>
      <c r="D16" s="959"/>
      <c r="E16" s="959"/>
      <c r="F16" s="959"/>
    </row>
    <row r="17" ht="14.25" spans="1:1">
      <c r="A17" s="962"/>
    </row>
    <row r="18" ht="14.25" spans="1:1">
      <c r="A18" s="963"/>
    </row>
    <row r="19" ht="14.25" spans="1:1">
      <c r="A19" s="964" t="s">
        <v>62</v>
      </c>
    </row>
    <row r="20" spans="1:1">
      <c r="A20" s="965"/>
    </row>
    <row r="21" ht="14.25" spans="1:1">
      <c r="A21" s="966"/>
    </row>
    <row r="22" ht="14.25" spans="1:1">
      <c r="A22" s="967"/>
    </row>
  </sheetData>
  <mergeCells count="7">
    <mergeCell ref="B4:F4"/>
    <mergeCell ref="C13:F13"/>
    <mergeCell ref="C14:F14"/>
    <mergeCell ref="C15:F15"/>
    <mergeCell ref="C16:F16"/>
    <mergeCell ref="A13:A16"/>
    <mergeCell ref="A1:F2"/>
  </mergeCells>
  <pageMargins left="0.75" right="0.75" top="1" bottom="1" header="0.5" footer="0.5"/>
  <pageSetup paperSize="9" orientation="portrait"/>
  <headerFooter alignWithMargins="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I29"/>
  <sheetViews>
    <sheetView topLeftCell="A4" workbookViewId="0">
      <selection activeCell="I24" sqref="I24"/>
    </sheetView>
  </sheetViews>
  <sheetFormatPr defaultColWidth="9" defaultRowHeight="16.5"/>
  <cols>
    <col min="1" max="2" width="9" style="913" customWidth="1"/>
    <col min="3" max="3" width="6.625" style="913" customWidth="1"/>
    <col min="4" max="4" width="16.5" style="913" customWidth="1"/>
    <col min="5" max="5" width="10.875" style="914" customWidth="1"/>
    <col min="6" max="6" width="10.375" style="913" customWidth="1"/>
    <col min="7" max="7" width="9" style="913" customWidth="1"/>
    <col min="8" max="8" width="10" style="913" customWidth="1"/>
    <col min="9" max="253" width="9" style="913"/>
    <col min="254" max="255" width="9" style="913" customWidth="1"/>
    <col min="256" max="256" width="6.625" style="913" customWidth="1"/>
    <col min="257" max="257" width="16.5" style="913" customWidth="1"/>
    <col min="258" max="258" width="10.875" style="913" customWidth="1"/>
    <col min="259" max="259" width="9" style="913" customWidth="1"/>
    <col min="260" max="260" width="9.75" style="913" customWidth="1"/>
    <col min="261" max="262" width="9" style="913" customWidth="1"/>
    <col min="263" max="263" width="6.125" style="913" customWidth="1"/>
    <col min="264" max="264" width="10" style="913" customWidth="1"/>
    <col min="265" max="509" width="9" style="913"/>
    <col min="510" max="511" width="9" style="913" customWidth="1"/>
    <col min="512" max="512" width="6.625" style="913" customWidth="1"/>
    <col min="513" max="513" width="16.5" style="913" customWidth="1"/>
    <col min="514" max="514" width="10.875" style="913" customWidth="1"/>
    <col min="515" max="515" width="9" style="913" customWidth="1"/>
    <col min="516" max="516" width="9.75" style="913" customWidth="1"/>
    <col min="517" max="518" width="9" style="913" customWidth="1"/>
    <col min="519" max="519" width="6.125" style="913" customWidth="1"/>
    <col min="520" max="520" width="10" style="913" customWidth="1"/>
    <col min="521" max="765" width="9" style="913"/>
    <col min="766" max="767" width="9" style="913" customWidth="1"/>
    <col min="768" max="768" width="6.625" style="913" customWidth="1"/>
    <col min="769" max="769" width="16.5" style="913" customWidth="1"/>
    <col min="770" max="770" width="10.875" style="913" customWidth="1"/>
    <col min="771" max="771" width="9" style="913" customWidth="1"/>
    <col min="772" max="772" width="9.75" style="913" customWidth="1"/>
    <col min="773" max="774" width="9" style="913" customWidth="1"/>
    <col min="775" max="775" width="6.125" style="913" customWidth="1"/>
    <col min="776" max="776" width="10" style="913" customWidth="1"/>
    <col min="777" max="1021" width="9" style="913"/>
    <col min="1022" max="1023" width="9" style="913" customWidth="1"/>
    <col min="1024" max="1024" width="6.625" style="913" customWidth="1"/>
    <col min="1025" max="1025" width="16.5" style="913" customWidth="1"/>
    <col min="1026" max="1026" width="10.875" style="913" customWidth="1"/>
    <col min="1027" max="1027" width="9" style="913" customWidth="1"/>
    <col min="1028" max="1028" width="9.75" style="913" customWidth="1"/>
    <col min="1029" max="1030" width="9" style="913" customWidth="1"/>
    <col min="1031" max="1031" width="6.125" style="913" customWidth="1"/>
    <col min="1032" max="1032" width="10" style="913" customWidth="1"/>
    <col min="1033" max="1277" width="9" style="913"/>
    <col min="1278" max="1279" width="9" style="913" customWidth="1"/>
    <col min="1280" max="1280" width="6.625" style="913" customWidth="1"/>
    <col min="1281" max="1281" width="16.5" style="913" customWidth="1"/>
    <col min="1282" max="1282" width="10.875" style="913" customWidth="1"/>
    <col min="1283" max="1283" width="9" style="913" customWidth="1"/>
    <col min="1284" max="1284" width="9.75" style="913" customWidth="1"/>
    <col min="1285" max="1286" width="9" style="913" customWidth="1"/>
    <col min="1287" max="1287" width="6.125" style="913" customWidth="1"/>
    <col min="1288" max="1288" width="10" style="913" customWidth="1"/>
    <col min="1289" max="1533" width="9" style="913"/>
    <col min="1534" max="1535" width="9" style="913" customWidth="1"/>
    <col min="1536" max="1536" width="6.625" style="913" customWidth="1"/>
    <col min="1537" max="1537" width="16.5" style="913" customWidth="1"/>
    <col min="1538" max="1538" width="10.875" style="913" customWidth="1"/>
    <col min="1539" max="1539" width="9" style="913" customWidth="1"/>
    <col min="1540" max="1540" width="9.75" style="913" customWidth="1"/>
    <col min="1541" max="1542" width="9" style="913" customWidth="1"/>
    <col min="1543" max="1543" width="6.125" style="913" customWidth="1"/>
    <col min="1544" max="1544" width="10" style="913" customWidth="1"/>
    <col min="1545" max="1789" width="9" style="913"/>
    <col min="1790" max="1791" width="9" style="913" customWidth="1"/>
    <col min="1792" max="1792" width="6.625" style="913" customWidth="1"/>
    <col min="1793" max="1793" width="16.5" style="913" customWidth="1"/>
    <col min="1794" max="1794" width="10.875" style="913" customWidth="1"/>
    <col min="1795" max="1795" width="9" style="913" customWidth="1"/>
    <col min="1796" max="1796" width="9.75" style="913" customWidth="1"/>
    <col min="1797" max="1798" width="9" style="913" customWidth="1"/>
    <col min="1799" max="1799" width="6.125" style="913" customWidth="1"/>
    <col min="1800" max="1800" width="10" style="913" customWidth="1"/>
    <col min="1801" max="2045" width="9" style="913"/>
    <col min="2046" max="2047" width="9" style="913" customWidth="1"/>
    <col min="2048" max="2048" width="6.625" style="913" customWidth="1"/>
    <col min="2049" max="2049" width="16.5" style="913" customWidth="1"/>
    <col min="2050" max="2050" width="10.875" style="913" customWidth="1"/>
    <col min="2051" max="2051" width="9" style="913" customWidth="1"/>
    <col min="2052" max="2052" width="9.75" style="913" customWidth="1"/>
    <col min="2053" max="2054" width="9" style="913" customWidth="1"/>
    <col min="2055" max="2055" width="6.125" style="913" customWidth="1"/>
    <col min="2056" max="2056" width="10" style="913" customWidth="1"/>
    <col min="2057" max="2301" width="9" style="913"/>
    <col min="2302" max="2303" width="9" style="913" customWidth="1"/>
    <col min="2304" max="2304" width="6.625" style="913" customWidth="1"/>
    <col min="2305" max="2305" width="16.5" style="913" customWidth="1"/>
    <col min="2306" max="2306" width="10.875" style="913" customWidth="1"/>
    <col min="2307" max="2307" width="9" style="913" customWidth="1"/>
    <col min="2308" max="2308" width="9.75" style="913" customWidth="1"/>
    <col min="2309" max="2310" width="9" style="913" customWidth="1"/>
    <col min="2311" max="2311" width="6.125" style="913" customWidth="1"/>
    <col min="2312" max="2312" width="10" style="913" customWidth="1"/>
    <col min="2313" max="2557" width="9" style="913"/>
    <col min="2558" max="2559" width="9" style="913" customWidth="1"/>
    <col min="2560" max="2560" width="6.625" style="913" customWidth="1"/>
    <col min="2561" max="2561" width="16.5" style="913" customWidth="1"/>
    <col min="2562" max="2562" width="10.875" style="913" customWidth="1"/>
    <col min="2563" max="2563" width="9" style="913" customWidth="1"/>
    <col min="2564" max="2564" width="9.75" style="913" customWidth="1"/>
    <col min="2565" max="2566" width="9" style="913" customWidth="1"/>
    <col min="2567" max="2567" width="6.125" style="913" customWidth="1"/>
    <col min="2568" max="2568" width="10" style="913" customWidth="1"/>
    <col min="2569" max="2813" width="9" style="913"/>
    <col min="2814" max="2815" width="9" style="913" customWidth="1"/>
    <col min="2816" max="2816" width="6.625" style="913" customWidth="1"/>
    <col min="2817" max="2817" width="16.5" style="913" customWidth="1"/>
    <col min="2818" max="2818" width="10.875" style="913" customWidth="1"/>
    <col min="2819" max="2819" width="9" style="913" customWidth="1"/>
    <col min="2820" max="2820" width="9.75" style="913" customWidth="1"/>
    <col min="2821" max="2822" width="9" style="913" customWidth="1"/>
    <col min="2823" max="2823" width="6.125" style="913" customWidth="1"/>
    <col min="2824" max="2824" width="10" style="913" customWidth="1"/>
    <col min="2825" max="3069" width="9" style="913"/>
    <col min="3070" max="3071" width="9" style="913" customWidth="1"/>
    <col min="3072" max="3072" width="6.625" style="913" customWidth="1"/>
    <col min="3073" max="3073" width="16.5" style="913" customWidth="1"/>
    <col min="3074" max="3074" width="10.875" style="913" customWidth="1"/>
    <col min="3075" max="3075" width="9" style="913" customWidth="1"/>
    <col min="3076" max="3076" width="9.75" style="913" customWidth="1"/>
    <col min="3077" max="3078" width="9" style="913" customWidth="1"/>
    <col min="3079" max="3079" width="6.125" style="913" customWidth="1"/>
    <col min="3080" max="3080" width="10" style="913" customWidth="1"/>
    <col min="3081" max="3325" width="9" style="913"/>
    <col min="3326" max="3327" width="9" style="913" customWidth="1"/>
    <col min="3328" max="3328" width="6.625" style="913" customWidth="1"/>
    <col min="3329" max="3329" width="16.5" style="913" customWidth="1"/>
    <col min="3330" max="3330" width="10.875" style="913" customWidth="1"/>
    <col min="3331" max="3331" width="9" style="913" customWidth="1"/>
    <col min="3332" max="3332" width="9.75" style="913" customWidth="1"/>
    <col min="3333" max="3334" width="9" style="913" customWidth="1"/>
    <col min="3335" max="3335" width="6.125" style="913" customWidth="1"/>
    <col min="3336" max="3336" width="10" style="913" customWidth="1"/>
    <col min="3337" max="3581" width="9" style="913"/>
    <col min="3582" max="3583" width="9" style="913" customWidth="1"/>
    <col min="3584" max="3584" width="6.625" style="913" customWidth="1"/>
    <col min="3585" max="3585" width="16.5" style="913" customWidth="1"/>
    <col min="3586" max="3586" width="10.875" style="913" customWidth="1"/>
    <col min="3587" max="3587" width="9" style="913" customWidth="1"/>
    <col min="3588" max="3588" width="9.75" style="913" customWidth="1"/>
    <col min="3589" max="3590" width="9" style="913" customWidth="1"/>
    <col min="3591" max="3591" width="6.125" style="913" customWidth="1"/>
    <col min="3592" max="3592" width="10" style="913" customWidth="1"/>
    <col min="3593" max="3837" width="9" style="913"/>
    <col min="3838" max="3839" width="9" style="913" customWidth="1"/>
    <col min="3840" max="3840" width="6.625" style="913" customWidth="1"/>
    <col min="3841" max="3841" width="16.5" style="913" customWidth="1"/>
    <col min="3842" max="3842" width="10.875" style="913" customWidth="1"/>
    <col min="3843" max="3843" width="9" style="913" customWidth="1"/>
    <col min="3844" max="3844" width="9.75" style="913" customWidth="1"/>
    <col min="3845" max="3846" width="9" style="913" customWidth="1"/>
    <col min="3847" max="3847" width="6.125" style="913" customWidth="1"/>
    <col min="3848" max="3848" width="10" style="913" customWidth="1"/>
    <col min="3849" max="4093" width="9" style="913"/>
    <col min="4094" max="4095" width="9" style="913" customWidth="1"/>
    <col min="4096" max="4096" width="6.625" style="913" customWidth="1"/>
    <col min="4097" max="4097" width="16.5" style="913" customWidth="1"/>
    <col min="4098" max="4098" width="10.875" style="913" customWidth="1"/>
    <col min="4099" max="4099" width="9" style="913" customWidth="1"/>
    <col min="4100" max="4100" width="9.75" style="913" customWidth="1"/>
    <col min="4101" max="4102" width="9" style="913" customWidth="1"/>
    <col min="4103" max="4103" width="6.125" style="913" customWidth="1"/>
    <col min="4104" max="4104" width="10" style="913" customWidth="1"/>
    <col min="4105" max="4349" width="9" style="913"/>
    <col min="4350" max="4351" width="9" style="913" customWidth="1"/>
    <col min="4352" max="4352" width="6.625" style="913" customWidth="1"/>
    <col min="4353" max="4353" width="16.5" style="913" customWidth="1"/>
    <col min="4354" max="4354" width="10.875" style="913" customWidth="1"/>
    <col min="4355" max="4355" width="9" style="913" customWidth="1"/>
    <col min="4356" max="4356" width="9.75" style="913" customWidth="1"/>
    <col min="4357" max="4358" width="9" style="913" customWidth="1"/>
    <col min="4359" max="4359" width="6.125" style="913" customWidth="1"/>
    <col min="4360" max="4360" width="10" style="913" customWidth="1"/>
    <col min="4361" max="4605" width="9" style="913"/>
    <col min="4606" max="4607" width="9" style="913" customWidth="1"/>
    <col min="4608" max="4608" width="6.625" style="913" customWidth="1"/>
    <col min="4609" max="4609" width="16.5" style="913" customWidth="1"/>
    <col min="4610" max="4610" width="10.875" style="913" customWidth="1"/>
    <col min="4611" max="4611" width="9" style="913" customWidth="1"/>
    <col min="4612" max="4612" width="9.75" style="913" customWidth="1"/>
    <col min="4613" max="4614" width="9" style="913" customWidth="1"/>
    <col min="4615" max="4615" width="6.125" style="913" customWidth="1"/>
    <col min="4616" max="4616" width="10" style="913" customWidth="1"/>
    <col min="4617" max="4861" width="9" style="913"/>
    <col min="4862" max="4863" width="9" style="913" customWidth="1"/>
    <col min="4864" max="4864" width="6.625" style="913" customWidth="1"/>
    <col min="4865" max="4865" width="16.5" style="913" customWidth="1"/>
    <col min="4866" max="4866" width="10.875" style="913" customWidth="1"/>
    <col min="4867" max="4867" width="9" style="913" customWidth="1"/>
    <col min="4868" max="4868" width="9.75" style="913" customWidth="1"/>
    <col min="4869" max="4870" width="9" style="913" customWidth="1"/>
    <col min="4871" max="4871" width="6.125" style="913" customWidth="1"/>
    <col min="4872" max="4872" width="10" style="913" customWidth="1"/>
    <col min="4873" max="5117" width="9" style="913"/>
    <col min="5118" max="5119" width="9" style="913" customWidth="1"/>
    <col min="5120" max="5120" width="6.625" style="913" customWidth="1"/>
    <col min="5121" max="5121" width="16.5" style="913" customWidth="1"/>
    <col min="5122" max="5122" width="10.875" style="913" customWidth="1"/>
    <col min="5123" max="5123" width="9" style="913" customWidth="1"/>
    <col min="5124" max="5124" width="9.75" style="913" customWidth="1"/>
    <col min="5125" max="5126" width="9" style="913" customWidth="1"/>
    <col min="5127" max="5127" width="6.125" style="913" customWidth="1"/>
    <col min="5128" max="5128" width="10" style="913" customWidth="1"/>
    <col min="5129" max="5373" width="9" style="913"/>
    <col min="5374" max="5375" width="9" style="913" customWidth="1"/>
    <col min="5376" max="5376" width="6.625" style="913" customWidth="1"/>
    <col min="5377" max="5377" width="16.5" style="913" customWidth="1"/>
    <col min="5378" max="5378" width="10.875" style="913" customWidth="1"/>
    <col min="5379" max="5379" width="9" style="913" customWidth="1"/>
    <col min="5380" max="5380" width="9.75" style="913" customWidth="1"/>
    <col min="5381" max="5382" width="9" style="913" customWidth="1"/>
    <col min="5383" max="5383" width="6.125" style="913" customWidth="1"/>
    <col min="5384" max="5384" width="10" style="913" customWidth="1"/>
    <col min="5385" max="5629" width="9" style="913"/>
    <col min="5630" max="5631" width="9" style="913" customWidth="1"/>
    <col min="5632" max="5632" width="6.625" style="913" customWidth="1"/>
    <col min="5633" max="5633" width="16.5" style="913" customWidth="1"/>
    <col min="5634" max="5634" width="10.875" style="913" customWidth="1"/>
    <col min="5635" max="5635" width="9" style="913" customWidth="1"/>
    <col min="5636" max="5636" width="9.75" style="913" customWidth="1"/>
    <col min="5637" max="5638" width="9" style="913" customWidth="1"/>
    <col min="5639" max="5639" width="6.125" style="913" customWidth="1"/>
    <col min="5640" max="5640" width="10" style="913" customWidth="1"/>
    <col min="5641" max="5885" width="9" style="913"/>
    <col min="5886" max="5887" width="9" style="913" customWidth="1"/>
    <col min="5888" max="5888" width="6.625" style="913" customWidth="1"/>
    <col min="5889" max="5889" width="16.5" style="913" customWidth="1"/>
    <col min="5890" max="5890" width="10.875" style="913" customWidth="1"/>
    <col min="5891" max="5891" width="9" style="913" customWidth="1"/>
    <col min="5892" max="5892" width="9.75" style="913" customWidth="1"/>
    <col min="5893" max="5894" width="9" style="913" customWidth="1"/>
    <col min="5895" max="5895" width="6.125" style="913" customWidth="1"/>
    <col min="5896" max="5896" width="10" style="913" customWidth="1"/>
    <col min="5897" max="6141" width="9" style="913"/>
    <col min="6142" max="6143" width="9" style="913" customWidth="1"/>
    <col min="6144" max="6144" width="6.625" style="913" customWidth="1"/>
    <col min="6145" max="6145" width="16.5" style="913" customWidth="1"/>
    <col min="6146" max="6146" width="10.875" style="913" customWidth="1"/>
    <col min="6147" max="6147" width="9" style="913" customWidth="1"/>
    <col min="6148" max="6148" width="9.75" style="913" customWidth="1"/>
    <col min="6149" max="6150" width="9" style="913" customWidth="1"/>
    <col min="6151" max="6151" width="6.125" style="913" customWidth="1"/>
    <col min="6152" max="6152" width="10" style="913" customWidth="1"/>
    <col min="6153" max="6397" width="9" style="913"/>
    <col min="6398" max="6399" width="9" style="913" customWidth="1"/>
    <col min="6400" max="6400" width="6.625" style="913" customWidth="1"/>
    <col min="6401" max="6401" width="16.5" style="913" customWidth="1"/>
    <col min="6402" max="6402" width="10.875" style="913" customWidth="1"/>
    <col min="6403" max="6403" width="9" style="913" customWidth="1"/>
    <col min="6404" max="6404" width="9.75" style="913" customWidth="1"/>
    <col min="6405" max="6406" width="9" style="913" customWidth="1"/>
    <col min="6407" max="6407" width="6.125" style="913" customWidth="1"/>
    <col min="6408" max="6408" width="10" style="913" customWidth="1"/>
    <col min="6409" max="6653" width="9" style="913"/>
    <col min="6654" max="6655" width="9" style="913" customWidth="1"/>
    <col min="6656" max="6656" width="6.625" style="913" customWidth="1"/>
    <col min="6657" max="6657" width="16.5" style="913" customWidth="1"/>
    <col min="6658" max="6658" width="10.875" style="913" customWidth="1"/>
    <col min="6659" max="6659" width="9" style="913" customWidth="1"/>
    <col min="6660" max="6660" width="9.75" style="913" customWidth="1"/>
    <col min="6661" max="6662" width="9" style="913" customWidth="1"/>
    <col min="6663" max="6663" width="6.125" style="913" customWidth="1"/>
    <col min="6664" max="6664" width="10" style="913" customWidth="1"/>
    <col min="6665" max="6909" width="9" style="913"/>
    <col min="6910" max="6911" width="9" style="913" customWidth="1"/>
    <col min="6912" max="6912" width="6.625" style="913" customWidth="1"/>
    <col min="6913" max="6913" width="16.5" style="913" customWidth="1"/>
    <col min="6914" max="6914" width="10.875" style="913" customWidth="1"/>
    <col min="6915" max="6915" width="9" style="913" customWidth="1"/>
    <col min="6916" max="6916" width="9.75" style="913" customWidth="1"/>
    <col min="6917" max="6918" width="9" style="913" customWidth="1"/>
    <col min="6919" max="6919" width="6.125" style="913" customWidth="1"/>
    <col min="6920" max="6920" width="10" style="913" customWidth="1"/>
    <col min="6921" max="7165" width="9" style="913"/>
    <col min="7166" max="7167" width="9" style="913" customWidth="1"/>
    <col min="7168" max="7168" width="6.625" style="913" customWidth="1"/>
    <col min="7169" max="7169" width="16.5" style="913" customWidth="1"/>
    <col min="7170" max="7170" width="10.875" style="913" customWidth="1"/>
    <col min="7171" max="7171" width="9" style="913" customWidth="1"/>
    <col min="7172" max="7172" width="9.75" style="913" customWidth="1"/>
    <col min="7173" max="7174" width="9" style="913" customWidth="1"/>
    <col min="7175" max="7175" width="6.125" style="913" customWidth="1"/>
    <col min="7176" max="7176" width="10" style="913" customWidth="1"/>
    <col min="7177" max="7421" width="9" style="913"/>
    <col min="7422" max="7423" width="9" style="913" customWidth="1"/>
    <col min="7424" max="7424" width="6.625" style="913" customWidth="1"/>
    <col min="7425" max="7425" width="16.5" style="913" customWidth="1"/>
    <col min="7426" max="7426" width="10.875" style="913" customWidth="1"/>
    <col min="7427" max="7427" width="9" style="913" customWidth="1"/>
    <col min="7428" max="7428" width="9.75" style="913" customWidth="1"/>
    <col min="7429" max="7430" width="9" style="913" customWidth="1"/>
    <col min="7431" max="7431" width="6.125" style="913" customWidth="1"/>
    <col min="7432" max="7432" width="10" style="913" customWidth="1"/>
    <col min="7433" max="7677" width="9" style="913"/>
    <col min="7678" max="7679" width="9" style="913" customWidth="1"/>
    <col min="7680" max="7680" width="6.625" style="913" customWidth="1"/>
    <col min="7681" max="7681" width="16.5" style="913" customWidth="1"/>
    <col min="7682" max="7682" width="10.875" style="913" customWidth="1"/>
    <col min="7683" max="7683" width="9" style="913" customWidth="1"/>
    <col min="7684" max="7684" width="9.75" style="913" customWidth="1"/>
    <col min="7685" max="7686" width="9" style="913" customWidth="1"/>
    <col min="7687" max="7687" width="6.125" style="913" customWidth="1"/>
    <col min="7688" max="7688" width="10" style="913" customWidth="1"/>
    <col min="7689" max="7933" width="9" style="913"/>
    <col min="7934" max="7935" width="9" style="913" customWidth="1"/>
    <col min="7936" max="7936" width="6.625" style="913" customWidth="1"/>
    <col min="7937" max="7937" width="16.5" style="913" customWidth="1"/>
    <col min="7938" max="7938" width="10.875" style="913" customWidth="1"/>
    <col min="7939" max="7939" width="9" style="913" customWidth="1"/>
    <col min="7940" max="7940" width="9.75" style="913" customWidth="1"/>
    <col min="7941" max="7942" width="9" style="913" customWidth="1"/>
    <col min="7943" max="7943" width="6.125" style="913" customWidth="1"/>
    <col min="7944" max="7944" width="10" style="913" customWidth="1"/>
    <col min="7945" max="8189" width="9" style="913"/>
    <col min="8190" max="8191" width="9" style="913" customWidth="1"/>
    <col min="8192" max="8192" width="6.625" style="913" customWidth="1"/>
    <col min="8193" max="8193" width="16.5" style="913" customWidth="1"/>
    <col min="8194" max="8194" width="10.875" style="913" customWidth="1"/>
    <col min="8195" max="8195" width="9" style="913" customWidth="1"/>
    <col min="8196" max="8196" width="9.75" style="913" customWidth="1"/>
    <col min="8197" max="8198" width="9" style="913" customWidth="1"/>
    <col min="8199" max="8199" width="6.125" style="913" customWidth="1"/>
    <col min="8200" max="8200" width="10" style="913" customWidth="1"/>
    <col min="8201" max="8445" width="9" style="913"/>
    <col min="8446" max="8447" width="9" style="913" customWidth="1"/>
    <col min="8448" max="8448" width="6.625" style="913" customWidth="1"/>
    <col min="8449" max="8449" width="16.5" style="913" customWidth="1"/>
    <col min="8450" max="8450" width="10.875" style="913" customWidth="1"/>
    <col min="8451" max="8451" width="9" style="913" customWidth="1"/>
    <col min="8452" max="8452" width="9.75" style="913" customWidth="1"/>
    <col min="8453" max="8454" width="9" style="913" customWidth="1"/>
    <col min="8455" max="8455" width="6.125" style="913" customWidth="1"/>
    <col min="8456" max="8456" width="10" style="913" customWidth="1"/>
    <col min="8457" max="8701" width="9" style="913"/>
    <col min="8702" max="8703" width="9" style="913" customWidth="1"/>
    <col min="8704" max="8704" width="6.625" style="913" customWidth="1"/>
    <col min="8705" max="8705" width="16.5" style="913" customWidth="1"/>
    <col min="8706" max="8706" width="10.875" style="913" customWidth="1"/>
    <col min="8707" max="8707" width="9" style="913" customWidth="1"/>
    <col min="8708" max="8708" width="9.75" style="913" customWidth="1"/>
    <col min="8709" max="8710" width="9" style="913" customWidth="1"/>
    <col min="8711" max="8711" width="6.125" style="913" customWidth="1"/>
    <col min="8712" max="8712" width="10" style="913" customWidth="1"/>
    <col min="8713" max="8957" width="9" style="913"/>
    <col min="8958" max="8959" width="9" style="913" customWidth="1"/>
    <col min="8960" max="8960" width="6.625" style="913" customWidth="1"/>
    <col min="8961" max="8961" width="16.5" style="913" customWidth="1"/>
    <col min="8962" max="8962" width="10.875" style="913" customWidth="1"/>
    <col min="8963" max="8963" width="9" style="913" customWidth="1"/>
    <col min="8964" max="8964" width="9.75" style="913" customWidth="1"/>
    <col min="8965" max="8966" width="9" style="913" customWidth="1"/>
    <col min="8967" max="8967" width="6.125" style="913" customWidth="1"/>
    <col min="8968" max="8968" width="10" style="913" customWidth="1"/>
    <col min="8969" max="9213" width="9" style="913"/>
    <col min="9214" max="9215" width="9" style="913" customWidth="1"/>
    <col min="9216" max="9216" width="6.625" style="913" customWidth="1"/>
    <col min="9217" max="9217" width="16.5" style="913" customWidth="1"/>
    <col min="9218" max="9218" width="10.875" style="913" customWidth="1"/>
    <col min="9219" max="9219" width="9" style="913" customWidth="1"/>
    <col min="9220" max="9220" width="9.75" style="913" customWidth="1"/>
    <col min="9221" max="9222" width="9" style="913" customWidth="1"/>
    <col min="9223" max="9223" width="6.125" style="913" customWidth="1"/>
    <col min="9224" max="9224" width="10" style="913" customWidth="1"/>
    <col min="9225" max="9469" width="9" style="913"/>
    <col min="9470" max="9471" width="9" style="913" customWidth="1"/>
    <col min="9472" max="9472" width="6.625" style="913" customWidth="1"/>
    <col min="9473" max="9473" width="16.5" style="913" customWidth="1"/>
    <col min="9474" max="9474" width="10.875" style="913" customWidth="1"/>
    <col min="9475" max="9475" width="9" style="913" customWidth="1"/>
    <col min="9476" max="9476" width="9.75" style="913" customWidth="1"/>
    <col min="9477" max="9478" width="9" style="913" customWidth="1"/>
    <col min="9479" max="9479" width="6.125" style="913" customWidth="1"/>
    <col min="9480" max="9480" width="10" style="913" customWidth="1"/>
    <col min="9481" max="9725" width="9" style="913"/>
    <col min="9726" max="9727" width="9" style="913" customWidth="1"/>
    <col min="9728" max="9728" width="6.625" style="913" customWidth="1"/>
    <col min="9729" max="9729" width="16.5" style="913" customWidth="1"/>
    <col min="9730" max="9730" width="10.875" style="913" customWidth="1"/>
    <col min="9731" max="9731" width="9" style="913" customWidth="1"/>
    <col min="9732" max="9732" width="9.75" style="913" customWidth="1"/>
    <col min="9733" max="9734" width="9" style="913" customWidth="1"/>
    <col min="9735" max="9735" width="6.125" style="913" customWidth="1"/>
    <col min="9736" max="9736" width="10" style="913" customWidth="1"/>
    <col min="9737" max="9981" width="9" style="913"/>
    <col min="9982" max="9983" width="9" style="913" customWidth="1"/>
    <col min="9984" max="9984" width="6.625" style="913" customWidth="1"/>
    <col min="9985" max="9985" width="16.5" style="913" customWidth="1"/>
    <col min="9986" max="9986" width="10.875" style="913" customWidth="1"/>
    <col min="9987" max="9987" width="9" style="913" customWidth="1"/>
    <col min="9988" max="9988" width="9.75" style="913" customWidth="1"/>
    <col min="9989" max="9990" width="9" style="913" customWidth="1"/>
    <col min="9991" max="9991" width="6.125" style="913" customWidth="1"/>
    <col min="9992" max="9992" width="10" style="913" customWidth="1"/>
    <col min="9993" max="10237" width="9" style="913"/>
    <col min="10238" max="10239" width="9" style="913" customWidth="1"/>
    <col min="10240" max="10240" width="6.625" style="913" customWidth="1"/>
    <col min="10241" max="10241" width="16.5" style="913" customWidth="1"/>
    <col min="10242" max="10242" width="10.875" style="913" customWidth="1"/>
    <col min="10243" max="10243" width="9" style="913" customWidth="1"/>
    <col min="10244" max="10244" width="9.75" style="913" customWidth="1"/>
    <col min="10245" max="10246" width="9" style="913" customWidth="1"/>
    <col min="10247" max="10247" width="6.125" style="913" customWidth="1"/>
    <col min="10248" max="10248" width="10" style="913" customWidth="1"/>
    <col min="10249" max="10493" width="9" style="913"/>
    <col min="10494" max="10495" width="9" style="913" customWidth="1"/>
    <col min="10496" max="10496" width="6.625" style="913" customWidth="1"/>
    <col min="10497" max="10497" width="16.5" style="913" customWidth="1"/>
    <col min="10498" max="10498" width="10.875" style="913" customWidth="1"/>
    <col min="10499" max="10499" width="9" style="913" customWidth="1"/>
    <col min="10500" max="10500" width="9.75" style="913" customWidth="1"/>
    <col min="10501" max="10502" width="9" style="913" customWidth="1"/>
    <col min="10503" max="10503" width="6.125" style="913" customWidth="1"/>
    <col min="10504" max="10504" width="10" style="913" customWidth="1"/>
    <col min="10505" max="10749" width="9" style="913"/>
    <col min="10750" max="10751" width="9" style="913" customWidth="1"/>
    <col min="10752" max="10752" width="6.625" style="913" customWidth="1"/>
    <col min="10753" max="10753" width="16.5" style="913" customWidth="1"/>
    <col min="10754" max="10754" width="10.875" style="913" customWidth="1"/>
    <col min="10755" max="10755" width="9" style="913" customWidth="1"/>
    <col min="10756" max="10756" width="9.75" style="913" customWidth="1"/>
    <col min="10757" max="10758" width="9" style="913" customWidth="1"/>
    <col min="10759" max="10759" width="6.125" style="913" customWidth="1"/>
    <col min="10760" max="10760" width="10" style="913" customWidth="1"/>
    <col min="10761" max="11005" width="9" style="913"/>
    <col min="11006" max="11007" width="9" style="913" customWidth="1"/>
    <col min="11008" max="11008" width="6.625" style="913" customWidth="1"/>
    <col min="11009" max="11009" width="16.5" style="913" customWidth="1"/>
    <col min="11010" max="11010" width="10.875" style="913" customWidth="1"/>
    <col min="11011" max="11011" width="9" style="913" customWidth="1"/>
    <col min="11012" max="11012" width="9.75" style="913" customWidth="1"/>
    <col min="11013" max="11014" width="9" style="913" customWidth="1"/>
    <col min="11015" max="11015" width="6.125" style="913" customWidth="1"/>
    <col min="11016" max="11016" width="10" style="913" customWidth="1"/>
    <col min="11017" max="11261" width="9" style="913"/>
    <col min="11262" max="11263" width="9" style="913" customWidth="1"/>
    <col min="11264" max="11264" width="6.625" style="913" customWidth="1"/>
    <col min="11265" max="11265" width="16.5" style="913" customWidth="1"/>
    <col min="11266" max="11266" width="10.875" style="913" customWidth="1"/>
    <col min="11267" max="11267" width="9" style="913" customWidth="1"/>
    <col min="11268" max="11268" width="9.75" style="913" customWidth="1"/>
    <col min="11269" max="11270" width="9" style="913" customWidth="1"/>
    <col min="11271" max="11271" width="6.125" style="913" customWidth="1"/>
    <col min="11272" max="11272" width="10" style="913" customWidth="1"/>
    <col min="11273" max="11517" width="9" style="913"/>
    <col min="11518" max="11519" width="9" style="913" customWidth="1"/>
    <col min="11520" max="11520" width="6.625" style="913" customWidth="1"/>
    <col min="11521" max="11521" width="16.5" style="913" customWidth="1"/>
    <col min="11522" max="11522" width="10.875" style="913" customWidth="1"/>
    <col min="11523" max="11523" width="9" style="913" customWidth="1"/>
    <col min="11524" max="11524" width="9.75" style="913" customWidth="1"/>
    <col min="11525" max="11526" width="9" style="913" customWidth="1"/>
    <col min="11527" max="11527" width="6.125" style="913" customWidth="1"/>
    <col min="11528" max="11528" width="10" style="913" customWidth="1"/>
    <col min="11529" max="11773" width="9" style="913"/>
    <col min="11774" max="11775" width="9" style="913" customWidth="1"/>
    <col min="11776" max="11776" width="6.625" style="913" customWidth="1"/>
    <col min="11777" max="11777" width="16.5" style="913" customWidth="1"/>
    <col min="11778" max="11778" width="10.875" style="913" customWidth="1"/>
    <col min="11779" max="11779" width="9" style="913" customWidth="1"/>
    <col min="11780" max="11780" width="9.75" style="913" customWidth="1"/>
    <col min="11781" max="11782" width="9" style="913" customWidth="1"/>
    <col min="11783" max="11783" width="6.125" style="913" customWidth="1"/>
    <col min="11784" max="11784" width="10" style="913" customWidth="1"/>
    <col min="11785" max="12029" width="9" style="913"/>
    <col min="12030" max="12031" width="9" style="913" customWidth="1"/>
    <col min="12032" max="12032" width="6.625" style="913" customWidth="1"/>
    <col min="12033" max="12033" width="16.5" style="913" customWidth="1"/>
    <col min="12034" max="12034" width="10.875" style="913" customWidth="1"/>
    <col min="12035" max="12035" width="9" style="913" customWidth="1"/>
    <col min="12036" max="12036" width="9.75" style="913" customWidth="1"/>
    <col min="12037" max="12038" width="9" style="913" customWidth="1"/>
    <col min="12039" max="12039" width="6.125" style="913" customWidth="1"/>
    <col min="12040" max="12040" width="10" style="913" customWidth="1"/>
    <col min="12041" max="12285" width="9" style="913"/>
    <col min="12286" max="12287" width="9" style="913" customWidth="1"/>
    <col min="12288" max="12288" width="6.625" style="913" customWidth="1"/>
    <col min="12289" max="12289" width="16.5" style="913" customWidth="1"/>
    <col min="12290" max="12290" width="10.875" style="913" customWidth="1"/>
    <col min="12291" max="12291" width="9" style="913" customWidth="1"/>
    <col min="12292" max="12292" width="9.75" style="913" customWidth="1"/>
    <col min="12293" max="12294" width="9" style="913" customWidth="1"/>
    <col min="12295" max="12295" width="6.125" style="913" customWidth="1"/>
    <col min="12296" max="12296" width="10" style="913" customWidth="1"/>
    <col min="12297" max="12541" width="9" style="913"/>
    <col min="12542" max="12543" width="9" style="913" customWidth="1"/>
    <col min="12544" max="12544" width="6.625" style="913" customWidth="1"/>
    <col min="12545" max="12545" width="16.5" style="913" customWidth="1"/>
    <col min="12546" max="12546" width="10.875" style="913" customWidth="1"/>
    <col min="12547" max="12547" width="9" style="913" customWidth="1"/>
    <col min="12548" max="12548" width="9.75" style="913" customWidth="1"/>
    <col min="12549" max="12550" width="9" style="913" customWidth="1"/>
    <col min="12551" max="12551" width="6.125" style="913" customWidth="1"/>
    <col min="12552" max="12552" width="10" style="913" customWidth="1"/>
    <col min="12553" max="12797" width="9" style="913"/>
    <col min="12798" max="12799" width="9" style="913" customWidth="1"/>
    <col min="12800" max="12800" width="6.625" style="913" customWidth="1"/>
    <col min="12801" max="12801" width="16.5" style="913" customWidth="1"/>
    <col min="12802" max="12802" width="10.875" style="913" customWidth="1"/>
    <col min="12803" max="12803" width="9" style="913" customWidth="1"/>
    <col min="12804" max="12804" width="9.75" style="913" customWidth="1"/>
    <col min="12805" max="12806" width="9" style="913" customWidth="1"/>
    <col min="12807" max="12807" width="6.125" style="913" customWidth="1"/>
    <col min="12808" max="12808" width="10" style="913" customWidth="1"/>
    <col min="12809" max="13053" width="9" style="913"/>
    <col min="13054" max="13055" width="9" style="913" customWidth="1"/>
    <col min="13056" max="13056" width="6.625" style="913" customWidth="1"/>
    <col min="13057" max="13057" width="16.5" style="913" customWidth="1"/>
    <col min="13058" max="13058" width="10.875" style="913" customWidth="1"/>
    <col min="13059" max="13059" width="9" style="913" customWidth="1"/>
    <col min="13060" max="13060" width="9.75" style="913" customWidth="1"/>
    <col min="13061" max="13062" width="9" style="913" customWidth="1"/>
    <col min="13063" max="13063" width="6.125" style="913" customWidth="1"/>
    <col min="13064" max="13064" width="10" style="913" customWidth="1"/>
    <col min="13065" max="13309" width="9" style="913"/>
    <col min="13310" max="13311" width="9" style="913" customWidth="1"/>
    <col min="13312" max="13312" width="6.625" style="913" customWidth="1"/>
    <col min="13313" max="13313" width="16.5" style="913" customWidth="1"/>
    <col min="13314" max="13314" width="10.875" style="913" customWidth="1"/>
    <col min="13315" max="13315" width="9" style="913" customWidth="1"/>
    <col min="13316" max="13316" width="9.75" style="913" customWidth="1"/>
    <col min="13317" max="13318" width="9" style="913" customWidth="1"/>
    <col min="13319" max="13319" width="6.125" style="913" customWidth="1"/>
    <col min="13320" max="13320" width="10" style="913" customWidth="1"/>
    <col min="13321" max="13565" width="9" style="913"/>
    <col min="13566" max="13567" width="9" style="913" customWidth="1"/>
    <col min="13568" max="13568" width="6.625" style="913" customWidth="1"/>
    <col min="13569" max="13569" width="16.5" style="913" customWidth="1"/>
    <col min="13570" max="13570" width="10.875" style="913" customWidth="1"/>
    <col min="13571" max="13571" width="9" style="913" customWidth="1"/>
    <col min="13572" max="13572" width="9.75" style="913" customWidth="1"/>
    <col min="13573" max="13574" width="9" style="913" customWidth="1"/>
    <col min="13575" max="13575" width="6.125" style="913" customWidth="1"/>
    <col min="13576" max="13576" width="10" style="913" customWidth="1"/>
    <col min="13577" max="13821" width="9" style="913"/>
    <col min="13822" max="13823" width="9" style="913" customWidth="1"/>
    <col min="13824" max="13824" width="6.625" style="913" customWidth="1"/>
    <col min="13825" max="13825" width="16.5" style="913" customWidth="1"/>
    <col min="13826" max="13826" width="10.875" style="913" customWidth="1"/>
    <col min="13827" max="13827" width="9" style="913" customWidth="1"/>
    <col min="13828" max="13828" width="9.75" style="913" customWidth="1"/>
    <col min="13829" max="13830" width="9" style="913" customWidth="1"/>
    <col min="13831" max="13831" width="6.125" style="913" customWidth="1"/>
    <col min="13832" max="13832" width="10" style="913" customWidth="1"/>
    <col min="13833" max="14077" width="9" style="913"/>
    <col min="14078" max="14079" width="9" style="913" customWidth="1"/>
    <col min="14080" max="14080" width="6.625" style="913" customWidth="1"/>
    <col min="14081" max="14081" width="16.5" style="913" customWidth="1"/>
    <col min="14082" max="14082" width="10.875" style="913" customWidth="1"/>
    <col min="14083" max="14083" width="9" style="913" customWidth="1"/>
    <col min="14084" max="14084" width="9.75" style="913" customWidth="1"/>
    <col min="14085" max="14086" width="9" style="913" customWidth="1"/>
    <col min="14087" max="14087" width="6.125" style="913" customWidth="1"/>
    <col min="14088" max="14088" width="10" style="913" customWidth="1"/>
    <col min="14089" max="14333" width="9" style="913"/>
    <col min="14334" max="14335" width="9" style="913" customWidth="1"/>
    <col min="14336" max="14336" width="6.625" style="913" customWidth="1"/>
    <col min="14337" max="14337" width="16.5" style="913" customWidth="1"/>
    <col min="14338" max="14338" width="10.875" style="913" customWidth="1"/>
    <col min="14339" max="14339" width="9" style="913" customWidth="1"/>
    <col min="14340" max="14340" width="9.75" style="913" customWidth="1"/>
    <col min="14341" max="14342" width="9" style="913" customWidth="1"/>
    <col min="14343" max="14343" width="6.125" style="913" customWidth="1"/>
    <col min="14344" max="14344" width="10" style="913" customWidth="1"/>
    <col min="14345" max="14589" width="9" style="913"/>
    <col min="14590" max="14591" width="9" style="913" customWidth="1"/>
    <col min="14592" max="14592" width="6.625" style="913" customWidth="1"/>
    <col min="14593" max="14593" width="16.5" style="913" customWidth="1"/>
    <col min="14594" max="14594" width="10.875" style="913" customWidth="1"/>
    <col min="14595" max="14595" width="9" style="913" customWidth="1"/>
    <col min="14596" max="14596" width="9.75" style="913" customWidth="1"/>
    <col min="14597" max="14598" width="9" style="913" customWidth="1"/>
    <col min="14599" max="14599" width="6.125" style="913" customWidth="1"/>
    <col min="14600" max="14600" width="10" style="913" customWidth="1"/>
    <col min="14601" max="14845" width="9" style="913"/>
    <col min="14846" max="14847" width="9" style="913" customWidth="1"/>
    <col min="14848" max="14848" width="6.625" style="913" customWidth="1"/>
    <col min="14849" max="14849" width="16.5" style="913" customWidth="1"/>
    <col min="14850" max="14850" width="10.875" style="913" customWidth="1"/>
    <col min="14851" max="14851" width="9" style="913" customWidth="1"/>
    <col min="14852" max="14852" width="9.75" style="913" customWidth="1"/>
    <col min="14853" max="14854" width="9" style="913" customWidth="1"/>
    <col min="14855" max="14855" width="6.125" style="913" customWidth="1"/>
    <col min="14856" max="14856" width="10" style="913" customWidth="1"/>
    <col min="14857" max="15101" width="9" style="913"/>
    <col min="15102" max="15103" width="9" style="913" customWidth="1"/>
    <col min="15104" max="15104" width="6.625" style="913" customWidth="1"/>
    <col min="15105" max="15105" width="16.5" style="913" customWidth="1"/>
    <col min="15106" max="15106" width="10.875" style="913" customWidth="1"/>
    <col min="15107" max="15107" width="9" style="913" customWidth="1"/>
    <col min="15108" max="15108" width="9.75" style="913" customWidth="1"/>
    <col min="15109" max="15110" width="9" style="913" customWidth="1"/>
    <col min="15111" max="15111" width="6.125" style="913" customWidth="1"/>
    <col min="15112" max="15112" width="10" style="913" customWidth="1"/>
    <col min="15113" max="15357" width="9" style="913"/>
    <col min="15358" max="15359" width="9" style="913" customWidth="1"/>
    <col min="15360" max="15360" width="6.625" style="913" customWidth="1"/>
    <col min="15361" max="15361" width="16.5" style="913" customWidth="1"/>
    <col min="15362" max="15362" width="10.875" style="913" customWidth="1"/>
    <col min="15363" max="15363" width="9" style="913" customWidth="1"/>
    <col min="15364" max="15364" width="9.75" style="913" customWidth="1"/>
    <col min="15365" max="15366" width="9" style="913" customWidth="1"/>
    <col min="15367" max="15367" width="6.125" style="913" customWidth="1"/>
    <col min="15368" max="15368" width="10" style="913" customWidth="1"/>
    <col min="15369" max="15613" width="9" style="913"/>
    <col min="15614" max="15615" width="9" style="913" customWidth="1"/>
    <col min="15616" max="15616" width="6.625" style="913" customWidth="1"/>
    <col min="15617" max="15617" width="16.5" style="913" customWidth="1"/>
    <col min="15618" max="15618" width="10.875" style="913" customWidth="1"/>
    <col min="15619" max="15619" width="9" style="913" customWidth="1"/>
    <col min="15620" max="15620" width="9.75" style="913" customWidth="1"/>
    <col min="15621" max="15622" width="9" style="913" customWidth="1"/>
    <col min="15623" max="15623" width="6.125" style="913" customWidth="1"/>
    <col min="15624" max="15624" width="10" style="913" customWidth="1"/>
    <col min="15625" max="15869" width="9" style="913"/>
    <col min="15870" max="15871" width="9" style="913" customWidth="1"/>
    <col min="15872" max="15872" width="6.625" style="913" customWidth="1"/>
    <col min="15873" max="15873" width="16.5" style="913" customWidth="1"/>
    <col min="15874" max="15874" width="10.875" style="913" customWidth="1"/>
    <col min="15875" max="15875" width="9" style="913" customWidth="1"/>
    <col min="15876" max="15876" width="9.75" style="913" customWidth="1"/>
    <col min="15877" max="15878" width="9" style="913" customWidth="1"/>
    <col min="15879" max="15879" width="6.125" style="913" customWidth="1"/>
    <col min="15880" max="15880" width="10" style="913" customWidth="1"/>
    <col min="15881" max="16125" width="9" style="913"/>
    <col min="16126" max="16127" width="9" style="913" customWidth="1"/>
    <col min="16128" max="16128" width="6.625" style="913" customWidth="1"/>
    <col min="16129" max="16129" width="16.5" style="913" customWidth="1"/>
    <col min="16130" max="16130" width="10.875" style="913" customWidth="1"/>
    <col min="16131" max="16131" width="9" style="913" customWidth="1"/>
    <col min="16132" max="16132" width="9.75" style="913" customWidth="1"/>
    <col min="16133" max="16134" width="9" style="913" customWidth="1"/>
    <col min="16135" max="16135" width="6.125" style="913" customWidth="1"/>
    <col min="16136" max="16136" width="10" style="913" customWidth="1"/>
    <col min="16137" max="16384" width="9" style="913"/>
  </cols>
  <sheetData>
    <row r="1" spans="9:9">
      <c r="I1" s="913">
        <v>6</v>
      </c>
    </row>
    <row r="3" spans="1:7">
      <c r="A3" s="915"/>
      <c r="B3" s="916"/>
      <c r="C3" s="916"/>
      <c r="D3" s="916"/>
      <c r="E3" s="917"/>
      <c r="F3" s="918"/>
      <c r="G3" s="919"/>
    </row>
    <row r="4" s="912" customFormat="1" ht="20.25" spans="1:6">
      <c r="A4" s="920"/>
      <c r="B4" s="921" t="s">
        <v>63</v>
      </c>
      <c r="C4" s="921"/>
      <c r="D4" s="921"/>
      <c r="E4" s="921"/>
      <c r="F4" s="922"/>
    </row>
    <row r="5" ht="17.25" customHeight="1" spans="1:6">
      <c r="A5" s="920"/>
      <c r="B5" s="923"/>
      <c r="C5" s="923"/>
      <c r="D5" s="923"/>
      <c r="E5" s="924"/>
      <c r="F5" s="922"/>
    </row>
    <row r="6" ht="19.5" spans="1:6">
      <c r="A6" s="920"/>
      <c r="B6" s="923"/>
      <c r="C6" s="923" t="s">
        <v>64</v>
      </c>
      <c r="D6" s="923" t="s">
        <v>65</v>
      </c>
      <c r="E6" s="924"/>
      <c r="F6" s="922"/>
    </row>
    <row r="7" ht="19.5" spans="1:6">
      <c r="A7" s="920"/>
      <c r="B7" s="923"/>
      <c r="C7" s="923">
        <v>1</v>
      </c>
      <c r="D7" s="925" t="s">
        <v>66</v>
      </c>
      <c r="E7" s="924"/>
      <c r="F7" s="922"/>
    </row>
    <row r="8" ht="19.5" spans="1:6">
      <c r="A8" s="920"/>
      <c r="B8" s="923"/>
      <c r="C8" s="923">
        <v>2</v>
      </c>
      <c r="D8" s="926" t="s">
        <v>67</v>
      </c>
      <c r="E8" s="924"/>
      <c r="F8" s="922"/>
    </row>
    <row r="9" ht="19.5" spans="1:6">
      <c r="A9" s="920"/>
      <c r="B9" s="923"/>
      <c r="C9" s="923">
        <v>3</v>
      </c>
      <c r="D9" s="925" t="s">
        <v>68</v>
      </c>
      <c r="E9" s="924"/>
      <c r="F9" s="922"/>
    </row>
    <row r="10" ht="19.5" spans="1:6">
      <c r="A10" s="920"/>
      <c r="B10" s="923"/>
      <c r="C10" s="923">
        <v>4</v>
      </c>
      <c r="D10" s="925" t="s">
        <v>69</v>
      </c>
      <c r="E10" s="924"/>
      <c r="F10" s="922"/>
    </row>
    <row r="11" ht="19.5" spans="1:6">
      <c r="A11" s="920"/>
      <c r="B11" s="923"/>
      <c r="C11" s="923">
        <v>5</v>
      </c>
      <c r="D11" s="925" t="s">
        <v>70</v>
      </c>
      <c r="E11" s="924"/>
      <c r="F11" s="922"/>
    </row>
    <row r="12" ht="19.5" spans="1:6">
      <c r="A12" s="920"/>
      <c r="B12" s="923"/>
      <c r="C12" s="923">
        <v>6</v>
      </c>
      <c r="D12" s="925" t="s">
        <v>71</v>
      </c>
      <c r="E12" s="924"/>
      <c r="F12" s="922"/>
    </row>
    <row r="13" ht="19.5" spans="1:6">
      <c r="A13" s="920"/>
      <c r="B13" s="923"/>
      <c r="C13" s="923">
        <v>7</v>
      </c>
      <c r="D13" s="927" t="s">
        <v>72</v>
      </c>
      <c r="E13" s="928"/>
      <c r="F13" s="922"/>
    </row>
    <row r="14" ht="19.5" spans="1:6">
      <c r="A14" s="920"/>
      <c r="B14" s="923"/>
      <c r="C14" s="923">
        <v>8</v>
      </c>
      <c r="D14" s="926" t="s">
        <v>73</v>
      </c>
      <c r="E14" s="928"/>
      <c r="F14" s="922"/>
    </row>
    <row r="15" ht="19.5" spans="1:6">
      <c r="A15" s="920"/>
      <c r="B15" s="923"/>
      <c r="C15" s="923">
        <v>9</v>
      </c>
      <c r="D15" s="926" t="s">
        <v>74</v>
      </c>
      <c r="E15" s="928"/>
      <c r="F15" s="922"/>
    </row>
    <row r="16" ht="19.5" spans="1:6">
      <c r="A16" s="920"/>
      <c r="B16" s="923"/>
      <c r="C16" s="923">
        <v>10</v>
      </c>
      <c r="D16" s="925" t="s">
        <v>75</v>
      </c>
      <c r="E16" s="928"/>
      <c r="F16" s="922"/>
    </row>
    <row r="17" ht="19.5" spans="1:6">
      <c r="A17" s="920"/>
      <c r="B17" s="923"/>
      <c r="C17" s="923">
        <v>11</v>
      </c>
      <c r="D17" s="926" t="s">
        <v>76</v>
      </c>
      <c r="E17" s="928"/>
      <c r="F17" s="922"/>
    </row>
    <row r="18" ht="14.25" spans="1:6">
      <c r="A18" s="920"/>
      <c r="B18" s="923"/>
      <c r="C18" s="923">
        <v>12</v>
      </c>
      <c r="D18" s="927" t="s">
        <v>77</v>
      </c>
      <c r="E18" s="913"/>
      <c r="F18" s="922"/>
    </row>
    <row r="19" ht="14.25" spans="1:6">
      <c r="A19" s="920"/>
      <c r="B19" s="923"/>
      <c r="C19" s="923">
        <v>13</v>
      </c>
      <c r="D19" s="929" t="s">
        <v>78</v>
      </c>
      <c r="E19" s="913"/>
      <c r="F19" s="922"/>
    </row>
    <row r="20" ht="19.5" spans="1:6">
      <c r="A20" s="920"/>
      <c r="B20" s="923"/>
      <c r="C20" s="923">
        <v>14</v>
      </c>
      <c r="D20" s="927" t="s">
        <v>79</v>
      </c>
      <c r="E20" s="924"/>
      <c r="F20" s="922"/>
    </row>
    <row r="21" spans="1:6">
      <c r="A21" s="912"/>
      <c r="B21" s="912"/>
      <c r="C21" s="923">
        <v>15</v>
      </c>
      <c r="D21" s="925" t="s">
        <v>80</v>
      </c>
      <c r="E21" s="930"/>
      <c r="F21" s="931"/>
    </row>
    <row r="22" spans="1:6">
      <c r="A22" s="932"/>
      <c r="B22" s="912"/>
      <c r="C22" s="912"/>
      <c r="E22" s="930"/>
      <c r="F22" s="931"/>
    </row>
    <row r="23" ht="17.25" spans="1:6">
      <c r="A23" s="933"/>
      <c r="B23" s="933"/>
      <c r="C23" s="933"/>
      <c r="D23" s="933"/>
      <c r="E23" s="934"/>
      <c r="F23" s="935"/>
    </row>
    <row r="24" spans="1:6">
      <c r="A24" s="912"/>
      <c r="B24" s="912"/>
      <c r="C24" s="912"/>
      <c r="D24" s="912"/>
      <c r="E24" s="930"/>
      <c r="F24" s="912"/>
    </row>
    <row r="25" s="912" customFormat="1" ht="17.25" spans="5:5">
      <c r="E25" s="930"/>
    </row>
    <row r="26" spans="1:6">
      <c r="A26" s="936" t="s">
        <v>81</v>
      </c>
      <c r="B26" s="937"/>
      <c r="C26" s="938"/>
      <c r="D26" s="938"/>
      <c r="E26" s="939"/>
      <c r="F26" s="940"/>
    </row>
    <row r="27" spans="1:6">
      <c r="A27" s="941"/>
      <c r="B27" s="942"/>
      <c r="C27" s="912"/>
      <c r="D27" s="943">
        <v>496178</v>
      </c>
      <c r="E27" s="930"/>
      <c r="F27" s="944"/>
    </row>
    <row r="28" spans="1:6">
      <c r="A28" s="941"/>
      <c r="B28" s="942"/>
      <c r="C28" s="912"/>
      <c r="D28" s="943" t="s">
        <v>82</v>
      </c>
      <c r="E28" s="930"/>
      <c r="F28" s="944"/>
    </row>
    <row r="29" ht="17.25" spans="1:6">
      <c r="A29" s="945"/>
      <c r="B29" s="946"/>
      <c r="C29" s="933"/>
      <c r="D29" s="933"/>
      <c r="E29" s="934"/>
      <c r="F29" s="935"/>
    </row>
  </sheetData>
  <mergeCells count="2">
    <mergeCell ref="B4:E4"/>
    <mergeCell ref="A26:B29"/>
  </mergeCells>
  <hyperlinks>
    <hyperlink ref="D14" location="工作量分布!A1" display="工作量分布"/>
    <hyperlink ref="D16" location="项目进度!A1" display="进度"/>
    <hyperlink ref="D8" location="项目属性!A1" display="项目属性"/>
    <hyperlink ref="D17" location="缺陷度量!A1" display="过程产出缺陷度量"/>
    <hyperlink ref="D15" location="规模!A1" display="规模"/>
    <hyperlink ref="D19" location="人员统计!A1" display="人员统计"/>
    <hyperlink ref="D13" location="需求!A1" display="需求"/>
    <hyperlink ref="D21" location="模型数据检查!A1" display="模型检验"/>
    <hyperlink ref="D7" location="填写说明!A1" display="填写说明"/>
    <hyperlink ref="D9" location="项目度量分析计划!A1" display="项目度量分析计划"/>
    <hyperlink ref="D10" location="模型!A1" display="模型"/>
    <hyperlink ref="D11" location="'预测-结果'!A1" display="预测-结果"/>
    <hyperlink ref="D12" location="'预测-指导'!A1" display="预测-指导"/>
    <hyperlink ref="D18" location="测试及验收缺陷度量!A1" display="测试及验收缺陷度量"/>
    <hyperlink ref="D20" location="根因分析!A1" display="根因分析"/>
  </hyperlinks>
  <pageMargins left="0.75" right="0.75" top="1" bottom="1" header="0.5" footer="0.5"/>
  <pageSetup paperSize="9"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6561" name="Button 1" r:id="rId3">
              <controlPr print="0" defaultSize="0">
                <anchor moveWithCells="1">
                  <from>
                    <xdr:col>2</xdr:col>
                    <xdr:colOff>295275</xdr:colOff>
                    <xdr:row>25</xdr:row>
                    <xdr:rowOff>85725</xdr:rowOff>
                  </from>
                  <to>
                    <xdr:col>3</xdr:col>
                    <xdr:colOff>942975</xdr:colOff>
                    <xdr:row>26</xdr:row>
                    <xdr:rowOff>161925</xdr:rowOff>
                  </to>
                </anchor>
              </controlPr>
            </control>
          </mc:Choice>
        </mc:AlternateContent>
        <mc:AlternateContent xmlns:mc="http://schemas.openxmlformats.org/markup-compatibility/2006">
          <mc:Choice Requires="x14">
            <control shapeId="66562" name="Button 2" r:id="rId4">
              <controlPr print="0" defaultSize="0">
                <anchor moveWithCells="1">
                  <from>
                    <xdr:col>2</xdr:col>
                    <xdr:colOff>295275</xdr:colOff>
                    <xdr:row>27</xdr:row>
                    <xdr:rowOff>66675</xdr:rowOff>
                  </from>
                  <to>
                    <xdr:col>3</xdr:col>
                    <xdr:colOff>942975</xdr:colOff>
                    <xdr:row>28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rgb="FF00B0F0"/>
  </sheetPr>
  <dimension ref="A1:I16"/>
  <sheetViews>
    <sheetView workbookViewId="0">
      <selection activeCell="B13" sqref="B13"/>
    </sheetView>
  </sheetViews>
  <sheetFormatPr defaultColWidth="9" defaultRowHeight="13.5"/>
  <sheetData>
    <row r="1" spans="1:9">
      <c r="A1" s="896" t="s">
        <v>66</v>
      </c>
      <c r="B1" s="897"/>
      <c r="C1" s="897"/>
      <c r="D1" s="897"/>
      <c r="E1" s="897"/>
      <c r="F1" s="897"/>
      <c r="G1" s="897"/>
      <c r="H1" s="897"/>
      <c r="I1" s="897"/>
    </row>
    <row r="2" spans="1:9">
      <c r="A2" s="898" t="s">
        <v>83</v>
      </c>
      <c r="B2" s="899"/>
      <c r="C2" s="899"/>
      <c r="D2" s="899"/>
      <c r="E2" s="899"/>
      <c r="F2" s="899"/>
      <c r="G2" s="899"/>
      <c r="H2" s="899"/>
      <c r="I2" s="899"/>
    </row>
    <row r="3" spans="1:9">
      <c r="A3" s="899"/>
      <c r="B3" s="899"/>
      <c r="C3" s="899"/>
      <c r="D3" s="899"/>
      <c r="E3" s="899"/>
      <c r="F3" s="899"/>
      <c r="G3" s="899"/>
      <c r="H3" s="899"/>
      <c r="I3" s="899"/>
    </row>
    <row r="4" spans="1:9">
      <c r="A4" s="899"/>
      <c r="B4" s="899"/>
      <c r="C4" s="899"/>
      <c r="D4" s="899"/>
      <c r="E4" s="899"/>
      <c r="F4" s="899"/>
      <c r="G4" s="899"/>
      <c r="H4" s="899"/>
      <c r="I4" s="899"/>
    </row>
    <row r="5" spans="1:9">
      <c r="A5" s="899"/>
      <c r="B5" s="899"/>
      <c r="C5" s="899"/>
      <c r="D5" s="899"/>
      <c r="E5" s="899"/>
      <c r="F5" s="899"/>
      <c r="G5" s="899"/>
      <c r="H5" s="899"/>
      <c r="I5" s="899"/>
    </row>
    <row r="6" spans="1:9">
      <c r="A6" s="899"/>
      <c r="B6" s="899"/>
      <c r="C6" s="899"/>
      <c r="D6" s="899"/>
      <c r="E6" s="899"/>
      <c r="F6" s="899"/>
      <c r="G6" s="899"/>
      <c r="H6" s="899"/>
      <c r="I6" s="899"/>
    </row>
    <row r="7" spans="1:9">
      <c r="A7" s="899"/>
      <c r="B7" s="899"/>
      <c r="C7" s="899"/>
      <c r="D7" s="899"/>
      <c r="E7" s="899"/>
      <c r="F7" s="899"/>
      <c r="G7" s="899"/>
      <c r="H7" s="899"/>
      <c r="I7" s="899"/>
    </row>
    <row r="8" spans="1:9">
      <c r="A8" s="899"/>
      <c r="B8" s="899"/>
      <c r="C8" s="899"/>
      <c r="D8" s="899"/>
      <c r="E8" s="899"/>
      <c r="F8" s="899"/>
      <c r="G8" s="899"/>
      <c r="H8" s="899"/>
      <c r="I8" s="899"/>
    </row>
    <row r="9" spans="1:9">
      <c r="A9" s="899"/>
      <c r="B9" s="899"/>
      <c r="C9" s="899"/>
      <c r="D9" s="899"/>
      <c r="E9" s="899"/>
      <c r="F9" s="899"/>
      <c r="G9" s="899"/>
      <c r="H9" s="899"/>
      <c r="I9" s="899"/>
    </row>
    <row r="10" spans="1:9">
      <c r="A10" s="896" t="s">
        <v>84</v>
      </c>
      <c r="B10" s="897"/>
      <c r="C10" s="897"/>
      <c r="D10" s="897"/>
      <c r="E10" s="897"/>
      <c r="F10" s="897"/>
      <c r="G10" s="897"/>
      <c r="H10" s="897"/>
      <c r="I10" s="897"/>
    </row>
    <row r="11" spans="1:9">
      <c r="A11" s="900" t="s">
        <v>85</v>
      </c>
      <c r="B11" s="900" t="s">
        <v>86</v>
      </c>
      <c r="C11" s="901" t="s">
        <v>87</v>
      </c>
      <c r="D11" s="902"/>
      <c r="E11" s="902"/>
      <c r="F11" s="902"/>
      <c r="G11" s="902"/>
      <c r="H11" s="902"/>
      <c r="I11" s="910"/>
    </row>
    <row r="12" ht="14.25" spans="1:9">
      <c r="A12" s="903">
        <v>1</v>
      </c>
      <c r="B12" s="904" t="s">
        <v>88</v>
      </c>
      <c r="C12" s="905" t="s">
        <v>89</v>
      </c>
      <c r="D12" s="906"/>
      <c r="E12" s="906"/>
      <c r="F12" s="906"/>
      <c r="G12" s="906"/>
      <c r="H12" s="906"/>
      <c r="I12" s="911"/>
    </row>
    <row r="13" ht="14.25" spans="1:9">
      <c r="A13" s="899">
        <v>2</v>
      </c>
      <c r="B13" s="907" t="s">
        <v>90</v>
      </c>
      <c r="C13" s="905" t="s">
        <v>91</v>
      </c>
      <c r="D13" s="906"/>
      <c r="E13" s="906"/>
      <c r="F13" s="906"/>
      <c r="G13" s="906"/>
      <c r="H13" s="906"/>
      <c r="I13" s="911"/>
    </row>
    <row r="14" ht="14.25" spans="1:9">
      <c r="A14" s="899">
        <v>3</v>
      </c>
      <c r="B14" s="900" t="s">
        <v>92</v>
      </c>
      <c r="C14" s="905" t="s">
        <v>93</v>
      </c>
      <c r="D14" s="906"/>
      <c r="E14" s="906"/>
      <c r="F14" s="906"/>
      <c r="G14" s="906"/>
      <c r="H14" s="906"/>
      <c r="I14" s="911"/>
    </row>
    <row r="15" ht="14.25" spans="1:9">
      <c r="A15" s="899">
        <v>4</v>
      </c>
      <c r="B15" s="908" t="s">
        <v>94</v>
      </c>
      <c r="C15" s="905" t="s">
        <v>95</v>
      </c>
      <c r="D15" s="906"/>
      <c r="E15" s="906"/>
      <c r="F15" s="906"/>
      <c r="G15" s="906"/>
      <c r="H15" s="906"/>
      <c r="I15" s="911"/>
    </row>
    <row r="16" ht="14.25" spans="1:9">
      <c r="A16" s="899">
        <v>5</v>
      </c>
      <c r="B16" s="909" t="s">
        <v>96</v>
      </c>
      <c r="C16" s="905" t="s">
        <v>97</v>
      </c>
      <c r="D16" s="906"/>
      <c r="E16" s="906"/>
      <c r="F16" s="906"/>
      <c r="G16" s="906"/>
      <c r="H16" s="906"/>
      <c r="I16" s="911"/>
    </row>
  </sheetData>
  <mergeCells count="10">
    <mergeCell ref="A1:I1"/>
    <mergeCell ref="A9:I9"/>
    <mergeCell ref="A10:I10"/>
    <mergeCell ref="C11:I11"/>
    <mergeCell ref="C12:I12"/>
    <mergeCell ref="C13:I13"/>
    <mergeCell ref="C14:I14"/>
    <mergeCell ref="C15:I15"/>
    <mergeCell ref="C16:I16"/>
    <mergeCell ref="A2:I8"/>
  </mergeCells>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00B0F0"/>
  </sheetPr>
  <dimension ref="A1:B21"/>
  <sheetViews>
    <sheetView showGridLines="0" workbookViewId="0">
      <selection activeCell="B17" sqref="B17"/>
    </sheetView>
  </sheetViews>
  <sheetFormatPr defaultColWidth="9" defaultRowHeight="12" outlineLevelCol="1"/>
  <cols>
    <col min="1" max="1" width="16.25" style="47" customWidth="1"/>
    <col min="2" max="2" width="56.5" style="47" customWidth="1"/>
    <col min="3" max="256" width="9" style="47"/>
    <col min="257" max="257" width="16.25" style="47" customWidth="1"/>
    <col min="258" max="258" width="56.5" style="47" customWidth="1"/>
    <col min="259" max="512" width="9" style="47"/>
    <col min="513" max="513" width="16.25" style="47" customWidth="1"/>
    <col min="514" max="514" width="56.5" style="47" customWidth="1"/>
    <col min="515" max="768" width="9" style="47"/>
    <col min="769" max="769" width="16.25" style="47" customWidth="1"/>
    <col min="770" max="770" width="56.5" style="47" customWidth="1"/>
    <col min="771" max="1024" width="9" style="47"/>
    <col min="1025" max="1025" width="16.25" style="47" customWidth="1"/>
    <col min="1026" max="1026" width="56.5" style="47" customWidth="1"/>
    <col min="1027" max="1280" width="9" style="47"/>
    <col min="1281" max="1281" width="16.25" style="47" customWidth="1"/>
    <col min="1282" max="1282" width="56.5" style="47" customWidth="1"/>
    <col min="1283" max="1536" width="9" style="47"/>
    <col min="1537" max="1537" width="16.25" style="47" customWidth="1"/>
    <col min="1538" max="1538" width="56.5" style="47" customWidth="1"/>
    <col min="1539" max="1792" width="9" style="47"/>
    <col min="1793" max="1793" width="16.25" style="47" customWidth="1"/>
    <col min="1794" max="1794" width="56.5" style="47" customWidth="1"/>
    <col min="1795" max="2048" width="9" style="47"/>
    <col min="2049" max="2049" width="16.25" style="47" customWidth="1"/>
    <col min="2050" max="2050" width="56.5" style="47" customWidth="1"/>
    <col min="2051" max="2304" width="9" style="47"/>
    <col min="2305" max="2305" width="16.25" style="47" customWidth="1"/>
    <col min="2306" max="2306" width="56.5" style="47" customWidth="1"/>
    <col min="2307" max="2560" width="9" style="47"/>
    <col min="2561" max="2561" width="16.25" style="47" customWidth="1"/>
    <col min="2562" max="2562" width="56.5" style="47" customWidth="1"/>
    <col min="2563" max="2816" width="9" style="47"/>
    <col min="2817" max="2817" width="16.25" style="47" customWidth="1"/>
    <col min="2818" max="2818" width="56.5" style="47" customWidth="1"/>
    <col min="2819" max="3072" width="9" style="47"/>
    <col min="3073" max="3073" width="16.25" style="47" customWidth="1"/>
    <col min="3074" max="3074" width="56.5" style="47" customWidth="1"/>
    <col min="3075" max="3328" width="9" style="47"/>
    <col min="3329" max="3329" width="16.25" style="47" customWidth="1"/>
    <col min="3330" max="3330" width="56.5" style="47" customWidth="1"/>
    <col min="3331" max="3584" width="9" style="47"/>
    <col min="3585" max="3585" width="16.25" style="47" customWidth="1"/>
    <col min="3586" max="3586" width="56.5" style="47" customWidth="1"/>
    <col min="3587" max="3840" width="9" style="47"/>
    <col min="3841" max="3841" width="16.25" style="47" customWidth="1"/>
    <col min="3842" max="3842" width="56.5" style="47" customWidth="1"/>
    <col min="3843" max="4096" width="9" style="47"/>
    <col min="4097" max="4097" width="16.25" style="47" customWidth="1"/>
    <col min="4098" max="4098" width="56.5" style="47" customWidth="1"/>
    <col min="4099" max="4352" width="9" style="47"/>
    <col min="4353" max="4353" width="16.25" style="47" customWidth="1"/>
    <col min="4354" max="4354" width="56.5" style="47" customWidth="1"/>
    <col min="4355" max="4608" width="9" style="47"/>
    <col min="4609" max="4609" width="16.25" style="47" customWidth="1"/>
    <col min="4610" max="4610" width="56.5" style="47" customWidth="1"/>
    <col min="4611" max="4864" width="9" style="47"/>
    <col min="4865" max="4865" width="16.25" style="47" customWidth="1"/>
    <col min="4866" max="4866" width="56.5" style="47" customWidth="1"/>
    <col min="4867" max="5120" width="9" style="47"/>
    <col min="5121" max="5121" width="16.25" style="47" customWidth="1"/>
    <col min="5122" max="5122" width="56.5" style="47" customWidth="1"/>
    <col min="5123" max="5376" width="9" style="47"/>
    <col min="5377" max="5377" width="16.25" style="47" customWidth="1"/>
    <col min="5378" max="5378" width="56.5" style="47" customWidth="1"/>
    <col min="5379" max="5632" width="9" style="47"/>
    <col min="5633" max="5633" width="16.25" style="47" customWidth="1"/>
    <col min="5634" max="5634" width="56.5" style="47" customWidth="1"/>
    <col min="5635" max="5888" width="9" style="47"/>
    <col min="5889" max="5889" width="16.25" style="47" customWidth="1"/>
    <col min="5890" max="5890" width="56.5" style="47" customWidth="1"/>
    <col min="5891" max="6144" width="9" style="47"/>
    <col min="6145" max="6145" width="16.25" style="47" customWidth="1"/>
    <col min="6146" max="6146" width="56.5" style="47" customWidth="1"/>
    <col min="6147" max="6400" width="9" style="47"/>
    <col min="6401" max="6401" width="16.25" style="47" customWidth="1"/>
    <col min="6402" max="6402" width="56.5" style="47" customWidth="1"/>
    <col min="6403" max="6656" width="9" style="47"/>
    <col min="6657" max="6657" width="16.25" style="47" customWidth="1"/>
    <col min="6658" max="6658" width="56.5" style="47" customWidth="1"/>
    <col min="6659" max="6912" width="9" style="47"/>
    <col min="6913" max="6913" width="16.25" style="47" customWidth="1"/>
    <col min="6914" max="6914" width="56.5" style="47" customWidth="1"/>
    <col min="6915" max="7168" width="9" style="47"/>
    <col min="7169" max="7169" width="16.25" style="47" customWidth="1"/>
    <col min="7170" max="7170" width="56.5" style="47" customWidth="1"/>
    <col min="7171" max="7424" width="9" style="47"/>
    <col min="7425" max="7425" width="16.25" style="47" customWidth="1"/>
    <col min="7426" max="7426" width="56.5" style="47" customWidth="1"/>
    <col min="7427" max="7680" width="9" style="47"/>
    <col min="7681" max="7681" width="16.25" style="47" customWidth="1"/>
    <col min="7682" max="7682" width="56.5" style="47" customWidth="1"/>
    <col min="7683" max="7936" width="9" style="47"/>
    <col min="7937" max="7937" width="16.25" style="47" customWidth="1"/>
    <col min="7938" max="7938" width="56.5" style="47" customWidth="1"/>
    <col min="7939" max="8192" width="9" style="47"/>
    <col min="8193" max="8193" width="16.25" style="47" customWidth="1"/>
    <col min="8194" max="8194" width="56.5" style="47" customWidth="1"/>
    <col min="8195" max="8448" width="9" style="47"/>
    <col min="8449" max="8449" width="16.25" style="47" customWidth="1"/>
    <col min="8450" max="8450" width="56.5" style="47" customWidth="1"/>
    <col min="8451" max="8704" width="9" style="47"/>
    <col min="8705" max="8705" width="16.25" style="47" customWidth="1"/>
    <col min="8706" max="8706" width="56.5" style="47" customWidth="1"/>
    <col min="8707" max="8960" width="9" style="47"/>
    <col min="8961" max="8961" width="16.25" style="47" customWidth="1"/>
    <col min="8962" max="8962" width="56.5" style="47" customWidth="1"/>
    <col min="8963" max="9216" width="9" style="47"/>
    <col min="9217" max="9217" width="16.25" style="47" customWidth="1"/>
    <col min="9218" max="9218" width="56.5" style="47" customWidth="1"/>
    <col min="9219" max="9472" width="9" style="47"/>
    <col min="9473" max="9473" width="16.25" style="47" customWidth="1"/>
    <col min="9474" max="9474" width="56.5" style="47" customWidth="1"/>
    <col min="9475" max="9728" width="9" style="47"/>
    <col min="9729" max="9729" width="16.25" style="47" customWidth="1"/>
    <col min="9730" max="9730" width="56.5" style="47" customWidth="1"/>
    <col min="9731" max="9984" width="9" style="47"/>
    <col min="9985" max="9985" width="16.25" style="47" customWidth="1"/>
    <col min="9986" max="9986" width="56.5" style="47" customWidth="1"/>
    <col min="9987" max="10240" width="9" style="47"/>
    <col min="10241" max="10241" width="16.25" style="47" customWidth="1"/>
    <col min="10242" max="10242" width="56.5" style="47" customWidth="1"/>
    <col min="10243" max="10496" width="9" style="47"/>
    <col min="10497" max="10497" width="16.25" style="47" customWidth="1"/>
    <col min="10498" max="10498" width="56.5" style="47" customWidth="1"/>
    <col min="10499" max="10752" width="9" style="47"/>
    <col min="10753" max="10753" width="16.25" style="47" customWidth="1"/>
    <col min="10754" max="10754" width="56.5" style="47" customWidth="1"/>
    <col min="10755" max="11008" width="9" style="47"/>
    <col min="11009" max="11009" width="16.25" style="47" customWidth="1"/>
    <col min="11010" max="11010" width="56.5" style="47" customWidth="1"/>
    <col min="11011" max="11264" width="9" style="47"/>
    <col min="11265" max="11265" width="16.25" style="47" customWidth="1"/>
    <col min="11266" max="11266" width="56.5" style="47" customWidth="1"/>
    <col min="11267" max="11520" width="9" style="47"/>
    <col min="11521" max="11521" width="16.25" style="47" customWidth="1"/>
    <col min="11522" max="11522" width="56.5" style="47" customWidth="1"/>
    <col min="11523" max="11776" width="9" style="47"/>
    <col min="11777" max="11777" width="16.25" style="47" customWidth="1"/>
    <col min="11778" max="11778" width="56.5" style="47" customWidth="1"/>
    <col min="11779" max="12032" width="9" style="47"/>
    <col min="12033" max="12033" width="16.25" style="47" customWidth="1"/>
    <col min="12034" max="12034" width="56.5" style="47" customWidth="1"/>
    <col min="12035" max="12288" width="9" style="47"/>
    <col min="12289" max="12289" width="16.25" style="47" customWidth="1"/>
    <col min="12290" max="12290" width="56.5" style="47" customWidth="1"/>
    <col min="12291" max="12544" width="9" style="47"/>
    <col min="12545" max="12545" width="16.25" style="47" customWidth="1"/>
    <col min="12546" max="12546" width="56.5" style="47" customWidth="1"/>
    <col min="12547" max="12800" width="9" style="47"/>
    <col min="12801" max="12801" width="16.25" style="47" customWidth="1"/>
    <col min="12802" max="12802" width="56.5" style="47" customWidth="1"/>
    <col min="12803" max="13056" width="9" style="47"/>
    <col min="13057" max="13057" width="16.25" style="47" customWidth="1"/>
    <col min="13058" max="13058" width="56.5" style="47" customWidth="1"/>
    <col min="13059" max="13312" width="9" style="47"/>
    <col min="13313" max="13313" width="16.25" style="47" customWidth="1"/>
    <col min="13314" max="13314" width="56.5" style="47" customWidth="1"/>
    <col min="13315" max="13568" width="9" style="47"/>
    <col min="13569" max="13569" width="16.25" style="47" customWidth="1"/>
    <col min="13570" max="13570" width="56.5" style="47" customWidth="1"/>
    <col min="13571" max="13824" width="9" style="47"/>
    <col min="13825" max="13825" width="16.25" style="47" customWidth="1"/>
    <col min="13826" max="13826" width="56.5" style="47" customWidth="1"/>
    <col min="13827" max="14080" width="9" style="47"/>
    <col min="14081" max="14081" width="16.25" style="47" customWidth="1"/>
    <col min="14082" max="14082" width="56.5" style="47" customWidth="1"/>
    <col min="14083" max="14336" width="9" style="47"/>
    <col min="14337" max="14337" width="16.25" style="47" customWidth="1"/>
    <col min="14338" max="14338" width="56.5" style="47" customWidth="1"/>
    <col min="14339" max="14592" width="9" style="47"/>
    <col min="14593" max="14593" width="16.25" style="47" customWidth="1"/>
    <col min="14594" max="14594" width="56.5" style="47" customWidth="1"/>
    <col min="14595" max="14848" width="9" style="47"/>
    <col min="14849" max="14849" width="16.25" style="47" customWidth="1"/>
    <col min="14850" max="14850" width="56.5" style="47" customWidth="1"/>
    <col min="14851" max="15104" width="9" style="47"/>
    <col min="15105" max="15105" width="16.25" style="47" customWidth="1"/>
    <col min="15106" max="15106" width="56.5" style="47" customWidth="1"/>
    <col min="15107" max="15360" width="9" style="47"/>
    <col min="15361" max="15361" width="16.25" style="47" customWidth="1"/>
    <col min="15362" max="15362" width="56.5" style="47" customWidth="1"/>
    <col min="15363" max="15616" width="9" style="47"/>
    <col min="15617" max="15617" width="16.25" style="47" customWidth="1"/>
    <col min="15618" max="15618" width="56.5" style="47" customWidth="1"/>
    <col min="15619" max="15872" width="9" style="47"/>
    <col min="15873" max="15873" width="16.25" style="47" customWidth="1"/>
    <col min="15874" max="15874" width="56.5" style="47" customWidth="1"/>
    <col min="15875" max="16128" width="9" style="47"/>
    <col min="16129" max="16129" width="16.25" style="47" customWidth="1"/>
    <col min="16130" max="16130" width="56.5" style="47" customWidth="1"/>
    <col min="16131" max="16384" width="9" style="47"/>
  </cols>
  <sheetData>
    <row r="1" ht="24.75" customHeight="1" spans="1:2">
      <c r="A1" s="889" t="s">
        <v>67</v>
      </c>
      <c r="B1" s="889"/>
    </row>
    <row r="2" ht="18" customHeight="1" spans="1:2">
      <c r="A2" s="890" t="s">
        <v>98</v>
      </c>
      <c r="B2" s="891" t="s">
        <v>99</v>
      </c>
    </row>
    <row r="3" ht="18" customHeight="1" spans="1:2">
      <c r="A3" s="892" t="s">
        <v>100</v>
      </c>
      <c r="B3" s="891" t="s">
        <v>101</v>
      </c>
    </row>
    <row r="4" ht="18" customHeight="1" spans="1:2">
      <c r="A4" s="892" t="s">
        <v>102</v>
      </c>
      <c r="B4" s="893" t="s">
        <v>103</v>
      </c>
    </row>
    <row r="5" ht="18" customHeight="1" spans="1:2">
      <c r="A5" s="890" t="s">
        <v>104</v>
      </c>
      <c r="B5" s="891" t="s">
        <v>105</v>
      </c>
    </row>
    <row r="6" ht="18" customHeight="1" spans="1:2">
      <c r="A6" s="890" t="s">
        <v>106</v>
      </c>
      <c r="B6" s="891" t="s">
        <v>107</v>
      </c>
    </row>
    <row r="7" ht="18" customHeight="1" spans="1:2">
      <c r="A7" s="890" t="s">
        <v>108</v>
      </c>
      <c r="B7" s="891" t="s">
        <v>109</v>
      </c>
    </row>
    <row r="8" ht="18" customHeight="1" spans="1:2">
      <c r="A8" s="890" t="s">
        <v>110</v>
      </c>
      <c r="B8" s="891" t="s">
        <v>111</v>
      </c>
    </row>
    <row r="9" ht="18" customHeight="1" spans="1:2">
      <c r="A9" s="890" t="s">
        <v>112</v>
      </c>
      <c r="B9" s="891" t="s">
        <v>113</v>
      </c>
    </row>
    <row r="10" ht="18" customHeight="1" spans="1:2">
      <c r="A10" s="890" t="s">
        <v>114</v>
      </c>
      <c r="B10" s="891" t="s">
        <v>115</v>
      </c>
    </row>
    <row r="11" ht="18" customHeight="1" spans="1:2">
      <c r="A11" s="890" t="s">
        <v>116</v>
      </c>
      <c r="B11" s="891" t="s">
        <v>117</v>
      </c>
    </row>
    <row r="12" ht="18" customHeight="1" spans="1:2">
      <c r="A12" s="890" t="s">
        <v>118</v>
      </c>
      <c r="B12" s="891" t="s">
        <v>119</v>
      </c>
    </row>
    <row r="13" ht="18" customHeight="1" spans="1:2">
      <c r="A13" s="890" t="s">
        <v>120</v>
      </c>
      <c r="B13" s="891" t="s">
        <v>121</v>
      </c>
    </row>
    <row r="14" ht="18" customHeight="1" spans="1:2">
      <c r="A14" s="890" t="s">
        <v>122</v>
      </c>
      <c r="B14" s="891">
        <v>26</v>
      </c>
    </row>
    <row r="15" ht="36" spans="1:2">
      <c r="A15" s="890" t="s">
        <v>123</v>
      </c>
      <c r="B15" s="893" t="s">
        <v>124</v>
      </c>
    </row>
    <row r="16" ht="18" customHeight="1" spans="1:2">
      <c r="A16" s="890" t="s">
        <v>125</v>
      </c>
      <c r="B16" s="891" t="s">
        <v>126</v>
      </c>
    </row>
    <row r="17" ht="18" customHeight="1" spans="1:2">
      <c r="A17" s="890" t="s">
        <v>127</v>
      </c>
      <c r="B17" s="894">
        <v>43189</v>
      </c>
    </row>
    <row r="18" ht="18" customHeight="1" spans="1:2">
      <c r="A18" s="890" t="s">
        <v>128</v>
      </c>
      <c r="B18" s="894">
        <v>43413</v>
      </c>
    </row>
    <row r="21" spans="1:1">
      <c r="A21" s="895" t="s">
        <v>129</v>
      </c>
    </row>
  </sheetData>
  <mergeCells count="1">
    <mergeCell ref="A1:B1"/>
  </mergeCells>
  <dataValidations count="3">
    <dataValidation type="list" allowBlank="1" showInputMessage="1" showErrorMessage="1" sqref="B3 IX3 ST3 ACP3 AML3 AWH3 BGD3 BPZ3 BZV3 CJR3 CTN3 DDJ3 DNF3 DXB3 EGX3 EQT3 FAP3 FKL3 FUH3 GED3 GNZ3 GXV3 HHR3 HRN3 IBJ3 ILF3 IVB3 JEX3 JOT3 JYP3 KIL3 KSH3 LCD3 LLZ3 LVV3 MFR3 MPN3 MZJ3 NJF3 NTB3 OCX3 OMT3 OWP3 PGL3 PQH3 QAD3 QJZ3 QTV3 RDR3 RNN3 RXJ3 SHF3 SRB3 TAX3 TKT3 TUP3 UEL3 UOH3 UYD3 VHZ3 VRV3 WBR3 WLN3 WVJ3 B65539 IX65539 ST65539 ACP65539 AML65539 AWH65539 BGD65539 BPZ65539 BZV65539 CJR65539 CTN65539 DDJ65539 DNF65539 DXB65539 EGX65539 EQT65539 FAP65539 FKL65539 FUH65539 GED65539 GNZ65539 GXV65539 HHR65539 HRN65539 IBJ65539 ILF65539 IVB65539 JEX65539 JOT65539 JYP65539 KIL65539 KSH65539 LCD65539 LLZ65539 LVV65539 MFR65539 MPN65539 MZJ65539 NJF65539 NTB65539 OCX65539 OMT65539 OWP65539 PGL65539 PQH65539 QAD65539 QJZ65539 QTV65539 RDR65539 RNN65539 RXJ65539 SHF65539 SRB65539 TAX65539 TKT65539 TUP65539 UEL65539 UOH65539 UYD65539 VHZ65539 VRV65539 WBR65539 WLN65539 WVJ65539 B131075 IX131075 ST131075 ACP131075 AML131075 AWH131075 BGD131075 BPZ131075 BZV131075 CJR131075 CTN131075 DDJ131075 DNF131075 DXB131075 EGX131075 EQT131075 FAP131075 FKL131075 FUH131075 GED131075 GNZ131075 GXV131075 HHR131075 HRN131075 IBJ131075 ILF131075 IVB131075 JEX131075 JOT131075 JYP131075 KIL131075 KSH131075 LCD131075 LLZ131075 LVV131075 MFR131075 MPN131075 MZJ131075 NJF131075 NTB131075 OCX131075 OMT131075 OWP131075 PGL131075 PQH131075 QAD131075 QJZ131075 QTV131075 RDR131075 RNN131075 RXJ131075 SHF131075 SRB131075 TAX131075 TKT131075 TUP131075 UEL131075 UOH131075 UYD131075 VHZ131075 VRV131075 WBR131075 WLN131075 WVJ131075 B196611 IX196611 ST196611 ACP196611 AML196611 AWH196611 BGD196611 BPZ196611 BZV196611 CJR196611 CTN196611 DDJ196611 DNF196611 DXB196611 EGX196611 EQT196611 FAP196611 FKL196611 FUH196611 GED196611 GNZ196611 GXV196611 HHR196611 HRN196611 IBJ196611 ILF196611 IVB196611 JEX196611 JOT196611 JYP196611 KIL196611 KSH196611 LCD196611 LLZ196611 LVV196611 MFR196611 MPN196611 MZJ196611 NJF196611 NTB196611 OCX196611 OMT196611 OWP196611 PGL196611 PQH196611 QAD196611 QJZ196611 QTV196611 RDR196611 RNN196611 RXJ196611 SHF196611 SRB196611 TAX196611 TKT196611 TUP196611 UEL196611 UOH196611 UYD196611 VHZ196611 VRV196611 WBR196611 WLN196611 WVJ196611 B262147 IX262147 ST262147 ACP262147 AML262147 AWH262147 BGD262147 BPZ262147 BZV262147 CJR262147 CTN262147 DDJ262147 DNF262147 DXB262147 EGX262147 EQT262147 FAP262147 FKL262147 FUH262147 GED262147 GNZ262147 GXV262147 HHR262147 HRN262147 IBJ262147 ILF262147 IVB262147 JEX262147 JOT262147 JYP262147 KIL262147 KSH262147 LCD262147 LLZ262147 LVV262147 MFR262147 MPN262147 MZJ262147 NJF262147 NTB262147 OCX262147 OMT262147 OWP262147 PGL262147 PQH262147 QAD262147 QJZ262147 QTV262147 RDR262147 RNN262147 RXJ262147 SHF262147 SRB262147 TAX262147 TKT262147 TUP262147 UEL262147 UOH262147 UYD262147 VHZ262147 VRV262147 WBR262147 WLN262147 WVJ262147 B327683 IX327683 ST327683 ACP327683 AML327683 AWH327683 BGD327683 BPZ327683 BZV327683 CJR327683 CTN327683 DDJ327683 DNF327683 DXB327683 EGX327683 EQT327683 FAP327683 FKL327683 FUH327683 GED327683 GNZ327683 GXV327683 HHR327683 HRN327683 IBJ327683 ILF327683 IVB327683 JEX327683 JOT327683 JYP327683 KIL327683 KSH327683 LCD327683 LLZ327683 LVV327683 MFR327683 MPN327683 MZJ327683 NJF327683 NTB327683 OCX327683 OMT327683 OWP327683 PGL327683 PQH327683 QAD327683 QJZ327683 QTV327683 RDR327683 RNN327683 RXJ327683 SHF327683 SRB327683 TAX327683 TKT327683 TUP327683 UEL327683 UOH327683 UYD327683 VHZ327683 VRV327683 WBR327683 WLN327683 WVJ327683 B393219 IX393219 ST393219 ACP393219 AML393219 AWH393219 BGD393219 BPZ393219 BZV393219 CJR393219 CTN393219 DDJ393219 DNF393219 DXB393219 EGX393219 EQT393219 FAP393219 FKL393219 FUH393219 GED393219 GNZ393219 GXV393219 HHR393219 HRN393219 IBJ393219 ILF393219 IVB393219 JEX393219 JOT393219 JYP393219 KIL393219 KSH393219 LCD393219 LLZ393219 LVV393219 MFR393219 MPN393219 MZJ393219 NJF393219 NTB393219 OCX393219 OMT393219 OWP393219 PGL393219 PQH393219 QAD393219 QJZ393219 QTV393219 RDR393219 RNN393219 RXJ393219 SHF393219 SRB393219 TAX393219 TKT393219 TUP393219 UEL393219 UOH393219 UYD393219 VHZ393219 VRV393219 WBR393219 WLN393219 WVJ393219 B458755 IX458755 ST458755 ACP458755 AML458755 AWH458755 BGD458755 BPZ458755 BZV458755 CJR458755 CTN458755 DDJ458755 DNF458755 DXB458755 EGX458755 EQT458755 FAP458755 FKL458755 FUH458755 GED458755 GNZ458755 GXV458755 HHR458755 HRN458755 IBJ458755 ILF458755 IVB458755 JEX458755 JOT458755 JYP458755 KIL458755 KSH458755 LCD458755 LLZ458755 LVV458755 MFR458755 MPN458755 MZJ458755 NJF458755 NTB458755 OCX458755 OMT458755 OWP458755 PGL458755 PQH458755 QAD458755 QJZ458755 QTV458755 RDR458755 RNN458755 RXJ458755 SHF458755 SRB458755 TAX458755 TKT458755 TUP458755 UEL458755 UOH458755 UYD458755 VHZ458755 VRV458755 WBR458755 WLN458755 WVJ458755 B524291 IX524291 ST524291 ACP524291 AML524291 AWH524291 BGD524291 BPZ524291 BZV524291 CJR524291 CTN524291 DDJ524291 DNF524291 DXB524291 EGX524291 EQT524291 FAP524291 FKL524291 FUH524291 GED524291 GNZ524291 GXV524291 HHR524291 HRN524291 IBJ524291 ILF524291 IVB524291 JEX524291 JOT524291 JYP524291 KIL524291 KSH524291 LCD524291 LLZ524291 LVV524291 MFR524291 MPN524291 MZJ524291 NJF524291 NTB524291 OCX524291 OMT524291 OWP524291 PGL524291 PQH524291 QAD524291 QJZ524291 QTV524291 RDR524291 RNN524291 RXJ524291 SHF524291 SRB524291 TAX524291 TKT524291 TUP524291 UEL524291 UOH524291 UYD524291 VHZ524291 VRV524291 WBR524291 WLN524291 WVJ524291 B589827 IX589827 ST589827 ACP589827 AML589827 AWH589827 BGD589827 BPZ589827 BZV589827 CJR589827 CTN589827 DDJ589827 DNF589827 DXB589827 EGX589827 EQT589827 FAP589827 FKL589827 FUH589827 GED589827 GNZ589827 GXV589827 HHR589827 HRN589827 IBJ589827 ILF589827 IVB589827 JEX589827 JOT589827 JYP589827 KIL589827 KSH589827 LCD589827 LLZ589827 LVV589827 MFR589827 MPN589827 MZJ589827 NJF589827 NTB589827 OCX589827 OMT589827 OWP589827 PGL589827 PQH589827 QAD589827 QJZ589827 QTV589827 RDR589827 RNN589827 RXJ589827 SHF589827 SRB589827 TAX589827 TKT589827 TUP589827 UEL589827 UOH589827 UYD589827 VHZ589827 VRV589827 WBR589827 WLN589827 WVJ589827 B655363 IX655363 ST655363 ACP655363 AML655363 AWH655363 BGD655363 BPZ655363 BZV655363 CJR655363 CTN655363 DDJ655363 DNF655363 DXB655363 EGX655363 EQT655363 FAP655363 FKL655363 FUH655363 GED655363 GNZ655363 GXV655363 HHR655363 HRN655363 IBJ655363 ILF655363 IVB655363 JEX655363 JOT655363 JYP655363 KIL655363 KSH655363 LCD655363 LLZ655363 LVV655363 MFR655363 MPN655363 MZJ655363 NJF655363 NTB655363 OCX655363 OMT655363 OWP655363 PGL655363 PQH655363 QAD655363 QJZ655363 QTV655363 RDR655363 RNN655363 RXJ655363 SHF655363 SRB655363 TAX655363 TKT655363 TUP655363 UEL655363 UOH655363 UYD655363 VHZ655363 VRV655363 WBR655363 WLN655363 WVJ655363 B720899 IX720899 ST720899 ACP720899 AML720899 AWH720899 BGD720899 BPZ720899 BZV720899 CJR720899 CTN720899 DDJ720899 DNF720899 DXB720899 EGX720899 EQT720899 FAP720899 FKL720899 FUH720899 GED720899 GNZ720899 GXV720899 HHR720899 HRN720899 IBJ720899 ILF720899 IVB720899 JEX720899 JOT720899 JYP720899 KIL720899 KSH720899 LCD720899 LLZ720899 LVV720899 MFR720899 MPN720899 MZJ720899 NJF720899 NTB720899 OCX720899 OMT720899 OWP720899 PGL720899 PQH720899 QAD720899 QJZ720899 QTV720899 RDR720899 RNN720899 RXJ720899 SHF720899 SRB720899 TAX720899 TKT720899 TUP720899 UEL720899 UOH720899 UYD720899 VHZ720899 VRV720899 WBR720899 WLN720899 WVJ720899 B786435 IX786435 ST786435 ACP786435 AML786435 AWH786435 BGD786435 BPZ786435 BZV786435 CJR786435 CTN786435 DDJ786435 DNF786435 DXB786435 EGX786435 EQT786435 FAP786435 FKL786435 FUH786435 GED786435 GNZ786435 GXV786435 HHR786435 HRN786435 IBJ786435 ILF786435 IVB786435 JEX786435 JOT786435 JYP786435 KIL786435 KSH786435 LCD786435 LLZ786435 LVV786435 MFR786435 MPN786435 MZJ786435 NJF786435 NTB786435 OCX786435 OMT786435 OWP786435 PGL786435 PQH786435 QAD786435 QJZ786435 QTV786435 RDR786435 RNN786435 RXJ786435 SHF786435 SRB786435 TAX786435 TKT786435 TUP786435 UEL786435 UOH786435 UYD786435 VHZ786435 VRV786435 WBR786435 WLN786435 WVJ786435 B851971 IX851971 ST851971 ACP851971 AML851971 AWH851971 BGD851971 BPZ851971 BZV851971 CJR851971 CTN851971 DDJ851971 DNF851971 DXB851971 EGX851971 EQT851971 FAP851971 FKL851971 FUH851971 GED851971 GNZ851971 GXV851971 HHR851971 HRN851971 IBJ851971 ILF851971 IVB851971 JEX851971 JOT851971 JYP851971 KIL851971 KSH851971 LCD851971 LLZ851971 LVV851971 MFR851971 MPN851971 MZJ851971 NJF851971 NTB851971 OCX851971 OMT851971 OWP851971 PGL851971 PQH851971 QAD851971 QJZ851971 QTV851971 RDR851971 RNN851971 RXJ851971 SHF851971 SRB851971 TAX851971 TKT851971 TUP851971 UEL851971 UOH851971 UYD851971 VHZ851971 VRV851971 WBR851971 WLN851971 WVJ851971 B917507 IX917507 ST917507 ACP917507 AML917507 AWH917507 BGD917507 BPZ917507 BZV917507 CJR917507 CTN917507 DDJ917507 DNF917507 DXB917507 EGX917507 EQT917507 FAP917507 FKL917507 FUH917507 GED917507 GNZ917507 GXV917507 HHR917507 HRN917507 IBJ917507 ILF917507 IVB917507 JEX917507 JOT917507 JYP917507 KIL917507 KSH917507 LCD917507 LLZ917507 LVV917507 MFR917507 MPN917507 MZJ917507 NJF917507 NTB917507 OCX917507 OMT917507 OWP917507 PGL917507 PQH917507 QAD917507 QJZ917507 QTV917507 RDR917507 RNN917507 RXJ917507 SHF917507 SRB917507 TAX917507 TKT917507 TUP917507 UEL917507 UOH917507 UYD917507 VHZ917507 VRV917507 WBR917507 WLN917507 WVJ917507 B983043 IX983043 ST983043 ACP983043 AML983043 AWH983043 BGD983043 BPZ983043 BZV983043 CJR983043 CTN983043 DDJ983043 DNF983043 DXB983043 EGX983043 EQT983043 FAP983043 FKL983043 FUH983043 GED983043 GNZ983043 GXV983043 HHR983043 HRN983043 IBJ983043 ILF983043 IVB983043 JEX983043 JOT983043 JYP983043 KIL983043 KSH983043 LCD983043 LLZ983043 LVV983043 MFR983043 MPN983043 MZJ983043 NJF983043 NTB983043 OCX983043 OMT983043 OWP983043 PGL983043 PQH983043 QAD983043 QJZ983043 QTV983043 RDR983043 RNN983043 RXJ983043 SHF983043 SRB983043 TAX983043 TKT983043 TUP983043 UEL983043 UOH983043 UYD983043 VHZ983043 VRV983043 WBR983043 WLN983043 WVJ983043">
      <formula1>"瀑布开发模型,迭代开发模型"</formula1>
    </dataValidation>
    <dataValidation type="list" allowBlank="1" showInputMessage="1" showErrorMessage="1" sqref="B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B65542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B131078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B196614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B262150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B327686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B393222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B458758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B524294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B589830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B655366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B720902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B786438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B851974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B917510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B983046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"大型,普通,微型"</formula1>
    </dataValidation>
    <dataValidation type="list" allowBlank="1" showInputMessage="1" showErrorMessage="1" sqref="B9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B65545 IX65545 ST65545 ACP65545 AML65545 AWH65545 BGD65545 BPZ65545 BZV65545 CJR65545 CTN65545 DDJ65545 DNF65545 DXB65545 EGX65545 EQT65545 FAP65545 FKL65545 FUH65545 GED65545 GNZ65545 GXV65545 HHR65545 HRN65545 IBJ65545 ILF65545 IVB65545 JEX65545 JOT65545 JYP65545 KIL65545 KSH65545 LCD65545 LLZ65545 LVV65545 MFR65545 MPN65545 MZJ65545 NJF65545 NTB65545 OCX65545 OMT65545 OWP65545 PGL65545 PQH65545 QAD65545 QJZ65545 QTV65545 RDR65545 RNN65545 RXJ65545 SHF65545 SRB65545 TAX65545 TKT65545 TUP65545 UEL65545 UOH65545 UYD65545 VHZ65545 VRV65545 WBR65545 WLN65545 WVJ65545 B131081 IX131081 ST131081 ACP131081 AML131081 AWH131081 BGD131081 BPZ131081 BZV131081 CJR131081 CTN131081 DDJ131081 DNF131081 DXB131081 EGX131081 EQT131081 FAP131081 FKL131081 FUH131081 GED131081 GNZ131081 GXV131081 HHR131081 HRN131081 IBJ131081 ILF131081 IVB131081 JEX131081 JOT131081 JYP131081 KIL131081 KSH131081 LCD131081 LLZ131081 LVV131081 MFR131081 MPN131081 MZJ131081 NJF131081 NTB131081 OCX131081 OMT131081 OWP131081 PGL131081 PQH131081 QAD131081 QJZ131081 QTV131081 RDR131081 RNN131081 RXJ131081 SHF131081 SRB131081 TAX131081 TKT131081 TUP131081 UEL131081 UOH131081 UYD131081 VHZ131081 VRV131081 WBR131081 WLN131081 WVJ131081 B196617 IX196617 ST196617 ACP196617 AML196617 AWH196617 BGD196617 BPZ196617 BZV196617 CJR196617 CTN196617 DDJ196617 DNF196617 DXB196617 EGX196617 EQT196617 FAP196617 FKL196617 FUH196617 GED196617 GNZ196617 GXV196617 HHR196617 HRN196617 IBJ196617 ILF196617 IVB196617 JEX196617 JOT196617 JYP196617 KIL196617 KSH196617 LCD196617 LLZ196617 LVV196617 MFR196617 MPN196617 MZJ196617 NJF196617 NTB196617 OCX196617 OMT196617 OWP196617 PGL196617 PQH196617 QAD196617 QJZ196617 QTV196617 RDR196617 RNN196617 RXJ196617 SHF196617 SRB196617 TAX196617 TKT196617 TUP196617 UEL196617 UOH196617 UYD196617 VHZ196617 VRV196617 WBR196617 WLN196617 WVJ196617 B262153 IX262153 ST262153 ACP262153 AML262153 AWH262153 BGD262153 BPZ262153 BZV262153 CJR262153 CTN262153 DDJ262153 DNF262153 DXB262153 EGX262153 EQT262153 FAP262153 FKL262153 FUH262153 GED262153 GNZ262153 GXV262153 HHR262153 HRN262153 IBJ262153 ILF262153 IVB262153 JEX262153 JOT262153 JYP262153 KIL262153 KSH262153 LCD262153 LLZ262153 LVV262153 MFR262153 MPN262153 MZJ262153 NJF262153 NTB262153 OCX262153 OMT262153 OWP262153 PGL262153 PQH262153 QAD262153 QJZ262153 QTV262153 RDR262153 RNN262153 RXJ262153 SHF262153 SRB262153 TAX262153 TKT262153 TUP262153 UEL262153 UOH262153 UYD262153 VHZ262153 VRV262153 WBR262153 WLN262153 WVJ262153 B327689 IX327689 ST327689 ACP327689 AML327689 AWH327689 BGD327689 BPZ327689 BZV327689 CJR327689 CTN327689 DDJ327689 DNF327689 DXB327689 EGX327689 EQT327689 FAP327689 FKL327689 FUH327689 GED327689 GNZ327689 GXV327689 HHR327689 HRN327689 IBJ327689 ILF327689 IVB327689 JEX327689 JOT327689 JYP327689 KIL327689 KSH327689 LCD327689 LLZ327689 LVV327689 MFR327689 MPN327689 MZJ327689 NJF327689 NTB327689 OCX327689 OMT327689 OWP327689 PGL327689 PQH327689 QAD327689 QJZ327689 QTV327689 RDR327689 RNN327689 RXJ327689 SHF327689 SRB327689 TAX327689 TKT327689 TUP327689 UEL327689 UOH327689 UYD327689 VHZ327689 VRV327689 WBR327689 WLN327689 WVJ327689 B393225 IX393225 ST393225 ACP393225 AML393225 AWH393225 BGD393225 BPZ393225 BZV393225 CJR393225 CTN393225 DDJ393225 DNF393225 DXB393225 EGX393225 EQT393225 FAP393225 FKL393225 FUH393225 GED393225 GNZ393225 GXV393225 HHR393225 HRN393225 IBJ393225 ILF393225 IVB393225 JEX393225 JOT393225 JYP393225 KIL393225 KSH393225 LCD393225 LLZ393225 LVV393225 MFR393225 MPN393225 MZJ393225 NJF393225 NTB393225 OCX393225 OMT393225 OWP393225 PGL393225 PQH393225 QAD393225 QJZ393225 QTV393225 RDR393225 RNN393225 RXJ393225 SHF393225 SRB393225 TAX393225 TKT393225 TUP393225 UEL393225 UOH393225 UYD393225 VHZ393225 VRV393225 WBR393225 WLN393225 WVJ393225 B458761 IX458761 ST458761 ACP458761 AML458761 AWH458761 BGD458761 BPZ458761 BZV458761 CJR458761 CTN458761 DDJ458761 DNF458761 DXB458761 EGX458761 EQT458761 FAP458761 FKL458761 FUH458761 GED458761 GNZ458761 GXV458761 HHR458761 HRN458761 IBJ458761 ILF458761 IVB458761 JEX458761 JOT458761 JYP458761 KIL458761 KSH458761 LCD458761 LLZ458761 LVV458761 MFR458761 MPN458761 MZJ458761 NJF458761 NTB458761 OCX458761 OMT458761 OWP458761 PGL458761 PQH458761 QAD458761 QJZ458761 QTV458761 RDR458761 RNN458761 RXJ458761 SHF458761 SRB458761 TAX458761 TKT458761 TUP458761 UEL458761 UOH458761 UYD458761 VHZ458761 VRV458761 WBR458761 WLN458761 WVJ458761 B524297 IX524297 ST524297 ACP524297 AML524297 AWH524297 BGD524297 BPZ524297 BZV524297 CJR524297 CTN524297 DDJ524297 DNF524297 DXB524297 EGX524297 EQT524297 FAP524297 FKL524297 FUH524297 GED524297 GNZ524297 GXV524297 HHR524297 HRN524297 IBJ524297 ILF524297 IVB524297 JEX524297 JOT524297 JYP524297 KIL524297 KSH524297 LCD524297 LLZ524297 LVV524297 MFR524297 MPN524297 MZJ524297 NJF524297 NTB524297 OCX524297 OMT524297 OWP524297 PGL524297 PQH524297 QAD524297 QJZ524297 QTV524297 RDR524297 RNN524297 RXJ524297 SHF524297 SRB524297 TAX524297 TKT524297 TUP524297 UEL524297 UOH524297 UYD524297 VHZ524297 VRV524297 WBR524297 WLN524297 WVJ524297 B589833 IX589833 ST589833 ACP589833 AML589833 AWH589833 BGD589833 BPZ589833 BZV589833 CJR589833 CTN589833 DDJ589833 DNF589833 DXB589833 EGX589833 EQT589833 FAP589833 FKL589833 FUH589833 GED589833 GNZ589833 GXV589833 HHR589833 HRN589833 IBJ589833 ILF589833 IVB589833 JEX589833 JOT589833 JYP589833 KIL589833 KSH589833 LCD589833 LLZ589833 LVV589833 MFR589833 MPN589833 MZJ589833 NJF589833 NTB589833 OCX589833 OMT589833 OWP589833 PGL589833 PQH589833 QAD589833 QJZ589833 QTV589833 RDR589833 RNN589833 RXJ589833 SHF589833 SRB589833 TAX589833 TKT589833 TUP589833 UEL589833 UOH589833 UYD589833 VHZ589833 VRV589833 WBR589833 WLN589833 WVJ589833 B655369 IX655369 ST655369 ACP655369 AML655369 AWH655369 BGD655369 BPZ655369 BZV655369 CJR655369 CTN655369 DDJ655369 DNF655369 DXB655369 EGX655369 EQT655369 FAP655369 FKL655369 FUH655369 GED655369 GNZ655369 GXV655369 HHR655369 HRN655369 IBJ655369 ILF655369 IVB655369 JEX655369 JOT655369 JYP655369 KIL655369 KSH655369 LCD655369 LLZ655369 LVV655369 MFR655369 MPN655369 MZJ655369 NJF655369 NTB655369 OCX655369 OMT655369 OWP655369 PGL655369 PQH655369 QAD655369 QJZ655369 QTV655369 RDR655369 RNN655369 RXJ655369 SHF655369 SRB655369 TAX655369 TKT655369 TUP655369 UEL655369 UOH655369 UYD655369 VHZ655369 VRV655369 WBR655369 WLN655369 WVJ655369 B720905 IX720905 ST720905 ACP720905 AML720905 AWH720905 BGD720905 BPZ720905 BZV720905 CJR720905 CTN720905 DDJ720905 DNF720905 DXB720905 EGX720905 EQT720905 FAP720905 FKL720905 FUH720905 GED720905 GNZ720905 GXV720905 HHR720905 HRN720905 IBJ720905 ILF720905 IVB720905 JEX720905 JOT720905 JYP720905 KIL720905 KSH720905 LCD720905 LLZ720905 LVV720905 MFR720905 MPN720905 MZJ720905 NJF720905 NTB720905 OCX720905 OMT720905 OWP720905 PGL720905 PQH720905 QAD720905 QJZ720905 QTV720905 RDR720905 RNN720905 RXJ720905 SHF720905 SRB720905 TAX720905 TKT720905 TUP720905 UEL720905 UOH720905 UYD720905 VHZ720905 VRV720905 WBR720905 WLN720905 WVJ720905 B786441 IX786441 ST786441 ACP786441 AML786441 AWH786441 BGD786441 BPZ786441 BZV786441 CJR786441 CTN786441 DDJ786441 DNF786441 DXB786441 EGX786441 EQT786441 FAP786441 FKL786441 FUH786441 GED786441 GNZ786441 GXV786441 HHR786441 HRN786441 IBJ786441 ILF786441 IVB786441 JEX786441 JOT786441 JYP786441 KIL786441 KSH786441 LCD786441 LLZ786441 LVV786441 MFR786441 MPN786441 MZJ786441 NJF786441 NTB786441 OCX786441 OMT786441 OWP786441 PGL786441 PQH786441 QAD786441 QJZ786441 QTV786441 RDR786441 RNN786441 RXJ786441 SHF786441 SRB786441 TAX786441 TKT786441 TUP786441 UEL786441 UOH786441 UYD786441 VHZ786441 VRV786441 WBR786441 WLN786441 WVJ786441 B851977 IX851977 ST851977 ACP851977 AML851977 AWH851977 BGD851977 BPZ851977 BZV851977 CJR851977 CTN851977 DDJ851977 DNF851977 DXB851977 EGX851977 EQT851977 FAP851977 FKL851977 FUH851977 GED851977 GNZ851977 GXV851977 HHR851977 HRN851977 IBJ851977 ILF851977 IVB851977 JEX851977 JOT851977 JYP851977 KIL851977 KSH851977 LCD851977 LLZ851977 LVV851977 MFR851977 MPN851977 MZJ851977 NJF851977 NTB851977 OCX851977 OMT851977 OWP851977 PGL851977 PQH851977 QAD851977 QJZ851977 QTV851977 RDR851977 RNN851977 RXJ851977 SHF851977 SRB851977 TAX851977 TKT851977 TUP851977 UEL851977 UOH851977 UYD851977 VHZ851977 VRV851977 WBR851977 WLN851977 WVJ851977 B917513 IX917513 ST917513 ACP917513 AML917513 AWH917513 BGD917513 BPZ917513 BZV917513 CJR917513 CTN917513 DDJ917513 DNF917513 DXB917513 EGX917513 EQT917513 FAP917513 FKL917513 FUH917513 GED917513 GNZ917513 GXV917513 HHR917513 HRN917513 IBJ917513 ILF917513 IVB917513 JEX917513 JOT917513 JYP917513 KIL917513 KSH917513 LCD917513 LLZ917513 LVV917513 MFR917513 MPN917513 MZJ917513 NJF917513 NTB917513 OCX917513 OMT917513 OWP917513 PGL917513 PQH917513 QAD917513 QJZ917513 QTV917513 RDR917513 RNN917513 RXJ917513 SHF917513 SRB917513 TAX917513 TKT917513 TUP917513 UEL917513 UOH917513 UYD917513 VHZ917513 VRV917513 WBR917513 WLN917513 WVJ917513 B983049 IX983049 ST983049 ACP983049 AML983049 AWH983049 BGD983049 BPZ983049 BZV983049 CJR983049 CTN983049 DDJ983049 DNF983049 DXB983049 EGX983049 EQT983049 FAP983049 FKL983049 FUH983049 GED983049 GNZ983049 GXV983049 HHR983049 HRN983049 IBJ983049 ILF983049 IVB983049 JEX983049 JOT983049 JYP983049 KIL983049 KSH983049 LCD983049 LLZ983049 LVV983049 MFR983049 MPN983049 MZJ983049 NJF983049 NTB983049 OCX983049 OMT983049 OWP983049 PGL983049 PQH983049 QAD983049 QJZ983049 QTV983049 RDR983049 RNN983049 RXJ983049 SHF983049 SRB983049 TAX983049 TKT983049 TUP983049 UEL983049 UOH983049 UYD983049 VHZ983049 VRV983049 WBR983049 WLN983049 WVJ983049">
      <formula1>"OA,网站,管理系统,其他,"</formula1>
    </dataValidation>
  </dataValidations>
  <pageMargins left="0.699305555555556" right="0.699305555555556"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FFC000"/>
  </sheetPr>
  <dimension ref="A1:M117"/>
  <sheetViews>
    <sheetView tabSelected="1" topLeftCell="A19" workbookViewId="0">
      <selection activeCell="D36" sqref="D36:F36"/>
    </sheetView>
  </sheetViews>
  <sheetFormatPr defaultColWidth="9" defaultRowHeight="14.25"/>
  <cols>
    <col min="1" max="1" width="1.25" style="801" customWidth="1"/>
    <col min="2" max="2" width="5.875" style="801" customWidth="1"/>
    <col min="3" max="3" width="28.5" style="801" customWidth="1"/>
    <col min="4" max="4" width="15.25" style="801" customWidth="1"/>
    <col min="5" max="5" width="11.5" style="802" customWidth="1"/>
    <col min="6" max="6" width="12" style="802" customWidth="1"/>
    <col min="7" max="7" width="12.125" style="803" customWidth="1"/>
    <col min="8" max="8" width="19.375" style="804" customWidth="1"/>
    <col min="9" max="9" width="11.375" style="801" customWidth="1"/>
    <col min="10" max="10" width="13.125" style="801" customWidth="1"/>
    <col min="11" max="11" width="29.5" style="801" customWidth="1"/>
    <col min="12" max="12" width="13" style="801" customWidth="1"/>
    <col min="13" max="256" width="9" style="801"/>
    <col min="257" max="257" width="1.25" style="801" customWidth="1"/>
    <col min="258" max="258" width="5.875" style="801" customWidth="1"/>
    <col min="259" max="259" width="28.5" style="801" customWidth="1"/>
    <col min="260" max="260" width="15.25" style="801" customWidth="1"/>
    <col min="261" max="261" width="11.5" style="801" customWidth="1"/>
    <col min="262" max="262" width="12" style="801" customWidth="1"/>
    <col min="263" max="263" width="12.125" style="801" customWidth="1"/>
    <col min="264" max="264" width="19.375" style="801" customWidth="1"/>
    <col min="265" max="265" width="11.375" style="801" customWidth="1"/>
    <col min="266" max="266" width="13.125" style="801" customWidth="1"/>
    <col min="267" max="267" width="29.5" style="801" customWidth="1"/>
    <col min="268" max="268" width="13" style="801" customWidth="1"/>
    <col min="269" max="512" width="9" style="801"/>
    <col min="513" max="513" width="1.25" style="801" customWidth="1"/>
    <col min="514" max="514" width="5.875" style="801" customWidth="1"/>
    <col min="515" max="515" width="28.5" style="801" customWidth="1"/>
    <col min="516" max="516" width="15.25" style="801" customWidth="1"/>
    <col min="517" max="517" width="11.5" style="801" customWidth="1"/>
    <col min="518" max="518" width="12" style="801" customWidth="1"/>
    <col min="519" max="519" width="12.125" style="801" customWidth="1"/>
    <col min="520" max="520" width="19.375" style="801" customWidth="1"/>
    <col min="521" max="521" width="11.375" style="801" customWidth="1"/>
    <col min="522" max="522" width="13.125" style="801" customWidth="1"/>
    <col min="523" max="523" width="29.5" style="801" customWidth="1"/>
    <col min="524" max="524" width="13" style="801" customWidth="1"/>
    <col min="525" max="768" width="9" style="801"/>
    <col min="769" max="769" width="1.25" style="801" customWidth="1"/>
    <col min="770" max="770" width="5.875" style="801" customWidth="1"/>
    <col min="771" max="771" width="28.5" style="801" customWidth="1"/>
    <col min="772" max="772" width="15.25" style="801" customWidth="1"/>
    <col min="773" max="773" width="11.5" style="801" customWidth="1"/>
    <col min="774" max="774" width="12" style="801" customWidth="1"/>
    <col min="775" max="775" width="12.125" style="801" customWidth="1"/>
    <col min="776" max="776" width="19.375" style="801" customWidth="1"/>
    <col min="777" max="777" width="11.375" style="801" customWidth="1"/>
    <col min="778" max="778" width="13.125" style="801" customWidth="1"/>
    <col min="779" max="779" width="29.5" style="801" customWidth="1"/>
    <col min="780" max="780" width="13" style="801" customWidth="1"/>
    <col min="781" max="1024" width="9" style="801"/>
    <col min="1025" max="1025" width="1.25" style="801" customWidth="1"/>
    <col min="1026" max="1026" width="5.875" style="801" customWidth="1"/>
    <col min="1027" max="1027" width="28.5" style="801" customWidth="1"/>
    <col min="1028" max="1028" width="15.25" style="801" customWidth="1"/>
    <col min="1029" max="1029" width="11.5" style="801" customWidth="1"/>
    <col min="1030" max="1030" width="12" style="801" customWidth="1"/>
    <col min="1031" max="1031" width="12.125" style="801" customWidth="1"/>
    <col min="1032" max="1032" width="19.375" style="801" customWidth="1"/>
    <col min="1033" max="1033" width="11.375" style="801" customWidth="1"/>
    <col min="1034" max="1034" width="13.125" style="801" customWidth="1"/>
    <col min="1035" max="1035" width="29.5" style="801" customWidth="1"/>
    <col min="1036" max="1036" width="13" style="801" customWidth="1"/>
    <col min="1037" max="1280" width="9" style="801"/>
    <col min="1281" max="1281" width="1.25" style="801" customWidth="1"/>
    <col min="1282" max="1282" width="5.875" style="801" customWidth="1"/>
    <col min="1283" max="1283" width="28.5" style="801" customWidth="1"/>
    <col min="1284" max="1284" width="15.25" style="801" customWidth="1"/>
    <col min="1285" max="1285" width="11.5" style="801" customWidth="1"/>
    <col min="1286" max="1286" width="12" style="801" customWidth="1"/>
    <col min="1287" max="1287" width="12.125" style="801" customWidth="1"/>
    <col min="1288" max="1288" width="19.375" style="801" customWidth="1"/>
    <col min="1289" max="1289" width="11.375" style="801" customWidth="1"/>
    <col min="1290" max="1290" width="13.125" style="801" customWidth="1"/>
    <col min="1291" max="1291" width="29.5" style="801" customWidth="1"/>
    <col min="1292" max="1292" width="13" style="801" customWidth="1"/>
    <col min="1293" max="1536" width="9" style="801"/>
    <col min="1537" max="1537" width="1.25" style="801" customWidth="1"/>
    <col min="1538" max="1538" width="5.875" style="801" customWidth="1"/>
    <col min="1539" max="1539" width="28.5" style="801" customWidth="1"/>
    <col min="1540" max="1540" width="15.25" style="801" customWidth="1"/>
    <col min="1541" max="1541" width="11.5" style="801" customWidth="1"/>
    <col min="1542" max="1542" width="12" style="801" customWidth="1"/>
    <col min="1543" max="1543" width="12.125" style="801" customWidth="1"/>
    <col min="1544" max="1544" width="19.375" style="801" customWidth="1"/>
    <col min="1545" max="1545" width="11.375" style="801" customWidth="1"/>
    <col min="1546" max="1546" width="13.125" style="801" customWidth="1"/>
    <col min="1547" max="1547" width="29.5" style="801" customWidth="1"/>
    <col min="1548" max="1548" width="13" style="801" customWidth="1"/>
    <col min="1549" max="1792" width="9" style="801"/>
    <col min="1793" max="1793" width="1.25" style="801" customWidth="1"/>
    <col min="1794" max="1794" width="5.875" style="801" customWidth="1"/>
    <col min="1795" max="1795" width="28.5" style="801" customWidth="1"/>
    <col min="1796" max="1796" width="15.25" style="801" customWidth="1"/>
    <col min="1797" max="1797" width="11.5" style="801" customWidth="1"/>
    <col min="1798" max="1798" width="12" style="801" customWidth="1"/>
    <col min="1799" max="1799" width="12.125" style="801" customWidth="1"/>
    <col min="1800" max="1800" width="19.375" style="801" customWidth="1"/>
    <col min="1801" max="1801" width="11.375" style="801" customWidth="1"/>
    <col min="1802" max="1802" width="13.125" style="801" customWidth="1"/>
    <col min="1803" max="1803" width="29.5" style="801" customWidth="1"/>
    <col min="1804" max="1804" width="13" style="801" customWidth="1"/>
    <col min="1805" max="2048" width="9" style="801"/>
    <col min="2049" max="2049" width="1.25" style="801" customWidth="1"/>
    <col min="2050" max="2050" width="5.875" style="801" customWidth="1"/>
    <col min="2051" max="2051" width="28.5" style="801" customWidth="1"/>
    <col min="2052" max="2052" width="15.25" style="801" customWidth="1"/>
    <col min="2053" max="2053" width="11.5" style="801" customWidth="1"/>
    <col min="2054" max="2054" width="12" style="801" customWidth="1"/>
    <col min="2055" max="2055" width="12.125" style="801" customWidth="1"/>
    <col min="2056" max="2056" width="19.375" style="801" customWidth="1"/>
    <col min="2057" max="2057" width="11.375" style="801" customWidth="1"/>
    <col min="2058" max="2058" width="13.125" style="801" customWidth="1"/>
    <col min="2059" max="2059" width="29.5" style="801" customWidth="1"/>
    <col min="2060" max="2060" width="13" style="801" customWidth="1"/>
    <col min="2061" max="2304" width="9" style="801"/>
    <col min="2305" max="2305" width="1.25" style="801" customWidth="1"/>
    <col min="2306" max="2306" width="5.875" style="801" customWidth="1"/>
    <col min="2307" max="2307" width="28.5" style="801" customWidth="1"/>
    <col min="2308" max="2308" width="15.25" style="801" customWidth="1"/>
    <col min="2309" max="2309" width="11.5" style="801" customWidth="1"/>
    <col min="2310" max="2310" width="12" style="801" customWidth="1"/>
    <col min="2311" max="2311" width="12.125" style="801" customWidth="1"/>
    <col min="2312" max="2312" width="19.375" style="801" customWidth="1"/>
    <col min="2313" max="2313" width="11.375" style="801" customWidth="1"/>
    <col min="2314" max="2314" width="13.125" style="801" customWidth="1"/>
    <col min="2315" max="2315" width="29.5" style="801" customWidth="1"/>
    <col min="2316" max="2316" width="13" style="801" customWidth="1"/>
    <col min="2317" max="2560" width="9" style="801"/>
    <col min="2561" max="2561" width="1.25" style="801" customWidth="1"/>
    <col min="2562" max="2562" width="5.875" style="801" customWidth="1"/>
    <col min="2563" max="2563" width="28.5" style="801" customWidth="1"/>
    <col min="2564" max="2564" width="15.25" style="801" customWidth="1"/>
    <col min="2565" max="2565" width="11.5" style="801" customWidth="1"/>
    <col min="2566" max="2566" width="12" style="801" customWidth="1"/>
    <col min="2567" max="2567" width="12.125" style="801" customWidth="1"/>
    <col min="2568" max="2568" width="19.375" style="801" customWidth="1"/>
    <col min="2569" max="2569" width="11.375" style="801" customWidth="1"/>
    <col min="2570" max="2570" width="13.125" style="801" customWidth="1"/>
    <col min="2571" max="2571" width="29.5" style="801" customWidth="1"/>
    <col min="2572" max="2572" width="13" style="801" customWidth="1"/>
    <col min="2573" max="2816" width="9" style="801"/>
    <col min="2817" max="2817" width="1.25" style="801" customWidth="1"/>
    <col min="2818" max="2818" width="5.875" style="801" customWidth="1"/>
    <col min="2819" max="2819" width="28.5" style="801" customWidth="1"/>
    <col min="2820" max="2820" width="15.25" style="801" customWidth="1"/>
    <col min="2821" max="2821" width="11.5" style="801" customWidth="1"/>
    <col min="2822" max="2822" width="12" style="801" customWidth="1"/>
    <col min="2823" max="2823" width="12.125" style="801" customWidth="1"/>
    <col min="2824" max="2824" width="19.375" style="801" customWidth="1"/>
    <col min="2825" max="2825" width="11.375" style="801" customWidth="1"/>
    <col min="2826" max="2826" width="13.125" style="801" customWidth="1"/>
    <col min="2827" max="2827" width="29.5" style="801" customWidth="1"/>
    <col min="2828" max="2828" width="13" style="801" customWidth="1"/>
    <col min="2829" max="3072" width="9" style="801"/>
    <col min="3073" max="3073" width="1.25" style="801" customWidth="1"/>
    <col min="3074" max="3074" width="5.875" style="801" customWidth="1"/>
    <col min="3075" max="3075" width="28.5" style="801" customWidth="1"/>
    <col min="3076" max="3076" width="15.25" style="801" customWidth="1"/>
    <col min="3077" max="3077" width="11.5" style="801" customWidth="1"/>
    <col min="3078" max="3078" width="12" style="801" customWidth="1"/>
    <col min="3079" max="3079" width="12.125" style="801" customWidth="1"/>
    <col min="3080" max="3080" width="19.375" style="801" customWidth="1"/>
    <col min="3081" max="3081" width="11.375" style="801" customWidth="1"/>
    <col min="3082" max="3082" width="13.125" style="801" customWidth="1"/>
    <col min="3083" max="3083" width="29.5" style="801" customWidth="1"/>
    <col min="3084" max="3084" width="13" style="801" customWidth="1"/>
    <col min="3085" max="3328" width="9" style="801"/>
    <col min="3329" max="3329" width="1.25" style="801" customWidth="1"/>
    <col min="3330" max="3330" width="5.875" style="801" customWidth="1"/>
    <col min="3331" max="3331" width="28.5" style="801" customWidth="1"/>
    <col min="3332" max="3332" width="15.25" style="801" customWidth="1"/>
    <col min="3333" max="3333" width="11.5" style="801" customWidth="1"/>
    <col min="3334" max="3334" width="12" style="801" customWidth="1"/>
    <col min="3335" max="3335" width="12.125" style="801" customWidth="1"/>
    <col min="3336" max="3336" width="19.375" style="801" customWidth="1"/>
    <col min="3337" max="3337" width="11.375" style="801" customWidth="1"/>
    <col min="3338" max="3338" width="13.125" style="801" customWidth="1"/>
    <col min="3339" max="3339" width="29.5" style="801" customWidth="1"/>
    <col min="3340" max="3340" width="13" style="801" customWidth="1"/>
    <col min="3341" max="3584" width="9" style="801"/>
    <col min="3585" max="3585" width="1.25" style="801" customWidth="1"/>
    <col min="3586" max="3586" width="5.875" style="801" customWidth="1"/>
    <col min="3587" max="3587" width="28.5" style="801" customWidth="1"/>
    <col min="3588" max="3588" width="15.25" style="801" customWidth="1"/>
    <col min="3589" max="3589" width="11.5" style="801" customWidth="1"/>
    <col min="3590" max="3590" width="12" style="801" customWidth="1"/>
    <col min="3591" max="3591" width="12.125" style="801" customWidth="1"/>
    <col min="3592" max="3592" width="19.375" style="801" customWidth="1"/>
    <col min="3593" max="3593" width="11.375" style="801" customWidth="1"/>
    <col min="3594" max="3594" width="13.125" style="801" customWidth="1"/>
    <col min="3595" max="3595" width="29.5" style="801" customWidth="1"/>
    <col min="3596" max="3596" width="13" style="801" customWidth="1"/>
    <col min="3597" max="3840" width="9" style="801"/>
    <col min="3841" max="3841" width="1.25" style="801" customWidth="1"/>
    <col min="3842" max="3842" width="5.875" style="801" customWidth="1"/>
    <col min="3843" max="3843" width="28.5" style="801" customWidth="1"/>
    <col min="3844" max="3844" width="15.25" style="801" customWidth="1"/>
    <col min="3845" max="3845" width="11.5" style="801" customWidth="1"/>
    <col min="3846" max="3846" width="12" style="801" customWidth="1"/>
    <col min="3847" max="3847" width="12.125" style="801" customWidth="1"/>
    <col min="3848" max="3848" width="19.375" style="801" customWidth="1"/>
    <col min="3849" max="3849" width="11.375" style="801" customWidth="1"/>
    <col min="3850" max="3850" width="13.125" style="801" customWidth="1"/>
    <col min="3851" max="3851" width="29.5" style="801" customWidth="1"/>
    <col min="3852" max="3852" width="13" style="801" customWidth="1"/>
    <col min="3853" max="4096" width="9" style="801"/>
    <col min="4097" max="4097" width="1.25" style="801" customWidth="1"/>
    <col min="4098" max="4098" width="5.875" style="801" customWidth="1"/>
    <col min="4099" max="4099" width="28.5" style="801" customWidth="1"/>
    <col min="4100" max="4100" width="15.25" style="801" customWidth="1"/>
    <col min="4101" max="4101" width="11.5" style="801" customWidth="1"/>
    <col min="4102" max="4102" width="12" style="801" customWidth="1"/>
    <col min="4103" max="4103" width="12.125" style="801" customWidth="1"/>
    <col min="4104" max="4104" width="19.375" style="801" customWidth="1"/>
    <col min="4105" max="4105" width="11.375" style="801" customWidth="1"/>
    <col min="4106" max="4106" width="13.125" style="801" customWidth="1"/>
    <col min="4107" max="4107" width="29.5" style="801" customWidth="1"/>
    <col min="4108" max="4108" width="13" style="801" customWidth="1"/>
    <col min="4109" max="4352" width="9" style="801"/>
    <col min="4353" max="4353" width="1.25" style="801" customWidth="1"/>
    <col min="4354" max="4354" width="5.875" style="801" customWidth="1"/>
    <col min="4355" max="4355" width="28.5" style="801" customWidth="1"/>
    <col min="4356" max="4356" width="15.25" style="801" customWidth="1"/>
    <col min="4357" max="4357" width="11.5" style="801" customWidth="1"/>
    <col min="4358" max="4358" width="12" style="801" customWidth="1"/>
    <col min="4359" max="4359" width="12.125" style="801" customWidth="1"/>
    <col min="4360" max="4360" width="19.375" style="801" customWidth="1"/>
    <col min="4361" max="4361" width="11.375" style="801" customWidth="1"/>
    <col min="4362" max="4362" width="13.125" style="801" customWidth="1"/>
    <col min="4363" max="4363" width="29.5" style="801" customWidth="1"/>
    <col min="4364" max="4364" width="13" style="801" customWidth="1"/>
    <col min="4365" max="4608" width="9" style="801"/>
    <col min="4609" max="4609" width="1.25" style="801" customWidth="1"/>
    <col min="4610" max="4610" width="5.875" style="801" customWidth="1"/>
    <col min="4611" max="4611" width="28.5" style="801" customWidth="1"/>
    <col min="4612" max="4612" width="15.25" style="801" customWidth="1"/>
    <col min="4613" max="4613" width="11.5" style="801" customWidth="1"/>
    <col min="4614" max="4614" width="12" style="801" customWidth="1"/>
    <col min="4615" max="4615" width="12.125" style="801" customWidth="1"/>
    <col min="4616" max="4616" width="19.375" style="801" customWidth="1"/>
    <col min="4617" max="4617" width="11.375" style="801" customWidth="1"/>
    <col min="4618" max="4618" width="13.125" style="801" customWidth="1"/>
    <col min="4619" max="4619" width="29.5" style="801" customWidth="1"/>
    <col min="4620" max="4620" width="13" style="801" customWidth="1"/>
    <col min="4621" max="4864" width="9" style="801"/>
    <col min="4865" max="4865" width="1.25" style="801" customWidth="1"/>
    <col min="4866" max="4866" width="5.875" style="801" customWidth="1"/>
    <col min="4867" max="4867" width="28.5" style="801" customWidth="1"/>
    <col min="4868" max="4868" width="15.25" style="801" customWidth="1"/>
    <col min="4869" max="4869" width="11.5" style="801" customWidth="1"/>
    <col min="4870" max="4870" width="12" style="801" customWidth="1"/>
    <col min="4871" max="4871" width="12.125" style="801" customWidth="1"/>
    <col min="4872" max="4872" width="19.375" style="801" customWidth="1"/>
    <col min="4873" max="4873" width="11.375" style="801" customWidth="1"/>
    <col min="4874" max="4874" width="13.125" style="801" customWidth="1"/>
    <col min="4875" max="4875" width="29.5" style="801" customWidth="1"/>
    <col min="4876" max="4876" width="13" style="801" customWidth="1"/>
    <col min="4877" max="5120" width="9" style="801"/>
    <col min="5121" max="5121" width="1.25" style="801" customWidth="1"/>
    <col min="5122" max="5122" width="5.875" style="801" customWidth="1"/>
    <col min="5123" max="5123" width="28.5" style="801" customWidth="1"/>
    <col min="5124" max="5124" width="15.25" style="801" customWidth="1"/>
    <col min="5125" max="5125" width="11.5" style="801" customWidth="1"/>
    <col min="5126" max="5126" width="12" style="801" customWidth="1"/>
    <col min="5127" max="5127" width="12.125" style="801" customWidth="1"/>
    <col min="5128" max="5128" width="19.375" style="801" customWidth="1"/>
    <col min="5129" max="5129" width="11.375" style="801" customWidth="1"/>
    <col min="5130" max="5130" width="13.125" style="801" customWidth="1"/>
    <col min="5131" max="5131" width="29.5" style="801" customWidth="1"/>
    <col min="5132" max="5132" width="13" style="801" customWidth="1"/>
    <col min="5133" max="5376" width="9" style="801"/>
    <col min="5377" max="5377" width="1.25" style="801" customWidth="1"/>
    <col min="5378" max="5378" width="5.875" style="801" customWidth="1"/>
    <col min="5379" max="5379" width="28.5" style="801" customWidth="1"/>
    <col min="5380" max="5380" width="15.25" style="801" customWidth="1"/>
    <col min="5381" max="5381" width="11.5" style="801" customWidth="1"/>
    <col min="5382" max="5382" width="12" style="801" customWidth="1"/>
    <col min="5383" max="5383" width="12.125" style="801" customWidth="1"/>
    <col min="5384" max="5384" width="19.375" style="801" customWidth="1"/>
    <col min="5385" max="5385" width="11.375" style="801" customWidth="1"/>
    <col min="5386" max="5386" width="13.125" style="801" customWidth="1"/>
    <col min="5387" max="5387" width="29.5" style="801" customWidth="1"/>
    <col min="5388" max="5388" width="13" style="801" customWidth="1"/>
    <col min="5389" max="5632" width="9" style="801"/>
    <col min="5633" max="5633" width="1.25" style="801" customWidth="1"/>
    <col min="5634" max="5634" width="5.875" style="801" customWidth="1"/>
    <col min="5635" max="5635" width="28.5" style="801" customWidth="1"/>
    <col min="5636" max="5636" width="15.25" style="801" customWidth="1"/>
    <col min="5637" max="5637" width="11.5" style="801" customWidth="1"/>
    <col min="5638" max="5638" width="12" style="801" customWidth="1"/>
    <col min="5639" max="5639" width="12.125" style="801" customWidth="1"/>
    <col min="5640" max="5640" width="19.375" style="801" customWidth="1"/>
    <col min="5641" max="5641" width="11.375" style="801" customWidth="1"/>
    <col min="5642" max="5642" width="13.125" style="801" customWidth="1"/>
    <col min="5643" max="5643" width="29.5" style="801" customWidth="1"/>
    <col min="5644" max="5644" width="13" style="801" customWidth="1"/>
    <col min="5645" max="5888" width="9" style="801"/>
    <col min="5889" max="5889" width="1.25" style="801" customWidth="1"/>
    <col min="5890" max="5890" width="5.875" style="801" customWidth="1"/>
    <col min="5891" max="5891" width="28.5" style="801" customWidth="1"/>
    <col min="5892" max="5892" width="15.25" style="801" customWidth="1"/>
    <col min="5893" max="5893" width="11.5" style="801" customWidth="1"/>
    <col min="5894" max="5894" width="12" style="801" customWidth="1"/>
    <col min="5895" max="5895" width="12.125" style="801" customWidth="1"/>
    <col min="5896" max="5896" width="19.375" style="801" customWidth="1"/>
    <col min="5897" max="5897" width="11.375" style="801" customWidth="1"/>
    <col min="5898" max="5898" width="13.125" style="801" customWidth="1"/>
    <col min="5899" max="5899" width="29.5" style="801" customWidth="1"/>
    <col min="5900" max="5900" width="13" style="801" customWidth="1"/>
    <col min="5901" max="6144" width="9" style="801"/>
    <col min="6145" max="6145" width="1.25" style="801" customWidth="1"/>
    <col min="6146" max="6146" width="5.875" style="801" customWidth="1"/>
    <col min="6147" max="6147" width="28.5" style="801" customWidth="1"/>
    <col min="6148" max="6148" width="15.25" style="801" customWidth="1"/>
    <col min="6149" max="6149" width="11.5" style="801" customWidth="1"/>
    <col min="6150" max="6150" width="12" style="801" customWidth="1"/>
    <col min="6151" max="6151" width="12.125" style="801" customWidth="1"/>
    <col min="6152" max="6152" width="19.375" style="801" customWidth="1"/>
    <col min="6153" max="6153" width="11.375" style="801" customWidth="1"/>
    <col min="6154" max="6154" width="13.125" style="801" customWidth="1"/>
    <col min="6155" max="6155" width="29.5" style="801" customWidth="1"/>
    <col min="6156" max="6156" width="13" style="801" customWidth="1"/>
    <col min="6157" max="6400" width="9" style="801"/>
    <col min="6401" max="6401" width="1.25" style="801" customWidth="1"/>
    <col min="6402" max="6402" width="5.875" style="801" customWidth="1"/>
    <col min="6403" max="6403" width="28.5" style="801" customWidth="1"/>
    <col min="6404" max="6404" width="15.25" style="801" customWidth="1"/>
    <col min="6405" max="6405" width="11.5" style="801" customWidth="1"/>
    <col min="6406" max="6406" width="12" style="801" customWidth="1"/>
    <col min="6407" max="6407" width="12.125" style="801" customWidth="1"/>
    <col min="6408" max="6408" width="19.375" style="801" customWidth="1"/>
    <col min="6409" max="6409" width="11.375" style="801" customWidth="1"/>
    <col min="6410" max="6410" width="13.125" style="801" customWidth="1"/>
    <col min="6411" max="6411" width="29.5" style="801" customWidth="1"/>
    <col min="6412" max="6412" width="13" style="801" customWidth="1"/>
    <col min="6413" max="6656" width="9" style="801"/>
    <col min="6657" max="6657" width="1.25" style="801" customWidth="1"/>
    <col min="6658" max="6658" width="5.875" style="801" customWidth="1"/>
    <col min="6659" max="6659" width="28.5" style="801" customWidth="1"/>
    <col min="6660" max="6660" width="15.25" style="801" customWidth="1"/>
    <col min="6661" max="6661" width="11.5" style="801" customWidth="1"/>
    <col min="6662" max="6662" width="12" style="801" customWidth="1"/>
    <col min="6663" max="6663" width="12.125" style="801" customWidth="1"/>
    <col min="6664" max="6664" width="19.375" style="801" customWidth="1"/>
    <col min="6665" max="6665" width="11.375" style="801" customWidth="1"/>
    <col min="6666" max="6666" width="13.125" style="801" customWidth="1"/>
    <col min="6667" max="6667" width="29.5" style="801" customWidth="1"/>
    <col min="6668" max="6668" width="13" style="801" customWidth="1"/>
    <col min="6669" max="6912" width="9" style="801"/>
    <col min="6913" max="6913" width="1.25" style="801" customWidth="1"/>
    <col min="6914" max="6914" width="5.875" style="801" customWidth="1"/>
    <col min="6915" max="6915" width="28.5" style="801" customWidth="1"/>
    <col min="6916" max="6916" width="15.25" style="801" customWidth="1"/>
    <col min="6917" max="6917" width="11.5" style="801" customWidth="1"/>
    <col min="6918" max="6918" width="12" style="801" customWidth="1"/>
    <col min="6919" max="6919" width="12.125" style="801" customWidth="1"/>
    <col min="6920" max="6920" width="19.375" style="801" customWidth="1"/>
    <col min="6921" max="6921" width="11.375" style="801" customWidth="1"/>
    <col min="6922" max="6922" width="13.125" style="801" customWidth="1"/>
    <col min="6923" max="6923" width="29.5" style="801" customWidth="1"/>
    <col min="6924" max="6924" width="13" style="801" customWidth="1"/>
    <col min="6925" max="7168" width="9" style="801"/>
    <col min="7169" max="7169" width="1.25" style="801" customWidth="1"/>
    <col min="7170" max="7170" width="5.875" style="801" customWidth="1"/>
    <col min="7171" max="7171" width="28.5" style="801" customWidth="1"/>
    <col min="7172" max="7172" width="15.25" style="801" customWidth="1"/>
    <col min="7173" max="7173" width="11.5" style="801" customWidth="1"/>
    <col min="7174" max="7174" width="12" style="801" customWidth="1"/>
    <col min="7175" max="7175" width="12.125" style="801" customWidth="1"/>
    <col min="7176" max="7176" width="19.375" style="801" customWidth="1"/>
    <col min="7177" max="7177" width="11.375" style="801" customWidth="1"/>
    <col min="7178" max="7178" width="13.125" style="801" customWidth="1"/>
    <col min="7179" max="7179" width="29.5" style="801" customWidth="1"/>
    <col min="7180" max="7180" width="13" style="801" customWidth="1"/>
    <col min="7181" max="7424" width="9" style="801"/>
    <col min="7425" max="7425" width="1.25" style="801" customWidth="1"/>
    <col min="7426" max="7426" width="5.875" style="801" customWidth="1"/>
    <col min="7427" max="7427" width="28.5" style="801" customWidth="1"/>
    <col min="7428" max="7428" width="15.25" style="801" customWidth="1"/>
    <col min="7429" max="7429" width="11.5" style="801" customWidth="1"/>
    <col min="7430" max="7430" width="12" style="801" customWidth="1"/>
    <col min="7431" max="7431" width="12.125" style="801" customWidth="1"/>
    <col min="7432" max="7432" width="19.375" style="801" customWidth="1"/>
    <col min="7433" max="7433" width="11.375" style="801" customWidth="1"/>
    <col min="7434" max="7434" width="13.125" style="801" customWidth="1"/>
    <col min="7435" max="7435" width="29.5" style="801" customWidth="1"/>
    <col min="7436" max="7436" width="13" style="801" customWidth="1"/>
    <col min="7437" max="7680" width="9" style="801"/>
    <col min="7681" max="7681" width="1.25" style="801" customWidth="1"/>
    <col min="7682" max="7682" width="5.875" style="801" customWidth="1"/>
    <col min="7683" max="7683" width="28.5" style="801" customWidth="1"/>
    <col min="7684" max="7684" width="15.25" style="801" customWidth="1"/>
    <col min="7685" max="7685" width="11.5" style="801" customWidth="1"/>
    <col min="7686" max="7686" width="12" style="801" customWidth="1"/>
    <col min="7687" max="7687" width="12.125" style="801" customWidth="1"/>
    <col min="7688" max="7688" width="19.375" style="801" customWidth="1"/>
    <col min="7689" max="7689" width="11.375" style="801" customWidth="1"/>
    <col min="7690" max="7690" width="13.125" style="801" customWidth="1"/>
    <col min="7691" max="7691" width="29.5" style="801" customWidth="1"/>
    <col min="7692" max="7692" width="13" style="801" customWidth="1"/>
    <col min="7693" max="7936" width="9" style="801"/>
    <col min="7937" max="7937" width="1.25" style="801" customWidth="1"/>
    <col min="7938" max="7938" width="5.875" style="801" customWidth="1"/>
    <col min="7939" max="7939" width="28.5" style="801" customWidth="1"/>
    <col min="7940" max="7940" width="15.25" style="801" customWidth="1"/>
    <col min="7941" max="7941" width="11.5" style="801" customWidth="1"/>
    <col min="7942" max="7942" width="12" style="801" customWidth="1"/>
    <col min="7943" max="7943" width="12.125" style="801" customWidth="1"/>
    <col min="7944" max="7944" width="19.375" style="801" customWidth="1"/>
    <col min="7945" max="7945" width="11.375" style="801" customWidth="1"/>
    <col min="7946" max="7946" width="13.125" style="801" customWidth="1"/>
    <col min="7947" max="7947" width="29.5" style="801" customWidth="1"/>
    <col min="7948" max="7948" width="13" style="801" customWidth="1"/>
    <col min="7949" max="8192" width="9" style="801"/>
    <col min="8193" max="8193" width="1.25" style="801" customWidth="1"/>
    <col min="8194" max="8194" width="5.875" style="801" customWidth="1"/>
    <col min="8195" max="8195" width="28.5" style="801" customWidth="1"/>
    <col min="8196" max="8196" width="15.25" style="801" customWidth="1"/>
    <col min="8197" max="8197" width="11.5" style="801" customWidth="1"/>
    <col min="8198" max="8198" width="12" style="801" customWidth="1"/>
    <col min="8199" max="8199" width="12.125" style="801" customWidth="1"/>
    <col min="8200" max="8200" width="19.375" style="801" customWidth="1"/>
    <col min="8201" max="8201" width="11.375" style="801" customWidth="1"/>
    <col min="8202" max="8202" width="13.125" style="801" customWidth="1"/>
    <col min="8203" max="8203" width="29.5" style="801" customWidth="1"/>
    <col min="8204" max="8204" width="13" style="801" customWidth="1"/>
    <col min="8205" max="8448" width="9" style="801"/>
    <col min="8449" max="8449" width="1.25" style="801" customWidth="1"/>
    <col min="8450" max="8450" width="5.875" style="801" customWidth="1"/>
    <col min="8451" max="8451" width="28.5" style="801" customWidth="1"/>
    <col min="8452" max="8452" width="15.25" style="801" customWidth="1"/>
    <col min="8453" max="8453" width="11.5" style="801" customWidth="1"/>
    <col min="8454" max="8454" width="12" style="801" customWidth="1"/>
    <col min="8455" max="8455" width="12.125" style="801" customWidth="1"/>
    <col min="8456" max="8456" width="19.375" style="801" customWidth="1"/>
    <col min="8457" max="8457" width="11.375" style="801" customWidth="1"/>
    <col min="8458" max="8458" width="13.125" style="801" customWidth="1"/>
    <col min="8459" max="8459" width="29.5" style="801" customWidth="1"/>
    <col min="8460" max="8460" width="13" style="801" customWidth="1"/>
    <col min="8461" max="8704" width="9" style="801"/>
    <col min="8705" max="8705" width="1.25" style="801" customWidth="1"/>
    <col min="8706" max="8706" width="5.875" style="801" customWidth="1"/>
    <col min="8707" max="8707" width="28.5" style="801" customWidth="1"/>
    <col min="8708" max="8708" width="15.25" style="801" customWidth="1"/>
    <col min="8709" max="8709" width="11.5" style="801" customWidth="1"/>
    <col min="8710" max="8710" width="12" style="801" customWidth="1"/>
    <col min="8711" max="8711" width="12.125" style="801" customWidth="1"/>
    <col min="8712" max="8712" width="19.375" style="801" customWidth="1"/>
    <col min="8713" max="8713" width="11.375" style="801" customWidth="1"/>
    <col min="8714" max="8714" width="13.125" style="801" customWidth="1"/>
    <col min="8715" max="8715" width="29.5" style="801" customWidth="1"/>
    <col min="8716" max="8716" width="13" style="801" customWidth="1"/>
    <col min="8717" max="8960" width="9" style="801"/>
    <col min="8961" max="8961" width="1.25" style="801" customWidth="1"/>
    <col min="8962" max="8962" width="5.875" style="801" customWidth="1"/>
    <col min="8963" max="8963" width="28.5" style="801" customWidth="1"/>
    <col min="8964" max="8964" width="15.25" style="801" customWidth="1"/>
    <col min="8965" max="8965" width="11.5" style="801" customWidth="1"/>
    <col min="8966" max="8966" width="12" style="801" customWidth="1"/>
    <col min="8967" max="8967" width="12.125" style="801" customWidth="1"/>
    <col min="8968" max="8968" width="19.375" style="801" customWidth="1"/>
    <col min="8969" max="8969" width="11.375" style="801" customWidth="1"/>
    <col min="8970" max="8970" width="13.125" style="801" customWidth="1"/>
    <col min="8971" max="8971" width="29.5" style="801" customWidth="1"/>
    <col min="8972" max="8972" width="13" style="801" customWidth="1"/>
    <col min="8973" max="9216" width="9" style="801"/>
    <col min="9217" max="9217" width="1.25" style="801" customWidth="1"/>
    <col min="9218" max="9218" width="5.875" style="801" customWidth="1"/>
    <col min="9219" max="9219" width="28.5" style="801" customWidth="1"/>
    <col min="9220" max="9220" width="15.25" style="801" customWidth="1"/>
    <col min="9221" max="9221" width="11.5" style="801" customWidth="1"/>
    <col min="9222" max="9222" width="12" style="801" customWidth="1"/>
    <col min="9223" max="9223" width="12.125" style="801" customWidth="1"/>
    <col min="9224" max="9224" width="19.375" style="801" customWidth="1"/>
    <col min="9225" max="9225" width="11.375" style="801" customWidth="1"/>
    <col min="9226" max="9226" width="13.125" style="801" customWidth="1"/>
    <col min="9227" max="9227" width="29.5" style="801" customWidth="1"/>
    <col min="9228" max="9228" width="13" style="801" customWidth="1"/>
    <col min="9229" max="9472" width="9" style="801"/>
    <col min="9473" max="9473" width="1.25" style="801" customWidth="1"/>
    <col min="9474" max="9474" width="5.875" style="801" customWidth="1"/>
    <col min="9475" max="9475" width="28.5" style="801" customWidth="1"/>
    <col min="9476" max="9476" width="15.25" style="801" customWidth="1"/>
    <col min="9477" max="9477" width="11.5" style="801" customWidth="1"/>
    <col min="9478" max="9478" width="12" style="801" customWidth="1"/>
    <col min="9479" max="9479" width="12.125" style="801" customWidth="1"/>
    <col min="9480" max="9480" width="19.375" style="801" customWidth="1"/>
    <col min="9481" max="9481" width="11.375" style="801" customWidth="1"/>
    <col min="9482" max="9482" width="13.125" style="801" customWidth="1"/>
    <col min="9483" max="9483" width="29.5" style="801" customWidth="1"/>
    <col min="9484" max="9484" width="13" style="801" customWidth="1"/>
    <col min="9485" max="9728" width="9" style="801"/>
    <col min="9729" max="9729" width="1.25" style="801" customWidth="1"/>
    <col min="9730" max="9730" width="5.875" style="801" customWidth="1"/>
    <col min="9731" max="9731" width="28.5" style="801" customWidth="1"/>
    <col min="9732" max="9732" width="15.25" style="801" customWidth="1"/>
    <col min="9733" max="9733" width="11.5" style="801" customWidth="1"/>
    <col min="9734" max="9734" width="12" style="801" customWidth="1"/>
    <col min="9735" max="9735" width="12.125" style="801" customWidth="1"/>
    <col min="9736" max="9736" width="19.375" style="801" customWidth="1"/>
    <col min="9737" max="9737" width="11.375" style="801" customWidth="1"/>
    <col min="9738" max="9738" width="13.125" style="801" customWidth="1"/>
    <col min="9739" max="9739" width="29.5" style="801" customWidth="1"/>
    <col min="9740" max="9740" width="13" style="801" customWidth="1"/>
    <col min="9741" max="9984" width="9" style="801"/>
    <col min="9985" max="9985" width="1.25" style="801" customWidth="1"/>
    <col min="9986" max="9986" width="5.875" style="801" customWidth="1"/>
    <col min="9987" max="9987" width="28.5" style="801" customWidth="1"/>
    <col min="9988" max="9988" width="15.25" style="801" customWidth="1"/>
    <col min="9989" max="9989" width="11.5" style="801" customWidth="1"/>
    <col min="9990" max="9990" width="12" style="801" customWidth="1"/>
    <col min="9991" max="9991" width="12.125" style="801" customWidth="1"/>
    <col min="9992" max="9992" width="19.375" style="801" customWidth="1"/>
    <col min="9993" max="9993" width="11.375" style="801" customWidth="1"/>
    <col min="9994" max="9994" width="13.125" style="801" customWidth="1"/>
    <col min="9995" max="9995" width="29.5" style="801" customWidth="1"/>
    <col min="9996" max="9996" width="13" style="801" customWidth="1"/>
    <col min="9997" max="10240" width="9" style="801"/>
    <col min="10241" max="10241" width="1.25" style="801" customWidth="1"/>
    <col min="10242" max="10242" width="5.875" style="801" customWidth="1"/>
    <col min="10243" max="10243" width="28.5" style="801" customWidth="1"/>
    <col min="10244" max="10244" width="15.25" style="801" customWidth="1"/>
    <col min="10245" max="10245" width="11.5" style="801" customWidth="1"/>
    <col min="10246" max="10246" width="12" style="801" customWidth="1"/>
    <col min="10247" max="10247" width="12.125" style="801" customWidth="1"/>
    <col min="10248" max="10248" width="19.375" style="801" customWidth="1"/>
    <col min="10249" max="10249" width="11.375" style="801" customWidth="1"/>
    <col min="10250" max="10250" width="13.125" style="801" customWidth="1"/>
    <col min="10251" max="10251" width="29.5" style="801" customWidth="1"/>
    <col min="10252" max="10252" width="13" style="801" customWidth="1"/>
    <col min="10253" max="10496" width="9" style="801"/>
    <col min="10497" max="10497" width="1.25" style="801" customWidth="1"/>
    <col min="10498" max="10498" width="5.875" style="801" customWidth="1"/>
    <col min="10499" max="10499" width="28.5" style="801" customWidth="1"/>
    <col min="10500" max="10500" width="15.25" style="801" customWidth="1"/>
    <col min="10501" max="10501" width="11.5" style="801" customWidth="1"/>
    <col min="10502" max="10502" width="12" style="801" customWidth="1"/>
    <col min="10503" max="10503" width="12.125" style="801" customWidth="1"/>
    <col min="10504" max="10504" width="19.375" style="801" customWidth="1"/>
    <col min="10505" max="10505" width="11.375" style="801" customWidth="1"/>
    <col min="10506" max="10506" width="13.125" style="801" customWidth="1"/>
    <col min="10507" max="10507" width="29.5" style="801" customWidth="1"/>
    <col min="10508" max="10508" width="13" style="801" customWidth="1"/>
    <col min="10509" max="10752" width="9" style="801"/>
    <col min="10753" max="10753" width="1.25" style="801" customWidth="1"/>
    <col min="10754" max="10754" width="5.875" style="801" customWidth="1"/>
    <col min="10755" max="10755" width="28.5" style="801" customWidth="1"/>
    <col min="10756" max="10756" width="15.25" style="801" customWidth="1"/>
    <col min="10757" max="10757" width="11.5" style="801" customWidth="1"/>
    <col min="10758" max="10758" width="12" style="801" customWidth="1"/>
    <col min="10759" max="10759" width="12.125" style="801" customWidth="1"/>
    <col min="10760" max="10760" width="19.375" style="801" customWidth="1"/>
    <col min="10761" max="10761" width="11.375" style="801" customWidth="1"/>
    <col min="10762" max="10762" width="13.125" style="801" customWidth="1"/>
    <col min="10763" max="10763" width="29.5" style="801" customWidth="1"/>
    <col min="10764" max="10764" width="13" style="801" customWidth="1"/>
    <col min="10765" max="11008" width="9" style="801"/>
    <col min="11009" max="11009" width="1.25" style="801" customWidth="1"/>
    <col min="11010" max="11010" width="5.875" style="801" customWidth="1"/>
    <col min="11011" max="11011" width="28.5" style="801" customWidth="1"/>
    <col min="11012" max="11012" width="15.25" style="801" customWidth="1"/>
    <col min="11013" max="11013" width="11.5" style="801" customWidth="1"/>
    <col min="11014" max="11014" width="12" style="801" customWidth="1"/>
    <col min="11015" max="11015" width="12.125" style="801" customWidth="1"/>
    <col min="11016" max="11016" width="19.375" style="801" customWidth="1"/>
    <col min="11017" max="11017" width="11.375" style="801" customWidth="1"/>
    <col min="11018" max="11018" width="13.125" style="801" customWidth="1"/>
    <col min="11019" max="11019" width="29.5" style="801" customWidth="1"/>
    <col min="11020" max="11020" width="13" style="801" customWidth="1"/>
    <col min="11021" max="11264" width="9" style="801"/>
    <col min="11265" max="11265" width="1.25" style="801" customWidth="1"/>
    <col min="11266" max="11266" width="5.875" style="801" customWidth="1"/>
    <col min="11267" max="11267" width="28.5" style="801" customWidth="1"/>
    <col min="11268" max="11268" width="15.25" style="801" customWidth="1"/>
    <col min="11269" max="11269" width="11.5" style="801" customWidth="1"/>
    <col min="11270" max="11270" width="12" style="801" customWidth="1"/>
    <col min="11271" max="11271" width="12.125" style="801" customWidth="1"/>
    <col min="11272" max="11272" width="19.375" style="801" customWidth="1"/>
    <col min="11273" max="11273" width="11.375" style="801" customWidth="1"/>
    <col min="11274" max="11274" width="13.125" style="801" customWidth="1"/>
    <col min="11275" max="11275" width="29.5" style="801" customWidth="1"/>
    <col min="11276" max="11276" width="13" style="801" customWidth="1"/>
    <col min="11277" max="11520" width="9" style="801"/>
    <col min="11521" max="11521" width="1.25" style="801" customWidth="1"/>
    <col min="11522" max="11522" width="5.875" style="801" customWidth="1"/>
    <col min="11523" max="11523" width="28.5" style="801" customWidth="1"/>
    <col min="11524" max="11524" width="15.25" style="801" customWidth="1"/>
    <col min="11525" max="11525" width="11.5" style="801" customWidth="1"/>
    <col min="11526" max="11526" width="12" style="801" customWidth="1"/>
    <col min="11527" max="11527" width="12.125" style="801" customWidth="1"/>
    <col min="11528" max="11528" width="19.375" style="801" customWidth="1"/>
    <col min="11529" max="11529" width="11.375" style="801" customWidth="1"/>
    <col min="11530" max="11530" width="13.125" style="801" customWidth="1"/>
    <col min="11531" max="11531" width="29.5" style="801" customWidth="1"/>
    <col min="11532" max="11532" width="13" style="801" customWidth="1"/>
    <col min="11533" max="11776" width="9" style="801"/>
    <col min="11777" max="11777" width="1.25" style="801" customWidth="1"/>
    <col min="11778" max="11778" width="5.875" style="801" customWidth="1"/>
    <col min="11779" max="11779" width="28.5" style="801" customWidth="1"/>
    <col min="11780" max="11780" width="15.25" style="801" customWidth="1"/>
    <col min="11781" max="11781" width="11.5" style="801" customWidth="1"/>
    <col min="11782" max="11782" width="12" style="801" customWidth="1"/>
    <col min="11783" max="11783" width="12.125" style="801" customWidth="1"/>
    <col min="11784" max="11784" width="19.375" style="801" customWidth="1"/>
    <col min="11785" max="11785" width="11.375" style="801" customWidth="1"/>
    <col min="11786" max="11786" width="13.125" style="801" customWidth="1"/>
    <col min="11787" max="11787" width="29.5" style="801" customWidth="1"/>
    <col min="11788" max="11788" width="13" style="801" customWidth="1"/>
    <col min="11789" max="12032" width="9" style="801"/>
    <col min="12033" max="12033" width="1.25" style="801" customWidth="1"/>
    <col min="12034" max="12034" width="5.875" style="801" customWidth="1"/>
    <col min="12035" max="12035" width="28.5" style="801" customWidth="1"/>
    <col min="12036" max="12036" width="15.25" style="801" customWidth="1"/>
    <col min="12037" max="12037" width="11.5" style="801" customWidth="1"/>
    <col min="12038" max="12038" width="12" style="801" customWidth="1"/>
    <col min="12039" max="12039" width="12.125" style="801" customWidth="1"/>
    <col min="12040" max="12040" width="19.375" style="801" customWidth="1"/>
    <col min="12041" max="12041" width="11.375" style="801" customWidth="1"/>
    <col min="12042" max="12042" width="13.125" style="801" customWidth="1"/>
    <col min="12043" max="12043" width="29.5" style="801" customWidth="1"/>
    <col min="12044" max="12044" width="13" style="801" customWidth="1"/>
    <col min="12045" max="12288" width="9" style="801"/>
    <col min="12289" max="12289" width="1.25" style="801" customWidth="1"/>
    <col min="12290" max="12290" width="5.875" style="801" customWidth="1"/>
    <col min="12291" max="12291" width="28.5" style="801" customWidth="1"/>
    <col min="12292" max="12292" width="15.25" style="801" customWidth="1"/>
    <col min="12293" max="12293" width="11.5" style="801" customWidth="1"/>
    <col min="12294" max="12294" width="12" style="801" customWidth="1"/>
    <col min="12295" max="12295" width="12.125" style="801" customWidth="1"/>
    <col min="12296" max="12296" width="19.375" style="801" customWidth="1"/>
    <col min="12297" max="12297" width="11.375" style="801" customWidth="1"/>
    <col min="12298" max="12298" width="13.125" style="801" customWidth="1"/>
    <col min="12299" max="12299" width="29.5" style="801" customWidth="1"/>
    <col min="12300" max="12300" width="13" style="801" customWidth="1"/>
    <col min="12301" max="12544" width="9" style="801"/>
    <col min="12545" max="12545" width="1.25" style="801" customWidth="1"/>
    <col min="12546" max="12546" width="5.875" style="801" customWidth="1"/>
    <col min="12547" max="12547" width="28.5" style="801" customWidth="1"/>
    <col min="12548" max="12548" width="15.25" style="801" customWidth="1"/>
    <col min="12549" max="12549" width="11.5" style="801" customWidth="1"/>
    <col min="12550" max="12550" width="12" style="801" customWidth="1"/>
    <col min="12551" max="12551" width="12.125" style="801" customWidth="1"/>
    <col min="12552" max="12552" width="19.375" style="801" customWidth="1"/>
    <col min="12553" max="12553" width="11.375" style="801" customWidth="1"/>
    <col min="12554" max="12554" width="13.125" style="801" customWidth="1"/>
    <col min="12555" max="12555" width="29.5" style="801" customWidth="1"/>
    <col min="12556" max="12556" width="13" style="801" customWidth="1"/>
    <col min="12557" max="12800" width="9" style="801"/>
    <col min="12801" max="12801" width="1.25" style="801" customWidth="1"/>
    <col min="12802" max="12802" width="5.875" style="801" customWidth="1"/>
    <col min="12803" max="12803" width="28.5" style="801" customWidth="1"/>
    <col min="12804" max="12804" width="15.25" style="801" customWidth="1"/>
    <col min="12805" max="12805" width="11.5" style="801" customWidth="1"/>
    <col min="12806" max="12806" width="12" style="801" customWidth="1"/>
    <col min="12807" max="12807" width="12.125" style="801" customWidth="1"/>
    <col min="12808" max="12808" width="19.375" style="801" customWidth="1"/>
    <col min="12809" max="12809" width="11.375" style="801" customWidth="1"/>
    <col min="12810" max="12810" width="13.125" style="801" customWidth="1"/>
    <col min="12811" max="12811" width="29.5" style="801" customWidth="1"/>
    <col min="12812" max="12812" width="13" style="801" customWidth="1"/>
    <col min="12813" max="13056" width="9" style="801"/>
    <col min="13057" max="13057" width="1.25" style="801" customWidth="1"/>
    <col min="13058" max="13058" width="5.875" style="801" customWidth="1"/>
    <col min="13059" max="13059" width="28.5" style="801" customWidth="1"/>
    <col min="13060" max="13060" width="15.25" style="801" customWidth="1"/>
    <col min="13061" max="13061" width="11.5" style="801" customWidth="1"/>
    <col min="13062" max="13062" width="12" style="801" customWidth="1"/>
    <col min="13063" max="13063" width="12.125" style="801" customWidth="1"/>
    <col min="13064" max="13064" width="19.375" style="801" customWidth="1"/>
    <col min="13065" max="13065" width="11.375" style="801" customWidth="1"/>
    <col min="13066" max="13066" width="13.125" style="801" customWidth="1"/>
    <col min="13067" max="13067" width="29.5" style="801" customWidth="1"/>
    <col min="13068" max="13068" width="13" style="801" customWidth="1"/>
    <col min="13069" max="13312" width="9" style="801"/>
    <col min="13313" max="13313" width="1.25" style="801" customWidth="1"/>
    <col min="13314" max="13314" width="5.875" style="801" customWidth="1"/>
    <col min="13315" max="13315" width="28.5" style="801" customWidth="1"/>
    <col min="13316" max="13316" width="15.25" style="801" customWidth="1"/>
    <col min="13317" max="13317" width="11.5" style="801" customWidth="1"/>
    <col min="13318" max="13318" width="12" style="801" customWidth="1"/>
    <col min="13319" max="13319" width="12.125" style="801" customWidth="1"/>
    <col min="13320" max="13320" width="19.375" style="801" customWidth="1"/>
    <col min="13321" max="13321" width="11.375" style="801" customWidth="1"/>
    <col min="13322" max="13322" width="13.125" style="801" customWidth="1"/>
    <col min="13323" max="13323" width="29.5" style="801" customWidth="1"/>
    <col min="13324" max="13324" width="13" style="801" customWidth="1"/>
    <col min="13325" max="13568" width="9" style="801"/>
    <col min="13569" max="13569" width="1.25" style="801" customWidth="1"/>
    <col min="13570" max="13570" width="5.875" style="801" customWidth="1"/>
    <col min="13571" max="13571" width="28.5" style="801" customWidth="1"/>
    <col min="13572" max="13572" width="15.25" style="801" customWidth="1"/>
    <col min="13573" max="13573" width="11.5" style="801" customWidth="1"/>
    <col min="13574" max="13574" width="12" style="801" customWidth="1"/>
    <col min="13575" max="13575" width="12.125" style="801" customWidth="1"/>
    <col min="13576" max="13576" width="19.375" style="801" customWidth="1"/>
    <col min="13577" max="13577" width="11.375" style="801" customWidth="1"/>
    <col min="13578" max="13578" width="13.125" style="801" customWidth="1"/>
    <col min="13579" max="13579" width="29.5" style="801" customWidth="1"/>
    <col min="13580" max="13580" width="13" style="801" customWidth="1"/>
    <col min="13581" max="13824" width="9" style="801"/>
    <col min="13825" max="13825" width="1.25" style="801" customWidth="1"/>
    <col min="13826" max="13826" width="5.875" style="801" customWidth="1"/>
    <col min="13827" max="13827" width="28.5" style="801" customWidth="1"/>
    <col min="13828" max="13828" width="15.25" style="801" customWidth="1"/>
    <col min="13829" max="13829" width="11.5" style="801" customWidth="1"/>
    <col min="13830" max="13830" width="12" style="801" customWidth="1"/>
    <col min="13831" max="13831" width="12.125" style="801" customWidth="1"/>
    <col min="13832" max="13832" width="19.375" style="801" customWidth="1"/>
    <col min="13833" max="13833" width="11.375" style="801" customWidth="1"/>
    <col min="13834" max="13834" width="13.125" style="801" customWidth="1"/>
    <col min="13835" max="13835" width="29.5" style="801" customWidth="1"/>
    <col min="13836" max="13836" width="13" style="801" customWidth="1"/>
    <col min="13837" max="14080" width="9" style="801"/>
    <col min="14081" max="14081" width="1.25" style="801" customWidth="1"/>
    <col min="14082" max="14082" width="5.875" style="801" customWidth="1"/>
    <col min="14083" max="14083" width="28.5" style="801" customWidth="1"/>
    <col min="14084" max="14084" width="15.25" style="801" customWidth="1"/>
    <col min="14085" max="14085" width="11.5" style="801" customWidth="1"/>
    <col min="14086" max="14086" width="12" style="801" customWidth="1"/>
    <col min="14087" max="14087" width="12.125" style="801" customWidth="1"/>
    <col min="14088" max="14088" width="19.375" style="801" customWidth="1"/>
    <col min="14089" max="14089" width="11.375" style="801" customWidth="1"/>
    <col min="14090" max="14090" width="13.125" style="801" customWidth="1"/>
    <col min="14091" max="14091" width="29.5" style="801" customWidth="1"/>
    <col min="14092" max="14092" width="13" style="801" customWidth="1"/>
    <col min="14093" max="14336" width="9" style="801"/>
    <col min="14337" max="14337" width="1.25" style="801" customWidth="1"/>
    <col min="14338" max="14338" width="5.875" style="801" customWidth="1"/>
    <col min="14339" max="14339" width="28.5" style="801" customWidth="1"/>
    <col min="14340" max="14340" width="15.25" style="801" customWidth="1"/>
    <col min="14341" max="14341" width="11.5" style="801" customWidth="1"/>
    <col min="14342" max="14342" width="12" style="801" customWidth="1"/>
    <col min="14343" max="14343" width="12.125" style="801" customWidth="1"/>
    <col min="14344" max="14344" width="19.375" style="801" customWidth="1"/>
    <col min="14345" max="14345" width="11.375" style="801" customWidth="1"/>
    <col min="14346" max="14346" width="13.125" style="801" customWidth="1"/>
    <col min="14347" max="14347" width="29.5" style="801" customWidth="1"/>
    <col min="14348" max="14348" width="13" style="801" customWidth="1"/>
    <col min="14349" max="14592" width="9" style="801"/>
    <col min="14593" max="14593" width="1.25" style="801" customWidth="1"/>
    <col min="14594" max="14594" width="5.875" style="801" customWidth="1"/>
    <col min="14595" max="14595" width="28.5" style="801" customWidth="1"/>
    <col min="14596" max="14596" width="15.25" style="801" customWidth="1"/>
    <col min="14597" max="14597" width="11.5" style="801" customWidth="1"/>
    <col min="14598" max="14598" width="12" style="801" customWidth="1"/>
    <col min="14599" max="14599" width="12.125" style="801" customWidth="1"/>
    <col min="14600" max="14600" width="19.375" style="801" customWidth="1"/>
    <col min="14601" max="14601" width="11.375" style="801" customWidth="1"/>
    <col min="14602" max="14602" width="13.125" style="801" customWidth="1"/>
    <col min="14603" max="14603" width="29.5" style="801" customWidth="1"/>
    <col min="14604" max="14604" width="13" style="801" customWidth="1"/>
    <col min="14605" max="14848" width="9" style="801"/>
    <col min="14849" max="14849" width="1.25" style="801" customWidth="1"/>
    <col min="14850" max="14850" width="5.875" style="801" customWidth="1"/>
    <col min="14851" max="14851" width="28.5" style="801" customWidth="1"/>
    <col min="14852" max="14852" width="15.25" style="801" customWidth="1"/>
    <col min="14853" max="14853" width="11.5" style="801" customWidth="1"/>
    <col min="14854" max="14854" width="12" style="801" customWidth="1"/>
    <col min="14855" max="14855" width="12.125" style="801" customWidth="1"/>
    <col min="14856" max="14856" width="19.375" style="801" customWidth="1"/>
    <col min="14857" max="14857" width="11.375" style="801" customWidth="1"/>
    <col min="14858" max="14858" width="13.125" style="801" customWidth="1"/>
    <col min="14859" max="14859" width="29.5" style="801" customWidth="1"/>
    <col min="14860" max="14860" width="13" style="801" customWidth="1"/>
    <col min="14861" max="15104" width="9" style="801"/>
    <col min="15105" max="15105" width="1.25" style="801" customWidth="1"/>
    <col min="15106" max="15106" width="5.875" style="801" customWidth="1"/>
    <col min="15107" max="15107" width="28.5" style="801" customWidth="1"/>
    <col min="15108" max="15108" width="15.25" style="801" customWidth="1"/>
    <col min="15109" max="15109" width="11.5" style="801" customWidth="1"/>
    <col min="15110" max="15110" width="12" style="801" customWidth="1"/>
    <col min="15111" max="15111" width="12.125" style="801" customWidth="1"/>
    <col min="15112" max="15112" width="19.375" style="801" customWidth="1"/>
    <col min="15113" max="15113" width="11.375" style="801" customWidth="1"/>
    <col min="15114" max="15114" width="13.125" style="801" customWidth="1"/>
    <col min="15115" max="15115" width="29.5" style="801" customWidth="1"/>
    <col min="15116" max="15116" width="13" style="801" customWidth="1"/>
    <col min="15117" max="15360" width="9" style="801"/>
    <col min="15361" max="15361" width="1.25" style="801" customWidth="1"/>
    <col min="15362" max="15362" width="5.875" style="801" customWidth="1"/>
    <col min="15363" max="15363" width="28.5" style="801" customWidth="1"/>
    <col min="15364" max="15364" width="15.25" style="801" customWidth="1"/>
    <col min="15365" max="15365" width="11.5" style="801" customWidth="1"/>
    <col min="15366" max="15366" width="12" style="801" customWidth="1"/>
    <col min="15367" max="15367" width="12.125" style="801" customWidth="1"/>
    <col min="15368" max="15368" width="19.375" style="801" customWidth="1"/>
    <col min="15369" max="15369" width="11.375" style="801" customWidth="1"/>
    <col min="15370" max="15370" width="13.125" style="801" customWidth="1"/>
    <col min="15371" max="15371" width="29.5" style="801" customWidth="1"/>
    <col min="15372" max="15372" width="13" style="801" customWidth="1"/>
    <col min="15373" max="15616" width="9" style="801"/>
    <col min="15617" max="15617" width="1.25" style="801" customWidth="1"/>
    <col min="15618" max="15618" width="5.875" style="801" customWidth="1"/>
    <col min="15619" max="15619" width="28.5" style="801" customWidth="1"/>
    <col min="15620" max="15620" width="15.25" style="801" customWidth="1"/>
    <col min="15621" max="15621" width="11.5" style="801" customWidth="1"/>
    <col min="15622" max="15622" width="12" style="801" customWidth="1"/>
    <col min="15623" max="15623" width="12.125" style="801" customWidth="1"/>
    <col min="15624" max="15624" width="19.375" style="801" customWidth="1"/>
    <col min="15625" max="15625" width="11.375" style="801" customWidth="1"/>
    <col min="15626" max="15626" width="13.125" style="801" customWidth="1"/>
    <col min="15627" max="15627" width="29.5" style="801" customWidth="1"/>
    <col min="15628" max="15628" width="13" style="801" customWidth="1"/>
    <col min="15629" max="15872" width="9" style="801"/>
    <col min="15873" max="15873" width="1.25" style="801" customWidth="1"/>
    <col min="15874" max="15874" width="5.875" style="801" customWidth="1"/>
    <col min="15875" max="15875" width="28.5" style="801" customWidth="1"/>
    <col min="15876" max="15876" width="15.25" style="801" customWidth="1"/>
    <col min="15877" max="15877" width="11.5" style="801" customWidth="1"/>
    <col min="15878" max="15878" width="12" style="801" customWidth="1"/>
    <col min="15879" max="15879" width="12.125" style="801" customWidth="1"/>
    <col min="15880" max="15880" width="19.375" style="801" customWidth="1"/>
    <col min="15881" max="15881" width="11.375" style="801" customWidth="1"/>
    <col min="15882" max="15882" width="13.125" style="801" customWidth="1"/>
    <col min="15883" max="15883" width="29.5" style="801" customWidth="1"/>
    <col min="15884" max="15884" width="13" style="801" customWidth="1"/>
    <col min="15885" max="16128" width="9" style="801"/>
    <col min="16129" max="16129" width="1.25" style="801" customWidth="1"/>
    <col min="16130" max="16130" width="5.875" style="801" customWidth="1"/>
    <col min="16131" max="16131" width="28.5" style="801" customWidth="1"/>
    <col min="16132" max="16132" width="15.25" style="801" customWidth="1"/>
    <col min="16133" max="16133" width="11.5" style="801" customWidth="1"/>
    <col min="16134" max="16134" width="12" style="801" customWidth="1"/>
    <col min="16135" max="16135" width="12.125" style="801" customWidth="1"/>
    <col min="16136" max="16136" width="19.375" style="801" customWidth="1"/>
    <col min="16137" max="16137" width="11.375" style="801" customWidth="1"/>
    <col min="16138" max="16138" width="13.125" style="801" customWidth="1"/>
    <col min="16139" max="16139" width="29.5" style="801" customWidth="1"/>
    <col min="16140" max="16140" width="13" style="801" customWidth="1"/>
    <col min="16141" max="16384" width="9" style="801"/>
  </cols>
  <sheetData>
    <row r="1" ht="36.75" spans="1:13">
      <c r="A1" s="777"/>
      <c r="B1" s="805" t="s">
        <v>130</v>
      </c>
      <c r="C1" s="805"/>
      <c r="D1" s="805"/>
      <c r="E1" s="805"/>
      <c r="F1" s="805"/>
      <c r="G1" s="805"/>
      <c r="H1" s="805"/>
      <c r="I1" s="805"/>
      <c r="J1" s="805"/>
      <c r="K1" s="805"/>
      <c r="L1" s="805"/>
      <c r="M1" s="805"/>
    </row>
    <row r="2" s="798" customFormat="1" ht="21" customHeight="1" spans="1:11">
      <c r="A2" s="806"/>
      <c r="B2" s="807" t="s">
        <v>131</v>
      </c>
      <c r="C2" s="808"/>
      <c r="D2" s="808"/>
      <c r="E2" s="808"/>
      <c r="F2" s="809" t="s">
        <v>132</v>
      </c>
      <c r="G2" s="808" t="s">
        <v>133</v>
      </c>
      <c r="H2" s="810"/>
      <c r="I2" s="847" t="s">
        <v>134</v>
      </c>
      <c r="J2" s="848"/>
      <c r="K2" s="849" t="s">
        <v>135</v>
      </c>
    </row>
    <row r="3" s="798" customFormat="1" ht="17.25" outlineLevel="1" spans="1:12">
      <c r="A3" s="806"/>
      <c r="B3" s="811">
        <v>1</v>
      </c>
      <c r="C3" s="812" t="s">
        <v>136</v>
      </c>
      <c r="D3" s="813" t="s">
        <v>137</v>
      </c>
      <c r="E3" s="813"/>
      <c r="F3" s="814" t="s">
        <v>138</v>
      </c>
      <c r="G3" s="815" t="s">
        <v>139</v>
      </c>
      <c r="H3" s="815"/>
      <c r="I3" s="814" t="s">
        <v>140</v>
      </c>
      <c r="J3" s="814"/>
      <c r="K3" s="850" t="s">
        <v>141</v>
      </c>
      <c r="L3" s="851"/>
    </row>
    <row r="4" s="798" customFormat="1" ht="17.25" outlineLevel="1" spans="1:12">
      <c r="A4" s="806"/>
      <c r="B4" s="811">
        <v>2</v>
      </c>
      <c r="C4" s="812" t="s">
        <v>142</v>
      </c>
      <c r="D4" s="813" t="s">
        <v>143</v>
      </c>
      <c r="E4" s="813"/>
      <c r="F4" s="814" t="s">
        <v>138</v>
      </c>
      <c r="G4" s="816"/>
      <c r="H4" s="816"/>
      <c r="I4" s="852">
        <v>0.337</v>
      </c>
      <c r="J4" s="852"/>
      <c r="K4" s="850" t="s">
        <v>144</v>
      </c>
      <c r="L4" s="851"/>
    </row>
    <row r="5" s="798" customFormat="1" ht="17.25" outlineLevel="1" spans="1:12">
      <c r="A5" s="806"/>
      <c r="B5" s="811">
        <v>3</v>
      </c>
      <c r="C5" s="817" t="s">
        <v>145</v>
      </c>
      <c r="D5" s="813" t="s">
        <v>146</v>
      </c>
      <c r="E5" s="813"/>
      <c r="F5" s="814" t="s">
        <v>147</v>
      </c>
      <c r="G5" s="816"/>
      <c r="H5" s="816"/>
      <c r="I5" s="853" t="s">
        <v>148</v>
      </c>
      <c r="J5" s="853"/>
      <c r="K5" s="850" t="s">
        <v>144</v>
      </c>
      <c r="L5" s="851"/>
    </row>
    <row r="6" s="798" customFormat="1" ht="17.25" outlineLevel="1" spans="1:12">
      <c r="A6" s="806"/>
      <c r="B6" s="811">
        <v>4</v>
      </c>
      <c r="C6" s="817" t="s">
        <v>149</v>
      </c>
      <c r="D6" s="813" t="s">
        <v>150</v>
      </c>
      <c r="E6" s="813"/>
      <c r="F6" s="814" t="s">
        <v>147</v>
      </c>
      <c r="G6" s="816"/>
      <c r="H6" s="816"/>
      <c r="I6" s="853"/>
      <c r="J6" s="853"/>
      <c r="K6" s="850"/>
      <c r="L6" s="851"/>
    </row>
    <row r="7" s="798" customFormat="1" ht="17.25" outlineLevel="1" spans="1:12">
      <c r="A7" s="806"/>
      <c r="B7" s="811">
        <v>5</v>
      </c>
      <c r="C7" s="812" t="s">
        <v>151</v>
      </c>
      <c r="D7" s="818" t="s">
        <v>152</v>
      </c>
      <c r="E7" s="819"/>
      <c r="F7" s="814" t="s">
        <v>147</v>
      </c>
      <c r="G7" s="970" t="s">
        <v>153</v>
      </c>
      <c r="H7" s="821"/>
      <c r="I7" s="854" t="s">
        <v>154</v>
      </c>
      <c r="J7" s="855"/>
      <c r="K7" s="850" t="s">
        <v>144</v>
      </c>
      <c r="L7" s="851"/>
    </row>
    <row r="8" s="798" customFormat="1" ht="17.25" outlineLevel="1" spans="1:12">
      <c r="A8" s="806"/>
      <c r="B8" s="811">
        <v>6</v>
      </c>
      <c r="C8" s="812" t="s">
        <v>155</v>
      </c>
      <c r="D8" s="818" t="s">
        <v>156</v>
      </c>
      <c r="E8" s="819"/>
      <c r="F8" s="814" t="s">
        <v>147</v>
      </c>
      <c r="G8" s="816" t="s">
        <v>157</v>
      </c>
      <c r="H8" s="816"/>
      <c r="I8" s="852">
        <v>0.505</v>
      </c>
      <c r="J8" s="852"/>
      <c r="K8" s="850" t="s">
        <v>144</v>
      </c>
      <c r="L8" s="851"/>
    </row>
    <row r="9" s="798" customFormat="1" ht="17.25" outlineLevel="1" spans="1:12">
      <c r="A9" s="806"/>
      <c r="B9" s="811">
        <v>7</v>
      </c>
      <c r="C9" s="812" t="s">
        <v>158</v>
      </c>
      <c r="D9" s="818" t="s">
        <v>159</v>
      </c>
      <c r="E9" s="819"/>
      <c r="F9" s="814" t="s">
        <v>160</v>
      </c>
      <c r="G9" s="816" t="s">
        <v>161</v>
      </c>
      <c r="H9" s="816"/>
      <c r="I9" s="852">
        <v>0.007</v>
      </c>
      <c r="J9" s="852"/>
      <c r="K9" s="850" t="s">
        <v>144</v>
      </c>
      <c r="L9" s="851"/>
    </row>
    <row r="10" s="798" customFormat="1" ht="17.25" outlineLevel="1" spans="1:11">
      <c r="A10" s="806"/>
      <c r="B10" s="822"/>
      <c r="C10" s="812"/>
      <c r="D10" s="823"/>
      <c r="E10" s="824"/>
      <c r="F10" s="825"/>
      <c r="G10" s="826"/>
      <c r="H10" s="826"/>
      <c r="I10" s="856"/>
      <c r="J10" s="857"/>
      <c r="K10" s="858"/>
    </row>
    <row r="11" s="798" customFormat="1" ht="17.25" spans="1:10">
      <c r="A11" s="806"/>
      <c r="B11" s="827" t="s">
        <v>162</v>
      </c>
      <c r="C11" s="828" t="s">
        <v>163</v>
      </c>
      <c r="D11" s="829"/>
      <c r="E11" s="829"/>
      <c r="F11" s="829"/>
      <c r="G11" s="829"/>
      <c r="H11" s="829"/>
      <c r="I11" s="829"/>
      <c r="J11" s="859"/>
    </row>
    <row r="12" s="798" customFormat="1" ht="17.25" spans="1:10">
      <c r="A12" s="806"/>
      <c r="B12" s="830"/>
      <c r="C12" s="831" t="s">
        <v>164</v>
      </c>
      <c r="D12" s="832"/>
      <c r="E12" s="832"/>
      <c r="F12" s="832"/>
      <c r="G12" s="832"/>
      <c r="H12" s="832"/>
      <c r="I12" s="832"/>
      <c r="J12" s="860"/>
    </row>
    <row r="13" s="798" customFormat="1" ht="17.25" spans="1:10">
      <c r="A13" s="806"/>
      <c r="B13" s="833"/>
      <c r="C13" s="831" t="s">
        <v>165</v>
      </c>
      <c r="D13" s="832"/>
      <c r="E13" s="832"/>
      <c r="F13" s="832"/>
      <c r="G13" s="832"/>
      <c r="H13" s="832"/>
      <c r="I13" s="832"/>
      <c r="J13" s="860"/>
    </row>
    <row r="14" ht="16.5" spans="1:13">
      <c r="A14" s="777"/>
      <c r="B14" s="834" t="s">
        <v>166</v>
      </c>
      <c r="C14" s="835" t="s">
        <v>167</v>
      </c>
      <c r="D14" s="836" t="s">
        <v>131</v>
      </c>
      <c r="E14" s="836"/>
      <c r="F14" s="836"/>
      <c r="G14" s="836"/>
      <c r="H14" s="834" t="s">
        <v>168</v>
      </c>
      <c r="I14" s="834" t="s">
        <v>169</v>
      </c>
      <c r="J14" s="836" t="s">
        <v>170</v>
      </c>
      <c r="K14" s="836" t="s">
        <v>171</v>
      </c>
      <c r="L14" s="836" t="s">
        <v>172</v>
      </c>
      <c r="M14" s="777"/>
    </row>
    <row r="15" ht="21" spans="1:13">
      <c r="A15" s="837"/>
      <c r="B15" s="838"/>
      <c r="C15" s="839"/>
      <c r="D15" s="838" t="s">
        <v>173</v>
      </c>
      <c r="E15" s="838" t="s">
        <v>174</v>
      </c>
      <c r="F15" s="838" t="s">
        <v>175</v>
      </c>
      <c r="G15" s="840" t="s">
        <v>176</v>
      </c>
      <c r="H15" s="838"/>
      <c r="I15" s="838"/>
      <c r="J15" s="838"/>
      <c r="K15" s="838"/>
      <c r="L15" s="838"/>
      <c r="M15" s="777"/>
    </row>
    <row r="16" s="799" customFormat="1" ht="16.5" customHeight="1" outlineLevel="1" spans="2:12">
      <c r="B16" s="841">
        <v>1</v>
      </c>
      <c r="C16" s="304" t="s">
        <v>177</v>
      </c>
      <c r="D16" s="305">
        <v>-0.65</v>
      </c>
      <c r="E16" s="305">
        <v>0.01</v>
      </c>
      <c r="F16" s="305">
        <v>0.67</v>
      </c>
      <c r="G16" s="305">
        <v>0.22</v>
      </c>
      <c r="H16" s="305" t="s">
        <v>178</v>
      </c>
      <c r="I16" s="305" t="s">
        <v>179</v>
      </c>
      <c r="J16" s="305" t="s">
        <v>180</v>
      </c>
      <c r="K16" s="305" t="s">
        <v>181</v>
      </c>
      <c r="L16" s="861" t="s">
        <v>182</v>
      </c>
    </row>
    <row r="17" s="799" customFormat="1" ht="16.5" customHeight="1" outlineLevel="1" spans="2:12">
      <c r="B17" s="841">
        <v>2</v>
      </c>
      <c r="C17" s="303" t="s">
        <v>183</v>
      </c>
      <c r="D17" s="842">
        <v>0.002</v>
      </c>
      <c r="E17" s="842">
        <v>0.05</v>
      </c>
      <c r="F17" s="842">
        <v>0.098</v>
      </c>
      <c r="G17" s="842">
        <v>0.016</v>
      </c>
      <c r="H17" s="842" t="s">
        <v>184</v>
      </c>
      <c r="I17" s="305" t="s">
        <v>179</v>
      </c>
      <c r="J17" s="842" t="s">
        <v>180</v>
      </c>
      <c r="K17" s="842" t="s">
        <v>185</v>
      </c>
      <c r="L17" s="862" t="s">
        <v>182</v>
      </c>
    </row>
    <row r="18" s="799" customFormat="1" ht="16.5" customHeight="1" outlineLevel="1" spans="2:12">
      <c r="B18" s="841">
        <v>3</v>
      </c>
      <c r="C18" s="304" t="s">
        <v>186</v>
      </c>
      <c r="D18" s="305">
        <v>0</v>
      </c>
      <c r="E18" s="305">
        <v>0.048</v>
      </c>
      <c r="F18" s="305">
        <v>0.096</v>
      </c>
      <c r="G18" s="305">
        <v>0.016</v>
      </c>
      <c r="H18" s="305" t="s">
        <v>184</v>
      </c>
      <c r="I18" s="305" t="s">
        <v>179</v>
      </c>
      <c r="J18" s="305" t="s">
        <v>180</v>
      </c>
      <c r="K18" s="305" t="s">
        <v>185</v>
      </c>
      <c r="L18" s="861" t="s">
        <v>182</v>
      </c>
    </row>
    <row r="19" s="799" customFormat="1" ht="16.5" customHeight="1" outlineLevel="1" spans="2:12">
      <c r="B19" s="841">
        <v>4</v>
      </c>
      <c r="C19" s="303" t="s">
        <v>187</v>
      </c>
      <c r="D19" s="842">
        <v>0.0041</v>
      </c>
      <c r="E19" s="842">
        <v>0.0341</v>
      </c>
      <c r="F19" s="842">
        <v>0.0641</v>
      </c>
      <c r="G19" s="842">
        <v>0.01</v>
      </c>
      <c r="H19" s="842" t="s">
        <v>184</v>
      </c>
      <c r="I19" s="305" t="s">
        <v>179</v>
      </c>
      <c r="J19" s="842" t="s">
        <v>180</v>
      </c>
      <c r="K19" s="842" t="s">
        <v>185</v>
      </c>
      <c r="L19" s="862" t="s">
        <v>182</v>
      </c>
    </row>
    <row r="20" s="799" customFormat="1" ht="16.5" customHeight="1" outlineLevel="1" spans="2:12">
      <c r="B20" s="841">
        <v>5</v>
      </c>
      <c r="C20" s="304" t="s">
        <v>188</v>
      </c>
      <c r="D20" s="305">
        <v>0.0829</v>
      </c>
      <c r="E20" s="305">
        <v>0.205</v>
      </c>
      <c r="F20" s="305">
        <v>0.3271</v>
      </c>
      <c r="G20" s="305">
        <v>0.0407</v>
      </c>
      <c r="H20" s="305" t="s">
        <v>189</v>
      </c>
      <c r="I20" s="305" t="s">
        <v>179</v>
      </c>
      <c r="J20" s="305" t="s">
        <v>180</v>
      </c>
      <c r="K20" s="305" t="s">
        <v>185</v>
      </c>
      <c r="L20" s="861" t="s">
        <v>182</v>
      </c>
    </row>
    <row r="21" s="799" customFormat="1" ht="16.5" customHeight="1" outlineLevel="1" spans="2:12">
      <c r="B21" s="841">
        <v>6</v>
      </c>
      <c r="C21" s="303" t="s">
        <v>190</v>
      </c>
      <c r="D21" s="842">
        <v>0.004</v>
      </c>
      <c r="E21" s="842">
        <v>0.193</v>
      </c>
      <c r="F21" s="842">
        <v>0.382</v>
      </c>
      <c r="G21" s="842">
        <v>0.063</v>
      </c>
      <c r="H21" s="842" t="s">
        <v>189</v>
      </c>
      <c r="I21" s="305" t="s">
        <v>179</v>
      </c>
      <c r="J21" s="842" t="s">
        <v>180</v>
      </c>
      <c r="K21" s="842" t="s">
        <v>185</v>
      </c>
      <c r="L21" s="862" t="s">
        <v>182</v>
      </c>
    </row>
    <row r="22" s="799" customFormat="1" ht="16.5" customHeight="1" outlineLevel="1" spans="2:12">
      <c r="B22" s="841">
        <v>7</v>
      </c>
      <c r="C22" s="304" t="s">
        <v>191</v>
      </c>
      <c r="D22" s="305">
        <v>0.012</v>
      </c>
      <c r="E22" s="305">
        <v>0.132</v>
      </c>
      <c r="F22" s="305">
        <v>0.252</v>
      </c>
      <c r="G22" s="305">
        <v>0.04</v>
      </c>
      <c r="H22" s="305" t="s">
        <v>189</v>
      </c>
      <c r="I22" s="305" t="s">
        <v>179</v>
      </c>
      <c r="J22" s="305" t="s">
        <v>180</v>
      </c>
      <c r="K22" s="305" t="s">
        <v>185</v>
      </c>
      <c r="L22" s="861" t="s">
        <v>182</v>
      </c>
    </row>
    <row r="23" s="799" customFormat="1" ht="16.5" customHeight="1" outlineLevel="1" spans="2:12">
      <c r="B23" s="841">
        <v>8</v>
      </c>
      <c r="C23" s="303" t="s">
        <v>192</v>
      </c>
      <c r="D23" s="842">
        <v>-0.594</v>
      </c>
      <c r="E23" s="842">
        <v>0.006</v>
      </c>
      <c r="F23" s="842">
        <v>0.606</v>
      </c>
      <c r="G23" s="842">
        <v>0.2</v>
      </c>
      <c r="H23" s="842" t="s">
        <v>178</v>
      </c>
      <c r="I23" s="305" t="s">
        <v>179</v>
      </c>
      <c r="J23" s="842" t="s">
        <v>180</v>
      </c>
      <c r="K23" s="842" t="s">
        <v>185</v>
      </c>
      <c r="L23" s="862" t="s">
        <v>182</v>
      </c>
    </row>
    <row r="24" s="799" customFormat="1" ht="16.5" customHeight="1" outlineLevel="1" spans="2:12">
      <c r="B24" s="841">
        <v>9</v>
      </c>
      <c r="C24" s="304" t="s">
        <v>193</v>
      </c>
      <c r="D24" s="305">
        <v>-0.9</v>
      </c>
      <c r="E24" s="305">
        <v>0</v>
      </c>
      <c r="F24" s="305">
        <v>0.9</v>
      </c>
      <c r="G24" s="305">
        <v>0.3998</v>
      </c>
      <c r="H24" s="842" t="s">
        <v>178</v>
      </c>
      <c r="I24" s="305" t="s">
        <v>179</v>
      </c>
      <c r="J24" s="305" t="s">
        <v>180</v>
      </c>
      <c r="K24" s="305" t="s">
        <v>185</v>
      </c>
      <c r="L24" s="861" t="s">
        <v>182</v>
      </c>
    </row>
    <row r="25" s="799" customFormat="1" ht="16.5" customHeight="1" outlineLevel="1" spans="2:12">
      <c r="B25" s="841">
        <v>10</v>
      </c>
      <c r="C25" s="303" t="s">
        <v>194</v>
      </c>
      <c r="D25" s="842">
        <v>-0.9</v>
      </c>
      <c r="E25" s="842">
        <v>0</v>
      </c>
      <c r="F25" s="842">
        <v>0.9</v>
      </c>
      <c r="G25" s="842">
        <v>0.3</v>
      </c>
      <c r="H25" s="842" t="s">
        <v>178</v>
      </c>
      <c r="I25" s="305" t="s">
        <v>179</v>
      </c>
      <c r="J25" s="305" t="s">
        <v>180</v>
      </c>
      <c r="K25" s="842" t="s">
        <v>185</v>
      </c>
      <c r="L25" s="862" t="s">
        <v>182</v>
      </c>
    </row>
    <row r="26" s="799" customFormat="1" ht="16.5" customHeight="1" outlineLevel="1" spans="2:12">
      <c r="B26" s="841">
        <v>11</v>
      </c>
      <c r="C26" s="304" t="s">
        <v>195</v>
      </c>
      <c r="D26" s="305">
        <v>-0.4268</v>
      </c>
      <c r="E26" s="305">
        <v>-0.0506</v>
      </c>
      <c r="F26" s="305">
        <v>0.3255</v>
      </c>
      <c r="G26" s="305">
        <v>0.1254</v>
      </c>
      <c r="H26" s="305" t="s">
        <v>178</v>
      </c>
      <c r="I26" s="305" t="s">
        <v>179</v>
      </c>
      <c r="J26" s="305" t="s">
        <v>180</v>
      </c>
      <c r="K26" s="305" t="s">
        <v>196</v>
      </c>
      <c r="L26" s="861" t="s">
        <v>182</v>
      </c>
    </row>
    <row r="27" s="799" customFormat="1" ht="16.5" customHeight="1" outlineLevel="1" spans="2:12">
      <c r="B27" s="841">
        <v>12</v>
      </c>
      <c r="C27" s="303" t="s">
        <v>197</v>
      </c>
      <c r="D27" s="842">
        <v>-0.8266</v>
      </c>
      <c r="E27" s="842">
        <v>-0.076</v>
      </c>
      <c r="F27" s="842">
        <v>0.6746</v>
      </c>
      <c r="G27" s="842">
        <v>0.2502</v>
      </c>
      <c r="H27" s="842" t="s">
        <v>178</v>
      </c>
      <c r="I27" s="305" t="s">
        <v>179</v>
      </c>
      <c r="J27" s="842" t="s">
        <v>180</v>
      </c>
      <c r="K27" s="842" t="s">
        <v>196</v>
      </c>
      <c r="L27" s="862" t="s">
        <v>182</v>
      </c>
    </row>
    <row r="28" s="799" customFormat="1" ht="16.5" customHeight="1" outlineLevel="1" spans="2:12">
      <c r="B28" s="841">
        <v>13</v>
      </c>
      <c r="C28" s="304" t="s">
        <v>198</v>
      </c>
      <c r="D28" s="305">
        <v>-0.9053</v>
      </c>
      <c r="E28" s="305">
        <v>-0.0936</v>
      </c>
      <c r="F28" s="305">
        <v>0.7181</v>
      </c>
      <c r="G28" s="305">
        <v>0.2706</v>
      </c>
      <c r="H28" s="305" t="s">
        <v>178</v>
      </c>
      <c r="I28" s="305" t="s">
        <v>179</v>
      </c>
      <c r="J28" s="305" t="s">
        <v>180</v>
      </c>
      <c r="K28" s="305" t="s">
        <v>196</v>
      </c>
      <c r="L28" s="861" t="s">
        <v>182</v>
      </c>
    </row>
    <row r="29" s="799" customFormat="1" ht="16.5" customHeight="1" outlineLevel="1" spans="2:12">
      <c r="B29" s="841">
        <v>14</v>
      </c>
      <c r="C29" s="303" t="s">
        <v>199</v>
      </c>
      <c r="D29" s="842">
        <v>0.0002</v>
      </c>
      <c r="E29" s="842">
        <v>0.269</v>
      </c>
      <c r="F29" s="842">
        <v>0.5378</v>
      </c>
      <c r="G29" s="842">
        <v>0.0896</v>
      </c>
      <c r="H29" s="842" t="s">
        <v>184</v>
      </c>
      <c r="I29" s="305" t="s">
        <v>179</v>
      </c>
      <c r="J29" s="842" t="s">
        <v>180</v>
      </c>
      <c r="K29" s="842" t="s">
        <v>200</v>
      </c>
      <c r="L29" s="862" t="s">
        <v>182</v>
      </c>
    </row>
    <row r="30" s="799" customFormat="1" ht="16.5" customHeight="1" outlineLevel="1" spans="2:12">
      <c r="B30" s="841">
        <v>15</v>
      </c>
      <c r="C30" s="304" t="s">
        <v>201</v>
      </c>
      <c r="D30" s="305">
        <v>0</v>
      </c>
      <c r="E30" s="305">
        <v>0.2187</v>
      </c>
      <c r="F30" s="305">
        <v>0.4374</v>
      </c>
      <c r="G30" s="305">
        <v>0.0729</v>
      </c>
      <c r="H30" s="305" t="s">
        <v>184</v>
      </c>
      <c r="I30" s="305" t="s">
        <v>179</v>
      </c>
      <c r="J30" s="305" t="s">
        <v>180</v>
      </c>
      <c r="K30" s="305" t="s">
        <v>200</v>
      </c>
      <c r="L30" s="861" t="s">
        <v>182</v>
      </c>
    </row>
    <row r="31" s="799" customFormat="1" ht="16.5" customHeight="1" outlineLevel="1" spans="2:12">
      <c r="B31" s="841">
        <v>16</v>
      </c>
      <c r="C31" s="303" t="s">
        <v>202</v>
      </c>
      <c r="D31" s="842">
        <v>0.1326</v>
      </c>
      <c r="E31" s="842">
        <v>0.93</v>
      </c>
      <c r="F31" s="842">
        <v>1.7274</v>
      </c>
      <c r="G31" s="842">
        <v>0.2658</v>
      </c>
      <c r="H31" s="842" t="s">
        <v>189</v>
      </c>
      <c r="I31" s="305" t="s">
        <v>179</v>
      </c>
      <c r="J31" s="842" t="s">
        <v>180</v>
      </c>
      <c r="K31" s="842" t="s">
        <v>200</v>
      </c>
      <c r="L31" s="862" t="s">
        <v>182</v>
      </c>
    </row>
    <row r="32" s="799" customFormat="1" ht="16.5" customHeight="1" outlineLevel="1" spans="2:12">
      <c r="B32" s="841">
        <v>17</v>
      </c>
      <c r="C32" s="304" t="s">
        <v>203</v>
      </c>
      <c r="D32" s="305">
        <v>0.0082</v>
      </c>
      <c r="E32" s="305">
        <v>0.9211</v>
      </c>
      <c r="F32" s="305">
        <v>1.834</v>
      </c>
      <c r="G32" s="305">
        <v>0.3043</v>
      </c>
      <c r="H32" s="305" t="s">
        <v>189</v>
      </c>
      <c r="I32" s="305" t="s">
        <v>179</v>
      </c>
      <c r="J32" s="305" t="s">
        <v>180</v>
      </c>
      <c r="K32" s="305" t="s">
        <v>200</v>
      </c>
      <c r="L32" s="861" t="s">
        <v>182</v>
      </c>
    </row>
    <row r="33" s="799" customFormat="1" ht="16.5" customHeight="1" outlineLevel="1" spans="2:12">
      <c r="B33" s="841">
        <v>18</v>
      </c>
      <c r="C33" s="303" t="s">
        <v>204</v>
      </c>
      <c r="D33" s="842">
        <v>-0.63</v>
      </c>
      <c r="E33" s="842">
        <v>0</v>
      </c>
      <c r="F33" s="842">
        <v>0.63</v>
      </c>
      <c r="G33" s="842">
        <v>0.21</v>
      </c>
      <c r="H33" s="842" t="s">
        <v>178</v>
      </c>
      <c r="I33" s="305" t="s">
        <v>179</v>
      </c>
      <c r="J33" s="305" t="s">
        <v>180</v>
      </c>
      <c r="K33" s="842" t="s">
        <v>200</v>
      </c>
      <c r="L33" s="862" t="s">
        <v>182</v>
      </c>
    </row>
    <row r="34" s="799" customFormat="1" ht="16.5" customHeight="1" outlineLevel="1" spans="2:12">
      <c r="B34" s="841">
        <v>19</v>
      </c>
      <c r="C34" s="304" t="s">
        <v>205</v>
      </c>
      <c r="D34" s="305">
        <v>-0.75</v>
      </c>
      <c r="E34" s="305">
        <v>0</v>
      </c>
      <c r="F34" s="305">
        <v>0.75</v>
      </c>
      <c r="G34" s="305">
        <v>0.25</v>
      </c>
      <c r="H34" s="305" t="s">
        <v>178</v>
      </c>
      <c r="I34" s="305" t="s">
        <v>179</v>
      </c>
      <c r="J34" s="305" t="s">
        <v>180</v>
      </c>
      <c r="K34" s="305" t="s">
        <v>200</v>
      </c>
      <c r="L34" s="861" t="s">
        <v>182</v>
      </c>
    </row>
    <row r="35" s="799" customFormat="1" ht="16.5" customHeight="1" outlineLevel="1" spans="2:12">
      <c r="B35" s="841">
        <v>20</v>
      </c>
      <c r="C35" s="303" t="s">
        <v>206</v>
      </c>
      <c r="D35" s="842">
        <v>0.0008</v>
      </c>
      <c r="E35" s="842">
        <v>0.011</v>
      </c>
      <c r="F35" s="842">
        <v>0.0212</v>
      </c>
      <c r="G35" s="842">
        <v>0.0034</v>
      </c>
      <c r="H35" s="842" t="s">
        <v>207</v>
      </c>
      <c r="I35" s="305" t="s">
        <v>179</v>
      </c>
      <c r="J35" s="842" t="s">
        <v>180</v>
      </c>
      <c r="K35" s="842" t="s">
        <v>208</v>
      </c>
      <c r="L35" s="862" t="s">
        <v>182</v>
      </c>
    </row>
    <row r="36" s="799" customFormat="1" ht="16.5" customHeight="1" outlineLevel="1" spans="2:12">
      <c r="B36" s="841">
        <v>21</v>
      </c>
      <c r="C36" s="304" t="s">
        <v>209</v>
      </c>
      <c r="D36" s="305">
        <v>0.0003</v>
      </c>
      <c r="E36" s="305">
        <v>0.2412</v>
      </c>
      <c r="F36" s="305">
        <v>0.4821</v>
      </c>
      <c r="G36" s="305">
        <v>0.0803</v>
      </c>
      <c r="H36" s="305" t="s">
        <v>184</v>
      </c>
      <c r="I36" s="305" t="s">
        <v>179</v>
      </c>
      <c r="J36" s="305" t="s">
        <v>180</v>
      </c>
      <c r="K36" s="305" t="s">
        <v>210</v>
      </c>
      <c r="L36" s="861" t="s">
        <v>182</v>
      </c>
    </row>
    <row r="37" s="799" customFormat="1" ht="16.5" customHeight="1" outlineLevel="1" spans="2:12">
      <c r="B37" s="841">
        <v>22</v>
      </c>
      <c r="C37" s="303" t="s">
        <v>211</v>
      </c>
      <c r="D37" s="842">
        <v>0.0009</v>
      </c>
      <c r="E37" s="842">
        <v>0.2019</v>
      </c>
      <c r="F37" s="842">
        <v>0.4029</v>
      </c>
      <c r="G37" s="842">
        <v>0.067</v>
      </c>
      <c r="H37" s="842" t="s">
        <v>184</v>
      </c>
      <c r="I37" s="305" t="s">
        <v>179</v>
      </c>
      <c r="J37" s="842" t="s">
        <v>180</v>
      </c>
      <c r="K37" s="842" t="s">
        <v>210</v>
      </c>
      <c r="L37" s="861" t="s">
        <v>182</v>
      </c>
    </row>
    <row r="38" s="799" customFormat="1" ht="16.5" customHeight="1" outlineLevel="1" spans="2:12">
      <c r="B38" s="841">
        <v>23</v>
      </c>
      <c r="C38" s="304" t="s">
        <v>212</v>
      </c>
      <c r="D38" s="305">
        <v>0</v>
      </c>
      <c r="E38" s="305">
        <v>0.75</v>
      </c>
      <c r="F38" s="305">
        <v>1.5</v>
      </c>
      <c r="G38" s="305">
        <v>0.25</v>
      </c>
      <c r="H38" s="305" t="s">
        <v>189</v>
      </c>
      <c r="I38" s="305" t="s">
        <v>179</v>
      </c>
      <c r="J38" s="305" t="s">
        <v>180</v>
      </c>
      <c r="K38" s="305" t="s">
        <v>210</v>
      </c>
      <c r="L38" s="861" t="s">
        <v>182</v>
      </c>
    </row>
    <row r="39" s="799" customFormat="1" ht="16.5" customHeight="1" outlineLevel="1" spans="2:12">
      <c r="B39" s="841">
        <v>24</v>
      </c>
      <c r="C39" s="303" t="s">
        <v>213</v>
      </c>
      <c r="D39" s="842">
        <v>0.004</v>
      </c>
      <c r="E39" s="842">
        <v>0.748</v>
      </c>
      <c r="F39" s="842">
        <v>1.492</v>
      </c>
      <c r="G39" s="842">
        <v>0.248</v>
      </c>
      <c r="H39" s="842" t="s">
        <v>189</v>
      </c>
      <c r="I39" s="305" t="s">
        <v>179</v>
      </c>
      <c r="J39" s="842" t="s">
        <v>180</v>
      </c>
      <c r="K39" s="842" t="s">
        <v>210</v>
      </c>
      <c r="L39" s="861" t="s">
        <v>182</v>
      </c>
    </row>
    <row r="40" s="799" customFormat="1" ht="16.5" customHeight="1" outlineLevel="1" spans="2:12">
      <c r="B40" s="841">
        <v>25</v>
      </c>
      <c r="C40" s="304" t="s">
        <v>214</v>
      </c>
      <c r="D40" s="305">
        <v>-0.4875</v>
      </c>
      <c r="E40" s="305">
        <v>0.33</v>
      </c>
      <c r="F40" s="305">
        <v>1.1475</v>
      </c>
      <c r="G40" s="305">
        <v>0.2725</v>
      </c>
      <c r="H40" s="305" t="s">
        <v>178</v>
      </c>
      <c r="I40" s="305" t="s">
        <v>179</v>
      </c>
      <c r="J40" s="305" t="s">
        <v>180</v>
      </c>
      <c r="K40" s="305" t="s">
        <v>210</v>
      </c>
      <c r="L40" s="861" t="s">
        <v>182</v>
      </c>
    </row>
    <row r="41" s="799" customFormat="1" ht="16.5" customHeight="1" outlineLevel="1" spans="2:12">
      <c r="B41" s="841">
        <v>26</v>
      </c>
      <c r="C41" s="303" t="s">
        <v>215</v>
      </c>
      <c r="D41" s="842">
        <v>-0.8479</v>
      </c>
      <c r="E41" s="842">
        <v>0.25</v>
      </c>
      <c r="F41" s="842">
        <v>1.3479</v>
      </c>
      <c r="G41" s="842">
        <v>0.366</v>
      </c>
      <c r="H41" s="842" t="s">
        <v>178</v>
      </c>
      <c r="I41" s="305" t="s">
        <v>179</v>
      </c>
      <c r="J41" s="842" t="s">
        <v>180</v>
      </c>
      <c r="K41" s="842" t="s">
        <v>210</v>
      </c>
      <c r="L41" s="861" t="s">
        <v>182</v>
      </c>
    </row>
    <row r="42" s="799" customFormat="1" ht="16.5" customHeight="1" outlineLevel="1" spans="2:12">
      <c r="B42" s="841">
        <v>27</v>
      </c>
      <c r="C42" s="304" t="s">
        <v>216</v>
      </c>
      <c r="D42" s="305">
        <v>0</v>
      </c>
      <c r="E42" s="305">
        <v>0.36</v>
      </c>
      <c r="F42" s="305">
        <v>0.72</v>
      </c>
      <c r="G42" s="305">
        <v>0.12</v>
      </c>
      <c r="H42" s="305" t="s">
        <v>207</v>
      </c>
      <c r="I42" s="305" t="s">
        <v>179</v>
      </c>
      <c r="J42" s="305" t="s">
        <v>180</v>
      </c>
      <c r="K42" s="305" t="s">
        <v>210</v>
      </c>
      <c r="L42" s="861" t="s">
        <v>182</v>
      </c>
    </row>
    <row r="43" s="799" customFormat="1" ht="16.5" customHeight="1" outlineLevel="1" spans="2:12">
      <c r="B43" s="841">
        <v>28</v>
      </c>
      <c r="C43" s="303" t="s">
        <v>217</v>
      </c>
      <c r="D43" s="842">
        <v>0</v>
      </c>
      <c r="E43" s="842">
        <v>1.2</v>
      </c>
      <c r="F43" s="842">
        <v>2.4</v>
      </c>
      <c r="G43" s="842">
        <v>0.4</v>
      </c>
      <c r="H43" s="842" t="s">
        <v>207</v>
      </c>
      <c r="I43" s="305" t="s">
        <v>179</v>
      </c>
      <c r="J43" s="842" t="s">
        <v>180</v>
      </c>
      <c r="K43" s="842" t="s">
        <v>210</v>
      </c>
      <c r="L43" s="861" t="s">
        <v>182</v>
      </c>
    </row>
    <row r="44" s="799" customFormat="1" ht="16.5" customHeight="1" outlineLevel="1" spans="2:12">
      <c r="B44" s="841">
        <v>29</v>
      </c>
      <c r="C44" s="304" t="s">
        <v>218</v>
      </c>
      <c r="D44" s="305">
        <v>0.0002</v>
      </c>
      <c r="E44" s="305">
        <v>0.2</v>
      </c>
      <c r="F44" s="305">
        <v>0.3998</v>
      </c>
      <c r="G44" s="305">
        <v>0.0666</v>
      </c>
      <c r="H44" s="305" t="s">
        <v>207</v>
      </c>
      <c r="I44" s="305" t="s">
        <v>179</v>
      </c>
      <c r="J44" s="305" t="s">
        <v>180</v>
      </c>
      <c r="K44" s="305" t="s">
        <v>210</v>
      </c>
      <c r="L44" s="861" t="s">
        <v>182</v>
      </c>
    </row>
    <row r="45" s="799" customFormat="1" ht="16.5" customHeight="1" outlineLevel="1" spans="2:12">
      <c r="B45" s="841">
        <v>30</v>
      </c>
      <c r="C45" s="303" t="s">
        <v>219</v>
      </c>
      <c r="D45" s="842">
        <v>0.002</v>
      </c>
      <c r="E45" s="842">
        <v>0.92</v>
      </c>
      <c r="F45" s="842">
        <v>1.838</v>
      </c>
      <c r="G45" s="842">
        <v>0.306</v>
      </c>
      <c r="H45" s="842" t="s">
        <v>207</v>
      </c>
      <c r="I45" s="305" t="s">
        <v>179</v>
      </c>
      <c r="J45" s="842" t="s">
        <v>180</v>
      </c>
      <c r="K45" s="842" t="s">
        <v>210</v>
      </c>
      <c r="L45" s="861" t="s">
        <v>182</v>
      </c>
    </row>
    <row r="46" s="799" customFormat="1" ht="16.5" customHeight="1" outlineLevel="1" spans="2:12">
      <c r="B46" s="841">
        <v>31</v>
      </c>
      <c r="C46" s="304" t="s">
        <v>220</v>
      </c>
      <c r="D46" s="305">
        <v>-0.9327</v>
      </c>
      <c r="E46" s="305">
        <v>-0.229</v>
      </c>
      <c r="F46" s="305">
        <v>0.4748</v>
      </c>
      <c r="G46" s="305">
        <v>0.2346</v>
      </c>
      <c r="H46" s="305" t="s">
        <v>178</v>
      </c>
      <c r="I46" s="305" t="s">
        <v>179</v>
      </c>
      <c r="J46" s="305" t="s">
        <v>180</v>
      </c>
      <c r="K46" s="305" t="s">
        <v>221</v>
      </c>
      <c r="L46" s="861" t="s">
        <v>182</v>
      </c>
    </row>
    <row r="47" s="799" customFormat="1" ht="16.5" customHeight="1" outlineLevel="1" spans="2:12">
      <c r="B47" s="841">
        <v>32</v>
      </c>
      <c r="C47" s="303" t="s">
        <v>222</v>
      </c>
      <c r="D47" s="842">
        <v>0</v>
      </c>
      <c r="E47" s="842">
        <v>0.027</v>
      </c>
      <c r="F47" s="842">
        <v>0.054</v>
      </c>
      <c r="G47" s="842">
        <v>0.009</v>
      </c>
      <c r="H47" s="842" t="s">
        <v>178</v>
      </c>
      <c r="I47" s="842" t="s">
        <v>179</v>
      </c>
      <c r="J47" s="842" t="s">
        <v>180</v>
      </c>
      <c r="K47" s="842" t="s">
        <v>221</v>
      </c>
      <c r="L47" s="303" t="s">
        <v>182</v>
      </c>
    </row>
    <row r="48" s="799" customFormat="1" ht="16.5" customHeight="1" outlineLevel="1" spans="2:12">
      <c r="B48" s="841">
        <v>33</v>
      </c>
      <c r="C48" s="304" t="s">
        <v>223</v>
      </c>
      <c r="D48" s="305">
        <v>-0.3106</v>
      </c>
      <c r="E48" s="305">
        <v>0.1262</v>
      </c>
      <c r="F48" s="305">
        <v>0.563</v>
      </c>
      <c r="G48" s="305">
        <v>0.1456</v>
      </c>
      <c r="H48" s="305" t="s">
        <v>178</v>
      </c>
      <c r="I48" s="305" t="s">
        <v>179</v>
      </c>
      <c r="J48" s="305" t="s">
        <v>180</v>
      </c>
      <c r="K48" s="305" t="s">
        <v>224</v>
      </c>
      <c r="L48" s="861" t="s">
        <v>182</v>
      </c>
    </row>
    <row r="49" s="799" customFormat="1" ht="16.5" customHeight="1" outlineLevel="1" spans="2:12">
      <c r="B49" s="841">
        <v>34</v>
      </c>
      <c r="C49" s="303" t="s">
        <v>225</v>
      </c>
      <c r="D49" s="842">
        <v>-0.3877</v>
      </c>
      <c r="E49" s="842">
        <v>0.0045</v>
      </c>
      <c r="F49" s="842">
        <v>0.3967</v>
      </c>
      <c r="G49" s="842">
        <v>0.1307</v>
      </c>
      <c r="H49" s="842" t="s">
        <v>178</v>
      </c>
      <c r="I49" s="842" t="s">
        <v>179</v>
      </c>
      <c r="J49" s="842" t="s">
        <v>180</v>
      </c>
      <c r="K49" s="842" t="s">
        <v>224</v>
      </c>
      <c r="L49" s="303" t="s">
        <v>182</v>
      </c>
    </row>
    <row r="50" s="799" customFormat="1" ht="16.5" customHeight="1" outlineLevel="1" spans="2:12">
      <c r="B50" s="841">
        <v>35</v>
      </c>
      <c r="C50" s="304" t="s">
        <v>226</v>
      </c>
      <c r="D50" s="305">
        <v>0.0351</v>
      </c>
      <c r="E50" s="305">
        <v>0.2718</v>
      </c>
      <c r="F50" s="305">
        <v>0.5085</v>
      </c>
      <c r="G50" s="305">
        <v>0.0789</v>
      </c>
      <c r="H50" s="305" t="s">
        <v>184</v>
      </c>
      <c r="I50" s="305" t="s">
        <v>179</v>
      </c>
      <c r="J50" s="305" t="s">
        <v>180</v>
      </c>
      <c r="K50" s="305" t="s">
        <v>224</v>
      </c>
      <c r="L50" s="304" t="s">
        <v>182</v>
      </c>
    </row>
    <row r="51" s="799" customFormat="1" ht="16.5" customHeight="1" outlineLevel="1" spans="2:12">
      <c r="B51" s="841">
        <v>36</v>
      </c>
      <c r="C51" s="303" t="s">
        <v>227</v>
      </c>
      <c r="D51" s="842">
        <v>0</v>
      </c>
      <c r="E51" s="842">
        <v>0.864</v>
      </c>
      <c r="F51" s="842">
        <v>1.8532</v>
      </c>
      <c r="G51" s="842">
        <v>0.3297</v>
      </c>
      <c r="H51" s="842" t="s">
        <v>184</v>
      </c>
      <c r="I51" s="842" t="s">
        <v>179</v>
      </c>
      <c r="J51" s="842" t="s">
        <v>180</v>
      </c>
      <c r="K51" s="842" t="s">
        <v>224</v>
      </c>
      <c r="L51" s="861" t="s">
        <v>182</v>
      </c>
    </row>
    <row r="52" s="799" customFormat="1" ht="16.5" customHeight="1" outlineLevel="1" spans="2:12">
      <c r="B52" s="841">
        <v>37</v>
      </c>
      <c r="C52" s="304" t="s">
        <v>228</v>
      </c>
      <c r="D52" s="305">
        <v>0</v>
      </c>
      <c r="E52" s="305">
        <v>0.4664</v>
      </c>
      <c r="F52" s="305">
        <v>1.1807</v>
      </c>
      <c r="G52" s="305">
        <v>0.2381</v>
      </c>
      <c r="H52" s="305" t="s">
        <v>184</v>
      </c>
      <c r="I52" s="305" t="s">
        <v>179</v>
      </c>
      <c r="J52" s="305" t="s">
        <v>180</v>
      </c>
      <c r="K52" s="305" t="s">
        <v>224</v>
      </c>
      <c r="L52" s="861" t="s">
        <v>182</v>
      </c>
    </row>
    <row r="53" s="799" customFormat="1" ht="16.5" customHeight="1" outlineLevel="1" spans="2:12">
      <c r="B53" s="841">
        <v>38</v>
      </c>
      <c r="C53" s="303" t="s">
        <v>229</v>
      </c>
      <c r="D53" s="842">
        <v>0.4852</v>
      </c>
      <c r="E53" s="842">
        <v>0.669</v>
      </c>
      <c r="F53" s="842">
        <v>0.8527</v>
      </c>
      <c r="G53" s="842">
        <v>0.0612</v>
      </c>
      <c r="H53" s="842" t="s">
        <v>189</v>
      </c>
      <c r="I53" s="842" t="s">
        <v>179</v>
      </c>
      <c r="J53" s="842" t="s">
        <v>180</v>
      </c>
      <c r="K53" s="842" t="s">
        <v>224</v>
      </c>
      <c r="L53" s="303" t="s">
        <v>182</v>
      </c>
    </row>
    <row r="54" s="799" customFormat="1" ht="16.5" customHeight="1" outlineLevel="1" spans="2:12">
      <c r="B54" s="841">
        <v>39</v>
      </c>
      <c r="C54" s="304" t="s">
        <v>230</v>
      </c>
      <c r="D54" s="305">
        <v>0.298</v>
      </c>
      <c r="E54" s="305">
        <v>0.482</v>
      </c>
      <c r="F54" s="305">
        <v>0.6661</v>
      </c>
      <c r="G54" s="305">
        <v>0.0614</v>
      </c>
      <c r="H54" s="305" t="s">
        <v>189</v>
      </c>
      <c r="I54" s="305" t="s">
        <v>179</v>
      </c>
      <c r="J54" s="305" t="s">
        <v>180</v>
      </c>
      <c r="K54" s="305" t="s">
        <v>224</v>
      </c>
      <c r="L54" s="861" t="s">
        <v>182</v>
      </c>
    </row>
    <row r="55" s="799" customFormat="1" ht="16.5" customHeight="1" outlineLevel="1" spans="2:12">
      <c r="B55" s="841">
        <v>40</v>
      </c>
      <c r="C55" s="303" t="s">
        <v>231</v>
      </c>
      <c r="D55" s="842">
        <v>0</v>
      </c>
      <c r="E55" s="842">
        <v>9.869</v>
      </c>
      <c r="F55" s="842">
        <v>21.176</v>
      </c>
      <c r="G55" s="842">
        <v>3.289</v>
      </c>
      <c r="H55" s="842" t="s">
        <v>232</v>
      </c>
      <c r="I55" s="842" t="s">
        <v>179</v>
      </c>
      <c r="J55" s="842" t="s">
        <v>180</v>
      </c>
      <c r="K55" s="842" t="s">
        <v>208</v>
      </c>
      <c r="L55" s="861" t="s">
        <v>182</v>
      </c>
    </row>
    <row r="56" s="799" customFormat="1" ht="16.5" customHeight="1" outlineLevel="1" spans="2:12">
      <c r="B56" s="841">
        <v>41</v>
      </c>
      <c r="C56" s="304" t="s">
        <v>233</v>
      </c>
      <c r="D56" s="305">
        <v>0</v>
      </c>
      <c r="E56" s="305">
        <v>7.503</v>
      </c>
      <c r="F56" s="305">
        <v>16.0824</v>
      </c>
      <c r="G56" s="305">
        <v>2.501</v>
      </c>
      <c r="H56" s="305" t="s">
        <v>232</v>
      </c>
      <c r="I56" s="305" t="s">
        <v>179</v>
      </c>
      <c r="J56" s="305" t="s">
        <v>180</v>
      </c>
      <c r="K56" s="305" t="s">
        <v>208</v>
      </c>
      <c r="L56" s="861" t="s">
        <v>182</v>
      </c>
    </row>
    <row r="57" s="799" customFormat="1" ht="16.5" customHeight="1" outlineLevel="1" spans="2:12">
      <c r="B57" s="841">
        <v>42</v>
      </c>
      <c r="C57" s="304" t="s">
        <v>234</v>
      </c>
      <c r="D57" s="305">
        <v>0</v>
      </c>
      <c r="E57" s="305">
        <v>7.751</v>
      </c>
      <c r="F57" s="305">
        <v>21.383</v>
      </c>
      <c r="G57" s="305">
        <v>2.5836</v>
      </c>
      <c r="H57" s="305"/>
      <c r="I57" s="305"/>
      <c r="J57" s="305"/>
      <c r="K57" s="305"/>
      <c r="L57" s="861"/>
    </row>
    <row r="58" s="799" customFormat="1" ht="16.5" customHeight="1" outlineLevel="1" spans="2:12">
      <c r="B58" s="841">
        <v>43</v>
      </c>
      <c r="C58" s="304" t="s">
        <v>235</v>
      </c>
      <c r="D58" s="305">
        <v>0</v>
      </c>
      <c r="E58" s="305">
        <v>4.384</v>
      </c>
      <c r="F58" s="305">
        <v>10.7986</v>
      </c>
      <c r="G58" s="305">
        <v>1.4613</v>
      </c>
      <c r="H58" s="305"/>
      <c r="I58" s="305"/>
      <c r="J58" s="305"/>
      <c r="K58" s="305"/>
      <c r="L58" s="861"/>
    </row>
    <row r="59" s="799" customFormat="1" ht="16.5" customHeight="1" outlineLevel="1" spans="2:12">
      <c r="B59" s="841">
        <v>44</v>
      </c>
      <c r="C59" s="304" t="s">
        <v>236</v>
      </c>
      <c r="D59" s="305">
        <v>0</v>
      </c>
      <c r="E59" s="305">
        <v>0.0506</v>
      </c>
      <c r="F59" s="305">
        <v>0.1544</v>
      </c>
      <c r="G59" s="305">
        <v>0.0346</v>
      </c>
      <c r="H59" s="305" t="s">
        <v>207</v>
      </c>
      <c r="I59" s="305" t="s">
        <v>179</v>
      </c>
      <c r="J59" s="305" t="s">
        <v>180</v>
      </c>
      <c r="K59" s="305" t="s">
        <v>237</v>
      </c>
      <c r="L59" s="861" t="s">
        <v>182</v>
      </c>
    </row>
    <row r="60" s="799" customFormat="1" ht="16.5" customHeight="1" outlineLevel="1" spans="2:12">
      <c r="B60" s="841">
        <v>45</v>
      </c>
      <c r="C60" s="304" t="s">
        <v>238</v>
      </c>
      <c r="D60" s="305">
        <v>0</v>
      </c>
      <c r="E60" s="305">
        <v>0.0236</v>
      </c>
      <c r="F60" s="305">
        <v>0.0568</v>
      </c>
      <c r="G60" s="305">
        <v>0.0111</v>
      </c>
      <c r="H60" s="305" t="s">
        <v>184</v>
      </c>
      <c r="I60" s="305" t="s">
        <v>179</v>
      </c>
      <c r="J60" s="305" t="s">
        <v>239</v>
      </c>
      <c r="K60" s="305" t="s">
        <v>221</v>
      </c>
      <c r="L60" s="861" t="s">
        <v>182</v>
      </c>
    </row>
    <row r="61" s="799" customFormat="1" ht="16.5" customHeight="1" outlineLevel="1" spans="2:12">
      <c r="B61" s="841">
        <v>46</v>
      </c>
      <c r="C61" s="303" t="s">
        <v>240</v>
      </c>
      <c r="D61" s="842">
        <v>0</v>
      </c>
      <c r="E61" s="842">
        <v>0.0253</v>
      </c>
      <c r="F61" s="842">
        <v>0.0784</v>
      </c>
      <c r="G61" s="842">
        <v>0.0177</v>
      </c>
      <c r="H61" s="842" t="s">
        <v>189</v>
      </c>
      <c r="I61" s="842" t="s">
        <v>179</v>
      </c>
      <c r="J61" s="842" t="s">
        <v>180</v>
      </c>
      <c r="K61" s="842" t="s">
        <v>221</v>
      </c>
      <c r="L61" s="862" t="s">
        <v>182</v>
      </c>
    </row>
    <row r="62" s="799" customFormat="1" ht="16.5" customHeight="1" outlineLevel="1" spans="2:12">
      <c r="B62" s="841">
        <v>47</v>
      </c>
      <c r="C62" s="304" t="s">
        <v>241</v>
      </c>
      <c r="D62" s="305">
        <v>-0.945</v>
      </c>
      <c r="E62" s="305">
        <v>-0.241</v>
      </c>
      <c r="F62" s="305">
        <v>0.463</v>
      </c>
      <c r="G62" s="305">
        <v>0.2346</v>
      </c>
      <c r="H62" s="305" t="s">
        <v>178</v>
      </c>
      <c r="I62" s="305" t="s">
        <v>179</v>
      </c>
      <c r="J62" s="305" t="s">
        <v>180</v>
      </c>
      <c r="K62" s="305" t="s">
        <v>221</v>
      </c>
      <c r="L62" s="861" t="s">
        <v>182</v>
      </c>
    </row>
    <row r="63" s="799" customFormat="1" ht="16.5" customHeight="1" outlineLevel="1" spans="2:12">
      <c r="B63" s="841"/>
      <c r="C63" s="304"/>
      <c r="D63" s="305"/>
      <c r="E63" s="305"/>
      <c r="F63" s="305"/>
      <c r="G63" s="305"/>
      <c r="H63" s="305"/>
      <c r="I63" s="305"/>
      <c r="J63" s="305"/>
      <c r="K63" s="305"/>
      <c r="L63" s="861"/>
    </row>
    <row r="64" s="799" customFormat="1" ht="16.5" customHeight="1" outlineLevel="1" spans="2:12">
      <c r="B64" s="843"/>
      <c r="C64" s="844"/>
      <c r="D64" s="843"/>
      <c r="E64" s="843"/>
      <c r="F64" s="843"/>
      <c r="G64" s="845"/>
      <c r="H64" s="846"/>
      <c r="I64" s="846"/>
      <c r="J64" s="846"/>
      <c r="K64" s="846"/>
      <c r="L64" s="863"/>
    </row>
    <row r="65" s="799" customFormat="1" ht="16.5" customHeight="1" outlineLevel="1" spans="2:12">
      <c r="B65" s="834" t="s">
        <v>166</v>
      </c>
      <c r="C65" s="834" t="s">
        <v>242</v>
      </c>
      <c r="D65" s="834" t="s">
        <v>168</v>
      </c>
      <c r="E65" s="834" t="s">
        <v>169</v>
      </c>
      <c r="F65" s="836" t="s">
        <v>170</v>
      </c>
      <c r="G65" s="864" t="s">
        <v>171</v>
      </c>
      <c r="H65" s="865"/>
      <c r="I65" s="864" t="s">
        <v>172</v>
      </c>
      <c r="J65" s="865"/>
      <c r="K65" s="842"/>
      <c r="L65" s="862"/>
    </row>
    <row r="66" s="799" customFormat="1" ht="16.5" customHeight="1" outlineLevel="1" spans="2:12">
      <c r="B66" s="861">
        <v>48</v>
      </c>
      <c r="C66" s="304" t="s">
        <v>243</v>
      </c>
      <c r="D66" s="305" t="s">
        <v>178</v>
      </c>
      <c r="E66" s="861" t="s">
        <v>244</v>
      </c>
      <c r="F66" s="861" t="s">
        <v>180</v>
      </c>
      <c r="G66" s="866" t="s">
        <v>245</v>
      </c>
      <c r="H66" s="867"/>
      <c r="I66" s="872" t="s">
        <v>246</v>
      </c>
      <c r="J66" s="873"/>
      <c r="K66" s="305"/>
      <c r="L66" s="861"/>
    </row>
    <row r="67" s="799" customFormat="1" ht="16.5" customHeight="1" outlineLevel="1" spans="2:12">
      <c r="B67" s="861">
        <v>49</v>
      </c>
      <c r="C67" s="842" t="s">
        <v>247</v>
      </c>
      <c r="D67" s="842" t="s">
        <v>178</v>
      </c>
      <c r="E67" s="868" t="s">
        <v>244</v>
      </c>
      <c r="F67" s="869" t="s">
        <v>180</v>
      </c>
      <c r="G67" s="870" t="s">
        <v>248</v>
      </c>
      <c r="H67" s="871"/>
      <c r="I67" s="883" t="s">
        <v>246</v>
      </c>
      <c r="J67" s="884"/>
      <c r="K67" s="842"/>
      <c r="L67" s="862"/>
    </row>
    <row r="68" s="799" customFormat="1" ht="16.5" customHeight="1" outlineLevel="1" spans="2:12">
      <c r="B68" s="861">
        <v>50</v>
      </c>
      <c r="C68" s="304" t="s">
        <v>249</v>
      </c>
      <c r="D68" s="305" t="s">
        <v>178</v>
      </c>
      <c r="E68" s="861" t="s">
        <v>244</v>
      </c>
      <c r="F68" s="861" t="s">
        <v>180</v>
      </c>
      <c r="G68" s="872" t="s">
        <v>250</v>
      </c>
      <c r="H68" s="873"/>
      <c r="I68" s="872" t="s">
        <v>246</v>
      </c>
      <c r="J68" s="873"/>
      <c r="K68" s="305"/>
      <c r="L68" s="861"/>
    </row>
    <row r="69" s="799" customFormat="1" ht="16.5" customHeight="1" outlineLevel="1" spans="2:12">
      <c r="B69" s="861">
        <v>51</v>
      </c>
      <c r="C69" s="303" t="s">
        <v>251</v>
      </c>
      <c r="D69" s="842" t="s">
        <v>178</v>
      </c>
      <c r="E69" s="869" t="s">
        <v>244</v>
      </c>
      <c r="F69" s="869" t="s">
        <v>180</v>
      </c>
      <c r="G69" s="870" t="s">
        <v>237</v>
      </c>
      <c r="H69" s="871"/>
      <c r="I69" s="885" t="s">
        <v>246</v>
      </c>
      <c r="J69" s="886"/>
      <c r="K69" s="305"/>
      <c r="L69" s="862"/>
    </row>
    <row r="70" s="799" customFormat="1" ht="16.5" customHeight="1" outlineLevel="1" spans="2:12">
      <c r="B70" s="861">
        <v>52</v>
      </c>
      <c r="C70" s="874" t="s">
        <v>252</v>
      </c>
      <c r="D70" s="874" t="s">
        <v>178</v>
      </c>
      <c r="E70" s="861" t="s">
        <v>244</v>
      </c>
      <c r="F70" s="861" t="s">
        <v>180</v>
      </c>
      <c r="G70" s="866" t="s">
        <v>208</v>
      </c>
      <c r="H70" s="867"/>
      <c r="I70" s="872" t="s">
        <v>246</v>
      </c>
      <c r="J70" s="873"/>
      <c r="K70" s="305"/>
      <c r="L70" s="861"/>
    </row>
    <row r="71" s="799" customFormat="1" ht="16.5" customHeight="1" outlineLevel="1" spans="2:12">
      <c r="B71" s="861">
        <v>53</v>
      </c>
      <c r="C71" s="303" t="s">
        <v>253</v>
      </c>
      <c r="D71" s="842" t="s">
        <v>178</v>
      </c>
      <c r="E71" s="875" t="s">
        <v>244</v>
      </c>
      <c r="F71" s="875" t="s">
        <v>180</v>
      </c>
      <c r="G71" s="870" t="s">
        <v>254</v>
      </c>
      <c r="H71" s="871"/>
      <c r="I71" s="887" t="s">
        <v>246</v>
      </c>
      <c r="J71" s="871"/>
      <c r="K71" s="842"/>
      <c r="L71" s="862"/>
    </row>
    <row r="72" s="799" customFormat="1" ht="16.5" customHeight="1" outlineLevel="1" spans="2:12">
      <c r="B72" s="861">
        <v>54</v>
      </c>
      <c r="C72" s="304" t="s">
        <v>255</v>
      </c>
      <c r="D72" s="874" t="s">
        <v>178</v>
      </c>
      <c r="E72" s="861" t="s">
        <v>244</v>
      </c>
      <c r="F72" s="861" t="s">
        <v>180</v>
      </c>
      <c r="G72" s="866" t="s">
        <v>256</v>
      </c>
      <c r="H72" s="867"/>
      <c r="I72" s="872" t="s">
        <v>246</v>
      </c>
      <c r="J72" s="873"/>
      <c r="K72" s="305"/>
      <c r="L72" s="861"/>
    </row>
    <row r="73" s="799" customFormat="1" ht="16.5" customHeight="1" outlineLevel="1" spans="2:12">
      <c r="B73" s="861">
        <v>55</v>
      </c>
      <c r="C73" s="303" t="s">
        <v>257</v>
      </c>
      <c r="D73" s="842" t="s">
        <v>178</v>
      </c>
      <c r="E73" s="875" t="s">
        <v>244</v>
      </c>
      <c r="F73" s="875" t="s">
        <v>180</v>
      </c>
      <c r="G73" s="870" t="s">
        <v>258</v>
      </c>
      <c r="H73" s="871"/>
      <c r="I73" s="887" t="s">
        <v>246</v>
      </c>
      <c r="J73" s="871"/>
      <c r="K73" s="305"/>
      <c r="L73" s="861"/>
    </row>
    <row r="74" s="799" customFormat="1" ht="16.5" customHeight="1" outlineLevel="1" spans="2:12">
      <c r="B74" s="861">
        <v>56</v>
      </c>
      <c r="C74" s="304" t="s">
        <v>259</v>
      </c>
      <c r="D74" s="874" t="s">
        <v>178</v>
      </c>
      <c r="E74" s="861" t="s">
        <v>244</v>
      </c>
      <c r="F74" s="861" t="s">
        <v>180</v>
      </c>
      <c r="G74" s="866" t="s">
        <v>258</v>
      </c>
      <c r="H74" s="867"/>
      <c r="I74" s="872" t="s">
        <v>246</v>
      </c>
      <c r="J74" s="873"/>
      <c r="K74" s="842"/>
      <c r="L74" s="862"/>
    </row>
    <row r="75" s="799" customFormat="1" ht="16.5" customHeight="1" outlineLevel="1" spans="2:12">
      <c r="B75" s="861">
        <v>57</v>
      </c>
      <c r="C75" s="303" t="s">
        <v>260</v>
      </c>
      <c r="D75" s="842" t="s">
        <v>178</v>
      </c>
      <c r="E75" s="875" t="s">
        <v>244</v>
      </c>
      <c r="F75" s="875" t="s">
        <v>180</v>
      </c>
      <c r="G75" s="870" t="s">
        <v>258</v>
      </c>
      <c r="H75" s="871"/>
      <c r="I75" s="887" t="s">
        <v>246</v>
      </c>
      <c r="J75" s="871"/>
      <c r="K75" s="305"/>
      <c r="L75" s="861"/>
    </row>
    <row r="76" s="799" customFormat="1" ht="16.5" customHeight="1" outlineLevel="1" spans="2:12">
      <c r="B76" s="861">
        <v>58</v>
      </c>
      <c r="C76" s="861" t="s">
        <v>261</v>
      </c>
      <c r="D76" s="874" t="s">
        <v>178</v>
      </c>
      <c r="E76" s="861" t="s">
        <v>244</v>
      </c>
      <c r="F76" s="861" t="s">
        <v>180</v>
      </c>
      <c r="G76" s="866" t="s">
        <v>254</v>
      </c>
      <c r="H76" s="867"/>
      <c r="I76" s="872" t="s">
        <v>246</v>
      </c>
      <c r="J76" s="873"/>
      <c r="K76" s="842"/>
      <c r="L76" s="862"/>
    </row>
    <row r="77" s="799" customFormat="1" ht="16.5" customHeight="1" outlineLevel="1" spans="2:12">
      <c r="B77" s="861">
        <v>59</v>
      </c>
      <c r="C77" s="303" t="s">
        <v>262</v>
      </c>
      <c r="D77" s="842" t="s">
        <v>178</v>
      </c>
      <c r="E77" s="875" t="s">
        <v>244</v>
      </c>
      <c r="F77" s="875" t="s">
        <v>180</v>
      </c>
      <c r="G77" s="870" t="s">
        <v>254</v>
      </c>
      <c r="H77" s="871"/>
      <c r="I77" s="883" t="s">
        <v>246</v>
      </c>
      <c r="J77" s="884"/>
      <c r="K77" s="305"/>
      <c r="L77" s="861"/>
    </row>
    <row r="78" s="799" customFormat="1" ht="16.5" customHeight="1" outlineLevel="1" spans="2:12">
      <c r="B78" s="861">
        <v>60</v>
      </c>
      <c r="C78" s="304" t="s">
        <v>263</v>
      </c>
      <c r="D78" s="305" t="s">
        <v>184</v>
      </c>
      <c r="E78" s="875" t="s">
        <v>244</v>
      </c>
      <c r="F78" s="875" t="s">
        <v>180</v>
      </c>
      <c r="G78" s="876" t="s">
        <v>196</v>
      </c>
      <c r="H78" s="877"/>
      <c r="I78" s="883" t="s">
        <v>246</v>
      </c>
      <c r="J78" s="884"/>
      <c r="K78" s="842"/>
      <c r="L78" s="861"/>
    </row>
    <row r="79" s="799" customFormat="1" ht="16.5" customHeight="1" outlineLevel="1" spans="2:12">
      <c r="B79" s="861">
        <v>61</v>
      </c>
      <c r="C79" s="303" t="s">
        <v>264</v>
      </c>
      <c r="D79" s="842" t="s">
        <v>184</v>
      </c>
      <c r="E79" s="875" t="s">
        <v>244</v>
      </c>
      <c r="F79" s="875" t="s">
        <v>180</v>
      </c>
      <c r="G79" s="876" t="s">
        <v>196</v>
      </c>
      <c r="H79" s="877"/>
      <c r="I79" s="883" t="s">
        <v>246</v>
      </c>
      <c r="J79" s="884"/>
      <c r="K79" s="305"/>
      <c r="L79" s="861"/>
    </row>
    <row r="80" s="799" customFormat="1" ht="16.5" customHeight="1" outlineLevel="1" spans="2:12">
      <c r="B80" s="861">
        <v>62</v>
      </c>
      <c r="C80" s="304" t="s">
        <v>265</v>
      </c>
      <c r="D80" s="305" t="s">
        <v>184</v>
      </c>
      <c r="E80" s="875" t="s">
        <v>244</v>
      </c>
      <c r="F80" s="875" t="s">
        <v>180</v>
      </c>
      <c r="G80" s="876" t="s">
        <v>196</v>
      </c>
      <c r="H80" s="877"/>
      <c r="I80" s="883" t="s">
        <v>246</v>
      </c>
      <c r="J80" s="884"/>
      <c r="K80" s="842"/>
      <c r="L80" s="861"/>
    </row>
    <row r="81" s="799" customFormat="1" ht="16.5" customHeight="1" outlineLevel="1" spans="2:12">
      <c r="B81" s="861">
        <v>63</v>
      </c>
      <c r="C81" s="303" t="s">
        <v>266</v>
      </c>
      <c r="D81" s="842" t="s">
        <v>189</v>
      </c>
      <c r="E81" s="875" t="s">
        <v>244</v>
      </c>
      <c r="F81" s="875" t="s">
        <v>180</v>
      </c>
      <c r="G81" s="876" t="s">
        <v>196</v>
      </c>
      <c r="H81" s="877"/>
      <c r="I81" s="883" t="s">
        <v>246</v>
      </c>
      <c r="J81" s="884"/>
      <c r="K81" s="305"/>
      <c r="L81" s="861"/>
    </row>
    <row r="82" s="799" customFormat="1" ht="16.5" customHeight="1" outlineLevel="1" spans="2:12">
      <c r="B82" s="861">
        <v>64</v>
      </c>
      <c r="C82" s="304" t="s">
        <v>267</v>
      </c>
      <c r="D82" s="842" t="s">
        <v>189</v>
      </c>
      <c r="E82" s="875" t="s">
        <v>244</v>
      </c>
      <c r="F82" s="875" t="s">
        <v>180</v>
      </c>
      <c r="G82" s="876" t="s">
        <v>196</v>
      </c>
      <c r="H82" s="877"/>
      <c r="I82" s="883" t="s">
        <v>246</v>
      </c>
      <c r="J82" s="884"/>
      <c r="K82" s="842"/>
      <c r="L82" s="861"/>
    </row>
    <row r="83" s="799" customFormat="1" ht="16.5" customHeight="1" outlineLevel="1" spans="2:12">
      <c r="B83" s="861">
        <v>65</v>
      </c>
      <c r="C83" s="303" t="s">
        <v>268</v>
      </c>
      <c r="D83" s="842" t="s">
        <v>189</v>
      </c>
      <c r="E83" s="875" t="s">
        <v>244</v>
      </c>
      <c r="F83" s="875" t="s">
        <v>180</v>
      </c>
      <c r="G83" s="876" t="s">
        <v>196</v>
      </c>
      <c r="H83" s="877"/>
      <c r="I83" s="883" t="s">
        <v>246</v>
      </c>
      <c r="J83" s="884"/>
      <c r="K83" s="305"/>
      <c r="L83" s="861"/>
    </row>
    <row r="84" s="799" customFormat="1" ht="16.5" customHeight="1" outlineLevel="1" spans="2:12">
      <c r="B84" s="861">
        <v>66</v>
      </c>
      <c r="C84" s="303" t="s">
        <v>269</v>
      </c>
      <c r="D84" s="842" t="s">
        <v>178</v>
      </c>
      <c r="E84" s="875" t="s">
        <v>244</v>
      </c>
      <c r="F84" s="875" t="s">
        <v>180</v>
      </c>
      <c r="G84" s="878" t="s">
        <v>224</v>
      </c>
      <c r="H84" s="879"/>
      <c r="I84" s="883" t="s">
        <v>246</v>
      </c>
      <c r="J84" s="884"/>
      <c r="K84" s="842"/>
      <c r="L84" s="861"/>
    </row>
    <row r="85" s="799" customFormat="1" ht="16.5" customHeight="1" outlineLevel="1" spans="2:12">
      <c r="B85" s="861">
        <v>67</v>
      </c>
      <c r="C85" s="304" t="s">
        <v>270</v>
      </c>
      <c r="D85" s="305" t="s">
        <v>178</v>
      </c>
      <c r="E85" s="875" t="s">
        <v>244</v>
      </c>
      <c r="F85" s="875" t="s">
        <v>180</v>
      </c>
      <c r="G85" s="878" t="s">
        <v>271</v>
      </c>
      <c r="H85" s="879"/>
      <c r="I85" s="883" t="s">
        <v>246</v>
      </c>
      <c r="J85" s="884"/>
      <c r="K85" s="305"/>
      <c r="L85" s="861"/>
    </row>
    <row r="86" s="799" customFormat="1" ht="16.5" customHeight="1" outlineLevel="1" spans="2:12">
      <c r="B86" s="861">
        <v>68</v>
      </c>
      <c r="C86" s="303" t="s">
        <v>272</v>
      </c>
      <c r="D86" s="842" t="s">
        <v>178</v>
      </c>
      <c r="E86" s="875" t="s">
        <v>244</v>
      </c>
      <c r="F86" s="875" t="s">
        <v>180</v>
      </c>
      <c r="G86" s="878" t="s">
        <v>273</v>
      </c>
      <c r="H86" s="879"/>
      <c r="I86" s="883" t="s">
        <v>246</v>
      </c>
      <c r="J86" s="884"/>
      <c r="K86" s="842"/>
      <c r="L86" s="861"/>
    </row>
    <row r="87" s="799" customFormat="1" ht="16.5" customHeight="1" outlineLevel="1" spans="2:12">
      <c r="B87" s="861">
        <v>69</v>
      </c>
      <c r="C87" s="304" t="s">
        <v>274</v>
      </c>
      <c r="D87" s="305" t="s">
        <v>178</v>
      </c>
      <c r="E87" s="875" t="s">
        <v>244</v>
      </c>
      <c r="F87" s="875" t="s">
        <v>180</v>
      </c>
      <c r="G87" s="878" t="s">
        <v>258</v>
      </c>
      <c r="H87" s="879"/>
      <c r="I87" s="883" t="s">
        <v>246</v>
      </c>
      <c r="J87" s="884"/>
      <c r="K87" s="305"/>
      <c r="L87" s="861"/>
    </row>
    <row r="88" s="799" customFormat="1" ht="16.5" customHeight="1" outlineLevel="1" spans="2:12">
      <c r="B88" s="861">
        <v>70</v>
      </c>
      <c r="C88" s="303" t="s">
        <v>275</v>
      </c>
      <c r="D88" s="842" t="s">
        <v>178</v>
      </c>
      <c r="E88" s="875" t="s">
        <v>244</v>
      </c>
      <c r="F88" s="875" t="s">
        <v>180</v>
      </c>
      <c r="G88" s="878" t="s">
        <v>258</v>
      </c>
      <c r="H88" s="879"/>
      <c r="I88" s="883" t="s">
        <v>246</v>
      </c>
      <c r="J88" s="884"/>
      <c r="K88" s="842"/>
      <c r="L88" s="862"/>
    </row>
    <row r="89" s="799" customFormat="1" ht="16.5" customHeight="1" outlineLevel="1" spans="2:12">
      <c r="B89" s="861">
        <v>71</v>
      </c>
      <c r="C89" s="304" t="s">
        <v>276</v>
      </c>
      <c r="D89" s="305" t="s">
        <v>178</v>
      </c>
      <c r="E89" s="875" t="s">
        <v>244</v>
      </c>
      <c r="F89" s="875" t="s">
        <v>180</v>
      </c>
      <c r="G89" s="878" t="s">
        <v>258</v>
      </c>
      <c r="H89" s="879"/>
      <c r="I89" s="883" t="s">
        <v>246</v>
      </c>
      <c r="J89" s="884"/>
      <c r="K89" s="305"/>
      <c r="L89" s="861"/>
    </row>
    <row r="90" s="799" customFormat="1" ht="16.5" customHeight="1" outlineLevel="1" spans="2:12">
      <c r="B90" s="861">
        <v>72</v>
      </c>
      <c r="C90" s="303" t="s">
        <v>277</v>
      </c>
      <c r="D90" s="842" t="s">
        <v>178</v>
      </c>
      <c r="E90" s="875" t="s">
        <v>244</v>
      </c>
      <c r="F90" s="875" t="s">
        <v>180</v>
      </c>
      <c r="G90" s="878" t="s">
        <v>278</v>
      </c>
      <c r="H90" s="879"/>
      <c r="I90" s="883" t="s">
        <v>246</v>
      </c>
      <c r="J90" s="884"/>
      <c r="K90" s="842"/>
      <c r="L90" s="862"/>
    </row>
    <row r="91" s="799" customFormat="1" ht="16.5" customHeight="1" outlineLevel="1" spans="2:12">
      <c r="B91" s="861">
        <v>73</v>
      </c>
      <c r="C91" s="304" t="s">
        <v>279</v>
      </c>
      <c r="D91" s="305" t="s">
        <v>178</v>
      </c>
      <c r="E91" s="875" t="s">
        <v>244</v>
      </c>
      <c r="F91" s="875" t="s">
        <v>180</v>
      </c>
      <c r="G91" s="878" t="s">
        <v>280</v>
      </c>
      <c r="H91" s="879"/>
      <c r="I91" s="883" t="s">
        <v>246</v>
      </c>
      <c r="J91" s="884"/>
      <c r="K91" s="305"/>
      <c r="L91" s="861"/>
    </row>
    <row r="92" s="799" customFormat="1" ht="16.5" customHeight="1" outlineLevel="1" spans="2:12">
      <c r="B92" s="861">
        <v>74</v>
      </c>
      <c r="C92" s="303" t="s">
        <v>281</v>
      </c>
      <c r="D92" s="842" t="s">
        <v>178</v>
      </c>
      <c r="E92" s="875" t="s">
        <v>244</v>
      </c>
      <c r="F92" s="875" t="s">
        <v>180</v>
      </c>
      <c r="G92" s="878" t="s">
        <v>280</v>
      </c>
      <c r="H92" s="879"/>
      <c r="I92" s="883" t="s">
        <v>246</v>
      </c>
      <c r="J92" s="884"/>
      <c r="K92" s="842"/>
      <c r="L92" s="862"/>
    </row>
    <row r="93" s="799" customFormat="1" ht="16.5" customHeight="1" outlineLevel="1" spans="2:12">
      <c r="B93" s="861">
        <v>75</v>
      </c>
      <c r="C93" s="304" t="s">
        <v>282</v>
      </c>
      <c r="D93" s="305" t="s">
        <v>178</v>
      </c>
      <c r="E93" s="875" t="s">
        <v>244</v>
      </c>
      <c r="F93" s="875" t="s">
        <v>180</v>
      </c>
      <c r="G93" s="878" t="s">
        <v>185</v>
      </c>
      <c r="H93" s="879"/>
      <c r="I93" s="883" t="s">
        <v>246</v>
      </c>
      <c r="J93" s="884"/>
      <c r="K93" s="305"/>
      <c r="L93" s="861"/>
    </row>
    <row r="94" s="799" customFormat="1" ht="16.5" customHeight="1" outlineLevel="1" spans="2:12">
      <c r="B94" s="861">
        <v>76</v>
      </c>
      <c r="C94" s="303" t="s">
        <v>283</v>
      </c>
      <c r="D94" s="842" t="s">
        <v>178</v>
      </c>
      <c r="E94" s="875" t="s">
        <v>244</v>
      </c>
      <c r="F94" s="875" t="s">
        <v>180</v>
      </c>
      <c r="G94" s="878" t="s">
        <v>185</v>
      </c>
      <c r="H94" s="879"/>
      <c r="I94" s="883" t="s">
        <v>246</v>
      </c>
      <c r="J94" s="884"/>
      <c r="K94" s="842"/>
      <c r="L94" s="862"/>
    </row>
    <row r="95" s="799" customFormat="1" ht="16.5" customHeight="1" outlineLevel="1" spans="2:12">
      <c r="B95" s="861">
        <v>77</v>
      </c>
      <c r="C95" s="304" t="s">
        <v>284</v>
      </c>
      <c r="D95" s="305" t="s">
        <v>178</v>
      </c>
      <c r="E95" s="875" t="s">
        <v>244</v>
      </c>
      <c r="F95" s="875" t="s">
        <v>180</v>
      </c>
      <c r="G95" s="878" t="s">
        <v>185</v>
      </c>
      <c r="H95" s="879"/>
      <c r="I95" s="883" t="s">
        <v>246</v>
      </c>
      <c r="J95" s="884"/>
      <c r="K95" s="305"/>
      <c r="L95" s="861"/>
    </row>
    <row r="96" s="800" customFormat="1" ht="16.5" spans="2:12">
      <c r="B96" s="861">
        <v>78</v>
      </c>
      <c r="C96" s="304" t="s">
        <v>285</v>
      </c>
      <c r="D96" s="305" t="s">
        <v>178</v>
      </c>
      <c r="E96" s="875" t="s">
        <v>244</v>
      </c>
      <c r="F96" s="875" t="s">
        <v>180</v>
      </c>
      <c r="G96" s="878" t="s">
        <v>196</v>
      </c>
      <c r="H96" s="879"/>
      <c r="I96" s="883" t="s">
        <v>246</v>
      </c>
      <c r="J96" s="884"/>
      <c r="K96" s="846"/>
      <c r="L96" s="863"/>
    </row>
    <row r="97" ht="16.5" spans="2:10">
      <c r="B97" s="861">
        <v>79</v>
      </c>
      <c r="C97" s="303" t="s">
        <v>286</v>
      </c>
      <c r="D97" s="842" t="s">
        <v>178</v>
      </c>
      <c r="E97" s="875" t="s">
        <v>244</v>
      </c>
      <c r="F97" s="875" t="s">
        <v>180</v>
      </c>
      <c r="G97" s="878" t="s">
        <v>196</v>
      </c>
      <c r="H97" s="879"/>
      <c r="I97" s="883" t="s">
        <v>246</v>
      </c>
      <c r="J97" s="884"/>
    </row>
    <row r="98" ht="16.5" outlineLevel="1" spans="2:10">
      <c r="B98" s="861">
        <v>80</v>
      </c>
      <c r="C98" s="304" t="s">
        <v>287</v>
      </c>
      <c r="D98" s="305" t="s">
        <v>178</v>
      </c>
      <c r="E98" s="875" t="s">
        <v>244</v>
      </c>
      <c r="F98" s="875" t="s">
        <v>180</v>
      </c>
      <c r="G98" s="878" t="s">
        <v>196</v>
      </c>
      <c r="H98" s="879"/>
      <c r="I98" s="883" t="s">
        <v>246</v>
      </c>
      <c r="J98" s="884"/>
    </row>
    <row r="99" ht="16.5" outlineLevel="1" spans="2:10">
      <c r="B99" s="861">
        <v>81</v>
      </c>
      <c r="C99" s="303" t="s">
        <v>288</v>
      </c>
      <c r="D99" s="842" t="s">
        <v>178</v>
      </c>
      <c r="E99" s="875" t="s">
        <v>244</v>
      </c>
      <c r="F99" s="875" t="s">
        <v>180</v>
      </c>
      <c r="G99" s="878" t="s">
        <v>200</v>
      </c>
      <c r="H99" s="879"/>
      <c r="I99" s="883" t="s">
        <v>246</v>
      </c>
      <c r="J99" s="884"/>
    </row>
    <row r="100" ht="16.5" customHeight="1" outlineLevel="1" spans="2:10">
      <c r="B100" s="861">
        <v>82</v>
      </c>
      <c r="C100" s="304" t="s">
        <v>289</v>
      </c>
      <c r="D100" s="305" t="s">
        <v>178</v>
      </c>
      <c r="E100" s="875" t="s">
        <v>244</v>
      </c>
      <c r="F100" s="875" t="s">
        <v>180</v>
      </c>
      <c r="G100" s="878" t="s">
        <v>200</v>
      </c>
      <c r="H100" s="879"/>
      <c r="I100" s="883" t="s">
        <v>246</v>
      </c>
      <c r="J100" s="884"/>
    </row>
    <row r="101" ht="16.5" outlineLevel="1" spans="2:10">
      <c r="B101" s="861">
        <v>83</v>
      </c>
      <c r="C101" s="303" t="s">
        <v>290</v>
      </c>
      <c r="D101" s="842" t="s">
        <v>178</v>
      </c>
      <c r="E101" s="875" t="s">
        <v>244</v>
      </c>
      <c r="F101" s="875" t="s">
        <v>180</v>
      </c>
      <c r="G101" s="878" t="s">
        <v>210</v>
      </c>
      <c r="H101" s="879"/>
      <c r="I101" s="883" t="s">
        <v>246</v>
      </c>
      <c r="J101" s="884"/>
    </row>
    <row r="102" ht="16.5" customHeight="1" outlineLevel="1" spans="2:10">
      <c r="B102" s="861">
        <v>84</v>
      </c>
      <c r="C102" s="304" t="s">
        <v>291</v>
      </c>
      <c r="D102" s="305" t="s">
        <v>178</v>
      </c>
      <c r="E102" s="875" t="s">
        <v>244</v>
      </c>
      <c r="F102" s="875" t="s">
        <v>180</v>
      </c>
      <c r="G102" s="878" t="s">
        <v>210</v>
      </c>
      <c r="H102" s="879"/>
      <c r="I102" s="883" t="s">
        <v>246</v>
      </c>
      <c r="J102" s="884"/>
    </row>
    <row r="103" ht="16.5" outlineLevel="1" spans="2:10">
      <c r="B103" s="861">
        <v>85</v>
      </c>
      <c r="C103" s="303" t="s">
        <v>292</v>
      </c>
      <c r="D103" s="842" t="s">
        <v>178</v>
      </c>
      <c r="E103" s="875" t="s">
        <v>244</v>
      </c>
      <c r="F103" s="875" t="s">
        <v>180</v>
      </c>
      <c r="G103" s="878" t="s">
        <v>221</v>
      </c>
      <c r="H103" s="879"/>
      <c r="I103" s="883" t="s">
        <v>246</v>
      </c>
      <c r="J103" s="884"/>
    </row>
    <row r="104" ht="16.5" customHeight="1" outlineLevel="1" spans="2:10">
      <c r="B104" s="861">
        <v>86</v>
      </c>
      <c r="C104" s="303" t="s">
        <v>293</v>
      </c>
      <c r="D104" s="842" t="s">
        <v>178</v>
      </c>
      <c r="E104" s="875" t="s">
        <v>244</v>
      </c>
      <c r="F104" s="875" t="s">
        <v>180</v>
      </c>
      <c r="G104" s="878" t="s">
        <v>294</v>
      </c>
      <c r="H104" s="879"/>
      <c r="I104" s="883" t="s">
        <v>246</v>
      </c>
      <c r="J104" s="884"/>
    </row>
    <row r="105" ht="16.5" outlineLevel="1" spans="2:10">
      <c r="B105" s="861">
        <v>87</v>
      </c>
      <c r="C105" s="303" t="s">
        <v>295</v>
      </c>
      <c r="D105" s="842" t="s">
        <v>207</v>
      </c>
      <c r="E105" s="875" t="s">
        <v>244</v>
      </c>
      <c r="F105" s="875" t="s">
        <v>180</v>
      </c>
      <c r="G105" s="878" t="s">
        <v>245</v>
      </c>
      <c r="H105" s="879"/>
      <c r="I105" s="883" t="s">
        <v>246</v>
      </c>
      <c r="J105" s="884"/>
    </row>
    <row r="106" ht="16.5" customHeight="1" outlineLevel="1" spans="2:10">
      <c r="B106" s="861">
        <v>88</v>
      </c>
      <c r="C106" s="304" t="s">
        <v>296</v>
      </c>
      <c r="D106" s="305" t="s">
        <v>207</v>
      </c>
      <c r="E106" s="875" t="s">
        <v>244</v>
      </c>
      <c r="F106" s="875" t="s">
        <v>180</v>
      </c>
      <c r="G106" s="878" t="s">
        <v>248</v>
      </c>
      <c r="H106" s="879"/>
      <c r="I106" s="883" t="s">
        <v>246</v>
      </c>
      <c r="J106" s="884"/>
    </row>
    <row r="107" ht="16.5" outlineLevel="1" spans="2:10">
      <c r="B107" s="861">
        <v>89</v>
      </c>
      <c r="C107" s="303" t="s">
        <v>297</v>
      </c>
      <c r="D107" s="842" t="s">
        <v>207</v>
      </c>
      <c r="E107" s="875" t="s">
        <v>244</v>
      </c>
      <c r="F107" s="875" t="s">
        <v>180</v>
      </c>
      <c r="G107" s="878" t="s">
        <v>250</v>
      </c>
      <c r="H107" s="879"/>
      <c r="I107" s="883" t="s">
        <v>246</v>
      </c>
      <c r="J107" s="884"/>
    </row>
    <row r="108" ht="16.5" customHeight="1" outlineLevel="1" spans="2:10">
      <c r="B108" s="861">
        <v>90</v>
      </c>
      <c r="C108" s="303" t="s">
        <v>298</v>
      </c>
      <c r="D108" s="842" t="s">
        <v>299</v>
      </c>
      <c r="E108" s="875" t="s">
        <v>244</v>
      </c>
      <c r="F108" s="875" t="s">
        <v>180</v>
      </c>
      <c r="G108" s="878" t="s">
        <v>294</v>
      </c>
      <c r="H108" s="879"/>
      <c r="I108" s="883" t="s">
        <v>246</v>
      </c>
      <c r="J108" s="884"/>
    </row>
    <row r="109" ht="16.5" outlineLevel="1" spans="2:10">
      <c r="B109" s="861">
        <v>91</v>
      </c>
      <c r="C109" s="304" t="s">
        <v>300</v>
      </c>
      <c r="D109" s="305" t="s">
        <v>299</v>
      </c>
      <c r="E109" s="875" t="s">
        <v>244</v>
      </c>
      <c r="F109" s="875" t="s">
        <v>180</v>
      </c>
      <c r="G109" s="878" t="s">
        <v>294</v>
      </c>
      <c r="H109" s="879"/>
      <c r="I109" s="883" t="s">
        <v>246</v>
      </c>
      <c r="J109" s="884"/>
    </row>
    <row r="110" ht="16.5" outlineLevel="1" spans="2:10">
      <c r="B110" s="861">
        <v>92</v>
      </c>
      <c r="C110" s="304" t="s">
        <v>301</v>
      </c>
      <c r="D110" s="305" t="s">
        <v>207</v>
      </c>
      <c r="E110" s="875" t="s">
        <v>244</v>
      </c>
      <c r="F110" s="875" t="s">
        <v>180</v>
      </c>
      <c r="G110" s="878" t="s">
        <v>221</v>
      </c>
      <c r="H110" s="879"/>
      <c r="I110" s="883" t="s">
        <v>246</v>
      </c>
      <c r="J110" s="884"/>
    </row>
    <row r="111" ht="20.25" outlineLevel="1" spans="2:13">
      <c r="B111" s="861">
        <v>93</v>
      </c>
      <c r="C111" s="303" t="s">
        <v>302</v>
      </c>
      <c r="D111" s="842" t="s">
        <v>207</v>
      </c>
      <c r="E111" s="875" t="s">
        <v>244</v>
      </c>
      <c r="F111" s="875" t="s">
        <v>180</v>
      </c>
      <c r="G111" s="878" t="s">
        <v>221</v>
      </c>
      <c r="H111" s="879"/>
      <c r="I111" s="883" t="s">
        <v>246</v>
      </c>
      <c r="J111" s="884"/>
      <c r="K111" s="882"/>
      <c r="L111" s="882"/>
      <c r="M111" s="888"/>
    </row>
    <row r="112" outlineLevel="1" spans="2:10">
      <c r="B112" s="777"/>
      <c r="C112" s="777"/>
      <c r="D112" s="777"/>
      <c r="E112" s="777"/>
      <c r="F112" s="777"/>
      <c r="G112" s="777"/>
      <c r="H112" s="801"/>
      <c r="I112" s="777"/>
      <c r="J112" s="777"/>
    </row>
    <row r="113" ht="20.25" outlineLevel="1" spans="2:13">
      <c r="B113" s="880" t="s">
        <v>303</v>
      </c>
      <c r="C113" s="881"/>
      <c r="D113" s="882"/>
      <c r="E113" s="882"/>
      <c r="F113" s="882"/>
      <c r="G113" s="882"/>
      <c r="H113" s="882"/>
      <c r="I113" s="882"/>
      <c r="J113" s="882"/>
      <c r="K113" s="882"/>
      <c r="L113" s="882"/>
      <c r="M113" s="888"/>
    </row>
    <row r="114" outlineLevel="1" spans="2:13">
      <c r="B114" s="777"/>
      <c r="C114" s="777"/>
      <c r="D114" s="777"/>
      <c r="E114" s="777"/>
      <c r="F114" s="777"/>
      <c r="G114" s="777"/>
      <c r="H114" s="777"/>
      <c r="I114" s="777"/>
      <c r="J114" s="777"/>
      <c r="K114" s="777"/>
      <c r="L114" s="777"/>
      <c r="M114" s="777"/>
    </row>
    <row r="115" outlineLevel="1" spans="2:13">
      <c r="B115" s="777"/>
      <c r="C115" s="777"/>
      <c r="D115" s="777"/>
      <c r="E115" s="777"/>
      <c r="F115" s="777"/>
      <c r="G115" s="777"/>
      <c r="H115" s="777"/>
      <c r="I115" s="777"/>
      <c r="J115" s="777"/>
      <c r="K115" s="777"/>
      <c r="L115" s="777"/>
      <c r="M115" s="777"/>
    </row>
    <row r="116" spans="2:13">
      <c r="B116" s="777"/>
      <c r="C116" s="777"/>
      <c r="D116" s="777"/>
      <c r="E116" s="777"/>
      <c r="F116" s="777"/>
      <c r="G116" s="777"/>
      <c r="H116" s="777"/>
      <c r="I116" s="777"/>
      <c r="J116" s="777"/>
      <c r="K116" s="777"/>
      <c r="L116" s="777"/>
      <c r="M116" s="777"/>
    </row>
    <row r="117" spans="2:13">
      <c r="B117" s="777"/>
      <c r="C117" s="777"/>
      <c r="D117" s="777"/>
      <c r="E117" s="777"/>
      <c r="F117" s="777"/>
      <c r="G117" s="777"/>
      <c r="H117" s="777"/>
      <c r="I117" s="777"/>
      <c r="J117" s="777"/>
      <c r="K117" s="777"/>
      <c r="L117" s="777"/>
      <c r="M117" s="777"/>
    </row>
  </sheetData>
  <mergeCells count="131">
    <mergeCell ref="B1:M1"/>
    <mergeCell ref="B2:E2"/>
    <mergeCell ref="G2:H2"/>
    <mergeCell ref="I2:J2"/>
    <mergeCell ref="D3:E3"/>
    <mergeCell ref="G3:H3"/>
    <mergeCell ref="I3:J3"/>
    <mergeCell ref="D4:E4"/>
    <mergeCell ref="G4:H4"/>
    <mergeCell ref="I4:J4"/>
    <mergeCell ref="D5:E5"/>
    <mergeCell ref="G5:H5"/>
    <mergeCell ref="I5:J5"/>
    <mergeCell ref="D6:E6"/>
    <mergeCell ref="G6:H6"/>
    <mergeCell ref="I6:J6"/>
    <mergeCell ref="D7:E7"/>
    <mergeCell ref="G7:H7"/>
    <mergeCell ref="I7:J7"/>
    <mergeCell ref="D8:E8"/>
    <mergeCell ref="G8:H8"/>
    <mergeCell ref="I8:J8"/>
    <mergeCell ref="D9:E9"/>
    <mergeCell ref="G9:H9"/>
    <mergeCell ref="I9:J9"/>
    <mergeCell ref="C11:J11"/>
    <mergeCell ref="C12:J12"/>
    <mergeCell ref="C13:J13"/>
    <mergeCell ref="D14:G14"/>
    <mergeCell ref="G65:H65"/>
    <mergeCell ref="I65:J65"/>
    <mergeCell ref="G66:H66"/>
    <mergeCell ref="I66:J66"/>
    <mergeCell ref="G67:H67"/>
    <mergeCell ref="I67:J67"/>
    <mergeCell ref="G68:H68"/>
    <mergeCell ref="I68:J68"/>
    <mergeCell ref="G69:H69"/>
    <mergeCell ref="I69:J69"/>
    <mergeCell ref="G70:H70"/>
    <mergeCell ref="I70:J70"/>
    <mergeCell ref="G71:H71"/>
    <mergeCell ref="I71:J71"/>
    <mergeCell ref="G72:H72"/>
    <mergeCell ref="I72:J72"/>
    <mergeCell ref="G73:H73"/>
    <mergeCell ref="I73:J73"/>
    <mergeCell ref="G74:H74"/>
    <mergeCell ref="I74:J74"/>
    <mergeCell ref="G75:H75"/>
    <mergeCell ref="I75:J75"/>
    <mergeCell ref="G76:H76"/>
    <mergeCell ref="I76:J76"/>
    <mergeCell ref="G77:H77"/>
    <mergeCell ref="I77:J77"/>
    <mergeCell ref="G78:H78"/>
    <mergeCell ref="I78:J78"/>
    <mergeCell ref="G79:H79"/>
    <mergeCell ref="I79:J79"/>
    <mergeCell ref="G80:H80"/>
    <mergeCell ref="I80:J80"/>
    <mergeCell ref="G81:H81"/>
    <mergeCell ref="I81:J81"/>
    <mergeCell ref="G82:H82"/>
    <mergeCell ref="I82:J82"/>
    <mergeCell ref="G83:H83"/>
    <mergeCell ref="I83:J83"/>
    <mergeCell ref="G84:H84"/>
    <mergeCell ref="I84:J84"/>
    <mergeCell ref="G85:H85"/>
    <mergeCell ref="I85:J85"/>
    <mergeCell ref="G86:H86"/>
    <mergeCell ref="I86:J86"/>
    <mergeCell ref="G87:H87"/>
    <mergeCell ref="I87:J87"/>
    <mergeCell ref="G88:H88"/>
    <mergeCell ref="I88:J88"/>
    <mergeCell ref="G89:H89"/>
    <mergeCell ref="I89:J89"/>
    <mergeCell ref="G90:H90"/>
    <mergeCell ref="I90:J90"/>
    <mergeCell ref="G91:H91"/>
    <mergeCell ref="I91:J91"/>
    <mergeCell ref="G92:H92"/>
    <mergeCell ref="I92:J92"/>
    <mergeCell ref="G93:H93"/>
    <mergeCell ref="I93:J93"/>
    <mergeCell ref="G94:H94"/>
    <mergeCell ref="I94:J94"/>
    <mergeCell ref="G95:H95"/>
    <mergeCell ref="I95:J95"/>
    <mergeCell ref="G96:H96"/>
    <mergeCell ref="I96:J96"/>
    <mergeCell ref="G97:H97"/>
    <mergeCell ref="I97:J97"/>
    <mergeCell ref="G98:H98"/>
    <mergeCell ref="I98:J98"/>
    <mergeCell ref="G99:H99"/>
    <mergeCell ref="I99:J99"/>
    <mergeCell ref="G100:H100"/>
    <mergeCell ref="I100:J100"/>
    <mergeCell ref="G101:H101"/>
    <mergeCell ref="I101:J101"/>
    <mergeCell ref="G102:H102"/>
    <mergeCell ref="I102:J102"/>
    <mergeCell ref="G103:H103"/>
    <mergeCell ref="I103:J103"/>
    <mergeCell ref="G104:H104"/>
    <mergeCell ref="I104:J104"/>
    <mergeCell ref="G105:H105"/>
    <mergeCell ref="I105:J105"/>
    <mergeCell ref="G106:H106"/>
    <mergeCell ref="I106:J106"/>
    <mergeCell ref="G107:H107"/>
    <mergeCell ref="I107:J107"/>
    <mergeCell ref="G108:H108"/>
    <mergeCell ref="I108:J108"/>
    <mergeCell ref="G109:H109"/>
    <mergeCell ref="I109:J109"/>
    <mergeCell ref="G110:H110"/>
    <mergeCell ref="I110:J110"/>
    <mergeCell ref="G111:H111"/>
    <mergeCell ref="I111:J111"/>
    <mergeCell ref="B11:B13"/>
    <mergeCell ref="B14:B15"/>
    <mergeCell ref="C14:C15"/>
    <mergeCell ref="H14:H15"/>
    <mergeCell ref="I14:I15"/>
    <mergeCell ref="J14:J15"/>
    <mergeCell ref="K14:K15"/>
    <mergeCell ref="L14:L15"/>
  </mergeCells>
  <dataValidations count="5">
    <dataValidation type="list" allowBlank="1" showInputMessage="1" showErrorMessage="1" sqref="E96 JA96 SW96 ACS96 AMO96 AWK96 BGG96 BQC96 BZY96 CJU96 CTQ96 DDM96 DNI96 DXE96 EHA96 EQW96 FAS96 FKO96 FUK96 GEG96 GOC96 GXY96 HHU96 HRQ96 IBM96 ILI96 IVE96 JFA96 JOW96 JYS96 KIO96 KSK96 LCG96 LMC96 LVY96 MFU96 MPQ96 MZM96 NJI96 NTE96 ODA96 OMW96 OWS96 PGO96 PQK96 QAG96 QKC96 QTY96 RDU96 RNQ96 RXM96 SHI96 SRE96 TBA96 TKW96 TUS96 UEO96 UOK96 UYG96 VIC96 VRY96 WBU96 WLQ96 WVM96 E65635 JA65635 SW65635 ACS65635 AMO65635 AWK65635 BGG65635 BQC65635 BZY65635 CJU65635 CTQ65635 DDM65635 DNI65635 DXE65635 EHA65635 EQW65635 FAS65635 FKO65635 FUK65635 GEG65635 GOC65635 GXY65635 HHU65635 HRQ65635 IBM65635 ILI65635 IVE65635 JFA65635 JOW65635 JYS65635 KIO65635 KSK65635 LCG65635 LMC65635 LVY65635 MFU65635 MPQ65635 MZM65635 NJI65635 NTE65635 ODA65635 OMW65635 OWS65635 PGO65635 PQK65635 QAG65635 QKC65635 QTY65635 RDU65635 RNQ65635 RXM65635 SHI65635 SRE65635 TBA65635 TKW65635 TUS65635 UEO65635 UOK65635 UYG65635 VIC65635 VRY65635 WBU65635 WLQ65635 WVM65635 E131171 JA131171 SW131171 ACS131171 AMO131171 AWK131171 BGG131171 BQC131171 BZY131171 CJU131171 CTQ131171 DDM131171 DNI131171 DXE131171 EHA131171 EQW131171 FAS131171 FKO131171 FUK131171 GEG131171 GOC131171 GXY131171 HHU131171 HRQ131171 IBM131171 ILI131171 IVE131171 JFA131171 JOW131171 JYS131171 KIO131171 KSK131171 LCG131171 LMC131171 LVY131171 MFU131171 MPQ131171 MZM131171 NJI131171 NTE131171 ODA131171 OMW131171 OWS131171 PGO131171 PQK131171 QAG131171 QKC131171 QTY131171 RDU131171 RNQ131171 RXM131171 SHI131171 SRE131171 TBA131171 TKW131171 TUS131171 UEO131171 UOK131171 UYG131171 VIC131171 VRY131171 WBU131171 WLQ131171 WVM131171 E196707 JA196707 SW196707 ACS196707 AMO196707 AWK196707 BGG196707 BQC196707 BZY196707 CJU196707 CTQ196707 DDM196707 DNI196707 DXE196707 EHA196707 EQW196707 FAS196707 FKO196707 FUK196707 GEG196707 GOC196707 GXY196707 HHU196707 HRQ196707 IBM196707 ILI196707 IVE196707 JFA196707 JOW196707 JYS196707 KIO196707 KSK196707 LCG196707 LMC196707 LVY196707 MFU196707 MPQ196707 MZM196707 NJI196707 NTE196707 ODA196707 OMW196707 OWS196707 PGO196707 PQK196707 QAG196707 QKC196707 QTY196707 RDU196707 RNQ196707 RXM196707 SHI196707 SRE196707 TBA196707 TKW196707 TUS196707 UEO196707 UOK196707 UYG196707 VIC196707 VRY196707 WBU196707 WLQ196707 WVM196707 E262243 JA262243 SW262243 ACS262243 AMO262243 AWK262243 BGG262243 BQC262243 BZY262243 CJU262243 CTQ262243 DDM262243 DNI262243 DXE262243 EHA262243 EQW262243 FAS262243 FKO262243 FUK262243 GEG262243 GOC262243 GXY262243 HHU262243 HRQ262243 IBM262243 ILI262243 IVE262243 JFA262243 JOW262243 JYS262243 KIO262243 KSK262243 LCG262243 LMC262243 LVY262243 MFU262243 MPQ262243 MZM262243 NJI262243 NTE262243 ODA262243 OMW262243 OWS262243 PGO262243 PQK262243 QAG262243 QKC262243 QTY262243 RDU262243 RNQ262243 RXM262243 SHI262243 SRE262243 TBA262243 TKW262243 TUS262243 UEO262243 UOK262243 UYG262243 VIC262243 VRY262243 WBU262243 WLQ262243 WVM262243 E327779 JA327779 SW327779 ACS327779 AMO327779 AWK327779 BGG327779 BQC327779 BZY327779 CJU327779 CTQ327779 DDM327779 DNI327779 DXE327779 EHA327779 EQW327779 FAS327779 FKO327779 FUK327779 GEG327779 GOC327779 GXY327779 HHU327779 HRQ327779 IBM327779 ILI327779 IVE327779 JFA327779 JOW327779 JYS327779 KIO327779 KSK327779 LCG327779 LMC327779 LVY327779 MFU327779 MPQ327779 MZM327779 NJI327779 NTE327779 ODA327779 OMW327779 OWS327779 PGO327779 PQK327779 QAG327779 QKC327779 QTY327779 RDU327779 RNQ327779 RXM327779 SHI327779 SRE327779 TBA327779 TKW327779 TUS327779 UEO327779 UOK327779 UYG327779 VIC327779 VRY327779 WBU327779 WLQ327779 WVM327779 E393315 JA393315 SW393315 ACS393315 AMO393315 AWK393315 BGG393315 BQC393315 BZY393315 CJU393315 CTQ393315 DDM393315 DNI393315 DXE393315 EHA393315 EQW393315 FAS393315 FKO393315 FUK393315 GEG393315 GOC393315 GXY393315 HHU393315 HRQ393315 IBM393315 ILI393315 IVE393315 JFA393315 JOW393315 JYS393315 KIO393315 KSK393315 LCG393315 LMC393315 LVY393315 MFU393315 MPQ393315 MZM393315 NJI393315 NTE393315 ODA393315 OMW393315 OWS393315 PGO393315 PQK393315 QAG393315 QKC393315 QTY393315 RDU393315 RNQ393315 RXM393315 SHI393315 SRE393315 TBA393315 TKW393315 TUS393315 UEO393315 UOK393315 UYG393315 VIC393315 VRY393315 WBU393315 WLQ393315 WVM393315 E458851 JA458851 SW458851 ACS458851 AMO458851 AWK458851 BGG458851 BQC458851 BZY458851 CJU458851 CTQ458851 DDM458851 DNI458851 DXE458851 EHA458851 EQW458851 FAS458851 FKO458851 FUK458851 GEG458851 GOC458851 GXY458851 HHU458851 HRQ458851 IBM458851 ILI458851 IVE458851 JFA458851 JOW458851 JYS458851 KIO458851 KSK458851 LCG458851 LMC458851 LVY458851 MFU458851 MPQ458851 MZM458851 NJI458851 NTE458851 ODA458851 OMW458851 OWS458851 PGO458851 PQK458851 QAG458851 QKC458851 QTY458851 RDU458851 RNQ458851 RXM458851 SHI458851 SRE458851 TBA458851 TKW458851 TUS458851 UEO458851 UOK458851 UYG458851 VIC458851 VRY458851 WBU458851 WLQ458851 WVM458851 E524387 JA524387 SW524387 ACS524387 AMO524387 AWK524387 BGG524387 BQC524387 BZY524387 CJU524387 CTQ524387 DDM524387 DNI524387 DXE524387 EHA524387 EQW524387 FAS524387 FKO524387 FUK524387 GEG524387 GOC524387 GXY524387 HHU524387 HRQ524387 IBM524387 ILI524387 IVE524387 JFA524387 JOW524387 JYS524387 KIO524387 KSK524387 LCG524387 LMC524387 LVY524387 MFU524387 MPQ524387 MZM524387 NJI524387 NTE524387 ODA524387 OMW524387 OWS524387 PGO524387 PQK524387 QAG524387 QKC524387 QTY524387 RDU524387 RNQ524387 RXM524387 SHI524387 SRE524387 TBA524387 TKW524387 TUS524387 UEO524387 UOK524387 UYG524387 VIC524387 VRY524387 WBU524387 WLQ524387 WVM524387 E589923 JA589923 SW589923 ACS589923 AMO589923 AWK589923 BGG589923 BQC589923 BZY589923 CJU589923 CTQ589923 DDM589923 DNI589923 DXE589923 EHA589923 EQW589923 FAS589923 FKO589923 FUK589923 GEG589923 GOC589923 GXY589923 HHU589923 HRQ589923 IBM589923 ILI589923 IVE589923 JFA589923 JOW589923 JYS589923 KIO589923 KSK589923 LCG589923 LMC589923 LVY589923 MFU589923 MPQ589923 MZM589923 NJI589923 NTE589923 ODA589923 OMW589923 OWS589923 PGO589923 PQK589923 QAG589923 QKC589923 QTY589923 RDU589923 RNQ589923 RXM589923 SHI589923 SRE589923 TBA589923 TKW589923 TUS589923 UEO589923 UOK589923 UYG589923 VIC589923 VRY589923 WBU589923 WLQ589923 WVM589923 E655459 JA655459 SW655459 ACS655459 AMO655459 AWK655459 BGG655459 BQC655459 BZY655459 CJU655459 CTQ655459 DDM655459 DNI655459 DXE655459 EHA655459 EQW655459 FAS655459 FKO655459 FUK655459 GEG655459 GOC655459 GXY655459 HHU655459 HRQ655459 IBM655459 ILI655459 IVE655459 JFA655459 JOW655459 JYS655459 KIO655459 KSK655459 LCG655459 LMC655459 LVY655459 MFU655459 MPQ655459 MZM655459 NJI655459 NTE655459 ODA655459 OMW655459 OWS655459 PGO655459 PQK655459 QAG655459 QKC655459 QTY655459 RDU655459 RNQ655459 RXM655459 SHI655459 SRE655459 TBA655459 TKW655459 TUS655459 UEO655459 UOK655459 UYG655459 VIC655459 VRY655459 WBU655459 WLQ655459 WVM655459 E720995 JA720995 SW720995 ACS720995 AMO720995 AWK720995 BGG720995 BQC720995 BZY720995 CJU720995 CTQ720995 DDM720995 DNI720995 DXE720995 EHA720995 EQW720995 FAS720995 FKO720995 FUK720995 GEG720995 GOC720995 GXY720995 HHU720995 HRQ720995 IBM720995 ILI720995 IVE720995 JFA720995 JOW720995 JYS720995 KIO720995 KSK720995 LCG720995 LMC720995 LVY720995 MFU720995 MPQ720995 MZM720995 NJI720995 NTE720995 ODA720995 OMW720995 OWS720995 PGO720995 PQK720995 QAG720995 QKC720995 QTY720995 RDU720995 RNQ720995 RXM720995 SHI720995 SRE720995 TBA720995 TKW720995 TUS720995 UEO720995 UOK720995 UYG720995 VIC720995 VRY720995 WBU720995 WLQ720995 WVM720995 E786531 JA786531 SW786531 ACS786531 AMO786531 AWK786531 BGG786531 BQC786531 BZY786531 CJU786531 CTQ786531 DDM786531 DNI786531 DXE786531 EHA786531 EQW786531 FAS786531 FKO786531 FUK786531 GEG786531 GOC786531 GXY786531 HHU786531 HRQ786531 IBM786531 ILI786531 IVE786531 JFA786531 JOW786531 JYS786531 KIO786531 KSK786531 LCG786531 LMC786531 LVY786531 MFU786531 MPQ786531 MZM786531 NJI786531 NTE786531 ODA786531 OMW786531 OWS786531 PGO786531 PQK786531 QAG786531 QKC786531 QTY786531 RDU786531 RNQ786531 RXM786531 SHI786531 SRE786531 TBA786531 TKW786531 TUS786531 UEO786531 UOK786531 UYG786531 VIC786531 VRY786531 WBU786531 WLQ786531 WVM786531 E852067 JA852067 SW852067 ACS852067 AMO852067 AWK852067 BGG852067 BQC852067 BZY852067 CJU852067 CTQ852067 DDM852067 DNI852067 DXE852067 EHA852067 EQW852067 FAS852067 FKO852067 FUK852067 GEG852067 GOC852067 GXY852067 HHU852067 HRQ852067 IBM852067 ILI852067 IVE852067 JFA852067 JOW852067 JYS852067 KIO852067 KSK852067 LCG852067 LMC852067 LVY852067 MFU852067 MPQ852067 MZM852067 NJI852067 NTE852067 ODA852067 OMW852067 OWS852067 PGO852067 PQK852067 QAG852067 QKC852067 QTY852067 RDU852067 RNQ852067 RXM852067 SHI852067 SRE852067 TBA852067 TKW852067 TUS852067 UEO852067 UOK852067 UYG852067 VIC852067 VRY852067 WBU852067 WLQ852067 WVM852067 E917603 JA917603 SW917603 ACS917603 AMO917603 AWK917603 BGG917603 BQC917603 BZY917603 CJU917603 CTQ917603 DDM917603 DNI917603 DXE917603 EHA917603 EQW917603 FAS917603 FKO917603 FUK917603 GEG917603 GOC917603 GXY917603 HHU917603 HRQ917603 IBM917603 ILI917603 IVE917603 JFA917603 JOW917603 JYS917603 KIO917603 KSK917603 LCG917603 LMC917603 LVY917603 MFU917603 MPQ917603 MZM917603 NJI917603 NTE917603 ODA917603 OMW917603 OWS917603 PGO917603 PQK917603 QAG917603 QKC917603 QTY917603 RDU917603 RNQ917603 RXM917603 SHI917603 SRE917603 TBA917603 TKW917603 TUS917603 UEO917603 UOK917603 UYG917603 VIC917603 VRY917603 WBU917603 WLQ917603 WVM917603 E983139 JA983139 SW983139 ACS983139 AMO983139 AWK983139 BGG983139 BQC983139 BZY983139 CJU983139 CTQ983139 DDM983139 DNI983139 DXE983139 EHA983139 EQW983139 FAS983139 FKO983139 FUK983139 GEG983139 GOC983139 GXY983139 HHU983139 HRQ983139 IBM983139 ILI983139 IVE983139 JFA983139 JOW983139 JYS983139 KIO983139 KSK983139 LCG983139 LMC983139 LVY983139 MFU983139 MPQ983139 MZM983139 NJI983139 NTE983139 ODA983139 OMW983139 OWS983139 PGO983139 PQK983139 QAG983139 QKC983139 QTY983139 RDU983139 RNQ983139 RXM983139 SHI983139 SRE983139 TBA983139 TKW983139 TUS983139 UEO983139 UOK983139 UYG983139 VIC983139 VRY983139 WBU983139 WLQ983139 WVM983139 E98:E101 E65637:E65640 E131173:E131176 E196709:E196712 E262245:E262248 E327781:E327784 E393317:E393320 E458853:E458856 E524389:E524392 E589925:E589928 E655461:E655464 E720997:E721000 E786533:E786536 E852069:E852072 E917605:E917608 E983141:E983144 I16:I95 I65566:I65588 I65590:I65634 I131102:I131124 I131126:I131170 I196638:I196660 I196662:I196706 I262174:I262196 I262198:I262242 I327710:I327732 I327734:I327778 I393246:I393268 I393270:I393314 I458782:I458804 I458806:I458850 I524318:I524340 I524342:I524386 I589854:I589876 I589878:I589922 I655390:I655412 I655414:I655458 I720926:I720948 I720950:I720994 I786462:I786484 I786486:I786530 I851998:I852020 I852022:I852066 I917534:I917556 I917558:I917602 I983070:I983092 I983094:I983138 JA98:JA101 JA65637:JA65640 JA131173:JA131176 JA196709:JA196712 JA262245:JA262248 JA327781:JA327784 JA393317:JA393320 JA458853:JA458856 JA524389:JA524392 JA589925:JA589928 JA655461:JA655464 JA720997:JA721000 JA786533:JA786536 JA852069:JA852072 JA917605:JA917608 JA983141:JA983144 JE16:JE38 JE40:JE95 JE65566:JE65588 JE65590:JE65634 JE131102:JE131124 JE131126:JE131170 JE196638:JE196660 JE196662:JE196706 JE262174:JE262196 JE262198:JE262242 JE327710:JE327732 JE327734:JE327778 JE393246:JE393268 JE393270:JE393314 JE458782:JE458804 JE458806:JE458850 JE524318:JE524340 JE524342:JE524386 JE589854:JE589876 JE589878:JE589922 JE655390:JE655412 JE655414:JE655458 JE720926:JE720948 JE720950:JE720994 JE786462:JE786484 JE786486:JE786530 JE851998:JE852020 JE852022:JE852066 JE917534:JE917556 JE917558:JE917602 JE983070:JE983092 JE983094:JE983138 SW98:SW101 SW65637:SW65640 SW131173:SW131176 SW196709:SW196712 SW262245:SW262248 SW327781:SW327784 SW393317:SW393320 SW458853:SW458856 SW524389:SW524392 SW589925:SW589928 SW655461:SW655464 SW720997:SW721000 SW786533:SW786536 SW852069:SW852072 SW917605:SW917608 SW983141:SW983144 TA16:TA38 TA40:TA95 TA65566:TA65588 TA65590:TA65634 TA131102:TA131124 TA131126:TA131170 TA196638:TA196660 TA196662:TA196706 TA262174:TA262196 TA262198:TA262242 TA327710:TA327732 TA327734:TA327778 TA393246:TA393268 TA393270:TA393314 TA458782:TA458804 TA458806:TA458850 TA524318:TA524340 TA524342:TA524386 TA589854:TA589876 TA589878:TA589922 TA655390:TA655412 TA655414:TA655458 TA720926:TA720948 TA720950:TA720994 TA786462:TA786484 TA786486:TA786530 TA851998:TA852020 TA852022:TA852066 TA917534:TA917556 TA917558:TA917602 TA983070:TA983092 TA983094:TA983138 ACS98:ACS101 ACS65637:ACS65640 ACS131173:ACS131176 ACS196709:ACS196712 ACS262245:ACS262248 ACS327781:ACS327784 ACS393317:ACS393320 ACS458853:ACS458856 ACS524389:ACS524392 ACS589925:ACS589928 ACS655461:ACS655464 ACS720997:ACS721000 ACS786533:ACS786536 ACS852069:ACS852072 ACS917605:ACS917608 ACS983141:ACS983144 ACW16:ACW38 ACW40:ACW95 ACW65566:ACW65588 ACW65590:ACW65634 ACW131102:ACW131124 ACW131126:ACW131170 ACW196638:ACW196660 ACW196662:ACW196706 ACW262174:ACW262196 ACW262198:ACW262242 ACW327710:ACW327732 ACW327734:ACW327778 ACW393246:ACW393268 ACW393270:ACW393314 ACW458782:ACW458804 ACW458806:ACW458850 ACW524318:ACW524340 ACW524342:ACW524386 ACW589854:ACW589876 ACW589878:ACW589922 ACW655390:ACW655412 ACW655414:ACW655458 ACW720926:ACW720948 ACW720950:ACW720994 ACW786462:ACW786484 ACW786486:ACW786530 ACW851998:ACW852020 ACW852022:ACW852066 ACW917534:ACW917556 ACW917558:ACW917602 ACW983070:ACW983092 ACW983094:ACW983138 AMO98:AMO101 AMO65637:AMO65640 AMO131173:AMO131176 AMO196709:AMO196712 AMO262245:AMO262248 AMO327781:AMO327784 AMO393317:AMO393320 AMO458853:AMO458856 AMO524389:AMO524392 AMO589925:AMO589928 AMO655461:AMO655464 AMO720997:AMO721000 AMO786533:AMO786536 AMO852069:AMO852072 AMO917605:AMO917608 AMO983141:AMO983144 AMS16:AMS38 AMS40:AMS95 AMS65566:AMS65588 AMS65590:AMS65634 AMS131102:AMS131124 AMS131126:AMS131170 AMS196638:AMS196660 AMS196662:AMS196706 AMS262174:AMS262196 AMS262198:AMS262242 AMS327710:AMS327732 AMS327734:AMS327778 AMS393246:AMS393268 AMS393270:AMS393314 AMS458782:AMS458804 AMS458806:AMS458850 AMS524318:AMS524340 AMS524342:AMS524386 AMS589854:AMS589876 AMS589878:AMS589922 AMS655390:AMS655412 AMS655414:AMS655458 AMS720926:AMS720948 AMS720950:AMS720994 AMS786462:AMS786484 AMS786486:AMS786530 AMS851998:AMS852020 AMS852022:AMS852066 AMS917534:AMS917556 AMS917558:AMS917602 AMS983070:AMS983092 AMS983094:AMS983138 AWK98:AWK101 AWK65637:AWK65640 AWK131173:AWK131176 AWK196709:AWK196712 AWK262245:AWK262248 AWK327781:AWK327784 AWK393317:AWK393320 AWK458853:AWK458856 AWK524389:AWK524392 AWK589925:AWK589928 AWK655461:AWK655464 AWK720997:AWK721000 AWK786533:AWK786536 AWK852069:AWK852072 AWK917605:AWK917608 AWK983141:AWK983144 AWO16:AWO38 AWO40:AWO95 AWO65566:AWO65588 AWO65590:AWO65634 AWO131102:AWO131124 AWO131126:AWO131170 AWO196638:AWO196660 AWO196662:AWO196706 AWO262174:AWO262196 AWO262198:AWO262242 AWO327710:AWO327732 AWO327734:AWO327778 AWO393246:AWO393268 AWO393270:AWO393314 AWO458782:AWO458804 AWO458806:AWO458850 AWO524318:AWO524340 AWO524342:AWO524386 AWO589854:AWO589876 AWO589878:AWO589922 AWO655390:AWO655412 AWO655414:AWO655458 AWO720926:AWO720948 AWO720950:AWO720994 AWO786462:AWO786484 AWO786486:AWO786530 AWO851998:AWO852020 AWO852022:AWO852066 AWO917534:AWO917556 AWO917558:AWO917602 AWO983070:AWO983092 AWO983094:AWO983138 BGG98:BGG101 BGG65637:BGG65640 BGG131173:BGG131176 BGG196709:BGG196712 BGG262245:BGG262248 BGG327781:BGG327784 BGG393317:BGG393320 BGG458853:BGG458856 BGG524389:BGG524392 BGG589925:BGG589928 BGG655461:BGG655464 BGG720997:BGG721000 BGG786533:BGG786536 BGG852069:BGG852072 BGG917605:BGG917608 BGG983141:BGG983144 BGK16:BGK38 BGK40:BGK95 BGK65566:BGK65588 BGK65590:BGK65634 BGK131102:BGK131124 BGK131126:BGK131170 BGK196638:BGK196660 BGK196662:BGK196706 BGK262174:BGK262196 BGK262198:BGK262242 BGK327710:BGK327732 BGK327734:BGK327778 BGK393246:BGK393268 BGK393270:BGK393314 BGK458782:BGK458804 BGK458806:BGK458850 BGK524318:BGK524340 BGK524342:BGK524386 BGK589854:BGK589876 BGK589878:BGK589922 BGK655390:BGK655412 BGK655414:BGK655458 BGK720926:BGK720948 BGK720950:BGK720994 BGK786462:BGK786484 BGK786486:BGK786530 BGK851998:BGK852020 BGK852022:BGK852066 BGK917534:BGK917556 BGK917558:BGK917602 BGK983070:BGK983092 BGK983094:BGK983138 BQC98:BQC101 BQC65637:BQC65640 BQC131173:BQC131176 BQC196709:BQC196712 BQC262245:BQC262248 BQC327781:BQC327784 BQC393317:BQC393320 BQC458853:BQC458856 BQC524389:BQC524392 BQC589925:BQC589928 BQC655461:BQC655464 BQC720997:BQC721000 BQC786533:BQC786536 BQC852069:BQC852072 BQC917605:BQC917608 BQC983141:BQC983144 BQG16:BQG38 BQG40:BQG95 BQG65566:BQG65588 BQG65590:BQG65634 BQG131102:BQG131124 BQG131126:BQG131170 BQG196638:BQG196660 BQG196662:BQG196706 BQG262174:BQG262196 BQG262198:BQG262242 BQG327710:BQG327732 BQG327734:BQG327778 BQG393246:BQG393268 BQG393270:BQG393314 BQG458782:BQG458804 BQG458806:BQG458850 BQG524318:BQG524340 BQG524342:BQG524386 BQG589854:BQG589876 BQG589878:BQG589922 BQG655390:BQG655412 BQG655414:BQG655458 BQG720926:BQG720948 BQG720950:BQG720994 BQG786462:BQG786484 BQG786486:BQG786530 BQG851998:BQG852020 BQG852022:BQG852066 BQG917534:BQG917556 BQG917558:BQG917602 BQG983070:BQG983092 BQG983094:BQG983138 BZY98:BZY101 BZY65637:BZY65640 BZY131173:BZY131176 BZY196709:BZY196712 BZY262245:BZY262248 BZY327781:BZY327784 BZY393317:BZY393320 BZY458853:BZY458856 BZY524389:BZY524392 BZY589925:BZY589928 BZY655461:BZY655464 BZY720997:BZY721000 BZY786533:BZY786536 BZY852069:BZY852072 BZY917605:BZY917608 BZY983141:BZY983144 CAC16:CAC38 CAC40:CAC95 CAC65566:CAC65588 CAC65590:CAC65634 CAC131102:CAC131124 CAC131126:CAC131170 CAC196638:CAC196660 CAC196662:CAC196706 CAC262174:CAC262196 CAC262198:CAC262242 CAC327710:CAC327732 CAC327734:CAC327778 CAC393246:CAC393268 CAC393270:CAC393314 CAC458782:CAC458804 CAC458806:CAC458850 CAC524318:CAC524340 CAC524342:CAC524386 CAC589854:CAC589876 CAC589878:CAC589922 CAC655390:CAC655412 CAC655414:CAC655458 CAC720926:CAC720948 CAC720950:CAC720994 CAC786462:CAC786484 CAC786486:CAC786530 CAC851998:CAC852020 CAC852022:CAC852066 CAC917534:CAC917556 CAC917558:CAC917602 CAC983070:CAC983092 CAC983094:CAC983138 CJU98:CJU101 CJU65637:CJU65640 CJU131173:CJU131176 CJU196709:CJU196712 CJU262245:CJU262248 CJU327781:CJU327784 CJU393317:CJU393320 CJU458853:CJU458856 CJU524389:CJU524392 CJU589925:CJU589928 CJU655461:CJU655464 CJU720997:CJU721000 CJU786533:CJU786536 CJU852069:CJU852072 CJU917605:CJU917608 CJU983141:CJU983144 CJY16:CJY38 CJY40:CJY95 CJY65566:CJY65588 CJY65590:CJY65634 CJY131102:CJY131124 CJY131126:CJY131170 CJY196638:CJY196660 CJY196662:CJY196706 CJY262174:CJY262196 CJY262198:CJY262242 CJY327710:CJY327732 CJY327734:CJY327778 CJY393246:CJY393268 CJY393270:CJY393314 CJY458782:CJY458804 CJY458806:CJY458850 CJY524318:CJY524340 CJY524342:CJY524386 CJY589854:CJY589876 CJY589878:CJY589922 CJY655390:CJY655412 CJY655414:CJY655458 CJY720926:CJY720948 CJY720950:CJY720994 CJY786462:CJY786484 CJY786486:CJY786530 CJY851998:CJY852020 CJY852022:CJY852066 CJY917534:CJY917556 CJY917558:CJY917602 CJY983070:CJY983092 CJY983094:CJY983138 CTQ98:CTQ101 CTQ65637:CTQ65640 CTQ131173:CTQ131176 CTQ196709:CTQ196712 CTQ262245:CTQ262248 CTQ327781:CTQ327784 CTQ393317:CTQ393320 CTQ458853:CTQ458856 CTQ524389:CTQ524392 CTQ589925:CTQ589928 CTQ655461:CTQ655464 CTQ720997:CTQ721000 CTQ786533:CTQ786536 CTQ852069:CTQ852072 CTQ917605:CTQ917608 CTQ983141:CTQ983144 CTU16:CTU38 CTU40:CTU95 CTU65566:CTU65588 CTU65590:CTU65634 CTU131102:CTU131124 CTU131126:CTU131170 CTU196638:CTU196660 CTU196662:CTU196706 CTU262174:CTU262196 CTU262198:CTU262242 CTU327710:CTU327732 CTU327734:CTU327778 CTU393246:CTU393268 CTU393270:CTU393314 CTU458782:CTU458804 CTU458806:CTU458850 CTU524318:CTU524340 CTU524342:CTU524386 CTU589854:CTU589876 CTU589878:CTU589922 CTU655390:CTU655412 CTU655414:CTU655458 CTU720926:CTU720948 CTU720950:CTU720994 CTU786462:CTU786484 CTU786486:CTU786530 CTU851998:CTU852020 CTU852022:CTU852066 CTU917534:CTU917556 CTU917558:CTU917602 CTU983070:CTU983092 CTU983094:CTU983138 DDM98:DDM101 DDM65637:DDM65640 DDM131173:DDM131176 DDM196709:DDM196712 DDM262245:DDM262248 DDM327781:DDM327784 DDM393317:DDM393320 DDM458853:DDM458856 DDM524389:DDM524392 DDM589925:DDM589928 DDM655461:DDM655464 DDM720997:DDM721000 DDM786533:DDM786536 DDM852069:DDM852072 DDM917605:DDM917608 DDM983141:DDM983144 DDQ16:DDQ38 DDQ40:DDQ95 DDQ65566:DDQ65588 DDQ65590:DDQ65634 DDQ131102:DDQ131124 DDQ131126:DDQ131170 DDQ196638:DDQ196660 DDQ196662:DDQ196706 DDQ262174:DDQ262196 DDQ262198:DDQ262242 DDQ327710:DDQ327732 DDQ327734:DDQ327778 DDQ393246:DDQ393268 DDQ393270:DDQ393314 DDQ458782:DDQ458804 DDQ458806:DDQ458850 DDQ524318:DDQ524340 DDQ524342:DDQ524386 DDQ589854:DDQ589876 DDQ589878:DDQ589922 DDQ655390:DDQ655412 DDQ655414:DDQ655458 DDQ720926:DDQ720948 DDQ720950:DDQ720994 DDQ786462:DDQ786484 DDQ786486:DDQ786530 DDQ851998:DDQ852020 DDQ852022:DDQ852066 DDQ917534:DDQ917556 DDQ917558:DDQ917602 DDQ983070:DDQ983092 DDQ983094:DDQ983138 DNI98:DNI101 DNI65637:DNI65640 DNI131173:DNI131176 DNI196709:DNI196712 DNI262245:DNI262248 DNI327781:DNI327784 DNI393317:DNI393320 DNI458853:DNI458856 DNI524389:DNI524392 DNI589925:DNI589928 DNI655461:DNI655464 DNI720997:DNI721000 DNI786533:DNI786536 DNI852069:DNI852072 DNI917605:DNI917608 DNI983141:DNI983144 DNM16:DNM38 DNM40:DNM95 DNM65566:DNM65588 DNM65590:DNM65634 DNM131102:DNM131124 DNM131126:DNM131170 DNM196638:DNM196660 DNM196662:DNM196706 DNM262174:DNM262196 DNM262198:DNM262242 DNM327710:DNM327732 DNM327734:DNM327778 DNM393246:DNM393268 DNM393270:DNM393314 DNM458782:DNM458804 DNM458806:DNM458850 DNM524318:DNM524340 DNM524342:DNM524386 DNM589854:DNM589876 DNM589878:DNM589922 DNM655390:DNM655412 DNM655414:DNM655458 DNM720926:DNM720948 DNM720950:DNM720994 DNM786462:DNM786484 DNM786486:DNM786530 DNM851998:DNM852020 DNM852022:DNM852066 DNM917534:DNM917556 DNM917558:DNM917602 DNM983070:DNM983092 DNM983094:DNM983138 DXE98:DXE101 DXE65637:DXE65640 DXE131173:DXE131176 DXE196709:DXE196712 DXE262245:DXE262248 DXE327781:DXE327784 DXE393317:DXE393320 DXE458853:DXE458856 DXE524389:DXE524392 DXE589925:DXE589928 DXE655461:DXE655464 DXE720997:DXE721000 DXE786533:DXE786536 DXE852069:DXE852072 DXE917605:DXE917608 DXE983141:DXE983144 DXI16:DXI38 DXI40:DXI95 DXI65566:DXI65588 DXI65590:DXI65634 DXI131102:DXI131124 DXI131126:DXI131170 DXI196638:DXI196660 DXI196662:DXI196706 DXI262174:DXI262196 DXI262198:DXI262242 DXI327710:DXI327732 DXI327734:DXI327778 DXI393246:DXI393268 DXI393270:DXI393314 DXI458782:DXI458804 DXI458806:DXI458850 DXI524318:DXI524340 DXI524342:DXI524386 DXI589854:DXI589876 DXI589878:DXI589922 DXI655390:DXI655412 DXI655414:DXI655458 DXI720926:DXI720948 DXI720950:DXI720994 DXI786462:DXI786484 DXI786486:DXI786530 DXI851998:DXI852020 DXI852022:DXI852066 DXI917534:DXI917556 DXI917558:DXI917602 DXI983070:DXI983092 DXI983094:DXI983138 EHA98:EHA101 EHA65637:EHA65640 EHA131173:EHA131176 EHA196709:EHA196712 EHA262245:EHA262248 EHA327781:EHA327784 EHA393317:EHA393320 EHA458853:EHA458856 EHA524389:EHA524392 EHA589925:EHA589928 EHA655461:EHA655464 EHA720997:EHA721000 EHA786533:EHA786536 EHA852069:EHA852072 EHA917605:EHA917608 EHA983141:EHA983144 EHE16:EHE38 EHE40:EHE95 EHE65566:EHE65588 EHE65590:EHE65634 EHE131102:EHE131124 EHE131126:EHE131170 EHE196638:EHE196660 EHE196662:EHE196706 EHE262174:EHE262196 EHE262198:EHE262242 EHE327710:EHE327732 EHE327734:EHE327778 EHE393246:EHE393268 EHE393270:EHE393314 EHE458782:EHE458804 EHE458806:EHE458850 EHE524318:EHE524340 EHE524342:EHE524386 EHE589854:EHE589876 EHE589878:EHE589922 EHE655390:EHE655412 EHE655414:EHE655458 EHE720926:EHE720948 EHE720950:EHE720994 EHE786462:EHE786484 EHE786486:EHE786530 EHE851998:EHE852020 EHE852022:EHE852066 EHE917534:EHE917556 EHE917558:EHE917602 EHE983070:EHE983092 EHE983094:EHE983138 EQW98:EQW101 EQW65637:EQW65640 EQW131173:EQW131176 EQW196709:EQW196712 EQW262245:EQW262248 EQW327781:EQW327784 EQW393317:EQW393320 EQW458853:EQW458856 EQW524389:EQW524392 EQW589925:EQW589928 EQW655461:EQW655464 EQW720997:EQW721000 EQW786533:EQW786536 EQW852069:EQW852072 EQW917605:EQW917608 EQW983141:EQW983144 ERA16:ERA38 ERA40:ERA95 ERA65566:ERA65588 ERA65590:ERA65634 ERA131102:ERA131124 ERA131126:ERA131170 ERA196638:ERA196660 ERA196662:ERA196706 ERA262174:ERA262196 ERA262198:ERA262242 ERA327710:ERA327732 ERA327734:ERA327778 ERA393246:ERA393268 ERA393270:ERA393314 ERA458782:ERA458804 ERA458806:ERA458850 ERA524318:ERA524340 ERA524342:ERA524386 ERA589854:ERA589876 ERA589878:ERA589922 ERA655390:ERA655412 ERA655414:ERA655458 ERA720926:ERA720948 ERA720950:ERA720994 ERA786462:ERA786484 ERA786486:ERA786530 ERA851998:ERA852020 ERA852022:ERA852066 ERA917534:ERA917556 ERA917558:ERA917602 ERA983070:ERA983092 ERA983094:ERA983138 FAS98:FAS101 FAS65637:FAS65640 FAS131173:FAS131176 FAS196709:FAS196712 FAS262245:FAS262248 FAS327781:FAS327784 FAS393317:FAS393320 FAS458853:FAS458856 FAS524389:FAS524392 FAS589925:FAS589928 FAS655461:FAS655464 FAS720997:FAS721000 FAS786533:FAS786536 FAS852069:FAS852072 FAS917605:FAS917608 FAS983141:FAS983144 FAW16:FAW38 FAW40:FAW95 FAW65566:FAW65588 FAW65590:FAW65634 FAW131102:FAW131124 FAW131126:FAW131170 FAW196638:FAW196660 FAW196662:FAW196706 FAW262174:FAW262196 FAW262198:FAW262242 FAW327710:FAW327732 FAW327734:FAW327778 FAW393246:FAW393268 FAW393270:FAW393314 FAW458782:FAW458804 FAW458806:FAW458850 FAW524318:FAW524340 FAW524342:FAW524386 FAW589854:FAW589876 FAW589878:FAW589922 FAW655390:FAW655412 FAW655414:FAW655458 FAW720926:FAW720948 FAW720950:FAW720994 FAW786462:FAW786484 FAW786486:FAW786530 FAW851998:FAW852020 FAW852022:FAW852066 FAW917534:FAW917556 FAW917558:FAW917602 FAW983070:FAW983092 FAW983094:FAW983138 FKO98:FKO101 FKO65637:FKO65640 FKO131173:FKO131176 FKO196709:FKO196712 FKO262245:FKO262248 FKO327781:FKO327784 FKO393317:FKO393320 FKO458853:FKO458856 FKO524389:FKO524392 FKO589925:FKO589928 FKO655461:FKO655464 FKO720997:FKO721000 FKO786533:FKO786536 FKO852069:FKO852072 FKO917605:FKO917608 FKO983141:FKO983144 FKS16:FKS38 FKS40:FKS95 FKS65566:FKS65588 FKS65590:FKS65634 FKS131102:FKS131124 FKS131126:FKS131170 FKS196638:FKS196660 FKS196662:FKS196706 FKS262174:FKS262196 FKS262198:FKS262242 FKS327710:FKS327732 FKS327734:FKS327778 FKS393246:FKS393268 FKS393270:FKS393314 FKS458782:FKS458804 FKS458806:FKS458850 FKS524318:FKS524340 FKS524342:FKS524386 FKS589854:FKS589876 FKS589878:FKS589922 FKS655390:FKS655412 FKS655414:FKS655458 FKS720926:FKS720948 FKS720950:FKS720994 FKS786462:FKS786484 FKS786486:FKS786530 FKS851998:FKS852020 FKS852022:FKS852066 FKS917534:FKS917556 FKS917558:FKS917602 FKS983070:FKS983092 FKS983094:FKS983138 FUK98:FUK101 FUK65637:FUK65640 FUK131173:FUK131176 FUK196709:FUK196712 FUK262245:FUK262248 FUK327781:FUK327784 FUK393317:FUK393320 FUK458853:FUK458856 FUK524389:FUK524392 FUK589925:FUK589928 FUK655461:FUK655464 FUK720997:FUK721000 FUK786533:FUK786536 FUK852069:FUK852072 FUK917605:FUK917608 FUK983141:FUK983144 FUO16:FUO38 FUO40:FUO95 FUO65566:FUO65588 FUO65590:FUO65634 FUO131102:FUO131124 FUO131126:FUO131170 FUO196638:FUO196660 FUO196662:FUO196706 FUO262174:FUO262196 FUO262198:FUO262242 FUO327710:FUO327732 FUO327734:FUO327778 FUO393246:FUO393268 FUO393270:FUO393314 FUO458782:FUO458804 FUO458806:FUO458850 FUO524318:FUO524340 FUO524342:FUO524386 FUO589854:FUO589876 FUO589878:FUO589922 FUO655390:FUO655412 FUO655414:FUO655458 FUO720926:FUO720948 FUO720950:FUO720994 FUO786462:FUO786484 FUO786486:FUO786530 FUO851998:FUO852020 FUO852022:FUO852066 FUO917534:FUO917556 FUO917558:FUO917602 FUO983070:FUO983092 FUO983094:FUO983138 GEG98:GEG101 GEG65637:GEG65640 GEG131173:GEG131176 GEG196709:GEG196712 GEG262245:GEG262248 GEG327781:GEG327784 GEG393317:GEG393320 GEG458853:GEG458856 GEG524389:GEG524392 GEG589925:GEG589928 GEG655461:GEG655464 GEG720997:GEG721000 GEG786533:GEG786536 GEG852069:GEG852072 GEG917605:GEG917608 GEG983141:GEG983144 GEK16:GEK38 GEK40:GEK95 GEK65566:GEK65588 GEK65590:GEK65634 GEK131102:GEK131124 GEK131126:GEK131170 GEK196638:GEK196660 GEK196662:GEK196706 GEK262174:GEK262196 GEK262198:GEK262242 GEK327710:GEK327732 GEK327734:GEK327778 GEK393246:GEK393268 GEK393270:GEK393314 GEK458782:GEK458804 GEK458806:GEK458850 GEK524318:GEK524340 GEK524342:GEK524386 GEK589854:GEK589876 GEK589878:GEK589922 GEK655390:GEK655412 GEK655414:GEK655458 GEK720926:GEK720948 GEK720950:GEK720994 GEK786462:GEK786484 GEK786486:GEK786530 GEK851998:GEK852020 GEK852022:GEK852066 GEK917534:GEK917556 GEK917558:GEK917602 GEK983070:GEK983092 GEK983094:GEK983138 GOC98:GOC101 GOC65637:GOC65640 GOC131173:GOC131176 GOC196709:GOC196712 GOC262245:GOC262248 GOC327781:GOC327784 GOC393317:GOC393320 GOC458853:GOC458856 GOC524389:GOC524392 GOC589925:GOC589928 GOC655461:GOC655464 GOC720997:GOC721000 GOC786533:GOC786536 GOC852069:GOC852072 GOC917605:GOC917608 GOC983141:GOC983144 GOG16:GOG38 GOG40:GOG95 GOG65566:GOG65588 GOG65590:GOG65634 GOG131102:GOG131124 GOG131126:GOG131170 GOG196638:GOG196660 GOG196662:GOG196706 GOG262174:GOG262196 GOG262198:GOG262242 GOG327710:GOG327732 GOG327734:GOG327778 GOG393246:GOG393268 GOG393270:GOG393314 GOG458782:GOG458804 GOG458806:GOG458850 GOG524318:GOG524340 GOG524342:GOG524386 GOG589854:GOG589876 GOG589878:GOG589922 GOG655390:GOG655412 GOG655414:GOG655458 GOG720926:GOG720948 GOG720950:GOG720994 GOG786462:GOG786484 GOG786486:GOG786530 GOG851998:GOG852020 GOG852022:GOG852066 GOG917534:GOG917556 GOG917558:GOG917602 GOG983070:GOG983092 GOG983094:GOG983138 GXY98:GXY101 GXY65637:GXY65640 GXY131173:GXY131176 GXY196709:GXY196712 GXY262245:GXY262248 GXY327781:GXY327784 GXY393317:GXY393320 GXY458853:GXY458856 GXY524389:GXY524392 GXY589925:GXY589928 GXY655461:GXY655464 GXY720997:GXY721000 GXY786533:GXY786536 GXY852069:GXY852072 GXY917605:GXY917608 GXY983141:GXY983144 GYC16:GYC38 GYC40:GYC95 GYC65566:GYC65588 GYC65590:GYC65634 GYC131102:GYC131124 GYC131126:GYC131170 GYC196638:GYC196660 GYC196662:GYC196706 GYC262174:GYC262196 GYC262198:GYC262242 GYC327710:GYC327732 GYC327734:GYC327778 GYC393246:GYC393268 GYC393270:GYC393314 GYC458782:GYC458804 GYC458806:GYC458850 GYC524318:GYC524340 GYC524342:GYC524386 GYC589854:GYC589876 GYC589878:GYC589922 GYC655390:GYC655412 GYC655414:GYC655458 GYC720926:GYC720948 GYC720950:GYC720994 GYC786462:GYC786484 GYC786486:GYC786530 GYC851998:GYC852020 GYC852022:GYC852066 GYC917534:GYC917556 GYC917558:GYC917602 GYC983070:GYC983092 GYC983094:GYC983138 HHU98:HHU101 HHU65637:HHU65640 HHU131173:HHU131176 HHU196709:HHU196712 HHU262245:HHU262248 HHU327781:HHU327784 HHU393317:HHU393320 HHU458853:HHU458856 HHU524389:HHU524392 HHU589925:HHU589928 HHU655461:HHU655464 HHU720997:HHU721000 HHU786533:HHU786536 HHU852069:HHU852072 HHU917605:HHU917608 HHU983141:HHU983144 HHY16:HHY38 HHY40:HHY95 HHY65566:HHY65588 HHY65590:HHY65634 HHY131102:HHY131124 HHY131126:HHY131170 HHY196638:HHY196660 HHY196662:HHY196706 HHY262174:HHY262196 HHY262198:HHY262242 HHY327710:HHY327732 HHY327734:HHY327778 HHY393246:HHY393268 HHY393270:HHY393314 HHY458782:HHY458804 HHY458806:HHY458850 HHY524318:HHY524340 HHY524342:HHY524386 HHY589854:HHY589876 HHY589878:HHY589922 HHY655390:HHY655412 HHY655414:HHY655458 HHY720926:HHY720948 HHY720950:HHY720994 HHY786462:HHY786484 HHY786486:HHY786530 HHY851998:HHY852020 HHY852022:HHY852066 HHY917534:HHY917556 HHY917558:HHY917602 HHY983070:HHY983092 HHY983094:HHY983138 HRQ98:HRQ101 HRQ65637:HRQ65640 HRQ131173:HRQ131176 HRQ196709:HRQ196712 HRQ262245:HRQ262248 HRQ327781:HRQ327784 HRQ393317:HRQ393320 HRQ458853:HRQ458856 HRQ524389:HRQ524392 HRQ589925:HRQ589928 HRQ655461:HRQ655464 HRQ720997:HRQ721000 HRQ786533:HRQ786536 HRQ852069:HRQ852072 HRQ917605:HRQ917608 HRQ983141:HRQ983144 HRU16:HRU38 HRU40:HRU95 HRU65566:HRU65588 HRU65590:HRU65634 HRU131102:HRU131124 HRU131126:HRU131170 HRU196638:HRU196660 HRU196662:HRU196706 HRU262174:HRU262196 HRU262198:HRU262242 HRU327710:HRU327732 HRU327734:HRU327778 HRU393246:HRU393268 HRU393270:HRU393314 HRU458782:HRU458804 HRU458806:HRU458850 HRU524318:HRU524340 HRU524342:HRU524386 HRU589854:HRU589876 HRU589878:HRU589922 HRU655390:HRU655412 HRU655414:HRU655458 HRU720926:HRU720948 HRU720950:HRU720994 HRU786462:HRU786484 HRU786486:HRU786530 HRU851998:HRU852020 HRU852022:HRU852066 HRU917534:HRU917556 HRU917558:HRU917602 HRU983070:HRU983092 HRU983094:HRU983138 IBM98:IBM101 IBM65637:IBM65640 IBM131173:IBM131176 IBM196709:IBM196712 IBM262245:IBM262248 IBM327781:IBM327784 IBM393317:IBM393320 IBM458853:IBM458856 IBM524389:IBM524392 IBM589925:IBM589928 IBM655461:IBM655464 IBM720997:IBM721000 IBM786533:IBM786536 IBM852069:IBM852072 IBM917605:IBM917608 IBM983141:IBM983144 IBQ16:IBQ38 IBQ40:IBQ95 IBQ65566:IBQ65588 IBQ65590:IBQ65634 IBQ131102:IBQ131124 IBQ131126:IBQ131170 IBQ196638:IBQ196660 IBQ196662:IBQ196706 IBQ262174:IBQ262196 IBQ262198:IBQ262242 IBQ327710:IBQ327732 IBQ327734:IBQ327778 IBQ393246:IBQ393268 IBQ393270:IBQ393314 IBQ458782:IBQ458804 IBQ458806:IBQ458850 IBQ524318:IBQ524340 IBQ524342:IBQ524386 IBQ589854:IBQ589876 IBQ589878:IBQ589922 IBQ655390:IBQ655412 IBQ655414:IBQ655458 IBQ720926:IBQ720948 IBQ720950:IBQ720994 IBQ786462:IBQ786484 IBQ786486:IBQ786530 IBQ851998:IBQ852020 IBQ852022:IBQ852066 IBQ917534:IBQ917556 IBQ917558:IBQ917602 IBQ983070:IBQ983092 IBQ983094:IBQ983138 ILI98:ILI101 ILI65637:ILI65640 ILI131173:ILI131176 ILI196709:ILI196712 ILI262245:ILI262248 ILI327781:ILI327784 ILI393317:ILI393320 ILI458853:ILI458856 ILI524389:ILI524392 ILI589925:ILI589928 ILI655461:ILI655464 ILI720997:ILI721000 ILI786533:ILI786536 ILI852069:ILI852072 ILI917605:ILI917608 ILI983141:ILI983144 ILM16:ILM38 ILM40:ILM95 ILM65566:ILM65588 ILM65590:ILM65634 ILM131102:ILM131124 ILM131126:ILM131170 ILM196638:ILM196660 ILM196662:ILM196706 ILM262174:ILM262196 ILM262198:ILM262242 ILM327710:ILM327732 ILM327734:ILM327778 ILM393246:ILM393268 ILM393270:ILM393314 ILM458782:ILM458804 ILM458806:ILM458850 ILM524318:ILM524340 ILM524342:ILM524386 ILM589854:ILM589876 ILM589878:ILM589922 ILM655390:ILM655412 ILM655414:ILM655458 ILM720926:ILM720948 ILM720950:ILM720994 ILM786462:ILM786484 ILM786486:ILM786530 ILM851998:ILM852020 ILM852022:ILM852066 ILM917534:ILM917556 ILM917558:ILM917602 ILM983070:ILM983092 ILM983094:ILM983138 IVE98:IVE101 IVE65637:IVE65640 IVE131173:IVE131176 IVE196709:IVE196712 IVE262245:IVE262248 IVE327781:IVE327784 IVE393317:IVE393320 IVE458853:IVE458856 IVE524389:IVE524392 IVE589925:IVE589928 IVE655461:IVE655464 IVE720997:IVE721000 IVE786533:IVE786536 IVE852069:IVE852072 IVE917605:IVE917608 IVE983141:IVE983144 IVI16:IVI38 IVI40:IVI95 IVI65566:IVI65588 IVI65590:IVI65634 IVI131102:IVI131124 IVI131126:IVI131170 IVI196638:IVI196660 IVI196662:IVI196706 IVI262174:IVI262196 IVI262198:IVI262242 IVI327710:IVI327732 IVI327734:IVI327778 IVI393246:IVI393268 IVI393270:IVI393314 IVI458782:IVI458804 IVI458806:IVI458850 IVI524318:IVI524340 IVI524342:IVI524386 IVI589854:IVI589876 IVI589878:IVI589922 IVI655390:IVI655412 IVI655414:IVI655458 IVI720926:IVI720948 IVI720950:IVI720994 IVI786462:IVI786484 IVI786486:IVI786530 IVI851998:IVI852020 IVI852022:IVI852066 IVI917534:IVI917556 IVI917558:IVI917602 IVI983070:IVI983092 IVI983094:IVI983138 JFA98:JFA101 JFA65637:JFA65640 JFA131173:JFA131176 JFA196709:JFA196712 JFA262245:JFA262248 JFA327781:JFA327784 JFA393317:JFA393320 JFA458853:JFA458856 JFA524389:JFA524392 JFA589925:JFA589928 JFA655461:JFA655464 JFA720997:JFA721000 JFA786533:JFA786536 JFA852069:JFA852072 JFA917605:JFA917608 JFA983141:JFA983144 JFE16:JFE38 JFE40:JFE95 JFE65566:JFE65588 JFE65590:JFE65634 JFE131102:JFE131124 JFE131126:JFE131170 JFE196638:JFE196660 JFE196662:JFE196706 JFE262174:JFE262196 JFE262198:JFE262242 JFE327710:JFE327732 JFE327734:JFE327778 JFE393246:JFE393268 JFE393270:JFE393314 JFE458782:JFE458804 JFE458806:JFE458850 JFE524318:JFE524340 JFE524342:JFE524386 JFE589854:JFE589876 JFE589878:JFE589922 JFE655390:JFE655412 JFE655414:JFE655458 JFE720926:JFE720948 JFE720950:JFE720994 JFE786462:JFE786484 JFE786486:JFE786530 JFE851998:JFE852020 JFE852022:JFE852066 JFE917534:JFE917556 JFE917558:JFE917602 JFE983070:JFE983092 JFE983094:JFE983138 JOW98:JOW101 JOW65637:JOW65640 JOW131173:JOW131176 JOW196709:JOW196712 JOW262245:JOW262248 JOW327781:JOW327784 JOW393317:JOW393320 JOW458853:JOW458856 JOW524389:JOW524392 JOW589925:JOW589928 JOW655461:JOW655464 JOW720997:JOW721000 JOW786533:JOW786536 JOW852069:JOW852072 JOW917605:JOW917608 JOW983141:JOW983144 JPA16:JPA38 JPA40:JPA95 JPA65566:JPA65588 JPA65590:JPA65634 JPA131102:JPA131124 JPA131126:JPA131170 JPA196638:JPA196660 JPA196662:JPA196706 JPA262174:JPA262196 JPA262198:JPA262242 JPA327710:JPA327732 JPA327734:JPA327778 JPA393246:JPA393268 JPA393270:JPA393314 JPA458782:JPA458804 JPA458806:JPA458850 JPA524318:JPA524340 JPA524342:JPA524386 JPA589854:JPA589876 JPA589878:JPA589922 JPA655390:JPA655412 JPA655414:JPA655458 JPA720926:JPA720948 JPA720950:JPA720994 JPA786462:JPA786484 JPA786486:JPA786530 JPA851998:JPA852020 JPA852022:JPA852066 JPA917534:JPA917556 JPA917558:JPA917602 JPA983070:JPA983092 JPA983094:JPA983138 JYS98:JYS101 JYS65637:JYS65640 JYS131173:JYS131176 JYS196709:JYS196712 JYS262245:JYS262248 JYS327781:JYS327784 JYS393317:JYS393320 JYS458853:JYS458856 JYS524389:JYS524392 JYS589925:JYS589928 JYS655461:JYS655464 JYS720997:JYS721000 JYS786533:JYS786536 JYS852069:JYS852072 JYS917605:JYS917608 JYS983141:JYS983144 JYW16:JYW38 JYW40:JYW95 JYW65566:JYW65588 JYW65590:JYW65634 JYW131102:JYW131124 JYW131126:JYW131170 JYW196638:JYW196660 JYW196662:JYW196706 JYW262174:JYW262196 JYW262198:JYW262242 JYW327710:JYW327732 JYW327734:JYW327778 JYW393246:JYW393268 JYW393270:JYW393314 JYW458782:JYW458804 JYW458806:JYW458850 JYW524318:JYW524340 JYW524342:JYW524386 JYW589854:JYW589876 JYW589878:JYW589922 JYW655390:JYW655412 JYW655414:JYW655458 JYW720926:JYW720948 JYW720950:JYW720994 JYW786462:JYW786484 JYW786486:JYW786530 JYW851998:JYW852020 JYW852022:JYW852066 JYW917534:JYW917556 JYW917558:JYW917602 JYW983070:JYW983092 JYW983094:JYW983138 KIO98:KIO101 KIO65637:KIO65640 KIO131173:KIO131176 KIO196709:KIO196712 KIO262245:KIO262248 KIO327781:KIO327784 KIO393317:KIO393320 KIO458853:KIO458856 KIO524389:KIO524392 KIO589925:KIO589928 KIO655461:KIO655464 KIO720997:KIO721000 KIO786533:KIO786536 KIO852069:KIO852072 KIO917605:KIO917608 KIO983141:KIO983144 KIS16:KIS38 KIS40:KIS95 KIS65566:KIS65588 KIS65590:KIS65634 KIS131102:KIS131124 KIS131126:KIS131170 KIS196638:KIS196660 KIS196662:KIS196706 KIS262174:KIS262196 KIS262198:KIS262242 KIS327710:KIS327732 KIS327734:KIS327778 KIS393246:KIS393268 KIS393270:KIS393314 KIS458782:KIS458804 KIS458806:KIS458850 KIS524318:KIS524340 KIS524342:KIS524386 KIS589854:KIS589876 KIS589878:KIS589922 KIS655390:KIS655412 KIS655414:KIS655458 KIS720926:KIS720948 KIS720950:KIS720994 KIS786462:KIS786484 KIS786486:KIS786530 KIS851998:KIS852020 KIS852022:KIS852066 KIS917534:KIS917556 KIS917558:KIS917602 KIS983070:KIS983092 KIS983094:KIS983138 KSK98:KSK101 KSK65637:KSK65640 KSK131173:KSK131176 KSK196709:KSK196712 KSK262245:KSK262248 KSK327781:KSK327784 KSK393317:KSK393320 KSK458853:KSK458856 KSK524389:KSK524392 KSK589925:KSK589928 KSK655461:KSK655464 KSK720997:KSK721000 KSK786533:KSK786536 KSK852069:KSK852072 KSK917605:KSK917608 KSK983141:KSK983144 KSO16:KSO38 KSO40:KSO95 KSO65566:KSO65588 KSO65590:KSO65634 KSO131102:KSO131124 KSO131126:KSO131170 KSO196638:KSO196660 KSO196662:KSO196706 KSO262174:KSO262196 KSO262198:KSO262242 KSO327710:KSO327732 KSO327734:KSO327778 KSO393246:KSO393268 KSO393270:KSO393314 KSO458782:KSO458804 KSO458806:KSO458850 KSO524318:KSO524340 KSO524342:KSO524386 KSO589854:KSO589876 KSO589878:KSO589922 KSO655390:KSO655412 KSO655414:KSO655458 KSO720926:KSO720948 KSO720950:KSO720994 KSO786462:KSO786484 KSO786486:KSO786530 KSO851998:KSO852020 KSO852022:KSO852066 KSO917534:KSO917556 KSO917558:KSO917602 KSO983070:KSO983092 KSO983094:KSO983138 LCG98:LCG101 LCG65637:LCG65640 LCG131173:LCG131176 LCG196709:LCG196712 LCG262245:LCG262248 LCG327781:LCG327784 LCG393317:LCG393320 LCG458853:LCG458856 LCG524389:LCG524392 LCG589925:LCG589928 LCG655461:LCG655464 LCG720997:LCG721000 LCG786533:LCG786536 LCG852069:LCG852072 LCG917605:LCG917608 LCG983141:LCG983144 LCK16:LCK38 LCK40:LCK95 LCK65566:LCK65588 LCK65590:LCK65634 LCK131102:LCK131124 LCK131126:LCK131170 LCK196638:LCK196660 LCK196662:LCK196706 LCK262174:LCK262196 LCK262198:LCK262242 LCK327710:LCK327732 LCK327734:LCK327778 LCK393246:LCK393268 LCK393270:LCK393314 LCK458782:LCK458804 LCK458806:LCK458850 LCK524318:LCK524340 LCK524342:LCK524386 LCK589854:LCK589876 LCK589878:LCK589922 LCK655390:LCK655412 LCK655414:LCK655458 LCK720926:LCK720948 LCK720950:LCK720994 LCK786462:LCK786484 LCK786486:LCK786530 LCK851998:LCK852020 LCK852022:LCK852066 LCK917534:LCK917556 LCK917558:LCK917602 LCK983070:LCK983092 LCK983094:LCK983138 LMC98:LMC101 LMC65637:LMC65640 LMC131173:LMC131176 LMC196709:LMC196712 LMC262245:LMC262248 LMC327781:LMC327784 LMC393317:LMC393320 LMC458853:LMC458856 LMC524389:LMC524392 LMC589925:LMC589928 LMC655461:LMC655464 LMC720997:LMC721000 LMC786533:LMC786536 LMC852069:LMC852072 LMC917605:LMC917608 LMC983141:LMC983144 LMG16:LMG38 LMG40:LMG95 LMG65566:LMG65588 LMG65590:LMG65634 LMG131102:LMG131124 LMG131126:LMG131170 LMG196638:LMG196660 LMG196662:LMG196706 LMG262174:LMG262196 LMG262198:LMG262242 LMG327710:LMG327732 LMG327734:LMG327778 LMG393246:LMG393268 LMG393270:LMG393314 LMG458782:LMG458804 LMG458806:LMG458850 LMG524318:LMG524340 LMG524342:LMG524386 LMG589854:LMG589876 LMG589878:LMG589922 LMG655390:LMG655412 LMG655414:LMG655458 LMG720926:LMG720948 LMG720950:LMG720994 LMG786462:LMG786484 LMG786486:LMG786530 LMG851998:LMG852020 LMG852022:LMG852066 LMG917534:LMG917556 LMG917558:LMG917602 LMG983070:LMG983092 LMG983094:LMG983138 LVY98:LVY101 LVY65637:LVY65640 LVY131173:LVY131176 LVY196709:LVY196712 LVY262245:LVY262248 LVY327781:LVY327784 LVY393317:LVY393320 LVY458853:LVY458856 LVY524389:LVY524392 LVY589925:LVY589928 LVY655461:LVY655464 LVY720997:LVY721000 LVY786533:LVY786536 LVY852069:LVY852072 LVY917605:LVY917608 LVY983141:LVY983144 LWC16:LWC38 LWC40:LWC95 LWC65566:LWC65588 LWC65590:LWC65634 LWC131102:LWC131124 LWC131126:LWC131170 LWC196638:LWC196660 LWC196662:LWC196706 LWC262174:LWC262196 LWC262198:LWC262242 LWC327710:LWC327732 LWC327734:LWC327778 LWC393246:LWC393268 LWC393270:LWC393314 LWC458782:LWC458804 LWC458806:LWC458850 LWC524318:LWC524340 LWC524342:LWC524386 LWC589854:LWC589876 LWC589878:LWC589922 LWC655390:LWC655412 LWC655414:LWC655458 LWC720926:LWC720948 LWC720950:LWC720994 LWC786462:LWC786484 LWC786486:LWC786530 LWC851998:LWC852020 LWC852022:LWC852066 LWC917534:LWC917556 LWC917558:LWC917602 LWC983070:LWC983092 LWC983094:LWC983138 MFU98:MFU101 MFU65637:MFU65640 MFU131173:MFU131176 MFU196709:MFU196712 MFU262245:MFU262248 MFU327781:MFU327784 MFU393317:MFU393320 MFU458853:MFU458856 MFU524389:MFU524392 MFU589925:MFU589928 MFU655461:MFU655464 MFU720997:MFU721000 MFU786533:MFU786536 MFU852069:MFU852072 MFU917605:MFU917608 MFU983141:MFU983144 MFY16:MFY38 MFY40:MFY95 MFY65566:MFY65588 MFY65590:MFY65634 MFY131102:MFY131124 MFY131126:MFY131170 MFY196638:MFY196660 MFY196662:MFY196706 MFY262174:MFY262196 MFY262198:MFY262242 MFY327710:MFY327732 MFY327734:MFY327778 MFY393246:MFY393268 MFY393270:MFY393314 MFY458782:MFY458804 MFY458806:MFY458850 MFY524318:MFY524340 MFY524342:MFY524386 MFY589854:MFY589876 MFY589878:MFY589922 MFY655390:MFY655412 MFY655414:MFY655458 MFY720926:MFY720948 MFY720950:MFY720994 MFY786462:MFY786484 MFY786486:MFY786530 MFY851998:MFY852020 MFY852022:MFY852066 MFY917534:MFY917556 MFY917558:MFY917602 MFY983070:MFY983092 MFY983094:MFY983138 MPQ98:MPQ101 MPQ65637:MPQ65640 MPQ131173:MPQ131176 MPQ196709:MPQ196712 MPQ262245:MPQ262248 MPQ327781:MPQ327784 MPQ393317:MPQ393320 MPQ458853:MPQ458856 MPQ524389:MPQ524392 MPQ589925:MPQ589928 MPQ655461:MPQ655464 MPQ720997:MPQ721000 MPQ786533:MPQ786536 MPQ852069:MPQ852072 MPQ917605:MPQ917608 MPQ983141:MPQ983144 MPU16:MPU38 MPU40:MPU95 MPU65566:MPU65588 MPU65590:MPU65634 MPU131102:MPU131124 MPU131126:MPU131170 MPU196638:MPU196660 MPU196662:MPU196706 MPU262174:MPU262196 MPU262198:MPU262242 MPU327710:MPU327732 MPU327734:MPU327778 MPU393246:MPU393268 MPU393270:MPU393314 MPU458782:MPU458804 MPU458806:MPU458850 MPU524318:MPU524340 MPU524342:MPU524386 MPU589854:MPU589876 MPU589878:MPU589922 MPU655390:MPU655412 MPU655414:MPU655458 MPU720926:MPU720948 MPU720950:MPU720994 MPU786462:MPU786484 MPU786486:MPU786530 MPU851998:MPU852020 MPU852022:MPU852066 MPU917534:MPU917556 MPU917558:MPU917602 MPU983070:MPU983092 MPU983094:MPU983138 MZM98:MZM101 MZM65637:MZM65640 MZM131173:MZM131176 MZM196709:MZM196712 MZM262245:MZM262248 MZM327781:MZM327784 MZM393317:MZM393320 MZM458853:MZM458856 MZM524389:MZM524392 MZM589925:MZM589928 MZM655461:MZM655464 MZM720997:MZM721000 MZM786533:MZM786536 MZM852069:MZM852072 MZM917605:MZM917608 MZM983141:MZM983144 MZQ16:MZQ38 MZQ40:MZQ95 MZQ65566:MZQ65588 MZQ65590:MZQ65634 MZQ131102:MZQ131124 MZQ131126:MZQ131170 MZQ196638:MZQ196660 MZQ196662:MZQ196706 MZQ262174:MZQ262196 MZQ262198:MZQ262242 MZQ327710:MZQ327732 MZQ327734:MZQ327778 MZQ393246:MZQ393268 MZQ393270:MZQ393314 MZQ458782:MZQ458804 MZQ458806:MZQ458850 MZQ524318:MZQ524340 MZQ524342:MZQ524386 MZQ589854:MZQ589876 MZQ589878:MZQ589922 MZQ655390:MZQ655412 MZQ655414:MZQ655458 MZQ720926:MZQ720948 MZQ720950:MZQ720994 MZQ786462:MZQ786484 MZQ786486:MZQ786530 MZQ851998:MZQ852020 MZQ852022:MZQ852066 MZQ917534:MZQ917556 MZQ917558:MZQ917602 MZQ983070:MZQ983092 MZQ983094:MZQ983138 NJI98:NJI101 NJI65637:NJI65640 NJI131173:NJI131176 NJI196709:NJI196712 NJI262245:NJI262248 NJI327781:NJI327784 NJI393317:NJI393320 NJI458853:NJI458856 NJI524389:NJI524392 NJI589925:NJI589928 NJI655461:NJI655464 NJI720997:NJI721000 NJI786533:NJI786536 NJI852069:NJI852072 NJI917605:NJI917608 NJI983141:NJI983144 NJM16:NJM38 NJM40:NJM95 NJM65566:NJM65588 NJM65590:NJM65634 NJM131102:NJM131124 NJM131126:NJM131170 NJM196638:NJM196660 NJM196662:NJM196706 NJM262174:NJM262196 NJM262198:NJM262242 NJM327710:NJM327732 NJM327734:NJM327778 NJM393246:NJM393268 NJM393270:NJM393314 NJM458782:NJM458804 NJM458806:NJM458850 NJM524318:NJM524340 NJM524342:NJM524386 NJM589854:NJM589876 NJM589878:NJM589922 NJM655390:NJM655412 NJM655414:NJM655458 NJM720926:NJM720948 NJM720950:NJM720994 NJM786462:NJM786484 NJM786486:NJM786530 NJM851998:NJM852020 NJM852022:NJM852066 NJM917534:NJM917556 NJM917558:NJM917602 NJM983070:NJM983092 NJM983094:NJM983138 NTE98:NTE101 NTE65637:NTE65640 NTE131173:NTE131176 NTE196709:NTE196712 NTE262245:NTE262248 NTE327781:NTE327784 NTE393317:NTE393320 NTE458853:NTE458856 NTE524389:NTE524392 NTE589925:NTE589928 NTE655461:NTE655464 NTE720997:NTE721000 NTE786533:NTE786536 NTE852069:NTE852072 NTE917605:NTE917608 NTE983141:NTE983144 NTI16:NTI38 NTI40:NTI95 NTI65566:NTI65588 NTI65590:NTI65634 NTI131102:NTI131124 NTI131126:NTI131170 NTI196638:NTI196660 NTI196662:NTI196706 NTI262174:NTI262196 NTI262198:NTI262242 NTI327710:NTI327732 NTI327734:NTI327778 NTI393246:NTI393268 NTI393270:NTI393314 NTI458782:NTI458804 NTI458806:NTI458850 NTI524318:NTI524340 NTI524342:NTI524386 NTI589854:NTI589876 NTI589878:NTI589922 NTI655390:NTI655412 NTI655414:NTI655458 NTI720926:NTI720948 NTI720950:NTI720994 NTI786462:NTI786484 NTI786486:NTI786530 NTI851998:NTI852020 NTI852022:NTI852066 NTI917534:NTI917556 NTI917558:NTI917602 NTI983070:NTI983092 NTI983094:NTI983138 ODA98:ODA101 ODA65637:ODA65640 ODA131173:ODA131176 ODA196709:ODA196712 ODA262245:ODA262248 ODA327781:ODA327784 ODA393317:ODA393320 ODA458853:ODA458856 ODA524389:ODA524392 ODA589925:ODA589928 ODA655461:ODA655464 ODA720997:ODA721000 ODA786533:ODA786536 ODA852069:ODA852072 ODA917605:ODA917608 ODA983141:ODA983144 ODE16:ODE38 ODE40:ODE95 ODE65566:ODE65588 ODE65590:ODE65634 ODE131102:ODE131124 ODE131126:ODE131170 ODE196638:ODE196660 ODE196662:ODE196706 ODE262174:ODE262196 ODE262198:ODE262242 ODE327710:ODE327732 ODE327734:ODE327778 ODE393246:ODE393268 ODE393270:ODE393314 ODE458782:ODE458804 ODE458806:ODE458850 ODE524318:ODE524340 ODE524342:ODE524386 ODE589854:ODE589876 ODE589878:ODE589922 ODE655390:ODE655412 ODE655414:ODE655458 ODE720926:ODE720948 ODE720950:ODE720994 ODE786462:ODE786484 ODE786486:ODE786530 ODE851998:ODE852020 ODE852022:ODE852066 ODE917534:ODE917556 ODE917558:ODE917602 ODE983070:ODE983092 ODE983094:ODE983138 OMW98:OMW101 OMW65637:OMW65640 OMW131173:OMW131176 OMW196709:OMW196712 OMW262245:OMW262248 OMW327781:OMW327784 OMW393317:OMW393320 OMW458853:OMW458856 OMW524389:OMW524392 OMW589925:OMW589928 OMW655461:OMW655464 OMW720997:OMW721000 OMW786533:OMW786536 OMW852069:OMW852072 OMW917605:OMW917608 OMW983141:OMW983144 ONA16:ONA38 ONA40:ONA95 ONA65566:ONA65588 ONA65590:ONA65634 ONA131102:ONA131124 ONA131126:ONA131170 ONA196638:ONA196660 ONA196662:ONA196706 ONA262174:ONA262196 ONA262198:ONA262242 ONA327710:ONA327732 ONA327734:ONA327778 ONA393246:ONA393268 ONA393270:ONA393314 ONA458782:ONA458804 ONA458806:ONA458850 ONA524318:ONA524340 ONA524342:ONA524386 ONA589854:ONA589876 ONA589878:ONA589922 ONA655390:ONA655412 ONA655414:ONA655458 ONA720926:ONA720948 ONA720950:ONA720994 ONA786462:ONA786484 ONA786486:ONA786530 ONA851998:ONA852020 ONA852022:ONA852066 ONA917534:ONA917556 ONA917558:ONA917602 ONA983070:ONA983092 ONA983094:ONA983138 OWS98:OWS101 OWS65637:OWS65640 OWS131173:OWS131176 OWS196709:OWS196712 OWS262245:OWS262248 OWS327781:OWS327784 OWS393317:OWS393320 OWS458853:OWS458856 OWS524389:OWS524392 OWS589925:OWS589928 OWS655461:OWS655464 OWS720997:OWS721000 OWS786533:OWS786536 OWS852069:OWS852072 OWS917605:OWS917608 OWS983141:OWS983144 OWW16:OWW38 OWW40:OWW95 OWW65566:OWW65588 OWW65590:OWW65634 OWW131102:OWW131124 OWW131126:OWW131170 OWW196638:OWW196660 OWW196662:OWW196706 OWW262174:OWW262196 OWW262198:OWW262242 OWW327710:OWW327732 OWW327734:OWW327778 OWW393246:OWW393268 OWW393270:OWW393314 OWW458782:OWW458804 OWW458806:OWW458850 OWW524318:OWW524340 OWW524342:OWW524386 OWW589854:OWW589876 OWW589878:OWW589922 OWW655390:OWW655412 OWW655414:OWW655458 OWW720926:OWW720948 OWW720950:OWW720994 OWW786462:OWW786484 OWW786486:OWW786530 OWW851998:OWW852020 OWW852022:OWW852066 OWW917534:OWW917556 OWW917558:OWW917602 OWW983070:OWW983092 OWW983094:OWW983138 PGO98:PGO101 PGO65637:PGO65640 PGO131173:PGO131176 PGO196709:PGO196712 PGO262245:PGO262248 PGO327781:PGO327784 PGO393317:PGO393320 PGO458853:PGO458856 PGO524389:PGO524392 PGO589925:PGO589928 PGO655461:PGO655464 PGO720997:PGO721000 PGO786533:PGO786536 PGO852069:PGO852072 PGO917605:PGO917608 PGO983141:PGO983144 PGS16:PGS38 PGS40:PGS95 PGS65566:PGS65588 PGS65590:PGS65634 PGS131102:PGS131124 PGS131126:PGS131170 PGS196638:PGS196660 PGS196662:PGS196706 PGS262174:PGS262196 PGS262198:PGS262242 PGS327710:PGS327732 PGS327734:PGS327778 PGS393246:PGS393268 PGS393270:PGS393314 PGS458782:PGS458804 PGS458806:PGS458850 PGS524318:PGS524340 PGS524342:PGS524386 PGS589854:PGS589876 PGS589878:PGS589922 PGS655390:PGS655412 PGS655414:PGS655458 PGS720926:PGS720948 PGS720950:PGS720994 PGS786462:PGS786484 PGS786486:PGS786530 PGS851998:PGS852020 PGS852022:PGS852066 PGS917534:PGS917556 PGS917558:PGS917602 PGS983070:PGS983092 PGS983094:PGS983138 PQK98:PQK101 PQK65637:PQK65640 PQK131173:PQK131176 PQK196709:PQK196712 PQK262245:PQK262248 PQK327781:PQK327784 PQK393317:PQK393320 PQK458853:PQK458856 PQK524389:PQK524392 PQK589925:PQK589928 PQK655461:PQK655464 PQK720997:PQK721000 PQK786533:PQK786536 PQK852069:PQK852072 PQK917605:PQK917608 PQK983141:PQK983144 PQO16:PQO38 PQO40:PQO95 PQO65566:PQO65588 PQO65590:PQO65634 PQO131102:PQO131124 PQO131126:PQO131170 PQO196638:PQO196660 PQO196662:PQO196706 PQO262174:PQO262196 PQO262198:PQO262242 PQO327710:PQO327732 PQO327734:PQO327778 PQO393246:PQO393268 PQO393270:PQO393314 PQO458782:PQO458804 PQO458806:PQO458850 PQO524318:PQO524340 PQO524342:PQO524386 PQO589854:PQO589876 PQO589878:PQO589922 PQO655390:PQO655412 PQO655414:PQO655458 PQO720926:PQO720948 PQO720950:PQO720994 PQO786462:PQO786484 PQO786486:PQO786530 PQO851998:PQO852020 PQO852022:PQO852066 PQO917534:PQO917556 PQO917558:PQO917602 PQO983070:PQO983092 PQO983094:PQO983138 QAG98:QAG101 QAG65637:QAG65640 QAG131173:QAG131176 QAG196709:QAG196712 QAG262245:QAG262248 QAG327781:QAG327784 QAG393317:QAG393320 QAG458853:QAG458856 QAG524389:QAG524392 QAG589925:QAG589928 QAG655461:QAG655464 QAG720997:QAG721000 QAG786533:QAG786536 QAG852069:QAG852072 QAG917605:QAG917608 QAG983141:QAG983144 QAK16:QAK38 QAK40:QAK95 QAK65566:QAK65588 QAK65590:QAK65634 QAK131102:QAK131124 QAK131126:QAK131170 QAK196638:QAK196660 QAK196662:QAK196706 QAK262174:QAK262196 QAK262198:QAK262242 QAK327710:QAK327732 QAK327734:QAK327778 QAK393246:QAK393268 QAK393270:QAK393314 QAK458782:QAK458804 QAK458806:QAK458850 QAK524318:QAK524340 QAK524342:QAK524386 QAK589854:QAK589876 QAK589878:QAK589922 QAK655390:QAK655412 QAK655414:QAK655458 QAK720926:QAK720948 QAK720950:QAK720994 QAK786462:QAK786484 QAK786486:QAK786530 QAK851998:QAK852020 QAK852022:QAK852066 QAK917534:QAK917556 QAK917558:QAK917602 QAK983070:QAK983092 QAK983094:QAK983138 QKC98:QKC101 QKC65637:QKC65640 QKC131173:QKC131176 QKC196709:QKC196712 QKC262245:QKC262248 QKC327781:QKC327784 QKC393317:QKC393320 QKC458853:QKC458856 QKC524389:QKC524392 QKC589925:QKC589928 QKC655461:QKC655464 QKC720997:QKC721000 QKC786533:QKC786536 QKC852069:QKC852072 QKC917605:QKC917608 QKC983141:QKC983144 QKG16:QKG38 QKG40:QKG95 QKG65566:QKG65588 QKG65590:QKG65634 QKG131102:QKG131124 QKG131126:QKG131170 QKG196638:QKG196660 QKG196662:QKG196706 QKG262174:QKG262196 QKG262198:QKG262242 QKG327710:QKG327732 QKG327734:QKG327778 QKG393246:QKG393268 QKG393270:QKG393314 QKG458782:QKG458804 QKG458806:QKG458850 QKG524318:QKG524340 QKG524342:QKG524386 QKG589854:QKG589876 QKG589878:QKG589922 QKG655390:QKG655412 QKG655414:QKG655458 QKG720926:QKG720948 QKG720950:QKG720994 QKG786462:QKG786484 QKG786486:QKG786530 QKG851998:QKG852020 QKG852022:QKG852066 QKG917534:QKG917556 QKG917558:QKG917602 QKG983070:QKG983092 QKG983094:QKG983138 QTY98:QTY101 QTY65637:QTY65640 QTY131173:QTY131176 QTY196709:QTY196712 QTY262245:QTY262248 QTY327781:QTY327784 QTY393317:QTY393320 QTY458853:QTY458856 QTY524389:QTY524392 QTY589925:QTY589928 QTY655461:QTY655464 QTY720997:QTY721000 QTY786533:QTY786536 QTY852069:QTY852072 QTY917605:QTY917608 QTY983141:QTY983144 QUC16:QUC38 QUC40:QUC95 QUC65566:QUC65588 QUC65590:QUC65634 QUC131102:QUC131124 QUC131126:QUC131170 QUC196638:QUC196660 QUC196662:QUC196706 QUC262174:QUC262196 QUC262198:QUC262242 QUC327710:QUC327732 QUC327734:QUC327778 QUC393246:QUC393268 QUC393270:QUC393314 QUC458782:QUC458804 QUC458806:QUC458850 QUC524318:QUC524340 QUC524342:QUC524386 QUC589854:QUC589876 QUC589878:QUC589922 QUC655390:QUC655412 QUC655414:QUC655458 QUC720926:QUC720948 QUC720950:QUC720994 QUC786462:QUC786484 QUC786486:QUC786530 QUC851998:QUC852020 QUC852022:QUC852066 QUC917534:QUC917556 QUC917558:QUC917602 QUC983070:QUC983092 QUC983094:QUC983138 RDU98:RDU101 RDU65637:RDU65640 RDU131173:RDU131176 RDU196709:RDU196712 RDU262245:RDU262248 RDU327781:RDU327784 RDU393317:RDU393320 RDU458853:RDU458856 RDU524389:RDU524392 RDU589925:RDU589928 RDU655461:RDU655464 RDU720997:RDU721000 RDU786533:RDU786536 RDU852069:RDU852072 RDU917605:RDU917608 RDU983141:RDU983144 RDY16:RDY38 RDY40:RDY95 RDY65566:RDY65588 RDY65590:RDY65634 RDY131102:RDY131124 RDY131126:RDY131170 RDY196638:RDY196660 RDY196662:RDY196706 RDY262174:RDY262196 RDY262198:RDY262242 RDY327710:RDY327732 RDY327734:RDY327778 RDY393246:RDY393268 RDY393270:RDY393314 RDY458782:RDY458804 RDY458806:RDY458850 RDY524318:RDY524340 RDY524342:RDY524386 RDY589854:RDY589876 RDY589878:RDY589922 RDY655390:RDY655412 RDY655414:RDY655458 RDY720926:RDY720948 RDY720950:RDY720994 RDY786462:RDY786484 RDY786486:RDY786530 RDY851998:RDY852020 RDY852022:RDY852066 RDY917534:RDY917556 RDY917558:RDY917602 RDY983070:RDY983092 RDY983094:RDY983138 RNQ98:RNQ101 RNQ65637:RNQ65640 RNQ131173:RNQ131176 RNQ196709:RNQ196712 RNQ262245:RNQ262248 RNQ327781:RNQ327784 RNQ393317:RNQ393320 RNQ458853:RNQ458856 RNQ524389:RNQ524392 RNQ589925:RNQ589928 RNQ655461:RNQ655464 RNQ720997:RNQ721000 RNQ786533:RNQ786536 RNQ852069:RNQ852072 RNQ917605:RNQ917608 RNQ983141:RNQ983144 RNU16:RNU38 RNU40:RNU95 RNU65566:RNU65588 RNU65590:RNU65634 RNU131102:RNU131124 RNU131126:RNU131170 RNU196638:RNU196660 RNU196662:RNU196706 RNU262174:RNU262196 RNU262198:RNU262242 RNU327710:RNU327732 RNU327734:RNU327778 RNU393246:RNU393268 RNU393270:RNU393314 RNU458782:RNU458804 RNU458806:RNU458850 RNU524318:RNU524340 RNU524342:RNU524386 RNU589854:RNU589876 RNU589878:RNU589922 RNU655390:RNU655412 RNU655414:RNU655458 RNU720926:RNU720948 RNU720950:RNU720994 RNU786462:RNU786484 RNU786486:RNU786530 RNU851998:RNU852020 RNU852022:RNU852066 RNU917534:RNU917556 RNU917558:RNU917602 RNU983070:RNU983092 RNU983094:RNU983138 RXM98:RXM101 RXM65637:RXM65640 RXM131173:RXM131176 RXM196709:RXM196712 RXM262245:RXM262248 RXM327781:RXM327784 RXM393317:RXM393320 RXM458853:RXM458856 RXM524389:RXM524392 RXM589925:RXM589928 RXM655461:RXM655464 RXM720997:RXM721000 RXM786533:RXM786536 RXM852069:RXM852072 RXM917605:RXM917608 RXM983141:RXM983144 RXQ16:RXQ38 RXQ40:RXQ95 RXQ65566:RXQ65588 RXQ65590:RXQ65634 RXQ131102:RXQ131124 RXQ131126:RXQ131170 RXQ196638:RXQ196660 RXQ196662:RXQ196706 RXQ262174:RXQ262196 RXQ262198:RXQ262242 RXQ327710:RXQ327732 RXQ327734:RXQ327778 RXQ393246:RXQ393268 RXQ393270:RXQ393314 RXQ458782:RXQ458804 RXQ458806:RXQ458850 RXQ524318:RXQ524340 RXQ524342:RXQ524386 RXQ589854:RXQ589876 RXQ589878:RXQ589922 RXQ655390:RXQ655412 RXQ655414:RXQ655458 RXQ720926:RXQ720948 RXQ720950:RXQ720994 RXQ786462:RXQ786484 RXQ786486:RXQ786530 RXQ851998:RXQ852020 RXQ852022:RXQ852066 RXQ917534:RXQ917556 RXQ917558:RXQ917602 RXQ983070:RXQ983092 RXQ983094:RXQ983138 SHI98:SHI101 SHI65637:SHI65640 SHI131173:SHI131176 SHI196709:SHI196712 SHI262245:SHI262248 SHI327781:SHI327784 SHI393317:SHI393320 SHI458853:SHI458856 SHI524389:SHI524392 SHI589925:SHI589928 SHI655461:SHI655464 SHI720997:SHI721000 SHI786533:SHI786536 SHI852069:SHI852072 SHI917605:SHI917608 SHI983141:SHI983144 SHM16:SHM38 SHM40:SHM95 SHM65566:SHM65588 SHM65590:SHM65634 SHM131102:SHM131124 SHM131126:SHM131170 SHM196638:SHM196660 SHM196662:SHM196706 SHM262174:SHM262196 SHM262198:SHM262242 SHM327710:SHM327732 SHM327734:SHM327778 SHM393246:SHM393268 SHM393270:SHM393314 SHM458782:SHM458804 SHM458806:SHM458850 SHM524318:SHM524340 SHM524342:SHM524386 SHM589854:SHM589876 SHM589878:SHM589922 SHM655390:SHM655412 SHM655414:SHM655458 SHM720926:SHM720948 SHM720950:SHM720994 SHM786462:SHM786484 SHM786486:SHM786530 SHM851998:SHM852020 SHM852022:SHM852066 SHM917534:SHM917556 SHM917558:SHM917602 SHM983070:SHM983092 SHM983094:SHM983138 SRE98:SRE101 SRE65637:SRE65640 SRE131173:SRE131176 SRE196709:SRE196712 SRE262245:SRE262248 SRE327781:SRE327784 SRE393317:SRE393320 SRE458853:SRE458856 SRE524389:SRE524392 SRE589925:SRE589928 SRE655461:SRE655464 SRE720997:SRE721000 SRE786533:SRE786536 SRE852069:SRE852072 SRE917605:SRE917608 SRE983141:SRE983144 SRI16:SRI38 SRI40:SRI95 SRI65566:SRI65588 SRI65590:SRI65634 SRI131102:SRI131124 SRI131126:SRI131170 SRI196638:SRI196660 SRI196662:SRI196706 SRI262174:SRI262196 SRI262198:SRI262242 SRI327710:SRI327732 SRI327734:SRI327778 SRI393246:SRI393268 SRI393270:SRI393314 SRI458782:SRI458804 SRI458806:SRI458850 SRI524318:SRI524340 SRI524342:SRI524386 SRI589854:SRI589876 SRI589878:SRI589922 SRI655390:SRI655412 SRI655414:SRI655458 SRI720926:SRI720948 SRI720950:SRI720994 SRI786462:SRI786484 SRI786486:SRI786530 SRI851998:SRI852020 SRI852022:SRI852066 SRI917534:SRI917556 SRI917558:SRI917602 SRI983070:SRI983092 SRI983094:SRI983138 TBA98:TBA101 TBA65637:TBA65640 TBA131173:TBA131176 TBA196709:TBA196712 TBA262245:TBA262248 TBA327781:TBA327784 TBA393317:TBA393320 TBA458853:TBA458856 TBA524389:TBA524392 TBA589925:TBA589928 TBA655461:TBA655464 TBA720997:TBA721000 TBA786533:TBA786536 TBA852069:TBA852072 TBA917605:TBA917608 TBA983141:TBA983144 TBE16:TBE38 TBE40:TBE95 TBE65566:TBE65588 TBE65590:TBE65634 TBE131102:TBE131124 TBE131126:TBE131170 TBE196638:TBE196660 TBE196662:TBE196706 TBE262174:TBE262196 TBE262198:TBE262242 TBE327710:TBE327732 TBE327734:TBE327778 TBE393246:TBE393268 TBE393270:TBE393314 TBE458782:TBE458804 TBE458806:TBE458850 TBE524318:TBE524340 TBE524342:TBE524386 TBE589854:TBE589876 TBE589878:TBE589922 TBE655390:TBE655412 TBE655414:TBE655458 TBE720926:TBE720948 TBE720950:TBE720994 TBE786462:TBE786484 TBE786486:TBE786530 TBE851998:TBE852020 TBE852022:TBE852066 TBE917534:TBE917556 TBE917558:TBE917602 TBE983070:TBE983092 TBE983094:TBE983138 TKW98:TKW101 TKW65637:TKW65640 TKW131173:TKW131176 TKW196709:TKW196712 TKW262245:TKW262248 TKW327781:TKW327784 TKW393317:TKW393320 TKW458853:TKW458856 TKW524389:TKW524392 TKW589925:TKW589928 TKW655461:TKW655464 TKW720997:TKW721000 TKW786533:TKW786536 TKW852069:TKW852072 TKW917605:TKW917608 TKW983141:TKW983144 TLA16:TLA38 TLA40:TLA95 TLA65566:TLA65588 TLA65590:TLA65634 TLA131102:TLA131124 TLA131126:TLA131170 TLA196638:TLA196660 TLA196662:TLA196706 TLA262174:TLA262196 TLA262198:TLA262242 TLA327710:TLA327732 TLA327734:TLA327778 TLA393246:TLA393268 TLA393270:TLA393314 TLA458782:TLA458804 TLA458806:TLA458850 TLA524318:TLA524340 TLA524342:TLA524386 TLA589854:TLA589876 TLA589878:TLA589922 TLA655390:TLA655412 TLA655414:TLA655458 TLA720926:TLA720948 TLA720950:TLA720994 TLA786462:TLA786484 TLA786486:TLA786530 TLA851998:TLA852020 TLA852022:TLA852066 TLA917534:TLA917556 TLA917558:TLA917602 TLA983070:TLA983092 TLA983094:TLA983138 TUS98:TUS101 TUS65637:TUS65640 TUS131173:TUS131176 TUS196709:TUS196712 TUS262245:TUS262248 TUS327781:TUS327784 TUS393317:TUS393320 TUS458853:TUS458856 TUS524389:TUS524392 TUS589925:TUS589928 TUS655461:TUS655464 TUS720997:TUS721000 TUS786533:TUS786536 TUS852069:TUS852072 TUS917605:TUS917608 TUS983141:TUS983144 TUW16:TUW38 TUW40:TUW95 TUW65566:TUW65588 TUW65590:TUW65634 TUW131102:TUW131124 TUW131126:TUW131170 TUW196638:TUW196660 TUW196662:TUW196706 TUW262174:TUW262196 TUW262198:TUW262242 TUW327710:TUW327732 TUW327734:TUW327778 TUW393246:TUW393268 TUW393270:TUW393314 TUW458782:TUW458804 TUW458806:TUW458850 TUW524318:TUW524340 TUW524342:TUW524386 TUW589854:TUW589876 TUW589878:TUW589922 TUW655390:TUW655412 TUW655414:TUW655458 TUW720926:TUW720948 TUW720950:TUW720994 TUW786462:TUW786484 TUW786486:TUW786530 TUW851998:TUW852020 TUW852022:TUW852066 TUW917534:TUW917556 TUW917558:TUW917602 TUW983070:TUW983092 TUW983094:TUW983138 UEO98:UEO101 UEO65637:UEO65640 UEO131173:UEO131176 UEO196709:UEO196712 UEO262245:UEO262248 UEO327781:UEO327784 UEO393317:UEO393320 UEO458853:UEO458856 UEO524389:UEO524392 UEO589925:UEO589928 UEO655461:UEO655464 UEO720997:UEO721000 UEO786533:UEO786536 UEO852069:UEO852072 UEO917605:UEO917608 UEO983141:UEO983144 UES16:UES38 UES40:UES95 UES65566:UES65588 UES65590:UES65634 UES131102:UES131124 UES131126:UES131170 UES196638:UES196660 UES196662:UES196706 UES262174:UES262196 UES262198:UES262242 UES327710:UES327732 UES327734:UES327778 UES393246:UES393268 UES393270:UES393314 UES458782:UES458804 UES458806:UES458850 UES524318:UES524340 UES524342:UES524386 UES589854:UES589876 UES589878:UES589922 UES655390:UES655412 UES655414:UES655458 UES720926:UES720948 UES720950:UES720994 UES786462:UES786484 UES786486:UES786530 UES851998:UES852020 UES852022:UES852066 UES917534:UES917556 UES917558:UES917602 UES983070:UES983092 UES983094:UES983138 UOK98:UOK101 UOK65637:UOK65640 UOK131173:UOK131176 UOK196709:UOK196712 UOK262245:UOK262248 UOK327781:UOK327784 UOK393317:UOK393320 UOK458853:UOK458856 UOK524389:UOK524392 UOK589925:UOK589928 UOK655461:UOK655464 UOK720997:UOK721000 UOK786533:UOK786536 UOK852069:UOK852072 UOK917605:UOK917608 UOK983141:UOK983144 UOO16:UOO38 UOO40:UOO95 UOO65566:UOO65588 UOO65590:UOO65634 UOO131102:UOO131124 UOO131126:UOO131170 UOO196638:UOO196660 UOO196662:UOO196706 UOO262174:UOO262196 UOO262198:UOO262242 UOO327710:UOO327732 UOO327734:UOO327778 UOO393246:UOO393268 UOO393270:UOO393314 UOO458782:UOO458804 UOO458806:UOO458850 UOO524318:UOO524340 UOO524342:UOO524386 UOO589854:UOO589876 UOO589878:UOO589922 UOO655390:UOO655412 UOO655414:UOO655458 UOO720926:UOO720948 UOO720950:UOO720994 UOO786462:UOO786484 UOO786486:UOO786530 UOO851998:UOO852020 UOO852022:UOO852066 UOO917534:UOO917556 UOO917558:UOO917602 UOO983070:UOO983092 UOO983094:UOO983138 UYG98:UYG101 UYG65637:UYG65640 UYG131173:UYG131176 UYG196709:UYG196712 UYG262245:UYG262248 UYG327781:UYG327784 UYG393317:UYG393320 UYG458853:UYG458856 UYG524389:UYG524392 UYG589925:UYG589928 UYG655461:UYG655464 UYG720997:UYG721000 UYG786533:UYG786536 UYG852069:UYG852072 UYG917605:UYG917608 UYG983141:UYG983144 UYK16:UYK38 UYK40:UYK95 UYK65566:UYK65588 UYK65590:UYK65634 UYK131102:UYK131124 UYK131126:UYK131170 UYK196638:UYK196660 UYK196662:UYK196706 UYK262174:UYK262196 UYK262198:UYK262242 UYK327710:UYK327732 UYK327734:UYK327778 UYK393246:UYK393268 UYK393270:UYK393314 UYK458782:UYK458804 UYK458806:UYK458850 UYK524318:UYK524340 UYK524342:UYK524386 UYK589854:UYK589876 UYK589878:UYK589922 UYK655390:UYK655412 UYK655414:UYK655458 UYK720926:UYK720948 UYK720950:UYK720994 UYK786462:UYK786484 UYK786486:UYK786530 UYK851998:UYK852020 UYK852022:UYK852066 UYK917534:UYK917556 UYK917558:UYK917602 UYK983070:UYK983092 UYK983094:UYK983138 VIC98:VIC101 VIC65637:VIC65640 VIC131173:VIC131176 VIC196709:VIC196712 VIC262245:VIC262248 VIC327781:VIC327784 VIC393317:VIC393320 VIC458853:VIC458856 VIC524389:VIC524392 VIC589925:VIC589928 VIC655461:VIC655464 VIC720997:VIC721000 VIC786533:VIC786536 VIC852069:VIC852072 VIC917605:VIC917608 VIC983141:VIC983144 VIG16:VIG38 VIG40:VIG95 VIG65566:VIG65588 VIG65590:VIG65634 VIG131102:VIG131124 VIG131126:VIG131170 VIG196638:VIG196660 VIG196662:VIG196706 VIG262174:VIG262196 VIG262198:VIG262242 VIG327710:VIG327732 VIG327734:VIG327778 VIG393246:VIG393268 VIG393270:VIG393314 VIG458782:VIG458804 VIG458806:VIG458850 VIG524318:VIG524340 VIG524342:VIG524386 VIG589854:VIG589876 VIG589878:VIG589922 VIG655390:VIG655412 VIG655414:VIG655458 VIG720926:VIG720948 VIG720950:VIG720994 VIG786462:VIG786484 VIG786486:VIG786530 VIG851998:VIG852020 VIG852022:VIG852066 VIG917534:VIG917556 VIG917558:VIG917602 VIG983070:VIG983092 VIG983094:VIG983138 VRY98:VRY101 VRY65637:VRY65640 VRY131173:VRY131176 VRY196709:VRY196712 VRY262245:VRY262248 VRY327781:VRY327784 VRY393317:VRY393320 VRY458853:VRY458856 VRY524389:VRY524392 VRY589925:VRY589928 VRY655461:VRY655464 VRY720997:VRY721000 VRY786533:VRY786536 VRY852069:VRY852072 VRY917605:VRY917608 VRY983141:VRY983144 VSC16:VSC38 VSC40:VSC95 VSC65566:VSC65588 VSC65590:VSC65634 VSC131102:VSC131124 VSC131126:VSC131170 VSC196638:VSC196660 VSC196662:VSC196706 VSC262174:VSC262196 VSC262198:VSC262242 VSC327710:VSC327732 VSC327734:VSC327778 VSC393246:VSC393268 VSC393270:VSC393314 VSC458782:VSC458804 VSC458806:VSC458850 VSC524318:VSC524340 VSC524342:VSC524386 VSC589854:VSC589876 VSC589878:VSC589922 VSC655390:VSC655412 VSC655414:VSC655458 VSC720926:VSC720948 VSC720950:VSC720994 VSC786462:VSC786484 VSC786486:VSC786530 VSC851998:VSC852020 VSC852022:VSC852066 VSC917534:VSC917556 VSC917558:VSC917602 VSC983070:VSC983092 VSC983094:VSC983138 WBU98:WBU101 WBU65637:WBU65640 WBU131173:WBU131176 WBU196709:WBU196712 WBU262245:WBU262248 WBU327781:WBU327784 WBU393317:WBU393320 WBU458853:WBU458856 WBU524389:WBU524392 WBU589925:WBU589928 WBU655461:WBU655464 WBU720997:WBU721000 WBU786533:WBU786536 WBU852069:WBU852072 WBU917605:WBU917608 WBU983141:WBU983144 WBY16:WBY38 WBY40:WBY95 WBY65566:WBY65588 WBY65590:WBY65634 WBY131102:WBY131124 WBY131126:WBY131170 WBY196638:WBY196660 WBY196662:WBY196706 WBY262174:WBY262196 WBY262198:WBY262242 WBY327710:WBY327732 WBY327734:WBY327778 WBY393246:WBY393268 WBY393270:WBY393314 WBY458782:WBY458804 WBY458806:WBY458850 WBY524318:WBY524340 WBY524342:WBY524386 WBY589854:WBY589876 WBY589878:WBY589922 WBY655390:WBY655412 WBY655414:WBY655458 WBY720926:WBY720948 WBY720950:WBY720994 WBY786462:WBY786484 WBY786486:WBY786530 WBY851998:WBY852020 WBY852022:WBY852066 WBY917534:WBY917556 WBY917558:WBY917602 WBY983070:WBY983092 WBY983094:WBY983138 WLQ98:WLQ101 WLQ65637:WLQ65640 WLQ131173:WLQ131176 WLQ196709:WLQ196712 WLQ262245:WLQ262248 WLQ327781:WLQ327784 WLQ393317:WLQ393320 WLQ458853:WLQ458856 WLQ524389:WLQ524392 WLQ589925:WLQ589928 WLQ655461:WLQ655464 WLQ720997:WLQ721000 WLQ786533:WLQ786536 WLQ852069:WLQ852072 WLQ917605:WLQ917608 WLQ983141:WLQ983144 WLU16:WLU38 WLU40:WLU95 WLU65566:WLU65588 WLU65590:WLU65634 WLU131102:WLU131124 WLU131126:WLU131170 WLU196638:WLU196660 WLU196662:WLU196706 WLU262174:WLU262196 WLU262198:WLU262242 WLU327710:WLU327732 WLU327734:WLU327778 WLU393246:WLU393268 WLU393270:WLU393314 WLU458782:WLU458804 WLU458806:WLU458850 WLU524318:WLU524340 WLU524342:WLU524386 WLU589854:WLU589876 WLU589878:WLU589922 WLU655390:WLU655412 WLU655414:WLU655458 WLU720926:WLU720948 WLU720950:WLU720994 WLU786462:WLU786484 WLU786486:WLU786530 WLU851998:WLU852020 WLU852022:WLU852066 WLU917534:WLU917556 WLU917558:WLU917602 WLU983070:WLU983092 WLU983094:WLU983138 WVM98:WVM101 WVM65637:WVM65640 WVM131173:WVM131176 WVM196709:WVM196712 WVM262245:WVM262248 WVM327781:WVM327784 WVM393317:WVM393320 WVM458853:WVM458856 WVM524389:WVM524392 WVM589925:WVM589928 WVM655461:WVM655464 WVM720997:WVM721000 WVM786533:WVM786536 WVM852069:WVM852072 WVM917605:WVM917608 WVM983141:WVM983144 WVQ16:WVQ38 WVQ40:WVQ95 WVQ65566:WVQ65588 WVQ65590:WVQ65634 WVQ131102:WVQ131124 WVQ131126:WVQ131170 WVQ196638:WVQ196660 WVQ196662:WVQ196706 WVQ262174:WVQ262196 WVQ262198:WVQ262242 WVQ327710:WVQ327732 WVQ327734:WVQ327778 WVQ393246:WVQ393268 WVQ393270:WVQ393314 WVQ458782:WVQ458804 WVQ458806:WVQ458850 WVQ524318:WVQ524340 WVQ524342:WVQ524386 WVQ589854:WVQ589876 WVQ589878:WVQ589922 WVQ655390:WVQ655412 WVQ655414:WVQ655458 WVQ720926:WVQ720948 WVQ720950:WVQ720994 WVQ786462:WVQ786484 WVQ786486:WVQ786530 WVQ851998:WVQ852020 WVQ852022:WVQ852066 WVQ917534:WVQ917556 WVQ917558:WVQ917602 WVQ983070:WVQ983092 WVQ983094:WVQ983138">
      <formula1>"■基线,□观测项"</formula1>
    </dataValidation>
    <dataValidation type="list" allowBlank="1" showInputMessage="1" showErrorMessage="1" sqref="F96 JB96 SX96 ACT96 AMP96 AWL96 BGH96 BQD96 BZZ96 CJV96 CTR96 DDN96 DNJ96 DXF96 EHB96 EQX96 FAT96 FKP96 FUL96 GEH96 GOD96 GXZ96 HHV96 HRR96 IBN96 ILJ96 IVF96 JFB96 JOX96 JYT96 KIP96 KSL96 LCH96 LMD96 LVZ96 MFV96 MPR96 MZN96 NJJ96 NTF96 ODB96 OMX96 OWT96 PGP96 PQL96 QAH96 QKD96 QTZ96 RDV96 RNR96 RXN96 SHJ96 SRF96 TBB96 TKX96 TUT96 UEP96 UOL96 UYH96 VID96 VRZ96 WBV96 WLR96 WVN96 F106 F65635 JB65635 SX65635 ACT65635 AMP65635 AWL65635 BGH65635 BQD65635 BZZ65635 CJV65635 CTR65635 DDN65635 DNJ65635 DXF65635 EHB65635 EQX65635 FAT65635 FKP65635 FUL65635 GEH65635 GOD65635 GXZ65635 HHV65635 HRR65635 IBN65635 ILJ65635 IVF65635 JFB65635 JOX65635 JYT65635 KIP65635 KSL65635 LCH65635 LMD65635 LVZ65635 MFV65635 MPR65635 MZN65635 NJJ65635 NTF65635 ODB65635 OMX65635 OWT65635 PGP65635 PQL65635 QAH65635 QKD65635 QTZ65635 RDV65635 RNR65635 RXN65635 SHJ65635 SRF65635 TBB65635 TKX65635 TUT65635 UEP65635 UOL65635 UYH65635 VID65635 VRZ65635 WBV65635 WLR65635 WVN65635 F131171 JB131171 SX131171 ACT131171 AMP131171 AWL131171 BGH131171 BQD131171 BZZ131171 CJV131171 CTR131171 DDN131171 DNJ131171 DXF131171 EHB131171 EQX131171 FAT131171 FKP131171 FUL131171 GEH131171 GOD131171 GXZ131171 HHV131171 HRR131171 IBN131171 ILJ131171 IVF131171 JFB131171 JOX131171 JYT131171 KIP131171 KSL131171 LCH131171 LMD131171 LVZ131171 MFV131171 MPR131171 MZN131171 NJJ131171 NTF131171 ODB131171 OMX131171 OWT131171 PGP131171 PQL131171 QAH131171 QKD131171 QTZ131171 RDV131171 RNR131171 RXN131171 SHJ131171 SRF131171 TBB131171 TKX131171 TUT131171 UEP131171 UOL131171 UYH131171 VID131171 VRZ131171 WBV131171 WLR131171 WVN131171 F196707 JB196707 SX196707 ACT196707 AMP196707 AWL196707 BGH196707 BQD196707 BZZ196707 CJV196707 CTR196707 DDN196707 DNJ196707 DXF196707 EHB196707 EQX196707 FAT196707 FKP196707 FUL196707 GEH196707 GOD196707 GXZ196707 HHV196707 HRR196707 IBN196707 ILJ196707 IVF196707 JFB196707 JOX196707 JYT196707 KIP196707 KSL196707 LCH196707 LMD196707 LVZ196707 MFV196707 MPR196707 MZN196707 NJJ196707 NTF196707 ODB196707 OMX196707 OWT196707 PGP196707 PQL196707 QAH196707 QKD196707 QTZ196707 RDV196707 RNR196707 RXN196707 SHJ196707 SRF196707 TBB196707 TKX196707 TUT196707 UEP196707 UOL196707 UYH196707 VID196707 VRZ196707 WBV196707 WLR196707 WVN196707 F262243 JB262243 SX262243 ACT262243 AMP262243 AWL262243 BGH262243 BQD262243 BZZ262243 CJV262243 CTR262243 DDN262243 DNJ262243 DXF262243 EHB262243 EQX262243 FAT262243 FKP262243 FUL262243 GEH262243 GOD262243 GXZ262243 HHV262243 HRR262243 IBN262243 ILJ262243 IVF262243 JFB262243 JOX262243 JYT262243 KIP262243 KSL262243 LCH262243 LMD262243 LVZ262243 MFV262243 MPR262243 MZN262243 NJJ262243 NTF262243 ODB262243 OMX262243 OWT262243 PGP262243 PQL262243 QAH262243 QKD262243 QTZ262243 RDV262243 RNR262243 RXN262243 SHJ262243 SRF262243 TBB262243 TKX262243 TUT262243 UEP262243 UOL262243 UYH262243 VID262243 VRZ262243 WBV262243 WLR262243 WVN262243 F327779 JB327779 SX327779 ACT327779 AMP327779 AWL327779 BGH327779 BQD327779 BZZ327779 CJV327779 CTR327779 DDN327779 DNJ327779 DXF327779 EHB327779 EQX327779 FAT327779 FKP327779 FUL327779 GEH327779 GOD327779 GXZ327779 HHV327779 HRR327779 IBN327779 ILJ327779 IVF327779 JFB327779 JOX327779 JYT327779 KIP327779 KSL327779 LCH327779 LMD327779 LVZ327779 MFV327779 MPR327779 MZN327779 NJJ327779 NTF327779 ODB327779 OMX327779 OWT327779 PGP327779 PQL327779 QAH327779 QKD327779 QTZ327779 RDV327779 RNR327779 RXN327779 SHJ327779 SRF327779 TBB327779 TKX327779 TUT327779 UEP327779 UOL327779 UYH327779 VID327779 VRZ327779 WBV327779 WLR327779 WVN327779 F393315 JB393315 SX393315 ACT393315 AMP393315 AWL393315 BGH393315 BQD393315 BZZ393315 CJV393315 CTR393315 DDN393315 DNJ393315 DXF393315 EHB393315 EQX393315 FAT393315 FKP393315 FUL393315 GEH393315 GOD393315 GXZ393315 HHV393315 HRR393315 IBN393315 ILJ393315 IVF393315 JFB393315 JOX393315 JYT393315 KIP393315 KSL393315 LCH393315 LMD393315 LVZ393315 MFV393315 MPR393315 MZN393315 NJJ393315 NTF393315 ODB393315 OMX393315 OWT393315 PGP393315 PQL393315 QAH393315 QKD393315 QTZ393315 RDV393315 RNR393315 RXN393315 SHJ393315 SRF393315 TBB393315 TKX393315 TUT393315 UEP393315 UOL393315 UYH393315 VID393315 VRZ393315 WBV393315 WLR393315 WVN393315 F458851 JB458851 SX458851 ACT458851 AMP458851 AWL458851 BGH458851 BQD458851 BZZ458851 CJV458851 CTR458851 DDN458851 DNJ458851 DXF458851 EHB458851 EQX458851 FAT458851 FKP458851 FUL458851 GEH458851 GOD458851 GXZ458851 HHV458851 HRR458851 IBN458851 ILJ458851 IVF458851 JFB458851 JOX458851 JYT458851 KIP458851 KSL458851 LCH458851 LMD458851 LVZ458851 MFV458851 MPR458851 MZN458851 NJJ458851 NTF458851 ODB458851 OMX458851 OWT458851 PGP458851 PQL458851 QAH458851 QKD458851 QTZ458851 RDV458851 RNR458851 RXN458851 SHJ458851 SRF458851 TBB458851 TKX458851 TUT458851 UEP458851 UOL458851 UYH458851 VID458851 VRZ458851 WBV458851 WLR458851 WVN458851 F524387 JB524387 SX524387 ACT524387 AMP524387 AWL524387 BGH524387 BQD524387 BZZ524387 CJV524387 CTR524387 DDN524387 DNJ524387 DXF524387 EHB524387 EQX524387 FAT524387 FKP524387 FUL524387 GEH524387 GOD524387 GXZ524387 HHV524387 HRR524387 IBN524387 ILJ524387 IVF524387 JFB524387 JOX524387 JYT524387 KIP524387 KSL524387 LCH524387 LMD524387 LVZ524387 MFV524387 MPR524387 MZN524387 NJJ524387 NTF524387 ODB524387 OMX524387 OWT524387 PGP524387 PQL524387 QAH524387 QKD524387 QTZ524387 RDV524387 RNR524387 RXN524387 SHJ524387 SRF524387 TBB524387 TKX524387 TUT524387 UEP524387 UOL524387 UYH524387 VID524387 VRZ524387 WBV524387 WLR524387 WVN524387 F589923 JB589923 SX589923 ACT589923 AMP589923 AWL589923 BGH589923 BQD589923 BZZ589923 CJV589923 CTR589923 DDN589923 DNJ589923 DXF589923 EHB589923 EQX589923 FAT589923 FKP589923 FUL589923 GEH589923 GOD589923 GXZ589923 HHV589923 HRR589923 IBN589923 ILJ589923 IVF589923 JFB589923 JOX589923 JYT589923 KIP589923 KSL589923 LCH589923 LMD589923 LVZ589923 MFV589923 MPR589923 MZN589923 NJJ589923 NTF589923 ODB589923 OMX589923 OWT589923 PGP589923 PQL589923 QAH589923 QKD589923 QTZ589923 RDV589923 RNR589923 RXN589923 SHJ589923 SRF589923 TBB589923 TKX589923 TUT589923 UEP589923 UOL589923 UYH589923 VID589923 VRZ589923 WBV589923 WLR589923 WVN589923 F655459 JB655459 SX655459 ACT655459 AMP655459 AWL655459 BGH655459 BQD655459 BZZ655459 CJV655459 CTR655459 DDN655459 DNJ655459 DXF655459 EHB655459 EQX655459 FAT655459 FKP655459 FUL655459 GEH655459 GOD655459 GXZ655459 HHV655459 HRR655459 IBN655459 ILJ655459 IVF655459 JFB655459 JOX655459 JYT655459 KIP655459 KSL655459 LCH655459 LMD655459 LVZ655459 MFV655459 MPR655459 MZN655459 NJJ655459 NTF655459 ODB655459 OMX655459 OWT655459 PGP655459 PQL655459 QAH655459 QKD655459 QTZ655459 RDV655459 RNR655459 RXN655459 SHJ655459 SRF655459 TBB655459 TKX655459 TUT655459 UEP655459 UOL655459 UYH655459 VID655459 VRZ655459 WBV655459 WLR655459 WVN655459 F720995 JB720995 SX720995 ACT720995 AMP720995 AWL720995 BGH720995 BQD720995 BZZ720995 CJV720995 CTR720995 DDN720995 DNJ720995 DXF720995 EHB720995 EQX720995 FAT720995 FKP720995 FUL720995 GEH720995 GOD720995 GXZ720995 HHV720995 HRR720995 IBN720995 ILJ720995 IVF720995 JFB720995 JOX720995 JYT720995 KIP720995 KSL720995 LCH720995 LMD720995 LVZ720995 MFV720995 MPR720995 MZN720995 NJJ720995 NTF720995 ODB720995 OMX720995 OWT720995 PGP720995 PQL720995 QAH720995 QKD720995 QTZ720995 RDV720995 RNR720995 RXN720995 SHJ720995 SRF720995 TBB720995 TKX720995 TUT720995 UEP720995 UOL720995 UYH720995 VID720995 VRZ720995 WBV720995 WLR720995 WVN720995 F786531 JB786531 SX786531 ACT786531 AMP786531 AWL786531 BGH786531 BQD786531 BZZ786531 CJV786531 CTR786531 DDN786531 DNJ786531 DXF786531 EHB786531 EQX786531 FAT786531 FKP786531 FUL786531 GEH786531 GOD786531 GXZ786531 HHV786531 HRR786531 IBN786531 ILJ786531 IVF786531 JFB786531 JOX786531 JYT786531 KIP786531 KSL786531 LCH786531 LMD786531 LVZ786531 MFV786531 MPR786531 MZN786531 NJJ786531 NTF786531 ODB786531 OMX786531 OWT786531 PGP786531 PQL786531 QAH786531 QKD786531 QTZ786531 RDV786531 RNR786531 RXN786531 SHJ786531 SRF786531 TBB786531 TKX786531 TUT786531 UEP786531 UOL786531 UYH786531 VID786531 VRZ786531 WBV786531 WLR786531 WVN786531 F852067 JB852067 SX852067 ACT852067 AMP852067 AWL852067 BGH852067 BQD852067 BZZ852067 CJV852067 CTR852067 DDN852067 DNJ852067 DXF852067 EHB852067 EQX852067 FAT852067 FKP852067 FUL852067 GEH852067 GOD852067 GXZ852067 HHV852067 HRR852067 IBN852067 ILJ852067 IVF852067 JFB852067 JOX852067 JYT852067 KIP852067 KSL852067 LCH852067 LMD852067 LVZ852067 MFV852067 MPR852067 MZN852067 NJJ852067 NTF852067 ODB852067 OMX852067 OWT852067 PGP852067 PQL852067 QAH852067 QKD852067 QTZ852067 RDV852067 RNR852067 RXN852067 SHJ852067 SRF852067 TBB852067 TKX852067 TUT852067 UEP852067 UOL852067 UYH852067 VID852067 VRZ852067 WBV852067 WLR852067 WVN852067 F917603 JB917603 SX917603 ACT917603 AMP917603 AWL917603 BGH917603 BQD917603 BZZ917603 CJV917603 CTR917603 DDN917603 DNJ917603 DXF917603 EHB917603 EQX917603 FAT917603 FKP917603 FUL917603 GEH917603 GOD917603 GXZ917603 HHV917603 HRR917603 IBN917603 ILJ917603 IVF917603 JFB917603 JOX917603 JYT917603 KIP917603 KSL917603 LCH917603 LMD917603 LVZ917603 MFV917603 MPR917603 MZN917603 NJJ917603 NTF917603 ODB917603 OMX917603 OWT917603 PGP917603 PQL917603 QAH917603 QKD917603 QTZ917603 RDV917603 RNR917603 RXN917603 SHJ917603 SRF917603 TBB917603 TKX917603 TUT917603 UEP917603 UOL917603 UYH917603 VID917603 VRZ917603 WBV917603 WLR917603 WVN917603 F983139 JB983139 SX983139 ACT983139 AMP983139 AWL983139 BGH983139 BQD983139 BZZ983139 CJV983139 CTR983139 DDN983139 DNJ983139 DXF983139 EHB983139 EQX983139 FAT983139 FKP983139 FUL983139 GEH983139 GOD983139 GXZ983139 HHV983139 HRR983139 IBN983139 ILJ983139 IVF983139 JFB983139 JOX983139 JYT983139 KIP983139 KSL983139 LCH983139 LMD983139 LVZ983139 MFV983139 MPR983139 MZN983139 NJJ983139 NTF983139 ODB983139 OMX983139 OWT983139 PGP983139 PQL983139 QAH983139 QKD983139 QTZ983139 RDV983139 RNR983139 RXN983139 SHJ983139 SRF983139 TBB983139 TKX983139 TUT983139 UEP983139 UOL983139 UYH983139 VID983139 VRZ983139 WBV983139 WLR983139 WVN983139 F98:F104 F65637:F65644 F131173:F131180 F196709:F196716 F262245:F262252 F327781:F327788 F393317:F393324 F458853:F458860 F524389:F524396 F589925:F589932 F655461:F655468 F720997:F721004 F786533:F786540 F852069:F852076 F917605:F917612 F983141:F983148 J16:J95 J65566:J65588 J65590:J65634 J131102:J131124 J131126:J131170 J196638:J196660 J196662:J196706 J262174:J262196 J262198:J262242 J327710:J327732 J327734:J327778 J393246:J393268 J393270:J393314 J458782:J458804 J458806:J458850 J524318:J524340 J524342:J524386 J589854:J589876 J589878:J589922 J655390:J655412 J655414:J655458 J720926:J720948 J720950:J720994 J786462:J786484 J786486:J786530 J851998:J852020 J852022:J852066 J917534:J917556 J917558:J917602 J983070:J983092 J983094:J983138 JB98:JB104 JB65637:JB65644 JB131173:JB131180 JB196709:JB196716 JB262245:JB262252 JB327781:JB327788 JB393317:JB393324 JB458853:JB458860 JB524389:JB524396 JB589925:JB589932 JB655461:JB655468 JB720997:JB721004 JB786533:JB786540 JB852069:JB852076 JB917605:JB917612 JB983141:JB983148 JF16:JF38 JF40:JF95 JF65566:JF65588 JF65590:JF65634 JF131102:JF131124 JF131126:JF131170 JF196638:JF196660 JF196662:JF196706 JF262174:JF262196 JF262198:JF262242 JF327710:JF327732 JF327734:JF327778 JF393246:JF393268 JF393270:JF393314 JF458782:JF458804 JF458806:JF458850 JF524318:JF524340 JF524342:JF524386 JF589854:JF589876 JF589878:JF589922 JF655390:JF655412 JF655414:JF655458 JF720926:JF720948 JF720950:JF720994 JF786462:JF786484 JF786486:JF786530 JF851998:JF852020 JF852022:JF852066 JF917534:JF917556 JF917558:JF917602 JF983070:JF983092 JF983094:JF983138 SX98:SX104 SX65637:SX65644 SX131173:SX131180 SX196709:SX196716 SX262245:SX262252 SX327781:SX327788 SX393317:SX393324 SX458853:SX458860 SX524389:SX524396 SX589925:SX589932 SX655461:SX655468 SX720997:SX721004 SX786533:SX786540 SX852069:SX852076 SX917605:SX917612 SX983141:SX983148 TB16:TB38 TB40:TB95 TB65566:TB65588 TB65590:TB65634 TB131102:TB131124 TB131126:TB131170 TB196638:TB196660 TB196662:TB196706 TB262174:TB262196 TB262198:TB262242 TB327710:TB327732 TB327734:TB327778 TB393246:TB393268 TB393270:TB393314 TB458782:TB458804 TB458806:TB458850 TB524318:TB524340 TB524342:TB524386 TB589854:TB589876 TB589878:TB589922 TB655390:TB655412 TB655414:TB655458 TB720926:TB720948 TB720950:TB720994 TB786462:TB786484 TB786486:TB786530 TB851998:TB852020 TB852022:TB852066 TB917534:TB917556 TB917558:TB917602 TB983070:TB983092 TB983094:TB983138 ACT98:ACT104 ACT65637:ACT65644 ACT131173:ACT131180 ACT196709:ACT196716 ACT262245:ACT262252 ACT327781:ACT327788 ACT393317:ACT393324 ACT458853:ACT458860 ACT524389:ACT524396 ACT589925:ACT589932 ACT655461:ACT655468 ACT720997:ACT721004 ACT786533:ACT786540 ACT852069:ACT852076 ACT917605:ACT917612 ACT983141:ACT983148 ACX16:ACX38 ACX40:ACX95 ACX65566:ACX65588 ACX65590:ACX65634 ACX131102:ACX131124 ACX131126:ACX131170 ACX196638:ACX196660 ACX196662:ACX196706 ACX262174:ACX262196 ACX262198:ACX262242 ACX327710:ACX327732 ACX327734:ACX327778 ACX393246:ACX393268 ACX393270:ACX393314 ACX458782:ACX458804 ACX458806:ACX458850 ACX524318:ACX524340 ACX524342:ACX524386 ACX589854:ACX589876 ACX589878:ACX589922 ACX655390:ACX655412 ACX655414:ACX655458 ACX720926:ACX720948 ACX720950:ACX720994 ACX786462:ACX786484 ACX786486:ACX786530 ACX851998:ACX852020 ACX852022:ACX852066 ACX917534:ACX917556 ACX917558:ACX917602 ACX983070:ACX983092 ACX983094:ACX983138 AMP98:AMP104 AMP65637:AMP65644 AMP131173:AMP131180 AMP196709:AMP196716 AMP262245:AMP262252 AMP327781:AMP327788 AMP393317:AMP393324 AMP458853:AMP458860 AMP524389:AMP524396 AMP589925:AMP589932 AMP655461:AMP655468 AMP720997:AMP721004 AMP786533:AMP786540 AMP852069:AMP852076 AMP917605:AMP917612 AMP983141:AMP983148 AMT16:AMT38 AMT40:AMT95 AMT65566:AMT65588 AMT65590:AMT65634 AMT131102:AMT131124 AMT131126:AMT131170 AMT196638:AMT196660 AMT196662:AMT196706 AMT262174:AMT262196 AMT262198:AMT262242 AMT327710:AMT327732 AMT327734:AMT327778 AMT393246:AMT393268 AMT393270:AMT393314 AMT458782:AMT458804 AMT458806:AMT458850 AMT524318:AMT524340 AMT524342:AMT524386 AMT589854:AMT589876 AMT589878:AMT589922 AMT655390:AMT655412 AMT655414:AMT655458 AMT720926:AMT720948 AMT720950:AMT720994 AMT786462:AMT786484 AMT786486:AMT786530 AMT851998:AMT852020 AMT852022:AMT852066 AMT917534:AMT917556 AMT917558:AMT917602 AMT983070:AMT983092 AMT983094:AMT983138 AWL98:AWL104 AWL65637:AWL65644 AWL131173:AWL131180 AWL196709:AWL196716 AWL262245:AWL262252 AWL327781:AWL327788 AWL393317:AWL393324 AWL458853:AWL458860 AWL524389:AWL524396 AWL589925:AWL589932 AWL655461:AWL655468 AWL720997:AWL721004 AWL786533:AWL786540 AWL852069:AWL852076 AWL917605:AWL917612 AWL983141:AWL983148 AWP16:AWP38 AWP40:AWP95 AWP65566:AWP65588 AWP65590:AWP65634 AWP131102:AWP131124 AWP131126:AWP131170 AWP196638:AWP196660 AWP196662:AWP196706 AWP262174:AWP262196 AWP262198:AWP262242 AWP327710:AWP327732 AWP327734:AWP327778 AWP393246:AWP393268 AWP393270:AWP393314 AWP458782:AWP458804 AWP458806:AWP458850 AWP524318:AWP524340 AWP524342:AWP524386 AWP589854:AWP589876 AWP589878:AWP589922 AWP655390:AWP655412 AWP655414:AWP655458 AWP720926:AWP720948 AWP720950:AWP720994 AWP786462:AWP786484 AWP786486:AWP786530 AWP851998:AWP852020 AWP852022:AWP852066 AWP917534:AWP917556 AWP917558:AWP917602 AWP983070:AWP983092 AWP983094:AWP983138 BGH98:BGH104 BGH65637:BGH65644 BGH131173:BGH131180 BGH196709:BGH196716 BGH262245:BGH262252 BGH327781:BGH327788 BGH393317:BGH393324 BGH458853:BGH458860 BGH524389:BGH524396 BGH589925:BGH589932 BGH655461:BGH655468 BGH720997:BGH721004 BGH786533:BGH786540 BGH852069:BGH852076 BGH917605:BGH917612 BGH983141:BGH983148 BGL16:BGL38 BGL40:BGL95 BGL65566:BGL65588 BGL65590:BGL65634 BGL131102:BGL131124 BGL131126:BGL131170 BGL196638:BGL196660 BGL196662:BGL196706 BGL262174:BGL262196 BGL262198:BGL262242 BGL327710:BGL327732 BGL327734:BGL327778 BGL393246:BGL393268 BGL393270:BGL393314 BGL458782:BGL458804 BGL458806:BGL458850 BGL524318:BGL524340 BGL524342:BGL524386 BGL589854:BGL589876 BGL589878:BGL589922 BGL655390:BGL655412 BGL655414:BGL655458 BGL720926:BGL720948 BGL720950:BGL720994 BGL786462:BGL786484 BGL786486:BGL786530 BGL851998:BGL852020 BGL852022:BGL852066 BGL917534:BGL917556 BGL917558:BGL917602 BGL983070:BGL983092 BGL983094:BGL983138 BQD98:BQD104 BQD65637:BQD65644 BQD131173:BQD131180 BQD196709:BQD196716 BQD262245:BQD262252 BQD327781:BQD327788 BQD393317:BQD393324 BQD458853:BQD458860 BQD524389:BQD524396 BQD589925:BQD589932 BQD655461:BQD655468 BQD720997:BQD721004 BQD786533:BQD786540 BQD852069:BQD852076 BQD917605:BQD917612 BQD983141:BQD983148 BQH16:BQH38 BQH40:BQH95 BQH65566:BQH65588 BQH65590:BQH65634 BQH131102:BQH131124 BQH131126:BQH131170 BQH196638:BQH196660 BQH196662:BQH196706 BQH262174:BQH262196 BQH262198:BQH262242 BQH327710:BQH327732 BQH327734:BQH327778 BQH393246:BQH393268 BQH393270:BQH393314 BQH458782:BQH458804 BQH458806:BQH458850 BQH524318:BQH524340 BQH524342:BQH524386 BQH589854:BQH589876 BQH589878:BQH589922 BQH655390:BQH655412 BQH655414:BQH655458 BQH720926:BQH720948 BQH720950:BQH720994 BQH786462:BQH786484 BQH786486:BQH786530 BQH851998:BQH852020 BQH852022:BQH852066 BQH917534:BQH917556 BQH917558:BQH917602 BQH983070:BQH983092 BQH983094:BQH983138 BZZ98:BZZ104 BZZ65637:BZZ65644 BZZ131173:BZZ131180 BZZ196709:BZZ196716 BZZ262245:BZZ262252 BZZ327781:BZZ327788 BZZ393317:BZZ393324 BZZ458853:BZZ458860 BZZ524389:BZZ524396 BZZ589925:BZZ589932 BZZ655461:BZZ655468 BZZ720997:BZZ721004 BZZ786533:BZZ786540 BZZ852069:BZZ852076 BZZ917605:BZZ917612 BZZ983141:BZZ983148 CAD16:CAD38 CAD40:CAD95 CAD65566:CAD65588 CAD65590:CAD65634 CAD131102:CAD131124 CAD131126:CAD131170 CAD196638:CAD196660 CAD196662:CAD196706 CAD262174:CAD262196 CAD262198:CAD262242 CAD327710:CAD327732 CAD327734:CAD327778 CAD393246:CAD393268 CAD393270:CAD393314 CAD458782:CAD458804 CAD458806:CAD458850 CAD524318:CAD524340 CAD524342:CAD524386 CAD589854:CAD589876 CAD589878:CAD589922 CAD655390:CAD655412 CAD655414:CAD655458 CAD720926:CAD720948 CAD720950:CAD720994 CAD786462:CAD786484 CAD786486:CAD786530 CAD851998:CAD852020 CAD852022:CAD852066 CAD917534:CAD917556 CAD917558:CAD917602 CAD983070:CAD983092 CAD983094:CAD983138 CJV98:CJV104 CJV65637:CJV65644 CJV131173:CJV131180 CJV196709:CJV196716 CJV262245:CJV262252 CJV327781:CJV327788 CJV393317:CJV393324 CJV458853:CJV458860 CJV524389:CJV524396 CJV589925:CJV589932 CJV655461:CJV655468 CJV720997:CJV721004 CJV786533:CJV786540 CJV852069:CJV852076 CJV917605:CJV917612 CJV983141:CJV983148 CJZ16:CJZ38 CJZ40:CJZ95 CJZ65566:CJZ65588 CJZ65590:CJZ65634 CJZ131102:CJZ131124 CJZ131126:CJZ131170 CJZ196638:CJZ196660 CJZ196662:CJZ196706 CJZ262174:CJZ262196 CJZ262198:CJZ262242 CJZ327710:CJZ327732 CJZ327734:CJZ327778 CJZ393246:CJZ393268 CJZ393270:CJZ393314 CJZ458782:CJZ458804 CJZ458806:CJZ458850 CJZ524318:CJZ524340 CJZ524342:CJZ524386 CJZ589854:CJZ589876 CJZ589878:CJZ589922 CJZ655390:CJZ655412 CJZ655414:CJZ655458 CJZ720926:CJZ720948 CJZ720950:CJZ720994 CJZ786462:CJZ786484 CJZ786486:CJZ786530 CJZ851998:CJZ852020 CJZ852022:CJZ852066 CJZ917534:CJZ917556 CJZ917558:CJZ917602 CJZ983070:CJZ983092 CJZ983094:CJZ983138 CTR98:CTR104 CTR65637:CTR65644 CTR131173:CTR131180 CTR196709:CTR196716 CTR262245:CTR262252 CTR327781:CTR327788 CTR393317:CTR393324 CTR458853:CTR458860 CTR524389:CTR524396 CTR589925:CTR589932 CTR655461:CTR655468 CTR720997:CTR721004 CTR786533:CTR786540 CTR852069:CTR852076 CTR917605:CTR917612 CTR983141:CTR983148 CTV16:CTV38 CTV40:CTV95 CTV65566:CTV65588 CTV65590:CTV65634 CTV131102:CTV131124 CTV131126:CTV131170 CTV196638:CTV196660 CTV196662:CTV196706 CTV262174:CTV262196 CTV262198:CTV262242 CTV327710:CTV327732 CTV327734:CTV327778 CTV393246:CTV393268 CTV393270:CTV393314 CTV458782:CTV458804 CTV458806:CTV458850 CTV524318:CTV524340 CTV524342:CTV524386 CTV589854:CTV589876 CTV589878:CTV589922 CTV655390:CTV655412 CTV655414:CTV655458 CTV720926:CTV720948 CTV720950:CTV720994 CTV786462:CTV786484 CTV786486:CTV786530 CTV851998:CTV852020 CTV852022:CTV852066 CTV917534:CTV917556 CTV917558:CTV917602 CTV983070:CTV983092 CTV983094:CTV983138 DDN98:DDN104 DDN65637:DDN65644 DDN131173:DDN131180 DDN196709:DDN196716 DDN262245:DDN262252 DDN327781:DDN327788 DDN393317:DDN393324 DDN458853:DDN458860 DDN524389:DDN524396 DDN589925:DDN589932 DDN655461:DDN655468 DDN720997:DDN721004 DDN786533:DDN786540 DDN852069:DDN852076 DDN917605:DDN917612 DDN983141:DDN983148 DDR16:DDR38 DDR40:DDR95 DDR65566:DDR65588 DDR65590:DDR65634 DDR131102:DDR131124 DDR131126:DDR131170 DDR196638:DDR196660 DDR196662:DDR196706 DDR262174:DDR262196 DDR262198:DDR262242 DDR327710:DDR327732 DDR327734:DDR327778 DDR393246:DDR393268 DDR393270:DDR393314 DDR458782:DDR458804 DDR458806:DDR458850 DDR524318:DDR524340 DDR524342:DDR524386 DDR589854:DDR589876 DDR589878:DDR589922 DDR655390:DDR655412 DDR655414:DDR655458 DDR720926:DDR720948 DDR720950:DDR720994 DDR786462:DDR786484 DDR786486:DDR786530 DDR851998:DDR852020 DDR852022:DDR852066 DDR917534:DDR917556 DDR917558:DDR917602 DDR983070:DDR983092 DDR983094:DDR983138 DNJ98:DNJ104 DNJ65637:DNJ65644 DNJ131173:DNJ131180 DNJ196709:DNJ196716 DNJ262245:DNJ262252 DNJ327781:DNJ327788 DNJ393317:DNJ393324 DNJ458853:DNJ458860 DNJ524389:DNJ524396 DNJ589925:DNJ589932 DNJ655461:DNJ655468 DNJ720997:DNJ721004 DNJ786533:DNJ786540 DNJ852069:DNJ852076 DNJ917605:DNJ917612 DNJ983141:DNJ983148 DNN16:DNN38 DNN40:DNN95 DNN65566:DNN65588 DNN65590:DNN65634 DNN131102:DNN131124 DNN131126:DNN131170 DNN196638:DNN196660 DNN196662:DNN196706 DNN262174:DNN262196 DNN262198:DNN262242 DNN327710:DNN327732 DNN327734:DNN327778 DNN393246:DNN393268 DNN393270:DNN393314 DNN458782:DNN458804 DNN458806:DNN458850 DNN524318:DNN524340 DNN524342:DNN524386 DNN589854:DNN589876 DNN589878:DNN589922 DNN655390:DNN655412 DNN655414:DNN655458 DNN720926:DNN720948 DNN720950:DNN720994 DNN786462:DNN786484 DNN786486:DNN786530 DNN851998:DNN852020 DNN852022:DNN852066 DNN917534:DNN917556 DNN917558:DNN917602 DNN983070:DNN983092 DNN983094:DNN983138 DXF98:DXF104 DXF65637:DXF65644 DXF131173:DXF131180 DXF196709:DXF196716 DXF262245:DXF262252 DXF327781:DXF327788 DXF393317:DXF393324 DXF458853:DXF458860 DXF524389:DXF524396 DXF589925:DXF589932 DXF655461:DXF655468 DXF720997:DXF721004 DXF786533:DXF786540 DXF852069:DXF852076 DXF917605:DXF917612 DXF983141:DXF983148 DXJ16:DXJ38 DXJ40:DXJ95 DXJ65566:DXJ65588 DXJ65590:DXJ65634 DXJ131102:DXJ131124 DXJ131126:DXJ131170 DXJ196638:DXJ196660 DXJ196662:DXJ196706 DXJ262174:DXJ262196 DXJ262198:DXJ262242 DXJ327710:DXJ327732 DXJ327734:DXJ327778 DXJ393246:DXJ393268 DXJ393270:DXJ393314 DXJ458782:DXJ458804 DXJ458806:DXJ458850 DXJ524318:DXJ524340 DXJ524342:DXJ524386 DXJ589854:DXJ589876 DXJ589878:DXJ589922 DXJ655390:DXJ655412 DXJ655414:DXJ655458 DXJ720926:DXJ720948 DXJ720950:DXJ720994 DXJ786462:DXJ786484 DXJ786486:DXJ786530 DXJ851998:DXJ852020 DXJ852022:DXJ852066 DXJ917534:DXJ917556 DXJ917558:DXJ917602 DXJ983070:DXJ983092 DXJ983094:DXJ983138 EHB98:EHB104 EHB65637:EHB65644 EHB131173:EHB131180 EHB196709:EHB196716 EHB262245:EHB262252 EHB327781:EHB327788 EHB393317:EHB393324 EHB458853:EHB458860 EHB524389:EHB524396 EHB589925:EHB589932 EHB655461:EHB655468 EHB720997:EHB721004 EHB786533:EHB786540 EHB852069:EHB852076 EHB917605:EHB917612 EHB983141:EHB983148 EHF16:EHF38 EHF40:EHF95 EHF65566:EHF65588 EHF65590:EHF65634 EHF131102:EHF131124 EHF131126:EHF131170 EHF196638:EHF196660 EHF196662:EHF196706 EHF262174:EHF262196 EHF262198:EHF262242 EHF327710:EHF327732 EHF327734:EHF327778 EHF393246:EHF393268 EHF393270:EHF393314 EHF458782:EHF458804 EHF458806:EHF458850 EHF524318:EHF524340 EHF524342:EHF524386 EHF589854:EHF589876 EHF589878:EHF589922 EHF655390:EHF655412 EHF655414:EHF655458 EHF720926:EHF720948 EHF720950:EHF720994 EHF786462:EHF786484 EHF786486:EHF786530 EHF851998:EHF852020 EHF852022:EHF852066 EHF917534:EHF917556 EHF917558:EHF917602 EHF983070:EHF983092 EHF983094:EHF983138 EQX98:EQX104 EQX65637:EQX65644 EQX131173:EQX131180 EQX196709:EQX196716 EQX262245:EQX262252 EQX327781:EQX327788 EQX393317:EQX393324 EQX458853:EQX458860 EQX524389:EQX524396 EQX589925:EQX589932 EQX655461:EQX655468 EQX720997:EQX721004 EQX786533:EQX786540 EQX852069:EQX852076 EQX917605:EQX917612 EQX983141:EQX983148 ERB16:ERB38 ERB40:ERB95 ERB65566:ERB65588 ERB65590:ERB65634 ERB131102:ERB131124 ERB131126:ERB131170 ERB196638:ERB196660 ERB196662:ERB196706 ERB262174:ERB262196 ERB262198:ERB262242 ERB327710:ERB327732 ERB327734:ERB327778 ERB393246:ERB393268 ERB393270:ERB393314 ERB458782:ERB458804 ERB458806:ERB458850 ERB524318:ERB524340 ERB524342:ERB524386 ERB589854:ERB589876 ERB589878:ERB589922 ERB655390:ERB655412 ERB655414:ERB655458 ERB720926:ERB720948 ERB720950:ERB720994 ERB786462:ERB786484 ERB786486:ERB786530 ERB851998:ERB852020 ERB852022:ERB852066 ERB917534:ERB917556 ERB917558:ERB917602 ERB983070:ERB983092 ERB983094:ERB983138 FAT98:FAT104 FAT65637:FAT65644 FAT131173:FAT131180 FAT196709:FAT196716 FAT262245:FAT262252 FAT327781:FAT327788 FAT393317:FAT393324 FAT458853:FAT458860 FAT524389:FAT524396 FAT589925:FAT589932 FAT655461:FAT655468 FAT720997:FAT721004 FAT786533:FAT786540 FAT852069:FAT852076 FAT917605:FAT917612 FAT983141:FAT983148 FAX16:FAX38 FAX40:FAX95 FAX65566:FAX65588 FAX65590:FAX65634 FAX131102:FAX131124 FAX131126:FAX131170 FAX196638:FAX196660 FAX196662:FAX196706 FAX262174:FAX262196 FAX262198:FAX262242 FAX327710:FAX327732 FAX327734:FAX327778 FAX393246:FAX393268 FAX393270:FAX393314 FAX458782:FAX458804 FAX458806:FAX458850 FAX524318:FAX524340 FAX524342:FAX524386 FAX589854:FAX589876 FAX589878:FAX589922 FAX655390:FAX655412 FAX655414:FAX655458 FAX720926:FAX720948 FAX720950:FAX720994 FAX786462:FAX786484 FAX786486:FAX786530 FAX851998:FAX852020 FAX852022:FAX852066 FAX917534:FAX917556 FAX917558:FAX917602 FAX983070:FAX983092 FAX983094:FAX983138 FKP98:FKP104 FKP65637:FKP65644 FKP131173:FKP131180 FKP196709:FKP196716 FKP262245:FKP262252 FKP327781:FKP327788 FKP393317:FKP393324 FKP458853:FKP458860 FKP524389:FKP524396 FKP589925:FKP589932 FKP655461:FKP655468 FKP720997:FKP721004 FKP786533:FKP786540 FKP852069:FKP852076 FKP917605:FKP917612 FKP983141:FKP983148 FKT16:FKT38 FKT40:FKT95 FKT65566:FKT65588 FKT65590:FKT65634 FKT131102:FKT131124 FKT131126:FKT131170 FKT196638:FKT196660 FKT196662:FKT196706 FKT262174:FKT262196 FKT262198:FKT262242 FKT327710:FKT327732 FKT327734:FKT327778 FKT393246:FKT393268 FKT393270:FKT393314 FKT458782:FKT458804 FKT458806:FKT458850 FKT524318:FKT524340 FKT524342:FKT524386 FKT589854:FKT589876 FKT589878:FKT589922 FKT655390:FKT655412 FKT655414:FKT655458 FKT720926:FKT720948 FKT720950:FKT720994 FKT786462:FKT786484 FKT786486:FKT786530 FKT851998:FKT852020 FKT852022:FKT852066 FKT917534:FKT917556 FKT917558:FKT917602 FKT983070:FKT983092 FKT983094:FKT983138 FUL98:FUL104 FUL65637:FUL65644 FUL131173:FUL131180 FUL196709:FUL196716 FUL262245:FUL262252 FUL327781:FUL327788 FUL393317:FUL393324 FUL458853:FUL458860 FUL524389:FUL524396 FUL589925:FUL589932 FUL655461:FUL655468 FUL720997:FUL721004 FUL786533:FUL786540 FUL852069:FUL852076 FUL917605:FUL917612 FUL983141:FUL983148 FUP16:FUP38 FUP40:FUP95 FUP65566:FUP65588 FUP65590:FUP65634 FUP131102:FUP131124 FUP131126:FUP131170 FUP196638:FUP196660 FUP196662:FUP196706 FUP262174:FUP262196 FUP262198:FUP262242 FUP327710:FUP327732 FUP327734:FUP327778 FUP393246:FUP393268 FUP393270:FUP393314 FUP458782:FUP458804 FUP458806:FUP458850 FUP524318:FUP524340 FUP524342:FUP524386 FUP589854:FUP589876 FUP589878:FUP589922 FUP655390:FUP655412 FUP655414:FUP655458 FUP720926:FUP720948 FUP720950:FUP720994 FUP786462:FUP786484 FUP786486:FUP786530 FUP851998:FUP852020 FUP852022:FUP852066 FUP917534:FUP917556 FUP917558:FUP917602 FUP983070:FUP983092 FUP983094:FUP983138 GEH98:GEH104 GEH65637:GEH65644 GEH131173:GEH131180 GEH196709:GEH196716 GEH262245:GEH262252 GEH327781:GEH327788 GEH393317:GEH393324 GEH458853:GEH458860 GEH524389:GEH524396 GEH589925:GEH589932 GEH655461:GEH655468 GEH720997:GEH721004 GEH786533:GEH786540 GEH852069:GEH852076 GEH917605:GEH917612 GEH983141:GEH983148 GEL16:GEL38 GEL40:GEL95 GEL65566:GEL65588 GEL65590:GEL65634 GEL131102:GEL131124 GEL131126:GEL131170 GEL196638:GEL196660 GEL196662:GEL196706 GEL262174:GEL262196 GEL262198:GEL262242 GEL327710:GEL327732 GEL327734:GEL327778 GEL393246:GEL393268 GEL393270:GEL393314 GEL458782:GEL458804 GEL458806:GEL458850 GEL524318:GEL524340 GEL524342:GEL524386 GEL589854:GEL589876 GEL589878:GEL589922 GEL655390:GEL655412 GEL655414:GEL655458 GEL720926:GEL720948 GEL720950:GEL720994 GEL786462:GEL786484 GEL786486:GEL786530 GEL851998:GEL852020 GEL852022:GEL852066 GEL917534:GEL917556 GEL917558:GEL917602 GEL983070:GEL983092 GEL983094:GEL983138 GOD98:GOD104 GOD65637:GOD65644 GOD131173:GOD131180 GOD196709:GOD196716 GOD262245:GOD262252 GOD327781:GOD327788 GOD393317:GOD393324 GOD458853:GOD458860 GOD524389:GOD524396 GOD589925:GOD589932 GOD655461:GOD655468 GOD720997:GOD721004 GOD786533:GOD786540 GOD852069:GOD852076 GOD917605:GOD917612 GOD983141:GOD983148 GOH16:GOH38 GOH40:GOH95 GOH65566:GOH65588 GOH65590:GOH65634 GOH131102:GOH131124 GOH131126:GOH131170 GOH196638:GOH196660 GOH196662:GOH196706 GOH262174:GOH262196 GOH262198:GOH262242 GOH327710:GOH327732 GOH327734:GOH327778 GOH393246:GOH393268 GOH393270:GOH393314 GOH458782:GOH458804 GOH458806:GOH458850 GOH524318:GOH524340 GOH524342:GOH524386 GOH589854:GOH589876 GOH589878:GOH589922 GOH655390:GOH655412 GOH655414:GOH655458 GOH720926:GOH720948 GOH720950:GOH720994 GOH786462:GOH786484 GOH786486:GOH786530 GOH851998:GOH852020 GOH852022:GOH852066 GOH917534:GOH917556 GOH917558:GOH917602 GOH983070:GOH983092 GOH983094:GOH983138 GXZ98:GXZ104 GXZ65637:GXZ65644 GXZ131173:GXZ131180 GXZ196709:GXZ196716 GXZ262245:GXZ262252 GXZ327781:GXZ327788 GXZ393317:GXZ393324 GXZ458853:GXZ458860 GXZ524389:GXZ524396 GXZ589925:GXZ589932 GXZ655461:GXZ655468 GXZ720997:GXZ721004 GXZ786533:GXZ786540 GXZ852069:GXZ852076 GXZ917605:GXZ917612 GXZ983141:GXZ983148 GYD16:GYD38 GYD40:GYD95 GYD65566:GYD65588 GYD65590:GYD65634 GYD131102:GYD131124 GYD131126:GYD131170 GYD196638:GYD196660 GYD196662:GYD196706 GYD262174:GYD262196 GYD262198:GYD262242 GYD327710:GYD327732 GYD327734:GYD327778 GYD393246:GYD393268 GYD393270:GYD393314 GYD458782:GYD458804 GYD458806:GYD458850 GYD524318:GYD524340 GYD524342:GYD524386 GYD589854:GYD589876 GYD589878:GYD589922 GYD655390:GYD655412 GYD655414:GYD655458 GYD720926:GYD720948 GYD720950:GYD720994 GYD786462:GYD786484 GYD786486:GYD786530 GYD851998:GYD852020 GYD852022:GYD852066 GYD917534:GYD917556 GYD917558:GYD917602 GYD983070:GYD983092 GYD983094:GYD983138 HHV98:HHV104 HHV65637:HHV65644 HHV131173:HHV131180 HHV196709:HHV196716 HHV262245:HHV262252 HHV327781:HHV327788 HHV393317:HHV393324 HHV458853:HHV458860 HHV524389:HHV524396 HHV589925:HHV589932 HHV655461:HHV655468 HHV720997:HHV721004 HHV786533:HHV786540 HHV852069:HHV852076 HHV917605:HHV917612 HHV983141:HHV983148 HHZ16:HHZ38 HHZ40:HHZ95 HHZ65566:HHZ65588 HHZ65590:HHZ65634 HHZ131102:HHZ131124 HHZ131126:HHZ131170 HHZ196638:HHZ196660 HHZ196662:HHZ196706 HHZ262174:HHZ262196 HHZ262198:HHZ262242 HHZ327710:HHZ327732 HHZ327734:HHZ327778 HHZ393246:HHZ393268 HHZ393270:HHZ393314 HHZ458782:HHZ458804 HHZ458806:HHZ458850 HHZ524318:HHZ524340 HHZ524342:HHZ524386 HHZ589854:HHZ589876 HHZ589878:HHZ589922 HHZ655390:HHZ655412 HHZ655414:HHZ655458 HHZ720926:HHZ720948 HHZ720950:HHZ720994 HHZ786462:HHZ786484 HHZ786486:HHZ786530 HHZ851998:HHZ852020 HHZ852022:HHZ852066 HHZ917534:HHZ917556 HHZ917558:HHZ917602 HHZ983070:HHZ983092 HHZ983094:HHZ983138 HRR98:HRR104 HRR65637:HRR65644 HRR131173:HRR131180 HRR196709:HRR196716 HRR262245:HRR262252 HRR327781:HRR327788 HRR393317:HRR393324 HRR458853:HRR458860 HRR524389:HRR524396 HRR589925:HRR589932 HRR655461:HRR655468 HRR720997:HRR721004 HRR786533:HRR786540 HRR852069:HRR852076 HRR917605:HRR917612 HRR983141:HRR983148 HRV16:HRV38 HRV40:HRV95 HRV65566:HRV65588 HRV65590:HRV65634 HRV131102:HRV131124 HRV131126:HRV131170 HRV196638:HRV196660 HRV196662:HRV196706 HRV262174:HRV262196 HRV262198:HRV262242 HRV327710:HRV327732 HRV327734:HRV327778 HRV393246:HRV393268 HRV393270:HRV393314 HRV458782:HRV458804 HRV458806:HRV458850 HRV524318:HRV524340 HRV524342:HRV524386 HRV589854:HRV589876 HRV589878:HRV589922 HRV655390:HRV655412 HRV655414:HRV655458 HRV720926:HRV720948 HRV720950:HRV720994 HRV786462:HRV786484 HRV786486:HRV786530 HRV851998:HRV852020 HRV852022:HRV852066 HRV917534:HRV917556 HRV917558:HRV917602 HRV983070:HRV983092 HRV983094:HRV983138 IBN98:IBN104 IBN65637:IBN65644 IBN131173:IBN131180 IBN196709:IBN196716 IBN262245:IBN262252 IBN327781:IBN327788 IBN393317:IBN393324 IBN458853:IBN458860 IBN524389:IBN524396 IBN589925:IBN589932 IBN655461:IBN655468 IBN720997:IBN721004 IBN786533:IBN786540 IBN852069:IBN852076 IBN917605:IBN917612 IBN983141:IBN983148 IBR16:IBR38 IBR40:IBR95 IBR65566:IBR65588 IBR65590:IBR65634 IBR131102:IBR131124 IBR131126:IBR131170 IBR196638:IBR196660 IBR196662:IBR196706 IBR262174:IBR262196 IBR262198:IBR262242 IBR327710:IBR327732 IBR327734:IBR327778 IBR393246:IBR393268 IBR393270:IBR393314 IBR458782:IBR458804 IBR458806:IBR458850 IBR524318:IBR524340 IBR524342:IBR524386 IBR589854:IBR589876 IBR589878:IBR589922 IBR655390:IBR655412 IBR655414:IBR655458 IBR720926:IBR720948 IBR720950:IBR720994 IBR786462:IBR786484 IBR786486:IBR786530 IBR851998:IBR852020 IBR852022:IBR852066 IBR917534:IBR917556 IBR917558:IBR917602 IBR983070:IBR983092 IBR983094:IBR983138 ILJ98:ILJ104 ILJ65637:ILJ65644 ILJ131173:ILJ131180 ILJ196709:ILJ196716 ILJ262245:ILJ262252 ILJ327781:ILJ327788 ILJ393317:ILJ393324 ILJ458853:ILJ458860 ILJ524389:ILJ524396 ILJ589925:ILJ589932 ILJ655461:ILJ655468 ILJ720997:ILJ721004 ILJ786533:ILJ786540 ILJ852069:ILJ852076 ILJ917605:ILJ917612 ILJ983141:ILJ983148 ILN16:ILN38 ILN40:ILN95 ILN65566:ILN65588 ILN65590:ILN65634 ILN131102:ILN131124 ILN131126:ILN131170 ILN196638:ILN196660 ILN196662:ILN196706 ILN262174:ILN262196 ILN262198:ILN262242 ILN327710:ILN327732 ILN327734:ILN327778 ILN393246:ILN393268 ILN393270:ILN393314 ILN458782:ILN458804 ILN458806:ILN458850 ILN524318:ILN524340 ILN524342:ILN524386 ILN589854:ILN589876 ILN589878:ILN589922 ILN655390:ILN655412 ILN655414:ILN655458 ILN720926:ILN720948 ILN720950:ILN720994 ILN786462:ILN786484 ILN786486:ILN786530 ILN851998:ILN852020 ILN852022:ILN852066 ILN917534:ILN917556 ILN917558:ILN917602 ILN983070:ILN983092 ILN983094:ILN983138 IVF98:IVF104 IVF65637:IVF65644 IVF131173:IVF131180 IVF196709:IVF196716 IVF262245:IVF262252 IVF327781:IVF327788 IVF393317:IVF393324 IVF458853:IVF458860 IVF524389:IVF524396 IVF589925:IVF589932 IVF655461:IVF655468 IVF720997:IVF721004 IVF786533:IVF786540 IVF852069:IVF852076 IVF917605:IVF917612 IVF983141:IVF983148 IVJ16:IVJ38 IVJ40:IVJ95 IVJ65566:IVJ65588 IVJ65590:IVJ65634 IVJ131102:IVJ131124 IVJ131126:IVJ131170 IVJ196638:IVJ196660 IVJ196662:IVJ196706 IVJ262174:IVJ262196 IVJ262198:IVJ262242 IVJ327710:IVJ327732 IVJ327734:IVJ327778 IVJ393246:IVJ393268 IVJ393270:IVJ393314 IVJ458782:IVJ458804 IVJ458806:IVJ458850 IVJ524318:IVJ524340 IVJ524342:IVJ524386 IVJ589854:IVJ589876 IVJ589878:IVJ589922 IVJ655390:IVJ655412 IVJ655414:IVJ655458 IVJ720926:IVJ720948 IVJ720950:IVJ720994 IVJ786462:IVJ786484 IVJ786486:IVJ786530 IVJ851998:IVJ852020 IVJ852022:IVJ852066 IVJ917534:IVJ917556 IVJ917558:IVJ917602 IVJ983070:IVJ983092 IVJ983094:IVJ983138 JFB98:JFB104 JFB65637:JFB65644 JFB131173:JFB131180 JFB196709:JFB196716 JFB262245:JFB262252 JFB327781:JFB327788 JFB393317:JFB393324 JFB458853:JFB458860 JFB524389:JFB524396 JFB589925:JFB589932 JFB655461:JFB655468 JFB720997:JFB721004 JFB786533:JFB786540 JFB852069:JFB852076 JFB917605:JFB917612 JFB983141:JFB983148 JFF16:JFF38 JFF40:JFF95 JFF65566:JFF65588 JFF65590:JFF65634 JFF131102:JFF131124 JFF131126:JFF131170 JFF196638:JFF196660 JFF196662:JFF196706 JFF262174:JFF262196 JFF262198:JFF262242 JFF327710:JFF327732 JFF327734:JFF327778 JFF393246:JFF393268 JFF393270:JFF393314 JFF458782:JFF458804 JFF458806:JFF458850 JFF524318:JFF524340 JFF524342:JFF524386 JFF589854:JFF589876 JFF589878:JFF589922 JFF655390:JFF655412 JFF655414:JFF655458 JFF720926:JFF720948 JFF720950:JFF720994 JFF786462:JFF786484 JFF786486:JFF786530 JFF851998:JFF852020 JFF852022:JFF852066 JFF917534:JFF917556 JFF917558:JFF917602 JFF983070:JFF983092 JFF983094:JFF983138 JOX98:JOX104 JOX65637:JOX65644 JOX131173:JOX131180 JOX196709:JOX196716 JOX262245:JOX262252 JOX327781:JOX327788 JOX393317:JOX393324 JOX458853:JOX458860 JOX524389:JOX524396 JOX589925:JOX589932 JOX655461:JOX655468 JOX720997:JOX721004 JOX786533:JOX786540 JOX852069:JOX852076 JOX917605:JOX917612 JOX983141:JOX983148 JPB16:JPB38 JPB40:JPB95 JPB65566:JPB65588 JPB65590:JPB65634 JPB131102:JPB131124 JPB131126:JPB131170 JPB196638:JPB196660 JPB196662:JPB196706 JPB262174:JPB262196 JPB262198:JPB262242 JPB327710:JPB327732 JPB327734:JPB327778 JPB393246:JPB393268 JPB393270:JPB393314 JPB458782:JPB458804 JPB458806:JPB458850 JPB524318:JPB524340 JPB524342:JPB524386 JPB589854:JPB589876 JPB589878:JPB589922 JPB655390:JPB655412 JPB655414:JPB655458 JPB720926:JPB720948 JPB720950:JPB720994 JPB786462:JPB786484 JPB786486:JPB786530 JPB851998:JPB852020 JPB852022:JPB852066 JPB917534:JPB917556 JPB917558:JPB917602 JPB983070:JPB983092 JPB983094:JPB983138 JYT98:JYT104 JYT65637:JYT65644 JYT131173:JYT131180 JYT196709:JYT196716 JYT262245:JYT262252 JYT327781:JYT327788 JYT393317:JYT393324 JYT458853:JYT458860 JYT524389:JYT524396 JYT589925:JYT589932 JYT655461:JYT655468 JYT720997:JYT721004 JYT786533:JYT786540 JYT852069:JYT852076 JYT917605:JYT917612 JYT983141:JYT983148 JYX16:JYX38 JYX40:JYX95 JYX65566:JYX65588 JYX65590:JYX65634 JYX131102:JYX131124 JYX131126:JYX131170 JYX196638:JYX196660 JYX196662:JYX196706 JYX262174:JYX262196 JYX262198:JYX262242 JYX327710:JYX327732 JYX327734:JYX327778 JYX393246:JYX393268 JYX393270:JYX393314 JYX458782:JYX458804 JYX458806:JYX458850 JYX524318:JYX524340 JYX524342:JYX524386 JYX589854:JYX589876 JYX589878:JYX589922 JYX655390:JYX655412 JYX655414:JYX655458 JYX720926:JYX720948 JYX720950:JYX720994 JYX786462:JYX786484 JYX786486:JYX786530 JYX851998:JYX852020 JYX852022:JYX852066 JYX917534:JYX917556 JYX917558:JYX917602 JYX983070:JYX983092 JYX983094:JYX983138 KIP98:KIP104 KIP65637:KIP65644 KIP131173:KIP131180 KIP196709:KIP196716 KIP262245:KIP262252 KIP327781:KIP327788 KIP393317:KIP393324 KIP458853:KIP458860 KIP524389:KIP524396 KIP589925:KIP589932 KIP655461:KIP655468 KIP720997:KIP721004 KIP786533:KIP786540 KIP852069:KIP852076 KIP917605:KIP917612 KIP983141:KIP983148 KIT16:KIT38 KIT40:KIT95 KIT65566:KIT65588 KIT65590:KIT65634 KIT131102:KIT131124 KIT131126:KIT131170 KIT196638:KIT196660 KIT196662:KIT196706 KIT262174:KIT262196 KIT262198:KIT262242 KIT327710:KIT327732 KIT327734:KIT327778 KIT393246:KIT393268 KIT393270:KIT393314 KIT458782:KIT458804 KIT458806:KIT458850 KIT524318:KIT524340 KIT524342:KIT524386 KIT589854:KIT589876 KIT589878:KIT589922 KIT655390:KIT655412 KIT655414:KIT655458 KIT720926:KIT720948 KIT720950:KIT720994 KIT786462:KIT786484 KIT786486:KIT786530 KIT851998:KIT852020 KIT852022:KIT852066 KIT917534:KIT917556 KIT917558:KIT917602 KIT983070:KIT983092 KIT983094:KIT983138 KSL98:KSL104 KSL65637:KSL65644 KSL131173:KSL131180 KSL196709:KSL196716 KSL262245:KSL262252 KSL327781:KSL327788 KSL393317:KSL393324 KSL458853:KSL458860 KSL524389:KSL524396 KSL589925:KSL589932 KSL655461:KSL655468 KSL720997:KSL721004 KSL786533:KSL786540 KSL852069:KSL852076 KSL917605:KSL917612 KSL983141:KSL983148 KSP16:KSP38 KSP40:KSP95 KSP65566:KSP65588 KSP65590:KSP65634 KSP131102:KSP131124 KSP131126:KSP131170 KSP196638:KSP196660 KSP196662:KSP196706 KSP262174:KSP262196 KSP262198:KSP262242 KSP327710:KSP327732 KSP327734:KSP327778 KSP393246:KSP393268 KSP393270:KSP393314 KSP458782:KSP458804 KSP458806:KSP458850 KSP524318:KSP524340 KSP524342:KSP524386 KSP589854:KSP589876 KSP589878:KSP589922 KSP655390:KSP655412 KSP655414:KSP655458 KSP720926:KSP720948 KSP720950:KSP720994 KSP786462:KSP786484 KSP786486:KSP786530 KSP851998:KSP852020 KSP852022:KSP852066 KSP917534:KSP917556 KSP917558:KSP917602 KSP983070:KSP983092 KSP983094:KSP983138 LCH98:LCH104 LCH65637:LCH65644 LCH131173:LCH131180 LCH196709:LCH196716 LCH262245:LCH262252 LCH327781:LCH327788 LCH393317:LCH393324 LCH458853:LCH458860 LCH524389:LCH524396 LCH589925:LCH589932 LCH655461:LCH655468 LCH720997:LCH721004 LCH786533:LCH786540 LCH852069:LCH852076 LCH917605:LCH917612 LCH983141:LCH983148 LCL16:LCL38 LCL40:LCL95 LCL65566:LCL65588 LCL65590:LCL65634 LCL131102:LCL131124 LCL131126:LCL131170 LCL196638:LCL196660 LCL196662:LCL196706 LCL262174:LCL262196 LCL262198:LCL262242 LCL327710:LCL327732 LCL327734:LCL327778 LCL393246:LCL393268 LCL393270:LCL393314 LCL458782:LCL458804 LCL458806:LCL458850 LCL524318:LCL524340 LCL524342:LCL524386 LCL589854:LCL589876 LCL589878:LCL589922 LCL655390:LCL655412 LCL655414:LCL655458 LCL720926:LCL720948 LCL720950:LCL720994 LCL786462:LCL786484 LCL786486:LCL786530 LCL851998:LCL852020 LCL852022:LCL852066 LCL917534:LCL917556 LCL917558:LCL917602 LCL983070:LCL983092 LCL983094:LCL983138 LMD98:LMD104 LMD65637:LMD65644 LMD131173:LMD131180 LMD196709:LMD196716 LMD262245:LMD262252 LMD327781:LMD327788 LMD393317:LMD393324 LMD458853:LMD458860 LMD524389:LMD524396 LMD589925:LMD589932 LMD655461:LMD655468 LMD720997:LMD721004 LMD786533:LMD786540 LMD852069:LMD852076 LMD917605:LMD917612 LMD983141:LMD983148 LMH16:LMH38 LMH40:LMH95 LMH65566:LMH65588 LMH65590:LMH65634 LMH131102:LMH131124 LMH131126:LMH131170 LMH196638:LMH196660 LMH196662:LMH196706 LMH262174:LMH262196 LMH262198:LMH262242 LMH327710:LMH327732 LMH327734:LMH327778 LMH393246:LMH393268 LMH393270:LMH393314 LMH458782:LMH458804 LMH458806:LMH458850 LMH524318:LMH524340 LMH524342:LMH524386 LMH589854:LMH589876 LMH589878:LMH589922 LMH655390:LMH655412 LMH655414:LMH655458 LMH720926:LMH720948 LMH720950:LMH720994 LMH786462:LMH786484 LMH786486:LMH786530 LMH851998:LMH852020 LMH852022:LMH852066 LMH917534:LMH917556 LMH917558:LMH917602 LMH983070:LMH983092 LMH983094:LMH983138 LVZ98:LVZ104 LVZ65637:LVZ65644 LVZ131173:LVZ131180 LVZ196709:LVZ196716 LVZ262245:LVZ262252 LVZ327781:LVZ327788 LVZ393317:LVZ393324 LVZ458853:LVZ458860 LVZ524389:LVZ524396 LVZ589925:LVZ589932 LVZ655461:LVZ655468 LVZ720997:LVZ721004 LVZ786533:LVZ786540 LVZ852069:LVZ852076 LVZ917605:LVZ917612 LVZ983141:LVZ983148 LWD16:LWD38 LWD40:LWD95 LWD65566:LWD65588 LWD65590:LWD65634 LWD131102:LWD131124 LWD131126:LWD131170 LWD196638:LWD196660 LWD196662:LWD196706 LWD262174:LWD262196 LWD262198:LWD262242 LWD327710:LWD327732 LWD327734:LWD327778 LWD393246:LWD393268 LWD393270:LWD393314 LWD458782:LWD458804 LWD458806:LWD458850 LWD524318:LWD524340 LWD524342:LWD524386 LWD589854:LWD589876 LWD589878:LWD589922 LWD655390:LWD655412 LWD655414:LWD655458 LWD720926:LWD720948 LWD720950:LWD720994 LWD786462:LWD786484 LWD786486:LWD786530 LWD851998:LWD852020 LWD852022:LWD852066 LWD917534:LWD917556 LWD917558:LWD917602 LWD983070:LWD983092 LWD983094:LWD983138 MFV98:MFV104 MFV65637:MFV65644 MFV131173:MFV131180 MFV196709:MFV196716 MFV262245:MFV262252 MFV327781:MFV327788 MFV393317:MFV393324 MFV458853:MFV458860 MFV524389:MFV524396 MFV589925:MFV589932 MFV655461:MFV655468 MFV720997:MFV721004 MFV786533:MFV786540 MFV852069:MFV852076 MFV917605:MFV917612 MFV983141:MFV983148 MFZ16:MFZ38 MFZ40:MFZ95 MFZ65566:MFZ65588 MFZ65590:MFZ65634 MFZ131102:MFZ131124 MFZ131126:MFZ131170 MFZ196638:MFZ196660 MFZ196662:MFZ196706 MFZ262174:MFZ262196 MFZ262198:MFZ262242 MFZ327710:MFZ327732 MFZ327734:MFZ327778 MFZ393246:MFZ393268 MFZ393270:MFZ393314 MFZ458782:MFZ458804 MFZ458806:MFZ458850 MFZ524318:MFZ524340 MFZ524342:MFZ524386 MFZ589854:MFZ589876 MFZ589878:MFZ589922 MFZ655390:MFZ655412 MFZ655414:MFZ655458 MFZ720926:MFZ720948 MFZ720950:MFZ720994 MFZ786462:MFZ786484 MFZ786486:MFZ786530 MFZ851998:MFZ852020 MFZ852022:MFZ852066 MFZ917534:MFZ917556 MFZ917558:MFZ917602 MFZ983070:MFZ983092 MFZ983094:MFZ983138 MPR98:MPR104 MPR65637:MPR65644 MPR131173:MPR131180 MPR196709:MPR196716 MPR262245:MPR262252 MPR327781:MPR327788 MPR393317:MPR393324 MPR458853:MPR458860 MPR524389:MPR524396 MPR589925:MPR589932 MPR655461:MPR655468 MPR720997:MPR721004 MPR786533:MPR786540 MPR852069:MPR852076 MPR917605:MPR917612 MPR983141:MPR983148 MPV16:MPV38 MPV40:MPV95 MPV65566:MPV65588 MPV65590:MPV65634 MPV131102:MPV131124 MPV131126:MPV131170 MPV196638:MPV196660 MPV196662:MPV196706 MPV262174:MPV262196 MPV262198:MPV262242 MPV327710:MPV327732 MPV327734:MPV327778 MPV393246:MPV393268 MPV393270:MPV393314 MPV458782:MPV458804 MPV458806:MPV458850 MPV524318:MPV524340 MPV524342:MPV524386 MPV589854:MPV589876 MPV589878:MPV589922 MPV655390:MPV655412 MPV655414:MPV655458 MPV720926:MPV720948 MPV720950:MPV720994 MPV786462:MPV786484 MPV786486:MPV786530 MPV851998:MPV852020 MPV852022:MPV852066 MPV917534:MPV917556 MPV917558:MPV917602 MPV983070:MPV983092 MPV983094:MPV983138 MZN98:MZN104 MZN65637:MZN65644 MZN131173:MZN131180 MZN196709:MZN196716 MZN262245:MZN262252 MZN327781:MZN327788 MZN393317:MZN393324 MZN458853:MZN458860 MZN524389:MZN524396 MZN589925:MZN589932 MZN655461:MZN655468 MZN720997:MZN721004 MZN786533:MZN786540 MZN852069:MZN852076 MZN917605:MZN917612 MZN983141:MZN983148 MZR16:MZR38 MZR40:MZR95 MZR65566:MZR65588 MZR65590:MZR65634 MZR131102:MZR131124 MZR131126:MZR131170 MZR196638:MZR196660 MZR196662:MZR196706 MZR262174:MZR262196 MZR262198:MZR262242 MZR327710:MZR327732 MZR327734:MZR327778 MZR393246:MZR393268 MZR393270:MZR393314 MZR458782:MZR458804 MZR458806:MZR458850 MZR524318:MZR524340 MZR524342:MZR524386 MZR589854:MZR589876 MZR589878:MZR589922 MZR655390:MZR655412 MZR655414:MZR655458 MZR720926:MZR720948 MZR720950:MZR720994 MZR786462:MZR786484 MZR786486:MZR786530 MZR851998:MZR852020 MZR852022:MZR852066 MZR917534:MZR917556 MZR917558:MZR917602 MZR983070:MZR983092 MZR983094:MZR983138 NJJ98:NJJ104 NJJ65637:NJJ65644 NJJ131173:NJJ131180 NJJ196709:NJJ196716 NJJ262245:NJJ262252 NJJ327781:NJJ327788 NJJ393317:NJJ393324 NJJ458853:NJJ458860 NJJ524389:NJJ524396 NJJ589925:NJJ589932 NJJ655461:NJJ655468 NJJ720997:NJJ721004 NJJ786533:NJJ786540 NJJ852069:NJJ852076 NJJ917605:NJJ917612 NJJ983141:NJJ983148 NJN16:NJN38 NJN40:NJN95 NJN65566:NJN65588 NJN65590:NJN65634 NJN131102:NJN131124 NJN131126:NJN131170 NJN196638:NJN196660 NJN196662:NJN196706 NJN262174:NJN262196 NJN262198:NJN262242 NJN327710:NJN327732 NJN327734:NJN327778 NJN393246:NJN393268 NJN393270:NJN393314 NJN458782:NJN458804 NJN458806:NJN458850 NJN524318:NJN524340 NJN524342:NJN524386 NJN589854:NJN589876 NJN589878:NJN589922 NJN655390:NJN655412 NJN655414:NJN655458 NJN720926:NJN720948 NJN720950:NJN720994 NJN786462:NJN786484 NJN786486:NJN786530 NJN851998:NJN852020 NJN852022:NJN852066 NJN917534:NJN917556 NJN917558:NJN917602 NJN983070:NJN983092 NJN983094:NJN983138 NTF98:NTF104 NTF65637:NTF65644 NTF131173:NTF131180 NTF196709:NTF196716 NTF262245:NTF262252 NTF327781:NTF327788 NTF393317:NTF393324 NTF458853:NTF458860 NTF524389:NTF524396 NTF589925:NTF589932 NTF655461:NTF655468 NTF720997:NTF721004 NTF786533:NTF786540 NTF852069:NTF852076 NTF917605:NTF917612 NTF983141:NTF983148 NTJ16:NTJ38 NTJ40:NTJ95 NTJ65566:NTJ65588 NTJ65590:NTJ65634 NTJ131102:NTJ131124 NTJ131126:NTJ131170 NTJ196638:NTJ196660 NTJ196662:NTJ196706 NTJ262174:NTJ262196 NTJ262198:NTJ262242 NTJ327710:NTJ327732 NTJ327734:NTJ327778 NTJ393246:NTJ393268 NTJ393270:NTJ393314 NTJ458782:NTJ458804 NTJ458806:NTJ458850 NTJ524318:NTJ524340 NTJ524342:NTJ524386 NTJ589854:NTJ589876 NTJ589878:NTJ589922 NTJ655390:NTJ655412 NTJ655414:NTJ655458 NTJ720926:NTJ720948 NTJ720950:NTJ720994 NTJ786462:NTJ786484 NTJ786486:NTJ786530 NTJ851998:NTJ852020 NTJ852022:NTJ852066 NTJ917534:NTJ917556 NTJ917558:NTJ917602 NTJ983070:NTJ983092 NTJ983094:NTJ983138 ODB98:ODB104 ODB65637:ODB65644 ODB131173:ODB131180 ODB196709:ODB196716 ODB262245:ODB262252 ODB327781:ODB327788 ODB393317:ODB393324 ODB458853:ODB458860 ODB524389:ODB524396 ODB589925:ODB589932 ODB655461:ODB655468 ODB720997:ODB721004 ODB786533:ODB786540 ODB852069:ODB852076 ODB917605:ODB917612 ODB983141:ODB983148 ODF16:ODF38 ODF40:ODF95 ODF65566:ODF65588 ODF65590:ODF65634 ODF131102:ODF131124 ODF131126:ODF131170 ODF196638:ODF196660 ODF196662:ODF196706 ODF262174:ODF262196 ODF262198:ODF262242 ODF327710:ODF327732 ODF327734:ODF327778 ODF393246:ODF393268 ODF393270:ODF393314 ODF458782:ODF458804 ODF458806:ODF458850 ODF524318:ODF524340 ODF524342:ODF524386 ODF589854:ODF589876 ODF589878:ODF589922 ODF655390:ODF655412 ODF655414:ODF655458 ODF720926:ODF720948 ODF720950:ODF720994 ODF786462:ODF786484 ODF786486:ODF786530 ODF851998:ODF852020 ODF852022:ODF852066 ODF917534:ODF917556 ODF917558:ODF917602 ODF983070:ODF983092 ODF983094:ODF983138 OMX98:OMX104 OMX65637:OMX65644 OMX131173:OMX131180 OMX196709:OMX196716 OMX262245:OMX262252 OMX327781:OMX327788 OMX393317:OMX393324 OMX458853:OMX458860 OMX524389:OMX524396 OMX589925:OMX589932 OMX655461:OMX655468 OMX720997:OMX721004 OMX786533:OMX786540 OMX852069:OMX852076 OMX917605:OMX917612 OMX983141:OMX983148 ONB16:ONB38 ONB40:ONB95 ONB65566:ONB65588 ONB65590:ONB65634 ONB131102:ONB131124 ONB131126:ONB131170 ONB196638:ONB196660 ONB196662:ONB196706 ONB262174:ONB262196 ONB262198:ONB262242 ONB327710:ONB327732 ONB327734:ONB327778 ONB393246:ONB393268 ONB393270:ONB393314 ONB458782:ONB458804 ONB458806:ONB458850 ONB524318:ONB524340 ONB524342:ONB524386 ONB589854:ONB589876 ONB589878:ONB589922 ONB655390:ONB655412 ONB655414:ONB655458 ONB720926:ONB720948 ONB720950:ONB720994 ONB786462:ONB786484 ONB786486:ONB786530 ONB851998:ONB852020 ONB852022:ONB852066 ONB917534:ONB917556 ONB917558:ONB917602 ONB983070:ONB983092 ONB983094:ONB983138 OWT98:OWT104 OWT65637:OWT65644 OWT131173:OWT131180 OWT196709:OWT196716 OWT262245:OWT262252 OWT327781:OWT327788 OWT393317:OWT393324 OWT458853:OWT458860 OWT524389:OWT524396 OWT589925:OWT589932 OWT655461:OWT655468 OWT720997:OWT721004 OWT786533:OWT786540 OWT852069:OWT852076 OWT917605:OWT917612 OWT983141:OWT983148 OWX16:OWX38 OWX40:OWX95 OWX65566:OWX65588 OWX65590:OWX65634 OWX131102:OWX131124 OWX131126:OWX131170 OWX196638:OWX196660 OWX196662:OWX196706 OWX262174:OWX262196 OWX262198:OWX262242 OWX327710:OWX327732 OWX327734:OWX327778 OWX393246:OWX393268 OWX393270:OWX393314 OWX458782:OWX458804 OWX458806:OWX458850 OWX524318:OWX524340 OWX524342:OWX524386 OWX589854:OWX589876 OWX589878:OWX589922 OWX655390:OWX655412 OWX655414:OWX655458 OWX720926:OWX720948 OWX720950:OWX720994 OWX786462:OWX786484 OWX786486:OWX786530 OWX851998:OWX852020 OWX852022:OWX852066 OWX917534:OWX917556 OWX917558:OWX917602 OWX983070:OWX983092 OWX983094:OWX983138 PGP98:PGP104 PGP65637:PGP65644 PGP131173:PGP131180 PGP196709:PGP196716 PGP262245:PGP262252 PGP327781:PGP327788 PGP393317:PGP393324 PGP458853:PGP458860 PGP524389:PGP524396 PGP589925:PGP589932 PGP655461:PGP655468 PGP720997:PGP721004 PGP786533:PGP786540 PGP852069:PGP852076 PGP917605:PGP917612 PGP983141:PGP983148 PGT16:PGT38 PGT40:PGT95 PGT65566:PGT65588 PGT65590:PGT65634 PGT131102:PGT131124 PGT131126:PGT131170 PGT196638:PGT196660 PGT196662:PGT196706 PGT262174:PGT262196 PGT262198:PGT262242 PGT327710:PGT327732 PGT327734:PGT327778 PGT393246:PGT393268 PGT393270:PGT393314 PGT458782:PGT458804 PGT458806:PGT458850 PGT524318:PGT524340 PGT524342:PGT524386 PGT589854:PGT589876 PGT589878:PGT589922 PGT655390:PGT655412 PGT655414:PGT655458 PGT720926:PGT720948 PGT720950:PGT720994 PGT786462:PGT786484 PGT786486:PGT786530 PGT851998:PGT852020 PGT852022:PGT852066 PGT917534:PGT917556 PGT917558:PGT917602 PGT983070:PGT983092 PGT983094:PGT983138 PQL98:PQL104 PQL65637:PQL65644 PQL131173:PQL131180 PQL196709:PQL196716 PQL262245:PQL262252 PQL327781:PQL327788 PQL393317:PQL393324 PQL458853:PQL458860 PQL524389:PQL524396 PQL589925:PQL589932 PQL655461:PQL655468 PQL720997:PQL721004 PQL786533:PQL786540 PQL852069:PQL852076 PQL917605:PQL917612 PQL983141:PQL983148 PQP16:PQP38 PQP40:PQP95 PQP65566:PQP65588 PQP65590:PQP65634 PQP131102:PQP131124 PQP131126:PQP131170 PQP196638:PQP196660 PQP196662:PQP196706 PQP262174:PQP262196 PQP262198:PQP262242 PQP327710:PQP327732 PQP327734:PQP327778 PQP393246:PQP393268 PQP393270:PQP393314 PQP458782:PQP458804 PQP458806:PQP458850 PQP524318:PQP524340 PQP524342:PQP524386 PQP589854:PQP589876 PQP589878:PQP589922 PQP655390:PQP655412 PQP655414:PQP655458 PQP720926:PQP720948 PQP720950:PQP720994 PQP786462:PQP786484 PQP786486:PQP786530 PQP851998:PQP852020 PQP852022:PQP852066 PQP917534:PQP917556 PQP917558:PQP917602 PQP983070:PQP983092 PQP983094:PQP983138 QAH98:QAH104 QAH65637:QAH65644 QAH131173:QAH131180 QAH196709:QAH196716 QAH262245:QAH262252 QAH327781:QAH327788 QAH393317:QAH393324 QAH458853:QAH458860 QAH524389:QAH524396 QAH589925:QAH589932 QAH655461:QAH655468 QAH720997:QAH721004 QAH786533:QAH786540 QAH852069:QAH852076 QAH917605:QAH917612 QAH983141:QAH983148 QAL16:QAL38 QAL40:QAL95 QAL65566:QAL65588 QAL65590:QAL65634 QAL131102:QAL131124 QAL131126:QAL131170 QAL196638:QAL196660 QAL196662:QAL196706 QAL262174:QAL262196 QAL262198:QAL262242 QAL327710:QAL327732 QAL327734:QAL327778 QAL393246:QAL393268 QAL393270:QAL393314 QAL458782:QAL458804 QAL458806:QAL458850 QAL524318:QAL524340 QAL524342:QAL524386 QAL589854:QAL589876 QAL589878:QAL589922 QAL655390:QAL655412 QAL655414:QAL655458 QAL720926:QAL720948 QAL720950:QAL720994 QAL786462:QAL786484 QAL786486:QAL786530 QAL851998:QAL852020 QAL852022:QAL852066 QAL917534:QAL917556 QAL917558:QAL917602 QAL983070:QAL983092 QAL983094:QAL983138 QKD98:QKD104 QKD65637:QKD65644 QKD131173:QKD131180 QKD196709:QKD196716 QKD262245:QKD262252 QKD327781:QKD327788 QKD393317:QKD393324 QKD458853:QKD458860 QKD524389:QKD524396 QKD589925:QKD589932 QKD655461:QKD655468 QKD720997:QKD721004 QKD786533:QKD786540 QKD852069:QKD852076 QKD917605:QKD917612 QKD983141:QKD983148 QKH16:QKH38 QKH40:QKH95 QKH65566:QKH65588 QKH65590:QKH65634 QKH131102:QKH131124 QKH131126:QKH131170 QKH196638:QKH196660 QKH196662:QKH196706 QKH262174:QKH262196 QKH262198:QKH262242 QKH327710:QKH327732 QKH327734:QKH327778 QKH393246:QKH393268 QKH393270:QKH393314 QKH458782:QKH458804 QKH458806:QKH458850 QKH524318:QKH524340 QKH524342:QKH524386 QKH589854:QKH589876 QKH589878:QKH589922 QKH655390:QKH655412 QKH655414:QKH655458 QKH720926:QKH720948 QKH720950:QKH720994 QKH786462:QKH786484 QKH786486:QKH786530 QKH851998:QKH852020 QKH852022:QKH852066 QKH917534:QKH917556 QKH917558:QKH917602 QKH983070:QKH983092 QKH983094:QKH983138 QTZ98:QTZ104 QTZ65637:QTZ65644 QTZ131173:QTZ131180 QTZ196709:QTZ196716 QTZ262245:QTZ262252 QTZ327781:QTZ327788 QTZ393317:QTZ393324 QTZ458853:QTZ458860 QTZ524389:QTZ524396 QTZ589925:QTZ589932 QTZ655461:QTZ655468 QTZ720997:QTZ721004 QTZ786533:QTZ786540 QTZ852069:QTZ852076 QTZ917605:QTZ917612 QTZ983141:QTZ983148 QUD16:QUD38 QUD40:QUD95 QUD65566:QUD65588 QUD65590:QUD65634 QUD131102:QUD131124 QUD131126:QUD131170 QUD196638:QUD196660 QUD196662:QUD196706 QUD262174:QUD262196 QUD262198:QUD262242 QUD327710:QUD327732 QUD327734:QUD327778 QUD393246:QUD393268 QUD393270:QUD393314 QUD458782:QUD458804 QUD458806:QUD458850 QUD524318:QUD524340 QUD524342:QUD524386 QUD589854:QUD589876 QUD589878:QUD589922 QUD655390:QUD655412 QUD655414:QUD655458 QUD720926:QUD720948 QUD720950:QUD720994 QUD786462:QUD786484 QUD786486:QUD786530 QUD851998:QUD852020 QUD852022:QUD852066 QUD917534:QUD917556 QUD917558:QUD917602 QUD983070:QUD983092 QUD983094:QUD983138 RDV98:RDV104 RDV65637:RDV65644 RDV131173:RDV131180 RDV196709:RDV196716 RDV262245:RDV262252 RDV327781:RDV327788 RDV393317:RDV393324 RDV458853:RDV458860 RDV524389:RDV524396 RDV589925:RDV589932 RDV655461:RDV655468 RDV720997:RDV721004 RDV786533:RDV786540 RDV852069:RDV852076 RDV917605:RDV917612 RDV983141:RDV983148 RDZ16:RDZ38 RDZ40:RDZ95 RDZ65566:RDZ65588 RDZ65590:RDZ65634 RDZ131102:RDZ131124 RDZ131126:RDZ131170 RDZ196638:RDZ196660 RDZ196662:RDZ196706 RDZ262174:RDZ262196 RDZ262198:RDZ262242 RDZ327710:RDZ327732 RDZ327734:RDZ327778 RDZ393246:RDZ393268 RDZ393270:RDZ393314 RDZ458782:RDZ458804 RDZ458806:RDZ458850 RDZ524318:RDZ524340 RDZ524342:RDZ524386 RDZ589854:RDZ589876 RDZ589878:RDZ589922 RDZ655390:RDZ655412 RDZ655414:RDZ655458 RDZ720926:RDZ720948 RDZ720950:RDZ720994 RDZ786462:RDZ786484 RDZ786486:RDZ786530 RDZ851998:RDZ852020 RDZ852022:RDZ852066 RDZ917534:RDZ917556 RDZ917558:RDZ917602 RDZ983070:RDZ983092 RDZ983094:RDZ983138 RNR98:RNR104 RNR65637:RNR65644 RNR131173:RNR131180 RNR196709:RNR196716 RNR262245:RNR262252 RNR327781:RNR327788 RNR393317:RNR393324 RNR458853:RNR458860 RNR524389:RNR524396 RNR589925:RNR589932 RNR655461:RNR655468 RNR720997:RNR721004 RNR786533:RNR786540 RNR852069:RNR852076 RNR917605:RNR917612 RNR983141:RNR983148 RNV16:RNV38 RNV40:RNV95 RNV65566:RNV65588 RNV65590:RNV65634 RNV131102:RNV131124 RNV131126:RNV131170 RNV196638:RNV196660 RNV196662:RNV196706 RNV262174:RNV262196 RNV262198:RNV262242 RNV327710:RNV327732 RNV327734:RNV327778 RNV393246:RNV393268 RNV393270:RNV393314 RNV458782:RNV458804 RNV458806:RNV458850 RNV524318:RNV524340 RNV524342:RNV524386 RNV589854:RNV589876 RNV589878:RNV589922 RNV655390:RNV655412 RNV655414:RNV655458 RNV720926:RNV720948 RNV720950:RNV720994 RNV786462:RNV786484 RNV786486:RNV786530 RNV851998:RNV852020 RNV852022:RNV852066 RNV917534:RNV917556 RNV917558:RNV917602 RNV983070:RNV983092 RNV983094:RNV983138 RXN98:RXN104 RXN65637:RXN65644 RXN131173:RXN131180 RXN196709:RXN196716 RXN262245:RXN262252 RXN327781:RXN327788 RXN393317:RXN393324 RXN458853:RXN458860 RXN524389:RXN524396 RXN589925:RXN589932 RXN655461:RXN655468 RXN720997:RXN721004 RXN786533:RXN786540 RXN852069:RXN852076 RXN917605:RXN917612 RXN983141:RXN983148 RXR16:RXR38 RXR40:RXR95 RXR65566:RXR65588 RXR65590:RXR65634 RXR131102:RXR131124 RXR131126:RXR131170 RXR196638:RXR196660 RXR196662:RXR196706 RXR262174:RXR262196 RXR262198:RXR262242 RXR327710:RXR327732 RXR327734:RXR327778 RXR393246:RXR393268 RXR393270:RXR393314 RXR458782:RXR458804 RXR458806:RXR458850 RXR524318:RXR524340 RXR524342:RXR524386 RXR589854:RXR589876 RXR589878:RXR589922 RXR655390:RXR655412 RXR655414:RXR655458 RXR720926:RXR720948 RXR720950:RXR720994 RXR786462:RXR786484 RXR786486:RXR786530 RXR851998:RXR852020 RXR852022:RXR852066 RXR917534:RXR917556 RXR917558:RXR917602 RXR983070:RXR983092 RXR983094:RXR983138 SHJ98:SHJ104 SHJ65637:SHJ65644 SHJ131173:SHJ131180 SHJ196709:SHJ196716 SHJ262245:SHJ262252 SHJ327781:SHJ327788 SHJ393317:SHJ393324 SHJ458853:SHJ458860 SHJ524389:SHJ524396 SHJ589925:SHJ589932 SHJ655461:SHJ655468 SHJ720997:SHJ721004 SHJ786533:SHJ786540 SHJ852069:SHJ852076 SHJ917605:SHJ917612 SHJ983141:SHJ983148 SHN16:SHN38 SHN40:SHN95 SHN65566:SHN65588 SHN65590:SHN65634 SHN131102:SHN131124 SHN131126:SHN131170 SHN196638:SHN196660 SHN196662:SHN196706 SHN262174:SHN262196 SHN262198:SHN262242 SHN327710:SHN327732 SHN327734:SHN327778 SHN393246:SHN393268 SHN393270:SHN393314 SHN458782:SHN458804 SHN458806:SHN458850 SHN524318:SHN524340 SHN524342:SHN524386 SHN589854:SHN589876 SHN589878:SHN589922 SHN655390:SHN655412 SHN655414:SHN655458 SHN720926:SHN720948 SHN720950:SHN720994 SHN786462:SHN786484 SHN786486:SHN786530 SHN851998:SHN852020 SHN852022:SHN852066 SHN917534:SHN917556 SHN917558:SHN917602 SHN983070:SHN983092 SHN983094:SHN983138 SRF98:SRF104 SRF65637:SRF65644 SRF131173:SRF131180 SRF196709:SRF196716 SRF262245:SRF262252 SRF327781:SRF327788 SRF393317:SRF393324 SRF458853:SRF458860 SRF524389:SRF524396 SRF589925:SRF589932 SRF655461:SRF655468 SRF720997:SRF721004 SRF786533:SRF786540 SRF852069:SRF852076 SRF917605:SRF917612 SRF983141:SRF983148 SRJ16:SRJ38 SRJ40:SRJ95 SRJ65566:SRJ65588 SRJ65590:SRJ65634 SRJ131102:SRJ131124 SRJ131126:SRJ131170 SRJ196638:SRJ196660 SRJ196662:SRJ196706 SRJ262174:SRJ262196 SRJ262198:SRJ262242 SRJ327710:SRJ327732 SRJ327734:SRJ327778 SRJ393246:SRJ393268 SRJ393270:SRJ393314 SRJ458782:SRJ458804 SRJ458806:SRJ458850 SRJ524318:SRJ524340 SRJ524342:SRJ524386 SRJ589854:SRJ589876 SRJ589878:SRJ589922 SRJ655390:SRJ655412 SRJ655414:SRJ655458 SRJ720926:SRJ720948 SRJ720950:SRJ720994 SRJ786462:SRJ786484 SRJ786486:SRJ786530 SRJ851998:SRJ852020 SRJ852022:SRJ852066 SRJ917534:SRJ917556 SRJ917558:SRJ917602 SRJ983070:SRJ983092 SRJ983094:SRJ983138 TBB98:TBB104 TBB65637:TBB65644 TBB131173:TBB131180 TBB196709:TBB196716 TBB262245:TBB262252 TBB327781:TBB327788 TBB393317:TBB393324 TBB458853:TBB458860 TBB524389:TBB524396 TBB589925:TBB589932 TBB655461:TBB655468 TBB720997:TBB721004 TBB786533:TBB786540 TBB852069:TBB852076 TBB917605:TBB917612 TBB983141:TBB983148 TBF16:TBF38 TBF40:TBF95 TBF65566:TBF65588 TBF65590:TBF65634 TBF131102:TBF131124 TBF131126:TBF131170 TBF196638:TBF196660 TBF196662:TBF196706 TBF262174:TBF262196 TBF262198:TBF262242 TBF327710:TBF327732 TBF327734:TBF327778 TBF393246:TBF393268 TBF393270:TBF393314 TBF458782:TBF458804 TBF458806:TBF458850 TBF524318:TBF524340 TBF524342:TBF524386 TBF589854:TBF589876 TBF589878:TBF589922 TBF655390:TBF655412 TBF655414:TBF655458 TBF720926:TBF720948 TBF720950:TBF720994 TBF786462:TBF786484 TBF786486:TBF786530 TBF851998:TBF852020 TBF852022:TBF852066 TBF917534:TBF917556 TBF917558:TBF917602 TBF983070:TBF983092 TBF983094:TBF983138 TKX98:TKX104 TKX65637:TKX65644 TKX131173:TKX131180 TKX196709:TKX196716 TKX262245:TKX262252 TKX327781:TKX327788 TKX393317:TKX393324 TKX458853:TKX458860 TKX524389:TKX524396 TKX589925:TKX589932 TKX655461:TKX655468 TKX720997:TKX721004 TKX786533:TKX786540 TKX852069:TKX852076 TKX917605:TKX917612 TKX983141:TKX983148 TLB16:TLB38 TLB40:TLB95 TLB65566:TLB65588 TLB65590:TLB65634 TLB131102:TLB131124 TLB131126:TLB131170 TLB196638:TLB196660 TLB196662:TLB196706 TLB262174:TLB262196 TLB262198:TLB262242 TLB327710:TLB327732 TLB327734:TLB327778 TLB393246:TLB393268 TLB393270:TLB393314 TLB458782:TLB458804 TLB458806:TLB458850 TLB524318:TLB524340 TLB524342:TLB524386 TLB589854:TLB589876 TLB589878:TLB589922 TLB655390:TLB655412 TLB655414:TLB655458 TLB720926:TLB720948 TLB720950:TLB720994 TLB786462:TLB786484 TLB786486:TLB786530 TLB851998:TLB852020 TLB852022:TLB852066 TLB917534:TLB917556 TLB917558:TLB917602 TLB983070:TLB983092 TLB983094:TLB983138 TUT98:TUT104 TUT65637:TUT65644 TUT131173:TUT131180 TUT196709:TUT196716 TUT262245:TUT262252 TUT327781:TUT327788 TUT393317:TUT393324 TUT458853:TUT458860 TUT524389:TUT524396 TUT589925:TUT589932 TUT655461:TUT655468 TUT720997:TUT721004 TUT786533:TUT786540 TUT852069:TUT852076 TUT917605:TUT917612 TUT983141:TUT983148 TUX16:TUX38 TUX40:TUX95 TUX65566:TUX65588 TUX65590:TUX65634 TUX131102:TUX131124 TUX131126:TUX131170 TUX196638:TUX196660 TUX196662:TUX196706 TUX262174:TUX262196 TUX262198:TUX262242 TUX327710:TUX327732 TUX327734:TUX327778 TUX393246:TUX393268 TUX393270:TUX393314 TUX458782:TUX458804 TUX458806:TUX458850 TUX524318:TUX524340 TUX524342:TUX524386 TUX589854:TUX589876 TUX589878:TUX589922 TUX655390:TUX655412 TUX655414:TUX655458 TUX720926:TUX720948 TUX720950:TUX720994 TUX786462:TUX786484 TUX786486:TUX786530 TUX851998:TUX852020 TUX852022:TUX852066 TUX917534:TUX917556 TUX917558:TUX917602 TUX983070:TUX983092 TUX983094:TUX983138 UEP98:UEP104 UEP65637:UEP65644 UEP131173:UEP131180 UEP196709:UEP196716 UEP262245:UEP262252 UEP327781:UEP327788 UEP393317:UEP393324 UEP458853:UEP458860 UEP524389:UEP524396 UEP589925:UEP589932 UEP655461:UEP655468 UEP720997:UEP721004 UEP786533:UEP786540 UEP852069:UEP852076 UEP917605:UEP917612 UEP983141:UEP983148 UET16:UET38 UET40:UET95 UET65566:UET65588 UET65590:UET65634 UET131102:UET131124 UET131126:UET131170 UET196638:UET196660 UET196662:UET196706 UET262174:UET262196 UET262198:UET262242 UET327710:UET327732 UET327734:UET327778 UET393246:UET393268 UET393270:UET393314 UET458782:UET458804 UET458806:UET458850 UET524318:UET524340 UET524342:UET524386 UET589854:UET589876 UET589878:UET589922 UET655390:UET655412 UET655414:UET655458 UET720926:UET720948 UET720950:UET720994 UET786462:UET786484 UET786486:UET786530 UET851998:UET852020 UET852022:UET852066 UET917534:UET917556 UET917558:UET917602 UET983070:UET983092 UET983094:UET983138 UOL98:UOL104 UOL65637:UOL65644 UOL131173:UOL131180 UOL196709:UOL196716 UOL262245:UOL262252 UOL327781:UOL327788 UOL393317:UOL393324 UOL458853:UOL458860 UOL524389:UOL524396 UOL589925:UOL589932 UOL655461:UOL655468 UOL720997:UOL721004 UOL786533:UOL786540 UOL852069:UOL852076 UOL917605:UOL917612 UOL983141:UOL983148 UOP16:UOP38 UOP40:UOP95 UOP65566:UOP65588 UOP65590:UOP65634 UOP131102:UOP131124 UOP131126:UOP131170 UOP196638:UOP196660 UOP196662:UOP196706 UOP262174:UOP262196 UOP262198:UOP262242 UOP327710:UOP327732 UOP327734:UOP327778 UOP393246:UOP393268 UOP393270:UOP393314 UOP458782:UOP458804 UOP458806:UOP458850 UOP524318:UOP524340 UOP524342:UOP524386 UOP589854:UOP589876 UOP589878:UOP589922 UOP655390:UOP655412 UOP655414:UOP655458 UOP720926:UOP720948 UOP720950:UOP720994 UOP786462:UOP786484 UOP786486:UOP786530 UOP851998:UOP852020 UOP852022:UOP852066 UOP917534:UOP917556 UOP917558:UOP917602 UOP983070:UOP983092 UOP983094:UOP983138 UYH98:UYH104 UYH65637:UYH65644 UYH131173:UYH131180 UYH196709:UYH196716 UYH262245:UYH262252 UYH327781:UYH327788 UYH393317:UYH393324 UYH458853:UYH458860 UYH524389:UYH524396 UYH589925:UYH589932 UYH655461:UYH655468 UYH720997:UYH721004 UYH786533:UYH786540 UYH852069:UYH852076 UYH917605:UYH917612 UYH983141:UYH983148 UYL16:UYL38 UYL40:UYL95 UYL65566:UYL65588 UYL65590:UYL65634 UYL131102:UYL131124 UYL131126:UYL131170 UYL196638:UYL196660 UYL196662:UYL196706 UYL262174:UYL262196 UYL262198:UYL262242 UYL327710:UYL327732 UYL327734:UYL327778 UYL393246:UYL393268 UYL393270:UYL393314 UYL458782:UYL458804 UYL458806:UYL458850 UYL524318:UYL524340 UYL524342:UYL524386 UYL589854:UYL589876 UYL589878:UYL589922 UYL655390:UYL655412 UYL655414:UYL655458 UYL720926:UYL720948 UYL720950:UYL720994 UYL786462:UYL786484 UYL786486:UYL786530 UYL851998:UYL852020 UYL852022:UYL852066 UYL917534:UYL917556 UYL917558:UYL917602 UYL983070:UYL983092 UYL983094:UYL983138 VID98:VID104 VID65637:VID65644 VID131173:VID131180 VID196709:VID196716 VID262245:VID262252 VID327781:VID327788 VID393317:VID393324 VID458853:VID458860 VID524389:VID524396 VID589925:VID589932 VID655461:VID655468 VID720997:VID721004 VID786533:VID786540 VID852069:VID852076 VID917605:VID917612 VID983141:VID983148 VIH16:VIH38 VIH40:VIH95 VIH65566:VIH65588 VIH65590:VIH65634 VIH131102:VIH131124 VIH131126:VIH131170 VIH196638:VIH196660 VIH196662:VIH196706 VIH262174:VIH262196 VIH262198:VIH262242 VIH327710:VIH327732 VIH327734:VIH327778 VIH393246:VIH393268 VIH393270:VIH393314 VIH458782:VIH458804 VIH458806:VIH458850 VIH524318:VIH524340 VIH524342:VIH524386 VIH589854:VIH589876 VIH589878:VIH589922 VIH655390:VIH655412 VIH655414:VIH655458 VIH720926:VIH720948 VIH720950:VIH720994 VIH786462:VIH786484 VIH786486:VIH786530 VIH851998:VIH852020 VIH852022:VIH852066 VIH917534:VIH917556 VIH917558:VIH917602 VIH983070:VIH983092 VIH983094:VIH983138 VRZ98:VRZ104 VRZ65637:VRZ65644 VRZ131173:VRZ131180 VRZ196709:VRZ196716 VRZ262245:VRZ262252 VRZ327781:VRZ327788 VRZ393317:VRZ393324 VRZ458853:VRZ458860 VRZ524389:VRZ524396 VRZ589925:VRZ589932 VRZ655461:VRZ655468 VRZ720997:VRZ721004 VRZ786533:VRZ786540 VRZ852069:VRZ852076 VRZ917605:VRZ917612 VRZ983141:VRZ983148 VSD16:VSD38 VSD40:VSD95 VSD65566:VSD65588 VSD65590:VSD65634 VSD131102:VSD131124 VSD131126:VSD131170 VSD196638:VSD196660 VSD196662:VSD196706 VSD262174:VSD262196 VSD262198:VSD262242 VSD327710:VSD327732 VSD327734:VSD327778 VSD393246:VSD393268 VSD393270:VSD393314 VSD458782:VSD458804 VSD458806:VSD458850 VSD524318:VSD524340 VSD524342:VSD524386 VSD589854:VSD589876 VSD589878:VSD589922 VSD655390:VSD655412 VSD655414:VSD655458 VSD720926:VSD720948 VSD720950:VSD720994 VSD786462:VSD786484 VSD786486:VSD786530 VSD851998:VSD852020 VSD852022:VSD852066 VSD917534:VSD917556 VSD917558:VSD917602 VSD983070:VSD983092 VSD983094:VSD983138 WBV98:WBV104 WBV65637:WBV65644 WBV131173:WBV131180 WBV196709:WBV196716 WBV262245:WBV262252 WBV327781:WBV327788 WBV393317:WBV393324 WBV458853:WBV458860 WBV524389:WBV524396 WBV589925:WBV589932 WBV655461:WBV655468 WBV720997:WBV721004 WBV786533:WBV786540 WBV852069:WBV852076 WBV917605:WBV917612 WBV983141:WBV983148 WBZ16:WBZ38 WBZ40:WBZ95 WBZ65566:WBZ65588 WBZ65590:WBZ65634 WBZ131102:WBZ131124 WBZ131126:WBZ131170 WBZ196638:WBZ196660 WBZ196662:WBZ196706 WBZ262174:WBZ262196 WBZ262198:WBZ262242 WBZ327710:WBZ327732 WBZ327734:WBZ327778 WBZ393246:WBZ393268 WBZ393270:WBZ393314 WBZ458782:WBZ458804 WBZ458806:WBZ458850 WBZ524318:WBZ524340 WBZ524342:WBZ524386 WBZ589854:WBZ589876 WBZ589878:WBZ589922 WBZ655390:WBZ655412 WBZ655414:WBZ655458 WBZ720926:WBZ720948 WBZ720950:WBZ720994 WBZ786462:WBZ786484 WBZ786486:WBZ786530 WBZ851998:WBZ852020 WBZ852022:WBZ852066 WBZ917534:WBZ917556 WBZ917558:WBZ917602 WBZ983070:WBZ983092 WBZ983094:WBZ983138 WLR98:WLR104 WLR65637:WLR65644 WLR131173:WLR131180 WLR196709:WLR196716 WLR262245:WLR262252 WLR327781:WLR327788 WLR393317:WLR393324 WLR458853:WLR458860 WLR524389:WLR524396 WLR589925:WLR589932 WLR655461:WLR655468 WLR720997:WLR721004 WLR786533:WLR786540 WLR852069:WLR852076 WLR917605:WLR917612 WLR983141:WLR983148 WLV16:WLV38 WLV40:WLV95 WLV65566:WLV65588 WLV65590:WLV65634 WLV131102:WLV131124 WLV131126:WLV131170 WLV196638:WLV196660 WLV196662:WLV196706 WLV262174:WLV262196 WLV262198:WLV262242 WLV327710:WLV327732 WLV327734:WLV327778 WLV393246:WLV393268 WLV393270:WLV393314 WLV458782:WLV458804 WLV458806:WLV458850 WLV524318:WLV524340 WLV524342:WLV524386 WLV589854:WLV589876 WLV589878:WLV589922 WLV655390:WLV655412 WLV655414:WLV655458 WLV720926:WLV720948 WLV720950:WLV720994 WLV786462:WLV786484 WLV786486:WLV786530 WLV851998:WLV852020 WLV852022:WLV852066 WLV917534:WLV917556 WLV917558:WLV917602 WLV983070:WLV983092 WLV983094:WLV983138 WVN98:WVN104 WVN65637:WVN65644 WVN131173:WVN131180 WVN196709:WVN196716 WVN262245:WVN262252 WVN327781:WVN327788 WVN393317:WVN393324 WVN458853:WVN458860 WVN524389:WVN524396 WVN589925:WVN589932 WVN655461:WVN655468 WVN720997:WVN721004 WVN786533:WVN786540 WVN852069:WVN852076 WVN917605:WVN917612 WVN983141:WVN983148 WVR16:WVR38 WVR40:WVR95 WVR65566:WVR65588 WVR65590:WVR65634 WVR131102:WVR131124 WVR131126:WVR131170 WVR196638:WVR196660 WVR196662:WVR196706 WVR262174:WVR262196 WVR262198:WVR262242 WVR327710:WVR327732 WVR327734:WVR327778 WVR393246:WVR393268 WVR393270:WVR393314 WVR458782:WVR458804 WVR458806:WVR458850 WVR524318:WVR524340 WVR524342:WVR524386 WVR589854:WVR589876 WVR589878:WVR589922 WVR655390:WVR655412 WVR655414:WVR655458 WVR720926:WVR720948 WVR720950:WVR720994 WVR786462:WVR786484 WVR786486:WVR786530 WVR851998:WVR852020 WVR852022:WVR852066 WVR917534:WVR917556 WVR917558:WVR917602 WVR983070:WVR983092 WVR983094:WVR983138">
      <formula1>"■ 是,□ 否"</formula1>
    </dataValidation>
    <dataValidation type="list" allowBlank="1" showInputMessage="1" showErrorMessage="1" sqref="D98:D109 H16:H95 H65566:H65634 H131102:H131170 H196638:H196706 H262174:H262242 H327710:H327778 H393246:H393314 H458782:H458850 H524318:H524386 H589854:H589922 H655390:H655458 H720926:H720994 H786462:H786530 H851998:H852066 H917534:H917602 H983070:H983138 JD16:JD95 JD65566:JD65634 JD131102:JD131170 JD196638:JD196706 JD262174:JD262242 JD327710:JD327778 JD393246:JD393314 JD458782:JD458850 JD524318:JD524386 JD589854:JD589922 JD655390:JD655458 JD720926:JD720994 JD786462:JD786530 JD851998:JD852066 JD917534:JD917602 JD983070:JD983138 SZ16:SZ95 SZ65566:SZ65634 SZ131102:SZ131170 SZ196638:SZ196706 SZ262174:SZ262242 SZ327710:SZ327778 SZ393246:SZ393314 SZ458782:SZ458850 SZ524318:SZ524386 SZ589854:SZ589922 SZ655390:SZ655458 SZ720926:SZ720994 SZ786462:SZ786530 SZ851998:SZ852066 SZ917534:SZ917602 SZ983070:SZ983138 ACV16:ACV95 ACV65566:ACV65634 ACV131102:ACV131170 ACV196638:ACV196706 ACV262174:ACV262242 ACV327710:ACV327778 ACV393246:ACV393314 ACV458782:ACV458850 ACV524318:ACV524386 ACV589854:ACV589922 ACV655390:ACV655458 ACV720926:ACV720994 ACV786462:ACV786530 ACV851998:ACV852066 ACV917534:ACV917602 ACV983070:ACV983138 AMR16:AMR95 AMR65566:AMR65634 AMR131102:AMR131170 AMR196638:AMR196706 AMR262174:AMR262242 AMR327710:AMR327778 AMR393246:AMR393314 AMR458782:AMR458850 AMR524318:AMR524386 AMR589854:AMR589922 AMR655390:AMR655458 AMR720926:AMR720994 AMR786462:AMR786530 AMR851998:AMR852066 AMR917534:AMR917602 AMR983070:AMR983138 AWN16:AWN95 AWN65566:AWN65634 AWN131102:AWN131170 AWN196638:AWN196706 AWN262174:AWN262242 AWN327710:AWN327778 AWN393246:AWN393314 AWN458782:AWN458850 AWN524318:AWN524386 AWN589854:AWN589922 AWN655390:AWN655458 AWN720926:AWN720994 AWN786462:AWN786530 AWN851998:AWN852066 AWN917534:AWN917602 AWN983070:AWN983138 BGJ16:BGJ95 BGJ65566:BGJ65634 BGJ131102:BGJ131170 BGJ196638:BGJ196706 BGJ262174:BGJ262242 BGJ327710:BGJ327778 BGJ393246:BGJ393314 BGJ458782:BGJ458850 BGJ524318:BGJ524386 BGJ589854:BGJ589922 BGJ655390:BGJ655458 BGJ720926:BGJ720994 BGJ786462:BGJ786530 BGJ851998:BGJ852066 BGJ917534:BGJ917602 BGJ983070:BGJ983138 BQF16:BQF95 BQF65566:BQF65634 BQF131102:BQF131170 BQF196638:BQF196706 BQF262174:BQF262242 BQF327710:BQF327778 BQF393246:BQF393314 BQF458782:BQF458850 BQF524318:BQF524386 BQF589854:BQF589922 BQF655390:BQF655458 BQF720926:BQF720994 BQF786462:BQF786530 BQF851998:BQF852066 BQF917534:BQF917602 BQF983070:BQF983138 CAB16:CAB95 CAB65566:CAB65634 CAB131102:CAB131170 CAB196638:CAB196706 CAB262174:CAB262242 CAB327710:CAB327778 CAB393246:CAB393314 CAB458782:CAB458850 CAB524318:CAB524386 CAB589854:CAB589922 CAB655390:CAB655458 CAB720926:CAB720994 CAB786462:CAB786530 CAB851998:CAB852066 CAB917534:CAB917602 CAB983070:CAB983138 CJX16:CJX95 CJX65566:CJX65634 CJX131102:CJX131170 CJX196638:CJX196706 CJX262174:CJX262242 CJX327710:CJX327778 CJX393246:CJX393314 CJX458782:CJX458850 CJX524318:CJX524386 CJX589854:CJX589922 CJX655390:CJX655458 CJX720926:CJX720994 CJX786462:CJX786530 CJX851998:CJX852066 CJX917534:CJX917602 CJX983070:CJX983138 CTT16:CTT95 CTT65566:CTT65634 CTT131102:CTT131170 CTT196638:CTT196706 CTT262174:CTT262242 CTT327710:CTT327778 CTT393246:CTT393314 CTT458782:CTT458850 CTT524318:CTT524386 CTT589854:CTT589922 CTT655390:CTT655458 CTT720926:CTT720994 CTT786462:CTT786530 CTT851998:CTT852066 CTT917534:CTT917602 CTT983070:CTT983138 DDP16:DDP95 DDP65566:DDP65634 DDP131102:DDP131170 DDP196638:DDP196706 DDP262174:DDP262242 DDP327710:DDP327778 DDP393246:DDP393314 DDP458782:DDP458850 DDP524318:DDP524386 DDP589854:DDP589922 DDP655390:DDP655458 DDP720926:DDP720994 DDP786462:DDP786530 DDP851998:DDP852066 DDP917534:DDP917602 DDP983070:DDP983138 DNL16:DNL95 DNL65566:DNL65634 DNL131102:DNL131170 DNL196638:DNL196706 DNL262174:DNL262242 DNL327710:DNL327778 DNL393246:DNL393314 DNL458782:DNL458850 DNL524318:DNL524386 DNL589854:DNL589922 DNL655390:DNL655458 DNL720926:DNL720994 DNL786462:DNL786530 DNL851998:DNL852066 DNL917534:DNL917602 DNL983070:DNL983138 DXH16:DXH95 DXH65566:DXH65634 DXH131102:DXH131170 DXH196638:DXH196706 DXH262174:DXH262242 DXH327710:DXH327778 DXH393246:DXH393314 DXH458782:DXH458850 DXH524318:DXH524386 DXH589854:DXH589922 DXH655390:DXH655458 DXH720926:DXH720994 DXH786462:DXH786530 DXH851998:DXH852066 DXH917534:DXH917602 DXH983070:DXH983138 EHD16:EHD95 EHD65566:EHD65634 EHD131102:EHD131170 EHD196638:EHD196706 EHD262174:EHD262242 EHD327710:EHD327778 EHD393246:EHD393314 EHD458782:EHD458850 EHD524318:EHD524386 EHD589854:EHD589922 EHD655390:EHD655458 EHD720926:EHD720994 EHD786462:EHD786530 EHD851998:EHD852066 EHD917534:EHD917602 EHD983070:EHD983138 EQZ16:EQZ95 EQZ65566:EQZ65634 EQZ131102:EQZ131170 EQZ196638:EQZ196706 EQZ262174:EQZ262242 EQZ327710:EQZ327778 EQZ393246:EQZ393314 EQZ458782:EQZ458850 EQZ524318:EQZ524386 EQZ589854:EQZ589922 EQZ655390:EQZ655458 EQZ720926:EQZ720994 EQZ786462:EQZ786530 EQZ851998:EQZ852066 EQZ917534:EQZ917602 EQZ983070:EQZ983138 FAV16:FAV95 FAV65566:FAV65634 FAV131102:FAV131170 FAV196638:FAV196706 FAV262174:FAV262242 FAV327710:FAV327778 FAV393246:FAV393314 FAV458782:FAV458850 FAV524318:FAV524386 FAV589854:FAV589922 FAV655390:FAV655458 FAV720926:FAV720994 FAV786462:FAV786530 FAV851998:FAV852066 FAV917534:FAV917602 FAV983070:FAV983138 FKR16:FKR95 FKR65566:FKR65634 FKR131102:FKR131170 FKR196638:FKR196706 FKR262174:FKR262242 FKR327710:FKR327778 FKR393246:FKR393314 FKR458782:FKR458850 FKR524318:FKR524386 FKR589854:FKR589922 FKR655390:FKR655458 FKR720926:FKR720994 FKR786462:FKR786530 FKR851998:FKR852066 FKR917534:FKR917602 FKR983070:FKR983138 FUN16:FUN95 FUN65566:FUN65634 FUN131102:FUN131170 FUN196638:FUN196706 FUN262174:FUN262242 FUN327710:FUN327778 FUN393246:FUN393314 FUN458782:FUN458850 FUN524318:FUN524386 FUN589854:FUN589922 FUN655390:FUN655458 FUN720926:FUN720994 FUN786462:FUN786530 FUN851998:FUN852066 FUN917534:FUN917602 FUN983070:FUN983138 GEJ16:GEJ95 GEJ65566:GEJ65634 GEJ131102:GEJ131170 GEJ196638:GEJ196706 GEJ262174:GEJ262242 GEJ327710:GEJ327778 GEJ393246:GEJ393314 GEJ458782:GEJ458850 GEJ524318:GEJ524386 GEJ589854:GEJ589922 GEJ655390:GEJ655458 GEJ720926:GEJ720994 GEJ786462:GEJ786530 GEJ851998:GEJ852066 GEJ917534:GEJ917602 GEJ983070:GEJ983138 GOF16:GOF95 GOF65566:GOF65634 GOF131102:GOF131170 GOF196638:GOF196706 GOF262174:GOF262242 GOF327710:GOF327778 GOF393246:GOF393314 GOF458782:GOF458850 GOF524318:GOF524386 GOF589854:GOF589922 GOF655390:GOF655458 GOF720926:GOF720994 GOF786462:GOF786530 GOF851998:GOF852066 GOF917534:GOF917602 GOF983070:GOF983138 GYB16:GYB95 GYB65566:GYB65634 GYB131102:GYB131170 GYB196638:GYB196706 GYB262174:GYB262242 GYB327710:GYB327778 GYB393246:GYB393314 GYB458782:GYB458850 GYB524318:GYB524386 GYB589854:GYB589922 GYB655390:GYB655458 GYB720926:GYB720994 GYB786462:GYB786530 GYB851998:GYB852066 GYB917534:GYB917602 GYB983070:GYB983138 HHX16:HHX95 HHX65566:HHX65634 HHX131102:HHX131170 HHX196638:HHX196706 HHX262174:HHX262242 HHX327710:HHX327778 HHX393246:HHX393314 HHX458782:HHX458850 HHX524318:HHX524386 HHX589854:HHX589922 HHX655390:HHX655458 HHX720926:HHX720994 HHX786462:HHX786530 HHX851998:HHX852066 HHX917534:HHX917602 HHX983070:HHX983138 HRT16:HRT95 HRT65566:HRT65634 HRT131102:HRT131170 HRT196638:HRT196706 HRT262174:HRT262242 HRT327710:HRT327778 HRT393246:HRT393314 HRT458782:HRT458850 HRT524318:HRT524386 HRT589854:HRT589922 HRT655390:HRT655458 HRT720926:HRT720994 HRT786462:HRT786530 HRT851998:HRT852066 HRT917534:HRT917602 HRT983070:HRT983138 IBP16:IBP95 IBP65566:IBP65634 IBP131102:IBP131170 IBP196638:IBP196706 IBP262174:IBP262242 IBP327710:IBP327778 IBP393246:IBP393314 IBP458782:IBP458850 IBP524318:IBP524386 IBP589854:IBP589922 IBP655390:IBP655458 IBP720926:IBP720994 IBP786462:IBP786530 IBP851998:IBP852066 IBP917534:IBP917602 IBP983070:IBP983138 ILL16:ILL95 ILL65566:ILL65634 ILL131102:ILL131170 ILL196638:ILL196706 ILL262174:ILL262242 ILL327710:ILL327778 ILL393246:ILL393314 ILL458782:ILL458850 ILL524318:ILL524386 ILL589854:ILL589922 ILL655390:ILL655458 ILL720926:ILL720994 ILL786462:ILL786530 ILL851998:ILL852066 ILL917534:ILL917602 ILL983070:ILL983138 IVH16:IVH95 IVH65566:IVH65634 IVH131102:IVH131170 IVH196638:IVH196706 IVH262174:IVH262242 IVH327710:IVH327778 IVH393246:IVH393314 IVH458782:IVH458850 IVH524318:IVH524386 IVH589854:IVH589922 IVH655390:IVH655458 IVH720926:IVH720994 IVH786462:IVH786530 IVH851998:IVH852066 IVH917534:IVH917602 IVH983070:IVH983138 JFD16:JFD95 JFD65566:JFD65634 JFD131102:JFD131170 JFD196638:JFD196706 JFD262174:JFD262242 JFD327710:JFD327778 JFD393246:JFD393314 JFD458782:JFD458850 JFD524318:JFD524386 JFD589854:JFD589922 JFD655390:JFD655458 JFD720926:JFD720994 JFD786462:JFD786530 JFD851998:JFD852066 JFD917534:JFD917602 JFD983070:JFD983138 JOZ16:JOZ95 JOZ65566:JOZ65634 JOZ131102:JOZ131170 JOZ196638:JOZ196706 JOZ262174:JOZ262242 JOZ327710:JOZ327778 JOZ393246:JOZ393314 JOZ458782:JOZ458850 JOZ524318:JOZ524386 JOZ589854:JOZ589922 JOZ655390:JOZ655458 JOZ720926:JOZ720994 JOZ786462:JOZ786530 JOZ851998:JOZ852066 JOZ917534:JOZ917602 JOZ983070:JOZ983138 JYV16:JYV95 JYV65566:JYV65634 JYV131102:JYV131170 JYV196638:JYV196706 JYV262174:JYV262242 JYV327710:JYV327778 JYV393246:JYV393314 JYV458782:JYV458850 JYV524318:JYV524386 JYV589854:JYV589922 JYV655390:JYV655458 JYV720926:JYV720994 JYV786462:JYV786530 JYV851998:JYV852066 JYV917534:JYV917602 JYV983070:JYV983138 KIR16:KIR95 KIR65566:KIR65634 KIR131102:KIR131170 KIR196638:KIR196706 KIR262174:KIR262242 KIR327710:KIR327778 KIR393246:KIR393314 KIR458782:KIR458850 KIR524318:KIR524386 KIR589854:KIR589922 KIR655390:KIR655458 KIR720926:KIR720994 KIR786462:KIR786530 KIR851998:KIR852066 KIR917534:KIR917602 KIR983070:KIR983138 KSN16:KSN95 KSN65566:KSN65634 KSN131102:KSN131170 KSN196638:KSN196706 KSN262174:KSN262242 KSN327710:KSN327778 KSN393246:KSN393314 KSN458782:KSN458850 KSN524318:KSN524386 KSN589854:KSN589922 KSN655390:KSN655458 KSN720926:KSN720994 KSN786462:KSN786530 KSN851998:KSN852066 KSN917534:KSN917602 KSN983070:KSN983138 LCJ16:LCJ95 LCJ65566:LCJ65634 LCJ131102:LCJ131170 LCJ196638:LCJ196706 LCJ262174:LCJ262242 LCJ327710:LCJ327778 LCJ393246:LCJ393314 LCJ458782:LCJ458850 LCJ524318:LCJ524386 LCJ589854:LCJ589922 LCJ655390:LCJ655458 LCJ720926:LCJ720994 LCJ786462:LCJ786530 LCJ851998:LCJ852066 LCJ917534:LCJ917602 LCJ983070:LCJ983138 LMF16:LMF95 LMF65566:LMF65634 LMF131102:LMF131170 LMF196638:LMF196706 LMF262174:LMF262242 LMF327710:LMF327778 LMF393246:LMF393314 LMF458782:LMF458850 LMF524318:LMF524386 LMF589854:LMF589922 LMF655390:LMF655458 LMF720926:LMF720994 LMF786462:LMF786530 LMF851998:LMF852066 LMF917534:LMF917602 LMF983070:LMF983138 LWB16:LWB95 LWB65566:LWB65634 LWB131102:LWB131170 LWB196638:LWB196706 LWB262174:LWB262242 LWB327710:LWB327778 LWB393246:LWB393314 LWB458782:LWB458850 LWB524318:LWB524386 LWB589854:LWB589922 LWB655390:LWB655458 LWB720926:LWB720994 LWB786462:LWB786530 LWB851998:LWB852066 LWB917534:LWB917602 LWB983070:LWB983138 MFX16:MFX95 MFX65566:MFX65634 MFX131102:MFX131170 MFX196638:MFX196706 MFX262174:MFX262242 MFX327710:MFX327778 MFX393246:MFX393314 MFX458782:MFX458850 MFX524318:MFX524386 MFX589854:MFX589922 MFX655390:MFX655458 MFX720926:MFX720994 MFX786462:MFX786530 MFX851998:MFX852066 MFX917534:MFX917602 MFX983070:MFX983138 MPT16:MPT95 MPT65566:MPT65634 MPT131102:MPT131170 MPT196638:MPT196706 MPT262174:MPT262242 MPT327710:MPT327778 MPT393246:MPT393314 MPT458782:MPT458850 MPT524318:MPT524386 MPT589854:MPT589922 MPT655390:MPT655458 MPT720926:MPT720994 MPT786462:MPT786530 MPT851998:MPT852066 MPT917534:MPT917602 MPT983070:MPT983138 MZP16:MZP95 MZP65566:MZP65634 MZP131102:MZP131170 MZP196638:MZP196706 MZP262174:MZP262242 MZP327710:MZP327778 MZP393246:MZP393314 MZP458782:MZP458850 MZP524318:MZP524386 MZP589854:MZP589922 MZP655390:MZP655458 MZP720926:MZP720994 MZP786462:MZP786530 MZP851998:MZP852066 MZP917534:MZP917602 MZP983070:MZP983138 NJL16:NJL95 NJL65566:NJL65634 NJL131102:NJL131170 NJL196638:NJL196706 NJL262174:NJL262242 NJL327710:NJL327778 NJL393246:NJL393314 NJL458782:NJL458850 NJL524318:NJL524386 NJL589854:NJL589922 NJL655390:NJL655458 NJL720926:NJL720994 NJL786462:NJL786530 NJL851998:NJL852066 NJL917534:NJL917602 NJL983070:NJL983138 NTH16:NTH95 NTH65566:NTH65634 NTH131102:NTH131170 NTH196638:NTH196706 NTH262174:NTH262242 NTH327710:NTH327778 NTH393246:NTH393314 NTH458782:NTH458850 NTH524318:NTH524386 NTH589854:NTH589922 NTH655390:NTH655458 NTH720926:NTH720994 NTH786462:NTH786530 NTH851998:NTH852066 NTH917534:NTH917602 NTH983070:NTH983138 ODD16:ODD95 ODD65566:ODD65634 ODD131102:ODD131170 ODD196638:ODD196706 ODD262174:ODD262242 ODD327710:ODD327778 ODD393246:ODD393314 ODD458782:ODD458850 ODD524318:ODD524386 ODD589854:ODD589922 ODD655390:ODD655458 ODD720926:ODD720994 ODD786462:ODD786530 ODD851998:ODD852066 ODD917534:ODD917602 ODD983070:ODD983138 OMZ16:OMZ95 OMZ65566:OMZ65634 OMZ131102:OMZ131170 OMZ196638:OMZ196706 OMZ262174:OMZ262242 OMZ327710:OMZ327778 OMZ393246:OMZ393314 OMZ458782:OMZ458850 OMZ524318:OMZ524386 OMZ589854:OMZ589922 OMZ655390:OMZ655458 OMZ720926:OMZ720994 OMZ786462:OMZ786530 OMZ851998:OMZ852066 OMZ917534:OMZ917602 OMZ983070:OMZ983138 OWV16:OWV95 OWV65566:OWV65634 OWV131102:OWV131170 OWV196638:OWV196706 OWV262174:OWV262242 OWV327710:OWV327778 OWV393246:OWV393314 OWV458782:OWV458850 OWV524318:OWV524386 OWV589854:OWV589922 OWV655390:OWV655458 OWV720926:OWV720994 OWV786462:OWV786530 OWV851998:OWV852066 OWV917534:OWV917602 OWV983070:OWV983138 PGR16:PGR95 PGR65566:PGR65634 PGR131102:PGR131170 PGR196638:PGR196706 PGR262174:PGR262242 PGR327710:PGR327778 PGR393246:PGR393314 PGR458782:PGR458850 PGR524318:PGR524386 PGR589854:PGR589922 PGR655390:PGR655458 PGR720926:PGR720994 PGR786462:PGR786530 PGR851998:PGR852066 PGR917534:PGR917602 PGR983070:PGR983138 PQN16:PQN95 PQN65566:PQN65634 PQN131102:PQN131170 PQN196638:PQN196706 PQN262174:PQN262242 PQN327710:PQN327778 PQN393246:PQN393314 PQN458782:PQN458850 PQN524318:PQN524386 PQN589854:PQN589922 PQN655390:PQN655458 PQN720926:PQN720994 PQN786462:PQN786530 PQN851998:PQN852066 PQN917534:PQN917602 PQN983070:PQN983138 QAJ16:QAJ95 QAJ65566:QAJ65634 QAJ131102:QAJ131170 QAJ196638:QAJ196706 QAJ262174:QAJ262242 QAJ327710:QAJ327778 QAJ393246:QAJ393314 QAJ458782:QAJ458850 QAJ524318:QAJ524386 QAJ589854:QAJ589922 QAJ655390:QAJ655458 QAJ720926:QAJ720994 QAJ786462:QAJ786530 QAJ851998:QAJ852066 QAJ917534:QAJ917602 QAJ983070:QAJ983138 QKF16:QKF95 QKF65566:QKF65634 QKF131102:QKF131170 QKF196638:QKF196706 QKF262174:QKF262242 QKF327710:QKF327778 QKF393246:QKF393314 QKF458782:QKF458850 QKF524318:QKF524386 QKF589854:QKF589922 QKF655390:QKF655458 QKF720926:QKF720994 QKF786462:QKF786530 QKF851998:QKF852066 QKF917534:QKF917602 QKF983070:QKF983138 QUB16:QUB95 QUB65566:QUB65634 QUB131102:QUB131170 QUB196638:QUB196706 QUB262174:QUB262242 QUB327710:QUB327778 QUB393246:QUB393314 QUB458782:QUB458850 QUB524318:QUB524386 QUB589854:QUB589922 QUB655390:QUB655458 QUB720926:QUB720994 QUB786462:QUB786530 QUB851998:QUB852066 QUB917534:QUB917602 QUB983070:QUB983138 RDX16:RDX95 RDX65566:RDX65634 RDX131102:RDX131170 RDX196638:RDX196706 RDX262174:RDX262242 RDX327710:RDX327778 RDX393246:RDX393314 RDX458782:RDX458850 RDX524318:RDX524386 RDX589854:RDX589922 RDX655390:RDX655458 RDX720926:RDX720994 RDX786462:RDX786530 RDX851998:RDX852066 RDX917534:RDX917602 RDX983070:RDX983138 RNT16:RNT95 RNT65566:RNT65634 RNT131102:RNT131170 RNT196638:RNT196706 RNT262174:RNT262242 RNT327710:RNT327778 RNT393246:RNT393314 RNT458782:RNT458850 RNT524318:RNT524386 RNT589854:RNT589922 RNT655390:RNT655458 RNT720926:RNT720994 RNT786462:RNT786530 RNT851998:RNT852066 RNT917534:RNT917602 RNT983070:RNT983138 RXP16:RXP95 RXP65566:RXP65634 RXP131102:RXP131170 RXP196638:RXP196706 RXP262174:RXP262242 RXP327710:RXP327778 RXP393246:RXP393314 RXP458782:RXP458850 RXP524318:RXP524386 RXP589854:RXP589922 RXP655390:RXP655458 RXP720926:RXP720994 RXP786462:RXP786530 RXP851998:RXP852066 RXP917534:RXP917602 RXP983070:RXP983138 SHL16:SHL95 SHL65566:SHL65634 SHL131102:SHL131170 SHL196638:SHL196706 SHL262174:SHL262242 SHL327710:SHL327778 SHL393246:SHL393314 SHL458782:SHL458850 SHL524318:SHL524386 SHL589854:SHL589922 SHL655390:SHL655458 SHL720926:SHL720994 SHL786462:SHL786530 SHL851998:SHL852066 SHL917534:SHL917602 SHL983070:SHL983138 SRH16:SRH95 SRH65566:SRH65634 SRH131102:SRH131170 SRH196638:SRH196706 SRH262174:SRH262242 SRH327710:SRH327778 SRH393246:SRH393314 SRH458782:SRH458850 SRH524318:SRH524386 SRH589854:SRH589922 SRH655390:SRH655458 SRH720926:SRH720994 SRH786462:SRH786530 SRH851998:SRH852066 SRH917534:SRH917602 SRH983070:SRH983138 TBD16:TBD95 TBD65566:TBD65634 TBD131102:TBD131170 TBD196638:TBD196706 TBD262174:TBD262242 TBD327710:TBD327778 TBD393246:TBD393314 TBD458782:TBD458850 TBD524318:TBD524386 TBD589854:TBD589922 TBD655390:TBD655458 TBD720926:TBD720994 TBD786462:TBD786530 TBD851998:TBD852066 TBD917534:TBD917602 TBD983070:TBD983138 TKZ16:TKZ95 TKZ65566:TKZ65634 TKZ131102:TKZ131170 TKZ196638:TKZ196706 TKZ262174:TKZ262242 TKZ327710:TKZ327778 TKZ393246:TKZ393314 TKZ458782:TKZ458850 TKZ524318:TKZ524386 TKZ589854:TKZ589922 TKZ655390:TKZ655458 TKZ720926:TKZ720994 TKZ786462:TKZ786530 TKZ851998:TKZ852066 TKZ917534:TKZ917602 TKZ983070:TKZ983138 TUV16:TUV95 TUV65566:TUV65634 TUV131102:TUV131170 TUV196638:TUV196706 TUV262174:TUV262242 TUV327710:TUV327778 TUV393246:TUV393314 TUV458782:TUV458850 TUV524318:TUV524386 TUV589854:TUV589922 TUV655390:TUV655458 TUV720926:TUV720994 TUV786462:TUV786530 TUV851998:TUV852066 TUV917534:TUV917602 TUV983070:TUV983138 UER16:UER95 UER65566:UER65634 UER131102:UER131170 UER196638:UER196706 UER262174:UER262242 UER327710:UER327778 UER393246:UER393314 UER458782:UER458850 UER524318:UER524386 UER589854:UER589922 UER655390:UER655458 UER720926:UER720994 UER786462:UER786530 UER851998:UER852066 UER917534:UER917602 UER983070:UER983138 UON16:UON95 UON65566:UON65634 UON131102:UON131170 UON196638:UON196706 UON262174:UON262242 UON327710:UON327778 UON393246:UON393314 UON458782:UON458850 UON524318:UON524386 UON589854:UON589922 UON655390:UON655458 UON720926:UON720994 UON786462:UON786530 UON851998:UON852066 UON917534:UON917602 UON983070:UON983138 UYJ16:UYJ95 UYJ65566:UYJ65634 UYJ131102:UYJ131170 UYJ196638:UYJ196706 UYJ262174:UYJ262242 UYJ327710:UYJ327778 UYJ393246:UYJ393314 UYJ458782:UYJ458850 UYJ524318:UYJ524386 UYJ589854:UYJ589922 UYJ655390:UYJ655458 UYJ720926:UYJ720994 UYJ786462:UYJ786530 UYJ851998:UYJ852066 UYJ917534:UYJ917602 UYJ983070:UYJ983138 VIF16:VIF95 VIF65566:VIF65634 VIF131102:VIF131170 VIF196638:VIF196706 VIF262174:VIF262242 VIF327710:VIF327778 VIF393246:VIF393314 VIF458782:VIF458850 VIF524318:VIF524386 VIF589854:VIF589922 VIF655390:VIF655458 VIF720926:VIF720994 VIF786462:VIF786530 VIF851998:VIF852066 VIF917534:VIF917602 VIF983070:VIF983138 VSB16:VSB95 VSB65566:VSB65634 VSB131102:VSB131170 VSB196638:VSB196706 VSB262174:VSB262242 VSB327710:VSB327778 VSB393246:VSB393314 VSB458782:VSB458850 VSB524318:VSB524386 VSB589854:VSB589922 VSB655390:VSB655458 VSB720926:VSB720994 VSB786462:VSB786530 VSB851998:VSB852066 VSB917534:VSB917602 VSB983070:VSB983138 WBX16:WBX95 WBX65566:WBX65634 WBX131102:WBX131170 WBX196638:WBX196706 WBX262174:WBX262242 WBX327710:WBX327778 WBX393246:WBX393314 WBX458782:WBX458850 WBX524318:WBX524386 WBX589854:WBX589922 WBX655390:WBX655458 WBX720926:WBX720994 WBX786462:WBX786530 WBX851998:WBX852066 WBX917534:WBX917602 WBX983070:WBX983138 WLT16:WLT95 WLT65566:WLT65634 WLT131102:WLT131170 WLT196638:WLT196706 WLT262174:WLT262242 WLT327710:WLT327778 WLT393246:WLT393314 WLT458782:WLT458850 WLT524318:WLT524386 WLT589854:WLT589922 WLT655390:WLT655458 WLT720926:WLT720994 WLT786462:WLT786530 WLT851998:WLT852066 WLT917534:WLT917602 WLT983070:WLT983138 WVP16:WVP95 WVP65566:WVP65634 WVP131102:WVP131170 WVP196638:WVP196706 WVP262174:WVP262242 WVP327710:WVP327778 WVP393246:WVP393314 WVP458782:WVP458850 WVP524318:WVP524386 WVP589854:WVP589922 WVP655390:WVP655458 WVP720926:WVP720994 WVP786462:WVP786530 WVP851998:WVP852066 WVP917534:WVP917602 WVP983070:WVP983138">
      <formula1>"-,SFP/人天,天/SFP,人天/SFP,个/页,个/SFP,条/SFP,个/条,%,次"</formula1>
    </dataValidation>
    <dataValidation type="list" allowBlank="1" showInputMessage="1" showErrorMessage="1" sqref="E102:E109 E65641:E65645 E131177:E131181 E196713:E196717 E262249:E262253 E327785:E327789 E393321:E393325 E458857:E458861 E524393:E524397 E589929:E589933 E655465:E655469 E721001:E721005 E786537:E786541 E852073:E852077 E917609:E917613 E983145:E983149 JA102:JA109 JA65641:JA65645 JA131177:JA131181 JA196713:JA196717 JA262249:JA262253 JA327785:JA327789 JA393321:JA393325 JA458857:JA458861 JA524393:JA524397 JA589929:JA589933 JA655465:JA655469 JA721001:JA721005 JA786537:JA786541 JA852073:JA852077 JA917609:JA917613 JA983145:JA983149 SW102:SW109 SW65641:SW65645 SW131177:SW131181 SW196713:SW196717 SW262249:SW262253 SW327785:SW327789 SW393321:SW393325 SW458857:SW458861 SW524393:SW524397 SW589929:SW589933 SW655465:SW655469 SW721001:SW721005 SW786537:SW786541 SW852073:SW852077 SW917609:SW917613 SW983145:SW983149 ACS102:ACS109 ACS65641:ACS65645 ACS131177:ACS131181 ACS196713:ACS196717 ACS262249:ACS262253 ACS327785:ACS327789 ACS393321:ACS393325 ACS458857:ACS458861 ACS524393:ACS524397 ACS589929:ACS589933 ACS655465:ACS655469 ACS721001:ACS721005 ACS786537:ACS786541 ACS852073:ACS852077 ACS917609:ACS917613 ACS983145:ACS983149 AMO102:AMO109 AMO65641:AMO65645 AMO131177:AMO131181 AMO196713:AMO196717 AMO262249:AMO262253 AMO327785:AMO327789 AMO393321:AMO393325 AMO458857:AMO458861 AMO524393:AMO524397 AMO589929:AMO589933 AMO655465:AMO655469 AMO721001:AMO721005 AMO786537:AMO786541 AMO852073:AMO852077 AMO917609:AMO917613 AMO983145:AMO983149 AWK102:AWK109 AWK65641:AWK65645 AWK131177:AWK131181 AWK196713:AWK196717 AWK262249:AWK262253 AWK327785:AWK327789 AWK393321:AWK393325 AWK458857:AWK458861 AWK524393:AWK524397 AWK589929:AWK589933 AWK655465:AWK655469 AWK721001:AWK721005 AWK786537:AWK786541 AWK852073:AWK852077 AWK917609:AWK917613 AWK983145:AWK983149 BGG102:BGG109 BGG65641:BGG65645 BGG131177:BGG131181 BGG196713:BGG196717 BGG262249:BGG262253 BGG327785:BGG327789 BGG393321:BGG393325 BGG458857:BGG458861 BGG524393:BGG524397 BGG589929:BGG589933 BGG655465:BGG655469 BGG721001:BGG721005 BGG786537:BGG786541 BGG852073:BGG852077 BGG917609:BGG917613 BGG983145:BGG983149 BQC102:BQC109 BQC65641:BQC65645 BQC131177:BQC131181 BQC196713:BQC196717 BQC262249:BQC262253 BQC327785:BQC327789 BQC393321:BQC393325 BQC458857:BQC458861 BQC524393:BQC524397 BQC589929:BQC589933 BQC655465:BQC655469 BQC721001:BQC721005 BQC786537:BQC786541 BQC852073:BQC852077 BQC917609:BQC917613 BQC983145:BQC983149 BZY102:BZY109 BZY65641:BZY65645 BZY131177:BZY131181 BZY196713:BZY196717 BZY262249:BZY262253 BZY327785:BZY327789 BZY393321:BZY393325 BZY458857:BZY458861 BZY524393:BZY524397 BZY589929:BZY589933 BZY655465:BZY655469 BZY721001:BZY721005 BZY786537:BZY786541 BZY852073:BZY852077 BZY917609:BZY917613 BZY983145:BZY983149 CJU102:CJU109 CJU65641:CJU65645 CJU131177:CJU131181 CJU196713:CJU196717 CJU262249:CJU262253 CJU327785:CJU327789 CJU393321:CJU393325 CJU458857:CJU458861 CJU524393:CJU524397 CJU589929:CJU589933 CJU655465:CJU655469 CJU721001:CJU721005 CJU786537:CJU786541 CJU852073:CJU852077 CJU917609:CJU917613 CJU983145:CJU983149 CTQ102:CTQ109 CTQ65641:CTQ65645 CTQ131177:CTQ131181 CTQ196713:CTQ196717 CTQ262249:CTQ262253 CTQ327785:CTQ327789 CTQ393321:CTQ393325 CTQ458857:CTQ458861 CTQ524393:CTQ524397 CTQ589929:CTQ589933 CTQ655465:CTQ655469 CTQ721001:CTQ721005 CTQ786537:CTQ786541 CTQ852073:CTQ852077 CTQ917609:CTQ917613 CTQ983145:CTQ983149 DDM102:DDM109 DDM65641:DDM65645 DDM131177:DDM131181 DDM196713:DDM196717 DDM262249:DDM262253 DDM327785:DDM327789 DDM393321:DDM393325 DDM458857:DDM458861 DDM524393:DDM524397 DDM589929:DDM589933 DDM655465:DDM655469 DDM721001:DDM721005 DDM786537:DDM786541 DDM852073:DDM852077 DDM917609:DDM917613 DDM983145:DDM983149 DNI102:DNI109 DNI65641:DNI65645 DNI131177:DNI131181 DNI196713:DNI196717 DNI262249:DNI262253 DNI327785:DNI327789 DNI393321:DNI393325 DNI458857:DNI458861 DNI524393:DNI524397 DNI589929:DNI589933 DNI655465:DNI655469 DNI721001:DNI721005 DNI786537:DNI786541 DNI852073:DNI852077 DNI917609:DNI917613 DNI983145:DNI983149 DXE102:DXE109 DXE65641:DXE65645 DXE131177:DXE131181 DXE196713:DXE196717 DXE262249:DXE262253 DXE327785:DXE327789 DXE393321:DXE393325 DXE458857:DXE458861 DXE524393:DXE524397 DXE589929:DXE589933 DXE655465:DXE655469 DXE721001:DXE721005 DXE786537:DXE786541 DXE852073:DXE852077 DXE917609:DXE917613 DXE983145:DXE983149 EHA102:EHA109 EHA65641:EHA65645 EHA131177:EHA131181 EHA196713:EHA196717 EHA262249:EHA262253 EHA327785:EHA327789 EHA393321:EHA393325 EHA458857:EHA458861 EHA524393:EHA524397 EHA589929:EHA589933 EHA655465:EHA655469 EHA721001:EHA721005 EHA786537:EHA786541 EHA852073:EHA852077 EHA917609:EHA917613 EHA983145:EHA983149 EQW102:EQW109 EQW65641:EQW65645 EQW131177:EQW131181 EQW196713:EQW196717 EQW262249:EQW262253 EQW327785:EQW327789 EQW393321:EQW393325 EQW458857:EQW458861 EQW524393:EQW524397 EQW589929:EQW589933 EQW655465:EQW655469 EQW721001:EQW721005 EQW786537:EQW786541 EQW852073:EQW852077 EQW917609:EQW917613 EQW983145:EQW983149 FAS102:FAS109 FAS65641:FAS65645 FAS131177:FAS131181 FAS196713:FAS196717 FAS262249:FAS262253 FAS327785:FAS327789 FAS393321:FAS393325 FAS458857:FAS458861 FAS524393:FAS524397 FAS589929:FAS589933 FAS655465:FAS655469 FAS721001:FAS721005 FAS786537:FAS786541 FAS852073:FAS852077 FAS917609:FAS917613 FAS983145:FAS983149 FKO102:FKO109 FKO65641:FKO65645 FKO131177:FKO131181 FKO196713:FKO196717 FKO262249:FKO262253 FKO327785:FKO327789 FKO393321:FKO393325 FKO458857:FKO458861 FKO524393:FKO524397 FKO589929:FKO589933 FKO655465:FKO655469 FKO721001:FKO721005 FKO786537:FKO786541 FKO852073:FKO852077 FKO917609:FKO917613 FKO983145:FKO983149 FUK102:FUK109 FUK65641:FUK65645 FUK131177:FUK131181 FUK196713:FUK196717 FUK262249:FUK262253 FUK327785:FUK327789 FUK393321:FUK393325 FUK458857:FUK458861 FUK524393:FUK524397 FUK589929:FUK589933 FUK655465:FUK655469 FUK721001:FUK721005 FUK786537:FUK786541 FUK852073:FUK852077 FUK917609:FUK917613 FUK983145:FUK983149 GEG102:GEG109 GEG65641:GEG65645 GEG131177:GEG131181 GEG196713:GEG196717 GEG262249:GEG262253 GEG327785:GEG327789 GEG393321:GEG393325 GEG458857:GEG458861 GEG524393:GEG524397 GEG589929:GEG589933 GEG655465:GEG655469 GEG721001:GEG721005 GEG786537:GEG786541 GEG852073:GEG852077 GEG917609:GEG917613 GEG983145:GEG983149 GOC102:GOC109 GOC65641:GOC65645 GOC131177:GOC131181 GOC196713:GOC196717 GOC262249:GOC262253 GOC327785:GOC327789 GOC393321:GOC393325 GOC458857:GOC458861 GOC524393:GOC524397 GOC589929:GOC589933 GOC655465:GOC655469 GOC721001:GOC721005 GOC786537:GOC786541 GOC852073:GOC852077 GOC917609:GOC917613 GOC983145:GOC983149 GXY102:GXY109 GXY65641:GXY65645 GXY131177:GXY131181 GXY196713:GXY196717 GXY262249:GXY262253 GXY327785:GXY327789 GXY393321:GXY393325 GXY458857:GXY458861 GXY524393:GXY524397 GXY589929:GXY589933 GXY655465:GXY655469 GXY721001:GXY721005 GXY786537:GXY786541 GXY852073:GXY852077 GXY917609:GXY917613 GXY983145:GXY983149 HHU102:HHU109 HHU65641:HHU65645 HHU131177:HHU131181 HHU196713:HHU196717 HHU262249:HHU262253 HHU327785:HHU327789 HHU393321:HHU393325 HHU458857:HHU458861 HHU524393:HHU524397 HHU589929:HHU589933 HHU655465:HHU655469 HHU721001:HHU721005 HHU786537:HHU786541 HHU852073:HHU852077 HHU917609:HHU917613 HHU983145:HHU983149 HRQ102:HRQ109 HRQ65641:HRQ65645 HRQ131177:HRQ131181 HRQ196713:HRQ196717 HRQ262249:HRQ262253 HRQ327785:HRQ327789 HRQ393321:HRQ393325 HRQ458857:HRQ458861 HRQ524393:HRQ524397 HRQ589929:HRQ589933 HRQ655465:HRQ655469 HRQ721001:HRQ721005 HRQ786537:HRQ786541 HRQ852073:HRQ852077 HRQ917609:HRQ917613 HRQ983145:HRQ983149 IBM102:IBM109 IBM65641:IBM65645 IBM131177:IBM131181 IBM196713:IBM196717 IBM262249:IBM262253 IBM327785:IBM327789 IBM393321:IBM393325 IBM458857:IBM458861 IBM524393:IBM524397 IBM589929:IBM589933 IBM655465:IBM655469 IBM721001:IBM721005 IBM786537:IBM786541 IBM852073:IBM852077 IBM917609:IBM917613 IBM983145:IBM983149 ILI102:ILI109 ILI65641:ILI65645 ILI131177:ILI131181 ILI196713:ILI196717 ILI262249:ILI262253 ILI327785:ILI327789 ILI393321:ILI393325 ILI458857:ILI458861 ILI524393:ILI524397 ILI589929:ILI589933 ILI655465:ILI655469 ILI721001:ILI721005 ILI786537:ILI786541 ILI852073:ILI852077 ILI917609:ILI917613 ILI983145:ILI983149 IVE102:IVE109 IVE65641:IVE65645 IVE131177:IVE131181 IVE196713:IVE196717 IVE262249:IVE262253 IVE327785:IVE327789 IVE393321:IVE393325 IVE458857:IVE458861 IVE524393:IVE524397 IVE589929:IVE589933 IVE655465:IVE655469 IVE721001:IVE721005 IVE786537:IVE786541 IVE852073:IVE852077 IVE917609:IVE917613 IVE983145:IVE983149 JFA102:JFA109 JFA65641:JFA65645 JFA131177:JFA131181 JFA196713:JFA196717 JFA262249:JFA262253 JFA327785:JFA327789 JFA393321:JFA393325 JFA458857:JFA458861 JFA524393:JFA524397 JFA589929:JFA589933 JFA655465:JFA655469 JFA721001:JFA721005 JFA786537:JFA786541 JFA852073:JFA852077 JFA917609:JFA917613 JFA983145:JFA983149 JOW102:JOW109 JOW65641:JOW65645 JOW131177:JOW131181 JOW196713:JOW196717 JOW262249:JOW262253 JOW327785:JOW327789 JOW393321:JOW393325 JOW458857:JOW458861 JOW524393:JOW524397 JOW589929:JOW589933 JOW655465:JOW655469 JOW721001:JOW721005 JOW786537:JOW786541 JOW852073:JOW852077 JOW917609:JOW917613 JOW983145:JOW983149 JYS102:JYS109 JYS65641:JYS65645 JYS131177:JYS131181 JYS196713:JYS196717 JYS262249:JYS262253 JYS327785:JYS327789 JYS393321:JYS393325 JYS458857:JYS458861 JYS524393:JYS524397 JYS589929:JYS589933 JYS655465:JYS655469 JYS721001:JYS721005 JYS786537:JYS786541 JYS852073:JYS852077 JYS917609:JYS917613 JYS983145:JYS983149 KIO102:KIO109 KIO65641:KIO65645 KIO131177:KIO131181 KIO196713:KIO196717 KIO262249:KIO262253 KIO327785:KIO327789 KIO393321:KIO393325 KIO458857:KIO458861 KIO524393:KIO524397 KIO589929:KIO589933 KIO655465:KIO655469 KIO721001:KIO721005 KIO786537:KIO786541 KIO852073:KIO852077 KIO917609:KIO917613 KIO983145:KIO983149 KSK102:KSK109 KSK65641:KSK65645 KSK131177:KSK131181 KSK196713:KSK196717 KSK262249:KSK262253 KSK327785:KSK327789 KSK393321:KSK393325 KSK458857:KSK458861 KSK524393:KSK524397 KSK589929:KSK589933 KSK655465:KSK655469 KSK721001:KSK721005 KSK786537:KSK786541 KSK852073:KSK852077 KSK917609:KSK917613 KSK983145:KSK983149 LCG102:LCG109 LCG65641:LCG65645 LCG131177:LCG131181 LCG196713:LCG196717 LCG262249:LCG262253 LCG327785:LCG327789 LCG393321:LCG393325 LCG458857:LCG458861 LCG524393:LCG524397 LCG589929:LCG589933 LCG655465:LCG655469 LCG721001:LCG721005 LCG786537:LCG786541 LCG852073:LCG852077 LCG917609:LCG917613 LCG983145:LCG983149 LMC102:LMC109 LMC65641:LMC65645 LMC131177:LMC131181 LMC196713:LMC196717 LMC262249:LMC262253 LMC327785:LMC327789 LMC393321:LMC393325 LMC458857:LMC458861 LMC524393:LMC524397 LMC589929:LMC589933 LMC655465:LMC655469 LMC721001:LMC721005 LMC786537:LMC786541 LMC852073:LMC852077 LMC917609:LMC917613 LMC983145:LMC983149 LVY102:LVY109 LVY65641:LVY65645 LVY131177:LVY131181 LVY196713:LVY196717 LVY262249:LVY262253 LVY327785:LVY327789 LVY393321:LVY393325 LVY458857:LVY458861 LVY524393:LVY524397 LVY589929:LVY589933 LVY655465:LVY655469 LVY721001:LVY721005 LVY786537:LVY786541 LVY852073:LVY852077 LVY917609:LVY917613 LVY983145:LVY983149 MFU102:MFU109 MFU65641:MFU65645 MFU131177:MFU131181 MFU196713:MFU196717 MFU262249:MFU262253 MFU327785:MFU327789 MFU393321:MFU393325 MFU458857:MFU458861 MFU524393:MFU524397 MFU589929:MFU589933 MFU655465:MFU655469 MFU721001:MFU721005 MFU786537:MFU786541 MFU852073:MFU852077 MFU917609:MFU917613 MFU983145:MFU983149 MPQ102:MPQ109 MPQ65641:MPQ65645 MPQ131177:MPQ131181 MPQ196713:MPQ196717 MPQ262249:MPQ262253 MPQ327785:MPQ327789 MPQ393321:MPQ393325 MPQ458857:MPQ458861 MPQ524393:MPQ524397 MPQ589929:MPQ589933 MPQ655465:MPQ655469 MPQ721001:MPQ721005 MPQ786537:MPQ786541 MPQ852073:MPQ852077 MPQ917609:MPQ917613 MPQ983145:MPQ983149 MZM102:MZM109 MZM65641:MZM65645 MZM131177:MZM131181 MZM196713:MZM196717 MZM262249:MZM262253 MZM327785:MZM327789 MZM393321:MZM393325 MZM458857:MZM458861 MZM524393:MZM524397 MZM589929:MZM589933 MZM655465:MZM655469 MZM721001:MZM721005 MZM786537:MZM786541 MZM852073:MZM852077 MZM917609:MZM917613 MZM983145:MZM983149 NJI102:NJI109 NJI65641:NJI65645 NJI131177:NJI131181 NJI196713:NJI196717 NJI262249:NJI262253 NJI327785:NJI327789 NJI393321:NJI393325 NJI458857:NJI458861 NJI524393:NJI524397 NJI589929:NJI589933 NJI655465:NJI655469 NJI721001:NJI721005 NJI786537:NJI786541 NJI852073:NJI852077 NJI917609:NJI917613 NJI983145:NJI983149 NTE102:NTE109 NTE65641:NTE65645 NTE131177:NTE131181 NTE196713:NTE196717 NTE262249:NTE262253 NTE327785:NTE327789 NTE393321:NTE393325 NTE458857:NTE458861 NTE524393:NTE524397 NTE589929:NTE589933 NTE655465:NTE655469 NTE721001:NTE721005 NTE786537:NTE786541 NTE852073:NTE852077 NTE917609:NTE917613 NTE983145:NTE983149 ODA102:ODA109 ODA65641:ODA65645 ODA131177:ODA131181 ODA196713:ODA196717 ODA262249:ODA262253 ODA327785:ODA327789 ODA393321:ODA393325 ODA458857:ODA458861 ODA524393:ODA524397 ODA589929:ODA589933 ODA655465:ODA655469 ODA721001:ODA721005 ODA786537:ODA786541 ODA852073:ODA852077 ODA917609:ODA917613 ODA983145:ODA983149 OMW102:OMW109 OMW65641:OMW65645 OMW131177:OMW131181 OMW196713:OMW196717 OMW262249:OMW262253 OMW327785:OMW327789 OMW393321:OMW393325 OMW458857:OMW458861 OMW524393:OMW524397 OMW589929:OMW589933 OMW655465:OMW655469 OMW721001:OMW721005 OMW786537:OMW786541 OMW852073:OMW852077 OMW917609:OMW917613 OMW983145:OMW983149 OWS102:OWS109 OWS65641:OWS65645 OWS131177:OWS131181 OWS196713:OWS196717 OWS262249:OWS262253 OWS327785:OWS327789 OWS393321:OWS393325 OWS458857:OWS458861 OWS524393:OWS524397 OWS589929:OWS589933 OWS655465:OWS655469 OWS721001:OWS721005 OWS786537:OWS786541 OWS852073:OWS852077 OWS917609:OWS917613 OWS983145:OWS983149 PGO102:PGO109 PGO65641:PGO65645 PGO131177:PGO131181 PGO196713:PGO196717 PGO262249:PGO262253 PGO327785:PGO327789 PGO393321:PGO393325 PGO458857:PGO458861 PGO524393:PGO524397 PGO589929:PGO589933 PGO655465:PGO655469 PGO721001:PGO721005 PGO786537:PGO786541 PGO852073:PGO852077 PGO917609:PGO917613 PGO983145:PGO983149 PQK102:PQK109 PQK65641:PQK65645 PQK131177:PQK131181 PQK196713:PQK196717 PQK262249:PQK262253 PQK327785:PQK327789 PQK393321:PQK393325 PQK458857:PQK458861 PQK524393:PQK524397 PQK589929:PQK589933 PQK655465:PQK655469 PQK721001:PQK721005 PQK786537:PQK786541 PQK852073:PQK852077 PQK917609:PQK917613 PQK983145:PQK983149 QAG102:QAG109 QAG65641:QAG65645 QAG131177:QAG131181 QAG196713:QAG196717 QAG262249:QAG262253 QAG327785:QAG327789 QAG393321:QAG393325 QAG458857:QAG458861 QAG524393:QAG524397 QAG589929:QAG589933 QAG655465:QAG655469 QAG721001:QAG721005 QAG786537:QAG786541 QAG852073:QAG852077 QAG917609:QAG917613 QAG983145:QAG983149 QKC102:QKC109 QKC65641:QKC65645 QKC131177:QKC131181 QKC196713:QKC196717 QKC262249:QKC262253 QKC327785:QKC327789 QKC393321:QKC393325 QKC458857:QKC458861 QKC524393:QKC524397 QKC589929:QKC589933 QKC655465:QKC655469 QKC721001:QKC721005 QKC786537:QKC786541 QKC852073:QKC852077 QKC917609:QKC917613 QKC983145:QKC983149 QTY102:QTY109 QTY65641:QTY65645 QTY131177:QTY131181 QTY196713:QTY196717 QTY262249:QTY262253 QTY327785:QTY327789 QTY393321:QTY393325 QTY458857:QTY458861 QTY524393:QTY524397 QTY589929:QTY589933 QTY655465:QTY655469 QTY721001:QTY721005 QTY786537:QTY786541 QTY852073:QTY852077 QTY917609:QTY917613 QTY983145:QTY983149 RDU102:RDU109 RDU65641:RDU65645 RDU131177:RDU131181 RDU196713:RDU196717 RDU262249:RDU262253 RDU327785:RDU327789 RDU393321:RDU393325 RDU458857:RDU458861 RDU524393:RDU524397 RDU589929:RDU589933 RDU655465:RDU655469 RDU721001:RDU721005 RDU786537:RDU786541 RDU852073:RDU852077 RDU917609:RDU917613 RDU983145:RDU983149 RNQ102:RNQ109 RNQ65641:RNQ65645 RNQ131177:RNQ131181 RNQ196713:RNQ196717 RNQ262249:RNQ262253 RNQ327785:RNQ327789 RNQ393321:RNQ393325 RNQ458857:RNQ458861 RNQ524393:RNQ524397 RNQ589929:RNQ589933 RNQ655465:RNQ655469 RNQ721001:RNQ721005 RNQ786537:RNQ786541 RNQ852073:RNQ852077 RNQ917609:RNQ917613 RNQ983145:RNQ983149 RXM102:RXM109 RXM65641:RXM65645 RXM131177:RXM131181 RXM196713:RXM196717 RXM262249:RXM262253 RXM327785:RXM327789 RXM393321:RXM393325 RXM458857:RXM458861 RXM524393:RXM524397 RXM589929:RXM589933 RXM655465:RXM655469 RXM721001:RXM721005 RXM786537:RXM786541 RXM852073:RXM852077 RXM917609:RXM917613 RXM983145:RXM983149 SHI102:SHI109 SHI65641:SHI65645 SHI131177:SHI131181 SHI196713:SHI196717 SHI262249:SHI262253 SHI327785:SHI327789 SHI393321:SHI393325 SHI458857:SHI458861 SHI524393:SHI524397 SHI589929:SHI589933 SHI655465:SHI655469 SHI721001:SHI721005 SHI786537:SHI786541 SHI852073:SHI852077 SHI917609:SHI917613 SHI983145:SHI983149 SRE102:SRE109 SRE65641:SRE65645 SRE131177:SRE131181 SRE196713:SRE196717 SRE262249:SRE262253 SRE327785:SRE327789 SRE393321:SRE393325 SRE458857:SRE458861 SRE524393:SRE524397 SRE589929:SRE589933 SRE655465:SRE655469 SRE721001:SRE721005 SRE786537:SRE786541 SRE852073:SRE852077 SRE917609:SRE917613 SRE983145:SRE983149 TBA102:TBA109 TBA65641:TBA65645 TBA131177:TBA131181 TBA196713:TBA196717 TBA262249:TBA262253 TBA327785:TBA327789 TBA393321:TBA393325 TBA458857:TBA458861 TBA524393:TBA524397 TBA589929:TBA589933 TBA655465:TBA655469 TBA721001:TBA721005 TBA786537:TBA786541 TBA852073:TBA852077 TBA917609:TBA917613 TBA983145:TBA983149 TKW102:TKW109 TKW65641:TKW65645 TKW131177:TKW131181 TKW196713:TKW196717 TKW262249:TKW262253 TKW327785:TKW327789 TKW393321:TKW393325 TKW458857:TKW458861 TKW524393:TKW524397 TKW589929:TKW589933 TKW655465:TKW655469 TKW721001:TKW721005 TKW786537:TKW786541 TKW852073:TKW852077 TKW917609:TKW917613 TKW983145:TKW983149 TUS102:TUS109 TUS65641:TUS65645 TUS131177:TUS131181 TUS196713:TUS196717 TUS262249:TUS262253 TUS327785:TUS327789 TUS393321:TUS393325 TUS458857:TUS458861 TUS524393:TUS524397 TUS589929:TUS589933 TUS655465:TUS655469 TUS721001:TUS721005 TUS786537:TUS786541 TUS852073:TUS852077 TUS917609:TUS917613 TUS983145:TUS983149 UEO102:UEO109 UEO65641:UEO65645 UEO131177:UEO131181 UEO196713:UEO196717 UEO262249:UEO262253 UEO327785:UEO327789 UEO393321:UEO393325 UEO458857:UEO458861 UEO524393:UEO524397 UEO589929:UEO589933 UEO655465:UEO655469 UEO721001:UEO721005 UEO786537:UEO786541 UEO852073:UEO852077 UEO917609:UEO917613 UEO983145:UEO983149 UOK102:UOK109 UOK65641:UOK65645 UOK131177:UOK131181 UOK196713:UOK196717 UOK262249:UOK262253 UOK327785:UOK327789 UOK393321:UOK393325 UOK458857:UOK458861 UOK524393:UOK524397 UOK589929:UOK589933 UOK655465:UOK655469 UOK721001:UOK721005 UOK786537:UOK786541 UOK852073:UOK852077 UOK917609:UOK917613 UOK983145:UOK983149 UYG102:UYG109 UYG65641:UYG65645 UYG131177:UYG131181 UYG196713:UYG196717 UYG262249:UYG262253 UYG327785:UYG327789 UYG393321:UYG393325 UYG458857:UYG458861 UYG524393:UYG524397 UYG589929:UYG589933 UYG655465:UYG655469 UYG721001:UYG721005 UYG786537:UYG786541 UYG852073:UYG852077 UYG917609:UYG917613 UYG983145:UYG983149 VIC102:VIC109 VIC65641:VIC65645 VIC131177:VIC131181 VIC196713:VIC196717 VIC262249:VIC262253 VIC327785:VIC327789 VIC393321:VIC393325 VIC458857:VIC458861 VIC524393:VIC524397 VIC589929:VIC589933 VIC655465:VIC655469 VIC721001:VIC721005 VIC786537:VIC786541 VIC852073:VIC852077 VIC917609:VIC917613 VIC983145:VIC983149 VRY102:VRY109 VRY65641:VRY65645 VRY131177:VRY131181 VRY196713:VRY196717 VRY262249:VRY262253 VRY327785:VRY327789 VRY393321:VRY393325 VRY458857:VRY458861 VRY524393:VRY524397 VRY589929:VRY589933 VRY655465:VRY655469 VRY721001:VRY721005 VRY786537:VRY786541 VRY852073:VRY852077 VRY917609:VRY917613 VRY983145:VRY983149 WBU102:WBU109 WBU65641:WBU65645 WBU131177:WBU131181 WBU196713:WBU196717 WBU262249:WBU262253 WBU327785:WBU327789 WBU393321:WBU393325 WBU458857:WBU458861 WBU524393:WBU524397 WBU589929:WBU589933 WBU655465:WBU655469 WBU721001:WBU721005 WBU786537:WBU786541 WBU852073:WBU852077 WBU917609:WBU917613 WBU983145:WBU983149 WLQ102:WLQ109 WLQ65641:WLQ65645 WLQ131177:WLQ131181 WLQ196713:WLQ196717 WLQ262249:WLQ262253 WLQ327785:WLQ327789 WLQ393321:WLQ393325 WLQ458857:WLQ458861 WLQ524393:WLQ524397 WLQ589929:WLQ589933 WLQ655465:WLQ655469 WLQ721001:WLQ721005 WLQ786537:WLQ786541 WLQ852073:WLQ852077 WLQ917609:WLQ917613 WLQ983145:WLQ983149 WVM102:WVM109 WVM65641:WVM65645 WVM131177:WVM131181 WVM196713:WVM196717 WVM262249:WVM262253 WVM327785:WVM327789 WVM393321:WVM393325 WVM458857:WVM458861 WVM524393:WVM524397 WVM589929:WVM589933 WVM655465:WVM655469 WVM721001:WVM721005 WVM786537:WVM786541 WVM852073:WVM852077 WVM917609:WVM917613 WVM983145:WVM983149">
      <formula1>"■基线,□观测项,-"</formula1>
    </dataValidation>
    <dataValidation type="list" allowBlank="1" showInputMessage="1" showErrorMessage="1" sqref="F3:F10 F65552:F65560 F131088:F131096 F196624:F196632 F262160:F262168 F327696:F327704 F393232:F393240 F458768:F458776 F524304:F524312 F589840:F589848 F655376:F655384 F720912:F720920 F786448:F786456 F851984:F851992 F917520:F917528 F983056:F983064 JB3:JB10 JB65552:JB65560 JB131088:JB131096 JB196624:JB196632 JB262160:JB262168 JB327696:JB327704 JB393232:JB393240 JB458768:JB458776 JB524304:JB524312 JB589840:JB589848 JB655376:JB655384 JB720912:JB720920 JB786448:JB786456 JB851984:JB851992 JB917520:JB917528 JB983056:JB983064 SX3:SX10 SX65552:SX65560 SX131088:SX131096 SX196624:SX196632 SX262160:SX262168 SX327696:SX327704 SX393232:SX393240 SX458768:SX458776 SX524304:SX524312 SX589840:SX589848 SX655376:SX655384 SX720912:SX720920 SX786448:SX786456 SX851984:SX851992 SX917520:SX917528 SX983056:SX983064 ACT3:ACT10 ACT65552:ACT65560 ACT131088:ACT131096 ACT196624:ACT196632 ACT262160:ACT262168 ACT327696:ACT327704 ACT393232:ACT393240 ACT458768:ACT458776 ACT524304:ACT524312 ACT589840:ACT589848 ACT655376:ACT655384 ACT720912:ACT720920 ACT786448:ACT786456 ACT851984:ACT851992 ACT917520:ACT917528 ACT983056:ACT983064 AMP3:AMP10 AMP65552:AMP65560 AMP131088:AMP131096 AMP196624:AMP196632 AMP262160:AMP262168 AMP327696:AMP327704 AMP393232:AMP393240 AMP458768:AMP458776 AMP524304:AMP524312 AMP589840:AMP589848 AMP655376:AMP655384 AMP720912:AMP720920 AMP786448:AMP786456 AMP851984:AMP851992 AMP917520:AMP917528 AMP983056:AMP983064 AWL3:AWL10 AWL65552:AWL65560 AWL131088:AWL131096 AWL196624:AWL196632 AWL262160:AWL262168 AWL327696:AWL327704 AWL393232:AWL393240 AWL458768:AWL458776 AWL524304:AWL524312 AWL589840:AWL589848 AWL655376:AWL655384 AWL720912:AWL720920 AWL786448:AWL786456 AWL851984:AWL851992 AWL917520:AWL917528 AWL983056:AWL983064 BGH3:BGH10 BGH65552:BGH65560 BGH131088:BGH131096 BGH196624:BGH196632 BGH262160:BGH262168 BGH327696:BGH327704 BGH393232:BGH393240 BGH458768:BGH458776 BGH524304:BGH524312 BGH589840:BGH589848 BGH655376:BGH655384 BGH720912:BGH720920 BGH786448:BGH786456 BGH851984:BGH851992 BGH917520:BGH917528 BGH983056:BGH983064 BQD3:BQD10 BQD65552:BQD65560 BQD131088:BQD131096 BQD196624:BQD196632 BQD262160:BQD262168 BQD327696:BQD327704 BQD393232:BQD393240 BQD458768:BQD458776 BQD524304:BQD524312 BQD589840:BQD589848 BQD655376:BQD655384 BQD720912:BQD720920 BQD786448:BQD786456 BQD851984:BQD851992 BQD917520:BQD917528 BQD983056:BQD983064 BZZ3:BZZ10 BZZ65552:BZZ65560 BZZ131088:BZZ131096 BZZ196624:BZZ196632 BZZ262160:BZZ262168 BZZ327696:BZZ327704 BZZ393232:BZZ393240 BZZ458768:BZZ458776 BZZ524304:BZZ524312 BZZ589840:BZZ589848 BZZ655376:BZZ655384 BZZ720912:BZZ720920 BZZ786448:BZZ786456 BZZ851984:BZZ851992 BZZ917520:BZZ917528 BZZ983056:BZZ983064 CJV3:CJV10 CJV65552:CJV65560 CJV131088:CJV131096 CJV196624:CJV196632 CJV262160:CJV262168 CJV327696:CJV327704 CJV393232:CJV393240 CJV458768:CJV458776 CJV524304:CJV524312 CJV589840:CJV589848 CJV655376:CJV655384 CJV720912:CJV720920 CJV786448:CJV786456 CJV851984:CJV851992 CJV917520:CJV917528 CJV983056:CJV983064 CTR3:CTR10 CTR65552:CTR65560 CTR131088:CTR131096 CTR196624:CTR196632 CTR262160:CTR262168 CTR327696:CTR327704 CTR393232:CTR393240 CTR458768:CTR458776 CTR524304:CTR524312 CTR589840:CTR589848 CTR655376:CTR655384 CTR720912:CTR720920 CTR786448:CTR786456 CTR851984:CTR851992 CTR917520:CTR917528 CTR983056:CTR983064 DDN3:DDN10 DDN65552:DDN65560 DDN131088:DDN131096 DDN196624:DDN196632 DDN262160:DDN262168 DDN327696:DDN327704 DDN393232:DDN393240 DDN458768:DDN458776 DDN524304:DDN524312 DDN589840:DDN589848 DDN655376:DDN655384 DDN720912:DDN720920 DDN786448:DDN786456 DDN851984:DDN851992 DDN917520:DDN917528 DDN983056:DDN983064 DNJ3:DNJ10 DNJ65552:DNJ65560 DNJ131088:DNJ131096 DNJ196624:DNJ196632 DNJ262160:DNJ262168 DNJ327696:DNJ327704 DNJ393232:DNJ393240 DNJ458768:DNJ458776 DNJ524304:DNJ524312 DNJ589840:DNJ589848 DNJ655376:DNJ655384 DNJ720912:DNJ720920 DNJ786448:DNJ786456 DNJ851984:DNJ851992 DNJ917520:DNJ917528 DNJ983056:DNJ983064 DXF3:DXF10 DXF65552:DXF65560 DXF131088:DXF131096 DXF196624:DXF196632 DXF262160:DXF262168 DXF327696:DXF327704 DXF393232:DXF393240 DXF458768:DXF458776 DXF524304:DXF524312 DXF589840:DXF589848 DXF655376:DXF655384 DXF720912:DXF720920 DXF786448:DXF786456 DXF851984:DXF851992 DXF917520:DXF917528 DXF983056:DXF983064 EHB3:EHB10 EHB65552:EHB65560 EHB131088:EHB131096 EHB196624:EHB196632 EHB262160:EHB262168 EHB327696:EHB327704 EHB393232:EHB393240 EHB458768:EHB458776 EHB524304:EHB524312 EHB589840:EHB589848 EHB655376:EHB655384 EHB720912:EHB720920 EHB786448:EHB786456 EHB851984:EHB851992 EHB917520:EHB917528 EHB983056:EHB983064 EQX3:EQX10 EQX65552:EQX65560 EQX131088:EQX131096 EQX196624:EQX196632 EQX262160:EQX262168 EQX327696:EQX327704 EQX393232:EQX393240 EQX458768:EQX458776 EQX524304:EQX524312 EQX589840:EQX589848 EQX655376:EQX655384 EQX720912:EQX720920 EQX786448:EQX786456 EQX851984:EQX851992 EQX917520:EQX917528 EQX983056:EQX983064 FAT3:FAT10 FAT65552:FAT65560 FAT131088:FAT131096 FAT196624:FAT196632 FAT262160:FAT262168 FAT327696:FAT327704 FAT393232:FAT393240 FAT458768:FAT458776 FAT524304:FAT524312 FAT589840:FAT589848 FAT655376:FAT655384 FAT720912:FAT720920 FAT786448:FAT786456 FAT851984:FAT851992 FAT917520:FAT917528 FAT983056:FAT983064 FKP3:FKP10 FKP65552:FKP65560 FKP131088:FKP131096 FKP196624:FKP196632 FKP262160:FKP262168 FKP327696:FKP327704 FKP393232:FKP393240 FKP458768:FKP458776 FKP524304:FKP524312 FKP589840:FKP589848 FKP655376:FKP655384 FKP720912:FKP720920 FKP786448:FKP786456 FKP851984:FKP851992 FKP917520:FKP917528 FKP983056:FKP983064 FUL3:FUL10 FUL65552:FUL65560 FUL131088:FUL131096 FUL196624:FUL196632 FUL262160:FUL262168 FUL327696:FUL327704 FUL393232:FUL393240 FUL458768:FUL458776 FUL524304:FUL524312 FUL589840:FUL589848 FUL655376:FUL655384 FUL720912:FUL720920 FUL786448:FUL786456 FUL851984:FUL851992 FUL917520:FUL917528 FUL983056:FUL983064 GEH3:GEH10 GEH65552:GEH65560 GEH131088:GEH131096 GEH196624:GEH196632 GEH262160:GEH262168 GEH327696:GEH327704 GEH393232:GEH393240 GEH458768:GEH458776 GEH524304:GEH524312 GEH589840:GEH589848 GEH655376:GEH655384 GEH720912:GEH720920 GEH786448:GEH786456 GEH851984:GEH851992 GEH917520:GEH917528 GEH983056:GEH983064 GOD3:GOD10 GOD65552:GOD65560 GOD131088:GOD131096 GOD196624:GOD196632 GOD262160:GOD262168 GOD327696:GOD327704 GOD393232:GOD393240 GOD458768:GOD458776 GOD524304:GOD524312 GOD589840:GOD589848 GOD655376:GOD655384 GOD720912:GOD720920 GOD786448:GOD786456 GOD851984:GOD851992 GOD917520:GOD917528 GOD983056:GOD983064 GXZ3:GXZ10 GXZ65552:GXZ65560 GXZ131088:GXZ131096 GXZ196624:GXZ196632 GXZ262160:GXZ262168 GXZ327696:GXZ327704 GXZ393232:GXZ393240 GXZ458768:GXZ458776 GXZ524304:GXZ524312 GXZ589840:GXZ589848 GXZ655376:GXZ655384 GXZ720912:GXZ720920 GXZ786448:GXZ786456 GXZ851984:GXZ851992 GXZ917520:GXZ917528 GXZ983056:GXZ983064 HHV3:HHV10 HHV65552:HHV65560 HHV131088:HHV131096 HHV196624:HHV196632 HHV262160:HHV262168 HHV327696:HHV327704 HHV393232:HHV393240 HHV458768:HHV458776 HHV524304:HHV524312 HHV589840:HHV589848 HHV655376:HHV655384 HHV720912:HHV720920 HHV786448:HHV786456 HHV851984:HHV851992 HHV917520:HHV917528 HHV983056:HHV983064 HRR3:HRR10 HRR65552:HRR65560 HRR131088:HRR131096 HRR196624:HRR196632 HRR262160:HRR262168 HRR327696:HRR327704 HRR393232:HRR393240 HRR458768:HRR458776 HRR524304:HRR524312 HRR589840:HRR589848 HRR655376:HRR655384 HRR720912:HRR720920 HRR786448:HRR786456 HRR851984:HRR851992 HRR917520:HRR917528 HRR983056:HRR983064 IBN3:IBN10 IBN65552:IBN65560 IBN131088:IBN131096 IBN196624:IBN196632 IBN262160:IBN262168 IBN327696:IBN327704 IBN393232:IBN393240 IBN458768:IBN458776 IBN524304:IBN524312 IBN589840:IBN589848 IBN655376:IBN655384 IBN720912:IBN720920 IBN786448:IBN786456 IBN851984:IBN851992 IBN917520:IBN917528 IBN983056:IBN983064 ILJ3:ILJ10 ILJ65552:ILJ65560 ILJ131088:ILJ131096 ILJ196624:ILJ196632 ILJ262160:ILJ262168 ILJ327696:ILJ327704 ILJ393232:ILJ393240 ILJ458768:ILJ458776 ILJ524304:ILJ524312 ILJ589840:ILJ589848 ILJ655376:ILJ655384 ILJ720912:ILJ720920 ILJ786448:ILJ786456 ILJ851984:ILJ851992 ILJ917520:ILJ917528 ILJ983056:ILJ983064 IVF3:IVF10 IVF65552:IVF65560 IVF131088:IVF131096 IVF196624:IVF196632 IVF262160:IVF262168 IVF327696:IVF327704 IVF393232:IVF393240 IVF458768:IVF458776 IVF524304:IVF524312 IVF589840:IVF589848 IVF655376:IVF655384 IVF720912:IVF720920 IVF786448:IVF786456 IVF851984:IVF851992 IVF917520:IVF917528 IVF983056:IVF983064 JFB3:JFB10 JFB65552:JFB65560 JFB131088:JFB131096 JFB196624:JFB196632 JFB262160:JFB262168 JFB327696:JFB327704 JFB393232:JFB393240 JFB458768:JFB458776 JFB524304:JFB524312 JFB589840:JFB589848 JFB655376:JFB655384 JFB720912:JFB720920 JFB786448:JFB786456 JFB851984:JFB851992 JFB917520:JFB917528 JFB983056:JFB983064 JOX3:JOX10 JOX65552:JOX65560 JOX131088:JOX131096 JOX196624:JOX196632 JOX262160:JOX262168 JOX327696:JOX327704 JOX393232:JOX393240 JOX458768:JOX458776 JOX524304:JOX524312 JOX589840:JOX589848 JOX655376:JOX655384 JOX720912:JOX720920 JOX786448:JOX786456 JOX851984:JOX851992 JOX917520:JOX917528 JOX983056:JOX983064 JYT3:JYT10 JYT65552:JYT65560 JYT131088:JYT131096 JYT196624:JYT196632 JYT262160:JYT262168 JYT327696:JYT327704 JYT393232:JYT393240 JYT458768:JYT458776 JYT524304:JYT524312 JYT589840:JYT589848 JYT655376:JYT655384 JYT720912:JYT720920 JYT786448:JYT786456 JYT851984:JYT851992 JYT917520:JYT917528 JYT983056:JYT983064 KIP3:KIP10 KIP65552:KIP65560 KIP131088:KIP131096 KIP196624:KIP196632 KIP262160:KIP262168 KIP327696:KIP327704 KIP393232:KIP393240 KIP458768:KIP458776 KIP524304:KIP524312 KIP589840:KIP589848 KIP655376:KIP655384 KIP720912:KIP720920 KIP786448:KIP786456 KIP851984:KIP851992 KIP917520:KIP917528 KIP983056:KIP983064 KSL3:KSL10 KSL65552:KSL65560 KSL131088:KSL131096 KSL196624:KSL196632 KSL262160:KSL262168 KSL327696:KSL327704 KSL393232:KSL393240 KSL458768:KSL458776 KSL524304:KSL524312 KSL589840:KSL589848 KSL655376:KSL655384 KSL720912:KSL720920 KSL786448:KSL786456 KSL851984:KSL851992 KSL917520:KSL917528 KSL983056:KSL983064 LCH3:LCH10 LCH65552:LCH65560 LCH131088:LCH131096 LCH196624:LCH196632 LCH262160:LCH262168 LCH327696:LCH327704 LCH393232:LCH393240 LCH458768:LCH458776 LCH524304:LCH524312 LCH589840:LCH589848 LCH655376:LCH655384 LCH720912:LCH720920 LCH786448:LCH786456 LCH851984:LCH851992 LCH917520:LCH917528 LCH983056:LCH983064 LMD3:LMD10 LMD65552:LMD65560 LMD131088:LMD131096 LMD196624:LMD196632 LMD262160:LMD262168 LMD327696:LMD327704 LMD393232:LMD393240 LMD458768:LMD458776 LMD524304:LMD524312 LMD589840:LMD589848 LMD655376:LMD655384 LMD720912:LMD720920 LMD786448:LMD786456 LMD851984:LMD851992 LMD917520:LMD917528 LMD983056:LMD983064 LVZ3:LVZ10 LVZ65552:LVZ65560 LVZ131088:LVZ131096 LVZ196624:LVZ196632 LVZ262160:LVZ262168 LVZ327696:LVZ327704 LVZ393232:LVZ393240 LVZ458768:LVZ458776 LVZ524304:LVZ524312 LVZ589840:LVZ589848 LVZ655376:LVZ655384 LVZ720912:LVZ720920 LVZ786448:LVZ786456 LVZ851984:LVZ851992 LVZ917520:LVZ917528 LVZ983056:LVZ983064 MFV3:MFV10 MFV65552:MFV65560 MFV131088:MFV131096 MFV196624:MFV196632 MFV262160:MFV262168 MFV327696:MFV327704 MFV393232:MFV393240 MFV458768:MFV458776 MFV524304:MFV524312 MFV589840:MFV589848 MFV655376:MFV655384 MFV720912:MFV720920 MFV786448:MFV786456 MFV851984:MFV851992 MFV917520:MFV917528 MFV983056:MFV983064 MPR3:MPR10 MPR65552:MPR65560 MPR131088:MPR131096 MPR196624:MPR196632 MPR262160:MPR262168 MPR327696:MPR327704 MPR393232:MPR393240 MPR458768:MPR458776 MPR524304:MPR524312 MPR589840:MPR589848 MPR655376:MPR655384 MPR720912:MPR720920 MPR786448:MPR786456 MPR851984:MPR851992 MPR917520:MPR917528 MPR983056:MPR983064 MZN3:MZN10 MZN65552:MZN65560 MZN131088:MZN131096 MZN196624:MZN196632 MZN262160:MZN262168 MZN327696:MZN327704 MZN393232:MZN393240 MZN458768:MZN458776 MZN524304:MZN524312 MZN589840:MZN589848 MZN655376:MZN655384 MZN720912:MZN720920 MZN786448:MZN786456 MZN851984:MZN851992 MZN917520:MZN917528 MZN983056:MZN983064 NJJ3:NJJ10 NJJ65552:NJJ65560 NJJ131088:NJJ131096 NJJ196624:NJJ196632 NJJ262160:NJJ262168 NJJ327696:NJJ327704 NJJ393232:NJJ393240 NJJ458768:NJJ458776 NJJ524304:NJJ524312 NJJ589840:NJJ589848 NJJ655376:NJJ655384 NJJ720912:NJJ720920 NJJ786448:NJJ786456 NJJ851984:NJJ851992 NJJ917520:NJJ917528 NJJ983056:NJJ983064 NTF3:NTF10 NTF65552:NTF65560 NTF131088:NTF131096 NTF196624:NTF196632 NTF262160:NTF262168 NTF327696:NTF327704 NTF393232:NTF393240 NTF458768:NTF458776 NTF524304:NTF524312 NTF589840:NTF589848 NTF655376:NTF655384 NTF720912:NTF720920 NTF786448:NTF786456 NTF851984:NTF851992 NTF917520:NTF917528 NTF983056:NTF983064 ODB3:ODB10 ODB65552:ODB65560 ODB131088:ODB131096 ODB196624:ODB196632 ODB262160:ODB262168 ODB327696:ODB327704 ODB393232:ODB393240 ODB458768:ODB458776 ODB524304:ODB524312 ODB589840:ODB589848 ODB655376:ODB655384 ODB720912:ODB720920 ODB786448:ODB786456 ODB851984:ODB851992 ODB917520:ODB917528 ODB983056:ODB983064 OMX3:OMX10 OMX65552:OMX65560 OMX131088:OMX131096 OMX196624:OMX196632 OMX262160:OMX262168 OMX327696:OMX327704 OMX393232:OMX393240 OMX458768:OMX458776 OMX524304:OMX524312 OMX589840:OMX589848 OMX655376:OMX655384 OMX720912:OMX720920 OMX786448:OMX786456 OMX851984:OMX851992 OMX917520:OMX917528 OMX983056:OMX983064 OWT3:OWT10 OWT65552:OWT65560 OWT131088:OWT131096 OWT196624:OWT196632 OWT262160:OWT262168 OWT327696:OWT327704 OWT393232:OWT393240 OWT458768:OWT458776 OWT524304:OWT524312 OWT589840:OWT589848 OWT655376:OWT655384 OWT720912:OWT720920 OWT786448:OWT786456 OWT851984:OWT851992 OWT917520:OWT917528 OWT983056:OWT983064 PGP3:PGP10 PGP65552:PGP65560 PGP131088:PGP131096 PGP196624:PGP196632 PGP262160:PGP262168 PGP327696:PGP327704 PGP393232:PGP393240 PGP458768:PGP458776 PGP524304:PGP524312 PGP589840:PGP589848 PGP655376:PGP655384 PGP720912:PGP720920 PGP786448:PGP786456 PGP851984:PGP851992 PGP917520:PGP917528 PGP983056:PGP983064 PQL3:PQL10 PQL65552:PQL65560 PQL131088:PQL131096 PQL196624:PQL196632 PQL262160:PQL262168 PQL327696:PQL327704 PQL393232:PQL393240 PQL458768:PQL458776 PQL524304:PQL524312 PQL589840:PQL589848 PQL655376:PQL655384 PQL720912:PQL720920 PQL786448:PQL786456 PQL851984:PQL851992 PQL917520:PQL917528 PQL983056:PQL983064 QAH3:QAH10 QAH65552:QAH65560 QAH131088:QAH131096 QAH196624:QAH196632 QAH262160:QAH262168 QAH327696:QAH327704 QAH393232:QAH393240 QAH458768:QAH458776 QAH524304:QAH524312 QAH589840:QAH589848 QAH655376:QAH655384 QAH720912:QAH720920 QAH786448:QAH786456 QAH851984:QAH851992 QAH917520:QAH917528 QAH983056:QAH983064 QKD3:QKD10 QKD65552:QKD65560 QKD131088:QKD131096 QKD196624:QKD196632 QKD262160:QKD262168 QKD327696:QKD327704 QKD393232:QKD393240 QKD458768:QKD458776 QKD524304:QKD524312 QKD589840:QKD589848 QKD655376:QKD655384 QKD720912:QKD720920 QKD786448:QKD786456 QKD851984:QKD851992 QKD917520:QKD917528 QKD983056:QKD983064 QTZ3:QTZ10 QTZ65552:QTZ65560 QTZ131088:QTZ131096 QTZ196624:QTZ196632 QTZ262160:QTZ262168 QTZ327696:QTZ327704 QTZ393232:QTZ393240 QTZ458768:QTZ458776 QTZ524304:QTZ524312 QTZ589840:QTZ589848 QTZ655376:QTZ655384 QTZ720912:QTZ720920 QTZ786448:QTZ786456 QTZ851984:QTZ851992 QTZ917520:QTZ917528 QTZ983056:QTZ983064 RDV3:RDV10 RDV65552:RDV65560 RDV131088:RDV131096 RDV196624:RDV196632 RDV262160:RDV262168 RDV327696:RDV327704 RDV393232:RDV393240 RDV458768:RDV458776 RDV524304:RDV524312 RDV589840:RDV589848 RDV655376:RDV655384 RDV720912:RDV720920 RDV786448:RDV786456 RDV851984:RDV851992 RDV917520:RDV917528 RDV983056:RDV983064 RNR3:RNR10 RNR65552:RNR65560 RNR131088:RNR131096 RNR196624:RNR196632 RNR262160:RNR262168 RNR327696:RNR327704 RNR393232:RNR393240 RNR458768:RNR458776 RNR524304:RNR524312 RNR589840:RNR589848 RNR655376:RNR655384 RNR720912:RNR720920 RNR786448:RNR786456 RNR851984:RNR851992 RNR917520:RNR917528 RNR983056:RNR983064 RXN3:RXN10 RXN65552:RXN65560 RXN131088:RXN131096 RXN196624:RXN196632 RXN262160:RXN262168 RXN327696:RXN327704 RXN393232:RXN393240 RXN458768:RXN458776 RXN524304:RXN524312 RXN589840:RXN589848 RXN655376:RXN655384 RXN720912:RXN720920 RXN786448:RXN786456 RXN851984:RXN851992 RXN917520:RXN917528 RXN983056:RXN983064 SHJ3:SHJ10 SHJ65552:SHJ65560 SHJ131088:SHJ131096 SHJ196624:SHJ196632 SHJ262160:SHJ262168 SHJ327696:SHJ327704 SHJ393232:SHJ393240 SHJ458768:SHJ458776 SHJ524304:SHJ524312 SHJ589840:SHJ589848 SHJ655376:SHJ655384 SHJ720912:SHJ720920 SHJ786448:SHJ786456 SHJ851984:SHJ851992 SHJ917520:SHJ917528 SHJ983056:SHJ983064 SRF3:SRF10 SRF65552:SRF65560 SRF131088:SRF131096 SRF196624:SRF196632 SRF262160:SRF262168 SRF327696:SRF327704 SRF393232:SRF393240 SRF458768:SRF458776 SRF524304:SRF524312 SRF589840:SRF589848 SRF655376:SRF655384 SRF720912:SRF720920 SRF786448:SRF786456 SRF851984:SRF851992 SRF917520:SRF917528 SRF983056:SRF983064 TBB3:TBB10 TBB65552:TBB65560 TBB131088:TBB131096 TBB196624:TBB196632 TBB262160:TBB262168 TBB327696:TBB327704 TBB393232:TBB393240 TBB458768:TBB458776 TBB524304:TBB524312 TBB589840:TBB589848 TBB655376:TBB655384 TBB720912:TBB720920 TBB786448:TBB786456 TBB851984:TBB851992 TBB917520:TBB917528 TBB983056:TBB983064 TKX3:TKX10 TKX65552:TKX65560 TKX131088:TKX131096 TKX196624:TKX196632 TKX262160:TKX262168 TKX327696:TKX327704 TKX393232:TKX393240 TKX458768:TKX458776 TKX524304:TKX524312 TKX589840:TKX589848 TKX655376:TKX655384 TKX720912:TKX720920 TKX786448:TKX786456 TKX851984:TKX851992 TKX917520:TKX917528 TKX983056:TKX983064 TUT3:TUT10 TUT65552:TUT65560 TUT131088:TUT131096 TUT196624:TUT196632 TUT262160:TUT262168 TUT327696:TUT327704 TUT393232:TUT393240 TUT458768:TUT458776 TUT524304:TUT524312 TUT589840:TUT589848 TUT655376:TUT655384 TUT720912:TUT720920 TUT786448:TUT786456 TUT851984:TUT851992 TUT917520:TUT917528 TUT983056:TUT983064 UEP3:UEP10 UEP65552:UEP65560 UEP131088:UEP131096 UEP196624:UEP196632 UEP262160:UEP262168 UEP327696:UEP327704 UEP393232:UEP393240 UEP458768:UEP458776 UEP524304:UEP524312 UEP589840:UEP589848 UEP655376:UEP655384 UEP720912:UEP720920 UEP786448:UEP786456 UEP851984:UEP851992 UEP917520:UEP917528 UEP983056:UEP983064 UOL3:UOL10 UOL65552:UOL65560 UOL131088:UOL131096 UOL196624:UOL196632 UOL262160:UOL262168 UOL327696:UOL327704 UOL393232:UOL393240 UOL458768:UOL458776 UOL524304:UOL524312 UOL589840:UOL589848 UOL655376:UOL655384 UOL720912:UOL720920 UOL786448:UOL786456 UOL851984:UOL851992 UOL917520:UOL917528 UOL983056:UOL983064 UYH3:UYH10 UYH65552:UYH65560 UYH131088:UYH131096 UYH196624:UYH196632 UYH262160:UYH262168 UYH327696:UYH327704 UYH393232:UYH393240 UYH458768:UYH458776 UYH524304:UYH524312 UYH589840:UYH589848 UYH655376:UYH655384 UYH720912:UYH720920 UYH786448:UYH786456 UYH851984:UYH851992 UYH917520:UYH917528 UYH983056:UYH983064 VID3:VID10 VID65552:VID65560 VID131088:VID131096 VID196624:VID196632 VID262160:VID262168 VID327696:VID327704 VID393232:VID393240 VID458768:VID458776 VID524304:VID524312 VID589840:VID589848 VID655376:VID655384 VID720912:VID720920 VID786448:VID786456 VID851984:VID851992 VID917520:VID917528 VID983056:VID983064 VRZ3:VRZ10 VRZ65552:VRZ65560 VRZ131088:VRZ131096 VRZ196624:VRZ196632 VRZ262160:VRZ262168 VRZ327696:VRZ327704 VRZ393232:VRZ393240 VRZ458768:VRZ458776 VRZ524304:VRZ524312 VRZ589840:VRZ589848 VRZ655376:VRZ655384 VRZ720912:VRZ720920 VRZ786448:VRZ786456 VRZ851984:VRZ851992 VRZ917520:VRZ917528 VRZ983056:VRZ983064 WBV3:WBV10 WBV65552:WBV65560 WBV131088:WBV131096 WBV196624:WBV196632 WBV262160:WBV262168 WBV327696:WBV327704 WBV393232:WBV393240 WBV458768:WBV458776 WBV524304:WBV524312 WBV589840:WBV589848 WBV655376:WBV655384 WBV720912:WBV720920 WBV786448:WBV786456 WBV851984:WBV851992 WBV917520:WBV917528 WBV983056:WBV983064 WLR3:WLR10 WLR65552:WLR65560 WLR131088:WLR131096 WLR196624:WLR196632 WLR262160:WLR262168 WLR327696:WLR327704 WLR393232:WLR393240 WLR458768:WLR458776 WLR524304:WLR524312 WLR589840:WLR589848 WLR655376:WLR655384 WLR720912:WLR720920 WLR786448:WLR786456 WLR851984:WLR851992 WLR917520:WLR917528 WLR983056:WLR983064 WVN3:WVN10 WVN65552:WVN65560 WVN131088:WVN131096 WVN196624:WVN196632 WVN262160:WVN262168 WVN327696:WVN327704 WVN393232:WVN393240 WVN458768:WVN458776 WVN524304:WVN524312 WVN589840:WVN589848 WVN655376:WVN655384 WVN720912:WVN720920 WVN786448:WVN786456 WVN851984:WVN851992 WVN917520:WVN917528 WVN983056:WVN983064">
      <formula1>"高,中,低"</formula1>
    </dataValidation>
  </dataValidations>
  <pageMargins left="0.699305555555556" right="0.699305555555556" top="0.75" bottom="0.75" header="0.3" footer="0.3"/>
  <pageSetup paperSize="9" orientation="portrait" horizontalDpi="1200" verticalDpi="1200"/>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FFC000"/>
  </sheetPr>
  <dimension ref="A1:U19"/>
  <sheetViews>
    <sheetView workbookViewId="0">
      <selection activeCell="N4" sqref="N4"/>
    </sheetView>
  </sheetViews>
  <sheetFormatPr defaultColWidth="9" defaultRowHeight="13.5"/>
  <cols>
    <col min="1" max="1" width="8.25" style="776" customWidth="1"/>
    <col min="2" max="2" width="9" style="777"/>
    <col min="3" max="3" width="9" style="777" customWidth="1"/>
    <col min="4" max="4" width="9" style="777"/>
    <col min="5" max="5" width="7.25" style="777" customWidth="1"/>
    <col min="6" max="6" width="8.25" style="777" customWidth="1"/>
    <col min="7" max="7" width="7.5" style="777" customWidth="1"/>
    <col min="8" max="8" width="8.25" style="777" customWidth="1"/>
    <col min="9" max="9" width="7.5" style="777" customWidth="1"/>
    <col min="10" max="10" width="7.875" style="777" customWidth="1"/>
    <col min="11" max="11" width="9.75" style="777" customWidth="1"/>
    <col min="12" max="12" width="7" style="777" customWidth="1"/>
    <col min="13" max="13" width="5.75" style="777" customWidth="1"/>
    <col min="14" max="14" width="4.625" style="777" customWidth="1"/>
    <col min="15" max="15" width="5.375" style="777" customWidth="1"/>
    <col min="16" max="18" width="10.25" style="777" customWidth="1"/>
    <col min="19" max="19" width="9.375" style="777" customWidth="1"/>
    <col min="20" max="20" width="10.625" style="777" customWidth="1"/>
    <col min="21" max="21" width="31.75" style="777" customWidth="1"/>
    <col min="22" max="16384" width="9" style="777"/>
  </cols>
  <sheetData>
    <row r="1" ht="18.75" customHeight="1" spans="1:21">
      <c r="A1" s="778"/>
      <c r="B1" s="779" t="s">
        <v>304</v>
      </c>
      <c r="C1" s="755"/>
      <c r="D1" s="755"/>
      <c r="E1" s="755"/>
      <c r="F1" s="755"/>
      <c r="G1" s="755"/>
      <c r="H1" s="755"/>
      <c r="I1" s="755"/>
      <c r="J1" s="755"/>
      <c r="K1" s="755"/>
      <c r="L1" s="755"/>
      <c r="M1" s="755"/>
      <c r="N1" s="755"/>
      <c r="O1" s="755"/>
      <c r="P1" s="755"/>
      <c r="Q1" s="755"/>
      <c r="R1" s="755"/>
      <c r="S1" s="755"/>
      <c r="T1" s="792"/>
      <c r="U1" s="793"/>
    </row>
    <row r="2" ht="18.75" customHeight="1" spans="1:21">
      <c r="A2" s="778"/>
      <c r="B2" s="780" t="s">
        <v>305</v>
      </c>
      <c r="C2" s="781"/>
      <c r="D2" s="781"/>
      <c r="E2" s="781"/>
      <c r="F2" s="781"/>
      <c r="G2" s="781"/>
      <c r="H2" s="781"/>
      <c r="I2" s="781"/>
      <c r="J2" s="781"/>
      <c r="K2" s="781"/>
      <c r="L2" s="785"/>
      <c r="M2" s="785"/>
      <c r="N2" s="785"/>
      <c r="O2" s="785"/>
      <c r="P2" s="786"/>
      <c r="Q2" s="786"/>
      <c r="R2" s="786"/>
      <c r="S2" s="786"/>
      <c r="T2" s="786"/>
      <c r="U2" s="786"/>
    </row>
    <row r="3" ht="42.95" customHeight="1" spans="1:21">
      <c r="A3" s="778" t="s">
        <v>306</v>
      </c>
      <c r="B3" s="778" t="s">
        <v>307</v>
      </c>
      <c r="C3" s="778" t="s">
        <v>308</v>
      </c>
      <c r="D3" s="778" t="s">
        <v>309</v>
      </c>
      <c r="E3" s="778" t="s">
        <v>310</v>
      </c>
      <c r="F3" s="778" t="s">
        <v>311</v>
      </c>
      <c r="G3" s="778" t="s">
        <v>312</v>
      </c>
      <c r="H3" s="778" t="s">
        <v>313</v>
      </c>
      <c r="I3" s="778" t="s">
        <v>314</v>
      </c>
      <c r="J3" s="778" t="s">
        <v>315</v>
      </c>
      <c r="K3" s="778" t="s">
        <v>222</v>
      </c>
      <c r="L3" s="787" t="s">
        <v>316</v>
      </c>
      <c r="M3" s="788"/>
      <c r="N3" s="788"/>
      <c r="O3" s="788"/>
      <c r="P3" s="789" t="s">
        <v>317</v>
      </c>
      <c r="Q3" s="789" t="s">
        <v>318</v>
      </c>
      <c r="R3" s="789" t="s">
        <v>319</v>
      </c>
      <c r="S3" s="789" t="s">
        <v>320</v>
      </c>
      <c r="T3" s="794" t="s">
        <v>321</v>
      </c>
      <c r="U3" s="794" t="s">
        <v>322</v>
      </c>
    </row>
    <row r="4" ht="60" spans="1:21">
      <c r="A4" s="782">
        <v>1</v>
      </c>
      <c r="B4" s="783" t="s">
        <v>323</v>
      </c>
      <c r="C4" s="783" t="s">
        <v>324</v>
      </c>
      <c r="D4" s="783">
        <v>365</v>
      </c>
      <c r="E4" s="783">
        <v>754.63</v>
      </c>
      <c r="F4" s="783">
        <v>226</v>
      </c>
      <c r="G4" s="783">
        <v>257</v>
      </c>
      <c r="H4" s="783" t="s">
        <v>153</v>
      </c>
      <c r="I4" s="783">
        <v>0.7</v>
      </c>
      <c r="J4" s="783" t="s">
        <v>157</v>
      </c>
      <c r="K4" s="783" t="s">
        <v>161</v>
      </c>
      <c r="L4" s="783">
        <v>3</v>
      </c>
      <c r="M4" s="783">
        <v>3</v>
      </c>
      <c r="N4" s="783">
        <v>1</v>
      </c>
      <c r="O4" s="783">
        <v>1</v>
      </c>
      <c r="P4" s="790">
        <v>0.8314</v>
      </c>
      <c r="Q4" s="790">
        <v>0.9357</v>
      </c>
      <c r="R4" s="790">
        <v>0.9044</v>
      </c>
      <c r="S4" s="790">
        <v>0.9337</v>
      </c>
      <c r="T4" s="791" t="s">
        <v>325</v>
      </c>
      <c r="U4" s="795" t="s">
        <v>326</v>
      </c>
    </row>
    <row r="5" ht="36" spans="1:21">
      <c r="A5" s="782">
        <v>2</v>
      </c>
      <c r="B5" s="783" t="s">
        <v>323</v>
      </c>
      <c r="C5" s="783" t="s">
        <v>327</v>
      </c>
      <c r="D5" s="783">
        <v>365</v>
      </c>
      <c r="E5" s="783">
        <v>754.63</v>
      </c>
      <c r="F5" s="783">
        <v>226</v>
      </c>
      <c r="G5" s="783">
        <v>257</v>
      </c>
      <c r="H5" s="783" t="s">
        <v>153</v>
      </c>
      <c r="I5" s="783">
        <v>0.7</v>
      </c>
      <c r="J5" s="783" t="s">
        <v>157</v>
      </c>
      <c r="K5" s="783" t="s">
        <v>161</v>
      </c>
      <c r="L5" s="783">
        <v>3</v>
      </c>
      <c r="M5" s="783">
        <v>3</v>
      </c>
      <c r="N5" s="783">
        <v>1</v>
      </c>
      <c r="O5" s="783">
        <v>1</v>
      </c>
      <c r="P5" s="790">
        <v>0.9245</v>
      </c>
      <c r="Q5" s="790">
        <v>0.9578</v>
      </c>
      <c r="R5" s="790">
        <v>0.898</v>
      </c>
      <c r="S5" s="790">
        <v>0.9386</v>
      </c>
      <c r="T5" s="796" t="s">
        <v>325</v>
      </c>
      <c r="U5" s="797" t="s">
        <v>328</v>
      </c>
    </row>
    <row r="6" ht="24" spans="1:21">
      <c r="A6" s="782">
        <v>3</v>
      </c>
      <c r="B6" s="783" t="s">
        <v>323</v>
      </c>
      <c r="C6" s="783" t="s">
        <v>329</v>
      </c>
      <c r="D6" s="783">
        <v>365</v>
      </c>
      <c r="E6" s="783">
        <v>754.63</v>
      </c>
      <c r="F6" s="783">
        <v>226</v>
      </c>
      <c r="G6" s="783">
        <v>257</v>
      </c>
      <c r="H6" s="783" t="s">
        <v>153</v>
      </c>
      <c r="I6" s="783">
        <v>0.7</v>
      </c>
      <c r="J6" s="783" t="s">
        <v>157</v>
      </c>
      <c r="K6" s="783" t="s">
        <v>161</v>
      </c>
      <c r="L6" s="783">
        <v>3</v>
      </c>
      <c r="M6" s="783">
        <v>3</v>
      </c>
      <c r="N6" s="783">
        <v>1</v>
      </c>
      <c r="O6" s="783">
        <v>1</v>
      </c>
      <c r="P6" s="790">
        <v>1</v>
      </c>
      <c r="Q6" s="790">
        <v>0.9961</v>
      </c>
      <c r="R6" s="790">
        <v>0.9801</v>
      </c>
      <c r="S6" s="790">
        <v>0.9465</v>
      </c>
      <c r="T6" s="796" t="s">
        <v>325</v>
      </c>
      <c r="U6" s="797" t="s">
        <v>328</v>
      </c>
    </row>
    <row r="7" ht="24" spans="1:21">
      <c r="A7" s="782">
        <v>4</v>
      </c>
      <c r="B7" s="783" t="s">
        <v>323</v>
      </c>
      <c r="C7" s="783" t="s">
        <v>330</v>
      </c>
      <c r="D7" s="783">
        <v>365</v>
      </c>
      <c r="E7" s="783">
        <v>754.63</v>
      </c>
      <c r="F7" s="783">
        <v>226</v>
      </c>
      <c r="G7" s="783">
        <v>257</v>
      </c>
      <c r="H7" s="783" t="s">
        <v>153</v>
      </c>
      <c r="I7" s="783">
        <v>0.7</v>
      </c>
      <c r="J7" s="783" t="s">
        <v>157</v>
      </c>
      <c r="K7" s="783" t="s">
        <v>161</v>
      </c>
      <c r="L7" s="783">
        <v>3</v>
      </c>
      <c r="M7" s="783">
        <v>3</v>
      </c>
      <c r="N7" s="783">
        <v>1</v>
      </c>
      <c r="O7" s="783">
        <v>1</v>
      </c>
      <c r="P7" s="790">
        <v>1</v>
      </c>
      <c r="Q7" s="790">
        <v>0.9983</v>
      </c>
      <c r="R7" s="790">
        <v>1</v>
      </c>
      <c r="S7" s="790">
        <v>1</v>
      </c>
      <c r="T7" s="791" t="s">
        <v>325</v>
      </c>
      <c r="U7" s="795" t="s">
        <v>331</v>
      </c>
    </row>
    <row r="8" ht="24" spans="1:21">
      <c r="A8" s="782">
        <v>5</v>
      </c>
      <c r="B8" s="783" t="s">
        <v>323</v>
      </c>
      <c r="C8" s="783" t="s">
        <v>332</v>
      </c>
      <c r="D8" s="783">
        <v>365</v>
      </c>
      <c r="E8" s="783">
        <v>754.63</v>
      </c>
      <c r="F8" s="783">
        <v>226</v>
      </c>
      <c r="G8" s="783">
        <v>257</v>
      </c>
      <c r="H8" s="783" t="s">
        <v>153</v>
      </c>
      <c r="I8" s="783">
        <v>0.7</v>
      </c>
      <c r="J8" s="783" t="s">
        <v>157</v>
      </c>
      <c r="K8" s="783" t="s">
        <v>161</v>
      </c>
      <c r="L8" s="783">
        <v>3</v>
      </c>
      <c r="M8" s="783">
        <v>3</v>
      </c>
      <c r="N8" s="783">
        <v>1</v>
      </c>
      <c r="O8" s="783">
        <v>1</v>
      </c>
      <c r="P8" s="790">
        <v>1</v>
      </c>
      <c r="Q8" s="790">
        <v>1</v>
      </c>
      <c r="R8" s="790">
        <v>1</v>
      </c>
      <c r="S8" s="790">
        <v>1</v>
      </c>
      <c r="T8" s="791" t="s">
        <v>325</v>
      </c>
      <c r="U8" s="795" t="s">
        <v>331</v>
      </c>
    </row>
    <row r="9" ht="36" spans="1:21">
      <c r="A9" s="782">
        <v>6</v>
      </c>
      <c r="B9" s="783" t="s">
        <v>323</v>
      </c>
      <c r="C9" s="783" t="s">
        <v>333</v>
      </c>
      <c r="D9" s="783">
        <v>365</v>
      </c>
      <c r="E9" s="783">
        <v>754.63</v>
      </c>
      <c r="F9" s="783">
        <v>226</v>
      </c>
      <c r="G9" s="783">
        <v>257</v>
      </c>
      <c r="H9" s="783" t="s">
        <v>153</v>
      </c>
      <c r="I9" s="783">
        <v>0.7</v>
      </c>
      <c r="J9" s="783" t="s">
        <v>157</v>
      </c>
      <c r="K9" s="783" t="s">
        <v>161</v>
      </c>
      <c r="L9" s="783">
        <v>3</v>
      </c>
      <c r="M9" s="783">
        <v>3</v>
      </c>
      <c r="N9" s="783">
        <v>1</v>
      </c>
      <c r="O9" s="783">
        <v>1</v>
      </c>
      <c r="P9" s="790">
        <v>1</v>
      </c>
      <c r="Q9" s="790">
        <v>1</v>
      </c>
      <c r="R9" s="790">
        <v>0.9947</v>
      </c>
      <c r="S9" s="790">
        <v>1</v>
      </c>
      <c r="T9" s="791" t="s">
        <v>325</v>
      </c>
      <c r="U9" s="795" t="s">
        <v>331</v>
      </c>
    </row>
    <row r="10" spans="1:21">
      <c r="A10" s="782">
        <v>7</v>
      </c>
      <c r="B10" s="783"/>
      <c r="C10" s="783"/>
      <c r="D10" s="783"/>
      <c r="E10" s="783"/>
      <c r="F10" s="783"/>
      <c r="G10" s="783"/>
      <c r="H10" s="783"/>
      <c r="I10" s="783"/>
      <c r="J10" s="783"/>
      <c r="K10" s="783"/>
      <c r="L10" s="783"/>
      <c r="M10" s="783"/>
      <c r="N10" s="783"/>
      <c r="O10" s="783"/>
      <c r="P10" s="791"/>
      <c r="Q10" s="791"/>
      <c r="R10" s="791"/>
      <c r="S10" s="791"/>
      <c r="T10" s="791"/>
      <c r="U10" s="795"/>
    </row>
    <row r="11" spans="1:21">
      <c r="A11" s="782">
        <v>8</v>
      </c>
      <c r="B11" s="783"/>
      <c r="C11" s="783"/>
      <c r="D11" s="783"/>
      <c r="E11" s="783"/>
      <c r="F11" s="783"/>
      <c r="G11" s="783"/>
      <c r="H11" s="783"/>
      <c r="I11" s="783"/>
      <c r="J11" s="783"/>
      <c r="K11" s="783"/>
      <c r="L11" s="783"/>
      <c r="M11" s="783"/>
      <c r="N11" s="783"/>
      <c r="O11" s="783"/>
      <c r="P11" s="791"/>
      <c r="Q11" s="791"/>
      <c r="R11" s="791"/>
      <c r="S11" s="791"/>
      <c r="T11" s="791"/>
      <c r="U11" s="795"/>
    </row>
    <row r="12" spans="1:21">
      <c r="A12" s="782">
        <v>9</v>
      </c>
      <c r="B12" s="783"/>
      <c r="C12" s="784"/>
      <c r="D12" s="783"/>
      <c r="E12" s="783"/>
      <c r="F12" s="783"/>
      <c r="G12" s="783"/>
      <c r="H12" s="783"/>
      <c r="I12" s="783"/>
      <c r="J12" s="783"/>
      <c r="K12" s="783"/>
      <c r="L12" s="783"/>
      <c r="M12" s="783"/>
      <c r="N12" s="783"/>
      <c r="O12" s="783"/>
      <c r="P12" s="790"/>
      <c r="Q12" s="790"/>
      <c r="R12" s="790"/>
      <c r="S12" s="796"/>
      <c r="T12" s="796"/>
      <c r="U12" s="796"/>
    </row>
    <row r="13" spans="1:21">
      <c r="A13" s="782">
        <v>10</v>
      </c>
      <c r="B13" s="783"/>
      <c r="C13" s="784"/>
      <c r="D13" s="783"/>
      <c r="E13" s="783"/>
      <c r="F13" s="783"/>
      <c r="G13" s="783"/>
      <c r="H13" s="783"/>
      <c r="I13" s="783"/>
      <c r="J13" s="783"/>
      <c r="K13" s="783"/>
      <c r="L13" s="783"/>
      <c r="M13" s="783"/>
      <c r="N13" s="783"/>
      <c r="O13" s="783"/>
      <c r="P13" s="790"/>
      <c r="Q13" s="790"/>
      <c r="R13" s="790"/>
      <c r="S13" s="796"/>
      <c r="T13" s="791"/>
      <c r="U13" s="791"/>
    </row>
    <row r="14" spans="1:21">
      <c r="A14" s="782">
        <v>11</v>
      </c>
      <c r="B14" s="784"/>
      <c r="C14" s="784"/>
      <c r="D14" s="783"/>
      <c r="E14" s="783"/>
      <c r="F14" s="783"/>
      <c r="G14" s="783"/>
      <c r="H14" s="783"/>
      <c r="I14" s="783"/>
      <c r="J14" s="783"/>
      <c r="K14" s="783"/>
      <c r="L14" s="783"/>
      <c r="M14" s="783"/>
      <c r="N14" s="783"/>
      <c r="O14" s="783"/>
      <c r="P14" s="790"/>
      <c r="Q14" s="790"/>
      <c r="R14" s="790"/>
      <c r="S14" s="796"/>
      <c r="T14" s="796"/>
      <c r="U14" s="796"/>
    </row>
    <row r="15" spans="1:21">
      <c r="A15" s="782">
        <v>12</v>
      </c>
      <c r="B15" s="783"/>
      <c r="C15" s="783"/>
      <c r="D15" s="783"/>
      <c r="E15" s="783"/>
      <c r="F15" s="783"/>
      <c r="G15" s="783"/>
      <c r="H15" s="783"/>
      <c r="I15" s="783"/>
      <c r="J15" s="783"/>
      <c r="K15" s="783"/>
      <c r="L15" s="783"/>
      <c r="M15" s="783"/>
      <c r="N15" s="783"/>
      <c r="O15" s="783"/>
      <c r="P15" s="790"/>
      <c r="Q15" s="790"/>
      <c r="R15" s="790"/>
      <c r="S15" s="796"/>
      <c r="T15" s="791"/>
      <c r="U15" s="791"/>
    </row>
    <row r="16" spans="1:21">
      <c r="A16" s="782">
        <v>13</v>
      </c>
      <c r="B16" s="784"/>
      <c r="C16" s="784"/>
      <c r="D16" s="783"/>
      <c r="E16" s="783"/>
      <c r="F16" s="783"/>
      <c r="G16" s="783"/>
      <c r="H16" s="783"/>
      <c r="I16" s="783"/>
      <c r="J16" s="783"/>
      <c r="K16" s="783"/>
      <c r="L16" s="783"/>
      <c r="M16" s="783"/>
      <c r="N16" s="783"/>
      <c r="O16" s="783"/>
      <c r="P16" s="790"/>
      <c r="Q16" s="790"/>
      <c r="R16" s="790"/>
      <c r="S16" s="796"/>
      <c r="T16" s="796"/>
      <c r="U16" s="796"/>
    </row>
    <row r="17" spans="1:21">
      <c r="A17" s="782">
        <v>14</v>
      </c>
      <c r="B17" s="783"/>
      <c r="C17" s="783"/>
      <c r="D17" s="783"/>
      <c r="E17" s="783"/>
      <c r="F17" s="783"/>
      <c r="G17" s="783"/>
      <c r="H17" s="783"/>
      <c r="I17" s="783"/>
      <c r="J17" s="783"/>
      <c r="K17" s="783"/>
      <c r="L17" s="783"/>
      <c r="M17" s="783"/>
      <c r="N17" s="783"/>
      <c r="O17" s="783"/>
      <c r="P17" s="790"/>
      <c r="Q17" s="790"/>
      <c r="R17" s="790"/>
      <c r="S17" s="796"/>
      <c r="T17" s="791"/>
      <c r="U17" s="791"/>
    </row>
    <row r="18" spans="1:21">
      <c r="A18" s="782">
        <v>15</v>
      </c>
      <c r="B18" s="784"/>
      <c r="C18" s="784"/>
      <c r="D18" s="783"/>
      <c r="E18" s="783"/>
      <c r="F18" s="783"/>
      <c r="G18" s="783"/>
      <c r="H18" s="783"/>
      <c r="I18" s="783"/>
      <c r="J18" s="783"/>
      <c r="K18" s="783"/>
      <c r="L18" s="783"/>
      <c r="M18" s="783"/>
      <c r="N18" s="783"/>
      <c r="O18" s="783"/>
      <c r="P18" s="790"/>
      <c r="Q18" s="790"/>
      <c r="R18" s="790"/>
      <c r="S18" s="796"/>
      <c r="T18" s="796"/>
      <c r="U18" s="796"/>
    </row>
    <row r="19" spans="1:21">
      <c r="A19" s="782">
        <v>16</v>
      </c>
      <c r="B19" s="783"/>
      <c r="C19" s="783"/>
      <c r="D19" s="783"/>
      <c r="E19" s="783"/>
      <c r="F19" s="783"/>
      <c r="G19" s="783"/>
      <c r="H19" s="783"/>
      <c r="I19" s="783"/>
      <c r="J19" s="783"/>
      <c r="K19" s="783"/>
      <c r="L19" s="783"/>
      <c r="M19" s="783"/>
      <c r="N19" s="783"/>
      <c r="O19" s="783"/>
      <c r="P19" s="790"/>
      <c r="Q19" s="790"/>
      <c r="R19" s="790"/>
      <c r="S19" s="796"/>
      <c r="T19" s="791"/>
      <c r="U19" s="791"/>
    </row>
  </sheetData>
  <mergeCells count="2">
    <mergeCell ref="T1:U1"/>
    <mergeCell ref="P2:U2"/>
  </mergeCells>
  <dataValidations count="1">
    <dataValidation type="list" allowBlank="1" showInputMessage="1" showErrorMessage="1" sqref="T4:T19">
      <formula1>"接受,拒绝"</formula1>
    </dataValidation>
  </dataValidations>
  <pageMargins left="0.699305555555556" right="0.699305555555556" top="0.75" bottom="0.75" header="0.3" footer="0.3"/>
  <pageSetup paperSize="9" orientation="portrait"/>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FFC000"/>
  </sheetPr>
  <dimension ref="A1:R29"/>
  <sheetViews>
    <sheetView workbookViewId="0">
      <selection activeCell="K9" sqref="K9"/>
    </sheetView>
  </sheetViews>
  <sheetFormatPr defaultColWidth="9" defaultRowHeight="14.25"/>
  <cols>
    <col min="1" max="1" width="12.625" style="730" customWidth="1"/>
    <col min="2" max="2" width="13.875" style="731" customWidth="1"/>
    <col min="3" max="3" width="12.75" style="731" customWidth="1"/>
    <col min="4" max="4" width="11.25" style="731" customWidth="1"/>
    <col min="5" max="5" width="14.375" style="731" customWidth="1"/>
    <col min="6" max="6" width="22" style="731" customWidth="1"/>
    <col min="7" max="7" width="10.625" style="731" customWidth="1"/>
    <col min="8" max="11" width="8.125" style="731" customWidth="1"/>
    <col min="12" max="12" width="13.25" style="731" customWidth="1"/>
    <col min="13" max="13" width="11" style="731" customWidth="1"/>
    <col min="14" max="16" width="10.75" style="731" customWidth="1"/>
    <col min="17" max="17" width="1.875" style="731" customWidth="1"/>
    <col min="18" max="18" width="76.875" style="731" customWidth="1"/>
    <col min="19" max="16384" width="9" style="731"/>
  </cols>
  <sheetData>
    <row r="1" ht="21" customHeight="1" spans="1:16">
      <c r="A1" s="732" t="s">
        <v>334</v>
      </c>
      <c r="B1" s="733"/>
      <c r="C1" s="733"/>
      <c r="D1" s="733"/>
      <c r="E1" s="733"/>
      <c r="F1" s="733"/>
      <c r="G1" s="733"/>
      <c r="H1" s="733"/>
      <c r="I1" s="733"/>
      <c r="J1" s="733"/>
      <c r="K1" s="733"/>
      <c r="L1" s="733"/>
      <c r="M1" s="763"/>
      <c r="N1" s="763"/>
      <c r="O1" s="763"/>
      <c r="P1" s="763"/>
    </row>
    <row r="2" ht="60.95" customHeight="1" spans="1:18">
      <c r="A2" s="734" t="s">
        <v>335</v>
      </c>
      <c r="B2" s="735"/>
      <c r="C2" s="735"/>
      <c r="D2" s="735"/>
      <c r="E2" s="735"/>
      <c r="F2" s="735"/>
      <c r="G2" s="736" t="s">
        <v>336</v>
      </c>
      <c r="H2" s="736"/>
      <c r="I2" s="736"/>
      <c r="J2" s="736"/>
      <c r="K2" s="736"/>
      <c r="L2" s="736"/>
      <c r="M2" s="764"/>
      <c r="N2" s="765" t="s">
        <v>337</v>
      </c>
      <c r="O2" s="766" t="s">
        <v>315</v>
      </c>
      <c r="P2" s="767"/>
      <c r="R2" s="775" t="s">
        <v>338</v>
      </c>
    </row>
    <row r="3" s="729" customFormat="1" ht="38.1" customHeight="1" spans="1:18">
      <c r="A3" s="737" t="s">
        <v>306</v>
      </c>
      <c r="B3" s="738" t="s">
        <v>339</v>
      </c>
      <c r="C3" s="738" t="s">
        <v>340</v>
      </c>
      <c r="D3" s="738" t="s">
        <v>315</v>
      </c>
      <c r="E3" s="738" t="s">
        <v>341</v>
      </c>
      <c r="F3" s="737" t="s">
        <v>342</v>
      </c>
      <c r="G3" s="739" t="s">
        <v>343</v>
      </c>
      <c r="H3" s="740" t="s">
        <v>344</v>
      </c>
      <c r="I3" s="740" t="s">
        <v>345</v>
      </c>
      <c r="J3" s="740" t="s">
        <v>346</v>
      </c>
      <c r="K3" s="740" t="s">
        <v>347</v>
      </c>
      <c r="L3" s="768" t="s">
        <v>348</v>
      </c>
      <c r="N3" s="769" t="s">
        <v>173</v>
      </c>
      <c r="O3" s="769" t="s">
        <v>174</v>
      </c>
      <c r="P3" s="769" t="s">
        <v>349</v>
      </c>
      <c r="R3" s="775"/>
    </row>
    <row r="4" customHeight="1" spans="1:16">
      <c r="A4" s="741" t="s">
        <v>350</v>
      </c>
      <c r="B4" s="742" t="s">
        <v>351</v>
      </c>
      <c r="C4" s="743">
        <v>365</v>
      </c>
      <c r="D4" s="742">
        <f>1/(G4+总模型!$C$21/H4+总模型!$C$24/I4+总模型!$C$27/J4+总模型!$C$30/K4+L4)</f>
        <v>0.50915808392255</v>
      </c>
      <c r="E4" s="743">
        <v>754.63</v>
      </c>
      <c r="F4" s="742">
        <f>C4/D4</f>
        <v>716.869694355126</v>
      </c>
      <c r="G4" s="744">
        <f>工作量分布!C14/工作量分布!O15</f>
        <v>0.0620192860860751</v>
      </c>
      <c r="H4" s="744">
        <f>工作量分布!E15/工作量分布!E14</f>
        <v>0.490226195538733</v>
      </c>
      <c r="I4" s="744">
        <f>工作量分布!G15/工作量分布!G14</f>
        <v>0.480651823694109</v>
      </c>
      <c r="J4" s="744">
        <f>工作量分布!I15/工作量分布!I14</f>
        <v>0.57206843088666</v>
      </c>
      <c r="K4" s="744">
        <f>工作量分布!K15/工作量分布!K14</f>
        <v>0.60319295548812</v>
      </c>
      <c r="L4" s="744">
        <f>工作量分布!N14/工作量分布!O15</f>
        <v>0.0606114565926088</v>
      </c>
      <c r="M4" s="770" t="s">
        <v>352</v>
      </c>
      <c r="N4" s="770">
        <v>0.4852</v>
      </c>
      <c r="O4" s="770">
        <v>0.669</v>
      </c>
      <c r="P4" s="770">
        <v>0.8527</v>
      </c>
    </row>
    <row r="5" ht="13.5" spans="1:16">
      <c r="A5" s="745" t="s">
        <v>353</v>
      </c>
      <c r="B5" s="746" t="s">
        <v>354</v>
      </c>
      <c r="C5" s="743">
        <v>365</v>
      </c>
      <c r="D5" s="742">
        <f>1/(G5+总模型!$C$21/H5+总模型!$C$24/I5+总模型!$C$27/J5+总模型!$C$30/K5+L5)</f>
        <v>0.509701179459204</v>
      </c>
      <c r="E5" s="743">
        <v>754.63</v>
      </c>
      <c r="F5" s="742">
        <f t="shared" ref="F5:F6" si="0">C5/D5</f>
        <v>716.105857136268</v>
      </c>
      <c r="G5" s="744">
        <f>工作量分布!D14/工作量分布!O15</f>
        <v>0.0599265813768731</v>
      </c>
      <c r="H5" s="744">
        <f>工作量分布!E15/工作量分布!E14</f>
        <v>0.490226195538733</v>
      </c>
      <c r="I5" s="744">
        <f>工作量分布!G15/工作量分布!G14</f>
        <v>0.480651823694109</v>
      </c>
      <c r="J5" s="744">
        <f>工作量分布!I15/工作量分布!I14</f>
        <v>0.57206843088666</v>
      </c>
      <c r="K5" s="744">
        <f>工作量分布!K15/工作量分布!K14</f>
        <v>0.60319295548812</v>
      </c>
      <c r="L5" s="744">
        <f>工作量分布!N14/工作量分布!O15</f>
        <v>0.0606114565926088</v>
      </c>
      <c r="M5" s="770" t="s">
        <v>355</v>
      </c>
      <c r="N5" s="770">
        <v>0.298</v>
      </c>
      <c r="O5" s="770">
        <v>0.482</v>
      </c>
      <c r="P5" s="770">
        <v>0.6661</v>
      </c>
    </row>
    <row r="6" ht="13.5" spans="1:12">
      <c r="A6" s="741" t="s">
        <v>356</v>
      </c>
      <c r="B6" s="746" t="s">
        <v>354</v>
      </c>
      <c r="C6" s="743">
        <v>365</v>
      </c>
      <c r="D6" s="742">
        <f>1/(G6+总模型!$C$21/H6+总模型!$C$24/I6+总模型!$C$27/J6+总模型!$C$30/K6+L6)</f>
        <v>0.518699056283521</v>
      </c>
      <c r="E6" s="743">
        <v>754.63</v>
      </c>
      <c r="F6" s="742">
        <f t="shared" si="0"/>
        <v>703.683562902978</v>
      </c>
      <c r="G6" s="747">
        <f>工作量分布!D14/工作量分布!O15</f>
        <v>0.0599265813768731</v>
      </c>
      <c r="H6" s="747">
        <f>工作量分布!E15/工作量分布!F14</f>
        <v>0.516330954269099</v>
      </c>
      <c r="I6" s="747">
        <f>工作量分布!G15/工作量分布!G14</f>
        <v>0.480651823694109</v>
      </c>
      <c r="J6" s="747">
        <f>工作量分布!I15/工作量分布!I14</f>
        <v>0.57206843088666</v>
      </c>
      <c r="K6" s="747">
        <f>工作量分布!K15/工作量分布!K14</f>
        <v>0.60319295548812</v>
      </c>
      <c r="L6" s="747">
        <f>工作量分布!N14/工作量分布!O15</f>
        <v>0.0606114565926088</v>
      </c>
    </row>
    <row r="7" ht="13.5" spans="1:12">
      <c r="A7" s="741" t="s">
        <v>357</v>
      </c>
      <c r="B7" s="746" t="s">
        <v>354</v>
      </c>
      <c r="C7" s="743">
        <v>365</v>
      </c>
      <c r="D7" s="742">
        <f>1/(G7+总模型!$C$21/H7+总模型!$C$24/I7+总模型!$C$27/J7+总模型!$C$30/K7+L7)</f>
        <v>0.525363420566051</v>
      </c>
      <c r="E7" s="743">
        <v>754.63</v>
      </c>
      <c r="F7" s="742">
        <f t="shared" ref="F7:F8" si="1">C7/D7</f>
        <v>694.757163730075</v>
      </c>
      <c r="G7" s="747">
        <f>工作量分布!D14/工作量分布!O15</f>
        <v>0.0599265813768731</v>
      </c>
      <c r="H7" s="747">
        <f>工作量分布!E15/工作量分布!F14</f>
        <v>0.516330954269099</v>
      </c>
      <c r="I7" s="747">
        <f>工作量分布!G15/工作量分布!H14</f>
        <v>0.497355533790402</v>
      </c>
      <c r="J7" s="747">
        <f>工作量分布!I15/工作量分布!I14</f>
        <v>0.57206843088666</v>
      </c>
      <c r="K7" s="747">
        <f>工作量分布!K15/工作量分布!K14</f>
        <v>0.60319295548812</v>
      </c>
      <c r="L7" s="747">
        <f>工作量分布!N14/工作量分布!O15</f>
        <v>0.0606114565926088</v>
      </c>
    </row>
    <row r="8" ht="13.5" spans="1:12">
      <c r="A8" s="741" t="s">
        <v>358</v>
      </c>
      <c r="B8" s="746" t="s">
        <v>354</v>
      </c>
      <c r="C8" s="743">
        <v>365</v>
      </c>
      <c r="D8" s="742">
        <f>1/(G8+总模型!$C$21/H8+总模型!$C$24/I8+总模型!$C$27/J8+总模型!$C$30/K8+L8)</f>
        <v>0.526701780920971</v>
      </c>
      <c r="E8" s="743">
        <v>754.63</v>
      </c>
      <c r="F8" s="742">
        <f t="shared" si="1"/>
        <v>692.991771096302</v>
      </c>
      <c r="G8" s="747">
        <f>工作量分布!D14/工作量分布!O15</f>
        <v>0.0599265813768731</v>
      </c>
      <c r="H8" s="747">
        <f>工作量分布!E15/工作量分布!F14</f>
        <v>0.516330954269099</v>
      </c>
      <c r="I8" s="747">
        <f>工作量分布!G15/工作量分布!H14</f>
        <v>0.497355533790402</v>
      </c>
      <c r="J8" s="747">
        <f>工作量分布!I15/工作量分布!J14</f>
        <v>0.588347529812607</v>
      </c>
      <c r="K8" s="747">
        <f>工作量分布!K15/工作量分布!K14</f>
        <v>0.60319295548812</v>
      </c>
      <c r="L8" s="747">
        <f>工作量分布!N14/工作量分布!O15</f>
        <v>0.0606114565926088</v>
      </c>
    </row>
    <row r="9" ht="13.5" spans="1:12">
      <c r="A9" s="741" t="s">
        <v>359</v>
      </c>
      <c r="B9" s="746" t="s">
        <v>354</v>
      </c>
      <c r="C9" s="743">
        <v>365</v>
      </c>
      <c r="D9" s="742">
        <f>1/(G9+总模型!$C$21/H9+总模型!$C$24/I9+总模型!$C$27/J9+总模型!$C$30/K9+L9)</f>
        <v>0.531035797958788</v>
      </c>
      <c r="E9" s="743">
        <v>754.63</v>
      </c>
      <c r="F9" s="742">
        <f t="shared" ref="F9" si="2">C9/D9</f>
        <v>687.335960029434</v>
      </c>
      <c r="G9" s="747">
        <f>工作量分布!D14/工作量分布!O15</f>
        <v>0.0599265813768731</v>
      </c>
      <c r="H9" s="747">
        <f>工作量分布!E15/工作量分布!F14</f>
        <v>0.516330954269099</v>
      </c>
      <c r="I9" s="747">
        <f>工作量分布!G15/工作量分布!H14</f>
        <v>0.497355533790402</v>
      </c>
      <c r="J9" s="747">
        <f>工作量分布!I15/工作量分布!J14</f>
        <v>0.588347529812607</v>
      </c>
      <c r="K9" s="747">
        <f>工作量分布!K15/工作量分布!L14</f>
        <v>0.640615722924684</v>
      </c>
      <c r="L9" s="747">
        <f>工作量分布!N14/工作量分布!O15</f>
        <v>0.0606114565926088</v>
      </c>
    </row>
    <row r="11" ht="19.5" customHeight="1" spans="1:16">
      <c r="A11" s="748" t="s">
        <v>360</v>
      </c>
      <c r="B11" s="749"/>
      <c r="C11" s="749"/>
      <c r="D11" s="749"/>
      <c r="E11" s="749"/>
      <c r="F11" s="749"/>
      <c r="G11" s="749"/>
      <c r="H11" s="749"/>
      <c r="I11" s="749"/>
      <c r="J11" s="749"/>
      <c r="K11" s="749"/>
      <c r="L11" s="749"/>
      <c r="M11" s="771"/>
      <c r="N11" s="771"/>
      <c r="O11" s="771"/>
      <c r="P11" s="771"/>
    </row>
    <row r="12" ht="45" customHeight="1" spans="1:18">
      <c r="A12" s="750" t="s">
        <v>361</v>
      </c>
      <c r="B12" s="735"/>
      <c r="C12" s="735"/>
      <c r="D12" s="735"/>
      <c r="E12" s="735"/>
      <c r="F12" s="735"/>
      <c r="G12" s="736" t="s">
        <v>336</v>
      </c>
      <c r="H12" s="736"/>
      <c r="I12" s="736"/>
      <c r="J12" s="736"/>
      <c r="K12" s="736"/>
      <c r="L12" s="736"/>
      <c r="M12" s="764"/>
      <c r="N12" s="772" t="s">
        <v>362</v>
      </c>
      <c r="O12" s="766" t="s">
        <v>314</v>
      </c>
      <c r="P12" s="767"/>
      <c r="R12" s="775" t="s">
        <v>363</v>
      </c>
    </row>
    <row r="13" ht="36.95" customHeight="1" spans="1:18">
      <c r="A13" s="737" t="s">
        <v>306</v>
      </c>
      <c r="B13" s="737" t="s">
        <v>339</v>
      </c>
      <c r="C13" s="737" t="s">
        <v>340</v>
      </c>
      <c r="D13" s="737" t="s">
        <v>314</v>
      </c>
      <c r="E13" s="751" t="s">
        <v>364</v>
      </c>
      <c r="F13" s="737" t="s">
        <v>365</v>
      </c>
      <c r="G13" s="739" t="s">
        <v>366</v>
      </c>
      <c r="H13" s="740" t="s">
        <v>367</v>
      </c>
      <c r="I13" s="740" t="s">
        <v>368</v>
      </c>
      <c r="J13" s="740" t="s">
        <v>369</v>
      </c>
      <c r="K13" s="740" t="s">
        <v>370</v>
      </c>
      <c r="L13" s="768" t="s">
        <v>371</v>
      </c>
      <c r="N13" s="769" t="s">
        <v>173</v>
      </c>
      <c r="O13" s="769" t="s">
        <v>174</v>
      </c>
      <c r="P13" s="769" t="s">
        <v>349</v>
      </c>
      <c r="R13" s="775"/>
    </row>
    <row r="14" customHeight="1" spans="1:16">
      <c r="A14" s="741" t="s">
        <v>350</v>
      </c>
      <c r="B14" s="741" t="s">
        <v>351</v>
      </c>
      <c r="C14" s="743">
        <v>365</v>
      </c>
      <c r="D14" s="742">
        <f>G14+总模型!$H$21/(总模型!$H$21+总模型!$H$24+总模型!$H$27+总模型!$H$30)*H14+总模型!$H$24/(总模型!$H$21+总模型!$H$24+总模型!$H$27+总模型!$H$30)*I14+总模型!$H$27/(总模型!$H$21+总模型!$H$24+总模型!$H$27+总模型!$H$30)*J14+总模型!$H$27/(总模型!$H$21+总模型!$H$24+总模型!$H$27+总模型!$H$30)*K14+L14</f>
        <v>0.371567420558773</v>
      </c>
      <c r="E14" s="752">
        <v>257</v>
      </c>
      <c r="F14" s="742">
        <f>C14*D14</f>
        <v>135.622108503952</v>
      </c>
      <c r="G14" s="744">
        <f>3/工作量分布!O15</f>
        <v>0.00821850258882832</v>
      </c>
      <c r="H14" s="744">
        <f>31/工作量分布!E15</f>
        <v>0.253931847968545</v>
      </c>
      <c r="I14" s="744">
        <f>51/工作量分布!G15</f>
        <v>0.401732965734541</v>
      </c>
      <c r="J14" s="744">
        <f>28/工作量分布!I15</f>
        <v>0.648598563817466</v>
      </c>
      <c r="K14" s="744">
        <f>23/工作量分布!K15</f>
        <v>0.315803926953179</v>
      </c>
      <c r="L14" s="744">
        <f>9/工作量分布!O15</f>
        <v>0.0246555077664849</v>
      </c>
      <c r="M14" s="770" t="s">
        <v>352</v>
      </c>
      <c r="N14" s="770">
        <v>0.0351</v>
      </c>
      <c r="O14" s="770">
        <v>0.2718</v>
      </c>
      <c r="P14" s="770">
        <v>0.5085</v>
      </c>
    </row>
    <row r="15" ht="13.5" spans="1:16">
      <c r="A15" s="745" t="s">
        <v>353</v>
      </c>
      <c r="B15" s="753" t="s">
        <v>354</v>
      </c>
      <c r="C15" s="743">
        <v>365</v>
      </c>
      <c r="D15" s="742">
        <f>G15+总模型!$H$21/(总模型!$H$21+总模型!$H$24+总模型!$H$27+总模型!$H$30)*H15+总模型!$H$24/(总模型!$H$21+总模型!$H$24+总模型!$H$27+总模型!$H$30)*I15+总模型!$H$27/(总模型!$H$21+总模型!$H$24+总模型!$H$27+总模型!$H$30)*J15+总模型!$H$27/(总模型!$H$21+总模型!$H$24+总模型!$H$27+总模型!$H$30)*K15+L15</f>
        <v>0.371567420558773</v>
      </c>
      <c r="E15" s="752">
        <v>257</v>
      </c>
      <c r="F15" s="742">
        <f>C15*D15</f>
        <v>135.622108503952</v>
      </c>
      <c r="G15" s="744">
        <f>3/工作量分布!O15</f>
        <v>0.00821850258882832</v>
      </c>
      <c r="H15" s="744">
        <f>31/工作量分布!E15</f>
        <v>0.253931847968545</v>
      </c>
      <c r="I15" s="744">
        <f>51/工作量分布!G15</f>
        <v>0.401732965734541</v>
      </c>
      <c r="J15" s="744">
        <f>28/工作量分布!I15</f>
        <v>0.648598563817466</v>
      </c>
      <c r="K15" s="744">
        <f>23/工作量分布!K15</f>
        <v>0.315803926953179</v>
      </c>
      <c r="L15" s="744">
        <f>9/工作量分布!O15</f>
        <v>0.0246555077664849</v>
      </c>
      <c r="M15" s="770" t="s">
        <v>372</v>
      </c>
      <c r="N15" s="770">
        <v>0</v>
      </c>
      <c r="O15" s="770">
        <v>0.864</v>
      </c>
      <c r="P15" s="770">
        <v>1.8532</v>
      </c>
    </row>
    <row r="16" ht="24" spans="1:16">
      <c r="A16" s="741" t="s">
        <v>356</v>
      </c>
      <c r="B16" s="753" t="s">
        <v>354</v>
      </c>
      <c r="C16" s="743">
        <v>365</v>
      </c>
      <c r="D16" s="742">
        <f>G16+总模型!$H$21/(总模型!$H$21+总模型!$H$24+总模型!$H$27+总模型!$H$30)*H16+总模型!$H$24/(总模型!$H$21+总模型!$H$24+总模型!$H$27+总模型!$H$30)*I16+总模型!$H$27/(总模型!$H$21+总模型!$H$24+总模型!$H$27+总模型!$H$30)*J16+总模型!$H$27/(总模型!$H$21+总模型!$H$24+总模型!$H$27+总模型!$H$30)*K16+L16</f>
        <v>0.36882791969583</v>
      </c>
      <c r="E16" s="752">
        <v>257</v>
      </c>
      <c r="F16" s="742">
        <f t="shared" ref="F16" si="3">C16*D16</f>
        <v>134.622190688978</v>
      </c>
      <c r="G16" s="744">
        <f>3/工作量分布!O15</f>
        <v>0.00821850258882832</v>
      </c>
      <c r="H16" s="744">
        <f>30/工作量分布!E15</f>
        <v>0.245740498034076</v>
      </c>
      <c r="I16" s="744">
        <f>51/工作量分布!G15</f>
        <v>0.401732965734541</v>
      </c>
      <c r="J16" s="744">
        <f>28/工作量分布!I15</f>
        <v>0.648598563817466</v>
      </c>
      <c r="K16" s="744">
        <f>23/工作量分布!K15</f>
        <v>0.315803926953179</v>
      </c>
      <c r="L16" s="744">
        <f>9/工作量分布!O15</f>
        <v>0.0246555077664849</v>
      </c>
      <c r="M16" s="770" t="s">
        <v>373</v>
      </c>
      <c r="N16" s="770">
        <v>0</v>
      </c>
      <c r="O16" s="770">
        <v>0.4664</v>
      </c>
      <c r="P16" s="770">
        <v>1.1807</v>
      </c>
    </row>
    <row r="17" ht="24" spans="1:16">
      <c r="A17" s="741" t="s">
        <v>357</v>
      </c>
      <c r="B17" s="753" t="s">
        <v>354</v>
      </c>
      <c r="C17" s="743">
        <v>365</v>
      </c>
      <c r="D17" s="742">
        <f>G17+总模型!$H$21/(总模型!$H$21+总模型!$H$24+总模型!$H$27+总模型!$H$30)*H17+总模型!$H$24/(总模型!$H$21+总模型!$H$24+总模型!$H$27+总模型!$H$30)*I17+总模型!$H$27/(总模型!$H$21+总模型!$H$24+总模型!$H$27+总模型!$H$30)*J17+总模型!$H$27/(总模型!$H$21+总模型!$H$24+总模型!$H$27+总模型!$H$30)*K17+L17</f>
        <v>0.360609417107001</v>
      </c>
      <c r="E17" s="752">
        <v>257</v>
      </c>
      <c r="F17" s="742">
        <f t="shared" ref="F17" si="4">C17*D17</f>
        <v>131.622437244056</v>
      </c>
      <c r="G17" s="744">
        <f>3/工作量分布!O15</f>
        <v>0.00821850258882832</v>
      </c>
      <c r="H17" s="744">
        <f>31/工作量分布!E15</f>
        <v>0.253931847968545</v>
      </c>
      <c r="I17" s="744">
        <f>47/工作量分布!G15</f>
        <v>0.370224497833793</v>
      </c>
      <c r="J17" s="744">
        <f>28/工作量分布!I15</f>
        <v>0.648598563817466</v>
      </c>
      <c r="K17" s="744">
        <f>23/工作量分布!K15</f>
        <v>0.315803926953179</v>
      </c>
      <c r="L17" s="744">
        <f>9/工作量分布!O15</f>
        <v>0.0246555077664849</v>
      </c>
      <c r="M17" s="770" t="s">
        <v>373</v>
      </c>
      <c r="N17" s="770">
        <v>0</v>
      </c>
      <c r="O17" s="770">
        <v>0.4664</v>
      </c>
      <c r="P17" s="770">
        <v>1.1807</v>
      </c>
    </row>
    <row r="18" ht="24" spans="1:16">
      <c r="A18" s="741" t="s">
        <v>358</v>
      </c>
      <c r="B18" s="753" t="s">
        <v>354</v>
      </c>
      <c r="C18" s="743">
        <v>365</v>
      </c>
      <c r="D18" s="742">
        <f>G18+总模型!$H$21/(总模型!$H$21+总模型!$H$24+总模型!$H$27+总模型!$H$30)*H18+总模型!$H$24/(总模型!$H$21+总模型!$H$24+总模型!$H$27+总模型!$H$30)*I18+总模型!$H$27/(总模型!$H$21+总模型!$H$24+总模型!$H$27+总模型!$H$30)*J18+总模型!$H$27/(总模型!$H$21+总模型!$H$24+总模型!$H$27+总模型!$H$30)*K18+L18</f>
        <v>0.36882791969583</v>
      </c>
      <c r="E18" s="752">
        <v>257</v>
      </c>
      <c r="F18" s="742">
        <f t="shared" ref="F18" si="5">C18*D18</f>
        <v>134.622190688978</v>
      </c>
      <c r="G18" s="744">
        <f>3/工作量分布!O15</f>
        <v>0.00821850258882832</v>
      </c>
      <c r="H18" s="744">
        <f>31/工作量分布!E15</f>
        <v>0.253931847968545</v>
      </c>
      <c r="I18" s="744">
        <f>51/工作量分布!G15</f>
        <v>0.401732965734541</v>
      </c>
      <c r="J18" s="744">
        <f>27/工作量分布!I15</f>
        <v>0.625434329395413</v>
      </c>
      <c r="K18" s="744">
        <f>23/工作量分布!K15</f>
        <v>0.315803926953179</v>
      </c>
      <c r="L18" s="744">
        <f>9/工作量分布!O15</f>
        <v>0.0246555077664849</v>
      </c>
      <c r="M18" s="770" t="s">
        <v>373</v>
      </c>
      <c r="N18" s="770">
        <v>0</v>
      </c>
      <c r="O18" s="770">
        <v>0.4664</v>
      </c>
      <c r="P18" s="770">
        <v>1.1807</v>
      </c>
    </row>
    <row r="19" ht="24" spans="1:16">
      <c r="A19" s="741" t="s">
        <v>359</v>
      </c>
      <c r="B19" s="753" t="s">
        <v>354</v>
      </c>
      <c r="C19" s="743">
        <v>365</v>
      </c>
      <c r="D19" s="742">
        <f>G19+总模型!$H$21/(总模型!$H$21+总模型!$H$24+总模型!$H$27+总模型!$H$30)*H19+总模型!$H$24/(总模型!$H$21+总模型!$H$24+总模型!$H$27+总模型!$H$30)*I19+总模型!$H$27/(总模型!$H$21+总模型!$H$24+总模型!$H$27+总模型!$H$30)*J19+总模型!$H$27/(总模型!$H$21+总模型!$H$24+总模型!$H$27+总模型!$H$30)*K19+L19</f>
        <v>0.371567420558773</v>
      </c>
      <c r="E19" s="752">
        <v>257</v>
      </c>
      <c r="F19" s="742">
        <f t="shared" ref="F19" si="6">C19*D19</f>
        <v>135.622108503952</v>
      </c>
      <c r="G19" s="744">
        <f>3/工作量分布!O15</f>
        <v>0.00821850258882832</v>
      </c>
      <c r="H19" s="744">
        <f>31/工作量分布!E15</f>
        <v>0.253931847968545</v>
      </c>
      <c r="I19" s="744">
        <f>51/工作量分布!G15</f>
        <v>0.401732965734541</v>
      </c>
      <c r="J19" s="744">
        <f>28/工作量分布!I15</f>
        <v>0.648598563817466</v>
      </c>
      <c r="K19" s="744">
        <f>23/工作量分布!K15</f>
        <v>0.315803926953179</v>
      </c>
      <c r="L19" s="744">
        <f>9/工作量分布!O15</f>
        <v>0.0246555077664849</v>
      </c>
      <c r="M19" s="770" t="s">
        <v>373</v>
      </c>
      <c r="N19" s="770">
        <v>0</v>
      </c>
      <c r="O19" s="770">
        <v>0.4664</v>
      </c>
      <c r="P19" s="770">
        <v>1.1807</v>
      </c>
    </row>
    <row r="21" ht="18.75" customHeight="1" spans="1:16">
      <c r="A21" s="754" t="s">
        <v>374</v>
      </c>
      <c r="B21" s="755"/>
      <c r="C21" s="755"/>
      <c r="D21" s="755"/>
      <c r="E21" s="755"/>
      <c r="F21" s="755"/>
      <c r="G21" s="755"/>
      <c r="H21" s="755"/>
      <c r="I21" s="755"/>
      <c r="J21" s="755"/>
      <c r="K21" s="755"/>
      <c r="L21" s="755"/>
      <c r="M21" s="773"/>
      <c r="N21" s="773"/>
      <c r="O21" s="773"/>
      <c r="P21" s="773"/>
    </row>
    <row r="22" ht="60" customHeight="1" spans="1:18">
      <c r="A22" s="756" t="s">
        <v>375</v>
      </c>
      <c r="B22" s="757"/>
      <c r="C22" s="757"/>
      <c r="D22" s="757"/>
      <c r="E22" s="757"/>
      <c r="F22" s="757"/>
      <c r="G22" s="736" t="s">
        <v>336</v>
      </c>
      <c r="H22" s="736"/>
      <c r="I22" s="736"/>
      <c r="J22" s="736"/>
      <c r="K22" s="736"/>
      <c r="L22" s="736"/>
      <c r="M22" s="774"/>
      <c r="N22" s="765" t="s">
        <v>337</v>
      </c>
      <c r="O22" s="766" t="s">
        <v>313</v>
      </c>
      <c r="P22" s="767"/>
      <c r="R22" s="775" t="s">
        <v>376</v>
      </c>
    </row>
    <row r="23" ht="36" spans="1:18">
      <c r="A23" s="758" t="s">
        <v>306</v>
      </c>
      <c r="B23" s="758" t="s">
        <v>339</v>
      </c>
      <c r="C23" s="759" t="s">
        <v>377</v>
      </c>
      <c r="D23" s="759" t="s">
        <v>378</v>
      </c>
      <c r="E23" s="758" t="s">
        <v>379</v>
      </c>
      <c r="F23" s="758" t="s">
        <v>380</v>
      </c>
      <c r="G23" s="739" t="s">
        <v>381</v>
      </c>
      <c r="H23" s="740" t="s">
        <v>382</v>
      </c>
      <c r="I23" s="740" t="s">
        <v>383</v>
      </c>
      <c r="J23" s="740" t="s">
        <v>384</v>
      </c>
      <c r="K23" s="740" t="s">
        <v>385</v>
      </c>
      <c r="L23" s="768" t="s">
        <v>386</v>
      </c>
      <c r="N23" s="769" t="s">
        <v>173</v>
      </c>
      <c r="O23" s="769" t="s">
        <v>174</v>
      </c>
      <c r="P23" s="769" t="s">
        <v>349</v>
      </c>
      <c r="R23" s="775"/>
    </row>
    <row r="24" ht="13.5" spans="1:16">
      <c r="A24" s="741" t="s">
        <v>350</v>
      </c>
      <c r="B24" s="742" t="s">
        <v>351</v>
      </c>
      <c r="C24" s="744">
        <v>754.63</v>
      </c>
      <c r="D24" s="760">
        <f>总模型!$A$21*G24+总模型!$C$21*H24+总模型!$C$24*I24+总模型!$C$27*J24+总模型!$C$30*K24+总模型!$I$21*L24</f>
        <v>0.3</v>
      </c>
      <c r="E24" s="744">
        <v>226</v>
      </c>
      <c r="F24" s="761">
        <f>C24*D24</f>
        <v>226.389</v>
      </c>
      <c r="G24" s="762">
        <v>0.3</v>
      </c>
      <c r="H24" s="762">
        <v>0.3</v>
      </c>
      <c r="I24" s="762">
        <v>0.3</v>
      </c>
      <c r="J24" s="762">
        <v>0.3</v>
      </c>
      <c r="K24" s="762">
        <v>0.3</v>
      </c>
      <c r="L24" s="762">
        <v>0.3</v>
      </c>
      <c r="M24" s="770" t="s">
        <v>387</v>
      </c>
      <c r="N24" s="770">
        <v>-0.3106</v>
      </c>
      <c r="O24" s="770">
        <v>0.1262</v>
      </c>
      <c r="P24" s="770">
        <v>0.563</v>
      </c>
    </row>
    <row r="25" ht="13.5" spans="1:16">
      <c r="A25" s="745" t="s">
        <v>353</v>
      </c>
      <c r="B25" s="746" t="s">
        <v>354</v>
      </c>
      <c r="C25" s="744">
        <v>754.63</v>
      </c>
      <c r="D25" s="760">
        <f>总模型!$A$21*G25+总模型!$C$21*H25+总模型!$C$24*I25+总模型!$C$27*J25+总模型!$I$21*L25</f>
        <v>0.24198771583425</v>
      </c>
      <c r="E25" s="744">
        <v>226</v>
      </c>
      <c r="F25" s="761">
        <f t="shared" ref="F25:F26" si="7">C25*D25</f>
        <v>182.61119</v>
      </c>
      <c r="G25" s="762">
        <f>工作量分布!C17</f>
        <v>-0.0337428055250033</v>
      </c>
      <c r="H25" s="762">
        <v>0.3</v>
      </c>
      <c r="I25" s="762">
        <v>0.3</v>
      </c>
      <c r="J25" s="762">
        <v>0.3</v>
      </c>
      <c r="K25" s="762">
        <v>0.3</v>
      </c>
      <c r="L25" s="762">
        <v>0.3</v>
      </c>
      <c r="M25" s="770" t="s">
        <v>388</v>
      </c>
      <c r="N25" s="770">
        <v>-0.3877</v>
      </c>
      <c r="O25" s="770">
        <v>0.0045</v>
      </c>
      <c r="P25" s="770">
        <v>0.3967</v>
      </c>
    </row>
    <row r="26" ht="13.5" spans="1:12">
      <c r="A26" s="741" t="s">
        <v>356</v>
      </c>
      <c r="B26" s="746" t="s">
        <v>354</v>
      </c>
      <c r="C26" s="744">
        <v>754.63</v>
      </c>
      <c r="D26" s="760">
        <f>总模型!$A$21*G26+总模型!$C$21*H26+总模型!$C$24*I26+总模型!$C$27*J26+总模型!$I$21*L26</f>
        <v>0.126303512979871</v>
      </c>
      <c r="E26" s="744">
        <v>226</v>
      </c>
      <c r="F26" s="761">
        <f t="shared" si="7"/>
        <v>95.31242</v>
      </c>
      <c r="G26" s="762">
        <f>工作量分布!C17</f>
        <v>-0.0337428055250033</v>
      </c>
      <c r="H26" s="762">
        <f>工作量分布!E17</f>
        <v>-0.0505581904678148</v>
      </c>
      <c r="I26" s="762">
        <v>0.3</v>
      </c>
      <c r="J26" s="762">
        <v>0.3</v>
      </c>
      <c r="K26" s="762">
        <v>0.3</v>
      </c>
      <c r="L26" s="762">
        <v>0.3</v>
      </c>
    </row>
    <row r="27" ht="13.5" spans="1:12">
      <c r="A27" s="741" t="s">
        <v>356</v>
      </c>
      <c r="B27" s="746" t="s">
        <v>354</v>
      </c>
      <c r="C27" s="744">
        <v>754.63</v>
      </c>
      <c r="D27" s="760">
        <f>总模型!$A$21*G27+总模型!$C$21*H27+总模型!$C$24*I27+总模型!$C$27*J27+总模型!$I$21*L27</f>
        <v>0.00954874574294698</v>
      </c>
      <c r="E27" s="744">
        <v>226</v>
      </c>
      <c r="F27" s="761">
        <f t="shared" ref="F27:F28" si="8">C27*D27</f>
        <v>7.20577000000008</v>
      </c>
      <c r="G27" s="762">
        <f>工作量分布!C17</f>
        <v>-0.0337428055250033</v>
      </c>
      <c r="H27" s="762">
        <f>工作量分布!E17</f>
        <v>-0.0505581904678148</v>
      </c>
      <c r="I27" s="762">
        <f>工作量分布!G17</f>
        <v>-0.0335850492483544</v>
      </c>
      <c r="J27" s="762">
        <v>0.3</v>
      </c>
      <c r="K27" s="762">
        <v>0.3</v>
      </c>
      <c r="L27" s="762">
        <v>0.3</v>
      </c>
    </row>
    <row r="28" ht="13.5" spans="1:12">
      <c r="A28" s="741" t="s">
        <v>356</v>
      </c>
      <c r="B28" s="746" t="s">
        <v>354</v>
      </c>
      <c r="C28" s="744">
        <v>754.63</v>
      </c>
      <c r="D28" s="760">
        <f>总模型!$A$21*G28+总模型!$C$21*H28+总模型!$C$24*I28+总模型!$C$27*J28+总模型!$I$21*L28</f>
        <v>-0.0232181731444548</v>
      </c>
      <c r="E28" s="744">
        <v>226</v>
      </c>
      <c r="F28" s="761">
        <f t="shared" si="8"/>
        <v>-17.5211299999999</v>
      </c>
      <c r="G28" s="762">
        <f>工作量分布!C17</f>
        <v>-0.0337428055250033</v>
      </c>
      <c r="H28" s="762">
        <f>工作量分布!E17</f>
        <v>-0.0505581904678148</v>
      </c>
      <c r="I28" s="762">
        <f>工作量分布!G17</f>
        <v>-0.0335850492483544</v>
      </c>
      <c r="J28" s="762">
        <f>工作量分布!I17</f>
        <v>-0.0276691888740177</v>
      </c>
      <c r="K28" s="762">
        <v>0.3</v>
      </c>
      <c r="L28" s="762">
        <v>0.3</v>
      </c>
    </row>
    <row r="29" ht="13.5" spans="1:12">
      <c r="A29" s="741" t="s">
        <v>356</v>
      </c>
      <c r="B29" s="746" t="s">
        <v>354</v>
      </c>
      <c r="C29" s="744">
        <v>754.63</v>
      </c>
      <c r="D29" s="760">
        <f>总模型!$A$21*G29+总模型!$C$21*H29+总模型!$C$24*I29+总模型!$C$27*J29+总模型!$I$21*L29</f>
        <v>-0.0232181731444548</v>
      </c>
      <c r="E29" s="744">
        <v>226</v>
      </c>
      <c r="F29" s="761">
        <f t="shared" ref="F29" si="9">C29*D29</f>
        <v>-17.5211299999999</v>
      </c>
      <c r="G29" s="762">
        <f>工作量分布!C17</f>
        <v>-0.0337428055250033</v>
      </c>
      <c r="H29" s="762">
        <f>工作量分布!E17</f>
        <v>-0.0505581904678148</v>
      </c>
      <c r="I29" s="762">
        <f>工作量分布!G17</f>
        <v>-0.0335850492483544</v>
      </c>
      <c r="J29" s="762">
        <f>工作量分布!I17</f>
        <v>-0.0276691888740177</v>
      </c>
      <c r="K29" s="762">
        <f>工作量分布!K17</f>
        <v>-0.0584168731696328</v>
      </c>
      <c r="L29" s="762">
        <v>0.3</v>
      </c>
    </row>
  </sheetData>
  <mergeCells count="14">
    <mergeCell ref="A1:F1"/>
    <mergeCell ref="A2:F2"/>
    <mergeCell ref="G2:L2"/>
    <mergeCell ref="O2:P2"/>
    <mergeCell ref="A11:F11"/>
    <mergeCell ref="A12:F12"/>
    <mergeCell ref="G12:L12"/>
    <mergeCell ref="O12:P12"/>
    <mergeCell ref="A22:F22"/>
    <mergeCell ref="G22:L22"/>
    <mergeCell ref="O22:P22"/>
    <mergeCell ref="R2:R3"/>
    <mergeCell ref="R12:R13"/>
    <mergeCell ref="R22:R23"/>
  </mergeCells>
  <dataValidations count="3">
    <dataValidation type="list" allowBlank="1" showInputMessage="1" showErrorMessage="1" sqref="N12">
      <formula1>"基线-总体,基线-强测试,基线-弱测试"</formula1>
    </dataValidation>
    <dataValidation type="list" allowBlank="1" showInputMessage="1" showErrorMessage="1" sqref="JK22 TG22 ADC22 AMY22 AWU22 BGQ22 BQM22 CAI22 CKE22 CUA22 DDW22 DNS22 DXO22 EHK22 ERG22 FBC22 FKY22 FUU22 GEQ22 GOM22 GYI22 HIE22 HSA22 IBW22 ILS22 IVO22 JFK22 JPG22 JZC22 KIY22 KSU22 LCQ22 LMM22 LWI22 MGE22 MQA22 MZW22 NJS22 NTO22 ODK22 ONG22 OXC22 PGY22 PQU22 QAQ22 QKM22 QUI22 REE22 ROA22 RXW22 SHS22 SRO22 TBK22 TLG22 TVC22 UEY22 UOU22 UYQ22 VIM22 VSI22 WCE22 WMA22 WVW22 JI65549 TE65549 ADA65549 AMW65549 AWS65549 BGO65549 BQK65549 CAG65549 CKC65549 CTY65549 DDU65549 DNQ65549 DXM65549 EHI65549 ERE65549 FBA65549 FKW65549 FUS65549 GEO65549 GOK65549 GYG65549 HIC65549 HRY65549 IBU65549 ILQ65549 IVM65549 JFI65549 JPE65549 JZA65549 KIW65549 KSS65549 LCO65549 LMK65549 LWG65549 MGC65549 MPY65549 MZU65549 NJQ65549 NTM65549 ODI65549 ONE65549 OXA65549 PGW65549 PQS65549 QAO65549 QKK65549 QUG65549 REC65549 RNY65549 RXU65549 SHQ65549 SRM65549 TBI65549 TLE65549 TVA65549 UEW65549 UOS65549 UYO65549 VIK65549 VSG65549 WCC65549 WLY65549 WVU65549 JI131085 TE131085 ADA131085 AMW131085 AWS131085 BGO131085 BQK131085 CAG131085 CKC131085 CTY131085 DDU131085 DNQ131085 DXM131085 EHI131085 ERE131085 FBA131085 FKW131085 FUS131085 GEO131085 GOK131085 GYG131085 HIC131085 HRY131085 IBU131085 ILQ131085 IVM131085 JFI131085 JPE131085 JZA131085 KIW131085 KSS131085 LCO131085 LMK131085 LWG131085 MGC131085 MPY131085 MZU131085 NJQ131085 NTM131085 ODI131085 ONE131085 OXA131085 PGW131085 PQS131085 QAO131085 QKK131085 QUG131085 REC131085 RNY131085 RXU131085 SHQ131085 SRM131085 TBI131085 TLE131085 TVA131085 UEW131085 UOS131085 UYO131085 VIK131085 VSG131085 WCC131085 WLY131085 WVU131085 JI196621 TE196621 ADA196621 AMW196621 AWS196621 BGO196621 BQK196621 CAG196621 CKC196621 CTY196621 DDU196621 DNQ196621 DXM196621 EHI196621 ERE196621 FBA196621 FKW196621 FUS196621 GEO196621 GOK196621 GYG196621 HIC196621 HRY196621 IBU196621 ILQ196621 IVM196621 JFI196621 JPE196621 JZA196621 KIW196621 KSS196621 LCO196621 LMK196621 LWG196621 MGC196621 MPY196621 MZU196621 NJQ196621 NTM196621 ODI196621 ONE196621 OXA196621 PGW196621 PQS196621 QAO196621 QKK196621 QUG196621 REC196621 RNY196621 RXU196621 SHQ196621 SRM196621 TBI196621 TLE196621 TVA196621 UEW196621 UOS196621 UYO196621 VIK196621 VSG196621 WCC196621 WLY196621 WVU196621 JI262157 TE262157 ADA262157 AMW262157 AWS262157 BGO262157 BQK262157 CAG262157 CKC262157 CTY262157 DDU262157 DNQ262157 DXM262157 EHI262157 ERE262157 FBA262157 FKW262157 FUS262157 GEO262157 GOK262157 GYG262157 HIC262157 HRY262157 IBU262157 ILQ262157 IVM262157 JFI262157 JPE262157 JZA262157 KIW262157 KSS262157 LCO262157 LMK262157 LWG262157 MGC262157 MPY262157 MZU262157 NJQ262157 NTM262157 ODI262157 ONE262157 OXA262157 PGW262157 PQS262157 QAO262157 QKK262157 QUG262157 REC262157 RNY262157 RXU262157 SHQ262157 SRM262157 TBI262157 TLE262157 TVA262157 UEW262157 UOS262157 UYO262157 VIK262157 VSG262157 WCC262157 WLY262157 WVU262157 JI327693 TE327693 ADA327693 AMW327693 AWS327693 BGO327693 BQK327693 CAG327693 CKC327693 CTY327693 DDU327693 DNQ327693 DXM327693 EHI327693 ERE327693 FBA327693 FKW327693 FUS327693 GEO327693 GOK327693 GYG327693 HIC327693 HRY327693 IBU327693 ILQ327693 IVM327693 JFI327693 JPE327693 JZA327693 KIW327693 KSS327693 LCO327693 LMK327693 LWG327693 MGC327693 MPY327693 MZU327693 NJQ327693 NTM327693 ODI327693 ONE327693 OXA327693 PGW327693 PQS327693 QAO327693 QKK327693 QUG327693 REC327693 RNY327693 RXU327693 SHQ327693 SRM327693 TBI327693 TLE327693 TVA327693 UEW327693 UOS327693 UYO327693 VIK327693 VSG327693 WCC327693 WLY327693 WVU327693 JI393229 TE393229 ADA393229 AMW393229 AWS393229 BGO393229 BQK393229 CAG393229 CKC393229 CTY393229 DDU393229 DNQ393229 DXM393229 EHI393229 ERE393229 FBA393229 FKW393229 FUS393229 GEO393229 GOK393229 GYG393229 HIC393229 HRY393229 IBU393229 ILQ393229 IVM393229 JFI393229 JPE393229 JZA393229 KIW393229 KSS393229 LCO393229 LMK393229 LWG393229 MGC393229 MPY393229 MZU393229 NJQ393229 NTM393229 ODI393229 ONE393229 OXA393229 PGW393229 PQS393229 QAO393229 QKK393229 QUG393229 REC393229 RNY393229 RXU393229 SHQ393229 SRM393229 TBI393229 TLE393229 TVA393229 UEW393229 UOS393229 UYO393229 VIK393229 VSG393229 WCC393229 WLY393229 WVU393229 JI458765 TE458765 ADA458765 AMW458765 AWS458765 BGO458765 BQK458765 CAG458765 CKC458765 CTY458765 DDU458765 DNQ458765 DXM458765 EHI458765 ERE458765 FBA458765 FKW458765 FUS458765 GEO458765 GOK458765 GYG458765 HIC458765 HRY458765 IBU458765 ILQ458765 IVM458765 JFI458765 JPE458765 JZA458765 KIW458765 KSS458765 LCO458765 LMK458765 LWG458765 MGC458765 MPY458765 MZU458765 NJQ458765 NTM458765 ODI458765 ONE458765 OXA458765 PGW458765 PQS458765 QAO458765 QKK458765 QUG458765 REC458765 RNY458765 RXU458765 SHQ458765 SRM458765 TBI458765 TLE458765 TVA458765 UEW458765 UOS458765 UYO458765 VIK458765 VSG458765 WCC458765 WLY458765 WVU458765 JI524301 TE524301 ADA524301 AMW524301 AWS524301 BGO524301 BQK524301 CAG524301 CKC524301 CTY524301 DDU524301 DNQ524301 DXM524301 EHI524301 ERE524301 FBA524301 FKW524301 FUS524301 GEO524301 GOK524301 GYG524301 HIC524301 HRY524301 IBU524301 ILQ524301 IVM524301 JFI524301 JPE524301 JZA524301 KIW524301 KSS524301 LCO524301 LMK524301 LWG524301 MGC524301 MPY524301 MZU524301 NJQ524301 NTM524301 ODI524301 ONE524301 OXA524301 PGW524301 PQS524301 QAO524301 QKK524301 QUG524301 REC524301 RNY524301 RXU524301 SHQ524301 SRM524301 TBI524301 TLE524301 TVA524301 UEW524301 UOS524301 UYO524301 VIK524301 VSG524301 WCC524301 WLY524301 WVU524301 JI589837 TE589837 ADA589837 AMW589837 AWS589837 BGO589837 BQK589837 CAG589837 CKC589837 CTY589837 DDU589837 DNQ589837 DXM589837 EHI589837 ERE589837 FBA589837 FKW589837 FUS589837 GEO589837 GOK589837 GYG589837 HIC589837 HRY589837 IBU589837 ILQ589837 IVM589837 JFI589837 JPE589837 JZA589837 KIW589837 KSS589837 LCO589837 LMK589837 LWG589837 MGC589837 MPY589837 MZU589837 NJQ589837 NTM589837 ODI589837 ONE589837 OXA589837 PGW589837 PQS589837 QAO589837 QKK589837 QUG589837 REC589837 RNY589837 RXU589837 SHQ589837 SRM589837 TBI589837 TLE589837 TVA589837 UEW589837 UOS589837 UYO589837 VIK589837 VSG589837 WCC589837 WLY589837 WVU589837 JI655373 TE655373 ADA655373 AMW655373 AWS655373 BGO655373 BQK655373 CAG655373 CKC655373 CTY655373 DDU655373 DNQ655373 DXM655373 EHI655373 ERE655373 FBA655373 FKW655373 FUS655373 GEO655373 GOK655373 GYG655373 HIC655373 HRY655373 IBU655373 ILQ655373 IVM655373 JFI655373 JPE655373 JZA655373 KIW655373 KSS655373 LCO655373 LMK655373 LWG655373 MGC655373 MPY655373 MZU655373 NJQ655373 NTM655373 ODI655373 ONE655373 OXA655373 PGW655373 PQS655373 QAO655373 QKK655373 QUG655373 REC655373 RNY655373 RXU655373 SHQ655373 SRM655373 TBI655373 TLE655373 TVA655373 UEW655373 UOS655373 UYO655373 VIK655373 VSG655373 WCC655373 WLY655373 WVU655373 JI720909 TE720909 ADA720909 AMW720909 AWS720909 BGO720909 BQK720909 CAG720909 CKC720909 CTY720909 DDU720909 DNQ720909 DXM720909 EHI720909 ERE720909 FBA720909 FKW720909 FUS720909 GEO720909 GOK720909 GYG720909 HIC720909 HRY720909 IBU720909 ILQ720909 IVM720909 JFI720909 JPE720909 JZA720909 KIW720909 KSS720909 LCO720909 LMK720909 LWG720909 MGC720909 MPY720909 MZU720909 NJQ720909 NTM720909 ODI720909 ONE720909 OXA720909 PGW720909 PQS720909 QAO720909 QKK720909 QUG720909 REC720909 RNY720909 RXU720909 SHQ720909 SRM720909 TBI720909 TLE720909 TVA720909 UEW720909 UOS720909 UYO720909 VIK720909 VSG720909 WCC720909 WLY720909 WVU720909 JI786445 TE786445 ADA786445 AMW786445 AWS786445 BGO786445 BQK786445 CAG786445 CKC786445 CTY786445 DDU786445 DNQ786445 DXM786445 EHI786445 ERE786445 FBA786445 FKW786445 FUS786445 GEO786445 GOK786445 GYG786445 HIC786445 HRY786445 IBU786445 ILQ786445 IVM786445 JFI786445 JPE786445 JZA786445 KIW786445 KSS786445 LCO786445 LMK786445 LWG786445 MGC786445 MPY786445 MZU786445 NJQ786445 NTM786445 ODI786445 ONE786445 OXA786445 PGW786445 PQS786445 QAO786445 QKK786445 QUG786445 REC786445 RNY786445 RXU786445 SHQ786445 SRM786445 TBI786445 TLE786445 TVA786445 UEW786445 UOS786445 UYO786445 VIK786445 VSG786445 WCC786445 WLY786445 WVU786445 JI851981 TE851981 ADA851981 AMW851981 AWS851981 BGO851981 BQK851981 CAG851981 CKC851981 CTY851981 DDU851981 DNQ851981 DXM851981 EHI851981 ERE851981 FBA851981 FKW851981 FUS851981 GEO851981 GOK851981 GYG851981 HIC851981 HRY851981 IBU851981 ILQ851981 IVM851981 JFI851981 JPE851981 JZA851981 KIW851981 KSS851981 LCO851981 LMK851981 LWG851981 MGC851981 MPY851981 MZU851981 NJQ851981 NTM851981 ODI851981 ONE851981 OXA851981 PGW851981 PQS851981 QAO851981 QKK851981 QUG851981 REC851981 RNY851981 RXU851981 SHQ851981 SRM851981 TBI851981 TLE851981 TVA851981 UEW851981 UOS851981 UYO851981 VIK851981 VSG851981 WCC851981 WLY851981 WVU851981 JI917517 TE917517 ADA917517 AMW917517 AWS917517 BGO917517 BQK917517 CAG917517 CKC917517 CTY917517 DDU917517 DNQ917517 DXM917517 EHI917517 ERE917517 FBA917517 FKW917517 FUS917517 GEO917517 GOK917517 GYG917517 HIC917517 HRY917517 IBU917517 ILQ917517 IVM917517 JFI917517 JPE917517 JZA917517 KIW917517 KSS917517 LCO917517 LMK917517 LWG917517 MGC917517 MPY917517 MZU917517 NJQ917517 NTM917517 ODI917517 ONE917517 OXA917517 PGW917517 PQS917517 QAO917517 QKK917517 QUG917517 REC917517 RNY917517 RXU917517 SHQ917517 SRM917517 TBI917517 TLE917517 TVA917517 UEW917517 UOS917517 UYO917517 VIK917517 VSG917517 WCC917517 WLY917517 WVU917517 JI983053 TE983053 ADA983053 AMW983053 AWS983053 BGO983053 BQK983053 CAG983053 CKC983053 CTY983053 DDU983053 DNQ983053 DXM983053 EHI983053 ERE983053 FBA983053 FKW983053 FUS983053 GEO983053 GOK983053 GYG983053 HIC983053 HRY983053 IBU983053 ILQ983053 IVM983053 JFI983053 JPE983053 JZA983053 KIW983053 KSS983053 LCO983053 LMK983053 LWG983053 MGC983053 MPY983053 MZU983053 NJQ983053 NTM983053 ODI983053 ONE983053 OXA983053 PGW983053 PQS983053 QAO983053 QKK983053 QUG983053 REC983053 RNY983053 RXU983053 SHQ983053 SRM983053 TBI983053 TLE983053 TVA983053 UEW983053 UOS983053 UYO983053 VIK983053 VSG983053 WCC983053 WLY983053 WVU983053">
      <formula1>"会议,邮件"</formula1>
    </dataValidation>
    <dataValidation type="list" allowBlank="1" showInputMessage="1" showErrorMessage="1" sqref="B4:B9 B14:B19 B24:B29">
      <formula1>"因子预测值,因子实际值"</formula1>
    </dataValidation>
  </dataValidations>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C000"/>
  </sheetPr>
  <dimension ref="A1:AE99"/>
  <sheetViews>
    <sheetView showGridLines="0" zoomScale="120" zoomScaleNormal="120" workbookViewId="0">
      <selection activeCell="M47" sqref="M47"/>
    </sheetView>
  </sheetViews>
  <sheetFormatPr defaultColWidth="9" defaultRowHeight="11.25"/>
  <cols>
    <col min="1" max="1" width="2.125" style="545" customWidth="1"/>
    <col min="2" max="2" width="10.75" style="545" customWidth="1"/>
    <col min="3" max="3" width="9.375" style="545" customWidth="1"/>
    <col min="4" max="4" width="8.75" style="545" customWidth="1"/>
    <col min="5" max="6" width="11.625" style="545" customWidth="1"/>
    <col min="7" max="7" width="10.625" style="545" customWidth="1"/>
    <col min="8" max="8" width="10" style="545" customWidth="1"/>
    <col min="9" max="9" width="8.5" style="545" customWidth="1"/>
    <col min="10" max="10" width="9.125" style="545" customWidth="1"/>
    <col min="11" max="11" width="9" style="545"/>
    <col min="12" max="12" width="18.5" style="545" customWidth="1"/>
    <col min="13" max="17" width="9" style="545"/>
    <col min="18" max="18" width="16.125" style="545" customWidth="1"/>
    <col min="19" max="22" width="9" style="545"/>
    <col min="23" max="23" width="11.875" style="545" customWidth="1"/>
    <col min="24" max="25" width="9" style="545"/>
    <col min="26" max="26" width="9" style="545" customWidth="1"/>
    <col min="27" max="16384" width="9" style="545"/>
  </cols>
  <sheetData>
    <row r="1" ht="14.25" spans="1:30">
      <c r="A1" s="546" t="s">
        <v>389</v>
      </c>
      <c r="B1" s="547"/>
      <c r="C1" s="547"/>
      <c r="D1" s="547"/>
      <c r="E1" s="547"/>
      <c r="F1" s="547"/>
      <c r="G1" s="547"/>
      <c r="H1" s="547"/>
      <c r="I1" s="547"/>
      <c r="J1" s="547"/>
      <c r="K1" s="547"/>
      <c r="L1" s="547"/>
      <c r="M1" s="547"/>
      <c r="N1" s="547"/>
      <c r="O1" s="547"/>
      <c r="P1" s="547"/>
      <c r="Q1" s="547"/>
      <c r="R1" s="547"/>
      <c r="S1" s="547"/>
      <c r="T1" s="547"/>
      <c r="U1" s="547"/>
      <c r="V1" s="547"/>
      <c r="W1" s="547"/>
      <c r="X1" s="547"/>
      <c r="Y1" s="547"/>
      <c r="Z1" s="547"/>
      <c r="AA1" s="547"/>
      <c r="AB1" s="547"/>
      <c r="AC1" s="547"/>
      <c r="AD1" s="547"/>
    </row>
    <row r="2" ht="14.25" spans="1:30">
      <c r="A2" s="657" t="s">
        <v>390</v>
      </c>
      <c r="B2" s="657" t="s">
        <v>391</v>
      </c>
      <c r="C2" s="657"/>
      <c r="D2" s="657"/>
      <c r="E2" s="657"/>
      <c r="F2" s="657"/>
      <c r="G2" s="657"/>
      <c r="H2" s="657"/>
      <c r="I2" s="657"/>
      <c r="J2" s="657"/>
      <c r="K2" s="657"/>
      <c r="L2" s="657"/>
      <c r="M2" s="657"/>
      <c r="N2" s="657"/>
      <c r="O2" s="657"/>
      <c r="P2" s="657"/>
      <c r="Q2" s="657"/>
      <c r="R2" s="657"/>
      <c r="S2" s="657"/>
      <c r="T2" s="657"/>
      <c r="U2" s="657"/>
      <c r="V2" s="657"/>
      <c r="W2" s="657"/>
      <c r="X2" s="657"/>
      <c r="Y2" s="657"/>
      <c r="Z2" s="657"/>
      <c r="AA2" s="657"/>
      <c r="AB2" s="657"/>
      <c r="AC2" s="657"/>
      <c r="AD2" s="657"/>
    </row>
    <row r="3" ht="14.25" spans="1:30">
      <c r="A3" s="549" t="s">
        <v>315</v>
      </c>
      <c r="B3" s="550"/>
      <c r="C3" s="550"/>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row>
    <row r="4" spans="1:30">
      <c r="A4" s="551" t="s">
        <v>392</v>
      </c>
      <c r="B4" s="551"/>
      <c r="C4" s="551"/>
      <c r="D4" s="551"/>
      <c r="E4" s="551"/>
      <c r="F4" s="551"/>
      <c r="G4" s="551"/>
      <c r="H4" s="551"/>
      <c r="I4" s="551"/>
      <c r="J4" s="551"/>
      <c r="K4" s="551"/>
      <c r="L4" s="551"/>
      <c r="M4" s="551"/>
      <c r="N4" s="551"/>
      <c r="O4" s="551"/>
      <c r="P4" s="551"/>
      <c r="Q4" s="551"/>
      <c r="R4" s="551"/>
      <c r="S4" s="551"/>
      <c r="T4" s="551"/>
      <c r="U4" s="551"/>
      <c r="V4" s="551"/>
      <c r="W4" s="551"/>
      <c r="X4" s="551"/>
      <c r="Y4" s="551"/>
      <c r="Z4" s="551"/>
      <c r="AA4" s="551"/>
      <c r="AB4" s="551"/>
      <c r="AC4" s="551"/>
      <c r="AD4" s="551"/>
    </row>
    <row r="5" spans="1:30">
      <c r="A5" s="551"/>
      <c r="B5" s="551"/>
      <c r="C5" s="551"/>
      <c r="D5" s="551"/>
      <c r="E5" s="551"/>
      <c r="F5" s="551"/>
      <c r="G5" s="551"/>
      <c r="H5" s="551"/>
      <c r="I5" s="551"/>
      <c r="J5" s="551"/>
      <c r="K5" s="551"/>
      <c r="L5" s="551"/>
      <c r="M5" s="551"/>
      <c r="N5" s="551"/>
      <c r="O5" s="551"/>
      <c r="P5" s="551"/>
      <c r="Q5" s="551"/>
      <c r="R5" s="551"/>
      <c r="S5" s="551"/>
      <c r="T5" s="551"/>
      <c r="U5" s="551"/>
      <c r="V5" s="551"/>
      <c r="W5" s="551"/>
      <c r="X5" s="551"/>
      <c r="Y5" s="551"/>
      <c r="Z5" s="551"/>
      <c r="AA5" s="551"/>
      <c r="AB5" s="551"/>
      <c r="AC5" s="551"/>
      <c r="AD5" s="551"/>
    </row>
    <row r="6" spans="1:30">
      <c r="A6" s="551"/>
      <c r="B6" s="551"/>
      <c r="C6" s="551"/>
      <c r="D6" s="551"/>
      <c r="E6" s="551"/>
      <c r="F6" s="551"/>
      <c r="G6" s="551"/>
      <c r="H6" s="551"/>
      <c r="I6" s="551"/>
      <c r="J6" s="551"/>
      <c r="K6" s="551"/>
      <c r="L6" s="551"/>
      <c r="M6" s="551"/>
      <c r="N6" s="551"/>
      <c r="O6" s="551"/>
      <c r="P6" s="551"/>
      <c r="Q6" s="551"/>
      <c r="R6" s="551"/>
      <c r="S6" s="551"/>
      <c r="T6" s="551"/>
      <c r="U6" s="551"/>
      <c r="V6" s="551"/>
      <c r="W6" s="551"/>
      <c r="X6" s="551"/>
      <c r="Y6" s="551"/>
      <c r="Z6" s="551"/>
      <c r="AA6" s="551"/>
      <c r="AB6" s="551"/>
      <c r="AC6" s="551"/>
      <c r="AD6" s="551"/>
    </row>
    <row r="7" ht="14.25" spans="1:29">
      <c r="A7" s="549" t="s">
        <v>313</v>
      </c>
      <c r="B7" s="550"/>
      <c r="C7" s="550"/>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row>
    <row r="8" spans="1:29">
      <c r="A8" s="552" t="s">
        <v>393</v>
      </c>
      <c r="B8" s="552"/>
      <c r="C8" s="552"/>
      <c r="D8" s="552"/>
      <c r="E8" s="552"/>
      <c r="F8" s="552"/>
      <c r="G8" s="552"/>
      <c r="H8" s="552"/>
      <c r="I8" s="552"/>
      <c r="J8" s="552"/>
      <c r="K8" s="552"/>
      <c r="L8" s="552"/>
      <c r="M8" s="552"/>
      <c r="N8" s="552"/>
      <c r="O8" s="552"/>
      <c r="P8" s="552"/>
      <c r="Q8" s="552"/>
      <c r="R8" s="552"/>
      <c r="S8" s="552"/>
      <c r="T8" s="552"/>
      <c r="U8" s="552"/>
      <c r="V8" s="552"/>
      <c r="W8" s="552"/>
      <c r="X8" s="552"/>
      <c r="Y8" s="552"/>
      <c r="Z8" s="552"/>
      <c r="AA8" s="552"/>
      <c r="AB8" s="552"/>
      <c r="AC8" s="552"/>
    </row>
    <row r="9" spans="1:29">
      <c r="A9" s="552"/>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row>
    <row r="10" spans="1:29">
      <c r="A10" s="552"/>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row>
    <row r="11" ht="14.25" spans="1:29">
      <c r="A11" s="549" t="s">
        <v>314</v>
      </c>
      <c r="B11" s="550"/>
      <c r="C11" s="550"/>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row>
    <row r="12" spans="1:29">
      <c r="A12" s="552" t="s">
        <v>394</v>
      </c>
      <c r="B12" s="552"/>
      <c r="C12" s="552"/>
      <c r="D12" s="552"/>
      <c r="E12" s="552"/>
      <c r="F12" s="552"/>
      <c r="G12" s="552"/>
      <c r="H12" s="552"/>
      <c r="I12" s="552"/>
      <c r="J12" s="552"/>
      <c r="K12" s="552"/>
      <c r="L12" s="552"/>
      <c r="M12" s="552"/>
      <c r="N12" s="552"/>
      <c r="O12" s="552"/>
      <c r="P12" s="552"/>
      <c r="Q12" s="552"/>
      <c r="R12" s="552"/>
      <c r="S12" s="552"/>
      <c r="T12" s="552"/>
      <c r="U12" s="552"/>
      <c r="V12" s="552"/>
      <c r="W12" s="552"/>
      <c r="X12" s="552"/>
      <c r="Y12" s="552"/>
      <c r="Z12" s="552"/>
      <c r="AA12" s="552"/>
      <c r="AB12" s="552"/>
      <c r="AC12" s="552"/>
    </row>
    <row r="13" spans="1:29">
      <c r="A13" s="552"/>
      <c r="B13" s="552"/>
      <c r="C13" s="552"/>
      <c r="D13" s="552"/>
      <c r="E13" s="552"/>
      <c r="F13" s="552"/>
      <c r="G13" s="552"/>
      <c r="H13" s="552"/>
      <c r="I13" s="552"/>
      <c r="J13" s="552"/>
      <c r="K13" s="552"/>
      <c r="L13" s="552"/>
      <c r="M13" s="552"/>
      <c r="N13" s="552"/>
      <c r="O13" s="552"/>
      <c r="P13" s="552"/>
      <c r="Q13" s="552"/>
      <c r="R13" s="552"/>
      <c r="S13" s="552"/>
      <c r="T13" s="552"/>
      <c r="U13" s="552"/>
      <c r="V13" s="552"/>
      <c r="W13" s="552"/>
      <c r="X13" s="552"/>
      <c r="Y13" s="552"/>
      <c r="Z13" s="552"/>
      <c r="AA13" s="552"/>
      <c r="AB13" s="552"/>
      <c r="AC13" s="552"/>
    </row>
    <row r="14" ht="12.75" customHeight="1" spans="1:29">
      <c r="A14" s="552"/>
      <c r="B14" s="552"/>
      <c r="C14" s="552"/>
      <c r="D14" s="552"/>
      <c r="E14" s="552"/>
      <c r="F14" s="552"/>
      <c r="G14" s="552"/>
      <c r="H14" s="552"/>
      <c r="I14" s="552"/>
      <c r="J14" s="552"/>
      <c r="K14" s="552"/>
      <c r="L14" s="552"/>
      <c r="M14" s="552"/>
      <c r="N14" s="552"/>
      <c r="O14" s="552"/>
      <c r="P14" s="552"/>
      <c r="Q14" s="552"/>
      <c r="R14" s="552"/>
      <c r="S14" s="552"/>
      <c r="T14" s="552"/>
      <c r="U14" s="552"/>
      <c r="V14" s="552"/>
      <c r="W14" s="552"/>
      <c r="X14" s="552"/>
      <c r="Y14" s="552"/>
      <c r="Z14" s="552"/>
      <c r="AA14" s="552"/>
      <c r="AB14" s="552"/>
      <c r="AC14" s="552"/>
    </row>
    <row r="15" ht="14.25" spans="1:29">
      <c r="A15" s="549" t="s">
        <v>222</v>
      </c>
      <c r="B15" s="550"/>
      <c r="C15" s="550"/>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row>
    <row r="16" spans="1:29">
      <c r="A16" s="658" t="s">
        <v>395</v>
      </c>
      <c r="B16" s="552"/>
      <c r="C16" s="552"/>
      <c r="D16" s="552"/>
      <c r="E16" s="552"/>
      <c r="F16" s="552"/>
      <c r="G16" s="552"/>
      <c r="H16" s="552"/>
      <c r="I16" s="552"/>
      <c r="J16" s="552"/>
      <c r="K16" s="552"/>
      <c r="L16" s="552"/>
      <c r="M16" s="552"/>
      <c r="N16" s="552"/>
      <c r="O16" s="552"/>
      <c r="P16" s="552"/>
      <c r="Q16" s="552"/>
      <c r="R16" s="552"/>
      <c r="S16" s="552"/>
      <c r="T16" s="552"/>
      <c r="U16" s="552"/>
      <c r="V16" s="552"/>
      <c r="W16" s="552"/>
      <c r="X16" s="552"/>
      <c r="Y16" s="552"/>
      <c r="Z16" s="552"/>
      <c r="AA16" s="552"/>
      <c r="AB16" s="552"/>
      <c r="AC16" s="552"/>
    </row>
    <row r="17" spans="1:29">
      <c r="A17" s="552"/>
      <c r="B17" s="552"/>
      <c r="C17" s="552"/>
      <c r="D17" s="552"/>
      <c r="E17" s="552"/>
      <c r="F17" s="552"/>
      <c r="G17" s="552"/>
      <c r="H17" s="552"/>
      <c r="I17" s="552"/>
      <c r="J17" s="552"/>
      <c r="K17" s="552"/>
      <c r="L17" s="552"/>
      <c r="M17" s="552"/>
      <c r="N17" s="552"/>
      <c r="O17" s="552"/>
      <c r="P17" s="552"/>
      <c r="Q17" s="552"/>
      <c r="R17" s="552"/>
      <c r="S17" s="552"/>
      <c r="T17" s="552"/>
      <c r="U17" s="552"/>
      <c r="V17" s="552"/>
      <c r="W17" s="552"/>
      <c r="X17" s="552"/>
      <c r="Y17" s="552"/>
      <c r="Z17" s="552"/>
      <c r="AA17" s="552"/>
      <c r="AB17" s="552"/>
      <c r="AC17" s="552"/>
    </row>
    <row r="18" ht="12.75" customHeight="1" spans="1:29">
      <c r="A18" s="552"/>
      <c r="B18" s="552"/>
      <c r="C18" s="552"/>
      <c r="D18" s="552"/>
      <c r="E18" s="552"/>
      <c r="F18" s="552"/>
      <c r="G18" s="552"/>
      <c r="H18" s="552"/>
      <c r="I18" s="552"/>
      <c r="J18" s="552"/>
      <c r="K18" s="552"/>
      <c r="L18" s="552"/>
      <c r="M18" s="552"/>
      <c r="N18" s="552"/>
      <c r="O18" s="552"/>
      <c r="P18" s="552"/>
      <c r="Q18" s="552"/>
      <c r="R18" s="552"/>
      <c r="S18" s="552"/>
      <c r="T18" s="552"/>
      <c r="U18" s="552"/>
      <c r="V18" s="552"/>
      <c r="W18" s="552"/>
      <c r="X18" s="552"/>
      <c r="Y18" s="552"/>
      <c r="Z18" s="552"/>
      <c r="AA18" s="552"/>
      <c r="AB18" s="552"/>
      <c r="AC18" s="552"/>
    </row>
    <row r="19" ht="24" customHeight="1" spans="1:31">
      <c r="A19" s="659" t="s">
        <v>396</v>
      </c>
      <c r="B19" s="660"/>
      <c r="C19" s="661" t="s">
        <v>397</v>
      </c>
      <c r="D19" s="661"/>
      <c r="E19" s="661"/>
      <c r="F19" s="661"/>
      <c r="G19" s="661"/>
      <c r="H19" s="661"/>
      <c r="I19" s="709" t="s">
        <v>398</v>
      </c>
      <c r="J19" s="710"/>
      <c r="K19" s="710"/>
      <c r="L19" s="710"/>
      <c r="M19" s="710"/>
      <c r="N19" s="710"/>
      <c r="O19" s="710"/>
      <c r="P19" s="710"/>
      <c r="Q19" s="710"/>
      <c r="R19" s="710"/>
      <c r="S19" s="710"/>
      <c r="T19" s="710"/>
      <c r="U19" s="710"/>
      <c r="V19" s="710"/>
      <c r="W19" s="710"/>
      <c r="X19" s="710"/>
      <c r="Y19" s="710"/>
      <c r="Z19" s="710"/>
      <c r="AA19" s="710"/>
      <c r="AB19" s="710"/>
      <c r="AC19" s="710"/>
      <c r="AD19" s="710"/>
      <c r="AE19" s="710"/>
    </row>
    <row r="20" ht="12.75" customHeight="1" spans="1:31">
      <c r="A20" s="662"/>
      <c r="B20" s="663"/>
      <c r="C20" s="661" t="s">
        <v>399</v>
      </c>
      <c r="D20" s="664" t="s">
        <v>400</v>
      </c>
      <c r="E20" s="664" t="s">
        <v>401</v>
      </c>
      <c r="F20" s="665" t="s">
        <v>402</v>
      </c>
      <c r="G20" s="666" t="s">
        <v>403</v>
      </c>
      <c r="H20" s="665" t="s">
        <v>404</v>
      </c>
      <c r="I20" s="711"/>
      <c r="J20" s="710"/>
      <c r="K20" s="710"/>
      <c r="L20" s="710"/>
      <c r="M20" s="710"/>
      <c r="N20" s="710"/>
      <c r="O20" s="710"/>
      <c r="P20" s="710"/>
      <c r="Q20" s="710"/>
      <c r="R20" s="710"/>
      <c r="S20" s="710"/>
      <c r="T20" s="710"/>
      <c r="U20" s="710"/>
      <c r="V20" s="710"/>
      <c r="W20" s="710"/>
      <c r="X20" s="710"/>
      <c r="Y20" s="710"/>
      <c r="Z20" s="710"/>
      <c r="AA20" s="710"/>
      <c r="AB20" s="710"/>
      <c r="AC20" s="710"/>
      <c r="AD20" s="710"/>
      <c r="AE20" s="710"/>
    </row>
    <row r="21" ht="12.75" customHeight="1" spans="1:31">
      <c r="A21" s="667">
        <v>0.03</v>
      </c>
      <c r="B21" s="667"/>
      <c r="C21" s="668">
        <v>0.33</v>
      </c>
      <c r="D21" s="669">
        <v>0.06</v>
      </c>
      <c r="E21" s="670">
        <v>0.1</v>
      </c>
      <c r="F21" s="670">
        <v>0.52</v>
      </c>
      <c r="G21" s="671">
        <f>1-SUM(D21:F21)</f>
        <v>0.32</v>
      </c>
      <c r="H21" s="672">
        <v>122.08</v>
      </c>
      <c r="I21" s="712">
        <f>1-SUM(A21,C21,C24,C27,C30)</f>
        <v>0.03</v>
      </c>
      <c r="J21" s="710"/>
      <c r="K21" s="710"/>
      <c r="L21" s="710"/>
      <c r="M21" s="710"/>
      <c r="N21" s="710"/>
      <c r="O21" s="710"/>
      <c r="P21" s="710"/>
      <c r="Q21" s="710"/>
      <c r="R21" s="710"/>
      <c r="S21" s="710"/>
      <c r="T21" s="710"/>
      <c r="U21" s="710"/>
      <c r="V21" s="710"/>
      <c r="W21" s="710"/>
      <c r="X21" s="710"/>
      <c r="Y21" s="710"/>
      <c r="Z21" s="710"/>
      <c r="AA21" s="710"/>
      <c r="AB21" s="710"/>
      <c r="AC21" s="710"/>
      <c r="AD21" s="710"/>
      <c r="AE21" s="710"/>
    </row>
    <row r="22" ht="12.75" customHeight="1" spans="1:31">
      <c r="A22" s="667"/>
      <c r="B22" s="667"/>
      <c r="C22" s="673" t="s">
        <v>405</v>
      </c>
      <c r="D22" s="674"/>
      <c r="E22" s="674"/>
      <c r="F22" s="674"/>
      <c r="G22" s="674"/>
      <c r="H22" s="675"/>
      <c r="I22" s="712"/>
      <c r="J22" s="710"/>
      <c r="K22" s="710"/>
      <c r="L22" s="710"/>
      <c r="M22" s="710"/>
      <c r="N22" s="710"/>
      <c r="O22" s="710"/>
      <c r="P22" s="710"/>
      <c r="Q22" s="710"/>
      <c r="R22" s="710"/>
      <c r="S22" s="710"/>
      <c r="T22" s="710"/>
      <c r="U22" s="710"/>
      <c r="V22" s="710"/>
      <c r="W22" s="710"/>
      <c r="X22" s="710"/>
      <c r="Y22" s="710"/>
      <c r="Z22" s="710"/>
      <c r="AA22" s="710"/>
      <c r="AB22" s="710"/>
      <c r="AC22" s="710"/>
      <c r="AD22" s="710"/>
      <c r="AE22" s="710"/>
    </row>
    <row r="23" ht="12.75" customHeight="1" spans="1:31">
      <c r="A23" s="667"/>
      <c r="B23" s="667"/>
      <c r="C23" s="661" t="s">
        <v>399</v>
      </c>
      <c r="D23" s="676" t="s">
        <v>400</v>
      </c>
      <c r="E23" s="677" t="s">
        <v>401</v>
      </c>
      <c r="F23" s="678" t="s">
        <v>402</v>
      </c>
      <c r="G23" s="679" t="s">
        <v>403</v>
      </c>
      <c r="H23" s="665" t="s">
        <v>404</v>
      </c>
      <c r="I23" s="712"/>
      <c r="J23" s="710"/>
      <c r="K23" s="710"/>
      <c r="L23" s="710"/>
      <c r="M23" s="710"/>
      <c r="N23" s="710"/>
      <c r="O23" s="710"/>
      <c r="P23" s="710"/>
      <c r="Q23" s="710"/>
      <c r="R23" s="710"/>
      <c r="S23" s="710"/>
      <c r="T23" s="710"/>
      <c r="U23" s="710"/>
      <c r="V23" s="710"/>
      <c r="W23" s="710"/>
      <c r="X23" s="710"/>
      <c r="Y23" s="710"/>
      <c r="Z23" s="710"/>
      <c r="AA23" s="710"/>
      <c r="AB23" s="710"/>
      <c r="AC23" s="710"/>
      <c r="AD23" s="710"/>
      <c r="AE23" s="710"/>
    </row>
    <row r="24" ht="12.75" customHeight="1" spans="1:31">
      <c r="A24" s="667"/>
      <c r="B24" s="667"/>
      <c r="C24" s="667">
        <v>0.35</v>
      </c>
      <c r="D24" s="680">
        <v>0.06</v>
      </c>
      <c r="E24" s="681">
        <v>0.1</v>
      </c>
      <c r="F24" s="681">
        <v>0.52</v>
      </c>
      <c r="G24" s="682">
        <f>1-SUM(D24:F24)</f>
        <v>0.32</v>
      </c>
      <c r="H24" s="672">
        <v>126.95</v>
      </c>
      <c r="I24" s="712"/>
      <c r="J24" s="710"/>
      <c r="K24" s="710"/>
      <c r="L24" s="710"/>
      <c r="M24" s="710"/>
      <c r="N24" s="710"/>
      <c r="O24" s="710"/>
      <c r="P24" s="710"/>
      <c r="Q24" s="710"/>
      <c r="R24" s="710"/>
      <c r="S24" s="710"/>
      <c r="T24" s="710"/>
      <c r="U24" s="710"/>
      <c r="V24" s="710"/>
      <c r="W24" s="710"/>
      <c r="X24" s="710"/>
      <c r="Y24" s="710"/>
      <c r="Z24" s="710"/>
      <c r="AA24" s="710"/>
      <c r="AB24" s="710"/>
      <c r="AC24" s="710"/>
      <c r="AD24" s="710"/>
      <c r="AE24" s="710"/>
    </row>
    <row r="25" ht="12.75" customHeight="1" spans="1:31">
      <c r="A25" s="667"/>
      <c r="B25" s="667"/>
      <c r="C25" s="673" t="s">
        <v>406</v>
      </c>
      <c r="D25" s="674"/>
      <c r="E25" s="674"/>
      <c r="F25" s="674"/>
      <c r="G25" s="674"/>
      <c r="H25" s="675"/>
      <c r="I25" s="712"/>
      <c r="J25" s="710"/>
      <c r="K25" s="710"/>
      <c r="L25" s="710"/>
      <c r="M25" s="710"/>
      <c r="N25" s="710"/>
      <c r="O25" s="710"/>
      <c r="P25" s="710"/>
      <c r="Q25" s="710"/>
      <c r="R25" s="710"/>
      <c r="S25" s="710"/>
      <c r="T25" s="710"/>
      <c r="U25" s="710"/>
      <c r="V25" s="710"/>
      <c r="W25" s="710"/>
      <c r="X25" s="710"/>
      <c r="Y25" s="710"/>
      <c r="Z25" s="710"/>
      <c r="AA25" s="710"/>
      <c r="AB25" s="710"/>
      <c r="AC25" s="710"/>
      <c r="AD25" s="710"/>
      <c r="AE25" s="710"/>
    </row>
    <row r="26" ht="12.75" customHeight="1" spans="1:31">
      <c r="A26" s="667"/>
      <c r="B26" s="667"/>
      <c r="C26" s="661" t="s">
        <v>399</v>
      </c>
      <c r="D26" s="676" t="s">
        <v>400</v>
      </c>
      <c r="E26" s="677" t="s">
        <v>401</v>
      </c>
      <c r="F26" s="678" t="s">
        <v>402</v>
      </c>
      <c r="G26" s="679" t="s">
        <v>403</v>
      </c>
      <c r="H26" s="665" t="s">
        <v>404</v>
      </c>
      <c r="I26" s="712"/>
      <c r="J26" s="710"/>
      <c r="K26" s="710"/>
      <c r="L26" s="710"/>
      <c r="M26" s="710"/>
      <c r="N26" s="710"/>
      <c r="O26" s="710"/>
      <c r="P26" s="710"/>
      <c r="Q26" s="710"/>
      <c r="R26" s="710"/>
      <c r="S26" s="710"/>
      <c r="T26" s="710"/>
      <c r="U26" s="710"/>
      <c r="V26" s="710"/>
      <c r="W26" s="710"/>
      <c r="X26" s="710"/>
      <c r="Y26" s="710"/>
      <c r="Z26" s="710"/>
      <c r="AA26" s="710"/>
      <c r="AB26" s="710"/>
      <c r="AC26" s="710"/>
      <c r="AD26" s="710"/>
      <c r="AE26" s="710"/>
    </row>
    <row r="27" ht="12.75" customHeight="1" spans="1:31">
      <c r="A27" s="667"/>
      <c r="B27" s="667"/>
      <c r="C27" s="667">
        <v>0.1</v>
      </c>
      <c r="D27" s="680">
        <v>0.06</v>
      </c>
      <c r="E27" s="681">
        <v>0.1</v>
      </c>
      <c r="F27" s="681">
        <v>0.52</v>
      </c>
      <c r="G27" s="682">
        <f>1-SUM(D27:F27)</f>
        <v>0.32</v>
      </c>
      <c r="H27" s="672">
        <v>43.17</v>
      </c>
      <c r="I27" s="712"/>
      <c r="J27" s="710"/>
      <c r="K27" s="710"/>
      <c r="L27" s="710"/>
      <c r="M27" s="710"/>
      <c r="N27" s="710"/>
      <c r="O27" s="710"/>
      <c r="P27" s="710"/>
      <c r="Q27" s="710"/>
      <c r="R27" s="710"/>
      <c r="S27" s="710"/>
      <c r="T27" s="710"/>
      <c r="U27" s="710"/>
      <c r="V27" s="710"/>
      <c r="W27" s="710"/>
      <c r="X27" s="710"/>
      <c r="Y27" s="710"/>
      <c r="Z27" s="710"/>
      <c r="AA27" s="710"/>
      <c r="AB27" s="710"/>
      <c r="AC27" s="710"/>
      <c r="AD27" s="710"/>
      <c r="AE27" s="710"/>
    </row>
    <row r="28" ht="12.75" customHeight="1" spans="1:31">
      <c r="A28" s="667"/>
      <c r="B28" s="667"/>
      <c r="C28" s="673" t="s">
        <v>407</v>
      </c>
      <c r="D28" s="674"/>
      <c r="E28" s="674"/>
      <c r="F28" s="674"/>
      <c r="G28" s="674"/>
      <c r="H28" s="675"/>
      <c r="I28" s="712"/>
      <c r="J28" s="710"/>
      <c r="K28" s="710"/>
      <c r="L28" s="710"/>
      <c r="M28" s="710"/>
      <c r="N28" s="710"/>
      <c r="O28" s="710"/>
      <c r="P28" s="710"/>
      <c r="Q28" s="710"/>
      <c r="R28" s="710"/>
      <c r="S28" s="710"/>
      <c r="T28" s="710"/>
      <c r="U28" s="710"/>
      <c r="V28" s="710"/>
      <c r="W28" s="710"/>
      <c r="X28" s="710"/>
      <c r="Y28" s="710"/>
      <c r="Z28" s="710"/>
      <c r="AA28" s="710"/>
      <c r="AB28" s="710"/>
      <c r="AC28" s="710"/>
      <c r="AD28" s="710"/>
      <c r="AE28" s="710"/>
    </row>
    <row r="29" ht="12.75" customHeight="1" spans="1:31">
      <c r="A29" s="667"/>
      <c r="B29" s="667"/>
      <c r="C29" s="661" t="s">
        <v>399</v>
      </c>
      <c r="D29" s="676" t="s">
        <v>400</v>
      </c>
      <c r="E29" s="677" t="s">
        <v>401</v>
      </c>
      <c r="F29" s="678" t="s">
        <v>402</v>
      </c>
      <c r="G29" s="679" t="s">
        <v>403</v>
      </c>
      <c r="H29" s="665" t="s">
        <v>404</v>
      </c>
      <c r="I29" s="712"/>
      <c r="J29" s="710"/>
      <c r="K29" s="710"/>
      <c r="L29" s="710"/>
      <c r="M29" s="710"/>
      <c r="N29" s="710"/>
      <c r="O29" s="710"/>
      <c r="P29" s="710"/>
      <c r="Q29" s="710"/>
      <c r="R29" s="710"/>
      <c r="S29" s="710"/>
      <c r="T29" s="710"/>
      <c r="U29" s="710"/>
      <c r="V29" s="710"/>
      <c r="W29" s="710"/>
      <c r="X29" s="710"/>
      <c r="Y29" s="710"/>
      <c r="Z29" s="710"/>
      <c r="AA29" s="710"/>
      <c r="AB29" s="710"/>
      <c r="AC29" s="710"/>
      <c r="AD29" s="710"/>
      <c r="AE29" s="710"/>
    </row>
    <row r="30" ht="12.75" customHeight="1" spans="1:31">
      <c r="A30" s="667"/>
      <c r="B30" s="667"/>
      <c r="C30" s="667">
        <v>0.16</v>
      </c>
      <c r="D30" s="680">
        <v>0.06</v>
      </c>
      <c r="E30" s="681">
        <v>0.1</v>
      </c>
      <c r="F30" s="681">
        <v>0.52</v>
      </c>
      <c r="G30" s="682">
        <f>1-SUM(D30:F30)</f>
        <v>0.32</v>
      </c>
      <c r="H30" s="672">
        <v>72.83</v>
      </c>
      <c r="I30" s="712"/>
      <c r="J30" s="710"/>
      <c r="K30" s="710"/>
      <c r="L30" s="710"/>
      <c r="M30" s="710"/>
      <c r="N30" s="710"/>
      <c r="O30" s="710"/>
      <c r="P30" s="710"/>
      <c r="Q30" s="710"/>
      <c r="R30" s="710"/>
      <c r="S30" s="710"/>
      <c r="T30" s="710"/>
      <c r="U30" s="710"/>
      <c r="V30" s="710"/>
      <c r="W30" s="710"/>
      <c r="X30" s="710"/>
      <c r="Y30" s="710"/>
      <c r="Z30" s="710"/>
      <c r="AA30" s="710"/>
      <c r="AB30" s="710"/>
      <c r="AC30" s="710"/>
      <c r="AD30" s="710"/>
      <c r="AE30" s="710"/>
    </row>
    <row r="32" ht="14.25" spans="1:27">
      <c r="A32" s="657" t="s">
        <v>408</v>
      </c>
      <c r="B32" s="657" t="s">
        <v>409</v>
      </c>
      <c r="C32" s="657"/>
      <c r="D32" s="657"/>
      <c r="E32" s="657"/>
      <c r="F32" s="657"/>
      <c r="G32" s="657"/>
      <c r="H32" s="657"/>
      <c r="I32" s="657"/>
      <c r="J32" s="657"/>
      <c r="K32" s="657"/>
      <c r="L32" s="657"/>
      <c r="M32" s="657"/>
      <c r="N32" s="657"/>
      <c r="O32" s="657"/>
      <c r="P32" s="657"/>
      <c r="Q32" s="657"/>
      <c r="R32" s="657"/>
      <c r="S32" s="657"/>
      <c r="T32" s="657"/>
      <c r="U32" s="657"/>
      <c r="V32" s="657"/>
      <c r="W32" s="657"/>
      <c r="X32" s="657"/>
      <c r="Y32" s="657"/>
      <c r="Z32" s="657"/>
      <c r="AA32" s="657"/>
    </row>
    <row r="33" ht="15" spans="2:27">
      <c r="B33" s="555" t="s">
        <v>410</v>
      </c>
      <c r="C33" s="555"/>
      <c r="D33" s="556"/>
      <c r="E33" s="557"/>
      <c r="F33" s="557"/>
      <c r="G33" s="557"/>
      <c r="H33" s="557"/>
      <c r="I33" s="557"/>
      <c r="J33" s="557"/>
      <c r="K33" s="555" t="s">
        <v>411</v>
      </c>
      <c r="L33" s="555"/>
      <c r="M33" s="555"/>
      <c r="N33" s="557" t="s">
        <v>412</v>
      </c>
      <c r="O33" s="557"/>
      <c r="P33" s="557"/>
      <c r="Q33" s="557"/>
      <c r="R33" s="557"/>
      <c r="S33" s="557"/>
      <c r="T33" s="557"/>
      <c r="U33" s="557"/>
      <c r="V33" s="555" t="s">
        <v>413</v>
      </c>
      <c r="W33" s="557" t="s">
        <v>414</v>
      </c>
      <c r="X33" s="557"/>
      <c r="Y33" s="557"/>
      <c r="Z33" s="557"/>
      <c r="AA33" s="555"/>
    </row>
    <row r="34" ht="15" spans="1:27">
      <c r="A34" s="683"/>
      <c r="B34" s="559" t="s">
        <v>415</v>
      </c>
      <c r="C34" s="560"/>
      <c r="D34" s="560"/>
      <c r="E34" s="560"/>
      <c r="F34" s="560"/>
      <c r="G34" s="560"/>
      <c r="H34" s="560"/>
      <c r="I34" s="560"/>
      <c r="J34" s="560"/>
      <c r="K34" s="713"/>
      <c r="V34" s="724"/>
      <c r="AA34" s="555"/>
    </row>
    <row r="35" ht="15" spans="1:27">
      <c r="A35" s="558"/>
      <c r="B35" s="559" t="s">
        <v>396</v>
      </c>
      <c r="C35" s="563" t="s">
        <v>314</v>
      </c>
      <c r="D35" s="563"/>
      <c r="E35" s="564" t="s">
        <v>343</v>
      </c>
      <c r="F35" s="565"/>
      <c r="G35" s="564" t="s">
        <v>313</v>
      </c>
      <c r="H35" s="565"/>
      <c r="I35" s="568" t="s">
        <v>222</v>
      </c>
      <c r="J35" s="563"/>
      <c r="K35" s="558"/>
      <c r="L35" s="603" t="s">
        <v>416</v>
      </c>
      <c r="M35" s="604"/>
      <c r="N35" s="604"/>
      <c r="O35" s="604"/>
      <c r="P35" s="604"/>
      <c r="Q35" s="604"/>
      <c r="R35" s="604"/>
      <c r="S35" s="604"/>
      <c r="T35" s="604"/>
      <c r="U35" s="604"/>
      <c r="V35" s="641"/>
      <c r="W35" s="605" t="s">
        <v>417</v>
      </c>
      <c r="X35" s="606"/>
      <c r="Y35" s="606"/>
      <c r="Z35" s="642"/>
      <c r="AA35" s="555"/>
    </row>
    <row r="36" ht="17.25" spans="1:27">
      <c r="A36" s="558"/>
      <c r="B36" s="559"/>
      <c r="C36" s="571">
        <v>0.05</v>
      </c>
      <c r="D36" s="572">
        <v>0.016</v>
      </c>
      <c r="E36" s="571">
        <v>0.15</v>
      </c>
      <c r="F36" s="572">
        <v>0.0489</v>
      </c>
      <c r="G36" s="573">
        <v>0.01</v>
      </c>
      <c r="H36" s="684">
        <v>0.22</v>
      </c>
      <c r="I36" s="685"/>
      <c r="J36" s="572"/>
      <c r="K36" s="558"/>
      <c r="L36" s="609" t="s">
        <v>418</v>
      </c>
      <c r="M36" s="610" t="s">
        <v>419</v>
      </c>
      <c r="N36" s="611" t="s">
        <v>314</v>
      </c>
      <c r="O36" s="612"/>
      <c r="P36" s="714" t="s">
        <v>315</v>
      </c>
      <c r="Q36" s="725"/>
      <c r="R36" s="714" t="s">
        <v>420</v>
      </c>
      <c r="S36" s="725"/>
      <c r="T36" s="714" t="s">
        <v>222</v>
      </c>
      <c r="U36" s="725"/>
      <c r="V36" s="641"/>
      <c r="W36" s="643" t="s">
        <v>314</v>
      </c>
      <c r="X36" s="643" t="s">
        <v>315</v>
      </c>
      <c r="Y36" s="643" t="s">
        <v>420</v>
      </c>
      <c r="Z36" s="643" t="s">
        <v>222</v>
      </c>
      <c r="AA36" s="555"/>
    </row>
    <row r="37" ht="15" spans="1:27">
      <c r="A37" s="558"/>
      <c r="B37" s="559"/>
      <c r="C37" s="685"/>
      <c r="D37" s="576"/>
      <c r="E37" s="685"/>
      <c r="F37" s="576"/>
      <c r="G37" s="685"/>
      <c r="H37" s="576"/>
      <c r="I37" s="685"/>
      <c r="J37" s="576"/>
      <c r="K37" s="558"/>
      <c r="L37" s="615"/>
      <c r="M37" s="616"/>
      <c r="N37" s="617" t="s">
        <v>421</v>
      </c>
      <c r="O37" s="618" t="s">
        <v>422</v>
      </c>
      <c r="P37" s="617" t="s">
        <v>421</v>
      </c>
      <c r="Q37" s="618" t="s">
        <v>422</v>
      </c>
      <c r="R37" s="617" t="s">
        <v>421</v>
      </c>
      <c r="S37" s="618" t="s">
        <v>422</v>
      </c>
      <c r="T37" s="617" t="s">
        <v>421</v>
      </c>
      <c r="U37" s="618" t="s">
        <v>422</v>
      </c>
      <c r="V37" s="641"/>
      <c r="W37" s="645">
        <f>SUM(N38,O38)+SUM(N39,O39)*H21/SUM(H21,H24,H27,H30)+SUM(N41,O41)*H24/SUM(H21,H24,H27,H30)+SUM(N43,O43)*H27/SUM(H21,H24,H27,H30)+SUM(N45:O45)*H30/SUM(H21,H24,H27,H30)+SUM(N47,O47)</f>
        <v>0.397230885132729</v>
      </c>
      <c r="X37" s="645">
        <f>1/(SUM(P38,Q38)+1/SUM(P39,Q39)*C21+1/SUM(P41,Q41)*C24+1/SUM(P43,Q43)*C27+1/SUM(P45:Q45)*C30+SUM(P47,Q47))</f>
        <v>0.531047858929362</v>
      </c>
      <c r="Y37" s="653">
        <f>A21*SUM(R38,S38)+C21*SUM(R39,S39)+C24*SUM(R41,S41)+C27*SUM(R43,S43)+C30*SUM(R45:S45)+I21*SUM(R47,S47)</f>
        <v>-0.126945</v>
      </c>
      <c r="Z37" s="653">
        <f>SUM(T39,U39)*$H$21/SUM($H$21,$H$24,$H$27,$H30)+SUM(T41,U41)*$H$24/SUM($H$21,$H$24,$H$27,$H$30)+SUM(T43,U43)*$H$27/SUM($H$21,$H$24,$H$27,$H$30)+SUM(T43,U43)*$H$30/SUM($H$21,$H$24,$H$27,$H$30)</f>
        <v>0.0229407140481314</v>
      </c>
      <c r="AA37" s="555"/>
    </row>
    <row r="38" ht="15" spans="1:27">
      <c r="A38" s="558"/>
      <c r="B38" s="559" t="s">
        <v>423</v>
      </c>
      <c r="C38" s="560"/>
      <c r="D38" s="560"/>
      <c r="E38" s="560"/>
      <c r="F38" s="560"/>
      <c r="G38" s="560"/>
      <c r="H38" s="560"/>
      <c r="I38" s="560"/>
      <c r="J38" s="560"/>
      <c r="K38" s="558"/>
      <c r="L38" s="615" t="s">
        <v>396</v>
      </c>
      <c r="M38" s="715">
        <v>10</v>
      </c>
      <c r="N38" s="624">
        <f>IF(O38=0,C36,0)</f>
        <v>0</v>
      </c>
      <c r="O38" s="716">
        <v>0.0082</v>
      </c>
      <c r="P38" s="624">
        <f>IF(Q38=0,E36,0)</f>
        <v>0</v>
      </c>
      <c r="Q38" s="716">
        <v>0.0599</v>
      </c>
      <c r="R38" s="624">
        <f>IF(S38=0,G36,0)</f>
        <v>0</v>
      </c>
      <c r="S38" s="625">
        <v>-0.0337</v>
      </c>
      <c r="T38" s="726"/>
      <c r="U38" s="726"/>
      <c r="V38" s="727"/>
      <c r="W38" s="646"/>
      <c r="X38" s="646"/>
      <c r="Y38" s="654"/>
      <c r="Z38" s="653">
        <f>SUM(T40,U40)*$H$21/SUM($H$21,$H$24,$H$27)+SUM(T42,U42)*$H$24/SUM($H$21,$H$24,$H$27)+SUM(T44,U44)*$H$27/SUM($H$21,$H$24,$H$27)</f>
        <v>0.0351633852280655</v>
      </c>
      <c r="AA38" s="555"/>
    </row>
    <row r="39" ht="15" outlineLevel="2" spans="1:27">
      <c r="A39" s="558"/>
      <c r="B39" s="561" t="s">
        <v>397</v>
      </c>
      <c r="C39" s="560"/>
      <c r="D39" s="560"/>
      <c r="E39" s="560"/>
      <c r="F39" s="560"/>
      <c r="G39" s="560"/>
      <c r="H39" s="560"/>
      <c r="I39" s="560"/>
      <c r="J39" s="560"/>
      <c r="K39" s="558"/>
      <c r="L39" s="717" t="s">
        <v>424</v>
      </c>
      <c r="M39" s="715">
        <v>1</v>
      </c>
      <c r="N39" s="624">
        <f>IF(O39=0,C41,0)</f>
        <v>0</v>
      </c>
      <c r="O39" s="625">
        <v>0.2539</v>
      </c>
      <c r="P39" s="624">
        <f>IF(Q39=0,E41,0)</f>
        <v>0</v>
      </c>
      <c r="Q39" s="716">
        <v>0.5163</v>
      </c>
      <c r="R39" s="624">
        <f>IF(S39=0,G41,0)</f>
        <v>0</v>
      </c>
      <c r="S39" s="625">
        <v>-0.0506</v>
      </c>
      <c r="T39" s="624">
        <f>IF(U39=0,I41,0)</f>
        <v>0.0314406873697471</v>
      </c>
      <c r="U39" s="625">
        <v>0</v>
      </c>
      <c r="V39" s="727"/>
      <c r="W39" s="647"/>
      <c r="X39" s="647"/>
      <c r="Y39" s="656"/>
      <c r="Z39" s="656"/>
      <c r="AA39" s="555"/>
    </row>
    <row r="40" ht="15" outlineLevel="2" spans="1:27">
      <c r="A40" s="558"/>
      <c r="B40" s="562"/>
      <c r="C40" s="563" t="s">
        <v>367</v>
      </c>
      <c r="D40" s="563"/>
      <c r="E40" s="564" t="s">
        <v>344</v>
      </c>
      <c r="F40" s="565"/>
      <c r="G40" s="564" t="s">
        <v>425</v>
      </c>
      <c r="H40" s="565"/>
      <c r="I40" s="568" t="s">
        <v>426</v>
      </c>
      <c r="J40" s="563"/>
      <c r="K40" s="558"/>
      <c r="L40" s="622"/>
      <c r="M40" s="715"/>
      <c r="T40" s="624">
        <f>IF(U40=0,I42,0)</f>
        <v>0.0351633852280655</v>
      </c>
      <c r="U40" s="625">
        <v>0</v>
      </c>
      <c r="V40" s="641"/>
      <c r="W40" s="555"/>
      <c r="X40" s="555"/>
      <c r="Y40" s="555"/>
      <c r="Z40" s="555"/>
      <c r="AA40" s="555"/>
    </row>
    <row r="41" ht="15" outlineLevel="2" spans="1:27">
      <c r="A41" s="566"/>
      <c r="B41" s="686"/>
      <c r="C41" s="685">
        <f>迭代模型!$W$26</f>
        <v>0.376654455581491</v>
      </c>
      <c r="D41" s="572"/>
      <c r="E41" s="685">
        <f>迭代模型!$X$26</f>
        <v>0.46429509817383</v>
      </c>
      <c r="F41" s="572"/>
      <c r="G41" s="687">
        <f>迭代模型!$Y$26</f>
        <v>-0.0584168731696329</v>
      </c>
      <c r="H41" s="576"/>
      <c r="I41" s="687">
        <f>迭代模型!$Z$26</f>
        <v>0.0314406873697471</v>
      </c>
      <c r="J41" s="718" t="s">
        <v>427</v>
      </c>
      <c r="K41" s="558"/>
      <c r="L41" s="717" t="s">
        <v>428</v>
      </c>
      <c r="M41" s="715">
        <v>13</v>
      </c>
      <c r="N41" s="624">
        <f>IF(O41=0,C44,0)</f>
        <v>0</v>
      </c>
      <c r="O41" s="625">
        <v>0.4017</v>
      </c>
      <c r="P41" s="624">
        <f>IF(Q41=0,E44,0)</f>
        <v>0</v>
      </c>
      <c r="Q41" s="625">
        <v>0.4974</v>
      </c>
      <c r="R41" s="624">
        <f>IF(S41=0,G44,0)</f>
        <v>0</v>
      </c>
      <c r="S41" s="625">
        <v>-0.0336</v>
      </c>
      <c r="T41" s="624">
        <f>IF(U41=0,I44,0)</f>
        <v>0</v>
      </c>
      <c r="U41" s="625">
        <v>0.007</v>
      </c>
      <c r="V41" s="641"/>
      <c r="W41" s="555"/>
      <c r="X41" s="555"/>
      <c r="Y41" s="555"/>
      <c r="Z41" s="555"/>
      <c r="AA41" s="555"/>
    </row>
    <row r="42" ht="15" outlineLevel="2" spans="1:27">
      <c r="A42" s="566"/>
      <c r="B42" s="688"/>
      <c r="C42" s="689"/>
      <c r="D42" s="689"/>
      <c r="E42" s="689"/>
      <c r="F42" s="689"/>
      <c r="G42" s="689"/>
      <c r="H42" s="689"/>
      <c r="I42" s="687">
        <f>迭代模型!$Z$28</f>
        <v>0.0351633852280655</v>
      </c>
      <c r="J42" s="718" t="s">
        <v>429</v>
      </c>
      <c r="K42" s="558"/>
      <c r="L42" s="622"/>
      <c r="M42" s="715"/>
      <c r="T42" s="624">
        <f>IF(U42=0,I45,0)</f>
        <v>0.0351633852280655</v>
      </c>
      <c r="U42" s="625">
        <v>0</v>
      </c>
      <c r="V42" s="641"/>
      <c r="W42" s="555"/>
      <c r="X42" s="555"/>
      <c r="Y42" s="555"/>
      <c r="Z42" s="555"/>
      <c r="AA42" s="555"/>
    </row>
    <row r="43" ht="15" outlineLevel="2" spans="1:27">
      <c r="A43" s="566"/>
      <c r="B43" s="690" t="s">
        <v>405</v>
      </c>
      <c r="C43" s="691" t="s">
        <v>368</v>
      </c>
      <c r="D43" s="692"/>
      <c r="E43" s="691" t="s">
        <v>345</v>
      </c>
      <c r="F43" s="692"/>
      <c r="G43" s="691" t="s">
        <v>430</v>
      </c>
      <c r="H43" s="692"/>
      <c r="I43" s="691" t="s">
        <v>431</v>
      </c>
      <c r="J43" s="692"/>
      <c r="K43" s="558"/>
      <c r="L43" s="717" t="s">
        <v>432</v>
      </c>
      <c r="M43" s="715">
        <v>1</v>
      </c>
      <c r="N43" s="624">
        <f>IF(O43=0,C47,0)</f>
        <v>0</v>
      </c>
      <c r="O43" s="625">
        <v>0.6486</v>
      </c>
      <c r="P43" s="624">
        <f>IF(Q43=0,E47,0)</f>
        <v>0</v>
      </c>
      <c r="Q43" s="625">
        <v>0.5883</v>
      </c>
      <c r="R43" s="624">
        <f>IF(S43=0,G47,0)</f>
        <v>0</v>
      </c>
      <c r="S43" s="625">
        <v>-0.0277</v>
      </c>
      <c r="T43" s="624">
        <f>IF(U43=0,I47,0)</f>
        <v>0.0314406873697471</v>
      </c>
      <c r="U43" s="625">
        <v>0</v>
      </c>
      <c r="V43" s="641"/>
      <c r="W43" s="555"/>
      <c r="X43" s="555"/>
      <c r="Y43" s="555"/>
      <c r="Z43" s="555"/>
      <c r="AA43" s="655"/>
    </row>
    <row r="44" ht="15" outlineLevel="2" spans="1:27">
      <c r="A44" s="566"/>
      <c r="B44" s="686"/>
      <c r="C44" s="685">
        <f>迭代模型!$W$26</f>
        <v>0.376654455581491</v>
      </c>
      <c r="D44" s="572"/>
      <c r="E44" s="685">
        <f>迭代模型!$X$26</f>
        <v>0.46429509817383</v>
      </c>
      <c r="F44" s="572"/>
      <c r="G44" s="687">
        <f>迭代模型!$Y$26</f>
        <v>-0.0584168731696329</v>
      </c>
      <c r="H44" s="576"/>
      <c r="I44" s="687">
        <f>迭代模型!$Z$26</f>
        <v>0.0314406873697471</v>
      </c>
      <c r="J44" s="718" t="s">
        <v>427</v>
      </c>
      <c r="K44" s="558"/>
      <c r="L44" s="622"/>
      <c r="M44" s="715"/>
      <c r="T44" s="624">
        <f>IF(U44=0,I48,0)</f>
        <v>0.0351633852280655</v>
      </c>
      <c r="U44" s="625">
        <v>0</v>
      </c>
      <c r="V44" s="641"/>
      <c r="AA44" s="655"/>
    </row>
    <row r="45" ht="15" outlineLevel="2" spans="1:27">
      <c r="A45" s="566"/>
      <c r="B45" s="688"/>
      <c r="C45" s="689"/>
      <c r="D45" s="689"/>
      <c r="E45" s="689"/>
      <c r="F45" s="689"/>
      <c r="G45" s="689"/>
      <c r="H45" s="689"/>
      <c r="I45" s="687">
        <f>迭代模型!$Z$28</f>
        <v>0.0351633852280655</v>
      </c>
      <c r="J45" s="718" t="s">
        <v>429</v>
      </c>
      <c r="K45" s="558"/>
      <c r="L45" s="717" t="s">
        <v>433</v>
      </c>
      <c r="M45" s="715">
        <v>14</v>
      </c>
      <c r="N45" s="624">
        <f>IF(O45=0,C50,0)</f>
        <v>0</v>
      </c>
      <c r="O45" s="625">
        <v>0.3158</v>
      </c>
      <c r="P45" s="624">
        <f>IF(Q45=0,E50,0)</f>
        <v>0</v>
      </c>
      <c r="Q45" s="625">
        <v>0.6406</v>
      </c>
      <c r="R45" s="624">
        <f>IF(S45=0,G50,0)</f>
        <v>0</v>
      </c>
      <c r="S45" s="625">
        <v>-0.584</v>
      </c>
      <c r="T45" s="624">
        <f>IF(U45=0,I50,0)</f>
        <v>0.0314406873697471</v>
      </c>
      <c r="U45" s="625">
        <v>0</v>
      </c>
      <c r="V45" s="641"/>
      <c r="AA45" s="555"/>
    </row>
    <row r="46" ht="15" outlineLevel="2" spans="1:27">
      <c r="A46" s="566"/>
      <c r="B46" s="693" t="s">
        <v>406</v>
      </c>
      <c r="C46" s="694" t="s">
        <v>369</v>
      </c>
      <c r="D46" s="694"/>
      <c r="E46" s="694" t="s">
        <v>346</v>
      </c>
      <c r="F46" s="694"/>
      <c r="G46" s="691" t="s">
        <v>434</v>
      </c>
      <c r="H46" s="692"/>
      <c r="I46" s="694" t="s">
        <v>435</v>
      </c>
      <c r="J46" s="694"/>
      <c r="K46" s="558"/>
      <c r="L46" s="622"/>
      <c r="M46" s="715"/>
      <c r="T46" s="624">
        <f>IF(U46=0,I51,0)</f>
        <v>0.0351633852280655</v>
      </c>
      <c r="U46" s="625">
        <v>0</v>
      </c>
      <c r="V46" s="641"/>
      <c r="AA46" s="555"/>
    </row>
    <row r="47" ht="15" outlineLevel="2" spans="1:27">
      <c r="A47" s="558"/>
      <c r="B47" s="695"/>
      <c r="C47" s="685">
        <f>迭代模型!$W$26</f>
        <v>0.376654455581491</v>
      </c>
      <c r="D47" s="572"/>
      <c r="E47" s="685">
        <f>迭代模型!$X$26</f>
        <v>0.46429509817383</v>
      </c>
      <c r="F47" s="572"/>
      <c r="G47" s="687">
        <f>迭代模型!$Y$26</f>
        <v>-0.0584168731696329</v>
      </c>
      <c r="H47" s="576"/>
      <c r="I47" s="687">
        <f>迭代模型!$Z$26</f>
        <v>0.0314406873697471</v>
      </c>
      <c r="J47" s="718" t="s">
        <v>427</v>
      </c>
      <c r="K47" s="633"/>
      <c r="L47" s="719" t="s">
        <v>398</v>
      </c>
      <c r="M47" s="715">
        <v>12</v>
      </c>
      <c r="N47" s="624">
        <f>IF(O47=0,C53,0)</f>
        <v>0</v>
      </c>
      <c r="O47" s="625">
        <v>0.0247</v>
      </c>
      <c r="P47" s="624">
        <f>IF(Q47=0,E53,0)</f>
        <v>0</v>
      </c>
      <c r="Q47" s="716">
        <v>0.0606</v>
      </c>
      <c r="R47" s="624">
        <f>IF(S47=0,G53,0)</f>
        <v>0</v>
      </c>
      <c r="S47" s="625">
        <v>-0.0422</v>
      </c>
      <c r="T47" s="728"/>
      <c r="U47" s="728"/>
      <c r="V47" s="649"/>
      <c r="AA47" s="555"/>
    </row>
    <row r="48" ht="15" outlineLevel="2" spans="1:27">
      <c r="A48" s="558"/>
      <c r="B48" s="696"/>
      <c r="C48" s="697"/>
      <c r="D48" s="593"/>
      <c r="E48" s="698"/>
      <c r="F48" s="699"/>
      <c r="G48" s="700"/>
      <c r="H48" s="579"/>
      <c r="I48" s="687">
        <f>迭代模型!$Z$28</f>
        <v>0.0351633852280655</v>
      </c>
      <c r="J48" s="718" t="s">
        <v>429</v>
      </c>
      <c r="K48" s="558"/>
      <c r="V48" s="650"/>
      <c r="AA48" s="555"/>
    </row>
    <row r="49" ht="15" outlineLevel="2" spans="1:27">
      <c r="A49" s="558"/>
      <c r="B49" s="693" t="s">
        <v>407</v>
      </c>
      <c r="C49" s="694" t="s">
        <v>370</v>
      </c>
      <c r="D49" s="694"/>
      <c r="E49" s="694" t="s">
        <v>347</v>
      </c>
      <c r="F49" s="694"/>
      <c r="G49" s="691" t="s">
        <v>436</v>
      </c>
      <c r="H49" s="692"/>
      <c r="I49" s="694" t="s">
        <v>437</v>
      </c>
      <c r="J49" s="694"/>
      <c r="K49" s="558"/>
      <c r="V49" s="650"/>
      <c r="AA49" s="555"/>
    </row>
    <row r="50" ht="15" outlineLevel="2" spans="1:27">
      <c r="A50" s="558"/>
      <c r="B50" s="696"/>
      <c r="C50" s="685">
        <f>迭代模型!$W$26</f>
        <v>0.376654455581491</v>
      </c>
      <c r="D50" s="593"/>
      <c r="E50" s="685">
        <f>迭代模型!$X$26</f>
        <v>0.46429509817383</v>
      </c>
      <c r="F50" s="699"/>
      <c r="G50" s="701">
        <f>迭代模型!$Y$26</f>
        <v>-0.0584168731696329</v>
      </c>
      <c r="H50" s="579"/>
      <c r="I50" s="687">
        <f>迭代模型!$Z$26</f>
        <v>0.0314406873697471</v>
      </c>
      <c r="J50" s="718" t="s">
        <v>427</v>
      </c>
      <c r="K50" s="558"/>
      <c r="V50" s="650"/>
      <c r="AA50" s="555"/>
    </row>
    <row r="51" ht="15" outlineLevel="2" spans="1:27">
      <c r="A51" s="558"/>
      <c r="B51" s="696"/>
      <c r="C51" s="697"/>
      <c r="D51" s="593"/>
      <c r="E51" s="698"/>
      <c r="F51" s="699"/>
      <c r="G51" s="698"/>
      <c r="H51" s="579"/>
      <c r="I51" s="687">
        <f>迭代模型!$Z$28</f>
        <v>0.0351633852280655</v>
      </c>
      <c r="J51" s="718" t="s">
        <v>429</v>
      </c>
      <c r="K51" s="558"/>
      <c r="V51" s="650"/>
      <c r="AA51" s="555"/>
    </row>
    <row r="52" ht="29.25" outlineLevel="2" spans="1:27">
      <c r="A52" s="558"/>
      <c r="B52" s="702" t="s">
        <v>398</v>
      </c>
      <c r="C52" s="703" t="s">
        <v>314</v>
      </c>
      <c r="D52" s="703"/>
      <c r="E52" s="704" t="s">
        <v>348</v>
      </c>
      <c r="F52" s="705"/>
      <c r="G52" s="706" t="s">
        <v>420</v>
      </c>
      <c r="H52" s="707"/>
      <c r="I52" s="720" t="s">
        <v>222</v>
      </c>
      <c r="J52" s="703"/>
      <c r="K52" s="635"/>
      <c r="V52" s="650"/>
      <c r="AA52" s="555"/>
    </row>
    <row r="53" ht="15" outlineLevel="2" spans="1:11">
      <c r="A53" s="555"/>
      <c r="B53" s="559"/>
      <c r="C53" s="571">
        <v>0.0236</v>
      </c>
      <c r="D53" s="572">
        <v>0.0111</v>
      </c>
      <c r="E53" s="571">
        <v>0.0253</v>
      </c>
      <c r="F53" s="572">
        <v>0.0177</v>
      </c>
      <c r="G53" s="571">
        <v>-0.22895</v>
      </c>
      <c r="H53" s="572">
        <v>0.234577</v>
      </c>
      <c r="I53" s="685"/>
      <c r="J53" s="572"/>
      <c r="K53" s="637"/>
    </row>
    <row r="54" ht="15" outlineLevel="2" spans="1:11">
      <c r="A54" s="555"/>
      <c r="B54" s="559"/>
      <c r="C54" s="685"/>
      <c r="D54" s="576"/>
      <c r="E54" s="685"/>
      <c r="F54" s="576"/>
      <c r="G54" s="685"/>
      <c r="H54" s="576"/>
      <c r="I54" s="685"/>
      <c r="J54" s="576"/>
      <c r="K54" s="639"/>
    </row>
    <row r="55" ht="15" outlineLevel="2" spans="1:26">
      <c r="A55" s="555"/>
      <c r="B55" s="597" t="s">
        <v>438</v>
      </c>
      <c r="C55" s="598" t="s">
        <v>439</v>
      </c>
      <c r="D55" s="599" t="s">
        <v>440</v>
      </c>
      <c r="E55" s="600" t="s">
        <v>439</v>
      </c>
      <c r="F55" s="599" t="s">
        <v>441</v>
      </c>
      <c r="G55" s="708" t="s">
        <v>439</v>
      </c>
      <c r="H55" s="602" t="s">
        <v>442</v>
      </c>
      <c r="I55" s="599"/>
      <c r="J55" s="721"/>
      <c r="K55" s="639"/>
      <c r="W55" s="555"/>
      <c r="X55" s="555"/>
      <c r="Y55" s="555"/>
      <c r="Z55" s="555"/>
    </row>
    <row r="56" ht="14.25" outlineLevel="2" spans="1:26">
      <c r="A56" s="555"/>
      <c r="K56" s="637"/>
      <c r="W56" s="555"/>
      <c r="X56" s="555"/>
      <c r="Y56" s="555"/>
      <c r="Z56" s="555"/>
    </row>
    <row r="57" ht="14.25" outlineLevel="2" spans="1:26">
      <c r="A57" s="555"/>
      <c r="K57" s="637"/>
      <c r="W57" s="555"/>
      <c r="X57" s="555"/>
      <c r="Y57" s="555"/>
      <c r="Z57" s="555"/>
    </row>
    <row r="58" ht="14.25" outlineLevel="2" spans="1:26">
      <c r="A58" s="555"/>
      <c r="K58" s="637"/>
      <c r="L58" s="722"/>
      <c r="M58" s="722"/>
      <c r="N58" s="722"/>
      <c r="O58" s="722"/>
      <c r="P58" s="722"/>
      <c r="Q58" s="722"/>
      <c r="R58" s="722"/>
      <c r="W58" s="555"/>
      <c r="X58" s="555"/>
      <c r="Y58" s="555"/>
      <c r="Z58" s="555"/>
    </row>
    <row r="59" ht="14.25" outlineLevel="2" spans="1:26">
      <c r="A59" s="555"/>
      <c r="K59" s="637"/>
      <c r="L59" s="723"/>
      <c r="M59" s="723"/>
      <c r="N59" s="723"/>
      <c r="O59" s="723"/>
      <c r="P59" s="723"/>
      <c r="Q59" s="723"/>
      <c r="R59" s="723"/>
      <c r="W59" s="555"/>
      <c r="X59" s="555"/>
      <c r="Y59" s="555"/>
      <c r="Z59" s="555"/>
    </row>
    <row r="60" ht="14.25" spans="1:27">
      <c r="A60" s="555"/>
      <c r="K60" s="637"/>
      <c r="L60" s="723"/>
      <c r="M60" s="723"/>
      <c r="N60" s="723"/>
      <c r="O60" s="723"/>
      <c r="P60" s="723"/>
      <c r="Q60" s="723"/>
      <c r="R60" s="723"/>
      <c r="V60" s="637"/>
      <c r="W60" s="555"/>
      <c r="X60" s="555"/>
      <c r="Y60" s="555"/>
      <c r="Z60" s="555"/>
      <c r="AA60" s="555"/>
    </row>
    <row r="61" ht="14.25" outlineLevel="1" spans="1:27">
      <c r="A61" s="555"/>
      <c r="K61" s="637"/>
      <c r="L61" s="723"/>
      <c r="M61" s="723"/>
      <c r="N61" s="723"/>
      <c r="O61" s="723"/>
      <c r="P61" s="723"/>
      <c r="Q61" s="723"/>
      <c r="R61" s="723"/>
      <c r="V61" s="637"/>
      <c r="W61" s="555"/>
      <c r="X61" s="555"/>
      <c r="Y61" s="555"/>
      <c r="Z61" s="555"/>
      <c r="AA61" s="555"/>
    </row>
    <row r="62" ht="14.25" outlineLevel="1" spans="1:27">
      <c r="A62" s="555"/>
      <c r="K62" s="637"/>
      <c r="L62" s="723"/>
      <c r="M62" s="723"/>
      <c r="N62" s="723"/>
      <c r="O62" s="723"/>
      <c r="P62" s="723"/>
      <c r="Q62" s="723"/>
      <c r="R62" s="723"/>
      <c r="V62" s="637"/>
      <c r="W62" s="555"/>
      <c r="X62" s="555"/>
      <c r="Y62" s="555"/>
      <c r="Z62" s="555"/>
      <c r="AA62" s="555"/>
    </row>
    <row r="63" ht="14.25" outlineLevel="1" spans="1:27">
      <c r="A63" s="555"/>
      <c r="K63" s="637"/>
      <c r="L63" s="723"/>
      <c r="M63" s="723"/>
      <c r="N63" s="723"/>
      <c r="O63" s="723"/>
      <c r="P63" s="723"/>
      <c r="Q63" s="723"/>
      <c r="R63" s="723"/>
      <c r="V63" s="637"/>
      <c r="W63" s="555"/>
      <c r="X63" s="555"/>
      <c r="Y63" s="555"/>
      <c r="Z63" s="555"/>
      <c r="AA63" s="555"/>
    </row>
    <row r="64" ht="14.25" outlineLevel="1" spans="1:27">
      <c r="A64" s="555"/>
      <c r="K64" s="637"/>
      <c r="L64" s="723"/>
      <c r="M64" s="723"/>
      <c r="N64" s="723"/>
      <c r="O64" s="723"/>
      <c r="P64" s="723"/>
      <c r="Q64" s="723"/>
      <c r="R64" s="723"/>
      <c r="V64" s="637"/>
      <c r="W64" s="555"/>
      <c r="X64" s="555"/>
      <c r="Y64" s="555"/>
      <c r="Z64" s="555"/>
      <c r="AA64" s="555"/>
    </row>
    <row r="65" ht="14.25" outlineLevel="1" spans="1:27">
      <c r="A65" s="555"/>
      <c r="K65" s="637"/>
      <c r="L65" s="723"/>
      <c r="M65" s="723"/>
      <c r="N65" s="723"/>
      <c r="O65" s="723"/>
      <c r="P65" s="723"/>
      <c r="Q65" s="723"/>
      <c r="R65" s="723"/>
      <c r="V65" s="637"/>
      <c r="W65" s="555"/>
      <c r="X65" s="555"/>
      <c r="Y65" s="555"/>
      <c r="Z65" s="555"/>
      <c r="AA65" s="555"/>
    </row>
    <row r="66" ht="14.25" outlineLevel="1" spans="1:27">
      <c r="A66" s="555"/>
      <c r="K66" s="637"/>
      <c r="L66" s="723"/>
      <c r="M66" s="723"/>
      <c r="N66" s="723"/>
      <c r="O66" s="723"/>
      <c r="P66" s="723"/>
      <c r="Q66" s="723"/>
      <c r="R66" s="723"/>
      <c r="V66" s="637"/>
      <c r="W66" s="555"/>
      <c r="X66" s="555"/>
      <c r="Y66" s="555"/>
      <c r="Z66" s="555"/>
      <c r="AA66" s="555"/>
    </row>
    <row r="67" ht="14.25" outlineLevel="1" spans="1:27">
      <c r="A67" s="555"/>
      <c r="K67" s="637"/>
      <c r="L67" s="723"/>
      <c r="M67" s="723"/>
      <c r="N67" s="723"/>
      <c r="O67" s="723"/>
      <c r="P67" s="723"/>
      <c r="Q67" s="723"/>
      <c r="R67" s="723"/>
      <c r="V67" s="637"/>
      <c r="W67" s="555"/>
      <c r="X67" s="555"/>
      <c r="Y67" s="555"/>
      <c r="Z67" s="555"/>
      <c r="AA67" s="555"/>
    </row>
    <row r="68" ht="14.25" outlineLevel="1" spans="1:27">
      <c r="A68" s="555"/>
      <c r="K68" s="637"/>
      <c r="V68" s="637"/>
      <c r="W68" s="555"/>
      <c r="X68" s="555"/>
      <c r="Y68" s="555"/>
      <c r="Z68" s="555"/>
      <c r="AA68" s="555"/>
    </row>
    <row r="69" ht="14.25" outlineLevel="1" spans="1:27">
      <c r="A69" s="555"/>
      <c r="K69" s="637"/>
      <c r="V69" s="637"/>
      <c r="W69" s="555"/>
      <c r="X69" s="555"/>
      <c r="Y69" s="555"/>
      <c r="Z69" s="555"/>
      <c r="AA69" s="555"/>
    </row>
    <row r="70" ht="14.25" outlineLevel="1" spans="1:27">
      <c r="A70" s="555"/>
      <c r="K70" s="637"/>
      <c r="V70" s="637"/>
      <c r="W70" s="555"/>
      <c r="X70" s="555"/>
      <c r="Y70" s="555"/>
      <c r="Z70" s="555"/>
      <c r="AA70" s="555"/>
    </row>
    <row r="71" ht="14.25" outlineLevel="1" spans="1:27">
      <c r="A71" s="555"/>
      <c r="K71" s="637"/>
      <c r="V71" s="637"/>
      <c r="W71" s="555"/>
      <c r="X71" s="555"/>
      <c r="Y71" s="555"/>
      <c r="Z71" s="555"/>
      <c r="AA71" s="555"/>
    </row>
    <row r="72" ht="14.25" outlineLevel="1" spans="1:27">
      <c r="A72" s="555"/>
      <c r="K72" s="637"/>
      <c r="V72" s="637"/>
      <c r="W72" s="555"/>
      <c r="X72" s="555"/>
      <c r="Y72" s="555"/>
      <c r="Z72" s="555"/>
      <c r="AA72" s="555"/>
    </row>
    <row r="73" ht="14.25" outlineLevel="1" spans="1:27">
      <c r="A73" s="555"/>
      <c r="K73" s="637"/>
      <c r="V73" s="637"/>
      <c r="W73" s="555"/>
      <c r="X73" s="555"/>
      <c r="Y73" s="555"/>
      <c r="Z73" s="555"/>
      <c r="AA73" s="555"/>
    </row>
    <row r="74" ht="14.25" outlineLevel="1" spans="1:27">
      <c r="A74" s="555"/>
      <c r="K74" s="637"/>
      <c r="V74" s="637"/>
      <c r="W74" s="555"/>
      <c r="X74" s="555"/>
      <c r="Y74" s="555"/>
      <c r="Z74" s="555"/>
      <c r="AA74" s="555"/>
    </row>
    <row r="75" ht="14.25" outlineLevel="1" spans="1:27">
      <c r="A75" s="555"/>
      <c r="K75" s="637"/>
      <c r="V75" s="637"/>
      <c r="W75" s="555"/>
      <c r="X75" s="555"/>
      <c r="Y75" s="555"/>
      <c r="Z75" s="555"/>
      <c r="AA75" s="555"/>
    </row>
    <row r="76" ht="14.25" outlineLevel="1" spans="1:27">
      <c r="A76" s="555"/>
      <c r="K76" s="637"/>
      <c r="V76" s="637"/>
      <c r="W76" s="555"/>
      <c r="X76" s="555"/>
      <c r="Y76" s="555"/>
      <c r="Z76" s="555"/>
      <c r="AA76" s="555"/>
    </row>
    <row r="77" ht="14.25" spans="1:27">
      <c r="A77" s="555"/>
      <c r="K77" s="637"/>
      <c r="V77" s="637"/>
      <c r="W77" s="555"/>
      <c r="X77" s="555"/>
      <c r="Y77" s="555"/>
      <c r="Z77" s="555"/>
      <c r="AA77" s="555"/>
    </row>
    <row r="78" ht="14.25" outlineLevel="1" spans="1:27">
      <c r="A78" s="555"/>
      <c r="K78" s="637"/>
      <c r="V78" s="637"/>
      <c r="W78" s="555"/>
      <c r="X78" s="555"/>
      <c r="Y78" s="555"/>
      <c r="Z78" s="555"/>
      <c r="AA78" s="555"/>
    </row>
    <row r="79" ht="14.25" outlineLevel="1" spans="1:27">
      <c r="A79" s="555"/>
      <c r="K79" s="637"/>
      <c r="V79" s="637"/>
      <c r="W79" s="555"/>
      <c r="X79" s="555"/>
      <c r="Y79" s="555"/>
      <c r="Z79" s="555"/>
      <c r="AA79" s="555"/>
    </row>
    <row r="80" ht="14.25" outlineLevel="1" spans="1:27">
      <c r="A80" s="555"/>
      <c r="K80" s="637"/>
      <c r="V80" s="637"/>
      <c r="W80" s="555"/>
      <c r="X80" s="555"/>
      <c r="Y80" s="555"/>
      <c r="Z80" s="555"/>
      <c r="AA80" s="555"/>
    </row>
    <row r="81" ht="14.25" outlineLevel="1" spans="1:27">
      <c r="A81" s="555"/>
      <c r="K81" s="637"/>
      <c r="V81" s="637"/>
      <c r="W81" s="555"/>
      <c r="X81" s="555"/>
      <c r="Y81" s="555"/>
      <c r="Z81" s="555"/>
      <c r="AA81" s="555"/>
    </row>
    <row r="82" ht="14.25" outlineLevel="1" spans="1:27">
      <c r="A82" s="555"/>
      <c r="K82" s="637"/>
      <c r="V82" s="637"/>
      <c r="W82" s="555"/>
      <c r="X82" s="555"/>
      <c r="Y82" s="555"/>
      <c r="Z82" s="555"/>
      <c r="AA82" s="555"/>
    </row>
    <row r="83" ht="14.25" outlineLevel="1" spans="1:27">
      <c r="A83" s="555"/>
      <c r="K83" s="637"/>
      <c r="V83" s="637"/>
      <c r="W83" s="555"/>
      <c r="X83" s="555"/>
      <c r="Y83" s="555"/>
      <c r="Z83" s="555"/>
      <c r="AA83" s="555"/>
    </row>
    <row r="84" ht="14.25" outlineLevel="1" spans="1:27">
      <c r="A84" s="555"/>
      <c r="K84" s="637"/>
      <c r="V84" s="637"/>
      <c r="W84" s="555"/>
      <c r="X84" s="555"/>
      <c r="Y84" s="555"/>
      <c r="Z84" s="555"/>
      <c r="AA84" s="555"/>
    </row>
    <row r="85" ht="14.25" outlineLevel="1" spans="1:27">
      <c r="A85" s="555"/>
      <c r="K85" s="637"/>
      <c r="V85" s="637"/>
      <c r="W85" s="555"/>
      <c r="X85" s="555"/>
      <c r="Y85" s="555"/>
      <c r="Z85" s="555"/>
      <c r="AA85" s="555"/>
    </row>
    <row r="86" ht="14.25" outlineLevel="1" spans="1:27">
      <c r="A86" s="555"/>
      <c r="K86" s="637"/>
      <c r="V86" s="637"/>
      <c r="W86" s="555"/>
      <c r="X86" s="555"/>
      <c r="Y86" s="555"/>
      <c r="Z86" s="555"/>
      <c r="AA86" s="555"/>
    </row>
    <row r="87" ht="14.25" outlineLevel="1" spans="1:27">
      <c r="A87" s="555"/>
      <c r="K87" s="637"/>
      <c r="V87" s="637"/>
      <c r="W87" s="555"/>
      <c r="X87" s="555"/>
      <c r="Y87" s="555"/>
      <c r="Z87" s="555"/>
      <c r="AA87" s="555"/>
    </row>
    <row r="88" ht="14.25" outlineLevel="1" spans="1:27">
      <c r="A88" s="555"/>
      <c r="K88" s="637"/>
      <c r="V88" s="637"/>
      <c r="W88" s="555"/>
      <c r="X88" s="555"/>
      <c r="Y88" s="555"/>
      <c r="Z88" s="555"/>
      <c r="AA88" s="555"/>
    </row>
    <row r="89" ht="14.25" outlineLevel="1" spans="1:27">
      <c r="A89" s="555"/>
      <c r="K89" s="637"/>
      <c r="V89" s="637"/>
      <c r="W89" s="555"/>
      <c r="X89" s="555"/>
      <c r="Y89" s="555"/>
      <c r="Z89" s="555"/>
      <c r="AA89" s="555"/>
    </row>
    <row r="90" ht="14.25" outlineLevel="1" spans="1:27">
      <c r="A90" s="555"/>
      <c r="K90" s="637"/>
      <c r="V90" s="637"/>
      <c r="W90" s="555"/>
      <c r="X90" s="555"/>
      <c r="Y90" s="555"/>
      <c r="Z90" s="555"/>
      <c r="AA90" s="555"/>
    </row>
    <row r="91" ht="14.25" outlineLevel="1" spans="1:27">
      <c r="A91" s="555"/>
      <c r="K91" s="637"/>
      <c r="V91" s="637"/>
      <c r="W91" s="555"/>
      <c r="X91" s="555"/>
      <c r="Y91" s="555"/>
      <c r="Z91" s="555"/>
      <c r="AA91" s="555"/>
    </row>
    <row r="92" ht="14.25" outlineLevel="1" spans="1:27">
      <c r="A92" s="555"/>
      <c r="K92" s="637"/>
      <c r="V92" s="637"/>
      <c r="W92" s="555"/>
      <c r="X92" s="555"/>
      <c r="Y92" s="555"/>
      <c r="Z92" s="555"/>
      <c r="AA92" s="555"/>
    </row>
    <row r="93" ht="14.25" outlineLevel="1" spans="1:27">
      <c r="A93" s="555"/>
      <c r="K93" s="637"/>
      <c r="V93" s="637"/>
      <c r="W93" s="555"/>
      <c r="X93" s="555"/>
      <c r="Y93" s="555"/>
      <c r="Z93" s="555"/>
      <c r="AA93" s="555"/>
    </row>
    <row r="94" ht="14.25" outlineLevel="1" spans="1:27">
      <c r="A94" s="555"/>
      <c r="K94" s="637"/>
      <c r="V94" s="637"/>
      <c r="AA94" s="555"/>
    </row>
    <row r="95" ht="14.25" spans="1:27">
      <c r="A95" s="555"/>
      <c r="K95" s="637"/>
      <c r="V95" s="637"/>
      <c r="AA95" s="555"/>
    </row>
    <row r="96" ht="14.25" spans="1:27">
      <c r="A96" s="555"/>
      <c r="K96" s="637"/>
      <c r="V96" s="637"/>
      <c r="AA96" s="555"/>
    </row>
    <row r="97" ht="14.25" spans="1:27">
      <c r="A97" s="555"/>
      <c r="K97" s="637"/>
      <c r="V97" s="637"/>
      <c r="AA97" s="555"/>
    </row>
    <row r="98" ht="14.25" spans="1:27">
      <c r="A98" s="555"/>
      <c r="K98" s="637"/>
      <c r="V98" s="637"/>
      <c r="AA98" s="555"/>
    </row>
    <row r="99" ht="17.25" customHeight="1"/>
  </sheetData>
  <protectedRanges>
    <protectedRange password="CC3D" sqref="I42:J42 C41:J41 C36:J37 C53:J54 C44:I44 I45 J44:J45 C47:J48 C50:J51" name="区域1_2_1" securityDescriptor=""/>
  </protectedRanges>
  <mergeCells count="58">
    <mergeCell ref="A3:AD3"/>
    <mergeCell ref="A7:AC7"/>
    <mergeCell ref="A11:AC11"/>
    <mergeCell ref="A15:AC15"/>
    <mergeCell ref="C19:H19"/>
    <mergeCell ref="C22:H22"/>
    <mergeCell ref="C25:H25"/>
    <mergeCell ref="C28:H28"/>
    <mergeCell ref="E33:J33"/>
    <mergeCell ref="N33:U33"/>
    <mergeCell ref="W33:Z33"/>
    <mergeCell ref="B34:J34"/>
    <mergeCell ref="C35:D35"/>
    <mergeCell ref="E35:F35"/>
    <mergeCell ref="G35:H35"/>
    <mergeCell ref="I35:J35"/>
    <mergeCell ref="L35:U35"/>
    <mergeCell ref="W35:Z35"/>
    <mergeCell ref="N36:O36"/>
    <mergeCell ref="P36:Q36"/>
    <mergeCell ref="R36:S36"/>
    <mergeCell ref="T36:U36"/>
    <mergeCell ref="C40:D40"/>
    <mergeCell ref="E40:F40"/>
    <mergeCell ref="G40:H40"/>
    <mergeCell ref="I40:J40"/>
    <mergeCell ref="C43:D43"/>
    <mergeCell ref="E43:F43"/>
    <mergeCell ref="G43:H43"/>
    <mergeCell ref="I43:J43"/>
    <mergeCell ref="C46:D46"/>
    <mergeCell ref="E46:F46"/>
    <mergeCell ref="G46:H46"/>
    <mergeCell ref="I46:J46"/>
    <mergeCell ref="C49:D49"/>
    <mergeCell ref="E49:F49"/>
    <mergeCell ref="G49:H49"/>
    <mergeCell ref="I49:J49"/>
    <mergeCell ref="C52:D52"/>
    <mergeCell ref="E52:F52"/>
    <mergeCell ref="G52:H52"/>
    <mergeCell ref="I52:J52"/>
    <mergeCell ref="A34:A52"/>
    <mergeCell ref="B39:B40"/>
    <mergeCell ref="B41:B42"/>
    <mergeCell ref="B44:B45"/>
    <mergeCell ref="I19:I20"/>
    <mergeCell ref="I21:I30"/>
    <mergeCell ref="K34:K47"/>
    <mergeCell ref="K54:K55"/>
    <mergeCell ref="L36:L37"/>
    <mergeCell ref="M36:M37"/>
    <mergeCell ref="A21:B30"/>
    <mergeCell ref="A4:AD6"/>
    <mergeCell ref="A8:AC10"/>
    <mergeCell ref="A12:AC14"/>
    <mergeCell ref="A16:AC18"/>
    <mergeCell ref="A19:B20"/>
  </mergeCells>
  <conditionalFormatting sqref="N38">
    <cfRule type="cellIs" dxfId="0" priority="12" stopIfTrue="1" operator="equal">
      <formula>0</formula>
    </cfRule>
  </conditionalFormatting>
  <conditionalFormatting sqref="O38">
    <cfRule type="cellIs" dxfId="0" priority="28" stopIfTrue="1" operator="equal">
      <formula>0</formula>
    </cfRule>
  </conditionalFormatting>
  <conditionalFormatting sqref="P38">
    <cfRule type="cellIs" dxfId="0" priority="9" stopIfTrue="1" operator="equal">
      <formula>0</formula>
    </cfRule>
  </conditionalFormatting>
  <conditionalFormatting sqref="Q38">
    <cfRule type="cellIs" dxfId="0" priority="10" stopIfTrue="1" operator="equal">
      <formula>0</formula>
    </cfRule>
  </conditionalFormatting>
  <conditionalFormatting sqref="R38">
    <cfRule type="cellIs" dxfId="0" priority="22" stopIfTrue="1" operator="equal">
      <formula>0</formula>
    </cfRule>
  </conditionalFormatting>
  <conditionalFormatting sqref="N39">
    <cfRule type="cellIs" dxfId="0" priority="30" stopIfTrue="1" operator="equal">
      <formula>0</formula>
    </cfRule>
  </conditionalFormatting>
  <conditionalFormatting sqref="P39">
    <cfRule type="cellIs" dxfId="0" priority="25" stopIfTrue="1" operator="equal">
      <formula>0</formula>
    </cfRule>
  </conditionalFormatting>
  <conditionalFormatting sqref="Q39">
    <cfRule type="cellIs" dxfId="0" priority="2" stopIfTrue="1" operator="equal">
      <formula>0</formula>
    </cfRule>
  </conditionalFormatting>
  <conditionalFormatting sqref="R39">
    <cfRule type="cellIs" dxfId="0" priority="21" stopIfTrue="1" operator="equal">
      <formula>0</formula>
    </cfRule>
  </conditionalFormatting>
  <conditionalFormatting sqref="T39">
    <cfRule type="cellIs" dxfId="0" priority="18" stopIfTrue="1" operator="equal">
      <formula>0</formula>
    </cfRule>
  </conditionalFormatting>
  <conditionalFormatting sqref="T40">
    <cfRule type="cellIs" dxfId="0" priority="17" stopIfTrue="1" operator="equal">
      <formula>0</formula>
    </cfRule>
  </conditionalFormatting>
  <conditionalFormatting sqref="N41">
    <cfRule type="cellIs" dxfId="0" priority="27" stopIfTrue="1" operator="equal">
      <formula>0</formula>
    </cfRule>
  </conditionalFormatting>
  <conditionalFormatting sqref="P41">
    <cfRule type="cellIs" dxfId="0" priority="24" stopIfTrue="1" operator="equal">
      <formula>0</formula>
    </cfRule>
  </conditionalFormatting>
  <conditionalFormatting sqref="R41">
    <cfRule type="cellIs" dxfId="0" priority="20" stopIfTrue="1" operator="equal">
      <formula>0</formula>
    </cfRule>
  </conditionalFormatting>
  <conditionalFormatting sqref="T41">
    <cfRule type="cellIs" dxfId="0" priority="16" stopIfTrue="1" operator="equal">
      <formula>0</formula>
    </cfRule>
  </conditionalFormatting>
  <conditionalFormatting sqref="T42">
    <cfRule type="cellIs" dxfId="0" priority="15" stopIfTrue="1" operator="equal">
      <formula>0</formula>
    </cfRule>
  </conditionalFormatting>
  <conditionalFormatting sqref="N43">
    <cfRule type="cellIs" dxfId="0" priority="26" stopIfTrue="1" operator="equal">
      <formula>0</formula>
    </cfRule>
  </conditionalFormatting>
  <conditionalFormatting sqref="P43">
    <cfRule type="cellIs" dxfId="0" priority="23" stopIfTrue="1" operator="equal">
      <formula>0</formula>
    </cfRule>
  </conditionalFormatting>
  <conditionalFormatting sqref="R43">
    <cfRule type="cellIs" dxfId="0" priority="19" stopIfTrue="1" operator="equal">
      <formula>0</formula>
    </cfRule>
  </conditionalFormatting>
  <conditionalFormatting sqref="T43">
    <cfRule type="cellIs" dxfId="0" priority="14" stopIfTrue="1" operator="equal">
      <formula>0</formula>
    </cfRule>
  </conditionalFormatting>
  <conditionalFormatting sqref="T44">
    <cfRule type="cellIs" dxfId="0" priority="13" stopIfTrue="1" operator="equal">
      <formula>0</formula>
    </cfRule>
  </conditionalFormatting>
  <conditionalFormatting sqref="N45">
    <cfRule type="cellIs" dxfId="0" priority="7" stopIfTrue="1" operator="equal">
      <formula>0</formula>
    </cfRule>
  </conditionalFormatting>
  <conditionalFormatting sqref="P45">
    <cfRule type="cellIs" dxfId="0" priority="6" stopIfTrue="1" operator="equal">
      <formula>0</formula>
    </cfRule>
  </conditionalFormatting>
  <conditionalFormatting sqref="R45">
    <cfRule type="cellIs" dxfId="0" priority="5" stopIfTrue="1" operator="equal">
      <formula>0</formula>
    </cfRule>
  </conditionalFormatting>
  <conditionalFormatting sqref="T45">
    <cfRule type="cellIs" dxfId="0" priority="4" stopIfTrue="1" operator="equal">
      <formula>0</formula>
    </cfRule>
  </conditionalFormatting>
  <conditionalFormatting sqref="T46">
    <cfRule type="cellIs" dxfId="0" priority="3" stopIfTrue="1" operator="equal">
      <formula>0</formula>
    </cfRule>
  </conditionalFormatting>
  <conditionalFormatting sqref="N47">
    <cfRule type="cellIs" dxfId="0" priority="11" stopIfTrue="1" operator="equal">
      <formula>0</formula>
    </cfRule>
  </conditionalFormatting>
  <conditionalFormatting sqref="P47">
    <cfRule type="cellIs" dxfId="0" priority="8" stopIfTrue="1" operator="equal">
      <formula>0</formula>
    </cfRule>
  </conditionalFormatting>
  <conditionalFormatting sqref="Q47">
    <cfRule type="cellIs" dxfId="0" priority="1" stopIfTrue="1" operator="equal">
      <formula>0</formula>
    </cfRule>
  </conditionalFormatting>
  <conditionalFormatting sqref="R47">
    <cfRule type="cellIs" dxfId="0" priority="29" stopIfTrue="1" operator="equal">
      <formula>0</formula>
    </cfRule>
  </conditionalFormatting>
  <pageMargins left="0.699305555555556" right="0.699305555555556"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FFC000"/>
  </sheetPr>
  <dimension ref="A1:AD46"/>
  <sheetViews>
    <sheetView showGridLines="0" zoomScale="115" zoomScaleNormal="115" topLeftCell="G19" workbookViewId="0">
      <selection activeCell="Q33" sqref="Q33"/>
    </sheetView>
  </sheetViews>
  <sheetFormatPr defaultColWidth="9" defaultRowHeight="11.25"/>
  <cols>
    <col min="1" max="1" width="2.125" style="545" customWidth="1"/>
    <col min="2" max="2" width="12.25" style="545" customWidth="1"/>
    <col min="3" max="3" width="7.625" style="545" customWidth="1"/>
    <col min="4" max="4" width="10.75" style="545" customWidth="1"/>
    <col min="5" max="6" width="11.625" style="545" customWidth="1"/>
    <col min="7" max="7" width="14.875" style="545" customWidth="1"/>
    <col min="8" max="8" width="7.625" style="545" customWidth="1"/>
    <col min="9" max="9" width="8.5" style="545" customWidth="1"/>
    <col min="10" max="10" width="12.375" style="545" customWidth="1"/>
    <col min="11" max="11" width="9" style="545"/>
    <col min="12" max="12" width="18.5" style="545" customWidth="1"/>
    <col min="13" max="13" width="12.625" style="545" customWidth="1"/>
    <col min="14" max="22" width="9" style="545"/>
    <col min="23" max="23" width="14.375" style="545" customWidth="1"/>
    <col min="24" max="24" width="9" style="545"/>
    <col min="25" max="25" width="11.5" style="545" customWidth="1"/>
    <col min="26" max="26" width="20.25" style="545" customWidth="1"/>
    <col min="27" max="16384" width="9" style="545"/>
  </cols>
  <sheetData>
    <row r="1" ht="14.25" spans="1:30">
      <c r="A1" s="546" t="s">
        <v>389</v>
      </c>
      <c r="B1" s="547"/>
      <c r="C1" s="547"/>
      <c r="D1" s="547"/>
      <c r="E1" s="547"/>
      <c r="F1" s="547"/>
      <c r="G1" s="547"/>
      <c r="H1" s="547"/>
      <c r="I1" s="547"/>
      <c r="J1" s="547"/>
      <c r="K1" s="547"/>
      <c r="L1" s="547"/>
      <c r="M1" s="547"/>
      <c r="N1" s="547"/>
      <c r="O1" s="547"/>
      <c r="P1" s="547"/>
      <c r="Q1" s="547"/>
      <c r="R1" s="547"/>
      <c r="S1" s="547"/>
      <c r="T1" s="547"/>
      <c r="U1" s="547"/>
      <c r="V1" s="547"/>
      <c r="W1" s="547"/>
      <c r="X1" s="547"/>
      <c r="Y1" s="547"/>
      <c r="Z1" s="547"/>
      <c r="AA1" s="547"/>
      <c r="AB1" s="547"/>
      <c r="AC1" s="547"/>
      <c r="AD1" s="547"/>
    </row>
    <row r="2" ht="14.25" spans="1:30">
      <c r="A2" s="548" t="s">
        <v>390</v>
      </c>
      <c r="B2" s="548" t="s">
        <v>391</v>
      </c>
      <c r="C2" s="548"/>
      <c r="D2" s="548"/>
      <c r="E2" s="548"/>
      <c r="F2" s="548"/>
      <c r="G2" s="548"/>
      <c r="H2" s="548"/>
      <c r="I2" s="548"/>
      <c r="J2" s="548"/>
      <c r="K2" s="548"/>
      <c r="L2" s="548"/>
      <c r="M2" s="548"/>
      <c r="N2" s="548"/>
      <c r="O2" s="548"/>
      <c r="P2" s="548"/>
      <c r="Q2" s="548"/>
      <c r="R2" s="548"/>
      <c r="S2" s="548"/>
      <c r="T2" s="548"/>
      <c r="U2" s="548"/>
      <c r="V2" s="548"/>
      <c r="W2" s="548"/>
      <c r="X2" s="548"/>
      <c r="Y2" s="548"/>
      <c r="Z2" s="548"/>
      <c r="AA2" s="548"/>
      <c r="AB2" s="548"/>
      <c r="AC2" s="548"/>
      <c r="AD2" s="548"/>
    </row>
    <row r="3" ht="14.25" spans="1:30">
      <c r="A3" s="549" t="s">
        <v>443</v>
      </c>
      <c r="B3" s="550"/>
      <c r="C3" s="550"/>
      <c r="D3" s="550"/>
      <c r="E3" s="550"/>
      <c r="F3" s="550"/>
      <c r="G3" s="550"/>
      <c r="H3" s="550"/>
      <c r="I3" s="550"/>
      <c r="J3" s="550"/>
      <c r="K3" s="550"/>
      <c r="L3" s="550"/>
      <c r="M3" s="550"/>
      <c r="N3" s="550"/>
      <c r="O3" s="550"/>
      <c r="P3" s="550"/>
      <c r="Q3" s="550"/>
      <c r="R3" s="550"/>
      <c r="S3" s="550"/>
      <c r="T3" s="550"/>
      <c r="U3" s="550"/>
      <c r="V3" s="550"/>
      <c r="W3" s="550"/>
      <c r="X3" s="550"/>
      <c r="Y3" s="550"/>
      <c r="Z3" s="550"/>
      <c r="AA3" s="550"/>
      <c r="AB3" s="550"/>
      <c r="AC3" s="550"/>
      <c r="AD3" s="550"/>
    </row>
    <row r="4" spans="1:30">
      <c r="A4" s="551" t="s">
        <v>444</v>
      </c>
      <c r="B4" s="551"/>
      <c r="C4" s="551"/>
      <c r="D4" s="551"/>
      <c r="E4" s="551"/>
      <c r="F4" s="551"/>
      <c r="G4" s="551"/>
      <c r="H4" s="551"/>
      <c r="I4" s="551"/>
      <c r="J4" s="551"/>
      <c r="K4" s="551"/>
      <c r="L4" s="551"/>
      <c r="M4" s="551"/>
      <c r="N4" s="551"/>
      <c r="O4" s="551"/>
      <c r="P4" s="551"/>
      <c r="Q4" s="551"/>
      <c r="R4" s="551"/>
      <c r="S4" s="551"/>
      <c r="T4" s="551"/>
      <c r="U4" s="551"/>
      <c r="V4" s="551"/>
      <c r="W4" s="551"/>
      <c r="X4" s="551"/>
      <c r="Y4" s="551"/>
      <c r="Z4" s="551"/>
      <c r="AA4" s="551"/>
      <c r="AB4" s="551"/>
      <c r="AC4" s="551"/>
      <c r="AD4" s="551"/>
    </row>
    <row r="5" spans="1:30">
      <c r="A5" s="551"/>
      <c r="B5" s="551"/>
      <c r="C5" s="551"/>
      <c r="D5" s="551"/>
      <c r="E5" s="551"/>
      <c r="F5" s="551"/>
      <c r="G5" s="551"/>
      <c r="H5" s="551"/>
      <c r="I5" s="551"/>
      <c r="J5" s="551"/>
      <c r="K5" s="551"/>
      <c r="L5" s="551"/>
      <c r="M5" s="551"/>
      <c r="N5" s="551"/>
      <c r="O5" s="551"/>
      <c r="P5" s="551"/>
      <c r="Q5" s="551"/>
      <c r="R5" s="551"/>
      <c r="S5" s="551"/>
      <c r="T5" s="551"/>
      <c r="U5" s="551"/>
      <c r="V5" s="551"/>
      <c r="W5" s="551"/>
      <c r="X5" s="551"/>
      <c r="Y5" s="551"/>
      <c r="Z5" s="551"/>
      <c r="AA5" s="551"/>
      <c r="AB5" s="551"/>
      <c r="AC5" s="551"/>
      <c r="AD5" s="551"/>
    </row>
    <row r="6" spans="1:30">
      <c r="A6" s="551"/>
      <c r="B6" s="551"/>
      <c r="C6" s="551"/>
      <c r="D6" s="551"/>
      <c r="E6" s="551"/>
      <c r="F6" s="551"/>
      <c r="G6" s="551"/>
      <c r="H6" s="551"/>
      <c r="I6" s="551"/>
      <c r="J6" s="551"/>
      <c r="K6" s="551"/>
      <c r="L6" s="551"/>
      <c r="M6" s="551"/>
      <c r="N6" s="551"/>
      <c r="O6" s="551"/>
      <c r="P6" s="551"/>
      <c r="Q6" s="551"/>
      <c r="R6" s="551"/>
      <c r="S6" s="551"/>
      <c r="T6" s="551"/>
      <c r="U6" s="551"/>
      <c r="V6" s="551"/>
      <c r="W6" s="551"/>
      <c r="X6" s="551"/>
      <c r="Y6" s="551"/>
      <c r="Z6" s="551"/>
      <c r="AA6" s="551"/>
      <c r="AB6" s="551"/>
      <c r="AC6" s="551"/>
      <c r="AD6" s="551"/>
    </row>
    <row r="7" ht="14.25" spans="1:29">
      <c r="A7" s="549" t="s">
        <v>445</v>
      </c>
      <c r="B7" s="550"/>
      <c r="C7" s="550"/>
      <c r="D7" s="550"/>
      <c r="E7" s="550"/>
      <c r="F7" s="550"/>
      <c r="G7" s="550"/>
      <c r="H7" s="550"/>
      <c r="I7" s="550"/>
      <c r="J7" s="550"/>
      <c r="K7" s="550"/>
      <c r="L7" s="550"/>
      <c r="M7" s="550"/>
      <c r="N7" s="550"/>
      <c r="O7" s="550"/>
      <c r="P7" s="550"/>
      <c r="Q7" s="550"/>
      <c r="R7" s="550"/>
      <c r="S7" s="550"/>
      <c r="T7" s="550"/>
      <c r="U7" s="550"/>
      <c r="V7" s="550"/>
      <c r="W7" s="550"/>
      <c r="X7" s="550"/>
      <c r="Y7" s="550"/>
      <c r="Z7" s="550"/>
      <c r="AA7" s="550"/>
      <c r="AB7" s="550"/>
      <c r="AC7" s="550"/>
    </row>
    <row r="8" spans="1:29">
      <c r="A8" s="552" t="s">
        <v>446</v>
      </c>
      <c r="B8" s="552"/>
      <c r="C8" s="552"/>
      <c r="D8" s="552"/>
      <c r="E8" s="552"/>
      <c r="F8" s="552"/>
      <c r="G8" s="552"/>
      <c r="H8" s="552"/>
      <c r="I8" s="552"/>
      <c r="J8" s="552"/>
      <c r="K8" s="552"/>
      <c r="L8" s="552"/>
      <c r="M8" s="552"/>
      <c r="N8" s="552"/>
      <c r="O8" s="552"/>
      <c r="P8" s="552"/>
      <c r="Q8" s="552"/>
      <c r="R8" s="552"/>
      <c r="S8" s="552"/>
      <c r="T8" s="552"/>
      <c r="U8" s="552"/>
      <c r="V8" s="552"/>
      <c r="W8" s="552"/>
      <c r="X8" s="552"/>
      <c r="Y8" s="552"/>
      <c r="Z8" s="552"/>
      <c r="AA8" s="552"/>
      <c r="AB8" s="552"/>
      <c r="AC8" s="552"/>
    </row>
    <row r="9" spans="1:29">
      <c r="A9" s="552"/>
      <c r="B9" s="552"/>
      <c r="C9" s="552"/>
      <c r="D9" s="552"/>
      <c r="E9" s="552"/>
      <c r="F9" s="552"/>
      <c r="G9" s="552"/>
      <c r="H9" s="552"/>
      <c r="I9" s="552"/>
      <c r="J9" s="552"/>
      <c r="K9" s="552"/>
      <c r="L9" s="552"/>
      <c r="M9" s="552"/>
      <c r="N9" s="552"/>
      <c r="O9" s="552"/>
      <c r="P9" s="552"/>
      <c r="Q9" s="552"/>
      <c r="R9" s="552"/>
      <c r="S9" s="552"/>
      <c r="T9" s="552"/>
      <c r="U9" s="552"/>
      <c r="V9" s="552"/>
      <c r="W9" s="552"/>
      <c r="X9" s="552"/>
      <c r="Y9" s="552"/>
      <c r="Z9" s="552"/>
      <c r="AA9" s="552"/>
      <c r="AB9" s="552"/>
      <c r="AC9" s="552"/>
    </row>
    <row r="10" spans="1:29">
      <c r="A10" s="552"/>
      <c r="B10" s="552"/>
      <c r="C10" s="552"/>
      <c r="D10" s="552"/>
      <c r="E10" s="552"/>
      <c r="F10" s="552"/>
      <c r="G10" s="552"/>
      <c r="H10" s="552"/>
      <c r="I10" s="552"/>
      <c r="J10" s="552"/>
      <c r="K10" s="552"/>
      <c r="L10" s="552"/>
      <c r="M10" s="552"/>
      <c r="N10" s="552"/>
      <c r="O10" s="552"/>
      <c r="P10" s="552"/>
      <c r="Q10" s="552"/>
      <c r="R10" s="552"/>
      <c r="S10" s="552"/>
      <c r="T10" s="552"/>
      <c r="U10" s="552"/>
      <c r="V10" s="552"/>
      <c r="W10" s="552"/>
      <c r="X10" s="552"/>
      <c r="Y10" s="552"/>
      <c r="Z10" s="552"/>
      <c r="AA10" s="552"/>
      <c r="AB10" s="552"/>
      <c r="AC10" s="552"/>
    </row>
    <row r="11" ht="14.25" spans="1:29">
      <c r="A11" s="549" t="s">
        <v>447</v>
      </c>
      <c r="B11" s="550"/>
      <c r="C11" s="550"/>
      <c r="D11" s="550"/>
      <c r="E11" s="550"/>
      <c r="F11" s="550"/>
      <c r="G11" s="550"/>
      <c r="H11" s="550"/>
      <c r="I11" s="550"/>
      <c r="J11" s="550"/>
      <c r="K11" s="550"/>
      <c r="L11" s="550"/>
      <c r="M11" s="550"/>
      <c r="N11" s="550"/>
      <c r="O11" s="550"/>
      <c r="P11" s="550"/>
      <c r="Q11" s="550"/>
      <c r="R11" s="550"/>
      <c r="S11" s="550"/>
      <c r="T11" s="550"/>
      <c r="U11" s="550"/>
      <c r="V11" s="550"/>
      <c r="W11" s="550"/>
      <c r="X11" s="550"/>
      <c r="Y11" s="550"/>
      <c r="Z11" s="550"/>
      <c r="AA11" s="550"/>
      <c r="AB11" s="550"/>
      <c r="AC11" s="550"/>
    </row>
    <row r="12" spans="1:29">
      <c r="A12" s="552" t="s">
        <v>448</v>
      </c>
      <c r="B12" s="552"/>
      <c r="C12" s="552"/>
      <c r="D12" s="552"/>
      <c r="E12" s="552"/>
      <c r="F12" s="552"/>
      <c r="G12" s="552"/>
      <c r="H12" s="552"/>
      <c r="I12" s="552"/>
      <c r="J12" s="552"/>
      <c r="K12" s="552"/>
      <c r="L12" s="552"/>
      <c r="M12" s="552"/>
      <c r="N12" s="552"/>
      <c r="O12" s="552"/>
      <c r="P12" s="552"/>
      <c r="Q12" s="552"/>
      <c r="R12" s="552"/>
      <c r="S12" s="552"/>
      <c r="T12" s="552"/>
      <c r="U12" s="552"/>
      <c r="V12" s="552"/>
      <c r="W12" s="552"/>
      <c r="X12" s="552"/>
      <c r="Y12" s="552"/>
      <c r="Z12" s="552"/>
      <c r="AA12" s="552"/>
      <c r="AB12" s="552"/>
      <c r="AC12" s="552"/>
    </row>
    <row r="13" spans="1:29">
      <c r="A13" s="552"/>
      <c r="B13" s="552"/>
      <c r="C13" s="552"/>
      <c r="D13" s="552"/>
      <c r="E13" s="552"/>
      <c r="F13" s="552"/>
      <c r="G13" s="552"/>
      <c r="H13" s="552"/>
      <c r="I13" s="552"/>
      <c r="J13" s="552"/>
      <c r="K13" s="552"/>
      <c r="L13" s="552"/>
      <c r="M13" s="552"/>
      <c r="N13" s="552"/>
      <c r="O13" s="552"/>
      <c r="P13" s="552"/>
      <c r="Q13" s="552"/>
      <c r="R13" s="552"/>
      <c r="S13" s="552"/>
      <c r="T13" s="552"/>
      <c r="U13" s="552"/>
      <c r="V13" s="552"/>
      <c r="W13" s="552"/>
      <c r="X13" s="552"/>
      <c r="Y13" s="552"/>
      <c r="Z13" s="552"/>
      <c r="AA13" s="552"/>
      <c r="AB13" s="552"/>
      <c r="AC13" s="552"/>
    </row>
    <row r="14" ht="12.75" customHeight="1" spans="1:29">
      <c r="A14" s="552"/>
      <c r="B14" s="552"/>
      <c r="C14" s="552"/>
      <c r="D14" s="552"/>
      <c r="E14" s="552"/>
      <c r="F14" s="552"/>
      <c r="G14" s="552"/>
      <c r="H14" s="552"/>
      <c r="I14" s="552"/>
      <c r="J14" s="552"/>
      <c r="K14" s="552"/>
      <c r="L14" s="552"/>
      <c r="M14" s="552"/>
      <c r="N14" s="552"/>
      <c r="O14" s="552"/>
      <c r="P14" s="552"/>
      <c r="Q14" s="552"/>
      <c r="R14" s="552"/>
      <c r="S14" s="552"/>
      <c r="T14" s="552"/>
      <c r="U14" s="552"/>
      <c r="V14" s="552"/>
      <c r="W14" s="552"/>
      <c r="X14" s="552"/>
      <c r="Y14" s="552"/>
      <c r="Z14" s="552"/>
      <c r="AA14" s="552"/>
      <c r="AB14" s="552"/>
      <c r="AC14" s="552"/>
    </row>
    <row r="15" ht="14.25" spans="1:29">
      <c r="A15" s="549" t="s">
        <v>449</v>
      </c>
      <c r="B15" s="550"/>
      <c r="C15" s="550"/>
      <c r="D15" s="550"/>
      <c r="E15" s="550"/>
      <c r="F15" s="550"/>
      <c r="G15" s="550"/>
      <c r="H15" s="550"/>
      <c r="I15" s="550"/>
      <c r="J15" s="550"/>
      <c r="K15" s="550"/>
      <c r="L15" s="550"/>
      <c r="M15" s="550"/>
      <c r="N15" s="550"/>
      <c r="O15" s="550"/>
      <c r="P15" s="550"/>
      <c r="Q15" s="550"/>
      <c r="R15" s="550"/>
      <c r="S15" s="550"/>
      <c r="T15" s="550"/>
      <c r="U15" s="550"/>
      <c r="V15" s="550"/>
      <c r="W15" s="550"/>
      <c r="X15" s="550"/>
      <c r="Y15" s="550"/>
      <c r="Z15" s="550"/>
      <c r="AA15" s="550"/>
      <c r="AB15" s="550"/>
      <c r="AC15" s="550"/>
    </row>
    <row r="16" customHeight="1" spans="1:29">
      <c r="A16" s="553" t="s">
        <v>450</v>
      </c>
      <c r="B16" s="554"/>
      <c r="C16" s="554"/>
      <c r="D16" s="554"/>
      <c r="E16" s="554"/>
      <c r="F16" s="554"/>
      <c r="G16" s="554"/>
      <c r="H16" s="554"/>
      <c r="I16" s="554"/>
      <c r="J16" s="554"/>
      <c r="K16" s="554"/>
      <c r="L16" s="554"/>
      <c r="M16" s="554"/>
      <c r="N16" s="554"/>
      <c r="O16" s="554"/>
      <c r="P16" s="554"/>
      <c r="Q16" s="554"/>
      <c r="R16" s="554"/>
      <c r="S16" s="554"/>
      <c r="T16" s="554"/>
      <c r="U16" s="554"/>
      <c r="V16" s="554"/>
      <c r="W16" s="554"/>
      <c r="X16" s="554"/>
      <c r="Y16" s="554"/>
      <c r="Z16" s="554"/>
      <c r="AA16" s="554"/>
      <c r="AB16" s="554"/>
      <c r="AC16" s="651"/>
    </row>
    <row r="17" customHeight="1" spans="1:29">
      <c r="A17" s="549" t="s">
        <v>451</v>
      </c>
      <c r="B17" s="550"/>
      <c r="C17" s="550"/>
      <c r="D17" s="550"/>
      <c r="E17" s="550"/>
      <c r="F17" s="550"/>
      <c r="G17" s="550"/>
      <c r="H17" s="550"/>
      <c r="I17" s="550"/>
      <c r="J17" s="550"/>
      <c r="K17" s="550"/>
      <c r="L17" s="550"/>
      <c r="M17" s="550"/>
      <c r="N17" s="550"/>
      <c r="O17" s="550"/>
      <c r="P17" s="550"/>
      <c r="Q17" s="550"/>
      <c r="R17" s="550"/>
      <c r="S17" s="550"/>
      <c r="T17" s="550"/>
      <c r="U17" s="550"/>
      <c r="V17" s="550"/>
      <c r="W17" s="550"/>
      <c r="X17" s="550"/>
      <c r="Y17" s="550"/>
      <c r="Z17" s="550"/>
      <c r="AA17" s="550"/>
      <c r="AB17" s="550"/>
      <c r="AC17" s="550"/>
    </row>
    <row r="18" ht="12.75" customHeight="1" spans="1:29">
      <c r="A18" s="553" t="s">
        <v>452</v>
      </c>
      <c r="B18" s="554"/>
      <c r="C18" s="554"/>
      <c r="D18" s="554"/>
      <c r="E18" s="554"/>
      <c r="F18" s="554"/>
      <c r="G18" s="554"/>
      <c r="H18" s="554"/>
      <c r="I18" s="554"/>
      <c r="J18" s="554"/>
      <c r="K18" s="554"/>
      <c r="L18" s="554"/>
      <c r="M18" s="554"/>
      <c r="N18" s="554"/>
      <c r="O18" s="554"/>
      <c r="P18" s="554"/>
      <c r="Q18" s="554"/>
      <c r="R18" s="554"/>
      <c r="S18" s="554"/>
      <c r="T18" s="554"/>
      <c r="U18" s="554"/>
      <c r="V18" s="554"/>
      <c r="W18" s="554"/>
      <c r="X18" s="554"/>
      <c r="Y18" s="554"/>
      <c r="Z18" s="554"/>
      <c r="AA18" s="554"/>
      <c r="AB18" s="554"/>
      <c r="AC18" s="651"/>
    </row>
    <row r="20" ht="14.25" spans="1:27">
      <c r="A20" s="548" t="s">
        <v>408</v>
      </c>
      <c r="B20" s="548" t="s">
        <v>453</v>
      </c>
      <c r="C20" s="548"/>
      <c r="D20" s="548"/>
      <c r="E20" s="548"/>
      <c r="F20" s="548"/>
      <c r="G20" s="548"/>
      <c r="H20" s="548"/>
      <c r="I20" s="548"/>
      <c r="J20" s="548"/>
      <c r="K20" s="548"/>
      <c r="L20" s="548"/>
      <c r="M20" s="548"/>
      <c r="N20" s="548"/>
      <c r="O20" s="548"/>
      <c r="P20" s="548"/>
      <c r="Q20" s="548"/>
      <c r="R20" s="548"/>
      <c r="S20" s="548"/>
      <c r="T20" s="548"/>
      <c r="U20" s="548"/>
      <c r="V20" s="548"/>
      <c r="W20" s="548"/>
      <c r="X20" s="548"/>
      <c r="Y20" s="548"/>
      <c r="Z20" s="548"/>
      <c r="AA20" s="548"/>
    </row>
    <row r="21" ht="15" spans="2:27">
      <c r="B21" s="555" t="s">
        <v>410</v>
      </c>
      <c r="C21" s="555"/>
      <c r="D21" s="556"/>
      <c r="E21" s="557"/>
      <c r="F21" s="557"/>
      <c r="G21" s="557"/>
      <c r="H21" s="557"/>
      <c r="I21" s="557"/>
      <c r="J21" s="557"/>
      <c r="K21" s="555" t="s">
        <v>411</v>
      </c>
      <c r="L21" s="555"/>
      <c r="M21" s="555"/>
      <c r="N21" s="557" t="s">
        <v>412</v>
      </c>
      <c r="O21" s="557"/>
      <c r="P21" s="557"/>
      <c r="Q21" s="557"/>
      <c r="R21" s="557"/>
      <c r="S21" s="557"/>
      <c r="T21" s="557"/>
      <c r="U21" s="557"/>
      <c r="V21" s="555" t="s">
        <v>413</v>
      </c>
      <c r="W21" s="557" t="s">
        <v>414</v>
      </c>
      <c r="X21" s="557"/>
      <c r="Y21" s="557"/>
      <c r="Z21" s="557"/>
      <c r="AA21" s="555"/>
    </row>
    <row r="22" ht="15" spans="1:27">
      <c r="A22" s="558"/>
      <c r="B22" s="559" t="s">
        <v>454</v>
      </c>
      <c r="C22" s="560"/>
      <c r="D22" s="560" t="s">
        <v>455</v>
      </c>
      <c r="E22" s="560"/>
      <c r="F22" s="560"/>
      <c r="G22" s="560"/>
      <c r="H22" s="560"/>
      <c r="I22" s="560"/>
      <c r="J22" s="560"/>
      <c r="K22" s="558"/>
      <c r="L22" s="603"/>
      <c r="M22" s="604"/>
      <c r="N22" s="604"/>
      <c r="O22" s="604"/>
      <c r="P22" s="604"/>
      <c r="Q22" s="604"/>
      <c r="R22" s="604"/>
      <c r="S22" s="604"/>
      <c r="T22" s="604"/>
      <c r="U22" s="604"/>
      <c r="V22" s="641"/>
      <c r="W22" s="603"/>
      <c r="X22" s="604"/>
      <c r="Y22" s="604"/>
      <c r="Z22" s="652"/>
      <c r="AA22" s="555"/>
    </row>
    <row r="23" ht="15" outlineLevel="1" spans="1:27">
      <c r="A23" s="558"/>
      <c r="B23" s="561" t="s">
        <v>397</v>
      </c>
      <c r="C23" s="560"/>
      <c r="D23" s="560"/>
      <c r="E23" s="560"/>
      <c r="F23" s="560"/>
      <c r="G23" s="560"/>
      <c r="H23" s="560"/>
      <c r="I23" s="560"/>
      <c r="J23" s="560"/>
      <c r="K23" s="558"/>
      <c r="L23" s="603"/>
      <c r="M23" s="604"/>
      <c r="N23" s="604"/>
      <c r="O23" s="604"/>
      <c r="P23" s="604"/>
      <c r="Q23" s="604"/>
      <c r="R23" s="604"/>
      <c r="S23" s="604"/>
      <c r="T23" s="604"/>
      <c r="U23" s="604"/>
      <c r="V23" s="641"/>
      <c r="W23" s="603"/>
      <c r="X23" s="604"/>
      <c r="Y23" s="604"/>
      <c r="Z23" s="652"/>
      <c r="AA23" s="555"/>
    </row>
    <row r="24" ht="15" outlineLevel="1" spans="1:27">
      <c r="A24" s="558"/>
      <c r="B24" s="562"/>
      <c r="C24" s="563" t="s">
        <v>314</v>
      </c>
      <c r="D24" s="563"/>
      <c r="E24" s="564" t="s">
        <v>315</v>
      </c>
      <c r="F24" s="565"/>
      <c r="G24" s="564" t="s">
        <v>313</v>
      </c>
      <c r="H24" s="565"/>
      <c r="I24" s="568" t="s">
        <v>222</v>
      </c>
      <c r="J24" s="563"/>
      <c r="K24" s="558"/>
      <c r="L24" s="605" t="s">
        <v>416</v>
      </c>
      <c r="M24" s="606"/>
      <c r="N24" s="606"/>
      <c r="O24" s="606"/>
      <c r="P24" s="606"/>
      <c r="Q24" s="606"/>
      <c r="R24" s="606"/>
      <c r="S24" s="606"/>
      <c r="T24" s="606"/>
      <c r="U24" s="642"/>
      <c r="V24" s="641"/>
      <c r="W24" s="605" t="s">
        <v>417</v>
      </c>
      <c r="X24" s="606"/>
      <c r="Y24" s="606"/>
      <c r="Z24" s="642"/>
      <c r="AA24" s="555"/>
    </row>
    <row r="25" ht="15" outlineLevel="1" spans="1:27">
      <c r="A25" s="566"/>
      <c r="B25" s="567" t="s">
        <v>456</v>
      </c>
      <c r="C25" s="568" t="s">
        <v>457</v>
      </c>
      <c r="D25" s="569"/>
      <c r="E25" s="568" t="s">
        <v>458</v>
      </c>
      <c r="F25" s="569"/>
      <c r="G25" s="568" t="s">
        <v>459</v>
      </c>
      <c r="H25" s="569"/>
      <c r="I25" s="607"/>
      <c r="J25" s="608"/>
      <c r="K25" s="558"/>
      <c r="L25" s="609" t="s">
        <v>460</v>
      </c>
      <c r="M25" s="610" t="s">
        <v>419</v>
      </c>
      <c r="N25" s="611" t="s">
        <v>314</v>
      </c>
      <c r="O25" s="612"/>
      <c r="P25" s="611" t="s">
        <v>315</v>
      </c>
      <c r="Q25" s="612"/>
      <c r="R25" s="611" t="s">
        <v>313</v>
      </c>
      <c r="S25" s="612"/>
      <c r="T25" s="611" t="s">
        <v>222</v>
      </c>
      <c r="U25" s="612"/>
      <c r="V25" s="641"/>
      <c r="W25" s="643" t="s">
        <v>447</v>
      </c>
      <c r="X25" s="643" t="s">
        <v>443</v>
      </c>
      <c r="Y25" s="643" t="s">
        <v>445</v>
      </c>
      <c r="Z25" s="643" t="s">
        <v>461</v>
      </c>
      <c r="AA25" s="555"/>
    </row>
    <row r="26" ht="17.25" outlineLevel="1" spans="1:27">
      <c r="A26" s="566"/>
      <c r="B26" s="570" t="s">
        <v>462</v>
      </c>
      <c r="C26" s="571">
        <v>0.05</v>
      </c>
      <c r="D26" s="572">
        <v>0.016</v>
      </c>
      <c r="E26" s="571">
        <v>0.205</v>
      </c>
      <c r="F26" s="572">
        <v>0.0407</v>
      </c>
      <c r="G26" s="573">
        <v>0.006</v>
      </c>
      <c r="H26" s="574">
        <v>0.2</v>
      </c>
      <c r="I26" s="613"/>
      <c r="J26" s="614"/>
      <c r="K26" s="558"/>
      <c r="L26" s="615"/>
      <c r="M26" s="616"/>
      <c r="N26" s="617" t="s">
        <v>421</v>
      </c>
      <c r="O26" s="618" t="s">
        <v>422</v>
      </c>
      <c r="P26" s="619" t="s">
        <v>421</v>
      </c>
      <c r="Q26" s="644" t="s">
        <v>422</v>
      </c>
      <c r="R26" s="619" t="s">
        <v>421</v>
      </c>
      <c r="S26" s="644" t="s">
        <v>422</v>
      </c>
      <c r="T26" s="619" t="s">
        <v>421</v>
      </c>
      <c r="U26" s="644" t="s">
        <v>422</v>
      </c>
      <c r="V26" s="641"/>
      <c r="W26" s="645">
        <f>0.0568+2.53*SUM(N27:O27)+0.558*SUM(N29:O29)+0.877*SUM(N30:O30)</f>
        <v>0.376654455581491</v>
      </c>
      <c r="X26" s="645">
        <f>0.6914-0.4371*SUM(P27:Q27)-0.0939*SUM(P29:Q29)-0.1958*SUM(P30:Q30)</f>
        <v>0.46429509817383</v>
      </c>
      <c r="Y26" s="653">
        <f>SUM(R27:S27)*总模型!D21+SUM(R28:S28)*总模型!E21+SUM(R29:S29)*总模型!F21+SUM(R30:S30)*总模型!G21</f>
        <v>-0.0584168731696329</v>
      </c>
      <c r="Z26" s="653">
        <f>0.04015-0.373*SUM(T29:U29)-0.01078*(0.699+0.01928*SUM(T31:U31)-2.262*SUM(T30:U30))</f>
        <v>0.0314406873697471</v>
      </c>
      <c r="AA26" s="555"/>
    </row>
    <row r="27" ht="17.25" outlineLevel="1" spans="1:27">
      <c r="A27" s="566"/>
      <c r="B27" s="570" t="s">
        <v>463</v>
      </c>
      <c r="C27" s="575">
        <v>0.048</v>
      </c>
      <c r="D27" s="576">
        <v>0.016</v>
      </c>
      <c r="E27" s="575">
        <v>0.193</v>
      </c>
      <c r="F27" s="576">
        <v>0.063</v>
      </c>
      <c r="G27" s="573">
        <v>0</v>
      </c>
      <c r="H27" s="574">
        <v>0.3998</v>
      </c>
      <c r="I27" s="620"/>
      <c r="J27" s="621"/>
      <c r="K27" s="558"/>
      <c r="L27" s="622" t="s">
        <v>464</v>
      </c>
      <c r="M27" s="623">
        <v>3</v>
      </c>
      <c r="N27" s="624">
        <f>IF(O27=0,INDEX(C26:C28,$M$27),0)</f>
        <v>0</v>
      </c>
      <c r="O27" s="625">
        <f>3/工作量分布!K191</f>
        <v>0.0411918165591103</v>
      </c>
      <c r="P27" s="624">
        <f>IF(Q27=0,INDEX(E26:E28,$M$27),0)</f>
        <v>0</v>
      </c>
      <c r="Q27" s="625">
        <f>工作量分布!D190/工作量分布!K191</f>
        <v>0.130440752437182</v>
      </c>
      <c r="R27" s="624">
        <f>IF(S27=0,INDEX(G26:G28,$M$27),0)</f>
        <v>0</v>
      </c>
      <c r="S27" s="625">
        <f>工作量分布!C193</f>
        <v>0.311349049644638</v>
      </c>
      <c r="T27" s="624" t="s">
        <v>178</v>
      </c>
      <c r="U27" s="625" t="s">
        <v>178</v>
      </c>
      <c r="V27" s="641"/>
      <c r="W27" s="646"/>
      <c r="X27" s="646"/>
      <c r="Y27" s="654"/>
      <c r="Z27" s="643" t="s">
        <v>465</v>
      </c>
      <c r="AA27" s="655"/>
    </row>
    <row r="28" ht="17.25" outlineLevel="1" spans="1:27">
      <c r="A28" s="566"/>
      <c r="B28" s="577" t="s">
        <v>466</v>
      </c>
      <c r="C28" s="578">
        <v>0.0341</v>
      </c>
      <c r="D28" s="579">
        <v>0.01</v>
      </c>
      <c r="E28" s="578">
        <v>0.132</v>
      </c>
      <c r="F28" s="579">
        <v>0.04</v>
      </c>
      <c r="G28" s="573">
        <v>0</v>
      </c>
      <c r="H28" s="574">
        <v>0.3</v>
      </c>
      <c r="I28" s="626"/>
      <c r="J28" s="627"/>
      <c r="K28" s="558"/>
      <c r="L28" s="628" t="s">
        <v>467</v>
      </c>
      <c r="M28" s="623">
        <v>3</v>
      </c>
      <c r="N28" s="624" t="s">
        <v>178</v>
      </c>
      <c r="O28" s="625"/>
      <c r="P28" s="624" t="s">
        <v>178</v>
      </c>
      <c r="Q28" s="625"/>
      <c r="R28" s="624">
        <f>IF(S28=0,INDEX(G30:G32,$M$28),0)</f>
        <v>0</v>
      </c>
      <c r="S28" s="625">
        <f>工作量分布!E193</f>
        <v>-0.213190570213217</v>
      </c>
      <c r="T28" s="624" t="s">
        <v>178</v>
      </c>
      <c r="U28" s="625" t="s">
        <v>178</v>
      </c>
      <c r="V28" s="641"/>
      <c r="W28" s="647"/>
      <c r="X28" s="647"/>
      <c r="Y28" s="656"/>
      <c r="Z28" s="653">
        <f>0.04015-0.373*SUM(T29:U29)-0.01078*(0.699+0.01928*SUM(T32:U32)-2.262*SUM(T30:U30))</f>
        <v>0.0351633852280655</v>
      </c>
      <c r="AA28" s="655"/>
    </row>
    <row r="29" ht="15" outlineLevel="1" spans="1:27">
      <c r="A29" s="566"/>
      <c r="B29" s="580" t="s">
        <v>468</v>
      </c>
      <c r="C29" s="568" t="s">
        <v>469</v>
      </c>
      <c r="D29" s="569"/>
      <c r="E29" s="568" t="s">
        <v>470</v>
      </c>
      <c r="F29" s="569"/>
      <c r="G29" s="568" t="s">
        <v>471</v>
      </c>
      <c r="H29" s="569"/>
      <c r="I29" s="629"/>
      <c r="J29" s="630"/>
      <c r="K29" s="558"/>
      <c r="L29" s="628" t="s">
        <v>472</v>
      </c>
      <c r="M29" s="623">
        <v>1</v>
      </c>
      <c r="N29" s="624">
        <f>IF(O29=0,INDEX(C34:C35,$M$29),0)</f>
        <v>0</v>
      </c>
      <c r="O29" s="625">
        <f>14/工作量分布!K191</f>
        <v>0.192228477275848</v>
      </c>
      <c r="P29" s="624">
        <f>IF(S29=0,INDEX(G34:G35,$M$29),0)</f>
        <v>0</v>
      </c>
      <c r="Q29" s="625">
        <f>工作量分布!H190/工作量分布!K191</f>
        <v>0.828985308252094</v>
      </c>
      <c r="R29" s="624">
        <f>IF(S29=0,INDEX(G34:G35,$M$29),0)</f>
        <v>0</v>
      </c>
      <c r="S29" s="625">
        <f>工作量分布!G193</f>
        <v>-0.0383882728061333</v>
      </c>
      <c r="T29" s="624">
        <f>IF(U29=0,I34,0)</f>
        <v>0</v>
      </c>
      <c r="U29" s="625">
        <f>过程产出缺陷度量!L559</f>
        <v>0.00321027287319422</v>
      </c>
      <c r="V29" s="641"/>
      <c r="W29" s="555"/>
      <c r="X29" s="555"/>
      <c r="Y29" s="555"/>
      <c r="Z29" s="555"/>
      <c r="AA29" s="555"/>
    </row>
    <row r="30" ht="17.25" outlineLevel="1" spans="1:27">
      <c r="A30" s="566"/>
      <c r="B30" s="570" t="s">
        <v>473</v>
      </c>
      <c r="C30" s="581"/>
      <c r="D30" s="572"/>
      <c r="E30" s="571"/>
      <c r="F30" s="572"/>
      <c r="G30" s="582">
        <v>-0.05064</v>
      </c>
      <c r="H30" s="576">
        <v>0.125391</v>
      </c>
      <c r="I30" s="631"/>
      <c r="J30" s="572"/>
      <c r="K30" s="558"/>
      <c r="L30" s="628" t="s">
        <v>474</v>
      </c>
      <c r="M30" s="623">
        <v>1</v>
      </c>
      <c r="N30" s="624">
        <f>IF(O30=0,INDEX(C37:C38,$M$30),0)</f>
        <v>0</v>
      </c>
      <c r="O30" s="625">
        <f>9/工作量分布!K191</f>
        <v>0.123575449677331</v>
      </c>
      <c r="P30" s="624">
        <f>IF(Q30=0,INDEX(E37:E38,$M$30),0)</f>
        <v>0</v>
      </c>
      <c r="Q30" s="625">
        <f>工作量分布!J190/工作量分布!K191</f>
        <v>0.471131401894824</v>
      </c>
      <c r="R30" s="624">
        <f>IF(S30=0,INDEX(G37:G38,$M$30),0)</f>
        <v>0</v>
      </c>
      <c r="S30" s="648">
        <f>工作量分布!I193</f>
        <v>-0.111927678961875</v>
      </c>
      <c r="T30" s="624">
        <f>IF(U30=0,G42,0)</f>
        <v>0</v>
      </c>
      <c r="U30" s="625">
        <f>过程产出缺陷度量!L584</f>
        <v>0.219689688315255</v>
      </c>
      <c r="V30" s="641"/>
      <c r="W30" s="555"/>
      <c r="X30" s="555"/>
      <c r="Y30" s="555"/>
      <c r="Z30" s="555"/>
      <c r="AA30" s="555"/>
    </row>
    <row r="31" ht="17.25" outlineLevel="1" spans="1:27">
      <c r="A31" s="558"/>
      <c r="B31" s="570" t="s">
        <v>475</v>
      </c>
      <c r="C31" s="581"/>
      <c r="D31" s="572"/>
      <c r="E31" s="571"/>
      <c r="F31" s="572"/>
      <c r="G31" s="582">
        <v>-0.076</v>
      </c>
      <c r="H31" s="576">
        <v>0.250195</v>
      </c>
      <c r="I31" s="588"/>
      <c r="J31" s="632"/>
      <c r="K31" s="633"/>
      <c r="T31" s="624">
        <f>IF(U31=0,INDEX(I42:I43,$M$30),0)</f>
        <v>0</v>
      </c>
      <c r="U31" s="625">
        <f>过程产出缺陷度量!E612</f>
        <v>25.6625017163257</v>
      </c>
      <c r="V31" s="649"/>
      <c r="W31" s="555"/>
      <c r="X31" s="555"/>
      <c r="Y31" s="555"/>
      <c r="Z31" s="555"/>
      <c r="AA31" s="555"/>
    </row>
    <row r="32" ht="17.25" outlineLevel="1" spans="1:27">
      <c r="A32" s="558"/>
      <c r="B32" s="570" t="s">
        <v>476</v>
      </c>
      <c r="C32" s="583"/>
      <c r="D32" s="576"/>
      <c r="E32" s="575"/>
      <c r="F32" s="576"/>
      <c r="G32" s="582">
        <v>-0.0936</v>
      </c>
      <c r="H32" s="576">
        <v>0.270552</v>
      </c>
      <c r="I32" s="634"/>
      <c r="J32" s="576"/>
      <c r="K32" s="635"/>
      <c r="T32" s="624">
        <f>IF(U32=0,INDEX(I44:I45,$M$30),0)</f>
        <v>7.751</v>
      </c>
      <c r="U32" s="625">
        <v>0</v>
      </c>
      <c r="V32" s="650"/>
      <c r="W32" s="555"/>
      <c r="X32" s="555"/>
      <c r="Y32" s="555"/>
      <c r="Z32" s="555"/>
      <c r="AA32" s="555"/>
    </row>
    <row r="33" ht="14.25" outlineLevel="1" spans="1:11">
      <c r="A33" s="555"/>
      <c r="B33" s="580" t="s">
        <v>460</v>
      </c>
      <c r="C33" s="564" t="s">
        <v>477</v>
      </c>
      <c r="D33" s="565"/>
      <c r="E33" s="564"/>
      <c r="F33" s="565"/>
      <c r="G33" s="564" t="s">
        <v>478</v>
      </c>
      <c r="H33" s="565"/>
      <c r="I33" s="636" t="s">
        <v>479</v>
      </c>
      <c r="J33" s="565"/>
      <c r="K33" s="637"/>
    </row>
    <row r="34" ht="17.25" outlineLevel="1" spans="1:11">
      <c r="A34" s="555"/>
      <c r="B34" s="584" t="s">
        <v>480</v>
      </c>
      <c r="C34" s="571">
        <v>0.269</v>
      </c>
      <c r="D34" s="572">
        <v>0.0896</v>
      </c>
      <c r="E34" s="581"/>
      <c r="F34" s="572"/>
      <c r="G34" s="582">
        <v>0</v>
      </c>
      <c r="H34" s="576">
        <v>0.21</v>
      </c>
      <c r="I34" s="638">
        <v>0.011</v>
      </c>
      <c r="J34" s="576">
        <v>0.0034</v>
      </c>
      <c r="K34" s="639"/>
    </row>
    <row r="35" ht="17.25" outlineLevel="1" spans="1:11">
      <c r="A35" s="555"/>
      <c r="B35" s="570" t="s">
        <v>481</v>
      </c>
      <c r="C35" s="575">
        <v>0.2187</v>
      </c>
      <c r="D35" s="576">
        <v>0.0729</v>
      </c>
      <c r="E35" s="583"/>
      <c r="F35" s="576"/>
      <c r="G35" s="582">
        <v>0</v>
      </c>
      <c r="H35" s="576">
        <v>0.250009899736433</v>
      </c>
      <c r="I35" s="634"/>
      <c r="J35" s="576"/>
      <c r="K35" s="639"/>
    </row>
    <row r="36" ht="15" outlineLevel="1" spans="1:11">
      <c r="A36" s="555"/>
      <c r="B36" s="580" t="s">
        <v>482</v>
      </c>
      <c r="C36" s="564" t="s">
        <v>483</v>
      </c>
      <c r="D36" s="565"/>
      <c r="E36" s="564" t="s">
        <v>484</v>
      </c>
      <c r="F36" s="565"/>
      <c r="G36" s="564" t="s">
        <v>485</v>
      </c>
      <c r="H36" s="565"/>
      <c r="I36" s="636" t="s">
        <v>486</v>
      </c>
      <c r="J36" s="565"/>
      <c r="K36" s="637"/>
    </row>
    <row r="37" ht="17.25" outlineLevel="1" spans="1:11">
      <c r="A37" s="555"/>
      <c r="B37" s="585" t="s">
        <v>487</v>
      </c>
      <c r="C37" s="571">
        <v>0.2412</v>
      </c>
      <c r="D37" s="572">
        <v>0.0803</v>
      </c>
      <c r="E37" s="571">
        <v>0.75</v>
      </c>
      <c r="F37" s="572">
        <v>0.25</v>
      </c>
      <c r="G37" s="573">
        <v>0.33</v>
      </c>
      <c r="H37" s="576">
        <v>0.2725</v>
      </c>
      <c r="I37" s="586">
        <f>0.699+0.01928*I42-2.262*$G$42</f>
        <v>0.77481712</v>
      </c>
      <c r="J37" s="632"/>
      <c r="K37" s="637"/>
    </row>
    <row r="38" ht="17.25" outlineLevel="1" spans="1:11">
      <c r="A38" s="555"/>
      <c r="B38" s="585" t="s">
        <v>488</v>
      </c>
      <c r="C38" s="575">
        <v>0.2019</v>
      </c>
      <c r="D38" s="576">
        <v>0.067</v>
      </c>
      <c r="E38" s="575">
        <v>0.748</v>
      </c>
      <c r="F38" s="576">
        <v>0.248</v>
      </c>
      <c r="G38" s="573">
        <v>0.25</v>
      </c>
      <c r="H38" s="576">
        <v>0.365969851117007</v>
      </c>
      <c r="I38" s="586">
        <f>0.699+0.01928*I43-2.262*$G$42</f>
        <v>0.72920064</v>
      </c>
      <c r="J38" s="576"/>
      <c r="K38" s="637"/>
    </row>
    <row r="39" ht="17.25" outlineLevel="1" spans="1:11">
      <c r="A39" s="555"/>
      <c r="B39" s="585" t="s">
        <v>487</v>
      </c>
      <c r="C39" s="586"/>
      <c r="D39" s="587"/>
      <c r="E39" s="588"/>
      <c r="F39" s="587"/>
      <c r="G39" s="589"/>
      <c r="H39" s="587"/>
      <c r="I39" s="586">
        <f>0.699+0.01928*I44-2.262*$G$42</f>
        <v>0.73398208</v>
      </c>
      <c r="J39" s="587"/>
      <c r="K39" s="637"/>
    </row>
    <row r="40" ht="15" outlineLevel="1" spans="1:27">
      <c r="A40" s="555"/>
      <c r="B40" s="585" t="s">
        <v>488</v>
      </c>
      <c r="C40" s="590"/>
      <c r="D40" s="591"/>
      <c r="E40" s="592"/>
      <c r="F40" s="591"/>
      <c r="G40" s="592"/>
      <c r="H40" s="591"/>
      <c r="I40" s="586">
        <f>0.699+0.01928*I45-2.262*$G$42</f>
        <v>0.66906632</v>
      </c>
      <c r="J40" s="591"/>
      <c r="K40" s="637"/>
      <c r="V40" s="637"/>
      <c r="W40" s="555"/>
      <c r="X40" s="555"/>
      <c r="Y40" s="555"/>
      <c r="Z40" s="555"/>
      <c r="AA40" s="555"/>
    </row>
    <row r="41" ht="15" outlineLevel="1" spans="1:27">
      <c r="A41" s="555"/>
      <c r="B41" s="580" t="s">
        <v>489</v>
      </c>
      <c r="C41" s="578"/>
      <c r="D41" s="593"/>
      <c r="E41" s="594"/>
      <c r="F41" s="593"/>
      <c r="G41" s="564" t="s">
        <v>236</v>
      </c>
      <c r="H41" s="565"/>
      <c r="I41" s="564" t="s">
        <v>490</v>
      </c>
      <c r="J41" s="565"/>
      <c r="K41" s="637"/>
      <c r="V41" s="637"/>
      <c r="W41" s="555"/>
      <c r="X41" s="555"/>
      <c r="Y41" s="555"/>
      <c r="Z41" s="555"/>
      <c r="AA41" s="555"/>
    </row>
    <row r="42" ht="15" outlineLevel="1" spans="1:27">
      <c r="A42" s="555"/>
      <c r="B42" s="595"/>
      <c r="C42" s="578"/>
      <c r="D42" s="593"/>
      <c r="E42" s="594"/>
      <c r="F42" s="593"/>
      <c r="G42" s="590">
        <v>0.0506</v>
      </c>
      <c r="H42" s="591">
        <v>0.0168</v>
      </c>
      <c r="I42" s="590">
        <v>9.869</v>
      </c>
      <c r="J42" s="591">
        <v>3.289</v>
      </c>
      <c r="K42" s="637"/>
      <c r="V42" s="637"/>
      <c r="W42" s="555"/>
      <c r="X42" s="555"/>
      <c r="Y42" s="555"/>
      <c r="Z42" s="555"/>
      <c r="AA42" s="555"/>
    </row>
    <row r="43" ht="15" outlineLevel="1" spans="1:27">
      <c r="A43" s="555"/>
      <c r="B43" s="595"/>
      <c r="C43" s="578"/>
      <c r="D43" s="593"/>
      <c r="E43" s="594"/>
      <c r="F43" s="593"/>
      <c r="G43" s="596"/>
      <c r="H43" s="591"/>
      <c r="I43" s="590">
        <v>7.503</v>
      </c>
      <c r="J43" s="591">
        <v>2.501</v>
      </c>
      <c r="K43" s="637"/>
      <c r="V43" s="637"/>
      <c r="W43" s="555"/>
      <c r="X43" s="555"/>
      <c r="Y43" s="555"/>
      <c r="Z43" s="555"/>
      <c r="AA43" s="555"/>
    </row>
    <row r="44" ht="15" outlineLevel="1" spans="1:27">
      <c r="A44" s="555"/>
      <c r="B44" s="595"/>
      <c r="C44" s="578"/>
      <c r="D44" s="593"/>
      <c r="E44" s="594"/>
      <c r="F44" s="593"/>
      <c r="G44" s="596"/>
      <c r="H44" s="591"/>
      <c r="I44" s="590">
        <v>7.751</v>
      </c>
      <c r="J44" s="591">
        <v>2.5836</v>
      </c>
      <c r="K44" s="637"/>
      <c r="V44" s="637"/>
      <c r="W44" s="555"/>
      <c r="X44" s="555"/>
      <c r="Y44" s="555"/>
      <c r="Z44" s="555"/>
      <c r="AA44" s="555"/>
    </row>
    <row r="45" ht="15" outlineLevel="1" spans="1:27">
      <c r="A45" s="555"/>
      <c r="B45" s="595"/>
      <c r="C45" s="578"/>
      <c r="D45" s="593"/>
      <c r="E45" s="594"/>
      <c r="F45" s="593"/>
      <c r="G45" s="596"/>
      <c r="H45" s="591"/>
      <c r="I45" s="590">
        <v>4.384</v>
      </c>
      <c r="J45" s="591">
        <v>1.4613</v>
      </c>
      <c r="K45" s="637"/>
      <c r="V45" s="637"/>
      <c r="W45" s="555"/>
      <c r="X45" s="555"/>
      <c r="Y45" s="555"/>
      <c r="Z45" s="555"/>
      <c r="AA45" s="555"/>
    </row>
    <row r="46" ht="15" spans="1:27">
      <c r="A46" s="555"/>
      <c r="B46" s="597"/>
      <c r="C46" s="598"/>
      <c r="D46" s="599"/>
      <c r="E46" s="600"/>
      <c r="F46" s="599"/>
      <c r="G46" s="601"/>
      <c r="H46" s="602"/>
      <c r="I46" s="599"/>
      <c r="J46" s="640"/>
      <c r="K46" s="637"/>
      <c r="V46" s="637"/>
      <c r="W46" s="555"/>
      <c r="X46" s="555"/>
      <c r="Y46" s="555"/>
      <c r="Z46" s="555"/>
      <c r="AA46" s="555"/>
    </row>
  </sheetData>
  <mergeCells count="46">
    <mergeCell ref="A3:AD3"/>
    <mergeCell ref="A7:AC7"/>
    <mergeCell ref="A11:AC11"/>
    <mergeCell ref="A15:AC15"/>
    <mergeCell ref="A16:AC16"/>
    <mergeCell ref="A17:AC17"/>
    <mergeCell ref="A18:AC18"/>
    <mergeCell ref="E21:J21"/>
    <mergeCell ref="N21:U21"/>
    <mergeCell ref="W21:Z21"/>
    <mergeCell ref="C24:D24"/>
    <mergeCell ref="E24:F24"/>
    <mergeCell ref="G24:H24"/>
    <mergeCell ref="I24:J24"/>
    <mergeCell ref="L24:U24"/>
    <mergeCell ref="W24:Z24"/>
    <mergeCell ref="C25:D25"/>
    <mergeCell ref="E25:F25"/>
    <mergeCell ref="G25:H25"/>
    <mergeCell ref="N25:O25"/>
    <mergeCell ref="P25:Q25"/>
    <mergeCell ref="R25:S25"/>
    <mergeCell ref="T25:U25"/>
    <mergeCell ref="C29:D29"/>
    <mergeCell ref="E29:F29"/>
    <mergeCell ref="G29:H29"/>
    <mergeCell ref="I29:J29"/>
    <mergeCell ref="C33:D33"/>
    <mergeCell ref="E33:F33"/>
    <mergeCell ref="G33:H33"/>
    <mergeCell ref="I33:J33"/>
    <mergeCell ref="C36:D36"/>
    <mergeCell ref="E36:F36"/>
    <mergeCell ref="G36:H36"/>
    <mergeCell ref="I36:J36"/>
    <mergeCell ref="G41:H41"/>
    <mergeCell ref="I41:J41"/>
    <mergeCell ref="A22:A32"/>
    <mergeCell ref="B23:B24"/>
    <mergeCell ref="K22:K31"/>
    <mergeCell ref="K34:K35"/>
    <mergeCell ref="L25:L26"/>
    <mergeCell ref="M25:M26"/>
    <mergeCell ref="A4:AD6"/>
    <mergeCell ref="A8:AC10"/>
    <mergeCell ref="A12:AC14"/>
  </mergeCells>
  <conditionalFormatting sqref="N27">
    <cfRule type="cellIs" dxfId="0" priority="6" stopIfTrue="1" operator="equal">
      <formula>0</formula>
    </cfRule>
  </conditionalFormatting>
  <conditionalFormatting sqref="P27">
    <cfRule type="cellIs" dxfId="0" priority="4" stopIfTrue="1" operator="equal">
      <formula>0</formula>
    </cfRule>
  </conditionalFormatting>
  <conditionalFormatting sqref="R27">
    <cfRule type="cellIs" dxfId="0" priority="3" stopIfTrue="1" operator="equal">
      <formula>0</formula>
    </cfRule>
  </conditionalFormatting>
  <conditionalFormatting sqref="N28">
    <cfRule type="cellIs" dxfId="0" priority="5" stopIfTrue="1" operator="equal">
      <formula>0</formula>
    </cfRule>
  </conditionalFormatting>
  <conditionalFormatting sqref="T32">
    <cfRule type="cellIs" dxfId="0" priority="1" stopIfTrue="1" operator="equal">
      <formula>0</formula>
    </cfRule>
  </conditionalFormatting>
  <conditionalFormatting sqref="T29:T31">
    <cfRule type="cellIs" dxfId="0" priority="2" stopIfTrue="1" operator="equal">
      <formula>0</formula>
    </cfRule>
  </conditionalFormatting>
  <conditionalFormatting sqref="N29:N30 R28:R30 P28:P30 T27:T28">
    <cfRule type="cellIs" dxfId="0" priority="7" stopIfTrue="1" operator="equal">
      <formula>0</formula>
    </cfRule>
  </conditionalFormatting>
  <pageMargins left="0.699305555555556" right="0.699305555555556"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7"/>
    <outlinePr summaryBelow="0"/>
  </sheetPr>
  <dimension ref="A1:U109"/>
  <sheetViews>
    <sheetView showGridLines="0" topLeftCell="A88" workbookViewId="0">
      <selection activeCell="I93" sqref="I93"/>
    </sheetView>
  </sheetViews>
  <sheetFormatPr defaultColWidth="9" defaultRowHeight="12"/>
  <cols>
    <col min="1" max="1" width="9" style="47"/>
    <col min="2" max="2" width="12.25" style="47" customWidth="1"/>
    <col min="3" max="3" width="8.375" style="47" customWidth="1"/>
    <col min="4" max="5" width="9.375" style="47" customWidth="1"/>
    <col min="6" max="6" width="9" style="47" customWidth="1"/>
    <col min="7" max="7" width="10.125" style="47" customWidth="1"/>
    <col min="8" max="9" width="11.375" style="47" customWidth="1"/>
    <col min="10" max="10" width="11" style="47" customWidth="1"/>
    <col min="11" max="11" width="11.25" style="47" customWidth="1"/>
    <col min="12" max="16384" width="9" style="47"/>
  </cols>
  <sheetData>
    <row r="1" customHeight="1" spans="1:21">
      <c r="A1" s="493" t="s">
        <v>491</v>
      </c>
      <c r="B1" s="493"/>
      <c r="C1" s="493"/>
      <c r="D1" s="493"/>
      <c r="E1" s="493"/>
      <c r="F1" s="493"/>
      <c r="G1" s="493"/>
      <c r="H1" s="493"/>
      <c r="I1" s="493"/>
      <c r="J1" s="493"/>
      <c r="K1" s="529"/>
      <c r="L1" s="530" t="s">
        <v>492</v>
      </c>
      <c r="M1" s="530"/>
      <c r="N1" s="530"/>
      <c r="O1" s="530"/>
      <c r="P1" s="530"/>
      <c r="Q1" s="530"/>
      <c r="R1" s="530"/>
      <c r="S1" s="530"/>
      <c r="T1" s="530"/>
      <c r="U1" s="530"/>
    </row>
    <row r="2" customHeight="1" spans="1:21">
      <c r="A2" s="494"/>
      <c r="B2" s="494"/>
      <c r="C2" s="494"/>
      <c r="D2" s="494"/>
      <c r="E2" s="494"/>
      <c r="F2" s="494"/>
      <c r="G2" s="494"/>
      <c r="H2" s="494"/>
      <c r="I2" s="494"/>
      <c r="J2" s="494"/>
      <c r="K2" s="531"/>
      <c r="L2" s="530"/>
      <c r="M2" s="530"/>
      <c r="N2" s="530"/>
      <c r="O2" s="530"/>
      <c r="P2" s="530"/>
      <c r="Q2" s="530"/>
      <c r="R2" s="530"/>
      <c r="S2" s="530"/>
      <c r="T2" s="530"/>
      <c r="U2" s="530"/>
    </row>
    <row r="3" ht="20.25" spans="1:21">
      <c r="A3" s="494"/>
      <c r="B3" s="494"/>
      <c r="C3" s="494"/>
      <c r="D3" s="494"/>
      <c r="E3" s="494"/>
      <c r="F3" s="494"/>
      <c r="G3" s="494"/>
      <c r="H3" s="494"/>
      <c r="I3" s="494"/>
      <c r="J3" s="494"/>
      <c r="K3" s="531"/>
      <c r="L3" s="530"/>
      <c r="M3" s="530"/>
      <c r="N3" s="530"/>
      <c r="O3" s="530"/>
      <c r="P3" s="530"/>
      <c r="Q3" s="530"/>
      <c r="R3" s="530"/>
      <c r="S3" s="530"/>
      <c r="T3" s="530"/>
      <c r="U3" s="530"/>
    </row>
    <row r="4" ht="11.25" customHeight="1" spans="1:21">
      <c r="A4" s="494"/>
      <c r="B4" s="494"/>
      <c r="C4" s="494"/>
      <c r="D4" s="494"/>
      <c r="E4" s="494"/>
      <c r="F4" s="494"/>
      <c r="G4" s="494"/>
      <c r="H4" s="494"/>
      <c r="I4" s="494"/>
      <c r="J4" s="494"/>
      <c r="K4" s="532"/>
      <c r="L4" s="530"/>
      <c r="M4" s="530"/>
      <c r="N4" s="530"/>
      <c r="O4" s="530"/>
      <c r="P4" s="530"/>
      <c r="Q4" s="530"/>
      <c r="R4" s="530"/>
      <c r="S4" s="530"/>
      <c r="T4" s="530"/>
      <c r="U4" s="530"/>
    </row>
    <row r="5" ht="11.25" customHeight="1" spans="1:21">
      <c r="A5" s="494"/>
      <c r="B5" s="494"/>
      <c r="C5" s="494"/>
      <c r="D5" s="494"/>
      <c r="E5" s="494"/>
      <c r="F5" s="494"/>
      <c r="G5" s="494"/>
      <c r="H5" s="494"/>
      <c r="I5" s="494"/>
      <c r="J5" s="494"/>
      <c r="K5" s="532"/>
      <c r="L5" s="530"/>
      <c r="M5" s="530"/>
      <c r="N5" s="530"/>
      <c r="O5" s="530"/>
      <c r="P5" s="530"/>
      <c r="Q5" s="530"/>
      <c r="R5" s="530"/>
      <c r="S5" s="530"/>
      <c r="T5" s="530"/>
      <c r="U5" s="530"/>
    </row>
    <row r="6" ht="11.25" customHeight="1" spans="1:21">
      <c r="A6" s="494"/>
      <c r="B6" s="494"/>
      <c r="C6" s="494"/>
      <c r="D6" s="494"/>
      <c r="E6" s="494"/>
      <c r="F6" s="494"/>
      <c r="G6" s="494"/>
      <c r="H6" s="494"/>
      <c r="I6" s="494"/>
      <c r="J6" s="494"/>
      <c r="K6" s="532"/>
      <c r="L6" s="530"/>
      <c r="M6" s="530"/>
      <c r="N6" s="530"/>
      <c r="O6" s="530"/>
      <c r="P6" s="530"/>
      <c r="Q6" s="530"/>
      <c r="R6" s="530"/>
      <c r="S6" s="530"/>
      <c r="T6" s="530"/>
      <c r="U6" s="530"/>
    </row>
    <row r="7" ht="11.25" customHeight="1" spans="1:21">
      <c r="A7" s="494"/>
      <c r="B7" s="494"/>
      <c r="C7" s="494"/>
      <c r="D7" s="494"/>
      <c r="E7" s="494"/>
      <c r="F7" s="494"/>
      <c r="G7" s="494"/>
      <c r="H7" s="494"/>
      <c r="I7" s="494"/>
      <c r="J7" s="494"/>
      <c r="K7" s="532"/>
      <c r="L7" s="530"/>
      <c r="M7" s="530"/>
      <c r="N7" s="530"/>
      <c r="O7" s="530"/>
      <c r="P7" s="530"/>
      <c r="Q7" s="530"/>
      <c r="R7" s="530"/>
      <c r="S7" s="530"/>
      <c r="T7" s="530"/>
      <c r="U7" s="530"/>
    </row>
    <row r="8" ht="11.25" customHeight="1" spans="1:21">
      <c r="A8" s="494"/>
      <c r="B8" s="494"/>
      <c r="C8" s="494"/>
      <c r="D8" s="494"/>
      <c r="E8" s="494"/>
      <c r="F8" s="494"/>
      <c r="G8" s="494"/>
      <c r="H8" s="494"/>
      <c r="I8" s="494"/>
      <c r="J8" s="494"/>
      <c r="K8" s="532"/>
      <c r="L8" s="530"/>
      <c r="M8" s="530"/>
      <c r="N8" s="530"/>
      <c r="O8" s="530"/>
      <c r="P8" s="530"/>
      <c r="Q8" s="530"/>
      <c r="R8" s="530"/>
      <c r="S8" s="530"/>
      <c r="T8" s="530"/>
      <c r="U8" s="530"/>
    </row>
    <row r="9" ht="11.25" customHeight="1" spans="1:21">
      <c r="A9" s="494"/>
      <c r="B9" s="494"/>
      <c r="C9" s="494"/>
      <c r="D9" s="494"/>
      <c r="E9" s="494"/>
      <c r="F9" s="494"/>
      <c r="G9" s="494"/>
      <c r="H9" s="494"/>
      <c r="I9" s="494"/>
      <c r="J9" s="494"/>
      <c r="K9" s="532"/>
      <c r="L9" s="530"/>
      <c r="M9" s="530"/>
      <c r="N9" s="530"/>
      <c r="O9" s="530"/>
      <c r="P9" s="530"/>
      <c r="Q9" s="530"/>
      <c r="R9" s="530"/>
      <c r="S9" s="530"/>
      <c r="T9" s="530"/>
      <c r="U9" s="530"/>
    </row>
    <row r="10" s="46" customFormat="1" ht="21.75" customHeight="1" spans="1:21">
      <c r="A10" s="495" t="s">
        <v>397</v>
      </c>
      <c r="B10" s="496"/>
      <c r="C10" s="496"/>
      <c r="D10" s="496"/>
      <c r="E10" s="496"/>
      <c r="F10" s="496"/>
      <c r="G10" s="496"/>
      <c r="H10" s="496"/>
      <c r="I10" s="496"/>
      <c r="J10" s="533"/>
      <c r="K10" s="534"/>
      <c r="L10" s="535"/>
      <c r="M10" s="535"/>
      <c r="N10" s="535"/>
      <c r="O10" s="535"/>
      <c r="P10" s="535"/>
      <c r="Q10" s="535"/>
      <c r="R10" s="535"/>
      <c r="S10" s="535"/>
      <c r="T10" s="535"/>
      <c r="U10" s="535"/>
    </row>
    <row r="11" ht="13.5" customHeight="1" outlineLevel="1" spans="1:21">
      <c r="A11" s="69" t="s">
        <v>493</v>
      </c>
      <c r="B11" s="497"/>
      <c r="C11" s="498"/>
      <c r="D11" s="498"/>
      <c r="E11" s="498"/>
      <c r="F11" s="498"/>
      <c r="G11" s="498"/>
      <c r="H11" s="498"/>
      <c r="I11" s="498"/>
      <c r="J11" s="536"/>
      <c r="L11" s="537"/>
      <c r="M11" s="537"/>
      <c r="N11" s="537"/>
      <c r="O11" s="537"/>
      <c r="P11" s="537"/>
      <c r="Q11" s="537"/>
      <c r="R11" s="537"/>
      <c r="S11" s="537"/>
      <c r="T11" s="537"/>
      <c r="U11" s="537"/>
    </row>
    <row r="12" customHeight="1" outlineLevel="1" spans="1:21">
      <c r="A12" s="44" t="s">
        <v>494</v>
      </c>
      <c r="B12" s="498"/>
      <c r="C12" s="498"/>
      <c r="D12" s="498"/>
      <c r="E12" s="498"/>
      <c r="F12" s="498"/>
      <c r="G12" s="498"/>
      <c r="H12" s="498"/>
      <c r="I12" s="498"/>
      <c r="J12" s="536"/>
      <c r="L12" s="537"/>
      <c r="M12" s="537"/>
      <c r="N12" s="537"/>
      <c r="O12" s="537"/>
      <c r="P12" s="537"/>
      <c r="Q12" s="537"/>
      <c r="R12" s="537"/>
      <c r="S12" s="537"/>
      <c r="T12" s="537"/>
      <c r="U12" s="537"/>
    </row>
    <row r="13" ht="15.75" customHeight="1" outlineLevel="1" spans="1:10">
      <c r="A13" s="44" t="s">
        <v>495</v>
      </c>
      <c r="B13" s="499"/>
      <c r="C13" s="499"/>
      <c r="D13" s="499"/>
      <c r="E13" s="499"/>
      <c r="F13" s="499"/>
      <c r="G13" s="499"/>
      <c r="H13" s="499"/>
      <c r="I13" s="499"/>
      <c r="J13" s="538"/>
    </row>
    <row r="14" ht="16.5" customHeight="1" outlineLevel="1" spans="1:10">
      <c r="A14" s="500" t="s">
        <v>96</v>
      </c>
      <c r="B14" s="501" t="s">
        <v>496</v>
      </c>
      <c r="C14" s="501" t="s">
        <v>497</v>
      </c>
      <c r="D14" s="502" t="s">
        <v>498</v>
      </c>
      <c r="E14" s="503"/>
      <c r="F14" s="503"/>
      <c r="G14" s="504"/>
      <c r="H14" s="501" t="s">
        <v>499</v>
      </c>
      <c r="I14" s="501" t="s">
        <v>500</v>
      </c>
      <c r="J14" s="539" t="s">
        <v>501</v>
      </c>
    </row>
    <row r="15" ht="23.1" customHeight="1" outlineLevel="1" spans="1:10">
      <c r="A15" s="505"/>
      <c r="B15" s="506"/>
      <c r="C15" s="506"/>
      <c r="D15" s="507" t="s">
        <v>502</v>
      </c>
      <c r="E15" s="507" t="s">
        <v>503</v>
      </c>
      <c r="F15" s="507" t="s">
        <v>504</v>
      </c>
      <c r="G15" s="507" t="s">
        <v>505</v>
      </c>
      <c r="H15" s="506"/>
      <c r="I15" s="506"/>
      <c r="J15" s="540"/>
    </row>
    <row r="16" s="179" customFormat="1" ht="23.1" customHeight="1" outlineLevel="1" spans="1:15">
      <c r="A16" s="508" t="s">
        <v>261</v>
      </c>
      <c r="B16" s="64" t="s">
        <v>506</v>
      </c>
      <c r="C16" s="509">
        <f>7+8+17</f>
        <v>32</v>
      </c>
      <c r="D16" s="509">
        <v>0</v>
      </c>
      <c r="E16" s="509">
        <v>0</v>
      </c>
      <c r="F16" s="509">
        <v>0</v>
      </c>
      <c r="G16" s="510">
        <f>SUM(D16:F16)</f>
        <v>0</v>
      </c>
      <c r="H16" s="509">
        <v>0</v>
      </c>
      <c r="I16" s="509">
        <v>122.08</v>
      </c>
      <c r="J16" s="541">
        <f>1-(ABS(H16)/I16)</f>
        <v>1</v>
      </c>
      <c r="N16" s="179" t="str">
        <f>B16</f>
        <v>需求过程</v>
      </c>
      <c r="O16" s="179">
        <f>J16</f>
        <v>1</v>
      </c>
    </row>
    <row r="17" s="179" customFormat="1" ht="23.1" customHeight="1" outlineLevel="1" spans="1:15">
      <c r="A17" s="511"/>
      <c r="B17" s="64" t="s">
        <v>507</v>
      </c>
      <c r="C17" s="512">
        <f>C16+D16-E16</f>
        <v>32</v>
      </c>
      <c r="D17" s="509">
        <v>0</v>
      </c>
      <c r="E17" s="509">
        <v>0</v>
      </c>
      <c r="F17" s="509">
        <v>0</v>
      </c>
      <c r="G17" s="510">
        <f>SUM(D17:F17)</f>
        <v>0</v>
      </c>
      <c r="H17" s="509">
        <v>0</v>
      </c>
      <c r="I17" s="509">
        <v>122.08</v>
      </c>
      <c r="J17" s="541">
        <f>1-(ABS(H17)/I17)</f>
        <v>1</v>
      </c>
      <c r="N17" s="179" t="str">
        <f>B17</f>
        <v>设计过程</v>
      </c>
      <c r="O17" s="179">
        <f>J17</f>
        <v>1</v>
      </c>
    </row>
    <row r="18" s="179" customFormat="1" ht="23.1" customHeight="1" outlineLevel="1" spans="1:15">
      <c r="A18" s="511"/>
      <c r="B18" s="64" t="s">
        <v>508</v>
      </c>
      <c r="C18" s="512">
        <f>C17+D17-E17</f>
        <v>32</v>
      </c>
      <c r="D18" s="509">
        <v>0</v>
      </c>
      <c r="E18" s="509">
        <v>0</v>
      </c>
      <c r="F18" s="509">
        <v>0</v>
      </c>
      <c r="G18" s="510">
        <f>SUM(D18:F18)</f>
        <v>0</v>
      </c>
      <c r="H18" s="509">
        <v>0</v>
      </c>
      <c r="I18" s="509">
        <v>122.08</v>
      </c>
      <c r="J18" s="541">
        <f>1-(ABS(H18)/I18)</f>
        <v>1</v>
      </c>
      <c r="N18" s="179" t="str">
        <f>B18</f>
        <v>开发过程</v>
      </c>
      <c r="O18" s="179">
        <f>J18</f>
        <v>1</v>
      </c>
    </row>
    <row r="19" s="179" customFormat="1" ht="23.1" customHeight="1" outlineLevel="1" spans="1:17">
      <c r="A19" s="511"/>
      <c r="B19" s="64" t="s">
        <v>509</v>
      </c>
      <c r="C19" s="512">
        <f>C18+D18-E18</f>
        <v>32</v>
      </c>
      <c r="D19" s="509">
        <v>0</v>
      </c>
      <c r="E19" s="509">
        <v>0</v>
      </c>
      <c r="F19" s="509">
        <v>0</v>
      </c>
      <c r="G19" s="510">
        <f>SUM(D19:F19)</f>
        <v>0</v>
      </c>
      <c r="H19" s="509">
        <v>0</v>
      </c>
      <c r="I19" s="509">
        <v>122.08</v>
      </c>
      <c r="J19" s="541">
        <f>1-(ABS(H19)/I19)</f>
        <v>1</v>
      </c>
      <c r="N19" s="179" t="str">
        <f>B19</f>
        <v>测试过程</v>
      </c>
      <c r="O19" s="179">
        <f>J19</f>
        <v>1</v>
      </c>
      <c r="Q19" s="47"/>
    </row>
    <row r="20" ht="18.75" customHeight="1" outlineLevel="1" spans="1:15">
      <c r="A20" s="513"/>
      <c r="B20" s="514" t="s">
        <v>510</v>
      </c>
      <c r="C20" s="515">
        <f>C16</f>
        <v>32</v>
      </c>
      <c r="D20" s="515">
        <f>SUM(D16:D19)</f>
        <v>0</v>
      </c>
      <c r="E20" s="516">
        <f>SUM(E16:E19)</f>
        <v>0</v>
      </c>
      <c r="F20" s="517">
        <f>SUM(F16:F19)</f>
        <v>0</v>
      </c>
      <c r="G20" s="518">
        <f>SUM(G16:G19)</f>
        <v>0</v>
      </c>
      <c r="H20" s="518">
        <f>ABS(H16)+ABS(H17)+ABS(H18)+ABS(H19)</f>
        <v>0</v>
      </c>
      <c r="I20" s="518">
        <f>I16</f>
        <v>122.08</v>
      </c>
      <c r="J20" s="541">
        <f>1-(ABS(H20)/I20)</f>
        <v>1</v>
      </c>
      <c r="O20" s="179">
        <f>J20</f>
        <v>1</v>
      </c>
    </row>
    <row r="21" ht="18.75" customHeight="1" outlineLevel="1" spans="1:10">
      <c r="A21" s="519"/>
      <c r="B21" s="519"/>
      <c r="C21" s="519"/>
      <c r="D21" s="146"/>
      <c r="E21" s="146"/>
      <c r="F21" s="519"/>
      <c r="G21" s="519"/>
      <c r="H21" s="519"/>
      <c r="I21" s="519"/>
      <c r="J21" s="519"/>
    </row>
    <row r="22" customHeight="1" outlineLevel="1" spans="1:10">
      <c r="A22" s="520" t="s">
        <v>511</v>
      </c>
      <c r="B22" s="521"/>
      <c r="C22" s="522"/>
      <c r="D22" s="523"/>
      <c r="E22" s="523"/>
      <c r="F22" s="523"/>
      <c r="G22" s="523"/>
      <c r="H22" s="523"/>
      <c r="I22" s="523"/>
      <c r="J22" s="523"/>
    </row>
    <row r="23" customHeight="1" outlineLevel="1" spans="1:10">
      <c r="A23" s="44" t="s">
        <v>494</v>
      </c>
      <c r="B23" s="44"/>
      <c r="C23" s="44"/>
      <c r="D23" s="44"/>
      <c r="E23" s="44"/>
      <c r="F23" s="44"/>
      <c r="G23" s="44"/>
      <c r="H23" s="44"/>
      <c r="I23" s="44"/>
      <c r="J23" s="44"/>
    </row>
    <row r="24" customHeight="1" outlineLevel="1" spans="1:10">
      <c r="A24" s="524" t="s">
        <v>512</v>
      </c>
      <c r="B24" s="524"/>
      <c r="C24" s="524"/>
      <c r="D24" s="524"/>
      <c r="E24" s="524"/>
      <c r="F24" s="524"/>
      <c r="G24" s="524"/>
      <c r="H24" s="524"/>
      <c r="I24" s="524"/>
      <c r="J24" s="524"/>
    </row>
    <row r="25" ht="18.75" customHeight="1" outlineLevel="1" spans="1:10">
      <c r="A25" s="500" t="s">
        <v>96</v>
      </c>
      <c r="B25" s="501" t="s">
        <v>496</v>
      </c>
      <c r="C25" s="501" t="s">
        <v>497</v>
      </c>
      <c r="D25" s="502" t="s">
        <v>498</v>
      </c>
      <c r="E25" s="503"/>
      <c r="F25" s="503"/>
      <c r="G25" s="504"/>
      <c r="H25" s="501" t="s">
        <v>499</v>
      </c>
      <c r="I25" s="501" t="s">
        <v>500</v>
      </c>
      <c r="J25" s="539" t="s">
        <v>501</v>
      </c>
    </row>
    <row r="26" ht="20.25" customHeight="1" outlineLevel="1" spans="1:10">
      <c r="A26" s="505"/>
      <c r="B26" s="506"/>
      <c r="C26" s="506"/>
      <c r="D26" s="507" t="s">
        <v>502</v>
      </c>
      <c r="E26" s="507" t="s">
        <v>503</v>
      </c>
      <c r="F26" s="507" t="s">
        <v>504</v>
      </c>
      <c r="G26" s="507" t="s">
        <v>505</v>
      </c>
      <c r="H26" s="506"/>
      <c r="I26" s="506"/>
      <c r="J26" s="540"/>
    </row>
    <row r="27" ht="23.1" customHeight="1" outlineLevel="1" spans="1:15">
      <c r="A27" s="508" t="s">
        <v>262</v>
      </c>
      <c r="B27" s="64" t="s">
        <v>506</v>
      </c>
      <c r="C27" s="509"/>
      <c r="D27" s="509"/>
      <c r="E27" s="509"/>
      <c r="F27" s="509"/>
      <c r="G27" s="510">
        <f>D27+E27+F27</f>
        <v>0</v>
      </c>
      <c r="H27" s="509"/>
      <c r="I27" s="509"/>
      <c r="J27" s="541" t="e">
        <f>1-(ABS(H27)/I27)</f>
        <v>#DIV/0!</v>
      </c>
      <c r="N27" s="179" t="str">
        <f>B27</f>
        <v>需求过程</v>
      </c>
      <c r="O27" s="179" t="e">
        <f>J27</f>
        <v>#DIV/0!</v>
      </c>
    </row>
    <row r="28" ht="23.1" customHeight="1" outlineLevel="1" spans="1:15">
      <c r="A28" s="511"/>
      <c r="B28" s="64" t="s">
        <v>507</v>
      </c>
      <c r="C28" s="512">
        <f>C27+D27-E27</f>
        <v>0</v>
      </c>
      <c r="D28" s="509"/>
      <c r="E28" s="509"/>
      <c r="F28" s="509"/>
      <c r="G28" s="510">
        <f>D28+E28+F28</f>
        <v>0</v>
      </c>
      <c r="H28" s="509"/>
      <c r="I28" s="509"/>
      <c r="J28" s="541" t="e">
        <f>1-(ABS(H28)/I28)</f>
        <v>#DIV/0!</v>
      </c>
      <c r="N28" s="179" t="str">
        <f>B28</f>
        <v>设计过程</v>
      </c>
      <c r="O28" s="179" t="e">
        <f>J28</f>
        <v>#DIV/0!</v>
      </c>
    </row>
    <row r="29" ht="23.1" customHeight="1" outlineLevel="1" spans="1:15">
      <c r="A29" s="511"/>
      <c r="B29" s="64" t="s">
        <v>508</v>
      </c>
      <c r="C29" s="512">
        <f>C28+D28-E28</f>
        <v>0</v>
      </c>
      <c r="D29" s="509"/>
      <c r="E29" s="509"/>
      <c r="F29" s="509"/>
      <c r="G29" s="510">
        <f>D29+E29+F29</f>
        <v>0</v>
      </c>
      <c r="H29" s="509"/>
      <c r="I29" s="509"/>
      <c r="J29" s="541" t="e">
        <f>1-(ABS(H29)/I29)</f>
        <v>#DIV/0!</v>
      </c>
      <c r="N29" s="179" t="str">
        <f>B29</f>
        <v>开发过程</v>
      </c>
      <c r="O29" s="179" t="e">
        <f>J29</f>
        <v>#DIV/0!</v>
      </c>
    </row>
    <row r="30" ht="23.1" customHeight="1" outlineLevel="1" spans="1:15">
      <c r="A30" s="511"/>
      <c r="B30" s="64" t="s">
        <v>509</v>
      </c>
      <c r="C30" s="512">
        <f>C29+D29-E29</f>
        <v>0</v>
      </c>
      <c r="D30" s="509"/>
      <c r="E30" s="509"/>
      <c r="F30" s="509"/>
      <c r="G30" s="510">
        <f>D30+E30+F30</f>
        <v>0</v>
      </c>
      <c r="H30" s="509"/>
      <c r="I30" s="509"/>
      <c r="J30" s="541" t="e">
        <f>1-(ABS(H30)/I30)</f>
        <v>#DIV/0!</v>
      </c>
      <c r="N30" s="179" t="str">
        <f>B30</f>
        <v>测试过程</v>
      </c>
      <c r="O30" s="179" t="e">
        <f>J30</f>
        <v>#DIV/0!</v>
      </c>
    </row>
    <row r="31" ht="23.1" customHeight="1" outlineLevel="1" spans="1:10">
      <c r="A31" s="513"/>
      <c r="B31" s="514" t="s">
        <v>510</v>
      </c>
      <c r="C31" s="515">
        <f>C27</f>
        <v>0</v>
      </c>
      <c r="D31" s="515">
        <f>SUM(D27:D30)</f>
        <v>0</v>
      </c>
      <c r="E31" s="515">
        <f>SUM(E27:E30)</f>
        <v>0</v>
      </c>
      <c r="F31" s="515">
        <f>SUM(F27:F30)</f>
        <v>0</v>
      </c>
      <c r="G31" s="515">
        <f>SUM(G27:G30)</f>
        <v>0</v>
      </c>
      <c r="H31" s="518">
        <f>ABS(H27)+ABS(H28)+ABS(H29)+ABS(H30)</f>
        <v>0</v>
      </c>
      <c r="I31" s="518">
        <f>I27</f>
        <v>0</v>
      </c>
      <c r="J31" s="541" t="e">
        <f>1-(ABS(H31)/I31)</f>
        <v>#DIV/0!</v>
      </c>
    </row>
    <row r="32" ht="12.75" outlineLevel="1"/>
    <row r="33" outlineLevel="1"/>
    <row r="35" ht="27" customHeight="1" spans="1:10">
      <c r="A35" s="525" t="s">
        <v>405</v>
      </c>
      <c r="B35" s="525"/>
      <c r="C35" s="525"/>
      <c r="D35" s="525"/>
      <c r="E35" s="525"/>
      <c r="F35" s="525"/>
      <c r="G35" s="525"/>
      <c r="H35" s="525"/>
      <c r="I35" s="525"/>
      <c r="J35" s="525"/>
    </row>
    <row r="36" ht="13.5" customHeight="1" outlineLevel="1" spans="1:21">
      <c r="A36" s="526" t="s">
        <v>493</v>
      </c>
      <c r="B36" s="527"/>
      <c r="C36" s="498"/>
      <c r="D36" s="498"/>
      <c r="E36" s="498"/>
      <c r="F36" s="498"/>
      <c r="G36" s="498"/>
      <c r="H36" s="498"/>
      <c r="I36" s="498"/>
      <c r="J36" s="536"/>
      <c r="L36" s="537"/>
      <c r="M36" s="537"/>
      <c r="N36" s="537"/>
      <c r="O36" s="537"/>
      <c r="P36" s="537"/>
      <c r="Q36" s="537"/>
      <c r="R36" s="537"/>
      <c r="S36" s="537"/>
      <c r="T36" s="537"/>
      <c r="U36" s="537"/>
    </row>
    <row r="37" customHeight="1" outlineLevel="1" spans="1:21">
      <c r="A37" s="44" t="s">
        <v>494</v>
      </c>
      <c r="B37" s="498"/>
      <c r="C37" s="498"/>
      <c r="D37" s="498"/>
      <c r="E37" s="498"/>
      <c r="F37" s="498"/>
      <c r="G37" s="498"/>
      <c r="H37" s="498"/>
      <c r="I37" s="498"/>
      <c r="J37" s="536"/>
      <c r="L37" s="537"/>
      <c r="M37" s="537"/>
      <c r="N37" s="537"/>
      <c r="O37" s="537"/>
      <c r="P37" s="537"/>
      <c r="Q37" s="537"/>
      <c r="R37" s="537"/>
      <c r="S37" s="537"/>
      <c r="T37" s="537"/>
      <c r="U37" s="537"/>
    </row>
    <row r="38" ht="15.75" customHeight="1" outlineLevel="1" spans="1:10">
      <c r="A38" s="44" t="s">
        <v>495</v>
      </c>
      <c r="B38" s="499"/>
      <c r="C38" s="499"/>
      <c r="D38" s="499"/>
      <c r="E38" s="499"/>
      <c r="F38" s="499"/>
      <c r="G38" s="499"/>
      <c r="H38" s="499"/>
      <c r="I38" s="499"/>
      <c r="J38" s="538"/>
    </row>
    <row r="39" ht="16.5" customHeight="1" outlineLevel="1" spans="1:10">
      <c r="A39" s="500" t="s">
        <v>96</v>
      </c>
      <c r="B39" s="501" t="s">
        <v>496</v>
      </c>
      <c r="C39" s="501" t="s">
        <v>497</v>
      </c>
      <c r="D39" s="502" t="s">
        <v>498</v>
      </c>
      <c r="E39" s="503"/>
      <c r="F39" s="503"/>
      <c r="G39" s="504"/>
      <c r="H39" s="501" t="s">
        <v>499</v>
      </c>
      <c r="I39" s="501" t="s">
        <v>500</v>
      </c>
      <c r="J39" s="539" t="s">
        <v>501</v>
      </c>
    </row>
    <row r="40" ht="23.1" customHeight="1" outlineLevel="1" spans="1:10">
      <c r="A40" s="505"/>
      <c r="B40" s="506"/>
      <c r="C40" s="506"/>
      <c r="D40" s="507" t="s">
        <v>502</v>
      </c>
      <c r="E40" s="507" t="s">
        <v>503</v>
      </c>
      <c r="F40" s="507" t="s">
        <v>504</v>
      </c>
      <c r="G40" s="507" t="s">
        <v>505</v>
      </c>
      <c r="H40" s="506"/>
      <c r="I40" s="506"/>
      <c r="J40" s="540"/>
    </row>
    <row r="41" s="179" customFormat="1" ht="23.1" customHeight="1" outlineLevel="1" spans="1:15">
      <c r="A41" s="508" t="s">
        <v>261</v>
      </c>
      <c r="B41" s="64" t="s">
        <v>506</v>
      </c>
      <c r="C41" s="509">
        <f>18+17</f>
        <v>35</v>
      </c>
      <c r="D41" s="509">
        <v>0</v>
      </c>
      <c r="E41" s="509">
        <v>0</v>
      </c>
      <c r="F41" s="509">
        <v>0</v>
      </c>
      <c r="G41" s="510">
        <f>SUM(D41:F41)</f>
        <v>0</v>
      </c>
      <c r="H41" s="509">
        <v>0</v>
      </c>
      <c r="I41" s="509">
        <v>126.95</v>
      </c>
      <c r="J41" s="541">
        <f>1-(ABS(H41)/I41)</f>
        <v>1</v>
      </c>
      <c r="N41" s="179" t="str">
        <f>B41</f>
        <v>需求过程</v>
      </c>
      <c r="O41" s="179">
        <f>J41</f>
        <v>1</v>
      </c>
    </row>
    <row r="42" s="179" customFormat="1" ht="23.1" customHeight="1" outlineLevel="1" spans="1:15">
      <c r="A42" s="511"/>
      <c r="B42" s="64" t="s">
        <v>507</v>
      </c>
      <c r="C42" s="512">
        <f>C41+D41-E41</f>
        <v>35</v>
      </c>
      <c r="D42" s="509">
        <v>0</v>
      </c>
      <c r="E42" s="509">
        <v>0</v>
      </c>
      <c r="F42" s="509">
        <v>0</v>
      </c>
      <c r="G42" s="510">
        <f>SUM(D42:F42)</f>
        <v>0</v>
      </c>
      <c r="H42" s="509">
        <v>0</v>
      </c>
      <c r="I42" s="509">
        <v>126.95</v>
      </c>
      <c r="J42" s="541">
        <f>1-(ABS(H42)/I42)</f>
        <v>1</v>
      </c>
      <c r="N42" s="179" t="str">
        <f>B42</f>
        <v>设计过程</v>
      </c>
      <c r="O42" s="179">
        <f>J42</f>
        <v>1</v>
      </c>
    </row>
    <row r="43" s="179" customFormat="1" ht="23.1" customHeight="1" outlineLevel="1" spans="1:15">
      <c r="A43" s="511"/>
      <c r="B43" s="64" t="s">
        <v>508</v>
      </c>
      <c r="C43" s="512">
        <f>C42+D42-E42</f>
        <v>35</v>
      </c>
      <c r="D43" s="509">
        <v>0</v>
      </c>
      <c r="E43" s="509">
        <v>0</v>
      </c>
      <c r="F43" s="509">
        <v>0</v>
      </c>
      <c r="G43" s="510">
        <f>SUM(D43:F43)</f>
        <v>0</v>
      </c>
      <c r="H43" s="509">
        <v>0</v>
      </c>
      <c r="I43" s="509">
        <v>126.95</v>
      </c>
      <c r="J43" s="541">
        <f>1-(ABS(H43)/I43)</f>
        <v>1</v>
      </c>
      <c r="N43" s="179" t="str">
        <f>B43</f>
        <v>开发过程</v>
      </c>
      <c r="O43" s="179">
        <f>J43</f>
        <v>1</v>
      </c>
    </row>
    <row r="44" s="179" customFormat="1" ht="23.1" customHeight="1" outlineLevel="1" spans="1:17">
      <c r="A44" s="511"/>
      <c r="B44" s="64" t="s">
        <v>509</v>
      </c>
      <c r="C44" s="512">
        <f>C43+D43-E43</f>
        <v>35</v>
      </c>
      <c r="D44" s="509">
        <v>0</v>
      </c>
      <c r="E44" s="509">
        <v>0</v>
      </c>
      <c r="F44" s="509">
        <v>0</v>
      </c>
      <c r="G44" s="510">
        <f>SUM(D44:F44)</f>
        <v>0</v>
      </c>
      <c r="H44" s="509">
        <v>0</v>
      </c>
      <c r="I44" s="509">
        <v>126.95</v>
      </c>
      <c r="J44" s="541">
        <f>1-(ABS(H44)/I44)</f>
        <v>1</v>
      </c>
      <c r="N44" s="179" t="str">
        <f>B44</f>
        <v>测试过程</v>
      </c>
      <c r="O44" s="179">
        <f>J44</f>
        <v>1</v>
      </c>
      <c r="Q44" s="47"/>
    </row>
    <row r="45" ht="18.75" customHeight="1" outlineLevel="1" spans="1:15">
      <c r="A45" s="513"/>
      <c r="B45" s="514" t="s">
        <v>510</v>
      </c>
      <c r="C45" s="515">
        <f>C41</f>
        <v>35</v>
      </c>
      <c r="D45" s="515">
        <f>SUM(D41:D44)</f>
        <v>0</v>
      </c>
      <c r="E45" s="516">
        <f>SUM(E41:E44)</f>
        <v>0</v>
      </c>
      <c r="F45" s="517">
        <f>SUM(F41:F44)</f>
        <v>0</v>
      </c>
      <c r="G45" s="518">
        <f>SUM(G41:G44)</f>
        <v>0</v>
      </c>
      <c r="H45" s="518">
        <f>ABS(H41)+ABS(H42)+ABS(H43)+ABS(H44)</f>
        <v>0</v>
      </c>
      <c r="I45" s="518">
        <f>I41</f>
        <v>126.95</v>
      </c>
      <c r="J45" s="541">
        <f>1-(ABS(H45)/I45)</f>
        <v>1</v>
      </c>
      <c r="O45" s="179">
        <f>J45</f>
        <v>1</v>
      </c>
    </row>
    <row r="46" ht="18.75" customHeight="1" outlineLevel="1" spans="1:10">
      <c r="A46" s="519"/>
      <c r="B46" s="519"/>
      <c r="C46" s="519"/>
      <c r="D46" s="146"/>
      <c r="E46" s="146"/>
      <c r="F46" s="519"/>
      <c r="G46" s="519"/>
      <c r="H46" s="519"/>
      <c r="I46" s="519"/>
      <c r="J46" s="519"/>
    </row>
    <row r="47" customHeight="1" outlineLevel="1" spans="1:10">
      <c r="A47" s="520" t="s">
        <v>511</v>
      </c>
      <c r="B47" s="521"/>
      <c r="C47" s="522"/>
      <c r="D47" s="523"/>
      <c r="E47" s="523"/>
      <c r="F47" s="523"/>
      <c r="G47" s="523"/>
      <c r="H47" s="523"/>
      <c r="I47" s="523"/>
      <c r="J47" s="523"/>
    </row>
    <row r="48" customHeight="1" outlineLevel="1" spans="1:10">
      <c r="A48" s="44" t="s">
        <v>494</v>
      </c>
      <c r="B48" s="44"/>
      <c r="C48" s="44"/>
      <c r="D48" s="44"/>
      <c r="E48" s="44"/>
      <c r="F48" s="44"/>
      <c r="G48" s="44"/>
      <c r="H48" s="44"/>
      <c r="I48" s="44"/>
      <c r="J48" s="44"/>
    </row>
    <row r="49" customHeight="1" outlineLevel="1" spans="1:10">
      <c r="A49" s="524" t="s">
        <v>512</v>
      </c>
      <c r="B49" s="524"/>
      <c r="C49" s="524"/>
      <c r="D49" s="524"/>
      <c r="E49" s="524"/>
      <c r="F49" s="524"/>
      <c r="G49" s="524"/>
      <c r="H49" s="524"/>
      <c r="I49" s="524"/>
      <c r="J49" s="524"/>
    </row>
    <row r="50" ht="18.75" customHeight="1" outlineLevel="1" spans="1:10">
      <c r="A50" s="500" t="s">
        <v>96</v>
      </c>
      <c r="B50" s="501" t="s">
        <v>496</v>
      </c>
      <c r="C50" s="501" t="s">
        <v>497</v>
      </c>
      <c r="D50" s="502" t="s">
        <v>498</v>
      </c>
      <c r="E50" s="503"/>
      <c r="F50" s="503"/>
      <c r="G50" s="504"/>
      <c r="H50" s="501" t="s">
        <v>499</v>
      </c>
      <c r="I50" s="501" t="s">
        <v>500</v>
      </c>
      <c r="J50" s="539" t="s">
        <v>501</v>
      </c>
    </row>
    <row r="51" ht="20.25" customHeight="1" outlineLevel="1" spans="1:10">
      <c r="A51" s="505"/>
      <c r="B51" s="506"/>
      <c r="C51" s="506"/>
      <c r="D51" s="507" t="s">
        <v>502</v>
      </c>
      <c r="E51" s="507" t="s">
        <v>503</v>
      </c>
      <c r="F51" s="507" t="s">
        <v>504</v>
      </c>
      <c r="G51" s="507" t="s">
        <v>505</v>
      </c>
      <c r="H51" s="506"/>
      <c r="I51" s="506"/>
      <c r="J51" s="540"/>
    </row>
    <row r="52" ht="23.1" customHeight="1" outlineLevel="1" spans="1:15">
      <c r="A52" s="508" t="s">
        <v>262</v>
      </c>
      <c r="B52" s="64" t="s">
        <v>506</v>
      </c>
      <c r="C52" s="509"/>
      <c r="D52" s="509"/>
      <c r="E52" s="509"/>
      <c r="F52" s="509"/>
      <c r="G52" s="510">
        <f>D52+E52+F52</f>
        <v>0</v>
      </c>
      <c r="H52" s="509"/>
      <c r="I52" s="509"/>
      <c r="J52" s="541" t="e">
        <f>1-(ABS(H52)/I52)</f>
        <v>#DIV/0!</v>
      </c>
      <c r="N52" s="179" t="str">
        <f>B52</f>
        <v>需求过程</v>
      </c>
      <c r="O52" s="179" t="e">
        <f>J52</f>
        <v>#DIV/0!</v>
      </c>
    </row>
    <row r="53" ht="23.1" customHeight="1" outlineLevel="1" spans="1:15">
      <c r="A53" s="511"/>
      <c r="B53" s="64" t="s">
        <v>507</v>
      </c>
      <c r="C53" s="512">
        <f>C52+D52-E52</f>
        <v>0</v>
      </c>
      <c r="D53" s="509"/>
      <c r="E53" s="509"/>
      <c r="F53" s="509"/>
      <c r="G53" s="510">
        <f>D53+E53+F53</f>
        <v>0</v>
      </c>
      <c r="H53" s="509"/>
      <c r="I53" s="509"/>
      <c r="J53" s="541" t="e">
        <f>1-(ABS(H53)/I53)</f>
        <v>#DIV/0!</v>
      </c>
      <c r="N53" s="179" t="str">
        <f>B53</f>
        <v>设计过程</v>
      </c>
      <c r="O53" s="179" t="e">
        <f>J53</f>
        <v>#DIV/0!</v>
      </c>
    </row>
    <row r="54" ht="23.1" customHeight="1" outlineLevel="1" spans="1:15">
      <c r="A54" s="511"/>
      <c r="B54" s="64" t="s">
        <v>508</v>
      </c>
      <c r="C54" s="512">
        <f>C53+D53-E53</f>
        <v>0</v>
      </c>
      <c r="D54" s="509"/>
      <c r="E54" s="509"/>
      <c r="F54" s="509"/>
      <c r="G54" s="510">
        <f>D54+E54+F54</f>
        <v>0</v>
      </c>
      <c r="H54" s="509"/>
      <c r="I54" s="509"/>
      <c r="J54" s="541" t="e">
        <f>1-(ABS(H54)/I54)</f>
        <v>#DIV/0!</v>
      </c>
      <c r="N54" s="179" t="str">
        <f>B54</f>
        <v>开发过程</v>
      </c>
      <c r="O54" s="179" t="e">
        <f>J54</f>
        <v>#DIV/0!</v>
      </c>
    </row>
    <row r="55" ht="23.1" customHeight="1" outlineLevel="1" spans="1:15">
      <c r="A55" s="511"/>
      <c r="B55" s="64" t="s">
        <v>509</v>
      </c>
      <c r="C55" s="512">
        <f>C54+D54-E54</f>
        <v>0</v>
      </c>
      <c r="D55" s="509"/>
      <c r="E55" s="509"/>
      <c r="F55" s="509"/>
      <c r="G55" s="510">
        <f>D55+E55+F55</f>
        <v>0</v>
      </c>
      <c r="H55" s="509"/>
      <c r="I55" s="509"/>
      <c r="J55" s="541" t="e">
        <f>1-(ABS(H55)/I55)</f>
        <v>#DIV/0!</v>
      </c>
      <c r="N55" s="179" t="str">
        <f>B55</f>
        <v>测试过程</v>
      </c>
      <c r="O55" s="179" t="e">
        <f>J55</f>
        <v>#DIV/0!</v>
      </c>
    </row>
    <row r="56" ht="23.1" customHeight="1" outlineLevel="1" spans="1:10">
      <c r="A56" s="513"/>
      <c r="B56" s="514" t="s">
        <v>510</v>
      </c>
      <c r="C56" s="515">
        <f>C52</f>
        <v>0</v>
      </c>
      <c r="D56" s="515">
        <f>SUM(D52:D55)</f>
        <v>0</v>
      </c>
      <c r="E56" s="515">
        <f>SUM(E52:E55)</f>
        <v>0</v>
      </c>
      <c r="F56" s="515">
        <f>SUM(F52:F55)</f>
        <v>0</v>
      </c>
      <c r="G56" s="515">
        <f>SUM(G52:G55)</f>
        <v>0</v>
      </c>
      <c r="H56" s="518">
        <f>ABS(H52)+ABS(H53)+ABS(H54)+ABS(H55)</f>
        <v>0</v>
      </c>
      <c r="I56" s="518">
        <f>I52</f>
        <v>0</v>
      </c>
      <c r="J56" s="541" t="e">
        <f>1-(ABS(H56)/I56)</f>
        <v>#DIV/0!</v>
      </c>
    </row>
    <row r="57" ht="12.75" outlineLevel="1"/>
    <row r="58" outlineLevel="1"/>
    <row r="61" ht="23.25" customHeight="1" spans="1:10">
      <c r="A61" s="528" t="s">
        <v>406</v>
      </c>
      <c r="B61" s="528"/>
      <c r="C61" s="528"/>
      <c r="D61" s="528"/>
      <c r="E61" s="528"/>
      <c r="F61" s="528"/>
      <c r="G61" s="528"/>
      <c r="H61" s="528"/>
      <c r="I61" s="528"/>
      <c r="J61" s="528"/>
    </row>
    <row r="62" ht="13.5" customHeight="1" outlineLevel="1" spans="1:21">
      <c r="A62" s="526" t="s">
        <v>493</v>
      </c>
      <c r="B62" s="527"/>
      <c r="C62" s="498"/>
      <c r="D62" s="498"/>
      <c r="E62" s="498"/>
      <c r="F62" s="498"/>
      <c r="G62" s="498"/>
      <c r="H62" s="498"/>
      <c r="I62" s="498"/>
      <c r="J62" s="536"/>
      <c r="L62" s="537"/>
      <c r="M62" s="537"/>
      <c r="N62" s="537"/>
      <c r="O62" s="537"/>
      <c r="P62" s="537"/>
      <c r="Q62" s="537"/>
      <c r="R62" s="537"/>
      <c r="S62" s="537"/>
      <c r="T62" s="537"/>
      <c r="U62" s="537"/>
    </row>
    <row r="63" customHeight="1" outlineLevel="1" spans="1:21">
      <c r="A63" s="44" t="s">
        <v>494</v>
      </c>
      <c r="B63" s="498"/>
      <c r="C63" s="498"/>
      <c r="D63" s="498"/>
      <c r="E63" s="498"/>
      <c r="F63" s="498"/>
      <c r="G63" s="498"/>
      <c r="H63" s="498"/>
      <c r="I63" s="498"/>
      <c r="J63" s="536"/>
      <c r="L63" s="537"/>
      <c r="M63" s="537"/>
      <c r="N63" s="537"/>
      <c r="O63" s="537"/>
      <c r="P63" s="537"/>
      <c r="Q63" s="537"/>
      <c r="R63" s="537"/>
      <c r="S63" s="537"/>
      <c r="T63" s="537"/>
      <c r="U63" s="537"/>
    </row>
    <row r="64" ht="15.75" customHeight="1" outlineLevel="1" spans="1:10">
      <c r="A64" s="44" t="s">
        <v>495</v>
      </c>
      <c r="B64" s="499"/>
      <c r="C64" s="499"/>
      <c r="D64" s="499"/>
      <c r="E64" s="499"/>
      <c r="F64" s="499"/>
      <c r="G64" s="499"/>
      <c r="H64" s="499"/>
      <c r="I64" s="499"/>
      <c r="J64" s="538"/>
    </row>
    <row r="65" ht="16.5" customHeight="1" outlineLevel="1" spans="1:10">
      <c r="A65" s="500" t="s">
        <v>96</v>
      </c>
      <c r="B65" s="501" t="s">
        <v>496</v>
      </c>
      <c r="C65" s="501" t="s">
        <v>497</v>
      </c>
      <c r="D65" s="502" t="s">
        <v>498</v>
      </c>
      <c r="E65" s="503"/>
      <c r="F65" s="503"/>
      <c r="G65" s="504"/>
      <c r="H65" s="501" t="s">
        <v>499</v>
      </c>
      <c r="I65" s="501" t="s">
        <v>500</v>
      </c>
      <c r="J65" s="539" t="s">
        <v>501</v>
      </c>
    </row>
    <row r="66" ht="23.1" customHeight="1" outlineLevel="1" spans="1:10">
      <c r="A66" s="505"/>
      <c r="B66" s="506"/>
      <c r="C66" s="506"/>
      <c r="D66" s="507" t="s">
        <v>502</v>
      </c>
      <c r="E66" s="507" t="s">
        <v>503</v>
      </c>
      <c r="F66" s="507" t="s">
        <v>504</v>
      </c>
      <c r="G66" s="507" t="s">
        <v>505</v>
      </c>
      <c r="H66" s="506"/>
      <c r="I66" s="506"/>
      <c r="J66" s="540"/>
    </row>
    <row r="67" s="179" customFormat="1" ht="23.1" customHeight="1" outlineLevel="1" spans="1:15">
      <c r="A67" s="508" t="s">
        <v>261</v>
      </c>
      <c r="B67" s="64" t="s">
        <v>506</v>
      </c>
      <c r="C67" s="509">
        <f>4+17</f>
        <v>21</v>
      </c>
      <c r="D67" s="509">
        <v>0</v>
      </c>
      <c r="E67" s="509">
        <v>0</v>
      </c>
      <c r="F67" s="509">
        <v>0</v>
      </c>
      <c r="G67" s="510">
        <f>SUM(D67:F67)</f>
        <v>0</v>
      </c>
      <c r="H67" s="509">
        <v>0</v>
      </c>
      <c r="I67" s="509">
        <v>43.17</v>
      </c>
      <c r="J67" s="541">
        <f>1-(ABS(H67)/I67)</f>
        <v>1</v>
      </c>
      <c r="N67" s="179" t="str">
        <f>B67</f>
        <v>需求过程</v>
      </c>
      <c r="O67" s="179">
        <f>J67</f>
        <v>1</v>
      </c>
    </row>
    <row r="68" s="179" customFormat="1" ht="23.1" customHeight="1" outlineLevel="1" spans="1:15">
      <c r="A68" s="511"/>
      <c r="B68" s="64" t="s">
        <v>507</v>
      </c>
      <c r="C68" s="512">
        <f>C67+D67-E67</f>
        <v>21</v>
      </c>
      <c r="D68" s="509">
        <v>0</v>
      </c>
      <c r="E68" s="509">
        <v>0</v>
      </c>
      <c r="F68" s="509">
        <v>0</v>
      </c>
      <c r="G68" s="510">
        <f>SUM(D68:F68)</f>
        <v>0</v>
      </c>
      <c r="H68" s="509">
        <v>0</v>
      </c>
      <c r="I68" s="509">
        <v>43.17</v>
      </c>
      <c r="J68" s="541">
        <f>1-(ABS(H68)/I68)</f>
        <v>1</v>
      </c>
      <c r="N68" s="179" t="str">
        <f>B68</f>
        <v>设计过程</v>
      </c>
      <c r="O68" s="179">
        <f>J68</f>
        <v>1</v>
      </c>
    </row>
    <row r="69" s="179" customFormat="1" ht="23.1" customHeight="1" outlineLevel="1" spans="1:15">
      <c r="A69" s="511"/>
      <c r="B69" s="64" t="s">
        <v>508</v>
      </c>
      <c r="C69" s="512">
        <f>C68+D68-E68</f>
        <v>21</v>
      </c>
      <c r="D69" s="509">
        <v>0</v>
      </c>
      <c r="E69" s="509">
        <v>0</v>
      </c>
      <c r="F69" s="509">
        <v>0</v>
      </c>
      <c r="G69" s="510">
        <f>SUM(D69:F69)</f>
        <v>0</v>
      </c>
      <c r="H69" s="509">
        <v>0</v>
      </c>
      <c r="I69" s="509">
        <v>43.17</v>
      </c>
      <c r="J69" s="541">
        <f>1-(ABS(H69)/I69)</f>
        <v>1</v>
      </c>
      <c r="N69" s="179" t="str">
        <f>B69</f>
        <v>开发过程</v>
      </c>
      <c r="O69" s="179">
        <f>J69</f>
        <v>1</v>
      </c>
    </row>
    <row r="70" s="179" customFormat="1" ht="23.1" customHeight="1" outlineLevel="1" spans="1:17">
      <c r="A70" s="511"/>
      <c r="B70" s="64" t="s">
        <v>509</v>
      </c>
      <c r="C70" s="512">
        <f>C69+D69-E69</f>
        <v>21</v>
      </c>
      <c r="D70" s="509">
        <v>0</v>
      </c>
      <c r="E70" s="509">
        <v>0</v>
      </c>
      <c r="F70" s="509">
        <v>0</v>
      </c>
      <c r="G70" s="510">
        <f>SUM(D70:F70)</f>
        <v>0</v>
      </c>
      <c r="H70" s="509">
        <v>0</v>
      </c>
      <c r="I70" s="509">
        <v>43.17</v>
      </c>
      <c r="J70" s="541">
        <f>1-(ABS(H70)/I70)</f>
        <v>1</v>
      </c>
      <c r="N70" s="179" t="str">
        <f>B70</f>
        <v>测试过程</v>
      </c>
      <c r="O70" s="179">
        <f>J70</f>
        <v>1</v>
      </c>
      <c r="Q70" s="47"/>
    </row>
    <row r="71" ht="18.75" customHeight="1" outlineLevel="1" spans="1:15">
      <c r="A71" s="513"/>
      <c r="B71" s="514" t="s">
        <v>510</v>
      </c>
      <c r="C71" s="515">
        <f>C67</f>
        <v>21</v>
      </c>
      <c r="D71" s="515">
        <f>SUM(D67:D70)</f>
        <v>0</v>
      </c>
      <c r="E71" s="516">
        <f>SUM(E67:E70)</f>
        <v>0</v>
      </c>
      <c r="F71" s="517">
        <f>SUM(F67:F70)</f>
        <v>0</v>
      </c>
      <c r="G71" s="518">
        <f>SUM(G67:G70)</f>
        <v>0</v>
      </c>
      <c r="H71" s="518">
        <f>ABS(H67)+ABS(H68)+ABS(H69)+ABS(H70)</f>
        <v>0</v>
      </c>
      <c r="I71" s="518">
        <f>I67</f>
        <v>43.17</v>
      </c>
      <c r="J71" s="541">
        <f>1-(ABS(H71)/I71)</f>
        <v>1</v>
      </c>
      <c r="O71" s="179">
        <f>J71</f>
        <v>1</v>
      </c>
    </row>
    <row r="72" ht="18.75" customHeight="1" outlineLevel="1" spans="1:10">
      <c r="A72" s="519"/>
      <c r="B72" s="519"/>
      <c r="C72" s="519"/>
      <c r="D72" s="146"/>
      <c r="E72" s="146"/>
      <c r="F72" s="519"/>
      <c r="G72" s="519"/>
      <c r="H72" s="519"/>
      <c r="I72" s="519"/>
      <c r="J72" s="519"/>
    </row>
    <row r="73" customHeight="1" outlineLevel="1" spans="1:10">
      <c r="A73" s="520" t="s">
        <v>511</v>
      </c>
      <c r="B73" s="521"/>
      <c r="C73" s="522"/>
      <c r="D73" s="523"/>
      <c r="E73" s="523"/>
      <c r="F73" s="523"/>
      <c r="G73" s="523"/>
      <c r="H73" s="523"/>
      <c r="I73" s="523"/>
      <c r="J73" s="523"/>
    </row>
    <row r="74" customHeight="1" outlineLevel="1" spans="1:10">
      <c r="A74" s="44" t="s">
        <v>494</v>
      </c>
      <c r="B74" s="44"/>
      <c r="C74" s="44"/>
      <c r="D74" s="44"/>
      <c r="E74" s="44"/>
      <c r="F74" s="44"/>
      <c r="G74" s="44"/>
      <c r="H74" s="44"/>
      <c r="I74" s="44"/>
      <c r="J74" s="44"/>
    </row>
    <row r="75" customHeight="1" outlineLevel="1" spans="1:10">
      <c r="A75" s="524" t="s">
        <v>512</v>
      </c>
      <c r="B75" s="524"/>
      <c r="C75" s="524"/>
      <c r="D75" s="524"/>
      <c r="E75" s="524"/>
      <c r="F75" s="524"/>
      <c r="G75" s="524"/>
      <c r="H75" s="524"/>
      <c r="I75" s="524"/>
      <c r="J75" s="524"/>
    </row>
    <row r="76" ht="18.75" customHeight="1" outlineLevel="1" spans="1:10">
      <c r="A76" s="500" t="s">
        <v>96</v>
      </c>
      <c r="B76" s="501" t="s">
        <v>496</v>
      </c>
      <c r="C76" s="501" t="s">
        <v>497</v>
      </c>
      <c r="D76" s="502" t="s">
        <v>498</v>
      </c>
      <c r="E76" s="503"/>
      <c r="F76" s="503"/>
      <c r="G76" s="504"/>
      <c r="H76" s="501" t="s">
        <v>499</v>
      </c>
      <c r="I76" s="501" t="s">
        <v>500</v>
      </c>
      <c r="J76" s="539" t="s">
        <v>501</v>
      </c>
    </row>
    <row r="77" ht="20.25" customHeight="1" outlineLevel="1" spans="1:10">
      <c r="A77" s="505"/>
      <c r="B77" s="506"/>
      <c r="C77" s="506"/>
      <c r="D77" s="507" t="s">
        <v>502</v>
      </c>
      <c r="E77" s="507" t="s">
        <v>503</v>
      </c>
      <c r="F77" s="507" t="s">
        <v>504</v>
      </c>
      <c r="G77" s="507" t="s">
        <v>505</v>
      </c>
      <c r="H77" s="506"/>
      <c r="I77" s="506"/>
      <c r="J77" s="540"/>
    </row>
    <row r="78" ht="23.1" customHeight="1" outlineLevel="1" spans="1:15">
      <c r="A78" s="508" t="s">
        <v>262</v>
      </c>
      <c r="B78" s="64" t="s">
        <v>506</v>
      </c>
      <c r="C78" s="509"/>
      <c r="D78" s="509"/>
      <c r="E78" s="509"/>
      <c r="F78" s="509"/>
      <c r="G78" s="510">
        <f>D78+E78+F78</f>
        <v>0</v>
      </c>
      <c r="H78" s="509"/>
      <c r="I78" s="509"/>
      <c r="J78" s="541" t="e">
        <f>1-(ABS(H78)/I78)</f>
        <v>#DIV/0!</v>
      </c>
      <c r="N78" s="179" t="str">
        <f>B78</f>
        <v>需求过程</v>
      </c>
      <c r="O78" s="179" t="e">
        <f>J78</f>
        <v>#DIV/0!</v>
      </c>
    </row>
    <row r="79" ht="23.1" customHeight="1" outlineLevel="1" spans="1:15">
      <c r="A79" s="511"/>
      <c r="B79" s="64" t="s">
        <v>507</v>
      </c>
      <c r="C79" s="512">
        <f>C78+D78-E78</f>
        <v>0</v>
      </c>
      <c r="D79" s="509"/>
      <c r="E79" s="509"/>
      <c r="F79" s="509"/>
      <c r="G79" s="510">
        <f>D79+E79+F79</f>
        <v>0</v>
      </c>
      <c r="H79" s="509"/>
      <c r="I79" s="509"/>
      <c r="J79" s="541" t="e">
        <f>1-(ABS(H79)/I79)</f>
        <v>#DIV/0!</v>
      </c>
      <c r="N79" s="179" t="str">
        <f>B79</f>
        <v>设计过程</v>
      </c>
      <c r="O79" s="179" t="e">
        <f>J79</f>
        <v>#DIV/0!</v>
      </c>
    </row>
    <row r="80" ht="23.1" customHeight="1" outlineLevel="1" spans="1:15">
      <c r="A80" s="511"/>
      <c r="B80" s="64" t="s">
        <v>508</v>
      </c>
      <c r="C80" s="512">
        <f>C79+D79-E79</f>
        <v>0</v>
      </c>
      <c r="D80" s="509"/>
      <c r="E80" s="509"/>
      <c r="F80" s="509"/>
      <c r="G80" s="510">
        <f>D80+E80+F80</f>
        <v>0</v>
      </c>
      <c r="H80" s="509"/>
      <c r="I80" s="509"/>
      <c r="J80" s="541" t="e">
        <f>1-(ABS(H80)/I80)</f>
        <v>#DIV/0!</v>
      </c>
      <c r="N80" s="179" t="str">
        <f>B80</f>
        <v>开发过程</v>
      </c>
      <c r="O80" s="179" t="e">
        <f>J80</f>
        <v>#DIV/0!</v>
      </c>
    </row>
    <row r="81" ht="23.1" customHeight="1" outlineLevel="1" spans="1:15">
      <c r="A81" s="511"/>
      <c r="B81" s="64" t="s">
        <v>509</v>
      </c>
      <c r="C81" s="512">
        <f>C80+D80-E80</f>
        <v>0</v>
      </c>
      <c r="D81" s="509"/>
      <c r="E81" s="509"/>
      <c r="F81" s="509"/>
      <c r="G81" s="510">
        <f>D81+E81+F81</f>
        <v>0</v>
      </c>
      <c r="H81" s="509"/>
      <c r="I81" s="509"/>
      <c r="J81" s="541" t="e">
        <f>1-(ABS(H81)/I81)</f>
        <v>#DIV/0!</v>
      </c>
      <c r="N81" s="179" t="str">
        <f>B81</f>
        <v>测试过程</v>
      </c>
      <c r="O81" s="179" t="e">
        <f>J81</f>
        <v>#DIV/0!</v>
      </c>
    </row>
    <row r="82" ht="23.1" customHeight="1" outlineLevel="1" spans="1:10">
      <c r="A82" s="513"/>
      <c r="B82" s="514" t="s">
        <v>510</v>
      </c>
      <c r="C82" s="515">
        <f>C78</f>
        <v>0</v>
      </c>
      <c r="D82" s="515">
        <f t="shared" ref="D82:G82" si="0">SUM(D78:D81)</f>
        <v>0</v>
      </c>
      <c r="E82" s="515">
        <f t="shared" si="0"/>
        <v>0</v>
      </c>
      <c r="F82" s="515">
        <f t="shared" si="0"/>
        <v>0</v>
      </c>
      <c r="G82" s="515">
        <f t="shared" si="0"/>
        <v>0</v>
      </c>
      <c r="H82" s="518">
        <f>ABS(H78)+ABS(H79)+ABS(H80)+ABS(H81)</f>
        <v>0</v>
      </c>
      <c r="I82" s="518">
        <f>I78</f>
        <v>0</v>
      </c>
      <c r="J82" s="541" t="e">
        <f>1-(ABS(H82)/I82)</f>
        <v>#DIV/0!</v>
      </c>
    </row>
    <row r="83" ht="12.75" outlineLevel="1"/>
    <row r="84" outlineLevel="1"/>
    <row r="86" s="46" customFormat="1" ht="21.75" customHeight="1" spans="1:21">
      <c r="A86" s="495" t="s">
        <v>407</v>
      </c>
      <c r="B86" s="496"/>
      <c r="C86" s="496"/>
      <c r="D86" s="496"/>
      <c r="E86" s="496"/>
      <c r="F86" s="496"/>
      <c r="G86" s="496"/>
      <c r="H86" s="496"/>
      <c r="I86" s="496"/>
      <c r="J86" s="496"/>
      <c r="K86" s="534"/>
      <c r="L86" s="535"/>
      <c r="M86" s="535"/>
      <c r="N86" s="535"/>
      <c r="O86" s="535"/>
      <c r="P86" s="535"/>
      <c r="Q86" s="535"/>
      <c r="R86" s="535"/>
      <c r="S86" s="535"/>
      <c r="T86" s="535"/>
      <c r="U86" s="535"/>
    </row>
    <row r="87" ht="13.5" customHeight="1" outlineLevel="1" spans="1:21">
      <c r="A87" s="542" t="s">
        <v>493</v>
      </c>
      <c r="B87" s="543"/>
      <c r="C87" s="498"/>
      <c r="D87" s="498"/>
      <c r="E87" s="498"/>
      <c r="F87" s="498"/>
      <c r="G87" s="498"/>
      <c r="H87" s="498"/>
      <c r="I87" s="498"/>
      <c r="J87" s="498"/>
      <c r="K87" s="544"/>
      <c r="L87" s="537"/>
      <c r="M87" s="537"/>
      <c r="N87" s="537"/>
      <c r="O87" s="537"/>
      <c r="P87" s="537"/>
      <c r="Q87" s="537"/>
      <c r="R87" s="537"/>
      <c r="S87" s="537"/>
      <c r="T87" s="537"/>
      <c r="U87" s="537"/>
    </row>
    <row r="88" customHeight="1" outlineLevel="1" spans="1:21">
      <c r="A88" s="151" t="s">
        <v>494</v>
      </c>
      <c r="B88" s="498"/>
      <c r="C88" s="498"/>
      <c r="D88" s="498"/>
      <c r="E88" s="498"/>
      <c r="F88" s="498"/>
      <c r="G88" s="498"/>
      <c r="H88" s="498"/>
      <c r="I88" s="498"/>
      <c r="J88" s="498"/>
      <c r="K88" s="544"/>
      <c r="L88" s="537"/>
      <c r="M88" s="537"/>
      <c r="N88" s="537"/>
      <c r="O88" s="537"/>
      <c r="P88" s="537"/>
      <c r="Q88" s="537"/>
      <c r="R88" s="537"/>
      <c r="S88" s="537"/>
      <c r="T88" s="537"/>
      <c r="U88" s="537"/>
    </row>
    <row r="89" ht="15.75" customHeight="1" outlineLevel="1" spans="1:11">
      <c r="A89" s="151" t="s">
        <v>495</v>
      </c>
      <c r="B89" s="499"/>
      <c r="C89" s="499"/>
      <c r="D89" s="499"/>
      <c r="E89" s="499"/>
      <c r="F89" s="499"/>
      <c r="G89" s="499"/>
      <c r="H89" s="499"/>
      <c r="I89" s="499"/>
      <c r="J89" s="499"/>
      <c r="K89" s="544"/>
    </row>
    <row r="90" ht="16.5" customHeight="1" outlineLevel="1" spans="1:10">
      <c r="A90" s="500" t="s">
        <v>96</v>
      </c>
      <c r="B90" s="501" t="s">
        <v>496</v>
      </c>
      <c r="C90" s="501" t="s">
        <v>497</v>
      </c>
      <c r="D90" s="502" t="s">
        <v>498</v>
      </c>
      <c r="E90" s="503"/>
      <c r="F90" s="503"/>
      <c r="G90" s="504"/>
      <c r="H90" s="501" t="s">
        <v>499</v>
      </c>
      <c r="I90" s="501" t="s">
        <v>500</v>
      </c>
      <c r="J90" s="539" t="s">
        <v>501</v>
      </c>
    </row>
    <row r="91" ht="23.1" customHeight="1" outlineLevel="1" spans="1:10">
      <c r="A91" s="505"/>
      <c r="B91" s="506"/>
      <c r="C91" s="506"/>
      <c r="D91" s="507" t="s">
        <v>502</v>
      </c>
      <c r="E91" s="507" t="s">
        <v>503</v>
      </c>
      <c r="F91" s="507" t="s">
        <v>504</v>
      </c>
      <c r="G91" s="507" t="s">
        <v>505</v>
      </c>
      <c r="H91" s="506"/>
      <c r="I91" s="506"/>
      <c r="J91" s="540"/>
    </row>
    <row r="92" s="179" customFormat="1" ht="23.1" customHeight="1" outlineLevel="1" spans="1:15">
      <c r="A92" s="508" t="s">
        <v>261</v>
      </c>
      <c r="B92" s="64" t="s">
        <v>506</v>
      </c>
      <c r="C92" s="509">
        <f>19+1+2+17</f>
        <v>39</v>
      </c>
      <c r="D92" s="509">
        <v>0</v>
      </c>
      <c r="E92" s="509">
        <v>0</v>
      </c>
      <c r="F92" s="509">
        <v>0</v>
      </c>
      <c r="G92" s="510">
        <f>SUM(D92:F92)</f>
        <v>0</v>
      </c>
      <c r="H92" s="509">
        <v>0</v>
      </c>
      <c r="I92" s="509">
        <v>72.83</v>
      </c>
      <c r="J92" s="541">
        <f>1-(ABS(H92)/I92)</f>
        <v>1</v>
      </c>
      <c r="N92" s="179" t="str">
        <f>B92</f>
        <v>需求过程</v>
      </c>
      <c r="O92" s="179">
        <f>J92</f>
        <v>1</v>
      </c>
    </row>
    <row r="93" s="179" customFormat="1" ht="23.1" customHeight="1" outlineLevel="1" spans="1:15">
      <c r="A93" s="511"/>
      <c r="B93" s="64" t="s">
        <v>507</v>
      </c>
      <c r="C93" s="512">
        <f>C92+D92-E92</f>
        <v>39</v>
      </c>
      <c r="D93" s="509">
        <v>0</v>
      </c>
      <c r="E93" s="509">
        <v>0</v>
      </c>
      <c r="F93" s="509">
        <v>1</v>
      </c>
      <c r="G93" s="510">
        <f>SUM(D93:F93)</f>
        <v>1</v>
      </c>
      <c r="H93" s="509">
        <v>1</v>
      </c>
      <c r="I93" s="509">
        <v>72.83</v>
      </c>
      <c r="J93" s="541">
        <f>1-(ABS(H93)/I93)</f>
        <v>0.986269394480297</v>
      </c>
      <c r="N93" s="179" t="str">
        <f>B93</f>
        <v>设计过程</v>
      </c>
      <c r="O93" s="179">
        <f>J93</f>
        <v>0.986269394480297</v>
      </c>
    </row>
    <row r="94" s="179" customFormat="1" ht="23.1" customHeight="1" outlineLevel="1" spans="1:15">
      <c r="A94" s="511"/>
      <c r="B94" s="64" t="s">
        <v>508</v>
      </c>
      <c r="C94" s="512">
        <f>C93+D93-E93</f>
        <v>39</v>
      </c>
      <c r="D94" s="509">
        <v>0</v>
      </c>
      <c r="E94" s="509">
        <v>0</v>
      </c>
      <c r="F94" s="509">
        <v>0</v>
      </c>
      <c r="G94" s="510">
        <f>SUM(D94:F94)</f>
        <v>0</v>
      </c>
      <c r="H94" s="509">
        <v>0</v>
      </c>
      <c r="I94" s="509">
        <v>72.83</v>
      </c>
      <c r="J94" s="541">
        <f>1-(ABS(H94)/I94)</f>
        <v>1</v>
      </c>
      <c r="N94" s="179" t="str">
        <f>B94</f>
        <v>开发过程</v>
      </c>
      <c r="O94" s="179">
        <f>J94</f>
        <v>1</v>
      </c>
    </row>
    <row r="95" s="179" customFormat="1" ht="23.1" customHeight="1" outlineLevel="1" spans="1:17">
      <c r="A95" s="511"/>
      <c r="B95" s="64" t="s">
        <v>509</v>
      </c>
      <c r="C95" s="512">
        <f>C94+D94-E94</f>
        <v>39</v>
      </c>
      <c r="D95" s="509">
        <v>0</v>
      </c>
      <c r="E95" s="509">
        <v>0</v>
      </c>
      <c r="F95" s="509">
        <v>0</v>
      </c>
      <c r="G95" s="510">
        <f>SUM(D95:F95)</f>
        <v>0</v>
      </c>
      <c r="H95" s="509">
        <v>0</v>
      </c>
      <c r="I95" s="509">
        <v>72.83</v>
      </c>
      <c r="J95" s="541">
        <f>1-(ABS(H95)/I95)</f>
        <v>1</v>
      </c>
      <c r="N95" s="179" t="str">
        <f>B95</f>
        <v>测试过程</v>
      </c>
      <c r="O95" s="179">
        <f>J95</f>
        <v>1</v>
      </c>
      <c r="Q95" s="47"/>
    </row>
    <row r="96" ht="18.75" customHeight="1" outlineLevel="1" spans="1:15">
      <c r="A96" s="513"/>
      <c r="B96" s="514" t="s">
        <v>510</v>
      </c>
      <c r="C96" s="515">
        <f>C92</f>
        <v>39</v>
      </c>
      <c r="D96" s="515">
        <f>SUM(D92:D95)</f>
        <v>0</v>
      </c>
      <c r="E96" s="516">
        <f>SUM(E92:E95)</f>
        <v>0</v>
      </c>
      <c r="F96" s="517">
        <f>SUM(F92:F95)</f>
        <v>1</v>
      </c>
      <c r="G96" s="518">
        <f>SUM(G92:G95)</f>
        <v>1</v>
      </c>
      <c r="H96" s="518">
        <f>ABS(H92)+ABS(H93)+ABS(H94)+ABS(H95)</f>
        <v>1</v>
      </c>
      <c r="I96" s="518">
        <f>I92</f>
        <v>72.83</v>
      </c>
      <c r="J96" s="541">
        <f>1-(ABS(H96)/I96)</f>
        <v>0.986269394480297</v>
      </c>
      <c r="O96" s="179">
        <f>J96</f>
        <v>0.986269394480297</v>
      </c>
    </row>
    <row r="97" ht="18.75" customHeight="1" outlineLevel="1" spans="1:10">
      <c r="A97" s="519"/>
      <c r="B97" s="519"/>
      <c r="C97" s="519"/>
      <c r="D97" s="146"/>
      <c r="E97" s="146"/>
      <c r="F97" s="519"/>
      <c r="G97" s="519"/>
      <c r="H97" s="519"/>
      <c r="I97" s="519"/>
      <c r="J97" s="519"/>
    </row>
    <row r="98" customHeight="1" outlineLevel="1" spans="1:10">
      <c r="A98" s="520" t="s">
        <v>511</v>
      </c>
      <c r="B98" s="521"/>
      <c r="C98" s="522"/>
      <c r="D98" s="523"/>
      <c r="E98" s="523"/>
      <c r="F98" s="523"/>
      <c r="G98" s="523"/>
      <c r="H98" s="523"/>
      <c r="I98" s="523"/>
      <c r="J98" s="523"/>
    </row>
    <row r="99" customHeight="1" outlineLevel="1" spans="1:10">
      <c r="A99" s="44" t="s">
        <v>494</v>
      </c>
      <c r="B99" s="44"/>
      <c r="C99" s="44"/>
      <c r="D99" s="44"/>
      <c r="E99" s="44"/>
      <c r="F99" s="44"/>
      <c r="G99" s="44"/>
      <c r="H99" s="44"/>
      <c r="I99" s="44"/>
      <c r="J99" s="44"/>
    </row>
    <row r="100" customHeight="1" outlineLevel="1" spans="1:10">
      <c r="A100" s="524" t="s">
        <v>512</v>
      </c>
      <c r="B100" s="524"/>
      <c r="C100" s="524"/>
      <c r="D100" s="524"/>
      <c r="E100" s="524"/>
      <c r="F100" s="524"/>
      <c r="G100" s="524"/>
      <c r="H100" s="524"/>
      <c r="I100" s="524"/>
      <c r="J100" s="524"/>
    </row>
    <row r="101" ht="18.75" customHeight="1" outlineLevel="1" spans="1:10">
      <c r="A101" s="500" t="s">
        <v>96</v>
      </c>
      <c r="B101" s="501" t="s">
        <v>496</v>
      </c>
      <c r="C101" s="501" t="s">
        <v>497</v>
      </c>
      <c r="D101" s="502" t="s">
        <v>498</v>
      </c>
      <c r="E101" s="503"/>
      <c r="F101" s="503"/>
      <c r="G101" s="504"/>
      <c r="H101" s="501" t="s">
        <v>499</v>
      </c>
      <c r="I101" s="501" t="s">
        <v>500</v>
      </c>
      <c r="J101" s="539" t="s">
        <v>501</v>
      </c>
    </row>
    <row r="102" ht="20.25" customHeight="1" outlineLevel="1" spans="1:10">
      <c r="A102" s="505"/>
      <c r="B102" s="506"/>
      <c r="C102" s="506"/>
      <c r="D102" s="507" t="s">
        <v>502</v>
      </c>
      <c r="E102" s="507" t="s">
        <v>503</v>
      </c>
      <c r="F102" s="507" t="s">
        <v>504</v>
      </c>
      <c r="G102" s="507" t="s">
        <v>505</v>
      </c>
      <c r="H102" s="506"/>
      <c r="I102" s="506"/>
      <c r="J102" s="540"/>
    </row>
    <row r="103" ht="23.1" customHeight="1" outlineLevel="1" spans="1:15">
      <c r="A103" s="508" t="s">
        <v>262</v>
      </c>
      <c r="B103" s="64" t="s">
        <v>506</v>
      </c>
      <c r="C103" s="509"/>
      <c r="D103" s="509"/>
      <c r="E103" s="509"/>
      <c r="F103" s="509"/>
      <c r="G103" s="510">
        <f>D103+E103+F103</f>
        <v>0</v>
      </c>
      <c r="H103" s="509"/>
      <c r="I103" s="509"/>
      <c r="J103" s="541" t="e">
        <f>1-(ABS(H103)/I103)</f>
        <v>#DIV/0!</v>
      </c>
      <c r="N103" s="179" t="str">
        <f>B103</f>
        <v>需求过程</v>
      </c>
      <c r="O103" s="179" t="e">
        <f>J103</f>
        <v>#DIV/0!</v>
      </c>
    </row>
    <row r="104" ht="23.1" customHeight="1" outlineLevel="1" spans="1:15">
      <c r="A104" s="511"/>
      <c r="B104" s="64" t="s">
        <v>507</v>
      </c>
      <c r="C104" s="512">
        <f>C103+D103-E103</f>
        <v>0</v>
      </c>
      <c r="D104" s="509"/>
      <c r="E104" s="509"/>
      <c r="F104" s="509"/>
      <c r="G104" s="510">
        <f>D104+E104+F104</f>
        <v>0</v>
      </c>
      <c r="H104" s="509"/>
      <c r="I104" s="509"/>
      <c r="J104" s="541" t="e">
        <f>1-(ABS(H104)/I104)</f>
        <v>#DIV/0!</v>
      </c>
      <c r="N104" s="179" t="str">
        <f>B104</f>
        <v>设计过程</v>
      </c>
      <c r="O104" s="179" t="e">
        <f>J104</f>
        <v>#DIV/0!</v>
      </c>
    </row>
    <row r="105" ht="23.1" customHeight="1" outlineLevel="1" spans="1:15">
      <c r="A105" s="511"/>
      <c r="B105" s="64" t="s">
        <v>508</v>
      </c>
      <c r="C105" s="512">
        <f>C104+D104-E104</f>
        <v>0</v>
      </c>
      <c r="D105" s="509"/>
      <c r="E105" s="509"/>
      <c r="F105" s="509"/>
      <c r="G105" s="510">
        <f>D105+E105+F105</f>
        <v>0</v>
      </c>
      <c r="H105" s="509"/>
      <c r="I105" s="509"/>
      <c r="J105" s="541" t="e">
        <f>1-(ABS(H105)/I105)</f>
        <v>#DIV/0!</v>
      </c>
      <c r="N105" s="179" t="str">
        <f>B105</f>
        <v>开发过程</v>
      </c>
      <c r="O105" s="179" t="e">
        <f>J105</f>
        <v>#DIV/0!</v>
      </c>
    </row>
    <row r="106" ht="23.1" customHeight="1" outlineLevel="1" spans="1:15">
      <c r="A106" s="511"/>
      <c r="B106" s="64" t="s">
        <v>509</v>
      </c>
      <c r="C106" s="512">
        <f>C105+D105-E105</f>
        <v>0</v>
      </c>
      <c r="D106" s="509"/>
      <c r="E106" s="509"/>
      <c r="F106" s="509"/>
      <c r="G106" s="510">
        <f>D106+E106+F106</f>
        <v>0</v>
      </c>
      <c r="H106" s="509"/>
      <c r="I106" s="509"/>
      <c r="J106" s="541" t="e">
        <f>1-(ABS(H106)/I106)</f>
        <v>#DIV/0!</v>
      </c>
      <c r="N106" s="179" t="str">
        <f>B106</f>
        <v>测试过程</v>
      </c>
      <c r="O106" s="179" t="e">
        <f>J106</f>
        <v>#DIV/0!</v>
      </c>
    </row>
    <row r="107" ht="23.1" customHeight="1" outlineLevel="1" spans="1:10">
      <c r="A107" s="513"/>
      <c r="B107" s="514" t="s">
        <v>510</v>
      </c>
      <c r="C107" s="515">
        <f>C103</f>
        <v>0</v>
      </c>
      <c r="D107" s="515">
        <f>SUM(D103:D106)</f>
        <v>0</v>
      </c>
      <c r="E107" s="515">
        <f>SUM(E103:E106)</f>
        <v>0</v>
      </c>
      <c r="F107" s="515">
        <f>SUM(F103:F106)</f>
        <v>0</v>
      </c>
      <c r="G107" s="515">
        <f>SUM(G103:G106)</f>
        <v>0</v>
      </c>
      <c r="H107" s="518">
        <f>ABS(H103)+ABS(H104)+ABS(H105)+ABS(H106)</f>
        <v>0</v>
      </c>
      <c r="I107" s="518">
        <f>I103</f>
        <v>0</v>
      </c>
      <c r="J107" s="541" t="e">
        <f>1-(ABS(H107)/I107)</f>
        <v>#DIV/0!</v>
      </c>
    </row>
    <row r="108" ht="12.75" outlineLevel="1"/>
    <row r="109" outlineLevel="1"/>
  </sheetData>
  <mergeCells count="82">
    <mergeCell ref="A10:J10"/>
    <mergeCell ref="D14:G14"/>
    <mergeCell ref="A21:J21"/>
    <mergeCell ref="A23:J23"/>
    <mergeCell ref="A24:J24"/>
    <mergeCell ref="D25:G25"/>
    <mergeCell ref="A35:J35"/>
    <mergeCell ref="D39:G39"/>
    <mergeCell ref="A46:J46"/>
    <mergeCell ref="A48:J48"/>
    <mergeCell ref="A49:J49"/>
    <mergeCell ref="D50:G50"/>
    <mergeCell ref="A61:J61"/>
    <mergeCell ref="D65:G65"/>
    <mergeCell ref="A72:J72"/>
    <mergeCell ref="A74:J74"/>
    <mergeCell ref="A75:J75"/>
    <mergeCell ref="D76:G76"/>
    <mergeCell ref="A86:J86"/>
    <mergeCell ref="D90:G90"/>
    <mergeCell ref="A97:J97"/>
    <mergeCell ref="A99:J99"/>
    <mergeCell ref="A100:J100"/>
    <mergeCell ref="D101:G101"/>
    <mergeCell ref="A14:A15"/>
    <mergeCell ref="A16:A20"/>
    <mergeCell ref="A25:A26"/>
    <mergeCell ref="A27:A31"/>
    <mergeCell ref="A39:A40"/>
    <mergeCell ref="A41:A45"/>
    <mergeCell ref="A50:A51"/>
    <mergeCell ref="A52:A56"/>
    <mergeCell ref="A65:A66"/>
    <mergeCell ref="A67:A71"/>
    <mergeCell ref="A76:A77"/>
    <mergeCell ref="A78:A82"/>
    <mergeCell ref="A90:A91"/>
    <mergeCell ref="A92:A96"/>
    <mergeCell ref="A101:A102"/>
    <mergeCell ref="A103:A107"/>
    <mergeCell ref="B14:B15"/>
    <mergeCell ref="B25:B26"/>
    <mergeCell ref="B39:B40"/>
    <mergeCell ref="B50:B51"/>
    <mergeCell ref="B65:B66"/>
    <mergeCell ref="B76:B77"/>
    <mergeCell ref="B90:B91"/>
    <mergeCell ref="B101:B102"/>
    <mergeCell ref="C14:C15"/>
    <mergeCell ref="C25:C26"/>
    <mergeCell ref="C39:C40"/>
    <mergeCell ref="C50:C51"/>
    <mergeCell ref="C65:C66"/>
    <mergeCell ref="C76:C77"/>
    <mergeCell ref="C90:C91"/>
    <mergeCell ref="C101:C102"/>
    <mergeCell ref="H14:H15"/>
    <mergeCell ref="H25:H26"/>
    <mergeCell ref="H39:H40"/>
    <mergeCell ref="H50:H51"/>
    <mergeCell ref="H65:H66"/>
    <mergeCell ref="H76:H77"/>
    <mergeCell ref="H90:H91"/>
    <mergeCell ref="H101:H102"/>
    <mergeCell ref="I14:I15"/>
    <mergeCell ref="I25:I26"/>
    <mergeCell ref="I39:I40"/>
    <mergeCell ref="I50:I51"/>
    <mergeCell ref="I65:I66"/>
    <mergeCell ref="I76:I77"/>
    <mergeCell ref="I90:I91"/>
    <mergeCell ref="I101:I102"/>
    <mergeCell ref="J14:J15"/>
    <mergeCell ref="J25:J26"/>
    <mergeCell ref="J39:J40"/>
    <mergeCell ref="J50:J51"/>
    <mergeCell ref="J65:J66"/>
    <mergeCell ref="J76:J77"/>
    <mergeCell ref="J90:J91"/>
    <mergeCell ref="J101:J102"/>
    <mergeCell ref="L1:U9"/>
    <mergeCell ref="A1:J9"/>
  </mergeCells>
  <pageMargins left="0.699305555555556" right="0.699305555555556" top="0.75" bottom="0.75" header="0.3" footer="0.3"/>
  <pageSetup paperSize="9" orientation="portrait"/>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7"/>
    <outlinePr summaryBelow="0"/>
  </sheetPr>
  <dimension ref="A1:W225"/>
  <sheetViews>
    <sheetView showGridLines="0" topLeftCell="A178" workbookViewId="0">
      <selection activeCell="C193" sqref="C193:D193"/>
    </sheetView>
  </sheetViews>
  <sheetFormatPr defaultColWidth="9" defaultRowHeight="12"/>
  <cols>
    <col min="1" max="1" width="5.125" style="307" customWidth="1"/>
    <col min="2" max="2" width="21.125" style="43" customWidth="1"/>
    <col min="3" max="7" width="7.25" style="43" customWidth="1"/>
    <col min="8" max="8" width="8.375" style="43" customWidth="1"/>
    <col min="9" max="11" width="7.25" style="43" customWidth="1"/>
    <col min="12" max="12" width="13.875" style="43" customWidth="1"/>
    <col min="13" max="13" width="7.25" style="43" customWidth="1"/>
    <col min="14" max="14" width="10.5" style="43" customWidth="1"/>
    <col min="15" max="15" width="9" style="43" customWidth="1"/>
    <col min="16" max="16" width="9.5" style="43" customWidth="1"/>
    <col min="17" max="17" width="8.25" style="43" customWidth="1"/>
    <col min="18" max="18" width="19.875" style="43" customWidth="1"/>
    <col min="19" max="20" width="9" style="43"/>
    <col min="21" max="21" width="9.5" style="43" customWidth="1"/>
    <col min="22" max="22" width="12.75" style="43" customWidth="1"/>
    <col min="23" max="256" width="9" style="43"/>
    <col min="257" max="257" width="3.875" style="43" customWidth="1"/>
    <col min="258" max="258" width="21.125" style="43" customWidth="1"/>
    <col min="259" max="263" width="7.25" style="43" customWidth="1"/>
    <col min="264" max="264" width="8.375" style="43" customWidth="1"/>
    <col min="265" max="270" width="7.25" style="43" customWidth="1"/>
    <col min="271" max="271" width="18.625" style="43" customWidth="1"/>
    <col min="272" max="272" width="19.125" style="43" customWidth="1"/>
    <col min="273" max="273" width="4.375" style="43" customWidth="1"/>
    <col min="274" max="274" width="10.75" style="43" customWidth="1"/>
    <col min="275" max="512" width="9" style="43"/>
    <col min="513" max="513" width="3.875" style="43" customWidth="1"/>
    <col min="514" max="514" width="21.125" style="43" customWidth="1"/>
    <col min="515" max="519" width="7.25" style="43" customWidth="1"/>
    <col min="520" max="520" width="8.375" style="43" customWidth="1"/>
    <col min="521" max="526" width="7.25" style="43" customWidth="1"/>
    <col min="527" max="527" width="18.625" style="43" customWidth="1"/>
    <col min="528" max="528" width="19.125" style="43" customWidth="1"/>
    <col min="529" max="529" width="4.375" style="43" customWidth="1"/>
    <col min="530" max="530" width="10.75" style="43" customWidth="1"/>
    <col min="531" max="768" width="9" style="43"/>
    <col min="769" max="769" width="3.875" style="43" customWidth="1"/>
    <col min="770" max="770" width="21.125" style="43" customWidth="1"/>
    <col min="771" max="775" width="7.25" style="43" customWidth="1"/>
    <col min="776" max="776" width="8.375" style="43" customWidth="1"/>
    <col min="777" max="782" width="7.25" style="43" customWidth="1"/>
    <col min="783" max="783" width="18.625" style="43" customWidth="1"/>
    <col min="784" max="784" width="19.125" style="43" customWidth="1"/>
    <col min="785" max="785" width="4.375" style="43" customWidth="1"/>
    <col min="786" max="786" width="10.75" style="43" customWidth="1"/>
    <col min="787" max="1024" width="9" style="43"/>
    <col min="1025" max="1025" width="3.875" style="43" customWidth="1"/>
    <col min="1026" max="1026" width="21.125" style="43" customWidth="1"/>
    <col min="1027" max="1031" width="7.25" style="43" customWidth="1"/>
    <col min="1032" max="1032" width="8.375" style="43" customWidth="1"/>
    <col min="1033" max="1038" width="7.25" style="43" customWidth="1"/>
    <col min="1039" max="1039" width="18.625" style="43" customWidth="1"/>
    <col min="1040" max="1040" width="19.125" style="43" customWidth="1"/>
    <col min="1041" max="1041" width="4.375" style="43" customWidth="1"/>
    <col min="1042" max="1042" width="10.75" style="43" customWidth="1"/>
    <col min="1043" max="1280" width="9" style="43"/>
    <col min="1281" max="1281" width="3.875" style="43" customWidth="1"/>
    <col min="1282" max="1282" width="21.125" style="43" customWidth="1"/>
    <col min="1283" max="1287" width="7.25" style="43" customWidth="1"/>
    <col min="1288" max="1288" width="8.375" style="43" customWidth="1"/>
    <col min="1289" max="1294" width="7.25" style="43" customWidth="1"/>
    <col min="1295" max="1295" width="18.625" style="43" customWidth="1"/>
    <col min="1296" max="1296" width="19.125" style="43" customWidth="1"/>
    <col min="1297" max="1297" width="4.375" style="43" customWidth="1"/>
    <col min="1298" max="1298" width="10.75" style="43" customWidth="1"/>
    <col min="1299" max="1536" width="9" style="43"/>
    <col min="1537" max="1537" width="3.875" style="43" customWidth="1"/>
    <col min="1538" max="1538" width="21.125" style="43" customWidth="1"/>
    <col min="1539" max="1543" width="7.25" style="43" customWidth="1"/>
    <col min="1544" max="1544" width="8.375" style="43" customWidth="1"/>
    <col min="1545" max="1550" width="7.25" style="43" customWidth="1"/>
    <col min="1551" max="1551" width="18.625" style="43" customWidth="1"/>
    <col min="1552" max="1552" width="19.125" style="43" customWidth="1"/>
    <col min="1553" max="1553" width="4.375" style="43" customWidth="1"/>
    <col min="1554" max="1554" width="10.75" style="43" customWidth="1"/>
    <col min="1555" max="1792" width="9" style="43"/>
    <col min="1793" max="1793" width="3.875" style="43" customWidth="1"/>
    <col min="1794" max="1794" width="21.125" style="43" customWidth="1"/>
    <col min="1795" max="1799" width="7.25" style="43" customWidth="1"/>
    <col min="1800" max="1800" width="8.375" style="43" customWidth="1"/>
    <col min="1801" max="1806" width="7.25" style="43" customWidth="1"/>
    <col min="1807" max="1807" width="18.625" style="43" customWidth="1"/>
    <col min="1808" max="1808" width="19.125" style="43" customWidth="1"/>
    <col min="1809" max="1809" width="4.375" style="43" customWidth="1"/>
    <col min="1810" max="1810" width="10.75" style="43" customWidth="1"/>
    <col min="1811" max="2048" width="9" style="43"/>
    <col min="2049" max="2049" width="3.875" style="43" customWidth="1"/>
    <col min="2050" max="2050" width="21.125" style="43" customWidth="1"/>
    <col min="2051" max="2055" width="7.25" style="43" customWidth="1"/>
    <col min="2056" max="2056" width="8.375" style="43" customWidth="1"/>
    <col min="2057" max="2062" width="7.25" style="43" customWidth="1"/>
    <col min="2063" max="2063" width="18.625" style="43" customWidth="1"/>
    <col min="2064" max="2064" width="19.125" style="43" customWidth="1"/>
    <col min="2065" max="2065" width="4.375" style="43" customWidth="1"/>
    <col min="2066" max="2066" width="10.75" style="43" customWidth="1"/>
    <col min="2067" max="2304" width="9" style="43"/>
    <col min="2305" max="2305" width="3.875" style="43" customWidth="1"/>
    <col min="2306" max="2306" width="21.125" style="43" customWidth="1"/>
    <col min="2307" max="2311" width="7.25" style="43" customWidth="1"/>
    <col min="2312" max="2312" width="8.375" style="43" customWidth="1"/>
    <col min="2313" max="2318" width="7.25" style="43" customWidth="1"/>
    <col min="2319" max="2319" width="18.625" style="43" customWidth="1"/>
    <col min="2320" max="2320" width="19.125" style="43" customWidth="1"/>
    <col min="2321" max="2321" width="4.375" style="43" customWidth="1"/>
    <col min="2322" max="2322" width="10.75" style="43" customWidth="1"/>
    <col min="2323" max="2560" width="9" style="43"/>
    <col min="2561" max="2561" width="3.875" style="43" customWidth="1"/>
    <col min="2562" max="2562" width="21.125" style="43" customWidth="1"/>
    <col min="2563" max="2567" width="7.25" style="43" customWidth="1"/>
    <col min="2568" max="2568" width="8.375" style="43" customWidth="1"/>
    <col min="2569" max="2574" width="7.25" style="43" customWidth="1"/>
    <col min="2575" max="2575" width="18.625" style="43" customWidth="1"/>
    <col min="2576" max="2576" width="19.125" style="43" customWidth="1"/>
    <col min="2577" max="2577" width="4.375" style="43" customWidth="1"/>
    <col min="2578" max="2578" width="10.75" style="43" customWidth="1"/>
    <col min="2579" max="2816" width="9" style="43"/>
    <col min="2817" max="2817" width="3.875" style="43" customWidth="1"/>
    <col min="2818" max="2818" width="21.125" style="43" customWidth="1"/>
    <col min="2819" max="2823" width="7.25" style="43" customWidth="1"/>
    <col min="2824" max="2824" width="8.375" style="43" customWidth="1"/>
    <col min="2825" max="2830" width="7.25" style="43" customWidth="1"/>
    <col min="2831" max="2831" width="18.625" style="43" customWidth="1"/>
    <col min="2832" max="2832" width="19.125" style="43" customWidth="1"/>
    <col min="2833" max="2833" width="4.375" style="43" customWidth="1"/>
    <col min="2834" max="2834" width="10.75" style="43" customWidth="1"/>
    <col min="2835" max="3072" width="9" style="43"/>
    <col min="3073" max="3073" width="3.875" style="43" customWidth="1"/>
    <col min="3074" max="3074" width="21.125" style="43" customWidth="1"/>
    <col min="3075" max="3079" width="7.25" style="43" customWidth="1"/>
    <col min="3080" max="3080" width="8.375" style="43" customWidth="1"/>
    <col min="3081" max="3086" width="7.25" style="43" customWidth="1"/>
    <col min="3087" max="3087" width="18.625" style="43" customWidth="1"/>
    <col min="3088" max="3088" width="19.125" style="43" customWidth="1"/>
    <col min="3089" max="3089" width="4.375" style="43" customWidth="1"/>
    <col min="3090" max="3090" width="10.75" style="43" customWidth="1"/>
    <col min="3091" max="3328" width="9" style="43"/>
    <col min="3329" max="3329" width="3.875" style="43" customWidth="1"/>
    <col min="3330" max="3330" width="21.125" style="43" customWidth="1"/>
    <col min="3331" max="3335" width="7.25" style="43" customWidth="1"/>
    <col min="3336" max="3336" width="8.375" style="43" customWidth="1"/>
    <col min="3337" max="3342" width="7.25" style="43" customWidth="1"/>
    <col min="3343" max="3343" width="18.625" style="43" customWidth="1"/>
    <col min="3344" max="3344" width="19.125" style="43" customWidth="1"/>
    <col min="3345" max="3345" width="4.375" style="43" customWidth="1"/>
    <col min="3346" max="3346" width="10.75" style="43" customWidth="1"/>
    <col min="3347" max="3584" width="9" style="43"/>
    <col min="3585" max="3585" width="3.875" style="43" customWidth="1"/>
    <col min="3586" max="3586" width="21.125" style="43" customWidth="1"/>
    <col min="3587" max="3591" width="7.25" style="43" customWidth="1"/>
    <col min="3592" max="3592" width="8.375" style="43" customWidth="1"/>
    <col min="3593" max="3598" width="7.25" style="43" customWidth="1"/>
    <col min="3599" max="3599" width="18.625" style="43" customWidth="1"/>
    <col min="3600" max="3600" width="19.125" style="43" customWidth="1"/>
    <col min="3601" max="3601" width="4.375" style="43" customWidth="1"/>
    <col min="3602" max="3602" width="10.75" style="43" customWidth="1"/>
    <col min="3603" max="3840" width="9" style="43"/>
    <col min="3841" max="3841" width="3.875" style="43" customWidth="1"/>
    <col min="3842" max="3842" width="21.125" style="43" customWidth="1"/>
    <col min="3843" max="3847" width="7.25" style="43" customWidth="1"/>
    <col min="3848" max="3848" width="8.375" style="43" customWidth="1"/>
    <col min="3849" max="3854" width="7.25" style="43" customWidth="1"/>
    <col min="3855" max="3855" width="18.625" style="43" customWidth="1"/>
    <col min="3856" max="3856" width="19.125" style="43" customWidth="1"/>
    <col min="3857" max="3857" width="4.375" style="43" customWidth="1"/>
    <col min="3858" max="3858" width="10.75" style="43" customWidth="1"/>
    <col min="3859" max="4096" width="9" style="43"/>
    <col min="4097" max="4097" width="3.875" style="43" customWidth="1"/>
    <col min="4098" max="4098" width="21.125" style="43" customWidth="1"/>
    <col min="4099" max="4103" width="7.25" style="43" customWidth="1"/>
    <col min="4104" max="4104" width="8.375" style="43" customWidth="1"/>
    <col min="4105" max="4110" width="7.25" style="43" customWidth="1"/>
    <col min="4111" max="4111" width="18.625" style="43" customWidth="1"/>
    <col min="4112" max="4112" width="19.125" style="43" customWidth="1"/>
    <col min="4113" max="4113" width="4.375" style="43" customWidth="1"/>
    <col min="4114" max="4114" width="10.75" style="43" customWidth="1"/>
    <col min="4115" max="4352" width="9" style="43"/>
    <col min="4353" max="4353" width="3.875" style="43" customWidth="1"/>
    <col min="4354" max="4354" width="21.125" style="43" customWidth="1"/>
    <col min="4355" max="4359" width="7.25" style="43" customWidth="1"/>
    <col min="4360" max="4360" width="8.375" style="43" customWidth="1"/>
    <col min="4361" max="4366" width="7.25" style="43" customWidth="1"/>
    <col min="4367" max="4367" width="18.625" style="43" customWidth="1"/>
    <col min="4368" max="4368" width="19.125" style="43" customWidth="1"/>
    <col min="4369" max="4369" width="4.375" style="43" customWidth="1"/>
    <col min="4370" max="4370" width="10.75" style="43" customWidth="1"/>
    <col min="4371" max="4608" width="9" style="43"/>
    <col min="4609" max="4609" width="3.875" style="43" customWidth="1"/>
    <col min="4610" max="4610" width="21.125" style="43" customWidth="1"/>
    <col min="4611" max="4615" width="7.25" style="43" customWidth="1"/>
    <col min="4616" max="4616" width="8.375" style="43" customWidth="1"/>
    <col min="4617" max="4622" width="7.25" style="43" customWidth="1"/>
    <col min="4623" max="4623" width="18.625" style="43" customWidth="1"/>
    <col min="4624" max="4624" width="19.125" style="43" customWidth="1"/>
    <col min="4625" max="4625" width="4.375" style="43" customWidth="1"/>
    <col min="4626" max="4626" width="10.75" style="43" customWidth="1"/>
    <col min="4627" max="4864" width="9" style="43"/>
    <col min="4865" max="4865" width="3.875" style="43" customWidth="1"/>
    <col min="4866" max="4866" width="21.125" style="43" customWidth="1"/>
    <col min="4867" max="4871" width="7.25" style="43" customWidth="1"/>
    <col min="4872" max="4872" width="8.375" style="43" customWidth="1"/>
    <col min="4873" max="4878" width="7.25" style="43" customWidth="1"/>
    <col min="4879" max="4879" width="18.625" style="43" customWidth="1"/>
    <col min="4880" max="4880" width="19.125" style="43" customWidth="1"/>
    <col min="4881" max="4881" width="4.375" style="43" customWidth="1"/>
    <col min="4882" max="4882" width="10.75" style="43" customWidth="1"/>
    <col min="4883" max="5120" width="9" style="43"/>
    <col min="5121" max="5121" width="3.875" style="43" customWidth="1"/>
    <col min="5122" max="5122" width="21.125" style="43" customWidth="1"/>
    <col min="5123" max="5127" width="7.25" style="43" customWidth="1"/>
    <col min="5128" max="5128" width="8.375" style="43" customWidth="1"/>
    <col min="5129" max="5134" width="7.25" style="43" customWidth="1"/>
    <col min="5135" max="5135" width="18.625" style="43" customWidth="1"/>
    <col min="5136" max="5136" width="19.125" style="43" customWidth="1"/>
    <col min="5137" max="5137" width="4.375" style="43" customWidth="1"/>
    <col min="5138" max="5138" width="10.75" style="43" customWidth="1"/>
    <col min="5139" max="5376" width="9" style="43"/>
    <col min="5377" max="5377" width="3.875" style="43" customWidth="1"/>
    <col min="5378" max="5378" width="21.125" style="43" customWidth="1"/>
    <col min="5379" max="5383" width="7.25" style="43" customWidth="1"/>
    <col min="5384" max="5384" width="8.375" style="43" customWidth="1"/>
    <col min="5385" max="5390" width="7.25" style="43" customWidth="1"/>
    <col min="5391" max="5391" width="18.625" style="43" customWidth="1"/>
    <col min="5392" max="5392" width="19.125" style="43" customWidth="1"/>
    <col min="5393" max="5393" width="4.375" style="43" customWidth="1"/>
    <col min="5394" max="5394" width="10.75" style="43" customWidth="1"/>
    <col min="5395" max="5632" width="9" style="43"/>
    <col min="5633" max="5633" width="3.875" style="43" customWidth="1"/>
    <col min="5634" max="5634" width="21.125" style="43" customWidth="1"/>
    <col min="5635" max="5639" width="7.25" style="43" customWidth="1"/>
    <col min="5640" max="5640" width="8.375" style="43" customWidth="1"/>
    <col min="5641" max="5646" width="7.25" style="43" customWidth="1"/>
    <col min="5647" max="5647" width="18.625" style="43" customWidth="1"/>
    <col min="5648" max="5648" width="19.125" style="43" customWidth="1"/>
    <col min="5649" max="5649" width="4.375" style="43" customWidth="1"/>
    <col min="5650" max="5650" width="10.75" style="43" customWidth="1"/>
    <col min="5651" max="5888" width="9" style="43"/>
    <col min="5889" max="5889" width="3.875" style="43" customWidth="1"/>
    <col min="5890" max="5890" width="21.125" style="43" customWidth="1"/>
    <col min="5891" max="5895" width="7.25" style="43" customWidth="1"/>
    <col min="5896" max="5896" width="8.375" style="43" customWidth="1"/>
    <col min="5897" max="5902" width="7.25" style="43" customWidth="1"/>
    <col min="5903" max="5903" width="18.625" style="43" customWidth="1"/>
    <col min="5904" max="5904" width="19.125" style="43" customWidth="1"/>
    <col min="5905" max="5905" width="4.375" style="43" customWidth="1"/>
    <col min="5906" max="5906" width="10.75" style="43" customWidth="1"/>
    <col min="5907" max="6144" width="9" style="43"/>
    <col min="6145" max="6145" width="3.875" style="43" customWidth="1"/>
    <col min="6146" max="6146" width="21.125" style="43" customWidth="1"/>
    <col min="6147" max="6151" width="7.25" style="43" customWidth="1"/>
    <col min="6152" max="6152" width="8.375" style="43" customWidth="1"/>
    <col min="6153" max="6158" width="7.25" style="43" customWidth="1"/>
    <col min="6159" max="6159" width="18.625" style="43" customWidth="1"/>
    <col min="6160" max="6160" width="19.125" style="43" customWidth="1"/>
    <col min="6161" max="6161" width="4.375" style="43" customWidth="1"/>
    <col min="6162" max="6162" width="10.75" style="43" customWidth="1"/>
    <col min="6163" max="6400" width="9" style="43"/>
    <col min="6401" max="6401" width="3.875" style="43" customWidth="1"/>
    <col min="6402" max="6402" width="21.125" style="43" customWidth="1"/>
    <col min="6403" max="6407" width="7.25" style="43" customWidth="1"/>
    <col min="6408" max="6408" width="8.375" style="43" customWidth="1"/>
    <col min="6409" max="6414" width="7.25" style="43" customWidth="1"/>
    <col min="6415" max="6415" width="18.625" style="43" customWidth="1"/>
    <col min="6416" max="6416" width="19.125" style="43" customWidth="1"/>
    <col min="6417" max="6417" width="4.375" style="43" customWidth="1"/>
    <col min="6418" max="6418" width="10.75" style="43" customWidth="1"/>
    <col min="6419" max="6656" width="9" style="43"/>
    <col min="6657" max="6657" width="3.875" style="43" customWidth="1"/>
    <col min="6658" max="6658" width="21.125" style="43" customWidth="1"/>
    <col min="6659" max="6663" width="7.25" style="43" customWidth="1"/>
    <col min="6664" max="6664" width="8.375" style="43" customWidth="1"/>
    <col min="6665" max="6670" width="7.25" style="43" customWidth="1"/>
    <col min="6671" max="6671" width="18.625" style="43" customWidth="1"/>
    <col min="6672" max="6672" width="19.125" style="43" customWidth="1"/>
    <col min="6673" max="6673" width="4.375" style="43" customWidth="1"/>
    <col min="6674" max="6674" width="10.75" style="43" customWidth="1"/>
    <col min="6675" max="6912" width="9" style="43"/>
    <col min="6913" max="6913" width="3.875" style="43" customWidth="1"/>
    <col min="6914" max="6914" width="21.125" style="43" customWidth="1"/>
    <col min="6915" max="6919" width="7.25" style="43" customWidth="1"/>
    <col min="6920" max="6920" width="8.375" style="43" customWidth="1"/>
    <col min="6921" max="6926" width="7.25" style="43" customWidth="1"/>
    <col min="6927" max="6927" width="18.625" style="43" customWidth="1"/>
    <col min="6928" max="6928" width="19.125" style="43" customWidth="1"/>
    <col min="6929" max="6929" width="4.375" style="43" customWidth="1"/>
    <col min="6930" max="6930" width="10.75" style="43" customWidth="1"/>
    <col min="6931" max="7168" width="9" style="43"/>
    <col min="7169" max="7169" width="3.875" style="43" customWidth="1"/>
    <col min="7170" max="7170" width="21.125" style="43" customWidth="1"/>
    <col min="7171" max="7175" width="7.25" style="43" customWidth="1"/>
    <col min="7176" max="7176" width="8.375" style="43" customWidth="1"/>
    <col min="7177" max="7182" width="7.25" style="43" customWidth="1"/>
    <col min="7183" max="7183" width="18.625" style="43" customWidth="1"/>
    <col min="7184" max="7184" width="19.125" style="43" customWidth="1"/>
    <col min="7185" max="7185" width="4.375" style="43" customWidth="1"/>
    <col min="7186" max="7186" width="10.75" style="43" customWidth="1"/>
    <col min="7187" max="7424" width="9" style="43"/>
    <col min="7425" max="7425" width="3.875" style="43" customWidth="1"/>
    <col min="7426" max="7426" width="21.125" style="43" customWidth="1"/>
    <col min="7427" max="7431" width="7.25" style="43" customWidth="1"/>
    <col min="7432" max="7432" width="8.375" style="43" customWidth="1"/>
    <col min="7433" max="7438" width="7.25" style="43" customWidth="1"/>
    <col min="7439" max="7439" width="18.625" style="43" customWidth="1"/>
    <col min="7440" max="7440" width="19.125" style="43" customWidth="1"/>
    <col min="7441" max="7441" width="4.375" style="43" customWidth="1"/>
    <col min="7442" max="7442" width="10.75" style="43" customWidth="1"/>
    <col min="7443" max="7680" width="9" style="43"/>
    <col min="7681" max="7681" width="3.875" style="43" customWidth="1"/>
    <col min="7682" max="7682" width="21.125" style="43" customWidth="1"/>
    <col min="7683" max="7687" width="7.25" style="43" customWidth="1"/>
    <col min="7688" max="7688" width="8.375" style="43" customWidth="1"/>
    <col min="7689" max="7694" width="7.25" style="43" customWidth="1"/>
    <col min="7695" max="7695" width="18.625" style="43" customWidth="1"/>
    <col min="7696" max="7696" width="19.125" style="43" customWidth="1"/>
    <col min="7697" max="7697" width="4.375" style="43" customWidth="1"/>
    <col min="7698" max="7698" width="10.75" style="43" customWidth="1"/>
    <col min="7699" max="7936" width="9" style="43"/>
    <col min="7937" max="7937" width="3.875" style="43" customWidth="1"/>
    <col min="7938" max="7938" width="21.125" style="43" customWidth="1"/>
    <col min="7939" max="7943" width="7.25" style="43" customWidth="1"/>
    <col min="7944" max="7944" width="8.375" style="43" customWidth="1"/>
    <col min="7945" max="7950" width="7.25" style="43" customWidth="1"/>
    <col min="7951" max="7951" width="18.625" style="43" customWidth="1"/>
    <col min="7952" max="7952" width="19.125" style="43" customWidth="1"/>
    <col min="7953" max="7953" width="4.375" style="43" customWidth="1"/>
    <col min="7954" max="7954" width="10.75" style="43" customWidth="1"/>
    <col min="7955" max="8192" width="9" style="43"/>
    <col min="8193" max="8193" width="3.875" style="43" customWidth="1"/>
    <col min="8194" max="8194" width="21.125" style="43" customWidth="1"/>
    <col min="8195" max="8199" width="7.25" style="43" customWidth="1"/>
    <col min="8200" max="8200" width="8.375" style="43" customWidth="1"/>
    <col min="8201" max="8206" width="7.25" style="43" customWidth="1"/>
    <col min="8207" max="8207" width="18.625" style="43" customWidth="1"/>
    <col min="8208" max="8208" width="19.125" style="43" customWidth="1"/>
    <col min="8209" max="8209" width="4.375" style="43" customWidth="1"/>
    <col min="8210" max="8210" width="10.75" style="43" customWidth="1"/>
    <col min="8211" max="8448" width="9" style="43"/>
    <col min="8449" max="8449" width="3.875" style="43" customWidth="1"/>
    <col min="8450" max="8450" width="21.125" style="43" customWidth="1"/>
    <col min="8451" max="8455" width="7.25" style="43" customWidth="1"/>
    <col min="8456" max="8456" width="8.375" style="43" customWidth="1"/>
    <col min="8457" max="8462" width="7.25" style="43" customWidth="1"/>
    <col min="8463" max="8463" width="18.625" style="43" customWidth="1"/>
    <col min="8464" max="8464" width="19.125" style="43" customWidth="1"/>
    <col min="8465" max="8465" width="4.375" style="43" customWidth="1"/>
    <col min="8466" max="8466" width="10.75" style="43" customWidth="1"/>
    <col min="8467" max="8704" width="9" style="43"/>
    <col min="8705" max="8705" width="3.875" style="43" customWidth="1"/>
    <col min="8706" max="8706" width="21.125" style="43" customWidth="1"/>
    <col min="8707" max="8711" width="7.25" style="43" customWidth="1"/>
    <col min="8712" max="8712" width="8.375" style="43" customWidth="1"/>
    <col min="8713" max="8718" width="7.25" style="43" customWidth="1"/>
    <col min="8719" max="8719" width="18.625" style="43" customWidth="1"/>
    <col min="8720" max="8720" width="19.125" style="43" customWidth="1"/>
    <col min="8721" max="8721" width="4.375" style="43" customWidth="1"/>
    <col min="8722" max="8722" width="10.75" style="43" customWidth="1"/>
    <col min="8723" max="8960" width="9" style="43"/>
    <col min="8961" max="8961" width="3.875" style="43" customWidth="1"/>
    <col min="8962" max="8962" width="21.125" style="43" customWidth="1"/>
    <col min="8963" max="8967" width="7.25" style="43" customWidth="1"/>
    <col min="8968" max="8968" width="8.375" style="43" customWidth="1"/>
    <col min="8969" max="8974" width="7.25" style="43" customWidth="1"/>
    <col min="8975" max="8975" width="18.625" style="43" customWidth="1"/>
    <col min="8976" max="8976" width="19.125" style="43" customWidth="1"/>
    <col min="8977" max="8977" width="4.375" style="43" customWidth="1"/>
    <col min="8978" max="8978" width="10.75" style="43" customWidth="1"/>
    <col min="8979" max="9216" width="9" style="43"/>
    <col min="9217" max="9217" width="3.875" style="43" customWidth="1"/>
    <col min="9218" max="9218" width="21.125" style="43" customWidth="1"/>
    <col min="9219" max="9223" width="7.25" style="43" customWidth="1"/>
    <col min="9224" max="9224" width="8.375" style="43" customWidth="1"/>
    <col min="9225" max="9230" width="7.25" style="43" customWidth="1"/>
    <col min="9231" max="9231" width="18.625" style="43" customWidth="1"/>
    <col min="9232" max="9232" width="19.125" style="43" customWidth="1"/>
    <col min="9233" max="9233" width="4.375" style="43" customWidth="1"/>
    <col min="9234" max="9234" width="10.75" style="43" customWidth="1"/>
    <col min="9235" max="9472" width="9" style="43"/>
    <col min="9473" max="9473" width="3.875" style="43" customWidth="1"/>
    <col min="9474" max="9474" width="21.125" style="43" customWidth="1"/>
    <col min="9475" max="9479" width="7.25" style="43" customWidth="1"/>
    <col min="9480" max="9480" width="8.375" style="43" customWidth="1"/>
    <col min="9481" max="9486" width="7.25" style="43" customWidth="1"/>
    <col min="9487" max="9487" width="18.625" style="43" customWidth="1"/>
    <col min="9488" max="9488" width="19.125" style="43" customWidth="1"/>
    <col min="9489" max="9489" width="4.375" style="43" customWidth="1"/>
    <col min="9490" max="9490" width="10.75" style="43" customWidth="1"/>
    <col min="9491" max="9728" width="9" style="43"/>
    <col min="9729" max="9729" width="3.875" style="43" customWidth="1"/>
    <col min="9730" max="9730" width="21.125" style="43" customWidth="1"/>
    <col min="9731" max="9735" width="7.25" style="43" customWidth="1"/>
    <col min="9736" max="9736" width="8.375" style="43" customWidth="1"/>
    <col min="9737" max="9742" width="7.25" style="43" customWidth="1"/>
    <col min="9743" max="9743" width="18.625" style="43" customWidth="1"/>
    <col min="9744" max="9744" width="19.125" style="43" customWidth="1"/>
    <col min="9745" max="9745" width="4.375" style="43" customWidth="1"/>
    <col min="9746" max="9746" width="10.75" style="43" customWidth="1"/>
    <col min="9747" max="9984" width="9" style="43"/>
    <col min="9985" max="9985" width="3.875" style="43" customWidth="1"/>
    <col min="9986" max="9986" width="21.125" style="43" customWidth="1"/>
    <col min="9987" max="9991" width="7.25" style="43" customWidth="1"/>
    <col min="9992" max="9992" width="8.375" style="43" customWidth="1"/>
    <col min="9993" max="9998" width="7.25" style="43" customWidth="1"/>
    <col min="9999" max="9999" width="18.625" style="43" customWidth="1"/>
    <col min="10000" max="10000" width="19.125" style="43" customWidth="1"/>
    <col min="10001" max="10001" width="4.375" style="43" customWidth="1"/>
    <col min="10002" max="10002" width="10.75" style="43" customWidth="1"/>
    <col min="10003" max="10240" width="9" style="43"/>
    <col min="10241" max="10241" width="3.875" style="43" customWidth="1"/>
    <col min="10242" max="10242" width="21.125" style="43" customWidth="1"/>
    <col min="10243" max="10247" width="7.25" style="43" customWidth="1"/>
    <col min="10248" max="10248" width="8.375" style="43" customWidth="1"/>
    <col min="10249" max="10254" width="7.25" style="43" customWidth="1"/>
    <col min="10255" max="10255" width="18.625" style="43" customWidth="1"/>
    <col min="10256" max="10256" width="19.125" style="43" customWidth="1"/>
    <col min="10257" max="10257" width="4.375" style="43" customWidth="1"/>
    <col min="10258" max="10258" width="10.75" style="43" customWidth="1"/>
    <col min="10259" max="10496" width="9" style="43"/>
    <col min="10497" max="10497" width="3.875" style="43" customWidth="1"/>
    <col min="10498" max="10498" width="21.125" style="43" customWidth="1"/>
    <col min="10499" max="10503" width="7.25" style="43" customWidth="1"/>
    <col min="10504" max="10504" width="8.375" style="43" customWidth="1"/>
    <col min="10505" max="10510" width="7.25" style="43" customWidth="1"/>
    <col min="10511" max="10511" width="18.625" style="43" customWidth="1"/>
    <col min="10512" max="10512" width="19.125" style="43" customWidth="1"/>
    <col min="10513" max="10513" width="4.375" style="43" customWidth="1"/>
    <col min="10514" max="10514" width="10.75" style="43" customWidth="1"/>
    <col min="10515" max="10752" width="9" style="43"/>
    <col min="10753" max="10753" width="3.875" style="43" customWidth="1"/>
    <col min="10754" max="10754" width="21.125" style="43" customWidth="1"/>
    <col min="10755" max="10759" width="7.25" style="43" customWidth="1"/>
    <col min="10760" max="10760" width="8.375" style="43" customWidth="1"/>
    <col min="10761" max="10766" width="7.25" style="43" customWidth="1"/>
    <col min="10767" max="10767" width="18.625" style="43" customWidth="1"/>
    <col min="10768" max="10768" width="19.125" style="43" customWidth="1"/>
    <col min="10769" max="10769" width="4.375" style="43" customWidth="1"/>
    <col min="10770" max="10770" width="10.75" style="43" customWidth="1"/>
    <col min="10771" max="11008" width="9" style="43"/>
    <col min="11009" max="11009" width="3.875" style="43" customWidth="1"/>
    <col min="11010" max="11010" width="21.125" style="43" customWidth="1"/>
    <col min="11011" max="11015" width="7.25" style="43" customWidth="1"/>
    <col min="11016" max="11016" width="8.375" style="43" customWidth="1"/>
    <col min="11017" max="11022" width="7.25" style="43" customWidth="1"/>
    <col min="11023" max="11023" width="18.625" style="43" customWidth="1"/>
    <col min="11024" max="11024" width="19.125" style="43" customWidth="1"/>
    <col min="11025" max="11025" width="4.375" style="43" customWidth="1"/>
    <col min="11026" max="11026" width="10.75" style="43" customWidth="1"/>
    <col min="11027" max="11264" width="9" style="43"/>
    <col min="11265" max="11265" width="3.875" style="43" customWidth="1"/>
    <col min="11266" max="11266" width="21.125" style="43" customWidth="1"/>
    <col min="11267" max="11271" width="7.25" style="43" customWidth="1"/>
    <col min="11272" max="11272" width="8.375" style="43" customWidth="1"/>
    <col min="11273" max="11278" width="7.25" style="43" customWidth="1"/>
    <col min="11279" max="11279" width="18.625" style="43" customWidth="1"/>
    <col min="11280" max="11280" width="19.125" style="43" customWidth="1"/>
    <col min="11281" max="11281" width="4.375" style="43" customWidth="1"/>
    <col min="11282" max="11282" width="10.75" style="43" customWidth="1"/>
    <col min="11283" max="11520" width="9" style="43"/>
    <col min="11521" max="11521" width="3.875" style="43" customWidth="1"/>
    <col min="11522" max="11522" width="21.125" style="43" customWidth="1"/>
    <col min="11523" max="11527" width="7.25" style="43" customWidth="1"/>
    <col min="11528" max="11528" width="8.375" style="43" customWidth="1"/>
    <col min="11529" max="11534" width="7.25" style="43" customWidth="1"/>
    <col min="11535" max="11535" width="18.625" style="43" customWidth="1"/>
    <col min="11536" max="11536" width="19.125" style="43" customWidth="1"/>
    <col min="11537" max="11537" width="4.375" style="43" customWidth="1"/>
    <col min="11538" max="11538" width="10.75" style="43" customWidth="1"/>
    <col min="11539" max="11776" width="9" style="43"/>
    <col min="11777" max="11777" width="3.875" style="43" customWidth="1"/>
    <col min="11778" max="11778" width="21.125" style="43" customWidth="1"/>
    <col min="11779" max="11783" width="7.25" style="43" customWidth="1"/>
    <col min="11784" max="11784" width="8.375" style="43" customWidth="1"/>
    <col min="11785" max="11790" width="7.25" style="43" customWidth="1"/>
    <col min="11791" max="11791" width="18.625" style="43" customWidth="1"/>
    <col min="11792" max="11792" width="19.125" style="43" customWidth="1"/>
    <col min="11793" max="11793" width="4.375" style="43" customWidth="1"/>
    <col min="11794" max="11794" width="10.75" style="43" customWidth="1"/>
    <col min="11795" max="12032" width="9" style="43"/>
    <col min="12033" max="12033" width="3.875" style="43" customWidth="1"/>
    <col min="12034" max="12034" width="21.125" style="43" customWidth="1"/>
    <col min="12035" max="12039" width="7.25" style="43" customWidth="1"/>
    <col min="12040" max="12040" width="8.375" style="43" customWidth="1"/>
    <col min="12041" max="12046" width="7.25" style="43" customWidth="1"/>
    <col min="12047" max="12047" width="18.625" style="43" customWidth="1"/>
    <col min="12048" max="12048" width="19.125" style="43" customWidth="1"/>
    <col min="12049" max="12049" width="4.375" style="43" customWidth="1"/>
    <col min="12050" max="12050" width="10.75" style="43" customWidth="1"/>
    <col min="12051" max="12288" width="9" style="43"/>
    <col min="12289" max="12289" width="3.875" style="43" customWidth="1"/>
    <col min="12290" max="12290" width="21.125" style="43" customWidth="1"/>
    <col min="12291" max="12295" width="7.25" style="43" customWidth="1"/>
    <col min="12296" max="12296" width="8.375" style="43" customWidth="1"/>
    <col min="12297" max="12302" width="7.25" style="43" customWidth="1"/>
    <col min="12303" max="12303" width="18.625" style="43" customWidth="1"/>
    <col min="12304" max="12304" width="19.125" style="43" customWidth="1"/>
    <col min="12305" max="12305" width="4.375" style="43" customWidth="1"/>
    <col min="12306" max="12306" width="10.75" style="43" customWidth="1"/>
    <col min="12307" max="12544" width="9" style="43"/>
    <col min="12545" max="12545" width="3.875" style="43" customWidth="1"/>
    <col min="12546" max="12546" width="21.125" style="43" customWidth="1"/>
    <col min="12547" max="12551" width="7.25" style="43" customWidth="1"/>
    <col min="12552" max="12552" width="8.375" style="43" customWidth="1"/>
    <col min="12553" max="12558" width="7.25" style="43" customWidth="1"/>
    <col min="12559" max="12559" width="18.625" style="43" customWidth="1"/>
    <col min="12560" max="12560" width="19.125" style="43" customWidth="1"/>
    <col min="12561" max="12561" width="4.375" style="43" customWidth="1"/>
    <col min="12562" max="12562" width="10.75" style="43" customWidth="1"/>
    <col min="12563" max="12800" width="9" style="43"/>
    <col min="12801" max="12801" width="3.875" style="43" customWidth="1"/>
    <col min="12802" max="12802" width="21.125" style="43" customWidth="1"/>
    <col min="12803" max="12807" width="7.25" style="43" customWidth="1"/>
    <col min="12808" max="12808" width="8.375" style="43" customWidth="1"/>
    <col min="12809" max="12814" width="7.25" style="43" customWidth="1"/>
    <col min="12815" max="12815" width="18.625" style="43" customWidth="1"/>
    <col min="12816" max="12816" width="19.125" style="43" customWidth="1"/>
    <col min="12817" max="12817" width="4.375" style="43" customWidth="1"/>
    <col min="12818" max="12818" width="10.75" style="43" customWidth="1"/>
    <col min="12819" max="13056" width="9" style="43"/>
    <col min="13057" max="13057" width="3.875" style="43" customWidth="1"/>
    <col min="13058" max="13058" width="21.125" style="43" customWidth="1"/>
    <col min="13059" max="13063" width="7.25" style="43" customWidth="1"/>
    <col min="13064" max="13064" width="8.375" style="43" customWidth="1"/>
    <col min="13065" max="13070" width="7.25" style="43" customWidth="1"/>
    <col min="13071" max="13071" width="18.625" style="43" customWidth="1"/>
    <col min="13072" max="13072" width="19.125" style="43" customWidth="1"/>
    <col min="13073" max="13073" width="4.375" style="43" customWidth="1"/>
    <col min="13074" max="13074" width="10.75" style="43" customWidth="1"/>
    <col min="13075" max="13312" width="9" style="43"/>
    <col min="13313" max="13313" width="3.875" style="43" customWidth="1"/>
    <col min="13314" max="13314" width="21.125" style="43" customWidth="1"/>
    <col min="13315" max="13319" width="7.25" style="43" customWidth="1"/>
    <col min="13320" max="13320" width="8.375" style="43" customWidth="1"/>
    <col min="13321" max="13326" width="7.25" style="43" customWidth="1"/>
    <col min="13327" max="13327" width="18.625" style="43" customWidth="1"/>
    <col min="13328" max="13328" width="19.125" style="43" customWidth="1"/>
    <col min="13329" max="13329" width="4.375" style="43" customWidth="1"/>
    <col min="13330" max="13330" width="10.75" style="43" customWidth="1"/>
    <col min="13331" max="13568" width="9" style="43"/>
    <col min="13569" max="13569" width="3.875" style="43" customWidth="1"/>
    <col min="13570" max="13570" width="21.125" style="43" customWidth="1"/>
    <col min="13571" max="13575" width="7.25" style="43" customWidth="1"/>
    <col min="13576" max="13576" width="8.375" style="43" customWidth="1"/>
    <col min="13577" max="13582" width="7.25" style="43" customWidth="1"/>
    <col min="13583" max="13583" width="18.625" style="43" customWidth="1"/>
    <col min="13584" max="13584" width="19.125" style="43" customWidth="1"/>
    <col min="13585" max="13585" width="4.375" style="43" customWidth="1"/>
    <col min="13586" max="13586" width="10.75" style="43" customWidth="1"/>
    <col min="13587" max="13824" width="9" style="43"/>
    <col min="13825" max="13825" width="3.875" style="43" customWidth="1"/>
    <col min="13826" max="13826" width="21.125" style="43" customWidth="1"/>
    <col min="13827" max="13831" width="7.25" style="43" customWidth="1"/>
    <col min="13832" max="13832" width="8.375" style="43" customWidth="1"/>
    <col min="13833" max="13838" width="7.25" style="43" customWidth="1"/>
    <col min="13839" max="13839" width="18.625" style="43" customWidth="1"/>
    <col min="13840" max="13840" width="19.125" style="43" customWidth="1"/>
    <col min="13841" max="13841" width="4.375" style="43" customWidth="1"/>
    <col min="13842" max="13842" width="10.75" style="43" customWidth="1"/>
    <col min="13843" max="14080" width="9" style="43"/>
    <col min="14081" max="14081" width="3.875" style="43" customWidth="1"/>
    <col min="14082" max="14082" width="21.125" style="43" customWidth="1"/>
    <col min="14083" max="14087" width="7.25" style="43" customWidth="1"/>
    <col min="14088" max="14088" width="8.375" style="43" customWidth="1"/>
    <col min="14089" max="14094" width="7.25" style="43" customWidth="1"/>
    <col min="14095" max="14095" width="18.625" style="43" customWidth="1"/>
    <col min="14096" max="14096" width="19.125" style="43" customWidth="1"/>
    <col min="14097" max="14097" width="4.375" style="43" customWidth="1"/>
    <col min="14098" max="14098" width="10.75" style="43" customWidth="1"/>
    <col min="14099" max="14336" width="9" style="43"/>
    <col min="14337" max="14337" width="3.875" style="43" customWidth="1"/>
    <col min="14338" max="14338" width="21.125" style="43" customWidth="1"/>
    <col min="14339" max="14343" width="7.25" style="43" customWidth="1"/>
    <col min="14344" max="14344" width="8.375" style="43" customWidth="1"/>
    <col min="14345" max="14350" width="7.25" style="43" customWidth="1"/>
    <col min="14351" max="14351" width="18.625" style="43" customWidth="1"/>
    <col min="14352" max="14352" width="19.125" style="43" customWidth="1"/>
    <col min="14353" max="14353" width="4.375" style="43" customWidth="1"/>
    <col min="14354" max="14354" width="10.75" style="43" customWidth="1"/>
    <col min="14355" max="14592" width="9" style="43"/>
    <col min="14593" max="14593" width="3.875" style="43" customWidth="1"/>
    <col min="14594" max="14594" width="21.125" style="43" customWidth="1"/>
    <col min="14595" max="14599" width="7.25" style="43" customWidth="1"/>
    <col min="14600" max="14600" width="8.375" style="43" customWidth="1"/>
    <col min="14601" max="14606" width="7.25" style="43" customWidth="1"/>
    <col min="14607" max="14607" width="18.625" style="43" customWidth="1"/>
    <col min="14608" max="14608" width="19.125" style="43" customWidth="1"/>
    <col min="14609" max="14609" width="4.375" style="43" customWidth="1"/>
    <col min="14610" max="14610" width="10.75" style="43" customWidth="1"/>
    <col min="14611" max="14848" width="9" style="43"/>
    <col min="14849" max="14849" width="3.875" style="43" customWidth="1"/>
    <col min="14850" max="14850" width="21.125" style="43" customWidth="1"/>
    <col min="14851" max="14855" width="7.25" style="43" customWidth="1"/>
    <col min="14856" max="14856" width="8.375" style="43" customWidth="1"/>
    <col min="14857" max="14862" width="7.25" style="43" customWidth="1"/>
    <col min="14863" max="14863" width="18.625" style="43" customWidth="1"/>
    <col min="14864" max="14864" width="19.125" style="43" customWidth="1"/>
    <col min="14865" max="14865" width="4.375" style="43" customWidth="1"/>
    <col min="14866" max="14866" width="10.75" style="43" customWidth="1"/>
    <col min="14867" max="15104" width="9" style="43"/>
    <col min="15105" max="15105" width="3.875" style="43" customWidth="1"/>
    <col min="15106" max="15106" width="21.125" style="43" customWidth="1"/>
    <col min="15107" max="15111" width="7.25" style="43" customWidth="1"/>
    <col min="15112" max="15112" width="8.375" style="43" customWidth="1"/>
    <col min="15113" max="15118" width="7.25" style="43" customWidth="1"/>
    <col min="15119" max="15119" width="18.625" style="43" customWidth="1"/>
    <col min="15120" max="15120" width="19.125" style="43" customWidth="1"/>
    <col min="15121" max="15121" width="4.375" style="43" customWidth="1"/>
    <col min="15122" max="15122" width="10.75" style="43" customWidth="1"/>
    <col min="15123" max="15360" width="9" style="43"/>
    <col min="15361" max="15361" width="3.875" style="43" customWidth="1"/>
    <col min="15362" max="15362" width="21.125" style="43" customWidth="1"/>
    <col min="15363" max="15367" width="7.25" style="43" customWidth="1"/>
    <col min="15368" max="15368" width="8.375" style="43" customWidth="1"/>
    <col min="15369" max="15374" width="7.25" style="43" customWidth="1"/>
    <col min="15375" max="15375" width="18.625" style="43" customWidth="1"/>
    <col min="15376" max="15376" width="19.125" style="43" customWidth="1"/>
    <col min="15377" max="15377" width="4.375" style="43" customWidth="1"/>
    <col min="15378" max="15378" width="10.75" style="43" customWidth="1"/>
    <col min="15379" max="15616" width="9" style="43"/>
    <col min="15617" max="15617" width="3.875" style="43" customWidth="1"/>
    <col min="15618" max="15618" width="21.125" style="43" customWidth="1"/>
    <col min="15619" max="15623" width="7.25" style="43" customWidth="1"/>
    <col min="15624" max="15624" width="8.375" style="43" customWidth="1"/>
    <col min="15625" max="15630" width="7.25" style="43" customWidth="1"/>
    <col min="15631" max="15631" width="18.625" style="43" customWidth="1"/>
    <col min="15632" max="15632" width="19.125" style="43" customWidth="1"/>
    <col min="15633" max="15633" width="4.375" style="43" customWidth="1"/>
    <col min="15634" max="15634" width="10.75" style="43" customWidth="1"/>
    <col min="15635" max="15872" width="9" style="43"/>
    <col min="15873" max="15873" width="3.875" style="43" customWidth="1"/>
    <col min="15874" max="15874" width="21.125" style="43" customWidth="1"/>
    <col min="15875" max="15879" width="7.25" style="43" customWidth="1"/>
    <col min="15880" max="15880" width="8.375" style="43" customWidth="1"/>
    <col min="15881" max="15886" width="7.25" style="43" customWidth="1"/>
    <col min="15887" max="15887" width="18.625" style="43" customWidth="1"/>
    <col min="15888" max="15888" width="19.125" style="43" customWidth="1"/>
    <col min="15889" max="15889" width="4.375" style="43" customWidth="1"/>
    <col min="15890" max="15890" width="10.75" style="43" customWidth="1"/>
    <col min="15891" max="16128" width="9" style="43"/>
    <col min="16129" max="16129" width="3.875" style="43" customWidth="1"/>
    <col min="16130" max="16130" width="21.125" style="43" customWidth="1"/>
    <col min="16131" max="16135" width="7.25" style="43" customWidth="1"/>
    <col min="16136" max="16136" width="8.375" style="43" customWidth="1"/>
    <col min="16137" max="16142" width="7.25" style="43" customWidth="1"/>
    <col min="16143" max="16143" width="18.625" style="43" customWidth="1"/>
    <col min="16144" max="16144" width="19.125" style="43" customWidth="1"/>
    <col min="16145" max="16145" width="4.375" style="43" customWidth="1"/>
    <col min="16146" max="16146" width="10.75" style="43" customWidth="1"/>
    <col min="16147" max="16384" width="9" style="43"/>
  </cols>
  <sheetData>
    <row r="1" ht="24" customHeight="1" spans="1:16">
      <c r="A1" s="49" t="s">
        <v>73</v>
      </c>
      <c r="B1" s="49"/>
      <c r="C1" s="49"/>
      <c r="D1" s="49"/>
      <c r="E1" s="49"/>
      <c r="F1" s="49"/>
      <c r="G1" s="49"/>
      <c r="H1" s="49"/>
      <c r="I1" s="49"/>
      <c r="J1" s="49"/>
      <c r="K1" s="49"/>
      <c r="L1" s="49"/>
      <c r="M1" s="49"/>
      <c r="N1" s="49"/>
      <c r="O1" s="49"/>
      <c r="P1" s="49"/>
    </row>
    <row r="2" ht="24" customHeight="1" spans="1:16">
      <c r="A2" s="69" t="s">
        <v>513</v>
      </c>
      <c r="B2" s="399"/>
      <c r="C2" s="155"/>
      <c r="D2" s="155"/>
      <c r="E2" s="155"/>
      <c r="F2" s="155"/>
      <c r="G2" s="155"/>
      <c r="H2" s="155"/>
      <c r="I2" s="155"/>
      <c r="J2" s="155"/>
      <c r="K2" s="155"/>
      <c r="L2" s="155"/>
      <c r="M2" s="155"/>
      <c r="N2" s="155"/>
      <c r="O2" s="155"/>
      <c r="P2" s="155"/>
    </row>
    <row r="3" s="44" customFormat="1" ht="14.25" customHeight="1" spans="1:7">
      <c r="A3" s="44" t="s">
        <v>514</v>
      </c>
      <c r="B3" s="53"/>
      <c r="C3" s="53"/>
      <c r="D3" s="54"/>
      <c r="E3" s="54"/>
      <c r="F3" s="54"/>
      <c r="G3" s="54"/>
    </row>
    <row r="4" spans="1:1">
      <c r="A4" s="44" t="s">
        <v>515</v>
      </c>
    </row>
    <row r="5" spans="1:1">
      <c r="A5" s="156" t="s">
        <v>516</v>
      </c>
    </row>
    <row r="6" ht="15.95" customHeight="1" spans="1:2">
      <c r="A6" s="400" t="s">
        <v>517</v>
      </c>
      <c r="B6" s="401"/>
    </row>
    <row r="7" ht="15" customHeight="1" spans="1:23">
      <c r="A7" s="402" t="s">
        <v>64</v>
      </c>
      <c r="B7" s="403" t="s">
        <v>518</v>
      </c>
      <c r="C7" s="404" t="s">
        <v>396</v>
      </c>
      <c r="D7" s="405"/>
      <c r="E7" s="404" t="s">
        <v>397</v>
      </c>
      <c r="F7" s="405"/>
      <c r="G7" s="404" t="s">
        <v>405</v>
      </c>
      <c r="H7" s="405"/>
      <c r="I7" s="404" t="s">
        <v>406</v>
      </c>
      <c r="J7" s="405"/>
      <c r="K7" s="404" t="s">
        <v>407</v>
      </c>
      <c r="L7" s="405"/>
      <c r="M7" s="404" t="s">
        <v>398</v>
      </c>
      <c r="N7" s="405"/>
      <c r="O7" s="404" t="s">
        <v>519</v>
      </c>
      <c r="P7" s="405"/>
      <c r="Q7" s="455" t="s">
        <v>520</v>
      </c>
      <c r="R7" s="456" t="s">
        <v>521</v>
      </c>
      <c r="T7" s="457" t="s">
        <v>522</v>
      </c>
      <c r="U7" s="475"/>
      <c r="V7" s="457" t="s">
        <v>523</v>
      </c>
      <c r="W7" s="475"/>
    </row>
    <row r="8" ht="15" customHeight="1" spans="1:23">
      <c r="A8" s="406"/>
      <c r="B8" s="407"/>
      <c r="C8" s="408" t="s">
        <v>524</v>
      </c>
      <c r="D8" s="408" t="s">
        <v>525</v>
      </c>
      <c r="E8" s="409" t="s">
        <v>524</v>
      </c>
      <c r="F8" s="408" t="s">
        <v>525</v>
      </c>
      <c r="G8" s="408" t="s">
        <v>524</v>
      </c>
      <c r="H8" s="408" t="s">
        <v>525</v>
      </c>
      <c r="I8" s="443" t="s">
        <v>524</v>
      </c>
      <c r="J8" s="443" t="s">
        <v>525</v>
      </c>
      <c r="K8" s="443" t="s">
        <v>524</v>
      </c>
      <c r="L8" s="443" t="s">
        <v>525</v>
      </c>
      <c r="M8" s="443" t="s">
        <v>524</v>
      </c>
      <c r="N8" s="443" t="s">
        <v>525</v>
      </c>
      <c r="O8" s="408" t="s">
        <v>524</v>
      </c>
      <c r="P8" s="443" t="s">
        <v>525</v>
      </c>
      <c r="Q8" s="458"/>
      <c r="R8" s="459"/>
      <c r="T8" s="460"/>
      <c r="U8" s="476"/>
      <c r="V8" s="460"/>
      <c r="W8" s="476"/>
    </row>
    <row r="9" ht="15" customHeight="1" spans="1:23">
      <c r="A9" s="410">
        <v>1</v>
      </c>
      <c r="B9" s="411" t="s">
        <v>526</v>
      </c>
      <c r="C9" s="412">
        <f>$O9*$U$9</f>
        <v>19.243065</v>
      </c>
      <c r="D9" s="413">
        <f>153/8</f>
        <v>19.125</v>
      </c>
      <c r="E9" s="412">
        <f>$O9*$U$11</f>
        <v>211.673715</v>
      </c>
      <c r="F9" s="412">
        <f>L50</f>
        <v>209.75</v>
      </c>
      <c r="G9" s="412">
        <f>$O9*$U$13</f>
        <v>224.502425</v>
      </c>
      <c r="H9" s="412">
        <f>L95</f>
        <v>227.25</v>
      </c>
      <c r="I9" s="412">
        <f>O9*$U$15</f>
        <v>64.14355</v>
      </c>
      <c r="J9" s="412">
        <f>L140</f>
        <v>65.125</v>
      </c>
      <c r="K9" s="412">
        <f>O9*$U$17</f>
        <v>102.62968</v>
      </c>
      <c r="L9" s="412">
        <f>L185</f>
        <v>100.0625</v>
      </c>
      <c r="M9" s="412">
        <f>O9*$U$18</f>
        <v>19.243065</v>
      </c>
      <c r="N9" s="413">
        <f>156/8</f>
        <v>19.5</v>
      </c>
      <c r="O9" s="417">
        <f>O14*W9</f>
        <v>641.4355</v>
      </c>
      <c r="P9" s="417">
        <f>SUM(D9,F9,H9,J9,N9,L9)</f>
        <v>640.8125</v>
      </c>
      <c r="Q9" s="461">
        <f t="shared" ref="Q9:Q13" si="0">P9/O9</f>
        <v>0.999028741003577</v>
      </c>
      <c r="R9" s="462">
        <f>P9/$P$14</f>
        <v>0.886630923555863</v>
      </c>
      <c r="T9" s="463" t="s">
        <v>396</v>
      </c>
      <c r="U9" s="477">
        <v>0.03</v>
      </c>
      <c r="V9" s="478" t="s">
        <v>527</v>
      </c>
      <c r="W9" s="479">
        <v>0.85</v>
      </c>
    </row>
    <row r="10" ht="15" customHeight="1" spans="1:23">
      <c r="A10" s="410">
        <v>2</v>
      </c>
      <c r="B10" s="411" t="s">
        <v>528</v>
      </c>
      <c r="C10" s="412">
        <f>$O10*$U$9</f>
        <v>1.131945</v>
      </c>
      <c r="D10" s="413">
        <f>10/8</f>
        <v>1.25</v>
      </c>
      <c r="E10" s="412">
        <f>$O10*$U$11</f>
        <v>12.451395</v>
      </c>
      <c r="F10" s="412">
        <f>L51</f>
        <v>11.5</v>
      </c>
      <c r="G10" s="412">
        <f>$O10*$U$13</f>
        <v>13.206025</v>
      </c>
      <c r="H10" s="412">
        <f>L96</f>
        <v>12.875</v>
      </c>
      <c r="I10" s="412">
        <f>O10*$U$15</f>
        <v>3.77315</v>
      </c>
      <c r="J10" s="412">
        <f>L141</f>
        <v>3.75</v>
      </c>
      <c r="K10" s="412">
        <f t="shared" ref="K10:K13" si="1">O10*$U$17</f>
        <v>6.03704</v>
      </c>
      <c r="L10" s="412">
        <f t="shared" ref="L10:L13" si="2">L186</f>
        <v>8.25</v>
      </c>
      <c r="M10" s="412">
        <f>O10*$U$18</f>
        <v>1.131945</v>
      </c>
      <c r="N10" s="413">
        <f>9/8</f>
        <v>1.125</v>
      </c>
      <c r="O10" s="417">
        <f>O14*W10</f>
        <v>37.7315</v>
      </c>
      <c r="P10" s="417">
        <f>SUM(D10,F10,H10,J10,N10,L10)</f>
        <v>38.75</v>
      </c>
      <c r="Q10" s="461">
        <f t="shared" si="0"/>
        <v>1.02699336098485</v>
      </c>
      <c r="R10" s="462">
        <f>P10/$P$14</f>
        <v>0.0536146662054652</v>
      </c>
      <c r="T10" s="464"/>
      <c r="U10" s="480"/>
      <c r="V10" s="478" t="s">
        <v>528</v>
      </c>
      <c r="W10" s="479">
        <v>0.05</v>
      </c>
    </row>
    <row r="11" ht="15" customHeight="1" spans="1:23">
      <c r="A11" s="410">
        <v>3</v>
      </c>
      <c r="B11" s="411" t="s">
        <v>529</v>
      </c>
      <c r="C11" s="412">
        <f>$O11*$U$9</f>
        <v>0.679167</v>
      </c>
      <c r="D11" s="413">
        <f>6/8</f>
        <v>0.75</v>
      </c>
      <c r="E11" s="412">
        <f>$O11*$U$11</f>
        <v>7.470837</v>
      </c>
      <c r="F11" s="412">
        <f>L52</f>
        <v>7.5625</v>
      </c>
      <c r="G11" s="412">
        <f>$O11*$U$13</f>
        <v>7.923615</v>
      </c>
      <c r="H11" s="412">
        <f>L97</f>
        <v>7.625</v>
      </c>
      <c r="I11" s="412">
        <f>O11*$U$15</f>
        <v>2.26389</v>
      </c>
      <c r="J11" s="412">
        <f>L142</f>
        <v>2.125</v>
      </c>
      <c r="K11" s="412">
        <f t="shared" si="1"/>
        <v>3.622224</v>
      </c>
      <c r="L11" s="412">
        <f t="shared" si="2"/>
        <v>2.625</v>
      </c>
      <c r="M11" s="412">
        <f>O11*$U$18</f>
        <v>0.679167</v>
      </c>
      <c r="N11" s="413">
        <f>6/8</f>
        <v>0.75</v>
      </c>
      <c r="O11" s="417">
        <f>O14*W11</f>
        <v>22.6389</v>
      </c>
      <c r="P11" s="417">
        <f>SUM(D11,F11,H11,J11,N11,L11)</f>
        <v>21.4375</v>
      </c>
      <c r="Q11" s="461">
        <f t="shared" si="0"/>
        <v>0.946932050585497</v>
      </c>
      <c r="R11" s="462">
        <f>P11/$P$14</f>
        <v>0.0296610169491525</v>
      </c>
      <c r="T11" s="465" t="s">
        <v>397</v>
      </c>
      <c r="U11" s="481">
        <v>0.33</v>
      </c>
      <c r="V11" s="478" t="s">
        <v>529</v>
      </c>
      <c r="W11" s="479">
        <v>0.03</v>
      </c>
    </row>
    <row r="12" ht="15" customHeight="1" spans="1:23">
      <c r="A12" s="410">
        <v>4</v>
      </c>
      <c r="B12" s="411" t="s">
        <v>530</v>
      </c>
      <c r="C12" s="412">
        <f>$O12*$U$9</f>
        <v>0.679167</v>
      </c>
      <c r="D12" s="413">
        <f>6/8</f>
        <v>0.75</v>
      </c>
      <c r="E12" s="412">
        <f>$O12*$U$11</f>
        <v>7.470837</v>
      </c>
      <c r="F12" s="412">
        <f>L53</f>
        <v>7.625</v>
      </c>
      <c r="G12" s="412">
        <f>$O12*$U$13</f>
        <v>7.923615</v>
      </c>
      <c r="H12" s="412">
        <f>L98</f>
        <v>7.5</v>
      </c>
      <c r="I12" s="412">
        <f>O12*$U$15</f>
        <v>2.26389</v>
      </c>
      <c r="J12" s="412">
        <f>L143</f>
        <v>2.375</v>
      </c>
      <c r="K12" s="412">
        <f t="shared" si="1"/>
        <v>3.622224</v>
      </c>
      <c r="L12" s="412">
        <f t="shared" si="2"/>
        <v>2.75</v>
      </c>
      <c r="M12" s="412">
        <f>O12*$U$18</f>
        <v>0.679167</v>
      </c>
      <c r="N12" s="413">
        <f>6/8</f>
        <v>0.75</v>
      </c>
      <c r="O12" s="417">
        <f>O14*W12</f>
        <v>22.6389</v>
      </c>
      <c r="P12" s="417">
        <f>SUM(D12,F12,H12,J12,N12,L12)</f>
        <v>21.75</v>
      </c>
      <c r="Q12" s="461">
        <f t="shared" si="0"/>
        <v>0.960735724792282</v>
      </c>
      <c r="R12" s="462">
        <f>P12/$P$14</f>
        <v>0.0300933932895192</v>
      </c>
      <c r="T12" s="464"/>
      <c r="U12" s="480"/>
      <c r="V12" s="478" t="s">
        <v>530</v>
      </c>
      <c r="W12" s="479">
        <v>0.03</v>
      </c>
    </row>
    <row r="13" ht="15" customHeight="1" spans="1:23">
      <c r="A13" s="410">
        <v>5</v>
      </c>
      <c r="B13" s="411" t="s">
        <v>531</v>
      </c>
      <c r="C13" s="412">
        <f>$O13*$U$9</f>
        <v>0.905556</v>
      </c>
      <c r="D13" s="413">
        <v>0</v>
      </c>
      <c r="E13" s="412">
        <f>$O13*$U$11</f>
        <v>9.961116</v>
      </c>
      <c r="F13" s="412">
        <f>L54</f>
        <v>0</v>
      </c>
      <c r="G13" s="412">
        <f>$O13*$U$13</f>
        <v>10.56482</v>
      </c>
      <c r="H13" s="412">
        <f>L99</f>
        <v>0</v>
      </c>
      <c r="I13" s="412">
        <f>O13*$U$15</f>
        <v>3.01852</v>
      </c>
      <c r="J13" s="412">
        <f>L144</f>
        <v>0</v>
      </c>
      <c r="K13" s="412">
        <f t="shared" si="1"/>
        <v>4.829632</v>
      </c>
      <c r="L13" s="412">
        <f t="shared" si="2"/>
        <v>0</v>
      </c>
      <c r="M13" s="412">
        <f>O13*$U$18</f>
        <v>0.905556</v>
      </c>
      <c r="N13" s="413">
        <v>0</v>
      </c>
      <c r="O13" s="417">
        <f>O14*W13</f>
        <v>30.1852</v>
      </c>
      <c r="P13" s="417">
        <f>SUM(D13,F13,H13,J13,N13,L13)</f>
        <v>0</v>
      </c>
      <c r="Q13" s="461">
        <f t="shared" si="0"/>
        <v>0</v>
      </c>
      <c r="R13" s="462">
        <f>P13/$P$14</f>
        <v>0</v>
      </c>
      <c r="T13" s="466" t="s">
        <v>405</v>
      </c>
      <c r="U13" s="481">
        <v>0.35</v>
      </c>
      <c r="V13" s="478" t="s">
        <v>532</v>
      </c>
      <c r="W13" s="479">
        <v>0.04</v>
      </c>
    </row>
    <row r="14" ht="15" customHeight="1" spans="1:21">
      <c r="A14" s="410">
        <v>6</v>
      </c>
      <c r="B14" s="411" t="s">
        <v>533</v>
      </c>
      <c r="C14" s="414">
        <f t="shared" ref="C14:P14" si="3">SUM(C9:C13)</f>
        <v>22.6389</v>
      </c>
      <c r="D14" s="414">
        <f t="shared" si="3"/>
        <v>21.875</v>
      </c>
      <c r="E14" s="414">
        <f t="shared" si="3"/>
        <v>249.0279</v>
      </c>
      <c r="F14" s="414">
        <f t="shared" si="3"/>
        <v>236.4375</v>
      </c>
      <c r="G14" s="414">
        <f t="shared" si="3"/>
        <v>264.1205</v>
      </c>
      <c r="H14" s="414">
        <f t="shared" si="3"/>
        <v>255.25</v>
      </c>
      <c r="I14" s="444">
        <f t="shared" si="3"/>
        <v>75.463</v>
      </c>
      <c r="J14" s="444">
        <f t="shared" si="3"/>
        <v>73.375</v>
      </c>
      <c r="K14" s="444">
        <f t="shared" ref="K14:L14" si="4">SUM(K9:K13)</f>
        <v>120.7408</v>
      </c>
      <c r="L14" s="444">
        <f t="shared" si="4"/>
        <v>113.6875</v>
      </c>
      <c r="M14" s="444">
        <f t="shared" si="3"/>
        <v>22.6389</v>
      </c>
      <c r="N14" s="444">
        <f t="shared" si="3"/>
        <v>22.125</v>
      </c>
      <c r="O14" s="445">
        <v>754.63</v>
      </c>
      <c r="P14" s="446">
        <f t="shared" si="3"/>
        <v>722.75</v>
      </c>
      <c r="Q14" s="461"/>
      <c r="R14" s="462"/>
      <c r="T14" s="467"/>
      <c r="U14" s="480"/>
    </row>
    <row r="15" ht="15" customHeight="1" spans="1:21">
      <c r="A15" s="415">
        <v>7</v>
      </c>
      <c r="B15" s="416" t="s">
        <v>534</v>
      </c>
      <c r="C15" s="417">
        <f>规模!C28</f>
        <v>365.03</v>
      </c>
      <c r="D15" s="418"/>
      <c r="E15" s="417">
        <f>规模!C8</f>
        <v>122.08</v>
      </c>
      <c r="F15" s="418"/>
      <c r="G15" s="417">
        <f>规模!C13</f>
        <v>126.95</v>
      </c>
      <c r="H15" s="418"/>
      <c r="I15" s="417">
        <f>规模!C18</f>
        <v>43.17</v>
      </c>
      <c r="J15" s="418"/>
      <c r="K15" s="417">
        <f>规模!C23</f>
        <v>72.83</v>
      </c>
      <c r="L15" s="418"/>
      <c r="M15" s="417">
        <f>规模!C28</f>
        <v>365.03</v>
      </c>
      <c r="N15" s="418"/>
      <c r="O15" s="417">
        <f>SUM(E15:L15)</f>
        <v>365.03</v>
      </c>
      <c r="P15" s="418"/>
      <c r="Q15" s="461"/>
      <c r="R15" s="468"/>
      <c r="T15" s="465" t="s">
        <v>406</v>
      </c>
      <c r="U15" s="482">
        <v>0.1</v>
      </c>
    </row>
    <row r="16" s="242" customFormat="1" ht="15" customHeight="1" spans="1:21">
      <c r="A16" s="415">
        <v>8</v>
      </c>
      <c r="B16" s="416" t="s">
        <v>535</v>
      </c>
      <c r="C16" s="419">
        <f t="shared" ref="C16:G16" si="5">D14/C14</f>
        <v>0.966257194474997</v>
      </c>
      <c r="D16" s="420"/>
      <c r="E16" s="419">
        <f t="shared" si="5"/>
        <v>0.949441809532185</v>
      </c>
      <c r="F16" s="420"/>
      <c r="G16" s="419">
        <f t="shared" si="5"/>
        <v>0.966414950751646</v>
      </c>
      <c r="H16" s="420"/>
      <c r="I16" s="419">
        <f t="shared" ref="I16:O16" si="6">J14/I14</f>
        <v>0.972330811125982</v>
      </c>
      <c r="J16" s="420"/>
      <c r="K16" s="419">
        <f t="shared" ref="K16" si="7">L14/K14</f>
        <v>0.941583126830367</v>
      </c>
      <c r="L16" s="420"/>
      <c r="M16" s="419">
        <f t="shared" si="6"/>
        <v>0.977300133840425</v>
      </c>
      <c r="N16" s="420"/>
      <c r="O16" s="419">
        <f t="shared" si="6"/>
        <v>0.957754131163617</v>
      </c>
      <c r="P16" s="420"/>
      <c r="Q16" s="461"/>
      <c r="R16" s="468"/>
      <c r="T16" s="464"/>
      <c r="U16" s="483"/>
    </row>
    <row r="17" s="242" customFormat="1" ht="15" customHeight="1" spans="1:21">
      <c r="A17" s="415">
        <v>9</v>
      </c>
      <c r="B17" s="416" t="s">
        <v>536</v>
      </c>
      <c r="C17" s="421">
        <f>D14/C14-1</f>
        <v>-0.0337428055250033</v>
      </c>
      <c r="D17" s="422"/>
      <c r="E17" s="421">
        <f t="shared" ref="E17:G17" si="8">F14/E14-1</f>
        <v>-0.0505581904678148</v>
      </c>
      <c r="F17" s="422"/>
      <c r="G17" s="421">
        <f t="shared" si="8"/>
        <v>-0.0335850492483544</v>
      </c>
      <c r="H17" s="422"/>
      <c r="I17" s="421">
        <f t="shared" ref="I17:O17" si="9">J14/I14-1</f>
        <v>-0.0276691888740177</v>
      </c>
      <c r="J17" s="422"/>
      <c r="K17" s="421">
        <f t="shared" ref="K17" si="10">L14/K14-1</f>
        <v>-0.0584168731696328</v>
      </c>
      <c r="L17" s="422"/>
      <c r="M17" s="421">
        <f t="shared" si="9"/>
        <v>-0.0226998661595748</v>
      </c>
      <c r="N17" s="422"/>
      <c r="O17" s="421">
        <f t="shared" si="9"/>
        <v>-0.0422458688363834</v>
      </c>
      <c r="P17" s="422"/>
      <c r="Q17" s="461"/>
      <c r="R17" s="469"/>
      <c r="T17" s="478" t="s">
        <v>407</v>
      </c>
      <c r="U17" s="484">
        <v>0.16</v>
      </c>
    </row>
    <row r="18" s="398" customFormat="1" ht="15" customHeight="1" spans="1:21">
      <c r="A18" s="415">
        <v>10</v>
      </c>
      <c r="B18" s="423" t="s">
        <v>537</v>
      </c>
      <c r="C18" s="421">
        <f>D14/C14-100%</f>
        <v>-0.0337428055250033</v>
      </c>
      <c r="D18" s="422"/>
      <c r="E18" s="421">
        <f>(D14+F14)/(C14+E14)-100%</f>
        <v>-0.0491569083892472</v>
      </c>
      <c r="F18" s="422"/>
      <c r="G18" s="421">
        <f>(D14+F14+H14)/(C14+E14+G14)-100%</f>
        <v>-0.0414806397986663</v>
      </c>
      <c r="H18" s="422"/>
      <c r="I18" s="421">
        <f>(D14+F14+H14+J14)/(C14+E14+G14+I14)-100%</f>
        <v>-0.0397755224005615</v>
      </c>
      <c r="J18" s="422"/>
      <c r="K18" s="421">
        <f>(F14+H14+J14+L14)/(E14+G14+I14+K14)-100%</f>
        <v>-0.0431410517934532</v>
      </c>
      <c r="L18" s="422"/>
      <c r="M18" s="421">
        <f>(D14+F14+H14+J14+L14+N14)/(C14+E14+G14+I14+K14+M14)-100%</f>
        <v>-0.0422458688363834</v>
      </c>
      <c r="N18" s="422"/>
      <c r="O18" s="421">
        <f>M18</f>
        <v>-0.0422458688363834</v>
      </c>
      <c r="P18" s="422"/>
      <c r="Q18" s="461"/>
      <c r="R18" s="471"/>
      <c r="T18" s="485" t="s">
        <v>398</v>
      </c>
      <c r="U18" s="486">
        <v>0.03</v>
      </c>
    </row>
    <row r="19" s="398" customFormat="1" ht="15" customHeight="1" spans="1:21">
      <c r="A19" s="424">
        <v>11</v>
      </c>
      <c r="B19" s="425" t="s">
        <v>538</v>
      </c>
      <c r="C19" s="426">
        <f>D9/$P9</f>
        <v>0.0298449234370428</v>
      </c>
      <c r="D19" s="427"/>
      <c r="E19" s="426">
        <f>F9/$P9</f>
        <v>0.327318833512143</v>
      </c>
      <c r="F19" s="427"/>
      <c r="G19" s="426">
        <f>H9/$P9</f>
        <v>0.354627913781332</v>
      </c>
      <c r="H19" s="427"/>
      <c r="I19" s="426">
        <f>J9/P9</f>
        <v>0.101628791573198</v>
      </c>
      <c r="J19" s="427"/>
      <c r="K19" s="426">
        <f>L9/P9</f>
        <v>0.156149419682044</v>
      </c>
      <c r="L19" s="427"/>
      <c r="M19" s="426">
        <f>N9/P9</f>
        <v>0.0304301180142397</v>
      </c>
      <c r="N19" s="427"/>
      <c r="O19" s="426"/>
      <c r="P19" s="427"/>
      <c r="Q19" s="473"/>
      <c r="R19" s="474"/>
      <c r="T19" s="43"/>
      <c r="U19" s="43"/>
    </row>
    <row r="20" ht="12.75" spans="1:16">
      <c r="A20" s="428"/>
      <c r="B20" s="178"/>
      <c r="C20" s="429"/>
      <c r="D20" s="429"/>
      <c r="E20" s="429"/>
      <c r="F20" s="429"/>
      <c r="G20" s="429"/>
      <c r="H20" s="429"/>
      <c r="I20" s="429"/>
      <c r="J20" s="429"/>
      <c r="K20" s="429"/>
      <c r="L20" s="429"/>
      <c r="M20" s="429"/>
      <c r="N20" s="429"/>
      <c r="O20" s="429"/>
      <c r="P20" s="178"/>
    </row>
    <row r="21" ht="21" customHeight="1" spans="2:19">
      <c r="B21" s="416" t="s">
        <v>539</v>
      </c>
      <c r="C21" s="416"/>
      <c r="D21" s="416"/>
      <c r="E21" s="416" t="s">
        <v>396</v>
      </c>
      <c r="F21" s="416" t="s">
        <v>397</v>
      </c>
      <c r="G21" s="416" t="s">
        <v>405</v>
      </c>
      <c r="H21" s="416" t="s">
        <v>406</v>
      </c>
      <c r="I21" s="416" t="s">
        <v>407</v>
      </c>
      <c r="J21" s="416" t="s">
        <v>398</v>
      </c>
      <c r="L21" s="447" t="s">
        <v>229</v>
      </c>
      <c r="M21" s="447" t="s">
        <v>230</v>
      </c>
      <c r="Q21" s="487" t="s">
        <v>540</v>
      </c>
      <c r="R21" s="488"/>
      <c r="S21" s="489"/>
    </row>
    <row r="22" customHeight="1" spans="2:19">
      <c r="B22" s="430" t="s">
        <v>541</v>
      </c>
      <c r="C22" s="431" t="s">
        <v>540</v>
      </c>
      <c r="D22" s="220" t="s">
        <v>173</v>
      </c>
      <c r="E22" s="432">
        <v>0.0033</v>
      </c>
      <c r="F22" s="433">
        <v>0.298</v>
      </c>
      <c r="G22" s="433">
        <v>0.298</v>
      </c>
      <c r="H22" s="433">
        <v>0.298</v>
      </c>
      <c r="I22" s="433">
        <v>0.298</v>
      </c>
      <c r="J22" s="432">
        <v>0</v>
      </c>
      <c r="L22" s="447">
        <v>0.4852</v>
      </c>
      <c r="M22" s="447">
        <v>0.298</v>
      </c>
      <c r="P22" s="43" t="s">
        <v>542</v>
      </c>
      <c r="Q22" s="65" t="s">
        <v>173</v>
      </c>
      <c r="R22" s="65" t="s">
        <v>174</v>
      </c>
      <c r="S22" s="65" t="s">
        <v>349</v>
      </c>
    </row>
    <row r="23" spans="2:19">
      <c r="B23" s="434"/>
      <c r="C23" s="435"/>
      <c r="D23" s="221" t="s">
        <v>174</v>
      </c>
      <c r="E23" s="436">
        <v>0.15</v>
      </c>
      <c r="F23" s="221">
        <v>0.482</v>
      </c>
      <c r="G23" s="221">
        <v>0.482</v>
      </c>
      <c r="H23" s="221">
        <v>0.482</v>
      </c>
      <c r="I23" s="221">
        <v>0.482</v>
      </c>
      <c r="J23" s="436">
        <v>0.0253</v>
      </c>
      <c r="L23" s="447">
        <v>0.669</v>
      </c>
      <c r="M23" s="447">
        <v>0.482</v>
      </c>
      <c r="O23" s="43" t="s">
        <v>506</v>
      </c>
      <c r="P23" s="448">
        <f>C17</f>
        <v>-0.0337428055250033</v>
      </c>
      <c r="Q23" s="490">
        <v>-0.15</v>
      </c>
      <c r="R23" s="491">
        <v>0.1262</v>
      </c>
      <c r="S23" s="491">
        <v>0.3</v>
      </c>
    </row>
    <row r="24" spans="2:19">
      <c r="B24" s="434"/>
      <c r="C24" s="437"/>
      <c r="D24" s="220" t="s">
        <v>349</v>
      </c>
      <c r="E24" s="432">
        <v>0.2967</v>
      </c>
      <c r="F24" s="433">
        <v>0.6661</v>
      </c>
      <c r="G24" s="433">
        <v>0.6661</v>
      </c>
      <c r="H24" s="433">
        <v>0.6661</v>
      </c>
      <c r="I24" s="433">
        <v>0.6661</v>
      </c>
      <c r="J24" s="432">
        <v>0.0784</v>
      </c>
      <c r="L24" s="447">
        <v>0.8527</v>
      </c>
      <c r="M24" s="447">
        <v>0.6661</v>
      </c>
      <c r="O24" s="43" t="s">
        <v>507</v>
      </c>
      <c r="P24" s="448">
        <f>E17</f>
        <v>-0.0505581904678148</v>
      </c>
      <c r="Q24" s="490">
        <v>-0.15</v>
      </c>
      <c r="R24" s="491">
        <v>0.1262</v>
      </c>
      <c r="S24" s="491">
        <v>0.3</v>
      </c>
    </row>
    <row r="25" spans="2:19">
      <c r="B25" s="434"/>
      <c r="C25" s="438" t="s">
        <v>524</v>
      </c>
      <c r="D25" s="326" t="s">
        <v>543</v>
      </c>
      <c r="E25" s="439">
        <f>C14/C15</f>
        <v>0.0620192860860751</v>
      </c>
      <c r="F25" s="439">
        <f>E15/E14</f>
        <v>0.490226195538733</v>
      </c>
      <c r="G25" s="439">
        <f>G15/G14</f>
        <v>0.480651823694109</v>
      </c>
      <c r="H25" s="439">
        <f>I15/I14</f>
        <v>0.57206843088666</v>
      </c>
      <c r="I25" s="439">
        <f>K15/K14</f>
        <v>0.60319295548812</v>
      </c>
      <c r="J25" s="439">
        <f>M14/M15</f>
        <v>0.0620192860860751</v>
      </c>
      <c r="O25" s="43" t="s">
        <v>508</v>
      </c>
      <c r="P25" s="448">
        <f>G17</f>
        <v>-0.0335850492483544</v>
      </c>
      <c r="Q25" s="490">
        <v>-0.15</v>
      </c>
      <c r="R25" s="491">
        <v>0.1262</v>
      </c>
      <c r="S25" s="491">
        <v>0.3</v>
      </c>
    </row>
    <row r="26" spans="2:19">
      <c r="B26" s="434"/>
      <c r="C26" s="438" t="s">
        <v>525</v>
      </c>
      <c r="D26" s="326" t="s">
        <v>544</v>
      </c>
      <c r="E26" s="439">
        <f>D14/C15</f>
        <v>0.0599265813768731</v>
      </c>
      <c r="F26" s="439">
        <f>E15/F14</f>
        <v>0.516330954269099</v>
      </c>
      <c r="G26" s="439">
        <f>G15/H14</f>
        <v>0.497355533790402</v>
      </c>
      <c r="H26" s="439">
        <f>I15/J14</f>
        <v>0.588347529812607</v>
      </c>
      <c r="I26" s="439">
        <f>K15/L14</f>
        <v>0.640615722924684</v>
      </c>
      <c r="J26" s="449">
        <f>N14/M15</f>
        <v>0.0606114565926088</v>
      </c>
      <c r="O26" s="43" t="s">
        <v>509</v>
      </c>
      <c r="P26" s="448">
        <f>I17</f>
        <v>-0.0276691888740177</v>
      </c>
      <c r="Q26" s="490">
        <v>-0.15</v>
      </c>
      <c r="R26" s="491">
        <v>0.1262</v>
      </c>
      <c r="S26" s="491">
        <v>0.3</v>
      </c>
    </row>
    <row r="27" spans="15:16">
      <c r="O27" s="450"/>
      <c r="P27" s="451"/>
    </row>
    <row r="28" spans="15:16">
      <c r="O28" s="452"/>
      <c r="P28" s="451"/>
    </row>
    <row r="29" spans="15:16">
      <c r="O29" s="453"/>
      <c r="P29" s="454"/>
    </row>
    <row r="30" spans="15:15">
      <c r="O30" s="450"/>
    </row>
    <row r="38" ht="14.25" customHeight="1"/>
    <row r="40" ht="14.25" spans="1:1">
      <c r="A40" s="440"/>
    </row>
    <row r="44" customHeight="1"/>
    <row r="47" ht="13.5" customHeight="1" spans="1:1">
      <c r="A47" s="400" t="s">
        <v>397</v>
      </c>
    </row>
    <row r="48" ht="15" customHeight="1" outlineLevel="1" spans="1:17">
      <c r="A48" s="402" t="s">
        <v>64</v>
      </c>
      <c r="B48" s="403" t="s">
        <v>518</v>
      </c>
      <c r="C48" s="404" t="s">
        <v>506</v>
      </c>
      <c r="D48" s="405"/>
      <c r="E48" s="404" t="s">
        <v>507</v>
      </c>
      <c r="F48" s="405"/>
      <c r="G48" s="404" t="s">
        <v>508</v>
      </c>
      <c r="H48" s="405"/>
      <c r="I48" s="404" t="s">
        <v>509</v>
      </c>
      <c r="J48" s="405"/>
      <c r="K48" s="404" t="s">
        <v>519</v>
      </c>
      <c r="L48" s="405"/>
      <c r="M48" s="455" t="s">
        <v>520</v>
      </c>
      <c r="N48" s="456" t="s">
        <v>521</v>
      </c>
      <c r="P48" s="457" t="s">
        <v>522</v>
      </c>
      <c r="Q48" s="475"/>
    </row>
    <row r="49" ht="15" customHeight="1" outlineLevel="1" spans="1:17">
      <c r="A49" s="406"/>
      <c r="B49" s="407"/>
      <c r="C49" s="408" t="s">
        <v>524</v>
      </c>
      <c r="D49" s="408" t="s">
        <v>525</v>
      </c>
      <c r="E49" s="409" t="s">
        <v>524</v>
      </c>
      <c r="F49" s="408" t="s">
        <v>525</v>
      </c>
      <c r="G49" s="408" t="s">
        <v>524</v>
      </c>
      <c r="H49" s="408" t="s">
        <v>525</v>
      </c>
      <c r="I49" s="443" t="s">
        <v>524</v>
      </c>
      <c r="J49" s="443" t="s">
        <v>525</v>
      </c>
      <c r="K49" s="408" t="s">
        <v>524</v>
      </c>
      <c r="L49" s="443" t="s">
        <v>525</v>
      </c>
      <c r="M49" s="458"/>
      <c r="N49" s="459"/>
      <c r="P49" s="460"/>
      <c r="Q49" s="476"/>
    </row>
    <row r="50" ht="15" customHeight="1" outlineLevel="1" spans="1:17">
      <c r="A50" s="410">
        <v>1</v>
      </c>
      <c r="B50" s="411" t="s">
        <v>526</v>
      </c>
      <c r="C50" s="412">
        <f>$K50*Q50</f>
        <v>12.7004229</v>
      </c>
      <c r="D50" s="413">
        <f>104/8</f>
        <v>13</v>
      </c>
      <c r="E50" s="412">
        <f>$K50*Q52</f>
        <v>21.1673715</v>
      </c>
      <c r="F50" s="441">
        <f>168/8</f>
        <v>21</v>
      </c>
      <c r="G50" s="412">
        <f>K50*Q54</f>
        <v>110.0703318</v>
      </c>
      <c r="H50" s="442">
        <f>903/8</f>
        <v>112.875</v>
      </c>
      <c r="I50" s="412">
        <f>K50*Q56</f>
        <v>67.7355888</v>
      </c>
      <c r="J50" s="413">
        <f>503/8</f>
        <v>62.875</v>
      </c>
      <c r="K50" s="461">
        <f>E9</f>
        <v>211.673715</v>
      </c>
      <c r="L50" s="417">
        <f>D50+F50+H50+J50</f>
        <v>209.75</v>
      </c>
      <c r="M50" s="461">
        <f>L50/K50</f>
        <v>0.990911885304229</v>
      </c>
      <c r="N50" s="462">
        <f>L50/$L$55</f>
        <v>0.887126619085382</v>
      </c>
      <c r="P50" s="463" t="s">
        <v>545</v>
      </c>
      <c r="Q50" s="477">
        <v>0.06</v>
      </c>
    </row>
    <row r="51" ht="15" customHeight="1" outlineLevel="1" spans="1:17">
      <c r="A51" s="410">
        <v>2</v>
      </c>
      <c r="B51" s="411" t="s">
        <v>528</v>
      </c>
      <c r="C51" s="412">
        <f>$K51*Q50</f>
        <v>0.7470837</v>
      </c>
      <c r="D51" s="413">
        <f>4/8</f>
        <v>0.5</v>
      </c>
      <c r="E51" s="412">
        <f>K51*Q52</f>
        <v>1.2451395</v>
      </c>
      <c r="F51" s="441">
        <f>9/8</f>
        <v>1.125</v>
      </c>
      <c r="G51" s="412">
        <f>K51*Q54</f>
        <v>6.4747254</v>
      </c>
      <c r="H51" s="442">
        <f>46/8</f>
        <v>5.75</v>
      </c>
      <c r="I51" s="412">
        <f>K51*Q56</f>
        <v>3.9844464</v>
      </c>
      <c r="J51" s="413">
        <f>33/8</f>
        <v>4.125</v>
      </c>
      <c r="K51" s="461">
        <f t="shared" ref="K51:K55" si="11">E10</f>
        <v>12.451395</v>
      </c>
      <c r="L51" s="417">
        <f>D51+F51+H51+J51</f>
        <v>11.5</v>
      </c>
      <c r="M51" s="461">
        <f t="shared" ref="M51:M54" si="12">L51/K51</f>
        <v>0.923591292381295</v>
      </c>
      <c r="N51" s="462">
        <f>L51/$L$55</f>
        <v>0.0486386465767909</v>
      </c>
      <c r="P51" s="464"/>
      <c r="Q51" s="480"/>
    </row>
    <row r="52" ht="15" customHeight="1" outlineLevel="1" spans="1:17">
      <c r="A52" s="410">
        <v>3</v>
      </c>
      <c r="B52" s="411" t="s">
        <v>529</v>
      </c>
      <c r="C52" s="412">
        <f>K52*Q50</f>
        <v>0.44825022</v>
      </c>
      <c r="D52" s="413">
        <f>3.5/8</f>
        <v>0.4375</v>
      </c>
      <c r="E52" s="412">
        <f>K52*Q52</f>
        <v>0.7470837</v>
      </c>
      <c r="F52" s="441">
        <f>6/8</f>
        <v>0.75</v>
      </c>
      <c r="G52" s="412">
        <f>K52*Q54</f>
        <v>3.88483524</v>
      </c>
      <c r="H52" s="442">
        <f>32/8</f>
        <v>4</v>
      </c>
      <c r="I52" s="412">
        <f>K52*Q56</f>
        <v>2.39066784</v>
      </c>
      <c r="J52" s="413">
        <f>19/8</f>
        <v>2.375</v>
      </c>
      <c r="K52" s="461">
        <f t="shared" si="11"/>
        <v>7.470837</v>
      </c>
      <c r="L52" s="417">
        <f>D52+F52+H52+J52</f>
        <v>7.5625</v>
      </c>
      <c r="M52" s="461">
        <f t="shared" si="12"/>
        <v>1.01226944183095</v>
      </c>
      <c r="N52" s="462">
        <f>L52/$L$55</f>
        <v>0.0319851969336505</v>
      </c>
      <c r="P52" s="465" t="s">
        <v>546</v>
      </c>
      <c r="Q52" s="481">
        <v>0.1</v>
      </c>
    </row>
    <row r="53" ht="15" customHeight="1" outlineLevel="1" spans="1:17">
      <c r="A53" s="410">
        <v>4</v>
      </c>
      <c r="B53" s="411" t="s">
        <v>530</v>
      </c>
      <c r="C53" s="412">
        <f>K53*Q50</f>
        <v>0.44825022</v>
      </c>
      <c r="D53" s="413">
        <f>4/8</f>
        <v>0.5</v>
      </c>
      <c r="E53" s="412">
        <f>K53*Q52</f>
        <v>0.7470837</v>
      </c>
      <c r="F53" s="441">
        <f>6/8</f>
        <v>0.75</v>
      </c>
      <c r="G53" s="412">
        <f>K53*Q54</f>
        <v>3.88483524</v>
      </c>
      <c r="H53" s="442">
        <f>32/8</f>
        <v>4</v>
      </c>
      <c r="I53" s="412">
        <f>K53*Q56</f>
        <v>2.39066784</v>
      </c>
      <c r="J53" s="413">
        <f>19/8</f>
        <v>2.375</v>
      </c>
      <c r="K53" s="461">
        <f t="shared" si="11"/>
        <v>7.470837</v>
      </c>
      <c r="L53" s="417">
        <f>D53+F53+H53+J53</f>
        <v>7.625</v>
      </c>
      <c r="M53" s="461">
        <f t="shared" si="12"/>
        <v>1.02063530498658</v>
      </c>
      <c r="N53" s="462">
        <f>L53/$L$55</f>
        <v>0.0322495374041766</v>
      </c>
      <c r="P53" s="464"/>
      <c r="Q53" s="480"/>
    </row>
    <row r="54" ht="15" customHeight="1" outlineLevel="1" spans="1:17">
      <c r="A54" s="410">
        <v>5</v>
      </c>
      <c r="B54" s="411" t="s">
        <v>531</v>
      </c>
      <c r="C54" s="412">
        <f>K54*Q50</f>
        <v>0.59766696</v>
      </c>
      <c r="D54" s="413">
        <v>0</v>
      </c>
      <c r="E54" s="412">
        <f>K54*Q52</f>
        <v>0.9961116</v>
      </c>
      <c r="F54" s="441">
        <v>0</v>
      </c>
      <c r="G54" s="412">
        <f>K54*Q54</f>
        <v>5.17978032</v>
      </c>
      <c r="H54" s="442">
        <v>0</v>
      </c>
      <c r="I54" s="412">
        <f>K54*Q56</f>
        <v>3.18755712</v>
      </c>
      <c r="J54" s="413">
        <v>0</v>
      </c>
      <c r="K54" s="461">
        <f t="shared" si="11"/>
        <v>9.961116</v>
      </c>
      <c r="L54" s="417">
        <f>D54+F54+H54+J54</f>
        <v>0</v>
      </c>
      <c r="M54" s="461">
        <f t="shared" si="12"/>
        <v>0</v>
      </c>
      <c r="N54" s="462">
        <f>L54/$L$55</f>
        <v>0</v>
      </c>
      <c r="P54" s="466" t="s">
        <v>547</v>
      </c>
      <c r="Q54" s="481">
        <v>0.52</v>
      </c>
    </row>
    <row r="55" ht="15" customHeight="1" outlineLevel="1" spans="1:17">
      <c r="A55" s="410">
        <v>6</v>
      </c>
      <c r="B55" s="411" t="s">
        <v>548</v>
      </c>
      <c r="C55" s="414">
        <f t="shared" ref="C55:L55" si="13">SUM(C50:C54)</f>
        <v>14.941674</v>
      </c>
      <c r="D55" s="414">
        <f t="shared" si="13"/>
        <v>14.4375</v>
      </c>
      <c r="E55" s="414">
        <f t="shared" si="13"/>
        <v>24.90279</v>
      </c>
      <c r="F55" s="414">
        <f t="shared" si="13"/>
        <v>23.625</v>
      </c>
      <c r="G55" s="414">
        <f t="shared" si="13"/>
        <v>129.494508</v>
      </c>
      <c r="H55" s="414">
        <f t="shared" si="13"/>
        <v>126.625</v>
      </c>
      <c r="I55" s="444">
        <f t="shared" si="13"/>
        <v>79.688928</v>
      </c>
      <c r="J55" s="444">
        <f t="shared" si="13"/>
        <v>71.75</v>
      </c>
      <c r="K55" s="461">
        <f t="shared" si="11"/>
        <v>249.0279</v>
      </c>
      <c r="L55" s="446">
        <f t="shared" si="13"/>
        <v>236.4375</v>
      </c>
      <c r="M55" s="461"/>
      <c r="N55" s="462"/>
      <c r="P55" s="467"/>
      <c r="Q55" s="480"/>
    </row>
    <row r="56" ht="15" customHeight="1" outlineLevel="1" spans="1:17">
      <c r="A56" s="415">
        <v>7</v>
      </c>
      <c r="B56" s="416" t="s">
        <v>534</v>
      </c>
      <c r="C56" s="417">
        <f>规模!C9</f>
        <v>122.08</v>
      </c>
      <c r="D56" s="418"/>
      <c r="E56" s="417">
        <f>规模!C10</f>
        <v>122.08</v>
      </c>
      <c r="F56" s="418"/>
      <c r="G56" s="417">
        <f>规模!C11</f>
        <v>122.08</v>
      </c>
      <c r="H56" s="418"/>
      <c r="I56" s="417">
        <f>规模!C12</f>
        <v>122.08</v>
      </c>
      <c r="J56" s="418"/>
      <c r="K56" s="417">
        <f>I56</f>
        <v>122.08</v>
      </c>
      <c r="L56" s="418"/>
      <c r="M56" s="461"/>
      <c r="N56" s="468"/>
      <c r="P56" s="465" t="s">
        <v>549</v>
      </c>
      <c r="Q56" s="482">
        <v>0.32</v>
      </c>
    </row>
    <row r="57" s="242" customFormat="1" ht="15" customHeight="1" outlineLevel="1" spans="1:17">
      <c r="A57" s="415">
        <v>8</v>
      </c>
      <c r="B57" s="416" t="s">
        <v>550</v>
      </c>
      <c r="C57" s="419">
        <f t="shared" ref="C57" si="14">D55/C55</f>
        <v>0.966257194474997</v>
      </c>
      <c r="D57" s="420"/>
      <c r="E57" s="419">
        <f t="shared" ref="E57" si="15">F55/E55</f>
        <v>0.948688881848178</v>
      </c>
      <c r="F57" s="420"/>
      <c r="G57" s="419">
        <f t="shared" ref="G57" si="16">H55/G55</f>
        <v>0.977840697305866</v>
      </c>
      <c r="H57" s="420"/>
      <c r="I57" s="419">
        <f t="shared" ref="I57" si="17">J55/I55</f>
        <v>0.900376022124429</v>
      </c>
      <c r="J57" s="420"/>
      <c r="K57" s="419">
        <f t="shared" ref="K57" si="18">L55/K55</f>
        <v>0.949441809532185</v>
      </c>
      <c r="L57" s="420"/>
      <c r="M57" s="461"/>
      <c r="N57" s="468"/>
      <c r="P57" s="464"/>
      <c r="Q57" s="483"/>
    </row>
    <row r="58" s="242" customFormat="1" ht="15" customHeight="1" outlineLevel="1" spans="1:17">
      <c r="A58" s="415">
        <v>9</v>
      </c>
      <c r="B58" s="416" t="s">
        <v>536</v>
      </c>
      <c r="C58" s="421">
        <f t="shared" ref="C58" si="19">D55/C55-1</f>
        <v>-0.0337428055250033</v>
      </c>
      <c r="D58" s="422"/>
      <c r="E58" s="421">
        <f t="shared" ref="E58" si="20">F55/E55-1</f>
        <v>-0.0513111181518217</v>
      </c>
      <c r="F58" s="422"/>
      <c r="G58" s="421">
        <f t="shared" ref="G58" si="21">H55/G55-1</f>
        <v>-0.0221593026941344</v>
      </c>
      <c r="H58" s="422"/>
      <c r="I58" s="421">
        <f t="shared" ref="I58" si="22">J55/I55-1</f>
        <v>-0.0996239778755714</v>
      </c>
      <c r="J58" s="422"/>
      <c r="K58" s="421">
        <f t="shared" ref="K58" si="23">L55/K55-1</f>
        <v>-0.0505581904678148</v>
      </c>
      <c r="L58" s="422"/>
      <c r="M58" s="461"/>
      <c r="N58" s="469"/>
      <c r="P58" s="470"/>
      <c r="Q58" s="486"/>
    </row>
    <row r="59" s="398" customFormat="1" ht="15" customHeight="1" outlineLevel="1" spans="1:17">
      <c r="A59" s="415">
        <v>10</v>
      </c>
      <c r="B59" s="423" t="s">
        <v>551</v>
      </c>
      <c r="C59" s="421">
        <f>D55/C55-100%</f>
        <v>-0.0337428055250033</v>
      </c>
      <c r="D59" s="422"/>
      <c r="E59" s="421">
        <f>(D55+F55)/(C55+E55)-100%</f>
        <v>-0.0447230009167648</v>
      </c>
      <c r="F59" s="422"/>
      <c r="G59" s="421">
        <f>(D55+F55+H55)/(C55+E55+G55)-100%</f>
        <v>-0.0274684081582828</v>
      </c>
      <c r="H59" s="422"/>
      <c r="I59" s="421">
        <f>(D55+F55+H55+J55)/(C55+E55+G55+I55)-100%</f>
        <v>-0.0505581904678151</v>
      </c>
      <c r="J59" s="422"/>
      <c r="K59" s="421">
        <f>I59</f>
        <v>-0.0505581904678151</v>
      </c>
      <c r="L59" s="422"/>
      <c r="M59" s="461"/>
      <c r="N59" s="471"/>
      <c r="P59" s="472"/>
      <c r="Q59" s="492"/>
    </row>
    <row r="60" s="398" customFormat="1" ht="15" customHeight="1" outlineLevel="1" spans="1:17">
      <c r="A60" s="424">
        <v>11</v>
      </c>
      <c r="B60" s="425" t="s">
        <v>552</v>
      </c>
      <c r="C60" s="426">
        <f>D50/$L50</f>
        <v>0.0619785458879619</v>
      </c>
      <c r="D60" s="427"/>
      <c r="E60" s="426">
        <f>F50/$L50</f>
        <v>0.100119189511323</v>
      </c>
      <c r="F60" s="427"/>
      <c r="G60" s="426">
        <f>H50/$L50</f>
        <v>0.538140643623361</v>
      </c>
      <c r="H60" s="427"/>
      <c r="I60" s="426">
        <f>J50/L50</f>
        <v>0.299761620977354</v>
      </c>
      <c r="J60" s="427"/>
      <c r="K60" s="426"/>
      <c r="L60" s="427"/>
      <c r="M60" s="473"/>
      <c r="N60" s="474"/>
      <c r="P60" s="43"/>
      <c r="Q60" s="43"/>
    </row>
    <row r="61" ht="12.75" outlineLevel="1" spans="1:16">
      <c r="A61" s="428"/>
      <c r="B61" s="178"/>
      <c r="C61" s="429"/>
      <c r="D61" s="429"/>
      <c r="E61" s="429"/>
      <c r="F61" s="429"/>
      <c r="G61" s="429"/>
      <c r="H61" s="429"/>
      <c r="I61" s="429"/>
      <c r="J61" s="429"/>
      <c r="K61" s="429"/>
      <c r="L61" s="429"/>
      <c r="M61" s="429"/>
      <c r="N61" s="429"/>
      <c r="O61" s="429"/>
      <c r="P61" s="178"/>
    </row>
    <row r="62" outlineLevel="1" spans="2:19">
      <c r="B62" s="416" t="s">
        <v>539</v>
      </c>
      <c r="C62" s="416"/>
      <c r="D62" s="416"/>
      <c r="E62" s="416" t="s">
        <v>506</v>
      </c>
      <c r="F62" s="416" t="s">
        <v>507</v>
      </c>
      <c r="G62" s="416" t="s">
        <v>508</v>
      </c>
      <c r="H62" s="416" t="s">
        <v>509</v>
      </c>
      <c r="Q62" s="487" t="s">
        <v>540</v>
      </c>
      <c r="R62" s="488"/>
      <c r="S62" s="489"/>
    </row>
    <row r="63" customHeight="1" outlineLevel="1" spans="2:19">
      <c r="B63" s="430" t="s">
        <v>553</v>
      </c>
      <c r="C63" s="431" t="s">
        <v>540</v>
      </c>
      <c r="D63" s="220" t="s">
        <v>173</v>
      </c>
      <c r="E63" s="433">
        <f>项目度量分析计划!D22</f>
        <v>0.012</v>
      </c>
      <c r="F63" s="433">
        <f>项目度量分析计划!D31</f>
        <v>0.1326</v>
      </c>
      <c r="G63" s="433">
        <f>项目度量分析计划!D37</f>
        <v>0.0009</v>
      </c>
      <c r="H63" s="433">
        <f>项目度量分析计划!D49</f>
        <v>-0.3877</v>
      </c>
      <c r="P63" s="43" t="s">
        <v>542</v>
      </c>
      <c r="Q63" s="65" t="s">
        <v>173</v>
      </c>
      <c r="R63" s="65" t="s">
        <v>174</v>
      </c>
      <c r="S63" s="65" t="s">
        <v>349</v>
      </c>
    </row>
    <row r="64" outlineLevel="1" spans="2:19">
      <c r="B64" s="434"/>
      <c r="C64" s="435"/>
      <c r="D64" s="221" t="s">
        <v>174</v>
      </c>
      <c r="E64" s="221">
        <f>项目度量分析计划!E22</f>
        <v>0.132</v>
      </c>
      <c r="F64" s="221">
        <f>项目度量分析计划!E31</f>
        <v>0.93</v>
      </c>
      <c r="G64" s="433">
        <f>项目度量分析计划!E37</f>
        <v>0.2019</v>
      </c>
      <c r="H64" s="433">
        <f>项目度量分析计划!E49</f>
        <v>0.0045</v>
      </c>
      <c r="O64" s="43" t="s">
        <v>506</v>
      </c>
      <c r="P64" s="448">
        <f>C58</f>
        <v>-0.0337428055250033</v>
      </c>
      <c r="Q64" s="490">
        <v>-0.15</v>
      </c>
      <c r="R64" s="491">
        <v>0.1262</v>
      </c>
      <c r="S64" s="491">
        <v>0.3</v>
      </c>
    </row>
    <row r="65" outlineLevel="1" spans="2:19">
      <c r="B65" s="434"/>
      <c r="C65" s="437"/>
      <c r="D65" s="220" t="s">
        <v>349</v>
      </c>
      <c r="E65" s="433">
        <f>项目度量分析计划!F22</f>
        <v>0.252</v>
      </c>
      <c r="F65" s="433">
        <f>项目度量分析计划!F31</f>
        <v>1.7274</v>
      </c>
      <c r="G65" s="433">
        <f>项目度量分析计划!F37</f>
        <v>0.4029</v>
      </c>
      <c r="H65" s="433">
        <f>项目度量分析计划!F49</f>
        <v>0.3967</v>
      </c>
      <c r="O65" s="43" t="s">
        <v>507</v>
      </c>
      <c r="P65" s="448">
        <f>E58</f>
        <v>-0.0513111181518217</v>
      </c>
      <c r="Q65" s="490">
        <v>-0.15</v>
      </c>
      <c r="R65" s="491">
        <v>0.1262</v>
      </c>
      <c r="S65" s="491">
        <v>0.3</v>
      </c>
    </row>
    <row r="66" outlineLevel="1" spans="2:19">
      <c r="B66" s="434"/>
      <c r="C66" s="438" t="s">
        <v>524</v>
      </c>
      <c r="D66" s="326" t="s">
        <v>543</v>
      </c>
      <c r="E66" s="439">
        <f>C55/C56</f>
        <v>0.12239248034076</v>
      </c>
      <c r="F66" s="439">
        <f>E55/E56</f>
        <v>0.2039874672346</v>
      </c>
      <c r="G66" s="439">
        <f>G55/G56</f>
        <v>1.06073482961992</v>
      </c>
      <c r="H66" s="439">
        <f>I55/I56</f>
        <v>0.652759895150721</v>
      </c>
      <c r="O66" s="43" t="s">
        <v>508</v>
      </c>
      <c r="P66" s="448">
        <f>G58</f>
        <v>-0.0221593026941344</v>
      </c>
      <c r="Q66" s="490">
        <v>-0.15</v>
      </c>
      <c r="R66" s="491">
        <v>0.1262</v>
      </c>
      <c r="S66" s="491">
        <v>0.3</v>
      </c>
    </row>
    <row r="67" outlineLevel="1" spans="2:19">
      <c r="B67" s="434"/>
      <c r="C67" s="438" t="s">
        <v>525</v>
      </c>
      <c r="D67" s="326" t="s">
        <v>544</v>
      </c>
      <c r="E67" s="439">
        <f>D55/C56</f>
        <v>0.118262614678899</v>
      </c>
      <c r="F67" s="439">
        <f>F55/E56</f>
        <v>0.193520642201835</v>
      </c>
      <c r="G67" s="439">
        <f>H55/G56</f>
        <v>1.03722968545216</v>
      </c>
      <c r="H67" s="439">
        <f>J55/I56</f>
        <v>0.587729357798165</v>
      </c>
      <c r="O67" s="43" t="s">
        <v>509</v>
      </c>
      <c r="P67" s="448">
        <f>I58</f>
        <v>-0.0996239778755714</v>
      </c>
      <c r="Q67" s="490">
        <v>-0.15</v>
      </c>
      <c r="R67" s="491">
        <v>0.1262</v>
      </c>
      <c r="S67" s="491">
        <v>0.3</v>
      </c>
    </row>
    <row r="68" outlineLevel="1"/>
    <row r="69" outlineLevel="1" spans="16:16">
      <c r="P69" s="454"/>
    </row>
    <row r="70" outlineLevel="1" spans="16:16">
      <c r="P70" s="454"/>
    </row>
    <row r="71" outlineLevel="1"/>
    <row r="72" outlineLevel="1"/>
    <row r="73" outlineLevel="1"/>
    <row r="74" outlineLevel="1"/>
    <row r="75" outlineLevel="1"/>
    <row r="76" outlineLevel="1"/>
    <row r="77" outlineLevel="1"/>
    <row r="78" outlineLevel="1"/>
    <row r="79" ht="14.25" customHeight="1" outlineLevel="1"/>
    <row r="80" outlineLevel="1"/>
    <row r="81" ht="14.25" outlineLevel="1" spans="1:1">
      <c r="A81" s="440"/>
    </row>
    <row r="82" outlineLevel="1"/>
    <row r="83" outlineLevel="1"/>
    <row r="84" outlineLevel="1"/>
    <row r="85" customHeight="1" outlineLevel="1"/>
    <row r="86" outlineLevel="1"/>
    <row r="87" outlineLevel="1"/>
    <row r="88" outlineLevel="1"/>
    <row r="89" outlineLevel="1"/>
    <row r="90" outlineLevel="1"/>
    <row r="92" ht="13.5" customHeight="1" spans="1:5">
      <c r="A92" s="400" t="s">
        <v>405</v>
      </c>
      <c r="E92" s="43">
        <f>(30+44+2288)/8</f>
        <v>295.25</v>
      </c>
    </row>
    <row r="93" ht="15" customHeight="1" outlineLevel="1" spans="1:17">
      <c r="A93" s="402" t="s">
        <v>64</v>
      </c>
      <c r="B93" s="403" t="s">
        <v>518</v>
      </c>
      <c r="C93" s="404" t="s">
        <v>506</v>
      </c>
      <c r="D93" s="405"/>
      <c r="E93" s="404" t="s">
        <v>507</v>
      </c>
      <c r="F93" s="405"/>
      <c r="G93" s="404" t="s">
        <v>508</v>
      </c>
      <c r="H93" s="405"/>
      <c r="I93" s="404" t="s">
        <v>509</v>
      </c>
      <c r="J93" s="405"/>
      <c r="K93" s="404" t="s">
        <v>519</v>
      </c>
      <c r="L93" s="405"/>
      <c r="M93" s="455" t="s">
        <v>520</v>
      </c>
      <c r="N93" s="456" t="s">
        <v>521</v>
      </c>
      <c r="P93" s="457" t="s">
        <v>522</v>
      </c>
      <c r="Q93" s="475"/>
    </row>
    <row r="94" ht="15" customHeight="1" outlineLevel="1" spans="1:17">
      <c r="A94" s="406"/>
      <c r="B94" s="407"/>
      <c r="C94" s="408" t="s">
        <v>524</v>
      </c>
      <c r="D94" s="408" t="s">
        <v>525</v>
      </c>
      <c r="E94" s="409" t="s">
        <v>524</v>
      </c>
      <c r="F94" s="408" t="s">
        <v>525</v>
      </c>
      <c r="G94" s="408" t="s">
        <v>524</v>
      </c>
      <c r="H94" s="408" t="s">
        <v>525</v>
      </c>
      <c r="I94" s="443" t="s">
        <v>524</v>
      </c>
      <c r="J94" s="443" t="s">
        <v>525</v>
      </c>
      <c r="K94" s="408" t="s">
        <v>524</v>
      </c>
      <c r="L94" s="443" t="s">
        <v>525</v>
      </c>
      <c r="M94" s="458"/>
      <c r="N94" s="459"/>
      <c r="P94" s="460"/>
      <c r="Q94" s="476"/>
    </row>
    <row r="95" ht="15" customHeight="1" outlineLevel="1" spans="1:17">
      <c r="A95" s="410">
        <v>1</v>
      </c>
      <c r="B95" s="411" t="s">
        <v>526</v>
      </c>
      <c r="C95" s="412">
        <f>$K95*Q95</f>
        <v>13.4701455</v>
      </c>
      <c r="D95" s="413">
        <f>107.5/8</f>
        <v>13.4375</v>
      </c>
      <c r="E95" s="412">
        <f>$K95*Q97</f>
        <v>22.4502425</v>
      </c>
      <c r="F95" s="441">
        <f>178.5/8</f>
        <v>22.3125</v>
      </c>
      <c r="G95" s="412">
        <f>K95*Q99</f>
        <v>116.741261</v>
      </c>
      <c r="H95" s="442">
        <f>(894.5+38+8)/8</f>
        <v>117.5625</v>
      </c>
      <c r="I95" s="412">
        <f>K95*Q101</f>
        <v>71.840776</v>
      </c>
      <c r="J95" s="413">
        <f>(22+569.5)/8</f>
        <v>73.9375</v>
      </c>
      <c r="K95" s="461">
        <f t="shared" ref="K95:K100" si="24">G9</f>
        <v>224.502425</v>
      </c>
      <c r="L95" s="417">
        <f t="shared" ref="L95:L99" si="25">D95+F95+H95+J95</f>
        <v>227.25</v>
      </c>
      <c r="M95" s="461">
        <f t="shared" ref="M95:M99" si="26">L95/K95</f>
        <v>1.01223850922768</v>
      </c>
      <c r="N95" s="462">
        <f>L95/$L$100</f>
        <v>0.890303623898139</v>
      </c>
      <c r="P95" s="463" t="s">
        <v>506</v>
      </c>
      <c r="Q95" s="477">
        <v>0.06</v>
      </c>
    </row>
    <row r="96" ht="15" customHeight="1" outlineLevel="1" spans="1:17">
      <c r="A96" s="410">
        <v>2</v>
      </c>
      <c r="B96" s="411" t="s">
        <v>528</v>
      </c>
      <c r="C96" s="412">
        <f>$K96*Q95</f>
        <v>0.7923615</v>
      </c>
      <c r="D96" s="413">
        <f>6/8</f>
        <v>0.75</v>
      </c>
      <c r="E96" s="412">
        <f>K96*Q97</f>
        <v>1.3206025</v>
      </c>
      <c r="F96" s="441">
        <f>10/8</f>
        <v>1.25</v>
      </c>
      <c r="G96" s="412">
        <f>K96*Q99</f>
        <v>6.867133</v>
      </c>
      <c r="H96" s="442">
        <f>54/8</f>
        <v>6.75</v>
      </c>
      <c r="I96" s="412">
        <f>K96*Q101</f>
        <v>4.225928</v>
      </c>
      <c r="J96" s="413">
        <f>33/8</f>
        <v>4.125</v>
      </c>
      <c r="K96" s="461">
        <f t="shared" si="24"/>
        <v>13.206025</v>
      </c>
      <c r="L96" s="417">
        <f t="shared" si="25"/>
        <v>12.875</v>
      </c>
      <c r="M96" s="461">
        <f t="shared" si="26"/>
        <v>0.97493378969069</v>
      </c>
      <c r="N96" s="462">
        <f>L96/$L$100</f>
        <v>0.0504407443682664</v>
      </c>
      <c r="P96" s="464"/>
      <c r="Q96" s="480"/>
    </row>
    <row r="97" ht="15" customHeight="1" outlineLevel="1" spans="1:17">
      <c r="A97" s="410">
        <v>3</v>
      </c>
      <c r="B97" s="411" t="s">
        <v>529</v>
      </c>
      <c r="C97" s="412">
        <f>K97*Q95</f>
        <v>0.4754169</v>
      </c>
      <c r="D97" s="413">
        <f>3/8</f>
        <v>0.375</v>
      </c>
      <c r="E97" s="412">
        <f>K97*Q97</f>
        <v>0.7923615</v>
      </c>
      <c r="F97" s="441">
        <f>6/8</f>
        <v>0.75</v>
      </c>
      <c r="G97" s="412">
        <f>K97*Q99</f>
        <v>4.1202798</v>
      </c>
      <c r="H97" s="442">
        <f>32/8</f>
        <v>4</v>
      </c>
      <c r="I97" s="412">
        <f>K97*Q101</f>
        <v>2.5355568</v>
      </c>
      <c r="J97" s="413">
        <f>20/8</f>
        <v>2.5</v>
      </c>
      <c r="K97" s="461">
        <f t="shared" si="24"/>
        <v>7.923615</v>
      </c>
      <c r="L97" s="417">
        <f t="shared" si="25"/>
        <v>7.625</v>
      </c>
      <c r="M97" s="461">
        <f t="shared" si="26"/>
        <v>0.962313287558772</v>
      </c>
      <c r="N97" s="462">
        <f>L97/$L$100</f>
        <v>0.0298726738491675</v>
      </c>
      <c r="P97" s="465" t="s">
        <v>507</v>
      </c>
      <c r="Q97" s="481">
        <v>0.1</v>
      </c>
    </row>
    <row r="98" ht="15" customHeight="1" outlineLevel="1" spans="1:17">
      <c r="A98" s="410">
        <v>4</v>
      </c>
      <c r="B98" s="411" t="s">
        <v>530</v>
      </c>
      <c r="C98" s="412">
        <f>K98*Q95</f>
        <v>0.4754169</v>
      </c>
      <c r="D98" s="413">
        <f>4/8</f>
        <v>0.5</v>
      </c>
      <c r="E98" s="412">
        <f>K98*Q97</f>
        <v>0.7923615</v>
      </c>
      <c r="F98" s="441">
        <f>6/8</f>
        <v>0.75</v>
      </c>
      <c r="G98" s="412">
        <f>K98*Q99</f>
        <v>4.1202798</v>
      </c>
      <c r="H98" s="442">
        <f>32/8</f>
        <v>4</v>
      </c>
      <c r="I98" s="412">
        <f>K98*Q101</f>
        <v>2.5355568</v>
      </c>
      <c r="J98" s="413">
        <f>18/8</f>
        <v>2.25</v>
      </c>
      <c r="K98" s="461">
        <f t="shared" si="24"/>
        <v>7.923615</v>
      </c>
      <c r="L98" s="417">
        <f t="shared" si="25"/>
        <v>7.5</v>
      </c>
      <c r="M98" s="461">
        <f t="shared" si="26"/>
        <v>0.946537659893874</v>
      </c>
      <c r="N98" s="462">
        <f>L98/$L$100</f>
        <v>0.029382957884427</v>
      </c>
      <c r="P98" s="464"/>
      <c r="Q98" s="480"/>
    </row>
    <row r="99" ht="15" customHeight="1" outlineLevel="1" spans="1:17">
      <c r="A99" s="410">
        <v>5</v>
      </c>
      <c r="B99" s="411" t="s">
        <v>531</v>
      </c>
      <c r="C99" s="412">
        <f>K99*Q95</f>
        <v>0.6338892</v>
      </c>
      <c r="D99" s="413">
        <v>0</v>
      </c>
      <c r="E99" s="412">
        <f>K99*Q97</f>
        <v>1.056482</v>
      </c>
      <c r="F99" s="441">
        <v>0</v>
      </c>
      <c r="G99" s="412">
        <f>K99*Q99</f>
        <v>5.4937064</v>
      </c>
      <c r="H99" s="442">
        <v>0</v>
      </c>
      <c r="I99" s="412">
        <f>K99*Q101</f>
        <v>3.3807424</v>
      </c>
      <c r="J99" s="413">
        <v>0</v>
      </c>
      <c r="K99" s="461">
        <f t="shared" si="24"/>
        <v>10.56482</v>
      </c>
      <c r="L99" s="417">
        <f t="shared" si="25"/>
        <v>0</v>
      </c>
      <c r="M99" s="461">
        <f t="shared" si="26"/>
        <v>0</v>
      </c>
      <c r="N99" s="462">
        <f>L99/$L$100</f>
        <v>0</v>
      </c>
      <c r="P99" s="466" t="s">
        <v>508</v>
      </c>
      <c r="Q99" s="481">
        <v>0.52</v>
      </c>
    </row>
    <row r="100" ht="15" customHeight="1" outlineLevel="1" spans="1:17">
      <c r="A100" s="410">
        <v>6</v>
      </c>
      <c r="B100" s="411" t="s">
        <v>548</v>
      </c>
      <c r="C100" s="414">
        <f t="shared" ref="C100:J100" si="27">SUM(C95:C99)</f>
        <v>15.84723</v>
      </c>
      <c r="D100" s="414">
        <f t="shared" si="27"/>
        <v>15.0625</v>
      </c>
      <c r="E100" s="414">
        <f t="shared" si="27"/>
        <v>26.41205</v>
      </c>
      <c r="F100" s="414">
        <f t="shared" si="27"/>
        <v>25.0625</v>
      </c>
      <c r="G100" s="414">
        <f t="shared" si="27"/>
        <v>137.34266</v>
      </c>
      <c r="H100" s="414">
        <f t="shared" si="27"/>
        <v>132.3125</v>
      </c>
      <c r="I100" s="444">
        <f t="shared" si="27"/>
        <v>84.51856</v>
      </c>
      <c r="J100" s="444">
        <f t="shared" si="27"/>
        <v>82.8125</v>
      </c>
      <c r="K100" s="461">
        <f t="shared" si="24"/>
        <v>264.1205</v>
      </c>
      <c r="L100" s="446">
        <f>SUM(L95:L99)</f>
        <v>255.25</v>
      </c>
      <c r="M100" s="461"/>
      <c r="N100" s="462"/>
      <c r="P100" s="467"/>
      <c r="Q100" s="480"/>
    </row>
    <row r="101" ht="15" customHeight="1" outlineLevel="1" spans="1:17">
      <c r="A101" s="415">
        <v>7</v>
      </c>
      <c r="B101" s="416" t="s">
        <v>534</v>
      </c>
      <c r="C101" s="417">
        <f>规模!C14</f>
        <v>126.95</v>
      </c>
      <c r="D101" s="418"/>
      <c r="E101" s="417">
        <f>规模!C15</f>
        <v>126.95</v>
      </c>
      <c r="F101" s="418"/>
      <c r="G101" s="417">
        <f>规模!C16</f>
        <v>126.95</v>
      </c>
      <c r="H101" s="418"/>
      <c r="I101" s="417">
        <f>规模!C17</f>
        <v>126.95</v>
      </c>
      <c r="J101" s="418"/>
      <c r="K101" s="417">
        <f>I101</f>
        <v>126.95</v>
      </c>
      <c r="L101" s="418"/>
      <c r="M101" s="461"/>
      <c r="N101" s="468"/>
      <c r="P101" s="465" t="s">
        <v>509</v>
      </c>
      <c r="Q101" s="482">
        <v>0.32</v>
      </c>
    </row>
    <row r="102" s="242" customFormat="1" ht="15" customHeight="1" outlineLevel="1" spans="1:17">
      <c r="A102" s="415">
        <v>8</v>
      </c>
      <c r="B102" s="416" t="s">
        <v>550</v>
      </c>
      <c r="C102" s="419">
        <f t="shared" ref="C102:G102" si="28">D100/C100</f>
        <v>0.950481566810099</v>
      </c>
      <c r="D102" s="420"/>
      <c r="E102" s="419">
        <f t="shared" si="28"/>
        <v>0.948904004043609</v>
      </c>
      <c r="F102" s="420"/>
      <c r="G102" s="419">
        <f t="shared" si="28"/>
        <v>0.963375108651602</v>
      </c>
      <c r="H102" s="420"/>
      <c r="I102" s="419">
        <f>J100/I100</f>
        <v>0.979814374499518</v>
      </c>
      <c r="J102" s="420"/>
      <c r="K102" s="419">
        <f>L100/K100</f>
        <v>0.966414950751646</v>
      </c>
      <c r="L102" s="420"/>
      <c r="M102" s="461"/>
      <c r="N102" s="468"/>
      <c r="P102" s="464"/>
      <c r="Q102" s="483"/>
    </row>
    <row r="103" s="242" customFormat="1" ht="15" customHeight="1" outlineLevel="1" spans="1:17">
      <c r="A103" s="415">
        <v>9</v>
      </c>
      <c r="B103" s="416" t="s">
        <v>536</v>
      </c>
      <c r="C103" s="421">
        <f t="shared" ref="C103:G103" si="29">D100/C100-1</f>
        <v>-0.0495184331899012</v>
      </c>
      <c r="D103" s="422"/>
      <c r="E103" s="421">
        <f t="shared" si="29"/>
        <v>-0.0510959959563909</v>
      </c>
      <c r="F103" s="422"/>
      <c r="G103" s="421">
        <f t="shared" si="29"/>
        <v>-0.0366248913483982</v>
      </c>
      <c r="H103" s="422"/>
      <c r="I103" s="421">
        <f>J100/I100-1</f>
        <v>-0.0201856255004815</v>
      </c>
      <c r="J103" s="422"/>
      <c r="K103" s="421">
        <f>L100/K100-1</f>
        <v>-0.0335850492483544</v>
      </c>
      <c r="L103" s="422"/>
      <c r="M103" s="461"/>
      <c r="N103" s="469"/>
      <c r="P103" s="470"/>
      <c r="Q103" s="486"/>
    </row>
    <row r="104" s="398" customFormat="1" ht="15" customHeight="1" outlineLevel="1" spans="1:17">
      <c r="A104" s="415">
        <v>10</v>
      </c>
      <c r="B104" s="423" t="s">
        <v>551</v>
      </c>
      <c r="C104" s="421">
        <f>D100/C100-100%</f>
        <v>-0.0495184331899012</v>
      </c>
      <c r="D104" s="422"/>
      <c r="E104" s="421">
        <f>(D100+F100)/(C100+E100)-100%</f>
        <v>-0.0505044099189572</v>
      </c>
      <c r="F104" s="422"/>
      <c r="G104" s="421">
        <f>(D100+F100+H100)/(C100+E100+G100)-100%</f>
        <v>-0.0398906604238238</v>
      </c>
      <c r="H104" s="422"/>
      <c r="I104" s="421">
        <f>(D100+F100+H100+J100)/(C100+E100+G100+I100)-100%</f>
        <v>-0.0335850492483544</v>
      </c>
      <c r="J104" s="422"/>
      <c r="K104" s="421">
        <f>I104</f>
        <v>-0.0335850492483544</v>
      </c>
      <c r="L104" s="422"/>
      <c r="M104" s="461"/>
      <c r="N104" s="471"/>
      <c r="P104" s="472"/>
      <c r="Q104" s="492"/>
    </row>
    <row r="105" s="398" customFormat="1" ht="15" customHeight="1" outlineLevel="1" spans="1:17">
      <c r="A105" s="424">
        <v>11</v>
      </c>
      <c r="B105" s="425" t="s">
        <v>552</v>
      </c>
      <c r="C105" s="426">
        <f t="shared" ref="C105:G105" si="30">D95/$L95</f>
        <v>0.0591309130913091</v>
      </c>
      <c r="D105" s="427"/>
      <c r="E105" s="426">
        <f t="shared" si="30"/>
        <v>0.0981848184818482</v>
      </c>
      <c r="F105" s="427"/>
      <c r="G105" s="426">
        <f t="shared" si="30"/>
        <v>0.517326732673267</v>
      </c>
      <c r="H105" s="427"/>
      <c r="I105" s="426">
        <f>J95/L95</f>
        <v>0.325357535753575</v>
      </c>
      <c r="J105" s="427"/>
      <c r="K105" s="426"/>
      <c r="L105" s="427"/>
      <c r="M105" s="473"/>
      <c r="N105" s="474"/>
      <c r="P105" s="43"/>
      <c r="Q105" s="43"/>
    </row>
    <row r="106" ht="12.75" outlineLevel="1" spans="1:19">
      <c r="A106" s="428"/>
      <c r="B106" s="178"/>
      <c r="C106" s="429"/>
      <c r="D106" s="429"/>
      <c r="E106" s="429"/>
      <c r="F106" s="429"/>
      <c r="G106" s="429"/>
      <c r="H106" s="429"/>
      <c r="I106" s="429"/>
      <c r="J106" s="429"/>
      <c r="K106" s="429"/>
      <c r="L106" s="429"/>
      <c r="M106" s="429"/>
      <c r="N106" s="429"/>
      <c r="O106" s="429"/>
      <c r="P106" s="45"/>
      <c r="Q106" s="45"/>
      <c r="R106" s="45"/>
      <c r="S106" s="45"/>
    </row>
    <row r="107" outlineLevel="1" spans="2:19">
      <c r="B107" s="416" t="s">
        <v>539</v>
      </c>
      <c r="C107" s="416"/>
      <c r="D107" s="416"/>
      <c r="E107" s="416" t="s">
        <v>506</v>
      </c>
      <c r="F107" s="416" t="s">
        <v>507</v>
      </c>
      <c r="G107" s="416" t="s">
        <v>508</v>
      </c>
      <c r="H107" s="416" t="s">
        <v>509</v>
      </c>
      <c r="Q107" s="487" t="s">
        <v>540</v>
      </c>
      <c r="R107" s="488"/>
      <c r="S107" s="489"/>
    </row>
    <row r="108" customHeight="1" outlineLevel="1" spans="2:19">
      <c r="B108" s="430" t="s">
        <v>553</v>
      </c>
      <c r="C108" s="431" t="s">
        <v>540</v>
      </c>
      <c r="D108" s="220" t="s">
        <v>173</v>
      </c>
      <c r="E108" s="433">
        <f>项目度量分析计划!D22</f>
        <v>0.012</v>
      </c>
      <c r="F108" s="433">
        <f>项目度量分析计划!D31</f>
        <v>0.1326</v>
      </c>
      <c r="G108" s="433">
        <f>项目度量分析计划!D37</f>
        <v>0.0009</v>
      </c>
      <c r="H108" s="433">
        <f>项目度量分析计划!D49</f>
        <v>-0.3877</v>
      </c>
      <c r="P108" s="43" t="s">
        <v>542</v>
      </c>
      <c r="Q108" s="65" t="s">
        <v>173</v>
      </c>
      <c r="R108" s="65" t="s">
        <v>174</v>
      </c>
      <c r="S108" s="65" t="s">
        <v>349</v>
      </c>
    </row>
    <row r="109" outlineLevel="1" spans="2:19">
      <c r="B109" s="434"/>
      <c r="C109" s="435"/>
      <c r="D109" s="221" t="s">
        <v>174</v>
      </c>
      <c r="E109" s="221">
        <f>项目度量分析计划!E22</f>
        <v>0.132</v>
      </c>
      <c r="F109" s="221">
        <f>项目度量分析计划!E31</f>
        <v>0.93</v>
      </c>
      <c r="G109" s="433">
        <f>项目度量分析计划!E37</f>
        <v>0.2019</v>
      </c>
      <c r="H109" s="433">
        <f>项目度量分析计划!E49</f>
        <v>0.0045</v>
      </c>
      <c r="O109" s="43" t="s">
        <v>506</v>
      </c>
      <c r="P109" s="448">
        <f>C103</f>
        <v>-0.0495184331899012</v>
      </c>
      <c r="Q109" s="490">
        <v>-0.15</v>
      </c>
      <c r="R109" s="491">
        <v>0.1262</v>
      </c>
      <c r="S109" s="491">
        <v>0.3</v>
      </c>
    </row>
    <row r="110" outlineLevel="1" spans="2:19">
      <c r="B110" s="434"/>
      <c r="C110" s="437"/>
      <c r="D110" s="220" t="s">
        <v>349</v>
      </c>
      <c r="E110" s="433">
        <f>项目度量分析计划!F22</f>
        <v>0.252</v>
      </c>
      <c r="F110" s="433">
        <f>项目度量分析计划!F31</f>
        <v>1.7274</v>
      </c>
      <c r="G110" s="433">
        <f>项目度量分析计划!F37</f>
        <v>0.4029</v>
      </c>
      <c r="H110" s="433">
        <f>项目度量分析计划!F49</f>
        <v>0.3967</v>
      </c>
      <c r="O110" s="43" t="s">
        <v>507</v>
      </c>
      <c r="P110" s="448">
        <f>E103</f>
        <v>-0.0510959959563909</v>
      </c>
      <c r="Q110" s="490">
        <v>-0.15</v>
      </c>
      <c r="R110" s="491">
        <v>0.1262</v>
      </c>
      <c r="S110" s="491">
        <v>0.3</v>
      </c>
    </row>
    <row r="111" outlineLevel="1" spans="2:19">
      <c r="B111" s="434"/>
      <c r="C111" s="438" t="s">
        <v>524</v>
      </c>
      <c r="D111" s="326" t="s">
        <v>543</v>
      </c>
      <c r="E111" s="439">
        <f>C100/C101</f>
        <v>0.124830484442694</v>
      </c>
      <c r="F111" s="439">
        <f>E100/E101</f>
        <v>0.20805080740449</v>
      </c>
      <c r="G111" s="439">
        <f>G100/G101</f>
        <v>1.08186419850335</v>
      </c>
      <c r="H111" s="439">
        <f>I100/I101</f>
        <v>0.665762583694368</v>
      </c>
      <c r="O111" s="43" t="s">
        <v>508</v>
      </c>
      <c r="P111" s="448">
        <f>G103</f>
        <v>-0.0366248913483982</v>
      </c>
      <c r="Q111" s="490">
        <v>-0.15</v>
      </c>
      <c r="R111" s="491">
        <v>0.1262</v>
      </c>
      <c r="S111" s="491">
        <v>0.3</v>
      </c>
    </row>
    <row r="112" outlineLevel="1" spans="2:19">
      <c r="B112" s="434"/>
      <c r="C112" s="438" t="s">
        <v>525</v>
      </c>
      <c r="D112" s="326" t="s">
        <v>544</v>
      </c>
      <c r="E112" s="439">
        <f>D100/C101</f>
        <v>0.118649074438755</v>
      </c>
      <c r="F112" s="439">
        <f>F100/E101</f>
        <v>0.197420244190626</v>
      </c>
      <c r="G112" s="439">
        <f>H100/G101</f>
        <v>1.04224103977944</v>
      </c>
      <c r="H112" s="439">
        <f>J100/I101</f>
        <v>0.65232374950768</v>
      </c>
      <c r="O112" s="43" t="s">
        <v>509</v>
      </c>
      <c r="P112" s="448">
        <f>I103</f>
        <v>-0.0201856255004815</v>
      </c>
      <c r="Q112" s="490">
        <v>-0.15</v>
      </c>
      <c r="R112" s="491">
        <v>0.1262</v>
      </c>
      <c r="S112" s="491">
        <v>0.3</v>
      </c>
    </row>
    <row r="113" outlineLevel="1"/>
    <row r="114" outlineLevel="1" spans="16:16">
      <c r="P114" s="454"/>
    </row>
    <row r="115" outlineLevel="1" spans="16:16">
      <c r="P115" s="454"/>
    </row>
    <row r="116" outlineLevel="1"/>
    <row r="117" outlineLevel="1"/>
    <row r="118" outlineLevel="1"/>
    <row r="119" outlineLevel="1"/>
    <row r="120" outlineLevel="1"/>
    <row r="121" outlineLevel="1"/>
    <row r="122" outlineLevel="1"/>
    <row r="123" outlineLevel="1"/>
    <row r="124" ht="14.25" customHeight="1" outlineLevel="1"/>
    <row r="125" outlineLevel="1"/>
    <row r="126" ht="14.25" outlineLevel="1" spans="1:1">
      <c r="A126" s="440"/>
    </row>
    <row r="127" outlineLevel="1"/>
    <row r="128" outlineLevel="1"/>
    <row r="129" outlineLevel="1"/>
    <row r="130" customHeight="1" outlineLevel="1"/>
    <row r="131" outlineLevel="1"/>
    <row r="132" outlineLevel="1"/>
    <row r="133" outlineLevel="1"/>
    <row r="134" outlineLevel="1"/>
    <row r="135" outlineLevel="1"/>
    <row r="137" ht="13.5" customHeight="1" spans="1:5">
      <c r="A137" s="400" t="s">
        <v>406</v>
      </c>
      <c r="E137" s="43">
        <f>(2+1.5+992)/8</f>
        <v>124.4375</v>
      </c>
    </row>
    <row r="138" ht="15" customHeight="1" outlineLevel="1" spans="1:17">
      <c r="A138" s="402" t="s">
        <v>64</v>
      </c>
      <c r="B138" s="403" t="s">
        <v>518</v>
      </c>
      <c r="C138" s="404" t="s">
        <v>506</v>
      </c>
      <c r="D138" s="405"/>
      <c r="E138" s="404" t="s">
        <v>507</v>
      </c>
      <c r="F138" s="405"/>
      <c r="G138" s="404" t="s">
        <v>508</v>
      </c>
      <c r="H138" s="405"/>
      <c r="I138" s="404" t="s">
        <v>509</v>
      </c>
      <c r="J138" s="405"/>
      <c r="K138" s="404" t="s">
        <v>519</v>
      </c>
      <c r="L138" s="405"/>
      <c r="M138" s="455" t="s">
        <v>520</v>
      </c>
      <c r="N138" s="456" t="s">
        <v>521</v>
      </c>
      <c r="P138" s="457" t="s">
        <v>522</v>
      </c>
      <c r="Q138" s="475"/>
    </row>
    <row r="139" ht="15" customHeight="1" outlineLevel="1" spans="1:17">
      <c r="A139" s="406"/>
      <c r="B139" s="407"/>
      <c r="C139" s="408" t="s">
        <v>524</v>
      </c>
      <c r="D139" s="408" t="s">
        <v>525</v>
      </c>
      <c r="E139" s="409" t="s">
        <v>524</v>
      </c>
      <c r="F139" s="408" t="s">
        <v>525</v>
      </c>
      <c r="G139" s="408" t="s">
        <v>524</v>
      </c>
      <c r="H139" s="408" t="s">
        <v>525</v>
      </c>
      <c r="I139" s="443" t="s">
        <v>524</v>
      </c>
      <c r="J139" s="443" t="s">
        <v>525</v>
      </c>
      <c r="K139" s="408" t="s">
        <v>524</v>
      </c>
      <c r="L139" s="443" t="s">
        <v>525</v>
      </c>
      <c r="M139" s="458"/>
      <c r="N139" s="459"/>
      <c r="P139" s="460"/>
      <c r="Q139" s="476"/>
    </row>
    <row r="140" ht="15" customHeight="1" outlineLevel="1" spans="1:17">
      <c r="A140" s="410">
        <v>1</v>
      </c>
      <c r="B140" s="411" t="s">
        <v>526</v>
      </c>
      <c r="C140" s="412">
        <f>$K140*Q140</f>
        <v>3.848613</v>
      </c>
      <c r="D140" s="413">
        <f>30/8</f>
        <v>3.75</v>
      </c>
      <c r="E140" s="412">
        <f>$K140*Q142</f>
        <v>6.414355</v>
      </c>
      <c r="F140" s="441">
        <f>54.5/8</f>
        <v>6.8125</v>
      </c>
      <c r="G140" s="412">
        <f>K140*Q144</f>
        <v>33.354646</v>
      </c>
      <c r="H140" s="442">
        <f>269/8</f>
        <v>33.625</v>
      </c>
      <c r="I140" s="412">
        <f>K140*Q146</f>
        <v>20.525936</v>
      </c>
      <c r="J140" s="413">
        <f>167.5/8</f>
        <v>20.9375</v>
      </c>
      <c r="K140" s="461">
        <f t="shared" ref="K140:K145" si="31">I9</f>
        <v>64.14355</v>
      </c>
      <c r="L140" s="417">
        <f t="shared" ref="L140:L144" si="32">D140+F140+H140+J140</f>
        <v>65.125</v>
      </c>
      <c r="M140" s="461">
        <f t="shared" ref="M140:M144" si="33">L140/K140</f>
        <v>1.01530083695087</v>
      </c>
      <c r="N140" s="462">
        <f>L140/$L$145</f>
        <v>0.887563884156729</v>
      </c>
      <c r="P140" s="463" t="s">
        <v>506</v>
      </c>
      <c r="Q140" s="477">
        <v>0.06</v>
      </c>
    </row>
    <row r="141" ht="15" customHeight="1" outlineLevel="1" spans="1:17">
      <c r="A141" s="410">
        <v>2</v>
      </c>
      <c r="B141" s="411" t="s">
        <v>528</v>
      </c>
      <c r="C141" s="412">
        <f>$K141*Q140</f>
        <v>0.226389</v>
      </c>
      <c r="D141" s="413">
        <f>2/8</f>
        <v>0.25</v>
      </c>
      <c r="E141" s="412">
        <f>K141*Q142</f>
        <v>0.377315</v>
      </c>
      <c r="F141" s="441">
        <f>3/8</f>
        <v>0.375</v>
      </c>
      <c r="G141" s="412">
        <f>K141*Q144</f>
        <v>1.962038</v>
      </c>
      <c r="H141" s="442">
        <f>15.5/8</f>
        <v>1.9375</v>
      </c>
      <c r="I141" s="412">
        <f>K141*Q146</f>
        <v>1.207408</v>
      </c>
      <c r="J141" s="413">
        <f>9.5/8</f>
        <v>1.1875</v>
      </c>
      <c r="K141" s="461">
        <f t="shared" si="31"/>
        <v>3.77315</v>
      </c>
      <c r="L141" s="417">
        <f t="shared" si="32"/>
        <v>3.75</v>
      </c>
      <c r="M141" s="461">
        <f t="shared" si="33"/>
        <v>0.993864542888568</v>
      </c>
      <c r="N141" s="462">
        <f>L141/$L$145</f>
        <v>0.0511073253833049</v>
      </c>
      <c r="P141" s="464"/>
      <c r="Q141" s="480"/>
    </row>
    <row r="142" ht="15" customHeight="1" outlineLevel="1" spans="1:17">
      <c r="A142" s="410">
        <v>3</v>
      </c>
      <c r="B142" s="411" t="s">
        <v>529</v>
      </c>
      <c r="C142" s="412">
        <f>K142*Q140</f>
        <v>0.1358334</v>
      </c>
      <c r="D142" s="413">
        <f>1/8</f>
        <v>0.125</v>
      </c>
      <c r="E142" s="412">
        <f>K142*Q142</f>
        <v>0.226389</v>
      </c>
      <c r="F142" s="441">
        <f>2/8</f>
        <v>0.25</v>
      </c>
      <c r="G142" s="412">
        <f>K142*Q144</f>
        <v>1.1772228</v>
      </c>
      <c r="H142" s="442">
        <f>9/8</f>
        <v>1.125</v>
      </c>
      <c r="I142" s="412">
        <f>K142*Q146</f>
        <v>0.7244448</v>
      </c>
      <c r="J142" s="413">
        <f>5/8</f>
        <v>0.625</v>
      </c>
      <c r="K142" s="461">
        <f t="shared" si="31"/>
        <v>2.26389</v>
      </c>
      <c r="L142" s="417">
        <f t="shared" si="32"/>
        <v>2.125</v>
      </c>
      <c r="M142" s="461">
        <f t="shared" si="33"/>
        <v>0.938649846061425</v>
      </c>
      <c r="N142" s="462">
        <f>L142/$L$145</f>
        <v>0.0289608177172061</v>
      </c>
      <c r="P142" s="465" t="s">
        <v>507</v>
      </c>
      <c r="Q142" s="481">
        <v>0.1</v>
      </c>
    </row>
    <row r="143" ht="15" customHeight="1" outlineLevel="1" spans="1:17">
      <c r="A143" s="410">
        <v>4</v>
      </c>
      <c r="B143" s="411" t="s">
        <v>530</v>
      </c>
      <c r="C143" s="412">
        <f>K143*Q140</f>
        <v>0.1358334</v>
      </c>
      <c r="D143" s="413">
        <f>1/8</f>
        <v>0.125</v>
      </c>
      <c r="E143" s="412">
        <f>K143*Q142</f>
        <v>0.226389</v>
      </c>
      <c r="F143" s="441">
        <f>2/8</f>
        <v>0.25</v>
      </c>
      <c r="G143" s="412">
        <f>K143*Q144</f>
        <v>1.1772228</v>
      </c>
      <c r="H143" s="442">
        <f>10/8</f>
        <v>1.25</v>
      </c>
      <c r="I143" s="412">
        <f>K143*Q146</f>
        <v>0.7244448</v>
      </c>
      <c r="J143" s="413">
        <f>6/8</f>
        <v>0.75</v>
      </c>
      <c r="K143" s="461">
        <f t="shared" si="31"/>
        <v>2.26389</v>
      </c>
      <c r="L143" s="417">
        <f t="shared" si="32"/>
        <v>2.375</v>
      </c>
      <c r="M143" s="461">
        <f t="shared" si="33"/>
        <v>1.04907923971571</v>
      </c>
      <c r="N143" s="462">
        <f>L143/$L$145</f>
        <v>0.0323679727427598</v>
      </c>
      <c r="P143" s="464"/>
      <c r="Q143" s="480"/>
    </row>
    <row r="144" ht="15" customHeight="1" outlineLevel="1" spans="1:17">
      <c r="A144" s="410">
        <v>5</v>
      </c>
      <c r="B144" s="411" t="s">
        <v>531</v>
      </c>
      <c r="C144" s="412">
        <f>K144*Q140</f>
        <v>0.1811112</v>
      </c>
      <c r="D144" s="413">
        <v>0</v>
      </c>
      <c r="E144" s="412">
        <f>K144*Q142</f>
        <v>0.301852</v>
      </c>
      <c r="F144" s="441">
        <v>0</v>
      </c>
      <c r="G144" s="412">
        <f>K144*Q144</f>
        <v>1.5696304</v>
      </c>
      <c r="H144" s="442">
        <v>0</v>
      </c>
      <c r="I144" s="412">
        <f>K144*Q146</f>
        <v>0.9659264</v>
      </c>
      <c r="J144" s="413">
        <v>0</v>
      </c>
      <c r="K144" s="461">
        <f t="shared" si="31"/>
        <v>3.01852</v>
      </c>
      <c r="L144" s="417">
        <f t="shared" si="32"/>
        <v>0</v>
      </c>
      <c r="M144" s="461">
        <f t="shared" si="33"/>
        <v>0</v>
      </c>
      <c r="N144" s="462">
        <f>L144/$L$145</f>
        <v>0</v>
      </c>
      <c r="P144" s="466" t="s">
        <v>508</v>
      </c>
      <c r="Q144" s="481">
        <v>0.52</v>
      </c>
    </row>
    <row r="145" ht="15" customHeight="1" outlineLevel="1" spans="1:17">
      <c r="A145" s="410">
        <v>6</v>
      </c>
      <c r="B145" s="411" t="s">
        <v>548</v>
      </c>
      <c r="C145" s="414">
        <f t="shared" ref="C145:J145" si="34">SUM(C140:C144)</f>
        <v>4.52778</v>
      </c>
      <c r="D145" s="414">
        <f t="shared" si="34"/>
        <v>4.25</v>
      </c>
      <c r="E145" s="414">
        <f t="shared" si="34"/>
        <v>7.5463</v>
      </c>
      <c r="F145" s="414">
        <f t="shared" si="34"/>
        <v>7.6875</v>
      </c>
      <c r="G145" s="414">
        <f t="shared" si="34"/>
        <v>39.24076</v>
      </c>
      <c r="H145" s="414">
        <f t="shared" si="34"/>
        <v>37.9375</v>
      </c>
      <c r="I145" s="444">
        <f t="shared" si="34"/>
        <v>24.14816</v>
      </c>
      <c r="J145" s="444">
        <f t="shared" si="34"/>
        <v>23.5</v>
      </c>
      <c r="K145" s="461">
        <f t="shared" si="31"/>
        <v>75.463</v>
      </c>
      <c r="L145" s="417">
        <f>SUM(L140:L144)</f>
        <v>73.375</v>
      </c>
      <c r="M145" s="461"/>
      <c r="N145" s="462"/>
      <c r="P145" s="467"/>
      <c r="Q145" s="480"/>
    </row>
    <row r="146" ht="15" customHeight="1" outlineLevel="1" spans="1:17">
      <c r="A146" s="415">
        <v>7</v>
      </c>
      <c r="B146" s="416" t="s">
        <v>534</v>
      </c>
      <c r="C146" s="417">
        <f>规模!$C19</f>
        <v>43.17</v>
      </c>
      <c r="D146" s="418"/>
      <c r="E146" s="417">
        <f>规模!$C20</f>
        <v>43.17</v>
      </c>
      <c r="F146" s="418"/>
      <c r="G146" s="417">
        <f>规模!$C21</f>
        <v>43.17</v>
      </c>
      <c r="H146" s="418"/>
      <c r="I146" s="417">
        <f>规模!$C22</f>
        <v>43.17</v>
      </c>
      <c r="J146" s="418"/>
      <c r="K146" s="417">
        <f>I146</f>
        <v>43.17</v>
      </c>
      <c r="L146" s="418"/>
      <c r="M146" s="461"/>
      <c r="N146" s="468"/>
      <c r="P146" s="465" t="s">
        <v>509</v>
      </c>
      <c r="Q146" s="482">
        <v>0.32</v>
      </c>
    </row>
    <row r="147" s="242" customFormat="1" ht="15" customHeight="1" outlineLevel="1" spans="1:17">
      <c r="A147" s="415">
        <v>8</v>
      </c>
      <c r="B147" s="416" t="s">
        <v>550</v>
      </c>
      <c r="C147" s="419">
        <f t="shared" ref="C147:G147" si="35">D145/C145</f>
        <v>0.938649846061425</v>
      </c>
      <c r="D147" s="420"/>
      <c r="E147" s="419">
        <f t="shared" si="35"/>
        <v>1.01871115646078</v>
      </c>
      <c r="F147" s="420"/>
      <c r="G147" s="419">
        <f t="shared" si="35"/>
        <v>0.966788105021411</v>
      </c>
      <c r="H147" s="420"/>
      <c r="I147" s="419">
        <f>J145/I145</f>
        <v>0.973159031578389</v>
      </c>
      <c r="J147" s="420"/>
      <c r="K147" s="419">
        <f>L145/K145</f>
        <v>0.972330811125982</v>
      </c>
      <c r="L147" s="420"/>
      <c r="M147" s="461"/>
      <c r="N147" s="468"/>
      <c r="P147" s="464"/>
      <c r="Q147" s="483"/>
    </row>
    <row r="148" s="242" customFormat="1" ht="15" customHeight="1" outlineLevel="1" spans="1:17">
      <c r="A148" s="415">
        <v>9</v>
      </c>
      <c r="B148" s="416" t="s">
        <v>536</v>
      </c>
      <c r="C148" s="421">
        <f t="shared" ref="C148:G148" si="36">D145/C145-1</f>
        <v>-0.0613501539385748</v>
      </c>
      <c r="D148" s="422"/>
      <c r="E148" s="421">
        <f t="shared" si="36"/>
        <v>0.018711156460782</v>
      </c>
      <c r="F148" s="422"/>
      <c r="G148" s="421">
        <f t="shared" si="36"/>
        <v>-0.0332118949785887</v>
      </c>
      <c r="H148" s="422"/>
      <c r="I148" s="421">
        <f>J145/I145-1</f>
        <v>-0.0268409684216107</v>
      </c>
      <c r="J148" s="422"/>
      <c r="K148" s="421">
        <f>L145/K145-1</f>
        <v>-0.0276691888740177</v>
      </c>
      <c r="L148" s="422"/>
      <c r="M148" s="461"/>
      <c r="N148" s="469"/>
      <c r="P148" s="470"/>
      <c r="Q148" s="486"/>
    </row>
    <row r="149" s="398" customFormat="1" ht="15" customHeight="1" outlineLevel="1" spans="1:17">
      <c r="A149" s="415">
        <v>10</v>
      </c>
      <c r="B149" s="423" t="s">
        <v>551</v>
      </c>
      <c r="C149" s="421">
        <f>D145/C145-100%</f>
        <v>-0.0613501539385748</v>
      </c>
      <c r="D149" s="422"/>
      <c r="E149" s="421">
        <f>(D145+F145)/(C145+E145)-100%</f>
        <v>-0.0113118349389767</v>
      </c>
      <c r="F149" s="422"/>
      <c r="G149" s="421">
        <f>(D145+F145+H145)/(C145+E145+G145)-100%</f>
        <v>-0.0280589396751506</v>
      </c>
      <c r="H149" s="422"/>
      <c r="I149" s="421">
        <f>(D145+F145+H145+J145)/(C145+E145+G145+I145)-100%</f>
        <v>-0.0276691888740178</v>
      </c>
      <c r="J149" s="422"/>
      <c r="K149" s="421">
        <f>I149</f>
        <v>-0.0276691888740178</v>
      </c>
      <c r="L149" s="422"/>
      <c r="M149" s="461"/>
      <c r="N149" s="471"/>
      <c r="P149" s="472"/>
      <c r="Q149" s="492"/>
    </row>
    <row r="150" s="398" customFormat="1" ht="15" customHeight="1" outlineLevel="1" spans="1:17">
      <c r="A150" s="424">
        <v>11</v>
      </c>
      <c r="B150" s="425" t="s">
        <v>552</v>
      </c>
      <c r="C150" s="426">
        <f t="shared" ref="C150:G150" si="37">D140/$L140</f>
        <v>0.0575815738963532</v>
      </c>
      <c r="D150" s="427"/>
      <c r="E150" s="426">
        <f t="shared" si="37"/>
        <v>0.104606525911708</v>
      </c>
      <c r="F150" s="427"/>
      <c r="G150" s="426">
        <f t="shared" si="37"/>
        <v>0.516314779270633</v>
      </c>
      <c r="H150" s="427"/>
      <c r="I150" s="426">
        <f>J140/L140</f>
        <v>0.321497120921305</v>
      </c>
      <c r="J150" s="427"/>
      <c r="K150" s="426"/>
      <c r="L150" s="427"/>
      <c r="M150" s="473"/>
      <c r="N150" s="474"/>
      <c r="P150" s="43"/>
      <c r="Q150" s="43"/>
    </row>
    <row r="151" ht="12.75" outlineLevel="1" spans="1:16">
      <c r="A151" s="428"/>
      <c r="B151" s="178"/>
      <c r="C151" s="429"/>
      <c r="D151" s="429"/>
      <c r="E151" s="429"/>
      <c r="F151" s="429"/>
      <c r="G151" s="429"/>
      <c r="H151" s="429"/>
      <c r="I151" s="429"/>
      <c r="J151" s="429"/>
      <c r="K151" s="429"/>
      <c r="L151" s="429"/>
      <c r="M151" s="429"/>
      <c r="N151" s="429"/>
      <c r="O151" s="429"/>
      <c r="P151" s="178"/>
    </row>
    <row r="152" outlineLevel="1" spans="2:19">
      <c r="B152" s="416" t="s">
        <v>539</v>
      </c>
      <c r="C152" s="416"/>
      <c r="D152" s="416"/>
      <c r="E152" s="416" t="s">
        <v>545</v>
      </c>
      <c r="F152" s="416" t="s">
        <v>546</v>
      </c>
      <c r="G152" s="416" t="s">
        <v>547</v>
      </c>
      <c r="H152" s="416" t="s">
        <v>549</v>
      </c>
      <c r="Q152" s="487" t="s">
        <v>540</v>
      </c>
      <c r="R152" s="488"/>
      <c r="S152" s="489"/>
    </row>
    <row r="153" customHeight="1" outlineLevel="1" spans="2:19">
      <c r="B153" s="430" t="s">
        <v>553</v>
      </c>
      <c r="C153" s="431" t="s">
        <v>540</v>
      </c>
      <c r="D153" s="220" t="s">
        <v>173</v>
      </c>
      <c r="E153" s="433">
        <f>项目度量分析计划!D22</f>
        <v>0.012</v>
      </c>
      <c r="F153" s="433">
        <f>项目度量分析计划!D31</f>
        <v>0.1326</v>
      </c>
      <c r="G153" s="433">
        <f>项目度量分析计划!D37</f>
        <v>0.0009</v>
      </c>
      <c r="H153" s="433">
        <f>项目度量分析计划!D49</f>
        <v>-0.3877</v>
      </c>
      <c r="P153" s="43" t="s">
        <v>542</v>
      </c>
      <c r="Q153" s="65" t="s">
        <v>173</v>
      </c>
      <c r="R153" s="65" t="s">
        <v>174</v>
      </c>
      <c r="S153" s="65" t="s">
        <v>349</v>
      </c>
    </row>
    <row r="154" outlineLevel="1" spans="2:19">
      <c r="B154" s="434"/>
      <c r="C154" s="435"/>
      <c r="D154" s="221" t="s">
        <v>174</v>
      </c>
      <c r="E154" s="221">
        <f>项目度量分析计划!E22</f>
        <v>0.132</v>
      </c>
      <c r="F154" s="221">
        <f>项目度量分析计划!E31</f>
        <v>0.93</v>
      </c>
      <c r="G154" s="433">
        <f>项目度量分析计划!E37</f>
        <v>0.2019</v>
      </c>
      <c r="H154" s="433">
        <f>项目度量分析计划!E49</f>
        <v>0.0045</v>
      </c>
      <c r="O154" s="43" t="s">
        <v>506</v>
      </c>
      <c r="P154" s="448">
        <f>C148</f>
        <v>-0.0613501539385748</v>
      </c>
      <c r="Q154" s="490">
        <v>-0.15</v>
      </c>
      <c r="R154" s="491">
        <v>0.1262</v>
      </c>
      <c r="S154" s="491">
        <v>0.3</v>
      </c>
    </row>
    <row r="155" outlineLevel="1" spans="2:19">
      <c r="B155" s="434"/>
      <c r="C155" s="437"/>
      <c r="D155" s="220" t="s">
        <v>349</v>
      </c>
      <c r="E155" s="433">
        <f>项目度量分析计划!F22</f>
        <v>0.252</v>
      </c>
      <c r="F155" s="433">
        <f>项目度量分析计划!F31</f>
        <v>1.7274</v>
      </c>
      <c r="G155" s="433">
        <f>项目度量分析计划!F37</f>
        <v>0.4029</v>
      </c>
      <c r="H155" s="433">
        <f>项目度量分析计划!F49</f>
        <v>0.3967</v>
      </c>
      <c r="O155" s="43" t="s">
        <v>507</v>
      </c>
      <c r="P155" s="448">
        <f>E148</f>
        <v>0.018711156460782</v>
      </c>
      <c r="Q155" s="490">
        <v>-0.15</v>
      </c>
      <c r="R155" s="491">
        <v>0.1262</v>
      </c>
      <c r="S155" s="491">
        <v>0.3</v>
      </c>
    </row>
    <row r="156" outlineLevel="1" spans="2:19">
      <c r="B156" s="434"/>
      <c r="C156" s="438" t="s">
        <v>524</v>
      </c>
      <c r="D156" s="326" t="s">
        <v>543</v>
      </c>
      <c r="E156" s="439">
        <f>C145/C146</f>
        <v>0.10488255733148</v>
      </c>
      <c r="F156" s="439">
        <f>E145/E146</f>
        <v>0.174804262219134</v>
      </c>
      <c r="G156" s="439">
        <f>G145/G146</f>
        <v>0.908982163539495</v>
      </c>
      <c r="H156" s="439">
        <f>I145/I146</f>
        <v>0.559373639101228</v>
      </c>
      <c r="O156" s="43" t="s">
        <v>508</v>
      </c>
      <c r="P156" s="448">
        <f>G148</f>
        <v>-0.0332118949785887</v>
      </c>
      <c r="Q156" s="490">
        <v>-0.15</v>
      </c>
      <c r="R156" s="491">
        <v>0.1262</v>
      </c>
      <c r="S156" s="491">
        <v>0.3</v>
      </c>
    </row>
    <row r="157" outlineLevel="1" spans="2:19">
      <c r="B157" s="434"/>
      <c r="C157" s="438" t="s">
        <v>525</v>
      </c>
      <c r="D157" s="326" t="s">
        <v>544</v>
      </c>
      <c r="E157" s="439">
        <f>D145/C146</f>
        <v>0.0984479962937225</v>
      </c>
      <c r="F157" s="439">
        <f>F145/E146</f>
        <v>0.178075052119527</v>
      </c>
      <c r="G157" s="439">
        <f>H145/G146</f>
        <v>0.878793143386611</v>
      </c>
      <c r="H157" s="439">
        <f>J145/I146</f>
        <v>0.54435950891823</v>
      </c>
      <c r="O157" s="43" t="s">
        <v>509</v>
      </c>
      <c r="P157" s="448">
        <f>I148</f>
        <v>-0.0268409684216107</v>
      </c>
      <c r="Q157" s="490">
        <v>-0.15</v>
      </c>
      <c r="R157" s="491">
        <v>0.1262</v>
      </c>
      <c r="S157" s="491">
        <v>0.3</v>
      </c>
    </row>
    <row r="158" outlineLevel="1"/>
    <row r="159" outlineLevel="1" spans="16:16">
      <c r="P159" s="454"/>
    </row>
    <row r="160" outlineLevel="1" spans="16:16">
      <c r="P160" s="454"/>
    </row>
    <row r="161" outlineLevel="1"/>
    <row r="162" outlineLevel="1"/>
    <row r="163" outlineLevel="1"/>
    <row r="164" outlineLevel="1"/>
    <row r="165" outlineLevel="1"/>
    <row r="166" outlineLevel="1"/>
    <row r="167" outlineLevel="1"/>
    <row r="168" outlineLevel="1"/>
    <row r="169" ht="14.25" customHeight="1" outlineLevel="1"/>
    <row r="170" outlineLevel="1"/>
    <row r="171" ht="14.25" outlineLevel="1" spans="1:1">
      <c r="A171" s="440"/>
    </row>
    <row r="172" outlineLevel="1"/>
    <row r="173" outlineLevel="1"/>
    <row r="174" outlineLevel="1"/>
    <row r="175" customHeight="1" outlineLevel="1"/>
    <row r="176" outlineLevel="1"/>
    <row r="177" outlineLevel="1"/>
    <row r="178" outlineLevel="1"/>
    <row r="179" outlineLevel="1"/>
    <row r="180" outlineLevel="1"/>
    <row r="182" ht="13.5" customHeight="1" spans="1:5">
      <c r="A182" s="400" t="s">
        <v>407</v>
      </c>
      <c r="E182" s="43">
        <f>(45+26+1041.5)/8</f>
        <v>139.0625</v>
      </c>
    </row>
    <row r="183" ht="15" customHeight="1" outlineLevel="1" spans="1:17">
      <c r="A183" s="402" t="s">
        <v>64</v>
      </c>
      <c r="B183" s="403" t="s">
        <v>518</v>
      </c>
      <c r="C183" s="404" t="s">
        <v>506</v>
      </c>
      <c r="D183" s="405"/>
      <c r="E183" s="404" t="s">
        <v>507</v>
      </c>
      <c r="F183" s="405"/>
      <c r="G183" s="404" t="s">
        <v>508</v>
      </c>
      <c r="H183" s="405"/>
      <c r="I183" s="404" t="s">
        <v>509</v>
      </c>
      <c r="J183" s="405"/>
      <c r="K183" s="404" t="s">
        <v>519</v>
      </c>
      <c r="L183" s="405"/>
      <c r="M183" s="455" t="s">
        <v>520</v>
      </c>
      <c r="N183" s="456" t="s">
        <v>521</v>
      </c>
      <c r="P183" s="457" t="s">
        <v>522</v>
      </c>
      <c r="Q183" s="475"/>
    </row>
    <row r="184" ht="15" customHeight="1" outlineLevel="1" spans="1:17">
      <c r="A184" s="406"/>
      <c r="B184" s="407"/>
      <c r="C184" s="408" t="s">
        <v>524</v>
      </c>
      <c r="D184" s="408" t="s">
        <v>525</v>
      </c>
      <c r="E184" s="409" t="s">
        <v>524</v>
      </c>
      <c r="F184" s="408" t="s">
        <v>525</v>
      </c>
      <c r="G184" s="408" t="s">
        <v>524</v>
      </c>
      <c r="H184" s="408" t="s">
        <v>525</v>
      </c>
      <c r="I184" s="443" t="s">
        <v>524</v>
      </c>
      <c r="J184" s="443" t="s">
        <v>525</v>
      </c>
      <c r="K184" s="408" t="s">
        <v>524</v>
      </c>
      <c r="L184" s="443" t="s">
        <v>525</v>
      </c>
      <c r="M184" s="458"/>
      <c r="N184" s="459"/>
      <c r="P184" s="460"/>
      <c r="Q184" s="476"/>
    </row>
    <row r="185" ht="15" customHeight="1" outlineLevel="1" spans="1:17">
      <c r="A185" s="410">
        <v>1</v>
      </c>
      <c r="B185" s="411" t="s">
        <v>526</v>
      </c>
      <c r="C185" s="412">
        <f>$K185*Q185</f>
        <v>6.1577808</v>
      </c>
      <c r="D185" s="413">
        <f>48/8</f>
        <v>6</v>
      </c>
      <c r="E185" s="412">
        <f>$K185*Q187</f>
        <v>10.262968</v>
      </c>
      <c r="F185" s="441">
        <f>76/8</f>
        <v>9.5</v>
      </c>
      <c r="G185" s="412">
        <f>K185*Q189</f>
        <v>53.3674336</v>
      </c>
      <c r="H185" s="442">
        <f>427/8</f>
        <v>53.375</v>
      </c>
      <c r="I185" s="412">
        <f>K185*Q191</f>
        <v>32.8414976</v>
      </c>
      <c r="J185" s="413">
        <f>(25+4+220.5)/8</f>
        <v>31.1875</v>
      </c>
      <c r="K185" s="461">
        <f t="shared" ref="K185:K190" si="38">K9</f>
        <v>102.62968</v>
      </c>
      <c r="L185" s="417">
        <f t="shared" ref="L185:L189" si="39">D185+F185+H185+J185</f>
        <v>100.0625</v>
      </c>
      <c r="M185" s="461">
        <f t="shared" ref="M185:M189" si="40">L185/K185</f>
        <v>0.974985988458699</v>
      </c>
      <c r="N185" s="462">
        <f>L185/$L$145</f>
        <v>1.36371379897785</v>
      </c>
      <c r="P185" s="463" t="s">
        <v>506</v>
      </c>
      <c r="Q185" s="477">
        <v>0.06</v>
      </c>
    </row>
    <row r="186" ht="15" customHeight="1" outlineLevel="1" spans="1:17">
      <c r="A186" s="410">
        <v>2</v>
      </c>
      <c r="B186" s="411" t="s">
        <v>528</v>
      </c>
      <c r="C186" s="412">
        <f>$K186*Q185</f>
        <v>0.3622224</v>
      </c>
      <c r="D186" s="413">
        <f>26/8</f>
        <v>3.25</v>
      </c>
      <c r="E186" s="412">
        <f>K186*Q187</f>
        <v>0.603704</v>
      </c>
      <c r="F186" s="441">
        <v>0</v>
      </c>
      <c r="G186" s="412">
        <f>K186*Q189</f>
        <v>3.1392608</v>
      </c>
      <c r="H186" s="442">
        <f>24/8</f>
        <v>3</v>
      </c>
      <c r="I186" s="412">
        <f>K186*Q191</f>
        <v>1.9318528</v>
      </c>
      <c r="J186" s="413">
        <f>16/8</f>
        <v>2</v>
      </c>
      <c r="K186" s="461">
        <f t="shared" si="38"/>
        <v>6.03704</v>
      </c>
      <c r="L186" s="417">
        <f t="shared" si="39"/>
        <v>8.25</v>
      </c>
      <c r="M186" s="461">
        <f t="shared" si="40"/>
        <v>1.36656374647178</v>
      </c>
      <c r="N186" s="462">
        <f>L186/$L$145</f>
        <v>0.112436115843271</v>
      </c>
      <c r="P186" s="464"/>
      <c r="Q186" s="480"/>
    </row>
    <row r="187" ht="15" customHeight="1" outlineLevel="1" spans="1:17">
      <c r="A187" s="410">
        <v>3</v>
      </c>
      <c r="B187" s="411" t="s">
        <v>529</v>
      </c>
      <c r="C187" s="412">
        <f>K187*Q185</f>
        <v>0.21733344</v>
      </c>
      <c r="D187" s="413">
        <v>0</v>
      </c>
      <c r="E187" s="412">
        <f>K187*Q187</f>
        <v>0.3622224</v>
      </c>
      <c r="F187" s="441">
        <v>0</v>
      </c>
      <c r="G187" s="412">
        <f>K187*Q189</f>
        <v>1.88355648</v>
      </c>
      <c r="H187" s="442">
        <v>2</v>
      </c>
      <c r="I187" s="412">
        <f>K187*Q191</f>
        <v>1.15911168</v>
      </c>
      <c r="J187" s="413">
        <f>5/8</f>
        <v>0.625</v>
      </c>
      <c r="K187" s="461">
        <f t="shared" si="38"/>
        <v>3.622224</v>
      </c>
      <c r="L187" s="417">
        <f t="shared" si="39"/>
        <v>2.625</v>
      </c>
      <c r="M187" s="461">
        <f t="shared" si="40"/>
        <v>0.724692895856247</v>
      </c>
      <c r="N187" s="462">
        <f>L187/$L$145</f>
        <v>0.0357751277683135</v>
      </c>
      <c r="P187" s="465" t="s">
        <v>507</v>
      </c>
      <c r="Q187" s="481">
        <v>0.1</v>
      </c>
    </row>
    <row r="188" ht="15" customHeight="1" outlineLevel="1" spans="1:17">
      <c r="A188" s="410">
        <v>4</v>
      </c>
      <c r="B188" s="411" t="s">
        <v>530</v>
      </c>
      <c r="C188" s="412">
        <f>K188*Q185</f>
        <v>0.21733344</v>
      </c>
      <c r="D188" s="413">
        <f>2/8</f>
        <v>0.25</v>
      </c>
      <c r="E188" s="412">
        <f>K188*Q187</f>
        <v>0.3622224</v>
      </c>
      <c r="F188" s="441">
        <v>0</v>
      </c>
      <c r="G188" s="412">
        <f>K188*Q189</f>
        <v>1.88355648</v>
      </c>
      <c r="H188" s="442">
        <v>2</v>
      </c>
      <c r="I188" s="412">
        <f>K188*Q191</f>
        <v>1.15911168</v>
      </c>
      <c r="J188" s="413">
        <f>4/8</f>
        <v>0.5</v>
      </c>
      <c r="K188" s="461">
        <f t="shared" si="38"/>
        <v>3.622224</v>
      </c>
      <c r="L188" s="417">
        <f t="shared" si="39"/>
        <v>2.75</v>
      </c>
      <c r="M188" s="461">
        <f t="shared" si="40"/>
        <v>0.759202081373212</v>
      </c>
      <c r="N188" s="462">
        <f>L188/$L$145</f>
        <v>0.0374787052810903</v>
      </c>
      <c r="P188" s="464"/>
      <c r="Q188" s="480"/>
    </row>
    <row r="189" ht="15" customHeight="1" outlineLevel="1" spans="1:17">
      <c r="A189" s="410">
        <v>5</v>
      </c>
      <c r="B189" s="411" t="s">
        <v>531</v>
      </c>
      <c r="C189" s="412">
        <f>K189*Q185</f>
        <v>0.28977792</v>
      </c>
      <c r="D189" s="413">
        <v>0</v>
      </c>
      <c r="E189" s="412">
        <f>K189*Q187</f>
        <v>0.4829632</v>
      </c>
      <c r="F189" s="441">
        <v>0</v>
      </c>
      <c r="G189" s="412">
        <f>K189*Q189</f>
        <v>2.51140864</v>
      </c>
      <c r="H189" s="442">
        <v>0</v>
      </c>
      <c r="I189" s="412">
        <f>K189*Q191</f>
        <v>1.54548224</v>
      </c>
      <c r="J189" s="413">
        <v>0</v>
      </c>
      <c r="K189" s="461">
        <f t="shared" si="38"/>
        <v>4.829632</v>
      </c>
      <c r="L189" s="417">
        <f t="shared" si="39"/>
        <v>0</v>
      </c>
      <c r="M189" s="461">
        <f t="shared" si="40"/>
        <v>0</v>
      </c>
      <c r="N189" s="462">
        <f>L189/$L$145</f>
        <v>0</v>
      </c>
      <c r="P189" s="466" t="s">
        <v>508</v>
      </c>
      <c r="Q189" s="481">
        <v>0.52</v>
      </c>
    </row>
    <row r="190" ht="15" customHeight="1" outlineLevel="1" spans="1:17">
      <c r="A190" s="410">
        <v>6</v>
      </c>
      <c r="B190" s="411" t="s">
        <v>548</v>
      </c>
      <c r="C190" s="414">
        <f t="shared" ref="C190:L190" si="41">SUM(C185:C189)</f>
        <v>7.244448</v>
      </c>
      <c r="D190" s="414">
        <f t="shared" si="41"/>
        <v>9.5</v>
      </c>
      <c r="E190" s="414">
        <f t="shared" si="41"/>
        <v>12.07408</v>
      </c>
      <c r="F190" s="414">
        <f t="shared" si="41"/>
        <v>9.5</v>
      </c>
      <c r="G190" s="414">
        <f t="shared" si="41"/>
        <v>62.785216</v>
      </c>
      <c r="H190" s="414">
        <f t="shared" si="41"/>
        <v>60.375</v>
      </c>
      <c r="I190" s="444">
        <f t="shared" si="41"/>
        <v>38.637056</v>
      </c>
      <c r="J190" s="444">
        <f t="shared" si="41"/>
        <v>34.3125</v>
      </c>
      <c r="K190" s="461">
        <f t="shared" si="38"/>
        <v>120.7408</v>
      </c>
      <c r="L190" s="417">
        <f t="shared" si="41"/>
        <v>113.6875</v>
      </c>
      <c r="M190" s="461"/>
      <c r="N190" s="462"/>
      <c r="P190" s="467"/>
      <c r="Q190" s="480"/>
    </row>
    <row r="191" ht="15" customHeight="1" outlineLevel="1" spans="1:17">
      <c r="A191" s="415">
        <v>7</v>
      </c>
      <c r="B191" s="416" t="s">
        <v>534</v>
      </c>
      <c r="C191" s="417">
        <f>规模!C24</f>
        <v>72.83</v>
      </c>
      <c r="D191" s="418"/>
      <c r="E191" s="417">
        <f>规模!C25</f>
        <v>73.83</v>
      </c>
      <c r="F191" s="418"/>
      <c r="G191" s="417">
        <f>规模!C26</f>
        <v>72.83</v>
      </c>
      <c r="H191" s="418"/>
      <c r="I191" s="417">
        <f>规模!C27</f>
        <v>72.83</v>
      </c>
      <c r="J191" s="418"/>
      <c r="K191" s="417">
        <f>I191</f>
        <v>72.83</v>
      </c>
      <c r="L191" s="418"/>
      <c r="M191" s="461"/>
      <c r="N191" s="468"/>
      <c r="P191" s="465" t="s">
        <v>509</v>
      </c>
      <c r="Q191" s="482">
        <v>0.32</v>
      </c>
    </row>
    <row r="192" s="242" customFormat="1" ht="15" customHeight="1" outlineLevel="1" spans="1:17">
      <c r="A192" s="415">
        <v>8</v>
      </c>
      <c r="B192" s="416" t="s">
        <v>550</v>
      </c>
      <c r="C192" s="419">
        <f t="shared" ref="C192" si="42">D190/C190</f>
        <v>1.31134904964464</v>
      </c>
      <c r="D192" s="420"/>
      <c r="E192" s="419">
        <f t="shared" ref="E192" si="43">F190/E190</f>
        <v>0.786809429786783</v>
      </c>
      <c r="F192" s="420"/>
      <c r="G192" s="419">
        <f t="shared" ref="G192" si="44">H190/G190</f>
        <v>0.961611727193867</v>
      </c>
      <c r="H192" s="420"/>
      <c r="I192" s="419">
        <f>J190/I190</f>
        <v>0.888072321038125</v>
      </c>
      <c r="J192" s="420"/>
      <c r="K192" s="419">
        <f>L190/K190</f>
        <v>0.941583126830367</v>
      </c>
      <c r="L192" s="420"/>
      <c r="M192" s="461"/>
      <c r="N192" s="468"/>
      <c r="P192" s="464"/>
      <c r="Q192" s="483"/>
    </row>
    <row r="193" s="242" customFormat="1" ht="15" customHeight="1" outlineLevel="1" spans="1:17">
      <c r="A193" s="415">
        <v>9</v>
      </c>
      <c r="B193" s="416" t="s">
        <v>536</v>
      </c>
      <c r="C193" s="421">
        <f t="shared" ref="C193" si="45">D190/C190-1</f>
        <v>0.311349049644638</v>
      </c>
      <c r="D193" s="422"/>
      <c r="E193" s="421">
        <f t="shared" ref="E193" si="46">F190/E190-1</f>
        <v>-0.213190570213217</v>
      </c>
      <c r="F193" s="422"/>
      <c r="G193" s="421">
        <f t="shared" ref="G193" si="47">H190/G190-1</f>
        <v>-0.0383882728061333</v>
      </c>
      <c r="H193" s="422"/>
      <c r="I193" s="421">
        <f>J190/I190-1</f>
        <v>-0.111927678961875</v>
      </c>
      <c r="J193" s="422"/>
      <c r="K193" s="421">
        <f>L190/K190-1</f>
        <v>-0.0584168731696328</v>
      </c>
      <c r="L193" s="422"/>
      <c r="M193" s="461"/>
      <c r="N193" s="469"/>
      <c r="P193" s="470"/>
      <c r="Q193" s="486"/>
    </row>
    <row r="194" s="398" customFormat="1" ht="15" customHeight="1" outlineLevel="1" spans="1:17">
      <c r="A194" s="415">
        <v>10</v>
      </c>
      <c r="B194" s="423" t="s">
        <v>551</v>
      </c>
      <c r="C194" s="421">
        <f>D190/C190-100%</f>
        <v>0.311349049644638</v>
      </c>
      <c r="D194" s="422"/>
      <c r="E194" s="421">
        <f>(D190+F190)/(C190+E190)-100%</f>
        <v>-0.0164882127665213</v>
      </c>
      <c r="F194" s="422"/>
      <c r="G194" s="421">
        <f>(D190+F190+H190)/(C190+E190+G190)-100%</f>
        <v>-0.0332353175026951</v>
      </c>
      <c r="H194" s="422"/>
      <c r="I194" s="421">
        <f>(D190+F190+H190+J190)/(C190+E190+G190+I190)-100%</f>
        <v>-0.0584168731696328</v>
      </c>
      <c r="J194" s="422"/>
      <c r="K194" s="421">
        <f>I194</f>
        <v>-0.0584168731696328</v>
      </c>
      <c r="L194" s="422"/>
      <c r="M194" s="461"/>
      <c r="N194" s="471"/>
      <c r="P194" s="472"/>
      <c r="Q194" s="492"/>
    </row>
    <row r="195" s="398" customFormat="1" ht="15" customHeight="1" outlineLevel="1" spans="1:17">
      <c r="A195" s="424">
        <v>11</v>
      </c>
      <c r="B195" s="425" t="s">
        <v>552</v>
      </c>
      <c r="C195" s="426">
        <f t="shared" ref="C195" si="48">D185/$L185</f>
        <v>0.0599625234228607</v>
      </c>
      <c r="D195" s="427"/>
      <c r="E195" s="426">
        <f t="shared" ref="E195" si="49">F185/$L185</f>
        <v>0.0949406620861961</v>
      </c>
      <c r="F195" s="427"/>
      <c r="G195" s="426">
        <f t="shared" ref="G195" si="50">H185/$L185</f>
        <v>0.533416614615865</v>
      </c>
      <c r="H195" s="427"/>
      <c r="I195" s="426">
        <f>J185/L185</f>
        <v>0.311680199875078</v>
      </c>
      <c r="J195" s="427"/>
      <c r="K195" s="426"/>
      <c r="L195" s="427"/>
      <c r="M195" s="473"/>
      <c r="N195" s="474"/>
      <c r="P195" s="43"/>
      <c r="Q195" s="43"/>
    </row>
    <row r="196" ht="12.75" outlineLevel="1" spans="1:16">
      <c r="A196" s="428"/>
      <c r="B196" s="178"/>
      <c r="C196" s="429"/>
      <c r="D196" s="429"/>
      <c r="E196" s="429"/>
      <c r="F196" s="429"/>
      <c r="G196" s="429"/>
      <c r="H196" s="429"/>
      <c r="I196" s="429"/>
      <c r="J196" s="429"/>
      <c r="K196" s="429"/>
      <c r="L196" s="429"/>
      <c r="M196" s="429"/>
      <c r="N196" s="429"/>
      <c r="O196" s="429"/>
      <c r="P196" s="178"/>
    </row>
    <row r="197" outlineLevel="1" spans="2:19">
      <c r="B197" s="416" t="s">
        <v>539</v>
      </c>
      <c r="C197" s="416"/>
      <c r="D197" s="416"/>
      <c r="E197" s="416" t="s">
        <v>545</v>
      </c>
      <c r="F197" s="416" t="s">
        <v>546</v>
      </c>
      <c r="G197" s="416" t="s">
        <v>547</v>
      </c>
      <c r="H197" s="416" t="s">
        <v>549</v>
      </c>
      <c r="Q197" s="487" t="s">
        <v>540</v>
      </c>
      <c r="R197" s="488"/>
      <c r="S197" s="489"/>
    </row>
    <row r="198" customHeight="1" outlineLevel="1" spans="2:19">
      <c r="B198" s="430" t="s">
        <v>553</v>
      </c>
      <c r="C198" s="431" t="s">
        <v>540</v>
      </c>
      <c r="D198" s="220" t="s">
        <v>173</v>
      </c>
      <c r="E198" s="433">
        <f>项目度量分析计划!D22</f>
        <v>0.012</v>
      </c>
      <c r="F198" s="433">
        <f>项目度量分析计划!D31</f>
        <v>0.1326</v>
      </c>
      <c r="G198" s="433">
        <f>项目度量分析计划!D37</f>
        <v>0.0009</v>
      </c>
      <c r="H198" s="433">
        <f>项目度量分析计划!D49</f>
        <v>-0.3877</v>
      </c>
      <c r="P198" s="43" t="s">
        <v>134</v>
      </c>
      <c r="Q198" s="65" t="s">
        <v>173</v>
      </c>
      <c r="R198" s="65" t="s">
        <v>174</v>
      </c>
      <c r="S198" s="65" t="s">
        <v>349</v>
      </c>
    </row>
    <row r="199" outlineLevel="1" spans="2:19">
      <c r="B199" s="434"/>
      <c r="C199" s="435"/>
      <c r="D199" s="221" t="s">
        <v>174</v>
      </c>
      <c r="E199" s="221">
        <f>项目度量分析计划!E22</f>
        <v>0.132</v>
      </c>
      <c r="F199" s="221">
        <f>项目度量分析计划!E31</f>
        <v>0.93</v>
      </c>
      <c r="G199" s="433">
        <f>项目度量分析计划!E37</f>
        <v>0.2019</v>
      </c>
      <c r="H199" s="433">
        <f>项目度量分析计划!E49</f>
        <v>0.0045</v>
      </c>
      <c r="O199" s="43" t="s">
        <v>506</v>
      </c>
      <c r="P199" s="448">
        <f>C193</f>
        <v>0.311349049644638</v>
      </c>
      <c r="Q199" s="490">
        <v>-0.15</v>
      </c>
      <c r="R199" s="491">
        <v>0.1262</v>
      </c>
      <c r="S199" s="491">
        <v>0.3</v>
      </c>
    </row>
    <row r="200" outlineLevel="1" spans="2:19">
      <c r="B200" s="434"/>
      <c r="C200" s="437"/>
      <c r="D200" s="220" t="s">
        <v>349</v>
      </c>
      <c r="E200" s="433">
        <f>项目度量分析计划!F22</f>
        <v>0.252</v>
      </c>
      <c r="F200" s="433">
        <f>项目度量分析计划!F31</f>
        <v>1.7274</v>
      </c>
      <c r="G200" s="433">
        <f>项目度量分析计划!F37</f>
        <v>0.4029</v>
      </c>
      <c r="H200" s="433">
        <f>项目度量分析计划!F49</f>
        <v>0.3967</v>
      </c>
      <c r="O200" s="43" t="s">
        <v>507</v>
      </c>
      <c r="P200" s="448">
        <f>E193</f>
        <v>-0.213190570213217</v>
      </c>
      <c r="Q200" s="490">
        <v>-0.15</v>
      </c>
      <c r="R200" s="491">
        <v>0.1262</v>
      </c>
      <c r="S200" s="491">
        <v>0.3</v>
      </c>
    </row>
    <row r="201" outlineLevel="1" spans="2:19">
      <c r="B201" s="434"/>
      <c r="C201" s="438" t="s">
        <v>524</v>
      </c>
      <c r="D201" s="326" t="s">
        <v>543</v>
      </c>
      <c r="E201" s="439">
        <f>C190/C191</f>
        <v>0.0994706576960044</v>
      </c>
      <c r="F201" s="439">
        <f>E190/E191</f>
        <v>0.163538940809969</v>
      </c>
      <c r="G201" s="439">
        <f>G190/G191</f>
        <v>0.862079033365372</v>
      </c>
      <c r="H201" s="439">
        <f>I190/I191</f>
        <v>0.53051017437869</v>
      </c>
      <c r="O201" s="43" t="s">
        <v>508</v>
      </c>
      <c r="P201" s="448">
        <f>G193</f>
        <v>-0.0383882728061333</v>
      </c>
      <c r="Q201" s="490">
        <v>-0.15</v>
      </c>
      <c r="R201" s="491">
        <v>0.1262</v>
      </c>
      <c r="S201" s="491">
        <v>0.3</v>
      </c>
    </row>
    <row r="202" outlineLevel="1" spans="2:19">
      <c r="B202" s="434"/>
      <c r="C202" s="438" t="s">
        <v>525</v>
      </c>
      <c r="D202" s="326" t="s">
        <v>544</v>
      </c>
      <c r="E202" s="439">
        <f>D190/C191</f>
        <v>0.130440752437182</v>
      </c>
      <c r="F202" s="439">
        <f>F190/E191</f>
        <v>0.128673980766626</v>
      </c>
      <c r="G202" s="439">
        <f>H190/G191</f>
        <v>0.828985308252094</v>
      </c>
      <c r="H202" s="439">
        <f>J190/I191</f>
        <v>0.471131401894824</v>
      </c>
      <c r="O202" s="43" t="s">
        <v>509</v>
      </c>
      <c r="P202" s="448">
        <f>I193</f>
        <v>-0.111927678961875</v>
      </c>
      <c r="Q202" s="490">
        <v>-0.15</v>
      </c>
      <c r="R202" s="491">
        <v>0.1262</v>
      </c>
      <c r="S202" s="491">
        <v>0.3</v>
      </c>
    </row>
    <row r="203" outlineLevel="1"/>
    <row r="204" outlineLevel="1" spans="16:16">
      <c r="P204" s="454"/>
    </row>
    <row r="205" outlineLevel="1" spans="16:16">
      <c r="P205" s="454"/>
    </row>
    <row r="206" outlineLevel="1"/>
    <row r="207" outlineLevel="1"/>
    <row r="208" outlineLevel="1"/>
    <row r="209" outlineLevel="1"/>
    <row r="210" outlineLevel="1"/>
    <row r="211" outlineLevel="1"/>
    <row r="212" outlineLevel="1"/>
    <row r="213" outlineLevel="1"/>
    <row r="214" ht="14.25" customHeight="1" outlineLevel="1"/>
    <row r="215" outlineLevel="1"/>
    <row r="216" ht="14.25" outlineLevel="1" spans="1:1">
      <c r="A216" s="440"/>
    </row>
    <row r="217" outlineLevel="1"/>
    <row r="218" outlineLevel="1"/>
    <row r="219" outlineLevel="1"/>
    <row r="220" customHeight="1" outlineLevel="1"/>
    <row r="221" outlineLevel="1"/>
    <row r="222" outlineLevel="1"/>
    <row r="223" outlineLevel="1"/>
    <row r="224" outlineLevel="1"/>
    <row r="225" outlineLevel="1"/>
  </sheetData>
  <mergeCells count="249">
    <mergeCell ref="A1:P1"/>
    <mergeCell ref="C7:D7"/>
    <mergeCell ref="E7:F7"/>
    <mergeCell ref="G7:H7"/>
    <mergeCell ref="I7:J7"/>
    <mergeCell ref="K7:L7"/>
    <mergeCell ref="M7:N7"/>
    <mergeCell ref="O7:P7"/>
    <mergeCell ref="C15:D15"/>
    <mergeCell ref="E15:F15"/>
    <mergeCell ref="G15:H15"/>
    <mergeCell ref="I15:J15"/>
    <mergeCell ref="K15:L15"/>
    <mergeCell ref="M15:N15"/>
    <mergeCell ref="O15:P15"/>
    <mergeCell ref="C16:D16"/>
    <mergeCell ref="E16:F16"/>
    <mergeCell ref="G16:H16"/>
    <mergeCell ref="I16:J16"/>
    <mergeCell ref="K16:L16"/>
    <mergeCell ref="M16:N16"/>
    <mergeCell ref="O16:P16"/>
    <mergeCell ref="C17:D17"/>
    <mergeCell ref="E17:F17"/>
    <mergeCell ref="G17:H17"/>
    <mergeCell ref="I17:J17"/>
    <mergeCell ref="K17:L17"/>
    <mergeCell ref="M17:N17"/>
    <mergeCell ref="O17:P17"/>
    <mergeCell ref="C18:D18"/>
    <mergeCell ref="E18:F18"/>
    <mergeCell ref="G18:H18"/>
    <mergeCell ref="I18:J18"/>
    <mergeCell ref="K18:L18"/>
    <mergeCell ref="M18:N18"/>
    <mergeCell ref="O18:P18"/>
    <mergeCell ref="C19:D19"/>
    <mergeCell ref="E19:F19"/>
    <mergeCell ref="G19:H19"/>
    <mergeCell ref="I19:J19"/>
    <mergeCell ref="K19:L19"/>
    <mergeCell ref="M19:N19"/>
    <mergeCell ref="O19:P19"/>
    <mergeCell ref="Q21:S21"/>
    <mergeCell ref="C48:D48"/>
    <mergeCell ref="E48:F48"/>
    <mergeCell ref="G48:H48"/>
    <mergeCell ref="I48:J48"/>
    <mergeCell ref="K48:L48"/>
    <mergeCell ref="C56:D56"/>
    <mergeCell ref="E56:F56"/>
    <mergeCell ref="G56:H56"/>
    <mergeCell ref="I56:J56"/>
    <mergeCell ref="K56:L56"/>
    <mergeCell ref="C57:D57"/>
    <mergeCell ref="E57:F57"/>
    <mergeCell ref="G57:H57"/>
    <mergeCell ref="I57:J57"/>
    <mergeCell ref="K57:L57"/>
    <mergeCell ref="C58:D58"/>
    <mergeCell ref="E58:F58"/>
    <mergeCell ref="G58:H58"/>
    <mergeCell ref="I58:J58"/>
    <mergeCell ref="K58:L58"/>
    <mergeCell ref="C59:D59"/>
    <mergeCell ref="E59:F59"/>
    <mergeCell ref="G59:H59"/>
    <mergeCell ref="I59:J59"/>
    <mergeCell ref="K59:L59"/>
    <mergeCell ref="C60:D60"/>
    <mergeCell ref="E60:F60"/>
    <mergeCell ref="G60:H60"/>
    <mergeCell ref="I60:J60"/>
    <mergeCell ref="K60:L60"/>
    <mergeCell ref="Q62:S62"/>
    <mergeCell ref="C93:D93"/>
    <mergeCell ref="E93:F93"/>
    <mergeCell ref="G93:H93"/>
    <mergeCell ref="I93:J93"/>
    <mergeCell ref="K93:L93"/>
    <mergeCell ref="C101:D101"/>
    <mergeCell ref="E101:F101"/>
    <mergeCell ref="G101:H101"/>
    <mergeCell ref="I101:J101"/>
    <mergeCell ref="K101:L101"/>
    <mergeCell ref="C102:D102"/>
    <mergeCell ref="E102:F102"/>
    <mergeCell ref="G102:H102"/>
    <mergeCell ref="I102:J102"/>
    <mergeCell ref="K102:L102"/>
    <mergeCell ref="C103:D103"/>
    <mergeCell ref="E103:F103"/>
    <mergeCell ref="G103:H103"/>
    <mergeCell ref="I103:J103"/>
    <mergeCell ref="K103:L103"/>
    <mergeCell ref="C104:D104"/>
    <mergeCell ref="E104:F104"/>
    <mergeCell ref="G104:H104"/>
    <mergeCell ref="I104:J104"/>
    <mergeCell ref="K104:L104"/>
    <mergeCell ref="C105:D105"/>
    <mergeCell ref="E105:F105"/>
    <mergeCell ref="G105:H105"/>
    <mergeCell ref="I105:J105"/>
    <mergeCell ref="K105:L105"/>
    <mergeCell ref="Q107:S107"/>
    <mergeCell ref="C138:D138"/>
    <mergeCell ref="E138:F138"/>
    <mergeCell ref="G138:H138"/>
    <mergeCell ref="I138:J138"/>
    <mergeCell ref="K138:L138"/>
    <mergeCell ref="C146:D146"/>
    <mergeCell ref="E146:F146"/>
    <mergeCell ref="G146:H146"/>
    <mergeCell ref="I146:J146"/>
    <mergeCell ref="K146:L146"/>
    <mergeCell ref="C147:D147"/>
    <mergeCell ref="E147:F147"/>
    <mergeCell ref="G147:H147"/>
    <mergeCell ref="I147:J147"/>
    <mergeCell ref="K147:L147"/>
    <mergeCell ref="C148:D148"/>
    <mergeCell ref="E148:F148"/>
    <mergeCell ref="G148:H148"/>
    <mergeCell ref="I148:J148"/>
    <mergeCell ref="K148:L148"/>
    <mergeCell ref="C149:D149"/>
    <mergeCell ref="E149:F149"/>
    <mergeCell ref="G149:H149"/>
    <mergeCell ref="I149:J149"/>
    <mergeCell ref="K149:L149"/>
    <mergeCell ref="C150:D150"/>
    <mergeCell ref="E150:F150"/>
    <mergeCell ref="G150:H150"/>
    <mergeCell ref="I150:J150"/>
    <mergeCell ref="K150:L150"/>
    <mergeCell ref="Q152:S152"/>
    <mergeCell ref="C183:D183"/>
    <mergeCell ref="E183:F183"/>
    <mergeCell ref="G183:H183"/>
    <mergeCell ref="I183:J183"/>
    <mergeCell ref="K183:L183"/>
    <mergeCell ref="C191:D191"/>
    <mergeCell ref="E191:F191"/>
    <mergeCell ref="G191:H191"/>
    <mergeCell ref="I191:J191"/>
    <mergeCell ref="K191:L191"/>
    <mergeCell ref="C192:D192"/>
    <mergeCell ref="E192:F192"/>
    <mergeCell ref="G192:H192"/>
    <mergeCell ref="I192:J192"/>
    <mergeCell ref="K192:L192"/>
    <mergeCell ref="C193:D193"/>
    <mergeCell ref="E193:F193"/>
    <mergeCell ref="G193:H193"/>
    <mergeCell ref="I193:J193"/>
    <mergeCell ref="K193:L193"/>
    <mergeCell ref="C194:D194"/>
    <mergeCell ref="E194:F194"/>
    <mergeCell ref="G194:H194"/>
    <mergeCell ref="I194:J194"/>
    <mergeCell ref="K194:L194"/>
    <mergeCell ref="C195:D195"/>
    <mergeCell ref="E195:F195"/>
    <mergeCell ref="G195:H195"/>
    <mergeCell ref="I195:J195"/>
    <mergeCell ref="K195:L195"/>
    <mergeCell ref="Q197:S197"/>
    <mergeCell ref="A7:A8"/>
    <mergeCell ref="A48:A49"/>
    <mergeCell ref="A93:A94"/>
    <mergeCell ref="A138:A139"/>
    <mergeCell ref="A183:A184"/>
    <mergeCell ref="B7:B8"/>
    <mergeCell ref="B22:B26"/>
    <mergeCell ref="B48:B49"/>
    <mergeCell ref="B63:B67"/>
    <mergeCell ref="B93:B94"/>
    <mergeCell ref="B108:B112"/>
    <mergeCell ref="B138:B139"/>
    <mergeCell ref="B153:B157"/>
    <mergeCell ref="B183:B184"/>
    <mergeCell ref="B198:B202"/>
    <mergeCell ref="C22:C24"/>
    <mergeCell ref="C63:C65"/>
    <mergeCell ref="C108:C110"/>
    <mergeCell ref="C153:C155"/>
    <mergeCell ref="C198:C200"/>
    <mergeCell ref="M48:M49"/>
    <mergeCell ref="M93:M94"/>
    <mergeCell ref="M138:M139"/>
    <mergeCell ref="M183:M184"/>
    <mergeCell ref="N48:N49"/>
    <mergeCell ref="N58:N60"/>
    <mergeCell ref="N93:N94"/>
    <mergeCell ref="N103:N105"/>
    <mergeCell ref="N138:N139"/>
    <mergeCell ref="N148:N150"/>
    <mergeCell ref="N183:N184"/>
    <mergeCell ref="N193:N195"/>
    <mergeCell ref="P50:P51"/>
    <mergeCell ref="P52:P53"/>
    <mergeCell ref="P54:P55"/>
    <mergeCell ref="P56:P57"/>
    <mergeCell ref="P95:P96"/>
    <mergeCell ref="P97:P98"/>
    <mergeCell ref="P99:P100"/>
    <mergeCell ref="P101:P102"/>
    <mergeCell ref="P140:P141"/>
    <mergeCell ref="P142:P143"/>
    <mergeCell ref="P144:P145"/>
    <mergeCell ref="P146:P147"/>
    <mergeCell ref="P185:P186"/>
    <mergeCell ref="P187:P188"/>
    <mergeCell ref="P189:P190"/>
    <mergeCell ref="P191:P192"/>
    <mergeCell ref="Q7:Q8"/>
    <mergeCell ref="Q50:Q51"/>
    <mergeCell ref="Q52:Q53"/>
    <mergeCell ref="Q54:Q55"/>
    <mergeCell ref="Q56:Q57"/>
    <mergeCell ref="Q95:Q96"/>
    <mergeCell ref="Q97:Q98"/>
    <mergeCell ref="Q99:Q100"/>
    <mergeCell ref="Q101:Q102"/>
    <mergeCell ref="Q140:Q141"/>
    <mergeCell ref="Q142:Q143"/>
    <mergeCell ref="Q144:Q145"/>
    <mergeCell ref="Q146:Q147"/>
    <mergeCell ref="Q185:Q186"/>
    <mergeCell ref="Q187:Q188"/>
    <mergeCell ref="Q189:Q190"/>
    <mergeCell ref="Q191:Q192"/>
    <mergeCell ref="R7:R8"/>
    <mergeCell ref="R17:R19"/>
    <mergeCell ref="T9:T10"/>
    <mergeCell ref="T11:T12"/>
    <mergeCell ref="T13:T14"/>
    <mergeCell ref="T15:T16"/>
    <mergeCell ref="U9:U10"/>
    <mergeCell ref="U11:U12"/>
    <mergeCell ref="U13:U14"/>
    <mergeCell ref="U15:U16"/>
    <mergeCell ref="T7:U8"/>
    <mergeCell ref="V7:W8"/>
    <mergeCell ref="P93:Q94"/>
    <mergeCell ref="P138:Q139"/>
    <mergeCell ref="P48:Q49"/>
    <mergeCell ref="P183:Q184"/>
  </mergeCells>
  <pageMargins left="0.699305555555556" right="0.699305555555556" top="0.75" bottom="0.75" header="0.3" footer="0.3"/>
  <pageSetup paperSize="9" orientation="portrait"/>
  <headerFooter/>
  <ignoredErrors>
    <ignoredError sqref="K55" 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7"/>
  </sheetPr>
  <dimension ref="A1:I49"/>
  <sheetViews>
    <sheetView topLeftCell="A29" workbookViewId="0">
      <selection activeCell="C28" sqref="C28"/>
    </sheetView>
  </sheetViews>
  <sheetFormatPr defaultColWidth="9" defaultRowHeight="12"/>
  <cols>
    <col min="1" max="1" width="7.375" style="307" customWidth="1"/>
    <col min="2" max="2" width="20.875" style="43" customWidth="1"/>
    <col min="3" max="3" width="23.125" style="307" customWidth="1"/>
    <col min="4" max="4" width="17.375" style="307" customWidth="1"/>
    <col min="5" max="5" width="21.625" style="307" customWidth="1"/>
    <col min="6" max="6" width="9.75" style="43" customWidth="1"/>
    <col min="7" max="7" width="8.25" style="43" customWidth="1"/>
    <col min="8" max="8" width="8" style="43" customWidth="1"/>
    <col min="9" max="9" width="4.5" style="43" customWidth="1"/>
    <col min="10" max="10" width="6.75" style="43" customWidth="1"/>
    <col min="11" max="11" width="5.375" style="43" customWidth="1"/>
    <col min="12" max="12" width="6" style="43" customWidth="1"/>
    <col min="13" max="256" width="9" style="43"/>
    <col min="257" max="257" width="2.75" style="43" customWidth="1"/>
    <col min="258" max="258" width="20.875" style="43" customWidth="1"/>
    <col min="259" max="259" width="23.125" style="43" customWidth="1"/>
    <col min="260" max="260" width="15.125" style="43" customWidth="1"/>
    <col min="261" max="261" width="21.625" style="43" customWidth="1"/>
    <col min="262" max="262" width="9.75" style="43" customWidth="1"/>
    <col min="263" max="263" width="8.25" style="43" customWidth="1"/>
    <col min="264" max="264" width="8" style="43" customWidth="1"/>
    <col min="265" max="265" width="4.5" style="43" customWidth="1"/>
    <col min="266" max="266" width="6.75" style="43" customWidth="1"/>
    <col min="267" max="267" width="5.375" style="43" customWidth="1"/>
    <col min="268" max="268" width="6" style="43" customWidth="1"/>
    <col min="269" max="512" width="9" style="43"/>
    <col min="513" max="513" width="2.75" style="43" customWidth="1"/>
    <col min="514" max="514" width="20.875" style="43" customWidth="1"/>
    <col min="515" max="515" width="23.125" style="43" customWidth="1"/>
    <col min="516" max="516" width="15.125" style="43" customWidth="1"/>
    <col min="517" max="517" width="21.625" style="43" customWidth="1"/>
    <col min="518" max="518" width="9.75" style="43" customWidth="1"/>
    <col min="519" max="519" width="8.25" style="43" customWidth="1"/>
    <col min="520" max="520" width="8" style="43" customWidth="1"/>
    <col min="521" max="521" width="4.5" style="43" customWidth="1"/>
    <col min="522" max="522" width="6.75" style="43" customWidth="1"/>
    <col min="523" max="523" width="5.375" style="43" customWidth="1"/>
    <col min="524" max="524" width="6" style="43" customWidth="1"/>
    <col min="525" max="768" width="9" style="43"/>
    <col min="769" max="769" width="2.75" style="43" customWidth="1"/>
    <col min="770" max="770" width="20.875" style="43" customWidth="1"/>
    <col min="771" max="771" width="23.125" style="43" customWidth="1"/>
    <col min="772" max="772" width="15.125" style="43" customWidth="1"/>
    <col min="773" max="773" width="21.625" style="43" customWidth="1"/>
    <col min="774" max="774" width="9.75" style="43" customWidth="1"/>
    <col min="775" max="775" width="8.25" style="43" customWidth="1"/>
    <col min="776" max="776" width="8" style="43" customWidth="1"/>
    <col min="777" max="777" width="4.5" style="43" customWidth="1"/>
    <col min="778" max="778" width="6.75" style="43" customWidth="1"/>
    <col min="779" max="779" width="5.375" style="43" customWidth="1"/>
    <col min="780" max="780" width="6" style="43" customWidth="1"/>
    <col min="781" max="1024" width="9" style="43"/>
    <col min="1025" max="1025" width="2.75" style="43" customWidth="1"/>
    <col min="1026" max="1026" width="20.875" style="43" customWidth="1"/>
    <col min="1027" max="1027" width="23.125" style="43" customWidth="1"/>
    <col min="1028" max="1028" width="15.125" style="43" customWidth="1"/>
    <col min="1029" max="1029" width="21.625" style="43" customWidth="1"/>
    <col min="1030" max="1030" width="9.75" style="43" customWidth="1"/>
    <col min="1031" max="1031" width="8.25" style="43" customWidth="1"/>
    <col min="1032" max="1032" width="8" style="43" customWidth="1"/>
    <col min="1033" max="1033" width="4.5" style="43" customWidth="1"/>
    <col min="1034" max="1034" width="6.75" style="43" customWidth="1"/>
    <col min="1035" max="1035" width="5.375" style="43" customWidth="1"/>
    <col min="1036" max="1036" width="6" style="43" customWidth="1"/>
    <col min="1037" max="1280" width="9" style="43"/>
    <col min="1281" max="1281" width="2.75" style="43" customWidth="1"/>
    <col min="1282" max="1282" width="20.875" style="43" customWidth="1"/>
    <col min="1283" max="1283" width="23.125" style="43" customWidth="1"/>
    <col min="1284" max="1284" width="15.125" style="43" customWidth="1"/>
    <col min="1285" max="1285" width="21.625" style="43" customWidth="1"/>
    <col min="1286" max="1286" width="9.75" style="43" customWidth="1"/>
    <col min="1287" max="1287" width="8.25" style="43" customWidth="1"/>
    <col min="1288" max="1288" width="8" style="43" customWidth="1"/>
    <col min="1289" max="1289" width="4.5" style="43" customWidth="1"/>
    <col min="1290" max="1290" width="6.75" style="43" customWidth="1"/>
    <col min="1291" max="1291" width="5.375" style="43" customWidth="1"/>
    <col min="1292" max="1292" width="6" style="43" customWidth="1"/>
    <col min="1293" max="1536" width="9" style="43"/>
    <col min="1537" max="1537" width="2.75" style="43" customWidth="1"/>
    <col min="1538" max="1538" width="20.875" style="43" customWidth="1"/>
    <col min="1539" max="1539" width="23.125" style="43" customWidth="1"/>
    <col min="1540" max="1540" width="15.125" style="43" customWidth="1"/>
    <col min="1541" max="1541" width="21.625" style="43" customWidth="1"/>
    <col min="1542" max="1542" width="9.75" style="43" customWidth="1"/>
    <col min="1543" max="1543" width="8.25" style="43" customWidth="1"/>
    <col min="1544" max="1544" width="8" style="43" customWidth="1"/>
    <col min="1545" max="1545" width="4.5" style="43" customWidth="1"/>
    <col min="1546" max="1546" width="6.75" style="43" customWidth="1"/>
    <col min="1547" max="1547" width="5.375" style="43" customWidth="1"/>
    <col min="1548" max="1548" width="6" style="43" customWidth="1"/>
    <col min="1549" max="1792" width="9" style="43"/>
    <col min="1793" max="1793" width="2.75" style="43" customWidth="1"/>
    <col min="1794" max="1794" width="20.875" style="43" customWidth="1"/>
    <col min="1795" max="1795" width="23.125" style="43" customWidth="1"/>
    <col min="1796" max="1796" width="15.125" style="43" customWidth="1"/>
    <col min="1797" max="1797" width="21.625" style="43" customWidth="1"/>
    <col min="1798" max="1798" width="9.75" style="43" customWidth="1"/>
    <col min="1799" max="1799" width="8.25" style="43" customWidth="1"/>
    <col min="1800" max="1800" width="8" style="43" customWidth="1"/>
    <col min="1801" max="1801" width="4.5" style="43" customWidth="1"/>
    <col min="1802" max="1802" width="6.75" style="43" customWidth="1"/>
    <col min="1803" max="1803" width="5.375" style="43" customWidth="1"/>
    <col min="1804" max="1804" width="6" style="43" customWidth="1"/>
    <col min="1805" max="2048" width="9" style="43"/>
    <col min="2049" max="2049" width="2.75" style="43" customWidth="1"/>
    <col min="2050" max="2050" width="20.875" style="43" customWidth="1"/>
    <col min="2051" max="2051" width="23.125" style="43" customWidth="1"/>
    <col min="2052" max="2052" width="15.125" style="43" customWidth="1"/>
    <col min="2053" max="2053" width="21.625" style="43" customWidth="1"/>
    <col min="2054" max="2054" width="9.75" style="43" customWidth="1"/>
    <col min="2055" max="2055" width="8.25" style="43" customWidth="1"/>
    <col min="2056" max="2056" width="8" style="43" customWidth="1"/>
    <col min="2057" max="2057" width="4.5" style="43" customWidth="1"/>
    <col min="2058" max="2058" width="6.75" style="43" customWidth="1"/>
    <col min="2059" max="2059" width="5.375" style="43" customWidth="1"/>
    <col min="2060" max="2060" width="6" style="43" customWidth="1"/>
    <col min="2061" max="2304" width="9" style="43"/>
    <col min="2305" max="2305" width="2.75" style="43" customWidth="1"/>
    <col min="2306" max="2306" width="20.875" style="43" customWidth="1"/>
    <col min="2307" max="2307" width="23.125" style="43" customWidth="1"/>
    <col min="2308" max="2308" width="15.125" style="43" customWidth="1"/>
    <col min="2309" max="2309" width="21.625" style="43" customWidth="1"/>
    <col min="2310" max="2310" width="9.75" style="43" customWidth="1"/>
    <col min="2311" max="2311" width="8.25" style="43" customWidth="1"/>
    <col min="2312" max="2312" width="8" style="43" customWidth="1"/>
    <col min="2313" max="2313" width="4.5" style="43" customWidth="1"/>
    <col min="2314" max="2314" width="6.75" style="43" customWidth="1"/>
    <col min="2315" max="2315" width="5.375" style="43" customWidth="1"/>
    <col min="2316" max="2316" width="6" style="43" customWidth="1"/>
    <col min="2317" max="2560" width="9" style="43"/>
    <col min="2561" max="2561" width="2.75" style="43" customWidth="1"/>
    <col min="2562" max="2562" width="20.875" style="43" customWidth="1"/>
    <col min="2563" max="2563" width="23.125" style="43" customWidth="1"/>
    <col min="2564" max="2564" width="15.125" style="43" customWidth="1"/>
    <col min="2565" max="2565" width="21.625" style="43" customWidth="1"/>
    <col min="2566" max="2566" width="9.75" style="43" customWidth="1"/>
    <col min="2567" max="2567" width="8.25" style="43" customWidth="1"/>
    <col min="2568" max="2568" width="8" style="43" customWidth="1"/>
    <col min="2569" max="2569" width="4.5" style="43" customWidth="1"/>
    <col min="2570" max="2570" width="6.75" style="43" customWidth="1"/>
    <col min="2571" max="2571" width="5.375" style="43" customWidth="1"/>
    <col min="2572" max="2572" width="6" style="43" customWidth="1"/>
    <col min="2573" max="2816" width="9" style="43"/>
    <col min="2817" max="2817" width="2.75" style="43" customWidth="1"/>
    <col min="2818" max="2818" width="20.875" style="43" customWidth="1"/>
    <col min="2819" max="2819" width="23.125" style="43" customWidth="1"/>
    <col min="2820" max="2820" width="15.125" style="43" customWidth="1"/>
    <col min="2821" max="2821" width="21.625" style="43" customWidth="1"/>
    <col min="2822" max="2822" width="9.75" style="43" customWidth="1"/>
    <col min="2823" max="2823" width="8.25" style="43" customWidth="1"/>
    <col min="2824" max="2824" width="8" style="43" customWidth="1"/>
    <col min="2825" max="2825" width="4.5" style="43" customWidth="1"/>
    <col min="2826" max="2826" width="6.75" style="43" customWidth="1"/>
    <col min="2827" max="2827" width="5.375" style="43" customWidth="1"/>
    <col min="2828" max="2828" width="6" style="43" customWidth="1"/>
    <col min="2829" max="3072" width="9" style="43"/>
    <col min="3073" max="3073" width="2.75" style="43" customWidth="1"/>
    <col min="3074" max="3074" width="20.875" style="43" customWidth="1"/>
    <col min="3075" max="3075" width="23.125" style="43" customWidth="1"/>
    <col min="3076" max="3076" width="15.125" style="43" customWidth="1"/>
    <col min="3077" max="3077" width="21.625" style="43" customWidth="1"/>
    <col min="3078" max="3078" width="9.75" style="43" customWidth="1"/>
    <col min="3079" max="3079" width="8.25" style="43" customWidth="1"/>
    <col min="3080" max="3080" width="8" style="43" customWidth="1"/>
    <col min="3081" max="3081" width="4.5" style="43" customWidth="1"/>
    <col min="3082" max="3082" width="6.75" style="43" customWidth="1"/>
    <col min="3083" max="3083" width="5.375" style="43" customWidth="1"/>
    <col min="3084" max="3084" width="6" style="43" customWidth="1"/>
    <col min="3085" max="3328" width="9" style="43"/>
    <col min="3329" max="3329" width="2.75" style="43" customWidth="1"/>
    <col min="3330" max="3330" width="20.875" style="43" customWidth="1"/>
    <col min="3331" max="3331" width="23.125" style="43" customWidth="1"/>
    <col min="3332" max="3332" width="15.125" style="43" customWidth="1"/>
    <col min="3333" max="3333" width="21.625" style="43" customWidth="1"/>
    <col min="3334" max="3334" width="9.75" style="43" customWidth="1"/>
    <col min="3335" max="3335" width="8.25" style="43" customWidth="1"/>
    <col min="3336" max="3336" width="8" style="43" customWidth="1"/>
    <col min="3337" max="3337" width="4.5" style="43" customWidth="1"/>
    <col min="3338" max="3338" width="6.75" style="43" customWidth="1"/>
    <col min="3339" max="3339" width="5.375" style="43" customWidth="1"/>
    <col min="3340" max="3340" width="6" style="43" customWidth="1"/>
    <col min="3341" max="3584" width="9" style="43"/>
    <col min="3585" max="3585" width="2.75" style="43" customWidth="1"/>
    <col min="3586" max="3586" width="20.875" style="43" customWidth="1"/>
    <col min="3587" max="3587" width="23.125" style="43" customWidth="1"/>
    <col min="3588" max="3588" width="15.125" style="43" customWidth="1"/>
    <col min="3589" max="3589" width="21.625" style="43" customWidth="1"/>
    <col min="3590" max="3590" width="9.75" style="43" customWidth="1"/>
    <col min="3591" max="3591" width="8.25" style="43" customWidth="1"/>
    <col min="3592" max="3592" width="8" style="43" customWidth="1"/>
    <col min="3593" max="3593" width="4.5" style="43" customWidth="1"/>
    <col min="3594" max="3594" width="6.75" style="43" customWidth="1"/>
    <col min="3595" max="3595" width="5.375" style="43" customWidth="1"/>
    <col min="3596" max="3596" width="6" style="43" customWidth="1"/>
    <col min="3597" max="3840" width="9" style="43"/>
    <col min="3841" max="3841" width="2.75" style="43" customWidth="1"/>
    <col min="3842" max="3842" width="20.875" style="43" customWidth="1"/>
    <col min="3843" max="3843" width="23.125" style="43" customWidth="1"/>
    <col min="3844" max="3844" width="15.125" style="43" customWidth="1"/>
    <col min="3845" max="3845" width="21.625" style="43" customWidth="1"/>
    <col min="3846" max="3846" width="9.75" style="43" customWidth="1"/>
    <col min="3847" max="3847" width="8.25" style="43" customWidth="1"/>
    <col min="3848" max="3848" width="8" style="43" customWidth="1"/>
    <col min="3849" max="3849" width="4.5" style="43" customWidth="1"/>
    <col min="3850" max="3850" width="6.75" style="43" customWidth="1"/>
    <col min="3851" max="3851" width="5.375" style="43" customWidth="1"/>
    <col min="3852" max="3852" width="6" style="43" customWidth="1"/>
    <col min="3853" max="4096" width="9" style="43"/>
    <col min="4097" max="4097" width="2.75" style="43" customWidth="1"/>
    <col min="4098" max="4098" width="20.875" style="43" customWidth="1"/>
    <col min="4099" max="4099" width="23.125" style="43" customWidth="1"/>
    <col min="4100" max="4100" width="15.125" style="43" customWidth="1"/>
    <col min="4101" max="4101" width="21.625" style="43" customWidth="1"/>
    <col min="4102" max="4102" width="9.75" style="43" customWidth="1"/>
    <col min="4103" max="4103" width="8.25" style="43" customWidth="1"/>
    <col min="4104" max="4104" width="8" style="43" customWidth="1"/>
    <col min="4105" max="4105" width="4.5" style="43" customWidth="1"/>
    <col min="4106" max="4106" width="6.75" style="43" customWidth="1"/>
    <col min="4107" max="4107" width="5.375" style="43" customWidth="1"/>
    <col min="4108" max="4108" width="6" style="43" customWidth="1"/>
    <col min="4109" max="4352" width="9" style="43"/>
    <col min="4353" max="4353" width="2.75" style="43" customWidth="1"/>
    <col min="4354" max="4354" width="20.875" style="43" customWidth="1"/>
    <col min="4355" max="4355" width="23.125" style="43" customWidth="1"/>
    <col min="4356" max="4356" width="15.125" style="43" customWidth="1"/>
    <col min="4357" max="4357" width="21.625" style="43" customWidth="1"/>
    <col min="4358" max="4358" width="9.75" style="43" customWidth="1"/>
    <col min="4359" max="4359" width="8.25" style="43" customWidth="1"/>
    <col min="4360" max="4360" width="8" style="43" customWidth="1"/>
    <col min="4361" max="4361" width="4.5" style="43" customWidth="1"/>
    <col min="4362" max="4362" width="6.75" style="43" customWidth="1"/>
    <col min="4363" max="4363" width="5.375" style="43" customWidth="1"/>
    <col min="4364" max="4364" width="6" style="43" customWidth="1"/>
    <col min="4365" max="4608" width="9" style="43"/>
    <col min="4609" max="4609" width="2.75" style="43" customWidth="1"/>
    <col min="4610" max="4610" width="20.875" style="43" customWidth="1"/>
    <col min="4611" max="4611" width="23.125" style="43" customWidth="1"/>
    <col min="4612" max="4612" width="15.125" style="43" customWidth="1"/>
    <col min="4613" max="4613" width="21.625" style="43" customWidth="1"/>
    <col min="4614" max="4614" width="9.75" style="43" customWidth="1"/>
    <col min="4615" max="4615" width="8.25" style="43" customWidth="1"/>
    <col min="4616" max="4616" width="8" style="43" customWidth="1"/>
    <col min="4617" max="4617" width="4.5" style="43" customWidth="1"/>
    <col min="4618" max="4618" width="6.75" style="43" customWidth="1"/>
    <col min="4619" max="4619" width="5.375" style="43" customWidth="1"/>
    <col min="4620" max="4620" width="6" style="43" customWidth="1"/>
    <col min="4621" max="4864" width="9" style="43"/>
    <col min="4865" max="4865" width="2.75" style="43" customWidth="1"/>
    <col min="4866" max="4866" width="20.875" style="43" customWidth="1"/>
    <col min="4867" max="4867" width="23.125" style="43" customWidth="1"/>
    <col min="4868" max="4868" width="15.125" style="43" customWidth="1"/>
    <col min="4869" max="4869" width="21.625" style="43" customWidth="1"/>
    <col min="4870" max="4870" width="9.75" style="43" customWidth="1"/>
    <col min="4871" max="4871" width="8.25" style="43" customWidth="1"/>
    <col min="4872" max="4872" width="8" style="43" customWidth="1"/>
    <col min="4873" max="4873" width="4.5" style="43" customWidth="1"/>
    <col min="4874" max="4874" width="6.75" style="43" customWidth="1"/>
    <col min="4875" max="4875" width="5.375" style="43" customWidth="1"/>
    <col min="4876" max="4876" width="6" style="43" customWidth="1"/>
    <col min="4877" max="5120" width="9" style="43"/>
    <col min="5121" max="5121" width="2.75" style="43" customWidth="1"/>
    <col min="5122" max="5122" width="20.875" style="43" customWidth="1"/>
    <col min="5123" max="5123" width="23.125" style="43" customWidth="1"/>
    <col min="5124" max="5124" width="15.125" style="43" customWidth="1"/>
    <col min="5125" max="5125" width="21.625" style="43" customWidth="1"/>
    <col min="5126" max="5126" width="9.75" style="43" customWidth="1"/>
    <col min="5127" max="5127" width="8.25" style="43" customWidth="1"/>
    <col min="5128" max="5128" width="8" style="43" customWidth="1"/>
    <col min="5129" max="5129" width="4.5" style="43" customWidth="1"/>
    <col min="5130" max="5130" width="6.75" style="43" customWidth="1"/>
    <col min="5131" max="5131" width="5.375" style="43" customWidth="1"/>
    <col min="5132" max="5132" width="6" style="43" customWidth="1"/>
    <col min="5133" max="5376" width="9" style="43"/>
    <col min="5377" max="5377" width="2.75" style="43" customWidth="1"/>
    <col min="5378" max="5378" width="20.875" style="43" customWidth="1"/>
    <col min="5379" max="5379" width="23.125" style="43" customWidth="1"/>
    <col min="5380" max="5380" width="15.125" style="43" customWidth="1"/>
    <col min="5381" max="5381" width="21.625" style="43" customWidth="1"/>
    <col min="5382" max="5382" width="9.75" style="43" customWidth="1"/>
    <col min="5383" max="5383" width="8.25" style="43" customWidth="1"/>
    <col min="5384" max="5384" width="8" style="43" customWidth="1"/>
    <col min="5385" max="5385" width="4.5" style="43" customWidth="1"/>
    <col min="5386" max="5386" width="6.75" style="43" customWidth="1"/>
    <col min="5387" max="5387" width="5.375" style="43" customWidth="1"/>
    <col min="5388" max="5388" width="6" style="43" customWidth="1"/>
    <col min="5389" max="5632" width="9" style="43"/>
    <col min="5633" max="5633" width="2.75" style="43" customWidth="1"/>
    <col min="5634" max="5634" width="20.875" style="43" customWidth="1"/>
    <col min="5635" max="5635" width="23.125" style="43" customWidth="1"/>
    <col min="5636" max="5636" width="15.125" style="43" customWidth="1"/>
    <col min="5637" max="5637" width="21.625" style="43" customWidth="1"/>
    <col min="5638" max="5638" width="9.75" style="43" customWidth="1"/>
    <col min="5639" max="5639" width="8.25" style="43" customWidth="1"/>
    <col min="5640" max="5640" width="8" style="43" customWidth="1"/>
    <col min="5641" max="5641" width="4.5" style="43" customWidth="1"/>
    <col min="5642" max="5642" width="6.75" style="43" customWidth="1"/>
    <col min="5643" max="5643" width="5.375" style="43" customWidth="1"/>
    <col min="5644" max="5644" width="6" style="43" customWidth="1"/>
    <col min="5645" max="5888" width="9" style="43"/>
    <col min="5889" max="5889" width="2.75" style="43" customWidth="1"/>
    <col min="5890" max="5890" width="20.875" style="43" customWidth="1"/>
    <col min="5891" max="5891" width="23.125" style="43" customWidth="1"/>
    <col min="5892" max="5892" width="15.125" style="43" customWidth="1"/>
    <col min="5893" max="5893" width="21.625" style="43" customWidth="1"/>
    <col min="5894" max="5894" width="9.75" style="43" customWidth="1"/>
    <col min="5895" max="5895" width="8.25" style="43" customWidth="1"/>
    <col min="5896" max="5896" width="8" style="43" customWidth="1"/>
    <col min="5897" max="5897" width="4.5" style="43" customWidth="1"/>
    <col min="5898" max="5898" width="6.75" style="43" customWidth="1"/>
    <col min="5899" max="5899" width="5.375" style="43" customWidth="1"/>
    <col min="5900" max="5900" width="6" style="43" customWidth="1"/>
    <col min="5901" max="6144" width="9" style="43"/>
    <col min="6145" max="6145" width="2.75" style="43" customWidth="1"/>
    <col min="6146" max="6146" width="20.875" style="43" customWidth="1"/>
    <col min="6147" max="6147" width="23.125" style="43" customWidth="1"/>
    <col min="6148" max="6148" width="15.125" style="43" customWidth="1"/>
    <col min="6149" max="6149" width="21.625" style="43" customWidth="1"/>
    <col min="6150" max="6150" width="9.75" style="43" customWidth="1"/>
    <col min="6151" max="6151" width="8.25" style="43" customWidth="1"/>
    <col min="6152" max="6152" width="8" style="43" customWidth="1"/>
    <col min="6153" max="6153" width="4.5" style="43" customWidth="1"/>
    <col min="6154" max="6154" width="6.75" style="43" customWidth="1"/>
    <col min="6155" max="6155" width="5.375" style="43" customWidth="1"/>
    <col min="6156" max="6156" width="6" style="43" customWidth="1"/>
    <col min="6157" max="6400" width="9" style="43"/>
    <col min="6401" max="6401" width="2.75" style="43" customWidth="1"/>
    <col min="6402" max="6402" width="20.875" style="43" customWidth="1"/>
    <col min="6403" max="6403" width="23.125" style="43" customWidth="1"/>
    <col min="6404" max="6404" width="15.125" style="43" customWidth="1"/>
    <col min="6405" max="6405" width="21.625" style="43" customWidth="1"/>
    <col min="6406" max="6406" width="9.75" style="43" customWidth="1"/>
    <col min="6407" max="6407" width="8.25" style="43" customWidth="1"/>
    <col min="6408" max="6408" width="8" style="43" customWidth="1"/>
    <col min="6409" max="6409" width="4.5" style="43" customWidth="1"/>
    <col min="6410" max="6410" width="6.75" style="43" customWidth="1"/>
    <col min="6411" max="6411" width="5.375" style="43" customWidth="1"/>
    <col min="6412" max="6412" width="6" style="43" customWidth="1"/>
    <col min="6413" max="6656" width="9" style="43"/>
    <col min="6657" max="6657" width="2.75" style="43" customWidth="1"/>
    <col min="6658" max="6658" width="20.875" style="43" customWidth="1"/>
    <col min="6659" max="6659" width="23.125" style="43" customWidth="1"/>
    <col min="6660" max="6660" width="15.125" style="43" customWidth="1"/>
    <col min="6661" max="6661" width="21.625" style="43" customWidth="1"/>
    <col min="6662" max="6662" width="9.75" style="43" customWidth="1"/>
    <col min="6663" max="6663" width="8.25" style="43" customWidth="1"/>
    <col min="6664" max="6664" width="8" style="43" customWidth="1"/>
    <col min="6665" max="6665" width="4.5" style="43" customWidth="1"/>
    <col min="6666" max="6666" width="6.75" style="43" customWidth="1"/>
    <col min="6667" max="6667" width="5.375" style="43" customWidth="1"/>
    <col min="6668" max="6668" width="6" style="43" customWidth="1"/>
    <col min="6669" max="6912" width="9" style="43"/>
    <col min="6913" max="6913" width="2.75" style="43" customWidth="1"/>
    <col min="6914" max="6914" width="20.875" style="43" customWidth="1"/>
    <col min="6915" max="6915" width="23.125" style="43" customWidth="1"/>
    <col min="6916" max="6916" width="15.125" style="43" customWidth="1"/>
    <col min="6917" max="6917" width="21.625" style="43" customWidth="1"/>
    <col min="6918" max="6918" width="9.75" style="43" customWidth="1"/>
    <col min="6919" max="6919" width="8.25" style="43" customWidth="1"/>
    <col min="6920" max="6920" width="8" style="43" customWidth="1"/>
    <col min="6921" max="6921" width="4.5" style="43" customWidth="1"/>
    <col min="6922" max="6922" width="6.75" style="43" customWidth="1"/>
    <col min="6923" max="6923" width="5.375" style="43" customWidth="1"/>
    <col min="6924" max="6924" width="6" style="43" customWidth="1"/>
    <col min="6925" max="7168" width="9" style="43"/>
    <col min="7169" max="7169" width="2.75" style="43" customWidth="1"/>
    <col min="7170" max="7170" width="20.875" style="43" customWidth="1"/>
    <col min="7171" max="7171" width="23.125" style="43" customWidth="1"/>
    <col min="7172" max="7172" width="15.125" style="43" customWidth="1"/>
    <col min="7173" max="7173" width="21.625" style="43" customWidth="1"/>
    <col min="7174" max="7174" width="9.75" style="43" customWidth="1"/>
    <col min="7175" max="7175" width="8.25" style="43" customWidth="1"/>
    <col min="7176" max="7176" width="8" style="43" customWidth="1"/>
    <col min="7177" max="7177" width="4.5" style="43" customWidth="1"/>
    <col min="7178" max="7178" width="6.75" style="43" customWidth="1"/>
    <col min="7179" max="7179" width="5.375" style="43" customWidth="1"/>
    <col min="7180" max="7180" width="6" style="43" customWidth="1"/>
    <col min="7181" max="7424" width="9" style="43"/>
    <col min="7425" max="7425" width="2.75" style="43" customWidth="1"/>
    <col min="7426" max="7426" width="20.875" style="43" customWidth="1"/>
    <col min="7427" max="7427" width="23.125" style="43" customWidth="1"/>
    <col min="7428" max="7428" width="15.125" style="43" customWidth="1"/>
    <col min="7429" max="7429" width="21.625" style="43" customWidth="1"/>
    <col min="7430" max="7430" width="9.75" style="43" customWidth="1"/>
    <col min="7431" max="7431" width="8.25" style="43" customWidth="1"/>
    <col min="7432" max="7432" width="8" style="43" customWidth="1"/>
    <col min="7433" max="7433" width="4.5" style="43" customWidth="1"/>
    <col min="7434" max="7434" width="6.75" style="43" customWidth="1"/>
    <col min="7435" max="7435" width="5.375" style="43" customWidth="1"/>
    <col min="7436" max="7436" width="6" style="43" customWidth="1"/>
    <col min="7437" max="7680" width="9" style="43"/>
    <col min="7681" max="7681" width="2.75" style="43" customWidth="1"/>
    <col min="7682" max="7682" width="20.875" style="43" customWidth="1"/>
    <col min="7683" max="7683" width="23.125" style="43" customWidth="1"/>
    <col min="7684" max="7684" width="15.125" style="43" customWidth="1"/>
    <col min="7685" max="7685" width="21.625" style="43" customWidth="1"/>
    <col min="7686" max="7686" width="9.75" style="43" customWidth="1"/>
    <col min="7687" max="7687" width="8.25" style="43" customWidth="1"/>
    <col min="7688" max="7688" width="8" style="43" customWidth="1"/>
    <col min="7689" max="7689" width="4.5" style="43" customWidth="1"/>
    <col min="7690" max="7690" width="6.75" style="43" customWidth="1"/>
    <col min="7691" max="7691" width="5.375" style="43" customWidth="1"/>
    <col min="7692" max="7692" width="6" style="43" customWidth="1"/>
    <col min="7693" max="7936" width="9" style="43"/>
    <col min="7937" max="7937" width="2.75" style="43" customWidth="1"/>
    <col min="7938" max="7938" width="20.875" style="43" customWidth="1"/>
    <col min="7939" max="7939" width="23.125" style="43" customWidth="1"/>
    <col min="7940" max="7940" width="15.125" style="43" customWidth="1"/>
    <col min="7941" max="7941" width="21.625" style="43" customWidth="1"/>
    <col min="7942" max="7942" width="9.75" style="43" customWidth="1"/>
    <col min="7943" max="7943" width="8.25" style="43" customWidth="1"/>
    <col min="7944" max="7944" width="8" style="43" customWidth="1"/>
    <col min="7945" max="7945" width="4.5" style="43" customWidth="1"/>
    <col min="7946" max="7946" width="6.75" style="43" customWidth="1"/>
    <col min="7947" max="7947" width="5.375" style="43" customWidth="1"/>
    <col min="7948" max="7948" width="6" style="43" customWidth="1"/>
    <col min="7949" max="8192" width="9" style="43"/>
    <col min="8193" max="8193" width="2.75" style="43" customWidth="1"/>
    <col min="8194" max="8194" width="20.875" style="43" customWidth="1"/>
    <col min="8195" max="8195" width="23.125" style="43" customWidth="1"/>
    <col min="8196" max="8196" width="15.125" style="43" customWidth="1"/>
    <col min="8197" max="8197" width="21.625" style="43" customWidth="1"/>
    <col min="8198" max="8198" width="9.75" style="43" customWidth="1"/>
    <col min="8199" max="8199" width="8.25" style="43" customWidth="1"/>
    <col min="8200" max="8200" width="8" style="43" customWidth="1"/>
    <col min="8201" max="8201" width="4.5" style="43" customWidth="1"/>
    <col min="8202" max="8202" width="6.75" style="43" customWidth="1"/>
    <col min="8203" max="8203" width="5.375" style="43" customWidth="1"/>
    <col min="8204" max="8204" width="6" style="43" customWidth="1"/>
    <col min="8205" max="8448" width="9" style="43"/>
    <col min="8449" max="8449" width="2.75" style="43" customWidth="1"/>
    <col min="8450" max="8450" width="20.875" style="43" customWidth="1"/>
    <col min="8451" max="8451" width="23.125" style="43" customWidth="1"/>
    <col min="8452" max="8452" width="15.125" style="43" customWidth="1"/>
    <col min="8453" max="8453" width="21.625" style="43" customWidth="1"/>
    <col min="8454" max="8454" width="9.75" style="43" customWidth="1"/>
    <col min="8455" max="8455" width="8.25" style="43" customWidth="1"/>
    <col min="8456" max="8456" width="8" style="43" customWidth="1"/>
    <col min="8457" max="8457" width="4.5" style="43" customWidth="1"/>
    <col min="8458" max="8458" width="6.75" style="43" customWidth="1"/>
    <col min="8459" max="8459" width="5.375" style="43" customWidth="1"/>
    <col min="8460" max="8460" width="6" style="43" customWidth="1"/>
    <col min="8461" max="8704" width="9" style="43"/>
    <col min="8705" max="8705" width="2.75" style="43" customWidth="1"/>
    <col min="8706" max="8706" width="20.875" style="43" customWidth="1"/>
    <col min="8707" max="8707" width="23.125" style="43" customWidth="1"/>
    <col min="8708" max="8708" width="15.125" style="43" customWidth="1"/>
    <col min="8709" max="8709" width="21.625" style="43" customWidth="1"/>
    <col min="8710" max="8710" width="9.75" style="43" customWidth="1"/>
    <col min="8711" max="8711" width="8.25" style="43" customWidth="1"/>
    <col min="8712" max="8712" width="8" style="43" customWidth="1"/>
    <col min="8713" max="8713" width="4.5" style="43" customWidth="1"/>
    <col min="8714" max="8714" width="6.75" style="43" customWidth="1"/>
    <col min="8715" max="8715" width="5.375" style="43" customWidth="1"/>
    <col min="8716" max="8716" width="6" style="43" customWidth="1"/>
    <col min="8717" max="8960" width="9" style="43"/>
    <col min="8961" max="8961" width="2.75" style="43" customWidth="1"/>
    <col min="8962" max="8962" width="20.875" style="43" customWidth="1"/>
    <col min="8963" max="8963" width="23.125" style="43" customWidth="1"/>
    <col min="8964" max="8964" width="15.125" style="43" customWidth="1"/>
    <col min="8965" max="8965" width="21.625" style="43" customWidth="1"/>
    <col min="8966" max="8966" width="9.75" style="43" customWidth="1"/>
    <col min="8967" max="8967" width="8.25" style="43" customWidth="1"/>
    <col min="8968" max="8968" width="8" style="43" customWidth="1"/>
    <col min="8969" max="8969" width="4.5" style="43" customWidth="1"/>
    <col min="8970" max="8970" width="6.75" style="43" customWidth="1"/>
    <col min="8971" max="8971" width="5.375" style="43" customWidth="1"/>
    <col min="8972" max="8972" width="6" style="43" customWidth="1"/>
    <col min="8973" max="9216" width="9" style="43"/>
    <col min="9217" max="9217" width="2.75" style="43" customWidth="1"/>
    <col min="9218" max="9218" width="20.875" style="43" customWidth="1"/>
    <col min="9219" max="9219" width="23.125" style="43" customWidth="1"/>
    <col min="9220" max="9220" width="15.125" style="43" customWidth="1"/>
    <col min="9221" max="9221" width="21.625" style="43" customWidth="1"/>
    <col min="9222" max="9222" width="9.75" style="43" customWidth="1"/>
    <col min="9223" max="9223" width="8.25" style="43" customWidth="1"/>
    <col min="9224" max="9224" width="8" style="43" customWidth="1"/>
    <col min="9225" max="9225" width="4.5" style="43" customWidth="1"/>
    <col min="9226" max="9226" width="6.75" style="43" customWidth="1"/>
    <col min="9227" max="9227" width="5.375" style="43" customWidth="1"/>
    <col min="9228" max="9228" width="6" style="43" customWidth="1"/>
    <col min="9229" max="9472" width="9" style="43"/>
    <col min="9473" max="9473" width="2.75" style="43" customWidth="1"/>
    <col min="9474" max="9474" width="20.875" style="43" customWidth="1"/>
    <col min="9475" max="9475" width="23.125" style="43" customWidth="1"/>
    <col min="9476" max="9476" width="15.125" style="43" customWidth="1"/>
    <col min="9477" max="9477" width="21.625" style="43" customWidth="1"/>
    <col min="9478" max="9478" width="9.75" style="43" customWidth="1"/>
    <col min="9479" max="9479" width="8.25" style="43" customWidth="1"/>
    <col min="9480" max="9480" width="8" style="43" customWidth="1"/>
    <col min="9481" max="9481" width="4.5" style="43" customWidth="1"/>
    <col min="9482" max="9482" width="6.75" style="43" customWidth="1"/>
    <col min="9483" max="9483" width="5.375" style="43" customWidth="1"/>
    <col min="9484" max="9484" width="6" style="43" customWidth="1"/>
    <col min="9485" max="9728" width="9" style="43"/>
    <col min="9729" max="9729" width="2.75" style="43" customWidth="1"/>
    <col min="9730" max="9730" width="20.875" style="43" customWidth="1"/>
    <col min="9731" max="9731" width="23.125" style="43" customWidth="1"/>
    <col min="9732" max="9732" width="15.125" style="43" customWidth="1"/>
    <col min="9733" max="9733" width="21.625" style="43" customWidth="1"/>
    <col min="9734" max="9734" width="9.75" style="43" customWidth="1"/>
    <col min="9735" max="9735" width="8.25" style="43" customWidth="1"/>
    <col min="9736" max="9736" width="8" style="43" customWidth="1"/>
    <col min="9737" max="9737" width="4.5" style="43" customWidth="1"/>
    <col min="9738" max="9738" width="6.75" style="43" customWidth="1"/>
    <col min="9739" max="9739" width="5.375" style="43" customWidth="1"/>
    <col min="9740" max="9740" width="6" style="43" customWidth="1"/>
    <col min="9741" max="9984" width="9" style="43"/>
    <col min="9985" max="9985" width="2.75" style="43" customWidth="1"/>
    <col min="9986" max="9986" width="20.875" style="43" customWidth="1"/>
    <col min="9987" max="9987" width="23.125" style="43" customWidth="1"/>
    <col min="9988" max="9988" width="15.125" style="43" customWidth="1"/>
    <col min="9989" max="9989" width="21.625" style="43" customWidth="1"/>
    <col min="9990" max="9990" width="9.75" style="43" customWidth="1"/>
    <col min="9991" max="9991" width="8.25" style="43" customWidth="1"/>
    <col min="9992" max="9992" width="8" style="43" customWidth="1"/>
    <col min="9993" max="9993" width="4.5" style="43" customWidth="1"/>
    <col min="9994" max="9994" width="6.75" style="43" customWidth="1"/>
    <col min="9995" max="9995" width="5.375" style="43" customWidth="1"/>
    <col min="9996" max="9996" width="6" style="43" customWidth="1"/>
    <col min="9997" max="10240" width="9" style="43"/>
    <col min="10241" max="10241" width="2.75" style="43" customWidth="1"/>
    <col min="10242" max="10242" width="20.875" style="43" customWidth="1"/>
    <col min="10243" max="10243" width="23.125" style="43" customWidth="1"/>
    <col min="10244" max="10244" width="15.125" style="43" customWidth="1"/>
    <col min="10245" max="10245" width="21.625" style="43" customWidth="1"/>
    <col min="10246" max="10246" width="9.75" style="43" customWidth="1"/>
    <col min="10247" max="10247" width="8.25" style="43" customWidth="1"/>
    <col min="10248" max="10248" width="8" style="43" customWidth="1"/>
    <col min="10249" max="10249" width="4.5" style="43" customWidth="1"/>
    <col min="10250" max="10250" width="6.75" style="43" customWidth="1"/>
    <col min="10251" max="10251" width="5.375" style="43" customWidth="1"/>
    <col min="10252" max="10252" width="6" style="43" customWidth="1"/>
    <col min="10253" max="10496" width="9" style="43"/>
    <col min="10497" max="10497" width="2.75" style="43" customWidth="1"/>
    <col min="10498" max="10498" width="20.875" style="43" customWidth="1"/>
    <col min="10499" max="10499" width="23.125" style="43" customWidth="1"/>
    <col min="10500" max="10500" width="15.125" style="43" customWidth="1"/>
    <col min="10501" max="10501" width="21.625" style="43" customWidth="1"/>
    <col min="10502" max="10502" width="9.75" style="43" customWidth="1"/>
    <col min="10503" max="10503" width="8.25" style="43" customWidth="1"/>
    <col min="10504" max="10504" width="8" style="43" customWidth="1"/>
    <col min="10505" max="10505" width="4.5" style="43" customWidth="1"/>
    <col min="10506" max="10506" width="6.75" style="43" customWidth="1"/>
    <col min="10507" max="10507" width="5.375" style="43" customWidth="1"/>
    <col min="10508" max="10508" width="6" style="43" customWidth="1"/>
    <col min="10509" max="10752" width="9" style="43"/>
    <col min="10753" max="10753" width="2.75" style="43" customWidth="1"/>
    <col min="10754" max="10754" width="20.875" style="43" customWidth="1"/>
    <col min="10755" max="10755" width="23.125" style="43" customWidth="1"/>
    <col min="10756" max="10756" width="15.125" style="43" customWidth="1"/>
    <col min="10757" max="10757" width="21.625" style="43" customWidth="1"/>
    <col min="10758" max="10758" width="9.75" style="43" customWidth="1"/>
    <col min="10759" max="10759" width="8.25" style="43" customWidth="1"/>
    <col min="10760" max="10760" width="8" style="43" customWidth="1"/>
    <col min="10761" max="10761" width="4.5" style="43" customWidth="1"/>
    <col min="10762" max="10762" width="6.75" style="43" customWidth="1"/>
    <col min="10763" max="10763" width="5.375" style="43" customWidth="1"/>
    <col min="10764" max="10764" width="6" style="43" customWidth="1"/>
    <col min="10765" max="11008" width="9" style="43"/>
    <col min="11009" max="11009" width="2.75" style="43" customWidth="1"/>
    <col min="11010" max="11010" width="20.875" style="43" customWidth="1"/>
    <col min="11011" max="11011" width="23.125" style="43" customWidth="1"/>
    <col min="11012" max="11012" width="15.125" style="43" customWidth="1"/>
    <col min="11013" max="11013" width="21.625" style="43" customWidth="1"/>
    <col min="11014" max="11014" width="9.75" style="43" customWidth="1"/>
    <col min="11015" max="11015" width="8.25" style="43" customWidth="1"/>
    <col min="11016" max="11016" width="8" style="43" customWidth="1"/>
    <col min="11017" max="11017" width="4.5" style="43" customWidth="1"/>
    <col min="11018" max="11018" width="6.75" style="43" customWidth="1"/>
    <col min="11019" max="11019" width="5.375" style="43" customWidth="1"/>
    <col min="11020" max="11020" width="6" style="43" customWidth="1"/>
    <col min="11021" max="11264" width="9" style="43"/>
    <col min="11265" max="11265" width="2.75" style="43" customWidth="1"/>
    <col min="11266" max="11266" width="20.875" style="43" customWidth="1"/>
    <col min="11267" max="11267" width="23.125" style="43" customWidth="1"/>
    <col min="11268" max="11268" width="15.125" style="43" customWidth="1"/>
    <col min="11269" max="11269" width="21.625" style="43" customWidth="1"/>
    <col min="11270" max="11270" width="9.75" style="43" customWidth="1"/>
    <col min="11271" max="11271" width="8.25" style="43" customWidth="1"/>
    <col min="11272" max="11272" width="8" style="43" customWidth="1"/>
    <col min="11273" max="11273" width="4.5" style="43" customWidth="1"/>
    <col min="11274" max="11274" width="6.75" style="43" customWidth="1"/>
    <col min="11275" max="11275" width="5.375" style="43" customWidth="1"/>
    <col min="11276" max="11276" width="6" style="43" customWidth="1"/>
    <col min="11277" max="11520" width="9" style="43"/>
    <col min="11521" max="11521" width="2.75" style="43" customWidth="1"/>
    <col min="11522" max="11522" width="20.875" style="43" customWidth="1"/>
    <col min="11523" max="11523" width="23.125" style="43" customWidth="1"/>
    <col min="11524" max="11524" width="15.125" style="43" customWidth="1"/>
    <col min="11525" max="11525" width="21.625" style="43" customWidth="1"/>
    <col min="11526" max="11526" width="9.75" style="43" customWidth="1"/>
    <col min="11527" max="11527" width="8.25" style="43" customWidth="1"/>
    <col min="11528" max="11528" width="8" style="43" customWidth="1"/>
    <col min="11529" max="11529" width="4.5" style="43" customWidth="1"/>
    <col min="11530" max="11530" width="6.75" style="43" customWidth="1"/>
    <col min="11531" max="11531" width="5.375" style="43" customWidth="1"/>
    <col min="11532" max="11532" width="6" style="43" customWidth="1"/>
    <col min="11533" max="11776" width="9" style="43"/>
    <col min="11777" max="11777" width="2.75" style="43" customWidth="1"/>
    <col min="11778" max="11778" width="20.875" style="43" customWidth="1"/>
    <col min="11779" max="11779" width="23.125" style="43" customWidth="1"/>
    <col min="11780" max="11780" width="15.125" style="43" customWidth="1"/>
    <col min="11781" max="11781" width="21.625" style="43" customWidth="1"/>
    <col min="11782" max="11782" width="9.75" style="43" customWidth="1"/>
    <col min="11783" max="11783" width="8.25" style="43" customWidth="1"/>
    <col min="11784" max="11784" width="8" style="43" customWidth="1"/>
    <col min="11785" max="11785" width="4.5" style="43" customWidth="1"/>
    <col min="11786" max="11786" width="6.75" style="43" customWidth="1"/>
    <col min="11787" max="11787" width="5.375" style="43" customWidth="1"/>
    <col min="11788" max="11788" width="6" style="43" customWidth="1"/>
    <col min="11789" max="12032" width="9" style="43"/>
    <col min="12033" max="12033" width="2.75" style="43" customWidth="1"/>
    <col min="12034" max="12034" width="20.875" style="43" customWidth="1"/>
    <col min="12035" max="12035" width="23.125" style="43" customWidth="1"/>
    <col min="12036" max="12036" width="15.125" style="43" customWidth="1"/>
    <col min="12037" max="12037" width="21.625" style="43" customWidth="1"/>
    <col min="12038" max="12038" width="9.75" style="43" customWidth="1"/>
    <col min="12039" max="12039" width="8.25" style="43" customWidth="1"/>
    <col min="12040" max="12040" width="8" style="43" customWidth="1"/>
    <col min="12041" max="12041" width="4.5" style="43" customWidth="1"/>
    <col min="12042" max="12042" width="6.75" style="43" customWidth="1"/>
    <col min="12043" max="12043" width="5.375" style="43" customWidth="1"/>
    <col min="12044" max="12044" width="6" style="43" customWidth="1"/>
    <col min="12045" max="12288" width="9" style="43"/>
    <col min="12289" max="12289" width="2.75" style="43" customWidth="1"/>
    <col min="12290" max="12290" width="20.875" style="43" customWidth="1"/>
    <col min="12291" max="12291" width="23.125" style="43" customWidth="1"/>
    <col min="12292" max="12292" width="15.125" style="43" customWidth="1"/>
    <col min="12293" max="12293" width="21.625" style="43" customWidth="1"/>
    <col min="12294" max="12294" width="9.75" style="43" customWidth="1"/>
    <col min="12295" max="12295" width="8.25" style="43" customWidth="1"/>
    <col min="12296" max="12296" width="8" style="43" customWidth="1"/>
    <col min="12297" max="12297" width="4.5" style="43" customWidth="1"/>
    <col min="12298" max="12298" width="6.75" style="43" customWidth="1"/>
    <col min="12299" max="12299" width="5.375" style="43" customWidth="1"/>
    <col min="12300" max="12300" width="6" style="43" customWidth="1"/>
    <col min="12301" max="12544" width="9" style="43"/>
    <col min="12545" max="12545" width="2.75" style="43" customWidth="1"/>
    <col min="12546" max="12546" width="20.875" style="43" customWidth="1"/>
    <col min="12547" max="12547" width="23.125" style="43" customWidth="1"/>
    <col min="12548" max="12548" width="15.125" style="43" customWidth="1"/>
    <col min="12549" max="12549" width="21.625" style="43" customWidth="1"/>
    <col min="12550" max="12550" width="9.75" style="43" customWidth="1"/>
    <col min="12551" max="12551" width="8.25" style="43" customWidth="1"/>
    <col min="12552" max="12552" width="8" style="43" customWidth="1"/>
    <col min="12553" max="12553" width="4.5" style="43" customWidth="1"/>
    <col min="12554" max="12554" width="6.75" style="43" customWidth="1"/>
    <col min="12555" max="12555" width="5.375" style="43" customWidth="1"/>
    <col min="12556" max="12556" width="6" style="43" customWidth="1"/>
    <col min="12557" max="12800" width="9" style="43"/>
    <col min="12801" max="12801" width="2.75" style="43" customWidth="1"/>
    <col min="12802" max="12802" width="20.875" style="43" customWidth="1"/>
    <col min="12803" max="12803" width="23.125" style="43" customWidth="1"/>
    <col min="12804" max="12804" width="15.125" style="43" customWidth="1"/>
    <col min="12805" max="12805" width="21.625" style="43" customWidth="1"/>
    <col min="12806" max="12806" width="9.75" style="43" customWidth="1"/>
    <col min="12807" max="12807" width="8.25" style="43" customWidth="1"/>
    <col min="12808" max="12808" width="8" style="43" customWidth="1"/>
    <col min="12809" max="12809" width="4.5" style="43" customWidth="1"/>
    <col min="12810" max="12810" width="6.75" style="43" customWidth="1"/>
    <col min="12811" max="12811" width="5.375" style="43" customWidth="1"/>
    <col min="12812" max="12812" width="6" style="43" customWidth="1"/>
    <col min="12813" max="13056" width="9" style="43"/>
    <col min="13057" max="13057" width="2.75" style="43" customWidth="1"/>
    <col min="13058" max="13058" width="20.875" style="43" customWidth="1"/>
    <col min="13059" max="13059" width="23.125" style="43" customWidth="1"/>
    <col min="13060" max="13060" width="15.125" style="43" customWidth="1"/>
    <col min="13061" max="13061" width="21.625" style="43" customWidth="1"/>
    <col min="13062" max="13062" width="9.75" style="43" customWidth="1"/>
    <col min="13063" max="13063" width="8.25" style="43" customWidth="1"/>
    <col min="13064" max="13064" width="8" style="43" customWidth="1"/>
    <col min="13065" max="13065" width="4.5" style="43" customWidth="1"/>
    <col min="13066" max="13066" width="6.75" style="43" customWidth="1"/>
    <col min="13067" max="13067" width="5.375" style="43" customWidth="1"/>
    <col min="13068" max="13068" width="6" style="43" customWidth="1"/>
    <col min="13069" max="13312" width="9" style="43"/>
    <col min="13313" max="13313" width="2.75" style="43" customWidth="1"/>
    <col min="13314" max="13314" width="20.875" style="43" customWidth="1"/>
    <col min="13315" max="13315" width="23.125" style="43" customWidth="1"/>
    <col min="13316" max="13316" width="15.125" style="43" customWidth="1"/>
    <col min="13317" max="13317" width="21.625" style="43" customWidth="1"/>
    <col min="13318" max="13318" width="9.75" style="43" customWidth="1"/>
    <col min="13319" max="13319" width="8.25" style="43" customWidth="1"/>
    <col min="13320" max="13320" width="8" style="43" customWidth="1"/>
    <col min="13321" max="13321" width="4.5" style="43" customWidth="1"/>
    <col min="13322" max="13322" width="6.75" style="43" customWidth="1"/>
    <col min="13323" max="13323" width="5.375" style="43" customWidth="1"/>
    <col min="13324" max="13324" width="6" style="43" customWidth="1"/>
    <col min="13325" max="13568" width="9" style="43"/>
    <col min="13569" max="13569" width="2.75" style="43" customWidth="1"/>
    <col min="13570" max="13570" width="20.875" style="43" customWidth="1"/>
    <col min="13571" max="13571" width="23.125" style="43" customWidth="1"/>
    <col min="13572" max="13572" width="15.125" style="43" customWidth="1"/>
    <col min="13573" max="13573" width="21.625" style="43" customWidth="1"/>
    <col min="13574" max="13574" width="9.75" style="43" customWidth="1"/>
    <col min="13575" max="13575" width="8.25" style="43" customWidth="1"/>
    <col min="13576" max="13576" width="8" style="43" customWidth="1"/>
    <col min="13577" max="13577" width="4.5" style="43" customWidth="1"/>
    <col min="13578" max="13578" width="6.75" style="43" customWidth="1"/>
    <col min="13579" max="13579" width="5.375" style="43" customWidth="1"/>
    <col min="13580" max="13580" width="6" style="43" customWidth="1"/>
    <col min="13581" max="13824" width="9" style="43"/>
    <col min="13825" max="13825" width="2.75" style="43" customWidth="1"/>
    <col min="13826" max="13826" width="20.875" style="43" customWidth="1"/>
    <col min="13827" max="13827" width="23.125" style="43" customWidth="1"/>
    <col min="13828" max="13828" width="15.125" style="43" customWidth="1"/>
    <col min="13829" max="13829" width="21.625" style="43" customWidth="1"/>
    <col min="13830" max="13830" width="9.75" style="43" customWidth="1"/>
    <col min="13831" max="13831" width="8.25" style="43" customWidth="1"/>
    <col min="13832" max="13832" width="8" style="43" customWidth="1"/>
    <col min="13833" max="13833" width="4.5" style="43" customWidth="1"/>
    <col min="13834" max="13834" width="6.75" style="43" customWidth="1"/>
    <col min="13835" max="13835" width="5.375" style="43" customWidth="1"/>
    <col min="13836" max="13836" width="6" style="43" customWidth="1"/>
    <col min="13837" max="14080" width="9" style="43"/>
    <col min="14081" max="14081" width="2.75" style="43" customWidth="1"/>
    <col min="14082" max="14082" width="20.875" style="43" customWidth="1"/>
    <col min="14083" max="14083" width="23.125" style="43" customWidth="1"/>
    <col min="14084" max="14084" width="15.125" style="43" customWidth="1"/>
    <col min="14085" max="14085" width="21.625" style="43" customWidth="1"/>
    <col min="14086" max="14086" width="9.75" style="43" customWidth="1"/>
    <col min="14087" max="14087" width="8.25" style="43" customWidth="1"/>
    <col min="14088" max="14088" width="8" style="43" customWidth="1"/>
    <col min="14089" max="14089" width="4.5" style="43" customWidth="1"/>
    <col min="14090" max="14090" width="6.75" style="43" customWidth="1"/>
    <col min="14091" max="14091" width="5.375" style="43" customWidth="1"/>
    <col min="14092" max="14092" width="6" style="43" customWidth="1"/>
    <col min="14093" max="14336" width="9" style="43"/>
    <col min="14337" max="14337" width="2.75" style="43" customWidth="1"/>
    <col min="14338" max="14338" width="20.875" style="43" customWidth="1"/>
    <col min="14339" max="14339" width="23.125" style="43" customWidth="1"/>
    <col min="14340" max="14340" width="15.125" style="43" customWidth="1"/>
    <col min="14341" max="14341" width="21.625" style="43" customWidth="1"/>
    <col min="14342" max="14342" width="9.75" style="43" customWidth="1"/>
    <col min="14343" max="14343" width="8.25" style="43" customWidth="1"/>
    <col min="14344" max="14344" width="8" style="43" customWidth="1"/>
    <col min="14345" max="14345" width="4.5" style="43" customWidth="1"/>
    <col min="14346" max="14346" width="6.75" style="43" customWidth="1"/>
    <col min="14347" max="14347" width="5.375" style="43" customWidth="1"/>
    <col min="14348" max="14348" width="6" style="43" customWidth="1"/>
    <col min="14349" max="14592" width="9" style="43"/>
    <col min="14593" max="14593" width="2.75" style="43" customWidth="1"/>
    <col min="14594" max="14594" width="20.875" style="43" customWidth="1"/>
    <col min="14595" max="14595" width="23.125" style="43" customWidth="1"/>
    <col min="14596" max="14596" width="15.125" style="43" customWidth="1"/>
    <col min="14597" max="14597" width="21.625" style="43" customWidth="1"/>
    <col min="14598" max="14598" width="9.75" style="43" customWidth="1"/>
    <col min="14599" max="14599" width="8.25" style="43" customWidth="1"/>
    <col min="14600" max="14600" width="8" style="43" customWidth="1"/>
    <col min="14601" max="14601" width="4.5" style="43" customWidth="1"/>
    <col min="14602" max="14602" width="6.75" style="43" customWidth="1"/>
    <col min="14603" max="14603" width="5.375" style="43" customWidth="1"/>
    <col min="14604" max="14604" width="6" style="43" customWidth="1"/>
    <col min="14605" max="14848" width="9" style="43"/>
    <col min="14849" max="14849" width="2.75" style="43" customWidth="1"/>
    <col min="14850" max="14850" width="20.875" style="43" customWidth="1"/>
    <col min="14851" max="14851" width="23.125" style="43" customWidth="1"/>
    <col min="14852" max="14852" width="15.125" style="43" customWidth="1"/>
    <col min="14853" max="14853" width="21.625" style="43" customWidth="1"/>
    <col min="14854" max="14854" width="9.75" style="43" customWidth="1"/>
    <col min="14855" max="14855" width="8.25" style="43" customWidth="1"/>
    <col min="14856" max="14856" width="8" style="43" customWidth="1"/>
    <col min="14857" max="14857" width="4.5" style="43" customWidth="1"/>
    <col min="14858" max="14858" width="6.75" style="43" customWidth="1"/>
    <col min="14859" max="14859" width="5.375" style="43" customWidth="1"/>
    <col min="14860" max="14860" width="6" style="43" customWidth="1"/>
    <col min="14861" max="15104" width="9" style="43"/>
    <col min="15105" max="15105" width="2.75" style="43" customWidth="1"/>
    <col min="15106" max="15106" width="20.875" style="43" customWidth="1"/>
    <col min="15107" max="15107" width="23.125" style="43" customWidth="1"/>
    <col min="15108" max="15108" width="15.125" style="43" customWidth="1"/>
    <col min="15109" max="15109" width="21.625" style="43" customWidth="1"/>
    <col min="15110" max="15110" width="9.75" style="43" customWidth="1"/>
    <col min="15111" max="15111" width="8.25" style="43" customWidth="1"/>
    <col min="15112" max="15112" width="8" style="43" customWidth="1"/>
    <col min="15113" max="15113" width="4.5" style="43" customWidth="1"/>
    <col min="15114" max="15114" width="6.75" style="43" customWidth="1"/>
    <col min="15115" max="15115" width="5.375" style="43" customWidth="1"/>
    <col min="15116" max="15116" width="6" style="43" customWidth="1"/>
    <col min="15117" max="15360" width="9" style="43"/>
    <col min="15361" max="15361" width="2.75" style="43" customWidth="1"/>
    <col min="15362" max="15362" width="20.875" style="43" customWidth="1"/>
    <col min="15363" max="15363" width="23.125" style="43" customWidth="1"/>
    <col min="15364" max="15364" width="15.125" style="43" customWidth="1"/>
    <col min="15365" max="15365" width="21.625" style="43" customWidth="1"/>
    <col min="15366" max="15366" width="9.75" style="43" customWidth="1"/>
    <col min="15367" max="15367" width="8.25" style="43" customWidth="1"/>
    <col min="15368" max="15368" width="8" style="43" customWidth="1"/>
    <col min="15369" max="15369" width="4.5" style="43" customWidth="1"/>
    <col min="15370" max="15370" width="6.75" style="43" customWidth="1"/>
    <col min="15371" max="15371" width="5.375" style="43" customWidth="1"/>
    <col min="15372" max="15372" width="6" style="43" customWidth="1"/>
    <col min="15373" max="15616" width="9" style="43"/>
    <col min="15617" max="15617" width="2.75" style="43" customWidth="1"/>
    <col min="15618" max="15618" width="20.875" style="43" customWidth="1"/>
    <col min="15619" max="15619" width="23.125" style="43" customWidth="1"/>
    <col min="15620" max="15620" width="15.125" style="43" customWidth="1"/>
    <col min="15621" max="15621" width="21.625" style="43" customWidth="1"/>
    <col min="15622" max="15622" width="9.75" style="43" customWidth="1"/>
    <col min="15623" max="15623" width="8.25" style="43" customWidth="1"/>
    <col min="15624" max="15624" width="8" style="43" customWidth="1"/>
    <col min="15625" max="15625" width="4.5" style="43" customWidth="1"/>
    <col min="15626" max="15626" width="6.75" style="43" customWidth="1"/>
    <col min="15627" max="15627" width="5.375" style="43" customWidth="1"/>
    <col min="15628" max="15628" width="6" style="43" customWidth="1"/>
    <col min="15629" max="15872" width="9" style="43"/>
    <col min="15873" max="15873" width="2.75" style="43" customWidth="1"/>
    <col min="15874" max="15874" width="20.875" style="43" customWidth="1"/>
    <col min="15875" max="15875" width="23.125" style="43" customWidth="1"/>
    <col min="15876" max="15876" width="15.125" style="43" customWidth="1"/>
    <col min="15877" max="15877" width="21.625" style="43" customWidth="1"/>
    <col min="15878" max="15878" width="9.75" style="43" customWidth="1"/>
    <col min="15879" max="15879" width="8.25" style="43" customWidth="1"/>
    <col min="15880" max="15880" width="8" style="43" customWidth="1"/>
    <col min="15881" max="15881" width="4.5" style="43" customWidth="1"/>
    <col min="15882" max="15882" width="6.75" style="43" customWidth="1"/>
    <col min="15883" max="15883" width="5.375" style="43" customWidth="1"/>
    <col min="15884" max="15884" width="6" style="43" customWidth="1"/>
    <col min="15885" max="16128" width="9" style="43"/>
    <col min="16129" max="16129" width="2.75" style="43" customWidth="1"/>
    <col min="16130" max="16130" width="20.875" style="43" customWidth="1"/>
    <col min="16131" max="16131" width="23.125" style="43" customWidth="1"/>
    <col min="16132" max="16132" width="15.125" style="43" customWidth="1"/>
    <col min="16133" max="16133" width="21.625" style="43" customWidth="1"/>
    <col min="16134" max="16134" width="9.75" style="43" customWidth="1"/>
    <col min="16135" max="16135" width="8.25" style="43" customWidth="1"/>
    <col min="16136" max="16136" width="8" style="43" customWidth="1"/>
    <col min="16137" max="16137" width="4.5" style="43" customWidth="1"/>
    <col min="16138" max="16138" width="6.75" style="43" customWidth="1"/>
    <col min="16139" max="16139" width="5.375" style="43" customWidth="1"/>
    <col min="16140" max="16140" width="6" style="43" customWidth="1"/>
    <col min="16141" max="16384" width="9" style="43"/>
  </cols>
  <sheetData>
    <row r="1" ht="24" customHeight="1" spans="1:9">
      <c r="A1" s="49" t="s">
        <v>554</v>
      </c>
      <c r="B1" s="49"/>
      <c r="C1" s="49"/>
      <c r="D1" s="49"/>
      <c r="E1" s="49"/>
      <c r="F1" s="49"/>
      <c r="G1" s="49"/>
      <c r="H1" s="49"/>
      <c r="I1" s="49"/>
    </row>
    <row r="3" spans="1:3">
      <c r="A3" s="69" t="s">
        <v>555</v>
      </c>
      <c r="B3" s="370"/>
      <c r="C3" s="371"/>
    </row>
    <row r="4" ht="12.75" spans="1:1">
      <c r="A4" s="44" t="s">
        <v>556</v>
      </c>
    </row>
    <row r="5" ht="14.25" spans="1:5">
      <c r="A5" s="151" t="s">
        <v>557</v>
      </c>
      <c r="B5" s="372"/>
      <c r="C5" s="373" t="s">
        <v>558</v>
      </c>
      <c r="D5" s="373">
        <f>D28/C28*100</f>
        <v>0.0821850258882831</v>
      </c>
      <c r="E5" s="43"/>
    </row>
    <row r="6" ht="15" customHeight="1" spans="1:5">
      <c r="A6" s="374" t="s">
        <v>64</v>
      </c>
      <c r="B6" s="375" t="s">
        <v>559</v>
      </c>
      <c r="C6" s="376" t="s">
        <v>560</v>
      </c>
      <c r="D6" s="377" t="s">
        <v>561</v>
      </c>
      <c r="E6" s="43"/>
    </row>
    <row r="7" ht="15" customHeight="1" spans="1:5">
      <c r="A7" s="378">
        <v>1</v>
      </c>
      <c r="B7" s="379" t="s">
        <v>396</v>
      </c>
      <c r="C7" s="142" t="s">
        <v>562</v>
      </c>
      <c r="D7" s="142" t="s">
        <v>562</v>
      </c>
      <c r="E7" s="43"/>
    </row>
    <row r="8" ht="15" customHeight="1" spans="1:5">
      <c r="A8" s="378">
        <v>2</v>
      </c>
      <c r="B8" s="379" t="s">
        <v>397</v>
      </c>
      <c r="C8" s="142">
        <f>C12</f>
        <v>122.08</v>
      </c>
      <c r="D8" s="380">
        <v>0.3</v>
      </c>
      <c r="E8" s="43"/>
    </row>
    <row r="9" ht="15" customHeight="1" spans="1:5">
      <c r="A9" s="378"/>
      <c r="B9" s="381" t="s">
        <v>563</v>
      </c>
      <c r="C9" s="142">
        <f>IF(需求!I27="",需求!H16+需求!I16,需求!H27+需求!I27)</f>
        <v>122.08</v>
      </c>
      <c r="D9" s="142" t="s">
        <v>562</v>
      </c>
      <c r="E9" s="43"/>
    </row>
    <row r="10" ht="15" customHeight="1" spans="1:5">
      <c r="A10" s="378"/>
      <c r="B10" s="381" t="s">
        <v>564</v>
      </c>
      <c r="C10" s="142">
        <f>IF(需求!I28="",需求!H17+需求!I17,需求!H28+需求!I28)</f>
        <v>122.08</v>
      </c>
      <c r="D10" s="142" t="s">
        <v>562</v>
      </c>
      <c r="E10" s="43"/>
    </row>
    <row r="11" ht="15" customHeight="1" spans="1:5">
      <c r="A11" s="378"/>
      <c r="B11" s="381" t="s">
        <v>565</v>
      </c>
      <c r="C11" s="142">
        <f>IF(需求!I29="",需求!H18+需求!I18,需求!H29+需求!I29)</f>
        <v>122.08</v>
      </c>
      <c r="D11" s="142" t="s">
        <v>562</v>
      </c>
      <c r="E11" s="43"/>
    </row>
    <row r="12" ht="15" customHeight="1" spans="1:5">
      <c r="A12" s="378"/>
      <c r="B12" s="381" t="s">
        <v>566</v>
      </c>
      <c r="C12" s="142">
        <f>IF(需求!I30="",需求!H19+需求!I19,需求!H30+需求!I30)</f>
        <v>122.08</v>
      </c>
      <c r="D12" s="142" t="s">
        <v>562</v>
      </c>
      <c r="E12" s="43"/>
    </row>
    <row r="13" ht="15" customHeight="1" spans="1:5">
      <c r="A13" s="378">
        <v>3</v>
      </c>
      <c r="B13" s="379" t="s">
        <v>405</v>
      </c>
      <c r="C13" s="142">
        <f>C17</f>
        <v>126.95</v>
      </c>
      <c r="D13" s="380">
        <v>0</v>
      </c>
      <c r="E13" s="43"/>
    </row>
    <row r="14" ht="15" customHeight="1" spans="1:5">
      <c r="A14" s="378"/>
      <c r="B14" s="381" t="s">
        <v>567</v>
      </c>
      <c r="C14" s="142">
        <f>IF(需求!I52="",需求!H41+需求!I41,需求!H52+需求!I52)</f>
        <v>126.95</v>
      </c>
      <c r="D14" s="142" t="s">
        <v>562</v>
      </c>
      <c r="E14" s="43"/>
    </row>
    <row r="15" ht="15" customHeight="1" spans="1:5">
      <c r="A15" s="378"/>
      <c r="B15" s="381" t="s">
        <v>568</v>
      </c>
      <c r="C15" s="142">
        <f>IF(需求!I53="",需求!H42+需求!I42,需求!H53+需求!I53)</f>
        <v>126.95</v>
      </c>
      <c r="D15" s="142" t="s">
        <v>562</v>
      </c>
      <c r="E15" s="43"/>
    </row>
    <row r="16" ht="15" customHeight="1" spans="1:5">
      <c r="A16" s="378"/>
      <c r="B16" s="381" t="s">
        <v>569</v>
      </c>
      <c r="C16" s="142">
        <f>IF(需求!I54="",需求!H43+需求!I43,需求!H54+需求!I54)</f>
        <v>126.95</v>
      </c>
      <c r="D16" s="142" t="s">
        <v>562</v>
      </c>
      <c r="E16" s="43"/>
    </row>
    <row r="17" ht="15" customHeight="1" spans="1:5">
      <c r="A17" s="378"/>
      <c r="B17" s="381" t="s">
        <v>570</v>
      </c>
      <c r="C17" s="142">
        <f>IF(需求!I55="",需求!H44+需求!I44,需求!H55+需求!I55)</f>
        <v>126.95</v>
      </c>
      <c r="D17" s="142" t="s">
        <v>562</v>
      </c>
      <c r="E17" s="43"/>
    </row>
    <row r="18" ht="15" customHeight="1" spans="1:5">
      <c r="A18" s="378">
        <v>4</v>
      </c>
      <c r="B18" s="379" t="s">
        <v>406</v>
      </c>
      <c r="C18" s="142">
        <f>C22</f>
        <v>43.17</v>
      </c>
      <c r="D18" s="380">
        <v>0</v>
      </c>
      <c r="E18" s="43"/>
    </row>
    <row r="19" ht="15" customHeight="1" spans="1:5">
      <c r="A19" s="382"/>
      <c r="B19" s="383" t="s">
        <v>571</v>
      </c>
      <c r="C19" s="142">
        <f>IF(需求!I78="",需求!H67+需求!I67,需求!H78+需求!I78)</f>
        <v>43.17</v>
      </c>
      <c r="D19" s="142" t="s">
        <v>562</v>
      </c>
      <c r="E19" s="43"/>
    </row>
    <row r="20" ht="15" customHeight="1" spans="1:5">
      <c r="A20" s="382"/>
      <c r="B20" s="383" t="s">
        <v>572</v>
      </c>
      <c r="C20" s="142">
        <f>IF(需求!I79="",需求!H68+需求!I68,需求!H79+需求!I79)</f>
        <v>43.17</v>
      </c>
      <c r="D20" s="142" t="s">
        <v>562</v>
      </c>
      <c r="E20" s="43"/>
    </row>
    <row r="21" ht="15" customHeight="1" spans="1:5">
      <c r="A21" s="382"/>
      <c r="B21" s="383" t="s">
        <v>573</v>
      </c>
      <c r="C21" s="142">
        <f>IF(需求!I80="",需求!H69+需求!I69,需求!H80+需求!I80)</f>
        <v>43.17</v>
      </c>
      <c r="D21" s="142" t="s">
        <v>562</v>
      </c>
      <c r="E21" s="43"/>
    </row>
    <row r="22" ht="15" customHeight="1" spans="1:5">
      <c r="A22" s="382"/>
      <c r="B22" s="383" t="s">
        <v>574</v>
      </c>
      <c r="C22" s="142">
        <f>IF(需求!I81="",需求!H70+需求!I70,需求!H81+需求!I81)</f>
        <v>43.17</v>
      </c>
      <c r="D22" s="142" t="s">
        <v>562</v>
      </c>
      <c r="E22" s="43"/>
    </row>
    <row r="23" ht="15" customHeight="1" spans="1:5">
      <c r="A23" s="382">
        <v>5</v>
      </c>
      <c r="B23" s="384" t="s">
        <v>407</v>
      </c>
      <c r="C23" s="142">
        <f>C27</f>
        <v>72.83</v>
      </c>
      <c r="D23" s="385">
        <v>0</v>
      </c>
      <c r="E23" s="43"/>
    </row>
    <row r="24" ht="15" customHeight="1" spans="1:5">
      <c r="A24" s="382"/>
      <c r="B24" s="383" t="s">
        <v>575</v>
      </c>
      <c r="C24" s="142">
        <f>IF(需求!I103="",需求!H92+需求!I92,需求!H103+需求!I103)</f>
        <v>72.83</v>
      </c>
      <c r="D24" s="142" t="s">
        <v>562</v>
      </c>
      <c r="E24" s="43"/>
    </row>
    <row r="25" ht="15" customHeight="1" spans="1:5">
      <c r="A25" s="382"/>
      <c r="B25" s="383" t="s">
        <v>576</v>
      </c>
      <c r="C25" s="142">
        <f>IF(需求!I104="",需求!H93+需求!I93,需求!H104+需求!I104)</f>
        <v>73.83</v>
      </c>
      <c r="D25" s="142" t="s">
        <v>562</v>
      </c>
      <c r="E25" s="43"/>
    </row>
    <row r="26" ht="15" customHeight="1" spans="1:5">
      <c r="A26" s="382"/>
      <c r="B26" s="383" t="s">
        <v>577</v>
      </c>
      <c r="C26" s="142">
        <f>IF(需求!I105="",需求!H94+需求!I94,需求!H105+需求!I105)</f>
        <v>72.83</v>
      </c>
      <c r="D26" s="142" t="s">
        <v>562</v>
      </c>
      <c r="E26" s="43"/>
    </row>
    <row r="27" ht="15" customHeight="1" spans="1:5">
      <c r="A27" s="382"/>
      <c r="B27" s="383" t="s">
        <v>578</v>
      </c>
      <c r="C27" s="142">
        <f>IF(需求!I106="",需求!H95+需求!I95,需求!H106+需求!I106)</f>
        <v>72.83</v>
      </c>
      <c r="D27" s="142" t="s">
        <v>562</v>
      </c>
      <c r="E27" s="43"/>
    </row>
    <row r="28" ht="15" customHeight="1" spans="1:5">
      <c r="A28" s="382">
        <v>6</v>
      </c>
      <c r="B28" s="384" t="s">
        <v>398</v>
      </c>
      <c r="C28" s="142">
        <f>C8+C13+C18+C23</f>
        <v>365.03</v>
      </c>
      <c r="D28" s="386">
        <f>D8+D13+D18+D23</f>
        <v>0.3</v>
      </c>
      <c r="E28" s="43"/>
    </row>
    <row r="29" ht="16.5" customHeight="1" spans="1:5">
      <c r="A29" s="151"/>
      <c r="B29" s="387"/>
      <c r="E29" s="147"/>
    </row>
    <row r="30" s="369" customFormat="1" ht="29.25" customHeight="1" spans="1:5">
      <c r="A30" s="388"/>
      <c r="C30" s="388"/>
      <c r="D30" s="388"/>
      <c r="E30" s="388"/>
    </row>
    <row r="31" s="45" customFormat="1" ht="12.75" spans="1:5">
      <c r="A31" s="389" t="s">
        <v>579</v>
      </c>
      <c r="B31" s="390"/>
      <c r="C31" s="147"/>
      <c r="D31" s="147"/>
      <c r="E31" s="147"/>
    </row>
    <row r="32" spans="1:1">
      <c r="A32" s="391" t="s">
        <v>580</v>
      </c>
    </row>
    <row r="33" ht="13.5" spans="1:2">
      <c r="A33" s="391" t="s">
        <v>581</v>
      </c>
      <c r="B33" s="307"/>
    </row>
    <row r="34" ht="12.75"/>
    <row r="35" ht="15" customHeight="1" spans="1:5">
      <c r="A35" s="374" t="s">
        <v>64</v>
      </c>
      <c r="B35" s="111" t="s">
        <v>582</v>
      </c>
      <c r="C35" s="111" t="s">
        <v>583</v>
      </c>
      <c r="D35" s="392" t="s">
        <v>315</v>
      </c>
      <c r="E35" s="43"/>
    </row>
    <row r="36" ht="15" customHeight="1" spans="1:5">
      <c r="A36" s="393" t="s">
        <v>517</v>
      </c>
      <c r="B36" s="393">
        <f>C28</f>
        <v>365.03</v>
      </c>
      <c r="C36" s="393">
        <f>工作量分布!P14</f>
        <v>722.75</v>
      </c>
      <c r="D36" s="393">
        <f>B36/C36</f>
        <v>0.505057073676928</v>
      </c>
      <c r="E36" s="43"/>
    </row>
    <row r="37" ht="15" customHeight="1" spans="1:5">
      <c r="A37" s="394" t="s">
        <v>397</v>
      </c>
      <c r="B37" s="393">
        <f>工作量分布!E15</f>
        <v>122.08</v>
      </c>
      <c r="C37" s="393">
        <f>工作量分布!F14</f>
        <v>236.4375</v>
      </c>
      <c r="D37" s="393">
        <f>B37/C37</f>
        <v>0.516330954269099</v>
      </c>
      <c r="E37" s="43"/>
    </row>
    <row r="38" ht="13.5" spans="1:4">
      <c r="A38" s="394" t="s">
        <v>405</v>
      </c>
      <c r="B38" s="393">
        <f>工作量分布!G15</f>
        <v>126.95</v>
      </c>
      <c r="C38" s="393">
        <f>工作量分布!H14</f>
        <v>255.25</v>
      </c>
      <c r="D38" s="393">
        <f>B38/C38</f>
        <v>0.497355533790402</v>
      </c>
    </row>
    <row r="39" ht="13.5" spans="1:4">
      <c r="A39" s="394" t="s">
        <v>406</v>
      </c>
      <c r="B39" s="393">
        <f>工作量分布!I15</f>
        <v>43.17</v>
      </c>
      <c r="C39" s="393">
        <f>工作量分布!J14</f>
        <v>73.375</v>
      </c>
      <c r="D39" s="393">
        <f>B39/C39</f>
        <v>0.588347529812607</v>
      </c>
    </row>
    <row r="40" ht="13.5" spans="1:4">
      <c r="A40" s="394" t="s">
        <v>407</v>
      </c>
      <c r="B40" s="393">
        <f>工作量分布!K15</f>
        <v>72.83</v>
      </c>
      <c r="C40" s="393">
        <f>工作量分布!L14</f>
        <v>113.6875</v>
      </c>
      <c r="D40" s="393">
        <f>B40/C40</f>
        <v>0.640615722924684</v>
      </c>
    </row>
    <row r="41" ht="12.75"/>
    <row r="43" spans="1:8">
      <c r="A43" s="389" t="s">
        <v>584</v>
      </c>
      <c r="B43" s="70"/>
      <c r="C43" s="147"/>
      <c r="D43" s="147"/>
      <c r="E43" s="147"/>
      <c r="F43" s="45"/>
      <c r="G43" s="45"/>
      <c r="H43" s="45"/>
    </row>
    <row r="44" spans="1:1">
      <c r="A44" s="395" t="s">
        <v>585</v>
      </c>
    </row>
    <row r="45" spans="1:1">
      <c r="A45" s="395" t="s">
        <v>586</v>
      </c>
    </row>
    <row r="46" ht="12.75"/>
    <row r="47" ht="13.5" spans="1:5">
      <c r="A47" s="396" t="s">
        <v>64</v>
      </c>
      <c r="B47" s="397" t="s">
        <v>270</v>
      </c>
      <c r="C47" s="43"/>
      <c r="D47" s="43"/>
      <c r="E47" s="43"/>
    </row>
    <row r="48" ht="15.75" customHeight="1" spans="1:5">
      <c r="A48" s="140">
        <v>1</v>
      </c>
      <c r="B48" s="65">
        <v>1</v>
      </c>
      <c r="C48" s="43"/>
      <c r="D48" s="43"/>
      <c r="E48" s="43"/>
    </row>
    <row r="49" spans="5:5">
      <c r="E49" s="43"/>
    </row>
  </sheetData>
  <mergeCells count="1">
    <mergeCell ref="A1:I1"/>
  </mergeCells>
  <pageMargins left="0.75" right="0.75" top="1" bottom="0.81875" header="0.5" footer="0.5"/>
  <pageSetup paperSize="9" orientation="landscape"/>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7"/>
  </sheetPr>
  <dimension ref="A1:AD64"/>
  <sheetViews>
    <sheetView workbookViewId="0">
      <selection activeCell="A23" sqref="$A23:$XFD23"/>
    </sheetView>
  </sheetViews>
  <sheetFormatPr defaultColWidth="9" defaultRowHeight="12"/>
  <cols>
    <col min="1" max="1" width="21" style="307" customWidth="1"/>
    <col min="2" max="2" width="14.625" style="308" customWidth="1"/>
    <col min="3" max="3" width="13.25" style="308" customWidth="1"/>
    <col min="4" max="4" width="15.25" style="308" customWidth="1"/>
    <col min="5" max="5" width="16.25" style="309" customWidth="1"/>
    <col min="6" max="6" width="20.125" style="309" customWidth="1"/>
    <col min="7" max="7" width="18.125" style="309" customWidth="1"/>
    <col min="8" max="8" width="11.375" style="43" customWidth="1"/>
    <col min="9" max="9" width="16.125" style="43" customWidth="1"/>
    <col min="10" max="10" width="12.375" style="43" customWidth="1"/>
    <col min="11" max="11" width="12.75" style="43" customWidth="1"/>
    <col min="12" max="12" width="15.375" style="43" customWidth="1"/>
    <col min="13" max="13" width="9" style="43"/>
    <col min="14" max="14" width="20.375" style="43" customWidth="1"/>
    <col min="15" max="15" width="13.875" style="43" customWidth="1"/>
    <col min="16" max="256" width="9" style="43"/>
    <col min="257" max="257" width="10.125" style="43" customWidth="1"/>
    <col min="258" max="259" width="11.875" style="43" customWidth="1"/>
    <col min="260" max="260" width="11" style="43" customWidth="1"/>
    <col min="261" max="261" width="11.125" style="43" customWidth="1"/>
    <col min="262" max="262" width="18.5" style="43" customWidth="1"/>
    <col min="263" max="263" width="18.125" style="43" customWidth="1"/>
    <col min="264" max="265" width="11.375" style="43" customWidth="1"/>
    <col min="266" max="266" width="12.375" style="43" customWidth="1"/>
    <col min="267" max="267" width="12.75" style="43" customWidth="1"/>
    <col min="268" max="268" width="15.375" style="43" customWidth="1"/>
    <col min="269" max="512" width="9" style="43"/>
    <col min="513" max="513" width="10.125" style="43" customWidth="1"/>
    <col min="514" max="515" width="11.875" style="43" customWidth="1"/>
    <col min="516" max="516" width="11" style="43" customWidth="1"/>
    <col min="517" max="517" width="11.125" style="43" customWidth="1"/>
    <col min="518" max="518" width="18.5" style="43" customWidth="1"/>
    <col min="519" max="519" width="18.125" style="43" customWidth="1"/>
    <col min="520" max="521" width="11.375" style="43" customWidth="1"/>
    <col min="522" max="522" width="12.375" style="43" customWidth="1"/>
    <col min="523" max="523" width="12.75" style="43" customWidth="1"/>
    <col min="524" max="524" width="15.375" style="43" customWidth="1"/>
    <col min="525" max="768" width="9" style="43"/>
    <col min="769" max="769" width="10.125" style="43" customWidth="1"/>
    <col min="770" max="771" width="11.875" style="43" customWidth="1"/>
    <col min="772" max="772" width="11" style="43" customWidth="1"/>
    <col min="773" max="773" width="11.125" style="43" customWidth="1"/>
    <col min="774" max="774" width="18.5" style="43" customWidth="1"/>
    <col min="775" max="775" width="18.125" style="43" customWidth="1"/>
    <col min="776" max="777" width="11.375" style="43" customWidth="1"/>
    <col min="778" max="778" width="12.375" style="43" customWidth="1"/>
    <col min="779" max="779" width="12.75" style="43" customWidth="1"/>
    <col min="780" max="780" width="15.375" style="43" customWidth="1"/>
    <col min="781" max="1024" width="9" style="43"/>
    <col min="1025" max="1025" width="10.125" style="43" customWidth="1"/>
    <col min="1026" max="1027" width="11.875" style="43" customWidth="1"/>
    <col min="1028" max="1028" width="11" style="43" customWidth="1"/>
    <col min="1029" max="1029" width="11.125" style="43" customWidth="1"/>
    <col min="1030" max="1030" width="18.5" style="43" customWidth="1"/>
    <col min="1031" max="1031" width="18.125" style="43" customWidth="1"/>
    <col min="1032" max="1033" width="11.375" style="43" customWidth="1"/>
    <col min="1034" max="1034" width="12.375" style="43" customWidth="1"/>
    <col min="1035" max="1035" width="12.75" style="43" customWidth="1"/>
    <col min="1036" max="1036" width="15.375" style="43" customWidth="1"/>
    <col min="1037" max="1280" width="9" style="43"/>
    <col min="1281" max="1281" width="10.125" style="43" customWidth="1"/>
    <col min="1282" max="1283" width="11.875" style="43" customWidth="1"/>
    <col min="1284" max="1284" width="11" style="43" customWidth="1"/>
    <col min="1285" max="1285" width="11.125" style="43" customWidth="1"/>
    <col min="1286" max="1286" width="18.5" style="43" customWidth="1"/>
    <col min="1287" max="1287" width="18.125" style="43" customWidth="1"/>
    <col min="1288" max="1289" width="11.375" style="43" customWidth="1"/>
    <col min="1290" max="1290" width="12.375" style="43" customWidth="1"/>
    <col min="1291" max="1291" width="12.75" style="43" customWidth="1"/>
    <col min="1292" max="1292" width="15.375" style="43" customWidth="1"/>
    <col min="1293" max="1536" width="9" style="43"/>
    <col min="1537" max="1537" width="10.125" style="43" customWidth="1"/>
    <col min="1538" max="1539" width="11.875" style="43" customWidth="1"/>
    <col min="1540" max="1540" width="11" style="43" customWidth="1"/>
    <col min="1541" max="1541" width="11.125" style="43" customWidth="1"/>
    <col min="1542" max="1542" width="18.5" style="43" customWidth="1"/>
    <col min="1543" max="1543" width="18.125" style="43" customWidth="1"/>
    <col min="1544" max="1545" width="11.375" style="43" customWidth="1"/>
    <col min="1546" max="1546" width="12.375" style="43" customWidth="1"/>
    <col min="1547" max="1547" width="12.75" style="43" customWidth="1"/>
    <col min="1548" max="1548" width="15.375" style="43" customWidth="1"/>
    <col min="1549" max="1792" width="9" style="43"/>
    <col min="1793" max="1793" width="10.125" style="43" customWidth="1"/>
    <col min="1794" max="1795" width="11.875" style="43" customWidth="1"/>
    <col min="1796" max="1796" width="11" style="43" customWidth="1"/>
    <col min="1797" max="1797" width="11.125" style="43" customWidth="1"/>
    <col min="1798" max="1798" width="18.5" style="43" customWidth="1"/>
    <col min="1799" max="1799" width="18.125" style="43" customWidth="1"/>
    <col min="1800" max="1801" width="11.375" style="43" customWidth="1"/>
    <col min="1802" max="1802" width="12.375" style="43" customWidth="1"/>
    <col min="1803" max="1803" width="12.75" style="43" customWidth="1"/>
    <col min="1804" max="1804" width="15.375" style="43" customWidth="1"/>
    <col min="1805" max="2048" width="9" style="43"/>
    <col min="2049" max="2049" width="10.125" style="43" customWidth="1"/>
    <col min="2050" max="2051" width="11.875" style="43" customWidth="1"/>
    <col min="2052" max="2052" width="11" style="43" customWidth="1"/>
    <col min="2053" max="2053" width="11.125" style="43" customWidth="1"/>
    <col min="2054" max="2054" width="18.5" style="43" customWidth="1"/>
    <col min="2055" max="2055" width="18.125" style="43" customWidth="1"/>
    <col min="2056" max="2057" width="11.375" style="43" customWidth="1"/>
    <col min="2058" max="2058" width="12.375" style="43" customWidth="1"/>
    <col min="2059" max="2059" width="12.75" style="43" customWidth="1"/>
    <col min="2060" max="2060" width="15.375" style="43" customWidth="1"/>
    <col min="2061" max="2304" width="9" style="43"/>
    <col min="2305" max="2305" width="10.125" style="43" customWidth="1"/>
    <col min="2306" max="2307" width="11.875" style="43" customWidth="1"/>
    <col min="2308" max="2308" width="11" style="43" customWidth="1"/>
    <col min="2309" max="2309" width="11.125" style="43" customWidth="1"/>
    <col min="2310" max="2310" width="18.5" style="43" customWidth="1"/>
    <col min="2311" max="2311" width="18.125" style="43" customWidth="1"/>
    <col min="2312" max="2313" width="11.375" style="43" customWidth="1"/>
    <col min="2314" max="2314" width="12.375" style="43" customWidth="1"/>
    <col min="2315" max="2315" width="12.75" style="43" customWidth="1"/>
    <col min="2316" max="2316" width="15.375" style="43" customWidth="1"/>
    <col min="2317" max="2560" width="9" style="43"/>
    <col min="2561" max="2561" width="10.125" style="43" customWidth="1"/>
    <col min="2562" max="2563" width="11.875" style="43" customWidth="1"/>
    <col min="2564" max="2564" width="11" style="43" customWidth="1"/>
    <col min="2565" max="2565" width="11.125" style="43" customWidth="1"/>
    <col min="2566" max="2566" width="18.5" style="43" customWidth="1"/>
    <col min="2567" max="2567" width="18.125" style="43" customWidth="1"/>
    <col min="2568" max="2569" width="11.375" style="43" customWidth="1"/>
    <col min="2570" max="2570" width="12.375" style="43" customWidth="1"/>
    <col min="2571" max="2571" width="12.75" style="43" customWidth="1"/>
    <col min="2572" max="2572" width="15.375" style="43" customWidth="1"/>
    <col min="2573" max="2816" width="9" style="43"/>
    <col min="2817" max="2817" width="10.125" style="43" customWidth="1"/>
    <col min="2818" max="2819" width="11.875" style="43" customWidth="1"/>
    <col min="2820" max="2820" width="11" style="43" customWidth="1"/>
    <col min="2821" max="2821" width="11.125" style="43" customWidth="1"/>
    <col min="2822" max="2822" width="18.5" style="43" customWidth="1"/>
    <col min="2823" max="2823" width="18.125" style="43" customWidth="1"/>
    <col min="2824" max="2825" width="11.375" style="43" customWidth="1"/>
    <col min="2826" max="2826" width="12.375" style="43" customWidth="1"/>
    <col min="2827" max="2827" width="12.75" style="43" customWidth="1"/>
    <col min="2828" max="2828" width="15.375" style="43" customWidth="1"/>
    <col min="2829" max="3072" width="9" style="43"/>
    <col min="3073" max="3073" width="10.125" style="43" customWidth="1"/>
    <col min="3074" max="3075" width="11.875" style="43" customWidth="1"/>
    <col min="3076" max="3076" width="11" style="43" customWidth="1"/>
    <col min="3077" max="3077" width="11.125" style="43" customWidth="1"/>
    <col min="3078" max="3078" width="18.5" style="43" customWidth="1"/>
    <col min="3079" max="3079" width="18.125" style="43" customWidth="1"/>
    <col min="3080" max="3081" width="11.375" style="43" customWidth="1"/>
    <col min="3082" max="3082" width="12.375" style="43" customWidth="1"/>
    <col min="3083" max="3083" width="12.75" style="43" customWidth="1"/>
    <col min="3084" max="3084" width="15.375" style="43" customWidth="1"/>
    <col min="3085" max="3328" width="9" style="43"/>
    <col min="3329" max="3329" width="10.125" style="43" customWidth="1"/>
    <col min="3330" max="3331" width="11.875" style="43" customWidth="1"/>
    <col min="3332" max="3332" width="11" style="43" customWidth="1"/>
    <col min="3333" max="3333" width="11.125" style="43" customWidth="1"/>
    <col min="3334" max="3334" width="18.5" style="43" customWidth="1"/>
    <col min="3335" max="3335" width="18.125" style="43" customWidth="1"/>
    <col min="3336" max="3337" width="11.375" style="43" customWidth="1"/>
    <col min="3338" max="3338" width="12.375" style="43" customWidth="1"/>
    <col min="3339" max="3339" width="12.75" style="43" customWidth="1"/>
    <col min="3340" max="3340" width="15.375" style="43" customWidth="1"/>
    <col min="3341" max="3584" width="9" style="43"/>
    <col min="3585" max="3585" width="10.125" style="43" customWidth="1"/>
    <col min="3586" max="3587" width="11.875" style="43" customWidth="1"/>
    <col min="3588" max="3588" width="11" style="43" customWidth="1"/>
    <col min="3589" max="3589" width="11.125" style="43" customWidth="1"/>
    <col min="3590" max="3590" width="18.5" style="43" customWidth="1"/>
    <col min="3591" max="3591" width="18.125" style="43" customWidth="1"/>
    <col min="3592" max="3593" width="11.375" style="43" customWidth="1"/>
    <col min="3594" max="3594" width="12.375" style="43" customWidth="1"/>
    <col min="3595" max="3595" width="12.75" style="43" customWidth="1"/>
    <col min="3596" max="3596" width="15.375" style="43" customWidth="1"/>
    <col min="3597" max="3840" width="9" style="43"/>
    <col min="3841" max="3841" width="10.125" style="43" customWidth="1"/>
    <col min="3842" max="3843" width="11.875" style="43" customWidth="1"/>
    <col min="3844" max="3844" width="11" style="43" customWidth="1"/>
    <col min="3845" max="3845" width="11.125" style="43" customWidth="1"/>
    <col min="3846" max="3846" width="18.5" style="43" customWidth="1"/>
    <col min="3847" max="3847" width="18.125" style="43" customWidth="1"/>
    <col min="3848" max="3849" width="11.375" style="43" customWidth="1"/>
    <col min="3850" max="3850" width="12.375" style="43" customWidth="1"/>
    <col min="3851" max="3851" width="12.75" style="43" customWidth="1"/>
    <col min="3852" max="3852" width="15.375" style="43" customWidth="1"/>
    <col min="3853" max="4096" width="9" style="43"/>
    <col min="4097" max="4097" width="10.125" style="43" customWidth="1"/>
    <col min="4098" max="4099" width="11.875" style="43" customWidth="1"/>
    <col min="4100" max="4100" width="11" style="43" customWidth="1"/>
    <col min="4101" max="4101" width="11.125" style="43" customWidth="1"/>
    <col min="4102" max="4102" width="18.5" style="43" customWidth="1"/>
    <col min="4103" max="4103" width="18.125" style="43" customWidth="1"/>
    <col min="4104" max="4105" width="11.375" style="43" customWidth="1"/>
    <col min="4106" max="4106" width="12.375" style="43" customWidth="1"/>
    <col min="4107" max="4107" width="12.75" style="43" customWidth="1"/>
    <col min="4108" max="4108" width="15.375" style="43" customWidth="1"/>
    <col min="4109" max="4352" width="9" style="43"/>
    <col min="4353" max="4353" width="10.125" style="43" customWidth="1"/>
    <col min="4354" max="4355" width="11.875" style="43" customWidth="1"/>
    <col min="4356" max="4356" width="11" style="43" customWidth="1"/>
    <col min="4357" max="4357" width="11.125" style="43" customWidth="1"/>
    <col min="4358" max="4358" width="18.5" style="43" customWidth="1"/>
    <col min="4359" max="4359" width="18.125" style="43" customWidth="1"/>
    <col min="4360" max="4361" width="11.375" style="43" customWidth="1"/>
    <col min="4362" max="4362" width="12.375" style="43" customWidth="1"/>
    <col min="4363" max="4363" width="12.75" style="43" customWidth="1"/>
    <col min="4364" max="4364" width="15.375" style="43" customWidth="1"/>
    <col min="4365" max="4608" width="9" style="43"/>
    <col min="4609" max="4609" width="10.125" style="43" customWidth="1"/>
    <col min="4610" max="4611" width="11.875" style="43" customWidth="1"/>
    <col min="4612" max="4612" width="11" style="43" customWidth="1"/>
    <col min="4613" max="4613" width="11.125" style="43" customWidth="1"/>
    <col min="4614" max="4614" width="18.5" style="43" customWidth="1"/>
    <col min="4615" max="4615" width="18.125" style="43" customWidth="1"/>
    <col min="4616" max="4617" width="11.375" style="43" customWidth="1"/>
    <col min="4618" max="4618" width="12.375" style="43" customWidth="1"/>
    <col min="4619" max="4619" width="12.75" style="43" customWidth="1"/>
    <col min="4620" max="4620" width="15.375" style="43" customWidth="1"/>
    <col min="4621" max="4864" width="9" style="43"/>
    <col min="4865" max="4865" width="10.125" style="43" customWidth="1"/>
    <col min="4866" max="4867" width="11.875" style="43" customWidth="1"/>
    <col min="4868" max="4868" width="11" style="43" customWidth="1"/>
    <col min="4869" max="4869" width="11.125" style="43" customWidth="1"/>
    <col min="4870" max="4870" width="18.5" style="43" customWidth="1"/>
    <col min="4871" max="4871" width="18.125" style="43" customWidth="1"/>
    <col min="4872" max="4873" width="11.375" style="43" customWidth="1"/>
    <col min="4874" max="4874" width="12.375" style="43" customWidth="1"/>
    <col min="4875" max="4875" width="12.75" style="43" customWidth="1"/>
    <col min="4876" max="4876" width="15.375" style="43" customWidth="1"/>
    <col min="4877" max="5120" width="9" style="43"/>
    <col min="5121" max="5121" width="10.125" style="43" customWidth="1"/>
    <col min="5122" max="5123" width="11.875" style="43" customWidth="1"/>
    <col min="5124" max="5124" width="11" style="43" customWidth="1"/>
    <col min="5125" max="5125" width="11.125" style="43" customWidth="1"/>
    <col min="5126" max="5126" width="18.5" style="43" customWidth="1"/>
    <col min="5127" max="5127" width="18.125" style="43" customWidth="1"/>
    <col min="5128" max="5129" width="11.375" style="43" customWidth="1"/>
    <col min="5130" max="5130" width="12.375" style="43" customWidth="1"/>
    <col min="5131" max="5131" width="12.75" style="43" customWidth="1"/>
    <col min="5132" max="5132" width="15.375" style="43" customWidth="1"/>
    <col min="5133" max="5376" width="9" style="43"/>
    <col min="5377" max="5377" width="10.125" style="43" customWidth="1"/>
    <col min="5378" max="5379" width="11.875" style="43" customWidth="1"/>
    <col min="5380" max="5380" width="11" style="43" customWidth="1"/>
    <col min="5381" max="5381" width="11.125" style="43" customWidth="1"/>
    <col min="5382" max="5382" width="18.5" style="43" customWidth="1"/>
    <col min="5383" max="5383" width="18.125" style="43" customWidth="1"/>
    <col min="5384" max="5385" width="11.375" style="43" customWidth="1"/>
    <col min="5386" max="5386" width="12.375" style="43" customWidth="1"/>
    <col min="5387" max="5387" width="12.75" style="43" customWidth="1"/>
    <col min="5388" max="5388" width="15.375" style="43" customWidth="1"/>
    <col min="5389" max="5632" width="9" style="43"/>
    <col min="5633" max="5633" width="10.125" style="43" customWidth="1"/>
    <col min="5634" max="5635" width="11.875" style="43" customWidth="1"/>
    <col min="5636" max="5636" width="11" style="43" customWidth="1"/>
    <col min="5637" max="5637" width="11.125" style="43" customWidth="1"/>
    <col min="5638" max="5638" width="18.5" style="43" customWidth="1"/>
    <col min="5639" max="5639" width="18.125" style="43" customWidth="1"/>
    <col min="5640" max="5641" width="11.375" style="43" customWidth="1"/>
    <col min="5642" max="5642" width="12.375" style="43" customWidth="1"/>
    <col min="5643" max="5643" width="12.75" style="43" customWidth="1"/>
    <col min="5644" max="5644" width="15.375" style="43" customWidth="1"/>
    <col min="5645" max="5888" width="9" style="43"/>
    <col min="5889" max="5889" width="10.125" style="43" customWidth="1"/>
    <col min="5890" max="5891" width="11.875" style="43" customWidth="1"/>
    <col min="5892" max="5892" width="11" style="43" customWidth="1"/>
    <col min="5893" max="5893" width="11.125" style="43" customWidth="1"/>
    <col min="5894" max="5894" width="18.5" style="43" customWidth="1"/>
    <col min="5895" max="5895" width="18.125" style="43" customWidth="1"/>
    <col min="5896" max="5897" width="11.375" style="43" customWidth="1"/>
    <col min="5898" max="5898" width="12.375" style="43" customWidth="1"/>
    <col min="5899" max="5899" width="12.75" style="43" customWidth="1"/>
    <col min="5900" max="5900" width="15.375" style="43" customWidth="1"/>
    <col min="5901" max="6144" width="9" style="43"/>
    <col min="6145" max="6145" width="10.125" style="43" customWidth="1"/>
    <col min="6146" max="6147" width="11.875" style="43" customWidth="1"/>
    <col min="6148" max="6148" width="11" style="43" customWidth="1"/>
    <col min="6149" max="6149" width="11.125" style="43" customWidth="1"/>
    <col min="6150" max="6150" width="18.5" style="43" customWidth="1"/>
    <col min="6151" max="6151" width="18.125" style="43" customWidth="1"/>
    <col min="6152" max="6153" width="11.375" style="43" customWidth="1"/>
    <col min="6154" max="6154" width="12.375" style="43" customWidth="1"/>
    <col min="6155" max="6155" width="12.75" style="43" customWidth="1"/>
    <col min="6156" max="6156" width="15.375" style="43" customWidth="1"/>
    <col min="6157" max="6400" width="9" style="43"/>
    <col min="6401" max="6401" width="10.125" style="43" customWidth="1"/>
    <col min="6402" max="6403" width="11.875" style="43" customWidth="1"/>
    <col min="6404" max="6404" width="11" style="43" customWidth="1"/>
    <col min="6405" max="6405" width="11.125" style="43" customWidth="1"/>
    <col min="6406" max="6406" width="18.5" style="43" customWidth="1"/>
    <col min="6407" max="6407" width="18.125" style="43" customWidth="1"/>
    <col min="6408" max="6409" width="11.375" style="43" customWidth="1"/>
    <col min="6410" max="6410" width="12.375" style="43" customWidth="1"/>
    <col min="6411" max="6411" width="12.75" style="43" customWidth="1"/>
    <col min="6412" max="6412" width="15.375" style="43" customWidth="1"/>
    <col min="6413" max="6656" width="9" style="43"/>
    <col min="6657" max="6657" width="10.125" style="43" customWidth="1"/>
    <col min="6658" max="6659" width="11.875" style="43" customWidth="1"/>
    <col min="6660" max="6660" width="11" style="43" customWidth="1"/>
    <col min="6661" max="6661" width="11.125" style="43" customWidth="1"/>
    <col min="6662" max="6662" width="18.5" style="43" customWidth="1"/>
    <col min="6663" max="6663" width="18.125" style="43" customWidth="1"/>
    <col min="6664" max="6665" width="11.375" style="43" customWidth="1"/>
    <col min="6666" max="6666" width="12.375" style="43" customWidth="1"/>
    <col min="6667" max="6667" width="12.75" style="43" customWidth="1"/>
    <col min="6668" max="6668" width="15.375" style="43" customWidth="1"/>
    <col min="6669" max="6912" width="9" style="43"/>
    <col min="6913" max="6913" width="10.125" style="43" customWidth="1"/>
    <col min="6914" max="6915" width="11.875" style="43" customWidth="1"/>
    <col min="6916" max="6916" width="11" style="43" customWidth="1"/>
    <col min="6917" max="6917" width="11.125" style="43" customWidth="1"/>
    <col min="6918" max="6918" width="18.5" style="43" customWidth="1"/>
    <col min="6919" max="6919" width="18.125" style="43" customWidth="1"/>
    <col min="6920" max="6921" width="11.375" style="43" customWidth="1"/>
    <col min="6922" max="6922" width="12.375" style="43" customWidth="1"/>
    <col min="6923" max="6923" width="12.75" style="43" customWidth="1"/>
    <col min="6924" max="6924" width="15.375" style="43" customWidth="1"/>
    <col min="6925" max="7168" width="9" style="43"/>
    <col min="7169" max="7169" width="10.125" style="43" customWidth="1"/>
    <col min="7170" max="7171" width="11.875" style="43" customWidth="1"/>
    <col min="7172" max="7172" width="11" style="43" customWidth="1"/>
    <col min="7173" max="7173" width="11.125" style="43" customWidth="1"/>
    <col min="7174" max="7174" width="18.5" style="43" customWidth="1"/>
    <col min="7175" max="7175" width="18.125" style="43" customWidth="1"/>
    <col min="7176" max="7177" width="11.375" style="43" customWidth="1"/>
    <col min="7178" max="7178" width="12.375" style="43" customWidth="1"/>
    <col min="7179" max="7179" width="12.75" style="43" customWidth="1"/>
    <col min="7180" max="7180" width="15.375" style="43" customWidth="1"/>
    <col min="7181" max="7424" width="9" style="43"/>
    <col min="7425" max="7425" width="10.125" style="43" customWidth="1"/>
    <col min="7426" max="7427" width="11.875" style="43" customWidth="1"/>
    <col min="7428" max="7428" width="11" style="43" customWidth="1"/>
    <col min="7429" max="7429" width="11.125" style="43" customWidth="1"/>
    <col min="7430" max="7430" width="18.5" style="43" customWidth="1"/>
    <col min="7431" max="7431" width="18.125" style="43" customWidth="1"/>
    <col min="7432" max="7433" width="11.375" style="43" customWidth="1"/>
    <col min="7434" max="7434" width="12.375" style="43" customWidth="1"/>
    <col min="7435" max="7435" width="12.75" style="43" customWidth="1"/>
    <col min="7436" max="7436" width="15.375" style="43" customWidth="1"/>
    <col min="7437" max="7680" width="9" style="43"/>
    <col min="7681" max="7681" width="10.125" style="43" customWidth="1"/>
    <col min="7682" max="7683" width="11.875" style="43" customWidth="1"/>
    <col min="7684" max="7684" width="11" style="43" customWidth="1"/>
    <col min="7685" max="7685" width="11.125" style="43" customWidth="1"/>
    <col min="7686" max="7686" width="18.5" style="43" customWidth="1"/>
    <col min="7687" max="7687" width="18.125" style="43" customWidth="1"/>
    <col min="7688" max="7689" width="11.375" style="43" customWidth="1"/>
    <col min="7690" max="7690" width="12.375" style="43" customWidth="1"/>
    <col min="7691" max="7691" width="12.75" style="43" customWidth="1"/>
    <col min="7692" max="7692" width="15.375" style="43" customWidth="1"/>
    <col min="7693" max="7936" width="9" style="43"/>
    <col min="7937" max="7937" width="10.125" style="43" customWidth="1"/>
    <col min="7938" max="7939" width="11.875" style="43" customWidth="1"/>
    <col min="7940" max="7940" width="11" style="43" customWidth="1"/>
    <col min="7941" max="7941" width="11.125" style="43" customWidth="1"/>
    <col min="7942" max="7942" width="18.5" style="43" customWidth="1"/>
    <col min="7943" max="7943" width="18.125" style="43" customWidth="1"/>
    <col min="7944" max="7945" width="11.375" style="43" customWidth="1"/>
    <col min="7946" max="7946" width="12.375" style="43" customWidth="1"/>
    <col min="7947" max="7947" width="12.75" style="43" customWidth="1"/>
    <col min="7948" max="7948" width="15.375" style="43" customWidth="1"/>
    <col min="7949" max="8192" width="9" style="43"/>
    <col min="8193" max="8193" width="10.125" style="43" customWidth="1"/>
    <col min="8194" max="8195" width="11.875" style="43" customWidth="1"/>
    <col min="8196" max="8196" width="11" style="43" customWidth="1"/>
    <col min="8197" max="8197" width="11.125" style="43" customWidth="1"/>
    <col min="8198" max="8198" width="18.5" style="43" customWidth="1"/>
    <col min="8199" max="8199" width="18.125" style="43" customWidth="1"/>
    <col min="8200" max="8201" width="11.375" style="43" customWidth="1"/>
    <col min="8202" max="8202" width="12.375" style="43" customWidth="1"/>
    <col min="8203" max="8203" width="12.75" style="43" customWidth="1"/>
    <col min="8204" max="8204" width="15.375" style="43" customWidth="1"/>
    <col min="8205" max="8448" width="9" style="43"/>
    <col min="8449" max="8449" width="10.125" style="43" customWidth="1"/>
    <col min="8450" max="8451" width="11.875" style="43" customWidth="1"/>
    <col min="8452" max="8452" width="11" style="43" customWidth="1"/>
    <col min="8453" max="8453" width="11.125" style="43" customWidth="1"/>
    <col min="8454" max="8454" width="18.5" style="43" customWidth="1"/>
    <col min="8455" max="8455" width="18.125" style="43" customWidth="1"/>
    <col min="8456" max="8457" width="11.375" style="43" customWidth="1"/>
    <col min="8458" max="8458" width="12.375" style="43" customWidth="1"/>
    <col min="8459" max="8459" width="12.75" style="43" customWidth="1"/>
    <col min="8460" max="8460" width="15.375" style="43" customWidth="1"/>
    <col min="8461" max="8704" width="9" style="43"/>
    <col min="8705" max="8705" width="10.125" style="43" customWidth="1"/>
    <col min="8706" max="8707" width="11.875" style="43" customWidth="1"/>
    <col min="8708" max="8708" width="11" style="43" customWidth="1"/>
    <col min="8709" max="8709" width="11.125" style="43" customWidth="1"/>
    <col min="8710" max="8710" width="18.5" style="43" customWidth="1"/>
    <col min="8711" max="8711" width="18.125" style="43" customWidth="1"/>
    <col min="8712" max="8713" width="11.375" style="43" customWidth="1"/>
    <col min="8714" max="8714" width="12.375" style="43" customWidth="1"/>
    <col min="8715" max="8715" width="12.75" style="43" customWidth="1"/>
    <col min="8716" max="8716" width="15.375" style="43" customWidth="1"/>
    <col min="8717" max="8960" width="9" style="43"/>
    <col min="8961" max="8961" width="10.125" style="43" customWidth="1"/>
    <col min="8962" max="8963" width="11.875" style="43" customWidth="1"/>
    <col min="8964" max="8964" width="11" style="43" customWidth="1"/>
    <col min="8965" max="8965" width="11.125" style="43" customWidth="1"/>
    <col min="8966" max="8966" width="18.5" style="43" customWidth="1"/>
    <col min="8967" max="8967" width="18.125" style="43" customWidth="1"/>
    <col min="8968" max="8969" width="11.375" style="43" customWidth="1"/>
    <col min="8970" max="8970" width="12.375" style="43" customWidth="1"/>
    <col min="8971" max="8971" width="12.75" style="43" customWidth="1"/>
    <col min="8972" max="8972" width="15.375" style="43" customWidth="1"/>
    <col min="8973" max="9216" width="9" style="43"/>
    <col min="9217" max="9217" width="10.125" style="43" customWidth="1"/>
    <col min="9218" max="9219" width="11.875" style="43" customWidth="1"/>
    <col min="9220" max="9220" width="11" style="43" customWidth="1"/>
    <col min="9221" max="9221" width="11.125" style="43" customWidth="1"/>
    <col min="9222" max="9222" width="18.5" style="43" customWidth="1"/>
    <col min="9223" max="9223" width="18.125" style="43" customWidth="1"/>
    <col min="9224" max="9225" width="11.375" style="43" customWidth="1"/>
    <col min="9226" max="9226" width="12.375" style="43" customWidth="1"/>
    <col min="9227" max="9227" width="12.75" style="43" customWidth="1"/>
    <col min="9228" max="9228" width="15.375" style="43" customWidth="1"/>
    <col min="9229" max="9472" width="9" style="43"/>
    <col min="9473" max="9473" width="10.125" style="43" customWidth="1"/>
    <col min="9474" max="9475" width="11.875" style="43" customWidth="1"/>
    <col min="9476" max="9476" width="11" style="43" customWidth="1"/>
    <col min="9477" max="9477" width="11.125" style="43" customWidth="1"/>
    <col min="9478" max="9478" width="18.5" style="43" customWidth="1"/>
    <col min="9479" max="9479" width="18.125" style="43" customWidth="1"/>
    <col min="9480" max="9481" width="11.375" style="43" customWidth="1"/>
    <col min="9482" max="9482" width="12.375" style="43" customWidth="1"/>
    <col min="9483" max="9483" width="12.75" style="43" customWidth="1"/>
    <col min="9484" max="9484" width="15.375" style="43" customWidth="1"/>
    <col min="9485" max="9728" width="9" style="43"/>
    <col min="9729" max="9729" width="10.125" style="43" customWidth="1"/>
    <col min="9730" max="9731" width="11.875" style="43" customWidth="1"/>
    <col min="9732" max="9732" width="11" style="43" customWidth="1"/>
    <col min="9733" max="9733" width="11.125" style="43" customWidth="1"/>
    <col min="9734" max="9734" width="18.5" style="43" customWidth="1"/>
    <col min="9735" max="9735" width="18.125" style="43" customWidth="1"/>
    <col min="9736" max="9737" width="11.375" style="43" customWidth="1"/>
    <col min="9738" max="9738" width="12.375" style="43" customWidth="1"/>
    <col min="9739" max="9739" width="12.75" style="43" customWidth="1"/>
    <col min="9740" max="9740" width="15.375" style="43" customWidth="1"/>
    <col min="9741" max="9984" width="9" style="43"/>
    <col min="9985" max="9985" width="10.125" style="43" customWidth="1"/>
    <col min="9986" max="9987" width="11.875" style="43" customWidth="1"/>
    <col min="9988" max="9988" width="11" style="43" customWidth="1"/>
    <col min="9989" max="9989" width="11.125" style="43" customWidth="1"/>
    <col min="9990" max="9990" width="18.5" style="43" customWidth="1"/>
    <col min="9991" max="9991" width="18.125" style="43" customWidth="1"/>
    <col min="9992" max="9993" width="11.375" style="43" customWidth="1"/>
    <col min="9994" max="9994" width="12.375" style="43" customWidth="1"/>
    <col min="9995" max="9995" width="12.75" style="43" customWidth="1"/>
    <col min="9996" max="9996" width="15.375" style="43" customWidth="1"/>
    <col min="9997" max="10240" width="9" style="43"/>
    <col min="10241" max="10241" width="10.125" style="43" customWidth="1"/>
    <col min="10242" max="10243" width="11.875" style="43" customWidth="1"/>
    <col min="10244" max="10244" width="11" style="43" customWidth="1"/>
    <col min="10245" max="10245" width="11.125" style="43" customWidth="1"/>
    <col min="10246" max="10246" width="18.5" style="43" customWidth="1"/>
    <col min="10247" max="10247" width="18.125" style="43" customWidth="1"/>
    <col min="10248" max="10249" width="11.375" style="43" customWidth="1"/>
    <col min="10250" max="10250" width="12.375" style="43" customWidth="1"/>
    <col min="10251" max="10251" width="12.75" style="43" customWidth="1"/>
    <col min="10252" max="10252" width="15.375" style="43" customWidth="1"/>
    <col min="10253" max="10496" width="9" style="43"/>
    <col min="10497" max="10497" width="10.125" style="43" customWidth="1"/>
    <col min="10498" max="10499" width="11.875" style="43" customWidth="1"/>
    <col min="10500" max="10500" width="11" style="43" customWidth="1"/>
    <col min="10501" max="10501" width="11.125" style="43" customWidth="1"/>
    <col min="10502" max="10502" width="18.5" style="43" customWidth="1"/>
    <col min="10503" max="10503" width="18.125" style="43" customWidth="1"/>
    <col min="10504" max="10505" width="11.375" style="43" customWidth="1"/>
    <col min="10506" max="10506" width="12.375" style="43" customWidth="1"/>
    <col min="10507" max="10507" width="12.75" style="43" customWidth="1"/>
    <col min="10508" max="10508" width="15.375" style="43" customWidth="1"/>
    <col min="10509" max="10752" width="9" style="43"/>
    <col min="10753" max="10753" width="10.125" style="43" customWidth="1"/>
    <col min="10754" max="10755" width="11.875" style="43" customWidth="1"/>
    <col min="10756" max="10756" width="11" style="43" customWidth="1"/>
    <col min="10757" max="10757" width="11.125" style="43" customWidth="1"/>
    <col min="10758" max="10758" width="18.5" style="43" customWidth="1"/>
    <col min="10759" max="10759" width="18.125" style="43" customWidth="1"/>
    <col min="10760" max="10761" width="11.375" style="43" customWidth="1"/>
    <col min="10762" max="10762" width="12.375" style="43" customWidth="1"/>
    <col min="10763" max="10763" width="12.75" style="43" customWidth="1"/>
    <col min="10764" max="10764" width="15.375" style="43" customWidth="1"/>
    <col min="10765" max="11008" width="9" style="43"/>
    <col min="11009" max="11009" width="10.125" style="43" customWidth="1"/>
    <col min="11010" max="11011" width="11.875" style="43" customWidth="1"/>
    <col min="11012" max="11012" width="11" style="43" customWidth="1"/>
    <col min="11013" max="11013" width="11.125" style="43" customWidth="1"/>
    <col min="11014" max="11014" width="18.5" style="43" customWidth="1"/>
    <col min="11015" max="11015" width="18.125" style="43" customWidth="1"/>
    <col min="11016" max="11017" width="11.375" style="43" customWidth="1"/>
    <col min="11018" max="11018" width="12.375" style="43" customWidth="1"/>
    <col min="11019" max="11019" width="12.75" style="43" customWidth="1"/>
    <col min="11020" max="11020" width="15.375" style="43" customWidth="1"/>
    <col min="11021" max="11264" width="9" style="43"/>
    <col min="11265" max="11265" width="10.125" style="43" customWidth="1"/>
    <col min="11266" max="11267" width="11.875" style="43" customWidth="1"/>
    <col min="11268" max="11268" width="11" style="43" customWidth="1"/>
    <col min="11269" max="11269" width="11.125" style="43" customWidth="1"/>
    <col min="11270" max="11270" width="18.5" style="43" customWidth="1"/>
    <col min="11271" max="11271" width="18.125" style="43" customWidth="1"/>
    <col min="11272" max="11273" width="11.375" style="43" customWidth="1"/>
    <col min="11274" max="11274" width="12.375" style="43" customWidth="1"/>
    <col min="11275" max="11275" width="12.75" style="43" customWidth="1"/>
    <col min="11276" max="11276" width="15.375" style="43" customWidth="1"/>
    <col min="11277" max="11520" width="9" style="43"/>
    <col min="11521" max="11521" width="10.125" style="43" customWidth="1"/>
    <col min="11522" max="11523" width="11.875" style="43" customWidth="1"/>
    <col min="11524" max="11524" width="11" style="43" customWidth="1"/>
    <col min="11525" max="11525" width="11.125" style="43" customWidth="1"/>
    <col min="11526" max="11526" width="18.5" style="43" customWidth="1"/>
    <col min="11527" max="11527" width="18.125" style="43" customWidth="1"/>
    <col min="11528" max="11529" width="11.375" style="43" customWidth="1"/>
    <col min="11530" max="11530" width="12.375" style="43" customWidth="1"/>
    <col min="11531" max="11531" width="12.75" style="43" customWidth="1"/>
    <col min="11532" max="11532" width="15.375" style="43" customWidth="1"/>
    <col min="11533" max="11776" width="9" style="43"/>
    <col min="11777" max="11777" width="10.125" style="43" customWidth="1"/>
    <col min="11778" max="11779" width="11.875" style="43" customWidth="1"/>
    <col min="11780" max="11780" width="11" style="43" customWidth="1"/>
    <col min="11781" max="11781" width="11.125" style="43" customWidth="1"/>
    <col min="11782" max="11782" width="18.5" style="43" customWidth="1"/>
    <col min="11783" max="11783" width="18.125" style="43" customWidth="1"/>
    <col min="11784" max="11785" width="11.375" style="43" customWidth="1"/>
    <col min="11786" max="11786" width="12.375" style="43" customWidth="1"/>
    <col min="11787" max="11787" width="12.75" style="43" customWidth="1"/>
    <col min="11788" max="11788" width="15.375" style="43" customWidth="1"/>
    <col min="11789" max="12032" width="9" style="43"/>
    <col min="12033" max="12033" width="10.125" style="43" customWidth="1"/>
    <col min="12034" max="12035" width="11.875" style="43" customWidth="1"/>
    <col min="12036" max="12036" width="11" style="43" customWidth="1"/>
    <col min="12037" max="12037" width="11.125" style="43" customWidth="1"/>
    <col min="12038" max="12038" width="18.5" style="43" customWidth="1"/>
    <col min="12039" max="12039" width="18.125" style="43" customWidth="1"/>
    <col min="12040" max="12041" width="11.375" style="43" customWidth="1"/>
    <col min="12042" max="12042" width="12.375" style="43" customWidth="1"/>
    <col min="12043" max="12043" width="12.75" style="43" customWidth="1"/>
    <col min="12044" max="12044" width="15.375" style="43" customWidth="1"/>
    <col min="12045" max="12288" width="9" style="43"/>
    <col min="12289" max="12289" width="10.125" style="43" customWidth="1"/>
    <col min="12290" max="12291" width="11.875" style="43" customWidth="1"/>
    <col min="12292" max="12292" width="11" style="43" customWidth="1"/>
    <col min="12293" max="12293" width="11.125" style="43" customWidth="1"/>
    <col min="12294" max="12294" width="18.5" style="43" customWidth="1"/>
    <col min="12295" max="12295" width="18.125" style="43" customWidth="1"/>
    <col min="12296" max="12297" width="11.375" style="43" customWidth="1"/>
    <col min="12298" max="12298" width="12.375" style="43" customWidth="1"/>
    <col min="12299" max="12299" width="12.75" style="43" customWidth="1"/>
    <col min="12300" max="12300" width="15.375" style="43" customWidth="1"/>
    <col min="12301" max="12544" width="9" style="43"/>
    <col min="12545" max="12545" width="10.125" style="43" customWidth="1"/>
    <col min="12546" max="12547" width="11.875" style="43" customWidth="1"/>
    <col min="12548" max="12548" width="11" style="43" customWidth="1"/>
    <col min="12549" max="12549" width="11.125" style="43" customWidth="1"/>
    <col min="12550" max="12550" width="18.5" style="43" customWidth="1"/>
    <col min="12551" max="12551" width="18.125" style="43" customWidth="1"/>
    <col min="12552" max="12553" width="11.375" style="43" customWidth="1"/>
    <col min="12554" max="12554" width="12.375" style="43" customWidth="1"/>
    <col min="12555" max="12555" width="12.75" style="43" customWidth="1"/>
    <col min="12556" max="12556" width="15.375" style="43" customWidth="1"/>
    <col min="12557" max="12800" width="9" style="43"/>
    <col min="12801" max="12801" width="10.125" style="43" customWidth="1"/>
    <col min="12802" max="12803" width="11.875" style="43" customWidth="1"/>
    <col min="12804" max="12804" width="11" style="43" customWidth="1"/>
    <col min="12805" max="12805" width="11.125" style="43" customWidth="1"/>
    <col min="12806" max="12806" width="18.5" style="43" customWidth="1"/>
    <col min="12807" max="12807" width="18.125" style="43" customWidth="1"/>
    <col min="12808" max="12809" width="11.375" style="43" customWidth="1"/>
    <col min="12810" max="12810" width="12.375" style="43" customWidth="1"/>
    <col min="12811" max="12811" width="12.75" style="43" customWidth="1"/>
    <col min="12812" max="12812" width="15.375" style="43" customWidth="1"/>
    <col min="12813" max="13056" width="9" style="43"/>
    <col min="13057" max="13057" width="10.125" style="43" customWidth="1"/>
    <col min="13058" max="13059" width="11.875" style="43" customWidth="1"/>
    <col min="13060" max="13060" width="11" style="43" customWidth="1"/>
    <col min="13061" max="13061" width="11.125" style="43" customWidth="1"/>
    <col min="13062" max="13062" width="18.5" style="43" customWidth="1"/>
    <col min="13063" max="13063" width="18.125" style="43" customWidth="1"/>
    <col min="13064" max="13065" width="11.375" style="43" customWidth="1"/>
    <col min="13066" max="13066" width="12.375" style="43" customWidth="1"/>
    <col min="13067" max="13067" width="12.75" style="43" customWidth="1"/>
    <col min="13068" max="13068" width="15.375" style="43" customWidth="1"/>
    <col min="13069" max="13312" width="9" style="43"/>
    <col min="13313" max="13313" width="10.125" style="43" customWidth="1"/>
    <col min="13314" max="13315" width="11.875" style="43" customWidth="1"/>
    <col min="13316" max="13316" width="11" style="43" customWidth="1"/>
    <col min="13317" max="13317" width="11.125" style="43" customWidth="1"/>
    <col min="13318" max="13318" width="18.5" style="43" customWidth="1"/>
    <col min="13319" max="13319" width="18.125" style="43" customWidth="1"/>
    <col min="13320" max="13321" width="11.375" style="43" customWidth="1"/>
    <col min="13322" max="13322" width="12.375" style="43" customWidth="1"/>
    <col min="13323" max="13323" width="12.75" style="43" customWidth="1"/>
    <col min="13324" max="13324" width="15.375" style="43" customWidth="1"/>
    <col min="13325" max="13568" width="9" style="43"/>
    <col min="13569" max="13569" width="10.125" style="43" customWidth="1"/>
    <col min="13570" max="13571" width="11.875" style="43" customWidth="1"/>
    <col min="13572" max="13572" width="11" style="43" customWidth="1"/>
    <col min="13573" max="13573" width="11.125" style="43" customWidth="1"/>
    <col min="13574" max="13574" width="18.5" style="43" customWidth="1"/>
    <col min="13575" max="13575" width="18.125" style="43" customWidth="1"/>
    <col min="13576" max="13577" width="11.375" style="43" customWidth="1"/>
    <col min="13578" max="13578" width="12.375" style="43" customWidth="1"/>
    <col min="13579" max="13579" width="12.75" style="43" customWidth="1"/>
    <col min="13580" max="13580" width="15.375" style="43" customWidth="1"/>
    <col min="13581" max="13824" width="9" style="43"/>
    <col min="13825" max="13825" width="10.125" style="43" customWidth="1"/>
    <col min="13826" max="13827" width="11.875" style="43" customWidth="1"/>
    <col min="13828" max="13828" width="11" style="43" customWidth="1"/>
    <col min="13829" max="13829" width="11.125" style="43" customWidth="1"/>
    <col min="13830" max="13830" width="18.5" style="43" customWidth="1"/>
    <col min="13831" max="13831" width="18.125" style="43" customWidth="1"/>
    <col min="13832" max="13833" width="11.375" style="43" customWidth="1"/>
    <col min="13834" max="13834" width="12.375" style="43" customWidth="1"/>
    <col min="13835" max="13835" width="12.75" style="43" customWidth="1"/>
    <col min="13836" max="13836" width="15.375" style="43" customWidth="1"/>
    <col min="13837" max="14080" width="9" style="43"/>
    <col min="14081" max="14081" width="10.125" style="43" customWidth="1"/>
    <col min="14082" max="14083" width="11.875" style="43" customWidth="1"/>
    <col min="14084" max="14084" width="11" style="43" customWidth="1"/>
    <col min="14085" max="14085" width="11.125" style="43" customWidth="1"/>
    <col min="14086" max="14086" width="18.5" style="43" customWidth="1"/>
    <col min="14087" max="14087" width="18.125" style="43" customWidth="1"/>
    <col min="14088" max="14089" width="11.375" style="43" customWidth="1"/>
    <col min="14090" max="14090" width="12.375" style="43" customWidth="1"/>
    <col min="14091" max="14091" width="12.75" style="43" customWidth="1"/>
    <col min="14092" max="14092" width="15.375" style="43" customWidth="1"/>
    <col min="14093" max="14336" width="9" style="43"/>
    <col min="14337" max="14337" width="10.125" style="43" customWidth="1"/>
    <col min="14338" max="14339" width="11.875" style="43" customWidth="1"/>
    <col min="14340" max="14340" width="11" style="43" customWidth="1"/>
    <col min="14341" max="14341" width="11.125" style="43" customWidth="1"/>
    <col min="14342" max="14342" width="18.5" style="43" customWidth="1"/>
    <col min="14343" max="14343" width="18.125" style="43" customWidth="1"/>
    <col min="14344" max="14345" width="11.375" style="43" customWidth="1"/>
    <col min="14346" max="14346" width="12.375" style="43" customWidth="1"/>
    <col min="14347" max="14347" width="12.75" style="43" customWidth="1"/>
    <col min="14348" max="14348" width="15.375" style="43" customWidth="1"/>
    <col min="14349" max="14592" width="9" style="43"/>
    <col min="14593" max="14593" width="10.125" style="43" customWidth="1"/>
    <col min="14594" max="14595" width="11.875" style="43" customWidth="1"/>
    <col min="14596" max="14596" width="11" style="43" customWidth="1"/>
    <col min="14597" max="14597" width="11.125" style="43" customWidth="1"/>
    <col min="14598" max="14598" width="18.5" style="43" customWidth="1"/>
    <col min="14599" max="14599" width="18.125" style="43" customWidth="1"/>
    <col min="14600" max="14601" width="11.375" style="43" customWidth="1"/>
    <col min="14602" max="14602" width="12.375" style="43" customWidth="1"/>
    <col min="14603" max="14603" width="12.75" style="43" customWidth="1"/>
    <col min="14604" max="14604" width="15.375" style="43" customWidth="1"/>
    <col min="14605" max="14848" width="9" style="43"/>
    <col min="14849" max="14849" width="10.125" style="43" customWidth="1"/>
    <col min="14850" max="14851" width="11.875" style="43" customWidth="1"/>
    <col min="14852" max="14852" width="11" style="43" customWidth="1"/>
    <col min="14853" max="14853" width="11.125" style="43" customWidth="1"/>
    <col min="14854" max="14854" width="18.5" style="43" customWidth="1"/>
    <col min="14855" max="14855" width="18.125" style="43" customWidth="1"/>
    <col min="14856" max="14857" width="11.375" style="43" customWidth="1"/>
    <col min="14858" max="14858" width="12.375" style="43" customWidth="1"/>
    <col min="14859" max="14859" width="12.75" style="43" customWidth="1"/>
    <col min="14860" max="14860" width="15.375" style="43" customWidth="1"/>
    <col min="14861" max="15104" width="9" style="43"/>
    <col min="15105" max="15105" width="10.125" style="43" customWidth="1"/>
    <col min="15106" max="15107" width="11.875" style="43" customWidth="1"/>
    <col min="15108" max="15108" width="11" style="43" customWidth="1"/>
    <col min="15109" max="15109" width="11.125" style="43" customWidth="1"/>
    <col min="15110" max="15110" width="18.5" style="43" customWidth="1"/>
    <col min="15111" max="15111" width="18.125" style="43" customWidth="1"/>
    <col min="15112" max="15113" width="11.375" style="43" customWidth="1"/>
    <col min="15114" max="15114" width="12.375" style="43" customWidth="1"/>
    <col min="15115" max="15115" width="12.75" style="43" customWidth="1"/>
    <col min="15116" max="15116" width="15.375" style="43" customWidth="1"/>
    <col min="15117" max="15360" width="9" style="43"/>
    <col min="15361" max="15361" width="10.125" style="43" customWidth="1"/>
    <col min="15362" max="15363" width="11.875" style="43" customWidth="1"/>
    <col min="15364" max="15364" width="11" style="43" customWidth="1"/>
    <col min="15365" max="15365" width="11.125" style="43" customWidth="1"/>
    <col min="15366" max="15366" width="18.5" style="43" customWidth="1"/>
    <col min="15367" max="15367" width="18.125" style="43" customWidth="1"/>
    <col min="15368" max="15369" width="11.375" style="43" customWidth="1"/>
    <col min="15370" max="15370" width="12.375" style="43" customWidth="1"/>
    <col min="15371" max="15371" width="12.75" style="43" customWidth="1"/>
    <col min="15372" max="15372" width="15.375" style="43" customWidth="1"/>
    <col min="15373" max="15616" width="9" style="43"/>
    <col min="15617" max="15617" width="10.125" style="43" customWidth="1"/>
    <col min="15618" max="15619" width="11.875" style="43" customWidth="1"/>
    <col min="15620" max="15620" width="11" style="43" customWidth="1"/>
    <col min="15621" max="15621" width="11.125" style="43" customWidth="1"/>
    <col min="15622" max="15622" width="18.5" style="43" customWidth="1"/>
    <col min="15623" max="15623" width="18.125" style="43" customWidth="1"/>
    <col min="15624" max="15625" width="11.375" style="43" customWidth="1"/>
    <col min="15626" max="15626" width="12.375" style="43" customWidth="1"/>
    <col min="15627" max="15627" width="12.75" style="43" customWidth="1"/>
    <col min="15628" max="15628" width="15.375" style="43" customWidth="1"/>
    <col min="15629" max="15872" width="9" style="43"/>
    <col min="15873" max="15873" width="10.125" style="43" customWidth="1"/>
    <col min="15874" max="15875" width="11.875" style="43" customWidth="1"/>
    <col min="15876" max="15876" width="11" style="43" customWidth="1"/>
    <col min="15877" max="15877" width="11.125" style="43" customWidth="1"/>
    <col min="15878" max="15878" width="18.5" style="43" customWidth="1"/>
    <col min="15879" max="15879" width="18.125" style="43" customWidth="1"/>
    <col min="15880" max="15881" width="11.375" style="43" customWidth="1"/>
    <col min="15882" max="15882" width="12.375" style="43" customWidth="1"/>
    <col min="15883" max="15883" width="12.75" style="43" customWidth="1"/>
    <col min="15884" max="15884" width="15.375" style="43" customWidth="1"/>
    <col min="15885" max="16128" width="9" style="43"/>
    <col min="16129" max="16129" width="10.125" style="43" customWidth="1"/>
    <col min="16130" max="16131" width="11.875" style="43" customWidth="1"/>
    <col min="16132" max="16132" width="11" style="43" customWidth="1"/>
    <col min="16133" max="16133" width="11.125" style="43" customWidth="1"/>
    <col min="16134" max="16134" width="18.5" style="43" customWidth="1"/>
    <col min="16135" max="16135" width="18.125" style="43" customWidth="1"/>
    <col min="16136" max="16137" width="11.375" style="43" customWidth="1"/>
    <col min="16138" max="16138" width="12.375" style="43" customWidth="1"/>
    <col min="16139" max="16139" width="12.75" style="43" customWidth="1"/>
    <col min="16140" max="16140" width="15.375" style="43" customWidth="1"/>
    <col min="16141" max="16384" width="9" style="43"/>
  </cols>
  <sheetData>
    <row r="1" ht="21" customHeight="1" spans="1:12">
      <c r="A1" s="49" t="s">
        <v>587</v>
      </c>
      <c r="B1" s="49"/>
      <c r="C1" s="49"/>
      <c r="D1" s="49"/>
      <c r="E1" s="49"/>
      <c r="F1" s="49"/>
      <c r="G1" s="49"/>
      <c r="H1" s="49"/>
      <c r="I1" s="49"/>
      <c r="J1" s="49"/>
      <c r="K1" s="49"/>
      <c r="L1" s="49"/>
    </row>
    <row r="2" ht="17.25" customHeight="1" spans="1:11">
      <c r="A2" s="69" t="s">
        <v>588</v>
      </c>
      <c r="B2" s="154"/>
      <c r="C2" s="49"/>
      <c r="D2" s="49"/>
      <c r="E2" s="310"/>
      <c r="F2" s="310"/>
      <c r="G2" s="310"/>
      <c r="H2" s="155"/>
      <c r="I2" s="155"/>
      <c r="J2" s="155"/>
      <c r="K2" s="155"/>
    </row>
    <row r="3" ht="12.75" spans="1:9">
      <c r="A3" s="44" t="s">
        <v>589</v>
      </c>
      <c r="B3" s="309"/>
      <c r="C3" s="309"/>
      <c r="H3" s="311"/>
      <c r="I3" s="311"/>
    </row>
    <row r="4" ht="15" customHeight="1" spans="1:18">
      <c r="A4" s="312" t="s">
        <v>590</v>
      </c>
      <c r="B4" s="313"/>
      <c r="C4" s="313"/>
      <c r="D4" s="313"/>
      <c r="E4" s="313"/>
      <c r="F4" s="314"/>
      <c r="G4" s="315" t="s">
        <v>591</v>
      </c>
      <c r="H4" s="316">
        <f>H27</f>
        <v>16</v>
      </c>
      <c r="I4" s="347">
        <f>J27</f>
        <v>0.130081300813008</v>
      </c>
      <c r="J4" s="348"/>
      <c r="N4" s="176"/>
      <c r="O4" s="43" t="s">
        <v>134</v>
      </c>
      <c r="P4" s="349" t="s">
        <v>173</v>
      </c>
      <c r="Q4" s="349" t="s">
        <v>174</v>
      </c>
      <c r="R4" s="349" t="s">
        <v>175</v>
      </c>
    </row>
    <row r="5" ht="15" customHeight="1" spans="1:18">
      <c r="A5" s="317" t="s">
        <v>592</v>
      </c>
      <c r="B5" s="318" t="s">
        <v>593</v>
      </c>
      <c r="C5" s="318" t="s">
        <v>594</v>
      </c>
      <c r="D5" s="318" t="s">
        <v>595</v>
      </c>
      <c r="E5" s="319" t="s">
        <v>596</v>
      </c>
      <c r="F5" s="319" t="s">
        <v>597</v>
      </c>
      <c r="G5" s="319" t="s">
        <v>598</v>
      </c>
      <c r="H5" s="319" t="s">
        <v>599</v>
      </c>
      <c r="I5" s="350" t="s">
        <v>600</v>
      </c>
      <c r="J5" s="350" t="s">
        <v>601</v>
      </c>
      <c r="K5" s="318" t="s">
        <v>602</v>
      </c>
      <c r="L5" s="351" t="s">
        <v>603</v>
      </c>
      <c r="N5" s="88" t="s">
        <v>563</v>
      </c>
      <c r="O5" s="352">
        <f>I8</f>
        <v>0.0327653997378768</v>
      </c>
      <c r="P5" s="349">
        <v>0.0041</v>
      </c>
      <c r="Q5" s="349">
        <v>0.0341</v>
      </c>
      <c r="R5" s="349">
        <v>0.0641</v>
      </c>
    </row>
    <row r="6" ht="15" customHeight="1" spans="1:18">
      <c r="A6" s="84" t="s">
        <v>396</v>
      </c>
      <c r="B6" s="320">
        <v>43189</v>
      </c>
      <c r="C6" s="321">
        <v>43209</v>
      </c>
      <c r="D6" s="320">
        <v>43189</v>
      </c>
      <c r="E6" s="321">
        <v>43209</v>
      </c>
      <c r="F6" s="320">
        <v>43189</v>
      </c>
      <c r="G6" s="321">
        <v>43209</v>
      </c>
      <c r="H6" s="322">
        <f>NETWORKDAYS(D6,E6,'附录-节假日'!$A$1:$A$32)</f>
        <v>13</v>
      </c>
      <c r="I6" s="353">
        <f>H6/365.03</f>
        <v>0.035613511218256</v>
      </c>
      <c r="J6" s="354">
        <f>IF(OR(F6=""),H6/NETWORKDAYS(B$6,C6,'附录-节假日'!$A$1:$A$29),H6/NETWORKDAYS(F$6,G6,'附录-节假日'!$A$1:$A$29))</f>
        <v>1</v>
      </c>
      <c r="K6" s="355"/>
      <c r="L6" s="356"/>
      <c r="N6" s="88" t="s">
        <v>567</v>
      </c>
      <c r="O6" s="352">
        <f>I13</f>
        <v>0.0236313509255612</v>
      </c>
      <c r="P6" s="349">
        <v>0.0041</v>
      </c>
      <c r="Q6" s="349">
        <v>0.0341</v>
      </c>
      <c r="R6" s="349">
        <v>0.0641</v>
      </c>
    </row>
    <row r="7" ht="15" customHeight="1" spans="1:18">
      <c r="A7" s="84" t="s">
        <v>397</v>
      </c>
      <c r="B7" s="320">
        <v>43210</v>
      </c>
      <c r="C7" s="320">
        <v>43257</v>
      </c>
      <c r="D7" s="320">
        <v>43210</v>
      </c>
      <c r="E7" s="320">
        <v>43256</v>
      </c>
      <c r="F7" s="320">
        <v>43210</v>
      </c>
      <c r="G7" s="320">
        <v>43257</v>
      </c>
      <c r="H7" s="322">
        <f>NETWORKDAYS(D7,E7,'附录-节假日'!$A$1:$A$32)</f>
        <v>31</v>
      </c>
      <c r="I7" s="353">
        <f>H7/122.08</f>
        <v>0.253931847968545</v>
      </c>
      <c r="J7" s="357">
        <f>J11</f>
        <v>0.377777777777778</v>
      </c>
      <c r="K7" s="355"/>
      <c r="L7" s="356"/>
      <c r="N7" s="88" t="s">
        <v>571</v>
      </c>
      <c r="O7" s="358">
        <f>I18</f>
        <v>0.0463284688441047</v>
      </c>
      <c r="P7" s="349">
        <v>0.0041</v>
      </c>
      <c r="Q7" s="349">
        <v>0.0341</v>
      </c>
      <c r="R7" s="349">
        <v>0.0641</v>
      </c>
    </row>
    <row r="8" ht="15" customHeight="1" spans="1:18">
      <c r="A8" s="88" t="s">
        <v>563</v>
      </c>
      <c r="B8" s="320">
        <v>43210</v>
      </c>
      <c r="C8" s="320">
        <v>43215</v>
      </c>
      <c r="D8" s="320">
        <v>43210</v>
      </c>
      <c r="E8" s="320">
        <v>43215</v>
      </c>
      <c r="F8" s="320">
        <v>43210</v>
      </c>
      <c r="G8" s="320">
        <v>43215</v>
      </c>
      <c r="H8" s="322">
        <f>NETWORKDAYS(D8,E8,'附录-节假日'!$A$1:$A$32)</f>
        <v>4</v>
      </c>
      <c r="I8" s="353">
        <f t="shared" ref="I8:I11" si="0">H8/122.08</f>
        <v>0.0327653997378768</v>
      </c>
      <c r="J8" s="354">
        <f>IF(OR(F8=""),H8/NETWORKDAYS(B$6,C8,'附录-节假日'!$A$1:$A$29),H8/NETWORKDAYS(F$6,G8,'附录-节假日'!$A$1:$A$29))</f>
        <v>0.235294117647059</v>
      </c>
      <c r="K8" s="355"/>
      <c r="L8" s="356"/>
      <c r="N8" s="88" t="s">
        <v>575</v>
      </c>
      <c r="O8" s="358">
        <f>I23</f>
        <v>0.0411918165591103</v>
      </c>
      <c r="P8" s="349">
        <v>0.0041</v>
      </c>
      <c r="Q8" s="349">
        <v>0.0341</v>
      </c>
      <c r="R8" s="349">
        <v>0.0641</v>
      </c>
    </row>
    <row r="9" ht="15" customHeight="1" spans="1:12">
      <c r="A9" s="88" t="s">
        <v>564</v>
      </c>
      <c r="B9" s="320">
        <v>43215</v>
      </c>
      <c r="C9" s="320">
        <v>43228</v>
      </c>
      <c r="D9" s="320">
        <v>43215</v>
      </c>
      <c r="E9" s="320">
        <v>43227</v>
      </c>
      <c r="F9" s="320">
        <v>43215</v>
      </c>
      <c r="G9" s="320">
        <v>43228</v>
      </c>
      <c r="H9" s="322">
        <f>NETWORKDAYS(D9,E9,'附录-节假日'!$A$1:$A$32)</f>
        <v>7</v>
      </c>
      <c r="I9" s="353">
        <f t="shared" si="0"/>
        <v>0.0573394495412844</v>
      </c>
      <c r="J9" s="354">
        <f>IF(OR(F9=""),H9/NETWORKDAYS(B$6,C9,'附录-节假日'!$A$1:$A$29),H9/NETWORKDAYS(F$6,G9,'附录-节假日'!$A$1:$A$29))</f>
        <v>0.291666666666667</v>
      </c>
      <c r="K9" s="355"/>
      <c r="L9" s="356"/>
    </row>
    <row r="10" ht="15" customHeight="1" spans="1:12">
      <c r="A10" s="88" t="s">
        <v>565</v>
      </c>
      <c r="B10" s="320">
        <v>43215</v>
      </c>
      <c r="C10" s="320">
        <v>43243</v>
      </c>
      <c r="D10" s="320">
        <v>43215</v>
      </c>
      <c r="E10" s="320">
        <v>43242</v>
      </c>
      <c r="F10" s="320">
        <v>43215</v>
      </c>
      <c r="G10" s="320">
        <v>43243</v>
      </c>
      <c r="H10" s="322">
        <f>NETWORKDAYS(D10,E10,'附录-节假日'!$A$1:$A$32)</f>
        <v>18</v>
      </c>
      <c r="I10" s="353">
        <f t="shared" si="0"/>
        <v>0.147444298820446</v>
      </c>
      <c r="J10" s="354">
        <f>IF(OR(F10=""),H10/NETWORKDAYS(B$6,C10,'附录-节假日'!$A$1:$A$29),H10/NETWORKDAYS(F$6,G10,'附录-节假日'!$A$1:$A$29))</f>
        <v>0.514285714285714</v>
      </c>
      <c r="K10" s="355"/>
      <c r="L10" s="356"/>
    </row>
    <row r="11" ht="15" customHeight="1" spans="1:12">
      <c r="A11" s="88" t="s">
        <v>566</v>
      </c>
      <c r="B11" s="320">
        <v>43234</v>
      </c>
      <c r="C11" s="320">
        <v>43257</v>
      </c>
      <c r="D11" s="320">
        <v>43234</v>
      </c>
      <c r="E11" s="320">
        <v>43256</v>
      </c>
      <c r="F11" s="320">
        <v>43234</v>
      </c>
      <c r="G11" s="320">
        <v>43257</v>
      </c>
      <c r="H11" s="322">
        <f>NETWORKDAYS(D11,E11,'附录-节假日'!$A$1:$A$32)</f>
        <v>17</v>
      </c>
      <c r="I11" s="353">
        <f t="shared" si="0"/>
        <v>0.139252948885976</v>
      </c>
      <c r="J11" s="354">
        <f>IF(OR(F11=""),H11/NETWORKDAYS(B$6,C11,'附录-节假日'!$A$1:$A$29),H11/NETWORKDAYS(F$6,G11,'附录-节假日'!$A$1:$A$29))</f>
        <v>0.377777777777778</v>
      </c>
      <c r="K11" s="355"/>
      <c r="L11" s="356"/>
    </row>
    <row r="12" ht="15" customHeight="1" spans="1:18">
      <c r="A12" s="84" t="s">
        <v>405</v>
      </c>
      <c r="B12" s="320">
        <v>43210</v>
      </c>
      <c r="C12" s="320">
        <v>43287</v>
      </c>
      <c r="D12" s="320">
        <v>43210</v>
      </c>
      <c r="E12" s="320">
        <v>43283</v>
      </c>
      <c r="F12" s="320">
        <v>43210</v>
      </c>
      <c r="G12" s="320">
        <v>43287</v>
      </c>
      <c r="H12" s="322">
        <f>NETWORKDAYS(D12,E12,'附录-节假日'!$A$1:$A$32)</f>
        <v>49</v>
      </c>
      <c r="I12" s="353">
        <f>H12/126.95</f>
        <v>0.385978731784167</v>
      </c>
      <c r="J12" s="357">
        <f>J16</f>
        <v>0.318181818181818</v>
      </c>
      <c r="K12" s="355"/>
      <c r="L12" s="356"/>
      <c r="N12" s="176"/>
      <c r="O12" s="43" t="s">
        <v>134</v>
      </c>
      <c r="P12" s="349" t="s">
        <v>173</v>
      </c>
      <c r="Q12" s="349" t="s">
        <v>174</v>
      </c>
      <c r="R12" s="349" t="s">
        <v>175</v>
      </c>
    </row>
    <row r="13" ht="15" customHeight="1" spans="1:18">
      <c r="A13" s="88" t="s">
        <v>567</v>
      </c>
      <c r="B13" s="320">
        <v>43210</v>
      </c>
      <c r="C13" s="320">
        <v>43214</v>
      </c>
      <c r="D13" s="320">
        <v>43210</v>
      </c>
      <c r="E13" s="320">
        <v>43214</v>
      </c>
      <c r="F13" s="320">
        <v>43210</v>
      </c>
      <c r="G13" s="320">
        <v>43214</v>
      </c>
      <c r="H13" s="322">
        <f>NETWORKDAYS(D13,E13,'附录-节假日'!$A$1:$A$32)</f>
        <v>3</v>
      </c>
      <c r="I13" s="353">
        <f t="shared" ref="I13:I16" si="1">H13/126.95</f>
        <v>0.0236313509255612</v>
      </c>
      <c r="J13" s="354">
        <f>IF(OR(F13=""),H13/NETWORKDAYS(B$6,C13,'附录-节假日'!$A$1:$A$29),H13/NETWORKDAYS(F$6,G13,'附录-节假日'!$A$1:$A$29))</f>
        <v>0.1875</v>
      </c>
      <c r="K13" s="355"/>
      <c r="L13" s="356"/>
      <c r="N13" s="88" t="s">
        <v>565</v>
      </c>
      <c r="O13" s="359">
        <f>I10</f>
        <v>0.147444298820446</v>
      </c>
      <c r="P13" s="349">
        <v>0.0002</v>
      </c>
      <c r="Q13" s="349">
        <v>0.269</v>
      </c>
      <c r="R13" s="349">
        <v>0.5378</v>
      </c>
    </row>
    <row r="14" ht="15" customHeight="1" spans="1:18">
      <c r="A14" s="88" t="s">
        <v>568</v>
      </c>
      <c r="B14" s="320">
        <v>43214</v>
      </c>
      <c r="C14" s="320">
        <v>43227</v>
      </c>
      <c r="D14" s="320">
        <v>43214</v>
      </c>
      <c r="E14" s="320">
        <v>43228</v>
      </c>
      <c r="F14" s="320">
        <v>43214</v>
      </c>
      <c r="G14" s="320">
        <v>43227</v>
      </c>
      <c r="H14" s="322">
        <f>NETWORKDAYS(D14,E14,'附录-节假日'!$A$1:$A$32)</f>
        <v>9</v>
      </c>
      <c r="I14" s="353">
        <f t="shared" si="1"/>
        <v>0.0708940527766837</v>
      </c>
      <c r="J14" s="354">
        <f>IF(OR(F14=""),H14/NETWORKDAYS(B$6,C14,'附录-节假日'!$A$1:$A$29),H14/NETWORKDAYS(F$6,G14,'附录-节假日'!$A$1:$A$29))</f>
        <v>0.391304347826087</v>
      </c>
      <c r="K14" s="355"/>
      <c r="L14" s="356"/>
      <c r="N14" s="88" t="s">
        <v>569</v>
      </c>
      <c r="O14" s="359">
        <f>I15</f>
        <v>0.228436392280425</v>
      </c>
      <c r="P14" s="349">
        <v>0.0002</v>
      </c>
      <c r="Q14" s="349">
        <v>0.269</v>
      </c>
      <c r="R14" s="349">
        <v>0.5378</v>
      </c>
    </row>
    <row r="15" ht="15" customHeight="1" spans="1:18">
      <c r="A15" s="88" t="s">
        <v>569</v>
      </c>
      <c r="B15" s="320">
        <v>43217</v>
      </c>
      <c r="C15" s="320">
        <v>43262</v>
      </c>
      <c r="D15" s="320">
        <v>43217</v>
      </c>
      <c r="E15" s="320">
        <v>43259</v>
      </c>
      <c r="F15" s="320">
        <v>43217</v>
      </c>
      <c r="G15" s="320">
        <v>43262</v>
      </c>
      <c r="H15" s="322">
        <f>NETWORKDAYS(D15,E15,'附录-节假日'!$A$1:$A$32)</f>
        <v>29</v>
      </c>
      <c r="I15" s="353">
        <f t="shared" si="1"/>
        <v>0.228436392280425</v>
      </c>
      <c r="J15" s="354">
        <f>IF(OR(F15=""),H15/NETWORKDAYS(B$6,C15,'附录-节假日'!$A$1:$A$29),H15/NETWORKDAYS(F$6,G15,'附录-节假日'!$A$1:$A$29))</f>
        <v>0.604166666666667</v>
      </c>
      <c r="K15" s="355"/>
      <c r="L15" s="356"/>
      <c r="N15" s="88" t="s">
        <v>573</v>
      </c>
      <c r="O15" s="359">
        <f>I20</f>
        <v>0.39379198517489</v>
      </c>
      <c r="P15" s="349">
        <v>0.0002</v>
      </c>
      <c r="Q15" s="349">
        <v>0.269</v>
      </c>
      <c r="R15" s="349">
        <v>0.5378</v>
      </c>
    </row>
    <row r="16" ht="15" customHeight="1" spans="1:18">
      <c r="A16" s="88" t="s">
        <v>570</v>
      </c>
      <c r="B16" s="320">
        <v>43252</v>
      </c>
      <c r="C16" s="320">
        <v>43287</v>
      </c>
      <c r="D16" s="320">
        <v>43252</v>
      </c>
      <c r="E16" s="320">
        <v>43283</v>
      </c>
      <c r="F16" s="320">
        <v>43252</v>
      </c>
      <c r="G16" s="320">
        <v>43287</v>
      </c>
      <c r="H16" s="322">
        <f>NETWORKDAYS(D16,E16,'附录-节假日'!$A$1:$A$32)</f>
        <v>21</v>
      </c>
      <c r="I16" s="353">
        <f t="shared" si="1"/>
        <v>0.165419456478929</v>
      </c>
      <c r="J16" s="354">
        <f>IF(OR(F16=""),H16/NETWORKDAYS(B$6,C16,'附录-节假日'!$A$1:$A$29),H16/NETWORKDAYS(F$6,G16,'附录-节假日'!$A$1:$A$29))</f>
        <v>0.318181818181818</v>
      </c>
      <c r="K16" s="355"/>
      <c r="L16" s="356"/>
      <c r="N16" s="88" t="s">
        <v>577</v>
      </c>
      <c r="O16" s="359">
        <f>I25</f>
        <v>0.192228477275848</v>
      </c>
      <c r="P16" s="349">
        <v>0.0002</v>
      </c>
      <c r="Q16" s="349">
        <v>0.269</v>
      </c>
      <c r="R16" s="349">
        <v>0.5378</v>
      </c>
    </row>
    <row r="17" ht="15" customHeight="1" spans="1:12">
      <c r="A17" s="84" t="s">
        <v>406</v>
      </c>
      <c r="B17" s="320">
        <v>43280</v>
      </c>
      <c r="C17" s="320">
        <v>43320</v>
      </c>
      <c r="D17" s="320">
        <v>43280</v>
      </c>
      <c r="E17" s="320">
        <v>43319</v>
      </c>
      <c r="F17" s="320">
        <v>43280</v>
      </c>
      <c r="G17" s="320">
        <v>43320</v>
      </c>
      <c r="H17" s="322">
        <f>NETWORKDAYS(D17,E17,'附录-节假日'!$A$1:$A$32)</f>
        <v>28</v>
      </c>
      <c r="I17" s="353">
        <f>H17/43.17</f>
        <v>0.648598563817466</v>
      </c>
      <c r="J17" s="357">
        <f>J21</f>
        <v>0.112359550561798</v>
      </c>
      <c r="K17" s="355"/>
      <c r="L17" s="356"/>
    </row>
    <row r="18" ht="15" customHeight="1" spans="1:12">
      <c r="A18" s="88" t="s">
        <v>571</v>
      </c>
      <c r="B18" s="320">
        <v>43280</v>
      </c>
      <c r="C18" s="320">
        <v>43283</v>
      </c>
      <c r="D18" s="320">
        <v>43280</v>
      </c>
      <c r="E18" s="320">
        <v>43283</v>
      </c>
      <c r="F18" s="320">
        <v>43280</v>
      </c>
      <c r="G18" s="320">
        <v>43283</v>
      </c>
      <c r="H18" s="322">
        <f>NETWORKDAYS(D18,E18,'附录-节假日'!$A$1:$A$32)</f>
        <v>2</v>
      </c>
      <c r="I18" s="353">
        <f t="shared" ref="I18:I22" si="2">H18/43.17</f>
        <v>0.0463284688441047</v>
      </c>
      <c r="J18" s="354">
        <f>IF(OR(F18=""),H18/NETWORKDAYS(B$6,C18,'附录-节假日'!$A$1:$A$29),H18/NETWORKDAYS(F$6,G18,'附录-节假日'!$A$1:$A$29))</f>
        <v>0.032258064516129</v>
      </c>
      <c r="K18" s="360"/>
      <c r="L18" s="361"/>
    </row>
    <row r="19" ht="15" customHeight="1" spans="1:18">
      <c r="A19" s="88" t="s">
        <v>572</v>
      </c>
      <c r="B19" s="320">
        <v>43284</v>
      </c>
      <c r="C19" s="320">
        <v>43287</v>
      </c>
      <c r="D19" s="320">
        <v>43284</v>
      </c>
      <c r="E19" s="320">
        <v>43292</v>
      </c>
      <c r="F19" s="320">
        <v>43284</v>
      </c>
      <c r="G19" s="320">
        <v>43287</v>
      </c>
      <c r="H19" s="322">
        <f>NETWORKDAYS(D19,E19,'附录-节假日'!$A$1:$A$32)</f>
        <v>7</v>
      </c>
      <c r="I19" s="353">
        <f t="shared" si="2"/>
        <v>0.162149640954366</v>
      </c>
      <c r="J19" s="354">
        <f>IF(OR(F19=""),H19/NETWORKDAYS(B$6,C19,'附录-节假日'!$A$1:$A$29),H19/NETWORKDAYS(F$6,G19,'附录-节假日'!$A$1:$A$29))</f>
        <v>0.106060606060606</v>
      </c>
      <c r="K19" s="360" t="s">
        <v>604</v>
      </c>
      <c r="L19" s="361" t="s">
        <v>605</v>
      </c>
      <c r="N19" s="176"/>
      <c r="O19" s="43" t="s">
        <v>134</v>
      </c>
      <c r="P19" s="349" t="s">
        <v>173</v>
      </c>
      <c r="Q19" s="349" t="s">
        <v>174</v>
      </c>
      <c r="R19" s="349" t="s">
        <v>175</v>
      </c>
    </row>
    <row r="20" ht="15" customHeight="1" spans="1:18">
      <c r="A20" s="88" t="s">
        <v>573</v>
      </c>
      <c r="B20" s="320">
        <v>43284</v>
      </c>
      <c r="C20" s="320">
        <v>43306</v>
      </c>
      <c r="D20" s="320">
        <v>43284</v>
      </c>
      <c r="E20" s="320">
        <v>43306</v>
      </c>
      <c r="F20" s="320">
        <v>43284</v>
      </c>
      <c r="G20" s="320">
        <v>43306</v>
      </c>
      <c r="H20" s="322">
        <f>NETWORKDAYS(D20,E20,'附录-节假日'!$A$1:$A$32)</f>
        <v>17</v>
      </c>
      <c r="I20" s="353">
        <f t="shared" si="2"/>
        <v>0.39379198517489</v>
      </c>
      <c r="J20" s="354">
        <f>IF(OR(F20=""),H20/NETWORKDAYS(B$6,C20,'附录-节假日'!$A$1:$A$29),H20/NETWORKDAYS(F$6,G20,'附录-节假日'!$A$1:$A$29))</f>
        <v>0.215189873417722</v>
      </c>
      <c r="K20" s="360"/>
      <c r="L20" s="361"/>
      <c r="N20" s="88" t="s">
        <v>566</v>
      </c>
      <c r="O20" s="359">
        <f>I11</f>
        <v>0.139252948885976</v>
      </c>
      <c r="P20" s="349">
        <v>0.0003</v>
      </c>
      <c r="Q20" s="349">
        <v>0.2412</v>
      </c>
      <c r="R20" s="349">
        <v>0.4821</v>
      </c>
    </row>
    <row r="21" ht="15" customHeight="1" spans="1:18">
      <c r="A21" s="88" t="s">
        <v>574</v>
      </c>
      <c r="B21" s="320">
        <v>43306</v>
      </c>
      <c r="C21" s="320">
        <v>43320</v>
      </c>
      <c r="D21" s="320">
        <v>43306</v>
      </c>
      <c r="E21" s="320">
        <v>43319</v>
      </c>
      <c r="F21" s="320">
        <v>43306</v>
      </c>
      <c r="G21" s="320">
        <v>43320</v>
      </c>
      <c r="H21" s="322">
        <f>NETWORKDAYS(D21,E21,'附录-节假日'!$A$1:$A$32)</f>
        <v>10</v>
      </c>
      <c r="I21" s="353">
        <f t="shared" si="2"/>
        <v>0.231642344220524</v>
      </c>
      <c r="J21" s="354">
        <f>IF(OR(F21=""),H21/NETWORKDAYS(B$6,C21,'附录-节假日'!$A$1:$A$29),H21/NETWORKDAYS(F$6,G21,'附录-节假日'!$A$1:$A$29))</f>
        <v>0.112359550561798</v>
      </c>
      <c r="K21" s="360"/>
      <c r="L21" s="361"/>
      <c r="N21" s="88" t="s">
        <v>570</v>
      </c>
      <c r="O21" s="359">
        <f>I16</f>
        <v>0.165419456478929</v>
      </c>
      <c r="P21" s="349">
        <v>0.0003</v>
      </c>
      <c r="Q21" s="349">
        <v>0.2412</v>
      </c>
      <c r="R21" s="349">
        <v>0.4821</v>
      </c>
    </row>
    <row r="22" ht="15" customHeight="1" spans="1:18">
      <c r="A22" s="323" t="s">
        <v>407</v>
      </c>
      <c r="B22" s="320">
        <v>43322</v>
      </c>
      <c r="C22" s="320">
        <v>43355</v>
      </c>
      <c r="D22" s="320">
        <v>43322</v>
      </c>
      <c r="E22" s="320">
        <v>43355</v>
      </c>
      <c r="F22" s="320">
        <v>43322</v>
      </c>
      <c r="G22" s="320">
        <v>43355</v>
      </c>
      <c r="H22" s="322">
        <f>NETWORKDAYS(D22,E22,'附录-节假日'!$A$1:$A$32)</f>
        <v>24</v>
      </c>
      <c r="I22" s="353">
        <f t="shared" si="2"/>
        <v>0.555941626129256</v>
      </c>
      <c r="J22" s="357">
        <f>J26</f>
        <v>0.0789473684210526</v>
      </c>
      <c r="K22" s="360"/>
      <c r="L22" s="362"/>
      <c r="N22" s="88" t="s">
        <v>574</v>
      </c>
      <c r="O22" s="359">
        <f>I21</f>
        <v>0.231642344220524</v>
      </c>
      <c r="P22" s="349">
        <v>0.0003</v>
      </c>
      <c r="Q22" s="349">
        <v>0.2412</v>
      </c>
      <c r="R22" s="349">
        <v>0.4821</v>
      </c>
    </row>
    <row r="23" ht="15" customHeight="1" spans="1:18">
      <c r="A23" s="88" t="s">
        <v>575</v>
      </c>
      <c r="B23" s="320">
        <v>43322</v>
      </c>
      <c r="C23" s="320">
        <v>43326</v>
      </c>
      <c r="D23" s="320">
        <v>43322</v>
      </c>
      <c r="E23" s="320">
        <v>43326</v>
      </c>
      <c r="F23" s="320">
        <v>43322</v>
      </c>
      <c r="G23" s="320">
        <v>43326</v>
      </c>
      <c r="H23" s="322">
        <f>NETWORKDAYS(D23,E23,'附录-节假日'!$A$1:$A$32)</f>
        <v>3</v>
      </c>
      <c r="I23" s="353">
        <f>H23/72.83</f>
        <v>0.0411918165591103</v>
      </c>
      <c r="J23" s="354">
        <f>IF(OR(F23=""),H23/NETWORKDAYS(B$6,C23,'附录-节假日'!$A$1:$A$29),H23/NETWORKDAYS(F$6,G23,'附录-节假日'!$A$1:$A$29))</f>
        <v>0.032258064516129</v>
      </c>
      <c r="K23" s="360"/>
      <c r="L23" s="362"/>
      <c r="N23" s="88" t="s">
        <v>578</v>
      </c>
      <c r="O23" s="359">
        <f>I26</f>
        <v>0.123575449677331</v>
      </c>
      <c r="P23" s="349">
        <v>0.0003</v>
      </c>
      <c r="Q23" s="349">
        <v>0.2412</v>
      </c>
      <c r="R23" s="349">
        <v>0.4821</v>
      </c>
    </row>
    <row r="24" ht="15" customHeight="1" spans="1:12">
      <c r="A24" s="88" t="s">
        <v>576</v>
      </c>
      <c r="B24" s="320">
        <v>43325</v>
      </c>
      <c r="C24" s="320">
        <v>43328</v>
      </c>
      <c r="D24" s="320">
        <v>43325</v>
      </c>
      <c r="E24" s="320">
        <v>43327</v>
      </c>
      <c r="F24" s="320">
        <v>43325</v>
      </c>
      <c r="G24" s="320">
        <v>43328</v>
      </c>
      <c r="H24" s="322">
        <f>NETWORKDAYS(D24,E24,'附录-节假日'!$A$1:$A$32)</f>
        <v>3</v>
      </c>
      <c r="I24" s="353">
        <f t="shared" ref="I24:I26" si="3">H24/72.83</f>
        <v>0.0411918165591103</v>
      </c>
      <c r="J24" s="354">
        <f>IF(OR(F24=""),H24/NETWORKDAYS(B$6,C24,'附录-节假日'!$A$1:$A$29),H24/NETWORKDAYS(F$6,G24,'附录-节假日'!$A$1:$A$29))</f>
        <v>0.0315789473684211</v>
      </c>
      <c r="K24" s="360" t="s">
        <v>606</v>
      </c>
      <c r="L24" s="362"/>
    </row>
    <row r="25" ht="15" customHeight="1" spans="1:12">
      <c r="A25" s="88" t="s">
        <v>577</v>
      </c>
      <c r="B25" s="320">
        <v>43325</v>
      </c>
      <c r="C25" s="320">
        <v>43342</v>
      </c>
      <c r="D25" s="320">
        <v>43322</v>
      </c>
      <c r="E25" s="320">
        <v>43341</v>
      </c>
      <c r="F25" s="320">
        <v>43325</v>
      </c>
      <c r="G25" s="320">
        <v>43342</v>
      </c>
      <c r="H25" s="322">
        <f>NETWORKDAYS(D25,E25,'附录-节假日'!$A$1:$A$32)</f>
        <v>14</v>
      </c>
      <c r="I25" s="353">
        <f t="shared" si="3"/>
        <v>0.192228477275848</v>
      </c>
      <c r="J25" s="354">
        <f>IF(OR(F25=""),H25/NETWORKDAYS(B$6,C25,'附录-节假日'!$A$1:$A$29),H25/NETWORKDAYS(F$6,G25,'附录-节假日'!$A$1:$A$29))</f>
        <v>0.133333333333333</v>
      </c>
      <c r="K25" s="360"/>
      <c r="L25" s="362"/>
    </row>
    <row r="26" ht="15" customHeight="1" spans="1:12">
      <c r="A26" s="88" t="s">
        <v>578</v>
      </c>
      <c r="B26" s="320">
        <v>43343</v>
      </c>
      <c r="C26" s="320">
        <v>43355</v>
      </c>
      <c r="D26" s="320">
        <v>43342</v>
      </c>
      <c r="E26" s="320">
        <v>43354</v>
      </c>
      <c r="F26" s="320">
        <v>43343</v>
      </c>
      <c r="G26" s="320">
        <v>43355</v>
      </c>
      <c r="H26" s="322">
        <f>NETWORKDAYS(D26,E26,'附录-节假日'!$A$1:$A$32)</f>
        <v>9</v>
      </c>
      <c r="I26" s="353">
        <f t="shared" si="3"/>
        <v>0.123575449677331</v>
      </c>
      <c r="J26" s="354">
        <f>IF(OR(F26=""),H26/NETWORKDAYS(B$6,C26,'附录-节假日'!$A$1:$A$29),H26/NETWORKDAYS(F$6,G26,'附录-节假日'!$A$1:$A$29))</f>
        <v>0.0789473684210526</v>
      </c>
      <c r="K26" s="360"/>
      <c r="L26" s="362"/>
    </row>
    <row r="27" ht="15" customHeight="1" spans="1:12">
      <c r="A27" s="104" t="s">
        <v>398</v>
      </c>
      <c r="B27" s="320">
        <v>43355</v>
      </c>
      <c r="C27" s="320">
        <v>43369</v>
      </c>
      <c r="D27" s="320">
        <v>43349</v>
      </c>
      <c r="E27" s="320">
        <v>43371</v>
      </c>
      <c r="F27" s="320">
        <v>43355</v>
      </c>
      <c r="G27" s="320">
        <v>43369</v>
      </c>
      <c r="H27" s="322">
        <f>NETWORKDAYS(D27,E27,'附录-节假日'!$A$1:$A$32)</f>
        <v>16</v>
      </c>
      <c r="I27" s="353">
        <f>H27/365.03</f>
        <v>0.0438320138070844</v>
      </c>
      <c r="J27" s="354">
        <f>IF(OR(F27=""),H27/NETWORKDAYS(B$6,C27,'附录-节假日'!$A$1:$A$29),H27/NETWORKDAYS(F$6,G27,'附录-节假日'!$A$1:$A$29))</f>
        <v>0.130081300813008</v>
      </c>
      <c r="K27" s="363"/>
      <c r="L27" s="364"/>
    </row>
    <row r="28" ht="14.25" customHeight="1" spans="1:11">
      <c r="A28" s="324"/>
      <c r="B28" s="324"/>
      <c r="C28" s="324"/>
      <c r="D28" s="324"/>
      <c r="E28" s="324"/>
      <c r="F28" s="324"/>
      <c r="G28" s="324"/>
      <c r="H28" s="325"/>
      <c r="I28" s="325"/>
      <c r="J28" s="325"/>
      <c r="K28" s="325"/>
    </row>
    <row r="29" ht="14.25" customHeight="1" spans="1:30">
      <c r="A29" s="326" t="s">
        <v>542</v>
      </c>
      <c r="B29" s="327" t="s">
        <v>607</v>
      </c>
      <c r="C29" s="327" t="str">
        <f t="shared" ref="C29:AC29" si="4">CONCATENATE("第",COLUMN(C29)-COLUMN($B$29),"周")</f>
        <v>第1周</v>
      </c>
      <c r="D29" s="327" t="str">
        <f t="shared" si="4"/>
        <v>第2周</v>
      </c>
      <c r="E29" s="327" t="str">
        <f t="shared" si="4"/>
        <v>第3周</v>
      </c>
      <c r="F29" s="327" t="str">
        <f t="shared" si="4"/>
        <v>第4周</v>
      </c>
      <c r="G29" s="327" t="str">
        <f t="shared" si="4"/>
        <v>第5周</v>
      </c>
      <c r="H29" s="327" t="str">
        <f t="shared" si="4"/>
        <v>第6周</v>
      </c>
      <c r="I29" s="327" t="str">
        <f t="shared" si="4"/>
        <v>第7周</v>
      </c>
      <c r="J29" s="327" t="str">
        <f t="shared" si="4"/>
        <v>第8周</v>
      </c>
      <c r="K29" s="327" t="str">
        <f t="shared" si="4"/>
        <v>第9周</v>
      </c>
      <c r="L29" s="327" t="str">
        <f t="shared" si="4"/>
        <v>第10周</v>
      </c>
      <c r="M29" s="327" t="str">
        <f t="shared" si="4"/>
        <v>第11周</v>
      </c>
      <c r="N29" s="327" t="str">
        <f t="shared" si="4"/>
        <v>第12周</v>
      </c>
      <c r="O29" s="327" t="str">
        <f t="shared" si="4"/>
        <v>第13周</v>
      </c>
      <c r="P29" s="327" t="str">
        <f t="shared" si="4"/>
        <v>第14周</v>
      </c>
      <c r="Q29" s="327" t="str">
        <f t="shared" si="4"/>
        <v>第15周</v>
      </c>
      <c r="R29" s="327" t="str">
        <f t="shared" si="4"/>
        <v>第16周</v>
      </c>
      <c r="S29" s="327" t="str">
        <f t="shared" si="4"/>
        <v>第17周</v>
      </c>
      <c r="T29" s="327" t="str">
        <f t="shared" si="4"/>
        <v>第18周</v>
      </c>
      <c r="U29" s="327" t="str">
        <f t="shared" si="4"/>
        <v>第19周</v>
      </c>
      <c r="V29" s="327" t="str">
        <f t="shared" si="4"/>
        <v>第20周</v>
      </c>
      <c r="W29" s="327" t="str">
        <f t="shared" si="4"/>
        <v>第21周</v>
      </c>
      <c r="X29" s="327" t="str">
        <f t="shared" si="4"/>
        <v>第22周</v>
      </c>
      <c r="Y29" s="327" t="str">
        <f t="shared" si="4"/>
        <v>第23周</v>
      </c>
      <c r="Z29" s="327" t="str">
        <f t="shared" si="4"/>
        <v>第24周</v>
      </c>
      <c r="AA29" s="327" t="str">
        <f t="shared" si="4"/>
        <v>第25周</v>
      </c>
      <c r="AB29" s="327" t="str">
        <f t="shared" si="4"/>
        <v>第26周</v>
      </c>
      <c r="AC29" s="327" t="str">
        <f t="shared" si="4"/>
        <v>第27周</v>
      </c>
      <c r="AD29" s="327" t="s">
        <v>608</v>
      </c>
    </row>
    <row r="30" ht="14.25" customHeight="1" spans="1:30">
      <c r="A30" s="326"/>
      <c r="B30" s="326" t="s">
        <v>269</v>
      </c>
      <c r="C30" s="328">
        <v>0</v>
      </c>
      <c r="D30" s="328">
        <v>0</v>
      </c>
      <c r="E30" s="328">
        <v>0</v>
      </c>
      <c r="F30" s="328">
        <v>0</v>
      </c>
      <c r="G30" s="328">
        <v>-0.01</v>
      </c>
      <c r="H30" s="328">
        <v>-0.02</v>
      </c>
      <c r="I30" s="328">
        <v>-0.027</v>
      </c>
      <c r="J30" s="328">
        <v>-0.0304</v>
      </c>
      <c r="K30" s="328">
        <v>-0.0425</v>
      </c>
      <c r="L30" s="328">
        <v>-0.05</v>
      </c>
      <c r="M30" s="328">
        <v>-0.054</v>
      </c>
      <c r="N30" s="328">
        <v>-0.034</v>
      </c>
      <c r="O30" s="328">
        <v>-0.0103</v>
      </c>
      <c r="P30" s="328">
        <v>0.0201</v>
      </c>
      <c r="Q30" s="328">
        <v>0.009</v>
      </c>
      <c r="R30" s="328">
        <v>0.0068</v>
      </c>
      <c r="S30" s="328">
        <v>-0.01</v>
      </c>
      <c r="T30" s="328">
        <v>-0.0033</v>
      </c>
      <c r="U30" s="328">
        <v>0.008</v>
      </c>
      <c r="V30" s="328">
        <v>0.0115</v>
      </c>
      <c r="W30" s="328">
        <v>-0.03</v>
      </c>
      <c r="X30" s="328">
        <v>-0.023</v>
      </c>
      <c r="Y30" s="328">
        <v>-0.017</v>
      </c>
      <c r="Z30" s="328">
        <v>-0.024</v>
      </c>
      <c r="AA30" s="328">
        <v>-0.009</v>
      </c>
      <c r="AB30" s="328">
        <v>-0.004</v>
      </c>
      <c r="AC30" s="328">
        <v>0</v>
      </c>
      <c r="AD30" s="368">
        <v>0</v>
      </c>
    </row>
    <row r="31" ht="14.25" customHeight="1" spans="1:30">
      <c r="A31" s="329" t="s">
        <v>540</v>
      </c>
      <c r="B31" s="220" t="s">
        <v>173</v>
      </c>
      <c r="C31" s="330">
        <v>-0.1037</v>
      </c>
      <c r="D31" s="330">
        <v>-0.1037</v>
      </c>
      <c r="E31" s="330">
        <v>-0.1037</v>
      </c>
      <c r="F31" s="330">
        <v>-0.1037</v>
      </c>
      <c r="G31" s="330">
        <v>-0.1037</v>
      </c>
      <c r="H31" s="330">
        <v>-0.1037</v>
      </c>
      <c r="I31" s="330">
        <v>-0.1037</v>
      </c>
      <c r="J31" s="330">
        <v>-0.1037</v>
      </c>
      <c r="K31" s="330">
        <v>-0.1037</v>
      </c>
      <c r="L31" s="330">
        <v>-0.1037</v>
      </c>
      <c r="M31" s="330">
        <v>-0.1037</v>
      </c>
      <c r="N31" s="330">
        <v>-0.1037</v>
      </c>
      <c r="O31" s="330">
        <v>-0.1037</v>
      </c>
      <c r="P31" s="330">
        <v>-0.1037</v>
      </c>
      <c r="Q31" s="330">
        <v>-0.1037</v>
      </c>
      <c r="R31" s="330">
        <v>-0.1037</v>
      </c>
      <c r="S31" s="330">
        <v>-0.1037</v>
      </c>
      <c r="T31" s="330">
        <v>-0.1037</v>
      </c>
      <c r="U31" s="330">
        <v>-0.1037</v>
      </c>
      <c r="V31" s="330">
        <v>-0.1037</v>
      </c>
      <c r="W31" s="330">
        <v>-0.1037</v>
      </c>
      <c r="X31" s="330">
        <v>-0.1037</v>
      </c>
      <c r="Y31" s="330">
        <v>-0.1037</v>
      </c>
      <c r="Z31" s="330">
        <v>-0.1037</v>
      </c>
      <c r="AA31" s="330">
        <v>-0.1037</v>
      </c>
      <c r="AB31" s="330">
        <v>-0.1037</v>
      </c>
      <c r="AC31" s="330">
        <v>-0.1037</v>
      </c>
      <c r="AD31" s="368">
        <v>-0.1</v>
      </c>
    </row>
    <row r="32" ht="14.25" customHeight="1" spans="1:30">
      <c r="A32" s="329"/>
      <c r="B32" s="221" t="s">
        <v>174</v>
      </c>
      <c r="C32" s="331">
        <v>-0.0171</v>
      </c>
      <c r="D32" s="331">
        <v>-0.0171</v>
      </c>
      <c r="E32" s="331">
        <v>-0.0171</v>
      </c>
      <c r="F32" s="331">
        <v>-0.0171</v>
      </c>
      <c r="G32" s="331">
        <v>-0.0171</v>
      </c>
      <c r="H32" s="331">
        <v>-0.0171</v>
      </c>
      <c r="I32" s="331">
        <v>-0.0171</v>
      </c>
      <c r="J32" s="331">
        <v>-0.0171</v>
      </c>
      <c r="K32" s="331">
        <v>-0.0171</v>
      </c>
      <c r="L32" s="331">
        <v>-0.0171</v>
      </c>
      <c r="M32" s="331">
        <v>-0.0171</v>
      </c>
      <c r="N32" s="331">
        <v>-0.0171</v>
      </c>
      <c r="O32" s="331">
        <v>-0.0171</v>
      </c>
      <c r="P32" s="331">
        <v>-0.0171</v>
      </c>
      <c r="Q32" s="331">
        <v>-0.0171</v>
      </c>
      <c r="R32" s="331">
        <v>-0.0171</v>
      </c>
      <c r="S32" s="331">
        <v>-0.0171</v>
      </c>
      <c r="T32" s="331">
        <v>-0.0171</v>
      </c>
      <c r="U32" s="331">
        <v>-0.0171</v>
      </c>
      <c r="V32" s="331">
        <v>-0.0171</v>
      </c>
      <c r="W32" s="331">
        <v>-0.0171</v>
      </c>
      <c r="X32" s="331">
        <v>-0.0171</v>
      </c>
      <c r="Y32" s="331">
        <v>-0.0171</v>
      </c>
      <c r="Z32" s="331">
        <v>-0.0171</v>
      </c>
      <c r="AA32" s="331">
        <v>-0.0171</v>
      </c>
      <c r="AB32" s="331">
        <v>-0.0171</v>
      </c>
      <c r="AC32" s="331">
        <v>-0.0171</v>
      </c>
      <c r="AD32" s="368">
        <v>0.02</v>
      </c>
    </row>
    <row r="33" ht="14.25" customHeight="1" spans="1:30">
      <c r="A33" s="329"/>
      <c r="B33" s="220" t="s">
        <v>349</v>
      </c>
      <c r="C33" s="330">
        <v>0.0695</v>
      </c>
      <c r="D33" s="330">
        <v>0.0695</v>
      </c>
      <c r="E33" s="330">
        <v>0.0695</v>
      </c>
      <c r="F33" s="330">
        <v>0.0695</v>
      </c>
      <c r="G33" s="330">
        <v>0.0695</v>
      </c>
      <c r="H33" s="330">
        <v>0.0695</v>
      </c>
      <c r="I33" s="330">
        <v>0.0695</v>
      </c>
      <c r="J33" s="330">
        <v>0.0695</v>
      </c>
      <c r="K33" s="330">
        <v>0.0695</v>
      </c>
      <c r="L33" s="330">
        <v>0.0695</v>
      </c>
      <c r="M33" s="330">
        <v>0.0695</v>
      </c>
      <c r="N33" s="330">
        <v>0.0695</v>
      </c>
      <c r="O33" s="330">
        <v>0.0695</v>
      </c>
      <c r="P33" s="330">
        <v>0.0695</v>
      </c>
      <c r="Q33" s="330">
        <v>0.0695</v>
      </c>
      <c r="R33" s="330">
        <v>0.0695</v>
      </c>
      <c r="S33" s="330">
        <v>0.0695</v>
      </c>
      <c r="T33" s="330">
        <v>0.0695</v>
      </c>
      <c r="U33" s="330">
        <v>0.0695</v>
      </c>
      <c r="V33" s="330">
        <v>0.0695</v>
      </c>
      <c r="W33" s="330">
        <v>0.0695</v>
      </c>
      <c r="X33" s="330">
        <v>0.0695</v>
      </c>
      <c r="Y33" s="330">
        <v>0.0695</v>
      </c>
      <c r="Z33" s="330">
        <v>0.0695</v>
      </c>
      <c r="AA33" s="330">
        <v>0.0695</v>
      </c>
      <c r="AB33" s="330">
        <v>0.0695</v>
      </c>
      <c r="AC33" s="330">
        <v>0.0695</v>
      </c>
      <c r="AD33" s="368">
        <v>0.1</v>
      </c>
    </row>
    <row r="34" ht="14.25" customHeight="1" spans="1:8">
      <c r="A34" s="311"/>
      <c r="B34" s="311"/>
      <c r="C34" s="311"/>
      <c r="D34" s="311"/>
      <c r="E34" s="311"/>
      <c r="F34" s="311"/>
      <c r="G34" s="311"/>
      <c r="H34" s="264"/>
    </row>
    <row r="35" ht="14.25" customHeight="1" spans="1:7">
      <c r="A35" s="311"/>
      <c r="B35" s="311"/>
      <c r="C35" s="311"/>
      <c r="D35" s="311"/>
      <c r="E35" s="311"/>
      <c r="F35" s="311"/>
      <c r="G35" s="311"/>
    </row>
    <row r="36" ht="14.25" customHeight="1" spans="1:7">
      <c r="A36" s="311"/>
      <c r="B36" s="311"/>
      <c r="C36" s="311"/>
      <c r="D36" s="311"/>
      <c r="E36" s="311"/>
      <c r="F36" s="311"/>
      <c r="G36" s="311"/>
    </row>
    <row r="37" ht="14.25" customHeight="1" spans="1:7">
      <c r="A37" s="311"/>
      <c r="B37" s="311"/>
      <c r="C37" s="311"/>
      <c r="D37" s="311"/>
      <c r="E37" s="311"/>
      <c r="F37" s="311"/>
      <c r="G37" s="311"/>
    </row>
    <row r="38" ht="14.25" customHeight="1" spans="1:8">
      <c r="A38" s="311"/>
      <c r="B38" s="311"/>
      <c r="C38" s="311"/>
      <c r="D38" s="311"/>
      <c r="E38" s="311"/>
      <c r="F38" s="311"/>
      <c r="G38" s="311"/>
      <c r="H38" s="264"/>
    </row>
    <row r="39" ht="14.25" customHeight="1" spans="1:8">
      <c r="A39" s="311"/>
      <c r="B39" s="311"/>
      <c r="C39" s="311"/>
      <c r="D39" s="311"/>
      <c r="E39" s="311"/>
      <c r="F39" s="311"/>
      <c r="G39" s="311"/>
      <c r="H39" s="264"/>
    </row>
    <row r="40" ht="14.25" customHeight="1" spans="1:14">
      <c r="A40" s="311"/>
      <c r="B40" s="311"/>
      <c r="C40" s="311"/>
      <c r="D40" s="311"/>
      <c r="E40" s="311"/>
      <c r="F40" s="311"/>
      <c r="G40" s="311"/>
      <c r="H40" s="332" t="s">
        <v>609</v>
      </c>
      <c r="I40" s="332"/>
      <c r="J40" s="332"/>
      <c r="K40" s="332"/>
      <c r="L40" s="332"/>
      <c r="M40" s="332"/>
      <c r="N40" s="332"/>
    </row>
    <row r="41" ht="14.25" customHeight="1" spans="1:14">
      <c r="A41" s="311"/>
      <c r="B41" s="311"/>
      <c r="C41" s="311"/>
      <c r="D41" s="311"/>
      <c r="E41" s="311"/>
      <c r="F41" s="311"/>
      <c r="G41" s="311"/>
      <c r="H41" s="332"/>
      <c r="I41" s="332"/>
      <c r="J41" s="332"/>
      <c r="K41" s="332"/>
      <c r="L41" s="332"/>
      <c r="M41" s="332"/>
      <c r="N41" s="332"/>
    </row>
    <row r="42" ht="14.25" customHeight="1" spans="1:14">
      <c r="A42" s="311"/>
      <c r="B42" s="311"/>
      <c r="C42" s="311"/>
      <c r="D42" s="311"/>
      <c r="E42" s="311"/>
      <c r="F42" s="311"/>
      <c r="G42" s="311"/>
      <c r="H42" s="332"/>
      <c r="I42" s="332"/>
      <c r="J42" s="332"/>
      <c r="K42" s="332"/>
      <c r="L42" s="332"/>
      <c r="M42" s="332"/>
      <c r="N42" s="332"/>
    </row>
    <row r="43" ht="10.5" customHeight="1" spans="1:14">
      <c r="A43" s="311"/>
      <c r="B43" s="311"/>
      <c r="C43" s="311"/>
      <c r="D43" s="311"/>
      <c r="E43" s="311"/>
      <c r="F43" s="311"/>
      <c r="G43" s="311"/>
      <c r="H43" s="332"/>
      <c r="I43" s="332"/>
      <c r="J43" s="332"/>
      <c r="K43" s="332"/>
      <c r="L43" s="332"/>
      <c r="M43" s="332"/>
      <c r="N43" s="332"/>
    </row>
    <row r="44" ht="14.25" customHeight="1" spans="1:8">
      <c r="A44" s="311"/>
      <c r="B44" s="311"/>
      <c r="C44" s="311"/>
      <c r="D44" s="311"/>
      <c r="E44" s="311"/>
      <c r="F44" s="311"/>
      <c r="G44" s="311"/>
      <c r="H44" s="264"/>
    </row>
    <row r="45" ht="14.25" customHeight="1" spans="1:8">
      <c r="A45" s="311"/>
      <c r="B45" s="311"/>
      <c r="C45" s="311"/>
      <c r="D45" s="311"/>
      <c r="E45" s="311"/>
      <c r="F45" s="311"/>
      <c r="G45" s="311"/>
      <c r="H45" s="264"/>
    </row>
    <row r="46" ht="14.25" customHeight="1" spans="1:8">
      <c r="A46" s="311"/>
      <c r="B46" s="311"/>
      <c r="C46" s="311"/>
      <c r="D46" s="311"/>
      <c r="E46" s="311"/>
      <c r="F46" s="311"/>
      <c r="G46" s="311"/>
      <c r="H46" s="264"/>
    </row>
    <row r="47" ht="14.25" customHeight="1" spans="1:8">
      <c r="A47" s="311"/>
      <c r="B47" s="311"/>
      <c r="C47" s="311"/>
      <c r="D47" s="311"/>
      <c r="E47" s="311"/>
      <c r="F47" s="311"/>
      <c r="G47" s="311"/>
      <c r="H47" s="264"/>
    </row>
    <row r="48" ht="14.25" customHeight="1" spans="1:8">
      <c r="A48" s="311"/>
      <c r="B48" s="311"/>
      <c r="C48" s="311"/>
      <c r="D48" s="311"/>
      <c r="E48" s="311"/>
      <c r="F48" s="311"/>
      <c r="G48" s="311"/>
      <c r="H48" s="264"/>
    </row>
    <row r="49" hidden="1" spans="1:8">
      <c r="A49" s="69" t="s">
        <v>610</v>
      </c>
      <c r="B49" s="333"/>
      <c r="H49" s="264"/>
    </row>
    <row r="50" hidden="1" spans="1:8">
      <c r="A50" s="151" t="s">
        <v>611</v>
      </c>
      <c r="B50" s="151"/>
      <c r="C50" s="151"/>
      <c r="D50" s="151"/>
      <c r="G50" s="334"/>
      <c r="H50" s="264"/>
    </row>
    <row r="51" ht="12.75" hidden="1" spans="1:8">
      <c r="A51" s="312" t="s">
        <v>612</v>
      </c>
      <c r="B51" s="312"/>
      <c r="C51" s="312"/>
      <c r="D51" s="312"/>
      <c r="G51" s="334"/>
      <c r="H51" s="264"/>
    </row>
    <row r="52" ht="15" hidden="1" customHeight="1" spans="1:8">
      <c r="A52" s="335" t="s">
        <v>613</v>
      </c>
      <c r="B52" s="336" t="e">
        <f>C53/D53</f>
        <v>#DIV/0!</v>
      </c>
      <c r="C52" s="337" t="s">
        <v>614</v>
      </c>
      <c r="D52" s="338" t="s">
        <v>615</v>
      </c>
      <c r="H52" s="264"/>
    </row>
    <row r="53" ht="15" hidden="1" customHeight="1" spans="1:4">
      <c r="A53" s="339"/>
      <c r="B53" s="340"/>
      <c r="C53" s="341"/>
      <c r="D53" s="342"/>
    </row>
    <row r="54" ht="15" customHeight="1"/>
    <row r="55" ht="15" customHeight="1" spans="1:2">
      <c r="A55" s="69" t="s">
        <v>616</v>
      </c>
      <c r="B55" s="333"/>
    </row>
    <row r="56" spans="1:9">
      <c r="A56" s="44" t="s">
        <v>617</v>
      </c>
      <c r="B56" s="44"/>
      <c r="C56" s="44"/>
      <c r="D56" s="44"/>
      <c r="E56" s="44"/>
      <c r="F56" s="44"/>
      <c r="G56" s="44"/>
      <c r="H56" s="44"/>
      <c r="I56" s="44"/>
    </row>
    <row r="57" spans="1:9">
      <c r="A57" s="44" t="s">
        <v>618</v>
      </c>
      <c r="B57" s="44"/>
      <c r="C57" s="44"/>
      <c r="D57" s="44"/>
      <c r="E57" s="44"/>
      <c r="F57" s="44"/>
      <c r="G57" s="44"/>
      <c r="H57" s="44"/>
      <c r="I57" s="44"/>
    </row>
    <row r="58" ht="24" spans="1:10">
      <c r="A58" s="343" t="s">
        <v>619</v>
      </c>
      <c r="B58" s="343" t="s">
        <v>620</v>
      </c>
      <c r="C58" s="344" t="s">
        <v>621</v>
      </c>
      <c r="D58" s="344" t="s">
        <v>622</v>
      </c>
      <c r="E58" s="344" t="s">
        <v>623</v>
      </c>
      <c r="F58" s="344" t="s">
        <v>624</v>
      </c>
      <c r="G58" s="344" t="s">
        <v>625</v>
      </c>
      <c r="I58" s="365" t="s">
        <v>626</v>
      </c>
      <c r="J58" s="366" t="str">
        <f>C59</f>
        <v>——</v>
      </c>
    </row>
    <row r="59" ht="17.25" customHeight="1" spans="1:10">
      <c r="A59" s="345" t="s">
        <v>396</v>
      </c>
      <c r="B59" s="345">
        <f>14*3/21.75</f>
        <v>1.93103448275862</v>
      </c>
      <c r="C59" s="346" t="s">
        <v>562</v>
      </c>
      <c r="D59" s="346" t="s">
        <v>562</v>
      </c>
      <c r="E59" s="346" t="s">
        <v>562</v>
      </c>
      <c r="F59" s="346" t="s">
        <v>562</v>
      </c>
      <c r="G59" s="346" t="s">
        <v>562</v>
      </c>
      <c r="I59" s="365" t="s">
        <v>627</v>
      </c>
      <c r="J59" s="367" t="str">
        <f>G59</f>
        <v>——</v>
      </c>
    </row>
    <row r="60" ht="17.25" customHeight="1" spans="1:10">
      <c r="A60" s="345" t="s">
        <v>397</v>
      </c>
      <c r="B60" s="345">
        <f>30*6/21.75</f>
        <v>8.27586206896552</v>
      </c>
      <c r="C60" s="345">
        <f>工作量分布!E14/21.75</f>
        <v>11.4495586206897</v>
      </c>
      <c r="D60" s="346" t="s">
        <v>562</v>
      </c>
      <c r="E60" s="346" t="s">
        <v>562</v>
      </c>
      <c r="F60" s="346" t="s">
        <v>562</v>
      </c>
      <c r="G60" s="345">
        <f>(C60-B60)/B60</f>
        <v>0.383488333333333</v>
      </c>
      <c r="I60" s="365"/>
      <c r="J60" s="367"/>
    </row>
    <row r="61" ht="17.25" customHeight="1" spans="1:10">
      <c r="A61" s="345" t="s">
        <v>405</v>
      </c>
      <c r="B61" s="345">
        <f>50*6/21.75</f>
        <v>13.7931034482759</v>
      </c>
      <c r="C61" s="346" t="s">
        <v>562</v>
      </c>
      <c r="D61" s="345">
        <f>工作量分布!G14/21.75</f>
        <v>12.1434712643678</v>
      </c>
      <c r="E61" s="346" t="s">
        <v>562</v>
      </c>
      <c r="F61" s="346" t="s">
        <v>562</v>
      </c>
      <c r="G61" s="345">
        <f>(D61-B61)/B61</f>
        <v>-0.119598333333333</v>
      </c>
      <c r="I61" s="365"/>
      <c r="J61" s="367"/>
    </row>
    <row r="62" ht="17.25" customHeight="1" spans="1:10">
      <c r="A62" s="345" t="s">
        <v>406</v>
      </c>
      <c r="B62" s="345">
        <f>25*5/21.75</f>
        <v>5.74712643678161</v>
      </c>
      <c r="C62" s="346" t="s">
        <v>562</v>
      </c>
      <c r="D62" s="346" t="s">
        <v>562</v>
      </c>
      <c r="E62" s="345">
        <f>工作量分布!I14/21.75</f>
        <v>3.4695632183908</v>
      </c>
      <c r="F62" s="346" t="s">
        <v>562</v>
      </c>
      <c r="G62" s="345">
        <f>(E62-B62)/B62</f>
        <v>-0.396296</v>
      </c>
      <c r="I62" s="365"/>
      <c r="J62" s="367"/>
    </row>
    <row r="63" ht="17.25" customHeight="1" spans="1:10">
      <c r="A63" s="345" t="s">
        <v>407</v>
      </c>
      <c r="B63" s="345">
        <f>25*6/21.75</f>
        <v>6.89655172413793</v>
      </c>
      <c r="C63" s="346" t="s">
        <v>562</v>
      </c>
      <c r="D63" s="346" t="s">
        <v>562</v>
      </c>
      <c r="E63" s="346" t="s">
        <v>562</v>
      </c>
      <c r="F63" s="345">
        <f>工作量分布!K14/21.75</f>
        <v>5.55130114942529</v>
      </c>
      <c r="G63" s="345">
        <f>(F63-B63)/B63</f>
        <v>-0.195061333333333</v>
      </c>
      <c r="I63" s="365"/>
      <c r="J63" s="367"/>
    </row>
    <row r="64" ht="21" customHeight="1" spans="1:7">
      <c r="A64" s="345" t="s">
        <v>398</v>
      </c>
      <c r="B64" s="345">
        <f>8*3/21.75</f>
        <v>1.10344827586207</v>
      </c>
      <c r="C64" s="346" t="s">
        <v>562</v>
      </c>
      <c r="D64" s="346" t="s">
        <v>562</v>
      </c>
      <c r="E64" s="346" t="s">
        <v>562</v>
      </c>
      <c r="F64" s="346" t="s">
        <v>562</v>
      </c>
      <c r="G64" s="346" t="s">
        <v>562</v>
      </c>
    </row>
  </sheetData>
  <mergeCells count="10">
    <mergeCell ref="A1:L1"/>
    <mergeCell ref="A4:F4"/>
    <mergeCell ref="I4:J4"/>
    <mergeCell ref="A50:D50"/>
    <mergeCell ref="A56:I56"/>
    <mergeCell ref="A29:A30"/>
    <mergeCell ref="A31:A33"/>
    <mergeCell ref="A52:A53"/>
    <mergeCell ref="B52:B53"/>
    <mergeCell ref="H40:N43"/>
  </mergeCells>
  <pageMargins left="0.984027777777778" right="0.747916666666667" top="0.984027777777778" bottom="0.984027777777778" header="0.511805555555556" footer="0.511805555555556"/>
  <pageSetup paperSize="9" orientation="landscape"/>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371" name="Button 3" r:id="rId4">
              <controlPr print="0" defaultSize="0">
                <anchor moveWithCells="1" sizeWithCells="1">
                  <from>
                    <xdr:col>7</xdr:col>
                    <xdr:colOff>9525</xdr:colOff>
                    <xdr:row>33</xdr:row>
                    <xdr:rowOff>171450</xdr:rowOff>
                  </from>
                  <to>
                    <xdr:col>7</xdr:col>
                    <xdr:colOff>676275</xdr:colOff>
                    <xdr:row>35</xdr:row>
                    <xdr:rowOff>133350</xdr:rowOff>
                  </to>
                </anchor>
              </controlPr>
            </control>
          </mc:Choice>
        </mc:AlternateContent>
        <mc:AlternateContent xmlns:mc="http://schemas.openxmlformats.org/markup-compatibility/2006">
          <mc:Choice Requires="x14">
            <control shapeId="58372" name="Button 4" r:id="rId5">
              <controlPr print="0" defaultSize="0">
                <anchor moveWithCells="1" sizeWithCells="1">
                  <from>
                    <xdr:col>7</xdr:col>
                    <xdr:colOff>19050</xdr:colOff>
                    <xdr:row>36</xdr:row>
                    <xdr:rowOff>28575</xdr:rowOff>
                  </from>
                  <to>
                    <xdr:col>7</xdr:col>
                    <xdr:colOff>685800</xdr:colOff>
                    <xdr:row>37</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theme="7"/>
    <outlinePr summaryBelow="0"/>
  </sheetPr>
  <dimension ref="A1:Q614"/>
  <sheetViews>
    <sheetView topLeftCell="A599" workbookViewId="0">
      <selection activeCell="L559" sqref="L559"/>
    </sheetView>
  </sheetViews>
  <sheetFormatPr defaultColWidth="9" defaultRowHeight="12"/>
  <cols>
    <col min="1" max="1" width="9.875" style="264" customWidth="1"/>
    <col min="2" max="2" width="9" style="264"/>
    <col min="3" max="3" width="9.375" style="264" customWidth="1"/>
    <col min="4" max="9" width="9" style="264"/>
    <col min="10" max="11" width="8.25" style="264" customWidth="1"/>
    <col min="12" max="12" width="10.25" style="264" customWidth="1"/>
    <col min="13" max="13" width="11.25" style="264" customWidth="1"/>
    <col min="14" max="16384" width="9" style="264"/>
  </cols>
  <sheetData>
    <row r="1" ht="24.75" customHeight="1" spans="1:16">
      <c r="A1" s="49" t="s">
        <v>628</v>
      </c>
      <c r="B1" s="49"/>
      <c r="C1" s="49"/>
      <c r="D1" s="49"/>
      <c r="E1" s="49"/>
      <c r="F1" s="49"/>
      <c r="G1" s="49"/>
      <c r="H1" s="49"/>
      <c r="I1" s="49"/>
      <c r="J1" s="49"/>
      <c r="K1" s="49"/>
      <c r="L1" s="49"/>
      <c r="M1" s="49"/>
      <c r="N1" s="49"/>
      <c r="O1" s="49"/>
      <c r="P1" s="49"/>
    </row>
    <row r="2" ht="24.75" customHeight="1" spans="1:16">
      <c r="A2" s="49" t="s">
        <v>397</v>
      </c>
      <c r="B2" s="49"/>
      <c r="C2" s="49"/>
      <c r="D2" s="49"/>
      <c r="E2" s="49"/>
      <c r="F2" s="49"/>
      <c r="G2" s="49"/>
      <c r="H2" s="49"/>
      <c r="I2" s="49"/>
      <c r="J2" s="49"/>
      <c r="K2" s="49"/>
      <c r="L2" s="49"/>
      <c r="M2" s="49"/>
      <c r="N2" s="49"/>
      <c r="O2" s="49"/>
      <c r="P2" s="49"/>
    </row>
    <row r="3" ht="27" customHeight="1" outlineLevel="1" spans="1:16">
      <c r="A3" s="266" t="s">
        <v>629</v>
      </c>
      <c r="B3" s="266"/>
      <c r="C3" s="266"/>
      <c r="D3" s="266"/>
      <c r="E3" s="266"/>
      <c r="F3" s="266"/>
      <c r="G3" s="266"/>
      <c r="H3" s="266"/>
      <c r="I3" s="266"/>
      <c r="J3" s="49"/>
      <c r="K3" s="49"/>
      <c r="L3" s="49"/>
      <c r="M3" s="49"/>
      <c r="N3" s="49"/>
      <c r="O3" s="49"/>
      <c r="P3" s="49"/>
    </row>
    <row r="4" customHeight="1" outlineLevel="1" spans="1:16">
      <c r="A4" s="267" t="s">
        <v>630</v>
      </c>
      <c r="B4" s="266"/>
      <c r="C4" s="266"/>
      <c r="D4" s="266"/>
      <c r="E4" s="266"/>
      <c r="F4" s="266"/>
      <c r="G4" s="266"/>
      <c r="H4" s="266"/>
      <c r="I4" s="266"/>
      <c r="J4" s="49"/>
      <c r="K4" s="49"/>
      <c r="L4" s="49"/>
      <c r="M4" s="49"/>
      <c r="N4" s="49"/>
      <c r="O4" s="49"/>
      <c r="P4" s="49"/>
    </row>
    <row r="5" ht="17.25" customHeight="1" outlineLevel="1" spans="1:3">
      <c r="A5" s="69" t="s">
        <v>631</v>
      </c>
      <c r="B5" s="69"/>
      <c r="C5" s="268"/>
    </row>
    <row r="6" ht="25.5" customHeight="1" outlineLevel="1" spans="1:16">
      <c r="A6" s="159" t="s">
        <v>632</v>
      </c>
      <c r="B6" s="159" t="s">
        <v>633</v>
      </c>
      <c r="C6" s="159"/>
      <c r="D6" s="159"/>
      <c r="E6" s="159"/>
      <c r="F6" s="159"/>
      <c r="G6" s="269" t="s">
        <v>634</v>
      </c>
      <c r="H6" s="269" t="s">
        <v>635</v>
      </c>
      <c r="I6" s="159" t="s">
        <v>636</v>
      </c>
      <c r="J6" s="168" t="s">
        <v>637</v>
      </c>
      <c r="K6" s="168" t="s">
        <v>638</v>
      </c>
      <c r="L6" s="277" t="s">
        <v>639</v>
      </c>
      <c r="M6" s="168" t="s">
        <v>640</v>
      </c>
      <c r="N6" s="219" t="s">
        <v>540</v>
      </c>
      <c r="O6" s="219"/>
      <c r="P6" s="219"/>
    </row>
    <row r="7" ht="13.5" customHeight="1" outlineLevel="1" spans="1:16">
      <c r="A7" s="159"/>
      <c r="B7" s="159" t="s">
        <v>641</v>
      </c>
      <c r="C7" s="159" t="s">
        <v>642</v>
      </c>
      <c r="D7" s="159" t="s">
        <v>643</v>
      </c>
      <c r="E7" s="159" t="s">
        <v>644</v>
      </c>
      <c r="F7" s="159" t="s">
        <v>645</v>
      </c>
      <c r="G7" s="167"/>
      <c r="H7" s="167"/>
      <c r="I7" s="159"/>
      <c r="J7" s="169"/>
      <c r="K7" s="169"/>
      <c r="L7" s="159"/>
      <c r="M7" s="169"/>
      <c r="N7" s="220" t="s">
        <v>173</v>
      </c>
      <c r="O7" s="221" t="s">
        <v>174</v>
      </c>
      <c r="P7" s="220" t="s">
        <v>349</v>
      </c>
    </row>
    <row r="8" ht="14.25" customHeight="1" outlineLevel="1" spans="1:16">
      <c r="A8" s="159" t="str">
        <f t="shared" ref="A8:A9" si="0">CONCATENATE("第",ROW(A8)-ROW($A$7),"次评审")</f>
        <v>第1次评审</v>
      </c>
      <c r="B8" s="270">
        <v>0</v>
      </c>
      <c r="C8" s="270">
        <v>1</v>
      </c>
      <c r="D8" s="270">
        <v>3</v>
      </c>
      <c r="E8" s="270">
        <v>4</v>
      </c>
      <c r="F8" s="270">
        <v>2</v>
      </c>
      <c r="G8" s="270">
        <v>10</v>
      </c>
      <c r="H8" s="270">
        <v>0</v>
      </c>
      <c r="I8" s="272">
        <f t="shared" ref="I8:I10" si="1">SUM($B8:$F8)</f>
        <v>10</v>
      </c>
      <c r="J8" s="270">
        <v>25</v>
      </c>
      <c r="K8" s="270">
        <v>8</v>
      </c>
      <c r="L8" s="278">
        <f t="shared" ref="L8:L11" si="2">I8/J8</f>
        <v>0.4</v>
      </c>
      <c r="M8" s="278">
        <f>K8/J8</f>
        <v>0.32</v>
      </c>
      <c r="N8" s="225">
        <v>0</v>
      </c>
      <c r="O8" s="226">
        <v>0.2111</v>
      </c>
      <c r="P8" s="225">
        <v>0.627</v>
      </c>
    </row>
    <row r="9" outlineLevel="1" spans="1:16">
      <c r="A9" s="159" t="str">
        <f t="shared" si="0"/>
        <v>第2次评审</v>
      </c>
      <c r="B9" s="270">
        <v>0</v>
      </c>
      <c r="C9" s="270">
        <v>1</v>
      </c>
      <c r="D9" s="270">
        <v>2</v>
      </c>
      <c r="E9" s="270">
        <v>3</v>
      </c>
      <c r="F9" s="270">
        <v>1</v>
      </c>
      <c r="G9" s="270">
        <v>7</v>
      </c>
      <c r="H9" s="270">
        <v>0</v>
      </c>
      <c r="I9" s="272">
        <f t="shared" si="1"/>
        <v>7</v>
      </c>
      <c r="J9" s="270">
        <v>25</v>
      </c>
      <c r="K9" s="270">
        <v>8</v>
      </c>
      <c r="L9" s="278">
        <f t="shared" si="2"/>
        <v>0.28</v>
      </c>
      <c r="M9" s="278">
        <f>K9/J9</f>
        <v>0.32</v>
      </c>
      <c r="N9" s="225">
        <v>0</v>
      </c>
      <c r="O9" s="226">
        <v>0.2111</v>
      </c>
      <c r="P9" s="225">
        <v>0.627</v>
      </c>
    </row>
    <row r="10" outlineLevel="1" spans="1:16">
      <c r="A10" s="159" t="s">
        <v>646</v>
      </c>
      <c r="B10" s="271" t="s">
        <v>178</v>
      </c>
      <c r="C10" s="271" t="s">
        <v>178</v>
      </c>
      <c r="D10" s="271" t="s">
        <v>178</v>
      </c>
      <c r="E10" s="271" t="s">
        <v>178</v>
      </c>
      <c r="F10" s="271" t="s">
        <v>178</v>
      </c>
      <c r="G10" s="271" t="s">
        <v>178</v>
      </c>
      <c r="H10" s="271" t="s">
        <v>178</v>
      </c>
      <c r="I10" s="271">
        <f t="shared" si="1"/>
        <v>0</v>
      </c>
      <c r="J10" s="271" t="s">
        <v>178</v>
      </c>
      <c r="K10" s="271"/>
      <c r="L10" s="279" t="e">
        <f t="shared" si="2"/>
        <v>#VALUE!</v>
      </c>
      <c r="M10" s="279"/>
      <c r="N10" s="280">
        <v>0</v>
      </c>
      <c r="O10" s="280">
        <v>0.3075</v>
      </c>
      <c r="P10" s="280">
        <v>0.6547</v>
      </c>
    </row>
    <row r="11" outlineLevel="1" spans="1:16">
      <c r="A11" s="159" t="s">
        <v>399</v>
      </c>
      <c r="B11" s="272">
        <f t="shared" ref="B11:H11" si="3">SUM(B8:B10)</f>
        <v>0</v>
      </c>
      <c r="C11" s="272">
        <f t="shared" si="3"/>
        <v>2</v>
      </c>
      <c r="D11" s="272">
        <f t="shared" si="3"/>
        <v>5</v>
      </c>
      <c r="E11" s="272">
        <f t="shared" si="3"/>
        <v>7</v>
      </c>
      <c r="F11" s="272">
        <f t="shared" si="3"/>
        <v>3</v>
      </c>
      <c r="G11" s="272">
        <f t="shared" si="3"/>
        <v>17</v>
      </c>
      <c r="H11" s="272">
        <f t="shared" si="3"/>
        <v>0</v>
      </c>
      <c r="I11" s="272">
        <f>IF(SUM(I8:I10)=0,"-",SUM(I8:I10))</f>
        <v>17</v>
      </c>
      <c r="J11" s="272">
        <f>IF(SUM(J8:J10)=0,"-",SUM(J8:J10))</f>
        <v>50</v>
      </c>
      <c r="K11" s="272">
        <f>IF(SUM(K8:K10)=0,"-",SUM(K8:K10))</f>
        <v>16</v>
      </c>
      <c r="L11" s="278">
        <f t="shared" si="2"/>
        <v>0.34</v>
      </c>
      <c r="M11" s="281">
        <f>K11/J11</f>
        <v>0.32</v>
      </c>
      <c r="N11" s="282"/>
      <c r="O11" s="282"/>
      <c r="P11" s="282"/>
    </row>
    <row r="12" outlineLevel="1"/>
    <row r="13" outlineLevel="1"/>
    <row r="14" outlineLevel="1" spans="14:14">
      <c r="N14" s="283"/>
    </row>
    <row r="15" outlineLevel="1" spans="14:14">
      <c r="N15" s="283"/>
    </row>
    <row r="16" outlineLevel="1" spans="14:14">
      <c r="N16" s="283"/>
    </row>
    <row r="17" outlineLevel="1" spans="14:14">
      <c r="N17" s="283"/>
    </row>
    <row r="18" outlineLevel="1" spans="14:14">
      <c r="N18" s="283"/>
    </row>
    <row r="19" outlineLevel="1"/>
    <row r="20" outlineLevel="1"/>
    <row r="21" outlineLevel="1"/>
    <row r="22" outlineLevel="1"/>
    <row r="23" outlineLevel="1"/>
    <row r="24" outlineLevel="1"/>
    <row r="25" outlineLevel="1"/>
    <row r="26" outlineLevel="1"/>
    <row r="27" outlineLevel="1"/>
    <row r="28" ht="27" outlineLevel="1" spans="1:13">
      <c r="A28" s="69" t="s">
        <v>647</v>
      </c>
      <c r="B28" s="69"/>
      <c r="C28" s="268"/>
      <c r="D28" s="273"/>
      <c r="E28" s="273"/>
      <c r="F28" s="273"/>
      <c r="G28" s="273"/>
      <c r="H28" s="273"/>
      <c r="I28" s="273"/>
      <c r="J28" s="273"/>
      <c r="K28" s="273"/>
      <c r="L28" s="273"/>
      <c r="M28" s="284"/>
    </row>
    <row r="29" outlineLevel="1" spans="1:16">
      <c r="A29" s="159" t="s">
        <v>632</v>
      </c>
      <c r="B29" s="159" t="s">
        <v>633</v>
      </c>
      <c r="C29" s="159"/>
      <c r="D29" s="159"/>
      <c r="E29" s="159"/>
      <c r="F29" s="159"/>
      <c r="G29" s="269" t="s">
        <v>634</v>
      </c>
      <c r="H29" s="269" t="s">
        <v>635</v>
      </c>
      <c r="I29" s="159" t="s">
        <v>636</v>
      </c>
      <c r="J29" s="168" t="s">
        <v>637</v>
      </c>
      <c r="K29" s="168" t="s">
        <v>638</v>
      </c>
      <c r="L29" s="277" t="s">
        <v>639</v>
      </c>
      <c r="M29" s="168" t="s">
        <v>640</v>
      </c>
      <c r="N29" s="219" t="s">
        <v>540</v>
      </c>
      <c r="O29" s="219"/>
      <c r="P29" s="219"/>
    </row>
    <row r="30" ht="27" customHeight="1" outlineLevel="1" spans="1:16">
      <c r="A30" s="159"/>
      <c r="B30" s="159" t="s">
        <v>641</v>
      </c>
      <c r="C30" s="159" t="s">
        <v>642</v>
      </c>
      <c r="D30" s="159" t="s">
        <v>643</v>
      </c>
      <c r="E30" s="159" t="s">
        <v>644</v>
      </c>
      <c r="F30" s="159" t="s">
        <v>645</v>
      </c>
      <c r="G30" s="167"/>
      <c r="H30" s="167"/>
      <c r="I30" s="159"/>
      <c r="J30" s="169"/>
      <c r="K30" s="169"/>
      <c r="L30" s="159"/>
      <c r="M30" s="169"/>
      <c r="N30" s="220" t="s">
        <v>173</v>
      </c>
      <c r="O30" s="221" t="s">
        <v>174</v>
      </c>
      <c r="P30" s="220" t="s">
        <v>349</v>
      </c>
    </row>
    <row r="31" ht="18.75" customHeight="1" outlineLevel="1" spans="1:16">
      <c r="A31" s="159" t="str">
        <f t="shared" ref="A31:A34" si="4">CONCATENATE("第",ROW(A31)-ROW($A$30),"次评审")</f>
        <v>第1次评审</v>
      </c>
      <c r="B31" s="270"/>
      <c r="C31" s="270"/>
      <c r="D31" s="270"/>
      <c r="E31" s="270"/>
      <c r="F31" s="270"/>
      <c r="G31" s="270"/>
      <c r="H31" s="270"/>
      <c r="I31" s="272">
        <f t="shared" ref="I31:I35" si="5">SUM($B31:$F31)</f>
        <v>0</v>
      </c>
      <c r="J31" s="270"/>
      <c r="K31" s="270"/>
      <c r="L31" s="278" t="e">
        <f>I31/J31</f>
        <v>#DIV/0!</v>
      </c>
      <c r="M31" s="278" t="e">
        <f>K31/J31</f>
        <v>#DIV/0!</v>
      </c>
      <c r="N31" s="225">
        <v>0</v>
      </c>
      <c r="O31" s="226">
        <v>0.0754</v>
      </c>
      <c r="P31" s="225">
        <v>0.2273</v>
      </c>
    </row>
    <row r="32" outlineLevel="1" spans="1:16">
      <c r="A32" s="159" t="str">
        <f t="shared" si="4"/>
        <v>第2次评审</v>
      </c>
      <c r="B32" s="270"/>
      <c r="C32" s="270"/>
      <c r="D32" s="270"/>
      <c r="E32" s="270"/>
      <c r="F32" s="270"/>
      <c r="G32" s="270"/>
      <c r="H32" s="270"/>
      <c r="I32" s="285">
        <f t="shared" si="5"/>
        <v>0</v>
      </c>
      <c r="J32" s="270"/>
      <c r="K32" s="270"/>
      <c r="L32" s="278" t="e">
        <f t="shared" ref="L32:L36" si="6">I32/J32</f>
        <v>#DIV/0!</v>
      </c>
      <c r="M32" s="278" t="e">
        <f>K32/J32</f>
        <v>#DIV/0!</v>
      </c>
      <c r="N32" s="225">
        <v>0</v>
      </c>
      <c r="O32" s="226">
        <v>0.0754</v>
      </c>
      <c r="P32" s="225">
        <v>0.2273</v>
      </c>
    </row>
    <row r="33" outlineLevel="1" spans="1:16">
      <c r="A33" s="159" t="str">
        <f t="shared" si="4"/>
        <v>第3次评审</v>
      </c>
      <c r="B33" s="270"/>
      <c r="C33" s="270"/>
      <c r="D33" s="270"/>
      <c r="E33" s="270"/>
      <c r="F33" s="270"/>
      <c r="G33" s="270"/>
      <c r="H33" s="270"/>
      <c r="I33" s="285">
        <f t="shared" si="5"/>
        <v>0</v>
      </c>
      <c r="J33" s="270"/>
      <c r="K33" s="270"/>
      <c r="L33" s="278" t="e">
        <f t="shared" si="6"/>
        <v>#DIV/0!</v>
      </c>
      <c r="M33" s="278" t="e">
        <f>K33/J33</f>
        <v>#DIV/0!</v>
      </c>
      <c r="N33" s="225">
        <v>0</v>
      </c>
      <c r="O33" s="226">
        <v>0.0754</v>
      </c>
      <c r="P33" s="225">
        <v>0.2273</v>
      </c>
    </row>
    <row r="34" outlineLevel="1" spans="1:16">
      <c r="A34" s="159" t="str">
        <f t="shared" si="4"/>
        <v>第4次评审</v>
      </c>
      <c r="B34" s="270"/>
      <c r="C34" s="270"/>
      <c r="D34" s="270"/>
      <c r="E34" s="270"/>
      <c r="F34" s="270"/>
      <c r="G34" s="270"/>
      <c r="H34" s="270"/>
      <c r="I34" s="285">
        <f t="shared" si="5"/>
        <v>0</v>
      </c>
      <c r="J34" s="270"/>
      <c r="K34" s="270"/>
      <c r="L34" s="278" t="e">
        <f t="shared" si="6"/>
        <v>#DIV/0!</v>
      </c>
      <c r="M34" s="278"/>
      <c r="N34" s="225">
        <v>0</v>
      </c>
      <c r="O34" s="226">
        <v>0.0754</v>
      </c>
      <c r="P34" s="225">
        <v>0.2273</v>
      </c>
    </row>
    <row r="35" outlineLevel="1" spans="1:16">
      <c r="A35" s="159" t="s">
        <v>646</v>
      </c>
      <c r="B35" s="274" t="s">
        <v>178</v>
      </c>
      <c r="C35" s="274" t="s">
        <v>178</v>
      </c>
      <c r="D35" s="274" t="s">
        <v>178</v>
      </c>
      <c r="E35" s="274" t="s">
        <v>178</v>
      </c>
      <c r="F35" s="274" t="s">
        <v>178</v>
      </c>
      <c r="G35" s="274" t="s">
        <v>178</v>
      </c>
      <c r="H35" s="274" t="s">
        <v>178</v>
      </c>
      <c r="I35" s="271">
        <f t="shared" si="5"/>
        <v>0</v>
      </c>
      <c r="J35" s="286" t="s">
        <v>178</v>
      </c>
      <c r="K35" s="286"/>
      <c r="L35" s="279" t="e">
        <f t="shared" si="6"/>
        <v>#VALUE!</v>
      </c>
      <c r="M35" s="279"/>
      <c r="N35" s="287">
        <v>0</v>
      </c>
      <c r="O35" s="287">
        <v>0.2866</v>
      </c>
      <c r="P35" s="287">
        <v>0.611</v>
      </c>
    </row>
    <row r="36" outlineLevel="1" spans="1:16">
      <c r="A36" s="159" t="s">
        <v>399</v>
      </c>
      <c r="B36" s="272">
        <f t="shared" ref="B36:H36" si="7">SUM(B31:B35)</f>
        <v>0</v>
      </c>
      <c r="C36" s="272">
        <f t="shared" si="7"/>
        <v>0</v>
      </c>
      <c r="D36" s="272">
        <f t="shared" si="7"/>
        <v>0</v>
      </c>
      <c r="E36" s="272">
        <f t="shared" si="7"/>
        <v>0</v>
      </c>
      <c r="F36" s="272">
        <f t="shared" si="7"/>
        <v>0</v>
      </c>
      <c r="G36" s="272">
        <f t="shared" si="7"/>
        <v>0</v>
      </c>
      <c r="H36" s="272">
        <f t="shared" si="7"/>
        <v>0</v>
      </c>
      <c r="I36" s="272" t="str">
        <f>IF(SUM(I32:I35)=0,"-",SUM(I32:I35))</f>
        <v>-</v>
      </c>
      <c r="J36" s="272" t="str">
        <f>IF(SUM(J32:J35)=0,"-",SUM(J32:J35))</f>
        <v>-</v>
      </c>
      <c r="K36" s="272" t="str">
        <f>IF(SUM(K32:K35)=0,"-",SUM(K32:K35))</f>
        <v>-</v>
      </c>
      <c r="L36" s="278" t="e">
        <f t="shared" si="6"/>
        <v>#VALUE!</v>
      </c>
      <c r="M36" s="281" t="e">
        <f>K36/J36</f>
        <v>#VALUE!</v>
      </c>
      <c r="N36" s="282"/>
      <c r="O36" s="282"/>
      <c r="P36" s="282"/>
    </row>
    <row r="37" outlineLevel="1" spans="17:17">
      <c r="Q37" s="291"/>
    </row>
    <row r="38" outlineLevel="1"/>
    <row r="39" outlineLevel="1" spans="14:14">
      <c r="N39" s="283"/>
    </row>
    <row r="40" outlineLevel="1" spans="14:14">
      <c r="N40" s="283"/>
    </row>
    <row r="41" outlineLevel="1" spans="14:14">
      <c r="N41" s="283"/>
    </row>
    <row r="42" outlineLevel="1" spans="14:14">
      <c r="N42" s="283"/>
    </row>
    <row r="43" outlineLevel="1" spans="14:14">
      <c r="N43" s="283"/>
    </row>
    <row r="44" ht="18" customHeight="1" outlineLevel="1"/>
    <row r="45" outlineLevel="1"/>
    <row r="46" ht="13.5" customHeight="1" outlineLevel="1"/>
    <row r="47" outlineLevel="1"/>
    <row r="48" outlineLevel="1"/>
    <row r="49" outlineLevel="1"/>
    <row r="50" outlineLevel="1"/>
    <row r="51" outlineLevel="1"/>
    <row r="52" outlineLevel="1"/>
    <row r="53" outlineLevel="1"/>
    <row r="54" outlineLevel="1"/>
    <row r="55" ht="27" outlineLevel="1" spans="1:13">
      <c r="A55" s="69" t="s">
        <v>648</v>
      </c>
      <c r="B55" s="69"/>
      <c r="C55" s="268"/>
      <c r="D55" s="273"/>
      <c r="E55" s="273"/>
      <c r="F55" s="273"/>
      <c r="G55" s="273"/>
      <c r="H55" s="273"/>
      <c r="I55" s="273"/>
      <c r="J55" s="273"/>
      <c r="K55" s="273"/>
      <c r="L55" s="273"/>
      <c r="M55" s="284"/>
    </row>
    <row r="56" ht="27" customHeight="1" outlineLevel="1" spans="1:16">
      <c r="A56" s="159" t="s">
        <v>632</v>
      </c>
      <c r="B56" s="159" t="s">
        <v>633</v>
      </c>
      <c r="C56" s="159"/>
      <c r="D56" s="159"/>
      <c r="E56" s="159"/>
      <c r="F56" s="159"/>
      <c r="G56" s="269" t="s">
        <v>634</v>
      </c>
      <c r="H56" s="269" t="s">
        <v>635</v>
      </c>
      <c r="I56" s="159" t="s">
        <v>636</v>
      </c>
      <c r="J56" s="168" t="s">
        <v>637</v>
      </c>
      <c r="K56" s="168" t="s">
        <v>638</v>
      </c>
      <c r="L56" s="277" t="s">
        <v>639</v>
      </c>
      <c r="M56" s="168" t="s">
        <v>640</v>
      </c>
      <c r="N56" s="219" t="s">
        <v>540</v>
      </c>
      <c r="O56" s="219"/>
      <c r="P56" s="219"/>
    </row>
    <row r="57" outlineLevel="1" spans="1:16">
      <c r="A57" s="159"/>
      <c r="B57" s="159" t="s">
        <v>641</v>
      </c>
      <c r="C57" s="159" t="s">
        <v>642</v>
      </c>
      <c r="D57" s="159" t="s">
        <v>643</v>
      </c>
      <c r="E57" s="159" t="s">
        <v>644</v>
      </c>
      <c r="F57" s="159" t="s">
        <v>645</v>
      </c>
      <c r="G57" s="167"/>
      <c r="H57" s="167"/>
      <c r="I57" s="159"/>
      <c r="J57" s="169"/>
      <c r="K57" s="169"/>
      <c r="L57" s="159"/>
      <c r="M57" s="169"/>
      <c r="N57" s="220" t="s">
        <v>173</v>
      </c>
      <c r="O57" s="221" t="s">
        <v>174</v>
      </c>
      <c r="P57" s="220" t="s">
        <v>349</v>
      </c>
    </row>
    <row r="58" outlineLevel="1" spans="1:16">
      <c r="A58" s="159" t="str">
        <f t="shared" ref="A58:A60" si="8">CONCATENATE("第",ROW(A58)-ROW($A$57),"次评审")</f>
        <v>第1次评审</v>
      </c>
      <c r="B58" s="275">
        <v>0</v>
      </c>
      <c r="C58" s="275">
        <v>0</v>
      </c>
      <c r="D58" s="275">
        <v>2</v>
      </c>
      <c r="E58" s="275">
        <v>0</v>
      </c>
      <c r="F58" s="275">
        <v>0</v>
      </c>
      <c r="G58" s="275">
        <v>0</v>
      </c>
      <c r="H58" s="275">
        <v>0</v>
      </c>
      <c r="I58" s="276">
        <f t="shared" ref="I58:I61" si="9">SUM($B58:$F58)</f>
        <v>2</v>
      </c>
      <c r="J58" s="275">
        <v>12</v>
      </c>
      <c r="K58" s="275">
        <v>5</v>
      </c>
      <c r="L58" s="288">
        <f t="shared" ref="L58:L62" si="10">I58/J58</f>
        <v>0.166666666666667</v>
      </c>
      <c r="M58" s="288">
        <f t="shared" ref="M58:M62" si="11">K58/J58</f>
        <v>0.416666666666667</v>
      </c>
      <c r="N58" s="225">
        <v>0</v>
      </c>
      <c r="O58" s="226">
        <v>0.0834</v>
      </c>
      <c r="P58" s="225">
        <v>0.2204</v>
      </c>
    </row>
    <row r="59" outlineLevel="1" spans="1:16">
      <c r="A59" s="159" t="str">
        <f t="shared" si="8"/>
        <v>第2次评审</v>
      </c>
      <c r="B59" s="275"/>
      <c r="C59" s="275"/>
      <c r="D59" s="275"/>
      <c r="E59" s="275"/>
      <c r="F59" s="275"/>
      <c r="G59" s="275"/>
      <c r="H59" s="275"/>
      <c r="I59" s="289">
        <f t="shared" si="9"/>
        <v>0</v>
      </c>
      <c r="J59" s="275"/>
      <c r="K59" s="275"/>
      <c r="L59" s="288" t="e">
        <f t="shared" si="10"/>
        <v>#DIV/0!</v>
      </c>
      <c r="M59" s="288" t="e">
        <f t="shared" si="11"/>
        <v>#DIV/0!</v>
      </c>
      <c r="N59" s="225">
        <v>0</v>
      </c>
      <c r="O59" s="226">
        <v>0.0834</v>
      </c>
      <c r="P59" s="225">
        <v>0.2204</v>
      </c>
    </row>
    <row r="60" outlineLevel="1" spans="1:16">
      <c r="A60" s="159" t="str">
        <f t="shared" si="8"/>
        <v>第3次评审</v>
      </c>
      <c r="B60" s="275"/>
      <c r="C60" s="275"/>
      <c r="D60" s="275"/>
      <c r="E60" s="275"/>
      <c r="F60" s="275"/>
      <c r="G60" s="275"/>
      <c r="H60" s="275"/>
      <c r="I60" s="289">
        <f t="shared" si="9"/>
        <v>0</v>
      </c>
      <c r="J60" s="275"/>
      <c r="K60" s="275"/>
      <c r="L60" s="288" t="e">
        <f t="shared" si="10"/>
        <v>#DIV/0!</v>
      </c>
      <c r="M60" s="288" t="e">
        <f t="shared" si="11"/>
        <v>#DIV/0!</v>
      </c>
      <c r="N60" s="225">
        <v>0</v>
      </c>
      <c r="O60" s="226">
        <v>0.0834</v>
      </c>
      <c r="P60" s="225">
        <v>0.2204</v>
      </c>
    </row>
    <row r="61" outlineLevel="1" spans="1:16">
      <c r="A61" s="159" t="s">
        <v>646</v>
      </c>
      <c r="B61" s="274"/>
      <c r="C61" s="274"/>
      <c r="D61" s="274"/>
      <c r="E61" s="274"/>
      <c r="F61" s="274"/>
      <c r="G61" s="274"/>
      <c r="H61" s="274"/>
      <c r="I61" s="271">
        <f t="shared" si="9"/>
        <v>0</v>
      </c>
      <c r="J61" s="274" t="s">
        <v>178</v>
      </c>
      <c r="K61" s="274"/>
      <c r="L61" s="279" t="e">
        <f t="shared" si="10"/>
        <v>#VALUE!</v>
      </c>
      <c r="M61" s="279"/>
      <c r="N61" s="287">
        <v>0</v>
      </c>
      <c r="O61" s="287">
        <v>0.2333</v>
      </c>
      <c r="P61" s="287">
        <v>0.7131</v>
      </c>
    </row>
    <row r="62" outlineLevel="1" spans="1:13">
      <c r="A62" s="159" t="s">
        <v>399</v>
      </c>
      <c r="B62" s="276">
        <f t="shared" ref="B62:H62" si="12">SUM(B58:B61)</f>
        <v>0</v>
      </c>
      <c r="C62" s="276">
        <f t="shared" si="12"/>
        <v>0</v>
      </c>
      <c r="D62" s="276">
        <f t="shared" si="12"/>
        <v>2</v>
      </c>
      <c r="E62" s="276">
        <f t="shared" si="12"/>
        <v>0</v>
      </c>
      <c r="F62" s="276">
        <f t="shared" si="12"/>
        <v>0</v>
      </c>
      <c r="G62" s="276">
        <f t="shared" si="12"/>
        <v>0</v>
      </c>
      <c r="H62" s="276">
        <f t="shared" si="12"/>
        <v>0</v>
      </c>
      <c r="I62" s="272" t="str">
        <f t="shared" ref="I62:K62" si="13">IF(SUM(I59:I61)=0,"-",SUM(I59:I61))</f>
        <v>-</v>
      </c>
      <c r="J62" s="272" t="str">
        <f t="shared" si="13"/>
        <v>-</v>
      </c>
      <c r="K62" s="272" t="str">
        <f t="shared" si="13"/>
        <v>-</v>
      </c>
      <c r="L62" s="290" t="e">
        <f t="shared" si="10"/>
        <v>#VALUE!</v>
      </c>
      <c r="M62" s="288" t="e">
        <f t="shared" si="11"/>
        <v>#VALUE!</v>
      </c>
    </row>
    <row r="63" outlineLevel="1"/>
    <row r="64" outlineLevel="1" spans="14:14">
      <c r="N64" s="283"/>
    </row>
    <row r="65" outlineLevel="1" spans="14:14">
      <c r="N65" s="283"/>
    </row>
    <row r="66" outlineLevel="1" spans="14:14">
      <c r="N66" s="283"/>
    </row>
    <row r="67" outlineLevel="1" spans="14:14">
      <c r="N67" s="283"/>
    </row>
    <row r="68" outlineLevel="1" spans="14:14">
      <c r="N68" s="283"/>
    </row>
    <row r="69" outlineLevel="1" spans="14:14">
      <c r="N69" s="283"/>
    </row>
    <row r="70" outlineLevel="1"/>
    <row r="71" outlineLevel="1"/>
    <row r="72" outlineLevel="1"/>
    <row r="73" outlineLevel="1"/>
    <row r="74" outlineLevel="1"/>
    <row r="75" outlineLevel="1"/>
    <row r="76" outlineLevel="1"/>
    <row r="77" outlineLevel="1"/>
    <row r="78" outlineLevel="1"/>
    <row r="79" outlineLevel="1"/>
    <row r="80" outlineLevel="1"/>
    <row r="81" outlineLevel="1"/>
    <row r="82" ht="27" outlineLevel="1" spans="1:13">
      <c r="A82" s="69" t="s">
        <v>649</v>
      </c>
      <c r="B82" s="69"/>
      <c r="C82" s="268"/>
      <c r="D82" s="273"/>
      <c r="E82" s="273"/>
      <c r="F82" s="273"/>
      <c r="G82" s="273"/>
      <c r="H82" s="273"/>
      <c r="I82" s="273"/>
      <c r="J82" s="273"/>
      <c r="K82" s="273"/>
      <c r="L82" s="273"/>
      <c r="M82" s="284"/>
    </row>
    <row r="83" ht="30.95" customHeight="1" outlineLevel="1" spans="1:16">
      <c r="A83" s="159" t="s">
        <v>632</v>
      </c>
      <c r="B83" s="159" t="s">
        <v>633</v>
      </c>
      <c r="C83" s="159"/>
      <c r="D83" s="159"/>
      <c r="E83" s="159"/>
      <c r="F83" s="159"/>
      <c r="G83" s="269" t="s">
        <v>634</v>
      </c>
      <c r="H83" s="269" t="s">
        <v>635</v>
      </c>
      <c r="I83" s="159" t="s">
        <v>636</v>
      </c>
      <c r="J83" s="168" t="s">
        <v>650</v>
      </c>
      <c r="K83" s="168" t="s">
        <v>638</v>
      </c>
      <c r="L83" s="277" t="s">
        <v>651</v>
      </c>
      <c r="M83" s="168" t="s">
        <v>640</v>
      </c>
      <c r="N83" s="219" t="s">
        <v>540</v>
      </c>
      <c r="O83" s="219"/>
      <c r="P83" s="219"/>
    </row>
    <row r="84" outlineLevel="1" spans="1:16">
      <c r="A84" s="159"/>
      <c r="B84" s="159" t="s">
        <v>641</v>
      </c>
      <c r="C84" s="159" t="s">
        <v>642</v>
      </c>
      <c r="D84" s="159" t="s">
        <v>643</v>
      </c>
      <c r="E84" s="159" t="s">
        <v>644</v>
      </c>
      <c r="F84" s="159" t="s">
        <v>645</v>
      </c>
      <c r="G84" s="167"/>
      <c r="H84" s="167"/>
      <c r="I84" s="159"/>
      <c r="J84" s="169"/>
      <c r="K84" s="169"/>
      <c r="L84" s="159"/>
      <c r="M84" s="169"/>
      <c r="N84" s="220" t="s">
        <v>173</v>
      </c>
      <c r="O84" s="221" t="s">
        <v>174</v>
      </c>
      <c r="P84" s="220" t="s">
        <v>349</v>
      </c>
    </row>
    <row r="85" outlineLevel="1" spans="1:16">
      <c r="A85" s="159" t="str">
        <f>CONCATENATE("第",ROW(A85)-ROW($A$84),"次评审")</f>
        <v>第1次评审</v>
      </c>
      <c r="B85" s="270">
        <v>0</v>
      </c>
      <c r="C85" s="270">
        <v>0</v>
      </c>
      <c r="D85" s="270">
        <v>3</v>
      </c>
      <c r="E85" s="270">
        <v>0</v>
      </c>
      <c r="F85" s="270">
        <v>0</v>
      </c>
      <c r="G85" s="270">
        <v>3</v>
      </c>
      <c r="H85" s="270">
        <v>0</v>
      </c>
      <c r="I85" s="285">
        <f t="shared" ref="I85:I88" si="14">SUM($B85:$F85)</f>
        <v>3</v>
      </c>
      <c r="J85" s="270">
        <v>415</v>
      </c>
      <c r="K85" s="270">
        <v>35</v>
      </c>
      <c r="L85" s="278">
        <f t="shared" ref="L85:L89" si="15">I85/J85</f>
        <v>0.0072289156626506</v>
      </c>
      <c r="M85" s="278">
        <f t="shared" ref="M85:M89" si="16">K85/J85</f>
        <v>0.0843373493975904</v>
      </c>
      <c r="N85" s="225">
        <v>0.0008</v>
      </c>
      <c r="O85" s="226">
        <v>0.011</v>
      </c>
      <c r="P85" s="225">
        <v>0.0212</v>
      </c>
    </row>
    <row r="86" outlineLevel="1" spans="1:16">
      <c r="A86" s="159" t="str">
        <f t="shared" ref="A86:A87" si="17">CONCATENATE("第",ROW(A86)-ROW($A$84),"次评审")</f>
        <v>第2次评审</v>
      </c>
      <c r="B86" s="270"/>
      <c r="C86" s="270"/>
      <c r="D86" s="270"/>
      <c r="E86" s="270"/>
      <c r="F86" s="270"/>
      <c r="G86" s="270"/>
      <c r="H86" s="270"/>
      <c r="I86" s="285">
        <f t="shared" si="14"/>
        <v>0</v>
      </c>
      <c r="J86" s="270"/>
      <c r="K86" s="270"/>
      <c r="L86" s="278" t="e">
        <f t="shared" si="15"/>
        <v>#DIV/0!</v>
      </c>
      <c r="M86" s="278" t="e">
        <f t="shared" si="16"/>
        <v>#DIV/0!</v>
      </c>
      <c r="N86" s="225">
        <v>0.0008</v>
      </c>
      <c r="O86" s="226">
        <v>0.011</v>
      </c>
      <c r="P86" s="225">
        <v>0.0212</v>
      </c>
    </row>
    <row r="87" outlineLevel="1" spans="1:16">
      <c r="A87" s="159" t="str">
        <f t="shared" si="17"/>
        <v>第3次评审</v>
      </c>
      <c r="B87" s="270"/>
      <c r="C87" s="270"/>
      <c r="D87" s="270"/>
      <c r="E87" s="270"/>
      <c r="F87" s="270"/>
      <c r="G87" s="270"/>
      <c r="H87" s="270"/>
      <c r="I87" s="285">
        <f t="shared" si="14"/>
        <v>0</v>
      </c>
      <c r="J87" s="270"/>
      <c r="K87" s="270"/>
      <c r="L87" s="278" t="e">
        <f t="shared" si="15"/>
        <v>#DIV/0!</v>
      </c>
      <c r="M87" s="278" t="e">
        <f t="shared" si="16"/>
        <v>#DIV/0!</v>
      </c>
      <c r="N87" s="225">
        <v>0.0008</v>
      </c>
      <c r="O87" s="226">
        <v>0.011</v>
      </c>
      <c r="P87" s="225">
        <v>0.0212</v>
      </c>
    </row>
    <row r="88" outlineLevel="1" spans="1:16">
      <c r="A88" s="159" t="s">
        <v>646</v>
      </c>
      <c r="B88" s="271"/>
      <c r="C88" s="271"/>
      <c r="D88" s="271"/>
      <c r="E88" s="271"/>
      <c r="F88" s="271"/>
      <c r="G88" s="271"/>
      <c r="H88" s="271"/>
      <c r="I88" s="293">
        <f t="shared" si="14"/>
        <v>0</v>
      </c>
      <c r="J88" s="271" t="s">
        <v>178</v>
      </c>
      <c r="K88" s="271"/>
      <c r="L88" s="294" t="e">
        <f t="shared" si="15"/>
        <v>#VALUE!</v>
      </c>
      <c r="M88" s="294"/>
      <c r="N88" s="287">
        <v>0</v>
      </c>
      <c r="O88" s="287">
        <v>0.04351</v>
      </c>
      <c r="P88" s="287">
        <v>0.0879</v>
      </c>
    </row>
    <row r="89" outlineLevel="1" spans="1:16">
      <c r="A89" s="159" t="s">
        <v>399</v>
      </c>
      <c r="B89" s="272">
        <f t="shared" ref="B89:H89" si="18">SUM(B85:B88)</f>
        <v>0</v>
      </c>
      <c r="C89" s="272">
        <f t="shared" si="18"/>
        <v>0</v>
      </c>
      <c r="D89" s="272">
        <f t="shared" si="18"/>
        <v>3</v>
      </c>
      <c r="E89" s="272">
        <f t="shared" si="18"/>
        <v>0</v>
      </c>
      <c r="F89" s="272">
        <f t="shared" si="18"/>
        <v>0</v>
      </c>
      <c r="G89" s="272">
        <f t="shared" si="18"/>
        <v>3</v>
      </c>
      <c r="H89" s="272">
        <f t="shared" si="18"/>
        <v>0</v>
      </c>
      <c r="I89" s="272" t="str">
        <f t="shared" ref="I89:K89" si="19">IF(SUM(I86:I88)=0,"-",SUM(I86:I88))</f>
        <v>-</v>
      </c>
      <c r="J89" s="272" t="str">
        <f t="shared" si="19"/>
        <v>-</v>
      </c>
      <c r="K89" s="272" t="str">
        <f t="shared" si="19"/>
        <v>-</v>
      </c>
      <c r="L89" s="278" t="e">
        <f t="shared" si="15"/>
        <v>#VALUE!</v>
      </c>
      <c r="M89" s="278" t="e">
        <f t="shared" si="16"/>
        <v>#VALUE!</v>
      </c>
      <c r="N89" s="295"/>
      <c r="O89" s="295"/>
      <c r="P89" s="295"/>
    </row>
    <row r="90" outlineLevel="1"/>
    <row r="91" outlineLevel="1" spans="14:14">
      <c r="N91" s="283"/>
    </row>
    <row r="92" outlineLevel="1" spans="14:14">
      <c r="N92" s="283"/>
    </row>
    <row r="93" outlineLevel="1" spans="14:14">
      <c r="N93" s="283"/>
    </row>
    <row r="94" outlineLevel="1" spans="14:14">
      <c r="N94" s="283"/>
    </row>
    <row r="95" outlineLevel="1" spans="14:14">
      <c r="N95" s="283"/>
    </row>
    <row r="96" outlineLevel="1"/>
    <row r="97" outlineLevel="1"/>
    <row r="98" outlineLevel="1"/>
    <row r="99" outlineLevel="1"/>
    <row r="100" outlineLevel="1"/>
    <row r="101" outlineLevel="1"/>
    <row r="102" outlineLevel="1"/>
    <row r="103" outlineLevel="1"/>
    <row r="104" outlineLevel="1"/>
    <row r="105" outlineLevel="1"/>
    <row r="106" outlineLevel="1"/>
    <row r="107" ht="27" outlineLevel="1" spans="1:13">
      <c r="A107" s="69" t="s">
        <v>652</v>
      </c>
      <c r="B107" s="69"/>
      <c r="C107" s="268"/>
      <c r="D107" s="273"/>
      <c r="E107" s="273"/>
      <c r="F107" s="273"/>
      <c r="G107" s="273"/>
      <c r="H107" s="273"/>
      <c r="I107" s="273"/>
      <c r="J107" s="273"/>
      <c r="K107" s="273"/>
      <c r="L107" s="273"/>
      <c r="M107" s="284"/>
    </row>
    <row r="108" ht="30" customHeight="1" outlineLevel="1" spans="1:16">
      <c r="A108" s="159" t="s">
        <v>653</v>
      </c>
      <c r="B108" s="159" t="s">
        <v>633</v>
      </c>
      <c r="C108" s="159"/>
      <c r="D108" s="159"/>
      <c r="E108" s="159"/>
      <c r="F108" s="159"/>
      <c r="G108" s="269" t="s">
        <v>634</v>
      </c>
      <c r="H108" s="269" t="s">
        <v>635</v>
      </c>
      <c r="I108" s="159" t="s">
        <v>636</v>
      </c>
      <c r="J108" s="168" t="s">
        <v>654</v>
      </c>
      <c r="K108" s="168" t="s">
        <v>655</v>
      </c>
      <c r="L108" s="277" t="s">
        <v>656</v>
      </c>
      <c r="M108" s="168" t="s">
        <v>657</v>
      </c>
      <c r="N108" s="219" t="s">
        <v>540</v>
      </c>
      <c r="O108" s="219"/>
      <c r="P108" s="219"/>
    </row>
    <row r="109" outlineLevel="1" spans="1:16">
      <c r="A109" s="159"/>
      <c r="B109" s="159" t="s">
        <v>641</v>
      </c>
      <c r="C109" s="159" t="s">
        <v>642</v>
      </c>
      <c r="D109" s="159" t="s">
        <v>643</v>
      </c>
      <c r="E109" s="159" t="s">
        <v>644</v>
      </c>
      <c r="F109" s="159" t="s">
        <v>645</v>
      </c>
      <c r="G109" s="167"/>
      <c r="H109" s="167"/>
      <c r="I109" s="159"/>
      <c r="J109" s="169"/>
      <c r="K109" s="169"/>
      <c r="L109" s="159"/>
      <c r="M109" s="169"/>
      <c r="N109" s="220" t="s">
        <v>173</v>
      </c>
      <c r="O109" s="221" t="s">
        <v>174</v>
      </c>
      <c r="P109" s="220" t="s">
        <v>349</v>
      </c>
    </row>
    <row r="110" outlineLevel="1" spans="1:16">
      <c r="A110" s="159" t="str">
        <f t="shared" ref="A110:A113" si="20">CONCATENATE("第",ROW(A110)-ROW($A$109),"次走查")</f>
        <v>第1次走查</v>
      </c>
      <c r="B110" s="292">
        <v>0</v>
      </c>
      <c r="C110" s="292">
        <v>0</v>
      </c>
      <c r="D110" s="292">
        <v>2</v>
      </c>
      <c r="E110" s="292">
        <v>2</v>
      </c>
      <c r="F110" s="292">
        <v>0</v>
      </c>
      <c r="G110" s="292">
        <v>4</v>
      </c>
      <c r="H110" s="292">
        <v>0</v>
      </c>
      <c r="I110" s="272">
        <f t="shared" ref="I110:I114" si="21">SUM($B110:$F110)</f>
        <v>4</v>
      </c>
      <c r="J110" s="292">
        <f>规模!C8</f>
        <v>122.08</v>
      </c>
      <c r="K110" s="292">
        <v>7</v>
      </c>
      <c r="L110" s="278">
        <f t="shared" ref="L110:L115" si="22">I110/J110</f>
        <v>0.0327653997378768</v>
      </c>
      <c r="M110" s="278">
        <f t="shared" ref="M110:M115" si="23">K110/J110</f>
        <v>0.0573394495412844</v>
      </c>
      <c r="N110" s="225">
        <v>0</v>
      </c>
      <c r="O110" s="226">
        <v>0.0506</v>
      </c>
      <c r="P110" s="225">
        <v>0.1544</v>
      </c>
    </row>
    <row r="111" outlineLevel="1" spans="1:16">
      <c r="A111" s="159" t="str">
        <f t="shared" si="20"/>
        <v>第2次走查</v>
      </c>
      <c r="B111" s="292"/>
      <c r="C111" s="292"/>
      <c r="D111" s="292"/>
      <c r="E111" s="292"/>
      <c r="F111" s="292"/>
      <c r="G111" s="292"/>
      <c r="H111" s="292"/>
      <c r="I111" s="272">
        <f t="shared" si="21"/>
        <v>0</v>
      </c>
      <c r="J111" s="292"/>
      <c r="K111" s="292"/>
      <c r="L111" s="278" t="e">
        <f t="shared" si="22"/>
        <v>#DIV/0!</v>
      </c>
      <c r="M111" s="278" t="e">
        <f t="shared" si="23"/>
        <v>#DIV/0!</v>
      </c>
      <c r="N111" s="225">
        <v>0</v>
      </c>
      <c r="O111" s="226">
        <v>0.0506</v>
      </c>
      <c r="P111" s="225">
        <v>0.1544</v>
      </c>
    </row>
    <row r="112" outlineLevel="1" spans="1:16">
      <c r="A112" s="159" t="str">
        <f t="shared" si="20"/>
        <v>第3次走查</v>
      </c>
      <c r="B112" s="292"/>
      <c r="C112" s="292"/>
      <c r="D112" s="292"/>
      <c r="E112" s="292"/>
      <c r="F112" s="292"/>
      <c r="G112" s="292"/>
      <c r="H112" s="292"/>
      <c r="I112" s="272">
        <f t="shared" si="21"/>
        <v>0</v>
      </c>
      <c r="J112" s="292"/>
      <c r="K112" s="292"/>
      <c r="L112" s="278" t="e">
        <f t="shared" si="22"/>
        <v>#DIV/0!</v>
      </c>
      <c r="M112" s="278" t="e">
        <f t="shared" si="23"/>
        <v>#DIV/0!</v>
      </c>
      <c r="N112" s="225">
        <v>0</v>
      </c>
      <c r="O112" s="226">
        <v>0.0506</v>
      </c>
      <c r="P112" s="225">
        <v>0.1544</v>
      </c>
    </row>
    <row r="113" outlineLevel="1" spans="1:16">
      <c r="A113" s="159" t="str">
        <f t="shared" si="20"/>
        <v>第4次走查</v>
      </c>
      <c r="B113" s="292"/>
      <c r="C113" s="292"/>
      <c r="D113" s="292"/>
      <c r="E113" s="292"/>
      <c r="F113" s="292"/>
      <c r="G113" s="292"/>
      <c r="H113" s="292"/>
      <c r="I113" s="272">
        <f t="shared" si="21"/>
        <v>0</v>
      </c>
      <c r="J113" s="292"/>
      <c r="K113" s="292"/>
      <c r="L113" s="278" t="e">
        <f t="shared" si="22"/>
        <v>#DIV/0!</v>
      </c>
      <c r="M113" s="278" t="e">
        <f t="shared" si="23"/>
        <v>#DIV/0!</v>
      </c>
      <c r="N113" s="225">
        <v>0</v>
      </c>
      <c r="O113" s="226">
        <v>0.0506</v>
      </c>
      <c r="P113" s="225">
        <v>0.1544</v>
      </c>
    </row>
    <row r="114" outlineLevel="1" spans="1:16">
      <c r="A114" s="159" t="s">
        <v>658</v>
      </c>
      <c r="B114" s="271"/>
      <c r="C114" s="271"/>
      <c r="D114" s="271"/>
      <c r="E114" s="271"/>
      <c r="F114" s="271"/>
      <c r="G114" s="271"/>
      <c r="H114" s="271"/>
      <c r="I114" s="293">
        <f t="shared" si="21"/>
        <v>0</v>
      </c>
      <c r="J114" s="271" t="s">
        <v>178</v>
      </c>
      <c r="K114" s="271"/>
      <c r="L114" s="294" t="e">
        <f t="shared" si="22"/>
        <v>#VALUE!</v>
      </c>
      <c r="M114" s="294"/>
      <c r="N114" s="287">
        <v>0</v>
      </c>
      <c r="O114" s="287">
        <v>0.3</v>
      </c>
      <c r="P114" s="287">
        <v>0.65790273556231</v>
      </c>
    </row>
    <row r="115" outlineLevel="1" spans="1:16">
      <c r="A115" s="159" t="s">
        <v>399</v>
      </c>
      <c r="B115" s="272">
        <f t="shared" ref="B115:H115" si="24">SUM(B108:B114)</f>
        <v>0</v>
      </c>
      <c r="C115" s="272">
        <f t="shared" si="24"/>
        <v>0</v>
      </c>
      <c r="D115" s="272">
        <f t="shared" si="24"/>
        <v>2</v>
      </c>
      <c r="E115" s="272">
        <f t="shared" si="24"/>
        <v>2</v>
      </c>
      <c r="F115" s="272">
        <f t="shared" si="24"/>
        <v>0</v>
      </c>
      <c r="G115" s="272">
        <f t="shared" si="24"/>
        <v>4</v>
      </c>
      <c r="H115" s="272">
        <f t="shared" si="24"/>
        <v>0</v>
      </c>
      <c r="I115" s="272" t="str">
        <f t="shared" ref="I115:K115" si="25">IF(SUM(I112:I114)=0,"-",SUM(I112:I114))</f>
        <v>-</v>
      </c>
      <c r="J115" s="272" t="str">
        <f t="shared" si="25"/>
        <v>-</v>
      </c>
      <c r="K115" s="272" t="str">
        <f t="shared" si="25"/>
        <v>-</v>
      </c>
      <c r="L115" s="278" t="e">
        <f t="shared" si="22"/>
        <v>#VALUE!</v>
      </c>
      <c r="M115" s="278" t="e">
        <f t="shared" si="23"/>
        <v>#VALUE!</v>
      </c>
      <c r="N115" s="295"/>
      <c r="O115" s="295"/>
      <c r="P115" s="295"/>
    </row>
    <row r="116" outlineLevel="1"/>
    <row r="117" outlineLevel="1" spans="14:14">
      <c r="N117" s="283" t="s">
        <v>162</v>
      </c>
    </row>
    <row r="118" outlineLevel="1" spans="14:14">
      <c r="N118" s="283" t="s">
        <v>659</v>
      </c>
    </row>
    <row r="119" outlineLevel="1" spans="14:14">
      <c r="N119" s="283" t="s">
        <v>660</v>
      </c>
    </row>
    <row r="120" outlineLevel="1" spans="14:14">
      <c r="N120" s="283" t="s">
        <v>661</v>
      </c>
    </row>
    <row r="121" outlineLevel="1" spans="14:14">
      <c r="N121" s="283" t="s">
        <v>662</v>
      </c>
    </row>
    <row r="122" outlineLevel="1"/>
    <row r="123" outlineLevel="1"/>
    <row r="124" outlineLevel="1"/>
    <row r="125" outlineLevel="1"/>
    <row r="126" outlineLevel="1"/>
    <row r="127" outlineLevel="1"/>
    <row r="128" outlineLevel="1"/>
    <row r="129" outlineLevel="1"/>
    <row r="130" outlineLevel="1"/>
    <row r="131" outlineLevel="1"/>
    <row r="132" outlineLevel="1"/>
    <row r="134" s="264" customFormat="1" ht="27" spans="1:8">
      <c r="A134" s="69" t="s">
        <v>663</v>
      </c>
      <c r="B134" s="69"/>
      <c r="C134" s="268"/>
      <c r="D134" s="273"/>
      <c r="E134" s="273"/>
      <c r="F134" s="273"/>
      <c r="G134" s="273"/>
      <c r="H134" s="273"/>
    </row>
    <row r="135" s="265" customFormat="1" ht="49.5" spans="1:12">
      <c r="A135" s="159" t="s">
        <v>664</v>
      </c>
      <c r="B135" s="296" t="s">
        <v>665</v>
      </c>
      <c r="C135" s="297"/>
      <c r="D135" s="168" t="s">
        <v>666</v>
      </c>
      <c r="E135" s="277" t="s">
        <v>667</v>
      </c>
      <c r="F135" s="298" t="s">
        <v>540</v>
      </c>
      <c r="G135" s="298"/>
      <c r="H135" s="298"/>
      <c r="I135" s="303" t="s">
        <v>231</v>
      </c>
      <c r="J135" s="300">
        <v>0</v>
      </c>
      <c r="K135" s="300">
        <v>9.869</v>
      </c>
      <c r="L135" s="300">
        <v>21.176</v>
      </c>
    </row>
    <row r="136" s="264" customFormat="1" ht="49.5" spans="1:12">
      <c r="A136" s="159"/>
      <c r="B136" s="159" t="s">
        <v>668</v>
      </c>
      <c r="C136" s="159" t="s">
        <v>669</v>
      </c>
      <c r="D136" s="169"/>
      <c r="E136" s="159"/>
      <c r="F136" s="220" t="s">
        <v>173</v>
      </c>
      <c r="G136" s="299" t="s">
        <v>174</v>
      </c>
      <c r="H136" s="220" t="s">
        <v>349</v>
      </c>
      <c r="I136" s="304" t="s">
        <v>233</v>
      </c>
      <c r="J136" s="305">
        <v>0</v>
      </c>
      <c r="K136" s="305">
        <v>7.503</v>
      </c>
      <c r="L136" s="305">
        <v>16.0824</v>
      </c>
    </row>
    <row r="137" s="264" customFormat="1" ht="49.5" spans="1:12">
      <c r="A137" s="159" t="s">
        <v>397</v>
      </c>
      <c r="B137" s="270">
        <v>415</v>
      </c>
      <c r="C137" s="292">
        <v>0</v>
      </c>
      <c r="D137" s="292">
        <v>122.08</v>
      </c>
      <c r="E137" s="278">
        <f>SUM(B137:C137)/D137</f>
        <v>3.39941022280472</v>
      </c>
      <c r="F137" s="300">
        <v>0</v>
      </c>
      <c r="G137" s="300">
        <v>9.869</v>
      </c>
      <c r="H137" s="300">
        <v>21.176</v>
      </c>
      <c r="I137" s="304" t="s">
        <v>234</v>
      </c>
      <c r="J137" s="305">
        <v>0</v>
      </c>
      <c r="K137" s="305">
        <v>7.751</v>
      </c>
      <c r="L137" s="305">
        <v>21.383</v>
      </c>
    </row>
    <row r="138" s="264" customFormat="1" ht="49.5" spans="1:12">
      <c r="A138" s="159" t="s">
        <v>670</v>
      </c>
      <c r="B138" s="271"/>
      <c r="C138" s="271"/>
      <c r="D138" s="271"/>
      <c r="E138" s="271"/>
      <c r="F138" s="271"/>
      <c r="G138" s="271"/>
      <c r="H138" s="271"/>
      <c r="I138" s="304" t="s">
        <v>235</v>
      </c>
      <c r="J138" s="305">
        <v>0</v>
      </c>
      <c r="K138" s="305">
        <v>4.384</v>
      </c>
      <c r="L138" s="305">
        <v>10.7986</v>
      </c>
    </row>
    <row r="139" s="264" customFormat="1" spans="1:8">
      <c r="A139" s="159" t="s">
        <v>399</v>
      </c>
      <c r="B139" s="272">
        <f>SUM(B135:B138)</f>
        <v>415</v>
      </c>
      <c r="C139" s="272">
        <f>SUM(C135:C138)</f>
        <v>0</v>
      </c>
      <c r="D139" s="272">
        <f t="shared" ref="D139:H139" si="26">SUM(D138:D138)</f>
        <v>0</v>
      </c>
      <c r="E139" s="272">
        <f t="shared" si="26"/>
        <v>0</v>
      </c>
      <c r="F139" s="272">
        <f t="shared" si="26"/>
        <v>0</v>
      </c>
      <c r="G139" s="272">
        <f t="shared" si="26"/>
        <v>0</v>
      </c>
      <c r="H139" s="272">
        <f t="shared" si="26"/>
        <v>0</v>
      </c>
    </row>
    <row r="160" ht="24.75" customHeight="1" spans="1:13">
      <c r="A160" s="301"/>
      <c r="B160" s="302"/>
      <c r="C160" s="302"/>
      <c r="D160" s="302"/>
      <c r="E160" s="302"/>
      <c r="F160" s="302"/>
      <c r="G160" s="302"/>
      <c r="H160" s="302"/>
      <c r="I160" s="302"/>
      <c r="J160" s="302"/>
      <c r="K160" s="302"/>
      <c r="L160" s="302"/>
      <c r="M160" s="306"/>
    </row>
    <row r="161" ht="27" customHeight="1" outlineLevel="1" spans="1:16">
      <c r="A161" s="49" t="s">
        <v>405</v>
      </c>
      <c r="B161" s="49"/>
      <c r="C161" s="49"/>
      <c r="D161" s="49"/>
      <c r="E161" s="49"/>
      <c r="F161" s="49"/>
      <c r="G161" s="49"/>
      <c r="H161" s="49"/>
      <c r="I161" s="49"/>
      <c r="J161" s="49"/>
      <c r="K161" s="49"/>
      <c r="L161" s="49"/>
      <c r="M161" s="49"/>
      <c r="N161" s="49"/>
      <c r="O161" s="49"/>
      <c r="P161" s="49"/>
    </row>
    <row r="162" customHeight="1" outlineLevel="1" spans="1:16">
      <c r="A162" s="266" t="s">
        <v>629</v>
      </c>
      <c r="B162" s="266"/>
      <c r="C162" s="266"/>
      <c r="D162" s="266"/>
      <c r="E162" s="266"/>
      <c r="F162" s="266"/>
      <c r="G162" s="266"/>
      <c r="H162" s="266"/>
      <c r="I162" s="266"/>
      <c r="J162" s="49"/>
      <c r="K162" s="49"/>
      <c r="L162" s="49"/>
      <c r="M162" s="49"/>
      <c r="N162" s="49"/>
      <c r="O162" s="49"/>
      <c r="P162" s="49"/>
    </row>
    <row r="163" ht="17.25" customHeight="1" outlineLevel="1" spans="1:16">
      <c r="A163" s="267" t="s">
        <v>630</v>
      </c>
      <c r="B163" s="266"/>
      <c r="C163" s="266"/>
      <c r="D163" s="266"/>
      <c r="E163" s="266"/>
      <c r="F163" s="266"/>
      <c r="G163" s="266"/>
      <c r="H163" s="266"/>
      <c r="I163" s="266"/>
      <c r="J163" s="49"/>
      <c r="K163" s="49"/>
      <c r="L163" s="49"/>
      <c r="M163" s="49"/>
      <c r="N163" s="49"/>
      <c r="O163" s="49"/>
      <c r="P163" s="49"/>
    </row>
    <row r="164" ht="25.5" customHeight="1" outlineLevel="1" spans="1:3">
      <c r="A164" s="69" t="s">
        <v>631</v>
      </c>
      <c r="B164" s="69"/>
      <c r="C164" s="268"/>
    </row>
    <row r="165" ht="13.5" customHeight="1" outlineLevel="1" spans="1:16">
      <c r="A165" s="159" t="s">
        <v>632</v>
      </c>
      <c r="B165" s="159" t="s">
        <v>633</v>
      </c>
      <c r="C165" s="159"/>
      <c r="D165" s="159"/>
      <c r="E165" s="159"/>
      <c r="F165" s="159"/>
      <c r="G165" s="269" t="s">
        <v>634</v>
      </c>
      <c r="H165" s="269" t="s">
        <v>635</v>
      </c>
      <c r="I165" s="159" t="s">
        <v>636</v>
      </c>
      <c r="J165" s="168" t="s">
        <v>637</v>
      </c>
      <c r="K165" s="168" t="s">
        <v>638</v>
      </c>
      <c r="L165" s="277" t="s">
        <v>639</v>
      </c>
      <c r="M165" s="168" t="s">
        <v>640</v>
      </c>
      <c r="N165" s="219" t="s">
        <v>540</v>
      </c>
      <c r="O165" s="219"/>
      <c r="P165" s="219"/>
    </row>
    <row r="166" ht="14.25" customHeight="1" outlineLevel="1" spans="1:16">
      <c r="A166" s="159"/>
      <c r="B166" s="159" t="s">
        <v>641</v>
      </c>
      <c r="C166" s="159" t="s">
        <v>642</v>
      </c>
      <c r="D166" s="159" t="s">
        <v>643</v>
      </c>
      <c r="E166" s="159" t="s">
        <v>644</v>
      </c>
      <c r="F166" s="159" t="s">
        <v>645</v>
      </c>
      <c r="G166" s="167"/>
      <c r="H166" s="167"/>
      <c r="I166" s="159"/>
      <c r="J166" s="169"/>
      <c r="K166" s="169"/>
      <c r="L166" s="159"/>
      <c r="M166" s="169"/>
      <c r="N166" s="220" t="s">
        <v>173</v>
      </c>
      <c r="O166" s="221" t="s">
        <v>174</v>
      </c>
      <c r="P166" s="220" t="s">
        <v>349</v>
      </c>
    </row>
    <row r="167" outlineLevel="1" spans="1:16">
      <c r="A167" s="159" t="str">
        <f>CONCATENATE("第",ROW(A167)-ROW($A$166),"次评审")</f>
        <v>第1次评审</v>
      </c>
      <c r="B167" s="270">
        <v>0</v>
      </c>
      <c r="C167" s="270">
        <v>1</v>
      </c>
      <c r="D167" s="270">
        <v>4</v>
      </c>
      <c r="E167" s="270">
        <v>4</v>
      </c>
      <c r="F167" s="270">
        <v>6</v>
      </c>
      <c r="G167" s="270">
        <v>15</v>
      </c>
      <c r="H167" s="270">
        <v>0</v>
      </c>
      <c r="I167" s="272">
        <f t="shared" ref="I167:I169" si="27">SUM($B167:$F167)</f>
        <v>15</v>
      </c>
      <c r="J167" s="270">
        <v>39</v>
      </c>
      <c r="K167" s="270">
        <v>14</v>
      </c>
      <c r="L167" s="278">
        <f t="shared" ref="L167:L170" si="28">I167/J167</f>
        <v>0.384615384615385</v>
      </c>
      <c r="M167" s="278">
        <f t="shared" ref="M167:M170" si="29">K167/J167</f>
        <v>0.358974358974359</v>
      </c>
      <c r="N167" s="225">
        <v>0</v>
      </c>
      <c r="O167" s="226">
        <v>0.2111</v>
      </c>
      <c r="P167" s="225">
        <v>0.627</v>
      </c>
    </row>
    <row r="168" outlineLevel="1" spans="1:16">
      <c r="A168" s="159" t="str">
        <f>CONCATENATE("第",ROW(A168)-ROW($A$166),"次评审")</f>
        <v>第2次评审</v>
      </c>
      <c r="B168" s="270"/>
      <c r="C168" s="270"/>
      <c r="D168" s="270"/>
      <c r="E168" s="270"/>
      <c r="F168" s="270"/>
      <c r="G168" s="270"/>
      <c r="H168" s="270"/>
      <c r="I168" s="272">
        <f t="shared" si="27"/>
        <v>0</v>
      </c>
      <c r="J168" s="270"/>
      <c r="K168" s="270"/>
      <c r="L168" s="278" t="e">
        <f t="shared" si="28"/>
        <v>#DIV/0!</v>
      </c>
      <c r="M168" s="278" t="e">
        <f t="shared" si="29"/>
        <v>#DIV/0!</v>
      </c>
      <c r="N168" s="225">
        <v>0</v>
      </c>
      <c r="O168" s="226">
        <v>0.2111</v>
      </c>
      <c r="P168" s="225">
        <v>0.627</v>
      </c>
    </row>
    <row r="169" outlineLevel="1" spans="1:16">
      <c r="A169" s="159" t="s">
        <v>646</v>
      </c>
      <c r="B169" s="271" t="s">
        <v>178</v>
      </c>
      <c r="C169" s="271" t="s">
        <v>178</v>
      </c>
      <c r="D169" s="271" t="s">
        <v>178</v>
      </c>
      <c r="E169" s="271" t="s">
        <v>178</v>
      </c>
      <c r="F169" s="271" t="s">
        <v>178</v>
      </c>
      <c r="G169" s="271" t="s">
        <v>178</v>
      </c>
      <c r="H169" s="271" t="s">
        <v>178</v>
      </c>
      <c r="I169" s="271">
        <f t="shared" si="27"/>
        <v>0</v>
      </c>
      <c r="J169" s="271" t="s">
        <v>178</v>
      </c>
      <c r="K169" s="271"/>
      <c r="L169" s="279" t="e">
        <f t="shared" si="28"/>
        <v>#VALUE!</v>
      </c>
      <c r="M169" s="279"/>
      <c r="N169" s="280">
        <v>0</v>
      </c>
      <c r="O169" s="280">
        <v>0.3075</v>
      </c>
      <c r="P169" s="280">
        <v>0.6547</v>
      </c>
    </row>
    <row r="170" outlineLevel="1" spans="1:16">
      <c r="A170" s="159" t="s">
        <v>399</v>
      </c>
      <c r="B170" s="272">
        <f t="shared" ref="B170:H170" si="30">SUM(B167:B169)</f>
        <v>0</v>
      </c>
      <c r="C170" s="272">
        <f t="shared" si="30"/>
        <v>1</v>
      </c>
      <c r="D170" s="272">
        <f t="shared" si="30"/>
        <v>4</v>
      </c>
      <c r="E170" s="272">
        <f t="shared" si="30"/>
        <v>4</v>
      </c>
      <c r="F170" s="272">
        <f t="shared" si="30"/>
        <v>6</v>
      </c>
      <c r="G170" s="272">
        <f t="shared" si="30"/>
        <v>15</v>
      </c>
      <c r="H170" s="272">
        <f t="shared" si="30"/>
        <v>0</v>
      </c>
      <c r="I170" s="272">
        <f t="shared" ref="I170:K170" si="31">IF(SUM(I167:I169)=0,"-",SUM(I167:I169))</f>
        <v>15</v>
      </c>
      <c r="J170" s="272">
        <f t="shared" si="31"/>
        <v>39</v>
      </c>
      <c r="K170" s="272">
        <f t="shared" si="31"/>
        <v>14</v>
      </c>
      <c r="L170" s="278">
        <f t="shared" si="28"/>
        <v>0.384615384615385</v>
      </c>
      <c r="M170" s="281">
        <f t="shared" si="29"/>
        <v>0.358974358974359</v>
      </c>
      <c r="N170" s="282"/>
      <c r="O170" s="282"/>
      <c r="P170" s="282"/>
    </row>
    <row r="171" outlineLevel="1"/>
    <row r="172" outlineLevel="1"/>
    <row r="173" outlineLevel="1" spans="14:14">
      <c r="N173" s="283"/>
    </row>
    <row r="174" outlineLevel="1" spans="14:14">
      <c r="N174" s="283"/>
    </row>
    <row r="175" outlineLevel="1" spans="14:14">
      <c r="N175" s="283"/>
    </row>
    <row r="176" outlineLevel="1" spans="14:14">
      <c r="N176" s="283"/>
    </row>
    <row r="177" outlineLevel="1" spans="14:14">
      <c r="N177" s="283"/>
    </row>
    <row r="178" outlineLevel="1"/>
    <row r="179" outlineLevel="1"/>
    <row r="180" outlineLevel="1"/>
    <row r="181" outlineLevel="1"/>
    <row r="182" outlineLevel="1"/>
    <row r="183" outlineLevel="1"/>
    <row r="184" outlineLevel="1"/>
    <row r="185" outlineLevel="1"/>
    <row r="186" outlineLevel="1"/>
    <row r="187" ht="27" outlineLevel="1" spans="1:13">
      <c r="A187" s="69" t="s">
        <v>647</v>
      </c>
      <c r="B187" s="69"/>
      <c r="C187" s="268"/>
      <c r="D187" s="273"/>
      <c r="E187" s="273"/>
      <c r="F187" s="273"/>
      <c r="G187" s="273"/>
      <c r="H187" s="273"/>
      <c r="I187" s="273"/>
      <c r="J187" s="273"/>
      <c r="K187" s="273"/>
      <c r="L187" s="273"/>
      <c r="M187" s="284"/>
    </row>
    <row r="188" ht="27" customHeight="1" outlineLevel="1" spans="1:16">
      <c r="A188" s="159" t="s">
        <v>632</v>
      </c>
      <c r="B188" s="159" t="s">
        <v>633</v>
      </c>
      <c r="C188" s="159"/>
      <c r="D188" s="159"/>
      <c r="E188" s="159"/>
      <c r="F188" s="159"/>
      <c r="G188" s="269" t="s">
        <v>634</v>
      </c>
      <c r="H188" s="269" t="s">
        <v>635</v>
      </c>
      <c r="I188" s="159" t="s">
        <v>636</v>
      </c>
      <c r="J188" s="168" t="s">
        <v>637</v>
      </c>
      <c r="K188" s="168" t="s">
        <v>638</v>
      </c>
      <c r="L188" s="277" t="s">
        <v>639</v>
      </c>
      <c r="M188" s="168" t="s">
        <v>640</v>
      </c>
      <c r="N188" s="219" t="s">
        <v>540</v>
      </c>
      <c r="O188" s="219"/>
      <c r="P188" s="219"/>
    </row>
    <row r="189" ht="18.75" customHeight="1" outlineLevel="1" spans="1:16">
      <c r="A189" s="159"/>
      <c r="B189" s="159" t="s">
        <v>641</v>
      </c>
      <c r="C189" s="159" t="s">
        <v>642</v>
      </c>
      <c r="D189" s="159" t="s">
        <v>643</v>
      </c>
      <c r="E189" s="159" t="s">
        <v>644</v>
      </c>
      <c r="F189" s="159" t="s">
        <v>645</v>
      </c>
      <c r="G189" s="167"/>
      <c r="H189" s="167"/>
      <c r="I189" s="159"/>
      <c r="J189" s="169"/>
      <c r="K189" s="169"/>
      <c r="L189" s="159"/>
      <c r="M189" s="169"/>
      <c r="N189" s="220" t="s">
        <v>173</v>
      </c>
      <c r="O189" s="221" t="s">
        <v>174</v>
      </c>
      <c r="P189" s="220" t="s">
        <v>349</v>
      </c>
    </row>
    <row r="190" outlineLevel="1" spans="1:16">
      <c r="A190" s="159" t="str">
        <f>CONCATENATE("第",ROW(A190)-ROW($A$189),"次评审")</f>
        <v>第1次评审</v>
      </c>
      <c r="B190" s="270"/>
      <c r="C190" s="270"/>
      <c r="D190" s="270"/>
      <c r="E190" s="270"/>
      <c r="F190" s="270"/>
      <c r="G190" s="270"/>
      <c r="H190" s="270"/>
      <c r="I190" s="272">
        <f t="shared" ref="I190:I193" si="32">SUM($B190:$F190)</f>
        <v>0</v>
      </c>
      <c r="J190" s="270"/>
      <c r="K190" s="270"/>
      <c r="L190" s="278" t="e">
        <f t="shared" ref="L190:L194" si="33">I190/J190</f>
        <v>#DIV/0!</v>
      </c>
      <c r="M190" s="278" t="e">
        <f t="shared" ref="M190:M192" si="34">K190/J190</f>
        <v>#DIV/0!</v>
      </c>
      <c r="N190" s="225">
        <v>0</v>
      </c>
      <c r="O190" s="226">
        <v>0.0754</v>
      </c>
      <c r="P190" s="225">
        <v>0.2273</v>
      </c>
    </row>
    <row r="191" outlineLevel="1" spans="1:16">
      <c r="A191" s="159" t="str">
        <f>CONCATENATE("第",ROW(A191)-ROW($A$189),"次评审")</f>
        <v>第2次评审</v>
      </c>
      <c r="B191" s="270"/>
      <c r="C191" s="270"/>
      <c r="D191" s="270"/>
      <c r="E191" s="270"/>
      <c r="F191" s="270"/>
      <c r="G191" s="270"/>
      <c r="H191" s="270"/>
      <c r="I191" s="285">
        <f t="shared" si="32"/>
        <v>0</v>
      </c>
      <c r="J191" s="270"/>
      <c r="K191" s="270"/>
      <c r="L191" s="278" t="e">
        <f t="shared" si="33"/>
        <v>#DIV/0!</v>
      </c>
      <c r="M191" s="278" t="e">
        <f t="shared" si="34"/>
        <v>#DIV/0!</v>
      </c>
      <c r="N191" s="225">
        <v>0</v>
      </c>
      <c r="O191" s="226">
        <v>0.0754</v>
      </c>
      <c r="P191" s="225">
        <v>0.2273</v>
      </c>
    </row>
    <row r="192" outlineLevel="1" spans="1:16">
      <c r="A192" s="159" t="str">
        <f>CONCATENATE("第",ROW(A192)-ROW($A$189),"次评审")</f>
        <v>第3次评审</v>
      </c>
      <c r="B192" s="270"/>
      <c r="C192" s="270"/>
      <c r="D192" s="270"/>
      <c r="E192" s="270"/>
      <c r="F192" s="270"/>
      <c r="G192" s="270"/>
      <c r="H192" s="270"/>
      <c r="I192" s="285">
        <f t="shared" si="32"/>
        <v>0</v>
      </c>
      <c r="J192" s="270"/>
      <c r="K192" s="270"/>
      <c r="L192" s="278" t="e">
        <f t="shared" si="33"/>
        <v>#DIV/0!</v>
      </c>
      <c r="M192" s="278" t="e">
        <f t="shared" si="34"/>
        <v>#DIV/0!</v>
      </c>
      <c r="N192" s="225">
        <v>0</v>
      </c>
      <c r="O192" s="226">
        <v>0.0754</v>
      </c>
      <c r="P192" s="225">
        <v>0.2273</v>
      </c>
    </row>
    <row r="193" outlineLevel="1" spans="1:16">
      <c r="A193" s="159" t="s">
        <v>646</v>
      </c>
      <c r="B193" s="274" t="s">
        <v>178</v>
      </c>
      <c r="C193" s="274" t="s">
        <v>178</v>
      </c>
      <c r="D193" s="274" t="s">
        <v>178</v>
      </c>
      <c r="E193" s="274" t="s">
        <v>178</v>
      </c>
      <c r="F193" s="274" t="s">
        <v>178</v>
      </c>
      <c r="G193" s="274" t="s">
        <v>178</v>
      </c>
      <c r="H193" s="274" t="s">
        <v>178</v>
      </c>
      <c r="I193" s="271">
        <f t="shared" si="32"/>
        <v>0</v>
      </c>
      <c r="J193" s="286" t="s">
        <v>178</v>
      </c>
      <c r="K193" s="286"/>
      <c r="L193" s="279" t="e">
        <f t="shared" si="33"/>
        <v>#VALUE!</v>
      </c>
      <c r="M193" s="279"/>
      <c r="N193" s="287">
        <v>0</v>
      </c>
      <c r="O193" s="287">
        <v>0.2866</v>
      </c>
      <c r="P193" s="287">
        <v>0.611</v>
      </c>
    </row>
    <row r="194" outlineLevel="1" spans="1:16">
      <c r="A194" s="159" t="s">
        <v>399</v>
      </c>
      <c r="B194" s="272">
        <f t="shared" ref="B194:H194" si="35">SUM(B190:B193)</f>
        <v>0</v>
      </c>
      <c r="C194" s="272">
        <f t="shared" si="35"/>
        <v>0</v>
      </c>
      <c r="D194" s="272">
        <f t="shared" si="35"/>
        <v>0</v>
      </c>
      <c r="E194" s="272">
        <f t="shared" si="35"/>
        <v>0</v>
      </c>
      <c r="F194" s="272">
        <f t="shared" si="35"/>
        <v>0</v>
      </c>
      <c r="G194" s="272">
        <f t="shared" si="35"/>
        <v>0</v>
      </c>
      <c r="H194" s="272">
        <f t="shared" si="35"/>
        <v>0</v>
      </c>
      <c r="I194" s="272" t="str">
        <f t="shared" ref="I194:K194" si="36">IF(SUM(I191:I193)=0,"-",SUM(I191:I193))</f>
        <v>-</v>
      </c>
      <c r="J194" s="272" t="str">
        <f t="shared" si="36"/>
        <v>-</v>
      </c>
      <c r="K194" s="272" t="str">
        <f t="shared" si="36"/>
        <v>-</v>
      </c>
      <c r="L194" s="278" t="e">
        <f t="shared" si="33"/>
        <v>#VALUE!</v>
      </c>
      <c r="M194" s="281" t="e">
        <f>K194/J194</f>
        <v>#VALUE!</v>
      </c>
      <c r="N194" s="282"/>
      <c r="O194" s="282"/>
      <c r="P194" s="282"/>
    </row>
    <row r="195" outlineLevel="1" spans="17:17">
      <c r="Q195" s="291"/>
    </row>
    <row r="196" outlineLevel="1"/>
    <row r="197" outlineLevel="1" spans="14:14">
      <c r="N197" s="283"/>
    </row>
    <row r="198" outlineLevel="1" spans="14:14">
      <c r="N198" s="283"/>
    </row>
    <row r="199" outlineLevel="1" spans="14:14">
      <c r="N199" s="283"/>
    </row>
    <row r="200" outlineLevel="1" spans="14:14">
      <c r="N200" s="283"/>
    </row>
    <row r="201" outlineLevel="1" spans="14:14">
      <c r="N201" s="283"/>
    </row>
    <row r="202" ht="18" customHeight="1" outlineLevel="1"/>
    <row r="203" outlineLevel="1"/>
    <row r="204" ht="13.5" customHeight="1" outlineLevel="1"/>
    <row r="205" outlineLevel="1"/>
    <row r="206" outlineLevel="1"/>
    <row r="207" outlineLevel="1"/>
    <row r="208" outlineLevel="1"/>
    <row r="209" outlineLevel="1"/>
    <row r="210" outlineLevel="1"/>
    <row r="211" outlineLevel="1"/>
    <row r="212" outlineLevel="1"/>
    <row r="213" ht="27" outlineLevel="1" spans="1:13">
      <c r="A213" s="69" t="s">
        <v>648</v>
      </c>
      <c r="B213" s="69"/>
      <c r="C213" s="268"/>
      <c r="D213" s="273"/>
      <c r="E213" s="273"/>
      <c r="F213" s="273"/>
      <c r="G213" s="273"/>
      <c r="H213" s="273"/>
      <c r="I213" s="273"/>
      <c r="J213" s="273"/>
      <c r="K213" s="273"/>
      <c r="L213" s="273"/>
      <c r="M213" s="284"/>
    </row>
    <row r="214" ht="27" customHeight="1" outlineLevel="1" spans="1:16">
      <c r="A214" s="159" t="s">
        <v>632</v>
      </c>
      <c r="B214" s="159" t="s">
        <v>633</v>
      </c>
      <c r="C214" s="159"/>
      <c r="D214" s="159"/>
      <c r="E214" s="159"/>
      <c r="F214" s="159"/>
      <c r="G214" s="269" t="s">
        <v>634</v>
      </c>
      <c r="H214" s="269" t="s">
        <v>635</v>
      </c>
      <c r="I214" s="159" t="s">
        <v>636</v>
      </c>
      <c r="J214" s="168" t="s">
        <v>637</v>
      </c>
      <c r="K214" s="168" t="s">
        <v>638</v>
      </c>
      <c r="L214" s="277" t="s">
        <v>639</v>
      </c>
      <c r="M214" s="168" t="s">
        <v>640</v>
      </c>
      <c r="N214" s="219" t="s">
        <v>540</v>
      </c>
      <c r="O214" s="219"/>
      <c r="P214" s="219"/>
    </row>
    <row r="215" outlineLevel="1" spans="1:16">
      <c r="A215" s="159"/>
      <c r="B215" s="159" t="s">
        <v>641</v>
      </c>
      <c r="C215" s="159" t="s">
        <v>642</v>
      </c>
      <c r="D215" s="159" t="s">
        <v>643</v>
      </c>
      <c r="E215" s="159" t="s">
        <v>644</v>
      </c>
      <c r="F215" s="159" t="s">
        <v>645</v>
      </c>
      <c r="G215" s="167"/>
      <c r="H215" s="167"/>
      <c r="I215" s="159"/>
      <c r="J215" s="169"/>
      <c r="K215" s="169"/>
      <c r="L215" s="159"/>
      <c r="M215" s="169"/>
      <c r="N215" s="220" t="s">
        <v>173</v>
      </c>
      <c r="O215" s="221" t="s">
        <v>174</v>
      </c>
      <c r="P215" s="220" t="s">
        <v>349</v>
      </c>
    </row>
    <row r="216" outlineLevel="1" spans="1:16">
      <c r="A216" s="159" t="str">
        <f>CONCATENATE("第",ROW(A216)-ROW($A$215),"次评审")</f>
        <v>第1次评审</v>
      </c>
      <c r="B216" s="275">
        <v>0</v>
      </c>
      <c r="C216" s="275">
        <v>0</v>
      </c>
      <c r="D216" s="275">
        <v>2</v>
      </c>
      <c r="E216" s="275">
        <v>0</v>
      </c>
      <c r="F216" s="275">
        <v>0</v>
      </c>
      <c r="G216" s="275">
        <v>2</v>
      </c>
      <c r="H216" s="275">
        <v>0</v>
      </c>
      <c r="I216" s="276">
        <f t="shared" ref="I216:I219" si="37">SUM($B216:$F216)</f>
        <v>2</v>
      </c>
      <c r="J216" s="275">
        <v>15</v>
      </c>
      <c r="K216" s="275">
        <v>9</v>
      </c>
      <c r="L216" s="288">
        <f t="shared" ref="L216:L220" si="38">I216/J216</f>
        <v>0.133333333333333</v>
      </c>
      <c r="M216" s="288">
        <f t="shared" ref="M216:M218" si="39">K216/J216</f>
        <v>0.6</v>
      </c>
      <c r="N216" s="225">
        <v>0</v>
      </c>
      <c r="O216" s="226">
        <v>0.0834</v>
      </c>
      <c r="P216" s="225">
        <v>0.2204</v>
      </c>
    </row>
    <row r="217" outlineLevel="1" spans="1:16">
      <c r="A217" s="159" t="str">
        <f>CONCATENATE("第",ROW(A217)-ROW($A$215),"次评审")</f>
        <v>第2次评审</v>
      </c>
      <c r="B217" s="275"/>
      <c r="C217" s="275"/>
      <c r="D217" s="275"/>
      <c r="E217" s="275"/>
      <c r="F217" s="275"/>
      <c r="G217" s="275"/>
      <c r="H217" s="275"/>
      <c r="I217" s="289">
        <f t="shared" si="37"/>
        <v>0</v>
      </c>
      <c r="J217" s="275"/>
      <c r="K217" s="275"/>
      <c r="L217" s="288" t="e">
        <f t="shared" si="38"/>
        <v>#DIV/0!</v>
      </c>
      <c r="M217" s="288" t="e">
        <f t="shared" si="39"/>
        <v>#DIV/0!</v>
      </c>
      <c r="N217" s="225">
        <v>0</v>
      </c>
      <c r="O217" s="226">
        <v>0.0834</v>
      </c>
      <c r="P217" s="225">
        <v>0.2204</v>
      </c>
    </row>
    <row r="218" outlineLevel="1" spans="1:16">
      <c r="A218" s="159" t="str">
        <f>CONCATENATE("第",ROW(A218)-ROW($A$215),"次评审")</f>
        <v>第3次评审</v>
      </c>
      <c r="B218" s="275"/>
      <c r="C218" s="275"/>
      <c r="D218" s="275"/>
      <c r="E218" s="275"/>
      <c r="F218" s="275"/>
      <c r="G218" s="275"/>
      <c r="H218" s="275"/>
      <c r="I218" s="289">
        <f t="shared" si="37"/>
        <v>0</v>
      </c>
      <c r="J218" s="275"/>
      <c r="K218" s="275"/>
      <c r="L218" s="288" t="e">
        <f t="shared" si="38"/>
        <v>#DIV/0!</v>
      </c>
      <c r="M218" s="288" t="e">
        <f t="shared" si="39"/>
        <v>#DIV/0!</v>
      </c>
      <c r="N218" s="225">
        <v>0</v>
      </c>
      <c r="O218" s="226">
        <v>0.0834</v>
      </c>
      <c r="P218" s="225">
        <v>0.2204</v>
      </c>
    </row>
    <row r="219" outlineLevel="1" spans="1:16">
      <c r="A219" s="159" t="s">
        <v>646</v>
      </c>
      <c r="B219" s="274"/>
      <c r="C219" s="274"/>
      <c r="D219" s="274"/>
      <c r="E219" s="274"/>
      <c r="F219" s="274"/>
      <c r="G219" s="274"/>
      <c r="H219" s="274"/>
      <c r="I219" s="271">
        <f t="shared" si="37"/>
        <v>0</v>
      </c>
      <c r="J219" s="274" t="s">
        <v>178</v>
      </c>
      <c r="K219" s="274"/>
      <c r="L219" s="279" t="e">
        <f t="shared" si="38"/>
        <v>#VALUE!</v>
      </c>
      <c r="M219" s="279"/>
      <c r="N219" s="287">
        <v>0</v>
      </c>
      <c r="O219" s="287">
        <v>0.2333</v>
      </c>
      <c r="P219" s="287">
        <v>0.7131</v>
      </c>
    </row>
    <row r="220" outlineLevel="1" spans="1:13">
      <c r="A220" s="159" t="s">
        <v>399</v>
      </c>
      <c r="B220" s="276">
        <f t="shared" ref="B220:H220" si="40">SUM(B216:B219)</f>
        <v>0</v>
      </c>
      <c r="C220" s="276">
        <f t="shared" si="40"/>
        <v>0</v>
      </c>
      <c r="D220" s="276">
        <f t="shared" si="40"/>
        <v>2</v>
      </c>
      <c r="E220" s="276">
        <f t="shared" si="40"/>
        <v>0</v>
      </c>
      <c r="F220" s="276">
        <f t="shared" si="40"/>
        <v>0</v>
      </c>
      <c r="G220" s="276">
        <f t="shared" si="40"/>
        <v>2</v>
      </c>
      <c r="H220" s="276">
        <f t="shared" si="40"/>
        <v>0</v>
      </c>
      <c r="I220" s="272" t="str">
        <f t="shared" ref="I220:K220" si="41">IF(SUM(I217:I219)=0,"-",SUM(I217:I219))</f>
        <v>-</v>
      </c>
      <c r="J220" s="272" t="str">
        <f t="shared" si="41"/>
        <v>-</v>
      </c>
      <c r="K220" s="272" t="str">
        <f t="shared" si="41"/>
        <v>-</v>
      </c>
      <c r="L220" s="290" t="e">
        <f t="shared" si="38"/>
        <v>#VALUE!</v>
      </c>
      <c r="M220" s="288" t="e">
        <f>K220/J220</f>
        <v>#VALUE!</v>
      </c>
    </row>
    <row r="221" outlineLevel="1"/>
    <row r="222" outlineLevel="1" spans="14:14">
      <c r="N222" s="283"/>
    </row>
    <row r="223" outlineLevel="1" spans="14:14">
      <c r="N223" s="283"/>
    </row>
    <row r="224" outlineLevel="1" spans="14:14">
      <c r="N224" s="283"/>
    </row>
    <row r="225" outlineLevel="1" spans="14:14">
      <c r="N225" s="283"/>
    </row>
    <row r="226" outlineLevel="1" spans="14:14">
      <c r="N226" s="283"/>
    </row>
    <row r="227" outlineLevel="1" spans="14:14">
      <c r="N227" s="283"/>
    </row>
    <row r="228" outlineLevel="1"/>
    <row r="229" outlineLevel="1"/>
    <row r="230" outlineLevel="1"/>
    <row r="231" outlineLevel="1"/>
    <row r="232" outlineLevel="1"/>
    <row r="233" outlineLevel="1"/>
    <row r="234" outlineLevel="1"/>
    <row r="235" outlineLevel="1"/>
    <row r="236" outlineLevel="1"/>
    <row r="237" outlineLevel="1"/>
    <row r="238" outlineLevel="1"/>
    <row r="239" outlineLevel="1"/>
    <row r="240" ht="27" outlineLevel="1" spans="1:13">
      <c r="A240" s="69" t="s">
        <v>649</v>
      </c>
      <c r="B240" s="69"/>
      <c r="C240" s="268"/>
      <c r="D240" s="273"/>
      <c r="E240" s="273"/>
      <c r="F240" s="273"/>
      <c r="G240" s="273"/>
      <c r="H240" s="273"/>
      <c r="I240" s="273"/>
      <c r="J240" s="273"/>
      <c r="K240" s="273"/>
      <c r="L240" s="273"/>
      <c r="M240" s="284"/>
    </row>
    <row r="241" ht="30.95" customHeight="1" outlineLevel="1" spans="1:16">
      <c r="A241" s="159" t="s">
        <v>632</v>
      </c>
      <c r="B241" s="159" t="s">
        <v>633</v>
      </c>
      <c r="C241" s="159"/>
      <c r="D241" s="159"/>
      <c r="E241" s="159"/>
      <c r="F241" s="159"/>
      <c r="G241" s="269" t="s">
        <v>634</v>
      </c>
      <c r="H241" s="269" t="s">
        <v>635</v>
      </c>
      <c r="I241" s="159" t="s">
        <v>636</v>
      </c>
      <c r="J241" s="168" t="s">
        <v>650</v>
      </c>
      <c r="K241" s="168" t="s">
        <v>638</v>
      </c>
      <c r="L241" s="277" t="s">
        <v>651</v>
      </c>
      <c r="M241" s="168" t="s">
        <v>671</v>
      </c>
      <c r="N241" s="219" t="s">
        <v>540</v>
      </c>
      <c r="O241" s="219"/>
      <c r="P241" s="219"/>
    </row>
    <row r="242" outlineLevel="1" spans="1:16">
      <c r="A242" s="159"/>
      <c r="B242" s="159" t="s">
        <v>641</v>
      </c>
      <c r="C242" s="159" t="s">
        <v>642</v>
      </c>
      <c r="D242" s="159" t="s">
        <v>643</v>
      </c>
      <c r="E242" s="159" t="s">
        <v>644</v>
      </c>
      <c r="F242" s="159" t="s">
        <v>645</v>
      </c>
      <c r="G242" s="167"/>
      <c r="H242" s="167"/>
      <c r="I242" s="159"/>
      <c r="J242" s="169"/>
      <c r="K242" s="169"/>
      <c r="L242" s="159"/>
      <c r="M242" s="169"/>
      <c r="N242" s="220" t="s">
        <v>173</v>
      </c>
      <c r="O242" s="221" t="s">
        <v>174</v>
      </c>
      <c r="P242" s="220" t="s">
        <v>349</v>
      </c>
    </row>
    <row r="243" outlineLevel="1" spans="1:16">
      <c r="A243" s="159" t="str">
        <f>CONCATENATE("第",ROW(A243)-ROW($A$242),"次评审")</f>
        <v>第1次评审</v>
      </c>
      <c r="B243" s="270">
        <v>0</v>
      </c>
      <c r="C243" s="270">
        <v>0</v>
      </c>
      <c r="D243" s="270">
        <v>5</v>
      </c>
      <c r="E243" s="270">
        <v>31</v>
      </c>
      <c r="F243" s="270">
        <v>1</v>
      </c>
      <c r="G243" s="270">
        <v>37</v>
      </c>
      <c r="H243" s="270">
        <v>0</v>
      </c>
      <c r="I243" s="285">
        <f t="shared" ref="I243:I246" si="42">SUM($B243:$F243)</f>
        <v>37</v>
      </c>
      <c r="J243" s="270">
        <v>1265</v>
      </c>
      <c r="K243" s="270">
        <v>110</v>
      </c>
      <c r="L243" s="278">
        <f t="shared" ref="L243:L247" si="43">I243/J243</f>
        <v>0.0292490118577075</v>
      </c>
      <c r="M243" s="278">
        <f t="shared" ref="M243:M245" si="44">K243/J243</f>
        <v>0.0869565217391304</v>
      </c>
      <c r="N243" s="225">
        <v>0.0008</v>
      </c>
      <c r="O243" s="226">
        <v>0.011</v>
      </c>
      <c r="P243" s="225">
        <v>0.0212</v>
      </c>
    </row>
    <row r="244" outlineLevel="1" spans="1:16">
      <c r="A244" s="159" t="str">
        <f>CONCATENATE("第",ROW(A244)-ROW($A$242),"次评审")</f>
        <v>第2次评审</v>
      </c>
      <c r="B244" s="270"/>
      <c r="C244" s="270"/>
      <c r="D244" s="270"/>
      <c r="E244" s="270"/>
      <c r="F244" s="270"/>
      <c r="G244" s="270"/>
      <c r="H244" s="270"/>
      <c r="I244" s="285">
        <f t="shared" si="42"/>
        <v>0</v>
      </c>
      <c r="J244" s="270"/>
      <c r="K244" s="270"/>
      <c r="L244" s="278" t="e">
        <f t="shared" si="43"/>
        <v>#DIV/0!</v>
      </c>
      <c r="M244" s="278" t="e">
        <f t="shared" si="44"/>
        <v>#DIV/0!</v>
      </c>
      <c r="N244" s="225">
        <v>0.0008</v>
      </c>
      <c r="O244" s="226">
        <v>0.011</v>
      </c>
      <c r="P244" s="225">
        <v>0.0212</v>
      </c>
    </row>
    <row r="245" outlineLevel="1" spans="1:16">
      <c r="A245" s="159" t="str">
        <f>CONCATENATE("第",ROW(A245)-ROW($A$242),"次评审")</f>
        <v>第3次评审</v>
      </c>
      <c r="B245" s="270"/>
      <c r="C245" s="270"/>
      <c r="D245" s="270"/>
      <c r="E245" s="270"/>
      <c r="F245" s="270"/>
      <c r="G245" s="270"/>
      <c r="H245" s="270"/>
      <c r="I245" s="285">
        <f t="shared" si="42"/>
        <v>0</v>
      </c>
      <c r="J245" s="270"/>
      <c r="K245" s="270"/>
      <c r="L245" s="278" t="e">
        <f t="shared" si="43"/>
        <v>#DIV/0!</v>
      </c>
      <c r="M245" s="278" t="e">
        <f t="shared" si="44"/>
        <v>#DIV/0!</v>
      </c>
      <c r="N245" s="225">
        <v>0.0008</v>
      </c>
      <c r="O245" s="226">
        <v>0.011</v>
      </c>
      <c r="P245" s="225">
        <v>0.0212</v>
      </c>
    </row>
    <row r="246" outlineLevel="1" spans="1:16">
      <c r="A246" s="159" t="s">
        <v>646</v>
      </c>
      <c r="B246" s="271"/>
      <c r="C246" s="271"/>
      <c r="D246" s="271"/>
      <c r="E246" s="271"/>
      <c r="F246" s="271"/>
      <c r="G246" s="271"/>
      <c r="H246" s="271"/>
      <c r="I246" s="293">
        <f t="shared" si="42"/>
        <v>0</v>
      </c>
      <c r="J246" s="271" t="s">
        <v>178</v>
      </c>
      <c r="K246" s="271"/>
      <c r="L246" s="294" t="e">
        <f t="shared" si="43"/>
        <v>#VALUE!</v>
      </c>
      <c r="M246" s="294"/>
      <c r="N246" s="287">
        <v>0</v>
      </c>
      <c r="O246" s="287">
        <v>0.04351</v>
      </c>
      <c r="P246" s="287">
        <v>0.0879</v>
      </c>
    </row>
    <row r="247" outlineLevel="1" spans="1:16">
      <c r="A247" s="159" t="s">
        <v>399</v>
      </c>
      <c r="B247" s="272">
        <f t="shared" ref="B247:H247" si="45">SUM(B243:B246)</f>
        <v>0</v>
      </c>
      <c r="C247" s="272">
        <f t="shared" si="45"/>
        <v>0</v>
      </c>
      <c r="D247" s="272">
        <f t="shared" si="45"/>
        <v>5</v>
      </c>
      <c r="E247" s="272">
        <f t="shared" si="45"/>
        <v>31</v>
      </c>
      <c r="F247" s="272">
        <f t="shared" si="45"/>
        <v>1</v>
      </c>
      <c r="G247" s="272">
        <f t="shared" si="45"/>
        <v>37</v>
      </c>
      <c r="H247" s="272">
        <f t="shared" si="45"/>
        <v>0</v>
      </c>
      <c r="I247" s="272" t="str">
        <f t="shared" ref="I247:K247" si="46">IF(SUM(I244:I246)=0,"-",SUM(I244:I246))</f>
        <v>-</v>
      </c>
      <c r="J247" s="272" t="str">
        <f t="shared" si="46"/>
        <v>-</v>
      </c>
      <c r="K247" s="272" t="str">
        <f t="shared" si="46"/>
        <v>-</v>
      </c>
      <c r="L247" s="278" t="e">
        <f t="shared" si="43"/>
        <v>#VALUE!</v>
      </c>
      <c r="M247" s="278" t="e">
        <f>K247/J247</f>
        <v>#VALUE!</v>
      </c>
      <c r="N247" s="295"/>
      <c r="O247" s="295"/>
      <c r="P247" s="295"/>
    </row>
    <row r="248" outlineLevel="1"/>
    <row r="249" outlineLevel="1" spans="14:14">
      <c r="N249" s="283"/>
    </row>
    <row r="250" outlineLevel="1" spans="14:14">
      <c r="N250" s="283"/>
    </row>
    <row r="251" outlineLevel="1" spans="14:14">
      <c r="N251" s="283"/>
    </row>
    <row r="252" outlineLevel="1" spans="14:14">
      <c r="N252" s="283"/>
    </row>
    <row r="253" outlineLevel="1" spans="14:14">
      <c r="N253" s="283"/>
    </row>
    <row r="254" outlineLevel="1"/>
    <row r="255" outlineLevel="1"/>
    <row r="256" outlineLevel="1"/>
    <row r="257" outlineLevel="1"/>
    <row r="258" outlineLevel="1"/>
    <row r="259" outlineLevel="1"/>
    <row r="260" outlineLevel="1"/>
    <row r="261" outlineLevel="1"/>
    <row r="262" outlineLevel="1"/>
    <row r="263" outlineLevel="1"/>
    <row r="264" outlineLevel="1"/>
    <row r="265" ht="27" outlineLevel="1" spans="1:13">
      <c r="A265" s="69" t="s">
        <v>652</v>
      </c>
      <c r="B265" s="69"/>
      <c r="C265" s="268"/>
      <c r="D265" s="273"/>
      <c r="E265" s="273"/>
      <c r="F265" s="273"/>
      <c r="G265" s="273"/>
      <c r="H265" s="273"/>
      <c r="I265" s="273"/>
      <c r="J265" s="273"/>
      <c r="K265" s="273"/>
      <c r="L265" s="273"/>
      <c r="M265" s="284"/>
    </row>
    <row r="266" ht="30" customHeight="1" outlineLevel="1" spans="1:16">
      <c r="A266" s="159" t="s">
        <v>653</v>
      </c>
      <c r="B266" s="159" t="s">
        <v>633</v>
      </c>
      <c r="C266" s="159"/>
      <c r="D266" s="159"/>
      <c r="E266" s="159"/>
      <c r="F266" s="159"/>
      <c r="G266" s="269" t="s">
        <v>634</v>
      </c>
      <c r="H266" s="269" t="s">
        <v>635</v>
      </c>
      <c r="I266" s="159" t="s">
        <v>636</v>
      </c>
      <c r="J266" s="168" t="s">
        <v>654</v>
      </c>
      <c r="K266" s="168" t="s">
        <v>655</v>
      </c>
      <c r="L266" s="277" t="s">
        <v>656</v>
      </c>
      <c r="M266" s="168" t="s">
        <v>657</v>
      </c>
      <c r="N266" s="219" t="s">
        <v>540</v>
      </c>
      <c r="O266" s="219"/>
      <c r="P266" s="219"/>
    </row>
    <row r="267" outlineLevel="1" spans="1:16">
      <c r="A267" s="159"/>
      <c r="B267" s="159" t="s">
        <v>641</v>
      </c>
      <c r="C267" s="159" t="s">
        <v>642</v>
      </c>
      <c r="D267" s="159" t="s">
        <v>643</v>
      </c>
      <c r="E267" s="159" t="s">
        <v>644</v>
      </c>
      <c r="F267" s="159" t="s">
        <v>645</v>
      </c>
      <c r="G267" s="167"/>
      <c r="H267" s="167"/>
      <c r="I267" s="159"/>
      <c r="J267" s="169"/>
      <c r="K267" s="169"/>
      <c r="L267" s="159"/>
      <c r="M267" s="169"/>
      <c r="N267" s="220" t="s">
        <v>173</v>
      </c>
      <c r="O267" s="221" t="s">
        <v>174</v>
      </c>
      <c r="P267" s="220" t="s">
        <v>349</v>
      </c>
    </row>
    <row r="268" outlineLevel="1" spans="1:16">
      <c r="A268" s="159" t="str">
        <f>CONCATENATE("第",ROW(A268)-ROW($A$267),"次走查")</f>
        <v>第1次走查</v>
      </c>
      <c r="B268" s="292">
        <v>0</v>
      </c>
      <c r="C268" s="292">
        <v>0</v>
      </c>
      <c r="D268" s="292">
        <v>15</v>
      </c>
      <c r="E268" s="292">
        <v>0</v>
      </c>
      <c r="F268" s="292">
        <v>0</v>
      </c>
      <c r="G268" s="292">
        <v>15</v>
      </c>
      <c r="H268" s="292">
        <v>0</v>
      </c>
      <c r="I268" s="272">
        <f t="shared" ref="I268:I272" si="47">SUM($B268:$F268)</f>
        <v>15</v>
      </c>
      <c r="J268" s="292">
        <f>规模!C13</f>
        <v>126.95</v>
      </c>
      <c r="K268" s="292">
        <v>23</v>
      </c>
      <c r="L268" s="278">
        <f t="shared" ref="L268:L273" si="48">I268/J268</f>
        <v>0.118156754627806</v>
      </c>
      <c r="M268" s="278">
        <f t="shared" ref="M268:M271" si="49">K268/J268</f>
        <v>0.181173690429303</v>
      </c>
      <c r="N268" s="225">
        <v>0</v>
      </c>
      <c r="O268" s="226">
        <v>0.0506</v>
      </c>
      <c r="P268" s="225">
        <v>0.1544</v>
      </c>
    </row>
    <row r="269" outlineLevel="1" spans="1:16">
      <c r="A269" s="159" t="str">
        <f>CONCATENATE("第",ROW(A269)-ROW($A$267),"次走查")</f>
        <v>第2次走查</v>
      </c>
      <c r="B269" s="292"/>
      <c r="C269" s="292"/>
      <c r="D269" s="292"/>
      <c r="E269" s="292"/>
      <c r="F269" s="292"/>
      <c r="G269" s="292"/>
      <c r="H269" s="292"/>
      <c r="I269" s="272">
        <f t="shared" si="47"/>
        <v>0</v>
      </c>
      <c r="J269" s="292"/>
      <c r="K269" s="292"/>
      <c r="L269" s="278" t="e">
        <f t="shared" si="48"/>
        <v>#DIV/0!</v>
      </c>
      <c r="M269" s="278" t="e">
        <f t="shared" si="49"/>
        <v>#DIV/0!</v>
      </c>
      <c r="N269" s="225">
        <v>0</v>
      </c>
      <c r="O269" s="226">
        <v>0.0506</v>
      </c>
      <c r="P269" s="225">
        <v>0.1544</v>
      </c>
    </row>
    <row r="270" outlineLevel="1" spans="1:16">
      <c r="A270" s="159" t="str">
        <f>CONCATENATE("第",ROW(A270)-ROW($A$267),"次走查")</f>
        <v>第3次走查</v>
      </c>
      <c r="B270" s="292"/>
      <c r="C270" s="292"/>
      <c r="D270" s="292"/>
      <c r="E270" s="292"/>
      <c r="F270" s="292"/>
      <c r="G270" s="292"/>
      <c r="H270" s="292"/>
      <c r="I270" s="272">
        <f t="shared" si="47"/>
        <v>0</v>
      </c>
      <c r="J270" s="292"/>
      <c r="K270" s="292"/>
      <c r="L270" s="278" t="e">
        <f t="shared" si="48"/>
        <v>#DIV/0!</v>
      </c>
      <c r="M270" s="278" t="e">
        <f t="shared" si="49"/>
        <v>#DIV/0!</v>
      </c>
      <c r="N270" s="225">
        <v>0</v>
      </c>
      <c r="O270" s="226">
        <v>0.0506</v>
      </c>
      <c r="P270" s="225">
        <v>0.1544</v>
      </c>
    </row>
    <row r="271" outlineLevel="1" spans="1:16">
      <c r="A271" s="159" t="str">
        <f>CONCATENATE("第",ROW(A271)-ROW($A$267),"次走查")</f>
        <v>第4次走查</v>
      </c>
      <c r="B271" s="292"/>
      <c r="C271" s="292"/>
      <c r="D271" s="292"/>
      <c r="E271" s="292"/>
      <c r="F271" s="292"/>
      <c r="G271" s="292"/>
      <c r="H271" s="292"/>
      <c r="I271" s="272">
        <f t="shared" si="47"/>
        <v>0</v>
      </c>
      <c r="J271" s="292"/>
      <c r="K271" s="292"/>
      <c r="L271" s="278" t="e">
        <f t="shared" si="48"/>
        <v>#DIV/0!</v>
      </c>
      <c r="M271" s="278" t="e">
        <f t="shared" si="49"/>
        <v>#DIV/0!</v>
      </c>
      <c r="N271" s="225">
        <v>0</v>
      </c>
      <c r="O271" s="226">
        <v>0.0506</v>
      </c>
      <c r="P271" s="225">
        <v>0.1544</v>
      </c>
    </row>
    <row r="272" outlineLevel="1" spans="1:16">
      <c r="A272" s="159" t="s">
        <v>658</v>
      </c>
      <c r="B272" s="271"/>
      <c r="C272" s="271"/>
      <c r="D272" s="271"/>
      <c r="E272" s="271"/>
      <c r="F272" s="271"/>
      <c r="G272" s="271"/>
      <c r="H272" s="271"/>
      <c r="I272" s="293">
        <f t="shared" si="47"/>
        <v>0</v>
      </c>
      <c r="J272" s="271" t="s">
        <v>178</v>
      </c>
      <c r="K272" s="271"/>
      <c r="L272" s="294" t="e">
        <f t="shared" si="48"/>
        <v>#VALUE!</v>
      </c>
      <c r="M272" s="294"/>
      <c r="N272" s="287">
        <v>0</v>
      </c>
      <c r="O272" s="287">
        <v>0.3</v>
      </c>
      <c r="P272" s="287">
        <v>0.65790273556231</v>
      </c>
    </row>
    <row r="273" outlineLevel="1" spans="1:16">
      <c r="A273" s="159" t="s">
        <v>399</v>
      </c>
      <c r="B273" s="272">
        <f t="shared" ref="B273:H273" si="50">SUM(B266:B272)</f>
        <v>0</v>
      </c>
      <c r="C273" s="272">
        <f t="shared" si="50"/>
        <v>0</v>
      </c>
      <c r="D273" s="272">
        <f t="shared" si="50"/>
        <v>15</v>
      </c>
      <c r="E273" s="272">
        <f t="shared" si="50"/>
        <v>0</v>
      </c>
      <c r="F273" s="272">
        <f t="shared" si="50"/>
        <v>0</v>
      </c>
      <c r="G273" s="272">
        <f t="shared" si="50"/>
        <v>15</v>
      </c>
      <c r="H273" s="272">
        <f t="shared" si="50"/>
        <v>0</v>
      </c>
      <c r="I273" s="272" t="str">
        <f t="shared" ref="I273:K273" si="51">IF(SUM(I270:I272)=0,"-",SUM(I270:I272))</f>
        <v>-</v>
      </c>
      <c r="J273" s="272" t="str">
        <f t="shared" si="51"/>
        <v>-</v>
      </c>
      <c r="K273" s="272" t="str">
        <f t="shared" si="51"/>
        <v>-</v>
      </c>
      <c r="L273" s="278" t="e">
        <f t="shared" si="48"/>
        <v>#VALUE!</v>
      </c>
      <c r="M273" s="278" t="e">
        <f>K273/J273</f>
        <v>#VALUE!</v>
      </c>
      <c r="N273" s="295"/>
      <c r="O273" s="295"/>
      <c r="P273" s="295"/>
    </row>
    <row r="274" outlineLevel="1"/>
    <row r="275" outlineLevel="1" spans="14:14">
      <c r="N275" s="283" t="s">
        <v>162</v>
      </c>
    </row>
    <row r="276" outlineLevel="1" spans="14:14">
      <c r="N276" s="283" t="s">
        <v>659</v>
      </c>
    </row>
    <row r="277" outlineLevel="1" spans="14:14">
      <c r="N277" s="283" t="s">
        <v>660</v>
      </c>
    </row>
    <row r="278" outlineLevel="1" spans="14:14">
      <c r="N278" s="283" t="s">
        <v>661</v>
      </c>
    </row>
    <row r="279" outlineLevel="1" spans="14:14">
      <c r="N279" s="283" t="s">
        <v>662</v>
      </c>
    </row>
    <row r="280" outlineLevel="1"/>
    <row r="281" outlineLevel="1"/>
    <row r="282" outlineLevel="1"/>
    <row r="283" outlineLevel="1"/>
    <row r="284" outlineLevel="1"/>
    <row r="285" outlineLevel="1"/>
    <row r="286" outlineLevel="1"/>
    <row r="287" outlineLevel="1"/>
    <row r="288" outlineLevel="1"/>
    <row r="289" outlineLevel="1"/>
    <row r="290" outlineLevel="1"/>
    <row r="292" s="264" customFormat="1" ht="27" spans="1:8">
      <c r="A292" s="69" t="s">
        <v>663</v>
      </c>
      <c r="B292" s="69"/>
      <c r="C292" s="268"/>
      <c r="D292" s="273"/>
      <c r="E292" s="273"/>
      <c r="F292" s="273"/>
      <c r="G292" s="273"/>
      <c r="H292" s="273"/>
    </row>
    <row r="293" s="265" customFormat="1" ht="49.5" spans="1:12">
      <c r="A293" s="159" t="s">
        <v>664</v>
      </c>
      <c r="B293" s="296" t="s">
        <v>665</v>
      </c>
      <c r="C293" s="297"/>
      <c r="D293" s="168" t="s">
        <v>666</v>
      </c>
      <c r="E293" s="277" t="s">
        <v>667</v>
      </c>
      <c r="F293" s="298" t="s">
        <v>540</v>
      </c>
      <c r="G293" s="298"/>
      <c r="H293" s="298"/>
      <c r="I293" s="303" t="s">
        <v>231</v>
      </c>
      <c r="J293" s="300">
        <v>0</v>
      </c>
      <c r="K293" s="300">
        <v>9.869</v>
      </c>
      <c r="L293" s="300">
        <v>21.176</v>
      </c>
    </row>
    <row r="294" s="264" customFormat="1" ht="49.5" spans="1:12">
      <c r="A294" s="159"/>
      <c r="B294" s="159" t="s">
        <v>668</v>
      </c>
      <c r="C294" s="159" t="s">
        <v>669</v>
      </c>
      <c r="D294" s="169"/>
      <c r="E294" s="159"/>
      <c r="F294" s="220" t="s">
        <v>173</v>
      </c>
      <c r="G294" s="299" t="s">
        <v>174</v>
      </c>
      <c r="H294" s="220" t="s">
        <v>349</v>
      </c>
      <c r="I294" s="304" t="s">
        <v>233</v>
      </c>
      <c r="J294" s="305">
        <v>0</v>
      </c>
      <c r="K294" s="305">
        <v>7.503</v>
      </c>
      <c r="L294" s="305">
        <v>16.0824</v>
      </c>
    </row>
    <row r="295" s="264" customFormat="1" ht="49.5" spans="1:12">
      <c r="A295" s="159" t="s">
        <v>405</v>
      </c>
      <c r="B295" s="270">
        <v>1265</v>
      </c>
      <c r="C295" s="292">
        <v>0</v>
      </c>
      <c r="D295" s="292">
        <v>126.95</v>
      </c>
      <c r="E295" s="278">
        <f>SUM(B295:C295)/D295</f>
        <v>9.96455297361166</v>
      </c>
      <c r="F295" s="300">
        <v>0</v>
      </c>
      <c r="G295" s="300">
        <v>9.869</v>
      </c>
      <c r="H295" s="300">
        <v>21.176</v>
      </c>
      <c r="I295" s="304" t="s">
        <v>234</v>
      </c>
      <c r="J295" s="305">
        <v>0</v>
      </c>
      <c r="K295" s="305">
        <v>7.751</v>
      </c>
      <c r="L295" s="305">
        <v>21.383</v>
      </c>
    </row>
    <row r="296" s="264" customFormat="1" ht="49.5" spans="1:12">
      <c r="A296" s="159" t="s">
        <v>670</v>
      </c>
      <c r="B296" s="271"/>
      <c r="C296" s="271"/>
      <c r="D296" s="271"/>
      <c r="E296" s="271"/>
      <c r="F296" s="271"/>
      <c r="G296" s="271"/>
      <c r="H296" s="271"/>
      <c r="I296" s="304" t="s">
        <v>235</v>
      </c>
      <c r="J296" s="305">
        <v>0</v>
      </c>
      <c r="K296" s="305">
        <v>4.384</v>
      </c>
      <c r="L296" s="305">
        <v>10.7986</v>
      </c>
    </row>
    <row r="297" s="264" customFormat="1" spans="1:8">
      <c r="A297" s="159" t="s">
        <v>399</v>
      </c>
      <c r="B297" s="272">
        <f>SUM(B293:B296)</f>
        <v>1265</v>
      </c>
      <c r="C297" s="272">
        <f>SUM(C293:C296)</f>
        <v>0</v>
      </c>
      <c r="D297" s="272">
        <f t="shared" ref="D297:H297" si="52">SUM(D296:D296)</f>
        <v>0</v>
      </c>
      <c r="E297" s="272">
        <f t="shared" si="52"/>
        <v>0</v>
      </c>
      <c r="F297" s="272">
        <f t="shared" si="52"/>
        <v>0</v>
      </c>
      <c r="G297" s="272">
        <f t="shared" si="52"/>
        <v>0</v>
      </c>
      <c r="H297" s="272">
        <f t="shared" si="52"/>
        <v>0</v>
      </c>
    </row>
    <row r="318" ht="24.75" customHeight="1"/>
    <row r="319" ht="27" customHeight="1" outlineLevel="1" spans="1:16">
      <c r="A319" s="49" t="s">
        <v>406</v>
      </c>
      <c r="B319" s="49"/>
      <c r="C319" s="49"/>
      <c r="D319" s="49"/>
      <c r="E319" s="49"/>
      <c r="F319" s="49"/>
      <c r="G319" s="49"/>
      <c r="H319" s="49"/>
      <c r="I319" s="49"/>
      <c r="J319" s="49"/>
      <c r="K319" s="49"/>
      <c r="L319" s="49"/>
      <c r="M319" s="49"/>
      <c r="N319" s="49"/>
      <c r="O319" s="49"/>
      <c r="P319" s="49"/>
    </row>
    <row r="320" customHeight="1" outlineLevel="1" spans="1:16">
      <c r="A320" s="266" t="s">
        <v>629</v>
      </c>
      <c r="B320" s="266"/>
      <c r="C320" s="266"/>
      <c r="D320" s="266"/>
      <c r="E320" s="266"/>
      <c r="F320" s="266"/>
      <c r="G320" s="266"/>
      <c r="H320" s="266"/>
      <c r="I320" s="266"/>
      <c r="J320" s="49"/>
      <c r="K320" s="49"/>
      <c r="L320" s="49"/>
      <c r="M320" s="49"/>
      <c r="N320" s="49"/>
      <c r="O320" s="49"/>
      <c r="P320" s="49"/>
    </row>
    <row r="321" ht="17.25" customHeight="1" outlineLevel="1" spans="1:16">
      <c r="A321" s="267" t="s">
        <v>630</v>
      </c>
      <c r="B321" s="266"/>
      <c r="C321" s="266"/>
      <c r="D321" s="266"/>
      <c r="E321" s="266"/>
      <c r="F321" s="266"/>
      <c r="G321" s="266"/>
      <c r="H321" s="266"/>
      <c r="I321" s="266"/>
      <c r="J321" s="49"/>
      <c r="K321" s="49"/>
      <c r="L321" s="49"/>
      <c r="M321" s="49"/>
      <c r="N321" s="49"/>
      <c r="O321" s="49"/>
      <c r="P321" s="49"/>
    </row>
    <row r="322" ht="25.5" customHeight="1" outlineLevel="1" spans="1:3">
      <c r="A322" s="69" t="s">
        <v>631</v>
      </c>
      <c r="B322" s="69"/>
      <c r="C322" s="268"/>
    </row>
    <row r="323" ht="13.5" customHeight="1" outlineLevel="1" spans="1:16">
      <c r="A323" s="159" t="s">
        <v>632</v>
      </c>
      <c r="B323" s="159" t="s">
        <v>633</v>
      </c>
      <c r="C323" s="159"/>
      <c r="D323" s="159"/>
      <c r="E323" s="159"/>
      <c r="F323" s="159"/>
      <c r="G323" s="269" t="s">
        <v>634</v>
      </c>
      <c r="H323" s="269" t="s">
        <v>635</v>
      </c>
      <c r="I323" s="159" t="s">
        <v>636</v>
      </c>
      <c r="J323" s="168" t="s">
        <v>637</v>
      </c>
      <c r="K323" s="168" t="s">
        <v>638</v>
      </c>
      <c r="L323" s="277" t="s">
        <v>639</v>
      </c>
      <c r="M323" s="168" t="s">
        <v>640</v>
      </c>
      <c r="N323" s="219" t="s">
        <v>540</v>
      </c>
      <c r="O323" s="219"/>
      <c r="P323" s="219"/>
    </row>
    <row r="324" ht="14.25" customHeight="1" outlineLevel="1" spans="1:16">
      <c r="A324" s="159"/>
      <c r="B324" s="159" t="s">
        <v>641</v>
      </c>
      <c r="C324" s="159" t="s">
        <v>642</v>
      </c>
      <c r="D324" s="159" t="s">
        <v>643</v>
      </c>
      <c r="E324" s="159" t="s">
        <v>644</v>
      </c>
      <c r="F324" s="159" t="s">
        <v>645</v>
      </c>
      <c r="G324" s="167"/>
      <c r="H324" s="167"/>
      <c r="I324" s="159"/>
      <c r="J324" s="169"/>
      <c r="K324" s="169"/>
      <c r="L324" s="159"/>
      <c r="M324" s="169"/>
      <c r="N324" s="220" t="s">
        <v>173</v>
      </c>
      <c r="O324" s="221" t="s">
        <v>174</v>
      </c>
      <c r="P324" s="220" t="s">
        <v>349</v>
      </c>
    </row>
    <row r="325" outlineLevel="1" spans="1:16">
      <c r="A325" s="159" t="str">
        <f>CONCATENATE("第",ROW(A325)-ROW($A$324),"次评审")</f>
        <v>第1次评审</v>
      </c>
      <c r="B325" s="270">
        <v>0</v>
      </c>
      <c r="C325" s="270">
        <v>1</v>
      </c>
      <c r="D325" s="270">
        <v>2</v>
      </c>
      <c r="E325" s="270">
        <v>3</v>
      </c>
      <c r="F325" s="270">
        <v>1</v>
      </c>
      <c r="G325" s="270">
        <v>7</v>
      </c>
      <c r="H325" s="270">
        <v>0</v>
      </c>
      <c r="I325" s="272">
        <f t="shared" ref="I325:I327" si="53">SUM($B325:$F325)</f>
        <v>7</v>
      </c>
      <c r="J325" s="270">
        <v>24</v>
      </c>
      <c r="K325" s="270">
        <v>8</v>
      </c>
      <c r="L325" s="278">
        <f t="shared" ref="L325:L328" si="54">I325/J325</f>
        <v>0.291666666666667</v>
      </c>
      <c r="M325" s="278">
        <f t="shared" ref="M325:M328" si="55">K325/J325</f>
        <v>0.333333333333333</v>
      </c>
      <c r="N325" s="225">
        <v>0</v>
      </c>
      <c r="O325" s="226">
        <v>0.2111</v>
      </c>
      <c r="P325" s="225">
        <v>0.627</v>
      </c>
    </row>
    <row r="326" outlineLevel="1" spans="1:16">
      <c r="A326" s="159" t="str">
        <f>CONCATENATE("第",ROW(A326)-ROW($A$324),"次评审")</f>
        <v>第2次评审</v>
      </c>
      <c r="B326" s="270"/>
      <c r="C326" s="270"/>
      <c r="D326" s="270"/>
      <c r="E326" s="270"/>
      <c r="F326" s="270"/>
      <c r="G326" s="270"/>
      <c r="H326" s="270"/>
      <c r="I326" s="272">
        <f t="shared" si="53"/>
        <v>0</v>
      </c>
      <c r="J326" s="270"/>
      <c r="K326" s="270"/>
      <c r="L326" s="278" t="e">
        <f t="shared" si="54"/>
        <v>#DIV/0!</v>
      </c>
      <c r="M326" s="278" t="e">
        <f t="shared" si="55"/>
        <v>#DIV/0!</v>
      </c>
      <c r="N326" s="225">
        <v>0</v>
      </c>
      <c r="O326" s="226">
        <v>0.2111</v>
      </c>
      <c r="P326" s="225">
        <v>0.627</v>
      </c>
    </row>
    <row r="327" outlineLevel="1" spans="1:16">
      <c r="A327" s="159" t="s">
        <v>646</v>
      </c>
      <c r="B327" s="271" t="s">
        <v>178</v>
      </c>
      <c r="C327" s="271" t="s">
        <v>178</v>
      </c>
      <c r="D327" s="271" t="s">
        <v>178</v>
      </c>
      <c r="E327" s="271" t="s">
        <v>178</v>
      </c>
      <c r="F327" s="271" t="s">
        <v>178</v>
      </c>
      <c r="G327" s="271" t="s">
        <v>178</v>
      </c>
      <c r="H327" s="271" t="s">
        <v>178</v>
      </c>
      <c r="I327" s="271">
        <f t="shared" si="53"/>
        <v>0</v>
      </c>
      <c r="J327" s="271" t="s">
        <v>178</v>
      </c>
      <c r="K327" s="271"/>
      <c r="L327" s="279" t="e">
        <f t="shared" si="54"/>
        <v>#VALUE!</v>
      </c>
      <c r="M327" s="279"/>
      <c r="N327" s="280">
        <v>0</v>
      </c>
      <c r="O327" s="280">
        <v>0.3075</v>
      </c>
      <c r="P327" s="280">
        <v>0.6547</v>
      </c>
    </row>
    <row r="328" outlineLevel="1" spans="1:16">
      <c r="A328" s="159" t="s">
        <v>399</v>
      </c>
      <c r="B328" s="272">
        <f t="shared" ref="B328:H328" si="56">SUM(B325:B327)</f>
        <v>0</v>
      </c>
      <c r="C328" s="272">
        <f t="shared" si="56"/>
        <v>1</v>
      </c>
      <c r="D328" s="272">
        <f t="shared" si="56"/>
        <v>2</v>
      </c>
      <c r="E328" s="272">
        <f t="shared" si="56"/>
        <v>3</v>
      </c>
      <c r="F328" s="272">
        <f t="shared" si="56"/>
        <v>1</v>
      </c>
      <c r="G328" s="272">
        <f t="shared" si="56"/>
        <v>7</v>
      </c>
      <c r="H328" s="272">
        <f t="shared" si="56"/>
        <v>0</v>
      </c>
      <c r="I328" s="272">
        <f t="shared" ref="I328:K328" si="57">IF(SUM(I325:I327)=0,"-",SUM(I325:I327))</f>
        <v>7</v>
      </c>
      <c r="J328" s="272">
        <f t="shared" si="57"/>
        <v>24</v>
      </c>
      <c r="K328" s="272">
        <f t="shared" si="57"/>
        <v>8</v>
      </c>
      <c r="L328" s="278">
        <f t="shared" si="54"/>
        <v>0.291666666666667</v>
      </c>
      <c r="M328" s="281">
        <f t="shared" si="55"/>
        <v>0.333333333333333</v>
      </c>
      <c r="N328" s="282"/>
      <c r="O328" s="282"/>
      <c r="P328" s="282"/>
    </row>
    <row r="329" outlineLevel="1"/>
    <row r="330" outlineLevel="1"/>
    <row r="331" outlineLevel="1" spans="14:14">
      <c r="N331" s="283"/>
    </row>
    <row r="332" outlineLevel="1" spans="14:14">
      <c r="N332" s="283"/>
    </row>
    <row r="333" outlineLevel="1" spans="14:14">
      <c r="N333" s="283"/>
    </row>
    <row r="334" outlineLevel="1" spans="14:14">
      <c r="N334" s="283"/>
    </row>
    <row r="335" outlineLevel="1" spans="14:14">
      <c r="N335" s="283"/>
    </row>
    <row r="336" outlineLevel="1"/>
    <row r="337" outlineLevel="1"/>
    <row r="338" outlineLevel="1"/>
    <row r="339" outlineLevel="1"/>
    <row r="340" outlineLevel="1"/>
    <row r="341" outlineLevel="1"/>
    <row r="342" outlineLevel="1"/>
    <row r="343" outlineLevel="1"/>
    <row r="344" outlineLevel="1"/>
    <row r="345" ht="27" outlineLevel="1" spans="1:13">
      <c r="A345" s="69" t="s">
        <v>647</v>
      </c>
      <c r="B345" s="69"/>
      <c r="C345" s="268"/>
      <c r="D345" s="273"/>
      <c r="E345" s="273"/>
      <c r="F345" s="273"/>
      <c r="G345" s="273"/>
      <c r="H345" s="273"/>
      <c r="I345" s="273"/>
      <c r="J345" s="273"/>
      <c r="K345" s="273"/>
      <c r="L345" s="273"/>
      <c r="M345" s="284"/>
    </row>
    <row r="346" ht="27" customHeight="1" outlineLevel="1" spans="1:16">
      <c r="A346" s="159" t="s">
        <v>632</v>
      </c>
      <c r="B346" s="159" t="s">
        <v>633</v>
      </c>
      <c r="C346" s="159"/>
      <c r="D346" s="159"/>
      <c r="E346" s="159"/>
      <c r="F346" s="159"/>
      <c r="G346" s="269" t="s">
        <v>634</v>
      </c>
      <c r="H346" s="269" t="s">
        <v>635</v>
      </c>
      <c r="I346" s="159" t="s">
        <v>636</v>
      </c>
      <c r="J346" s="168" t="s">
        <v>637</v>
      </c>
      <c r="K346" s="168" t="s">
        <v>638</v>
      </c>
      <c r="L346" s="277" t="s">
        <v>639</v>
      </c>
      <c r="M346" s="168" t="s">
        <v>640</v>
      </c>
      <c r="N346" s="219" t="s">
        <v>540</v>
      </c>
      <c r="O346" s="219"/>
      <c r="P346" s="219"/>
    </row>
    <row r="347" ht="18.75" customHeight="1" outlineLevel="1" spans="1:16">
      <c r="A347" s="159"/>
      <c r="B347" s="159" t="s">
        <v>641</v>
      </c>
      <c r="C347" s="159" t="s">
        <v>642</v>
      </c>
      <c r="D347" s="159" t="s">
        <v>643</v>
      </c>
      <c r="E347" s="159" t="s">
        <v>644</v>
      </c>
      <c r="F347" s="159" t="s">
        <v>645</v>
      </c>
      <c r="G347" s="167"/>
      <c r="H347" s="167"/>
      <c r="I347" s="159"/>
      <c r="J347" s="169"/>
      <c r="K347" s="169"/>
      <c r="L347" s="159"/>
      <c r="M347" s="169"/>
      <c r="N347" s="220" t="s">
        <v>173</v>
      </c>
      <c r="O347" s="221" t="s">
        <v>174</v>
      </c>
      <c r="P347" s="220" t="s">
        <v>349</v>
      </c>
    </row>
    <row r="348" outlineLevel="1" spans="1:16">
      <c r="A348" s="159" t="str">
        <f>CONCATENATE("第",ROW(A348)-ROW($A$347),"次评审")</f>
        <v>第1次评审</v>
      </c>
      <c r="B348" s="270"/>
      <c r="C348" s="270"/>
      <c r="D348" s="270"/>
      <c r="E348" s="270"/>
      <c r="F348" s="270"/>
      <c r="G348" s="270"/>
      <c r="H348" s="270"/>
      <c r="I348" s="272">
        <f t="shared" ref="I348:I351" si="58">SUM($B348:$F348)</f>
        <v>0</v>
      </c>
      <c r="J348" s="270"/>
      <c r="K348" s="270"/>
      <c r="L348" s="278" t="e">
        <f t="shared" ref="L348:L352" si="59">I348/J348</f>
        <v>#DIV/0!</v>
      </c>
      <c r="M348" s="278" t="e">
        <f t="shared" ref="M348:M350" si="60">K348/J348</f>
        <v>#DIV/0!</v>
      </c>
      <c r="N348" s="225">
        <v>0</v>
      </c>
      <c r="O348" s="226">
        <v>0.0754</v>
      </c>
      <c r="P348" s="225">
        <v>0.2273</v>
      </c>
    </row>
    <row r="349" outlineLevel="1" spans="1:16">
      <c r="A349" s="159" t="str">
        <f>CONCATENATE("第",ROW(A349)-ROW($A$347),"次评审")</f>
        <v>第2次评审</v>
      </c>
      <c r="B349" s="270"/>
      <c r="C349" s="270"/>
      <c r="D349" s="270"/>
      <c r="E349" s="270"/>
      <c r="F349" s="270"/>
      <c r="G349" s="270"/>
      <c r="H349" s="270"/>
      <c r="I349" s="285">
        <f t="shared" si="58"/>
        <v>0</v>
      </c>
      <c r="J349" s="270"/>
      <c r="K349" s="270"/>
      <c r="L349" s="278" t="e">
        <f t="shared" si="59"/>
        <v>#DIV/0!</v>
      </c>
      <c r="M349" s="278" t="e">
        <f t="shared" si="60"/>
        <v>#DIV/0!</v>
      </c>
      <c r="N349" s="225">
        <v>0</v>
      </c>
      <c r="O349" s="226">
        <v>0.0754</v>
      </c>
      <c r="P349" s="225">
        <v>0.2273</v>
      </c>
    </row>
    <row r="350" outlineLevel="1" spans="1:16">
      <c r="A350" s="159" t="str">
        <f>CONCATENATE("第",ROW(A350)-ROW($A$347),"次评审")</f>
        <v>第3次评审</v>
      </c>
      <c r="B350" s="270"/>
      <c r="C350" s="270"/>
      <c r="D350" s="270"/>
      <c r="E350" s="270"/>
      <c r="F350" s="270"/>
      <c r="G350" s="270"/>
      <c r="H350" s="270"/>
      <c r="I350" s="285">
        <f t="shared" si="58"/>
        <v>0</v>
      </c>
      <c r="J350" s="270"/>
      <c r="K350" s="270"/>
      <c r="L350" s="278" t="e">
        <f t="shared" si="59"/>
        <v>#DIV/0!</v>
      </c>
      <c r="M350" s="278" t="e">
        <f t="shared" si="60"/>
        <v>#DIV/0!</v>
      </c>
      <c r="N350" s="225">
        <v>0</v>
      </c>
      <c r="O350" s="226">
        <v>0.0754</v>
      </c>
      <c r="P350" s="225">
        <v>0.2273</v>
      </c>
    </row>
    <row r="351" outlineLevel="1" spans="1:16">
      <c r="A351" s="159" t="s">
        <v>646</v>
      </c>
      <c r="B351" s="274" t="s">
        <v>178</v>
      </c>
      <c r="C351" s="274" t="s">
        <v>178</v>
      </c>
      <c r="D351" s="274" t="s">
        <v>178</v>
      </c>
      <c r="E351" s="274" t="s">
        <v>178</v>
      </c>
      <c r="F351" s="274" t="s">
        <v>178</v>
      </c>
      <c r="G351" s="274" t="s">
        <v>178</v>
      </c>
      <c r="H351" s="274" t="s">
        <v>178</v>
      </c>
      <c r="I351" s="271">
        <f t="shared" si="58"/>
        <v>0</v>
      </c>
      <c r="J351" s="286" t="s">
        <v>178</v>
      </c>
      <c r="K351" s="286"/>
      <c r="L351" s="279" t="e">
        <f t="shared" si="59"/>
        <v>#VALUE!</v>
      </c>
      <c r="M351" s="279"/>
      <c r="N351" s="287">
        <v>0</v>
      </c>
      <c r="O351" s="287">
        <v>0.2866</v>
      </c>
      <c r="P351" s="287">
        <v>0.611</v>
      </c>
    </row>
    <row r="352" outlineLevel="1" spans="1:16">
      <c r="A352" s="159" t="s">
        <v>399</v>
      </c>
      <c r="B352" s="272">
        <f t="shared" ref="B352:H352" si="61">SUM(B348:B351)</f>
        <v>0</v>
      </c>
      <c r="C352" s="272">
        <f t="shared" si="61"/>
        <v>0</v>
      </c>
      <c r="D352" s="272">
        <f t="shared" si="61"/>
        <v>0</v>
      </c>
      <c r="E352" s="272">
        <f t="shared" si="61"/>
        <v>0</v>
      </c>
      <c r="F352" s="272">
        <f t="shared" si="61"/>
        <v>0</v>
      </c>
      <c r="G352" s="272">
        <f t="shared" si="61"/>
        <v>0</v>
      </c>
      <c r="H352" s="272">
        <f t="shared" si="61"/>
        <v>0</v>
      </c>
      <c r="I352" s="272" t="str">
        <f t="shared" ref="I352:K352" si="62">IF(SUM(I349:I351)=0,"-",SUM(I349:I351))</f>
        <v>-</v>
      </c>
      <c r="J352" s="272" t="str">
        <f t="shared" si="62"/>
        <v>-</v>
      </c>
      <c r="K352" s="272" t="str">
        <f t="shared" si="62"/>
        <v>-</v>
      </c>
      <c r="L352" s="278" t="e">
        <f t="shared" si="59"/>
        <v>#VALUE!</v>
      </c>
      <c r="M352" s="281" t="e">
        <f>K352/J352</f>
        <v>#VALUE!</v>
      </c>
      <c r="N352" s="282"/>
      <c r="O352" s="282"/>
      <c r="P352" s="282"/>
    </row>
    <row r="353" outlineLevel="1" spans="17:17">
      <c r="Q353" s="291"/>
    </row>
    <row r="354" outlineLevel="1"/>
    <row r="355" outlineLevel="1" spans="14:14">
      <c r="N355" s="283"/>
    </row>
    <row r="356" outlineLevel="1" spans="14:14">
      <c r="N356" s="283"/>
    </row>
    <row r="357" outlineLevel="1" spans="14:14">
      <c r="N357" s="283"/>
    </row>
    <row r="358" outlineLevel="1" spans="14:14">
      <c r="N358" s="283"/>
    </row>
    <row r="359" outlineLevel="1" spans="14:14">
      <c r="N359" s="283"/>
    </row>
    <row r="360" ht="18" customHeight="1" outlineLevel="1"/>
    <row r="361" outlineLevel="1"/>
    <row r="362" ht="13.5" customHeight="1" outlineLevel="1"/>
    <row r="363" outlineLevel="1"/>
    <row r="364" outlineLevel="1"/>
    <row r="365" outlineLevel="1"/>
    <row r="366" outlineLevel="1"/>
    <row r="367" outlineLevel="1"/>
    <row r="368" outlineLevel="1"/>
    <row r="369" outlineLevel="1"/>
    <row r="370" outlineLevel="1"/>
    <row r="371" ht="27" outlineLevel="1" spans="1:13">
      <c r="A371" s="69" t="s">
        <v>648</v>
      </c>
      <c r="B371" s="69"/>
      <c r="C371" s="268"/>
      <c r="D371" s="273"/>
      <c r="E371" s="273"/>
      <c r="F371" s="273"/>
      <c r="G371" s="273"/>
      <c r="H371" s="273"/>
      <c r="I371" s="273"/>
      <c r="J371" s="273"/>
      <c r="K371" s="273"/>
      <c r="L371" s="273"/>
      <c r="M371" s="284"/>
    </row>
    <row r="372" ht="27" customHeight="1" outlineLevel="1" spans="1:16">
      <c r="A372" s="159" t="s">
        <v>632</v>
      </c>
      <c r="B372" s="159" t="s">
        <v>633</v>
      </c>
      <c r="C372" s="159"/>
      <c r="D372" s="159"/>
      <c r="E372" s="159"/>
      <c r="F372" s="159"/>
      <c r="G372" s="269" t="s">
        <v>634</v>
      </c>
      <c r="H372" s="269" t="s">
        <v>635</v>
      </c>
      <c r="I372" s="159" t="s">
        <v>636</v>
      </c>
      <c r="J372" s="168" t="s">
        <v>637</v>
      </c>
      <c r="K372" s="168" t="s">
        <v>638</v>
      </c>
      <c r="L372" s="277" t="s">
        <v>639</v>
      </c>
      <c r="M372" s="168" t="s">
        <v>640</v>
      </c>
      <c r="N372" s="219" t="s">
        <v>540</v>
      </c>
      <c r="O372" s="219"/>
      <c r="P372" s="219"/>
    </row>
    <row r="373" outlineLevel="1" spans="1:16">
      <c r="A373" s="159"/>
      <c r="B373" s="159" t="s">
        <v>641</v>
      </c>
      <c r="C373" s="159" t="s">
        <v>642</v>
      </c>
      <c r="D373" s="159" t="s">
        <v>643</v>
      </c>
      <c r="E373" s="159" t="s">
        <v>644</v>
      </c>
      <c r="F373" s="159" t="s">
        <v>645</v>
      </c>
      <c r="G373" s="167"/>
      <c r="H373" s="167"/>
      <c r="I373" s="159"/>
      <c r="J373" s="169"/>
      <c r="K373" s="169"/>
      <c r="L373" s="159"/>
      <c r="M373" s="169"/>
      <c r="N373" s="220" t="s">
        <v>173</v>
      </c>
      <c r="O373" s="221" t="s">
        <v>174</v>
      </c>
      <c r="P373" s="220" t="s">
        <v>349</v>
      </c>
    </row>
    <row r="374" outlineLevel="1" spans="1:16">
      <c r="A374" s="159" t="str">
        <f>CONCATENATE("第",ROW(A374)-ROW($A$373),"次评审")</f>
        <v>第1次评审</v>
      </c>
      <c r="B374" s="275">
        <v>0</v>
      </c>
      <c r="C374" s="275">
        <v>0</v>
      </c>
      <c r="D374" s="275">
        <v>1</v>
      </c>
      <c r="E374" s="275">
        <v>0</v>
      </c>
      <c r="F374" s="275">
        <v>0</v>
      </c>
      <c r="G374" s="275">
        <v>1</v>
      </c>
      <c r="H374" s="275">
        <v>0</v>
      </c>
      <c r="I374" s="276">
        <f t="shared" ref="I374:I377" si="63">SUM($B374:$F374)</f>
        <v>1</v>
      </c>
      <c r="J374" s="275">
        <v>16</v>
      </c>
      <c r="K374" s="275">
        <v>5</v>
      </c>
      <c r="L374" s="288">
        <f t="shared" ref="L374:L378" si="64">I374/J374</f>
        <v>0.0625</v>
      </c>
      <c r="M374" s="288">
        <f t="shared" ref="M374:M376" si="65">K374/J374</f>
        <v>0.3125</v>
      </c>
      <c r="N374" s="225">
        <v>0</v>
      </c>
      <c r="O374" s="226">
        <v>0.0834</v>
      </c>
      <c r="P374" s="225">
        <v>0.2204</v>
      </c>
    </row>
    <row r="375" outlineLevel="1" spans="1:16">
      <c r="A375" s="159" t="str">
        <f>CONCATENATE("第",ROW(A375)-ROW($A$373),"次评审")</f>
        <v>第2次评审</v>
      </c>
      <c r="B375" s="275"/>
      <c r="C375" s="275"/>
      <c r="D375" s="275"/>
      <c r="E375" s="275"/>
      <c r="F375" s="275"/>
      <c r="G375" s="275"/>
      <c r="H375" s="275"/>
      <c r="I375" s="289">
        <f t="shared" si="63"/>
        <v>0</v>
      </c>
      <c r="J375" s="275"/>
      <c r="K375" s="275"/>
      <c r="L375" s="288" t="e">
        <f t="shared" si="64"/>
        <v>#DIV/0!</v>
      </c>
      <c r="M375" s="288" t="e">
        <f t="shared" si="65"/>
        <v>#DIV/0!</v>
      </c>
      <c r="N375" s="225">
        <v>0</v>
      </c>
      <c r="O375" s="226">
        <v>0.0834</v>
      </c>
      <c r="P375" s="225">
        <v>0.2204</v>
      </c>
    </row>
    <row r="376" outlineLevel="1" spans="1:16">
      <c r="A376" s="159" t="str">
        <f>CONCATENATE("第",ROW(A376)-ROW($A$373),"次评审")</f>
        <v>第3次评审</v>
      </c>
      <c r="B376" s="275"/>
      <c r="C376" s="275"/>
      <c r="D376" s="275"/>
      <c r="E376" s="275"/>
      <c r="F376" s="275"/>
      <c r="G376" s="275"/>
      <c r="H376" s="275"/>
      <c r="I376" s="289">
        <f t="shared" si="63"/>
        <v>0</v>
      </c>
      <c r="J376" s="275"/>
      <c r="K376" s="275"/>
      <c r="L376" s="288" t="e">
        <f t="shared" si="64"/>
        <v>#DIV/0!</v>
      </c>
      <c r="M376" s="288" t="e">
        <f t="shared" si="65"/>
        <v>#DIV/0!</v>
      </c>
      <c r="N376" s="225">
        <v>0</v>
      </c>
      <c r="O376" s="226">
        <v>0.0834</v>
      </c>
      <c r="P376" s="225">
        <v>0.2204</v>
      </c>
    </row>
    <row r="377" outlineLevel="1" spans="1:16">
      <c r="A377" s="159" t="s">
        <v>646</v>
      </c>
      <c r="B377" s="274"/>
      <c r="C377" s="274"/>
      <c r="D377" s="274"/>
      <c r="E377" s="274"/>
      <c r="F377" s="274"/>
      <c r="G377" s="274"/>
      <c r="H377" s="274"/>
      <c r="I377" s="271">
        <f t="shared" si="63"/>
        <v>0</v>
      </c>
      <c r="J377" s="274" t="s">
        <v>178</v>
      </c>
      <c r="K377" s="274"/>
      <c r="L377" s="279" t="e">
        <f t="shared" si="64"/>
        <v>#VALUE!</v>
      </c>
      <c r="M377" s="279"/>
      <c r="N377" s="287">
        <v>0</v>
      </c>
      <c r="O377" s="287">
        <v>0.2333</v>
      </c>
      <c r="P377" s="287">
        <v>0.7131</v>
      </c>
    </row>
    <row r="378" outlineLevel="1" spans="1:13">
      <c r="A378" s="159" t="s">
        <v>399</v>
      </c>
      <c r="B378" s="276">
        <f t="shared" ref="B378:H378" si="66">SUM(B374:B377)</f>
        <v>0</v>
      </c>
      <c r="C378" s="276">
        <f t="shared" si="66"/>
        <v>0</v>
      </c>
      <c r="D378" s="276">
        <f t="shared" si="66"/>
        <v>1</v>
      </c>
      <c r="E378" s="276">
        <f t="shared" si="66"/>
        <v>0</v>
      </c>
      <c r="F378" s="276">
        <f t="shared" si="66"/>
        <v>0</v>
      </c>
      <c r="G378" s="276">
        <f t="shared" si="66"/>
        <v>1</v>
      </c>
      <c r="H378" s="276">
        <f t="shared" si="66"/>
        <v>0</v>
      </c>
      <c r="I378" s="272" t="str">
        <f t="shared" ref="I378:K378" si="67">IF(SUM(I375:I377)=0,"-",SUM(I375:I377))</f>
        <v>-</v>
      </c>
      <c r="J378" s="272" t="str">
        <f t="shared" si="67"/>
        <v>-</v>
      </c>
      <c r="K378" s="272" t="str">
        <f t="shared" si="67"/>
        <v>-</v>
      </c>
      <c r="L378" s="290" t="e">
        <f t="shared" si="64"/>
        <v>#VALUE!</v>
      </c>
      <c r="M378" s="288" t="e">
        <f>K378/J378</f>
        <v>#VALUE!</v>
      </c>
    </row>
    <row r="379" outlineLevel="1"/>
    <row r="380" outlineLevel="1" spans="14:14">
      <c r="N380" s="283"/>
    </row>
    <row r="381" outlineLevel="1" spans="14:14">
      <c r="N381" s="283"/>
    </row>
    <row r="382" outlineLevel="1" spans="14:14">
      <c r="N382" s="283"/>
    </row>
    <row r="383" outlineLevel="1" spans="14:14">
      <c r="N383" s="283"/>
    </row>
    <row r="384" outlineLevel="1" spans="14:14">
      <c r="N384" s="283"/>
    </row>
    <row r="385" outlineLevel="1" spans="14:14">
      <c r="N385" s="283"/>
    </row>
    <row r="386" outlineLevel="1"/>
    <row r="387" outlineLevel="1"/>
    <row r="388" outlineLevel="1"/>
    <row r="389" outlineLevel="1"/>
    <row r="390" outlineLevel="1"/>
    <row r="391" outlineLevel="1"/>
    <row r="392" outlineLevel="1"/>
    <row r="393" outlineLevel="1"/>
    <row r="394" outlineLevel="1"/>
    <row r="395" outlineLevel="1"/>
    <row r="396" outlineLevel="1"/>
    <row r="397" outlineLevel="1"/>
    <row r="398" ht="27" outlineLevel="1" spans="1:13">
      <c r="A398" s="69" t="s">
        <v>649</v>
      </c>
      <c r="B398" s="69"/>
      <c r="C398" s="268"/>
      <c r="D398" s="273"/>
      <c r="E398" s="273"/>
      <c r="F398" s="273"/>
      <c r="G398" s="273"/>
      <c r="H398" s="273"/>
      <c r="I398" s="273"/>
      <c r="J398" s="273"/>
      <c r="K398" s="273"/>
      <c r="L398" s="273"/>
      <c r="M398" s="284"/>
    </row>
    <row r="399" ht="30.95" customHeight="1" outlineLevel="1" spans="1:16">
      <c r="A399" s="159" t="s">
        <v>632</v>
      </c>
      <c r="B399" s="159" t="s">
        <v>633</v>
      </c>
      <c r="C399" s="159"/>
      <c r="D399" s="159"/>
      <c r="E399" s="159"/>
      <c r="F399" s="159"/>
      <c r="G399" s="269" t="s">
        <v>634</v>
      </c>
      <c r="H399" s="269" t="s">
        <v>635</v>
      </c>
      <c r="I399" s="159" t="s">
        <v>636</v>
      </c>
      <c r="J399" s="168" t="s">
        <v>650</v>
      </c>
      <c r="K399" s="168" t="s">
        <v>638</v>
      </c>
      <c r="L399" s="277" t="s">
        <v>651</v>
      </c>
      <c r="M399" s="168" t="s">
        <v>671</v>
      </c>
      <c r="N399" s="219" t="s">
        <v>540</v>
      </c>
      <c r="O399" s="219"/>
      <c r="P399" s="219"/>
    </row>
    <row r="400" outlineLevel="1" spans="1:16">
      <c r="A400" s="159"/>
      <c r="B400" s="159" t="s">
        <v>641</v>
      </c>
      <c r="C400" s="159" t="s">
        <v>642</v>
      </c>
      <c r="D400" s="159" t="s">
        <v>643</v>
      </c>
      <c r="E400" s="159" t="s">
        <v>644</v>
      </c>
      <c r="F400" s="159" t="s">
        <v>645</v>
      </c>
      <c r="G400" s="167"/>
      <c r="H400" s="167"/>
      <c r="I400" s="159"/>
      <c r="J400" s="169"/>
      <c r="K400" s="169"/>
      <c r="L400" s="159"/>
      <c r="M400" s="169"/>
      <c r="N400" s="220" t="s">
        <v>173</v>
      </c>
      <c r="O400" s="221" t="s">
        <v>174</v>
      </c>
      <c r="P400" s="220" t="s">
        <v>349</v>
      </c>
    </row>
    <row r="401" outlineLevel="1" spans="1:16">
      <c r="A401" s="159" t="str">
        <f>CONCATENATE("第",ROW(A401)-ROW($A$400),"次评审")</f>
        <v>第1次评审</v>
      </c>
      <c r="B401" s="270">
        <v>0</v>
      </c>
      <c r="C401" s="270">
        <v>0</v>
      </c>
      <c r="D401" s="270">
        <v>5</v>
      </c>
      <c r="E401" s="270">
        <v>0</v>
      </c>
      <c r="F401" s="270">
        <v>0</v>
      </c>
      <c r="G401" s="270">
        <v>5</v>
      </c>
      <c r="H401" s="270">
        <v>0</v>
      </c>
      <c r="I401" s="285">
        <f t="shared" ref="I401:I404" si="68">SUM($B401:$F401)</f>
        <v>5</v>
      </c>
      <c r="J401" s="270">
        <v>468</v>
      </c>
      <c r="K401" s="270">
        <v>20</v>
      </c>
      <c r="L401" s="278">
        <f t="shared" ref="L401:L405" si="69">I401/J401</f>
        <v>0.0106837606837607</v>
      </c>
      <c r="M401" s="278">
        <f t="shared" ref="M401:M403" si="70">K401/J401</f>
        <v>0.0427350427350427</v>
      </c>
      <c r="N401" s="225">
        <v>0.0008</v>
      </c>
      <c r="O401" s="226">
        <v>0.011</v>
      </c>
      <c r="P401" s="225">
        <v>0.0212</v>
      </c>
    </row>
    <row r="402" outlineLevel="1" spans="1:16">
      <c r="A402" s="159" t="str">
        <f>CONCATENATE("第",ROW(A402)-ROW($A$400),"次评审")</f>
        <v>第2次评审</v>
      </c>
      <c r="B402" s="270"/>
      <c r="C402" s="270"/>
      <c r="D402" s="270"/>
      <c r="E402" s="270"/>
      <c r="F402" s="270"/>
      <c r="G402" s="270"/>
      <c r="H402" s="270"/>
      <c r="I402" s="285">
        <f t="shared" si="68"/>
        <v>0</v>
      </c>
      <c r="J402" s="270"/>
      <c r="K402" s="270"/>
      <c r="L402" s="278" t="e">
        <f t="shared" si="69"/>
        <v>#DIV/0!</v>
      </c>
      <c r="M402" s="278" t="e">
        <f t="shared" si="70"/>
        <v>#DIV/0!</v>
      </c>
      <c r="N402" s="225">
        <v>0.0008</v>
      </c>
      <c r="O402" s="226">
        <v>0.011</v>
      </c>
      <c r="P402" s="225">
        <v>0.0212</v>
      </c>
    </row>
    <row r="403" outlineLevel="1" spans="1:16">
      <c r="A403" s="159" t="str">
        <f>CONCATENATE("第",ROW(A403)-ROW($A$400),"次评审")</f>
        <v>第3次评审</v>
      </c>
      <c r="B403" s="270"/>
      <c r="C403" s="270"/>
      <c r="D403" s="270"/>
      <c r="E403" s="270"/>
      <c r="F403" s="270"/>
      <c r="G403" s="270"/>
      <c r="H403" s="270"/>
      <c r="I403" s="285">
        <f t="shared" si="68"/>
        <v>0</v>
      </c>
      <c r="J403" s="270"/>
      <c r="K403" s="270"/>
      <c r="L403" s="278" t="e">
        <f t="shared" si="69"/>
        <v>#DIV/0!</v>
      </c>
      <c r="M403" s="278" t="e">
        <f t="shared" si="70"/>
        <v>#DIV/0!</v>
      </c>
      <c r="N403" s="225">
        <v>0.0008</v>
      </c>
      <c r="O403" s="226">
        <v>0.011</v>
      </c>
      <c r="P403" s="225">
        <v>0.0212</v>
      </c>
    </row>
    <row r="404" outlineLevel="1" spans="1:16">
      <c r="A404" s="159" t="s">
        <v>646</v>
      </c>
      <c r="B404" s="271"/>
      <c r="C404" s="271"/>
      <c r="D404" s="271"/>
      <c r="E404" s="271"/>
      <c r="F404" s="271"/>
      <c r="G404" s="271"/>
      <c r="H404" s="271"/>
      <c r="I404" s="293">
        <f t="shared" si="68"/>
        <v>0</v>
      </c>
      <c r="J404" s="271" t="s">
        <v>178</v>
      </c>
      <c r="K404" s="271"/>
      <c r="L404" s="294" t="e">
        <f t="shared" si="69"/>
        <v>#VALUE!</v>
      </c>
      <c r="M404" s="294"/>
      <c r="N404" s="287">
        <v>0</v>
      </c>
      <c r="O404" s="287">
        <v>0.04351</v>
      </c>
      <c r="P404" s="287">
        <v>0.0879</v>
      </c>
    </row>
    <row r="405" outlineLevel="1" spans="1:16">
      <c r="A405" s="159" t="s">
        <v>399</v>
      </c>
      <c r="B405" s="272">
        <f t="shared" ref="B405:H405" si="71">SUM(B401:B404)</f>
        <v>0</v>
      </c>
      <c r="C405" s="272">
        <f t="shared" si="71"/>
        <v>0</v>
      </c>
      <c r="D405" s="272">
        <f t="shared" si="71"/>
        <v>5</v>
      </c>
      <c r="E405" s="272">
        <f t="shared" si="71"/>
        <v>0</v>
      </c>
      <c r="F405" s="272">
        <f t="shared" si="71"/>
        <v>0</v>
      </c>
      <c r="G405" s="272">
        <f t="shared" si="71"/>
        <v>5</v>
      </c>
      <c r="H405" s="272">
        <f t="shared" si="71"/>
        <v>0</v>
      </c>
      <c r="I405" s="272" t="str">
        <f t="shared" ref="I405:K405" si="72">IF(SUM(I402:I404)=0,"-",SUM(I402:I404))</f>
        <v>-</v>
      </c>
      <c r="J405" s="272" t="str">
        <f t="shared" si="72"/>
        <v>-</v>
      </c>
      <c r="K405" s="272" t="str">
        <f t="shared" si="72"/>
        <v>-</v>
      </c>
      <c r="L405" s="278" t="e">
        <f t="shared" si="69"/>
        <v>#VALUE!</v>
      </c>
      <c r="M405" s="278" t="e">
        <f>K405/J405</f>
        <v>#VALUE!</v>
      </c>
      <c r="N405" s="295"/>
      <c r="O405" s="295"/>
      <c r="P405" s="295"/>
    </row>
    <row r="406" outlineLevel="1"/>
    <row r="407" outlineLevel="1" spans="14:14">
      <c r="N407" s="283"/>
    </row>
    <row r="408" outlineLevel="1" spans="14:14">
      <c r="N408" s="283"/>
    </row>
    <row r="409" outlineLevel="1" spans="14:14">
      <c r="N409" s="283"/>
    </row>
    <row r="410" outlineLevel="1" spans="14:14">
      <c r="N410" s="283"/>
    </row>
    <row r="411" outlineLevel="1" spans="14:14">
      <c r="N411" s="283"/>
    </row>
    <row r="412" outlineLevel="1"/>
    <row r="413" outlineLevel="1"/>
    <row r="414" outlineLevel="1"/>
    <row r="415" outlineLevel="1"/>
    <row r="416" outlineLevel="1"/>
    <row r="417" outlineLevel="1"/>
    <row r="418" outlineLevel="1"/>
    <row r="419" outlineLevel="1"/>
    <row r="420" outlineLevel="1"/>
    <row r="421" outlineLevel="1"/>
    <row r="422" outlineLevel="1"/>
    <row r="423" ht="27" outlineLevel="1" spans="1:13">
      <c r="A423" s="69" t="s">
        <v>652</v>
      </c>
      <c r="B423" s="69"/>
      <c r="C423" s="268"/>
      <c r="D423" s="273"/>
      <c r="E423" s="273"/>
      <c r="F423" s="273"/>
      <c r="G423" s="273"/>
      <c r="H423" s="273"/>
      <c r="I423" s="273"/>
      <c r="J423" s="273"/>
      <c r="K423" s="273"/>
      <c r="L423" s="273"/>
      <c r="M423" s="284"/>
    </row>
    <row r="424" ht="30" customHeight="1" outlineLevel="1" spans="1:16">
      <c r="A424" s="159" t="s">
        <v>653</v>
      </c>
      <c r="B424" s="159" t="s">
        <v>633</v>
      </c>
      <c r="C424" s="159"/>
      <c r="D424" s="159"/>
      <c r="E424" s="159"/>
      <c r="F424" s="159"/>
      <c r="G424" s="269" t="s">
        <v>634</v>
      </c>
      <c r="H424" s="269" t="s">
        <v>635</v>
      </c>
      <c r="I424" s="159" t="s">
        <v>636</v>
      </c>
      <c r="J424" s="168" t="s">
        <v>654</v>
      </c>
      <c r="K424" s="168" t="s">
        <v>655</v>
      </c>
      <c r="L424" s="277" t="s">
        <v>656</v>
      </c>
      <c r="M424" s="168" t="s">
        <v>657</v>
      </c>
      <c r="N424" s="219" t="s">
        <v>540</v>
      </c>
      <c r="O424" s="219"/>
      <c r="P424" s="219"/>
    </row>
    <row r="425" outlineLevel="1" spans="1:16">
      <c r="A425" s="159"/>
      <c r="B425" s="159" t="s">
        <v>641</v>
      </c>
      <c r="C425" s="159" t="s">
        <v>642</v>
      </c>
      <c r="D425" s="159" t="s">
        <v>643</v>
      </c>
      <c r="E425" s="159" t="s">
        <v>644</v>
      </c>
      <c r="F425" s="159" t="s">
        <v>645</v>
      </c>
      <c r="G425" s="167"/>
      <c r="H425" s="167"/>
      <c r="I425" s="159"/>
      <c r="J425" s="169"/>
      <c r="K425" s="169"/>
      <c r="L425" s="159"/>
      <c r="M425" s="169"/>
      <c r="N425" s="220" t="s">
        <v>173</v>
      </c>
      <c r="O425" s="221" t="s">
        <v>174</v>
      </c>
      <c r="P425" s="220" t="s">
        <v>349</v>
      </c>
    </row>
    <row r="426" outlineLevel="1" spans="1:16">
      <c r="A426" s="159" t="str">
        <f>CONCATENATE("第",ROW(A426)-ROW($A$425),"次走查")</f>
        <v>第1次走查</v>
      </c>
      <c r="B426" s="292">
        <v>0</v>
      </c>
      <c r="C426" s="292">
        <v>0</v>
      </c>
      <c r="D426" s="292">
        <v>2</v>
      </c>
      <c r="E426" s="292">
        <v>7</v>
      </c>
      <c r="F426" s="292">
        <v>0</v>
      </c>
      <c r="G426" s="292">
        <v>9</v>
      </c>
      <c r="H426" s="292">
        <v>0</v>
      </c>
      <c r="I426" s="272">
        <f t="shared" ref="I426:I430" si="73">SUM($B426:$F426)</f>
        <v>9</v>
      </c>
      <c r="J426" s="292">
        <f>规模!C18</f>
        <v>43.17</v>
      </c>
      <c r="K426" s="292">
        <v>12</v>
      </c>
      <c r="L426" s="278">
        <f t="shared" ref="L426:L431" si="74">I426/J426</f>
        <v>0.208478109798471</v>
      </c>
      <c r="M426" s="278">
        <f t="shared" ref="M426:M429" si="75">K426/J426</f>
        <v>0.277970813064628</v>
      </c>
      <c r="N426" s="225">
        <v>0</v>
      </c>
      <c r="O426" s="226">
        <v>0.0506</v>
      </c>
      <c r="P426" s="225">
        <v>0.1544</v>
      </c>
    </row>
    <row r="427" outlineLevel="1" spans="1:16">
      <c r="A427" s="159" t="str">
        <f>CONCATENATE("第",ROW(A427)-ROW($A$425),"次走查")</f>
        <v>第2次走查</v>
      </c>
      <c r="B427" s="292"/>
      <c r="C427" s="292"/>
      <c r="D427" s="292"/>
      <c r="E427" s="292"/>
      <c r="F427" s="292"/>
      <c r="G427" s="292"/>
      <c r="H427" s="292"/>
      <c r="I427" s="272">
        <f t="shared" si="73"/>
        <v>0</v>
      </c>
      <c r="J427" s="292"/>
      <c r="K427" s="292"/>
      <c r="L427" s="278" t="e">
        <f t="shared" si="74"/>
        <v>#DIV/0!</v>
      </c>
      <c r="M427" s="278" t="e">
        <f t="shared" si="75"/>
        <v>#DIV/0!</v>
      </c>
      <c r="N427" s="225">
        <v>0</v>
      </c>
      <c r="O427" s="226">
        <v>0.0506</v>
      </c>
      <c r="P427" s="225">
        <v>0.1544</v>
      </c>
    </row>
    <row r="428" outlineLevel="1" spans="1:16">
      <c r="A428" s="159" t="str">
        <f>CONCATENATE("第",ROW(A428)-ROW($A$425),"次走查")</f>
        <v>第3次走查</v>
      </c>
      <c r="B428" s="292"/>
      <c r="C428" s="292"/>
      <c r="D428" s="292"/>
      <c r="E428" s="292"/>
      <c r="F428" s="292"/>
      <c r="G428" s="292"/>
      <c r="H428" s="292"/>
      <c r="I428" s="272">
        <f t="shared" si="73"/>
        <v>0</v>
      </c>
      <c r="J428" s="292"/>
      <c r="K428" s="292"/>
      <c r="L428" s="278" t="e">
        <f t="shared" si="74"/>
        <v>#DIV/0!</v>
      </c>
      <c r="M428" s="278" t="e">
        <f t="shared" si="75"/>
        <v>#DIV/0!</v>
      </c>
      <c r="N428" s="225">
        <v>0</v>
      </c>
      <c r="O428" s="226">
        <v>0.0506</v>
      </c>
      <c r="P428" s="225">
        <v>0.1544</v>
      </c>
    </row>
    <row r="429" outlineLevel="1" spans="1:16">
      <c r="A429" s="159" t="str">
        <f>CONCATENATE("第",ROW(A429)-ROW($A$425),"次走查")</f>
        <v>第4次走查</v>
      </c>
      <c r="B429" s="292"/>
      <c r="C429" s="292"/>
      <c r="D429" s="292"/>
      <c r="E429" s="292"/>
      <c r="F429" s="292"/>
      <c r="G429" s="292"/>
      <c r="H429" s="292"/>
      <c r="I429" s="272">
        <f t="shared" si="73"/>
        <v>0</v>
      </c>
      <c r="J429" s="292"/>
      <c r="K429" s="292"/>
      <c r="L429" s="278" t="e">
        <f t="shared" si="74"/>
        <v>#DIV/0!</v>
      </c>
      <c r="M429" s="278" t="e">
        <f t="shared" si="75"/>
        <v>#DIV/0!</v>
      </c>
      <c r="N429" s="225">
        <v>0</v>
      </c>
      <c r="O429" s="226">
        <v>0.0506</v>
      </c>
      <c r="P429" s="225">
        <v>0.1544</v>
      </c>
    </row>
    <row r="430" outlineLevel="1" spans="1:16">
      <c r="A430" s="159" t="s">
        <v>658</v>
      </c>
      <c r="B430" s="271"/>
      <c r="C430" s="271"/>
      <c r="D430" s="271"/>
      <c r="E430" s="271"/>
      <c r="F430" s="271"/>
      <c r="G430" s="271"/>
      <c r="H430" s="271"/>
      <c r="I430" s="293">
        <f t="shared" si="73"/>
        <v>0</v>
      </c>
      <c r="J430" s="271" t="s">
        <v>178</v>
      </c>
      <c r="K430" s="271"/>
      <c r="L430" s="294" t="e">
        <f t="shared" si="74"/>
        <v>#VALUE!</v>
      </c>
      <c r="M430" s="294"/>
      <c r="N430" s="287">
        <v>0</v>
      </c>
      <c r="O430" s="287">
        <v>0.3</v>
      </c>
      <c r="P430" s="287">
        <v>0.65790273556231</v>
      </c>
    </row>
    <row r="431" outlineLevel="1" spans="1:16">
      <c r="A431" s="159" t="s">
        <v>399</v>
      </c>
      <c r="B431" s="272">
        <f t="shared" ref="B431:H431" si="76">SUM(B424:B430)</f>
        <v>0</v>
      </c>
      <c r="C431" s="272">
        <f t="shared" si="76"/>
        <v>0</v>
      </c>
      <c r="D431" s="272">
        <f t="shared" si="76"/>
        <v>2</v>
      </c>
      <c r="E431" s="272">
        <f t="shared" si="76"/>
        <v>7</v>
      </c>
      <c r="F431" s="272">
        <f t="shared" si="76"/>
        <v>0</v>
      </c>
      <c r="G431" s="272">
        <f t="shared" si="76"/>
        <v>9</v>
      </c>
      <c r="H431" s="272">
        <f t="shared" si="76"/>
        <v>0</v>
      </c>
      <c r="I431" s="272" t="str">
        <f t="shared" ref="I431:K431" si="77">IF(SUM(I428:I430)=0,"-",SUM(I428:I430))</f>
        <v>-</v>
      </c>
      <c r="J431" s="272" t="str">
        <f t="shared" si="77"/>
        <v>-</v>
      </c>
      <c r="K431" s="272" t="str">
        <f t="shared" si="77"/>
        <v>-</v>
      </c>
      <c r="L431" s="278" t="e">
        <f t="shared" si="74"/>
        <v>#VALUE!</v>
      </c>
      <c r="M431" s="278" t="e">
        <f>K431/J431</f>
        <v>#VALUE!</v>
      </c>
      <c r="N431" s="295"/>
      <c r="O431" s="295"/>
      <c r="P431" s="295"/>
    </row>
    <row r="432" outlineLevel="1"/>
    <row r="433" outlineLevel="1" spans="14:14">
      <c r="N433" s="283" t="s">
        <v>162</v>
      </c>
    </row>
    <row r="434" outlineLevel="1" spans="14:14">
      <c r="N434" s="283" t="s">
        <v>659</v>
      </c>
    </row>
    <row r="435" outlineLevel="1" spans="14:14">
      <c r="N435" s="283" t="s">
        <v>660</v>
      </c>
    </row>
    <row r="436" outlineLevel="1" spans="14:14">
      <c r="N436" s="283" t="s">
        <v>661</v>
      </c>
    </row>
    <row r="437" outlineLevel="1" spans="14:14">
      <c r="N437" s="283" t="s">
        <v>662</v>
      </c>
    </row>
    <row r="438" outlineLevel="1"/>
    <row r="439" outlineLevel="1"/>
    <row r="440" outlineLevel="1"/>
    <row r="441" outlineLevel="1"/>
    <row r="442" outlineLevel="1"/>
    <row r="443" outlineLevel="1"/>
    <row r="444" outlineLevel="1"/>
    <row r="445" outlineLevel="1"/>
    <row r="446" outlineLevel="1"/>
    <row r="447" outlineLevel="1"/>
    <row r="448" outlineLevel="1"/>
    <row r="450" s="264" customFormat="1" ht="27" spans="1:8">
      <c r="A450" s="69" t="s">
        <v>663</v>
      </c>
      <c r="B450" s="69"/>
      <c r="C450" s="268"/>
      <c r="D450" s="273"/>
      <c r="E450" s="273"/>
      <c r="F450" s="273"/>
      <c r="G450" s="273"/>
      <c r="H450" s="273"/>
    </row>
    <row r="451" s="265" customFormat="1" ht="49.5" spans="1:12">
      <c r="A451" s="159" t="s">
        <v>664</v>
      </c>
      <c r="B451" s="296" t="s">
        <v>665</v>
      </c>
      <c r="C451" s="297"/>
      <c r="D451" s="168" t="s">
        <v>666</v>
      </c>
      <c r="E451" s="277" t="s">
        <v>667</v>
      </c>
      <c r="F451" s="298" t="s">
        <v>540</v>
      </c>
      <c r="G451" s="298"/>
      <c r="H451" s="298"/>
      <c r="I451" s="303" t="s">
        <v>231</v>
      </c>
      <c r="J451" s="300">
        <v>0</v>
      </c>
      <c r="K451" s="300">
        <v>9.869</v>
      </c>
      <c r="L451" s="300">
        <v>21.176</v>
      </c>
    </row>
    <row r="452" s="264" customFormat="1" ht="49.5" spans="1:12">
      <c r="A452" s="159"/>
      <c r="B452" s="159" t="s">
        <v>668</v>
      </c>
      <c r="C452" s="159" t="s">
        <v>669</v>
      </c>
      <c r="D452" s="169"/>
      <c r="E452" s="159"/>
      <c r="F452" s="220" t="s">
        <v>173</v>
      </c>
      <c r="G452" s="299" t="s">
        <v>174</v>
      </c>
      <c r="H452" s="220" t="s">
        <v>349</v>
      </c>
      <c r="I452" s="304" t="s">
        <v>233</v>
      </c>
      <c r="J452" s="305">
        <v>0</v>
      </c>
      <c r="K452" s="305">
        <v>7.503</v>
      </c>
      <c r="L452" s="305">
        <v>16.0824</v>
      </c>
    </row>
    <row r="453" s="264" customFormat="1" ht="49.5" spans="1:12">
      <c r="A453" s="159" t="s">
        <v>406</v>
      </c>
      <c r="B453" s="270">
        <v>468</v>
      </c>
      <c r="C453" s="292">
        <v>0</v>
      </c>
      <c r="D453" s="292">
        <v>43.17</v>
      </c>
      <c r="E453" s="278">
        <f>SUM(B453:C453)/D453</f>
        <v>10.8408617095205</v>
      </c>
      <c r="F453" s="300">
        <v>0</v>
      </c>
      <c r="G453" s="300">
        <v>9.869</v>
      </c>
      <c r="H453" s="300">
        <v>21.176</v>
      </c>
      <c r="I453" s="304" t="s">
        <v>234</v>
      </c>
      <c r="J453" s="305">
        <v>0</v>
      </c>
      <c r="K453" s="305">
        <v>7.751</v>
      </c>
      <c r="L453" s="305">
        <v>21.383</v>
      </c>
    </row>
    <row r="454" s="264" customFormat="1" ht="49.5" spans="1:12">
      <c r="A454" s="159" t="s">
        <v>670</v>
      </c>
      <c r="B454" s="271"/>
      <c r="C454" s="271"/>
      <c r="D454" s="271"/>
      <c r="E454" s="271"/>
      <c r="F454" s="271"/>
      <c r="G454" s="271"/>
      <c r="H454" s="271"/>
      <c r="I454" s="304" t="s">
        <v>235</v>
      </c>
      <c r="J454" s="305">
        <v>0</v>
      </c>
      <c r="K454" s="305">
        <v>4.384</v>
      </c>
      <c r="L454" s="305">
        <v>10.7986</v>
      </c>
    </row>
    <row r="455" s="264" customFormat="1" spans="1:8">
      <c r="A455" s="159" t="s">
        <v>399</v>
      </c>
      <c r="B455" s="272">
        <f>SUM(B451:B454)</f>
        <v>468</v>
      </c>
      <c r="C455" s="272">
        <f>SUM(C451:C454)</f>
        <v>0</v>
      </c>
      <c r="D455" s="272">
        <f t="shared" ref="D455:H455" si="78">SUM(D454:D454)</f>
        <v>0</v>
      </c>
      <c r="E455" s="272">
        <f t="shared" si="78"/>
        <v>0</v>
      </c>
      <c r="F455" s="272">
        <f t="shared" si="78"/>
        <v>0</v>
      </c>
      <c r="G455" s="272">
        <f t="shared" si="78"/>
        <v>0</v>
      </c>
      <c r="H455" s="272">
        <f t="shared" si="78"/>
        <v>0</v>
      </c>
    </row>
    <row r="477" ht="27" customHeight="1" outlineLevel="1" spans="1:16">
      <c r="A477" s="49" t="s">
        <v>407</v>
      </c>
      <c r="B477" s="49"/>
      <c r="C477" s="49"/>
      <c r="D477" s="49"/>
      <c r="E477" s="49"/>
      <c r="F477" s="49"/>
      <c r="G477" s="49"/>
      <c r="H477" s="49"/>
      <c r="I477" s="49"/>
      <c r="J477" s="49"/>
      <c r="K477" s="49"/>
      <c r="L477" s="49"/>
      <c r="M477" s="49"/>
      <c r="N477" s="49"/>
      <c r="O477" s="49"/>
      <c r="P477" s="49"/>
    </row>
    <row r="478" customHeight="1" outlineLevel="1" spans="1:16">
      <c r="A478" s="266" t="s">
        <v>629</v>
      </c>
      <c r="B478" s="266"/>
      <c r="C478" s="266"/>
      <c r="D478" s="266"/>
      <c r="E478" s="266"/>
      <c r="F478" s="266"/>
      <c r="G478" s="266"/>
      <c r="H478" s="266"/>
      <c r="I478" s="266"/>
      <c r="J478" s="49"/>
      <c r="K478" s="49"/>
      <c r="L478" s="49"/>
      <c r="M478" s="49"/>
      <c r="N478" s="49"/>
      <c r="O478" s="49"/>
      <c r="P478" s="49"/>
    </row>
    <row r="479" ht="17.25" customHeight="1" outlineLevel="1" spans="1:16">
      <c r="A479" s="267" t="s">
        <v>630</v>
      </c>
      <c r="B479" s="266"/>
      <c r="C479" s="266"/>
      <c r="D479" s="266"/>
      <c r="E479" s="266"/>
      <c r="F479" s="266"/>
      <c r="G479" s="266"/>
      <c r="H479" s="266"/>
      <c r="I479" s="266"/>
      <c r="J479" s="49"/>
      <c r="K479" s="49"/>
      <c r="L479" s="49"/>
      <c r="M479" s="49"/>
      <c r="N479" s="49"/>
      <c r="O479" s="49"/>
      <c r="P479" s="49"/>
    </row>
    <row r="480" ht="25.5" customHeight="1" outlineLevel="1" spans="1:3">
      <c r="A480" s="69" t="s">
        <v>631</v>
      </c>
      <c r="B480" s="69"/>
      <c r="C480" s="268"/>
    </row>
    <row r="481" ht="13.5" customHeight="1" outlineLevel="1" spans="1:16">
      <c r="A481" s="159" t="s">
        <v>632</v>
      </c>
      <c r="B481" s="159" t="s">
        <v>633</v>
      </c>
      <c r="C481" s="159"/>
      <c r="D481" s="159"/>
      <c r="E481" s="159"/>
      <c r="F481" s="159"/>
      <c r="G481" s="269" t="s">
        <v>634</v>
      </c>
      <c r="H481" s="269" t="s">
        <v>635</v>
      </c>
      <c r="I481" s="159" t="s">
        <v>636</v>
      </c>
      <c r="J481" s="168" t="s">
        <v>637</v>
      </c>
      <c r="K481" s="168" t="s">
        <v>638</v>
      </c>
      <c r="L481" s="277" t="s">
        <v>639</v>
      </c>
      <c r="M481" s="168" t="s">
        <v>640</v>
      </c>
      <c r="N481" s="219" t="s">
        <v>540</v>
      </c>
      <c r="O481" s="219"/>
      <c r="P481" s="219"/>
    </row>
    <row r="482" ht="14.25" customHeight="1" outlineLevel="1" spans="1:16">
      <c r="A482" s="159"/>
      <c r="B482" s="159" t="s">
        <v>641</v>
      </c>
      <c r="C482" s="159" t="s">
        <v>642</v>
      </c>
      <c r="D482" s="159" t="s">
        <v>643</v>
      </c>
      <c r="E482" s="159" t="s">
        <v>644</v>
      </c>
      <c r="F482" s="159" t="s">
        <v>645</v>
      </c>
      <c r="G482" s="167"/>
      <c r="H482" s="167"/>
      <c r="I482" s="159"/>
      <c r="J482" s="169"/>
      <c r="K482" s="169"/>
      <c r="L482" s="159"/>
      <c r="M482" s="169"/>
      <c r="N482" s="220" t="s">
        <v>173</v>
      </c>
      <c r="O482" s="221" t="s">
        <v>174</v>
      </c>
      <c r="P482" s="220" t="s">
        <v>349</v>
      </c>
    </row>
    <row r="483" outlineLevel="1" spans="1:16">
      <c r="A483" s="159" t="str">
        <f>CONCATENATE("第",ROW(A483)-ROW($A$482),"次评审")</f>
        <v>第1次评审</v>
      </c>
      <c r="B483" s="270">
        <v>0</v>
      </c>
      <c r="C483" s="270">
        <v>0</v>
      </c>
      <c r="D483" s="270">
        <v>1</v>
      </c>
      <c r="E483" s="270">
        <v>5</v>
      </c>
      <c r="F483" s="270">
        <v>8</v>
      </c>
      <c r="G483" s="270">
        <v>14</v>
      </c>
      <c r="H483" s="270">
        <v>0</v>
      </c>
      <c r="I483" s="272">
        <f t="shared" ref="I483:I485" si="79">SUM($B483:$F483)</f>
        <v>14</v>
      </c>
      <c r="J483" s="270">
        <v>42</v>
      </c>
      <c r="K483" s="270">
        <v>8</v>
      </c>
      <c r="L483" s="278">
        <f t="shared" ref="L483:L486" si="80">I483/J483</f>
        <v>0.333333333333333</v>
      </c>
      <c r="M483" s="278">
        <f t="shared" ref="M483:M486" si="81">K483/J483</f>
        <v>0.19047619047619</v>
      </c>
      <c r="N483" s="225">
        <v>0</v>
      </c>
      <c r="O483" s="226">
        <v>0.2111</v>
      </c>
      <c r="P483" s="225">
        <v>0.627</v>
      </c>
    </row>
    <row r="484" outlineLevel="1" spans="1:16">
      <c r="A484" s="159" t="str">
        <f>CONCATENATE("第",ROW(A484)-ROW($A$482),"次评审")</f>
        <v>第2次评审</v>
      </c>
      <c r="B484" s="270"/>
      <c r="C484" s="270"/>
      <c r="D484" s="270"/>
      <c r="E484" s="270"/>
      <c r="F484" s="270"/>
      <c r="G484" s="270"/>
      <c r="H484" s="270"/>
      <c r="I484" s="272">
        <f t="shared" si="79"/>
        <v>0</v>
      </c>
      <c r="J484" s="270"/>
      <c r="K484" s="270"/>
      <c r="L484" s="278" t="e">
        <f t="shared" si="80"/>
        <v>#DIV/0!</v>
      </c>
      <c r="M484" s="278" t="e">
        <f t="shared" si="81"/>
        <v>#DIV/0!</v>
      </c>
      <c r="N484" s="225">
        <v>0</v>
      </c>
      <c r="O484" s="226">
        <v>0.2111</v>
      </c>
      <c r="P484" s="225">
        <v>0.627</v>
      </c>
    </row>
    <row r="485" outlineLevel="1" spans="1:16">
      <c r="A485" s="159" t="s">
        <v>646</v>
      </c>
      <c r="B485" s="271" t="s">
        <v>178</v>
      </c>
      <c r="C485" s="271" t="s">
        <v>178</v>
      </c>
      <c r="D485" s="271" t="s">
        <v>178</v>
      </c>
      <c r="E485" s="271" t="s">
        <v>178</v>
      </c>
      <c r="F485" s="271" t="s">
        <v>178</v>
      </c>
      <c r="G485" s="271" t="s">
        <v>178</v>
      </c>
      <c r="H485" s="271" t="s">
        <v>178</v>
      </c>
      <c r="I485" s="271">
        <f t="shared" si="79"/>
        <v>0</v>
      </c>
      <c r="J485" s="271" t="s">
        <v>178</v>
      </c>
      <c r="K485" s="271"/>
      <c r="L485" s="279" t="e">
        <f t="shared" si="80"/>
        <v>#VALUE!</v>
      </c>
      <c r="M485" s="279"/>
      <c r="N485" s="280">
        <v>0</v>
      </c>
      <c r="O485" s="280">
        <v>0.3075</v>
      </c>
      <c r="P485" s="280">
        <v>0.6547</v>
      </c>
    </row>
    <row r="486" outlineLevel="1" spans="1:16">
      <c r="A486" s="159" t="s">
        <v>399</v>
      </c>
      <c r="B486" s="272">
        <f t="shared" ref="B486:H486" si="82">SUM(B483:B485)</f>
        <v>0</v>
      </c>
      <c r="C486" s="272">
        <f t="shared" si="82"/>
        <v>0</v>
      </c>
      <c r="D486" s="272">
        <f t="shared" si="82"/>
        <v>1</v>
      </c>
      <c r="E486" s="272">
        <f t="shared" si="82"/>
        <v>5</v>
      </c>
      <c r="F486" s="272">
        <f t="shared" si="82"/>
        <v>8</v>
      </c>
      <c r="G486" s="272">
        <f t="shared" si="82"/>
        <v>14</v>
      </c>
      <c r="H486" s="272">
        <f t="shared" si="82"/>
        <v>0</v>
      </c>
      <c r="I486" s="272">
        <f t="shared" ref="I486:K486" si="83">IF(SUM(I483:I485)=0,"-",SUM(I483:I485))</f>
        <v>14</v>
      </c>
      <c r="J486" s="272">
        <f t="shared" si="83"/>
        <v>42</v>
      </c>
      <c r="K486" s="272">
        <f t="shared" si="83"/>
        <v>8</v>
      </c>
      <c r="L486" s="278">
        <f t="shared" si="80"/>
        <v>0.333333333333333</v>
      </c>
      <c r="M486" s="281">
        <f t="shared" si="81"/>
        <v>0.19047619047619</v>
      </c>
      <c r="N486" s="282"/>
      <c r="O486" s="282"/>
      <c r="P486" s="282"/>
    </row>
    <row r="487" outlineLevel="1"/>
    <row r="488" outlineLevel="1"/>
    <row r="489" outlineLevel="1" spans="14:14">
      <c r="N489" s="283"/>
    </row>
    <row r="490" outlineLevel="1" spans="14:14">
      <c r="N490" s="283"/>
    </row>
    <row r="491" outlineLevel="1" spans="14:14">
      <c r="N491" s="283"/>
    </row>
    <row r="492" outlineLevel="1" spans="14:14">
      <c r="N492" s="283"/>
    </row>
    <row r="493" outlineLevel="1" spans="14:14">
      <c r="N493" s="283"/>
    </row>
    <row r="494" outlineLevel="1"/>
    <row r="495" outlineLevel="1"/>
    <row r="496" outlineLevel="1"/>
    <row r="497" outlineLevel="1"/>
    <row r="498" outlineLevel="1"/>
    <row r="499" outlineLevel="1"/>
    <row r="500" outlineLevel="1"/>
    <row r="501" outlineLevel="1"/>
    <row r="502" outlineLevel="1"/>
    <row r="503" ht="27" outlineLevel="1" spans="1:13">
      <c r="A503" s="69" t="s">
        <v>647</v>
      </c>
      <c r="B503" s="69"/>
      <c r="C503" s="268"/>
      <c r="D503" s="273"/>
      <c r="E503" s="273"/>
      <c r="F503" s="273"/>
      <c r="G503" s="273"/>
      <c r="H503" s="273"/>
      <c r="I503" s="273"/>
      <c r="J503" s="273"/>
      <c r="K503" s="273"/>
      <c r="L503" s="273"/>
      <c r="M503" s="284"/>
    </row>
    <row r="504" ht="27" customHeight="1" outlineLevel="1" spans="1:16">
      <c r="A504" s="159" t="s">
        <v>632</v>
      </c>
      <c r="B504" s="159" t="s">
        <v>633</v>
      </c>
      <c r="C504" s="159"/>
      <c r="D504" s="159"/>
      <c r="E504" s="159"/>
      <c r="F504" s="159"/>
      <c r="G504" s="269" t="s">
        <v>634</v>
      </c>
      <c r="H504" s="269" t="s">
        <v>635</v>
      </c>
      <c r="I504" s="159" t="s">
        <v>636</v>
      </c>
      <c r="J504" s="168" t="s">
        <v>637</v>
      </c>
      <c r="K504" s="168" t="s">
        <v>638</v>
      </c>
      <c r="L504" s="277" t="s">
        <v>639</v>
      </c>
      <c r="M504" s="168" t="s">
        <v>640</v>
      </c>
      <c r="N504" s="219" t="s">
        <v>540</v>
      </c>
      <c r="O504" s="219"/>
      <c r="P504" s="219"/>
    </row>
    <row r="505" ht="18.75" customHeight="1" outlineLevel="1" spans="1:16">
      <c r="A505" s="159"/>
      <c r="B505" s="159" t="s">
        <v>641</v>
      </c>
      <c r="C505" s="159" t="s">
        <v>642</v>
      </c>
      <c r="D505" s="159" t="s">
        <v>643</v>
      </c>
      <c r="E505" s="159" t="s">
        <v>644</v>
      </c>
      <c r="F505" s="159" t="s">
        <v>645</v>
      </c>
      <c r="G505" s="167"/>
      <c r="H505" s="167"/>
      <c r="I505" s="159"/>
      <c r="J505" s="169"/>
      <c r="K505" s="169"/>
      <c r="L505" s="159"/>
      <c r="M505" s="169"/>
      <c r="N505" s="220" t="s">
        <v>173</v>
      </c>
      <c r="O505" s="221" t="s">
        <v>174</v>
      </c>
      <c r="P505" s="220" t="s">
        <v>349</v>
      </c>
    </row>
    <row r="506" outlineLevel="1" spans="1:16">
      <c r="A506" s="159" t="str">
        <f>CONCATENATE("第",ROW(A506)-ROW($A$505),"次评审")</f>
        <v>第1次评审</v>
      </c>
      <c r="B506" s="270"/>
      <c r="C506" s="270"/>
      <c r="D506" s="270"/>
      <c r="E506" s="270"/>
      <c r="F506" s="270"/>
      <c r="G506" s="270"/>
      <c r="H506" s="270"/>
      <c r="I506" s="272">
        <f t="shared" ref="I506:I509" si="84">SUM($B506:$F506)</f>
        <v>0</v>
      </c>
      <c r="J506" s="270"/>
      <c r="K506" s="270"/>
      <c r="L506" s="278" t="e">
        <f t="shared" ref="L506:L510" si="85">I506/J506</f>
        <v>#DIV/0!</v>
      </c>
      <c r="M506" s="278" t="e">
        <f t="shared" ref="M506:M508" si="86">K506/J506</f>
        <v>#DIV/0!</v>
      </c>
      <c r="N506" s="225">
        <v>0</v>
      </c>
      <c r="O506" s="226">
        <v>0.0754</v>
      </c>
      <c r="P506" s="225">
        <v>0.2273</v>
      </c>
    </row>
    <row r="507" outlineLevel="1" spans="1:16">
      <c r="A507" s="159" t="str">
        <f>CONCATENATE("第",ROW(A507)-ROW($A$505),"次评审")</f>
        <v>第2次评审</v>
      </c>
      <c r="B507" s="270"/>
      <c r="C507" s="270"/>
      <c r="D507" s="270"/>
      <c r="E507" s="270"/>
      <c r="F507" s="270"/>
      <c r="G507" s="270"/>
      <c r="H507" s="270"/>
      <c r="I507" s="285">
        <f t="shared" si="84"/>
        <v>0</v>
      </c>
      <c r="J507" s="270"/>
      <c r="K507" s="270"/>
      <c r="L507" s="278" t="e">
        <f t="shared" si="85"/>
        <v>#DIV/0!</v>
      </c>
      <c r="M507" s="278" t="e">
        <f t="shared" si="86"/>
        <v>#DIV/0!</v>
      </c>
      <c r="N507" s="225">
        <v>0</v>
      </c>
      <c r="O507" s="226">
        <v>0.0754</v>
      </c>
      <c r="P507" s="225">
        <v>0.2273</v>
      </c>
    </row>
    <row r="508" outlineLevel="1" spans="1:16">
      <c r="A508" s="159" t="str">
        <f>CONCATENATE("第",ROW(A508)-ROW($A$505),"次评审")</f>
        <v>第3次评审</v>
      </c>
      <c r="B508" s="270"/>
      <c r="C508" s="270"/>
      <c r="D508" s="270"/>
      <c r="E508" s="270"/>
      <c r="F508" s="270"/>
      <c r="G508" s="270"/>
      <c r="H508" s="270"/>
      <c r="I508" s="285">
        <f t="shared" si="84"/>
        <v>0</v>
      </c>
      <c r="J508" s="270"/>
      <c r="K508" s="270"/>
      <c r="L508" s="278" t="e">
        <f t="shared" si="85"/>
        <v>#DIV/0!</v>
      </c>
      <c r="M508" s="278" t="e">
        <f t="shared" si="86"/>
        <v>#DIV/0!</v>
      </c>
      <c r="N508" s="225">
        <v>0</v>
      </c>
      <c r="O508" s="226">
        <v>0.0754</v>
      </c>
      <c r="P508" s="225">
        <v>0.2273</v>
      </c>
    </row>
    <row r="509" outlineLevel="1" spans="1:16">
      <c r="A509" s="159" t="s">
        <v>646</v>
      </c>
      <c r="B509" s="274" t="s">
        <v>178</v>
      </c>
      <c r="C509" s="274" t="s">
        <v>178</v>
      </c>
      <c r="D509" s="274" t="s">
        <v>178</v>
      </c>
      <c r="E509" s="274" t="s">
        <v>178</v>
      </c>
      <c r="F509" s="274" t="s">
        <v>178</v>
      </c>
      <c r="G509" s="274" t="s">
        <v>178</v>
      </c>
      <c r="H509" s="274" t="s">
        <v>178</v>
      </c>
      <c r="I509" s="271">
        <f t="shared" si="84"/>
        <v>0</v>
      </c>
      <c r="J509" s="286" t="s">
        <v>178</v>
      </c>
      <c r="K509" s="286"/>
      <c r="L509" s="279" t="e">
        <f t="shared" si="85"/>
        <v>#VALUE!</v>
      </c>
      <c r="M509" s="279"/>
      <c r="N509" s="287">
        <v>0</v>
      </c>
      <c r="O509" s="287">
        <v>0.2866</v>
      </c>
      <c r="P509" s="287">
        <v>0.611</v>
      </c>
    </row>
    <row r="510" outlineLevel="1" spans="1:16">
      <c r="A510" s="159" t="s">
        <v>399</v>
      </c>
      <c r="B510" s="272">
        <f t="shared" ref="B510:H510" si="87">SUM(B506:B509)</f>
        <v>0</v>
      </c>
      <c r="C510" s="272">
        <f t="shared" si="87"/>
        <v>0</v>
      </c>
      <c r="D510" s="272">
        <f t="shared" si="87"/>
        <v>0</v>
      </c>
      <c r="E510" s="272">
        <f t="shared" si="87"/>
        <v>0</v>
      </c>
      <c r="F510" s="272">
        <f t="shared" si="87"/>
        <v>0</v>
      </c>
      <c r="G510" s="272">
        <f t="shared" si="87"/>
        <v>0</v>
      </c>
      <c r="H510" s="272">
        <f t="shared" si="87"/>
        <v>0</v>
      </c>
      <c r="I510" s="272" t="str">
        <f t="shared" ref="I510:K510" si="88">IF(SUM(I507:I509)=0,"-",SUM(I507:I509))</f>
        <v>-</v>
      </c>
      <c r="J510" s="272" t="str">
        <f t="shared" si="88"/>
        <v>-</v>
      </c>
      <c r="K510" s="272" t="str">
        <f t="shared" si="88"/>
        <v>-</v>
      </c>
      <c r="L510" s="278" t="e">
        <f t="shared" si="85"/>
        <v>#VALUE!</v>
      </c>
      <c r="M510" s="281" t="e">
        <f>K510/J510</f>
        <v>#VALUE!</v>
      </c>
      <c r="N510" s="282"/>
      <c r="O510" s="282"/>
      <c r="P510" s="282"/>
    </row>
    <row r="511" outlineLevel="1" spans="17:17">
      <c r="Q511" s="291"/>
    </row>
    <row r="512" outlineLevel="1"/>
    <row r="513" outlineLevel="1" spans="14:14">
      <c r="N513" s="283"/>
    </row>
    <row r="514" outlineLevel="1" spans="14:14">
      <c r="N514" s="283"/>
    </row>
    <row r="515" outlineLevel="1" spans="14:14">
      <c r="N515" s="283"/>
    </row>
    <row r="516" outlineLevel="1" spans="14:14">
      <c r="N516" s="283"/>
    </row>
    <row r="517" outlineLevel="1" spans="14:14">
      <c r="N517" s="283"/>
    </row>
    <row r="518" ht="18" customHeight="1" outlineLevel="1"/>
    <row r="519" outlineLevel="1"/>
    <row r="520" ht="13.5" customHeight="1" outlineLevel="1"/>
    <row r="521" outlineLevel="1"/>
    <row r="522" outlineLevel="1"/>
    <row r="523" outlineLevel="1"/>
    <row r="524" outlineLevel="1"/>
    <row r="525" outlineLevel="1"/>
    <row r="526" outlineLevel="1"/>
    <row r="527" outlineLevel="1"/>
    <row r="528" outlineLevel="1"/>
    <row r="529" ht="27" outlineLevel="1" spans="1:13">
      <c r="A529" s="69" t="s">
        <v>648</v>
      </c>
      <c r="B529" s="69"/>
      <c r="C529" s="268"/>
      <c r="D529" s="273"/>
      <c r="E529" s="273"/>
      <c r="F529" s="273"/>
      <c r="G529" s="273"/>
      <c r="H529" s="273"/>
      <c r="I529" s="273"/>
      <c r="J529" s="273"/>
      <c r="K529" s="273"/>
      <c r="L529" s="273"/>
      <c r="M529" s="284"/>
    </row>
    <row r="530" ht="27" customHeight="1" outlineLevel="1" spans="1:16">
      <c r="A530" s="159" t="s">
        <v>632</v>
      </c>
      <c r="B530" s="159" t="s">
        <v>633</v>
      </c>
      <c r="C530" s="159"/>
      <c r="D530" s="159"/>
      <c r="E530" s="159"/>
      <c r="F530" s="159"/>
      <c r="G530" s="269" t="s">
        <v>634</v>
      </c>
      <c r="H530" s="269" t="s">
        <v>635</v>
      </c>
      <c r="I530" s="159" t="s">
        <v>636</v>
      </c>
      <c r="J530" s="168" t="s">
        <v>637</v>
      </c>
      <c r="K530" s="168" t="s">
        <v>638</v>
      </c>
      <c r="L530" s="277" t="s">
        <v>639</v>
      </c>
      <c r="M530" s="168" t="s">
        <v>640</v>
      </c>
      <c r="N530" s="219" t="s">
        <v>540</v>
      </c>
      <c r="O530" s="219"/>
      <c r="P530" s="219"/>
    </row>
    <row r="531" outlineLevel="1" spans="1:16">
      <c r="A531" s="159"/>
      <c r="B531" s="159" t="s">
        <v>641</v>
      </c>
      <c r="C531" s="159" t="s">
        <v>642</v>
      </c>
      <c r="D531" s="159" t="s">
        <v>643</v>
      </c>
      <c r="E531" s="159" t="s">
        <v>644</v>
      </c>
      <c r="F531" s="159" t="s">
        <v>645</v>
      </c>
      <c r="G531" s="167"/>
      <c r="H531" s="167"/>
      <c r="I531" s="159"/>
      <c r="J531" s="169"/>
      <c r="K531" s="169"/>
      <c r="L531" s="159"/>
      <c r="M531" s="169"/>
      <c r="N531" s="220" t="s">
        <v>173</v>
      </c>
      <c r="O531" s="221" t="s">
        <v>174</v>
      </c>
      <c r="P531" s="220" t="s">
        <v>349</v>
      </c>
    </row>
    <row r="532" outlineLevel="1" spans="1:16">
      <c r="A532" s="159" t="str">
        <f>CONCATENATE("第",ROW(A532)-ROW($A$531),"次评审")</f>
        <v>第1次评审</v>
      </c>
      <c r="B532" s="275">
        <v>0</v>
      </c>
      <c r="C532" s="275">
        <v>0</v>
      </c>
      <c r="D532" s="275">
        <v>1</v>
      </c>
      <c r="E532" s="275">
        <v>0</v>
      </c>
      <c r="F532" s="275">
        <v>0</v>
      </c>
      <c r="G532" s="275">
        <v>0</v>
      </c>
      <c r="H532" s="275">
        <v>0</v>
      </c>
      <c r="I532" s="276">
        <f t="shared" ref="I532:I535" si="89">SUM($B532:$F532)</f>
        <v>1</v>
      </c>
      <c r="J532" s="275">
        <v>20</v>
      </c>
      <c r="K532" s="275">
        <v>9</v>
      </c>
      <c r="L532" s="288">
        <f t="shared" ref="L532:L536" si="90">I532/J532</f>
        <v>0.05</v>
      </c>
      <c r="M532" s="288">
        <f t="shared" ref="M532:M534" si="91">K532/J532</f>
        <v>0.45</v>
      </c>
      <c r="N532" s="225">
        <v>0</v>
      </c>
      <c r="O532" s="226">
        <v>0.0834</v>
      </c>
      <c r="P532" s="225">
        <v>0.2204</v>
      </c>
    </row>
    <row r="533" outlineLevel="1" spans="1:16">
      <c r="A533" s="159" t="str">
        <f>CONCATENATE("第",ROW(A533)-ROW($A$531),"次评审")</f>
        <v>第2次评审</v>
      </c>
      <c r="B533" s="275"/>
      <c r="C533" s="275"/>
      <c r="D533" s="275"/>
      <c r="E533" s="275"/>
      <c r="F533" s="275"/>
      <c r="G533" s="275"/>
      <c r="H533" s="275"/>
      <c r="I533" s="289">
        <f t="shared" si="89"/>
        <v>0</v>
      </c>
      <c r="J533" s="275"/>
      <c r="K533" s="275"/>
      <c r="L533" s="288" t="e">
        <f t="shared" si="90"/>
        <v>#DIV/0!</v>
      </c>
      <c r="M533" s="288" t="e">
        <f t="shared" si="91"/>
        <v>#DIV/0!</v>
      </c>
      <c r="N533" s="225">
        <v>0</v>
      </c>
      <c r="O533" s="226">
        <v>0.0834</v>
      </c>
      <c r="P533" s="225">
        <v>0.2204</v>
      </c>
    </row>
    <row r="534" outlineLevel="1" spans="1:16">
      <c r="A534" s="159" t="str">
        <f>CONCATENATE("第",ROW(A534)-ROW($A$531),"次评审")</f>
        <v>第3次评审</v>
      </c>
      <c r="B534" s="275"/>
      <c r="C534" s="275"/>
      <c r="D534" s="275"/>
      <c r="E534" s="275"/>
      <c r="F534" s="275"/>
      <c r="G534" s="275"/>
      <c r="H534" s="275"/>
      <c r="I534" s="289">
        <f t="shared" si="89"/>
        <v>0</v>
      </c>
      <c r="J534" s="275"/>
      <c r="K534" s="275"/>
      <c r="L534" s="288" t="e">
        <f t="shared" si="90"/>
        <v>#DIV/0!</v>
      </c>
      <c r="M534" s="288" t="e">
        <f t="shared" si="91"/>
        <v>#DIV/0!</v>
      </c>
      <c r="N534" s="225">
        <v>0</v>
      </c>
      <c r="O534" s="226">
        <v>0.0834</v>
      </c>
      <c r="P534" s="225">
        <v>0.2204</v>
      </c>
    </row>
    <row r="535" outlineLevel="1" spans="1:16">
      <c r="A535" s="159" t="s">
        <v>646</v>
      </c>
      <c r="B535" s="274"/>
      <c r="C535" s="274"/>
      <c r="D535" s="274"/>
      <c r="E535" s="274"/>
      <c r="F535" s="274"/>
      <c r="G535" s="274"/>
      <c r="H535" s="274"/>
      <c r="I535" s="271">
        <f t="shared" si="89"/>
        <v>0</v>
      </c>
      <c r="J535" s="274" t="s">
        <v>178</v>
      </c>
      <c r="K535" s="274"/>
      <c r="L535" s="279" t="e">
        <f t="shared" si="90"/>
        <v>#VALUE!</v>
      </c>
      <c r="M535" s="279"/>
      <c r="N535" s="287">
        <v>0</v>
      </c>
      <c r="O535" s="287">
        <v>0.2333</v>
      </c>
      <c r="P535" s="287">
        <v>0.7131</v>
      </c>
    </row>
    <row r="536" outlineLevel="1" spans="1:13">
      <c r="A536" s="159" t="s">
        <v>399</v>
      </c>
      <c r="B536" s="276">
        <f t="shared" ref="B536:H536" si="92">SUM(B532:B535)</f>
        <v>0</v>
      </c>
      <c r="C536" s="276">
        <f t="shared" si="92"/>
        <v>0</v>
      </c>
      <c r="D536" s="276">
        <f t="shared" si="92"/>
        <v>1</v>
      </c>
      <c r="E536" s="276">
        <f t="shared" si="92"/>
        <v>0</v>
      </c>
      <c r="F536" s="276">
        <f t="shared" si="92"/>
        <v>0</v>
      </c>
      <c r="G536" s="276">
        <f t="shared" si="92"/>
        <v>0</v>
      </c>
      <c r="H536" s="276">
        <f t="shared" si="92"/>
        <v>0</v>
      </c>
      <c r="I536" s="272" t="str">
        <f t="shared" ref="I536:K536" si="93">IF(SUM(I533:I535)=0,"-",SUM(I533:I535))</f>
        <v>-</v>
      </c>
      <c r="J536" s="272" t="str">
        <f t="shared" si="93"/>
        <v>-</v>
      </c>
      <c r="K536" s="272" t="str">
        <f t="shared" si="93"/>
        <v>-</v>
      </c>
      <c r="L536" s="290" t="e">
        <f t="shared" si="90"/>
        <v>#VALUE!</v>
      </c>
      <c r="M536" s="288" t="e">
        <f>K536/J536</f>
        <v>#VALUE!</v>
      </c>
    </row>
    <row r="537" outlineLevel="1"/>
    <row r="538" outlineLevel="1" spans="14:14">
      <c r="N538" s="283"/>
    </row>
    <row r="539" outlineLevel="1" spans="14:14">
      <c r="N539" s="283"/>
    </row>
    <row r="540" outlineLevel="1" spans="14:14">
      <c r="N540" s="283"/>
    </row>
    <row r="541" outlineLevel="1" spans="14:14">
      <c r="N541" s="283"/>
    </row>
    <row r="542" outlineLevel="1" spans="14:14">
      <c r="N542" s="283"/>
    </row>
    <row r="543" outlineLevel="1" spans="14:14">
      <c r="N543" s="283"/>
    </row>
    <row r="544" outlineLevel="1"/>
    <row r="545" outlineLevel="1"/>
    <row r="546" outlineLevel="1"/>
    <row r="547" outlineLevel="1"/>
    <row r="548" outlineLevel="1"/>
    <row r="549" outlineLevel="1"/>
    <row r="550" outlineLevel="1"/>
    <row r="551" outlineLevel="1"/>
    <row r="552" outlineLevel="1"/>
    <row r="553" outlineLevel="1"/>
    <row r="554" outlineLevel="1"/>
    <row r="555" outlineLevel="1"/>
    <row r="556" ht="27" outlineLevel="1" spans="1:13">
      <c r="A556" s="69" t="s">
        <v>649</v>
      </c>
      <c r="B556" s="69"/>
      <c r="C556" s="268"/>
      <c r="D556" s="273"/>
      <c r="E556" s="273"/>
      <c r="F556" s="273"/>
      <c r="G556" s="273"/>
      <c r="H556" s="273"/>
      <c r="I556" s="273"/>
      <c r="J556" s="273"/>
      <c r="K556" s="273"/>
      <c r="L556" s="273"/>
      <c r="M556" s="284"/>
    </row>
    <row r="557" ht="30.95" customHeight="1" outlineLevel="1" spans="1:16">
      <c r="A557" s="159" t="s">
        <v>632</v>
      </c>
      <c r="B557" s="159" t="s">
        <v>633</v>
      </c>
      <c r="C557" s="159"/>
      <c r="D557" s="159"/>
      <c r="E557" s="159"/>
      <c r="F557" s="159"/>
      <c r="G557" s="269" t="s">
        <v>634</v>
      </c>
      <c r="H557" s="269" t="s">
        <v>635</v>
      </c>
      <c r="I557" s="159" t="s">
        <v>636</v>
      </c>
      <c r="J557" s="168" t="s">
        <v>650</v>
      </c>
      <c r="K557" s="168" t="s">
        <v>638</v>
      </c>
      <c r="L557" s="277" t="s">
        <v>651</v>
      </c>
      <c r="M557" s="168" t="s">
        <v>671</v>
      </c>
      <c r="N557" s="219" t="s">
        <v>540</v>
      </c>
      <c r="O557" s="219"/>
      <c r="P557" s="219"/>
    </row>
    <row r="558" outlineLevel="1" spans="1:16">
      <c r="A558" s="159"/>
      <c r="B558" s="159" t="s">
        <v>641</v>
      </c>
      <c r="C558" s="159" t="s">
        <v>642</v>
      </c>
      <c r="D558" s="159" t="s">
        <v>643</v>
      </c>
      <c r="E558" s="159" t="s">
        <v>644</v>
      </c>
      <c r="F558" s="159" t="s">
        <v>645</v>
      </c>
      <c r="G558" s="167"/>
      <c r="H558" s="167"/>
      <c r="I558" s="159"/>
      <c r="J558" s="169"/>
      <c r="K558" s="169"/>
      <c r="L558" s="159"/>
      <c r="M558" s="169"/>
      <c r="N558" s="220" t="s">
        <v>173</v>
      </c>
      <c r="O558" s="221" t="s">
        <v>174</v>
      </c>
      <c r="P558" s="220" t="s">
        <v>349</v>
      </c>
    </row>
    <row r="559" outlineLevel="1" spans="1:16">
      <c r="A559" s="159" t="str">
        <f>CONCATENATE("第",ROW(A559)-ROW($A$558),"次评审")</f>
        <v>第1次评审</v>
      </c>
      <c r="B559" s="270">
        <v>0</v>
      </c>
      <c r="C559" s="270">
        <v>0</v>
      </c>
      <c r="D559" s="270">
        <v>5</v>
      </c>
      <c r="E559" s="270">
        <v>1</v>
      </c>
      <c r="F559" s="270">
        <v>0</v>
      </c>
      <c r="G559" s="270">
        <v>6</v>
      </c>
      <c r="H559" s="270">
        <v>0</v>
      </c>
      <c r="I559" s="285">
        <f t="shared" ref="I559:I562" si="94">SUM($B559:$F559)</f>
        <v>6</v>
      </c>
      <c r="J559" s="270">
        <v>1869</v>
      </c>
      <c r="K559" s="270">
        <v>120</v>
      </c>
      <c r="L559" s="278">
        <f t="shared" ref="L559:L563" si="95">I559/J559</f>
        <v>0.00321027287319422</v>
      </c>
      <c r="M559" s="278">
        <f t="shared" ref="M559:M561" si="96">K559/J559</f>
        <v>0.0642054574638844</v>
      </c>
      <c r="N559" s="225">
        <v>0.0008</v>
      </c>
      <c r="O559" s="226">
        <v>0.011</v>
      </c>
      <c r="P559" s="225">
        <v>0.0212</v>
      </c>
    </row>
    <row r="560" outlineLevel="1" spans="1:16">
      <c r="A560" s="159" t="str">
        <f>CONCATENATE("第",ROW(A560)-ROW($A$558),"次评审")</f>
        <v>第2次评审</v>
      </c>
      <c r="B560" s="270"/>
      <c r="C560" s="270"/>
      <c r="D560" s="270"/>
      <c r="E560" s="270"/>
      <c r="F560" s="270"/>
      <c r="G560" s="270"/>
      <c r="H560" s="270"/>
      <c r="I560" s="285">
        <f t="shared" si="94"/>
        <v>0</v>
      </c>
      <c r="J560" s="270"/>
      <c r="K560" s="270"/>
      <c r="L560" s="278" t="e">
        <f t="shared" si="95"/>
        <v>#DIV/0!</v>
      </c>
      <c r="M560" s="278" t="e">
        <f t="shared" si="96"/>
        <v>#DIV/0!</v>
      </c>
      <c r="N560" s="225">
        <v>0.0008</v>
      </c>
      <c r="O560" s="226">
        <v>0.011</v>
      </c>
      <c r="P560" s="225">
        <v>0.0212</v>
      </c>
    </row>
    <row r="561" outlineLevel="1" spans="1:16">
      <c r="A561" s="159" t="str">
        <f>CONCATENATE("第",ROW(A561)-ROW($A$558),"次评审")</f>
        <v>第3次评审</v>
      </c>
      <c r="B561" s="270"/>
      <c r="C561" s="270"/>
      <c r="D561" s="270"/>
      <c r="E561" s="270"/>
      <c r="F561" s="270"/>
      <c r="G561" s="270"/>
      <c r="H561" s="270"/>
      <c r="I561" s="285">
        <f t="shared" si="94"/>
        <v>0</v>
      </c>
      <c r="J561" s="270"/>
      <c r="K561" s="270"/>
      <c r="L561" s="278" t="e">
        <f t="shared" si="95"/>
        <v>#DIV/0!</v>
      </c>
      <c r="M561" s="278" t="e">
        <f t="shared" si="96"/>
        <v>#DIV/0!</v>
      </c>
      <c r="N561" s="225">
        <v>0.0008</v>
      </c>
      <c r="O561" s="226">
        <v>0.011</v>
      </c>
      <c r="P561" s="225">
        <v>0.0212</v>
      </c>
    </row>
    <row r="562" outlineLevel="1" spans="1:16">
      <c r="A562" s="159" t="s">
        <v>646</v>
      </c>
      <c r="B562" s="271"/>
      <c r="C562" s="271"/>
      <c r="D562" s="271"/>
      <c r="E562" s="271"/>
      <c r="F562" s="271"/>
      <c r="G562" s="271"/>
      <c r="H562" s="271"/>
      <c r="I562" s="293">
        <f t="shared" si="94"/>
        <v>0</v>
      </c>
      <c r="J562" s="271" t="s">
        <v>178</v>
      </c>
      <c r="K562" s="271"/>
      <c r="L562" s="294" t="e">
        <f t="shared" si="95"/>
        <v>#VALUE!</v>
      </c>
      <c r="M562" s="294"/>
      <c r="N562" s="287">
        <v>0</v>
      </c>
      <c r="O562" s="287">
        <v>0.04351</v>
      </c>
      <c r="P562" s="287">
        <v>0.0879</v>
      </c>
    </row>
    <row r="563" outlineLevel="1" spans="1:16">
      <c r="A563" s="159" t="s">
        <v>399</v>
      </c>
      <c r="B563" s="272">
        <f t="shared" ref="B563:H563" si="97">SUM(B559:B562)</f>
        <v>0</v>
      </c>
      <c r="C563" s="272">
        <f t="shared" si="97"/>
        <v>0</v>
      </c>
      <c r="D563" s="272">
        <f t="shared" si="97"/>
        <v>5</v>
      </c>
      <c r="E563" s="272">
        <f t="shared" si="97"/>
        <v>1</v>
      </c>
      <c r="F563" s="272">
        <f t="shared" si="97"/>
        <v>0</v>
      </c>
      <c r="G563" s="272">
        <f t="shared" si="97"/>
        <v>6</v>
      </c>
      <c r="H563" s="272">
        <f t="shared" si="97"/>
        <v>0</v>
      </c>
      <c r="I563" s="272" t="str">
        <f t="shared" ref="I563:K563" si="98">IF(SUM(I560:I562)=0,"-",SUM(I560:I562))</f>
        <v>-</v>
      </c>
      <c r="J563" s="272" t="str">
        <f t="shared" si="98"/>
        <v>-</v>
      </c>
      <c r="K563" s="272" t="str">
        <f t="shared" si="98"/>
        <v>-</v>
      </c>
      <c r="L563" s="278" t="e">
        <f t="shared" si="95"/>
        <v>#VALUE!</v>
      </c>
      <c r="M563" s="278" t="e">
        <f>K563/J563</f>
        <v>#VALUE!</v>
      </c>
      <c r="N563" s="295"/>
      <c r="O563" s="295"/>
      <c r="P563" s="295"/>
    </row>
    <row r="564" outlineLevel="1"/>
    <row r="565" outlineLevel="1" spans="14:14">
      <c r="N565" s="283"/>
    </row>
    <row r="566" outlineLevel="1" spans="14:14">
      <c r="N566" s="283"/>
    </row>
    <row r="567" outlineLevel="1" spans="14:14">
      <c r="N567" s="283"/>
    </row>
    <row r="568" outlineLevel="1" spans="14:14">
      <c r="N568" s="283"/>
    </row>
    <row r="569" outlineLevel="1" spans="14:14">
      <c r="N569" s="283"/>
    </row>
    <row r="570" outlineLevel="1"/>
    <row r="571" outlineLevel="1"/>
    <row r="572" outlineLevel="1"/>
    <row r="573" outlineLevel="1"/>
    <row r="574" outlineLevel="1"/>
    <row r="575" outlineLevel="1"/>
    <row r="576" outlineLevel="1"/>
    <row r="577" outlineLevel="1"/>
    <row r="578" outlineLevel="1"/>
    <row r="579" outlineLevel="1"/>
    <row r="580" outlineLevel="1"/>
    <row r="581" ht="27" outlineLevel="1" spans="1:13">
      <c r="A581" s="69" t="s">
        <v>652</v>
      </c>
      <c r="B581" s="69"/>
      <c r="C581" s="268"/>
      <c r="D581" s="273"/>
      <c r="E581" s="273"/>
      <c r="F581" s="273"/>
      <c r="G581" s="273"/>
      <c r="H581" s="273"/>
      <c r="I581" s="273"/>
      <c r="J581" s="273"/>
      <c r="K581" s="273"/>
      <c r="L581" s="273"/>
      <c r="M581" s="284"/>
    </row>
    <row r="582" ht="30" customHeight="1" outlineLevel="1" spans="1:16">
      <c r="A582" s="159" t="s">
        <v>653</v>
      </c>
      <c r="B582" s="159" t="s">
        <v>633</v>
      </c>
      <c r="C582" s="159"/>
      <c r="D582" s="159"/>
      <c r="E582" s="159"/>
      <c r="F582" s="159"/>
      <c r="G582" s="269" t="s">
        <v>634</v>
      </c>
      <c r="H582" s="269" t="s">
        <v>635</v>
      </c>
      <c r="I582" s="159" t="s">
        <v>636</v>
      </c>
      <c r="J582" s="168" t="s">
        <v>654</v>
      </c>
      <c r="K582" s="168" t="s">
        <v>655</v>
      </c>
      <c r="L582" s="277" t="s">
        <v>656</v>
      </c>
      <c r="M582" s="168" t="s">
        <v>657</v>
      </c>
      <c r="N582" s="219" t="s">
        <v>540</v>
      </c>
      <c r="O582" s="219"/>
      <c r="P582" s="219"/>
    </row>
    <row r="583" outlineLevel="1" spans="1:16">
      <c r="A583" s="159"/>
      <c r="B583" s="159" t="s">
        <v>641</v>
      </c>
      <c r="C583" s="159" t="s">
        <v>642</v>
      </c>
      <c r="D583" s="159" t="s">
        <v>643</v>
      </c>
      <c r="E583" s="159" t="s">
        <v>644</v>
      </c>
      <c r="F583" s="159" t="s">
        <v>645</v>
      </c>
      <c r="G583" s="167"/>
      <c r="H583" s="167"/>
      <c r="I583" s="159"/>
      <c r="J583" s="169"/>
      <c r="K583" s="169"/>
      <c r="L583" s="159"/>
      <c r="M583" s="169"/>
      <c r="N583" s="220" t="s">
        <v>173</v>
      </c>
      <c r="O583" s="221" t="s">
        <v>174</v>
      </c>
      <c r="P583" s="220" t="s">
        <v>349</v>
      </c>
    </row>
    <row r="584" outlineLevel="1" spans="1:16">
      <c r="A584" s="159" t="str">
        <f>CONCATENATE("第",ROW(A584)-ROW($A$583),"次走查")</f>
        <v>第1次走查</v>
      </c>
      <c r="B584" s="292">
        <v>0</v>
      </c>
      <c r="C584" s="292">
        <v>6</v>
      </c>
      <c r="D584" s="292">
        <v>10</v>
      </c>
      <c r="E584" s="292">
        <v>0</v>
      </c>
      <c r="F584" s="292">
        <v>0</v>
      </c>
      <c r="G584" s="292">
        <v>16</v>
      </c>
      <c r="H584" s="292">
        <v>0</v>
      </c>
      <c r="I584" s="272">
        <f t="shared" ref="I584:I588" si="99">SUM($B584:$F584)</f>
        <v>16</v>
      </c>
      <c r="J584" s="292">
        <f>规模!C23</f>
        <v>72.83</v>
      </c>
      <c r="K584" s="292">
        <v>8</v>
      </c>
      <c r="L584" s="278">
        <f t="shared" ref="L584:L589" si="100">I584/J584</f>
        <v>0.219689688315255</v>
      </c>
      <c r="M584" s="278">
        <f>K584/J584</f>
        <v>0.109844844157627</v>
      </c>
      <c r="N584" s="225">
        <v>0</v>
      </c>
      <c r="O584" s="226">
        <v>0.0506</v>
      </c>
      <c r="P584" s="225">
        <v>0.1544</v>
      </c>
    </row>
    <row r="585" outlineLevel="1" spans="1:16">
      <c r="A585" s="159" t="str">
        <f>CONCATENATE("第",ROW(A585)-ROW($A$583),"次走查")</f>
        <v>第2次走查</v>
      </c>
      <c r="B585" s="292"/>
      <c r="C585" s="292"/>
      <c r="D585" s="292"/>
      <c r="E585" s="292"/>
      <c r="F585" s="292"/>
      <c r="G585" s="292"/>
      <c r="H585" s="292"/>
      <c r="I585" s="272">
        <f t="shared" si="99"/>
        <v>0</v>
      </c>
      <c r="J585" s="292"/>
      <c r="K585" s="292"/>
      <c r="L585" s="278" t="e">
        <f t="shared" si="100"/>
        <v>#DIV/0!</v>
      </c>
      <c r="M585" s="278" t="e">
        <f t="shared" ref="M585:M587" si="101">K585/J585</f>
        <v>#DIV/0!</v>
      </c>
      <c r="N585" s="225">
        <v>0</v>
      </c>
      <c r="O585" s="226">
        <v>0.0506</v>
      </c>
      <c r="P585" s="225">
        <v>0.1544</v>
      </c>
    </row>
    <row r="586" outlineLevel="1" spans="1:16">
      <c r="A586" s="159" t="str">
        <f>CONCATENATE("第",ROW(A586)-ROW($A$583),"次走查")</f>
        <v>第3次走查</v>
      </c>
      <c r="B586" s="292"/>
      <c r="C586" s="292"/>
      <c r="D586" s="292"/>
      <c r="E586" s="292"/>
      <c r="F586" s="292"/>
      <c r="G586" s="292"/>
      <c r="H586" s="292"/>
      <c r="I586" s="272">
        <f t="shared" si="99"/>
        <v>0</v>
      </c>
      <c r="J586" s="292"/>
      <c r="K586" s="292"/>
      <c r="L586" s="278" t="e">
        <f t="shared" si="100"/>
        <v>#DIV/0!</v>
      </c>
      <c r="M586" s="278" t="e">
        <f t="shared" si="101"/>
        <v>#DIV/0!</v>
      </c>
      <c r="N586" s="225">
        <v>0</v>
      </c>
      <c r="O586" s="226">
        <v>0.0506</v>
      </c>
      <c r="P586" s="225">
        <v>0.1544</v>
      </c>
    </row>
    <row r="587" outlineLevel="1" spans="1:16">
      <c r="A587" s="159" t="str">
        <f>CONCATENATE("第",ROW(A587)-ROW($A$583),"次走查")</f>
        <v>第4次走查</v>
      </c>
      <c r="B587" s="292"/>
      <c r="C587" s="292"/>
      <c r="D587" s="292"/>
      <c r="E587" s="292"/>
      <c r="F587" s="292"/>
      <c r="G587" s="292"/>
      <c r="H587" s="292"/>
      <c r="I587" s="272">
        <f t="shared" si="99"/>
        <v>0</v>
      </c>
      <c r="J587" s="292"/>
      <c r="K587" s="292"/>
      <c r="L587" s="278" t="e">
        <f t="shared" si="100"/>
        <v>#DIV/0!</v>
      </c>
      <c r="M587" s="278" t="e">
        <f t="shared" si="101"/>
        <v>#DIV/0!</v>
      </c>
      <c r="N587" s="225">
        <v>0</v>
      </c>
      <c r="O587" s="226">
        <v>0.0506</v>
      </c>
      <c r="P587" s="225">
        <v>0.1544</v>
      </c>
    </row>
    <row r="588" outlineLevel="1" spans="1:16">
      <c r="A588" s="159" t="s">
        <v>658</v>
      </c>
      <c r="B588" s="271"/>
      <c r="C588" s="271"/>
      <c r="D588" s="271"/>
      <c r="E588" s="271"/>
      <c r="F588" s="271"/>
      <c r="G588" s="271"/>
      <c r="H588" s="271"/>
      <c r="I588" s="293">
        <f t="shared" si="99"/>
        <v>0</v>
      </c>
      <c r="J588" s="271" t="s">
        <v>178</v>
      </c>
      <c r="K588" s="271"/>
      <c r="L588" s="294" t="e">
        <f t="shared" si="100"/>
        <v>#VALUE!</v>
      </c>
      <c r="M588" s="294"/>
      <c r="N588" s="287">
        <v>0</v>
      </c>
      <c r="O588" s="287">
        <v>0.3</v>
      </c>
      <c r="P588" s="287">
        <v>0.65790273556231</v>
      </c>
    </row>
    <row r="589" outlineLevel="1" spans="1:16">
      <c r="A589" s="159" t="s">
        <v>399</v>
      </c>
      <c r="B589" s="272">
        <f t="shared" ref="B589:H589" si="102">SUM(B582:B588)</f>
        <v>0</v>
      </c>
      <c r="C589" s="272">
        <f t="shared" si="102"/>
        <v>6</v>
      </c>
      <c r="D589" s="272">
        <f t="shared" si="102"/>
        <v>10</v>
      </c>
      <c r="E589" s="272">
        <f t="shared" si="102"/>
        <v>0</v>
      </c>
      <c r="F589" s="272">
        <f t="shared" si="102"/>
        <v>0</v>
      </c>
      <c r="G589" s="272">
        <f t="shared" si="102"/>
        <v>16</v>
      </c>
      <c r="H589" s="272">
        <f t="shared" si="102"/>
        <v>0</v>
      </c>
      <c r="I589" s="272" t="str">
        <f t="shared" ref="I589:K589" si="103">IF(SUM(I586:I588)=0,"-",SUM(I586:I588))</f>
        <v>-</v>
      </c>
      <c r="J589" s="272" t="str">
        <f t="shared" si="103"/>
        <v>-</v>
      </c>
      <c r="K589" s="272" t="str">
        <f t="shared" si="103"/>
        <v>-</v>
      </c>
      <c r="L589" s="278" t="e">
        <f t="shared" si="100"/>
        <v>#VALUE!</v>
      </c>
      <c r="M589" s="278" t="e">
        <f>K589/J589</f>
        <v>#VALUE!</v>
      </c>
      <c r="N589" s="295"/>
      <c r="O589" s="295"/>
      <c r="P589" s="295"/>
    </row>
    <row r="590" outlineLevel="1"/>
    <row r="591" outlineLevel="1" spans="14:14">
      <c r="N591" s="283" t="s">
        <v>162</v>
      </c>
    </row>
    <row r="592" outlineLevel="1" spans="14:14">
      <c r="N592" s="283" t="s">
        <v>659</v>
      </c>
    </row>
    <row r="593" outlineLevel="1" spans="14:14">
      <c r="N593" s="283" t="s">
        <v>660</v>
      </c>
    </row>
    <row r="594" outlineLevel="1" spans="14:14">
      <c r="N594" s="283" t="s">
        <v>661</v>
      </c>
    </row>
    <row r="595" outlineLevel="1" spans="14:14">
      <c r="N595" s="283" t="s">
        <v>662</v>
      </c>
    </row>
    <row r="596" outlineLevel="1"/>
    <row r="597" outlineLevel="1"/>
    <row r="598" outlineLevel="1"/>
    <row r="599" outlineLevel="1"/>
    <row r="600" outlineLevel="1"/>
    <row r="601" outlineLevel="1"/>
    <row r="602" outlineLevel="1"/>
    <row r="603" outlineLevel="1"/>
    <row r="604" outlineLevel="1"/>
    <row r="605" outlineLevel="1"/>
    <row r="606" outlineLevel="1"/>
    <row r="609" s="264" customFormat="1" ht="27" spans="1:8">
      <c r="A609" s="69" t="s">
        <v>663</v>
      </c>
      <c r="B609" s="69"/>
      <c r="C609" s="268"/>
      <c r="D609" s="273"/>
      <c r="E609" s="273"/>
      <c r="F609" s="273"/>
      <c r="G609" s="273"/>
      <c r="H609" s="273"/>
    </row>
    <row r="610" s="265" customFormat="1" ht="49.5" spans="1:12">
      <c r="A610" s="159" t="s">
        <v>664</v>
      </c>
      <c r="B610" s="296" t="s">
        <v>665</v>
      </c>
      <c r="C610" s="297"/>
      <c r="D610" s="168" t="s">
        <v>666</v>
      </c>
      <c r="E610" s="277" t="s">
        <v>667</v>
      </c>
      <c r="F610" s="298" t="s">
        <v>540</v>
      </c>
      <c r="G610" s="298"/>
      <c r="H610" s="298"/>
      <c r="I610" s="303" t="s">
        <v>231</v>
      </c>
      <c r="J610" s="300">
        <v>0</v>
      </c>
      <c r="K610" s="300">
        <v>9.869</v>
      </c>
      <c r="L610" s="300">
        <v>21.176</v>
      </c>
    </row>
    <row r="611" s="264" customFormat="1" ht="49.5" spans="1:12">
      <c r="A611" s="159"/>
      <c r="B611" s="159" t="s">
        <v>668</v>
      </c>
      <c r="C611" s="159" t="s">
        <v>669</v>
      </c>
      <c r="D611" s="169"/>
      <c r="E611" s="159"/>
      <c r="F611" s="220" t="s">
        <v>173</v>
      </c>
      <c r="G611" s="299" t="s">
        <v>174</v>
      </c>
      <c r="H611" s="220" t="s">
        <v>349</v>
      </c>
      <c r="I611" s="304" t="s">
        <v>233</v>
      </c>
      <c r="J611" s="305">
        <v>0</v>
      </c>
      <c r="K611" s="305">
        <v>7.503</v>
      </c>
      <c r="L611" s="305">
        <v>16.0824</v>
      </c>
    </row>
    <row r="612" s="264" customFormat="1" ht="49.5" spans="1:12">
      <c r="A612" s="159" t="s">
        <v>407</v>
      </c>
      <c r="B612" s="270">
        <v>1869</v>
      </c>
      <c r="C612" s="292">
        <v>0</v>
      </c>
      <c r="D612" s="292">
        <v>72.83</v>
      </c>
      <c r="E612" s="278">
        <f>SUM(B612:C612)/D612</f>
        <v>25.6625017163257</v>
      </c>
      <c r="F612" s="300">
        <v>0</v>
      </c>
      <c r="G612" s="300">
        <v>9.869</v>
      </c>
      <c r="H612" s="300">
        <v>21.176</v>
      </c>
      <c r="I612" s="304" t="s">
        <v>234</v>
      </c>
      <c r="J612" s="305">
        <v>0</v>
      </c>
      <c r="K612" s="305">
        <v>7.751</v>
      </c>
      <c r="L612" s="305">
        <v>21.383</v>
      </c>
    </row>
    <row r="613" s="264" customFormat="1" ht="49.5" spans="1:12">
      <c r="A613" s="159" t="s">
        <v>670</v>
      </c>
      <c r="B613" s="271"/>
      <c r="C613" s="271"/>
      <c r="D613" s="271"/>
      <c r="E613" s="271"/>
      <c r="F613" s="271"/>
      <c r="G613" s="271"/>
      <c r="H613" s="271"/>
      <c r="I613" s="304" t="s">
        <v>235</v>
      </c>
      <c r="J613" s="305">
        <v>0</v>
      </c>
      <c r="K613" s="305">
        <v>4.384</v>
      </c>
      <c r="L613" s="305">
        <v>10.7986</v>
      </c>
    </row>
    <row r="614" s="264" customFormat="1" spans="1:8">
      <c r="A614" s="159" t="s">
        <v>399</v>
      </c>
      <c r="B614" s="272">
        <f>SUM(B610:B613)</f>
        <v>1869</v>
      </c>
      <c r="C614" s="272">
        <f>SUM(C610:C613)</f>
        <v>0</v>
      </c>
      <c r="D614" s="272">
        <f t="shared" ref="D614:H614" si="104">SUM(D613:D613)</f>
        <v>0</v>
      </c>
      <c r="E614" s="272">
        <f t="shared" si="104"/>
        <v>0</v>
      </c>
      <c r="F614" s="272">
        <f t="shared" si="104"/>
        <v>0</v>
      </c>
      <c r="G614" s="272">
        <f t="shared" si="104"/>
        <v>0</v>
      </c>
      <c r="H614" s="272">
        <f t="shared" si="104"/>
        <v>0</v>
      </c>
    </row>
  </sheetData>
  <mergeCells count="226">
    <mergeCell ref="A1:P1"/>
    <mergeCell ref="A3:I3"/>
    <mergeCell ref="B6:F6"/>
    <mergeCell ref="N6:P6"/>
    <mergeCell ref="B29:F29"/>
    <mergeCell ref="N29:P29"/>
    <mergeCell ref="B56:F56"/>
    <mergeCell ref="N56:P56"/>
    <mergeCell ref="B83:F83"/>
    <mergeCell ref="N83:P83"/>
    <mergeCell ref="B108:F108"/>
    <mergeCell ref="N108:P108"/>
    <mergeCell ref="B135:C135"/>
    <mergeCell ref="F135:H135"/>
    <mergeCell ref="B160:L160"/>
    <mergeCell ref="A162:I162"/>
    <mergeCell ref="B165:F165"/>
    <mergeCell ref="N165:P165"/>
    <mergeCell ref="B188:F188"/>
    <mergeCell ref="N188:P188"/>
    <mergeCell ref="B214:F214"/>
    <mergeCell ref="N214:P214"/>
    <mergeCell ref="B241:F241"/>
    <mergeCell ref="N241:P241"/>
    <mergeCell ref="B266:F266"/>
    <mergeCell ref="N266:P266"/>
    <mergeCell ref="B293:C293"/>
    <mergeCell ref="F293:H293"/>
    <mergeCell ref="A320:I320"/>
    <mergeCell ref="B323:F323"/>
    <mergeCell ref="N323:P323"/>
    <mergeCell ref="B346:F346"/>
    <mergeCell ref="N346:P346"/>
    <mergeCell ref="B372:F372"/>
    <mergeCell ref="N372:P372"/>
    <mergeCell ref="B399:F399"/>
    <mergeCell ref="N399:P399"/>
    <mergeCell ref="B424:F424"/>
    <mergeCell ref="N424:P424"/>
    <mergeCell ref="B451:C451"/>
    <mergeCell ref="F451:H451"/>
    <mergeCell ref="A478:I478"/>
    <mergeCell ref="B481:F481"/>
    <mergeCell ref="N481:P481"/>
    <mergeCell ref="B504:F504"/>
    <mergeCell ref="N504:P504"/>
    <mergeCell ref="B530:F530"/>
    <mergeCell ref="N530:P530"/>
    <mergeCell ref="B557:F557"/>
    <mergeCell ref="N557:P557"/>
    <mergeCell ref="B582:F582"/>
    <mergeCell ref="N582:P582"/>
    <mergeCell ref="B610:C610"/>
    <mergeCell ref="F610:H610"/>
    <mergeCell ref="A6:A7"/>
    <mergeCell ref="A29:A30"/>
    <mergeCell ref="A56:A57"/>
    <mergeCell ref="A83:A84"/>
    <mergeCell ref="A108:A109"/>
    <mergeCell ref="A135:A136"/>
    <mergeCell ref="A165:A166"/>
    <mergeCell ref="A188:A189"/>
    <mergeCell ref="A214:A215"/>
    <mergeCell ref="A241:A242"/>
    <mergeCell ref="A266:A267"/>
    <mergeCell ref="A293:A294"/>
    <mergeCell ref="A323:A324"/>
    <mergeCell ref="A346:A347"/>
    <mergeCell ref="A372:A373"/>
    <mergeCell ref="A399:A400"/>
    <mergeCell ref="A424:A425"/>
    <mergeCell ref="A451:A452"/>
    <mergeCell ref="A481:A482"/>
    <mergeCell ref="A504:A505"/>
    <mergeCell ref="A530:A531"/>
    <mergeCell ref="A557:A558"/>
    <mergeCell ref="A582:A583"/>
    <mergeCell ref="A610:A611"/>
    <mergeCell ref="D135:D136"/>
    <mergeCell ref="D293:D294"/>
    <mergeCell ref="D451:D452"/>
    <mergeCell ref="D610:D611"/>
    <mergeCell ref="E135:E136"/>
    <mergeCell ref="E293:E294"/>
    <mergeCell ref="E451:E452"/>
    <mergeCell ref="E610:E611"/>
    <mergeCell ref="G6:G7"/>
    <mergeCell ref="G29:G30"/>
    <mergeCell ref="G56:G57"/>
    <mergeCell ref="G83:G84"/>
    <mergeCell ref="G108:G109"/>
    <mergeCell ref="G165:G166"/>
    <mergeCell ref="G188:G189"/>
    <mergeCell ref="G214:G215"/>
    <mergeCell ref="G241:G242"/>
    <mergeCell ref="G266:G267"/>
    <mergeCell ref="G323:G324"/>
    <mergeCell ref="G346:G347"/>
    <mergeCell ref="G372:G373"/>
    <mergeCell ref="G399:G400"/>
    <mergeCell ref="G424:G425"/>
    <mergeCell ref="G481:G482"/>
    <mergeCell ref="G504:G505"/>
    <mergeCell ref="G530:G531"/>
    <mergeCell ref="G557:G558"/>
    <mergeCell ref="G582:G583"/>
    <mergeCell ref="H6:H7"/>
    <mergeCell ref="H29:H30"/>
    <mergeCell ref="H56:H57"/>
    <mergeCell ref="H83:H84"/>
    <mergeCell ref="H108:H109"/>
    <mergeCell ref="H165:H166"/>
    <mergeCell ref="H188:H189"/>
    <mergeCell ref="H214:H215"/>
    <mergeCell ref="H241:H242"/>
    <mergeCell ref="H266:H267"/>
    <mergeCell ref="H323:H324"/>
    <mergeCell ref="H346:H347"/>
    <mergeCell ref="H372:H373"/>
    <mergeCell ref="H399:H400"/>
    <mergeCell ref="H424:H425"/>
    <mergeCell ref="H481:H482"/>
    <mergeCell ref="H504:H505"/>
    <mergeCell ref="H530:H531"/>
    <mergeCell ref="H557:H558"/>
    <mergeCell ref="H582:H583"/>
    <mergeCell ref="I6:I7"/>
    <mergeCell ref="I29:I30"/>
    <mergeCell ref="I56:I57"/>
    <mergeCell ref="I83:I84"/>
    <mergeCell ref="I108:I109"/>
    <mergeCell ref="I165:I166"/>
    <mergeCell ref="I188:I189"/>
    <mergeCell ref="I214:I215"/>
    <mergeCell ref="I241:I242"/>
    <mergeCell ref="I266:I267"/>
    <mergeCell ref="I323:I324"/>
    <mergeCell ref="I346:I347"/>
    <mergeCell ref="I372:I373"/>
    <mergeCell ref="I399:I400"/>
    <mergeCell ref="I424:I425"/>
    <mergeCell ref="I481:I482"/>
    <mergeCell ref="I504:I505"/>
    <mergeCell ref="I530:I531"/>
    <mergeCell ref="I557:I558"/>
    <mergeCell ref="I582:I583"/>
    <mergeCell ref="J6:J7"/>
    <mergeCell ref="J29:J30"/>
    <mergeCell ref="J56:J57"/>
    <mergeCell ref="J83:J84"/>
    <mergeCell ref="J108:J109"/>
    <mergeCell ref="J165:J166"/>
    <mergeCell ref="J188:J189"/>
    <mergeCell ref="J214:J215"/>
    <mergeCell ref="J241:J242"/>
    <mergeCell ref="J266:J267"/>
    <mergeCell ref="J323:J324"/>
    <mergeCell ref="J346:J347"/>
    <mergeCell ref="J372:J373"/>
    <mergeCell ref="J399:J400"/>
    <mergeCell ref="J424:J425"/>
    <mergeCell ref="J481:J482"/>
    <mergeCell ref="J504:J505"/>
    <mergeCell ref="J530:J531"/>
    <mergeCell ref="J557:J558"/>
    <mergeCell ref="J582:J583"/>
    <mergeCell ref="K6:K7"/>
    <mergeCell ref="K29:K30"/>
    <mergeCell ref="K56:K57"/>
    <mergeCell ref="K83:K84"/>
    <mergeCell ref="K108:K109"/>
    <mergeCell ref="K165:K166"/>
    <mergeCell ref="K188:K189"/>
    <mergeCell ref="K214:K215"/>
    <mergeCell ref="K241:K242"/>
    <mergeCell ref="K266:K267"/>
    <mergeCell ref="K323:K324"/>
    <mergeCell ref="K346:K347"/>
    <mergeCell ref="K372:K373"/>
    <mergeCell ref="K399:K400"/>
    <mergeCell ref="K424:K425"/>
    <mergeCell ref="K481:K482"/>
    <mergeCell ref="K504:K505"/>
    <mergeCell ref="K530:K531"/>
    <mergeCell ref="K557:K558"/>
    <mergeCell ref="K582:K583"/>
    <mergeCell ref="L6:L7"/>
    <mergeCell ref="L29:L30"/>
    <mergeCell ref="L56:L57"/>
    <mergeCell ref="L83:L84"/>
    <mergeCell ref="L108:L109"/>
    <mergeCell ref="L165:L166"/>
    <mergeCell ref="L188:L189"/>
    <mergeCell ref="L214:L215"/>
    <mergeCell ref="L241:L242"/>
    <mergeCell ref="L266:L267"/>
    <mergeCell ref="L323:L324"/>
    <mergeCell ref="L346:L347"/>
    <mergeCell ref="L372:L373"/>
    <mergeCell ref="L399:L400"/>
    <mergeCell ref="L424:L425"/>
    <mergeCell ref="L481:L482"/>
    <mergeCell ref="L504:L505"/>
    <mergeCell ref="L530:L531"/>
    <mergeCell ref="L557:L558"/>
    <mergeCell ref="L582:L583"/>
    <mergeCell ref="M6:M7"/>
    <mergeCell ref="M29:M30"/>
    <mergeCell ref="M56:M57"/>
    <mergeCell ref="M83:M84"/>
    <mergeCell ref="M108:M109"/>
    <mergeCell ref="M165:M166"/>
    <mergeCell ref="M188:M189"/>
    <mergeCell ref="M214:M215"/>
    <mergeCell ref="M241:M242"/>
    <mergeCell ref="M266:M267"/>
    <mergeCell ref="M323:M324"/>
    <mergeCell ref="M346:M347"/>
    <mergeCell ref="M372:M373"/>
    <mergeCell ref="M399:M400"/>
    <mergeCell ref="M424:M425"/>
    <mergeCell ref="M481:M482"/>
    <mergeCell ref="M504:M505"/>
    <mergeCell ref="M530:M531"/>
    <mergeCell ref="M557:M558"/>
    <mergeCell ref="M582:M583"/>
  </mergeCells>
  <conditionalFormatting sqref="L61:M61">
    <cfRule type="cellIs" dxfId="1" priority="89" operator="lessThan">
      <formula>$N$35</formula>
    </cfRule>
    <cfRule type="cellIs" dxfId="1" priority="90" operator="greaterThan">
      <formula>$P$35</formula>
    </cfRule>
  </conditionalFormatting>
  <conditionalFormatting sqref="M115">
    <cfRule type="cellIs" dxfId="1" priority="67" operator="greaterThan">
      <formula>$P$88</formula>
    </cfRule>
    <cfRule type="cellIs" dxfId="1" priority="68" operator="lessThan">
      <formula>$N$88</formula>
    </cfRule>
    <cfRule type="cellIs" dxfId="1" priority="69" operator="greaterThan">
      <formula>$P$88</formula>
    </cfRule>
  </conditionalFormatting>
  <conditionalFormatting sqref="E137">
    <cfRule type="cellIs" dxfId="1" priority="3" operator="greaterThan">
      <formula>$P$114</formula>
    </cfRule>
  </conditionalFormatting>
  <conditionalFormatting sqref="L219:M219">
    <cfRule type="cellIs" dxfId="1" priority="58" operator="lessThan">
      <formula>$N$35</formula>
    </cfRule>
    <cfRule type="cellIs" dxfId="1" priority="59" operator="greaterThan">
      <formula>$P$35</formula>
    </cfRule>
  </conditionalFormatting>
  <conditionalFormatting sqref="L246:M246">
    <cfRule type="cellIs" dxfId="1" priority="54" operator="lessThan">
      <formula>$N$61</formula>
    </cfRule>
    <cfRule type="cellIs" dxfId="1" priority="55" operator="greaterThan">
      <formula>$P$61</formula>
    </cfRule>
    <cfRule type="cellIs" dxfId="1" priority="56" operator="lessThan">
      <formula>$N$35</formula>
    </cfRule>
    <cfRule type="cellIs" dxfId="1" priority="57" operator="greaterThan">
      <formula>$P$35</formula>
    </cfRule>
  </conditionalFormatting>
  <conditionalFormatting sqref="M273">
    <cfRule type="cellIs" dxfId="1" priority="48" operator="greaterThan">
      <formula>$P$88</formula>
    </cfRule>
    <cfRule type="cellIs" dxfId="1" priority="49" operator="lessThan">
      <formula>$N$88</formula>
    </cfRule>
    <cfRule type="cellIs" dxfId="1" priority="50" operator="greaterThan">
      <formula>$P$88</formula>
    </cfRule>
  </conditionalFormatting>
  <conditionalFormatting sqref="E295">
    <cfRule type="cellIs" dxfId="1" priority="2" operator="greaterThan">
      <formula>$P$114</formula>
    </cfRule>
  </conditionalFormatting>
  <conditionalFormatting sqref="L377:M377">
    <cfRule type="cellIs" dxfId="1" priority="39" operator="lessThan">
      <formula>$N$35</formula>
    </cfRule>
    <cfRule type="cellIs" dxfId="1" priority="40" operator="greaterThan">
      <formula>$P$35</formula>
    </cfRule>
  </conditionalFormatting>
  <conditionalFormatting sqref="L404:M404">
    <cfRule type="cellIs" dxfId="1" priority="35" operator="lessThan">
      <formula>$N$61</formula>
    </cfRule>
    <cfRule type="cellIs" dxfId="1" priority="36" operator="greaterThan">
      <formula>$P$61</formula>
    </cfRule>
    <cfRule type="cellIs" dxfId="1" priority="37" operator="lessThan">
      <formula>$N$35</formula>
    </cfRule>
    <cfRule type="cellIs" dxfId="1" priority="38" operator="greaterThan">
      <formula>$P$35</formula>
    </cfRule>
  </conditionalFormatting>
  <conditionalFormatting sqref="M431">
    <cfRule type="cellIs" dxfId="1" priority="29" operator="greaterThan">
      <formula>$P$88</formula>
    </cfRule>
    <cfRule type="cellIs" dxfId="1" priority="30" operator="lessThan">
      <formula>$N$88</formula>
    </cfRule>
    <cfRule type="cellIs" dxfId="1" priority="31" operator="greaterThan">
      <formula>$P$88</formula>
    </cfRule>
  </conditionalFormatting>
  <conditionalFormatting sqref="E453">
    <cfRule type="cellIs" dxfId="1" priority="1" operator="greaterThan">
      <formula>$P$114</formula>
    </cfRule>
  </conditionalFormatting>
  <conditionalFormatting sqref="L535:M535">
    <cfRule type="cellIs" dxfId="1" priority="15" operator="lessThan">
      <formula>$N$35</formula>
    </cfRule>
    <cfRule type="cellIs" dxfId="1" priority="16" operator="greaterThan">
      <formula>$P$35</formula>
    </cfRule>
  </conditionalFormatting>
  <conditionalFormatting sqref="L562:M562">
    <cfRule type="cellIs" dxfId="1" priority="11" operator="lessThan">
      <formula>$N$61</formula>
    </cfRule>
    <cfRule type="cellIs" dxfId="1" priority="12" operator="greaterThan">
      <formula>$P$61</formula>
    </cfRule>
    <cfRule type="cellIs" dxfId="1" priority="13" operator="lessThan">
      <formula>$N$35</formula>
    </cfRule>
    <cfRule type="cellIs" dxfId="1" priority="14" operator="greaterThan">
      <formula>$P$35</formula>
    </cfRule>
  </conditionalFormatting>
  <conditionalFormatting sqref="M589">
    <cfRule type="cellIs" dxfId="1" priority="5" operator="greaterThan">
      <formula>$P$88</formula>
    </cfRule>
    <cfRule type="cellIs" dxfId="1" priority="6" operator="lessThan">
      <formula>$N$88</formula>
    </cfRule>
    <cfRule type="cellIs" dxfId="1" priority="7" operator="greaterThan">
      <formula>$P$88</formula>
    </cfRule>
  </conditionalFormatting>
  <conditionalFormatting sqref="E612">
    <cfRule type="cellIs" dxfId="1" priority="4" operator="greaterThan">
      <formula>$P$114</formula>
    </cfRule>
  </conditionalFormatting>
  <conditionalFormatting sqref="L268:L271">
    <cfRule type="cellIs" dxfId="1" priority="66" operator="greaterThan">
      <formula>$P$114</formula>
    </cfRule>
  </conditionalFormatting>
  <conditionalFormatting sqref="L426:L429">
    <cfRule type="cellIs" dxfId="1" priority="47" operator="greaterThan">
      <formula>$P$114</formula>
    </cfRule>
  </conditionalFormatting>
  <conditionalFormatting sqref="L584:L587">
    <cfRule type="cellIs" dxfId="1" priority="23" operator="greaterThan">
      <formula>$P$114</formula>
    </cfRule>
  </conditionalFormatting>
  <conditionalFormatting sqref="M110:M113">
    <cfRule type="cellIs" dxfId="1" priority="70" operator="greaterThan">
      <formula>$P$88</formula>
    </cfRule>
    <cfRule type="cellIs" dxfId="1" priority="71" operator="lessThan">
      <formula>$N$88</formula>
    </cfRule>
    <cfRule type="cellIs" dxfId="1" priority="72" operator="greaterThan">
      <formula>$P$88</formula>
    </cfRule>
  </conditionalFormatting>
  <conditionalFormatting sqref="M268:M271">
    <cfRule type="cellIs" dxfId="1" priority="51" operator="greaterThan">
      <formula>$P$88</formula>
    </cfRule>
    <cfRule type="cellIs" dxfId="1" priority="52" operator="lessThan">
      <formula>$N$88</formula>
    </cfRule>
    <cfRule type="cellIs" dxfId="1" priority="53" operator="greaterThan">
      <formula>$P$88</formula>
    </cfRule>
  </conditionalFormatting>
  <conditionalFormatting sqref="M426:M429">
    <cfRule type="cellIs" dxfId="1" priority="32" operator="greaterThan">
      <formula>$P$88</formula>
    </cfRule>
    <cfRule type="cellIs" dxfId="1" priority="33" operator="lessThan">
      <formula>$N$88</formula>
    </cfRule>
    <cfRule type="cellIs" dxfId="1" priority="34" operator="greaterThan">
      <formula>$P$88</formula>
    </cfRule>
  </conditionalFormatting>
  <conditionalFormatting sqref="M584:M587">
    <cfRule type="cellIs" dxfId="1" priority="8" operator="greaterThan">
      <formula>$P$88</formula>
    </cfRule>
    <cfRule type="cellIs" dxfId="1" priority="9" operator="lessThan">
      <formula>$N$88</formula>
    </cfRule>
    <cfRule type="cellIs" dxfId="1" priority="10" operator="greaterThan">
      <formula>$P$88</formula>
    </cfRule>
  </conditionalFormatting>
  <conditionalFormatting sqref="L8:M11">
    <cfRule type="cellIs" dxfId="1" priority="952" operator="lessThan">
      <formula>$N$10</formula>
    </cfRule>
    <cfRule type="cellIs" dxfId="1" priority="953" operator="greaterThan">
      <formula>$P$10</formula>
    </cfRule>
    <cfRule type="cellIs" dxfId="1" priority="954" operator="greaterThan">
      <formula>0.6547</formula>
    </cfRule>
  </conditionalFormatting>
  <conditionalFormatting sqref="L88:M88 L31:M36 L190:M194 L348:M352">
    <cfRule type="cellIs" dxfId="1" priority="85" operator="lessThan">
      <formula>$N$35</formula>
    </cfRule>
    <cfRule type="cellIs" dxfId="1" priority="86" operator="greaterThan">
      <formula>$P$35</formula>
    </cfRule>
  </conditionalFormatting>
  <conditionalFormatting sqref="L88:M88 L58:M62 L216:M220 L374:M378">
    <cfRule type="cellIs" dxfId="1" priority="83" operator="lessThan">
      <formula>$N$61</formula>
    </cfRule>
    <cfRule type="cellIs" dxfId="1" priority="84" operator="greaterThan">
      <formula>$P$61</formula>
    </cfRule>
  </conditionalFormatting>
  <conditionalFormatting sqref="L85:M89">
    <cfRule type="cellIs" dxfId="1" priority="958" operator="greaterThan">
      <formula>$P$88</formula>
    </cfRule>
    <cfRule type="cellIs" dxfId="1" priority="959" operator="lessThan">
      <formula>$N$88</formula>
    </cfRule>
    <cfRule type="cellIs" dxfId="1" priority="960" operator="greaterThan">
      <formula>$P$88</formula>
    </cfRule>
  </conditionalFormatting>
  <conditionalFormatting sqref="L110:L113 L114:M114 L115 L272:M272 L273 L430:M430 L431">
    <cfRule type="cellIs" dxfId="1" priority="962" operator="greaterThan">
      <formula>$P$114</formula>
    </cfRule>
  </conditionalFormatting>
  <conditionalFormatting sqref="L167:M170">
    <cfRule type="cellIs" dxfId="1" priority="60" operator="lessThan">
      <formula>$N$10</formula>
    </cfRule>
    <cfRule type="cellIs" dxfId="1" priority="61" operator="greaterThan">
      <formula>$P$10</formula>
    </cfRule>
    <cfRule type="cellIs" dxfId="1" priority="62" operator="greaterThan">
      <formula>0.6547</formula>
    </cfRule>
  </conditionalFormatting>
  <conditionalFormatting sqref="L243:M247">
    <cfRule type="cellIs" dxfId="1" priority="63" operator="greaterThan">
      <formula>$P$88</formula>
    </cfRule>
    <cfRule type="cellIs" dxfId="1" priority="64" operator="lessThan">
      <formula>$N$88</formula>
    </cfRule>
    <cfRule type="cellIs" dxfId="1" priority="65" operator="greaterThan">
      <formula>$P$88</formula>
    </cfRule>
  </conditionalFormatting>
  <conditionalFormatting sqref="L325:M328">
    <cfRule type="cellIs" dxfId="1" priority="41" operator="lessThan">
      <formula>$N$10</formula>
    </cfRule>
    <cfRule type="cellIs" dxfId="1" priority="42" operator="greaterThan">
      <formula>$P$10</formula>
    </cfRule>
    <cfRule type="cellIs" dxfId="1" priority="43" operator="greaterThan">
      <formula>0.6547</formula>
    </cfRule>
  </conditionalFormatting>
  <conditionalFormatting sqref="L401:M405">
    <cfRule type="cellIs" dxfId="1" priority="44" operator="greaterThan">
      <formula>$P$88</formula>
    </cfRule>
    <cfRule type="cellIs" dxfId="1" priority="45" operator="lessThan">
      <formula>$N$88</formula>
    </cfRule>
    <cfRule type="cellIs" dxfId="1" priority="46" operator="greaterThan">
      <formula>$P$88</formula>
    </cfRule>
  </conditionalFormatting>
  <conditionalFormatting sqref="L483:M486">
    <cfRule type="cellIs" dxfId="1" priority="17" operator="lessThan">
      <formula>$N$10</formula>
    </cfRule>
    <cfRule type="cellIs" dxfId="1" priority="18" operator="greaterThan">
      <formula>$P$10</formula>
    </cfRule>
    <cfRule type="cellIs" dxfId="1" priority="19" operator="greaterThan">
      <formula>0.6547</formula>
    </cfRule>
  </conditionalFormatting>
  <conditionalFormatting sqref="L506:M510">
    <cfRule type="cellIs" dxfId="1" priority="26" operator="lessThan">
      <formula>$N$35</formula>
    </cfRule>
    <cfRule type="cellIs" dxfId="1" priority="27" operator="greaterThan">
      <formula>$P$35</formula>
    </cfRule>
  </conditionalFormatting>
  <conditionalFormatting sqref="L532:M536">
    <cfRule type="cellIs" dxfId="1" priority="24" operator="lessThan">
      <formula>$N$61</formula>
    </cfRule>
    <cfRule type="cellIs" dxfId="1" priority="25" operator="greaterThan">
      <formula>$P$61</formula>
    </cfRule>
  </conditionalFormatting>
  <conditionalFormatting sqref="L559:M563">
    <cfRule type="cellIs" dxfId="1" priority="20" operator="greaterThan">
      <formula>$P$88</formula>
    </cfRule>
    <cfRule type="cellIs" dxfId="1" priority="21" operator="lessThan">
      <formula>$N$88</formula>
    </cfRule>
    <cfRule type="cellIs" dxfId="1" priority="22" operator="greaterThan">
      <formula>$P$88</formula>
    </cfRule>
  </conditionalFormatting>
  <conditionalFormatting sqref="L588:M588 L589">
    <cfRule type="cellIs" dxfId="1" priority="28" operator="greaterThan">
      <formula>$P$114</formula>
    </cfRule>
  </conditionalFormatting>
  <pageMargins left="0.699305555555556" right="0.699305555555556"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62466" name="Button 2" r:id="rId4">
              <controlPr print="0" defaultSize="0">
                <anchor moveWithCells="1">
                  <from>
                    <xdr:col>0</xdr:col>
                    <xdr:colOff>114300</xdr:colOff>
                    <xdr:row>11</xdr:row>
                    <xdr:rowOff>104775</xdr:rowOff>
                  </from>
                  <to>
                    <xdr:col>1</xdr:col>
                    <xdr:colOff>266700</xdr:colOff>
                    <xdr:row>13</xdr:row>
                    <xdr:rowOff>19050</xdr:rowOff>
                  </to>
                </anchor>
              </controlPr>
            </control>
          </mc:Choice>
        </mc:AlternateContent>
        <mc:AlternateContent xmlns:mc="http://schemas.openxmlformats.org/markup-compatibility/2006">
          <mc:Choice Requires="x14">
            <control shapeId="62468" name="Button 4" r:id="rId5">
              <controlPr print="0" defaultSize="0">
                <anchor moveWithCells="1">
                  <from>
                    <xdr:col>0</xdr:col>
                    <xdr:colOff>95250</xdr:colOff>
                    <xdr:row>37</xdr:row>
                    <xdr:rowOff>47625</xdr:rowOff>
                  </from>
                  <to>
                    <xdr:col>1</xdr:col>
                    <xdr:colOff>257175</xdr:colOff>
                    <xdr:row>38</xdr:row>
                    <xdr:rowOff>142875</xdr:rowOff>
                  </to>
                </anchor>
              </controlPr>
            </control>
          </mc:Choice>
        </mc:AlternateContent>
        <mc:AlternateContent xmlns:mc="http://schemas.openxmlformats.org/markup-compatibility/2006">
          <mc:Choice Requires="x14">
            <control shapeId="62469" name="Button 5" r:id="rId6">
              <controlPr print="0" defaultSize="0">
                <anchor moveWithCells="1">
                  <from>
                    <xdr:col>0</xdr:col>
                    <xdr:colOff>85725</xdr:colOff>
                    <xdr:row>62</xdr:row>
                    <xdr:rowOff>104775</xdr:rowOff>
                  </from>
                  <to>
                    <xdr:col>1</xdr:col>
                    <xdr:colOff>238125</xdr:colOff>
                    <xdr:row>64</xdr:row>
                    <xdr:rowOff>57150</xdr:rowOff>
                  </to>
                </anchor>
              </controlPr>
            </control>
          </mc:Choice>
        </mc:AlternateContent>
        <mc:AlternateContent xmlns:mc="http://schemas.openxmlformats.org/markup-compatibility/2006">
          <mc:Choice Requires="x14">
            <control shapeId="62472" name="Button 8" r:id="rId7">
              <controlPr print="0" defaultSize="0">
                <anchor moveWithCells="1">
                  <from>
                    <xdr:col>0</xdr:col>
                    <xdr:colOff>104775</xdr:colOff>
                    <xdr:row>89</xdr:row>
                    <xdr:rowOff>76200</xdr:rowOff>
                  </from>
                  <to>
                    <xdr:col>1</xdr:col>
                    <xdr:colOff>295275</xdr:colOff>
                    <xdr:row>91</xdr:row>
                    <xdr:rowOff>19050</xdr:rowOff>
                  </to>
                </anchor>
              </controlPr>
            </control>
          </mc:Choice>
        </mc:AlternateContent>
        <mc:AlternateContent xmlns:mc="http://schemas.openxmlformats.org/markup-compatibility/2006">
          <mc:Choice Requires="x14">
            <control shapeId="62473" name="Button 9" r:id="rId8">
              <controlPr print="0" defaultSize="0">
                <anchor moveWithCells="1">
                  <from>
                    <xdr:col>0</xdr:col>
                    <xdr:colOff>200025</xdr:colOff>
                    <xdr:row>115</xdr:row>
                    <xdr:rowOff>85725</xdr:rowOff>
                  </from>
                  <to>
                    <xdr:col>1</xdr:col>
                    <xdr:colOff>342900</xdr:colOff>
                    <xdr:row>117</xdr:row>
                    <xdr:rowOff>19050</xdr:rowOff>
                  </to>
                </anchor>
              </controlPr>
            </control>
          </mc:Choice>
        </mc:AlternateContent>
        <mc:AlternateContent xmlns:mc="http://schemas.openxmlformats.org/markup-compatibility/2006">
          <mc:Choice Requires="x14">
            <control shapeId="62474" name="Button 10" r:id="rId9">
              <controlPr print="0" defaultSize="0">
                <anchor moveWithCells="1">
                  <from>
                    <xdr:col>0</xdr:col>
                    <xdr:colOff>114300</xdr:colOff>
                    <xdr:row>13</xdr:row>
                    <xdr:rowOff>85725</xdr:rowOff>
                  </from>
                  <to>
                    <xdr:col>1</xdr:col>
                    <xdr:colOff>266700</xdr:colOff>
                    <xdr:row>15</xdr:row>
                    <xdr:rowOff>0</xdr:rowOff>
                  </to>
                </anchor>
              </controlPr>
            </control>
          </mc:Choice>
        </mc:AlternateContent>
        <mc:AlternateContent xmlns:mc="http://schemas.openxmlformats.org/markup-compatibility/2006">
          <mc:Choice Requires="x14">
            <control shapeId="62475" name="Button 11" r:id="rId10">
              <controlPr print="0" defaultSize="0">
                <anchor moveWithCells="1">
                  <from>
                    <xdr:col>0</xdr:col>
                    <xdr:colOff>85725</xdr:colOff>
                    <xdr:row>39</xdr:row>
                    <xdr:rowOff>76200</xdr:rowOff>
                  </from>
                  <to>
                    <xdr:col>1</xdr:col>
                    <xdr:colOff>247650</xdr:colOff>
                    <xdr:row>41</xdr:row>
                    <xdr:rowOff>28575</xdr:rowOff>
                  </to>
                </anchor>
              </controlPr>
            </control>
          </mc:Choice>
        </mc:AlternateContent>
        <mc:AlternateContent xmlns:mc="http://schemas.openxmlformats.org/markup-compatibility/2006">
          <mc:Choice Requires="x14">
            <control shapeId="62476" name="Button 12" r:id="rId11">
              <controlPr print="0" defaultSize="0">
                <anchor moveWithCells="1">
                  <from>
                    <xdr:col>0</xdr:col>
                    <xdr:colOff>85725</xdr:colOff>
                    <xdr:row>64</xdr:row>
                    <xdr:rowOff>114300</xdr:rowOff>
                  </from>
                  <to>
                    <xdr:col>1</xdr:col>
                    <xdr:colOff>247650</xdr:colOff>
                    <xdr:row>66</xdr:row>
                    <xdr:rowOff>66675</xdr:rowOff>
                  </to>
                </anchor>
              </controlPr>
            </control>
          </mc:Choice>
        </mc:AlternateContent>
        <mc:AlternateContent xmlns:mc="http://schemas.openxmlformats.org/markup-compatibility/2006">
          <mc:Choice Requires="x14">
            <control shapeId="62477" name="Button 13" r:id="rId12">
              <controlPr print="0" defaultSize="0">
                <anchor moveWithCells="1">
                  <from>
                    <xdr:col>0</xdr:col>
                    <xdr:colOff>114300</xdr:colOff>
                    <xdr:row>91</xdr:row>
                    <xdr:rowOff>142875</xdr:rowOff>
                  </from>
                  <to>
                    <xdr:col>1</xdr:col>
                    <xdr:colOff>276225</xdr:colOff>
                    <xdr:row>93</xdr:row>
                    <xdr:rowOff>95250</xdr:rowOff>
                  </to>
                </anchor>
              </controlPr>
            </control>
          </mc:Choice>
        </mc:AlternateContent>
        <mc:AlternateContent xmlns:mc="http://schemas.openxmlformats.org/markup-compatibility/2006">
          <mc:Choice Requires="x14">
            <control shapeId="62479" name="Button 15" r:id="rId13">
              <controlPr print="0" defaultSize="0">
                <anchor moveWithCells="1">
                  <from>
                    <xdr:col>0</xdr:col>
                    <xdr:colOff>180975</xdr:colOff>
                    <xdr:row>117</xdr:row>
                    <xdr:rowOff>104775</xdr:rowOff>
                  </from>
                  <to>
                    <xdr:col>1</xdr:col>
                    <xdr:colOff>342900</xdr:colOff>
                    <xdr:row>119</xdr:row>
                    <xdr:rowOff>57150</xdr:rowOff>
                  </to>
                </anchor>
              </controlPr>
            </control>
          </mc:Choice>
        </mc:AlternateContent>
        <mc:AlternateContent xmlns:mc="http://schemas.openxmlformats.org/markup-compatibility/2006">
          <mc:Choice Requires="x14">
            <control shapeId="62489" name="Button 25" r:id="rId14">
              <controlPr print="0" defaultSize="0">
                <anchor moveWithCells="1">
                  <from>
                    <xdr:col>0</xdr:col>
                    <xdr:colOff>114300</xdr:colOff>
                    <xdr:row>170</xdr:row>
                    <xdr:rowOff>104775</xdr:rowOff>
                  </from>
                  <to>
                    <xdr:col>1</xdr:col>
                    <xdr:colOff>266700</xdr:colOff>
                    <xdr:row>172</xdr:row>
                    <xdr:rowOff>123825</xdr:rowOff>
                  </to>
                </anchor>
              </controlPr>
            </control>
          </mc:Choice>
        </mc:AlternateContent>
        <mc:AlternateContent xmlns:mc="http://schemas.openxmlformats.org/markup-compatibility/2006">
          <mc:Choice Requires="x14">
            <control shapeId="62490" name="Button 26" r:id="rId15">
              <controlPr print="0" defaultSize="0">
                <anchor moveWithCells="1">
                  <from>
                    <xdr:col>0</xdr:col>
                    <xdr:colOff>95250</xdr:colOff>
                    <xdr:row>195</xdr:row>
                    <xdr:rowOff>47625</xdr:rowOff>
                  </from>
                  <to>
                    <xdr:col>1</xdr:col>
                    <xdr:colOff>257175</xdr:colOff>
                    <xdr:row>197</xdr:row>
                    <xdr:rowOff>38100</xdr:rowOff>
                  </to>
                </anchor>
              </controlPr>
            </control>
          </mc:Choice>
        </mc:AlternateContent>
        <mc:AlternateContent xmlns:mc="http://schemas.openxmlformats.org/markup-compatibility/2006">
          <mc:Choice Requires="x14">
            <control shapeId="62491" name="Button 27" r:id="rId16">
              <controlPr print="0" defaultSize="0">
                <anchor moveWithCells="1">
                  <from>
                    <xdr:col>0</xdr:col>
                    <xdr:colOff>85725</xdr:colOff>
                    <xdr:row>220</xdr:row>
                    <xdr:rowOff>104775</xdr:rowOff>
                  </from>
                  <to>
                    <xdr:col>1</xdr:col>
                    <xdr:colOff>238125</xdr:colOff>
                    <xdr:row>223</xdr:row>
                    <xdr:rowOff>9525</xdr:rowOff>
                  </to>
                </anchor>
              </controlPr>
            </control>
          </mc:Choice>
        </mc:AlternateContent>
        <mc:AlternateContent xmlns:mc="http://schemas.openxmlformats.org/markup-compatibility/2006">
          <mc:Choice Requires="x14">
            <control shapeId="62492" name="Button 28" r:id="rId17">
              <controlPr print="0" defaultSize="0">
                <anchor moveWithCells="1">
                  <from>
                    <xdr:col>0</xdr:col>
                    <xdr:colOff>104775</xdr:colOff>
                    <xdr:row>247</xdr:row>
                    <xdr:rowOff>76200</xdr:rowOff>
                  </from>
                  <to>
                    <xdr:col>1</xdr:col>
                    <xdr:colOff>295275</xdr:colOff>
                    <xdr:row>249</xdr:row>
                    <xdr:rowOff>95250</xdr:rowOff>
                  </to>
                </anchor>
              </controlPr>
            </control>
          </mc:Choice>
        </mc:AlternateContent>
        <mc:AlternateContent xmlns:mc="http://schemas.openxmlformats.org/markup-compatibility/2006">
          <mc:Choice Requires="x14">
            <control shapeId="62493" name="Button 29" r:id="rId18">
              <controlPr print="0" defaultSize="0">
                <anchor moveWithCells="1">
                  <from>
                    <xdr:col>0</xdr:col>
                    <xdr:colOff>200025</xdr:colOff>
                    <xdr:row>273</xdr:row>
                    <xdr:rowOff>85725</xdr:rowOff>
                  </from>
                  <to>
                    <xdr:col>1</xdr:col>
                    <xdr:colOff>342900</xdr:colOff>
                    <xdr:row>275</xdr:row>
                    <xdr:rowOff>104775</xdr:rowOff>
                  </to>
                </anchor>
              </controlPr>
            </control>
          </mc:Choice>
        </mc:AlternateContent>
        <mc:AlternateContent xmlns:mc="http://schemas.openxmlformats.org/markup-compatibility/2006">
          <mc:Choice Requires="x14">
            <control shapeId="62494" name="Button 30" r:id="rId19">
              <controlPr print="0" defaultSize="0">
                <anchor moveWithCells="1">
                  <from>
                    <xdr:col>0</xdr:col>
                    <xdr:colOff>114300</xdr:colOff>
                    <xdr:row>172</xdr:row>
                    <xdr:rowOff>85725</xdr:rowOff>
                  </from>
                  <to>
                    <xdr:col>1</xdr:col>
                    <xdr:colOff>266700</xdr:colOff>
                    <xdr:row>174</xdr:row>
                    <xdr:rowOff>85725</xdr:rowOff>
                  </to>
                </anchor>
              </controlPr>
            </control>
          </mc:Choice>
        </mc:AlternateContent>
        <mc:AlternateContent xmlns:mc="http://schemas.openxmlformats.org/markup-compatibility/2006">
          <mc:Choice Requires="x14">
            <control shapeId="62495" name="Button 31" r:id="rId20">
              <controlPr print="0" defaultSize="0">
                <anchor moveWithCells="1">
                  <from>
                    <xdr:col>0</xdr:col>
                    <xdr:colOff>85725</xdr:colOff>
                    <xdr:row>197</xdr:row>
                    <xdr:rowOff>76200</xdr:rowOff>
                  </from>
                  <to>
                    <xdr:col>1</xdr:col>
                    <xdr:colOff>247650</xdr:colOff>
                    <xdr:row>199</xdr:row>
                    <xdr:rowOff>104775</xdr:rowOff>
                  </to>
                </anchor>
              </controlPr>
            </control>
          </mc:Choice>
        </mc:AlternateContent>
        <mc:AlternateContent xmlns:mc="http://schemas.openxmlformats.org/markup-compatibility/2006">
          <mc:Choice Requires="x14">
            <control shapeId="62496" name="Button 32" r:id="rId21">
              <controlPr print="0" defaultSize="0">
                <anchor moveWithCells="1">
                  <from>
                    <xdr:col>0</xdr:col>
                    <xdr:colOff>85725</xdr:colOff>
                    <xdr:row>222</xdr:row>
                    <xdr:rowOff>114300</xdr:rowOff>
                  </from>
                  <to>
                    <xdr:col>1</xdr:col>
                    <xdr:colOff>247650</xdr:colOff>
                    <xdr:row>225</xdr:row>
                    <xdr:rowOff>28575</xdr:rowOff>
                  </to>
                </anchor>
              </controlPr>
            </control>
          </mc:Choice>
        </mc:AlternateContent>
        <mc:AlternateContent xmlns:mc="http://schemas.openxmlformats.org/markup-compatibility/2006">
          <mc:Choice Requires="x14">
            <control shapeId="62497" name="Button 33" r:id="rId22">
              <controlPr print="0" defaultSize="0">
                <anchor moveWithCells="1">
                  <from>
                    <xdr:col>0</xdr:col>
                    <xdr:colOff>114300</xdr:colOff>
                    <xdr:row>249</xdr:row>
                    <xdr:rowOff>142875</xdr:rowOff>
                  </from>
                  <to>
                    <xdr:col>1</xdr:col>
                    <xdr:colOff>276225</xdr:colOff>
                    <xdr:row>252</xdr:row>
                    <xdr:rowOff>85725</xdr:rowOff>
                  </to>
                </anchor>
              </controlPr>
            </control>
          </mc:Choice>
        </mc:AlternateContent>
        <mc:AlternateContent xmlns:mc="http://schemas.openxmlformats.org/markup-compatibility/2006">
          <mc:Choice Requires="x14">
            <control shapeId="62498" name="Button 34" r:id="rId23">
              <controlPr print="0" defaultSize="0">
                <anchor moveWithCells="1">
                  <from>
                    <xdr:col>0</xdr:col>
                    <xdr:colOff>180975</xdr:colOff>
                    <xdr:row>275</xdr:row>
                    <xdr:rowOff>104775</xdr:rowOff>
                  </from>
                  <to>
                    <xdr:col>1</xdr:col>
                    <xdr:colOff>342900</xdr:colOff>
                    <xdr:row>278</xdr:row>
                    <xdr:rowOff>9525</xdr:rowOff>
                  </to>
                </anchor>
              </controlPr>
            </control>
          </mc:Choice>
        </mc:AlternateContent>
        <mc:AlternateContent xmlns:mc="http://schemas.openxmlformats.org/markup-compatibility/2006">
          <mc:Choice Requires="x14">
            <control shapeId="62507" name="Button 43" r:id="rId24">
              <controlPr print="0" defaultSize="0">
                <anchor moveWithCells="1">
                  <from>
                    <xdr:col>0</xdr:col>
                    <xdr:colOff>114300</xdr:colOff>
                    <xdr:row>328</xdr:row>
                    <xdr:rowOff>104775</xdr:rowOff>
                  </from>
                  <to>
                    <xdr:col>1</xdr:col>
                    <xdr:colOff>266700</xdr:colOff>
                    <xdr:row>330</xdr:row>
                    <xdr:rowOff>123825</xdr:rowOff>
                  </to>
                </anchor>
              </controlPr>
            </control>
          </mc:Choice>
        </mc:AlternateContent>
        <mc:AlternateContent xmlns:mc="http://schemas.openxmlformats.org/markup-compatibility/2006">
          <mc:Choice Requires="x14">
            <control shapeId="62508" name="Button 44" r:id="rId25">
              <controlPr print="0" defaultSize="0">
                <anchor moveWithCells="1">
                  <from>
                    <xdr:col>0</xdr:col>
                    <xdr:colOff>95250</xdr:colOff>
                    <xdr:row>353</xdr:row>
                    <xdr:rowOff>47625</xdr:rowOff>
                  </from>
                  <to>
                    <xdr:col>1</xdr:col>
                    <xdr:colOff>257175</xdr:colOff>
                    <xdr:row>355</xdr:row>
                    <xdr:rowOff>38100</xdr:rowOff>
                  </to>
                </anchor>
              </controlPr>
            </control>
          </mc:Choice>
        </mc:AlternateContent>
        <mc:AlternateContent xmlns:mc="http://schemas.openxmlformats.org/markup-compatibility/2006">
          <mc:Choice Requires="x14">
            <control shapeId="62509" name="Button 45" r:id="rId26">
              <controlPr print="0" defaultSize="0">
                <anchor moveWithCells="1">
                  <from>
                    <xdr:col>0</xdr:col>
                    <xdr:colOff>85725</xdr:colOff>
                    <xdr:row>378</xdr:row>
                    <xdr:rowOff>104775</xdr:rowOff>
                  </from>
                  <to>
                    <xdr:col>1</xdr:col>
                    <xdr:colOff>238125</xdr:colOff>
                    <xdr:row>381</xdr:row>
                    <xdr:rowOff>9525</xdr:rowOff>
                  </to>
                </anchor>
              </controlPr>
            </control>
          </mc:Choice>
        </mc:AlternateContent>
        <mc:AlternateContent xmlns:mc="http://schemas.openxmlformats.org/markup-compatibility/2006">
          <mc:Choice Requires="x14">
            <control shapeId="62510" name="Button 46" r:id="rId27">
              <controlPr print="0" defaultSize="0">
                <anchor moveWithCells="1">
                  <from>
                    <xdr:col>0</xdr:col>
                    <xdr:colOff>104775</xdr:colOff>
                    <xdr:row>405</xdr:row>
                    <xdr:rowOff>76200</xdr:rowOff>
                  </from>
                  <to>
                    <xdr:col>1</xdr:col>
                    <xdr:colOff>295275</xdr:colOff>
                    <xdr:row>407</xdr:row>
                    <xdr:rowOff>95250</xdr:rowOff>
                  </to>
                </anchor>
              </controlPr>
            </control>
          </mc:Choice>
        </mc:AlternateContent>
        <mc:AlternateContent xmlns:mc="http://schemas.openxmlformats.org/markup-compatibility/2006">
          <mc:Choice Requires="x14">
            <control shapeId="62511" name="Button 47" r:id="rId28">
              <controlPr print="0" defaultSize="0">
                <anchor moveWithCells="1">
                  <from>
                    <xdr:col>0</xdr:col>
                    <xdr:colOff>200025</xdr:colOff>
                    <xdr:row>431</xdr:row>
                    <xdr:rowOff>85725</xdr:rowOff>
                  </from>
                  <to>
                    <xdr:col>1</xdr:col>
                    <xdr:colOff>342900</xdr:colOff>
                    <xdr:row>433</xdr:row>
                    <xdr:rowOff>104775</xdr:rowOff>
                  </to>
                </anchor>
              </controlPr>
            </control>
          </mc:Choice>
        </mc:AlternateContent>
        <mc:AlternateContent xmlns:mc="http://schemas.openxmlformats.org/markup-compatibility/2006">
          <mc:Choice Requires="x14">
            <control shapeId="62512" name="Button 48" r:id="rId29">
              <controlPr print="0" defaultSize="0">
                <anchor moveWithCells="1">
                  <from>
                    <xdr:col>0</xdr:col>
                    <xdr:colOff>114300</xdr:colOff>
                    <xdr:row>330</xdr:row>
                    <xdr:rowOff>85725</xdr:rowOff>
                  </from>
                  <to>
                    <xdr:col>1</xdr:col>
                    <xdr:colOff>266700</xdr:colOff>
                    <xdr:row>332</xdr:row>
                    <xdr:rowOff>85725</xdr:rowOff>
                  </to>
                </anchor>
              </controlPr>
            </control>
          </mc:Choice>
        </mc:AlternateContent>
        <mc:AlternateContent xmlns:mc="http://schemas.openxmlformats.org/markup-compatibility/2006">
          <mc:Choice Requires="x14">
            <control shapeId="62513" name="Button 49" r:id="rId30">
              <controlPr print="0" defaultSize="0">
                <anchor moveWithCells="1">
                  <from>
                    <xdr:col>0</xdr:col>
                    <xdr:colOff>85725</xdr:colOff>
                    <xdr:row>355</xdr:row>
                    <xdr:rowOff>76200</xdr:rowOff>
                  </from>
                  <to>
                    <xdr:col>1</xdr:col>
                    <xdr:colOff>247650</xdr:colOff>
                    <xdr:row>357</xdr:row>
                    <xdr:rowOff>104775</xdr:rowOff>
                  </to>
                </anchor>
              </controlPr>
            </control>
          </mc:Choice>
        </mc:AlternateContent>
        <mc:AlternateContent xmlns:mc="http://schemas.openxmlformats.org/markup-compatibility/2006">
          <mc:Choice Requires="x14">
            <control shapeId="62514" name="Button 50" r:id="rId31">
              <controlPr print="0" defaultSize="0">
                <anchor moveWithCells="1">
                  <from>
                    <xdr:col>0</xdr:col>
                    <xdr:colOff>85725</xdr:colOff>
                    <xdr:row>380</xdr:row>
                    <xdr:rowOff>114300</xdr:rowOff>
                  </from>
                  <to>
                    <xdr:col>1</xdr:col>
                    <xdr:colOff>247650</xdr:colOff>
                    <xdr:row>383</xdr:row>
                    <xdr:rowOff>28575</xdr:rowOff>
                  </to>
                </anchor>
              </controlPr>
            </control>
          </mc:Choice>
        </mc:AlternateContent>
        <mc:AlternateContent xmlns:mc="http://schemas.openxmlformats.org/markup-compatibility/2006">
          <mc:Choice Requires="x14">
            <control shapeId="62515" name="Button 51" r:id="rId32">
              <controlPr print="0" defaultSize="0">
                <anchor moveWithCells="1">
                  <from>
                    <xdr:col>0</xdr:col>
                    <xdr:colOff>114300</xdr:colOff>
                    <xdr:row>407</xdr:row>
                    <xdr:rowOff>142875</xdr:rowOff>
                  </from>
                  <to>
                    <xdr:col>1</xdr:col>
                    <xdr:colOff>276225</xdr:colOff>
                    <xdr:row>410</xdr:row>
                    <xdr:rowOff>85725</xdr:rowOff>
                  </to>
                </anchor>
              </controlPr>
            </control>
          </mc:Choice>
        </mc:AlternateContent>
        <mc:AlternateContent xmlns:mc="http://schemas.openxmlformats.org/markup-compatibility/2006">
          <mc:Choice Requires="x14">
            <control shapeId="62516" name="Button 52" r:id="rId33">
              <controlPr print="0" defaultSize="0">
                <anchor moveWithCells="1">
                  <from>
                    <xdr:col>0</xdr:col>
                    <xdr:colOff>180975</xdr:colOff>
                    <xdr:row>433</xdr:row>
                    <xdr:rowOff>104775</xdr:rowOff>
                  </from>
                  <to>
                    <xdr:col>1</xdr:col>
                    <xdr:colOff>342900</xdr:colOff>
                    <xdr:row>436</xdr:row>
                    <xdr:rowOff>9525</xdr:rowOff>
                  </to>
                </anchor>
              </controlPr>
            </control>
          </mc:Choice>
        </mc:AlternateContent>
        <mc:AlternateContent xmlns:mc="http://schemas.openxmlformats.org/markup-compatibility/2006">
          <mc:Choice Requires="x14">
            <control shapeId="62525" name="Button 61" r:id="rId34">
              <controlPr print="0" defaultSize="0">
                <anchor moveWithCells="1">
                  <from>
                    <xdr:col>0</xdr:col>
                    <xdr:colOff>114300</xdr:colOff>
                    <xdr:row>486</xdr:row>
                    <xdr:rowOff>104775</xdr:rowOff>
                  </from>
                  <to>
                    <xdr:col>1</xdr:col>
                    <xdr:colOff>266700</xdr:colOff>
                    <xdr:row>488</xdr:row>
                    <xdr:rowOff>123825</xdr:rowOff>
                  </to>
                </anchor>
              </controlPr>
            </control>
          </mc:Choice>
        </mc:AlternateContent>
        <mc:AlternateContent xmlns:mc="http://schemas.openxmlformats.org/markup-compatibility/2006">
          <mc:Choice Requires="x14">
            <control shapeId="62526" name="Button 62" r:id="rId35">
              <controlPr print="0" defaultSize="0">
                <anchor moveWithCells="1">
                  <from>
                    <xdr:col>0</xdr:col>
                    <xdr:colOff>95250</xdr:colOff>
                    <xdr:row>511</xdr:row>
                    <xdr:rowOff>47625</xdr:rowOff>
                  </from>
                  <to>
                    <xdr:col>1</xdr:col>
                    <xdr:colOff>257175</xdr:colOff>
                    <xdr:row>513</xdr:row>
                    <xdr:rowOff>38100</xdr:rowOff>
                  </to>
                </anchor>
              </controlPr>
            </control>
          </mc:Choice>
        </mc:AlternateContent>
        <mc:AlternateContent xmlns:mc="http://schemas.openxmlformats.org/markup-compatibility/2006">
          <mc:Choice Requires="x14">
            <control shapeId="62527" name="Button 63" r:id="rId36">
              <controlPr print="0" defaultSize="0">
                <anchor moveWithCells="1">
                  <from>
                    <xdr:col>0</xdr:col>
                    <xdr:colOff>85725</xdr:colOff>
                    <xdr:row>536</xdr:row>
                    <xdr:rowOff>104775</xdr:rowOff>
                  </from>
                  <to>
                    <xdr:col>1</xdr:col>
                    <xdr:colOff>238125</xdr:colOff>
                    <xdr:row>539</xdr:row>
                    <xdr:rowOff>9525</xdr:rowOff>
                  </to>
                </anchor>
              </controlPr>
            </control>
          </mc:Choice>
        </mc:AlternateContent>
        <mc:AlternateContent xmlns:mc="http://schemas.openxmlformats.org/markup-compatibility/2006">
          <mc:Choice Requires="x14">
            <control shapeId="62528" name="Button 64" r:id="rId37">
              <controlPr print="0" defaultSize="0">
                <anchor moveWithCells="1">
                  <from>
                    <xdr:col>0</xdr:col>
                    <xdr:colOff>104775</xdr:colOff>
                    <xdr:row>563</xdr:row>
                    <xdr:rowOff>76200</xdr:rowOff>
                  </from>
                  <to>
                    <xdr:col>1</xdr:col>
                    <xdr:colOff>295275</xdr:colOff>
                    <xdr:row>565</xdr:row>
                    <xdr:rowOff>95250</xdr:rowOff>
                  </to>
                </anchor>
              </controlPr>
            </control>
          </mc:Choice>
        </mc:AlternateContent>
        <mc:AlternateContent xmlns:mc="http://schemas.openxmlformats.org/markup-compatibility/2006">
          <mc:Choice Requires="x14">
            <control shapeId="62529" name="Button 65" r:id="rId38">
              <controlPr print="0" defaultSize="0">
                <anchor moveWithCells="1">
                  <from>
                    <xdr:col>0</xdr:col>
                    <xdr:colOff>200025</xdr:colOff>
                    <xdr:row>589</xdr:row>
                    <xdr:rowOff>85725</xdr:rowOff>
                  </from>
                  <to>
                    <xdr:col>1</xdr:col>
                    <xdr:colOff>342900</xdr:colOff>
                    <xdr:row>591</xdr:row>
                    <xdr:rowOff>104775</xdr:rowOff>
                  </to>
                </anchor>
              </controlPr>
            </control>
          </mc:Choice>
        </mc:AlternateContent>
        <mc:AlternateContent xmlns:mc="http://schemas.openxmlformats.org/markup-compatibility/2006">
          <mc:Choice Requires="x14">
            <control shapeId="62530" name="Button 66" r:id="rId39">
              <controlPr print="0" defaultSize="0">
                <anchor moveWithCells="1">
                  <from>
                    <xdr:col>0</xdr:col>
                    <xdr:colOff>114300</xdr:colOff>
                    <xdr:row>488</xdr:row>
                    <xdr:rowOff>85725</xdr:rowOff>
                  </from>
                  <to>
                    <xdr:col>1</xdr:col>
                    <xdr:colOff>266700</xdr:colOff>
                    <xdr:row>490</xdr:row>
                    <xdr:rowOff>85725</xdr:rowOff>
                  </to>
                </anchor>
              </controlPr>
            </control>
          </mc:Choice>
        </mc:AlternateContent>
        <mc:AlternateContent xmlns:mc="http://schemas.openxmlformats.org/markup-compatibility/2006">
          <mc:Choice Requires="x14">
            <control shapeId="62531" name="Button 67" r:id="rId40">
              <controlPr print="0" defaultSize="0">
                <anchor moveWithCells="1">
                  <from>
                    <xdr:col>0</xdr:col>
                    <xdr:colOff>85725</xdr:colOff>
                    <xdr:row>513</xdr:row>
                    <xdr:rowOff>76200</xdr:rowOff>
                  </from>
                  <to>
                    <xdr:col>1</xdr:col>
                    <xdr:colOff>247650</xdr:colOff>
                    <xdr:row>515</xdr:row>
                    <xdr:rowOff>104775</xdr:rowOff>
                  </to>
                </anchor>
              </controlPr>
            </control>
          </mc:Choice>
        </mc:AlternateContent>
        <mc:AlternateContent xmlns:mc="http://schemas.openxmlformats.org/markup-compatibility/2006">
          <mc:Choice Requires="x14">
            <control shapeId="62532" name="Button 68" r:id="rId41">
              <controlPr print="0" defaultSize="0">
                <anchor moveWithCells="1">
                  <from>
                    <xdr:col>0</xdr:col>
                    <xdr:colOff>85725</xdr:colOff>
                    <xdr:row>538</xdr:row>
                    <xdr:rowOff>114300</xdr:rowOff>
                  </from>
                  <to>
                    <xdr:col>1</xdr:col>
                    <xdr:colOff>247650</xdr:colOff>
                    <xdr:row>541</xdr:row>
                    <xdr:rowOff>28575</xdr:rowOff>
                  </to>
                </anchor>
              </controlPr>
            </control>
          </mc:Choice>
        </mc:AlternateContent>
        <mc:AlternateContent xmlns:mc="http://schemas.openxmlformats.org/markup-compatibility/2006">
          <mc:Choice Requires="x14">
            <control shapeId="62533" name="Button 69" r:id="rId42">
              <controlPr print="0" defaultSize="0">
                <anchor moveWithCells="1">
                  <from>
                    <xdr:col>0</xdr:col>
                    <xdr:colOff>114300</xdr:colOff>
                    <xdr:row>565</xdr:row>
                    <xdr:rowOff>142875</xdr:rowOff>
                  </from>
                  <to>
                    <xdr:col>1</xdr:col>
                    <xdr:colOff>276225</xdr:colOff>
                    <xdr:row>568</xdr:row>
                    <xdr:rowOff>85725</xdr:rowOff>
                  </to>
                </anchor>
              </controlPr>
            </control>
          </mc:Choice>
        </mc:AlternateContent>
        <mc:AlternateContent xmlns:mc="http://schemas.openxmlformats.org/markup-compatibility/2006">
          <mc:Choice Requires="x14">
            <control shapeId="62534" name="Button 70" r:id="rId43">
              <controlPr print="0" defaultSize="0">
                <anchor moveWithCells="1">
                  <from>
                    <xdr:col>0</xdr:col>
                    <xdr:colOff>180975</xdr:colOff>
                    <xdr:row>591</xdr:row>
                    <xdr:rowOff>104775</xdr:rowOff>
                  </from>
                  <to>
                    <xdr:col>1</xdr:col>
                    <xdr:colOff>342900</xdr:colOff>
                    <xdr:row>594</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theme="7"/>
  </sheetPr>
  <dimension ref="A1:S329"/>
  <sheetViews>
    <sheetView showGridLines="0" topLeftCell="A250" workbookViewId="0">
      <selection activeCell="K266" sqref="K266"/>
    </sheetView>
  </sheetViews>
  <sheetFormatPr defaultColWidth="9" defaultRowHeight="12"/>
  <cols>
    <col min="1" max="1" width="12" style="47" customWidth="1"/>
    <col min="2" max="2" width="12.625" style="47" customWidth="1"/>
    <col min="3" max="3" width="12" style="47" customWidth="1"/>
    <col min="4" max="4" width="10.125" style="47" customWidth="1"/>
    <col min="5" max="5" width="11.375" style="47" customWidth="1"/>
    <col min="6" max="6" width="12.875" style="47" customWidth="1"/>
    <col min="7" max="7" width="9.25" style="47" customWidth="1"/>
    <col min="8" max="8" width="8.875" style="47" customWidth="1"/>
    <col min="9" max="9" width="10" style="47" customWidth="1"/>
    <col min="10" max="10" width="9.875" style="47" customWidth="1"/>
    <col min="11" max="11" width="10.5" style="47" customWidth="1"/>
    <col min="12" max="12" width="10.75" style="47" customWidth="1"/>
    <col min="13" max="13" width="9" style="47" customWidth="1"/>
    <col min="14" max="14" width="9.625" style="47" customWidth="1"/>
    <col min="15" max="15" width="9.375" style="47" customWidth="1"/>
    <col min="16" max="16" width="26.375" style="47" customWidth="1"/>
    <col min="17" max="256" width="9" style="47"/>
    <col min="257" max="257" width="12" style="47" customWidth="1"/>
    <col min="258" max="258" width="17.25" style="47" customWidth="1"/>
    <col min="259" max="259" width="8.75" style="47" customWidth="1"/>
    <col min="260" max="260" width="8.375" style="47" customWidth="1"/>
    <col min="261" max="261" width="10.375" style="47" customWidth="1"/>
    <col min="262" max="262" width="9.125" style="47" customWidth="1"/>
    <col min="263" max="263" width="9.25" style="47" customWidth="1"/>
    <col min="264" max="264" width="8.875" style="47" customWidth="1"/>
    <col min="265" max="265" width="10" style="47" customWidth="1"/>
    <col min="266" max="266" width="9.875" style="47" customWidth="1"/>
    <col min="267" max="267" width="9" style="47" customWidth="1"/>
    <col min="268" max="268" width="10.75" style="47" customWidth="1"/>
    <col min="269" max="269" width="9" style="47" customWidth="1"/>
    <col min="270" max="270" width="9.625" style="47" customWidth="1"/>
    <col min="271" max="271" width="16.25" style="47" customWidth="1"/>
    <col min="272" max="512" width="9" style="47"/>
    <col min="513" max="513" width="12" style="47" customWidth="1"/>
    <col min="514" max="514" width="17.25" style="47" customWidth="1"/>
    <col min="515" max="515" width="8.75" style="47" customWidth="1"/>
    <col min="516" max="516" width="8.375" style="47" customWidth="1"/>
    <col min="517" max="517" width="10.375" style="47" customWidth="1"/>
    <col min="518" max="518" width="9.125" style="47" customWidth="1"/>
    <col min="519" max="519" width="9.25" style="47" customWidth="1"/>
    <col min="520" max="520" width="8.875" style="47" customWidth="1"/>
    <col min="521" max="521" width="10" style="47" customWidth="1"/>
    <col min="522" max="522" width="9.875" style="47" customWidth="1"/>
    <col min="523" max="523" width="9" style="47" customWidth="1"/>
    <col min="524" max="524" width="10.75" style="47" customWidth="1"/>
    <col min="525" max="525" width="9" style="47" customWidth="1"/>
    <col min="526" max="526" width="9.625" style="47" customWidth="1"/>
    <col min="527" max="527" width="16.25" style="47" customWidth="1"/>
    <col min="528" max="768" width="9" style="47"/>
    <col min="769" max="769" width="12" style="47" customWidth="1"/>
    <col min="770" max="770" width="17.25" style="47" customWidth="1"/>
    <col min="771" max="771" width="8.75" style="47" customWidth="1"/>
    <col min="772" max="772" width="8.375" style="47" customWidth="1"/>
    <col min="773" max="773" width="10.375" style="47" customWidth="1"/>
    <col min="774" max="774" width="9.125" style="47" customWidth="1"/>
    <col min="775" max="775" width="9.25" style="47" customWidth="1"/>
    <col min="776" max="776" width="8.875" style="47" customWidth="1"/>
    <col min="777" max="777" width="10" style="47" customWidth="1"/>
    <col min="778" max="778" width="9.875" style="47" customWidth="1"/>
    <col min="779" max="779" width="9" style="47" customWidth="1"/>
    <col min="780" max="780" width="10.75" style="47" customWidth="1"/>
    <col min="781" max="781" width="9" style="47" customWidth="1"/>
    <col min="782" max="782" width="9.625" style="47" customWidth="1"/>
    <col min="783" max="783" width="16.25" style="47" customWidth="1"/>
    <col min="784" max="1024" width="9" style="47"/>
    <col min="1025" max="1025" width="12" style="47" customWidth="1"/>
    <col min="1026" max="1026" width="17.25" style="47" customWidth="1"/>
    <col min="1027" max="1027" width="8.75" style="47" customWidth="1"/>
    <col min="1028" max="1028" width="8.375" style="47" customWidth="1"/>
    <col min="1029" max="1029" width="10.375" style="47" customWidth="1"/>
    <col min="1030" max="1030" width="9.125" style="47" customWidth="1"/>
    <col min="1031" max="1031" width="9.25" style="47" customWidth="1"/>
    <col min="1032" max="1032" width="8.875" style="47" customWidth="1"/>
    <col min="1033" max="1033" width="10" style="47" customWidth="1"/>
    <col min="1034" max="1034" width="9.875" style="47" customWidth="1"/>
    <col min="1035" max="1035" width="9" style="47" customWidth="1"/>
    <col min="1036" max="1036" width="10.75" style="47" customWidth="1"/>
    <col min="1037" max="1037" width="9" style="47" customWidth="1"/>
    <col min="1038" max="1038" width="9.625" style="47" customWidth="1"/>
    <col min="1039" max="1039" width="16.25" style="47" customWidth="1"/>
    <col min="1040" max="1280" width="9" style="47"/>
    <col min="1281" max="1281" width="12" style="47" customWidth="1"/>
    <col min="1282" max="1282" width="17.25" style="47" customWidth="1"/>
    <col min="1283" max="1283" width="8.75" style="47" customWidth="1"/>
    <col min="1284" max="1284" width="8.375" style="47" customWidth="1"/>
    <col min="1285" max="1285" width="10.375" style="47" customWidth="1"/>
    <col min="1286" max="1286" width="9.125" style="47" customWidth="1"/>
    <col min="1287" max="1287" width="9.25" style="47" customWidth="1"/>
    <col min="1288" max="1288" width="8.875" style="47" customWidth="1"/>
    <col min="1289" max="1289" width="10" style="47" customWidth="1"/>
    <col min="1290" max="1290" width="9.875" style="47" customWidth="1"/>
    <col min="1291" max="1291" width="9" style="47" customWidth="1"/>
    <col min="1292" max="1292" width="10.75" style="47" customWidth="1"/>
    <col min="1293" max="1293" width="9" style="47" customWidth="1"/>
    <col min="1294" max="1294" width="9.625" style="47" customWidth="1"/>
    <col min="1295" max="1295" width="16.25" style="47" customWidth="1"/>
    <col min="1296" max="1536" width="9" style="47"/>
    <col min="1537" max="1537" width="12" style="47" customWidth="1"/>
    <col min="1538" max="1538" width="17.25" style="47" customWidth="1"/>
    <col min="1539" max="1539" width="8.75" style="47" customWidth="1"/>
    <col min="1540" max="1540" width="8.375" style="47" customWidth="1"/>
    <col min="1541" max="1541" width="10.375" style="47" customWidth="1"/>
    <col min="1542" max="1542" width="9.125" style="47" customWidth="1"/>
    <col min="1543" max="1543" width="9.25" style="47" customWidth="1"/>
    <col min="1544" max="1544" width="8.875" style="47" customWidth="1"/>
    <col min="1545" max="1545" width="10" style="47" customWidth="1"/>
    <col min="1546" max="1546" width="9.875" style="47" customWidth="1"/>
    <col min="1547" max="1547" width="9" style="47" customWidth="1"/>
    <col min="1548" max="1548" width="10.75" style="47" customWidth="1"/>
    <col min="1549" max="1549" width="9" style="47" customWidth="1"/>
    <col min="1550" max="1550" width="9.625" style="47" customWidth="1"/>
    <col min="1551" max="1551" width="16.25" style="47" customWidth="1"/>
    <col min="1552" max="1792" width="9" style="47"/>
    <col min="1793" max="1793" width="12" style="47" customWidth="1"/>
    <col min="1794" max="1794" width="17.25" style="47" customWidth="1"/>
    <col min="1795" max="1795" width="8.75" style="47" customWidth="1"/>
    <col min="1796" max="1796" width="8.375" style="47" customWidth="1"/>
    <col min="1797" max="1797" width="10.375" style="47" customWidth="1"/>
    <col min="1798" max="1798" width="9.125" style="47" customWidth="1"/>
    <col min="1799" max="1799" width="9.25" style="47" customWidth="1"/>
    <col min="1800" max="1800" width="8.875" style="47" customWidth="1"/>
    <col min="1801" max="1801" width="10" style="47" customWidth="1"/>
    <col min="1802" max="1802" width="9.875" style="47" customWidth="1"/>
    <col min="1803" max="1803" width="9" style="47" customWidth="1"/>
    <col min="1804" max="1804" width="10.75" style="47" customWidth="1"/>
    <col min="1805" max="1805" width="9" style="47" customWidth="1"/>
    <col min="1806" max="1806" width="9.625" style="47" customWidth="1"/>
    <col min="1807" max="1807" width="16.25" style="47" customWidth="1"/>
    <col min="1808" max="2048" width="9" style="47"/>
    <col min="2049" max="2049" width="12" style="47" customWidth="1"/>
    <col min="2050" max="2050" width="17.25" style="47" customWidth="1"/>
    <col min="2051" max="2051" width="8.75" style="47" customWidth="1"/>
    <col min="2052" max="2052" width="8.375" style="47" customWidth="1"/>
    <col min="2053" max="2053" width="10.375" style="47" customWidth="1"/>
    <col min="2054" max="2054" width="9.125" style="47" customWidth="1"/>
    <col min="2055" max="2055" width="9.25" style="47" customWidth="1"/>
    <col min="2056" max="2056" width="8.875" style="47" customWidth="1"/>
    <col min="2057" max="2057" width="10" style="47" customWidth="1"/>
    <col min="2058" max="2058" width="9.875" style="47" customWidth="1"/>
    <col min="2059" max="2059" width="9" style="47" customWidth="1"/>
    <col min="2060" max="2060" width="10.75" style="47" customWidth="1"/>
    <col min="2061" max="2061" width="9" style="47" customWidth="1"/>
    <col min="2062" max="2062" width="9.625" style="47" customWidth="1"/>
    <col min="2063" max="2063" width="16.25" style="47" customWidth="1"/>
    <col min="2064" max="2304" width="9" style="47"/>
    <col min="2305" max="2305" width="12" style="47" customWidth="1"/>
    <col min="2306" max="2306" width="17.25" style="47" customWidth="1"/>
    <col min="2307" max="2307" width="8.75" style="47" customWidth="1"/>
    <col min="2308" max="2308" width="8.375" style="47" customWidth="1"/>
    <col min="2309" max="2309" width="10.375" style="47" customWidth="1"/>
    <col min="2310" max="2310" width="9.125" style="47" customWidth="1"/>
    <col min="2311" max="2311" width="9.25" style="47" customWidth="1"/>
    <col min="2312" max="2312" width="8.875" style="47" customWidth="1"/>
    <col min="2313" max="2313" width="10" style="47" customWidth="1"/>
    <col min="2314" max="2314" width="9.875" style="47" customWidth="1"/>
    <col min="2315" max="2315" width="9" style="47" customWidth="1"/>
    <col min="2316" max="2316" width="10.75" style="47" customWidth="1"/>
    <col min="2317" max="2317" width="9" style="47" customWidth="1"/>
    <col min="2318" max="2318" width="9.625" style="47" customWidth="1"/>
    <col min="2319" max="2319" width="16.25" style="47" customWidth="1"/>
    <col min="2320" max="2560" width="9" style="47"/>
    <col min="2561" max="2561" width="12" style="47" customWidth="1"/>
    <col min="2562" max="2562" width="17.25" style="47" customWidth="1"/>
    <col min="2563" max="2563" width="8.75" style="47" customWidth="1"/>
    <col min="2564" max="2564" width="8.375" style="47" customWidth="1"/>
    <col min="2565" max="2565" width="10.375" style="47" customWidth="1"/>
    <col min="2566" max="2566" width="9.125" style="47" customWidth="1"/>
    <col min="2567" max="2567" width="9.25" style="47" customWidth="1"/>
    <col min="2568" max="2568" width="8.875" style="47" customWidth="1"/>
    <col min="2569" max="2569" width="10" style="47" customWidth="1"/>
    <col min="2570" max="2570" width="9.875" style="47" customWidth="1"/>
    <col min="2571" max="2571" width="9" style="47" customWidth="1"/>
    <col min="2572" max="2572" width="10.75" style="47" customWidth="1"/>
    <col min="2573" max="2573" width="9" style="47" customWidth="1"/>
    <col min="2574" max="2574" width="9.625" style="47" customWidth="1"/>
    <col min="2575" max="2575" width="16.25" style="47" customWidth="1"/>
    <col min="2576" max="2816" width="9" style="47"/>
    <col min="2817" max="2817" width="12" style="47" customWidth="1"/>
    <col min="2818" max="2818" width="17.25" style="47" customWidth="1"/>
    <col min="2819" max="2819" width="8.75" style="47" customWidth="1"/>
    <col min="2820" max="2820" width="8.375" style="47" customWidth="1"/>
    <col min="2821" max="2821" width="10.375" style="47" customWidth="1"/>
    <col min="2822" max="2822" width="9.125" style="47" customWidth="1"/>
    <col min="2823" max="2823" width="9.25" style="47" customWidth="1"/>
    <col min="2824" max="2824" width="8.875" style="47" customWidth="1"/>
    <col min="2825" max="2825" width="10" style="47" customWidth="1"/>
    <col min="2826" max="2826" width="9.875" style="47" customWidth="1"/>
    <col min="2827" max="2827" width="9" style="47" customWidth="1"/>
    <col min="2828" max="2828" width="10.75" style="47" customWidth="1"/>
    <col min="2829" max="2829" width="9" style="47" customWidth="1"/>
    <col min="2830" max="2830" width="9.625" style="47" customWidth="1"/>
    <col min="2831" max="2831" width="16.25" style="47" customWidth="1"/>
    <col min="2832" max="3072" width="9" style="47"/>
    <col min="3073" max="3073" width="12" style="47" customWidth="1"/>
    <col min="3074" max="3074" width="17.25" style="47" customWidth="1"/>
    <col min="3075" max="3075" width="8.75" style="47" customWidth="1"/>
    <col min="3076" max="3076" width="8.375" style="47" customWidth="1"/>
    <col min="3077" max="3077" width="10.375" style="47" customWidth="1"/>
    <col min="3078" max="3078" width="9.125" style="47" customWidth="1"/>
    <col min="3079" max="3079" width="9.25" style="47" customWidth="1"/>
    <col min="3080" max="3080" width="8.875" style="47" customWidth="1"/>
    <col min="3081" max="3081" width="10" style="47" customWidth="1"/>
    <col min="3082" max="3082" width="9.875" style="47" customWidth="1"/>
    <col min="3083" max="3083" width="9" style="47" customWidth="1"/>
    <col min="3084" max="3084" width="10.75" style="47" customWidth="1"/>
    <col min="3085" max="3085" width="9" style="47" customWidth="1"/>
    <col min="3086" max="3086" width="9.625" style="47" customWidth="1"/>
    <col min="3087" max="3087" width="16.25" style="47" customWidth="1"/>
    <col min="3088" max="3328" width="9" style="47"/>
    <col min="3329" max="3329" width="12" style="47" customWidth="1"/>
    <col min="3330" max="3330" width="17.25" style="47" customWidth="1"/>
    <col min="3331" max="3331" width="8.75" style="47" customWidth="1"/>
    <col min="3332" max="3332" width="8.375" style="47" customWidth="1"/>
    <col min="3333" max="3333" width="10.375" style="47" customWidth="1"/>
    <col min="3334" max="3334" width="9.125" style="47" customWidth="1"/>
    <col min="3335" max="3335" width="9.25" style="47" customWidth="1"/>
    <col min="3336" max="3336" width="8.875" style="47" customWidth="1"/>
    <col min="3337" max="3337" width="10" style="47" customWidth="1"/>
    <col min="3338" max="3338" width="9.875" style="47" customWidth="1"/>
    <col min="3339" max="3339" width="9" style="47" customWidth="1"/>
    <col min="3340" max="3340" width="10.75" style="47" customWidth="1"/>
    <col min="3341" max="3341" width="9" style="47" customWidth="1"/>
    <col min="3342" max="3342" width="9.625" style="47" customWidth="1"/>
    <col min="3343" max="3343" width="16.25" style="47" customWidth="1"/>
    <col min="3344" max="3584" width="9" style="47"/>
    <col min="3585" max="3585" width="12" style="47" customWidth="1"/>
    <col min="3586" max="3586" width="17.25" style="47" customWidth="1"/>
    <col min="3587" max="3587" width="8.75" style="47" customWidth="1"/>
    <col min="3588" max="3588" width="8.375" style="47" customWidth="1"/>
    <col min="3589" max="3589" width="10.375" style="47" customWidth="1"/>
    <col min="3590" max="3590" width="9.125" style="47" customWidth="1"/>
    <col min="3591" max="3591" width="9.25" style="47" customWidth="1"/>
    <col min="3592" max="3592" width="8.875" style="47" customWidth="1"/>
    <col min="3593" max="3593" width="10" style="47" customWidth="1"/>
    <col min="3594" max="3594" width="9.875" style="47" customWidth="1"/>
    <col min="3595" max="3595" width="9" style="47" customWidth="1"/>
    <col min="3596" max="3596" width="10.75" style="47" customWidth="1"/>
    <col min="3597" max="3597" width="9" style="47" customWidth="1"/>
    <col min="3598" max="3598" width="9.625" style="47" customWidth="1"/>
    <col min="3599" max="3599" width="16.25" style="47" customWidth="1"/>
    <col min="3600" max="3840" width="9" style="47"/>
    <col min="3841" max="3841" width="12" style="47" customWidth="1"/>
    <col min="3842" max="3842" width="17.25" style="47" customWidth="1"/>
    <col min="3843" max="3843" width="8.75" style="47" customWidth="1"/>
    <col min="3844" max="3844" width="8.375" style="47" customWidth="1"/>
    <col min="3845" max="3845" width="10.375" style="47" customWidth="1"/>
    <col min="3846" max="3846" width="9.125" style="47" customWidth="1"/>
    <col min="3847" max="3847" width="9.25" style="47" customWidth="1"/>
    <col min="3848" max="3848" width="8.875" style="47" customWidth="1"/>
    <col min="3849" max="3849" width="10" style="47" customWidth="1"/>
    <col min="3850" max="3850" width="9.875" style="47" customWidth="1"/>
    <col min="3851" max="3851" width="9" style="47" customWidth="1"/>
    <col min="3852" max="3852" width="10.75" style="47" customWidth="1"/>
    <col min="3853" max="3853" width="9" style="47" customWidth="1"/>
    <col min="3854" max="3854" width="9.625" style="47" customWidth="1"/>
    <col min="3855" max="3855" width="16.25" style="47" customWidth="1"/>
    <col min="3856" max="4096" width="9" style="47"/>
    <col min="4097" max="4097" width="12" style="47" customWidth="1"/>
    <col min="4098" max="4098" width="17.25" style="47" customWidth="1"/>
    <col min="4099" max="4099" width="8.75" style="47" customWidth="1"/>
    <col min="4100" max="4100" width="8.375" style="47" customWidth="1"/>
    <col min="4101" max="4101" width="10.375" style="47" customWidth="1"/>
    <col min="4102" max="4102" width="9.125" style="47" customWidth="1"/>
    <col min="4103" max="4103" width="9.25" style="47" customWidth="1"/>
    <col min="4104" max="4104" width="8.875" style="47" customWidth="1"/>
    <col min="4105" max="4105" width="10" style="47" customWidth="1"/>
    <col min="4106" max="4106" width="9.875" style="47" customWidth="1"/>
    <col min="4107" max="4107" width="9" style="47" customWidth="1"/>
    <col min="4108" max="4108" width="10.75" style="47" customWidth="1"/>
    <col min="4109" max="4109" width="9" style="47" customWidth="1"/>
    <col min="4110" max="4110" width="9.625" style="47" customWidth="1"/>
    <col min="4111" max="4111" width="16.25" style="47" customWidth="1"/>
    <col min="4112" max="4352" width="9" style="47"/>
    <col min="4353" max="4353" width="12" style="47" customWidth="1"/>
    <col min="4354" max="4354" width="17.25" style="47" customWidth="1"/>
    <col min="4355" max="4355" width="8.75" style="47" customWidth="1"/>
    <col min="4356" max="4356" width="8.375" style="47" customWidth="1"/>
    <col min="4357" max="4357" width="10.375" style="47" customWidth="1"/>
    <col min="4358" max="4358" width="9.125" style="47" customWidth="1"/>
    <col min="4359" max="4359" width="9.25" style="47" customWidth="1"/>
    <col min="4360" max="4360" width="8.875" style="47" customWidth="1"/>
    <col min="4361" max="4361" width="10" style="47" customWidth="1"/>
    <col min="4362" max="4362" width="9.875" style="47" customWidth="1"/>
    <col min="4363" max="4363" width="9" style="47" customWidth="1"/>
    <col min="4364" max="4364" width="10.75" style="47" customWidth="1"/>
    <col min="4365" max="4365" width="9" style="47" customWidth="1"/>
    <col min="4366" max="4366" width="9.625" style="47" customWidth="1"/>
    <col min="4367" max="4367" width="16.25" style="47" customWidth="1"/>
    <col min="4368" max="4608" width="9" style="47"/>
    <col min="4609" max="4609" width="12" style="47" customWidth="1"/>
    <col min="4610" max="4610" width="17.25" style="47" customWidth="1"/>
    <col min="4611" max="4611" width="8.75" style="47" customWidth="1"/>
    <col min="4612" max="4612" width="8.375" style="47" customWidth="1"/>
    <col min="4613" max="4613" width="10.375" style="47" customWidth="1"/>
    <col min="4614" max="4614" width="9.125" style="47" customWidth="1"/>
    <col min="4615" max="4615" width="9.25" style="47" customWidth="1"/>
    <col min="4616" max="4616" width="8.875" style="47" customWidth="1"/>
    <col min="4617" max="4617" width="10" style="47" customWidth="1"/>
    <col min="4618" max="4618" width="9.875" style="47" customWidth="1"/>
    <col min="4619" max="4619" width="9" style="47" customWidth="1"/>
    <col min="4620" max="4620" width="10.75" style="47" customWidth="1"/>
    <col min="4621" max="4621" width="9" style="47" customWidth="1"/>
    <col min="4622" max="4622" width="9.625" style="47" customWidth="1"/>
    <col min="4623" max="4623" width="16.25" style="47" customWidth="1"/>
    <col min="4624" max="4864" width="9" style="47"/>
    <col min="4865" max="4865" width="12" style="47" customWidth="1"/>
    <col min="4866" max="4866" width="17.25" style="47" customWidth="1"/>
    <col min="4867" max="4867" width="8.75" style="47" customWidth="1"/>
    <col min="4868" max="4868" width="8.375" style="47" customWidth="1"/>
    <col min="4869" max="4869" width="10.375" style="47" customWidth="1"/>
    <col min="4870" max="4870" width="9.125" style="47" customWidth="1"/>
    <col min="4871" max="4871" width="9.25" style="47" customWidth="1"/>
    <col min="4872" max="4872" width="8.875" style="47" customWidth="1"/>
    <col min="4873" max="4873" width="10" style="47" customWidth="1"/>
    <col min="4874" max="4874" width="9.875" style="47" customWidth="1"/>
    <col min="4875" max="4875" width="9" style="47" customWidth="1"/>
    <col min="4876" max="4876" width="10.75" style="47" customWidth="1"/>
    <col min="4877" max="4877" width="9" style="47" customWidth="1"/>
    <col min="4878" max="4878" width="9.625" style="47" customWidth="1"/>
    <col min="4879" max="4879" width="16.25" style="47" customWidth="1"/>
    <col min="4880" max="5120" width="9" style="47"/>
    <col min="5121" max="5121" width="12" style="47" customWidth="1"/>
    <col min="5122" max="5122" width="17.25" style="47" customWidth="1"/>
    <col min="5123" max="5123" width="8.75" style="47" customWidth="1"/>
    <col min="5124" max="5124" width="8.375" style="47" customWidth="1"/>
    <col min="5125" max="5125" width="10.375" style="47" customWidth="1"/>
    <col min="5126" max="5126" width="9.125" style="47" customWidth="1"/>
    <col min="5127" max="5127" width="9.25" style="47" customWidth="1"/>
    <col min="5128" max="5128" width="8.875" style="47" customWidth="1"/>
    <col min="5129" max="5129" width="10" style="47" customWidth="1"/>
    <col min="5130" max="5130" width="9.875" style="47" customWidth="1"/>
    <col min="5131" max="5131" width="9" style="47" customWidth="1"/>
    <col min="5132" max="5132" width="10.75" style="47" customWidth="1"/>
    <col min="5133" max="5133" width="9" style="47" customWidth="1"/>
    <col min="5134" max="5134" width="9.625" style="47" customWidth="1"/>
    <col min="5135" max="5135" width="16.25" style="47" customWidth="1"/>
    <col min="5136" max="5376" width="9" style="47"/>
    <col min="5377" max="5377" width="12" style="47" customWidth="1"/>
    <col min="5378" max="5378" width="17.25" style="47" customWidth="1"/>
    <col min="5379" max="5379" width="8.75" style="47" customWidth="1"/>
    <col min="5380" max="5380" width="8.375" style="47" customWidth="1"/>
    <col min="5381" max="5381" width="10.375" style="47" customWidth="1"/>
    <col min="5382" max="5382" width="9.125" style="47" customWidth="1"/>
    <col min="5383" max="5383" width="9.25" style="47" customWidth="1"/>
    <col min="5384" max="5384" width="8.875" style="47" customWidth="1"/>
    <col min="5385" max="5385" width="10" style="47" customWidth="1"/>
    <col min="5386" max="5386" width="9.875" style="47" customWidth="1"/>
    <col min="5387" max="5387" width="9" style="47" customWidth="1"/>
    <col min="5388" max="5388" width="10.75" style="47" customWidth="1"/>
    <col min="5389" max="5389" width="9" style="47" customWidth="1"/>
    <col min="5390" max="5390" width="9.625" style="47" customWidth="1"/>
    <col min="5391" max="5391" width="16.25" style="47" customWidth="1"/>
    <col min="5392" max="5632" width="9" style="47"/>
    <col min="5633" max="5633" width="12" style="47" customWidth="1"/>
    <col min="5634" max="5634" width="17.25" style="47" customWidth="1"/>
    <col min="5635" max="5635" width="8.75" style="47" customWidth="1"/>
    <col min="5636" max="5636" width="8.375" style="47" customWidth="1"/>
    <col min="5637" max="5637" width="10.375" style="47" customWidth="1"/>
    <col min="5638" max="5638" width="9.125" style="47" customWidth="1"/>
    <col min="5639" max="5639" width="9.25" style="47" customWidth="1"/>
    <col min="5640" max="5640" width="8.875" style="47" customWidth="1"/>
    <col min="5641" max="5641" width="10" style="47" customWidth="1"/>
    <col min="5642" max="5642" width="9.875" style="47" customWidth="1"/>
    <col min="5643" max="5643" width="9" style="47" customWidth="1"/>
    <col min="5644" max="5644" width="10.75" style="47" customWidth="1"/>
    <col min="5645" max="5645" width="9" style="47" customWidth="1"/>
    <col min="5646" max="5646" width="9.625" style="47" customWidth="1"/>
    <col min="5647" max="5647" width="16.25" style="47" customWidth="1"/>
    <col min="5648" max="5888" width="9" style="47"/>
    <col min="5889" max="5889" width="12" style="47" customWidth="1"/>
    <col min="5890" max="5890" width="17.25" style="47" customWidth="1"/>
    <col min="5891" max="5891" width="8.75" style="47" customWidth="1"/>
    <col min="5892" max="5892" width="8.375" style="47" customWidth="1"/>
    <col min="5893" max="5893" width="10.375" style="47" customWidth="1"/>
    <col min="5894" max="5894" width="9.125" style="47" customWidth="1"/>
    <col min="5895" max="5895" width="9.25" style="47" customWidth="1"/>
    <col min="5896" max="5896" width="8.875" style="47" customWidth="1"/>
    <col min="5897" max="5897" width="10" style="47" customWidth="1"/>
    <col min="5898" max="5898" width="9.875" style="47" customWidth="1"/>
    <col min="5899" max="5899" width="9" style="47" customWidth="1"/>
    <col min="5900" max="5900" width="10.75" style="47" customWidth="1"/>
    <col min="5901" max="5901" width="9" style="47" customWidth="1"/>
    <col min="5902" max="5902" width="9.625" style="47" customWidth="1"/>
    <col min="5903" max="5903" width="16.25" style="47" customWidth="1"/>
    <col min="5904" max="6144" width="9" style="47"/>
    <col min="6145" max="6145" width="12" style="47" customWidth="1"/>
    <col min="6146" max="6146" width="17.25" style="47" customWidth="1"/>
    <col min="6147" max="6147" width="8.75" style="47" customWidth="1"/>
    <col min="6148" max="6148" width="8.375" style="47" customWidth="1"/>
    <col min="6149" max="6149" width="10.375" style="47" customWidth="1"/>
    <col min="6150" max="6150" width="9.125" style="47" customWidth="1"/>
    <col min="6151" max="6151" width="9.25" style="47" customWidth="1"/>
    <col min="6152" max="6152" width="8.875" style="47" customWidth="1"/>
    <col min="6153" max="6153" width="10" style="47" customWidth="1"/>
    <col min="6154" max="6154" width="9.875" style="47" customWidth="1"/>
    <col min="6155" max="6155" width="9" style="47" customWidth="1"/>
    <col min="6156" max="6156" width="10.75" style="47" customWidth="1"/>
    <col min="6157" max="6157" width="9" style="47" customWidth="1"/>
    <col min="6158" max="6158" width="9.625" style="47" customWidth="1"/>
    <col min="6159" max="6159" width="16.25" style="47" customWidth="1"/>
    <col min="6160" max="6400" width="9" style="47"/>
    <col min="6401" max="6401" width="12" style="47" customWidth="1"/>
    <col min="6402" max="6402" width="17.25" style="47" customWidth="1"/>
    <col min="6403" max="6403" width="8.75" style="47" customWidth="1"/>
    <col min="6404" max="6404" width="8.375" style="47" customWidth="1"/>
    <col min="6405" max="6405" width="10.375" style="47" customWidth="1"/>
    <col min="6406" max="6406" width="9.125" style="47" customWidth="1"/>
    <col min="6407" max="6407" width="9.25" style="47" customWidth="1"/>
    <col min="6408" max="6408" width="8.875" style="47" customWidth="1"/>
    <col min="6409" max="6409" width="10" style="47" customWidth="1"/>
    <col min="6410" max="6410" width="9.875" style="47" customWidth="1"/>
    <col min="6411" max="6411" width="9" style="47" customWidth="1"/>
    <col min="6412" max="6412" width="10.75" style="47" customWidth="1"/>
    <col min="6413" max="6413" width="9" style="47" customWidth="1"/>
    <col min="6414" max="6414" width="9.625" style="47" customWidth="1"/>
    <col min="6415" max="6415" width="16.25" style="47" customWidth="1"/>
    <col min="6416" max="6656" width="9" style="47"/>
    <col min="6657" max="6657" width="12" style="47" customWidth="1"/>
    <col min="6658" max="6658" width="17.25" style="47" customWidth="1"/>
    <col min="6659" max="6659" width="8.75" style="47" customWidth="1"/>
    <col min="6660" max="6660" width="8.375" style="47" customWidth="1"/>
    <col min="6661" max="6661" width="10.375" style="47" customWidth="1"/>
    <col min="6662" max="6662" width="9.125" style="47" customWidth="1"/>
    <col min="6663" max="6663" width="9.25" style="47" customWidth="1"/>
    <col min="6664" max="6664" width="8.875" style="47" customWidth="1"/>
    <col min="6665" max="6665" width="10" style="47" customWidth="1"/>
    <col min="6666" max="6666" width="9.875" style="47" customWidth="1"/>
    <col min="6667" max="6667" width="9" style="47" customWidth="1"/>
    <col min="6668" max="6668" width="10.75" style="47" customWidth="1"/>
    <col min="6669" max="6669" width="9" style="47" customWidth="1"/>
    <col min="6670" max="6670" width="9.625" style="47" customWidth="1"/>
    <col min="6671" max="6671" width="16.25" style="47" customWidth="1"/>
    <col min="6672" max="6912" width="9" style="47"/>
    <col min="6913" max="6913" width="12" style="47" customWidth="1"/>
    <col min="6914" max="6914" width="17.25" style="47" customWidth="1"/>
    <col min="6915" max="6915" width="8.75" style="47" customWidth="1"/>
    <col min="6916" max="6916" width="8.375" style="47" customWidth="1"/>
    <col min="6917" max="6917" width="10.375" style="47" customWidth="1"/>
    <col min="6918" max="6918" width="9.125" style="47" customWidth="1"/>
    <col min="6919" max="6919" width="9.25" style="47" customWidth="1"/>
    <col min="6920" max="6920" width="8.875" style="47" customWidth="1"/>
    <col min="6921" max="6921" width="10" style="47" customWidth="1"/>
    <col min="6922" max="6922" width="9.875" style="47" customWidth="1"/>
    <col min="6923" max="6923" width="9" style="47" customWidth="1"/>
    <col min="6924" max="6924" width="10.75" style="47" customWidth="1"/>
    <col min="6925" max="6925" width="9" style="47" customWidth="1"/>
    <col min="6926" max="6926" width="9.625" style="47" customWidth="1"/>
    <col min="6927" max="6927" width="16.25" style="47" customWidth="1"/>
    <col min="6928" max="7168" width="9" style="47"/>
    <col min="7169" max="7169" width="12" style="47" customWidth="1"/>
    <col min="7170" max="7170" width="17.25" style="47" customWidth="1"/>
    <col min="7171" max="7171" width="8.75" style="47" customWidth="1"/>
    <col min="7172" max="7172" width="8.375" style="47" customWidth="1"/>
    <col min="7173" max="7173" width="10.375" style="47" customWidth="1"/>
    <col min="7174" max="7174" width="9.125" style="47" customWidth="1"/>
    <col min="7175" max="7175" width="9.25" style="47" customWidth="1"/>
    <col min="7176" max="7176" width="8.875" style="47" customWidth="1"/>
    <col min="7177" max="7177" width="10" style="47" customWidth="1"/>
    <col min="7178" max="7178" width="9.875" style="47" customWidth="1"/>
    <col min="7179" max="7179" width="9" style="47" customWidth="1"/>
    <col min="7180" max="7180" width="10.75" style="47" customWidth="1"/>
    <col min="7181" max="7181" width="9" style="47" customWidth="1"/>
    <col min="7182" max="7182" width="9.625" style="47" customWidth="1"/>
    <col min="7183" max="7183" width="16.25" style="47" customWidth="1"/>
    <col min="7184" max="7424" width="9" style="47"/>
    <col min="7425" max="7425" width="12" style="47" customWidth="1"/>
    <col min="7426" max="7426" width="17.25" style="47" customWidth="1"/>
    <col min="7427" max="7427" width="8.75" style="47" customWidth="1"/>
    <col min="7428" max="7428" width="8.375" style="47" customWidth="1"/>
    <col min="7429" max="7429" width="10.375" style="47" customWidth="1"/>
    <col min="7430" max="7430" width="9.125" style="47" customWidth="1"/>
    <col min="7431" max="7431" width="9.25" style="47" customWidth="1"/>
    <col min="7432" max="7432" width="8.875" style="47" customWidth="1"/>
    <col min="7433" max="7433" width="10" style="47" customWidth="1"/>
    <col min="7434" max="7434" width="9.875" style="47" customWidth="1"/>
    <col min="7435" max="7435" width="9" style="47" customWidth="1"/>
    <col min="7436" max="7436" width="10.75" style="47" customWidth="1"/>
    <col min="7437" max="7437" width="9" style="47" customWidth="1"/>
    <col min="7438" max="7438" width="9.625" style="47" customWidth="1"/>
    <col min="7439" max="7439" width="16.25" style="47" customWidth="1"/>
    <col min="7440" max="7680" width="9" style="47"/>
    <col min="7681" max="7681" width="12" style="47" customWidth="1"/>
    <col min="7682" max="7682" width="17.25" style="47" customWidth="1"/>
    <col min="7683" max="7683" width="8.75" style="47" customWidth="1"/>
    <col min="7684" max="7684" width="8.375" style="47" customWidth="1"/>
    <col min="7685" max="7685" width="10.375" style="47" customWidth="1"/>
    <col min="7686" max="7686" width="9.125" style="47" customWidth="1"/>
    <col min="7687" max="7687" width="9.25" style="47" customWidth="1"/>
    <col min="7688" max="7688" width="8.875" style="47" customWidth="1"/>
    <col min="7689" max="7689" width="10" style="47" customWidth="1"/>
    <col min="7690" max="7690" width="9.875" style="47" customWidth="1"/>
    <col min="7691" max="7691" width="9" style="47" customWidth="1"/>
    <col min="7692" max="7692" width="10.75" style="47" customWidth="1"/>
    <col min="7693" max="7693" width="9" style="47" customWidth="1"/>
    <col min="7694" max="7694" width="9.625" style="47" customWidth="1"/>
    <col min="7695" max="7695" width="16.25" style="47" customWidth="1"/>
    <col min="7696" max="7936" width="9" style="47"/>
    <col min="7937" max="7937" width="12" style="47" customWidth="1"/>
    <col min="7938" max="7938" width="17.25" style="47" customWidth="1"/>
    <col min="7939" max="7939" width="8.75" style="47" customWidth="1"/>
    <col min="7940" max="7940" width="8.375" style="47" customWidth="1"/>
    <col min="7941" max="7941" width="10.375" style="47" customWidth="1"/>
    <col min="7942" max="7942" width="9.125" style="47" customWidth="1"/>
    <col min="7943" max="7943" width="9.25" style="47" customWidth="1"/>
    <col min="7944" max="7944" width="8.875" style="47" customWidth="1"/>
    <col min="7945" max="7945" width="10" style="47" customWidth="1"/>
    <col min="7946" max="7946" width="9.875" style="47" customWidth="1"/>
    <col min="7947" max="7947" width="9" style="47" customWidth="1"/>
    <col min="7948" max="7948" width="10.75" style="47" customWidth="1"/>
    <col min="7949" max="7949" width="9" style="47" customWidth="1"/>
    <col min="7950" max="7950" width="9.625" style="47" customWidth="1"/>
    <col min="7951" max="7951" width="16.25" style="47" customWidth="1"/>
    <col min="7952" max="8192" width="9" style="47"/>
    <col min="8193" max="8193" width="12" style="47" customWidth="1"/>
    <col min="8194" max="8194" width="17.25" style="47" customWidth="1"/>
    <col min="8195" max="8195" width="8.75" style="47" customWidth="1"/>
    <col min="8196" max="8196" width="8.375" style="47" customWidth="1"/>
    <col min="8197" max="8197" width="10.375" style="47" customWidth="1"/>
    <col min="8198" max="8198" width="9.125" style="47" customWidth="1"/>
    <col min="8199" max="8199" width="9.25" style="47" customWidth="1"/>
    <col min="8200" max="8200" width="8.875" style="47" customWidth="1"/>
    <col min="8201" max="8201" width="10" style="47" customWidth="1"/>
    <col min="8202" max="8202" width="9.875" style="47" customWidth="1"/>
    <col min="8203" max="8203" width="9" style="47" customWidth="1"/>
    <col min="8204" max="8204" width="10.75" style="47" customWidth="1"/>
    <col min="8205" max="8205" width="9" style="47" customWidth="1"/>
    <col min="8206" max="8206" width="9.625" style="47" customWidth="1"/>
    <col min="8207" max="8207" width="16.25" style="47" customWidth="1"/>
    <col min="8208" max="8448" width="9" style="47"/>
    <col min="8449" max="8449" width="12" style="47" customWidth="1"/>
    <col min="8450" max="8450" width="17.25" style="47" customWidth="1"/>
    <col min="8451" max="8451" width="8.75" style="47" customWidth="1"/>
    <col min="8452" max="8452" width="8.375" style="47" customWidth="1"/>
    <col min="8453" max="8453" width="10.375" style="47" customWidth="1"/>
    <col min="8454" max="8454" width="9.125" style="47" customWidth="1"/>
    <col min="8455" max="8455" width="9.25" style="47" customWidth="1"/>
    <col min="8456" max="8456" width="8.875" style="47" customWidth="1"/>
    <col min="8457" max="8457" width="10" style="47" customWidth="1"/>
    <col min="8458" max="8458" width="9.875" style="47" customWidth="1"/>
    <col min="8459" max="8459" width="9" style="47" customWidth="1"/>
    <col min="8460" max="8460" width="10.75" style="47" customWidth="1"/>
    <col min="8461" max="8461" width="9" style="47" customWidth="1"/>
    <col min="8462" max="8462" width="9.625" style="47" customWidth="1"/>
    <col min="8463" max="8463" width="16.25" style="47" customWidth="1"/>
    <col min="8464" max="8704" width="9" style="47"/>
    <col min="8705" max="8705" width="12" style="47" customWidth="1"/>
    <col min="8706" max="8706" width="17.25" style="47" customWidth="1"/>
    <col min="8707" max="8707" width="8.75" style="47" customWidth="1"/>
    <col min="8708" max="8708" width="8.375" style="47" customWidth="1"/>
    <col min="8709" max="8709" width="10.375" style="47" customWidth="1"/>
    <col min="8710" max="8710" width="9.125" style="47" customWidth="1"/>
    <col min="8711" max="8711" width="9.25" style="47" customWidth="1"/>
    <col min="8712" max="8712" width="8.875" style="47" customWidth="1"/>
    <col min="8713" max="8713" width="10" style="47" customWidth="1"/>
    <col min="8714" max="8714" width="9.875" style="47" customWidth="1"/>
    <col min="8715" max="8715" width="9" style="47" customWidth="1"/>
    <col min="8716" max="8716" width="10.75" style="47" customWidth="1"/>
    <col min="8717" max="8717" width="9" style="47" customWidth="1"/>
    <col min="8718" max="8718" width="9.625" style="47" customWidth="1"/>
    <col min="8719" max="8719" width="16.25" style="47" customWidth="1"/>
    <col min="8720" max="8960" width="9" style="47"/>
    <col min="8961" max="8961" width="12" style="47" customWidth="1"/>
    <col min="8962" max="8962" width="17.25" style="47" customWidth="1"/>
    <col min="8963" max="8963" width="8.75" style="47" customWidth="1"/>
    <col min="8964" max="8964" width="8.375" style="47" customWidth="1"/>
    <col min="8965" max="8965" width="10.375" style="47" customWidth="1"/>
    <col min="8966" max="8966" width="9.125" style="47" customWidth="1"/>
    <col min="8967" max="8967" width="9.25" style="47" customWidth="1"/>
    <col min="8968" max="8968" width="8.875" style="47" customWidth="1"/>
    <col min="8969" max="8969" width="10" style="47" customWidth="1"/>
    <col min="8970" max="8970" width="9.875" style="47" customWidth="1"/>
    <col min="8971" max="8971" width="9" style="47" customWidth="1"/>
    <col min="8972" max="8972" width="10.75" style="47" customWidth="1"/>
    <col min="8973" max="8973" width="9" style="47" customWidth="1"/>
    <col min="8974" max="8974" width="9.625" style="47" customWidth="1"/>
    <col min="8975" max="8975" width="16.25" style="47" customWidth="1"/>
    <col min="8976" max="9216" width="9" style="47"/>
    <col min="9217" max="9217" width="12" style="47" customWidth="1"/>
    <col min="9218" max="9218" width="17.25" style="47" customWidth="1"/>
    <col min="9219" max="9219" width="8.75" style="47" customWidth="1"/>
    <col min="9220" max="9220" width="8.375" style="47" customWidth="1"/>
    <col min="9221" max="9221" width="10.375" style="47" customWidth="1"/>
    <col min="9222" max="9222" width="9.125" style="47" customWidth="1"/>
    <col min="9223" max="9223" width="9.25" style="47" customWidth="1"/>
    <col min="9224" max="9224" width="8.875" style="47" customWidth="1"/>
    <col min="9225" max="9225" width="10" style="47" customWidth="1"/>
    <col min="9226" max="9226" width="9.875" style="47" customWidth="1"/>
    <col min="9227" max="9227" width="9" style="47" customWidth="1"/>
    <col min="9228" max="9228" width="10.75" style="47" customWidth="1"/>
    <col min="9229" max="9229" width="9" style="47" customWidth="1"/>
    <col min="9230" max="9230" width="9.625" style="47" customWidth="1"/>
    <col min="9231" max="9231" width="16.25" style="47" customWidth="1"/>
    <col min="9232" max="9472" width="9" style="47"/>
    <col min="9473" max="9473" width="12" style="47" customWidth="1"/>
    <col min="9474" max="9474" width="17.25" style="47" customWidth="1"/>
    <col min="9475" max="9475" width="8.75" style="47" customWidth="1"/>
    <col min="9476" max="9476" width="8.375" style="47" customWidth="1"/>
    <col min="9477" max="9477" width="10.375" style="47" customWidth="1"/>
    <col min="9478" max="9478" width="9.125" style="47" customWidth="1"/>
    <col min="9479" max="9479" width="9.25" style="47" customWidth="1"/>
    <col min="9480" max="9480" width="8.875" style="47" customWidth="1"/>
    <col min="9481" max="9481" width="10" style="47" customWidth="1"/>
    <col min="9482" max="9482" width="9.875" style="47" customWidth="1"/>
    <col min="9483" max="9483" width="9" style="47" customWidth="1"/>
    <col min="9484" max="9484" width="10.75" style="47" customWidth="1"/>
    <col min="9485" max="9485" width="9" style="47" customWidth="1"/>
    <col min="9486" max="9486" width="9.625" style="47" customWidth="1"/>
    <col min="9487" max="9487" width="16.25" style="47" customWidth="1"/>
    <col min="9488" max="9728" width="9" style="47"/>
    <col min="9729" max="9729" width="12" style="47" customWidth="1"/>
    <col min="9730" max="9730" width="17.25" style="47" customWidth="1"/>
    <col min="9731" max="9731" width="8.75" style="47" customWidth="1"/>
    <col min="9732" max="9732" width="8.375" style="47" customWidth="1"/>
    <col min="9733" max="9733" width="10.375" style="47" customWidth="1"/>
    <col min="9734" max="9734" width="9.125" style="47" customWidth="1"/>
    <col min="9735" max="9735" width="9.25" style="47" customWidth="1"/>
    <col min="9736" max="9736" width="8.875" style="47" customWidth="1"/>
    <col min="9737" max="9737" width="10" style="47" customWidth="1"/>
    <col min="9738" max="9738" width="9.875" style="47" customWidth="1"/>
    <col min="9739" max="9739" width="9" style="47" customWidth="1"/>
    <col min="9740" max="9740" width="10.75" style="47" customWidth="1"/>
    <col min="9741" max="9741" width="9" style="47" customWidth="1"/>
    <col min="9742" max="9742" width="9.625" style="47" customWidth="1"/>
    <col min="9743" max="9743" width="16.25" style="47" customWidth="1"/>
    <col min="9744" max="9984" width="9" style="47"/>
    <col min="9985" max="9985" width="12" style="47" customWidth="1"/>
    <col min="9986" max="9986" width="17.25" style="47" customWidth="1"/>
    <col min="9987" max="9987" width="8.75" style="47" customWidth="1"/>
    <col min="9988" max="9988" width="8.375" style="47" customWidth="1"/>
    <col min="9989" max="9989" width="10.375" style="47" customWidth="1"/>
    <col min="9990" max="9990" width="9.125" style="47" customWidth="1"/>
    <col min="9991" max="9991" width="9.25" style="47" customWidth="1"/>
    <col min="9992" max="9992" width="8.875" style="47" customWidth="1"/>
    <col min="9993" max="9993" width="10" style="47" customWidth="1"/>
    <col min="9994" max="9994" width="9.875" style="47" customWidth="1"/>
    <col min="9995" max="9995" width="9" style="47" customWidth="1"/>
    <col min="9996" max="9996" width="10.75" style="47" customWidth="1"/>
    <col min="9997" max="9997" width="9" style="47" customWidth="1"/>
    <col min="9998" max="9998" width="9.625" style="47" customWidth="1"/>
    <col min="9999" max="9999" width="16.25" style="47" customWidth="1"/>
    <col min="10000" max="10240" width="9" style="47"/>
    <col min="10241" max="10241" width="12" style="47" customWidth="1"/>
    <col min="10242" max="10242" width="17.25" style="47" customWidth="1"/>
    <col min="10243" max="10243" width="8.75" style="47" customWidth="1"/>
    <col min="10244" max="10244" width="8.375" style="47" customWidth="1"/>
    <col min="10245" max="10245" width="10.375" style="47" customWidth="1"/>
    <col min="10246" max="10246" width="9.125" style="47" customWidth="1"/>
    <col min="10247" max="10247" width="9.25" style="47" customWidth="1"/>
    <col min="10248" max="10248" width="8.875" style="47" customWidth="1"/>
    <col min="10249" max="10249" width="10" style="47" customWidth="1"/>
    <col min="10250" max="10250" width="9.875" style="47" customWidth="1"/>
    <col min="10251" max="10251" width="9" style="47" customWidth="1"/>
    <col min="10252" max="10252" width="10.75" style="47" customWidth="1"/>
    <col min="10253" max="10253" width="9" style="47" customWidth="1"/>
    <col min="10254" max="10254" width="9.625" style="47" customWidth="1"/>
    <col min="10255" max="10255" width="16.25" style="47" customWidth="1"/>
    <col min="10256" max="10496" width="9" style="47"/>
    <col min="10497" max="10497" width="12" style="47" customWidth="1"/>
    <col min="10498" max="10498" width="17.25" style="47" customWidth="1"/>
    <col min="10499" max="10499" width="8.75" style="47" customWidth="1"/>
    <col min="10500" max="10500" width="8.375" style="47" customWidth="1"/>
    <col min="10501" max="10501" width="10.375" style="47" customWidth="1"/>
    <col min="10502" max="10502" width="9.125" style="47" customWidth="1"/>
    <col min="10503" max="10503" width="9.25" style="47" customWidth="1"/>
    <col min="10504" max="10504" width="8.875" style="47" customWidth="1"/>
    <col min="10505" max="10505" width="10" style="47" customWidth="1"/>
    <col min="10506" max="10506" width="9.875" style="47" customWidth="1"/>
    <col min="10507" max="10507" width="9" style="47" customWidth="1"/>
    <col min="10508" max="10508" width="10.75" style="47" customWidth="1"/>
    <col min="10509" max="10509" width="9" style="47" customWidth="1"/>
    <col min="10510" max="10510" width="9.625" style="47" customWidth="1"/>
    <col min="10511" max="10511" width="16.25" style="47" customWidth="1"/>
    <col min="10512" max="10752" width="9" style="47"/>
    <col min="10753" max="10753" width="12" style="47" customWidth="1"/>
    <col min="10754" max="10754" width="17.25" style="47" customWidth="1"/>
    <col min="10755" max="10755" width="8.75" style="47" customWidth="1"/>
    <col min="10756" max="10756" width="8.375" style="47" customWidth="1"/>
    <col min="10757" max="10757" width="10.375" style="47" customWidth="1"/>
    <col min="10758" max="10758" width="9.125" style="47" customWidth="1"/>
    <col min="10759" max="10759" width="9.25" style="47" customWidth="1"/>
    <col min="10760" max="10760" width="8.875" style="47" customWidth="1"/>
    <col min="10761" max="10761" width="10" style="47" customWidth="1"/>
    <col min="10762" max="10762" width="9.875" style="47" customWidth="1"/>
    <col min="10763" max="10763" width="9" style="47" customWidth="1"/>
    <col min="10764" max="10764" width="10.75" style="47" customWidth="1"/>
    <col min="10765" max="10765" width="9" style="47" customWidth="1"/>
    <col min="10766" max="10766" width="9.625" style="47" customWidth="1"/>
    <col min="10767" max="10767" width="16.25" style="47" customWidth="1"/>
    <col min="10768" max="11008" width="9" style="47"/>
    <col min="11009" max="11009" width="12" style="47" customWidth="1"/>
    <col min="11010" max="11010" width="17.25" style="47" customWidth="1"/>
    <col min="11011" max="11011" width="8.75" style="47" customWidth="1"/>
    <col min="11012" max="11012" width="8.375" style="47" customWidth="1"/>
    <col min="11013" max="11013" width="10.375" style="47" customWidth="1"/>
    <col min="11014" max="11014" width="9.125" style="47" customWidth="1"/>
    <col min="11015" max="11015" width="9.25" style="47" customWidth="1"/>
    <col min="11016" max="11016" width="8.875" style="47" customWidth="1"/>
    <col min="11017" max="11017" width="10" style="47" customWidth="1"/>
    <col min="11018" max="11018" width="9.875" style="47" customWidth="1"/>
    <col min="11019" max="11019" width="9" style="47" customWidth="1"/>
    <col min="11020" max="11020" width="10.75" style="47" customWidth="1"/>
    <col min="11021" max="11021" width="9" style="47" customWidth="1"/>
    <col min="11022" max="11022" width="9.625" style="47" customWidth="1"/>
    <col min="11023" max="11023" width="16.25" style="47" customWidth="1"/>
    <col min="11024" max="11264" width="9" style="47"/>
    <col min="11265" max="11265" width="12" style="47" customWidth="1"/>
    <col min="11266" max="11266" width="17.25" style="47" customWidth="1"/>
    <col min="11267" max="11267" width="8.75" style="47" customWidth="1"/>
    <col min="11268" max="11268" width="8.375" style="47" customWidth="1"/>
    <col min="11269" max="11269" width="10.375" style="47" customWidth="1"/>
    <col min="11270" max="11270" width="9.125" style="47" customWidth="1"/>
    <col min="11271" max="11271" width="9.25" style="47" customWidth="1"/>
    <col min="11272" max="11272" width="8.875" style="47" customWidth="1"/>
    <col min="11273" max="11273" width="10" style="47" customWidth="1"/>
    <col min="11274" max="11274" width="9.875" style="47" customWidth="1"/>
    <col min="11275" max="11275" width="9" style="47" customWidth="1"/>
    <col min="11276" max="11276" width="10.75" style="47" customWidth="1"/>
    <col min="11277" max="11277" width="9" style="47" customWidth="1"/>
    <col min="11278" max="11278" width="9.625" style="47" customWidth="1"/>
    <col min="11279" max="11279" width="16.25" style="47" customWidth="1"/>
    <col min="11280" max="11520" width="9" style="47"/>
    <col min="11521" max="11521" width="12" style="47" customWidth="1"/>
    <col min="11522" max="11522" width="17.25" style="47" customWidth="1"/>
    <col min="11523" max="11523" width="8.75" style="47" customWidth="1"/>
    <col min="11524" max="11524" width="8.375" style="47" customWidth="1"/>
    <col min="11525" max="11525" width="10.375" style="47" customWidth="1"/>
    <col min="11526" max="11526" width="9.125" style="47" customWidth="1"/>
    <col min="11527" max="11527" width="9.25" style="47" customWidth="1"/>
    <col min="11528" max="11528" width="8.875" style="47" customWidth="1"/>
    <col min="11529" max="11529" width="10" style="47" customWidth="1"/>
    <col min="11530" max="11530" width="9.875" style="47" customWidth="1"/>
    <col min="11531" max="11531" width="9" style="47" customWidth="1"/>
    <col min="11532" max="11532" width="10.75" style="47" customWidth="1"/>
    <col min="11533" max="11533" width="9" style="47" customWidth="1"/>
    <col min="11534" max="11534" width="9.625" style="47" customWidth="1"/>
    <col min="11535" max="11535" width="16.25" style="47" customWidth="1"/>
    <col min="11536" max="11776" width="9" style="47"/>
    <col min="11777" max="11777" width="12" style="47" customWidth="1"/>
    <col min="11778" max="11778" width="17.25" style="47" customWidth="1"/>
    <col min="11779" max="11779" width="8.75" style="47" customWidth="1"/>
    <col min="11780" max="11780" width="8.375" style="47" customWidth="1"/>
    <col min="11781" max="11781" width="10.375" style="47" customWidth="1"/>
    <col min="11782" max="11782" width="9.125" style="47" customWidth="1"/>
    <col min="11783" max="11783" width="9.25" style="47" customWidth="1"/>
    <col min="11784" max="11784" width="8.875" style="47" customWidth="1"/>
    <col min="11785" max="11785" width="10" style="47" customWidth="1"/>
    <col min="11786" max="11786" width="9.875" style="47" customWidth="1"/>
    <col min="11787" max="11787" width="9" style="47" customWidth="1"/>
    <col min="11788" max="11788" width="10.75" style="47" customWidth="1"/>
    <col min="11789" max="11789" width="9" style="47" customWidth="1"/>
    <col min="11790" max="11790" width="9.625" style="47" customWidth="1"/>
    <col min="11791" max="11791" width="16.25" style="47" customWidth="1"/>
    <col min="11792" max="12032" width="9" style="47"/>
    <col min="12033" max="12033" width="12" style="47" customWidth="1"/>
    <col min="12034" max="12034" width="17.25" style="47" customWidth="1"/>
    <col min="12035" max="12035" width="8.75" style="47" customWidth="1"/>
    <col min="12036" max="12036" width="8.375" style="47" customWidth="1"/>
    <col min="12037" max="12037" width="10.375" style="47" customWidth="1"/>
    <col min="12038" max="12038" width="9.125" style="47" customWidth="1"/>
    <col min="12039" max="12039" width="9.25" style="47" customWidth="1"/>
    <col min="12040" max="12040" width="8.875" style="47" customWidth="1"/>
    <col min="12041" max="12041" width="10" style="47" customWidth="1"/>
    <col min="12042" max="12042" width="9.875" style="47" customWidth="1"/>
    <col min="12043" max="12043" width="9" style="47" customWidth="1"/>
    <col min="12044" max="12044" width="10.75" style="47" customWidth="1"/>
    <col min="12045" max="12045" width="9" style="47" customWidth="1"/>
    <col min="12046" max="12046" width="9.625" style="47" customWidth="1"/>
    <col min="12047" max="12047" width="16.25" style="47" customWidth="1"/>
    <col min="12048" max="12288" width="9" style="47"/>
    <col min="12289" max="12289" width="12" style="47" customWidth="1"/>
    <col min="12290" max="12290" width="17.25" style="47" customWidth="1"/>
    <col min="12291" max="12291" width="8.75" style="47" customWidth="1"/>
    <col min="12292" max="12292" width="8.375" style="47" customWidth="1"/>
    <col min="12293" max="12293" width="10.375" style="47" customWidth="1"/>
    <col min="12294" max="12294" width="9.125" style="47" customWidth="1"/>
    <col min="12295" max="12295" width="9.25" style="47" customWidth="1"/>
    <col min="12296" max="12296" width="8.875" style="47" customWidth="1"/>
    <col min="12297" max="12297" width="10" style="47" customWidth="1"/>
    <col min="12298" max="12298" width="9.875" style="47" customWidth="1"/>
    <col min="12299" max="12299" width="9" style="47" customWidth="1"/>
    <col min="12300" max="12300" width="10.75" style="47" customWidth="1"/>
    <col min="12301" max="12301" width="9" style="47" customWidth="1"/>
    <col min="12302" max="12302" width="9.625" style="47" customWidth="1"/>
    <col min="12303" max="12303" width="16.25" style="47" customWidth="1"/>
    <col min="12304" max="12544" width="9" style="47"/>
    <col min="12545" max="12545" width="12" style="47" customWidth="1"/>
    <col min="12546" max="12546" width="17.25" style="47" customWidth="1"/>
    <col min="12547" max="12547" width="8.75" style="47" customWidth="1"/>
    <col min="12548" max="12548" width="8.375" style="47" customWidth="1"/>
    <col min="12549" max="12549" width="10.375" style="47" customWidth="1"/>
    <col min="12550" max="12550" width="9.125" style="47" customWidth="1"/>
    <col min="12551" max="12551" width="9.25" style="47" customWidth="1"/>
    <col min="12552" max="12552" width="8.875" style="47" customWidth="1"/>
    <col min="12553" max="12553" width="10" style="47" customWidth="1"/>
    <col min="12554" max="12554" width="9.875" style="47" customWidth="1"/>
    <col min="12555" max="12555" width="9" style="47" customWidth="1"/>
    <col min="12556" max="12556" width="10.75" style="47" customWidth="1"/>
    <col min="12557" max="12557" width="9" style="47" customWidth="1"/>
    <col min="12558" max="12558" width="9.625" style="47" customWidth="1"/>
    <col min="12559" max="12559" width="16.25" style="47" customWidth="1"/>
    <col min="12560" max="12800" width="9" style="47"/>
    <col min="12801" max="12801" width="12" style="47" customWidth="1"/>
    <col min="12802" max="12802" width="17.25" style="47" customWidth="1"/>
    <col min="12803" max="12803" width="8.75" style="47" customWidth="1"/>
    <col min="12804" max="12804" width="8.375" style="47" customWidth="1"/>
    <col min="12805" max="12805" width="10.375" style="47" customWidth="1"/>
    <col min="12806" max="12806" width="9.125" style="47" customWidth="1"/>
    <col min="12807" max="12807" width="9.25" style="47" customWidth="1"/>
    <col min="12808" max="12808" width="8.875" style="47" customWidth="1"/>
    <col min="12809" max="12809" width="10" style="47" customWidth="1"/>
    <col min="12810" max="12810" width="9.875" style="47" customWidth="1"/>
    <col min="12811" max="12811" width="9" style="47" customWidth="1"/>
    <col min="12812" max="12812" width="10.75" style="47" customWidth="1"/>
    <col min="12813" max="12813" width="9" style="47" customWidth="1"/>
    <col min="12814" max="12814" width="9.625" style="47" customWidth="1"/>
    <col min="12815" max="12815" width="16.25" style="47" customWidth="1"/>
    <col min="12816" max="13056" width="9" style="47"/>
    <col min="13057" max="13057" width="12" style="47" customWidth="1"/>
    <col min="13058" max="13058" width="17.25" style="47" customWidth="1"/>
    <col min="13059" max="13059" width="8.75" style="47" customWidth="1"/>
    <col min="13060" max="13060" width="8.375" style="47" customWidth="1"/>
    <col min="13061" max="13061" width="10.375" style="47" customWidth="1"/>
    <col min="13062" max="13062" width="9.125" style="47" customWidth="1"/>
    <col min="13063" max="13063" width="9.25" style="47" customWidth="1"/>
    <col min="13064" max="13064" width="8.875" style="47" customWidth="1"/>
    <col min="13065" max="13065" width="10" style="47" customWidth="1"/>
    <col min="13066" max="13066" width="9.875" style="47" customWidth="1"/>
    <col min="13067" max="13067" width="9" style="47" customWidth="1"/>
    <col min="13068" max="13068" width="10.75" style="47" customWidth="1"/>
    <col min="13069" max="13069" width="9" style="47" customWidth="1"/>
    <col min="13070" max="13070" width="9.625" style="47" customWidth="1"/>
    <col min="13071" max="13071" width="16.25" style="47" customWidth="1"/>
    <col min="13072" max="13312" width="9" style="47"/>
    <col min="13313" max="13313" width="12" style="47" customWidth="1"/>
    <col min="13314" max="13314" width="17.25" style="47" customWidth="1"/>
    <col min="13315" max="13315" width="8.75" style="47" customWidth="1"/>
    <col min="13316" max="13316" width="8.375" style="47" customWidth="1"/>
    <col min="13317" max="13317" width="10.375" style="47" customWidth="1"/>
    <col min="13318" max="13318" width="9.125" style="47" customWidth="1"/>
    <col min="13319" max="13319" width="9.25" style="47" customWidth="1"/>
    <col min="13320" max="13320" width="8.875" style="47" customWidth="1"/>
    <col min="13321" max="13321" width="10" style="47" customWidth="1"/>
    <col min="13322" max="13322" width="9.875" style="47" customWidth="1"/>
    <col min="13323" max="13323" width="9" style="47" customWidth="1"/>
    <col min="13324" max="13324" width="10.75" style="47" customWidth="1"/>
    <col min="13325" max="13325" width="9" style="47" customWidth="1"/>
    <col min="13326" max="13326" width="9.625" style="47" customWidth="1"/>
    <col min="13327" max="13327" width="16.25" style="47" customWidth="1"/>
    <col min="13328" max="13568" width="9" style="47"/>
    <col min="13569" max="13569" width="12" style="47" customWidth="1"/>
    <col min="13570" max="13570" width="17.25" style="47" customWidth="1"/>
    <col min="13571" max="13571" width="8.75" style="47" customWidth="1"/>
    <col min="13572" max="13572" width="8.375" style="47" customWidth="1"/>
    <col min="13573" max="13573" width="10.375" style="47" customWidth="1"/>
    <col min="13574" max="13574" width="9.125" style="47" customWidth="1"/>
    <col min="13575" max="13575" width="9.25" style="47" customWidth="1"/>
    <col min="13576" max="13576" width="8.875" style="47" customWidth="1"/>
    <col min="13577" max="13577" width="10" style="47" customWidth="1"/>
    <col min="13578" max="13578" width="9.875" style="47" customWidth="1"/>
    <col min="13579" max="13579" width="9" style="47" customWidth="1"/>
    <col min="13580" max="13580" width="10.75" style="47" customWidth="1"/>
    <col min="13581" max="13581" width="9" style="47" customWidth="1"/>
    <col min="13582" max="13582" width="9.625" style="47" customWidth="1"/>
    <col min="13583" max="13583" width="16.25" style="47" customWidth="1"/>
    <col min="13584" max="13824" width="9" style="47"/>
    <col min="13825" max="13825" width="12" style="47" customWidth="1"/>
    <col min="13826" max="13826" width="17.25" style="47" customWidth="1"/>
    <col min="13827" max="13827" width="8.75" style="47" customWidth="1"/>
    <col min="13828" max="13828" width="8.375" style="47" customWidth="1"/>
    <col min="13829" max="13829" width="10.375" style="47" customWidth="1"/>
    <col min="13830" max="13830" width="9.125" style="47" customWidth="1"/>
    <col min="13831" max="13831" width="9.25" style="47" customWidth="1"/>
    <col min="13832" max="13832" width="8.875" style="47" customWidth="1"/>
    <col min="13833" max="13833" width="10" style="47" customWidth="1"/>
    <col min="13834" max="13834" width="9.875" style="47" customWidth="1"/>
    <col min="13835" max="13835" width="9" style="47" customWidth="1"/>
    <col min="13836" max="13836" width="10.75" style="47" customWidth="1"/>
    <col min="13837" max="13837" width="9" style="47" customWidth="1"/>
    <col min="13838" max="13838" width="9.625" style="47" customWidth="1"/>
    <col min="13839" max="13839" width="16.25" style="47" customWidth="1"/>
    <col min="13840" max="14080" width="9" style="47"/>
    <col min="14081" max="14081" width="12" style="47" customWidth="1"/>
    <col min="14082" max="14082" width="17.25" style="47" customWidth="1"/>
    <col min="14083" max="14083" width="8.75" style="47" customWidth="1"/>
    <col min="14084" max="14084" width="8.375" style="47" customWidth="1"/>
    <col min="14085" max="14085" width="10.375" style="47" customWidth="1"/>
    <col min="14086" max="14086" width="9.125" style="47" customWidth="1"/>
    <col min="14087" max="14087" width="9.25" style="47" customWidth="1"/>
    <col min="14088" max="14088" width="8.875" style="47" customWidth="1"/>
    <col min="14089" max="14089" width="10" style="47" customWidth="1"/>
    <col min="14090" max="14090" width="9.875" style="47" customWidth="1"/>
    <col min="14091" max="14091" width="9" style="47" customWidth="1"/>
    <col min="14092" max="14092" width="10.75" style="47" customWidth="1"/>
    <col min="14093" max="14093" width="9" style="47" customWidth="1"/>
    <col min="14094" max="14094" width="9.625" style="47" customWidth="1"/>
    <col min="14095" max="14095" width="16.25" style="47" customWidth="1"/>
    <col min="14096" max="14336" width="9" style="47"/>
    <col min="14337" max="14337" width="12" style="47" customWidth="1"/>
    <col min="14338" max="14338" width="17.25" style="47" customWidth="1"/>
    <col min="14339" max="14339" width="8.75" style="47" customWidth="1"/>
    <col min="14340" max="14340" width="8.375" style="47" customWidth="1"/>
    <col min="14341" max="14341" width="10.375" style="47" customWidth="1"/>
    <col min="14342" max="14342" width="9.125" style="47" customWidth="1"/>
    <col min="14343" max="14343" width="9.25" style="47" customWidth="1"/>
    <col min="14344" max="14344" width="8.875" style="47" customWidth="1"/>
    <col min="14345" max="14345" width="10" style="47" customWidth="1"/>
    <col min="14346" max="14346" width="9.875" style="47" customWidth="1"/>
    <col min="14347" max="14347" width="9" style="47" customWidth="1"/>
    <col min="14348" max="14348" width="10.75" style="47" customWidth="1"/>
    <col min="14349" max="14349" width="9" style="47" customWidth="1"/>
    <col min="14350" max="14350" width="9.625" style="47" customWidth="1"/>
    <col min="14351" max="14351" width="16.25" style="47" customWidth="1"/>
    <col min="14352" max="14592" width="9" style="47"/>
    <col min="14593" max="14593" width="12" style="47" customWidth="1"/>
    <col min="14594" max="14594" width="17.25" style="47" customWidth="1"/>
    <col min="14595" max="14595" width="8.75" style="47" customWidth="1"/>
    <col min="14596" max="14596" width="8.375" style="47" customWidth="1"/>
    <col min="14597" max="14597" width="10.375" style="47" customWidth="1"/>
    <col min="14598" max="14598" width="9.125" style="47" customWidth="1"/>
    <col min="14599" max="14599" width="9.25" style="47" customWidth="1"/>
    <col min="14600" max="14600" width="8.875" style="47" customWidth="1"/>
    <col min="14601" max="14601" width="10" style="47" customWidth="1"/>
    <col min="14602" max="14602" width="9.875" style="47" customWidth="1"/>
    <col min="14603" max="14603" width="9" style="47" customWidth="1"/>
    <col min="14604" max="14604" width="10.75" style="47" customWidth="1"/>
    <col min="14605" max="14605" width="9" style="47" customWidth="1"/>
    <col min="14606" max="14606" width="9.625" style="47" customWidth="1"/>
    <col min="14607" max="14607" width="16.25" style="47" customWidth="1"/>
    <col min="14608" max="14848" width="9" style="47"/>
    <col min="14849" max="14849" width="12" style="47" customWidth="1"/>
    <col min="14850" max="14850" width="17.25" style="47" customWidth="1"/>
    <col min="14851" max="14851" width="8.75" style="47" customWidth="1"/>
    <col min="14852" max="14852" width="8.375" style="47" customWidth="1"/>
    <col min="14853" max="14853" width="10.375" style="47" customWidth="1"/>
    <col min="14854" max="14854" width="9.125" style="47" customWidth="1"/>
    <col min="14855" max="14855" width="9.25" style="47" customWidth="1"/>
    <col min="14856" max="14856" width="8.875" style="47" customWidth="1"/>
    <col min="14857" max="14857" width="10" style="47" customWidth="1"/>
    <col min="14858" max="14858" width="9.875" style="47" customWidth="1"/>
    <col min="14859" max="14859" width="9" style="47" customWidth="1"/>
    <col min="14860" max="14860" width="10.75" style="47" customWidth="1"/>
    <col min="14861" max="14861" width="9" style="47" customWidth="1"/>
    <col min="14862" max="14862" width="9.625" style="47" customWidth="1"/>
    <col min="14863" max="14863" width="16.25" style="47" customWidth="1"/>
    <col min="14864" max="15104" width="9" style="47"/>
    <col min="15105" max="15105" width="12" style="47" customWidth="1"/>
    <col min="15106" max="15106" width="17.25" style="47" customWidth="1"/>
    <col min="15107" max="15107" width="8.75" style="47" customWidth="1"/>
    <col min="15108" max="15108" width="8.375" style="47" customWidth="1"/>
    <col min="15109" max="15109" width="10.375" style="47" customWidth="1"/>
    <col min="15110" max="15110" width="9.125" style="47" customWidth="1"/>
    <col min="15111" max="15111" width="9.25" style="47" customWidth="1"/>
    <col min="15112" max="15112" width="8.875" style="47" customWidth="1"/>
    <col min="15113" max="15113" width="10" style="47" customWidth="1"/>
    <col min="15114" max="15114" width="9.875" style="47" customWidth="1"/>
    <col min="15115" max="15115" width="9" style="47" customWidth="1"/>
    <col min="15116" max="15116" width="10.75" style="47" customWidth="1"/>
    <col min="15117" max="15117" width="9" style="47" customWidth="1"/>
    <col min="15118" max="15118" width="9.625" style="47" customWidth="1"/>
    <col min="15119" max="15119" width="16.25" style="47" customWidth="1"/>
    <col min="15120" max="15360" width="9" style="47"/>
    <col min="15361" max="15361" width="12" style="47" customWidth="1"/>
    <col min="15362" max="15362" width="17.25" style="47" customWidth="1"/>
    <col min="15363" max="15363" width="8.75" style="47" customWidth="1"/>
    <col min="15364" max="15364" width="8.375" style="47" customWidth="1"/>
    <col min="15365" max="15365" width="10.375" style="47" customWidth="1"/>
    <col min="15366" max="15366" width="9.125" style="47" customWidth="1"/>
    <col min="15367" max="15367" width="9.25" style="47" customWidth="1"/>
    <col min="15368" max="15368" width="8.875" style="47" customWidth="1"/>
    <col min="15369" max="15369" width="10" style="47" customWidth="1"/>
    <col min="15370" max="15370" width="9.875" style="47" customWidth="1"/>
    <col min="15371" max="15371" width="9" style="47" customWidth="1"/>
    <col min="15372" max="15372" width="10.75" style="47" customWidth="1"/>
    <col min="15373" max="15373" width="9" style="47" customWidth="1"/>
    <col min="15374" max="15374" width="9.625" style="47" customWidth="1"/>
    <col min="15375" max="15375" width="16.25" style="47" customWidth="1"/>
    <col min="15376" max="15616" width="9" style="47"/>
    <col min="15617" max="15617" width="12" style="47" customWidth="1"/>
    <col min="15618" max="15618" width="17.25" style="47" customWidth="1"/>
    <col min="15619" max="15619" width="8.75" style="47" customWidth="1"/>
    <col min="15620" max="15620" width="8.375" style="47" customWidth="1"/>
    <col min="15621" max="15621" width="10.375" style="47" customWidth="1"/>
    <col min="15622" max="15622" width="9.125" style="47" customWidth="1"/>
    <col min="15623" max="15623" width="9.25" style="47" customWidth="1"/>
    <col min="15624" max="15624" width="8.875" style="47" customWidth="1"/>
    <col min="15625" max="15625" width="10" style="47" customWidth="1"/>
    <col min="15626" max="15626" width="9.875" style="47" customWidth="1"/>
    <col min="15627" max="15627" width="9" style="47" customWidth="1"/>
    <col min="15628" max="15628" width="10.75" style="47" customWidth="1"/>
    <col min="15629" max="15629" width="9" style="47" customWidth="1"/>
    <col min="15630" max="15630" width="9.625" style="47" customWidth="1"/>
    <col min="15631" max="15631" width="16.25" style="47" customWidth="1"/>
    <col min="15632" max="15872" width="9" style="47"/>
    <col min="15873" max="15873" width="12" style="47" customWidth="1"/>
    <col min="15874" max="15874" width="17.25" style="47" customWidth="1"/>
    <col min="15875" max="15875" width="8.75" style="47" customWidth="1"/>
    <col min="15876" max="15876" width="8.375" style="47" customWidth="1"/>
    <col min="15877" max="15877" width="10.375" style="47" customWidth="1"/>
    <col min="15878" max="15878" width="9.125" style="47" customWidth="1"/>
    <col min="15879" max="15879" width="9.25" style="47" customWidth="1"/>
    <col min="15880" max="15880" width="8.875" style="47" customWidth="1"/>
    <col min="15881" max="15881" width="10" style="47" customWidth="1"/>
    <col min="15882" max="15882" width="9.875" style="47" customWidth="1"/>
    <col min="15883" max="15883" width="9" style="47" customWidth="1"/>
    <col min="15884" max="15884" width="10.75" style="47" customWidth="1"/>
    <col min="15885" max="15885" width="9" style="47" customWidth="1"/>
    <col min="15886" max="15886" width="9.625" style="47" customWidth="1"/>
    <col min="15887" max="15887" width="16.25" style="47" customWidth="1"/>
    <col min="15888" max="16128" width="9" style="47"/>
    <col min="16129" max="16129" width="12" style="47" customWidth="1"/>
    <col min="16130" max="16130" width="17.25" style="47" customWidth="1"/>
    <col min="16131" max="16131" width="8.75" style="47" customWidth="1"/>
    <col min="16132" max="16132" width="8.375" style="47" customWidth="1"/>
    <col min="16133" max="16133" width="10.375" style="47" customWidth="1"/>
    <col min="16134" max="16134" width="9.125" style="47" customWidth="1"/>
    <col min="16135" max="16135" width="9.25" style="47" customWidth="1"/>
    <col min="16136" max="16136" width="8.875" style="47" customWidth="1"/>
    <col min="16137" max="16137" width="10" style="47" customWidth="1"/>
    <col min="16138" max="16138" width="9.875" style="47" customWidth="1"/>
    <col min="16139" max="16139" width="9" style="47" customWidth="1"/>
    <col min="16140" max="16140" width="10.75" style="47" customWidth="1"/>
    <col min="16141" max="16141" width="9" style="47" customWidth="1"/>
    <col min="16142" max="16142" width="9.625" style="47" customWidth="1"/>
    <col min="16143" max="16143" width="16.25" style="47" customWidth="1"/>
    <col min="16144" max="16384" width="9" style="47"/>
  </cols>
  <sheetData>
    <row r="1" ht="20.25" spans="1:14">
      <c r="A1" s="49" t="s">
        <v>672</v>
      </c>
      <c r="B1" s="49"/>
      <c r="C1" s="49"/>
      <c r="D1" s="49"/>
      <c r="E1" s="49"/>
      <c r="F1" s="49"/>
      <c r="G1" s="49"/>
      <c r="H1" s="49"/>
      <c r="I1" s="49"/>
      <c r="J1" s="49"/>
      <c r="K1" s="49"/>
      <c r="L1" s="49"/>
      <c r="M1" s="49"/>
      <c r="N1" s="49"/>
    </row>
    <row r="2" ht="20.25" spans="1:14">
      <c r="A2" s="49" t="s">
        <v>397</v>
      </c>
      <c r="B2" s="49"/>
      <c r="C2" s="49"/>
      <c r="D2" s="49"/>
      <c r="E2" s="49"/>
      <c r="F2" s="49"/>
      <c r="G2" s="49"/>
      <c r="H2" s="49"/>
      <c r="I2" s="49"/>
      <c r="J2" s="49"/>
      <c r="K2" s="49"/>
      <c r="L2" s="49"/>
      <c r="M2" s="49"/>
      <c r="N2" s="49"/>
    </row>
    <row r="3" ht="20.25" spans="1:14">
      <c r="A3" s="69" t="s">
        <v>673</v>
      </c>
      <c r="B3" s="154"/>
      <c r="C3" s="155"/>
      <c r="D3" s="155"/>
      <c r="E3" s="155"/>
      <c r="F3" s="155"/>
      <c r="G3" s="155"/>
      <c r="H3" s="155"/>
      <c r="I3" s="155"/>
      <c r="J3" s="155"/>
      <c r="K3" s="155"/>
      <c r="L3" s="155"/>
      <c r="M3" s="155"/>
      <c r="N3" s="155"/>
    </row>
    <row r="4" ht="12.75" spans="1:14">
      <c r="A4" s="44" t="s">
        <v>674</v>
      </c>
      <c r="B4" s="44"/>
      <c r="C4" s="53"/>
      <c r="D4" s="53"/>
      <c r="E4" s="53"/>
      <c r="F4" s="53"/>
      <c r="G4" s="53"/>
      <c r="H4" s="53"/>
      <c r="I4" s="53"/>
      <c r="J4" s="54"/>
      <c r="K4" s="54"/>
      <c r="L4" s="54"/>
      <c r="M4" s="54"/>
      <c r="N4" s="54"/>
    </row>
    <row r="5" ht="13.5" spans="1:14">
      <c r="A5" s="44" t="s">
        <v>675</v>
      </c>
      <c r="B5" s="44"/>
      <c r="C5" s="53"/>
      <c r="D5" s="53"/>
      <c r="E5" s="53"/>
      <c r="F5" s="53"/>
      <c r="G5" s="53"/>
      <c r="H5" s="53"/>
      <c r="I5" s="53"/>
      <c r="J5" s="54"/>
      <c r="K5" s="54"/>
      <c r="L5" s="54"/>
      <c r="M5" s="54"/>
      <c r="N5" s="54"/>
    </row>
    <row r="6" ht="14.25" spans="1:14">
      <c r="A6" s="156" t="s">
        <v>676</v>
      </c>
      <c r="B6" s="44"/>
      <c r="C6" s="53"/>
      <c r="D6" s="53"/>
      <c r="E6" s="157"/>
      <c r="F6" s="158"/>
      <c r="G6" s="159" t="s">
        <v>677</v>
      </c>
      <c r="H6" s="159" t="s">
        <v>678</v>
      </c>
      <c r="I6" s="159" t="s">
        <v>679</v>
      </c>
      <c r="J6" s="159" t="s">
        <v>680</v>
      </c>
      <c r="K6" s="159" t="s">
        <v>681</v>
      </c>
      <c r="L6" s="44"/>
      <c r="M6" s="44"/>
      <c r="N6" s="44"/>
    </row>
    <row r="7" ht="19.5" customHeight="1" spans="1:14">
      <c r="A7" s="160" t="s">
        <v>682</v>
      </c>
      <c r="B7" s="161" t="s">
        <v>487</v>
      </c>
      <c r="C7" s="162" t="s">
        <v>683</v>
      </c>
      <c r="D7" s="163" t="s">
        <v>684</v>
      </c>
      <c r="E7" s="157"/>
      <c r="F7" s="164" t="s">
        <v>685</v>
      </c>
      <c r="G7" s="165">
        <v>3</v>
      </c>
      <c r="H7" s="165">
        <v>2</v>
      </c>
      <c r="I7" s="165">
        <v>1</v>
      </c>
      <c r="J7" s="165">
        <v>0.2</v>
      </c>
      <c r="K7" s="218">
        <v>0.1</v>
      </c>
      <c r="L7" s="44"/>
      <c r="M7" s="44"/>
      <c r="N7" s="44"/>
    </row>
    <row r="8" ht="5.25" customHeight="1" spans="1:14">
      <c r="A8" s="166"/>
      <c r="B8" s="44"/>
      <c r="C8" s="166"/>
      <c r="D8" s="53"/>
      <c r="E8" s="53"/>
      <c r="F8" s="53"/>
      <c r="G8" s="53"/>
      <c r="H8" s="53"/>
      <c r="I8" s="53"/>
      <c r="J8" s="44"/>
      <c r="K8" s="44"/>
      <c r="L8" s="44"/>
      <c r="M8" s="44"/>
      <c r="N8" s="44"/>
    </row>
    <row r="9" ht="15" customHeight="1" spans="1:14">
      <c r="A9" s="167" t="s">
        <v>686</v>
      </c>
      <c r="B9" s="159" t="s">
        <v>633</v>
      </c>
      <c r="C9" s="159"/>
      <c r="D9" s="159"/>
      <c r="E9" s="159"/>
      <c r="F9" s="159"/>
      <c r="G9" s="168" t="s">
        <v>687</v>
      </c>
      <c r="H9" s="168" t="s">
        <v>688</v>
      </c>
      <c r="I9" s="159" t="s">
        <v>689</v>
      </c>
      <c r="J9" s="159" t="s">
        <v>690</v>
      </c>
      <c r="K9" s="159" t="s">
        <v>691</v>
      </c>
      <c r="L9" s="219" t="s">
        <v>540</v>
      </c>
      <c r="M9" s="219"/>
      <c r="N9" s="219"/>
    </row>
    <row r="10" ht="15" customHeight="1" spans="1:19">
      <c r="A10" s="159"/>
      <c r="B10" s="159" t="s">
        <v>641</v>
      </c>
      <c r="C10" s="159" t="s">
        <v>642</v>
      </c>
      <c r="D10" s="159" t="s">
        <v>643</v>
      </c>
      <c r="E10" s="159" t="s">
        <v>644</v>
      </c>
      <c r="F10" s="159" t="s">
        <v>645</v>
      </c>
      <c r="G10" s="169"/>
      <c r="H10" s="169"/>
      <c r="I10" s="159"/>
      <c r="J10" s="159"/>
      <c r="K10" s="159"/>
      <c r="L10" s="220" t="s">
        <v>173</v>
      </c>
      <c r="M10" s="221" t="s">
        <v>174</v>
      </c>
      <c r="N10" s="220" t="s">
        <v>349</v>
      </c>
      <c r="P10" s="222" t="s">
        <v>216</v>
      </c>
      <c r="Q10" s="243">
        <v>0</v>
      </c>
      <c r="R10" s="243">
        <v>0.36</v>
      </c>
      <c r="S10" s="243">
        <v>0.72</v>
      </c>
    </row>
    <row r="11" ht="15" customHeight="1" spans="1:19">
      <c r="A11" s="159" t="str">
        <f t="shared" ref="A11:A15" si="0">CONCATENATE("测试第",ROW(A11)-ROW($A$10),"轮")</f>
        <v>测试第1轮</v>
      </c>
      <c r="B11" s="170">
        <v>0</v>
      </c>
      <c r="C11" s="170">
        <v>0</v>
      </c>
      <c r="D11" s="170">
        <v>23</v>
      </c>
      <c r="E11" s="170">
        <v>2</v>
      </c>
      <c r="F11" s="170">
        <v>0</v>
      </c>
      <c r="G11" s="171">
        <f>I11-H11</f>
        <v>23.4</v>
      </c>
      <c r="H11" s="172">
        <v>0</v>
      </c>
      <c r="I11" s="171">
        <f>B11*$G$7+C11*$H$7+D11*$I$7+E11*$J$7+F11*$K$7</f>
        <v>23.4</v>
      </c>
      <c r="J11" s="223">
        <f>规模!C8</f>
        <v>122.08</v>
      </c>
      <c r="K11" s="224">
        <f t="shared" ref="K11:K19" si="1">I11/J11</f>
        <v>0.191677588466579</v>
      </c>
      <c r="L11" s="225">
        <v>0</v>
      </c>
      <c r="M11" s="226">
        <v>1.2</v>
      </c>
      <c r="N11" s="225">
        <v>2.4</v>
      </c>
      <c r="P11" s="222" t="s">
        <v>218</v>
      </c>
      <c r="Q11" s="243">
        <v>0.0002</v>
      </c>
      <c r="R11" s="243">
        <v>0.2</v>
      </c>
      <c r="S11" s="243">
        <v>0.3998</v>
      </c>
    </row>
    <row r="12" ht="15" customHeight="1" spans="1:19">
      <c r="A12" s="159" t="str">
        <f t="shared" si="0"/>
        <v>测试第2轮</v>
      </c>
      <c r="B12" s="170">
        <v>0</v>
      </c>
      <c r="C12" s="170">
        <v>0</v>
      </c>
      <c r="D12" s="170">
        <v>20</v>
      </c>
      <c r="E12" s="170">
        <v>0</v>
      </c>
      <c r="F12" s="170">
        <v>1</v>
      </c>
      <c r="G12" s="171">
        <f t="shared" ref="G12:G15" si="2">I12-H12</f>
        <v>20.1</v>
      </c>
      <c r="H12" s="172">
        <v>0</v>
      </c>
      <c r="I12" s="171">
        <f>B12*$G$7+C12*$H$7+D12*$I$7+E12*$J$7+F12*$K$7</f>
        <v>20.1</v>
      </c>
      <c r="J12" s="223">
        <f>规模!C9</f>
        <v>122.08</v>
      </c>
      <c r="K12" s="224">
        <f t="shared" si="1"/>
        <v>0.164646133682831</v>
      </c>
      <c r="L12" s="225">
        <v>0</v>
      </c>
      <c r="M12" s="226">
        <v>1.2</v>
      </c>
      <c r="N12" s="225">
        <v>2.4</v>
      </c>
      <c r="P12" s="227" t="s">
        <v>217</v>
      </c>
      <c r="Q12" s="244">
        <v>0</v>
      </c>
      <c r="R12" s="244">
        <v>1.2</v>
      </c>
      <c r="S12" s="244">
        <v>2.4</v>
      </c>
    </row>
    <row r="13" ht="15" customHeight="1" spans="1:19">
      <c r="A13" s="159" t="str">
        <f t="shared" si="0"/>
        <v>测试第3轮</v>
      </c>
      <c r="B13" s="170">
        <v>0</v>
      </c>
      <c r="C13" s="170">
        <v>1</v>
      </c>
      <c r="D13" s="170">
        <v>35</v>
      </c>
      <c r="E13" s="170">
        <v>3</v>
      </c>
      <c r="F13" s="170">
        <v>0</v>
      </c>
      <c r="G13" s="171">
        <f t="shared" si="2"/>
        <v>37.6</v>
      </c>
      <c r="H13" s="172">
        <v>0</v>
      </c>
      <c r="I13" s="171">
        <f t="shared" ref="I13:I19" si="3">B13*$G$7+C13*$H$7+D13*$I$7+E13*$J$7+F13*$K$7</f>
        <v>37.6</v>
      </c>
      <c r="J13" s="223">
        <f>规模!C10</f>
        <v>122.08</v>
      </c>
      <c r="K13" s="224">
        <f t="shared" si="1"/>
        <v>0.307994757536042</v>
      </c>
      <c r="L13" s="225">
        <v>0</v>
      </c>
      <c r="M13" s="226">
        <v>1.2</v>
      </c>
      <c r="N13" s="225">
        <v>2.4</v>
      </c>
      <c r="P13" s="227" t="s">
        <v>219</v>
      </c>
      <c r="Q13" s="244">
        <v>0.002</v>
      </c>
      <c r="R13" s="244">
        <v>0.92</v>
      </c>
      <c r="S13" s="244">
        <v>1.838</v>
      </c>
    </row>
    <row r="14" spans="1:14">
      <c r="A14" s="159" t="str">
        <f t="shared" si="0"/>
        <v>测试第4轮</v>
      </c>
      <c r="B14" s="170">
        <v>0</v>
      </c>
      <c r="C14" s="170">
        <v>0</v>
      </c>
      <c r="D14" s="170">
        <v>17</v>
      </c>
      <c r="E14" s="170">
        <v>1</v>
      </c>
      <c r="F14" s="170">
        <v>0</v>
      </c>
      <c r="G14" s="171">
        <f t="shared" si="2"/>
        <v>17.2</v>
      </c>
      <c r="H14" s="172">
        <v>0</v>
      </c>
      <c r="I14" s="171">
        <f t="shared" si="3"/>
        <v>17.2</v>
      </c>
      <c r="J14" s="223">
        <f>规模!C11</f>
        <v>122.08</v>
      </c>
      <c r="K14" s="224">
        <f t="shared" si="1"/>
        <v>0.14089121887287</v>
      </c>
      <c r="L14" s="225">
        <v>0</v>
      </c>
      <c r="M14" s="226">
        <v>1.2</v>
      </c>
      <c r="N14" s="225">
        <v>2.4</v>
      </c>
    </row>
    <row r="15" spans="1:14">
      <c r="A15" s="159" t="str">
        <f t="shared" si="0"/>
        <v>测试第5轮</v>
      </c>
      <c r="B15" s="170">
        <v>0</v>
      </c>
      <c r="C15" s="170">
        <v>0</v>
      </c>
      <c r="D15" s="170">
        <v>6</v>
      </c>
      <c r="E15" s="170">
        <v>0</v>
      </c>
      <c r="F15" s="170">
        <v>0</v>
      </c>
      <c r="G15" s="171">
        <f t="shared" si="2"/>
        <v>6</v>
      </c>
      <c r="H15" s="172">
        <v>0</v>
      </c>
      <c r="I15" s="171">
        <f t="shared" si="3"/>
        <v>6</v>
      </c>
      <c r="J15" s="223">
        <f>规模!C12</f>
        <v>122.08</v>
      </c>
      <c r="K15" s="224">
        <f t="shared" si="1"/>
        <v>0.0491480996068152</v>
      </c>
      <c r="L15" s="225">
        <v>0</v>
      </c>
      <c r="M15" s="226">
        <v>1.2</v>
      </c>
      <c r="N15" s="225">
        <v>2.4</v>
      </c>
    </row>
    <row r="16" ht="12.75" customHeight="1" spans="1:14">
      <c r="A16" s="159" t="s">
        <v>692</v>
      </c>
      <c r="B16" s="173" t="str">
        <f t="shared" ref="B16:F16" si="4">"-"</f>
        <v>-</v>
      </c>
      <c r="C16" s="173" t="str">
        <f t="shared" si="4"/>
        <v>-</v>
      </c>
      <c r="D16" s="173" t="str">
        <f t="shared" si="4"/>
        <v>-</v>
      </c>
      <c r="E16" s="173" t="str">
        <f t="shared" si="4"/>
        <v>-</v>
      </c>
      <c r="F16" s="173" t="str">
        <f t="shared" si="4"/>
        <v>-</v>
      </c>
      <c r="G16" s="174" t="s">
        <v>178</v>
      </c>
      <c r="H16" s="174" t="s">
        <v>178</v>
      </c>
      <c r="I16" s="228" t="e">
        <f t="shared" si="3"/>
        <v>#VALUE!</v>
      </c>
      <c r="J16" s="229" t="s">
        <v>178</v>
      </c>
      <c r="K16" s="230" t="e">
        <f t="shared" si="1"/>
        <v>#VALUE!</v>
      </c>
      <c r="L16" s="231">
        <f t="shared" ref="L16" si="5">$L$17</f>
        <v>0</v>
      </c>
      <c r="M16" s="231">
        <f t="shared" ref="M16" si="6">$M$17</f>
        <v>1.2</v>
      </c>
      <c r="N16" s="231">
        <f t="shared" ref="N16" si="7">$N$17</f>
        <v>2.4</v>
      </c>
    </row>
    <row r="17" ht="12.75" customHeight="1" spans="1:14">
      <c r="A17" s="159" t="s">
        <v>693</v>
      </c>
      <c r="B17" s="175">
        <f t="shared" ref="B17:H17" si="8">SUM(B11:B16)</f>
        <v>0</v>
      </c>
      <c r="C17" s="175">
        <f t="shared" si="8"/>
        <v>1</v>
      </c>
      <c r="D17" s="175">
        <f t="shared" si="8"/>
        <v>101</v>
      </c>
      <c r="E17" s="175">
        <f t="shared" si="8"/>
        <v>6</v>
      </c>
      <c r="F17" s="175">
        <f t="shared" si="8"/>
        <v>1</v>
      </c>
      <c r="G17" s="171">
        <f t="shared" si="8"/>
        <v>104.3</v>
      </c>
      <c r="H17" s="171">
        <f t="shared" si="8"/>
        <v>0</v>
      </c>
      <c r="I17" s="171">
        <f t="shared" si="3"/>
        <v>104.3</v>
      </c>
      <c r="J17" s="232">
        <f>规模!C8</f>
        <v>122.08</v>
      </c>
      <c r="K17" s="224">
        <f t="shared" si="1"/>
        <v>0.854357798165138</v>
      </c>
      <c r="L17" s="225">
        <v>0</v>
      </c>
      <c r="M17" s="226">
        <v>1.2</v>
      </c>
      <c r="N17" s="225">
        <v>2.4</v>
      </c>
    </row>
    <row r="18" spans="1:14">
      <c r="A18" s="159" t="s">
        <v>694</v>
      </c>
      <c r="B18" s="170">
        <v>0</v>
      </c>
      <c r="C18" s="170">
        <v>0</v>
      </c>
      <c r="D18" s="170">
        <v>0</v>
      </c>
      <c r="E18" s="170">
        <v>0</v>
      </c>
      <c r="F18" s="170">
        <v>0</v>
      </c>
      <c r="G18" s="170">
        <v>0</v>
      </c>
      <c r="H18" s="170">
        <v>0</v>
      </c>
      <c r="I18" s="171">
        <f t="shared" si="3"/>
        <v>0</v>
      </c>
      <c r="J18" s="232">
        <f>规模!C8</f>
        <v>122.08</v>
      </c>
      <c r="K18" s="224">
        <f t="shared" si="1"/>
        <v>0</v>
      </c>
      <c r="L18" s="225">
        <v>0</v>
      </c>
      <c r="M18" s="226">
        <v>1.2</v>
      </c>
      <c r="N18" s="225">
        <v>2.4</v>
      </c>
    </row>
    <row r="19" ht="12.75" customHeight="1" spans="1:14">
      <c r="A19" s="176" t="s">
        <v>695</v>
      </c>
      <c r="B19" s="177">
        <v>0</v>
      </c>
      <c r="C19" s="177">
        <v>0</v>
      </c>
      <c r="D19" s="177">
        <v>0</v>
      </c>
      <c r="E19" s="177">
        <v>0</v>
      </c>
      <c r="F19" s="177">
        <v>0</v>
      </c>
      <c r="G19" s="177">
        <v>0</v>
      </c>
      <c r="H19" s="177">
        <v>0</v>
      </c>
      <c r="I19" s="171">
        <f t="shared" si="3"/>
        <v>0</v>
      </c>
      <c r="J19" s="232">
        <f>规模!C9</f>
        <v>122.08</v>
      </c>
      <c r="K19" s="224">
        <f t="shared" si="1"/>
        <v>0</v>
      </c>
      <c r="L19" s="225">
        <v>0</v>
      </c>
      <c r="M19" s="226">
        <v>1.2</v>
      </c>
      <c r="N19" s="225">
        <v>2.4</v>
      </c>
    </row>
    <row r="20" ht="16.5" customHeight="1"/>
    <row r="21" ht="23.1" customHeight="1"/>
    <row r="22" spans="12:14">
      <c r="L22" s="233"/>
      <c r="M22" s="233"/>
      <c r="N22" s="233"/>
    </row>
    <row r="23" ht="15" customHeight="1" spans="12:14">
      <c r="L23" s="233"/>
      <c r="M23" s="233"/>
      <c r="N23" s="233"/>
    </row>
    <row r="24" customHeight="1"/>
    <row r="25" ht="24.95" customHeight="1"/>
    <row r="26" ht="18" customHeight="1"/>
    <row r="28" ht="23.1" customHeight="1"/>
    <row r="29" ht="23.1" customHeight="1"/>
    <row r="30" ht="23.1" customHeight="1"/>
    <row r="31" ht="23.1" customHeight="1"/>
    <row r="32" ht="23.1" customHeight="1"/>
    <row r="33" ht="23.1" customHeight="1" spans="1:10">
      <c r="A33" s="78" t="s">
        <v>696</v>
      </c>
      <c r="B33" s="70"/>
      <c r="G33" s="78" t="s">
        <v>697</v>
      </c>
      <c r="H33" s="106"/>
      <c r="I33" s="70"/>
      <c r="J33" s="70"/>
    </row>
    <row r="34" ht="23.1" customHeight="1" spans="1:7">
      <c r="A34" s="79" t="s">
        <v>698</v>
      </c>
      <c r="G34" s="79" t="s">
        <v>699</v>
      </c>
    </row>
    <row r="35" ht="30" customHeight="1" spans="1:14">
      <c r="A35" s="178" t="s">
        <v>700</v>
      </c>
      <c r="F35" s="179"/>
      <c r="G35" s="178" t="s">
        <v>701</v>
      </c>
      <c r="H35" s="79"/>
      <c r="M35" s="179"/>
      <c r="N35" s="179"/>
    </row>
    <row r="36" ht="33.95" customHeight="1" spans="1:15">
      <c r="A36" s="180" t="s">
        <v>702</v>
      </c>
      <c r="B36" s="181" t="s">
        <v>703</v>
      </c>
      <c r="C36" s="182">
        <v>10</v>
      </c>
      <c r="D36" s="183" t="s">
        <v>704</v>
      </c>
      <c r="E36" s="184">
        <f>1-(C36/C37)</f>
        <v>0.99390243902439</v>
      </c>
      <c r="F36" s="179"/>
      <c r="G36" s="185" t="s">
        <v>705</v>
      </c>
      <c r="H36" s="186" t="s">
        <v>706</v>
      </c>
      <c r="I36" s="234" t="s">
        <v>707</v>
      </c>
      <c r="J36" s="235"/>
      <c r="K36" s="236" t="s">
        <v>172</v>
      </c>
      <c r="M36" s="179"/>
      <c r="N36" s="179"/>
      <c r="O36" s="46"/>
    </row>
    <row r="37" ht="23.1" customHeight="1" spans="1:15">
      <c r="A37" s="187"/>
      <c r="B37" s="188" t="s">
        <v>708</v>
      </c>
      <c r="C37" s="189">
        <v>1640</v>
      </c>
      <c r="D37" s="190"/>
      <c r="E37" s="191"/>
      <c r="G37" s="192"/>
      <c r="H37" s="193"/>
      <c r="I37" s="237"/>
      <c r="J37" s="238"/>
      <c r="K37" s="236"/>
      <c r="O37" s="46"/>
    </row>
    <row r="38" ht="23.1" customHeight="1" spans="7:15">
      <c r="G38" s="194"/>
      <c r="H38" s="195">
        <v>5</v>
      </c>
      <c r="I38" s="239">
        <v>5</v>
      </c>
      <c r="J38" s="240"/>
      <c r="K38" s="241"/>
      <c r="O38" s="46"/>
    </row>
    <row r="39" ht="23.1" customHeight="1" spans="1:15">
      <c r="A39" s="180" t="s">
        <v>709</v>
      </c>
      <c r="B39" s="181" t="s">
        <v>710</v>
      </c>
      <c r="C39" s="182">
        <v>0</v>
      </c>
      <c r="D39" s="183" t="s">
        <v>704</v>
      </c>
      <c r="E39" s="184">
        <f>1-(C39/C40)</f>
        <v>1</v>
      </c>
      <c r="G39" s="196"/>
      <c r="H39" s="197"/>
      <c r="I39" s="197"/>
      <c r="J39" s="197"/>
      <c r="K39" s="146"/>
      <c r="O39" s="46"/>
    </row>
    <row r="40" ht="12.75" spans="1:11">
      <c r="A40" s="187"/>
      <c r="B40" s="188" t="s">
        <v>711</v>
      </c>
      <c r="C40" s="189">
        <v>5</v>
      </c>
      <c r="D40" s="190"/>
      <c r="E40" s="191"/>
      <c r="G40" s="196"/>
      <c r="H40" s="197"/>
      <c r="I40" s="197"/>
      <c r="J40" s="197"/>
      <c r="K40" s="146"/>
    </row>
    <row r="41" ht="12.75" spans="7:11">
      <c r="G41" s="196"/>
      <c r="H41" s="197"/>
      <c r="I41" s="197"/>
      <c r="J41" s="197"/>
      <c r="K41" s="146"/>
    </row>
    <row r="42" spans="1:2">
      <c r="A42" s="78" t="s">
        <v>712</v>
      </c>
      <c r="B42" s="70"/>
    </row>
    <row r="43" ht="23.1" customHeight="1" spans="1:1">
      <c r="A43" s="79" t="s">
        <v>713</v>
      </c>
    </row>
    <row r="44" ht="23.1" customHeight="1" spans="1:1">
      <c r="A44" s="178" t="s">
        <v>714</v>
      </c>
    </row>
    <row r="45" ht="23.1" customHeight="1"/>
    <row r="46" ht="23.1" customHeight="1" spans="1:5">
      <c r="A46" s="198" t="s">
        <v>85</v>
      </c>
      <c r="B46" s="199" t="s">
        <v>715</v>
      </c>
      <c r="C46" s="199" t="s">
        <v>716</v>
      </c>
      <c r="D46" s="199" t="s">
        <v>172</v>
      </c>
      <c r="E46" s="200"/>
    </row>
    <row r="47" ht="23.1" customHeight="1" spans="1:5">
      <c r="A47" s="201">
        <v>1</v>
      </c>
      <c r="B47" s="202" t="s">
        <v>545</v>
      </c>
      <c r="C47" s="203">
        <v>6</v>
      </c>
      <c r="D47" s="204"/>
      <c r="E47" s="205"/>
    </row>
    <row r="48" ht="23.1" customHeight="1" spans="1:5">
      <c r="A48" s="201">
        <v>2</v>
      </c>
      <c r="B48" s="202" t="s">
        <v>717</v>
      </c>
      <c r="C48" s="203">
        <v>61</v>
      </c>
      <c r="D48" s="204"/>
      <c r="E48" s="205"/>
    </row>
    <row r="49" ht="23.1" customHeight="1" spans="1:5">
      <c r="A49" s="201">
        <v>3</v>
      </c>
      <c r="B49" s="202" t="s">
        <v>718</v>
      </c>
      <c r="C49" s="203">
        <v>1</v>
      </c>
      <c r="D49" s="204"/>
      <c r="E49" s="205"/>
    </row>
    <row r="50" ht="23.1" customHeight="1" spans="1:5">
      <c r="A50" s="206">
        <v>4</v>
      </c>
      <c r="B50" s="207" t="s">
        <v>719</v>
      </c>
      <c r="C50" s="208">
        <v>41</v>
      </c>
      <c r="D50" s="209"/>
      <c r="E50" s="210"/>
    </row>
    <row r="51" ht="12.75" spans="2:2">
      <c r="B51" s="46"/>
    </row>
    <row r="52" spans="2:2">
      <c r="B52" s="46"/>
    </row>
    <row r="53" spans="1:2">
      <c r="A53" s="78" t="s">
        <v>720</v>
      </c>
      <c r="B53" s="211"/>
    </row>
    <row r="54" ht="20.25" customHeight="1" spans="1:2">
      <c r="A54" s="79" t="s">
        <v>721</v>
      </c>
      <c r="B54" s="46"/>
    </row>
    <row r="55" ht="12.75" spans="1:2">
      <c r="A55" s="178" t="s">
        <v>714</v>
      </c>
      <c r="B55" s="46"/>
    </row>
    <row r="56" ht="12.75" spans="1:5">
      <c r="A56" s="198" t="s">
        <v>85</v>
      </c>
      <c r="B56" s="198" t="s">
        <v>722</v>
      </c>
      <c r="C56" s="199" t="s">
        <v>716</v>
      </c>
      <c r="D56" s="199" t="s">
        <v>172</v>
      </c>
      <c r="E56" s="200"/>
    </row>
    <row r="57" spans="1:5">
      <c r="A57" s="201">
        <v>1</v>
      </c>
      <c r="B57" s="212" t="s">
        <v>723</v>
      </c>
      <c r="C57" s="213">
        <v>1</v>
      </c>
      <c r="D57" s="213"/>
      <c r="E57" s="214"/>
    </row>
    <row r="58" spans="1:5">
      <c r="A58" s="201">
        <v>2</v>
      </c>
      <c r="B58" s="212" t="s">
        <v>724</v>
      </c>
      <c r="C58" s="213">
        <v>62</v>
      </c>
      <c r="D58" s="213"/>
      <c r="E58" s="214"/>
    </row>
    <row r="59" spans="1:5">
      <c r="A59" s="201">
        <v>3</v>
      </c>
      <c r="B59" s="212" t="s">
        <v>725</v>
      </c>
      <c r="C59" s="213">
        <v>38</v>
      </c>
      <c r="D59" s="213"/>
      <c r="E59" s="214"/>
    </row>
    <row r="60" spans="1:5">
      <c r="A60" s="201">
        <v>4</v>
      </c>
      <c r="B60" s="212" t="s">
        <v>719</v>
      </c>
      <c r="C60" s="213">
        <v>7</v>
      </c>
      <c r="D60" s="213"/>
      <c r="E60" s="214"/>
    </row>
    <row r="61" ht="12.75" spans="1:5">
      <c r="A61" s="206">
        <v>5</v>
      </c>
      <c r="B61" s="215" t="s">
        <v>726</v>
      </c>
      <c r="C61" s="216">
        <v>1</v>
      </c>
      <c r="D61" s="216"/>
      <c r="E61" s="217"/>
    </row>
    <row r="62" ht="12.75" spans="2:2">
      <c r="B62" s="46"/>
    </row>
    <row r="63" spans="2:2">
      <c r="B63" s="46"/>
    </row>
    <row r="64" spans="1:14">
      <c r="A64" s="79" t="s">
        <v>727</v>
      </c>
      <c r="B64" s="46"/>
      <c r="H64" s="46"/>
      <c r="I64" s="242"/>
      <c r="J64" s="46"/>
      <c r="K64" s="46"/>
      <c r="L64" s="46"/>
      <c r="M64" s="242"/>
      <c r="N64" s="46"/>
    </row>
    <row r="65" spans="1:2">
      <c r="A65" s="79" t="s">
        <v>728</v>
      </c>
      <c r="B65" s="46"/>
    </row>
    <row r="66" spans="1:9">
      <c r="A66" s="79" t="s">
        <v>729</v>
      </c>
      <c r="B66" s="46"/>
      <c r="I66" s="79"/>
    </row>
    <row r="67" ht="12.75" spans="1:9">
      <c r="A67" s="79" t="s">
        <v>730</v>
      </c>
      <c r="B67" s="46"/>
      <c r="I67" s="79"/>
    </row>
    <row r="68" ht="12.75" spans="1:6">
      <c r="A68" s="198" t="s">
        <v>85</v>
      </c>
      <c r="B68" s="198" t="s">
        <v>731</v>
      </c>
      <c r="C68" s="199" t="s">
        <v>716</v>
      </c>
      <c r="D68" s="245" t="s">
        <v>172</v>
      </c>
      <c r="E68" s="246"/>
      <c r="F68" s="247"/>
    </row>
    <row r="69" spans="1:9">
      <c r="A69" s="201">
        <v>1</v>
      </c>
      <c r="B69" s="248" t="s">
        <v>732</v>
      </c>
      <c r="C69" s="213">
        <v>4</v>
      </c>
      <c r="D69" s="249"/>
      <c r="E69" s="250"/>
      <c r="F69" s="251"/>
      <c r="I69" s="79"/>
    </row>
    <row r="70" spans="1:6">
      <c r="A70" s="201">
        <v>2</v>
      </c>
      <c r="B70" s="248" t="s">
        <v>733</v>
      </c>
      <c r="C70" s="213">
        <v>103</v>
      </c>
      <c r="D70" s="249"/>
      <c r="E70" s="250"/>
      <c r="F70" s="251"/>
    </row>
    <row r="71" spans="1:6">
      <c r="A71" s="201">
        <v>3</v>
      </c>
      <c r="B71" s="248" t="s">
        <v>734</v>
      </c>
      <c r="C71" s="213">
        <v>2</v>
      </c>
      <c r="D71" s="249"/>
      <c r="E71" s="250"/>
      <c r="F71" s="251"/>
    </row>
    <row r="72" spans="1:6">
      <c r="A72" s="201">
        <v>4</v>
      </c>
      <c r="B72" s="248"/>
      <c r="C72" s="213"/>
      <c r="D72" s="249"/>
      <c r="E72" s="250"/>
      <c r="F72" s="251"/>
    </row>
    <row r="73" spans="1:6">
      <c r="A73" s="201">
        <v>5</v>
      </c>
      <c r="B73" s="252"/>
      <c r="C73" s="253"/>
      <c r="D73" s="249"/>
      <c r="E73" s="250"/>
      <c r="F73" s="251"/>
    </row>
    <row r="74" spans="1:6">
      <c r="A74" s="254">
        <v>6</v>
      </c>
      <c r="B74" s="255"/>
      <c r="C74" s="255"/>
      <c r="D74" s="249"/>
      <c r="E74" s="250"/>
      <c r="F74" s="251"/>
    </row>
    <row r="75" ht="12.75" spans="1:6">
      <c r="A75" s="256">
        <v>7</v>
      </c>
      <c r="B75" s="257"/>
      <c r="C75" s="258"/>
      <c r="D75" s="259"/>
      <c r="E75" s="260"/>
      <c r="F75" s="261"/>
    </row>
    <row r="76" ht="12.75" spans="2:2">
      <c r="B76" s="46"/>
    </row>
    <row r="77" ht="27" customHeight="1"/>
    <row r="85" ht="20.25" spans="1:1">
      <c r="A85" s="49" t="s">
        <v>405</v>
      </c>
    </row>
    <row r="86" ht="20.25" spans="1:14">
      <c r="A86" s="69" t="s">
        <v>673</v>
      </c>
      <c r="B86" s="154"/>
      <c r="C86" s="155"/>
      <c r="D86" s="155"/>
      <c r="E86" s="155"/>
      <c r="F86" s="155"/>
      <c r="G86" s="155"/>
      <c r="H86" s="155"/>
      <c r="I86" s="155"/>
      <c r="J86" s="155"/>
      <c r="K86" s="155"/>
      <c r="L86" s="155"/>
      <c r="M86" s="155"/>
      <c r="N86" s="155"/>
    </row>
    <row r="87" ht="12.75" spans="1:14">
      <c r="A87" s="44" t="s">
        <v>674</v>
      </c>
      <c r="B87" s="44"/>
      <c r="C87" s="53"/>
      <c r="D87" s="53"/>
      <c r="E87" s="53"/>
      <c r="F87" s="53"/>
      <c r="G87" s="53"/>
      <c r="H87" s="53"/>
      <c r="I87" s="53"/>
      <c r="J87" s="54"/>
      <c r="K87" s="54"/>
      <c r="L87" s="54"/>
      <c r="M87" s="54"/>
      <c r="N87" s="54"/>
    </row>
    <row r="88" ht="13.5" spans="1:14">
      <c r="A88" s="44" t="s">
        <v>675</v>
      </c>
      <c r="B88" s="44"/>
      <c r="C88" s="53"/>
      <c r="D88" s="53"/>
      <c r="E88" s="53"/>
      <c r="F88" s="53"/>
      <c r="G88" s="53"/>
      <c r="H88" s="53"/>
      <c r="I88" s="53"/>
      <c r="J88" s="54"/>
      <c r="K88" s="54"/>
      <c r="L88" s="54"/>
      <c r="M88" s="54"/>
      <c r="N88" s="54"/>
    </row>
    <row r="89" ht="19.5" customHeight="1" spans="1:14">
      <c r="A89" s="156" t="s">
        <v>676</v>
      </c>
      <c r="B89" s="44"/>
      <c r="C89" s="53"/>
      <c r="D89" s="53"/>
      <c r="E89" s="157"/>
      <c r="F89" s="158"/>
      <c r="G89" s="159" t="s">
        <v>677</v>
      </c>
      <c r="H89" s="159" t="s">
        <v>678</v>
      </c>
      <c r="I89" s="159" t="s">
        <v>679</v>
      </c>
      <c r="J89" s="159" t="s">
        <v>680</v>
      </c>
      <c r="K89" s="159" t="s">
        <v>681</v>
      </c>
      <c r="L89" s="44"/>
      <c r="M89" s="44"/>
      <c r="N89" s="44"/>
    </row>
    <row r="90" ht="14.25" spans="1:14">
      <c r="A90" s="160" t="s">
        <v>682</v>
      </c>
      <c r="B90" s="161" t="s">
        <v>487</v>
      </c>
      <c r="C90" s="162" t="s">
        <v>683</v>
      </c>
      <c r="D90" s="163" t="s">
        <v>684</v>
      </c>
      <c r="E90" s="157"/>
      <c r="F90" s="164" t="s">
        <v>685</v>
      </c>
      <c r="G90" s="165">
        <v>3</v>
      </c>
      <c r="H90" s="165">
        <v>2</v>
      </c>
      <c r="I90" s="165">
        <v>1</v>
      </c>
      <c r="J90" s="165">
        <v>0.2</v>
      </c>
      <c r="K90" s="218">
        <v>0.1</v>
      </c>
      <c r="L90" s="44"/>
      <c r="M90" s="44"/>
      <c r="N90" s="44"/>
    </row>
    <row r="91" ht="15" customHeight="1" spans="1:14">
      <c r="A91" s="166"/>
      <c r="B91" s="44"/>
      <c r="C91" s="166"/>
      <c r="D91" s="53"/>
      <c r="E91" s="53"/>
      <c r="F91" s="53"/>
      <c r="G91" s="53"/>
      <c r="H91" s="53"/>
      <c r="I91" s="53"/>
      <c r="J91" s="44"/>
      <c r="K91" s="44"/>
      <c r="L91" s="44"/>
      <c r="M91" s="44"/>
      <c r="N91" s="44"/>
    </row>
    <row r="92" ht="15" customHeight="1" spans="1:14">
      <c r="A92" s="167" t="s">
        <v>686</v>
      </c>
      <c r="B92" s="159" t="s">
        <v>633</v>
      </c>
      <c r="C92" s="159"/>
      <c r="D92" s="159"/>
      <c r="E92" s="159"/>
      <c r="F92" s="159"/>
      <c r="G92" s="168" t="s">
        <v>687</v>
      </c>
      <c r="H92" s="168" t="s">
        <v>688</v>
      </c>
      <c r="I92" s="159" t="s">
        <v>689</v>
      </c>
      <c r="J92" s="159" t="s">
        <v>690</v>
      </c>
      <c r="K92" s="159" t="s">
        <v>691</v>
      </c>
      <c r="L92" s="219" t="s">
        <v>540</v>
      </c>
      <c r="M92" s="219"/>
      <c r="N92" s="219"/>
    </row>
    <row r="93" ht="15" customHeight="1" spans="1:19">
      <c r="A93" s="159"/>
      <c r="B93" s="159" t="s">
        <v>641</v>
      </c>
      <c r="C93" s="159" t="s">
        <v>642</v>
      </c>
      <c r="D93" s="159" t="s">
        <v>643</v>
      </c>
      <c r="E93" s="159" t="s">
        <v>644</v>
      </c>
      <c r="F93" s="159" t="s">
        <v>645</v>
      </c>
      <c r="G93" s="169"/>
      <c r="H93" s="169"/>
      <c r="I93" s="159"/>
      <c r="J93" s="159"/>
      <c r="K93" s="159"/>
      <c r="L93" s="220" t="s">
        <v>173</v>
      </c>
      <c r="M93" s="221" t="s">
        <v>174</v>
      </c>
      <c r="N93" s="220" t="s">
        <v>349</v>
      </c>
      <c r="P93" s="222" t="s">
        <v>216</v>
      </c>
      <c r="Q93" s="243">
        <v>0</v>
      </c>
      <c r="R93" s="243">
        <v>0.36</v>
      </c>
      <c r="S93" s="243">
        <v>0.72</v>
      </c>
    </row>
    <row r="94" ht="15" customHeight="1" spans="1:19">
      <c r="A94" s="159" t="str">
        <f>CONCATENATE("测试第",ROW(A94)-ROW($A$93),"轮")</f>
        <v>测试第1轮</v>
      </c>
      <c r="B94" s="170">
        <v>0</v>
      </c>
      <c r="C94" s="170">
        <v>0</v>
      </c>
      <c r="D94" s="170">
        <v>19</v>
      </c>
      <c r="E94" s="170">
        <v>38</v>
      </c>
      <c r="F94" s="170">
        <v>3</v>
      </c>
      <c r="G94" s="171">
        <f t="shared" ref="G94:G97" si="9">I94-H94</f>
        <v>26.9</v>
      </c>
      <c r="H94" s="172">
        <v>0</v>
      </c>
      <c r="I94" s="171">
        <f t="shared" ref="I94:I101" si="10">B94*$G$7+C94*$H$7+D94*$I$7+E94*$J$7+F94*$K$7</f>
        <v>26.9</v>
      </c>
      <c r="J94" s="223">
        <f>规模!C13</f>
        <v>126.95</v>
      </c>
      <c r="K94" s="224">
        <f t="shared" ref="K94:K100" si="11">I94/J94</f>
        <v>0.211894446632533</v>
      </c>
      <c r="L94" s="225">
        <v>0</v>
      </c>
      <c r="M94" s="226">
        <v>1.2</v>
      </c>
      <c r="N94" s="225">
        <v>2.4</v>
      </c>
      <c r="P94" s="222" t="s">
        <v>218</v>
      </c>
      <c r="Q94" s="243">
        <v>0.0002</v>
      </c>
      <c r="R94" s="243">
        <v>0.2</v>
      </c>
      <c r="S94" s="243">
        <v>0.3998</v>
      </c>
    </row>
    <row r="95" ht="15" customHeight="1" spans="1:19">
      <c r="A95" s="159" t="str">
        <f>CONCATENATE("测试第",ROW(A95)-ROW($A$93),"轮")</f>
        <v>测试第2轮</v>
      </c>
      <c r="B95" s="170">
        <v>0</v>
      </c>
      <c r="C95" s="170">
        <v>0</v>
      </c>
      <c r="D95" s="170">
        <v>34</v>
      </c>
      <c r="E95" s="170">
        <v>53</v>
      </c>
      <c r="F95" s="170">
        <v>0</v>
      </c>
      <c r="G95" s="171">
        <f t="shared" si="9"/>
        <v>44.6</v>
      </c>
      <c r="H95" s="172">
        <v>0</v>
      </c>
      <c r="I95" s="171">
        <f t="shared" si="10"/>
        <v>44.6</v>
      </c>
      <c r="J95" s="223">
        <f>规模!C14</f>
        <v>126.95</v>
      </c>
      <c r="K95" s="224">
        <f t="shared" si="11"/>
        <v>0.351319417093344</v>
      </c>
      <c r="L95" s="225">
        <v>0</v>
      </c>
      <c r="M95" s="226">
        <v>1.2</v>
      </c>
      <c r="N95" s="225">
        <v>2.4</v>
      </c>
      <c r="P95" s="227" t="s">
        <v>217</v>
      </c>
      <c r="Q95" s="244">
        <v>0</v>
      </c>
      <c r="R95" s="244">
        <v>1.2</v>
      </c>
      <c r="S95" s="244">
        <v>2.4</v>
      </c>
    </row>
    <row r="96" ht="33" spans="1:19">
      <c r="A96" s="159" t="str">
        <f>CONCATENATE("测试第",ROW(A96)-ROW($A$93),"轮")</f>
        <v>测试第3轮</v>
      </c>
      <c r="B96" s="170">
        <v>0</v>
      </c>
      <c r="C96" s="170">
        <v>0</v>
      </c>
      <c r="D96" s="170">
        <v>36</v>
      </c>
      <c r="E96" s="170">
        <v>59</v>
      </c>
      <c r="F96" s="170">
        <v>1</v>
      </c>
      <c r="G96" s="171">
        <f t="shared" si="9"/>
        <v>47.9</v>
      </c>
      <c r="H96" s="172">
        <v>0</v>
      </c>
      <c r="I96" s="171">
        <f t="shared" si="10"/>
        <v>47.9</v>
      </c>
      <c r="J96" s="223">
        <f>规模!C15</f>
        <v>126.95</v>
      </c>
      <c r="K96" s="224">
        <f t="shared" si="11"/>
        <v>0.377313903111461</v>
      </c>
      <c r="L96" s="225">
        <v>0</v>
      </c>
      <c r="M96" s="226">
        <v>1.2</v>
      </c>
      <c r="N96" s="225">
        <v>2.4</v>
      </c>
      <c r="P96" s="227" t="s">
        <v>219</v>
      </c>
      <c r="Q96" s="244">
        <v>0.002</v>
      </c>
      <c r="R96" s="244">
        <v>0.92</v>
      </c>
      <c r="S96" s="244">
        <v>1.838</v>
      </c>
    </row>
    <row r="97" spans="1:14">
      <c r="A97" s="159" t="str">
        <f>CONCATENATE("测试第",ROW(A97)-ROW($A$93),"轮")</f>
        <v>测试第4轮</v>
      </c>
      <c r="B97" s="170"/>
      <c r="C97" s="170"/>
      <c r="D97" s="170"/>
      <c r="E97" s="170"/>
      <c r="F97" s="170"/>
      <c r="G97" s="171">
        <f t="shared" si="9"/>
        <v>0</v>
      </c>
      <c r="H97" s="172"/>
      <c r="I97" s="171">
        <f t="shared" si="10"/>
        <v>0</v>
      </c>
      <c r="J97" s="223"/>
      <c r="K97" s="224" t="e">
        <f t="shared" si="11"/>
        <v>#DIV/0!</v>
      </c>
      <c r="L97" s="225">
        <v>0</v>
      </c>
      <c r="M97" s="226">
        <v>1.2</v>
      </c>
      <c r="N97" s="225">
        <v>2.4</v>
      </c>
    </row>
    <row r="98" ht="12.75" customHeight="1" spans="1:14">
      <c r="A98" s="159" t="s">
        <v>692</v>
      </c>
      <c r="B98" s="173" t="str">
        <f t="shared" ref="B98:F98" si="12">"-"</f>
        <v>-</v>
      </c>
      <c r="C98" s="173" t="str">
        <f t="shared" si="12"/>
        <v>-</v>
      </c>
      <c r="D98" s="173" t="str">
        <f t="shared" si="12"/>
        <v>-</v>
      </c>
      <c r="E98" s="173" t="str">
        <f t="shared" si="12"/>
        <v>-</v>
      </c>
      <c r="F98" s="173" t="str">
        <f t="shared" si="12"/>
        <v>-</v>
      </c>
      <c r="G98" s="174" t="s">
        <v>178</v>
      </c>
      <c r="H98" s="174" t="s">
        <v>178</v>
      </c>
      <c r="I98" s="228" t="e">
        <f t="shared" si="10"/>
        <v>#VALUE!</v>
      </c>
      <c r="J98" s="229" t="s">
        <v>178</v>
      </c>
      <c r="K98" s="230" t="e">
        <f t="shared" si="11"/>
        <v>#VALUE!</v>
      </c>
      <c r="L98" s="231">
        <f t="shared" ref="L98" si="13">$L$17</f>
        <v>0</v>
      </c>
      <c r="M98" s="231">
        <f t="shared" ref="M98" si="14">$M$17</f>
        <v>1.2</v>
      </c>
      <c r="N98" s="231">
        <f t="shared" ref="N98" si="15">$N$17</f>
        <v>2.4</v>
      </c>
    </row>
    <row r="99" ht="12.75" customHeight="1" spans="1:14">
      <c r="A99" s="159" t="s">
        <v>693</v>
      </c>
      <c r="B99" s="175">
        <f t="shared" ref="B99:H99" si="16">SUM(B94:B98)</f>
        <v>0</v>
      </c>
      <c r="C99" s="175">
        <f t="shared" si="16"/>
        <v>0</v>
      </c>
      <c r="D99" s="175">
        <f t="shared" si="16"/>
        <v>89</v>
      </c>
      <c r="E99" s="175">
        <f t="shared" si="16"/>
        <v>150</v>
      </c>
      <c r="F99" s="175">
        <f t="shared" si="16"/>
        <v>4</v>
      </c>
      <c r="G99" s="171">
        <f t="shared" si="16"/>
        <v>119.4</v>
      </c>
      <c r="H99" s="171">
        <f t="shared" si="16"/>
        <v>0</v>
      </c>
      <c r="I99" s="171">
        <f t="shared" si="10"/>
        <v>119.4</v>
      </c>
      <c r="J99" s="232">
        <f>规模!C13</f>
        <v>126.95</v>
      </c>
      <c r="K99" s="224">
        <f t="shared" si="11"/>
        <v>0.940527766837338</v>
      </c>
      <c r="L99" s="225">
        <v>0</v>
      </c>
      <c r="M99" s="226">
        <v>1.2</v>
      </c>
      <c r="N99" s="225">
        <v>2.4</v>
      </c>
    </row>
    <row r="100" spans="1:14">
      <c r="A100" s="159" t="s">
        <v>694</v>
      </c>
      <c r="B100" s="170">
        <v>0</v>
      </c>
      <c r="C100" s="170">
        <v>0</v>
      </c>
      <c r="D100" s="170">
        <v>0</v>
      </c>
      <c r="E100" s="170">
        <v>0</v>
      </c>
      <c r="F100" s="170">
        <v>0</v>
      </c>
      <c r="G100" s="170">
        <v>0</v>
      </c>
      <c r="H100" s="170">
        <v>0</v>
      </c>
      <c r="I100" s="171">
        <f t="shared" si="10"/>
        <v>0</v>
      </c>
      <c r="J100" s="232">
        <f>规模!C14</f>
        <v>126.95</v>
      </c>
      <c r="K100" s="224">
        <f t="shared" si="11"/>
        <v>0</v>
      </c>
      <c r="L100" s="225">
        <v>0</v>
      </c>
      <c r="M100" s="226">
        <v>1.2</v>
      </c>
      <c r="N100" s="225">
        <v>2.4</v>
      </c>
    </row>
    <row r="101" ht="12.75" customHeight="1" spans="1:14">
      <c r="A101" s="176" t="s">
        <v>695</v>
      </c>
      <c r="B101" s="177">
        <v>0</v>
      </c>
      <c r="C101" s="177">
        <v>0</v>
      </c>
      <c r="D101" s="177">
        <v>1</v>
      </c>
      <c r="E101" s="177">
        <v>0</v>
      </c>
      <c r="F101" s="177">
        <v>0</v>
      </c>
      <c r="G101" s="177">
        <v>0</v>
      </c>
      <c r="H101" s="177">
        <v>0</v>
      </c>
      <c r="I101" s="171">
        <f t="shared" si="10"/>
        <v>1</v>
      </c>
      <c r="J101" s="232">
        <f>规模!C15</f>
        <v>126.95</v>
      </c>
      <c r="K101" s="262">
        <f>I101/(I99+I100+过程产出缺陷度量!I223)</f>
        <v>0.00837520938023451</v>
      </c>
      <c r="L101" s="225">
        <v>0</v>
      </c>
      <c r="M101" s="226">
        <v>1.2</v>
      </c>
      <c r="N101" s="225">
        <v>2.4</v>
      </c>
    </row>
    <row r="102" ht="16.5" customHeight="1"/>
    <row r="103" ht="23.1" customHeight="1"/>
    <row r="104" spans="12:14">
      <c r="L104" s="233"/>
      <c r="M104" s="233"/>
      <c r="N104" s="233"/>
    </row>
    <row r="105" ht="15" customHeight="1" spans="12:14">
      <c r="L105" s="233"/>
      <c r="M105" s="233"/>
      <c r="N105" s="233"/>
    </row>
    <row r="106" customHeight="1"/>
    <row r="107" ht="24.95" customHeight="1"/>
    <row r="108" ht="18" customHeight="1"/>
    <row r="110" ht="23.1" customHeight="1"/>
    <row r="111" ht="23.1" customHeight="1"/>
    <row r="112" ht="23.1" customHeight="1"/>
    <row r="113" ht="23.1" customHeight="1"/>
    <row r="114" ht="23.1" customHeight="1"/>
    <row r="115" ht="23.1" customHeight="1" spans="1:10">
      <c r="A115" s="78" t="s">
        <v>696</v>
      </c>
      <c r="B115" s="70"/>
      <c r="G115" s="78" t="s">
        <v>697</v>
      </c>
      <c r="H115" s="106"/>
      <c r="I115" s="70"/>
      <c r="J115" s="70"/>
    </row>
    <row r="116" ht="23.1" customHeight="1" spans="1:7">
      <c r="A116" s="79" t="s">
        <v>698</v>
      </c>
      <c r="G116" s="79" t="s">
        <v>699</v>
      </c>
    </row>
    <row r="117" ht="30" customHeight="1" spans="1:14">
      <c r="A117" s="178" t="s">
        <v>700</v>
      </c>
      <c r="F117" s="179"/>
      <c r="G117" s="178" t="s">
        <v>701</v>
      </c>
      <c r="H117" s="79"/>
      <c r="M117" s="179"/>
      <c r="N117" s="179"/>
    </row>
    <row r="118" ht="33.95" customHeight="1" spans="1:15">
      <c r="A118" s="180" t="s">
        <v>702</v>
      </c>
      <c r="B118" s="181" t="s">
        <v>703</v>
      </c>
      <c r="C118" s="182">
        <v>9</v>
      </c>
      <c r="D118" s="183" t="s">
        <v>704</v>
      </c>
      <c r="E118" s="184">
        <f>1-(C118/C119)</f>
        <v>0.99</v>
      </c>
      <c r="F118" s="179"/>
      <c r="G118" s="185" t="s">
        <v>705</v>
      </c>
      <c r="H118" s="186" t="s">
        <v>706</v>
      </c>
      <c r="I118" s="234" t="s">
        <v>707</v>
      </c>
      <c r="J118" s="235"/>
      <c r="K118" s="236" t="s">
        <v>172</v>
      </c>
      <c r="M118" s="179"/>
      <c r="N118" s="179"/>
      <c r="O118" s="46"/>
    </row>
    <row r="119" ht="23.1" customHeight="1" spans="1:15">
      <c r="A119" s="187"/>
      <c r="B119" s="188" t="s">
        <v>708</v>
      </c>
      <c r="C119" s="189">
        <v>900</v>
      </c>
      <c r="D119" s="190"/>
      <c r="E119" s="191"/>
      <c r="G119" s="192"/>
      <c r="H119" s="193"/>
      <c r="I119" s="237"/>
      <c r="J119" s="238"/>
      <c r="K119" s="236"/>
      <c r="O119" s="46"/>
    </row>
    <row r="120" ht="23.1" customHeight="1" spans="7:15">
      <c r="G120" s="194"/>
      <c r="H120" s="195">
        <v>3</v>
      </c>
      <c r="I120" s="239">
        <v>3</v>
      </c>
      <c r="J120" s="240"/>
      <c r="K120" s="241"/>
      <c r="O120" s="46"/>
    </row>
    <row r="121" ht="23.1" customHeight="1" spans="1:15">
      <c r="A121" s="180" t="s">
        <v>709</v>
      </c>
      <c r="B121" s="181" t="s">
        <v>710</v>
      </c>
      <c r="C121" s="182">
        <v>0</v>
      </c>
      <c r="D121" s="183" t="s">
        <v>704</v>
      </c>
      <c r="E121" s="184">
        <f>1-(C121/C122)</f>
        <v>1</v>
      </c>
      <c r="G121" s="196"/>
      <c r="H121" s="197"/>
      <c r="I121" s="197"/>
      <c r="J121" s="197"/>
      <c r="K121" s="146"/>
      <c r="O121" s="46"/>
    </row>
    <row r="122" ht="12.75" spans="1:11">
      <c r="A122" s="187"/>
      <c r="B122" s="188" t="s">
        <v>711</v>
      </c>
      <c r="C122" s="189">
        <v>3</v>
      </c>
      <c r="D122" s="190"/>
      <c r="E122" s="191"/>
      <c r="G122" s="196"/>
      <c r="H122" s="197"/>
      <c r="I122" s="197"/>
      <c r="J122" s="197"/>
      <c r="K122" s="146"/>
    </row>
    <row r="123" ht="12.75" spans="7:11">
      <c r="G123" s="196"/>
      <c r="H123" s="197"/>
      <c r="I123" s="197"/>
      <c r="J123" s="197"/>
      <c r="K123" s="146"/>
    </row>
    <row r="124" spans="1:2">
      <c r="A124" s="78" t="s">
        <v>712</v>
      </c>
      <c r="B124" s="70"/>
    </row>
    <row r="125" ht="23.1" customHeight="1" spans="1:1">
      <c r="A125" s="79" t="s">
        <v>713</v>
      </c>
    </row>
    <row r="126" ht="23.1" customHeight="1" spans="1:1">
      <c r="A126" s="178" t="s">
        <v>714</v>
      </c>
    </row>
    <row r="127" ht="23.1" customHeight="1"/>
    <row r="128" ht="23.1" customHeight="1" spans="1:5">
      <c r="A128" s="198" t="s">
        <v>85</v>
      </c>
      <c r="B128" s="199" t="s">
        <v>715</v>
      </c>
      <c r="C128" s="199" t="s">
        <v>716</v>
      </c>
      <c r="D128" s="199" t="s">
        <v>172</v>
      </c>
      <c r="E128" s="200"/>
    </row>
    <row r="129" ht="23.1" customHeight="1" spans="1:5">
      <c r="A129" s="201">
        <v>1</v>
      </c>
      <c r="B129" s="202" t="s">
        <v>545</v>
      </c>
      <c r="C129" s="203">
        <v>6</v>
      </c>
      <c r="D129" s="204"/>
      <c r="E129" s="205"/>
    </row>
    <row r="130" ht="23.1" customHeight="1" spans="1:5">
      <c r="A130" s="201">
        <v>2</v>
      </c>
      <c r="B130" s="202" t="s">
        <v>546</v>
      </c>
      <c r="C130" s="203">
        <v>1</v>
      </c>
      <c r="D130" s="204"/>
      <c r="E130" s="205"/>
    </row>
    <row r="131" ht="23.1" customHeight="1" spans="1:5">
      <c r="A131" s="201">
        <v>3</v>
      </c>
      <c r="B131" s="202" t="s">
        <v>717</v>
      </c>
      <c r="C131" s="203">
        <v>154</v>
      </c>
      <c r="D131" s="204"/>
      <c r="E131" s="205"/>
    </row>
    <row r="132" ht="23.1" customHeight="1" spans="1:5">
      <c r="A132" s="201">
        <v>4</v>
      </c>
      <c r="B132" s="202" t="s">
        <v>718</v>
      </c>
      <c r="C132" s="203">
        <v>6</v>
      </c>
      <c r="D132" s="204"/>
      <c r="E132" s="205"/>
    </row>
    <row r="133" ht="23.1" customHeight="1" spans="1:5">
      <c r="A133" s="206">
        <v>5</v>
      </c>
      <c r="B133" s="207" t="s">
        <v>719</v>
      </c>
      <c r="C133" s="208">
        <v>76</v>
      </c>
      <c r="D133" s="209"/>
      <c r="E133" s="210"/>
    </row>
    <row r="134" ht="12.75" spans="2:2">
      <c r="B134" s="46"/>
    </row>
    <row r="135" spans="2:2">
      <c r="B135" s="46"/>
    </row>
    <row r="136" spans="1:2">
      <c r="A136" s="78" t="s">
        <v>720</v>
      </c>
      <c r="B136" s="211"/>
    </row>
    <row r="137" ht="20.25" customHeight="1" spans="1:2">
      <c r="A137" s="79" t="s">
        <v>721</v>
      </c>
      <c r="B137" s="46"/>
    </row>
    <row r="138" ht="12.75" spans="1:2">
      <c r="A138" s="178" t="s">
        <v>714</v>
      </c>
      <c r="B138" s="46"/>
    </row>
    <row r="139" ht="12.75" spans="1:5">
      <c r="A139" s="198" t="s">
        <v>85</v>
      </c>
      <c r="B139" s="198" t="s">
        <v>722</v>
      </c>
      <c r="C139" s="199" t="s">
        <v>716</v>
      </c>
      <c r="D139" s="199" t="s">
        <v>172</v>
      </c>
      <c r="E139" s="200"/>
    </row>
    <row r="140" spans="1:5">
      <c r="A140" s="201">
        <v>1</v>
      </c>
      <c r="B140" s="212" t="s">
        <v>723</v>
      </c>
      <c r="C140" s="213">
        <v>2</v>
      </c>
      <c r="D140" s="213"/>
      <c r="E140" s="214"/>
    </row>
    <row r="141" spans="1:5">
      <c r="A141" s="201">
        <v>2</v>
      </c>
      <c r="B141" s="212" t="s">
        <v>724</v>
      </c>
      <c r="C141" s="213">
        <v>106</v>
      </c>
      <c r="D141" s="213"/>
      <c r="E141" s="214"/>
    </row>
    <row r="142" spans="1:5">
      <c r="A142" s="201">
        <v>3</v>
      </c>
      <c r="B142" s="212" t="s">
        <v>725</v>
      </c>
      <c r="C142" s="213">
        <v>119</v>
      </c>
      <c r="D142" s="213"/>
      <c r="E142" s="214"/>
    </row>
    <row r="143" spans="1:5">
      <c r="A143" s="201">
        <v>4</v>
      </c>
      <c r="B143" s="212" t="s">
        <v>719</v>
      </c>
      <c r="C143" s="213">
        <v>9</v>
      </c>
      <c r="D143" s="213"/>
      <c r="E143" s="214"/>
    </row>
    <row r="144" ht="12.75" spans="1:5">
      <c r="A144" s="201">
        <v>5</v>
      </c>
      <c r="B144" s="215" t="s">
        <v>726</v>
      </c>
      <c r="C144" s="213">
        <v>5</v>
      </c>
      <c r="D144" s="213"/>
      <c r="E144" s="214"/>
    </row>
    <row r="145" ht="13.5" spans="1:5">
      <c r="A145" s="206">
        <v>6</v>
      </c>
      <c r="B145" s="215" t="s">
        <v>735</v>
      </c>
      <c r="C145" s="216">
        <v>2</v>
      </c>
      <c r="D145" s="216"/>
      <c r="E145" s="217"/>
    </row>
    <row r="146" ht="12.75" spans="2:2">
      <c r="B146" s="46"/>
    </row>
    <row r="147" spans="2:2">
      <c r="B147" s="46"/>
    </row>
    <row r="148" spans="1:14">
      <c r="A148" s="79" t="s">
        <v>727</v>
      </c>
      <c r="B148" s="46"/>
      <c r="H148" s="46"/>
      <c r="I148" s="242"/>
      <c r="J148" s="46"/>
      <c r="K148" s="46"/>
      <c r="L148" s="46"/>
      <c r="M148" s="242"/>
      <c r="N148" s="46"/>
    </row>
    <row r="149" spans="1:2">
      <c r="A149" s="79" t="s">
        <v>728</v>
      </c>
      <c r="B149" s="46"/>
    </row>
    <row r="150" spans="1:9">
      <c r="A150" s="79" t="s">
        <v>729</v>
      </c>
      <c r="B150" s="46"/>
      <c r="I150" s="79"/>
    </row>
    <row r="151" ht="12.75" spans="1:9">
      <c r="A151" s="79" t="s">
        <v>730</v>
      </c>
      <c r="B151" s="46"/>
      <c r="I151" s="79"/>
    </row>
    <row r="152" ht="12.75" spans="1:6">
      <c r="A152" s="198" t="s">
        <v>85</v>
      </c>
      <c r="B152" s="198" t="s">
        <v>731</v>
      </c>
      <c r="C152" s="199" t="s">
        <v>716</v>
      </c>
      <c r="D152" s="245" t="s">
        <v>172</v>
      </c>
      <c r="E152" s="246"/>
      <c r="F152" s="247"/>
    </row>
    <row r="153" spans="1:9">
      <c r="A153" s="201">
        <v>1</v>
      </c>
      <c r="B153" s="248" t="s">
        <v>732</v>
      </c>
      <c r="C153" s="213">
        <v>4</v>
      </c>
      <c r="D153" s="249"/>
      <c r="E153" s="250"/>
      <c r="F153" s="251"/>
      <c r="I153" s="79"/>
    </row>
    <row r="154" spans="1:6">
      <c r="A154" s="201">
        <v>2</v>
      </c>
      <c r="B154" s="248" t="s">
        <v>736</v>
      </c>
      <c r="C154" s="213">
        <v>1</v>
      </c>
      <c r="D154" s="249"/>
      <c r="E154" s="250"/>
      <c r="F154" s="251"/>
    </row>
    <row r="155" spans="1:6">
      <c r="A155" s="201">
        <v>3</v>
      </c>
      <c r="B155" s="248" t="s">
        <v>733</v>
      </c>
      <c r="C155" s="213">
        <v>226</v>
      </c>
      <c r="D155" s="249"/>
      <c r="E155" s="250"/>
      <c r="F155" s="251"/>
    </row>
    <row r="156" spans="1:6">
      <c r="A156" s="201">
        <v>4</v>
      </c>
      <c r="B156" s="248" t="s">
        <v>734</v>
      </c>
      <c r="C156" s="213">
        <v>12</v>
      </c>
      <c r="D156" s="249"/>
      <c r="E156" s="250"/>
      <c r="F156" s="251"/>
    </row>
    <row r="157" spans="1:6">
      <c r="A157" s="201">
        <v>5</v>
      </c>
      <c r="B157" s="252"/>
      <c r="C157" s="253"/>
      <c r="D157" s="249"/>
      <c r="E157" s="250"/>
      <c r="F157" s="251"/>
    </row>
    <row r="158" spans="1:6">
      <c r="A158" s="254">
        <v>6</v>
      </c>
      <c r="B158" s="255"/>
      <c r="C158" s="255"/>
      <c r="D158" s="249"/>
      <c r="E158" s="250"/>
      <c r="F158" s="251"/>
    </row>
    <row r="159" ht="12.75" spans="1:6">
      <c r="A159" s="256">
        <v>7</v>
      </c>
      <c r="B159" s="257"/>
      <c r="C159" s="258"/>
      <c r="D159" s="259"/>
      <c r="E159" s="260"/>
      <c r="F159" s="261"/>
    </row>
    <row r="160" ht="12.75" spans="2:2">
      <c r="B160" s="46"/>
    </row>
    <row r="161" ht="27" customHeight="1"/>
    <row r="169" ht="20.25" spans="1:1">
      <c r="A169" s="49" t="s">
        <v>406</v>
      </c>
    </row>
    <row r="170" ht="20.25" spans="1:14">
      <c r="A170" s="69" t="s">
        <v>673</v>
      </c>
      <c r="B170" s="154"/>
      <c r="C170" s="155"/>
      <c r="D170" s="155"/>
      <c r="E170" s="155"/>
      <c r="F170" s="155"/>
      <c r="G170" s="155"/>
      <c r="H170" s="155"/>
      <c r="I170" s="155"/>
      <c r="J170" s="155"/>
      <c r="K170" s="155"/>
      <c r="L170" s="155"/>
      <c r="M170" s="155"/>
      <c r="N170" s="155"/>
    </row>
    <row r="171" ht="12.75" spans="1:14">
      <c r="A171" s="44" t="s">
        <v>674</v>
      </c>
      <c r="B171" s="44"/>
      <c r="C171" s="53"/>
      <c r="D171" s="53"/>
      <c r="E171" s="53"/>
      <c r="F171" s="53"/>
      <c r="G171" s="53"/>
      <c r="H171" s="53"/>
      <c r="I171" s="53"/>
      <c r="J171" s="54"/>
      <c r="K171" s="54"/>
      <c r="L171" s="54"/>
      <c r="M171" s="54"/>
      <c r="N171" s="54"/>
    </row>
    <row r="172" ht="13.5" spans="1:14">
      <c r="A172" s="44" t="s">
        <v>675</v>
      </c>
      <c r="B172" s="44"/>
      <c r="C172" s="53"/>
      <c r="D172" s="53"/>
      <c r="E172" s="53"/>
      <c r="F172" s="53"/>
      <c r="G172" s="53"/>
      <c r="H172" s="53"/>
      <c r="I172" s="53"/>
      <c r="J172" s="54"/>
      <c r="K172" s="54"/>
      <c r="L172" s="54"/>
      <c r="M172" s="54"/>
      <c r="N172" s="54"/>
    </row>
    <row r="173" ht="19.5" customHeight="1" spans="1:14">
      <c r="A173" s="156" t="s">
        <v>676</v>
      </c>
      <c r="B173" s="44"/>
      <c r="C173" s="53"/>
      <c r="D173" s="53"/>
      <c r="E173" s="157"/>
      <c r="F173" s="158"/>
      <c r="G173" s="159" t="s">
        <v>677</v>
      </c>
      <c r="H173" s="159" t="s">
        <v>678</v>
      </c>
      <c r="I173" s="159" t="s">
        <v>679</v>
      </c>
      <c r="J173" s="159" t="s">
        <v>680</v>
      </c>
      <c r="K173" s="159" t="s">
        <v>681</v>
      </c>
      <c r="L173" s="44"/>
      <c r="M173" s="44"/>
      <c r="N173" s="44"/>
    </row>
    <row r="174" ht="14.25" spans="1:14">
      <c r="A174" s="160" t="s">
        <v>682</v>
      </c>
      <c r="B174" s="161" t="s">
        <v>487</v>
      </c>
      <c r="C174" s="162" t="s">
        <v>683</v>
      </c>
      <c r="D174" s="163" t="s">
        <v>684</v>
      </c>
      <c r="E174" s="157"/>
      <c r="F174" s="164" t="s">
        <v>685</v>
      </c>
      <c r="G174" s="165">
        <v>3</v>
      </c>
      <c r="H174" s="165">
        <v>2</v>
      </c>
      <c r="I174" s="165">
        <v>1</v>
      </c>
      <c r="J174" s="165">
        <v>0.2</v>
      </c>
      <c r="K174" s="218">
        <v>0.1</v>
      </c>
      <c r="L174" s="44"/>
      <c r="M174" s="44"/>
      <c r="N174" s="44"/>
    </row>
    <row r="175" ht="15" customHeight="1" spans="1:14">
      <c r="A175" s="166"/>
      <c r="B175" s="44"/>
      <c r="C175" s="166"/>
      <c r="D175" s="53"/>
      <c r="E175" s="53"/>
      <c r="F175" s="53"/>
      <c r="G175" s="53"/>
      <c r="H175" s="53"/>
      <c r="I175" s="53"/>
      <c r="J175" s="44"/>
      <c r="K175" s="44"/>
      <c r="L175" s="44"/>
      <c r="M175" s="44"/>
      <c r="N175" s="44"/>
    </row>
    <row r="176" ht="15" customHeight="1" spans="1:14">
      <c r="A176" s="167" t="s">
        <v>686</v>
      </c>
      <c r="B176" s="159" t="s">
        <v>633</v>
      </c>
      <c r="C176" s="159"/>
      <c r="D176" s="159"/>
      <c r="E176" s="159"/>
      <c r="F176" s="159"/>
      <c r="G176" s="168" t="s">
        <v>687</v>
      </c>
      <c r="H176" s="168" t="s">
        <v>688</v>
      </c>
      <c r="I176" s="159" t="s">
        <v>689</v>
      </c>
      <c r="J176" s="159" t="s">
        <v>690</v>
      </c>
      <c r="K176" s="159" t="s">
        <v>691</v>
      </c>
      <c r="L176" s="219" t="s">
        <v>540</v>
      </c>
      <c r="M176" s="219"/>
      <c r="N176" s="219"/>
    </row>
    <row r="177" ht="15" customHeight="1" spans="1:19">
      <c r="A177" s="159"/>
      <c r="B177" s="159" t="s">
        <v>641</v>
      </c>
      <c r="C177" s="159" t="s">
        <v>642</v>
      </c>
      <c r="D177" s="159" t="s">
        <v>643</v>
      </c>
      <c r="E177" s="159" t="s">
        <v>644</v>
      </c>
      <c r="F177" s="159" t="s">
        <v>645</v>
      </c>
      <c r="G177" s="169"/>
      <c r="H177" s="169"/>
      <c r="I177" s="159"/>
      <c r="J177" s="159"/>
      <c r="K177" s="159"/>
      <c r="L177" s="220" t="s">
        <v>173</v>
      </c>
      <c r="M177" s="221" t="s">
        <v>174</v>
      </c>
      <c r="N177" s="220" t="s">
        <v>349</v>
      </c>
      <c r="P177" s="222" t="s">
        <v>216</v>
      </c>
      <c r="Q177" s="243">
        <v>0</v>
      </c>
      <c r="R177" s="243">
        <v>0.36</v>
      </c>
      <c r="S177" s="243">
        <v>0.72</v>
      </c>
    </row>
    <row r="178" ht="15" customHeight="1" spans="1:19">
      <c r="A178" s="159" t="str">
        <f>CONCATENATE("测试第",ROW(A178)-ROW($A$177),"轮")</f>
        <v>测试第1轮</v>
      </c>
      <c r="B178" s="170">
        <v>0</v>
      </c>
      <c r="C178" s="170">
        <v>0</v>
      </c>
      <c r="D178" s="170">
        <v>1</v>
      </c>
      <c r="E178" s="170">
        <v>19</v>
      </c>
      <c r="F178" s="170">
        <v>0</v>
      </c>
      <c r="G178" s="171">
        <f t="shared" ref="G178:G181" si="17">I178-H178</f>
        <v>4.8</v>
      </c>
      <c r="H178" s="172">
        <v>0</v>
      </c>
      <c r="I178" s="171">
        <f t="shared" ref="I178:I184" si="18">B178*$G$7+C178*$H$7+D178*$I$7+E178*$J$7+F178*$K$7</f>
        <v>4.8</v>
      </c>
      <c r="J178" s="223">
        <f>规模!C18</f>
        <v>43.17</v>
      </c>
      <c r="K178" s="224">
        <f t="shared" ref="K178:K185" si="19">I178/J178</f>
        <v>0.111188325225851</v>
      </c>
      <c r="L178" s="225">
        <v>0</v>
      </c>
      <c r="M178" s="226">
        <v>1.2</v>
      </c>
      <c r="N178" s="225">
        <v>2.4</v>
      </c>
      <c r="P178" s="222" t="s">
        <v>218</v>
      </c>
      <c r="Q178" s="243">
        <v>0.0002</v>
      </c>
      <c r="R178" s="243">
        <v>0.2</v>
      </c>
      <c r="S178" s="243">
        <v>0.3998</v>
      </c>
    </row>
    <row r="179" ht="15" customHeight="1" spans="1:19">
      <c r="A179" s="159" t="str">
        <f>CONCATENATE("测试第",ROW(A179)-ROW($A$177),"轮")</f>
        <v>测试第2轮</v>
      </c>
      <c r="B179" s="170">
        <v>0</v>
      </c>
      <c r="C179" s="170">
        <v>0</v>
      </c>
      <c r="D179" s="170">
        <v>3</v>
      </c>
      <c r="E179" s="170">
        <v>9</v>
      </c>
      <c r="F179" s="170">
        <v>0</v>
      </c>
      <c r="G179" s="171">
        <f t="shared" si="17"/>
        <v>4.8</v>
      </c>
      <c r="H179" s="172">
        <v>0</v>
      </c>
      <c r="I179" s="171">
        <f t="shared" si="18"/>
        <v>4.8</v>
      </c>
      <c r="J179" s="223">
        <f>规模!C19</f>
        <v>43.17</v>
      </c>
      <c r="K179" s="224">
        <f t="shared" si="19"/>
        <v>0.111188325225851</v>
      </c>
      <c r="L179" s="225">
        <v>0</v>
      </c>
      <c r="M179" s="226">
        <v>1.2</v>
      </c>
      <c r="N179" s="225">
        <v>2.4</v>
      </c>
      <c r="P179" s="227" t="s">
        <v>217</v>
      </c>
      <c r="Q179" s="244">
        <v>0</v>
      </c>
      <c r="R179" s="244">
        <v>1.2</v>
      </c>
      <c r="S179" s="244">
        <v>2.4</v>
      </c>
    </row>
    <row r="180" ht="33" spans="1:19">
      <c r="A180" s="159" t="str">
        <f>CONCATENATE("测试第",ROW(A180)-ROW($A$177),"轮")</f>
        <v>测试第3轮</v>
      </c>
      <c r="B180" s="170">
        <v>0</v>
      </c>
      <c r="C180" s="170">
        <v>0</v>
      </c>
      <c r="D180" s="170">
        <v>0</v>
      </c>
      <c r="E180" s="170">
        <v>2</v>
      </c>
      <c r="F180" s="170">
        <v>0</v>
      </c>
      <c r="G180" s="171">
        <f t="shared" si="17"/>
        <v>0.4</v>
      </c>
      <c r="H180" s="172">
        <v>0</v>
      </c>
      <c r="I180" s="171">
        <f t="shared" si="18"/>
        <v>0.4</v>
      </c>
      <c r="J180" s="223">
        <f>规模!C20</f>
        <v>43.17</v>
      </c>
      <c r="K180" s="224">
        <f t="shared" si="19"/>
        <v>0.00926569376882094</v>
      </c>
      <c r="L180" s="225">
        <v>0</v>
      </c>
      <c r="M180" s="226">
        <v>1.2</v>
      </c>
      <c r="N180" s="225">
        <v>2.4</v>
      </c>
      <c r="P180" s="227" t="s">
        <v>219</v>
      </c>
      <c r="Q180" s="244">
        <v>0.002</v>
      </c>
      <c r="R180" s="244">
        <v>0.92</v>
      </c>
      <c r="S180" s="244">
        <v>1.838</v>
      </c>
    </row>
    <row r="181" spans="1:14">
      <c r="A181" s="159" t="str">
        <f>CONCATENATE("测试第",ROW(A181)-ROW($A$177),"轮")</f>
        <v>测试第4轮</v>
      </c>
      <c r="B181" s="170"/>
      <c r="C181" s="170"/>
      <c r="D181" s="170"/>
      <c r="E181" s="170"/>
      <c r="F181" s="170"/>
      <c r="G181" s="171">
        <f t="shared" si="17"/>
        <v>0</v>
      </c>
      <c r="H181" s="172"/>
      <c r="I181" s="171">
        <f t="shared" si="18"/>
        <v>0</v>
      </c>
      <c r="J181" s="223"/>
      <c r="K181" s="224" t="e">
        <f t="shared" si="19"/>
        <v>#DIV/0!</v>
      </c>
      <c r="L181" s="225">
        <v>0</v>
      </c>
      <c r="M181" s="226">
        <v>1.2</v>
      </c>
      <c r="N181" s="225">
        <v>2.4</v>
      </c>
    </row>
    <row r="182" ht="12.75" customHeight="1" spans="1:14">
      <c r="A182" s="159" t="s">
        <v>692</v>
      </c>
      <c r="B182" s="173" t="str">
        <f t="shared" ref="B182:F182" si="20">"-"</f>
        <v>-</v>
      </c>
      <c r="C182" s="173" t="str">
        <f t="shared" si="20"/>
        <v>-</v>
      </c>
      <c r="D182" s="173" t="str">
        <f t="shared" si="20"/>
        <v>-</v>
      </c>
      <c r="E182" s="173" t="str">
        <f t="shared" si="20"/>
        <v>-</v>
      </c>
      <c r="F182" s="173" t="str">
        <f t="shared" si="20"/>
        <v>-</v>
      </c>
      <c r="G182" s="174" t="s">
        <v>178</v>
      </c>
      <c r="H182" s="174" t="s">
        <v>178</v>
      </c>
      <c r="I182" s="228" t="e">
        <f t="shared" si="18"/>
        <v>#VALUE!</v>
      </c>
      <c r="J182" s="229" t="s">
        <v>178</v>
      </c>
      <c r="K182" s="230" t="e">
        <f t="shared" si="19"/>
        <v>#VALUE!</v>
      </c>
      <c r="L182" s="231">
        <f t="shared" ref="L182" si="21">$L$17</f>
        <v>0</v>
      </c>
      <c r="M182" s="231">
        <f t="shared" ref="M182" si="22">$M$17</f>
        <v>1.2</v>
      </c>
      <c r="N182" s="231">
        <f t="shared" ref="N182" si="23">$N$17</f>
        <v>2.4</v>
      </c>
    </row>
    <row r="183" ht="12.75" customHeight="1" spans="1:14">
      <c r="A183" s="159" t="s">
        <v>693</v>
      </c>
      <c r="B183" s="175">
        <f t="shared" ref="B183:H183" si="24">SUM(B178:B182)</f>
        <v>0</v>
      </c>
      <c r="C183" s="175">
        <f t="shared" si="24"/>
        <v>0</v>
      </c>
      <c r="D183" s="175">
        <f t="shared" si="24"/>
        <v>4</v>
      </c>
      <c r="E183" s="175">
        <f t="shared" si="24"/>
        <v>30</v>
      </c>
      <c r="F183" s="175">
        <f t="shared" si="24"/>
        <v>0</v>
      </c>
      <c r="G183" s="171">
        <f t="shared" si="24"/>
        <v>10</v>
      </c>
      <c r="H183" s="171">
        <f t="shared" si="24"/>
        <v>0</v>
      </c>
      <c r="I183" s="171">
        <f t="shared" si="18"/>
        <v>10</v>
      </c>
      <c r="J183" s="232">
        <f>规模!C18</f>
        <v>43.17</v>
      </c>
      <c r="K183" s="224">
        <f t="shared" si="19"/>
        <v>0.231642344220524</v>
      </c>
      <c r="L183" s="225">
        <v>0</v>
      </c>
      <c r="M183" s="226">
        <v>1.2</v>
      </c>
      <c r="N183" s="225">
        <v>2.4</v>
      </c>
    </row>
    <row r="184" spans="1:14">
      <c r="A184" s="159" t="s">
        <v>694</v>
      </c>
      <c r="B184" s="170">
        <v>0</v>
      </c>
      <c r="C184" s="170">
        <v>0</v>
      </c>
      <c r="D184" s="170">
        <v>0</v>
      </c>
      <c r="E184" s="170">
        <v>0</v>
      </c>
      <c r="F184" s="170">
        <v>0</v>
      </c>
      <c r="G184" s="170">
        <v>0</v>
      </c>
      <c r="H184" s="170">
        <v>0</v>
      </c>
      <c r="I184" s="171">
        <f t="shared" si="18"/>
        <v>0</v>
      </c>
      <c r="J184" s="232">
        <f>规模!C18</f>
        <v>43.17</v>
      </c>
      <c r="K184" s="224">
        <f t="shared" si="19"/>
        <v>0</v>
      </c>
      <c r="L184" s="225">
        <v>0</v>
      </c>
      <c r="M184" s="226">
        <v>1.2</v>
      </c>
      <c r="N184" s="225">
        <v>2.4</v>
      </c>
    </row>
    <row r="185" ht="12.75" customHeight="1" spans="1:14">
      <c r="A185" s="176" t="s">
        <v>695</v>
      </c>
      <c r="B185" s="177">
        <v>0</v>
      </c>
      <c r="C185" s="177">
        <v>0</v>
      </c>
      <c r="D185" s="177">
        <v>0</v>
      </c>
      <c r="E185" s="177">
        <v>0</v>
      </c>
      <c r="F185" s="177">
        <v>0</v>
      </c>
      <c r="G185" s="177">
        <v>0</v>
      </c>
      <c r="H185" s="177">
        <v>0</v>
      </c>
      <c r="I185" s="171">
        <f t="shared" ref="I185" si="25">B185*$G$7+C185*$H$7+D185*$I$7+E185*$J$7+F185*$K$7</f>
        <v>0</v>
      </c>
      <c r="J185" s="232">
        <f>规模!C19</f>
        <v>43.17</v>
      </c>
      <c r="K185" s="224">
        <f t="shared" si="19"/>
        <v>0</v>
      </c>
      <c r="L185" s="225">
        <v>0</v>
      </c>
      <c r="M185" s="226">
        <v>1.2</v>
      </c>
      <c r="N185" s="225">
        <v>2.4</v>
      </c>
    </row>
    <row r="186" ht="16.5" customHeight="1"/>
    <row r="187" ht="23.1" customHeight="1"/>
    <row r="188" spans="12:14">
      <c r="L188" s="233"/>
      <c r="M188" s="233"/>
      <c r="N188" s="233"/>
    </row>
    <row r="189" ht="15" customHeight="1" spans="12:14">
      <c r="L189" s="233"/>
      <c r="M189" s="233"/>
      <c r="N189" s="233"/>
    </row>
    <row r="190" customHeight="1"/>
    <row r="191" ht="24.95" customHeight="1"/>
    <row r="192" ht="18" customHeight="1"/>
    <row r="194" ht="23.1" customHeight="1"/>
    <row r="195" ht="23.1" customHeight="1"/>
    <row r="196" ht="23.1" customHeight="1"/>
    <row r="197" ht="23.1" customHeight="1"/>
    <row r="198" ht="23.1" customHeight="1"/>
    <row r="199" ht="23.1" customHeight="1" spans="1:10">
      <c r="A199" s="78" t="s">
        <v>696</v>
      </c>
      <c r="B199" s="70"/>
      <c r="G199" s="78" t="s">
        <v>697</v>
      </c>
      <c r="H199" s="106"/>
      <c r="I199" s="70"/>
      <c r="J199" s="70"/>
    </row>
    <row r="200" ht="23.1" customHeight="1" spans="1:7">
      <c r="A200" s="79" t="s">
        <v>698</v>
      </c>
      <c r="G200" s="79" t="s">
        <v>699</v>
      </c>
    </row>
    <row r="201" ht="30" customHeight="1" spans="1:14">
      <c r="A201" s="178" t="s">
        <v>700</v>
      </c>
      <c r="F201" s="179"/>
      <c r="G201" s="178" t="s">
        <v>701</v>
      </c>
      <c r="H201" s="79"/>
      <c r="M201" s="179"/>
      <c r="N201" s="179"/>
    </row>
    <row r="202" ht="33.95" customHeight="1" spans="1:15">
      <c r="A202" s="180" t="s">
        <v>702</v>
      </c>
      <c r="B202" s="181" t="s">
        <v>703</v>
      </c>
      <c r="C202" s="182">
        <v>4</v>
      </c>
      <c r="D202" s="183" t="s">
        <v>704</v>
      </c>
      <c r="E202" s="184">
        <f>1-(C202/C203)</f>
        <v>0.992857142857143</v>
      </c>
      <c r="F202" s="179"/>
      <c r="G202" s="185" t="s">
        <v>705</v>
      </c>
      <c r="H202" s="186" t="s">
        <v>706</v>
      </c>
      <c r="I202" s="234" t="s">
        <v>707</v>
      </c>
      <c r="J202" s="235"/>
      <c r="K202" s="236" t="s">
        <v>172</v>
      </c>
      <c r="M202" s="179"/>
      <c r="N202" s="179"/>
      <c r="O202" s="46"/>
    </row>
    <row r="203" ht="23.1" customHeight="1" spans="1:15">
      <c r="A203" s="187"/>
      <c r="B203" s="188" t="s">
        <v>708</v>
      </c>
      <c r="C203" s="189">
        <v>560</v>
      </c>
      <c r="D203" s="190"/>
      <c r="E203" s="191"/>
      <c r="G203" s="192"/>
      <c r="H203" s="193"/>
      <c r="I203" s="237"/>
      <c r="J203" s="238"/>
      <c r="K203" s="236"/>
      <c r="O203" s="46"/>
    </row>
    <row r="204" ht="23.1" customHeight="1" spans="7:15">
      <c r="G204" s="194"/>
      <c r="H204" s="195">
        <v>3</v>
      </c>
      <c r="I204" s="239">
        <v>3</v>
      </c>
      <c r="J204" s="240"/>
      <c r="K204" s="241"/>
      <c r="O204" s="46"/>
    </row>
    <row r="205" ht="23.1" customHeight="1" spans="1:15">
      <c r="A205" s="180" t="s">
        <v>709</v>
      </c>
      <c r="B205" s="181" t="s">
        <v>710</v>
      </c>
      <c r="C205" s="182">
        <v>0</v>
      </c>
      <c r="D205" s="183" t="s">
        <v>704</v>
      </c>
      <c r="E205" s="184">
        <f>1-(C205/C206)</f>
        <v>1</v>
      </c>
      <c r="G205" s="196"/>
      <c r="H205" s="197"/>
      <c r="I205" s="197"/>
      <c r="J205" s="197"/>
      <c r="K205" s="146"/>
      <c r="O205" s="46"/>
    </row>
    <row r="206" ht="12.75" spans="1:11">
      <c r="A206" s="187"/>
      <c r="B206" s="188" t="s">
        <v>711</v>
      </c>
      <c r="C206" s="189">
        <v>3</v>
      </c>
      <c r="D206" s="190"/>
      <c r="E206" s="191"/>
      <c r="G206" s="196"/>
      <c r="H206" s="197"/>
      <c r="I206" s="197"/>
      <c r="J206" s="197"/>
      <c r="K206" s="146"/>
    </row>
    <row r="207" ht="12.75" spans="7:11">
      <c r="G207" s="196"/>
      <c r="H207" s="197"/>
      <c r="I207" s="197"/>
      <c r="J207" s="197"/>
      <c r="K207" s="146"/>
    </row>
    <row r="208" spans="1:2">
      <c r="A208" s="78" t="s">
        <v>712</v>
      </c>
      <c r="B208" s="70"/>
    </row>
    <row r="209" ht="23.1" customHeight="1" spans="1:1">
      <c r="A209" s="79" t="s">
        <v>713</v>
      </c>
    </row>
    <row r="210" ht="23.1" customHeight="1" spans="1:1">
      <c r="A210" s="178" t="s">
        <v>714</v>
      </c>
    </row>
    <row r="211" ht="23.1" customHeight="1"/>
    <row r="212" ht="23.1" customHeight="1" spans="1:5">
      <c r="A212" s="198" t="s">
        <v>85</v>
      </c>
      <c r="B212" s="199" t="s">
        <v>715</v>
      </c>
      <c r="C212" s="199" t="s">
        <v>716</v>
      </c>
      <c r="D212" s="199" t="s">
        <v>172</v>
      </c>
      <c r="E212" s="200"/>
    </row>
    <row r="213" ht="23.1" customHeight="1" spans="1:5">
      <c r="A213" s="201">
        <v>1</v>
      </c>
      <c r="B213" s="202" t="s">
        <v>545</v>
      </c>
      <c r="C213" s="203">
        <v>2</v>
      </c>
      <c r="D213" s="204"/>
      <c r="E213" s="205"/>
    </row>
    <row r="214" ht="23.1" customHeight="1" spans="1:5">
      <c r="A214" s="201">
        <v>2</v>
      </c>
      <c r="B214" s="202" t="s">
        <v>546</v>
      </c>
      <c r="C214" s="203">
        <v>2</v>
      </c>
      <c r="D214" s="204"/>
      <c r="E214" s="205"/>
    </row>
    <row r="215" ht="23.1" customHeight="1" spans="1:5">
      <c r="A215" s="201">
        <v>3</v>
      </c>
      <c r="B215" s="202" t="s">
        <v>717</v>
      </c>
      <c r="C215" s="203">
        <v>21</v>
      </c>
      <c r="D215" s="204"/>
      <c r="E215" s="205"/>
    </row>
    <row r="216" ht="23.1" customHeight="1" spans="1:5">
      <c r="A216" s="206">
        <v>4</v>
      </c>
      <c r="B216" s="207" t="s">
        <v>718</v>
      </c>
      <c r="C216" s="208">
        <v>4</v>
      </c>
      <c r="D216" s="209"/>
      <c r="E216" s="210"/>
    </row>
    <row r="217" ht="23.1" customHeight="1" spans="1:5">
      <c r="A217" s="206">
        <v>5</v>
      </c>
      <c r="B217" s="207" t="s">
        <v>719</v>
      </c>
      <c r="C217" s="208">
        <v>5</v>
      </c>
      <c r="D217" s="209"/>
      <c r="E217" s="210"/>
    </row>
    <row r="218" ht="12.75" spans="2:2">
      <c r="B218" s="46"/>
    </row>
    <row r="219" spans="2:2">
      <c r="B219" s="46"/>
    </row>
    <row r="220" spans="1:2">
      <c r="A220" s="78" t="s">
        <v>720</v>
      </c>
      <c r="B220" s="211"/>
    </row>
    <row r="221" ht="20.25" customHeight="1" spans="1:2">
      <c r="A221" s="79" t="s">
        <v>721</v>
      </c>
      <c r="B221" s="46"/>
    </row>
    <row r="222" ht="12.75" spans="1:2">
      <c r="A222" s="178" t="s">
        <v>714</v>
      </c>
      <c r="B222" s="46"/>
    </row>
    <row r="223" ht="12.75" spans="1:5">
      <c r="A223" s="198" t="s">
        <v>85</v>
      </c>
      <c r="B223" s="198" t="s">
        <v>722</v>
      </c>
      <c r="C223" s="199" t="s">
        <v>716</v>
      </c>
      <c r="D223" s="199" t="s">
        <v>172</v>
      </c>
      <c r="E223" s="200"/>
    </row>
    <row r="224" spans="1:5">
      <c r="A224" s="201">
        <v>1</v>
      </c>
      <c r="B224" s="212" t="s">
        <v>723</v>
      </c>
      <c r="C224" s="213">
        <v>11</v>
      </c>
      <c r="D224" s="213"/>
      <c r="E224" s="214"/>
    </row>
    <row r="225" spans="1:5">
      <c r="A225" s="201">
        <v>2</v>
      </c>
      <c r="B225" s="212" t="s">
        <v>724</v>
      </c>
      <c r="C225" s="213">
        <v>19</v>
      </c>
      <c r="D225" s="213"/>
      <c r="E225" s="214"/>
    </row>
    <row r="226" spans="1:5">
      <c r="A226" s="201">
        <v>3</v>
      </c>
      <c r="B226" s="212" t="s">
        <v>719</v>
      </c>
      <c r="C226" s="213">
        <v>1</v>
      </c>
      <c r="D226" s="213"/>
      <c r="E226" s="214"/>
    </row>
    <row r="227" spans="1:5">
      <c r="A227" s="201">
        <v>4</v>
      </c>
      <c r="B227" s="212" t="s">
        <v>726</v>
      </c>
      <c r="C227" s="213">
        <v>3</v>
      </c>
      <c r="D227" s="213"/>
      <c r="E227" s="214"/>
    </row>
    <row r="228" ht="12.75" spans="1:5">
      <c r="A228" s="206">
        <v>5</v>
      </c>
      <c r="B228" s="215"/>
      <c r="C228" s="216"/>
      <c r="D228" s="216"/>
      <c r="E228" s="217"/>
    </row>
    <row r="229" ht="12.75" spans="2:2">
      <c r="B229" s="46"/>
    </row>
    <row r="230" spans="2:2">
      <c r="B230" s="46"/>
    </row>
    <row r="231" spans="1:14">
      <c r="A231" s="79" t="s">
        <v>727</v>
      </c>
      <c r="B231" s="46"/>
      <c r="H231" s="46"/>
      <c r="I231" s="242"/>
      <c r="J231" s="46"/>
      <c r="K231" s="46"/>
      <c r="L231" s="46"/>
      <c r="M231" s="242"/>
      <c r="N231" s="46"/>
    </row>
    <row r="232" spans="1:2">
      <c r="A232" s="79" t="s">
        <v>728</v>
      </c>
      <c r="B232" s="46"/>
    </row>
    <row r="233" spans="1:9">
      <c r="A233" s="79" t="s">
        <v>729</v>
      </c>
      <c r="B233" s="46"/>
      <c r="I233" s="79"/>
    </row>
    <row r="234" ht="12.75" spans="1:9">
      <c r="A234" s="79" t="s">
        <v>730</v>
      </c>
      <c r="B234" s="46"/>
      <c r="I234" s="79"/>
    </row>
    <row r="235" ht="12.75" spans="1:6">
      <c r="A235" s="198" t="s">
        <v>85</v>
      </c>
      <c r="B235" s="198" t="s">
        <v>731</v>
      </c>
      <c r="C235" s="199" t="s">
        <v>716</v>
      </c>
      <c r="D235" s="245" t="s">
        <v>172</v>
      </c>
      <c r="E235" s="246"/>
      <c r="F235" s="247"/>
    </row>
    <row r="236" spans="1:9">
      <c r="A236" s="201">
        <v>1</v>
      </c>
      <c r="B236" s="248" t="s">
        <v>733</v>
      </c>
      <c r="C236" s="213">
        <v>30</v>
      </c>
      <c r="D236" s="249"/>
      <c r="E236" s="250"/>
      <c r="F236" s="251"/>
      <c r="I236" s="79"/>
    </row>
    <row r="237" spans="1:6">
      <c r="A237" s="201">
        <v>2</v>
      </c>
      <c r="B237" s="248" t="s">
        <v>737</v>
      </c>
      <c r="C237" s="213">
        <v>2</v>
      </c>
      <c r="D237" s="249"/>
      <c r="E237" s="250"/>
      <c r="F237" s="251"/>
    </row>
    <row r="238" spans="1:6">
      <c r="A238" s="201">
        <v>3</v>
      </c>
      <c r="B238" s="248" t="s">
        <v>734</v>
      </c>
      <c r="C238" s="213">
        <v>2</v>
      </c>
      <c r="D238" s="249"/>
      <c r="E238" s="250"/>
      <c r="F238" s="251"/>
    </row>
    <row r="239" spans="1:6">
      <c r="A239" s="201">
        <v>4</v>
      </c>
      <c r="B239" s="248"/>
      <c r="C239" s="213"/>
      <c r="D239" s="249"/>
      <c r="E239" s="250"/>
      <c r="F239" s="251"/>
    </row>
    <row r="240" spans="1:6">
      <c r="A240" s="201">
        <v>5</v>
      </c>
      <c r="B240" s="252"/>
      <c r="C240" s="253"/>
      <c r="D240" s="249"/>
      <c r="E240" s="250"/>
      <c r="F240" s="251"/>
    </row>
    <row r="241" spans="1:6">
      <c r="A241" s="254">
        <v>6</v>
      </c>
      <c r="B241" s="255"/>
      <c r="C241" s="255"/>
      <c r="D241" s="249"/>
      <c r="E241" s="250"/>
      <c r="F241" s="251"/>
    </row>
    <row r="242" ht="12.75" spans="1:6">
      <c r="A242" s="256">
        <v>7</v>
      </c>
      <c r="B242" s="257"/>
      <c r="C242" s="258"/>
      <c r="D242" s="259"/>
      <c r="E242" s="260"/>
      <c r="F242" s="261"/>
    </row>
    <row r="243" ht="12.75" spans="2:2">
      <c r="B243" s="46"/>
    </row>
    <row r="244" ht="27" customHeight="1"/>
    <row r="252" ht="20.25" spans="1:14">
      <c r="A252" s="49" t="s">
        <v>407</v>
      </c>
      <c r="B252" s="49"/>
      <c r="C252" s="49"/>
      <c r="D252" s="49"/>
      <c r="E252" s="49"/>
      <c r="F252" s="49"/>
      <c r="G252" s="49"/>
      <c r="H252" s="49"/>
      <c r="I252" s="49"/>
      <c r="J252" s="49"/>
      <c r="K252" s="49"/>
      <c r="L252" s="49"/>
      <c r="M252" s="49"/>
      <c r="N252" s="49"/>
    </row>
    <row r="253" ht="20.25" spans="1:14">
      <c r="A253" s="69" t="s">
        <v>673</v>
      </c>
      <c r="B253" s="154"/>
      <c r="C253" s="155"/>
      <c r="D253" s="155"/>
      <c r="E253" s="155"/>
      <c r="F253" s="155"/>
      <c r="G253" s="155"/>
      <c r="H253" s="155"/>
      <c r="I253" s="155"/>
      <c r="J253" s="155"/>
      <c r="K253" s="155"/>
      <c r="L253" s="155"/>
      <c r="M253" s="155"/>
      <c r="N253" s="155"/>
    </row>
    <row r="254" ht="12.75" spans="1:14">
      <c r="A254" s="44" t="s">
        <v>674</v>
      </c>
      <c r="B254" s="44"/>
      <c r="C254" s="53"/>
      <c r="D254" s="53"/>
      <c r="E254" s="53"/>
      <c r="F254" s="53"/>
      <c r="G254" s="53"/>
      <c r="H254" s="53"/>
      <c r="I254" s="53"/>
      <c r="J254" s="54"/>
      <c r="K254" s="54"/>
      <c r="L254" s="54"/>
      <c r="M254" s="54"/>
      <c r="N254" s="54"/>
    </row>
    <row r="255" ht="13.5" spans="1:14">
      <c r="A255" s="44" t="s">
        <v>675</v>
      </c>
      <c r="B255" s="44"/>
      <c r="C255" s="53"/>
      <c r="D255" s="53"/>
      <c r="E255" s="53"/>
      <c r="F255" s="53"/>
      <c r="G255" s="53"/>
      <c r="H255" s="53"/>
      <c r="I255" s="53"/>
      <c r="J255" s="54"/>
      <c r="K255" s="54"/>
      <c r="L255" s="54"/>
      <c r="M255" s="54"/>
      <c r="N255" s="54"/>
    </row>
    <row r="256" ht="19.5" customHeight="1" spans="1:14">
      <c r="A256" s="156" t="s">
        <v>676</v>
      </c>
      <c r="B256" s="44"/>
      <c r="C256" s="53"/>
      <c r="D256" s="53"/>
      <c r="E256" s="157"/>
      <c r="F256" s="158"/>
      <c r="G256" s="159" t="s">
        <v>677</v>
      </c>
      <c r="H256" s="159" t="s">
        <v>678</v>
      </c>
      <c r="I256" s="159" t="s">
        <v>679</v>
      </c>
      <c r="J256" s="159" t="s">
        <v>680</v>
      </c>
      <c r="K256" s="159" t="s">
        <v>681</v>
      </c>
      <c r="L256" s="44"/>
      <c r="M256" s="44"/>
      <c r="N256" s="44"/>
    </row>
    <row r="257" ht="14.25" spans="1:14">
      <c r="A257" s="160" t="s">
        <v>682</v>
      </c>
      <c r="B257" s="161" t="s">
        <v>487</v>
      </c>
      <c r="C257" s="162" t="s">
        <v>683</v>
      </c>
      <c r="D257" s="163" t="s">
        <v>684</v>
      </c>
      <c r="E257" s="157"/>
      <c r="F257" s="164" t="s">
        <v>685</v>
      </c>
      <c r="G257" s="165">
        <v>3</v>
      </c>
      <c r="H257" s="165">
        <v>2</v>
      </c>
      <c r="I257" s="165">
        <v>1</v>
      </c>
      <c r="J257" s="165">
        <v>0.2</v>
      </c>
      <c r="K257" s="218">
        <v>0.1</v>
      </c>
      <c r="L257" s="44"/>
      <c r="M257" s="44"/>
      <c r="N257" s="44"/>
    </row>
    <row r="258" ht="15" customHeight="1" spans="1:14">
      <c r="A258" s="166"/>
      <c r="B258" s="44"/>
      <c r="C258" s="166"/>
      <c r="D258" s="53"/>
      <c r="E258" s="53"/>
      <c r="F258" s="53"/>
      <c r="G258" s="53"/>
      <c r="H258" s="53"/>
      <c r="I258" s="53"/>
      <c r="J258" s="44"/>
      <c r="K258" s="44"/>
      <c r="L258" s="44"/>
      <c r="M258" s="44"/>
      <c r="N258" s="44"/>
    </row>
    <row r="259" ht="15" customHeight="1" spans="1:14">
      <c r="A259" s="167" t="s">
        <v>686</v>
      </c>
      <c r="B259" s="159" t="s">
        <v>633</v>
      </c>
      <c r="C259" s="159"/>
      <c r="D259" s="159"/>
      <c r="E259" s="159"/>
      <c r="F259" s="159"/>
      <c r="G259" s="168" t="s">
        <v>687</v>
      </c>
      <c r="H259" s="168" t="s">
        <v>688</v>
      </c>
      <c r="I259" s="159" t="s">
        <v>689</v>
      </c>
      <c r="J259" s="159" t="s">
        <v>690</v>
      </c>
      <c r="K259" s="159" t="s">
        <v>691</v>
      </c>
      <c r="L259" s="219" t="s">
        <v>540</v>
      </c>
      <c r="M259" s="219"/>
      <c r="N259" s="219"/>
    </row>
    <row r="260" ht="15" customHeight="1" spans="1:19">
      <c r="A260" s="159"/>
      <c r="B260" s="159" t="s">
        <v>641</v>
      </c>
      <c r="C260" s="159" t="s">
        <v>642</v>
      </c>
      <c r="D260" s="159" t="s">
        <v>643</v>
      </c>
      <c r="E260" s="159" t="s">
        <v>644</v>
      </c>
      <c r="F260" s="159" t="s">
        <v>645</v>
      </c>
      <c r="G260" s="169"/>
      <c r="H260" s="169"/>
      <c r="I260" s="159"/>
      <c r="J260" s="159"/>
      <c r="K260" s="159"/>
      <c r="L260" s="220" t="s">
        <v>173</v>
      </c>
      <c r="M260" s="221" t="s">
        <v>174</v>
      </c>
      <c r="N260" s="220" t="s">
        <v>349</v>
      </c>
      <c r="P260" s="222" t="s">
        <v>216</v>
      </c>
      <c r="Q260" s="243">
        <v>0</v>
      </c>
      <c r="R260" s="243">
        <v>0.36</v>
      </c>
      <c r="S260" s="243">
        <v>0.72</v>
      </c>
    </row>
    <row r="261" ht="15" customHeight="1" spans="1:19">
      <c r="A261" s="159" t="str">
        <f>CONCATENATE("测试第",ROW(A261)-ROW($A$260),"轮")</f>
        <v>测试第1轮</v>
      </c>
      <c r="B261" s="170">
        <v>0</v>
      </c>
      <c r="C261" s="170">
        <v>0</v>
      </c>
      <c r="D261" s="170">
        <v>37</v>
      </c>
      <c r="E261" s="170">
        <v>103</v>
      </c>
      <c r="F261" s="170">
        <v>3</v>
      </c>
      <c r="G261" s="171">
        <f t="shared" ref="G261:G264" si="26">I261-H261</f>
        <v>57.9</v>
      </c>
      <c r="H261" s="172">
        <v>0</v>
      </c>
      <c r="I261" s="171">
        <f t="shared" ref="I261:I267" si="27">B261*$G$7+C261*$H$7+D261*$I$7+E261*$J$7+F261*$K$7</f>
        <v>57.9</v>
      </c>
      <c r="J261" s="223">
        <f>规模!C23</f>
        <v>72.83</v>
      </c>
      <c r="K261" s="224">
        <f t="shared" ref="K261:K268" si="28">I261/J261</f>
        <v>0.795002059590828</v>
      </c>
      <c r="L261" s="225">
        <v>0</v>
      </c>
      <c r="M261" s="226">
        <v>1.2</v>
      </c>
      <c r="N261" s="225">
        <v>2.4</v>
      </c>
      <c r="P261" s="222" t="s">
        <v>218</v>
      </c>
      <c r="Q261" s="243">
        <v>0.0002</v>
      </c>
      <c r="R261" s="243">
        <v>0.2</v>
      </c>
      <c r="S261" s="243">
        <v>0.3998</v>
      </c>
    </row>
    <row r="262" ht="15" customHeight="1" spans="1:19">
      <c r="A262" s="159" t="str">
        <f>CONCATENATE("测试第",ROW(A262)-ROW($A$260),"轮")</f>
        <v>测试第2轮</v>
      </c>
      <c r="B262" s="170">
        <v>0</v>
      </c>
      <c r="C262" s="170">
        <v>0</v>
      </c>
      <c r="D262" s="170">
        <v>19</v>
      </c>
      <c r="E262" s="170">
        <v>50</v>
      </c>
      <c r="F262" s="170">
        <v>2</v>
      </c>
      <c r="G262" s="171">
        <f t="shared" si="26"/>
        <v>29.2</v>
      </c>
      <c r="H262" s="172">
        <v>0</v>
      </c>
      <c r="I262" s="171">
        <f t="shared" si="27"/>
        <v>29.2</v>
      </c>
      <c r="J262" s="223">
        <f>规模!C24</f>
        <v>72.83</v>
      </c>
      <c r="K262" s="224">
        <f t="shared" si="28"/>
        <v>0.40093368117534</v>
      </c>
      <c r="L262" s="225">
        <v>0</v>
      </c>
      <c r="M262" s="226">
        <v>1.2</v>
      </c>
      <c r="N262" s="225">
        <v>2.4</v>
      </c>
      <c r="P262" s="227" t="s">
        <v>217</v>
      </c>
      <c r="Q262" s="244">
        <v>0</v>
      </c>
      <c r="R262" s="244">
        <v>1.2</v>
      </c>
      <c r="S262" s="244">
        <v>2.4</v>
      </c>
    </row>
    <row r="263" ht="33" spans="1:19">
      <c r="A263" s="159" t="str">
        <f>CONCATENATE("测试第",ROW(A263)-ROW($A$260),"轮")</f>
        <v>测试第3轮</v>
      </c>
      <c r="B263" s="170">
        <v>0</v>
      </c>
      <c r="C263" s="170">
        <v>0</v>
      </c>
      <c r="D263" s="170">
        <v>8</v>
      </c>
      <c r="E263" s="170">
        <v>8</v>
      </c>
      <c r="F263" s="170">
        <v>1</v>
      </c>
      <c r="G263" s="171">
        <f t="shared" si="26"/>
        <v>9.7</v>
      </c>
      <c r="H263" s="172">
        <v>0</v>
      </c>
      <c r="I263" s="171">
        <f t="shared" si="27"/>
        <v>9.7</v>
      </c>
      <c r="J263" s="223">
        <f>规模!C25</f>
        <v>73.83</v>
      </c>
      <c r="K263" s="224">
        <f t="shared" si="28"/>
        <v>0.131382906677502</v>
      </c>
      <c r="L263" s="225">
        <v>0</v>
      </c>
      <c r="M263" s="226">
        <v>1.2</v>
      </c>
      <c r="N263" s="225">
        <v>2.4</v>
      </c>
      <c r="P263" s="227" t="s">
        <v>219</v>
      </c>
      <c r="Q263" s="244">
        <v>0.002</v>
      </c>
      <c r="R263" s="244">
        <v>0.92</v>
      </c>
      <c r="S263" s="244">
        <v>1.838</v>
      </c>
    </row>
    <row r="264" spans="1:14">
      <c r="A264" s="159" t="str">
        <f>CONCATENATE("测试第",ROW(A264)-ROW($A$260),"轮")</f>
        <v>测试第4轮</v>
      </c>
      <c r="B264" s="170">
        <v>0</v>
      </c>
      <c r="C264" s="170">
        <v>0</v>
      </c>
      <c r="D264" s="170">
        <v>0</v>
      </c>
      <c r="E264" s="170">
        <v>1</v>
      </c>
      <c r="F264" s="170">
        <v>0</v>
      </c>
      <c r="G264" s="171">
        <f t="shared" si="26"/>
        <v>0.2</v>
      </c>
      <c r="H264" s="172">
        <v>0</v>
      </c>
      <c r="I264" s="171">
        <f t="shared" si="27"/>
        <v>0.2</v>
      </c>
      <c r="J264" s="223">
        <f>规模!C26</f>
        <v>72.83</v>
      </c>
      <c r="K264" s="224">
        <f t="shared" si="28"/>
        <v>0.00274612110394068</v>
      </c>
      <c r="L264" s="225">
        <v>0</v>
      </c>
      <c r="M264" s="226">
        <v>1.2</v>
      </c>
      <c r="N264" s="225">
        <v>2.4</v>
      </c>
    </row>
    <row r="265" ht="12.75" customHeight="1" spans="1:14">
      <c r="A265" s="159" t="s">
        <v>692</v>
      </c>
      <c r="B265" s="173" t="str">
        <f t="shared" ref="B265:F265" si="29">"-"</f>
        <v>-</v>
      </c>
      <c r="C265" s="173" t="str">
        <f t="shared" si="29"/>
        <v>-</v>
      </c>
      <c r="D265" s="173" t="str">
        <f t="shared" si="29"/>
        <v>-</v>
      </c>
      <c r="E265" s="173" t="str">
        <f t="shared" si="29"/>
        <v>-</v>
      </c>
      <c r="F265" s="173" t="str">
        <f t="shared" si="29"/>
        <v>-</v>
      </c>
      <c r="G265" s="174" t="s">
        <v>178</v>
      </c>
      <c r="H265" s="174" t="s">
        <v>178</v>
      </c>
      <c r="I265" s="228" t="e">
        <f t="shared" si="27"/>
        <v>#VALUE!</v>
      </c>
      <c r="J265" s="229" t="s">
        <v>178</v>
      </c>
      <c r="K265" s="230" t="e">
        <f t="shared" si="28"/>
        <v>#VALUE!</v>
      </c>
      <c r="L265" s="231">
        <f t="shared" ref="L265" si="30">$L$17</f>
        <v>0</v>
      </c>
      <c r="M265" s="231">
        <f t="shared" ref="M265" si="31">$M$17</f>
        <v>1.2</v>
      </c>
      <c r="N265" s="231">
        <f t="shared" ref="N265" si="32">$N$17</f>
        <v>2.4</v>
      </c>
    </row>
    <row r="266" ht="12.75" customHeight="1" spans="1:14">
      <c r="A266" s="159" t="s">
        <v>693</v>
      </c>
      <c r="B266" s="175">
        <f t="shared" ref="B266:H266" si="33">SUM(B261:B265)</f>
        <v>0</v>
      </c>
      <c r="C266" s="175">
        <f t="shared" si="33"/>
        <v>0</v>
      </c>
      <c r="D266" s="175">
        <f t="shared" si="33"/>
        <v>64</v>
      </c>
      <c r="E266" s="175">
        <f t="shared" si="33"/>
        <v>162</v>
      </c>
      <c r="F266" s="175">
        <f t="shared" si="33"/>
        <v>6</v>
      </c>
      <c r="G266" s="171">
        <f t="shared" si="33"/>
        <v>97</v>
      </c>
      <c r="H266" s="171">
        <f t="shared" si="33"/>
        <v>0</v>
      </c>
      <c r="I266" s="171">
        <f t="shared" si="27"/>
        <v>97</v>
      </c>
      <c r="J266" s="232">
        <f>规模!C23</f>
        <v>72.83</v>
      </c>
      <c r="K266" s="224">
        <f t="shared" si="28"/>
        <v>1.33186873541123</v>
      </c>
      <c r="L266" s="225">
        <v>0</v>
      </c>
      <c r="M266" s="226">
        <v>1.2</v>
      </c>
      <c r="N266" s="225">
        <v>2.4</v>
      </c>
    </row>
    <row r="267" spans="1:14">
      <c r="A267" s="159" t="s">
        <v>694</v>
      </c>
      <c r="B267" s="170">
        <v>0</v>
      </c>
      <c r="C267" s="170">
        <v>0</v>
      </c>
      <c r="D267" s="170">
        <v>0</v>
      </c>
      <c r="E267" s="170">
        <v>0</v>
      </c>
      <c r="F267" s="170">
        <v>0</v>
      </c>
      <c r="G267" s="170">
        <v>0</v>
      </c>
      <c r="H267" s="170">
        <v>0</v>
      </c>
      <c r="I267" s="171">
        <f t="shared" si="27"/>
        <v>0</v>
      </c>
      <c r="J267" s="232">
        <f>规模!C23</f>
        <v>72.83</v>
      </c>
      <c r="K267" s="224">
        <f t="shared" si="28"/>
        <v>0</v>
      </c>
      <c r="L267" s="225">
        <v>0</v>
      </c>
      <c r="M267" s="226">
        <v>1.2</v>
      </c>
      <c r="N267" s="225">
        <v>2.4</v>
      </c>
    </row>
    <row r="268" ht="12.75" customHeight="1" spans="1:14">
      <c r="A268" s="176" t="s">
        <v>695</v>
      </c>
      <c r="B268" s="177">
        <v>0</v>
      </c>
      <c r="C268" s="177">
        <v>0</v>
      </c>
      <c r="D268" s="177">
        <v>0</v>
      </c>
      <c r="E268" s="177">
        <v>0</v>
      </c>
      <c r="F268" s="177">
        <v>0</v>
      </c>
      <c r="G268" s="177">
        <v>0</v>
      </c>
      <c r="H268" s="177">
        <v>0</v>
      </c>
      <c r="I268" s="171">
        <f t="shared" ref="I268" si="34">B268*$G$7+C268*$H$7+D268*$I$7+E268*$J$7+F268*$K$7</f>
        <v>0</v>
      </c>
      <c r="J268" s="232">
        <f>规模!C24</f>
        <v>72.83</v>
      </c>
      <c r="K268" s="224">
        <f t="shared" si="28"/>
        <v>0</v>
      </c>
      <c r="L268" s="225">
        <v>0</v>
      </c>
      <c r="M268" s="226">
        <v>1.2</v>
      </c>
      <c r="N268" s="225">
        <v>2.4</v>
      </c>
    </row>
    <row r="269" ht="16.5" customHeight="1"/>
    <row r="270" ht="23.1" customHeight="1"/>
    <row r="271" spans="12:14">
      <c r="L271" s="233"/>
      <c r="M271" s="233"/>
      <c r="N271" s="233"/>
    </row>
    <row r="272" ht="15" customHeight="1" spans="12:14">
      <c r="L272" s="233"/>
      <c r="M272" s="233"/>
      <c r="N272" s="233"/>
    </row>
    <row r="273" customHeight="1"/>
    <row r="274" ht="24.95" customHeight="1"/>
    <row r="275" ht="18" customHeight="1"/>
    <row r="277" ht="23.1" customHeight="1"/>
    <row r="278" ht="23.1" customHeight="1"/>
    <row r="279" ht="23.1" customHeight="1"/>
    <row r="280" ht="23.1" customHeight="1"/>
    <row r="281" ht="23.1" customHeight="1"/>
    <row r="282" ht="23.1" customHeight="1" spans="1:10">
      <c r="A282" s="78" t="s">
        <v>696</v>
      </c>
      <c r="B282" s="70"/>
      <c r="G282" s="78" t="s">
        <v>697</v>
      </c>
      <c r="H282" s="106"/>
      <c r="I282" s="70"/>
      <c r="J282" s="70"/>
    </row>
    <row r="283" ht="23.1" customHeight="1" spans="1:7">
      <c r="A283" s="79" t="s">
        <v>698</v>
      </c>
      <c r="G283" s="79" t="s">
        <v>699</v>
      </c>
    </row>
    <row r="284" ht="30" customHeight="1" spans="1:14">
      <c r="A284" s="178" t="s">
        <v>700</v>
      </c>
      <c r="F284" s="179"/>
      <c r="G284" s="178" t="s">
        <v>701</v>
      </c>
      <c r="H284" s="79"/>
      <c r="M284" s="179"/>
      <c r="N284" s="179"/>
    </row>
    <row r="285" ht="33.95" customHeight="1" spans="1:15">
      <c r="A285" s="180" t="s">
        <v>702</v>
      </c>
      <c r="B285" s="181" t="s">
        <v>703</v>
      </c>
      <c r="C285" s="182">
        <v>2</v>
      </c>
      <c r="D285" s="183" t="s">
        <v>704</v>
      </c>
      <c r="E285" s="184">
        <f>1-(C285/C286)</f>
        <v>0.996875</v>
      </c>
      <c r="F285" s="179"/>
      <c r="G285" s="185" t="s">
        <v>705</v>
      </c>
      <c r="H285" s="186" t="s">
        <v>706</v>
      </c>
      <c r="I285" s="234" t="s">
        <v>707</v>
      </c>
      <c r="J285" s="235"/>
      <c r="K285" s="236" t="s">
        <v>172</v>
      </c>
      <c r="M285" s="179"/>
      <c r="N285" s="179"/>
      <c r="O285" s="46"/>
    </row>
    <row r="286" ht="23.1" customHeight="1" spans="1:15">
      <c r="A286" s="187"/>
      <c r="B286" s="188" t="s">
        <v>708</v>
      </c>
      <c r="C286" s="189">
        <v>640</v>
      </c>
      <c r="D286" s="190"/>
      <c r="E286" s="191"/>
      <c r="G286" s="192"/>
      <c r="H286" s="193"/>
      <c r="I286" s="237"/>
      <c r="J286" s="238"/>
      <c r="K286" s="236"/>
      <c r="O286" s="46"/>
    </row>
    <row r="287" ht="23.1" customHeight="1" spans="7:15">
      <c r="G287" s="194"/>
      <c r="H287" s="195">
        <v>4</v>
      </c>
      <c r="I287" s="239">
        <v>4</v>
      </c>
      <c r="J287" s="240"/>
      <c r="K287" s="241"/>
      <c r="O287" s="46"/>
    </row>
    <row r="288" ht="23.1" customHeight="1" spans="1:15">
      <c r="A288" s="180" t="s">
        <v>709</v>
      </c>
      <c r="B288" s="181" t="s">
        <v>710</v>
      </c>
      <c r="C288" s="182">
        <v>0</v>
      </c>
      <c r="D288" s="183" t="s">
        <v>704</v>
      </c>
      <c r="E288" s="184">
        <f>1-(C288/C289)</f>
        <v>1</v>
      </c>
      <c r="G288" s="196"/>
      <c r="H288" s="197"/>
      <c r="I288" s="197"/>
      <c r="J288" s="197"/>
      <c r="K288" s="146"/>
      <c r="O288" s="46"/>
    </row>
    <row r="289" ht="12.75" spans="1:11">
      <c r="A289" s="187"/>
      <c r="B289" s="188" t="s">
        <v>711</v>
      </c>
      <c r="C289" s="189">
        <v>4</v>
      </c>
      <c r="D289" s="190"/>
      <c r="E289" s="191"/>
      <c r="G289" s="196"/>
      <c r="H289" s="197"/>
      <c r="I289" s="197"/>
      <c r="J289" s="197"/>
      <c r="K289" s="146"/>
    </row>
    <row r="290" ht="12.75" spans="7:11">
      <c r="G290" s="196"/>
      <c r="H290" s="197"/>
      <c r="I290" s="197"/>
      <c r="J290" s="197"/>
      <c r="K290" s="146"/>
    </row>
    <row r="291" spans="1:2">
      <c r="A291" s="78" t="s">
        <v>712</v>
      </c>
      <c r="B291" s="70"/>
    </row>
    <row r="292" ht="23.1" customHeight="1" spans="1:1">
      <c r="A292" s="79" t="s">
        <v>713</v>
      </c>
    </row>
    <row r="293" ht="23.1" customHeight="1" spans="1:1">
      <c r="A293" s="178" t="s">
        <v>714</v>
      </c>
    </row>
    <row r="294" ht="23.1" customHeight="1"/>
    <row r="295" ht="23.1" customHeight="1" spans="1:5">
      <c r="A295" s="198" t="s">
        <v>85</v>
      </c>
      <c r="B295" s="199" t="s">
        <v>715</v>
      </c>
      <c r="C295" s="199" t="s">
        <v>716</v>
      </c>
      <c r="D295" s="199" t="s">
        <v>172</v>
      </c>
      <c r="E295" s="200"/>
    </row>
    <row r="296" ht="23.1" customHeight="1" spans="1:5">
      <c r="A296" s="201">
        <v>1</v>
      </c>
      <c r="B296" s="202" t="s">
        <v>545</v>
      </c>
      <c r="C296" s="203">
        <v>18</v>
      </c>
      <c r="D296" s="204"/>
      <c r="E296" s="205"/>
    </row>
    <row r="297" ht="23.1" customHeight="1" spans="1:5">
      <c r="A297" s="201">
        <v>2</v>
      </c>
      <c r="B297" s="202" t="s">
        <v>546</v>
      </c>
      <c r="C297" s="203">
        <v>6</v>
      </c>
      <c r="D297" s="204"/>
      <c r="E297" s="205"/>
    </row>
    <row r="298" ht="23.1" customHeight="1" spans="1:5">
      <c r="A298" s="201">
        <v>3</v>
      </c>
      <c r="B298" s="202" t="s">
        <v>717</v>
      </c>
      <c r="C298" s="203">
        <v>149</v>
      </c>
      <c r="D298" s="204"/>
      <c r="E298" s="205"/>
    </row>
    <row r="299" ht="23.1" customHeight="1" spans="1:5">
      <c r="A299" s="201">
        <v>4</v>
      </c>
      <c r="B299" s="202" t="s">
        <v>738</v>
      </c>
      <c r="C299" s="203">
        <v>2</v>
      </c>
      <c r="D299" s="204"/>
      <c r="E299" s="205"/>
    </row>
    <row r="300" ht="23.1" customHeight="1" spans="1:5">
      <c r="A300" s="201">
        <v>5</v>
      </c>
      <c r="B300" s="202" t="s">
        <v>718</v>
      </c>
      <c r="C300" s="203">
        <v>2</v>
      </c>
      <c r="D300" s="204"/>
      <c r="E300" s="205"/>
    </row>
    <row r="301" ht="23.1" customHeight="1" spans="1:5">
      <c r="A301" s="206">
        <v>6</v>
      </c>
      <c r="B301" s="207" t="s">
        <v>719</v>
      </c>
      <c r="C301" s="208">
        <v>55</v>
      </c>
      <c r="D301" s="209"/>
      <c r="E301" s="210"/>
    </row>
    <row r="302" ht="12.75" spans="2:2">
      <c r="B302" s="46"/>
    </row>
    <row r="303" spans="2:2">
      <c r="B303" s="46"/>
    </row>
    <row r="304" spans="1:2">
      <c r="A304" s="78" t="s">
        <v>720</v>
      </c>
      <c r="B304" s="211"/>
    </row>
    <row r="305" ht="20.25" customHeight="1" spans="1:2">
      <c r="A305" s="79" t="s">
        <v>721</v>
      </c>
      <c r="B305" s="46"/>
    </row>
    <row r="306" ht="12.75" spans="1:2">
      <c r="A306" s="178" t="s">
        <v>714</v>
      </c>
      <c r="B306" s="46"/>
    </row>
    <row r="307" ht="12.75" spans="1:5">
      <c r="A307" s="198" t="s">
        <v>85</v>
      </c>
      <c r="B307" s="198" t="s">
        <v>722</v>
      </c>
      <c r="C307" s="199" t="s">
        <v>716</v>
      </c>
      <c r="D307" s="199" t="s">
        <v>172</v>
      </c>
      <c r="E307" s="200"/>
    </row>
    <row r="308" spans="1:5">
      <c r="A308" s="201">
        <v>1</v>
      </c>
      <c r="B308" s="212" t="s">
        <v>723</v>
      </c>
      <c r="C308" s="48">
        <v>5</v>
      </c>
      <c r="D308" s="213"/>
      <c r="E308" s="214"/>
    </row>
    <row r="309" spans="1:5">
      <c r="A309" s="201">
        <v>2</v>
      </c>
      <c r="B309" s="213" t="s">
        <v>738</v>
      </c>
      <c r="C309" s="213">
        <v>2</v>
      </c>
      <c r="D309" s="213"/>
      <c r="E309" s="214"/>
    </row>
    <row r="310" spans="1:5">
      <c r="A310" s="201">
        <v>3</v>
      </c>
      <c r="B310" s="212" t="s">
        <v>724</v>
      </c>
      <c r="C310" s="213">
        <v>96</v>
      </c>
      <c r="D310" s="213"/>
      <c r="E310" s="214"/>
    </row>
    <row r="311" spans="1:5">
      <c r="A311" s="201">
        <v>4</v>
      </c>
      <c r="B311" s="212" t="s">
        <v>725</v>
      </c>
      <c r="C311" s="213">
        <v>117</v>
      </c>
      <c r="D311" s="263"/>
      <c r="E311" s="205"/>
    </row>
    <row r="312" spans="1:5">
      <c r="A312" s="201">
        <v>5</v>
      </c>
      <c r="B312" s="212" t="s">
        <v>719</v>
      </c>
      <c r="C312" s="213">
        <v>7</v>
      </c>
      <c r="D312" s="263"/>
      <c r="E312" s="205"/>
    </row>
    <row r="313" ht="12.75" spans="1:5">
      <c r="A313" s="206">
        <v>6</v>
      </c>
      <c r="B313" s="215" t="s">
        <v>726</v>
      </c>
      <c r="C313" s="216">
        <v>5</v>
      </c>
      <c r="D313" s="216"/>
      <c r="E313" s="217"/>
    </row>
    <row r="314" ht="12.75" spans="2:2">
      <c r="B314" s="46"/>
    </row>
    <row r="315" spans="2:2">
      <c r="B315" s="46"/>
    </row>
    <row r="316" spans="1:14">
      <c r="A316" s="79" t="s">
        <v>727</v>
      </c>
      <c r="B316" s="46"/>
      <c r="H316" s="46"/>
      <c r="I316" s="242"/>
      <c r="J316" s="46"/>
      <c r="K316" s="46"/>
      <c r="L316" s="46"/>
      <c r="M316" s="242"/>
      <c r="N316" s="46"/>
    </row>
    <row r="317" spans="1:2">
      <c r="A317" s="79" t="s">
        <v>728</v>
      </c>
      <c r="B317" s="46"/>
    </row>
    <row r="318" spans="1:9">
      <c r="A318" s="79" t="s">
        <v>729</v>
      </c>
      <c r="B318" s="46"/>
      <c r="I318" s="79"/>
    </row>
    <row r="319" ht="12.75" spans="1:9">
      <c r="A319" s="79" t="s">
        <v>730</v>
      </c>
      <c r="B319" s="46"/>
      <c r="I319" s="79"/>
    </row>
    <row r="320" ht="12.75" spans="1:6">
      <c r="A320" s="198" t="s">
        <v>85</v>
      </c>
      <c r="B320" s="198" t="s">
        <v>731</v>
      </c>
      <c r="C320" s="199" t="s">
        <v>716</v>
      </c>
      <c r="D320" s="245" t="s">
        <v>172</v>
      </c>
      <c r="E320" s="246"/>
      <c r="F320" s="247"/>
    </row>
    <row r="321" spans="1:9">
      <c r="A321" s="201">
        <v>1</v>
      </c>
      <c r="B321" s="248" t="s">
        <v>732</v>
      </c>
      <c r="C321" s="213">
        <v>3</v>
      </c>
      <c r="D321" s="249"/>
      <c r="E321" s="250"/>
      <c r="F321" s="251"/>
      <c r="I321" s="79"/>
    </row>
    <row r="322" spans="1:6">
      <c r="A322" s="201">
        <v>2</v>
      </c>
      <c r="B322" s="248" t="s">
        <v>733</v>
      </c>
      <c r="C322" s="213">
        <v>219</v>
      </c>
      <c r="D322" s="249"/>
      <c r="E322" s="250"/>
      <c r="F322" s="251"/>
    </row>
    <row r="323" spans="1:6">
      <c r="A323" s="201">
        <v>3</v>
      </c>
      <c r="B323" s="248" t="s">
        <v>737</v>
      </c>
      <c r="C323" s="213">
        <v>1</v>
      </c>
      <c r="D323" s="249"/>
      <c r="E323" s="250"/>
      <c r="F323" s="251"/>
    </row>
    <row r="324" spans="1:6">
      <c r="A324" s="201">
        <v>4</v>
      </c>
      <c r="B324" s="248" t="s">
        <v>734</v>
      </c>
      <c r="C324" s="213">
        <v>9</v>
      </c>
      <c r="D324" s="249"/>
      <c r="E324" s="250"/>
      <c r="F324" s="251"/>
    </row>
    <row r="325" spans="1:6">
      <c r="A325" s="201">
        <v>5</v>
      </c>
      <c r="B325" s="252"/>
      <c r="C325" s="253"/>
      <c r="D325" s="249"/>
      <c r="E325" s="250"/>
      <c r="F325" s="251"/>
    </row>
    <row r="326" spans="1:6">
      <c r="A326" s="254">
        <v>6</v>
      </c>
      <c r="B326" s="255"/>
      <c r="C326" s="255"/>
      <c r="D326" s="249"/>
      <c r="E326" s="250"/>
      <c r="F326" s="251"/>
    </row>
    <row r="327" ht="12.75" spans="1:6">
      <c r="A327" s="256">
        <v>7</v>
      </c>
      <c r="B327" s="257"/>
      <c r="C327" s="258"/>
      <c r="D327" s="259"/>
      <c r="E327" s="260"/>
      <c r="F327" s="261"/>
    </row>
    <row r="328" ht="12.75" spans="2:2">
      <c r="B328" s="46"/>
    </row>
    <row r="329" ht="27" customHeight="1"/>
  </sheetData>
  <mergeCells count="159">
    <mergeCell ref="A1:N1"/>
    <mergeCell ref="B9:F9"/>
    <mergeCell ref="L9:N9"/>
    <mergeCell ref="I38:J38"/>
    <mergeCell ref="D46:E46"/>
    <mergeCell ref="D47:E47"/>
    <mergeCell ref="D48:E48"/>
    <mergeCell ref="D49:E49"/>
    <mergeCell ref="D50:E50"/>
    <mergeCell ref="D56:E56"/>
    <mergeCell ref="D57:E57"/>
    <mergeCell ref="D58:E58"/>
    <mergeCell ref="D59:E59"/>
    <mergeCell ref="D60:E60"/>
    <mergeCell ref="D61:E61"/>
    <mergeCell ref="D68:F68"/>
    <mergeCell ref="D69:F69"/>
    <mergeCell ref="D70:F70"/>
    <mergeCell ref="D71:F71"/>
    <mergeCell ref="D72:F72"/>
    <mergeCell ref="D73:F73"/>
    <mergeCell ref="D74:F74"/>
    <mergeCell ref="D75:F75"/>
    <mergeCell ref="B92:F92"/>
    <mergeCell ref="L92:N92"/>
    <mergeCell ref="I120:J120"/>
    <mergeCell ref="D128:E128"/>
    <mergeCell ref="D129:E129"/>
    <mergeCell ref="D130:E130"/>
    <mergeCell ref="D131:E131"/>
    <mergeCell ref="D132:E132"/>
    <mergeCell ref="D133:E133"/>
    <mergeCell ref="D139:E139"/>
    <mergeCell ref="D140:E140"/>
    <mergeCell ref="D141:E141"/>
    <mergeCell ref="D142:E142"/>
    <mergeCell ref="D143:E143"/>
    <mergeCell ref="D144:E144"/>
    <mergeCell ref="D145:E145"/>
    <mergeCell ref="D152:F152"/>
    <mergeCell ref="D153:F153"/>
    <mergeCell ref="D154:F154"/>
    <mergeCell ref="D155:F155"/>
    <mergeCell ref="D156:F156"/>
    <mergeCell ref="D157:F157"/>
    <mergeCell ref="D158:F158"/>
    <mergeCell ref="D159:F159"/>
    <mergeCell ref="B176:F176"/>
    <mergeCell ref="L176:N176"/>
    <mergeCell ref="I204:J204"/>
    <mergeCell ref="D212:E212"/>
    <mergeCell ref="D213:E213"/>
    <mergeCell ref="D214:E214"/>
    <mergeCell ref="D215:E215"/>
    <mergeCell ref="D216:E216"/>
    <mergeCell ref="D217:E217"/>
    <mergeCell ref="D223:E223"/>
    <mergeCell ref="D224:E224"/>
    <mergeCell ref="D225:E225"/>
    <mergeCell ref="D226:E226"/>
    <mergeCell ref="D227:E227"/>
    <mergeCell ref="D228:E228"/>
    <mergeCell ref="D235:F235"/>
    <mergeCell ref="D236:F236"/>
    <mergeCell ref="D237:F237"/>
    <mergeCell ref="D238:F238"/>
    <mergeCell ref="D239:F239"/>
    <mergeCell ref="D240:F240"/>
    <mergeCell ref="D241:F241"/>
    <mergeCell ref="D242:F242"/>
    <mergeCell ref="B259:F259"/>
    <mergeCell ref="L259:N259"/>
    <mergeCell ref="I287:J287"/>
    <mergeCell ref="D295:E295"/>
    <mergeCell ref="D296:E296"/>
    <mergeCell ref="D297:E297"/>
    <mergeCell ref="D298:E298"/>
    <mergeCell ref="D299:E299"/>
    <mergeCell ref="D300:E300"/>
    <mergeCell ref="D301:E301"/>
    <mergeCell ref="D307:E307"/>
    <mergeCell ref="D308:E308"/>
    <mergeCell ref="D309:E309"/>
    <mergeCell ref="D310:E310"/>
    <mergeCell ref="D311:E311"/>
    <mergeCell ref="D312:E312"/>
    <mergeCell ref="D313:E313"/>
    <mergeCell ref="D320:F320"/>
    <mergeCell ref="D321:F321"/>
    <mergeCell ref="D322:F322"/>
    <mergeCell ref="D323:F323"/>
    <mergeCell ref="D324:F324"/>
    <mergeCell ref="D325:F325"/>
    <mergeCell ref="D326:F326"/>
    <mergeCell ref="D327:F327"/>
    <mergeCell ref="A9:A10"/>
    <mergeCell ref="A36:A37"/>
    <mergeCell ref="A39:A40"/>
    <mergeCell ref="A92:A93"/>
    <mergeCell ref="A118:A119"/>
    <mergeCell ref="A121:A122"/>
    <mergeCell ref="A176:A177"/>
    <mergeCell ref="A202:A203"/>
    <mergeCell ref="A205:A206"/>
    <mergeCell ref="A259:A260"/>
    <mergeCell ref="A285:A286"/>
    <mergeCell ref="A288:A289"/>
    <mergeCell ref="D36:D37"/>
    <mergeCell ref="D39:D40"/>
    <mergeCell ref="D118:D119"/>
    <mergeCell ref="D121:D122"/>
    <mergeCell ref="D202:D203"/>
    <mergeCell ref="D205:D206"/>
    <mergeCell ref="D285:D286"/>
    <mergeCell ref="D288:D289"/>
    <mergeCell ref="E36:E37"/>
    <mergeCell ref="E39:E40"/>
    <mergeCell ref="E118:E119"/>
    <mergeCell ref="E121:E122"/>
    <mergeCell ref="E202:E203"/>
    <mergeCell ref="E205:E206"/>
    <mergeCell ref="E285:E286"/>
    <mergeCell ref="E288:E289"/>
    <mergeCell ref="G9:G10"/>
    <mergeCell ref="G36:G38"/>
    <mergeCell ref="G92:G93"/>
    <mergeCell ref="G118:G120"/>
    <mergeCell ref="G176:G177"/>
    <mergeCell ref="G202:G204"/>
    <mergeCell ref="G259:G260"/>
    <mergeCell ref="G285:G287"/>
    <mergeCell ref="H9:H10"/>
    <mergeCell ref="H36:H37"/>
    <mergeCell ref="H92:H93"/>
    <mergeCell ref="H118:H119"/>
    <mergeCell ref="H176:H177"/>
    <mergeCell ref="H202:H203"/>
    <mergeCell ref="H259:H260"/>
    <mergeCell ref="H285:H286"/>
    <mergeCell ref="I9:I10"/>
    <mergeCell ref="I92:I93"/>
    <mergeCell ref="I176:I177"/>
    <mergeCell ref="I259:I260"/>
    <mergeCell ref="J9:J10"/>
    <mergeCell ref="J92:J93"/>
    <mergeCell ref="J176:J177"/>
    <mergeCell ref="J259:J260"/>
    <mergeCell ref="K9:K10"/>
    <mergeCell ref="K36:K37"/>
    <mergeCell ref="K92:K93"/>
    <mergeCell ref="K118:K119"/>
    <mergeCell ref="K176:K177"/>
    <mergeCell ref="K202:K203"/>
    <mergeCell ref="K259:K260"/>
    <mergeCell ref="K285:K286"/>
    <mergeCell ref="I36:J37"/>
    <mergeCell ref="I118:J119"/>
    <mergeCell ref="I202:J203"/>
    <mergeCell ref="I285:J286"/>
  </mergeCells>
  <conditionalFormatting sqref="K100">
    <cfRule type="cellIs" dxfId="1" priority="8" operator="greaterThan">
      <formula>$N$18</formula>
    </cfRule>
  </conditionalFormatting>
  <conditionalFormatting sqref="K101">
    <cfRule type="cellIs" dxfId="1" priority="7" operator="greaterThan">
      <formula>$N$19</formula>
    </cfRule>
  </conditionalFormatting>
  <conditionalFormatting sqref="K18:K19">
    <cfRule type="cellIs" dxfId="1" priority="11" operator="greaterThan">
      <formula>$N$18</formula>
    </cfRule>
  </conditionalFormatting>
  <conditionalFormatting sqref="K178:K183">
    <cfRule type="cellIs" dxfId="1" priority="6" operator="greaterThan">
      <formula>$N$16</formula>
    </cfRule>
  </conditionalFormatting>
  <conditionalFormatting sqref="K184:K185">
    <cfRule type="cellIs" dxfId="1" priority="5" operator="greaterThan">
      <formula>$N$18</formula>
    </cfRule>
  </conditionalFormatting>
  <conditionalFormatting sqref="K261:K266">
    <cfRule type="cellIs" dxfId="1" priority="3" operator="greaterThan">
      <formula>$N$16</formula>
    </cfRule>
  </conditionalFormatting>
  <conditionalFormatting sqref="K267:K268">
    <cfRule type="cellIs" dxfId="1" priority="2" operator="greaterThan">
      <formula>$N$18</formula>
    </cfRule>
  </conditionalFormatting>
  <conditionalFormatting sqref="K94:K99 K11:K17">
    <cfRule type="cellIs" dxfId="1" priority="9" operator="greaterThan">
      <formula>$N$16</formula>
    </cfRule>
  </conditionalFormatting>
  <dataValidations count="2">
    <dataValidation type="list" allowBlank="1" showInputMessage="1" showErrorMessage="1" sqref="B7 B90 B174 B257">
      <formula1>"强测试,弱测试"</formula1>
    </dataValidation>
    <dataValidation type="list" allowBlank="1" showInputMessage="1" showErrorMessage="1" sqref="D7 D90 D174 D257">
      <formula1>"内部验收,外部验收"</formula1>
    </dataValidation>
  </dataValidations>
  <pageMargins left="0.75" right="0.75" top="1" bottom="1" header="0.5" footer="0.5"/>
  <pageSetup paperSize="9" orientation="portrait"/>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92" name="Button 4" r:id="rId4">
              <controlPr print="0" defaultSize="0">
                <anchor moveWithCells="1">
                  <from>
                    <xdr:col>0</xdr:col>
                    <xdr:colOff>85725</xdr:colOff>
                    <xdr:row>22</xdr:row>
                    <xdr:rowOff>28575</xdr:rowOff>
                  </from>
                  <to>
                    <xdr:col>1</xdr:col>
                    <xdr:colOff>66675</xdr:colOff>
                    <xdr:row>23</xdr:row>
                    <xdr:rowOff>95250</xdr:rowOff>
                  </to>
                </anchor>
              </controlPr>
            </control>
          </mc:Choice>
        </mc:AlternateContent>
        <mc:AlternateContent xmlns:mc="http://schemas.openxmlformats.org/markup-compatibility/2006">
          <mc:Choice Requires="x14">
            <control shapeId="63491" name="Button 3" r:id="rId5">
              <controlPr print="0" defaultSize="0">
                <anchor moveWithCells="1">
                  <from>
                    <xdr:col>0</xdr:col>
                    <xdr:colOff>95250</xdr:colOff>
                    <xdr:row>20</xdr:row>
                    <xdr:rowOff>28575</xdr:rowOff>
                  </from>
                  <to>
                    <xdr:col>1</xdr:col>
                    <xdr:colOff>76200</xdr:colOff>
                    <xdr:row>20</xdr:row>
                    <xdr:rowOff>257175</xdr:rowOff>
                  </to>
                </anchor>
              </controlPr>
            </control>
          </mc:Choice>
        </mc:AlternateContent>
        <mc:AlternateContent xmlns:mc="http://schemas.openxmlformats.org/markup-compatibility/2006">
          <mc:Choice Requires="x14">
            <control shapeId="63496" name="Button 8" r:id="rId6">
              <controlPr print="0" defaultSize="0">
                <anchor moveWithCells="1">
                  <from>
                    <xdr:col>0</xdr:col>
                    <xdr:colOff>85725</xdr:colOff>
                    <xdr:row>104</xdr:row>
                    <xdr:rowOff>28575</xdr:rowOff>
                  </from>
                  <to>
                    <xdr:col>1</xdr:col>
                    <xdr:colOff>66675</xdr:colOff>
                    <xdr:row>105</xdr:row>
                    <xdr:rowOff>95250</xdr:rowOff>
                  </to>
                </anchor>
              </controlPr>
            </control>
          </mc:Choice>
        </mc:AlternateContent>
        <mc:AlternateContent xmlns:mc="http://schemas.openxmlformats.org/markup-compatibility/2006">
          <mc:Choice Requires="x14">
            <control shapeId="63497" name="Button 9" r:id="rId7">
              <controlPr print="0" defaultSize="0">
                <anchor moveWithCells="1">
                  <from>
                    <xdr:col>0</xdr:col>
                    <xdr:colOff>95250</xdr:colOff>
                    <xdr:row>102</xdr:row>
                    <xdr:rowOff>28575</xdr:rowOff>
                  </from>
                  <to>
                    <xdr:col>1</xdr:col>
                    <xdr:colOff>76200</xdr:colOff>
                    <xdr:row>102</xdr:row>
                    <xdr:rowOff>257175</xdr:rowOff>
                  </to>
                </anchor>
              </controlPr>
            </control>
          </mc:Choice>
        </mc:AlternateContent>
        <mc:AlternateContent xmlns:mc="http://schemas.openxmlformats.org/markup-compatibility/2006">
          <mc:Choice Requires="x14">
            <control shapeId="63501" name="Button 13" r:id="rId8">
              <controlPr print="0" defaultSize="0">
                <anchor moveWithCells="1">
                  <from>
                    <xdr:col>0</xdr:col>
                    <xdr:colOff>85725</xdr:colOff>
                    <xdr:row>188</xdr:row>
                    <xdr:rowOff>28575</xdr:rowOff>
                  </from>
                  <to>
                    <xdr:col>1</xdr:col>
                    <xdr:colOff>66675</xdr:colOff>
                    <xdr:row>189</xdr:row>
                    <xdr:rowOff>95250</xdr:rowOff>
                  </to>
                </anchor>
              </controlPr>
            </control>
          </mc:Choice>
        </mc:AlternateContent>
        <mc:AlternateContent xmlns:mc="http://schemas.openxmlformats.org/markup-compatibility/2006">
          <mc:Choice Requires="x14">
            <control shapeId="63502" name="Button 14" r:id="rId9">
              <controlPr print="0" defaultSize="0">
                <anchor moveWithCells="1">
                  <from>
                    <xdr:col>0</xdr:col>
                    <xdr:colOff>95250</xdr:colOff>
                    <xdr:row>186</xdr:row>
                    <xdr:rowOff>28575</xdr:rowOff>
                  </from>
                  <to>
                    <xdr:col>1</xdr:col>
                    <xdr:colOff>76200</xdr:colOff>
                    <xdr:row>186</xdr:row>
                    <xdr:rowOff>257175</xdr:rowOff>
                  </to>
                </anchor>
              </controlPr>
            </control>
          </mc:Choice>
        </mc:AlternateContent>
        <mc:AlternateContent xmlns:mc="http://schemas.openxmlformats.org/markup-compatibility/2006">
          <mc:Choice Requires="x14">
            <control shapeId="63506" name="Button 18" r:id="rId10">
              <controlPr print="0" defaultSize="0">
                <anchor moveWithCells="1">
                  <from>
                    <xdr:col>0</xdr:col>
                    <xdr:colOff>85725</xdr:colOff>
                    <xdr:row>271</xdr:row>
                    <xdr:rowOff>28575</xdr:rowOff>
                  </from>
                  <to>
                    <xdr:col>1</xdr:col>
                    <xdr:colOff>66675</xdr:colOff>
                    <xdr:row>272</xdr:row>
                    <xdr:rowOff>95250</xdr:rowOff>
                  </to>
                </anchor>
              </controlPr>
            </control>
          </mc:Choice>
        </mc:AlternateContent>
        <mc:AlternateContent xmlns:mc="http://schemas.openxmlformats.org/markup-compatibility/2006">
          <mc:Choice Requires="x14">
            <control shapeId="63507" name="Button 19" r:id="rId11">
              <controlPr print="0" defaultSize="0">
                <anchor moveWithCells="1">
                  <from>
                    <xdr:col>0</xdr:col>
                    <xdr:colOff>95250</xdr:colOff>
                    <xdr:row>269</xdr:row>
                    <xdr:rowOff>28575</xdr:rowOff>
                  </from>
                  <to>
                    <xdr:col>1</xdr:col>
                    <xdr:colOff>76200</xdr:colOff>
                    <xdr:row>269</xdr:row>
                    <xdr:rowOff>257175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theme="7"/>
  </sheetPr>
  <dimension ref="A1:AH118"/>
  <sheetViews>
    <sheetView showGridLines="0" workbookViewId="0">
      <selection activeCell="AK15" sqref="AK15"/>
    </sheetView>
  </sheetViews>
  <sheetFormatPr defaultColWidth="9" defaultRowHeight="12"/>
  <cols>
    <col min="1" max="1" width="19.75" style="47" customWidth="1"/>
    <col min="2" max="2" width="17.125" style="47" customWidth="1"/>
    <col min="3" max="3" width="13.875" style="48" customWidth="1"/>
    <col min="4" max="4" width="12.25" style="48" customWidth="1"/>
    <col min="5" max="5" width="12.625" style="47" customWidth="1"/>
    <col min="6" max="6" width="13.625" style="47" customWidth="1"/>
    <col min="7" max="7" width="11.75" style="47" customWidth="1"/>
    <col min="8" max="8" width="13.25" style="47" customWidth="1"/>
    <col min="9" max="9" width="11.625" style="47" customWidth="1"/>
    <col min="10" max="10" width="12.625" style="47" customWidth="1"/>
    <col min="11" max="11" width="9.5" style="47" customWidth="1"/>
    <col min="12" max="12" width="10.75" style="47" customWidth="1"/>
    <col min="13" max="13" width="8" style="47" customWidth="1"/>
    <col min="14" max="15" width="9" style="47"/>
    <col min="16" max="16" width="9.375" style="47" customWidth="1"/>
    <col min="17" max="17" width="9" style="47"/>
    <col min="18" max="18" width="7.5" style="47" customWidth="1"/>
    <col min="19" max="19" width="9.875" style="47" customWidth="1"/>
    <col min="20" max="253" width="9" style="47"/>
    <col min="254" max="254" width="14.375" style="47" customWidth="1"/>
    <col min="255" max="255" width="11.875" style="47" customWidth="1"/>
    <col min="256" max="256" width="13.875" style="47" customWidth="1"/>
    <col min="257" max="257" width="12.25" style="47" customWidth="1"/>
    <col min="258" max="258" width="12.625" style="47" customWidth="1"/>
    <col min="259" max="259" width="13.625" style="47" customWidth="1"/>
    <col min="260" max="260" width="11.75" style="47" customWidth="1"/>
    <col min="261" max="261" width="13.25" style="47" customWidth="1"/>
    <col min="262" max="262" width="11.625" style="47" customWidth="1"/>
    <col min="263" max="263" width="12.625" style="47" customWidth="1"/>
    <col min="264" max="264" width="9.5" style="47" customWidth="1"/>
    <col min="265" max="265" width="10.75" style="47" customWidth="1"/>
    <col min="266" max="266" width="8" style="47" customWidth="1"/>
    <col min="267" max="268" width="9" style="47"/>
    <col min="269" max="269" width="9.375" style="47" customWidth="1"/>
    <col min="270" max="270" width="9" style="47"/>
    <col min="271" max="271" width="7.5" style="47" customWidth="1"/>
    <col min="272" max="272" width="9.875" style="47" customWidth="1"/>
    <col min="273" max="509" width="9" style="47"/>
    <col min="510" max="510" width="14.375" style="47" customWidth="1"/>
    <col min="511" max="511" width="11.875" style="47" customWidth="1"/>
    <col min="512" max="512" width="13.875" style="47" customWidth="1"/>
    <col min="513" max="513" width="12.25" style="47" customWidth="1"/>
    <col min="514" max="514" width="12.625" style="47" customWidth="1"/>
    <col min="515" max="515" width="13.625" style="47" customWidth="1"/>
    <col min="516" max="516" width="11.75" style="47" customWidth="1"/>
    <col min="517" max="517" width="13.25" style="47" customWidth="1"/>
    <col min="518" max="518" width="11.625" style="47" customWidth="1"/>
    <col min="519" max="519" width="12.625" style="47" customWidth="1"/>
    <col min="520" max="520" width="9.5" style="47" customWidth="1"/>
    <col min="521" max="521" width="10.75" style="47" customWidth="1"/>
    <col min="522" max="522" width="8" style="47" customWidth="1"/>
    <col min="523" max="524" width="9" style="47"/>
    <col min="525" max="525" width="9.375" style="47" customWidth="1"/>
    <col min="526" max="526" width="9" style="47"/>
    <col min="527" max="527" width="7.5" style="47" customWidth="1"/>
    <col min="528" max="528" width="9.875" style="47" customWidth="1"/>
    <col min="529" max="765" width="9" style="47"/>
    <col min="766" max="766" width="14.375" style="47" customWidth="1"/>
    <col min="767" max="767" width="11.875" style="47" customWidth="1"/>
    <col min="768" max="768" width="13.875" style="47" customWidth="1"/>
    <col min="769" max="769" width="12.25" style="47" customWidth="1"/>
    <col min="770" max="770" width="12.625" style="47" customWidth="1"/>
    <col min="771" max="771" width="13.625" style="47" customWidth="1"/>
    <col min="772" max="772" width="11.75" style="47" customWidth="1"/>
    <col min="773" max="773" width="13.25" style="47" customWidth="1"/>
    <col min="774" max="774" width="11.625" style="47" customWidth="1"/>
    <col min="775" max="775" width="12.625" style="47" customWidth="1"/>
    <col min="776" max="776" width="9.5" style="47" customWidth="1"/>
    <col min="777" max="777" width="10.75" style="47" customWidth="1"/>
    <col min="778" max="778" width="8" style="47" customWidth="1"/>
    <col min="779" max="780" width="9" style="47"/>
    <col min="781" max="781" width="9.375" style="47" customWidth="1"/>
    <col min="782" max="782" width="9" style="47"/>
    <col min="783" max="783" width="7.5" style="47" customWidth="1"/>
    <col min="784" max="784" width="9.875" style="47" customWidth="1"/>
    <col min="785" max="1021" width="9" style="47"/>
    <col min="1022" max="1022" width="14.375" style="47" customWidth="1"/>
    <col min="1023" max="1023" width="11.875" style="47" customWidth="1"/>
    <col min="1024" max="1024" width="13.875" style="47" customWidth="1"/>
    <col min="1025" max="1025" width="12.25" style="47" customWidth="1"/>
    <col min="1026" max="1026" width="12.625" style="47" customWidth="1"/>
    <col min="1027" max="1027" width="13.625" style="47" customWidth="1"/>
    <col min="1028" max="1028" width="11.75" style="47" customWidth="1"/>
    <col min="1029" max="1029" width="13.25" style="47" customWidth="1"/>
    <col min="1030" max="1030" width="11.625" style="47" customWidth="1"/>
    <col min="1031" max="1031" width="12.625" style="47" customWidth="1"/>
    <col min="1032" max="1032" width="9.5" style="47" customWidth="1"/>
    <col min="1033" max="1033" width="10.75" style="47" customWidth="1"/>
    <col min="1034" max="1034" width="8" style="47" customWidth="1"/>
    <col min="1035" max="1036" width="9" style="47"/>
    <col min="1037" max="1037" width="9.375" style="47" customWidth="1"/>
    <col min="1038" max="1038" width="9" style="47"/>
    <col min="1039" max="1039" width="7.5" style="47" customWidth="1"/>
    <col min="1040" max="1040" width="9.875" style="47" customWidth="1"/>
    <col min="1041" max="1277" width="9" style="47"/>
    <col min="1278" max="1278" width="14.375" style="47" customWidth="1"/>
    <col min="1279" max="1279" width="11.875" style="47" customWidth="1"/>
    <col min="1280" max="1280" width="13.875" style="47" customWidth="1"/>
    <col min="1281" max="1281" width="12.25" style="47" customWidth="1"/>
    <col min="1282" max="1282" width="12.625" style="47" customWidth="1"/>
    <col min="1283" max="1283" width="13.625" style="47" customWidth="1"/>
    <col min="1284" max="1284" width="11.75" style="47" customWidth="1"/>
    <col min="1285" max="1285" width="13.25" style="47" customWidth="1"/>
    <col min="1286" max="1286" width="11.625" style="47" customWidth="1"/>
    <col min="1287" max="1287" width="12.625" style="47" customWidth="1"/>
    <col min="1288" max="1288" width="9.5" style="47" customWidth="1"/>
    <col min="1289" max="1289" width="10.75" style="47" customWidth="1"/>
    <col min="1290" max="1290" width="8" style="47" customWidth="1"/>
    <col min="1291" max="1292" width="9" style="47"/>
    <col min="1293" max="1293" width="9.375" style="47" customWidth="1"/>
    <col min="1294" max="1294" width="9" style="47"/>
    <col min="1295" max="1295" width="7.5" style="47" customWidth="1"/>
    <col min="1296" max="1296" width="9.875" style="47" customWidth="1"/>
    <col min="1297" max="1533" width="9" style="47"/>
    <col min="1534" max="1534" width="14.375" style="47" customWidth="1"/>
    <col min="1535" max="1535" width="11.875" style="47" customWidth="1"/>
    <col min="1536" max="1536" width="13.875" style="47" customWidth="1"/>
    <col min="1537" max="1537" width="12.25" style="47" customWidth="1"/>
    <col min="1538" max="1538" width="12.625" style="47" customWidth="1"/>
    <col min="1539" max="1539" width="13.625" style="47" customWidth="1"/>
    <col min="1540" max="1540" width="11.75" style="47" customWidth="1"/>
    <col min="1541" max="1541" width="13.25" style="47" customWidth="1"/>
    <col min="1542" max="1542" width="11.625" style="47" customWidth="1"/>
    <col min="1543" max="1543" width="12.625" style="47" customWidth="1"/>
    <col min="1544" max="1544" width="9.5" style="47" customWidth="1"/>
    <col min="1545" max="1545" width="10.75" style="47" customWidth="1"/>
    <col min="1546" max="1546" width="8" style="47" customWidth="1"/>
    <col min="1547" max="1548" width="9" style="47"/>
    <col min="1549" max="1549" width="9.375" style="47" customWidth="1"/>
    <col min="1550" max="1550" width="9" style="47"/>
    <col min="1551" max="1551" width="7.5" style="47" customWidth="1"/>
    <col min="1552" max="1552" width="9.875" style="47" customWidth="1"/>
    <col min="1553" max="1789" width="9" style="47"/>
    <col min="1790" max="1790" width="14.375" style="47" customWidth="1"/>
    <col min="1791" max="1791" width="11.875" style="47" customWidth="1"/>
    <col min="1792" max="1792" width="13.875" style="47" customWidth="1"/>
    <col min="1793" max="1793" width="12.25" style="47" customWidth="1"/>
    <col min="1794" max="1794" width="12.625" style="47" customWidth="1"/>
    <col min="1795" max="1795" width="13.625" style="47" customWidth="1"/>
    <col min="1796" max="1796" width="11.75" style="47" customWidth="1"/>
    <col min="1797" max="1797" width="13.25" style="47" customWidth="1"/>
    <col min="1798" max="1798" width="11.625" style="47" customWidth="1"/>
    <col min="1799" max="1799" width="12.625" style="47" customWidth="1"/>
    <col min="1800" max="1800" width="9.5" style="47" customWidth="1"/>
    <col min="1801" max="1801" width="10.75" style="47" customWidth="1"/>
    <col min="1802" max="1802" width="8" style="47" customWidth="1"/>
    <col min="1803" max="1804" width="9" style="47"/>
    <col min="1805" max="1805" width="9.375" style="47" customWidth="1"/>
    <col min="1806" max="1806" width="9" style="47"/>
    <col min="1807" max="1807" width="7.5" style="47" customWidth="1"/>
    <col min="1808" max="1808" width="9.875" style="47" customWidth="1"/>
    <col min="1809" max="2045" width="9" style="47"/>
    <col min="2046" max="2046" width="14.375" style="47" customWidth="1"/>
    <col min="2047" max="2047" width="11.875" style="47" customWidth="1"/>
    <col min="2048" max="2048" width="13.875" style="47" customWidth="1"/>
    <col min="2049" max="2049" width="12.25" style="47" customWidth="1"/>
    <col min="2050" max="2050" width="12.625" style="47" customWidth="1"/>
    <col min="2051" max="2051" width="13.625" style="47" customWidth="1"/>
    <col min="2052" max="2052" width="11.75" style="47" customWidth="1"/>
    <col min="2053" max="2053" width="13.25" style="47" customWidth="1"/>
    <col min="2054" max="2054" width="11.625" style="47" customWidth="1"/>
    <col min="2055" max="2055" width="12.625" style="47" customWidth="1"/>
    <col min="2056" max="2056" width="9.5" style="47" customWidth="1"/>
    <col min="2057" max="2057" width="10.75" style="47" customWidth="1"/>
    <col min="2058" max="2058" width="8" style="47" customWidth="1"/>
    <col min="2059" max="2060" width="9" style="47"/>
    <col min="2061" max="2061" width="9.375" style="47" customWidth="1"/>
    <col min="2062" max="2062" width="9" style="47"/>
    <col min="2063" max="2063" width="7.5" style="47" customWidth="1"/>
    <col min="2064" max="2064" width="9.875" style="47" customWidth="1"/>
    <col min="2065" max="2301" width="9" style="47"/>
    <col min="2302" max="2302" width="14.375" style="47" customWidth="1"/>
    <col min="2303" max="2303" width="11.875" style="47" customWidth="1"/>
    <col min="2304" max="2304" width="13.875" style="47" customWidth="1"/>
    <col min="2305" max="2305" width="12.25" style="47" customWidth="1"/>
    <col min="2306" max="2306" width="12.625" style="47" customWidth="1"/>
    <col min="2307" max="2307" width="13.625" style="47" customWidth="1"/>
    <col min="2308" max="2308" width="11.75" style="47" customWidth="1"/>
    <col min="2309" max="2309" width="13.25" style="47" customWidth="1"/>
    <col min="2310" max="2310" width="11.625" style="47" customWidth="1"/>
    <col min="2311" max="2311" width="12.625" style="47" customWidth="1"/>
    <col min="2312" max="2312" width="9.5" style="47" customWidth="1"/>
    <col min="2313" max="2313" width="10.75" style="47" customWidth="1"/>
    <col min="2314" max="2314" width="8" style="47" customWidth="1"/>
    <col min="2315" max="2316" width="9" style="47"/>
    <col min="2317" max="2317" width="9.375" style="47" customWidth="1"/>
    <col min="2318" max="2318" width="9" style="47"/>
    <col min="2319" max="2319" width="7.5" style="47" customWidth="1"/>
    <col min="2320" max="2320" width="9.875" style="47" customWidth="1"/>
    <col min="2321" max="2557" width="9" style="47"/>
    <col min="2558" max="2558" width="14.375" style="47" customWidth="1"/>
    <col min="2559" max="2559" width="11.875" style="47" customWidth="1"/>
    <col min="2560" max="2560" width="13.875" style="47" customWidth="1"/>
    <col min="2561" max="2561" width="12.25" style="47" customWidth="1"/>
    <col min="2562" max="2562" width="12.625" style="47" customWidth="1"/>
    <col min="2563" max="2563" width="13.625" style="47" customWidth="1"/>
    <col min="2564" max="2564" width="11.75" style="47" customWidth="1"/>
    <col min="2565" max="2565" width="13.25" style="47" customWidth="1"/>
    <col min="2566" max="2566" width="11.625" style="47" customWidth="1"/>
    <col min="2567" max="2567" width="12.625" style="47" customWidth="1"/>
    <col min="2568" max="2568" width="9.5" style="47" customWidth="1"/>
    <col min="2569" max="2569" width="10.75" style="47" customWidth="1"/>
    <col min="2570" max="2570" width="8" style="47" customWidth="1"/>
    <col min="2571" max="2572" width="9" style="47"/>
    <col min="2573" max="2573" width="9.375" style="47" customWidth="1"/>
    <col min="2574" max="2574" width="9" style="47"/>
    <col min="2575" max="2575" width="7.5" style="47" customWidth="1"/>
    <col min="2576" max="2576" width="9.875" style="47" customWidth="1"/>
    <col min="2577" max="2813" width="9" style="47"/>
    <col min="2814" max="2814" width="14.375" style="47" customWidth="1"/>
    <col min="2815" max="2815" width="11.875" style="47" customWidth="1"/>
    <col min="2816" max="2816" width="13.875" style="47" customWidth="1"/>
    <col min="2817" max="2817" width="12.25" style="47" customWidth="1"/>
    <col min="2818" max="2818" width="12.625" style="47" customWidth="1"/>
    <col min="2819" max="2819" width="13.625" style="47" customWidth="1"/>
    <col min="2820" max="2820" width="11.75" style="47" customWidth="1"/>
    <col min="2821" max="2821" width="13.25" style="47" customWidth="1"/>
    <col min="2822" max="2822" width="11.625" style="47" customWidth="1"/>
    <col min="2823" max="2823" width="12.625" style="47" customWidth="1"/>
    <col min="2824" max="2824" width="9.5" style="47" customWidth="1"/>
    <col min="2825" max="2825" width="10.75" style="47" customWidth="1"/>
    <col min="2826" max="2826" width="8" style="47" customWidth="1"/>
    <col min="2827" max="2828" width="9" style="47"/>
    <col min="2829" max="2829" width="9.375" style="47" customWidth="1"/>
    <col min="2830" max="2830" width="9" style="47"/>
    <col min="2831" max="2831" width="7.5" style="47" customWidth="1"/>
    <col min="2832" max="2832" width="9.875" style="47" customWidth="1"/>
    <col min="2833" max="3069" width="9" style="47"/>
    <col min="3070" max="3070" width="14.375" style="47" customWidth="1"/>
    <col min="3071" max="3071" width="11.875" style="47" customWidth="1"/>
    <col min="3072" max="3072" width="13.875" style="47" customWidth="1"/>
    <col min="3073" max="3073" width="12.25" style="47" customWidth="1"/>
    <col min="3074" max="3074" width="12.625" style="47" customWidth="1"/>
    <col min="3075" max="3075" width="13.625" style="47" customWidth="1"/>
    <col min="3076" max="3076" width="11.75" style="47" customWidth="1"/>
    <col min="3077" max="3077" width="13.25" style="47" customWidth="1"/>
    <col min="3078" max="3078" width="11.625" style="47" customWidth="1"/>
    <col min="3079" max="3079" width="12.625" style="47" customWidth="1"/>
    <col min="3080" max="3080" width="9.5" style="47" customWidth="1"/>
    <col min="3081" max="3081" width="10.75" style="47" customWidth="1"/>
    <col min="3082" max="3082" width="8" style="47" customWidth="1"/>
    <col min="3083" max="3084" width="9" style="47"/>
    <col min="3085" max="3085" width="9.375" style="47" customWidth="1"/>
    <col min="3086" max="3086" width="9" style="47"/>
    <col min="3087" max="3087" width="7.5" style="47" customWidth="1"/>
    <col min="3088" max="3088" width="9.875" style="47" customWidth="1"/>
    <col min="3089" max="3325" width="9" style="47"/>
    <col min="3326" max="3326" width="14.375" style="47" customWidth="1"/>
    <col min="3327" max="3327" width="11.875" style="47" customWidth="1"/>
    <col min="3328" max="3328" width="13.875" style="47" customWidth="1"/>
    <col min="3329" max="3329" width="12.25" style="47" customWidth="1"/>
    <col min="3330" max="3330" width="12.625" style="47" customWidth="1"/>
    <col min="3331" max="3331" width="13.625" style="47" customWidth="1"/>
    <col min="3332" max="3332" width="11.75" style="47" customWidth="1"/>
    <col min="3333" max="3333" width="13.25" style="47" customWidth="1"/>
    <col min="3334" max="3334" width="11.625" style="47" customWidth="1"/>
    <col min="3335" max="3335" width="12.625" style="47" customWidth="1"/>
    <col min="3336" max="3336" width="9.5" style="47" customWidth="1"/>
    <col min="3337" max="3337" width="10.75" style="47" customWidth="1"/>
    <col min="3338" max="3338" width="8" style="47" customWidth="1"/>
    <col min="3339" max="3340" width="9" style="47"/>
    <col min="3341" max="3341" width="9.375" style="47" customWidth="1"/>
    <col min="3342" max="3342" width="9" style="47"/>
    <col min="3343" max="3343" width="7.5" style="47" customWidth="1"/>
    <col min="3344" max="3344" width="9.875" style="47" customWidth="1"/>
    <col min="3345" max="3581" width="9" style="47"/>
    <col min="3582" max="3582" width="14.375" style="47" customWidth="1"/>
    <col min="3583" max="3583" width="11.875" style="47" customWidth="1"/>
    <col min="3584" max="3584" width="13.875" style="47" customWidth="1"/>
    <col min="3585" max="3585" width="12.25" style="47" customWidth="1"/>
    <col min="3586" max="3586" width="12.625" style="47" customWidth="1"/>
    <col min="3587" max="3587" width="13.625" style="47" customWidth="1"/>
    <col min="3588" max="3588" width="11.75" style="47" customWidth="1"/>
    <col min="3589" max="3589" width="13.25" style="47" customWidth="1"/>
    <col min="3590" max="3590" width="11.625" style="47" customWidth="1"/>
    <col min="3591" max="3591" width="12.625" style="47" customWidth="1"/>
    <col min="3592" max="3592" width="9.5" style="47" customWidth="1"/>
    <col min="3593" max="3593" width="10.75" style="47" customWidth="1"/>
    <col min="3594" max="3594" width="8" style="47" customWidth="1"/>
    <col min="3595" max="3596" width="9" style="47"/>
    <col min="3597" max="3597" width="9.375" style="47" customWidth="1"/>
    <col min="3598" max="3598" width="9" style="47"/>
    <col min="3599" max="3599" width="7.5" style="47" customWidth="1"/>
    <col min="3600" max="3600" width="9.875" style="47" customWidth="1"/>
    <col min="3601" max="3837" width="9" style="47"/>
    <col min="3838" max="3838" width="14.375" style="47" customWidth="1"/>
    <col min="3839" max="3839" width="11.875" style="47" customWidth="1"/>
    <col min="3840" max="3840" width="13.875" style="47" customWidth="1"/>
    <col min="3841" max="3841" width="12.25" style="47" customWidth="1"/>
    <col min="3842" max="3842" width="12.625" style="47" customWidth="1"/>
    <col min="3843" max="3843" width="13.625" style="47" customWidth="1"/>
    <col min="3844" max="3844" width="11.75" style="47" customWidth="1"/>
    <col min="3845" max="3845" width="13.25" style="47" customWidth="1"/>
    <col min="3846" max="3846" width="11.625" style="47" customWidth="1"/>
    <col min="3847" max="3847" width="12.625" style="47" customWidth="1"/>
    <col min="3848" max="3848" width="9.5" style="47" customWidth="1"/>
    <col min="3849" max="3849" width="10.75" style="47" customWidth="1"/>
    <col min="3850" max="3850" width="8" style="47" customWidth="1"/>
    <col min="3851" max="3852" width="9" style="47"/>
    <col min="3853" max="3853" width="9.375" style="47" customWidth="1"/>
    <col min="3854" max="3854" width="9" style="47"/>
    <col min="3855" max="3855" width="7.5" style="47" customWidth="1"/>
    <col min="3856" max="3856" width="9.875" style="47" customWidth="1"/>
    <col min="3857" max="4093" width="9" style="47"/>
    <col min="4094" max="4094" width="14.375" style="47" customWidth="1"/>
    <col min="4095" max="4095" width="11.875" style="47" customWidth="1"/>
    <col min="4096" max="4096" width="13.875" style="47" customWidth="1"/>
    <col min="4097" max="4097" width="12.25" style="47" customWidth="1"/>
    <col min="4098" max="4098" width="12.625" style="47" customWidth="1"/>
    <col min="4099" max="4099" width="13.625" style="47" customWidth="1"/>
    <col min="4100" max="4100" width="11.75" style="47" customWidth="1"/>
    <col min="4101" max="4101" width="13.25" style="47" customWidth="1"/>
    <col min="4102" max="4102" width="11.625" style="47" customWidth="1"/>
    <col min="4103" max="4103" width="12.625" style="47" customWidth="1"/>
    <col min="4104" max="4104" width="9.5" style="47" customWidth="1"/>
    <col min="4105" max="4105" width="10.75" style="47" customWidth="1"/>
    <col min="4106" max="4106" width="8" style="47" customWidth="1"/>
    <col min="4107" max="4108" width="9" style="47"/>
    <col min="4109" max="4109" width="9.375" style="47" customWidth="1"/>
    <col min="4110" max="4110" width="9" style="47"/>
    <col min="4111" max="4111" width="7.5" style="47" customWidth="1"/>
    <col min="4112" max="4112" width="9.875" style="47" customWidth="1"/>
    <col min="4113" max="4349" width="9" style="47"/>
    <col min="4350" max="4350" width="14.375" style="47" customWidth="1"/>
    <col min="4351" max="4351" width="11.875" style="47" customWidth="1"/>
    <col min="4352" max="4352" width="13.875" style="47" customWidth="1"/>
    <col min="4353" max="4353" width="12.25" style="47" customWidth="1"/>
    <col min="4354" max="4354" width="12.625" style="47" customWidth="1"/>
    <col min="4355" max="4355" width="13.625" style="47" customWidth="1"/>
    <col min="4356" max="4356" width="11.75" style="47" customWidth="1"/>
    <col min="4357" max="4357" width="13.25" style="47" customWidth="1"/>
    <col min="4358" max="4358" width="11.625" style="47" customWidth="1"/>
    <col min="4359" max="4359" width="12.625" style="47" customWidth="1"/>
    <col min="4360" max="4360" width="9.5" style="47" customWidth="1"/>
    <col min="4361" max="4361" width="10.75" style="47" customWidth="1"/>
    <col min="4362" max="4362" width="8" style="47" customWidth="1"/>
    <col min="4363" max="4364" width="9" style="47"/>
    <col min="4365" max="4365" width="9.375" style="47" customWidth="1"/>
    <col min="4366" max="4366" width="9" style="47"/>
    <col min="4367" max="4367" width="7.5" style="47" customWidth="1"/>
    <col min="4368" max="4368" width="9.875" style="47" customWidth="1"/>
    <col min="4369" max="4605" width="9" style="47"/>
    <col min="4606" max="4606" width="14.375" style="47" customWidth="1"/>
    <col min="4607" max="4607" width="11.875" style="47" customWidth="1"/>
    <col min="4608" max="4608" width="13.875" style="47" customWidth="1"/>
    <col min="4609" max="4609" width="12.25" style="47" customWidth="1"/>
    <col min="4610" max="4610" width="12.625" style="47" customWidth="1"/>
    <col min="4611" max="4611" width="13.625" style="47" customWidth="1"/>
    <col min="4612" max="4612" width="11.75" style="47" customWidth="1"/>
    <col min="4613" max="4613" width="13.25" style="47" customWidth="1"/>
    <col min="4614" max="4614" width="11.625" style="47" customWidth="1"/>
    <col min="4615" max="4615" width="12.625" style="47" customWidth="1"/>
    <col min="4616" max="4616" width="9.5" style="47" customWidth="1"/>
    <col min="4617" max="4617" width="10.75" style="47" customWidth="1"/>
    <col min="4618" max="4618" width="8" style="47" customWidth="1"/>
    <col min="4619" max="4620" width="9" style="47"/>
    <col min="4621" max="4621" width="9.375" style="47" customWidth="1"/>
    <col min="4622" max="4622" width="9" style="47"/>
    <col min="4623" max="4623" width="7.5" style="47" customWidth="1"/>
    <col min="4624" max="4624" width="9.875" style="47" customWidth="1"/>
    <col min="4625" max="4861" width="9" style="47"/>
    <col min="4862" max="4862" width="14.375" style="47" customWidth="1"/>
    <col min="4863" max="4863" width="11.875" style="47" customWidth="1"/>
    <col min="4864" max="4864" width="13.875" style="47" customWidth="1"/>
    <col min="4865" max="4865" width="12.25" style="47" customWidth="1"/>
    <col min="4866" max="4866" width="12.625" style="47" customWidth="1"/>
    <col min="4867" max="4867" width="13.625" style="47" customWidth="1"/>
    <col min="4868" max="4868" width="11.75" style="47" customWidth="1"/>
    <col min="4869" max="4869" width="13.25" style="47" customWidth="1"/>
    <col min="4870" max="4870" width="11.625" style="47" customWidth="1"/>
    <col min="4871" max="4871" width="12.625" style="47" customWidth="1"/>
    <col min="4872" max="4872" width="9.5" style="47" customWidth="1"/>
    <col min="4873" max="4873" width="10.75" style="47" customWidth="1"/>
    <col min="4874" max="4874" width="8" style="47" customWidth="1"/>
    <col min="4875" max="4876" width="9" style="47"/>
    <col min="4877" max="4877" width="9.375" style="47" customWidth="1"/>
    <col min="4878" max="4878" width="9" style="47"/>
    <col min="4879" max="4879" width="7.5" style="47" customWidth="1"/>
    <col min="4880" max="4880" width="9.875" style="47" customWidth="1"/>
    <col min="4881" max="5117" width="9" style="47"/>
    <col min="5118" max="5118" width="14.375" style="47" customWidth="1"/>
    <col min="5119" max="5119" width="11.875" style="47" customWidth="1"/>
    <col min="5120" max="5120" width="13.875" style="47" customWidth="1"/>
    <col min="5121" max="5121" width="12.25" style="47" customWidth="1"/>
    <col min="5122" max="5122" width="12.625" style="47" customWidth="1"/>
    <col min="5123" max="5123" width="13.625" style="47" customWidth="1"/>
    <col min="5124" max="5124" width="11.75" style="47" customWidth="1"/>
    <col min="5125" max="5125" width="13.25" style="47" customWidth="1"/>
    <col min="5126" max="5126" width="11.625" style="47" customWidth="1"/>
    <col min="5127" max="5127" width="12.625" style="47" customWidth="1"/>
    <col min="5128" max="5128" width="9.5" style="47" customWidth="1"/>
    <col min="5129" max="5129" width="10.75" style="47" customWidth="1"/>
    <col min="5130" max="5130" width="8" style="47" customWidth="1"/>
    <col min="5131" max="5132" width="9" style="47"/>
    <col min="5133" max="5133" width="9.375" style="47" customWidth="1"/>
    <col min="5134" max="5134" width="9" style="47"/>
    <col min="5135" max="5135" width="7.5" style="47" customWidth="1"/>
    <col min="5136" max="5136" width="9.875" style="47" customWidth="1"/>
    <col min="5137" max="5373" width="9" style="47"/>
    <col min="5374" max="5374" width="14.375" style="47" customWidth="1"/>
    <col min="5375" max="5375" width="11.875" style="47" customWidth="1"/>
    <col min="5376" max="5376" width="13.875" style="47" customWidth="1"/>
    <col min="5377" max="5377" width="12.25" style="47" customWidth="1"/>
    <col min="5378" max="5378" width="12.625" style="47" customWidth="1"/>
    <col min="5379" max="5379" width="13.625" style="47" customWidth="1"/>
    <col min="5380" max="5380" width="11.75" style="47" customWidth="1"/>
    <col min="5381" max="5381" width="13.25" style="47" customWidth="1"/>
    <col min="5382" max="5382" width="11.625" style="47" customWidth="1"/>
    <col min="5383" max="5383" width="12.625" style="47" customWidth="1"/>
    <col min="5384" max="5384" width="9.5" style="47" customWidth="1"/>
    <col min="5385" max="5385" width="10.75" style="47" customWidth="1"/>
    <col min="5386" max="5386" width="8" style="47" customWidth="1"/>
    <col min="5387" max="5388" width="9" style="47"/>
    <col min="5389" max="5389" width="9.375" style="47" customWidth="1"/>
    <col min="5390" max="5390" width="9" style="47"/>
    <col min="5391" max="5391" width="7.5" style="47" customWidth="1"/>
    <col min="5392" max="5392" width="9.875" style="47" customWidth="1"/>
    <col min="5393" max="5629" width="9" style="47"/>
    <col min="5630" max="5630" width="14.375" style="47" customWidth="1"/>
    <col min="5631" max="5631" width="11.875" style="47" customWidth="1"/>
    <col min="5632" max="5632" width="13.875" style="47" customWidth="1"/>
    <col min="5633" max="5633" width="12.25" style="47" customWidth="1"/>
    <col min="5634" max="5634" width="12.625" style="47" customWidth="1"/>
    <col min="5635" max="5635" width="13.625" style="47" customWidth="1"/>
    <col min="5636" max="5636" width="11.75" style="47" customWidth="1"/>
    <col min="5637" max="5637" width="13.25" style="47" customWidth="1"/>
    <col min="5638" max="5638" width="11.625" style="47" customWidth="1"/>
    <col min="5639" max="5639" width="12.625" style="47" customWidth="1"/>
    <col min="5640" max="5640" width="9.5" style="47" customWidth="1"/>
    <col min="5641" max="5641" width="10.75" style="47" customWidth="1"/>
    <col min="5642" max="5642" width="8" style="47" customWidth="1"/>
    <col min="5643" max="5644" width="9" style="47"/>
    <col min="5645" max="5645" width="9.375" style="47" customWidth="1"/>
    <col min="5646" max="5646" width="9" style="47"/>
    <col min="5647" max="5647" width="7.5" style="47" customWidth="1"/>
    <col min="5648" max="5648" width="9.875" style="47" customWidth="1"/>
    <col min="5649" max="5885" width="9" style="47"/>
    <col min="5886" max="5886" width="14.375" style="47" customWidth="1"/>
    <col min="5887" max="5887" width="11.875" style="47" customWidth="1"/>
    <col min="5888" max="5888" width="13.875" style="47" customWidth="1"/>
    <col min="5889" max="5889" width="12.25" style="47" customWidth="1"/>
    <col min="5890" max="5890" width="12.625" style="47" customWidth="1"/>
    <col min="5891" max="5891" width="13.625" style="47" customWidth="1"/>
    <col min="5892" max="5892" width="11.75" style="47" customWidth="1"/>
    <col min="5893" max="5893" width="13.25" style="47" customWidth="1"/>
    <col min="5894" max="5894" width="11.625" style="47" customWidth="1"/>
    <col min="5895" max="5895" width="12.625" style="47" customWidth="1"/>
    <col min="5896" max="5896" width="9.5" style="47" customWidth="1"/>
    <col min="5897" max="5897" width="10.75" style="47" customWidth="1"/>
    <col min="5898" max="5898" width="8" style="47" customWidth="1"/>
    <col min="5899" max="5900" width="9" style="47"/>
    <col min="5901" max="5901" width="9.375" style="47" customWidth="1"/>
    <col min="5902" max="5902" width="9" style="47"/>
    <col min="5903" max="5903" width="7.5" style="47" customWidth="1"/>
    <col min="5904" max="5904" width="9.875" style="47" customWidth="1"/>
    <col min="5905" max="6141" width="9" style="47"/>
    <col min="6142" max="6142" width="14.375" style="47" customWidth="1"/>
    <col min="6143" max="6143" width="11.875" style="47" customWidth="1"/>
    <col min="6144" max="6144" width="13.875" style="47" customWidth="1"/>
    <col min="6145" max="6145" width="12.25" style="47" customWidth="1"/>
    <col min="6146" max="6146" width="12.625" style="47" customWidth="1"/>
    <col min="6147" max="6147" width="13.625" style="47" customWidth="1"/>
    <col min="6148" max="6148" width="11.75" style="47" customWidth="1"/>
    <col min="6149" max="6149" width="13.25" style="47" customWidth="1"/>
    <col min="6150" max="6150" width="11.625" style="47" customWidth="1"/>
    <col min="6151" max="6151" width="12.625" style="47" customWidth="1"/>
    <col min="6152" max="6152" width="9.5" style="47" customWidth="1"/>
    <col min="6153" max="6153" width="10.75" style="47" customWidth="1"/>
    <col min="6154" max="6154" width="8" style="47" customWidth="1"/>
    <col min="6155" max="6156" width="9" style="47"/>
    <col min="6157" max="6157" width="9.375" style="47" customWidth="1"/>
    <col min="6158" max="6158" width="9" style="47"/>
    <col min="6159" max="6159" width="7.5" style="47" customWidth="1"/>
    <col min="6160" max="6160" width="9.875" style="47" customWidth="1"/>
    <col min="6161" max="6397" width="9" style="47"/>
    <col min="6398" max="6398" width="14.375" style="47" customWidth="1"/>
    <col min="6399" max="6399" width="11.875" style="47" customWidth="1"/>
    <col min="6400" max="6400" width="13.875" style="47" customWidth="1"/>
    <col min="6401" max="6401" width="12.25" style="47" customWidth="1"/>
    <col min="6402" max="6402" width="12.625" style="47" customWidth="1"/>
    <col min="6403" max="6403" width="13.625" style="47" customWidth="1"/>
    <col min="6404" max="6404" width="11.75" style="47" customWidth="1"/>
    <col min="6405" max="6405" width="13.25" style="47" customWidth="1"/>
    <col min="6406" max="6406" width="11.625" style="47" customWidth="1"/>
    <col min="6407" max="6407" width="12.625" style="47" customWidth="1"/>
    <col min="6408" max="6408" width="9.5" style="47" customWidth="1"/>
    <col min="6409" max="6409" width="10.75" style="47" customWidth="1"/>
    <col min="6410" max="6410" width="8" style="47" customWidth="1"/>
    <col min="6411" max="6412" width="9" style="47"/>
    <col min="6413" max="6413" width="9.375" style="47" customWidth="1"/>
    <col min="6414" max="6414" width="9" style="47"/>
    <col min="6415" max="6415" width="7.5" style="47" customWidth="1"/>
    <col min="6416" max="6416" width="9.875" style="47" customWidth="1"/>
    <col min="6417" max="6653" width="9" style="47"/>
    <col min="6654" max="6654" width="14.375" style="47" customWidth="1"/>
    <col min="6655" max="6655" width="11.875" style="47" customWidth="1"/>
    <col min="6656" max="6656" width="13.875" style="47" customWidth="1"/>
    <col min="6657" max="6657" width="12.25" style="47" customWidth="1"/>
    <col min="6658" max="6658" width="12.625" style="47" customWidth="1"/>
    <col min="6659" max="6659" width="13.625" style="47" customWidth="1"/>
    <col min="6660" max="6660" width="11.75" style="47" customWidth="1"/>
    <col min="6661" max="6661" width="13.25" style="47" customWidth="1"/>
    <col min="6662" max="6662" width="11.625" style="47" customWidth="1"/>
    <col min="6663" max="6663" width="12.625" style="47" customWidth="1"/>
    <col min="6664" max="6664" width="9.5" style="47" customWidth="1"/>
    <col min="6665" max="6665" width="10.75" style="47" customWidth="1"/>
    <col min="6666" max="6666" width="8" style="47" customWidth="1"/>
    <col min="6667" max="6668" width="9" style="47"/>
    <col min="6669" max="6669" width="9.375" style="47" customWidth="1"/>
    <col min="6670" max="6670" width="9" style="47"/>
    <col min="6671" max="6671" width="7.5" style="47" customWidth="1"/>
    <col min="6672" max="6672" width="9.875" style="47" customWidth="1"/>
    <col min="6673" max="6909" width="9" style="47"/>
    <col min="6910" max="6910" width="14.375" style="47" customWidth="1"/>
    <col min="6911" max="6911" width="11.875" style="47" customWidth="1"/>
    <col min="6912" max="6912" width="13.875" style="47" customWidth="1"/>
    <col min="6913" max="6913" width="12.25" style="47" customWidth="1"/>
    <col min="6914" max="6914" width="12.625" style="47" customWidth="1"/>
    <col min="6915" max="6915" width="13.625" style="47" customWidth="1"/>
    <col min="6916" max="6916" width="11.75" style="47" customWidth="1"/>
    <col min="6917" max="6917" width="13.25" style="47" customWidth="1"/>
    <col min="6918" max="6918" width="11.625" style="47" customWidth="1"/>
    <col min="6919" max="6919" width="12.625" style="47" customWidth="1"/>
    <col min="6920" max="6920" width="9.5" style="47" customWidth="1"/>
    <col min="6921" max="6921" width="10.75" style="47" customWidth="1"/>
    <col min="6922" max="6922" width="8" style="47" customWidth="1"/>
    <col min="6923" max="6924" width="9" style="47"/>
    <col min="6925" max="6925" width="9.375" style="47" customWidth="1"/>
    <col min="6926" max="6926" width="9" style="47"/>
    <col min="6927" max="6927" width="7.5" style="47" customWidth="1"/>
    <col min="6928" max="6928" width="9.875" style="47" customWidth="1"/>
    <col min="6929" max="7165" width="9" style="47"/>
    <col min="7166" max="7166" width="14.375" style="47" customWidth="1"/>
    <col min="7167" max="7167" width="11.875" style="47" customWidth="1"/>
    <col min="7168" max="7168" width="13.875" style="47" customWidth="1"/>
    <col min="7169" max="7169" width="12.25" style="47" customWidth="1"/>
    <col min="7170" max="7170" width="12.625" style="47" customWidth="1"/>
    <col min="7171" max="7171" width="13.625" style="47" customWidth="1"/>
    <col min="7172" max="7172" width="11.75" style="47" customWidth="1"/>
    <col min="7173" max="7173" width="13.25" style="47" customWidth="1"/>
    <col min="7174" max="7174" width="11.625" style="47" customWidth="1"/>
    <col min="7175" max="7175" width="12.625" style="47" customWidth="1"/>
    <col min="7176" max="7176" width="9.5" style="47" customWidth="1"/>
    <col min="7177" max="7177" width="10.75" style="47" customWidth="1"/>
    <col min="7178" max="7178" width="8" style="47" customWidth="1"/>
    <col min="7179" max="7180" width="9" style="47"/>
    <col min="7181" max="7181" width="9.375" style="47" customWidth="1"/>
    <col min="7182" max="7182" width="9" style="47"/>
    <col min="7183" max="7183" width="7.5" style="47" customWidth="1"/>
    <col min="7184" max="7184" width="9.875" style="47" customWidth="1"/>
    <col min="7185" max="7421" width="9" style="47"/>
    <col min="7422" max="7422" width="14.375" style="47" customWidth="1"/>
    <col min="7423" max="7423" width="11.875" style="47" customWidth="1"/>
    <col min="7424" max="7424" width="13.875" style="47" customWidth="1"/>
    <col min="7425" max="7425" width="12.25" style="47" customWidth="1"/>
    <col min="7426" max="7426" width="12.625" style="47" customWidth="1"/>
    <col min="7427" max="7427" width="13.625" style="47" customWidth="1"/>
    <col min="7428" max="7428" width="11.75" style="47" customWidth="1"/>
    <col min="7429" max="7429" width="13.25" style="47" customWidth="1"/>
    <col min="7430" max="7430" width="11.625" style="47" customWidth="1"/>
    <col min="7431" max="7431" width="12.625" style="47" customWidth="1"/>
    <col min="7432" max="7432" width="9.5" style="47" customWidth="1"/>
    <col min="7433" max="7433" width="10.75" style="47" customWidth="1"/>
    <col min="7434" max="7434" width="8" style="47" customWidth="1"/>
    <col min="7435" max="7436" width="9" style="47"/>
    <col min="7437" max="7437" width="9.375" style="47" customWidth="1"/>
    <col min="7438" max="7438" width="9" style="47"/>
    <col min="7439" max="7439" width="7.5" style="47" customWidth="1"/>
    <col min="7440" max="7440" width="9.875" style="47" customWidth="1"/>
    <col min="7441" max="7677" width="9" style="47"/>
    <col min="7678" max="7678" width="14.375" style="47" customWidth="1"/>
    <col min="7679" max="7679" width="11.875" style="47" customWidth="1"/>
    <col min="7680" max="7680" width="13.875" style="47" customWidth="1"/>
    <col min="7681" max="7681" width="12.25" style="47" customWidth="1"/>
    <col min="7682" max="7682" width="12.625" style="47" customWidth="1"/>
    <col min="7683" max="7683" width="13.625" style="47" customWidth="1"/>
    <col min="7684" max="7684" width="11.75" style="47" customWidth="1"/>
    <col min="7685" max="7685" width="13.25" style="47" customWidth="1"/>
    <col min="7686" max="7686" width="11.625" style="47" customWidth="1"/>
    <col min="7687" max="7687" width="12.625" style="47" customWidth="1"/>
    <col min="7688" max="7688" width="9.5" style="47" customWidth="1"/>
    <col min="7689" max="7689" width="10.75" style="47" customWidth="1"/>
    <col min="7690" max="7690" width="8" style="47" customWidth="1"/>
    <col min="7691" max="7692" width="9" style="47"/>
    <col min="7693" max="7693" width="9.375" style="47" customWidth="1"/>
    <col min="7694" max="7694" width="9" style="47"/>
    <col min="7695" max="7695" width="7.5" style="47" customWidth="1"/>
    <col min="7696" max="7696" width="9.875" style="47" customWidth="1"/>
    <col min="7697" max="7933" width="9" style="47"/>
    <col min="7934" max="7934" width="14.375" style="47" customWidth="1"/>
    <col min="7935" max="7935" width="11.875" style="47" customWidth="1"/>
    <col min="7936" max="7936" width="13.875" style="47" customWidth="1"/>
    <col min="7937" max="7937" width="12.25" style="47" customWidth="1"/>
    <col min="7938" max="7938" width="12.625" style="47" customWidth="1"/>
    <col min="7939" max="7939" width="13.625" style="47" customWidth="1"/>
    <col min="7940" max="7940" width="11.75" style="47" customWidth="1"/>
    <col min="7941" max="7941" width="13.25" style="47" customWidth="1"/>
    <col min="7942" max="7942" width="11.625" style="47" customWidth="1"/>
    <col min="7943" max="7943" width="12.625" style="47" customWidth="1"/>
    <col min="7944" max="7944" width="9.5" style="47" customWidth="1"/>
    <col min="7945" max="7945" width="10.75" style="47" customWidth="1"/>
    <col min="7946" max="7946" width="8" style="47" customWidth="1"/>
    <col min="7947" max="7948" width="9" style="47"/>
    <col min="7949" max="7949" width="9.375" style="47" customWidth="1"/>
    <col min="7950" max="7950" width="9" style="47"/>
    <col min="7951" max="7951" width="7.5" style="47" customWidth="1"/>
    <col min="7952" max="7952" width="9.875" style="47" customWidth="1"/>
    <col min="7953" max="8189" width="9" style="47"/>
    <col min="8190" max="8190" width="14.375" style="47" customWidth="1"/>
    <col min="8191" max="8191" width="11.875" style="47" customWidth="1"/>
    <col min="8192" max="8192" width="13.875" style="47" customWidth="1"/>
    <col min="8193" max="8193" width="12.25" style="47" customWidth="1"/>
    <col min="8194" max="8194" width="12.625" style="47" customWidth="1"/>
    <col min="8195" max="8195" width="13.625" style="47" customWidth="1"/>
    <col min="8196" max="8196" width="11.75" style="47" customWidth="1"/>
    <col min="8197" max="8197" width="13.25" style="47" customWidth="1"/>
    <col min="8198" max="8198" width="11.625" style="47" customWidth="1"/>
    <col min="8199" max="8199" width="12.625" style="47" customWidth="1"/>
    <col min="8200" max="8200" width="9.5" style="47" customWidth="1"/>
    <col min="8201" max="8201" width="10.75" style="47" customWidth="1"/>
    <col min="8202" max="8202" width="8" style="47" customWidth="1"/>
    <col min="8203" max="8204" width="9" style="47"/>
    <col min="8205" max="8205" width="9.375" style="47" customWidth="1"/>
    <col min="8206" max="8206" width="9" style="47"/>
    <col min="8207" max="8207" width="7.5" style="47" customWidth="1"/>
    <col min="8208" max="8208" width="9.875" style="47" customWidth="1"/>
    <col min="8209" max="8445" width="9" style="47"/>
    <col min="8446" max="8446" width="14.375" style="47" customWidth="1"/>
    <col min="8447" max="8447" width="11.875" style="47" customWidth="1"/>
    <col min="8448" max="8448" width="13.875" style="47" customWidth="1"/>
    <col min="8449" max="8449" width="12.25" style="47" customWidth="1"/>
    <col min="8450" max="8450" width="12.625" style="47" customWidth="1"/>
    <col min="8451" max="8451" width="13.625" style="47" customWidth="1"/>
    <col min="8452" max="8452" width="11.75" style="47" customWidth="1"/>
    <col min="8453" max="8453" width="13.25" style="47" customWidth="1"/>
    <col min="8454" max="8454" width="11.625" style="47" customWidth="1"/>
    <col min="8455" max="8455" width="12.625" style="47" customWidth="1"/>
    <col min="8456" max="8456" width="9.5" style="47" customWidth="1"/>
    <col min="8457" max="8457" width="10.75" style="47" customWidth="1"/>
    <col min="8458" max="8458" width="8" style="47" customWidth="1"/>
    <col min="8459" max="8460" width="9" style="47"/>
    <col min="8461" max="8461" width="9.375" style="47" customWidth="1"/>
    <col min="8462" max="8462" width="9" style="47"/>
    <col min="8463" max="8463" width="7.5" style="47" customWidth="1"/>
    <col min="8464" max="8464" width="9.875" style="47" customWidth="1"/>
    <col min="8465" max="8701" width="9" style="47"/>
    <col min="8702" max="8702" width="14.375" style="47" customWidth="1"/>
    <col min="8703" max="8703" width="11.875" style="47" customWidth="1"/>
    <col min="8704" max="8704" width="13.875" style="47" customWidth="1"/>
    <col min="8705" max="8705" width="12.25" style="47" customWidth="1"/>
    <col min="8706" max="8706" width="12.625" style="47" customWidth="1"/>
    <col min="8707" max="8707" width="13.625" style="47" customWidth="1"/>
    <col min="8708" max="8708" width="11.75" style="47" customWidth="1"/>
    <col min="8709" max="8709" width="13.25" style="47" customWidth="1"/>
    <col min="8710" max="8710" width="11.625" style="47" customWidth="1"/>
    <col min="8711" max="8711" width="12.625" style="47" customWidth="1"/>
    <col min="8712" max="8712" width="9.5" style="47" customWidth="1"/>
    <col min="8713" max="8713" width="10.75" style="47" customWidth="1"/>
    <col min="8714" max="8714" width="8" style="47" customWidth="1"/>
    <col min="8715" max="8716" width="9" style="47"/>
    <col min="8717" max="8717" width="9.375" style="47" customWidth="1"/>
    <col min="8718" max="8718" width="9" style="47"/>
    <col min="8719" max="8719" width="7.5" style="47" customWidth="1"/>
    <col min="8720" max="8720" width="9.875" style="47" customWidth="1"/>
    <col min="8721" max="8957" width="9" style="47"/>
    <col min="8958" max="8958" width="14.375" style="47" customWidth="1"/>
    <col min="8959" max="8959" width="11.875" style="47" customWidth="1"/>
    <col min="8960" max="8960" width="13.875" style="47" customWidth="1"/>
    <col min="8961" max="8961" width="12.25" style="47" customWidth="1"/>
    <col min="8962" max="8962" width="12.625" style="47" customWidth="1"/>
    <col min="8963" max="8963" width="13.625" style="47" customWidth="1"/>
    <col min="8964" max="8964" width="11.75" style="47" customWidth="1"/>
    <col min="8965" max="8965" width="13.25" style="47" customWidth="1"/>
    <col min="8966" max="8966" width="11.625" style="47" customWidth="1"/>
    <col min="8967" max="8967" width="12.625" style="47" customWidth="1"/>
    <col min="8968" max="8968" width="9.5" style="47" customWidth="1"/>
    <col min="8969" max="8969" width="10.75" style="47" customWidth="1"/>
    <col min="8970" max="8970" width="8" style="47" customWidth="1"/>
    <col min="8971" max="8972" width="9" style="47"/>
    <col min="8973" max="8973" width="9.375" style="47" customWidth="1"/>
    <col min="8974" max="8974" width="9" style="47"/>
    <col min="8975" max="8975" width="7.5" style="47" customWidth="1"/>
    <col min="8976" max="8976" width="9.875" style="47" customWidth="1"/>
    <col min="8977" max="9213" width="9" style="47"/>
    <col min="9214" max="9214" width="14.375" style="47" customWidth="1"/>
    <col min="9215" max="9215" width="11.875" style="47" customWidth="1"/>
    <col min="9216" max="9216" width="13.875" style="47" customWidth="1"/>
    <col min="9217" max="9217" width="12.25" style="47" customWidth="1"/>
    <col min="9218" max="9218" width="12.625" style="47" customWidth="1"/>
    <col min="9219" max="9219" width="13.625" style="47" customWidth="1"/>
    <col min="9220" max="9220" width="11.75" style="47" customWidth="1"/>
    <col min="9221" max="9221" width="13.25" style="47" customWidth="1"/>
    <col min="9222" max="9222" width="11.625" style="47" customWidth="1"/>
    <col min="9223" max="9223" width="12.625" style="47" customWidth="1"/>
    <col min="9224" max="9224" width="9.5" style="47" customWidth="1"/>
    <col min="9225" max="9225" width="10.75" style="47" customWidth="1"/>
    <col min="9226" max="9226" width="8" style="47" customWidth="1"/>
    <col min="9227" max="9228" width="9" style="47"/>
    <col min="9229" max="9229" width="9.375" style="47" customWidth="1"/>
    <col min="9230" max="9230" width="9" style="47"/>
    <col min="9231" max="9231" width="7.5" style="47" customWidth="1"/>
    <col min="9232" max="9232" width="9.875" style="47" customWidth="1"/>
    <col min="9233" max="9469" width="9" style="47"/>
    <col min="9470" max="9470" width="14.375" style="47" customWidth="1"/>
    <col min="9471" max="9471" width="11.875" style="47" customWidth="1"/>
    <col min="9472" max="9472" width="13.875" style="47" customWidth="1"/>
    <col min="9473" max="9473" width="12.25" style="47" customWidth="1"/>
    <col min="9474" max="9474" width="12.625" style="47" customWidth="1"/>
    <col min="9475" max="9475" width="13.625" style="47" customWidth="1"/>
    <col min="9476" max="9476" width="11.75" style="47" customWidth="1"/>
    <col min="9477" max="9477" width="13.25" style="47" customWidth="1"/>
    <col min="9478" max="9478" width="11.625" style="47" customWidth="1"/>
    <col min="9479" max="9479" width="12.625" style="47" customWidth="1"/>
    <col min="9480" max="9480" width="9.5" style="47" customWidth="1"/>
    <col min="9481" max="9481" width="10.75" style="47" customWidth="1"/>
    <col min="9482" max="9482" width="8" style="47" customWidth="1"/>
    <col min="9483" max="9484" width="9" style="47"/>
    <col min="9485" max="9485" width="9.375" style="47" customWidth="1"/>
    <col min="9486" max="9486" width="9" style="47"/>
    <col min="9487" max="9487" width="7.5" style="47" customWidth="1"/>
    <col min="9488" max="9488" width="9.875" style="47" customWidth="1"/>
    <col min="9489" max="9725" width="9" style="47"/>
    <col min="9726" max="9726" width="14.375" style="47" customWidth="1"/>
    <col min="9727" max="9727" width="11.875" style="47" customWidth="1"/>
    <col min="9728" max="9728" width="13.875" style="47" customWidth="1"/>
    <col min="9729" max="9729" width="12.25" style="47" customWidth="1"/>
    <col min="9730" max="9730" width="12.625" style="47" customWidth="1"/>
    <col min="9731" max="9731" width="13.625" style="47" customWidth="1"/>
    <col min="9732" max="9732" width="11.75" style="47" customWidth="1"/>
    <col min="9733" max="9733" width="13.25" style="47" customWidth="1"/>
    <col min="9734" max="9734" width="11.625" style="47" customWidth="1"/>
    <col min="9735" max="9735" width="12.625" style="47" customWidth="1"/>
    <col min="9736" max="9736" width="9.5" style="47" customWidth="1"/>
    <col min="9737" max="9737" width="10.75" style="47" customWidth="1"/>
    <col min="9738" max="9738" width="8" style="47" customWidth="1"/>
    <col min="9739" max="9740" width="9" style="47"/>
    <col min="9741" max="9741" width="9.375" style="47" customWidth="1"/>
    <col min="9742" max="9742" width="9" style="47"/>
    <col min="9743" max="9743" width="7.5" style="47" customWidth="1"/>
    <col min="9744" max="9744" width="9.875" style="47" customWidth="1"/>
    <col min="9745" max="9981" width="9" style="47"/>
    <col min="9982" max="9982" width="14.375" style="47" customWidth="1"/>
    <col min="9983" max="9983" width="11.875" style="47" customWidth="1"/>
    <col min="9984" max="9984" width="13.875" style="47" customWidth="1"/>
    <col min="9985" max="9985" width="12.25" style="47" customWidth="1"/>
    <col min="9986" max="9986" width="12.625" style="47" customWidth="1"/>
    <col min="9987" max="9987" width="13.625" style="47" customWidth="1"/>
    <col min="9988" max="9988" width="11.75" style="47" customWidth="1"/>
    <col min="9989" max="9989" width="13.25" style="47" customWidth="1"/>
    <col min="9990" max="9990" width="11.625" style="47" customWidth="1"/>
    <col min="9991" max="9991" width="12.625" style="47" customWidth="1"/>
    <col min="9992" max="9992" width="9.5" style="47" customWidth="1"/>
    <col min="9993" max="9993" width="10.75" style="47" customWidth="1"/>
    <col min="9994" max="9994" width="8" style="47" customWidth="1"/>
    <col min="9995" max="9996" width="9" style="47"/>
    <col min="9997" max="9997" width="9.375" style="47" customWidth="1"/>
    <col min="9998" max="9998" width="9" style="47"/>
    <col min="9999" max="9999" width="7.5" style="47" customWidth="1"/>
    <col min="10000" max="10000" width="9.875" style="47" customWidth="1"/>
    <col min="10001" max="10237" width="9" style="47"/>
    <col min="10238" max="10238" width="14.375" style="47" customWidth="1"/>
    <col min="10239" max="10239" width="11.875" style="47" customWidth="1"/>
    <col min="10240" max="10240" width="13.875" style="47" customWidth="1"/>
    <col min="10241" max="10241" width="12.25" style="47" customWidth="1"/>
    <col min="10242" max="10242" width="12.625" style="47" customWidth="1"/>
    <col min="10243" max="10243" width="13.625" style="47" customWidth="1"/>
    <col min="10244" max="10244" width="11.75" style="47" customWidth="1"/>
    <col min="10245" max="10245" width="13.25" style="47" customWidth="1"/>
    <col min="10246" max="10246" width="11.625" style="47" customWidth="1"/>
    <col min="10247" max="10247" width="12.625" style="47" customWidth="1"/>
    <col min="10248" max="10248" width="9.5" style="47" customWidth="1"/>
    <col min="10249" max="10249" width="10.75" style="47" customWidth="1"/>
    <col min="10250" max="10250" width="8" style="47" customWidth="1"/>
    <col min="10251" max="10252" width="9" style="47"/>
    <col min="10253" max="10253" width="9.375" style="47" customWidth="1"/>
    <col min="10254" max="10254" width="9" style="47"/>
    <col min="10255" max="10255" width="7.5" style="47" customWidth="1"/>
    <col min="10256" max="10256" width="9.875" style="47" customWidth="1"/>
    <col min="10257" max="10493" width="9" style="47"/>
    <col min="10494" max="10494" width="14.375" style="47" customWidth="1"/>
    <col min="10495" max="10495" width="11.875" style="47" customWidth="1"/>
    <col min="10496" max="10496" width="13.875" style="47" customWidth="1"/>
    <col min="10497" max="10497" width="12.25" style="47" customWidth="1"/>
    <col min="10498" max="10498" width="12.625" style="47" customWidth="1"/>
    <col min="10499" max="10499" width="13.625" style="47" customWidth="1"/>
    <col min="10500" max="10500" width="11.75" style="47" customWidth="1"/>
    <col min="10501" max="10501" width="13.25" style="47" customWidth="1"/>
    <col min="10502" max="10502" width="11.625" style="47" customWidth="1"/>
    <col min="10503" max="10503" width="12.625" style="47" customWidth="1"/>
    <col min="10504" max="10504" width="9.5" style="47" customWidth="1"/>
    <col min="10505" max="10505" width="10.75" style="47" customWidth="1"/>
    <col min="10506" max="10506" width="8" style="47" customWidth="1"/>
    <col min="10507" max="10508" width="9" style="47"/>
    <col min="10509" max="10509" width="9.375" style="47" customWidth="1"/>
    <col min="10510" max="10510" width="9" style="47"/>
    <col min="10511" max="10511" width="7.5" style="47" customWidth="1"/>
    <col min="10512" max="10512" width="9.875" style="47" customWidth="1"/>
    <col min="10513" max="10749" width="9" style="47"/>
    <col min="10750" max="10750" width="14.375" style="47" customWidth="1"/>
    <col min="10751" max="10751" width="11.875" style="47" customWidth="1"/>
    <col min="10752" max="10752" width="13.875" style="47" customWidth="1"/>
    <col min="10753" max="10753" width="12.25" style="47" customWidth="1"/>
    <col min="10754" max="10754" width="12.625" style="47" customWidth="1"/>
    <col min="10755" max="10755" width="13.625" style="47" customWidth="1"/>
    <col min="10756" max="10756" width="11.75" style="47" customWidth="1"/>
    <col min="10757" max="10757" width="13.25" style="47" customWidth="1"/>
    <col min="10758" max="10758" width="11.625" style="47" customWidth="1"/>
    <col min="10759" max="10759" width="12.625" style="47" customWidth="1"/>
    <col min="10760" max="10760" width="9.5" style="47" customWidth="1"/>
    <col min="10761" max="10761" width="10.75" style="47" customWidth="1"/>
    <col min="10762" max="10762" width="8" style="47" customWidth="1"/>
    <col min="10763" max="10764" width="9" style="47"/>
    <col min="10765" max="10765" width="9.375" style="47" customWidth="1"/>
    <col min="10766" max="10766" width="9" style="47"/>
    <col min="10767" max="10767" width="7.5" style="47" customWidth="1"/>
    <col min="10768" max="10768" width="9.875" style="47" customWidth="1"/>
    <col min="10769" max="11005" width="9" style="47"/>
    <col min="11006" max="11006" width="14.375" style="47" customWidth="1"/>
    <col min="11007" max="11007" width="11.875" style="47" customWidth="1"/>
    <col min="11008" max="11008" width="13.875" style="47" customWidth="1"/>
    <col min="11009" max="11009" width="12.25" style="47" customWidth="1"/>
    <col min="11010" max="11010" width="12.625" style="47" customWidth="1"/>
    <col min="11011" max="11011" width="13.625" style="47" customWidth="1"/>
    <col min="11012" max="11012" width="11.75" style="47" customWidth="1"/>
    <col min="11013" max="11013" width="13.25" style="47" customWidth="1"/>
    <col min="11014" max="11014" width="11.625" style="47" customWidth="1"/>
    <col min="11015" max="11015" width="12.625" style="47" customWidth="1"/>
    <col min="11016" max="11016" width="9.5" style="47" customWidth="1"/>
    <col min="11017" max="11017" width="10.75" style="47" customWidth="1"/>
    <col min="11018" max="11018" width="8" style="47" customWidth="1"/>
    <col min="11019" max="11020" width="9" style="47"/>
    <col min="11021" max="11021" width="9.375" style="47" customWidth="1"/>
    <col min="11022" max="11022" width="9" style="47"/>
    <col min="11023" max="11023" width="7.5" style="47" customWidth="1"/>
    <col min="11024" max="11024" width="9.875" style="47" customWidth="1"/>
    <col min="11025" max="11261" width="9" style="47"/>
    <col min="11262" max="11262" width="14.375" style="47" customWidth="1"/>
    <col min="11263" max="11263" width="11.875" style="47" customWidth="1"/>
    <col min="11264" max="11264" width="13.875" style="47" customWidth="1"/>
    <col min="11265" max="11265" width="12.25" style="47" customWidth="1"/>
    <col min="11266" max="11266" width="12.625" style="47" customWidth="1"/>
    <col min="11267" max="11267" width="13.625" style="47" customWidth="1"/>
    <col min="11268" max="11268" width="11.75" style="47" customWidth="1"/>
    <col min="11269" max="11269" width="13.25" style="47" customWidth="1"/>
    <col min="11270" max="11270" width="11.625" style="47" customWidth="1"/>
    <col min="11271" max="11271" width="12.625" style="47" customWidth="1"/>
    <col min="11272" max="11272" width="9.5" style="47" customWidth="1"/>
    <col min="11273" max="11273" width="10.75" style="47" customWidth="1"/>
    <col min="11274" max="11274" width="8" style="47" customWidth="1"/>
    <col min="11275" max="11276" width="9" style="47"/>
    <col min="11277" max="11277" width="9.375" style="47" customWidth="1"/>
    <col min="11278" max="11278" width="9" style="47"/>
    <col min="11279" max="11279" width="7.5" style="47" customWidth="1"/>
    <col min="11280" max="11280" width="9.875" style="47" customWidth="1"/>
    <col min="11281" max="11517" width="9" style="47"/>
    <col min="11518" max="11518" width="14.375" style="47" customWidth="1"/>
    <col min="11519" max="11519" width="11.875" style="47" customWidth="1"/>
    <col min="11520" max="11520" width="13.875" style="47" customWidth="1"/>
    <col min="11521" max="11521" width="12.25" style="47" customWidth="1"/>
    <col min="11522" max="11522" width="12.625" style="47" customWidth="1"/>
    <col min="11523" max="11523" width="13.625" style="47" customWidth="1"/>
    <col min="11524" max="11524" width="11.75" style="47" customWidth="1"/>
    <col min="11525" max="11525" width="13.25" style="47" customWidth="1"/>
    <col min="11526" max="11526" width="11.625" style="47" customWidth="1"/>
    <col min="11527" max="11527" width="12.625" style="47" customWidth="1"/>
    <col min="11528" max="11528" width="9.5" style="47" customWidth="1"/>
    <col min="11529" max="11529" width="10.75" style="47" customWidth="1"/>
    <col min="11530" max="11530" width="8" style="47" customWidth="1"/>
    <col min="11531" max="11532" width="9" style="47"/>
    <col min="11533" max="11533" width="9.375" style="47" customWidth="1"/>
    <col min="11534" max="11534" width="9" style="47"/>
    <col min="11535" max="11535" width="7.5" style="47" customWidth="1"/>
    <col min="11536" max="11536" width="9.875" style="47" customWidth="1"/>
    <col min="11537" max="11773" width="9" style="47"/>
    <col min="11774" max="11774" width="14.375" style="47" customWidth="1"/>
    <col min="11775" max="11775" width="11.875" style="47" customWidth="1"/>
    <col min="11776" max="11776" width="13.875" style="47" customWidth="1"/>
    <col min="11777" max="11777" width="12.25" style="47" customWidth="1"/>
    <col min="11778" max="11778" width="12.625" style="47" customWidth="1"/>
    <col min="11779" max="11779" width="13.625" style="47" customWidth="1"/>
    <col min="11780" max="11780" width="11.75" style="47" customWidth="1"/>
    <col min="11781" max="11781" width="13.25" style="47" customWidth="1"/>
    <col min="11782" max="11782" width="11.625" style="47" customWidth="1"/>
    <col min="11783" max="11783" width="12.625" style="47" customWidth="1"/>
    <col min="11784" max="11784" width="9.5" style="47" customWidth="1"/>
    <col min="11785" max="11785" width="10.75" style="47" customWidth="1"/>
    <col min="11786" max="11786" width="8" style="47" customWidth="1"/>
    <col min="11787" max="11788" width="9" style="47"/>
    <col min="11789" max="11789" width="9.375" style="47" customWidth="1"/>
    <col min="11790" max="11790" width="9" style="47"/>
    <col min="11791" max="11791" width="7.5" style="47" customWidth="1"/>
    <col min="11792" max="11792" width="9.875" style="47" customWidth="1"/>
    <col min="11793" max="12029" width="9" style="47"/>
    <col min="12030" max="12030" width="14.375" style="47" customWidth="1"/>
    <col min="12031" max="12031" width="11.875" style="47" customWidth="1"/>
    <col min="12032" max="12032" width="13.875" style="47" customWidth="1"/>
    <col min="12033" max="12033" width="12.25" style="47" customWidth="1"/>
    <col min="12034" max="12034" width="12.625" style="47" customWidth="1"/>
    <col min="12035" max="12035" width="13.625" style="47" customWidth="1"/>
    <col min="12036" max="12036" width="11.75" style="47" customWidth="1"/>
    <col min="12037" max="12037" width="13.25" style="47" customWidth="1"/>
    <col min="12038" max="12038" width="11.625" style="47" customWidth="1"/>
    <col min="12039" max="12039" width="12.625" style="47" customWidth="1"/>
    <col min="12040" max="12040" width="9.5" style="47" customWidth="1"/>
    <col min="12041" max="12041" width="10.75" style="47" customWidth="1"/>
    <col min="12042" max="12042" width="8" style="47" customWidth="1"/>
    <col min="12043" max="12044" width="9" style="47"/>
    <col min="12045" max="12045" width="9.375" style="47" customWidth="1"/>
    <col min="12046" max="12046" width="9" style="47"/>
    <col min="12047" max="12047" width="7.5" style="47" customWidth="1"/>
    <col min="12048" max="12048" width="9.875" style="47" customWidth="1"/>
    <col min="12049" max="12285" width="9" style="47"/>
    <col min="12286" max="12286" width="14.375" style="47" customWidth="1"/>
    <col min="12287" max="12287" width="11.875" style="47" customWidth="1"/>
    <col min="12288" max="12288" width="13.875" style="47" customWidth="1"/>
    <col min="12289" max="12289" width="12.25" style="47" customWidth="1"/>
    <col min="12290" max="12290" width="12.625" style="47" customWidth="1"/>
    <col min="12291" max="12291" width="13.625" style="47" customWidth="1"/>
    <col min="12292" max="12292" width="11.75" style="47" customWidth="1"/>
    <col min="12293" max="12293" width="13.25" style="47" customWidth="1"/>
    <col min="12294" max="12294" width="11.625" style="47" customWidth="1"/>
    <col min="12295" max="12295" width="12.625" style="47" customWidth="1"/>
    <col min="12296" max="12296" width="9.5" style="47" customWidth="1"/>
    <col min="12297" max="12297" width="10.75" style="47" customWidth="1"/>
    <col min="12298" max="12298" width="8" style="47" customWidth="1"/>
    <col min="12299" max="12300" width="9" style="47"/>
    <col min="12301" max="12301" width="9.375" style="47" customWidth="1"/>
    <col min="12302" max="12302" width="9" style="47"/>
    <col min="12303" max="12303" width="7.5" style="47" customWidth="1"/>
    <col min="12304" max="12304" width="9.875" style="47" customWidth="1"/>
    <col min="12305" max="12541" width="9" style="47"/>
    <col min="12542" max="12542" width="14.375" style="47" customWidth="1"/>
    <col min="12543" max="12543" width="11.875" style="47" customWidth="1"/>
    <col min="12544" max="12544" width="13.875" style="47" customWidth="1"/>
    <col min="12545" max="12545" width="12.25" style="47" customWidth="1"/>
    <col min="12546" max="12546" width="12.625" style="47" customWidth="1"/>
    <col min="12547" max="12547" width="13.625" style="47" customWidth="1"/>
    <col min="12548" max="12548" width="11.75" style="47" customWidth="1"/>
    <col min="12549" max="12549" width="13.25" style="47" customWidth="1"/>
    <col min="12550" max="12550" width="11.625" style="47" customWidth="1"/>
    <col min="12551" max="12551" width="12.625" style="47" customWidth="1"/>
    <col min="12552" max="12552" width="9.5" style="47" customWidth="1"/>
    <col min="12553" max="12553" width="10.75" style="47" customWidth="1"/>
    <col min="12554" max="12554" width="8" style="47" customWidth="1"/>
    <col min="12555" max="12556" width="9" style="47"/>
    <col min="12557" max="12557" width="9.375" style="47" customWidth="1"/>
    <col min="12558" max="12558" width="9" style="47"/>
    <col min="12559" max="12559" width="7.5" style="47" customWidth="1"/>
    <col min="12560" max="12560" width="9.875" style="47" customWidth="1"/>
    <col min="12561" max="12797" width="9" style="47"/>
    <col min="12798" max="12798" width="14.375" style="47" customWidth="1"/>
    <col min="12799" max="12799" width="11.875" style="47" customWidth="1"/>
    <col min="12800" max="12800" width="13.875" style="47" customWidth="1"/>
    <col min="12801" max="12801" width="12.25" style="47" customWidth="1"/>
    <col min="12802" max="12802" width="12.625" style="47" customWidth="1"/>
    <col min="12803" max="12803" width="13.625" style="47" customWidth="1"/>
    <col min="12804" max="12804" width="11.75" style="47" customWidth="1"/>
    <col min="12805" max="12805" width="13.25" style="47" customWidth="1"/>
    <col min="12806" max="12806" width="11.625" style="47" customWidth="1"/>
    <col min="12807" max="12807" width="12.625" style="47" customWidth="1"/>
    <col min="12808" max="12808" width="9.5" style="47" customWidth="1"/>
    <col min="12809" max="12809" width="10.75" style="47" customWidth="1"/>
    <col min="12810" max="12810" width="8" style="47" customWidth="1"/>
    <col min="12811" max="12812" width="9" style="47"/>
    <col min="12813" max="12813" width="9.375" style="47" customWidth="1"/>
    <col min="12814" max="12814" width="9" style="47"/>
    <col min="12815" max="12815" width="7.5" style="47" customWidth="1"/>
    <col min="12816" max="12816" width="9.875" style="47" customWidth="1"/>
    <col min="12817" max="13053" width="9" style="47"/>
    <col min="13054" max="13054" width="14.375" style="47" customWidth="1"/>
    <col min="13055" max="13055" width="11.875" style="47" customWidth="1"/>
    <col min="13056" max="13056" width="13.875" style="47" customWidth="1"/>
    <col min="13057" max="13057" width="12.25" style="47" customWidth="1"/>
    <col min="13058" max="13058" width="12.625" style="47" customWidth="1"/>
    <col min="13059" max="13059" width="13.625" style="47" customWidth="1"/>
    <col min="13060" max="13060" width="11.75" style="47" customWidth="1"/>
    <col min="13061" max="13061" width="13.25" style="47" customWidth="1"/>
    <col min="13062" max="13062" width="11.625" style="47" customWidth="1"/>
    <col min="13063" max="13063" width="12.625" style="47" customWidth="1"/>
    <col min="13064" max="13064" width="9.5" style="47" customWidth="1"/>
    <col min="13065" max="13065" width="10.75" style="47" customWidth="1"/>
    <col min="13066" max="13066" width="8" style="47" customWidth="1"/>
    <col min="13067" max="13068" width="9" style="47"/>
    <col min="13069" max="13069" width="9.375" style="47" customWidth="1"/>
    <col min="13070" max="13070" width="9" style="47"/>
    <col min="13071" max="13071" width="7.5" style="47" customWidth="1"/>
    <col min="13072" max="13072" width="9.875" style="47" customWidth="1"/>
    <col min="13073" max="13309" width="9" style="47"/>
    <col min="13310" max="13310" width="14.375" style="47" customWidth="1"/>
    <col min="13311" max="13311" width="11.875" style="47" customWidth="1"/>
    <col min="13312" max="13312" width="13.875" style="47" customWidth="1"/>
    <col min="13313" max="13313" width="12.25" style="47" customWidth="1"/>
    <col min="13314" max="13314" width="12.625" style="47" customWidth="1"/>
    <col min="13315" max="13315" width="13.625" style="47" customWidth="1"/>
    <col min="13316" max="13316" width="11.75" style="47" customWidth="1"/>
    <col min="13317" max="13317" width="13.25" style="47" customWidth="1"/>
    <col min="13318" max="13318" width="11.625" style="47" customWidth="1"/>
    <col min="13319" max="13319" width="12.625" style="47" customWidth="1"/>
    <col min="13320" max="13320" width="9.5" style="47" customWidth="1"/>
    <col min="13321" max="13321" width="10.75" style="47" customWidth="1"/>
    <col min="13322" max="13322" width="8" style="47" customWidth="1"/>
    <col min="13323" max="13324" width="9" style="47"/>
    <col min="13325" max="13325" width="9.375" style="47" customWidth="1"/>
    <col min="13326" max="13326" width="9" style="47"/>
    <col min="13327" max="13327" width="7.5" style="47" customWidth="1"/>
    <col min="13328" max="13328" width="9.875" style="47" customWidth="1"/>
    <col min="13329" max="13565" width="9" style="47"/>
    <col min="13566" max="13566" width="14.375" style="47" customWidth="1"/>
    <col min="13567" max="13567" width="11.875" style="47" customWidth="1"/>
    <col min="13568" max="13568" width="13.875" style="47" customWidth="1"/>
    <col min="13569" max="13569" width="12.25" style="47" customWidth="1"/>
    <col min="13570" max="13570" width="12.625" style="47" customWidth="1"/>
    <col min="13571" max="13571" width="13.625" style="47" customWidth="1"/>
    <col min="13572" max="13572" width="11.75" style="47" customWidth="1"/>
    <col min="13573" max="13573" width="13.25" style="47" customWidth="1"/>
    <col min="13574" max="13574" width="11.625" style="47" customWidth="1"/>
    <col min="13575" max="13575" width="12.625" style="47" customWidth="1"/>
    <col min="13576" max="13576" width="9.5" style="47" customWidth="1"/>
    <col min="13577" max="13577" width="10.75" style="47" customWidth="1"/>
    <col min="13578" max="13578" width="8" style="47" customWidth="1"/>
    <col min="13579" max="13580" width="9" style="47"/>
    <col min="13581" max="13581" width="9.375" style="47" customWidth="1"/>
    <col min="13582" max="13582" width="9" style="47"/>
    <col min="13583" max="13583" width="7.5" style="47" customWidth="1"/>
    <col min="13584" max="13584" width="9.875" style="47" customWidth="1"/>
    <col min="13585" max="13821" width="9" style="47"/>
    <col min="13822" max="13822" width="14.375" style="47" customWidth="1"/>
    <col min="13823" max="13823" width="11.875" style="47" customWidth="1"/>
    <col min="13824" max="13824" width="13.875" style="47" customWidth="1"/>
    <col min="13825" max="13825" width="12.25" style="47" customWidth="1"/>
    <col min="13826" max="13826" width="12.625" style="47" customWidth="1"/>
    <col min="13827" max="13827" width="13.625" style="47" customWidth="1"/>
    <col min="13828" max="13828" width="11.75" style="47" customWidth="1"/>
    <col min="13829" max="13829" width="13.25" style="47" customWidth="1"/>
    <col min="13830" max="13830" width="11.625" style="47" customWidth="1"/>
    <col min="13831" max="13831" width="12.625" style="47" customWidth="1"/>
    <col min="13832" max="13832" width="9.5" style="47" customWidth="1"/>
    <col min="13833" max="13833" width="10.75" style="47" customWidth="1"/>
    <col min="13834" max="13834" width="8" style="47" customWidth="1"/>
    <col min="13835" max="13836" width="9" style="47"/>
    <col min="13837" max="13837" width="9.375" style="47" customWidth="1"/>
    <col min="13838" max="13838" width="9" style="47"/>
    <col min="13839" max="13839" width="7.5" style="47" customWidth="1"/>
    <col min="13840" max="13840" width="9.875" style="47" customWidth="1"/>
    <col min="13841" max="14077" width="9" style="47"/>
    <col min="14078" max="14078" width="14.375" style="47" customWidth="1"/>
    <col min="14079" max="14079" width="11.875" style="47" customWidth="1"/>
    <col min="14080" max="14080" width="13.875" style="47" customWidth="1"/>
    <col min="14081" max="14081" width="12.25" style="47" customWidth="1"/>
    <col min="14082" max="14082" width="12.625" style="47" customWidth="1"/>
    <col min="14083" max="14083" width="13.625" style="47" customWidth="1"/>
    <col min="14084" max="14084" width="11.75" style="47" customWidth="1"/>
    <col min="14085" max="14085" width="13.25" style="47" customWidth="1"/>
    <col min="14086" max="14086" width="11.625" style="47" customWidth="1"/>
    <col min="14087" max="14087" width="12.625" style="47" customWidth="1"/>
    <col min="14088" max="14088" width="9.5" style="47" customWidth="1"/>
    <col min="14089" max="14089" width="10.75" style="47" customWidth="1"/>
    <col min="14090" max="14090" width="8" style="47" customWidth="1"/>
    <col min="14091" max="14092" width="9" style="47"/>
    <col min="14093" max="14093" width="9.375" style="47" customWidth="1"/>
    <col min="14094" max="14094" width="9" style="47"/>
    <col min="14095" max="14095" width="7.5" style="47" customWidth="1"/>
    <col min="14096" max="14096" width="9.875" style="47" customWidth="1"/>
    <col min="14097" max="14333" width="9" style="47"/>
    <col min="14334" max="14334" width="14.375" style="47" customWidth="1"/>
    <col min="14335" max="14335" width="11.875" style="47" customWidth="1"/>
    <col min="14336" max="14336" width="13.875" style="47" customWidth="1"/>
    <col min="14337" max="14337" width="12.25" style="47" customWidth="1"/>
    <col min="14338" max="14338" width="12.625" style="47" customWidth="1"/>
    <col min="14339" max="14339" width="13.625" style="47" customWidth="1"/>
    <col min="14340" max="14340" width="11.75" style="47" customWidth="1"/>
    <col min="14341" max="14341" width="13.25" style="47" customWidth="1"/>
    <col min="14342" max="14342" width="11.625" style="47" customWidth="1"/>
    <col min="14343" max="14343" width="12.625" style="47" customWidth="1"/>
    <col min="14344" max="14344" width="9.5" style="47" customWidth="1"/>
    <col min="14345" max="14345" width="10.75" style="47" customWidth="1"/>
    <col min="14346" max="14346" width="8" style="47" customWidth="1"/>
    <col min="14347" max="14348" width="9" style="47"/>
    <col min="14349" max="14349" width="9.375" style="47" customWidth="1"/>
    <col min="14350" max="14350" width="9" style="47"/>
    <col min="14351" max="14351" width="7.5" style="47" customWidth="1"/>
    <col min="14352" max="14352" width="9.875" style="47" customWidth="1"/>
    <col min="14353" max="14589" width="9" style="47"/>
    <col min="14590" max="14590" width="14.375" style="47" customWidth="1"/>
    <col min="14591" max="14591" width="11.875" style="47" customWidth="1"/>
    <col min="14592" max="14592" width="13.875" style="47" customWidth="1"/>
    <col min="14593" max="14593" width="12.25" style="47" customWidth="1"/>
    <col min="14594" max="14594" width="12.625" style="47" customWidth="1"/>
    <col min="14595" max="14595" width="13.625" style="47" customWidth="1"/>
    <col min="14596" max="14596" width="11.75" style="47" customWidth="1"/>
    <col min="14597" max="14597" width="13.25" style="47" customWidth="1"/>
    <col min="14598" max="14598" width="11.625" style="47" customWidth="1"/>
    <col min="14599" max="14599" width="12.625" style="47" customWidth="1"/>
    <col min="14600" max="14600" width="9.5" style="47" customWidth="1"/>
    <col min="14601" max="14601" width="10.75" style="47" customWidth="1"/>
    <col min="14602" max="14602" width="8" style="47" customWidth="1"/>
    <col min="14603" max="14604" width="9" style="47"/>
    <col min="14605" max="14605" width="9.375" style="47" customWidth="1"/>
    <col min="14606" max="14606" width="9" style="47"/>
    <col min="14607" max="14607" width="7.5" style="47" customWidth="1"/>
    <col min="14608" max="14608" width="9.875" style="47" customWidth="1"/>
    <col min="14609" max="14845" width="9" style="47"/>
    <col min="14846" max="14846" width="14.375" style="47" customWidth="1"/>
    <col min="14847" max="14847" width="11.875" style="47" customWidth="1"/>
    <col min="14848" max="14848" width="13.875" style="47" customWidth="1"/>
    <col min="14849" max="14849" width="12.25" style="47" customWidth="1"/>
    <col min="14850" max="14850" width="12.625" style="47" customWidth="1"/>
    <col min="14851" max="14851" width="13.625" style="47" customWidth="1"/>
    <col min="14852" max="14852" width="11.75" style="47" customWidth="1"/>
    <col min="14853" max="14853" width="13.25" style="47" customWidth="1"/>
    <col min="14854" max="14854" width="11.625" style="47" customWidth="1"/>
    <col min="14855" max="14855" width="12.625" style="47" customWidth="1"/>
    <col min="14856" max="14856" width="9.5" style="47" customWidth="1"/>
    <col min="14857" max="14857" width="10.75" style="47" customWidth="1"/>
    <col min="14858" max="14858" width="8" style="47" customWidth="1"/>
    <col min="14859" max="14860" width="9" style="47"/>
    <col min="14861" max="14861" width="9.375" style="47" customWidth="1"/>
    <col min="14862" max="14862" width="9" style="47"/>
    <col min="14863" max="14863" width="7.5" style="47" customWidth="1"/>
    <col min="14864" max="14864" width="9.875" style="47" customWidth="1"/>
    <col min="14865" max="15101" width="9" style="47"/>
    <col min="15102" max="15102" width="14.375" style="47" customWidth="1"/>
    <col min="15103" max="15103" width="11.875" style="47" customWidth="1"/>
    <col min="15104" max="15104" width="13.875" style="47" customWidth="1"/>
    <col min="15105" max="15105" width="12.25" style="47" customWidth="1"/>
    <col min="15106" max="15106" width="12.625" style="47" customWidth="1"/>
    <col min="15107" max="15107" width="13.625" style="47" customWidth="1"/>
    <col min="15108" max="15108" width="11.75" style="47" customWidth="1"/>
    <col min="15109" max="15109" width="13.25" style="47" customWidth="1"/>
    <col min="15110" max="15110" width="11.625" style="47" customWidth="1"/>
    <col min="15111" max="15111" width="12.625" style="47" customWidth="1"/>
    <col min="15112" max="15112" width="9.5" style="47" customWidth="1"/>
    <col min="15113" max="15113" width="10.75" style="47" customWidth="1"/>
    <col min="15114" max="15114" width="8" style="47" customWidth="1"/>
    <col min="15115" max="15116" width="9" style="47"/>
    <col min="15117" max="15117" width="9.375" style="47" customWidth="1"/>
    <col min="15118" max="15118" width="9" style="47"/>
    <col min="15119" max="15119" width="7.5" style="47" customWidth="1"/>
    <col min="15120" max="15120" width="9.875" style="47" customWidth="1"/>
    <col min="15121" max="15357" width="9" style="47"/>
    <col min="15358" max="15358" width="14.375" style="47" customWidth="1"/>
    <col min="15359" max="15359" width="11.875" style="47" customWidth="1"/>
    <col min="15360" max="15360" width="13.875" style="47" customWidth="1"/>
    <col min="15361" max="15361" width="12.25" style="47" customWidth="1"/>
    <col min="15362" max="15362" width="12.625" style="47" customWidth="1"/>
    <col min="15363" max="15363" width="13.625" style="47" customWidth="1"/>
    <col min="15364" max="15364" width="11.75" style="47" customWidth="1"/>
    <col min="15365" max="15365" width="13.25" style="47" customWidth="1"/>
    <col min="15366" max="15366" width="11.625" style="47" customWidth="1"/>
    <col min="15367" max="15367" width="12.625" style="47" customWidth="1"/>
    <col min="15368" max="15368" width="9.5" style="47" customWidth="1"/>
    <col min="15369" max="15369" width="10.75" style="47" customWidth="1"/>
    <col min="15370" max="15370" width="8" style="47" customWidth="1"/>
    <col min="15371" max="15372" width="9" style="47"/>
    <col min="15373" max="15373" width="9.375" style="47" customWidth="1"/>
    <col min="15374" max="15374" width="9" style="47"/>
    <col min="15375" max="15375" width="7.5" style="47" customWidth="1"/>
    <col min="15376" max="15376" width="9.875" style="47" customWidth="1"/>
    <col min="15377" max="15613" width="9" style="47"/>
    <col min="15614" max="15614" width="14.375" style="47" customWidth="1"/>
    <col min="15615" max="15615" width="11.875" style="47" customWidth="1"/>
    <col min="15616" max="15616" width="13.875" style="47" customWidth="1"/>
    <col min="15617" max="15617" width="12.25" style="47" customWidth="1"/>
    <col min="15618" max="15618" width="12.625" style="47" customWidth="1"/>
    <col min="15619" max="15619" width="13.625" style="47" customWidth="1"/>
    <col min="15620" max="15620" width="11.75" style="47" customWidth="1"/>
    <col min="15621" max="15621" width="13.25" style="47" customWidth="1"/>
    <col min="15622" max="15622" width="11.625" style="47" customWidth="1"/>
    <col min="15623" max="15623" width="12.625" style="47" customWidth="1"/>
    <col min="15624" max="15624" width="9.5" style="47" customWidth="1"/>
    <col min="15625" max="15625" width="10.75" style="47" customWidth="1"/>
    <col min="15626" max="15626" width="8" style="47" customWidth="1"/>
    <col min="15627" max="15628" width="9" style="47"/>
    <col min="15629" max="15629" width="9.375" style="47" customWidth="1"/>
    <col min="15630" max="15630" width="9" style="47"/>
    <col min="15631" max="15631" width="7.5" style="47" customWidth="1"/>
    <col min="15632" max="15632" width="9.875" style="47" customWidth="1"/>
    <col min="15633" max="15869" width="9" style="47"/>
    <col min="15870" max="15870" width="14.375" style="47" customWidth="1"/>
    <col min="15871" max="15871" width="11.875" style="47" customWidth="1"/>
    <col min="15872" max="15872" width="13.875" style="47" customWidth="1"/>
    <col min="15873" max="15873" width="12.25" style="47" customWidth="1"/>
    <col min="15874" max="15874" width="12.625" style="47" customWidth="1"/>
    <col min="15875" max="15875" width="13.625" style="47" customWidth="1"/>
    <col min="15876" max="15876" width="11.75" style="47" customWidth="1"/>
    <col min="15877" max="15877" width="13.25" style="47" customWidth="1"/>
    <col min="15878" max="15878" width="11.625" style="47" customWidth="1"/>
    <col min="15879" max="15879" width="12.625" style="47" customWidth="1"/>
    <col min="15880" max="15880" width="9.5" style="47" customWidth="1"/>
    <col min="15881" max="15881" width="10.75" style="47" customWidth="1"/>
    <col min="15882" max="15882" width="8" style="47" customWidth="1"/>
    <col min="15883" max="15884" width="9" style="47"/>
    <col min="15885" max="15885" width="9.375" style="47" customWidth="1"/>
    <col min="15886" max="15886" width="9" style="47"/>
    <col min="15887" max="15887" width="7.5" style="47" customWidth="1"/>
    <col min="15888" max="15888" width="9.875" style="47" customWidth="1"/>
    <col min="15889" max="16125" width="9" style="47"/>
    <col min="16126" max="16126" width="14.375" style="47" customWidth="1"/>
    <col min="16127" max="16127" width="11.875" style="47" customWidth="1"/>
    <col min="16128" max="16128" width="13.875" style="47" customWidth="1"/>
    <col min="16129" max="16129" width="12.25" style="47" customWidth="1"/>
    <col min="16130" max="16130" width="12.625" style="47" customWidth="1"/>
    <col min="16131" max="16131" width="13.625" style="47" customWidth="1"/>
    <col min="16132" max="16132" width="11.75" style="47" customWidth="1"/>
    <col min="16133" max="16133" width="13.25" style="47" customWidth="1"/>
    <col min="16134" max="16134" width="11.625" style="47" customWidth="1"/>
    <col min="16135" max="16135" width="12.625" style="47" customWidth="1"/>
    <col min="16136" max="16136" width="9.5" style="47" customWidth="1"/>
    <col min="16137" max="16137" width="10.75" style="47" customWidth="1"/>
    <col min="16138" max="16138" width="8" style="47" customWidth="1"/>
    <col min="16139" max="16140" width="9" style="47"/>
    <col min="16141" max="16141" width="9.375" style="47" customWidth="1"/>
    <col min="16142" max="16142" width="9" style="47"/>
    <col min="16143" max="16143" width="7.5" style="47" customWidth="1"/>
    <col min="16144" max="16144" width="9.875" style="47" customWidth="1"/>
    <col min="16145" max="16384" width="9" style="47"/>
  </cols>
  <sheetData>
    <row r="1" s="43" customFormat="1" ht="24" customHeight="1" spans="1:16">
      <c r="A1" s="49" t="s">
        <v>739</v>
      </c>
      <c r="B1" s="49"/>
      <c r="C1" s="49"/>
      <c r="D1" s="49"/>
      <c r="E1" s="49"/>
      <c r="F1" s="49"/>
      <c r="G1" s="49"/>
      <c r="H1" s="49"/>
      <c r="I1" s="49"/>
      <c r="J1" s="49"/>
      <c r="K1" s="49"/>
      <c r="L1" s="49"/>
      <c r="M1" s="49"/>
      <c r="N1" s="49"/>
      <c r="O1" s="49"/>
      <c r="P1" s="49"/>
    </row>
    <row r="2" s="43" customFormat="1" ht="24" customHeight="1" spans="1:34">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row>
    <row r="3" s="44" customFormat="1" ht="24.75" spans="1:17">
      <c r="A3" s="50" t="s">
        <v>740</v>
      </c>
      <c r="B3" s="51"/>
      <c r="C3" s="52"/>
      <c r="D3" s="53"/>
      <c r="E3" s="54"/>
      <c r="F3" s="54"/>
      <c r="G3" s="54"/>
      <c r="I3" s="90" t="s">
        <v>741</v>
      </c>
      <c r="J3" s="91" t="s">
        <v>120</v>
      </c>
      <c r="K3" s="91" t="s">
        <v>742</v>
      </c>
      <c r="L3" s="91" t="s">
        <v>743</v>
      </c>
      <c r="M3" s="91" t="s">
        <v>744</v>
      </c>
      <c r="N3" s="91" t="s">
        <v>745</v>
      </c>
      <c r="O3" s="91" t="s">
        <v>746</v>
      </c>
      <c r="P3" s="92" t="s">
        <v>747</v>
      </c>
      <c r="Q3" s="92" t="s">
        <v>748</v>
      </c>
    </row>
    <row r="4" s="44" customFormat="1" ht="14.25" customHeight="1" spans="1:18">
      <c r="A4" s="44" t="s">
        <v>749</v>
      </c>
      <c r="B4" s="55"/>
      <c r="C4" s="53"/>
      <c r="D4" s="53"/>
      <c r="E4" s="54"/>
      <c r="F4" s="54"/>
      <c r="G4" s="54"/>
      <c r="I4" s="93" t="s">
        <v>750</v>
      </c>
      <c r="J4" s="94">
        <f>SUM(H8:AH8)</f>
        <v>61.5</v>
      </c>
      <c r="K4" s="95">
        <f>SUM(H12:AH23)+SUM(H9:AH10)</f>
        <v>374.75</v>
      </c>
      <c r="L4" s="96">
        <v>0</v>
      </c>
      <c r="M4" s="95">
        <f>SUM(H11:AH11)</f>
        <v>22.8125</v>
      </c>
      <c r="N4" s="95">
        <f>SUM(H24:AH31)</f>
        <v>220.3125</v>
      </c>
      <c r="O4" s="95">
        <f>SUM(H32:AH32)</f>
        <v>21.9375</v>
      </c>
      <c r="P4" s="95">
        <f>SUM(H33:AH33)</f>
        <v>21.5</v>
      </c>
      <c r="Q4" s="102">
        <v>0</v>
      </c>
      <c r="R4" s="103"/>
    </row>
    <row r="5" s="44" customFormat="1" ht="18.75" customHeight="1" spans="1:17">
      <c r="A5" s="44" t="s">
        <v>751</v>
      </c>
      <c r="C5" s="53"/>
      <c r="D5" s="53"/>
      <c r="I5" s="97" t="s">
        <v>752</v>
      </c>
      <c r="J5" s="98">
        <f t="shared" ref="J5:Q5" si="0">J4/(SUM($J$4:$N$4)+$O$4+$P$4+$Q$4)</f>
        <v>0.0850843060959793</v>
      </c>
      <c r="K5" s="98">
        <f t="shared" si="0"/>
        <v>0.518460873324687</v>
      </c>
      <c r="L5" s="98">
        <f t="shared" si="0"/>
        <v>0</v>
      </c>
      <c r="M5" s="98">
        <f t="shared" si="0"/>
        <v>0.0315607436230004</v>
      </c>
      <c r="N5" s="98">
        <f t="shared" si="0"/>
        <v>0.304798962386511</v>
      </c>
      <c r="O5" s="98">
        <f t="shared" si="0"/>
        <v>0.0303501945525292</v>
      </c>
      <c r="P5" s="98">
        <f t="shared" si="0"/>
        <v>0.0297449200172936</v>
      </c>
      <c r="Q5" s="98">
        <f t="shared" si="0"/>
        <v>0</v>
      </c>
    </row>
    <row r="6" s="44" customFormat="1" ht="42" customHeight="1" spans="1:7">
      <c r="A6" s="56" t="s">
        <v>753</v>
      </c>
      <c r="B6" s="57"/>
      <c r="C6" s="58" t="s">
        <v>276</v>
      </c>
      <c r="D6" s="59">
        <f>SUM($E$8:$E$33)/SUM($D$8:$D$33)*100</f>
        <v>100</v>
      </c>
      <c r="E6" s="60"/>
      <c r="F6" s="61" t="s">
        <v>275</v>
      </c>
      <c r="G6" s="62">
        <f>((COUNTIF(G8:G33,"1"))/(COUNTIF(F8:F33,"1")+COUNTIF(F8:F33,"0")))*100</f>
        <v>100</v>
      </c>
    </row>
    <row r="7" s="44" customFormat="1" ht="34.5" customHeight="1" spans="1:34">
      <c r="A7" s="63" t="s">
        <v>754</v>
      </c>
      <c r="B7" s="63" t="s">
        <v>755</v>
      </c>
      <c r="C7" s="63" t="s">
        <v>756</v>
      </c>
      <c r="D7" s="63" t="s">
        <v>757</v>
      </c>
      <c r="E7" s="63" t="s">
        <v>758</v>
      </c>
      <c r="F7" s="63" t="s">
        <v>759</v>
      </c>
      <c r="G7" s="63" t="s">
        <v>760</v>
      </c>
      <c r="H7" s="64" t="str">
        <f t="shared" ref="H7:AH7" si="1">CONCATENATE("第",COLUMN(H7)-COLUMN($G$7),"周")</f>
        <v>第1周</v>
      </c>
      <c r="I7" s="64" t="str">
        <f t="shared" si="1"/>
        <v>第2周</v>
      </c>
      <c r="J7" s="64" t="str">
        <f t="shared" si="1"/>
        <v>第3周</v>
      </c>
      <c r="K7" s="64" t="str">
        <f t="shared" si="1"/>
        <v>第4周</v>
      </c>
      <c r="L7" s="64" t="str">
        <f t="shared" si="1"/>
        <v>第5周</v>
      </c>
      <c r="M7" s="64" t="str">
        <f t="shared" si="1"/>
        <v>第6周</v>
      </c>
      <c r="N7" s="64" t="str">
        <f t="shared" si="1"/>
        <v>第7周</v>
      </c>
      <c r="O7" s="64" t="str">
        <f t="shared" si="1"/>
        <v>第8周</v>
      </c>
      <c r="P7" s="64" t="str">
        <f t="shared" si="1"/>
        <v>第9周</v>
      </c>
      <c r="Q7" s="64" t="str">
        <f t="shared" si="1"/>
        <v>第10周</v>
      </c>
      <c r="R7" s="64" t="str">
        <f t="shared" si="1"/>
        <v>第11周</v>
      </c>
      <c r="S7" s="64" t="str">
        <f t="shared" si="1"/>
        <v>第12周</v>
      </c>
      <c r="T7" s="64" t="str">
        <f t="shared" si="1"/>
        <v>第13周</v>
      </c>
      <c r="U7" s="64" t="str">
        <f t="shared" si="1"/>
        <v>第14周</v>
      </c>
      <c r="V7" s="64" t="str">
        <f t="shared" si="1"/>
        <v>第15周</v>
      </c>
      <c r="W7" s="64" t="str">
        <f t="shared" si="1"/>
        <v>第16周</v>
      </c>
      <c r="X7" s="64" t="str">
        <f t="shared" si="1"/>
        <v>第17周</v>
      </c>
      <c r="Y7" s="64" t="str">
        <f t="shared" si="1"/>
        <v>第18周</v>
      </c>
      <c r="Z7" s="64" t="str">
        <f t="shared" si="1"/>
        <v>第19周</v>
      </c>
      <c r="AA7" s="64" t="str">
        <f t="shared" si="1"/>
        <v>第20周</v>
      </c>
      <c r="AB7" s="64" t="str">
        <f t="shared" si="1"/>
        <v>第21周</v>
      </c>
      <c r="AC7" s="64" t="str">
        <f t="shared" si="1"/>
        <v>第22周</v>
      </c>
      <c r="AD7" s="64" t="str">
        <f t="shared" si="1"/>
        <v>第23周</v>
      </c>
      <c r="AE7" s="64" t="str">
        <f t="shared" si="1"/>
        <v>第24周</v>
      </c>
      <c r="AF7" s="64" t="str">
        <f t="shared" si="1"/>
        <v>第25周</v>
      </c>
      <c r="AG7" s="64" t="str">
        <f t="shared" si="1"/>
        <v>第26周</v>
      </c>
      <c r="AH7" s="64" t="str">
        <f t="shared" si="1"/>
        <v>第27周</v>
      </c>
    </row>
    <row r="8" s="45" customFormat="1" ht="15" customHeight="1" spans="1:34">
      <c r="A8" s="65" t="s">
        <v>120</v>
      </c>
      <c r="B8" s="65" t="str">
        <f>人员基本信息!C4</f>
        <v>张银</v>
      </c>
      <c r="C8" s="65">
        <v>13</v>
      </c>
      <c r="D8" s="66">
        <f>E8</f>
        <v>1.6</v>
      </c>
      <c r="E8" s="67">
        <f>IF(ISBLANK(C8),"-",IF(5&lt;=C8,1.6,IF(AND(3&lt;=C8,5&gt;C8),1.25,IF(AND(2&lt;=C8,3&gt;C8),1,IF(AND(2&gt;C8,1.5&lt;=C8),0.8,IF(AND(1.5&gt;C8,1&lt;=C8),0.7,0.5))))))</f>
        <v>1.6</v>
      </c>
      <c r="F8" s="68">
        <v>1</v>
      </c>
      <c r="G8" s="68">
        <f>人员基本信息!K4</f>
        <v>1</v>
      </c>
      <c r="H8" s="65">
        <v>3</v>
      </c>
      <c r="I8" s="65">
        <v>5.25</v>
      </c>
      <c r="J8" s="65">
        <f>37/8</f>
        <v>4.625</v>
      </c>
      <c r="K8" s="65">
        <f>40/8</f>
        <v>5</v>
      </c>
      <c r="L8" s="65">
        <f>37/8</f>
        <v>4.625</v>
      </c>
      <c r="M8" s="65">
        <f>31/8</f>
        <v>3.875</v>
      </c>
      <c r="N8" s="65">
        <f>27/8</f>
        <v>3.375</v>
      </c>
      <c r="O8" s="65">
        <f>38/8</f>
        <v>4.75</v>
      </c>
      <c r="P8" s="65">
        <v>4</v>
      </c>
      <c r="Q8" s="65">
        <f>6/8</f>
        <v>0.75</v>
      </c>
      <c r="R8" s="65">
        <v>2</v>
      </c>
      <c r="S8" s="65">
        <f>8/8</f>
        <v>1</v>
      </c>
      <c r="T8" s="65">
        <v>2</v>
      </c>
      <c r="U8" s="65">
        <f>20/8</f>
        <v>2.5</v>
      </c>
      <c r="V8" s="65">
        <v>2</v>
      </c>
      <c r="W8" s="65">
        <v>1</v>
      </c>
      <c r="X8" s="65">
        <f>15.5/8</f>
        <v>1.9375</v>
      </c>
      <c r="Y8" s="65">
        <f>12/8</f>
        <v>1.5</v>
      </c>
      <c r="Z8" s="65">
        <f>1.5/8</f>
        <v>0.1875</v>
      </c>
      <c r="AA8" s="65">
        <f>12/8</f>
        <v>1.5</v>
      </c>
      <c r="AB8" s="65">
        <v>1</v>
      </c>
      <c r="AC8" s="65">
        <v>0</v>
      </c>
      <c r="AD8" s="65">
        <v>1</v>
      </c>
      <c r="AE8" s="65">
        <v>0</v>
      </c>
      <c r="AF8" s="65">
        <v>1</v>
      </c>
      <c r="AG8" s="65">
        <v>2</v>
      </c>
      <c r="AH8" s="65">
        <f>13/8</f>
        <v>1.625</v>
      </c>
    </row>
    <row r="9" s="45" customFormat="1" ht="15" customHeight="1" spans="1:34">
      <c r="A9" s="65" t="s">
        <v>742</v>
      </c>
      <c r="B9" s="65" t="str">
        <f>人员基本信息!C5</f>
        <v>潘文彬</v>
      </c>
      <c r="C9" s="65">
        <v>7</v>
      </c>
      <c r="D9" s="66">
        <f t="shared" ref="D9:D33" si="2">E9</f>
        <v>1.6</v>
      </c>
      <c r="E9" s="67">
        <f t="shared" ref="E9:E33" si="3">IF(ISBLANK(C9),"-",IF(5&lt;=C9,1.6,IF(AND(3&lt;=C9,5&gt;C9),1.25,IF(AND(2&lt;=C9,3&gt;C9),1,IF(AND(2&gt;C9,1.5&lt;=C9),0.8,IF(AND(1.5&gt;C9,1&lt;=C9),0.7,0.5))))))</f>
        <v>1.6</v>
      </c>
      <c r="F9" s="68">
        <v>1</v>
      </c>
      <c r="G9" s="68">
        <f>人员基本信息!K5</f>
        <v>1</v>
      </c>
      <c r="H9" s="65">
        <v>3</v>
      </c>
      <c r="I9" s="65">
        <f>43/8</f>
        <v>5.375</v>
      </c>
      <c r="J9" s="65">
        <f>16/8</f>
        <v>2</v>
      </c>
      <c r="K9" s="65">
        <f>29/8</f>
        <v>3.625</v>
      </c>
      <c r="L9" s="65">
        <f>36/8</f>
        <v>4.5</v>
      </c>
      <c r="M9" s="65">
        <f>27/8</f>
        <v>3.375</v>
      </c>
      <c r="N9" s="65">
        <f>27/8</f>
        <v>3.375</v>
      </c>
      <c r="O9" s="65">
        <v>4</v>
      </c>
      <c r="P9" s="65">
        <v>0</v>
      </c>
      <c r="Q9" s="65">
        <v>0</v>
      </c>
      <c r="R9" s="65">
        <v>2</v>
      </c>
      <c r="S9" s="65">
        <v>0</v>
      </c>
      <c r="T9" s="65">
        <v>0</v>
      </c>
      <c r="U9" s="65">
        <f>1/8</f>
        <v>0.125</v>
      </c>
      <c r="V9" s="65">
        <v>0</v>
      </c>
      <c r="W9" s="65">
        <v>0</v>
      </c>
      <c r="X9" s="65">
        <v>0</v>
      </c>
      <c r="Y9" s="65">
        <v>0</v>
      </c>
      <c r="Z9" s="65">
        <v>0</v>
      </c>
      <c r="AA9" s="65">
        <f>4/8</f>
        <v>0.5</v>
      </c>
      <c r="AB9" s="65">
        <v>4</v>
      </c>
      <c r="AC9" s="65">
        <v>0</v>
      </c>
      <c r="AD9" s="65">
        <v>1</v>
      </c>
      <c r="AE9" s="65">
        <v>0</v>
      </c>
      <c r="AF9" s="65">
        <v>0</v>
      </c>
      <c r="AG9" s="65">
        <v>2</v>
      </c>
      <c r="AH9" s="65">
        <f>26/8</f>
        <v>3.25</v>
      </c>
    </row>
    <row r="10" s="45" customFormat="1" ht="15" customHeight="1" spans="1:34">
      <c r="A10" s="65" t="s">
        <v>742</v>
      </c>
      <c r="B10" s="65" t="str">
        <f>人员基本信息!C6</f>
        <v>黄荣</v>
      </c>
      <c r="C10" s="65">
        <v>9</v>
      </c>
      <c r="D10" s="66">
        <f t="shared" si="2"/>
        <v>1.6</v>
      </c>
      <c r="E10" s="67">
        <f t="shared" si="3"/>
        <v>1.6</v>
      </c>
      <c r="F10" s="68">
        <v>1</v>
      </c>
      <c r="G10" s="68">
        <f>人员基本信息!K6</f>
        <v>1</v>
      </c>
      <c r="H10" s="65">
        <v>4</v>
      </c>
      <c r="I10" s="65">
        <v>4.375</v>
      </c>
      <c r="J10" s="65">
        <v>5</v>
      </c>
      <c r="K10" s="65">
        <f>16/8</f>
        <v>2</v>
      </c>
      <c r="L10" s="65">
        <v>3</v>
      </c>
      <c r="M10" s="65">
        <v>0</v>
      </c>
      <c r="N10" s="65">
        <f>1/8</f>
        <v>0.125</v>
      </c>
      <c r="O10" s="65">
        <v>1</v>
      </c>
      <c r="P10" s="65">
        <v>0</v>
      </c>
      <c r="Q10" s="65">
        <v>0</v>
      </c>
      <c r="R10" s="65">
        <v>1</v>
      </c>
      <c r="S10" s="65">
        <v>0</v>
      </c>
      <c r="T10" s="65">
        <v>1</v>
      </c>
      <c r="U10" s="65">
        <v>0</v>
      </c>
      <c r="V10" s="65">
        <v>0</v>
      </c>
      <c r="W10" s="65">
        <v>0</v>
      </c>
      <c r="X10" s="65">
        <v>0</v>
      </c>
      <c r="Y10" s="65">
        <v>0</v>
      </c>
      <c r="Z10" s="65">
        <v>0</v>
      </c>
      <c r="AA10" s="65">
        <v>0</v>
      </c>
      <c r="AB10" s="65">
        <v>0</v>
      </c>
      <c r="AC10" s="65">
        <v>0</v>
      </c>
      <c r="AD10" s="65">
        <v>0</v>
      </c>
      <c r="AE10" s="65">
        <v>0</v>
      </c>
      <c r="AF10" s="65">
        <v>0</v>
      </c>
      <c r="AG10" s="65">
        <v>0</v>
      </c>
      <c r="AH10" s="65">
        <v>0</v>
      </c>
    </row>
    <row r="11" s="45" customFormat="1" ht="15" customHeight="1" spans="1:34">
      <c r="A11" s="65" t="s">
        <v>761</v>
      </c>
      <c r="B11" s="65" t="str">
        <f>人员基本信息!C7</f>
        <v>王煜卿</v>
      </c>
      <c r="C11" s="65">
        <v>6</v>
      </c>
      <c r="D11" s="66">
        <f t="shared" si="2"/>
        <v>1.6</v>
      </c>
      <c r="E11" s="67">
        <f t="shared" si="3"/>
        <v>1.6</v>
      </c>
      <c r="F11" s="68">
        <v>1</v>
      </c>
      <c r="G11" s="68">
        <f>人员基本信息!K7</f>
        <v>1</v>
      </c>
      <c r="H11" s="65">
        <v>0</v>
      </c>
      <c r="I11" s="65">
        <v>0</v>
      </c>
      <c r="J11" s="65">
        <f>8/8</f>
        <v>1</v>
      </c>
      <c r="K11" s="65">
        <f>25.5/8</f>
        <v>3.1875</v>
      </c>
      <c r="L11" s="65">
        <f>24/8</f>
        <v>3</v>
      </c>
      <c r="M11" s="65">
        <f>23/8</f>
        <v>2.875</v>
      </c>
      <c r="N11" s="65">
        <v>0</v>
      </c>
      <c r="O11" s="65">
        <v>0</v>
      </c>
      <c r="P11" s="65">
        <v>0</v>
      </c>
      <c r="Q11" s="65">
        <v>4</v>
      </c>
      <c r="R11" s="65">
        <v>1</v>
      </c>
      <c r="S11" s="65">
        <v>0</v>
      </c>
      <c r="T11" s="65">
        <v>0</v>
      </c>
      <c r="U11" s="65">
        <v>0</v>
      </c>
      <c r="V11" s="65">
        <f>2/8</f>
        <v>0.25</v>
      </c>
      <c r="W11" s="65">
        <v>0</v>
      </c>
      <c r="X11" s="65">
        <v>0</v>
      </c>
      <c r="Y11" s="65">
        <v>0</v>
      </c>
      <c r="Z11" s="65">
        <v>0</v>
      </c>
      <c r="AA11" s="65">
        <f>4/8</f>
        <v>0.5</v>
      </c>
      <c r="AB11" s="65">
        <v>0</v>
      </c>
      <c r="AC11" s="65">
        <v>0</v>
      </c>
      <c r="AD11" s="65">
        <v>0</v>
      </c>
      <c r="AE11" s="65">
        <v>2</v>
      </c>
      <c r="AF11" s="65">
        <f>24/8</f>
        <v>3</v>
      </c>
      <c r="AG11" s="65">
        <v>1</v>
      </c>
      <c r="AH11" s="65">
        <v>1</v>
      </c>
    </row>
    <row r="12" s="45" customFormat="1" ht="15" customHeight="1" spans="1:34">
      <c r="A12" s="65" t="s">
        <v>742</v>
      </c>
      <c r="B12" s="65" t="str">
        <f>人员基本信息!C8</f>
        <v>易程亮</v>
      </c>
      <c r="C12" s="65">
        <v>10</v>
      </c>
      <c r="D12" s="66">
        <f t="shared" si="2"/>
        <v>1.6</v>
      </c>
      <c r="E12" s="67">
        <f t="shared" si="3"/>
        <v>1.6</v>
      </c>
      <c r="F12" s="68">
        <v>1</v>
      </c>
      <c r="G12" s="68">
        <f>人员基本信息!K8</f>
        <v>1</v>
      </c>
      <c r="H12" s="65">
        <v>0</v>
      </c>
      <c r="I12" s="65">
        <v>0</v>
      </c>
      <c r="J12" s="65">
        <v>0</v>
      </c>
      <c r="K12" s="65">
        <v>0</v>
      </c>
      <c r="L12" s="65">
        <v>0</v>
      </c>
      <c r="M12" s="65">
        <f>4/8</f>
        <v>0.5</v>
      </c>
      <c r="N12" s="65">
        <v>0</v>
      </c>
      <c r="O12" s="65">
        <v>0</v>
      </c>
      <c r="P12" s="65">
        <v>0</v>
      </c>
      <c r="Q12" s="65">
        <v>0</v>
      </c>
      <c r="R12" s="65">
        <v>0</v>
      </c>
      <c r="S12" s="65">
        <v>0</v>
      </c>
      <c r="T12" s="65">
        <v>0</v>
      </c>
      <c r="U12" s="65">
        <v>0</v>
      </c>
      <c r="V12" s="65">
        <f>17/8</f>
        <v>2.125</v>
      </c>
      <c r="W12" s="65">
        <f>28/8</f>
        <v>3.5</v>
      </c>
      <c r="X12" s="65">
        <v>5</v>
      </c>
      <c r="Y12" s="65">
        <f>13/8</f>
        <v>1.625</v>
      </c>
      <c r="Z12" s="65">
        <f>7/8</f>
        <v>0.875</v>
      </c>
      <c r="AA12" s="65">
        <v>0</v>
      </c>
      <c r="AB12" s="65">
        <v>0</v>
      </c>
      <c r="AC12" s="65">
        <f>20/8</f>
        <v>2.5</v>
      </c>
      <c r="AD12" s="65">
        <v>0</v>
      </c>
      <c r="AE12" s="65">
        <v>0</v>
      </c>
      <c r="AF12" s="65">
        <v>0</v>
      </c>
      <c r="AG12" s="65">
        <v>0</v>
      </c>
      <c r="AH12" s="65">
        <v>0</v>
      </c>
    </row>
    <row r="13" s="45" customFormat="1" ht="15" customHeight="1" spans="1:34">
      <c r="A13" s="65" t="s">
        <v>742</v>
      </c>
      <c r="B13" s="65" t="str">
        <f>人员基本信息!C9</f>
        <v>郑建锋</v>
      </c>
      <c r="C13" s="65">
        <v>3.5</v>
      </c>
      <c r="D13" s="66">
        <f t="shared" si="2"/>
        <v>1.25</v>
      </c>
      <c r="E13" s="67">
        <f t="shared" si="3"/>
        <v>1.25</v>
      </c>
      <c r="F13" s="68">
        <v>1</v>
      </c>
      <c r="G13" s="68">
        <f>人员基本信息!K9</f>
        <v>1</v>
      </c>
      <c r="H13" s="65">
        <v>0</v>
      </c>
      <c r="I13" s="65">
        <v>0</v>
      </c>
      <c r="J13" s="65">
        <v>0</v>
      </c>
      <c r="K13" s="65">
        <v>0</v>
      </c>
      <c r="L13" s="65">
        <v>0</v>
      </c>
      <c r="M13" s="65">
        <v>0</v>
      </c>
      <c r="N13" s="65">
        <v>0</v>
      </c>
      <c r="O13" s="65">
        <v>0</v>
      </c>
      <c r="P13" s="65">
        <v>0</v>
      </c>
      <c r="Q13" s="65">
        <v>0</v>
      </c>
      <c r="R13" s="65">
        <v>0</v>
      </c>
      <c r="S13" s="65">
        <v>0</v>
      </c>
      <c r="T13" s="65">
        <v>0</v>
      </c>
      <c r="U13" s="65">
        <v>0</v>
      </c>
      <c r="V13" s="65">
        <v>0</v>
      </c>
      <c r="W13" s="65">
        <v>0</v>
      </c>
      <c r="X13" s="65">
        <v>0</v>
      </c>
      <c r="Y13" s="65">
        <v>0</v>
      </c>
      <c r="Z13" s="65">
        <v>0</v>
      </c>
      <c r="AA13" s="65">
        <f>4/8</f>
        <v>0.5</v>
      </c>
      <c r="AB13" s="65">
        <f>12/8</f>
        <v>1.5</v>
      </c>
      <c r="AC13" s="65">
        <v>0</v>
      </c>
      <c r="AD13" s="65">
        <v>0</v>
      </c>
      <c r="AE13" s="65">
        <v>0</v>
      </c>
      <c r="AF13" s="65">
        <v>0</v>
      </c>
      <c r="AG13" s="65">
        <v>0</v>
      </c>
      <c r="AH13" s="65">
        <v>0</v>
      </c>
    </row>
    <row r="14" s="45" customFormat="1" ht="15" customHeight="1" spans="1:34">
      <c r="A14" s="65" t="s">
        <v>742</v>
      </c>
      <c r="B14" s="65" t="str">
        <f>人员基本信息!C10</f>
        <v>张莉</v>
      </c>
      <c r="C14" s="65">
        <v>8</v>
      </c>
      <c r="D14" s="66">
        <f t="shared" si="2"/>
        <v>1.6</v>
      </c>
      <c r="E14" s="67">
        <f t="shared" si="3"/>
        <v>1.6</v>
      </c>
      <c r="F14" s="68">
        <v>1</v>
      </c>
      <c r="G14" s="68">
        <f>人员基本信息!K10</f>
        <v>1</v>
      </c>
      <c r="H14" s="65">
        <f>36/8</f>
        <v>4.5</v>
      </c>
      <c r="I14" s="65">
        <v>5.5</v>
      </c>
      <c r="J14" s="65">
        <f>40/8</f>
        <v>5</v>
      </c>
      <c r="K14" s="65">
        <f>40/8</f>
        <v>5</v>
      </c>
      <c r="L14" s="65">
        <f>40/8</f>
        <v>5</v>
      </c>
      <c r="M14" s="65">
        <f>40/8</f>
        <v>5</v>
      </c>
      <c r="N14" s="65">
        <v>5</v>
      </c>
      <c r="O14" s="65">
        <v>5</v>
      </c>
      <c r="P14" s="65">
        <v>1</v>
      </c>
      <c r="Q14" s="65">
        <v>1</v>
      </c>
      <c r="R14" s="65">
        <v>0</v>
      </c>
      <c r="S14" s="65">
        <f>8/8</f>
        <v>1</v>
      </c>
      <c r="T14" s="65">
        <v>2</v>
      </c>
      <c r="U14" s="65">
        <v>0</v>
      </c>
      <c r="V14" s="65">
        <v>0</v>
      </c>
      <c r="W14" s="65">
        <v>0</v>
      </c>
      <c r="X14" s="65">
        <v>4</v>
      </c>
      <c r="Y14" s="65">
        <f>3/8</f>
        <v>0.375</v>
      </c>
      <c r="Z14" s="65">
        <v>0</v>
      </c>
      <c r="AA14" s="65">
        <v>0</v>
      </c>
      <c r="AB14" s="65">
        <v>0</v>
      </c>
      <c r="AC14" s="65">
        <v>0</v>
      </c>
      <c r="AD14" s="65">
        <v>0</v>
      </c>
      <c r="AE14" s="65">
        <v>0</v>
      </c>
      <c r="AF14" s="65">
        <v>0</v>
      </c>
      <c r="AG14" s="65">
        <v>0</v>
      </c>
      <c r="AH14" s="65">
        <v>0</v>
      </c>
    </row>
    <row r="15" s="45" customFormat="1" ht="15" customHeight="1" spans="1:34">
      <c r="A15" s="65" t="s">
        <v>742</v>
      </c>
      <c r="B15" s="65" t="str">
        <f>人员基本信息!C11</f>
        <v>章景</v>
      </c>
      <c r="C15" s="65">
        <v>7</v>
      </c>
      <c r="D15" s="66">
        <f t="shared" si="2"/>
        <v>1.6</v>
      </c>
      <c r="E15" s="67">
        <f t="shared" si="3"/>
        <v>1.6</v>
      </c>
      <c r="F15" s="68">
        <v>1</v>
      </c>
      <c r="G15" s="68">
        <f>人员基本信息!K11</f>
        <v>1</v>
      </c>
      <c r="H15" s="65">
        <v>2</v>
      </c>
      <c r="I15" s="65">
        <f>24/8</f>
        <v>3</v>
      </c>
      <c r="J15" s="65">
        <f>32/8</f>
        <v>4</v>
      </c>
      <c r="K15" s="65">
        <v>0</v>
      </c>
      <c r="L15" s="65">
        <f>20/8</f>
        <v>2.5</v>
      </c>
      <c r="M15" s="65">
        <f>36/8</f>
        <v>4.5</v>
      </c>
      <c r="N15" s="65">
        <v>5</v>
      </c>
      <c r="O15" s="65">
        <v>2</v>
      </c>
      <c r="P15" s="65">
        <v>1</v>
      </c>
      <c r="Q15" s="65">
        <v>2</v>
      </c>
      <c r="R15" s="65">
        <v>0</v>
      </c>
      <c r="S15" s="65">
        <v>0</v>
      </c>
      <c r="T15" s="65">
        <v>0</v>
      </c>
      <c r="U15" s="65">
        <v>0</v>
      </c>
      <c r="V15" s="65">
        <v>0</v>
      </c>
      <c r="W15" s="65">
        <v>0</v>
      </c>
      <c r="X15" s="65">
        <v>0</v>
      </c>
      <c r="Y15" s="65">
        <v>0</v>
      </c>
      <c r="Z15" s="65">
        <v>0</v>
      </c>
      <c r="AA15" s="65">
        <v>0</v>
      </c>
      <c r="AB15" s="65">
        <v>0</v>
      </c>
      <c r="AC15" s="65">
        <v>0</v>
      </c>
      <c r="AD15" s="65">
        <v>0</v>
      </c>
      <c r="AE15" s="65">
        <v>0</v>
      </c>
      <c r="AF15" s="65">
        <v>0</v>
      </c>
      <c r="AG15" s="65">
        <v>0</v>
      </c>
      <c r="AH15" s="65">
        <v>0</v>
      </c>
    </row>
    <row r="16" s="45" customFormat="1" ht="15" customHeight="1" spans="1:34">
      <c r="A16" s="65" t="s">
        <v>742</v>
      </c>
      <c r="B16" s="65" t="str">
        <f>人员基本信息!C12</f>
        <v>伍斌</v>
      </c>
      <c r="C16" s="65">
        <v>6</v>
      </c>
      <c r="D16" s="66">
        <f t="shared" si="2"/>
        <v>1.6</v>
      </c>
      <c r="E16" s="67">
        <f t="shared" si="3"/>
        <v>1.6</v>
      </c>
      <c r="F16" s="68">
        <v>1</v>
      </c>
      <c r="G16" s="68">
        <f>人员基本信息!K12</f>
        <v>1</v>
      </c>
      <c r="H16" s="65">
        <v>0</v>
      </c>
      <c r="I16" s="65">
        <v>0</v>
      </c>
      <c r="J16" s="65">
        <f>8/8</f>
        <v>1</v>
      </c>
      <c r="K16" s="65">
        <v>0</v>
      </c>
      <c r="L16" s="65">
        <f>24/8</f>
        <v>3</v>
      </c>
      <c r="M16" s="65">
        <f>14/8</f>
        <v>1.75</v>
      </c>
      <c r="N16" s="65">
        <v>3</v>
      </c>
      <c r="O16" s="65">
        <v>5</v>
      </c>
      <c r="P16" s="65">
        <v>3</v>
      </c>
      <c r="Q16" s="65">
        <v>3</v>
      </c>
      <c r="R16" s="65">
        <v>4</v>
      </c>
      <c r="S16" s="65">
        <f>8/8</f>
        <v>1</v>
      </c>
      <c r="T16" s="65">
        <v>0</v>
      </c>
      <c r="U16" s="65">
        <v>1</v>
      </c>
      <c r="V16" s="65">
        <f>17/8</f>
        <v>2.125</v>
      </c>
      <c r="W16" s="65">
        <f>30/8</f>
        <v>3.75</v>
      </c>
      <c r="X16" s="65">
        <f>38/8</f>
        <v>4.75</v>
      </c>
      <c r="Y16" s="65">
        <f>14/8</f>
        <v>1.75</v>
      </c>
      <c r="Z16" s="65">
        <f>6/8</f>
        <v>0.75</v>
      </c>
      <c r="AA16" s="65">
        <v>0</v>
      </c>
      <c r="AB16" s="65">
        <v>0</v>
      </c>
      <c r="AC16" s="65">
        <v>0</v>
      </c>
      <c r="AD16" s="65">
        <v>0</v>
      </c>
      <c r="AE16" s="65">
        <v>0</v>
      </c>
      <c r="AF16" s="65">
        <v>0</v>
      </c>
      <c r="AG16" s="65">
        <v>0</v>
      </c>
      <c r="AH16" s="65">
        <v>0.5</v>
      </c>
    </row>
    <row r="17" s="45" customFormat="1" ht="15" customHeight="1" spans="1:34">
      <c r="A17" s="65" t="s">
        <v>742</v>
      </c>
      <c r="B17" s="65" t="str">
        <f>人员基本信息!C13</f>
        <v>丁迅</v>
      </c>
      <c r="C17" s="65">
        <v>11</v>
      </c>
      <c r="D17" s="66">
        <f t="shared" si="2"/>
        <v>1.6</v>
      </c>
      <c r="E17" s="67">
        <f t="shared" si="3"/>
        <v>1.6</v>
      </c>
      <c r="F17" s="68">
        <v>1</v>
      </c>
      <c r="G17" s="68">
        <f>人员基本信息!K13</f>
        <v>1</v>
      </c>
      <c r="H17" s="65">
        <v>0</v>
      </c>
      <c r="I17" s="65">
        <v>0</v>
      </c>
      <c r="J17" s="65">
        <f>8/8</f>
        <v>1</v>
      </c>
      <c r="K17" s="65">
        <v>0</v>
      </c>
      <c r="L17" s="65">
        <f>37/8</f>
        <v>4.625</v>
      </c>
      <c r="M17" s="65">
        <f>30/8</f>
        <v>3.75</v>
      </c>
      <c r="N17" s="65">
        <v>5</v>
      </c>
      <c r="O17" s="65">
        <f>29/8</f>
        <v>3.625</v>
      </c>
      <c r="P17" s="65">
        <v>0</v>
      </c>
      <c r="Q17" s="65">
        <v>0</v>
      </c>
      <c r="R17" s="65">
        <v>0</v>
      </c>
      <c r="S17" s="65">
        <v>0</v>
      </c>
      <c r="T17" s="65">
        <v>0</v>
      </c>
      <c r="U17" s="65">
        <v>0</v>
      </c>
      <c r="V17" s="65">
        <f>4/8</f>
        <v>0.5</v>
      </c>
      <c r="W17" s="65">
        <v>1</v>
      </c>
      <c r="X17" s="65">
        <v>0</v>
      </c>
      <c r="Y17" s="65">
        <v>0</v>
      </c>
      <c r="Z17" s="65">
        <v>0</v>
      </c>
      <c r="AA17" s="65">
        <v>0</v>
      </c>
      <c r="AB17" s="65">
        <v>0</v>
      </c>
      <c r="AC17" s="65">
        <v>0</v>
      </c>
      <c r="AD17" s="65">
        <v>0</v>
      </c>
      <c r="AE17" s="65">
        <v>0</v>
      </c>
      <c r="AF17" s="65">
        <v>0</v>
      </c>
      <c r="AG17" s="65">
        <v>0</v>
      </c>
      <c r="AH17" s="65">
        <v>0</v>
      </c>
    </row>
    <row r="18" s="45" customFormat="1" ht="15" customHeight="1" spans="1:34">
      <c r="A18" s="65" t="s">
        <v>742</v>
      </c>
      <c r="B18" s="65" t="str">
        <f>人员基本信息!C14</f>
        <v>欧鹏</v>
      </c>
      <c r="C18" s="65">
        <v>8</v>
      </c>
      <c r="D18" s="66">
        <f t="shared" si="2"/>
        <v>1.6</v>
      </c>
      <c r="E18" s="67">
        <f t="shared" si="3"/>
        <v>1.6</v>
      </c>
      <c r="F18" s="68">
        <v>1</v>
      </c>
      <c r="G18" s="68">
        <f>人员基本信息!K14</f>
        <v>1</v>
      </c>
      <c r="H18" s="65">
        <v>0</v>
      </c>
      <c r="I18" s="65">
        <v>0</v>
      </c>
      <c r="J18" s="65">
        <v>0</v>
      </c>
      <c r="K18" s="65">
        <v>0</v>
      </c>
      <c r="L18" s="65">
        <v>0</v>
      </c>
      <c r="M18" s="65">
        <v>0</v>
      </c>
      <c r="N18" s="65">
        <v>0</v>
      </c>
      <c r="O18" s="65">
        <v>0</v>
      </c>
      <c r="P18" s="65">
        <v>0</v>
      </c>
      <c r="Q18" s="65">
        <v>0</v>
      </c>
      <c r="R18" s="65">
        <v>0</v>
      </c>
      <c r="S18" s="65">
        <v>0</v>
      </c>
      <c r="T18" s="65">
        <v>0</v>
      </c>
      <c r="U18" s="65">
        <v>0</v>
      </c>
      <c r="V18" s="65">
        <v>0</v>
      </c>
      <c r="W18" s="65">
        <v>0</v>
      </c>
      <c r="X18" s="65">
        <v>0</v>
      </c>
      <c r="Y18" s="65">
        <v>0</v>
      </c>
      <c r="Z18" s="65">
        <v>0</v>
      </c>
      <c r="AA18" s="65"/>
      <c r="AB18" s="65">
        <f>28/8</f>
        <v>3.5</v>
      </c>
      <c r="AC18" s="65">
        <v>5</v>
      </c>
      <c r="AD18" s="65">
        <f>26/8</f>
        <v>3.25</v>
      </c>
      <c r="AE18" s="65">
        <f>38/8</f>
        <v>4.75</v>
      </c>
      <c r="AF18" s="65">
        <f>2/8</f>
        <v>0.25</v>
      </c>
      <c r="AG18" s="65">
        <v>0</v>
      </c>
      <c r="AH18" s="65">
        <v>0</v>
      </c>
    </row>
    <row r="19" s="45" customFormat="1" ht="15" customHeight="1" spans="1:34">
      <c r="A19" s="65" t="s">
        <v>742</v>
      </c>
      <c r="B19" s="65" t="str">
        <f>人员基本信息!C15</f>
        <v>让小侠</v>
      </c>
      <c r="C19" s="65">
        <v>5</v>
      </c>
      <c r="D19" s="66">
        <f t="shared" si="2"/>
        <v>1.6</v>
      </c>
      <c r="E19" s="67">
        <f t="shared" si="3"/>
        <v>1.6</v>
      </c>
      <c r="F19" s="68">
        <v>1</v>
      </c>
      <c r="G19" s="68">
        <f>人员基本信息!K15</f>
        <v>1</v>
      </c>
      <c r="H19" s="65">
        <v>0</v>
      </c>
      <c r="I19" s="65">
        <v>0</v>
      </c>
      <c r="J19" s="65">
        <f>2/8</f>
        <v>0.25</v>
      </c>
      <c r="K19" s="65">
        <f>36/8</f>
        <v>4.5</v>
      </c>
      <c r="L19" s="65">
        <f>4/8</f>
        <v>0.5</v>
      </c>
      <c r="M19" s="65">
        <f>24/8</f>
        <v>3</v>
      </c>
      <c r="N19" s="65">
        <v>5</v>
      </c>
      <c r="O19" s="65">
        <v>4</v>
      </c>
      <c r="P19" s="65">
        <f>21/8</f>
        <v>2.625</v>
      </c>
      <c r="Q19" s="65">
        <f>17/8</f>
        <v>2.125</v>
      </c>
      <c r="R19" s="65">
        <v>1</v>
      </c>
      <c r="S19" s="65">
        <f>8/8</f>
        <v>1</v>
      </c>
      <c r="T19" s="65">
        <v>0</v>
      </c>
      <c r="U19" s="65">
        <v>0</v>
      </c>
      <c r="V19" s="65">
        <v>0</v>
      </c>
      <c r="W19" s="65">
        <v>0</v>
      </c>
      <c r="X19" s="65">
        <v>0</v>
      </c>
      <c r="Y19" s="65">
        <v>0</v>
      </c>
      <c r="Z19" s="65">
        <v>0</v>
      </c>
      <c r="AA19" s="65">
        <v>0</v>
      </c>
      <c r="AB19" s="65">
        <v>0</v>
      </c>
      <c r="AC19" s="65">
        <v>0</v>
      </c>
      <c r="AD19" s="65">
        <v>0</v>
      </c>
      <c r="AE19" s="65">
        <v>0</v>
      </c>
      <c r="AF19" s="65">
        <v>0</v>
      </c>
      <c r="AG19" s="65">
        <v>0</v>
      </c>
      <c r="AH19" s="65">
        <v>0</v>
      </c>
    </row>
    <row r="20" s="45" customFormat="1" ht="15" customHeight="1" spans="1:34">
      <c r="A20" s="65" t="s">
        <v>742</v>
      </c>
      <c r="B20" s="65" t="str">
        <f>人员基本信息!C16</f>
        <v>王平刚</v>
      </c>
      <c r="C20" s="65">
        <v>17</v>
      </c>
      <c r="D20" s="66">
        <f t="shared" si="2"/>
        <v>1.6</v>
      </c>
      <c r="E20" s="67">
        <f t="shared" si="3"/>
        <v>1.6</v>
      </c>
      <c r="F20" s="68">
        <v>1</v>
      </c>
      <c r="G20" s="68">
        <f>人员基本信息!K16</f>
        <v>1</v>
      </c>
      <c r="H20" s="65">
        <v>0</v>
      </c>
      <c r="I20" s="65">
        <v>0</v>
      </c>
      <c r="J20" s="65">
        <v>0</v>
      </c>
      <c r="K20" s="65">
        <f>22/8</f>
        <v>2.75</v>
      </c>
      <c r="L20" s="65">
        <f>16/8</f>
        <v>2</v>
      </c>
      <c r="M20" s="65">
        <f>24/8</f>
        <v>3</v>
      </c>
      <c r="N20" s="65">
        <v>5</v>
      </c>
      <c r="O20" s="65">
        <v>5</v>
      </c>
      <c r="P20" s="65">
        <f>28/8</f>
        <v>3.5</v>
      </c>
      <c r="Q20" s="65">
        <v>3</v>
      </c>
      <c r="R20" s="65">
        <f>56/8</f>
        <v>7</v>
      </c>
      <c r="S20" s="65">
        <f>40/8</f>
        <v>5</v>
      </c>
      <c r="T20" s="65">
        <v>5</v>
      </c>
      <c r="U20" s="65">
        <v>0</v>
      </c>
      <c r="V20" s="65">
        <v>0</v>
      </c>
      <c r="W20" s="65">
        <v>0</v>
      </c>
      <c r="X20" s="65">
        <v>0</v>
      </c>
      <c r="Y20" s="65">
        <v>0</v>
      </c>
      <c r="Z20" s="65">
        <v>0</v>
      </c>
      <c r="AA20" s="65">
        <v>0</v>
      </c>
      <c r="AB20" s="65">
        <f>26/8</f>
        <v>3.25</v>
      </c>
      <c r="AC20" s="65">
        <v>3</v>
      </c>
      <c r="AD20" s="65">
        <v>4</v>
      </c>
      <c r="AE20" s="65">
        <v>3</v>
      </c>
      <c r="AF20" s="65">
        <v>0</v>
      </c>
      <c r="AG20" s="65">
        <v>0</v>
      </c>
      <c r="AH20" s="65">
        <v>0</v>
      </c>
    </row>
    <row r="21" s="45" customFormat="1" ht="15" customHeight="1" spans="1:34">
      <c r="A21" s="65" t="s">
        <v>742</v>
      </c>
      <c r="B21" s="65" t="str">
        <f>人员基本信息!C17</f>
        <v>张伍超</v>
      </c>
      <c r="C21" s="65">
        <v>4</v>
      </c>
      <c r="D21" s="66">
        <f t="shared" si="2"/>
        <v>1.25</v>
      </c>
      <c r="E21" s="67">
        <f t="shared" si="3"/>
        <v>1.25</v>
      </c>
      <c r="F21" s="68">
        <v>1</v>
      </c>
      <c r="G21" s="68">
        <f>人员基本信息!K17</f>
        <v>1</v>
      </c>
      <c r="H21" s="65">
        <v>0</v>
      </c>
      <c r="I21" s="65">
        <v>0</v>
      </c>
      <c r="J21" s="65">
        <v>0</v>
      </c>
      <c r="K21" s="65">
        <f>18/8</f>
        <v>2.25</v>
      </c>
      <c r="L21" s="65">
        <v>0</v>
      </c>
      <c r="M21" s="65">
        <f>12/8</f>
        <v>1.5</v>
      </c>
      <c r="N21" s="65">
        <v>4</v>
      </c>
      <c r="O21" s="65">
        <f>36/8</f>
        <v>4.5</v>
      </c>
      <c r="P21" s="65">
        <f>20/8</f>
        <v>2.5</v>
      </c>
      <c r="Q21" s="65">
        <v>3</v>
      </c>
      <c r="R21" s="65">
        <v>1</v>
      </c>
      <c r="S21" s="65">
        <f>8/8</f>
        <v>1</v>
      </c>
      <c r="T21" s="65">
        <v>0</v>
      </c>
      <c r="U21" s="65">
        <v>0</v>
      </c>
      <c r="V21" s="65">
        <v>0</v>
      </c>
      <c r="W21" s="65">
        <v>0</v>
      </c>
      <c r="X21" s="65">
        <v>0</v>
      </c>
      <c r="Y21" s="65">
        <v>0</v>
      </c>
      <c r="Z21" s="65">
        <v>0</v>
      </c>
      <c r="AA21" s="65">
        <v>0</v>
      </c>
      <c r="AB21" s="65">
        <v>0</v>
      </c>
      <c r="AC21" s="65">
        <v>5</v>
      </c>
      <c r="AD21" s="65">
        <v>3</v>
      </c>
      <c r="AE21" s="65">
        <v>0</v>
      </c>
      <c r="AF21" s="65">
        <v>0</v>
      </c>
      <c r="AG21" s="65">
        <v>0</v>
      </c>
      <c r="AH21" s="65">
        <v>0</v>
      </c>
    </row>
    <row r="22" s="45" customFormat="1" ht="15" customHeight="1" spans="1:34">
      <c r="A22" s="65" t="s">
        <v>742</v>
      </c>
      <c r="B22" s="65" t="str">
        <f>人员基本信息!C18</f>
        <v>何鑫华</v>
      </c>
      <c r="C22" s="65">
        <v>4</v>
      </c>
      <c r="D22" s="66">
        <f t="shared" si="2"/>
        <v>1.25</v>
      </c>
      <c r="E22" s="67">
        <f t="shared" si="3"/>
        <v>1.25</v>
      </c>
      <c r="F22" s="68">
        <v>1</v>
      </c>
      <c r="G22" s="68">
        <f>人员基本信息!K18</f>
        <v>1</v>
      </c>
      <c r="H22" s="65">
        <v>0</v>
      </c>
      <c r="I22" s="65">
        <v>0</v>
      </c>
      <c r="J22" s="65">
        <v>0</v>
      </c>
      <c r="K22" s="65">
        <f>28/8</f>
        <v>3.5</v>
      </c>
      <c r="L22" s="65">
        <v>0</v>
      </c>
      <c r="M22" s="65">
        <f>16/8</f>
        <v>2</v>
      </c>
      <c r="N22" s="65">
        <v>5</v>
      </c>
      <c r="O22" s="65">
        <f>36/8</f>
        <v>4.5</v>
      </c>
      <c r="P22" s="65">
        <v>4</v>
      </c>
      <c r="Q22" s="65">
        <v>0</v>
      </c>
      <c r="R22" s="65">
        <v>1</v>
      </c>
      <c r="S22" s="65">
        <f>8/8</f>
        <v>1</v>
      </c>
      <c r="T22" s="65">
        <v>0</v>
      </c>
      <c r="U22" s="65">
        <v>0</v>
      </c>
      <c r="V22" s="65">
        <v>0</v>
      </c>
      <c r="W22" s="65">
        <v>0</v>
      </c>
      <c r="X22" s="65">
        <v>0</v>
      </c>
      <c r="Y22" s="65">
        <v>0</v>
      </c>
      <c r="Z22" s="65">
        <v>0</v>
      </c>
      <c r="AA22" s="65">
        <v>0</v>
      </c>
      <c r="AB22" s="65">
        <f>38/8</f>
        <v>4.75</v>
      </c>
      <c r="AC22" s="65">
        <f>28/8</f>
        <v>3.5</v>
      </c>
      <c r="AD22" s="65">
        <v>2</v>
      </c>
      <c r="AE22" s="65">
        <v>0</v>
      </c>
      <c r="AF22" s="65">
        <v>0</v>
      </c>
      <c r="AG22" s="65">
        <v>0</v>
      </c>
      <c r="AH22" s="65">
        <v>0</v>
      </c>
    </row>
    <row r="23" s="45" customFormat="1" ht="15" customHeight="1" spans="1:34">
      <c r="A23" s="65" t="s">
        <v>742</v>
      </c>
      <c r="B23" s="65" t="str">
        <f>人员基本信息!C19</f>
        <v>陈李好</v>
      </c>
      <c r="C23" s="65">
        <v>3</v>
      </c>
      <c r="D23" s="66">
        <f t="shared" si="2"/>
        <v>1.25</v>
      </c>
      <c r="E23" s="67">
        <f t="shared" si="3"/>
        <v>1.25</v>
      </c>
      <c r="F23" s="68">
        <v>1</v>
      </c>
      <c r="G23" s="68">
        <f>人员基本信息!K19</f>
        <v>1</v>
      </c>
      <c r="H23" s="65">
        <v>0</v>
      </c>
      <c r="I23" s="65">
        <v>0</v>
      </c>
      <c r="J23" s="65">
        <v>0</v>
      </c>
      <c r="K23" s="65">
        <v>0</v>
      </c>
      <c r="L23" s="65">
        <v>0</v>
      </c>
      <c r="M23" s="65">
        <v>0</v>
      </c>
      <c r="N23" s="65">
        <v>0</v>
      </c>
      <c r="O23" s="65">
        <v>0</v>
      </c>
      <c r="P23" s="65">
        <v>0</v>
      </c>
      <c r="Q23" s="65">
        <v>0</v>
      </c>
      <c r="R23" s="65">
        <v>0</v>
      </c>
      <c r="S23" s="65">
        <v>0</v>
      </c>
      <c r="T23" s="65">
        <v>0</v>
      </c>
      <c r="U23" s="65">
        <v>0</v>
      </c>
      <c r="V23" s="65">
        <v>0</v>
      </c>
      <c r="W23" s="65">
        <v>0</v>
      </c>
      <c r="X23" s="65">
        <v>0</v>
      </c>
      <c r="Y23" s="65">
        <v>0</v>
      </c>
      <c r="Z23" s="65">
        <v>0</v>
      </c>
      <c r="AA23" s="65">
        <v>0</v>
      </c>
      <c r="AB23" s="65">
        <v>3</v>
      </c>
      <c r="AC23" s="65">
        <f>4/8</f>
        <v>0.5</v>
      </c>
      <c r="AD23" s="65">
        <v>1</v>
      </c>
      <c r="AE23" s="65">
        <v>0</v>
      </c>
      <c r="AF23" s="65">
        <v>0</v>
      </c>
      <c r="AG23" s="65">
        <v>0</v>
      </c>
      <c r="AH23" s="65">
        <v>0</v>
      </c>
    </row>
    <row r="24" s="45" customFormat="1" ht="15" customHeight="1" spans="1:34">
      <c r="A24" s="65" t="s">
        <v>745</v>
      </c>
      <c r="B24" s="65" t="str">
        <f>人员基本信息!C20</f>
        <v>黄少莲</v>
      </c>
      <c r="C24" s="65">
        <v>5.5</v>
      </c>
      <c r="D24" s="66">
        <f t="shared" ref="D24" si="4">E24</f>
        <v>1.6</v>
      </c>
      <c r="E24" s="67">
        <f t="shared" ref="E24" si="5">IF(ISBLANK(C24),"-",IF(5&lt;=C24,1.6,IF(AND(3&lt;=C24,5&gt;C24),1.25,IF(AND(2&lt;=C24,3&gt;C24),1,IF(AND(2&gt;C24,1.5&lt;=C24),0.8,IF(AND(1.5&gt;C24,1&lt;=C24),0.7,0.5))))))</f>
        <v>1.6</v>
      </c>
      <c r="F24" s="68">
        <v>1</v>
      </c>
      <c r="G24" s="68">
        <f>人员基本信息!K20</f>
        <v>1</v>
      </c>
      <c r="H24" s="65">
        <v>0</v>
      </c>
      <c r="I24" s="65">
        <v>0</v>
      </c>
      <c r="J24" s="65">
        <v>0</v>
      </c>
      <c r="K24" s="65">
        <v>0</v>
      </c>
      <c r="L24" s="65">
        <v>0</v>
      </c>
      <c r="M24" s="65">
        <v>0</v>
      </c>
      <c r="N24" s="65">
        <v>0</v>
      </c>
      <c r="O24" s="65">
        <v>0</v>
      </c>
      <c r="P24" s="65">
        <v>0</v>
      </c>
      <c r="Q24" s="65">
        <v>0</v>
      </c>
      <c r="R24" s="65">
        <v>0</v>
      </c>
      <c r="S24" s="65">
        <v>0</v>
      </c>
      <c r="T24" s="65">
        <v>0</v>
      </c>
      <c r="U24" s="65">
        <v>0</v>
      </c>
      <c r="V24" s="65">
        <v>0</v>
      </c>
      <c r="W24" s="65">
        <v>0</v>
      </c>
      <c r="X24" s="65">
        <v>0</v>
      </c>
      <c r="Y24" s="65">
        <v>0</v>
      </c>
      <c r="Z24" s="65">
        <v>0</v>
      </c>
      <c r="AA24" s="65">
        <v>0</v>
      </c>
      <c r="AB24" s="65">
        <v>0</v>
      </c>
      <c r="AC24" s="65">
        <v>0</v>
      </c>
      <c r="AD24" s="65">
        <v>0</v>
      </c>
      <c r="AE24" s="65">
        <f>5/8</f>
        <v>0.625</v>
      </c>
      <c r="AF24" s="65">
        <v>1</v>
      </c>
      <c r="AG24" s="65">
        <v>1</v>
      </c>
      <c r="AH24" s="65">
        <v>0</v>
      </c>
    </row>
    <row r="25" s="45" customFormat="1" ht="15" customHeight="1" spans="1:34">
      <c r="A25" s="65" t="s">
        <v>745</v>
      </c>
      <c r="B25" s="65" t="str">
        <f>人员基本信息!C21</f>
        <v>陈敏兰</v>
      </c>
      <c r="C25" s="65">
        <v>11</v>
      </c>
      <c r="D25" s="66">
        <f t="shared" si="2"/>
        <v>1.6</v>
      </c>
      <c r="E25" s="67">
        <f t="shared" si="3"/>
        <v>1.6</v>
      </c>
      <c r="F25" s="68">
        <v>1</v>
      </c>
      <c r="G25" s="68">
        <f>人员基本信息!K21</f>
        <v>1</v>
      </c>
      <c r="H25" s="65">
        <v>2</v>
      </c>
      <c r="I25" s="65">
        <f>40/8</f>
        <v>5</v>
      </c>
      <c r="J25" s="65">
        <f>16/8</f>
        <v>2</v>
      </c>
      <c r="K25" s="65">
        <f>33/8</f>
        <v>4.125</v>
      </c>
      <c r="L25" s="65">
        <f>8/8</f>
        <v>1</v>
      </c>
      <c r="M25" s="65">
        <f>5/8</f>
        <v>0.625</v>
      </c>
      <c r="N25" s="65">
        <v>2</v>
      </c>
      <c r="O25" s="65">
        <v>5</v>
      </c>
      <c r="P25" s="65">
        <v>5</v>
      </c>
      <c r="Q25" s="65">
        <f>44/8</f>
        <v>5.5</v>
      </c>
      <c r="R25" s="65">
        <v>0</v>
      </c>
      <c r="S25" s="65">
        <v>0</v>
      </c>
      <c r="T25" s="65">
        <v>0</v>
      </c>
      <c r="U25" s="65">
        <v>0</v>
      </c>
      <c r="V25" s="65">
        <v>0</v>
      </c>
      <c r="W25" s="65">
        <v>0</v>
      </c>
      <c r="X25" s="65">
        <v>0</v>
      </c>
      <c r="Y25" s="65">
        <v>0</v>
      </c>
      <c r="Z25" s="65">
        <v>0</v>
      </c>
      <c r="AA25" s="65">
        <v>0</v>
      </c>
      <c r="AB25" s="65">
        <v>0</v>
      </c>
      <c r="AC25" s="65">
        <v>0</v>
      </c>
      <c r="AD25" s="65">
        <v>0</v>
      </c>
      <c r="AE25" s="65">
        <v>0</v>
      </c>
      <c r="AF25" s="65">
        <v>0</v>
      </c>
      <c r="AG25" s="65">
        <v>1</v>
      </c>
      <c r="AH25" s="65">
        <v>2</v>
      </c>
    </row>
    <row r="26" s="45" customFormat="1" ht="15" customHeight="1" spans="1:34">
      <c r="A26" s="65" t="s">
        <v>745</v>
      </c>
      <c r="B26" s="65" t="str">
        <f>人员基本信息!C22</f>
        <v>李淑贞</v>
      </c>
      <c r="C26" s="65">
        <v>9</v>
      </c>
      <c r="D26" s="66">
        <f t="shared" si="2"/>
        <v>1.6</v>
      </c>
      <c r="E26" s="67">
        <f t="shared" si="3"/>
        <v>1.6</v>
      </c>
      <c r="F26" s="68">
        <v>1</v>
      </c>
      <c r="G26" s="68">
        <f>人员基本信息!K22</f>
        <v>1</v>
      </c>
      <c r="H26" s="65">
        <v>0</v>
      </c>
      <c r="I26" s="65">
        <f>8/8</f>
        <v>1</v>
      </c>
      <c r="J26" s="65">
        <f>10/8</f>
        <v>1.25</v>
      </c>
      <c r="K26" s="65">
        <f>27/8</f>
        <v>3.375</v>
      </c>
      <c r="L26" s="65">
        <f>21/8</f>
        <v>2.625</v>
      </c>
      <c r="M26" s="65">
        <f>28/8</f>
        <v>3.5</v>
      </c>
      <c r="N26" s="65">
        <f>39/8</f>
        <v>4.875</v>
      </c>
      <c r="O26" s="65">
        <v>5</v>
      </c>
      <c r="P26" s="65">
        <v>5</v>
      </c>
      <c r="Q26" s="65">
        <f>30/8</f>
        <v>3.75</v>
      </c>
      <c r="R26" s="65">
        <f>19.5/8</f>
        <v>2.4375</v>
      </c>
      <c r="S26" s="65">
        <f>16/8</f>
        <v>2</v>
      </c>
      <c r="T26" s="65">
        <f>16/8</f>
        <v>2</v>
      </c>
      <c r="U26" s="65">
        <f>28/8</f>
        <v>3.5</v>
      </c>
      <c r="V26" s="65">
        <f>9.5/8</f>
        <v>1.1875</v>
      </c>
      <c r="W26" s="65">
        <f>28/8</f>
        <v>3.5</v>
      </c>
      <c r="X26" s="65">
        <v>5</v>
      </c>
      <c r="Y26" s="65">
        <f>32/8</f>
        <v>4</v>
      </c>
      <c r="Z26" s="65">
        <f>5/8</f>
        <v>0.625</v>
      </c>
      <c r="AA26" s="65">
        <v>0</v>
      </c>
      <c r="AB26" s="65">
        <v>0</v>
      </c>
      <c r="AC26" s="65">
        <v>0</v>
      </c>
      <c r="AD26" s="65">
        <f>4/8</f>
        <v>0.5</v>
      </c>
      <c r="AE26" s="65">
        <f>6/8</f>
        <v>0.75</v>
      </c>
      <c r="AF26" s="65">
        <v>0</v>
      </c>
      <c r="AG26" s="65">
        <v>0</v>
      </c>
      <c r="AH26" s="65">
        <v>0</v>
      </c>
    </row>
    <row r="27" s="45" customFormat="1" ht="15" customHeight="1" spans="1:34">
      <c r="A27" s="65" t="s">
        <v>745</v>
      </c>
      <c r="B27" s="65" t="str">
        <f>人员基本信息!C23</f>
        <v>梁新飞</v>
      </c>
      <c r="C27" s="65">
        <v>6</v>
      </c>
      <c r="D27" s="66">
        <f t="shared" si="2"/>
        <v>1.6</v>
      </c>
      <c r="E27" s="67">
        <f t="shared" si="3"/>
        <v>1.6</v>
      </c>
      <c r="F27" s="68">
        <v>1</v>
      </c>
      <c r="G27" s="68">
        <f>人员基本信息!K23</f>
        <v>1</v>
      </c>
      <c r="H27" s="65">
        <v>0</v>
      </c>
      <c r="I27" s="65">
        <v>0</v>
      </c>
      <c r="J27" s="65">
        <v>0</v>
      </c>
      <c r="K27" s="65">
        <f>12/8</f>
        <v>1.5</v>
      </c>
      <c r="L27" s="65">
        <f>35.5/8</f>
        <v>4.4375</v>
      </c>
      <c r="M27" s="65">
        <f>24/8</f>
        <v>3</v>
      </c>
      <c r="N27" s="65">
        <f>24.5/8</f>
        <v>3.0625</v>
      </c>
      <c r="O27" s="65">
        <f>7/8</f>
        <v>0.875</v>
      </c>
      <c r="P27" s="65">
        <v>1</v>
      </c>
      <c r="Q27" s="65">
        <f>9/8</f>
        <v>1.125</v>
      </c>
      <c r="R27" s="65">
        <f>18.5/8</f>
        <v>2.3125</v>
      </c>
      <c r="S27" s="65">
        <f>23/8</f>
        <v>2.875</v>
      </c>
      <c r="T27" s="65">
        <f>20/8</f>
        <v>2.5</v>
      </c>
      <c r="U27" s="65">
        <f>26/8</f>
        <v>3.25</v>
      </c>
      <c r="V27" s="65">
        <f>17.5/8</f>
        <v>2.1875</v>
      </c>
      <c r="W27" s="65">
        <f>9/8</f>
        <v>1.125</v>
      </c>
      <c r="X27" s="65">
        <f>22.5/8</f>
        <v>2.8125</v>
      </c>
      <c r="Y27" s="65">
        <f>22/8</f>
        <v>2.75</v>
      </c>
      <c r="Z27" s="65">
        <f>15/8</f>
        <v>1.875</v>
      </c>
      <c r="AA27" s="65">
        <v>2</v>
      </c>
      <c r="AB27" s="65">
        <f>31/8</f>
        <v>3.875</v>
      </c>
      <c r="AC27" s="65">
        <f>19.5/8</f>
        <v>2.4375</v>
      </c>
      <c r="AD27" s="65">
        <v>2</v>
      </c>
      <c r="AE27" s="65">
        <f>39.5/8</f>
        <v>4.9375</v>
      </c>
      <c r="AF27" s="65">
        <v>0</v>
      </c>
      <c r="AG27" s="65">
        <v>0</v>
      </c>
      <c r="AH27" s="65">
        <v>0</v>
      </c>
    </row>
    <row r="28" s="45" customFormat="1" ht="15" customHeight="1" spans="1:34">
      <c r="A28" s="65" t="s">
        <v>745</v>
      </c>
      <c r="B28" s="65" t="str">
        <f>人员基本信息!C24</f>
        <v>阳杰</v>
      </c>
      <c r="C28" s="65">
        <v>3</v>
      </c>
      <c r="D28" s="66">
        <f t="shared" si="2"/>
        <v>1.25</v>
      </c>
      <c r="E28" s="67">
        <f t="shared" si="3"/>
        <v>1.25</v>
      </c>
      <c r="F28" s="68">
        <v>1</v>
      </c>
      <c r="G28" s="68">
        <f>人员基本信息!K24</f>
        <v>1</v>
      </c>
      <c r="H28" s="65">
        <v>0</v>
      </c>
      <c r="I28" s="65">
        <v>0</v>
      </c>
      <c r="J28" s="65">
        <v>0</v>
      </c>
      <c r="K28" s="65">
        <f>13/8</f>
        <v>1.625</v>
      </c>
      <c r="L28" s="65">
        <f>32.5/8</f>
        <v>4.0625</v>
      </c>
      <c r="M28" s="65">
        <f>15.5/8</f>
        <v>1.9375</v>
      </c>
      <c r="N28" s="65">
        <f>14.5/8</f>
        <v>1.8125</v>
      </c>
      <c r="O28" s="65">
        <f>11/8</f>
        <v>1.375</v>
      </c>
      <c r="P28" s="65">
        <v>1</v>
      </c>
      <c r="Q28" s="65">
        <f>19/8</f>
        <v>2.375</v>
      </c>
      <c r="R28" s="65">
        <f>20.5/8</f>
        <v>2.5625</v>
      </c>
      <c r="S28" s="65">
        <f>28.5/8</f>
        <v>3.5625</v>
      </c>
      <c r="T28" s="65">
        <f>29/8</f>
        <v>3.625</v>
      </c>
      <c r="U28" s="65">
        <f>21/8</f>
        <v>2.625</v>
      </c>
      <c r="V28" s="65">
        <f>15/8</f>
        <v>1.875</v>
      </c>
      <c r="W28" s="65">
        <f>12.5/8</f>
        <v>1.5625</v>
      </c>
      <c r="X28" s="65">
        <f>17/8</f>
        <v>2.125</v>
      </c>
      <c r="Y28" s="65">
        <f>16.5/8</f>
        <v>2.0625</v>
      </c>
      <c r="Z28" s="65">
        <f>14/8</f>
        <v>1.75</v>
      </c>
      <c r="AA28" s="65">
        <f>12/8</f>
        <v>1.5</v>
      </c>
      <c r="AB28" s="65">
        <f>35/8</f>
        <v>4.375</v>
      </c>
      <c r="AC28" s="65">
        <f>22.5/8</f>
        <v>2.8125</v>
      </c>
      <c r="AD28" s="65">
        <f>22/8</f>
        <v>2.75</v>
      </c>
      <c r="AE28" s="65">
        <f>35.5/8</f>
        <v>4.4375</v>
      </c>
      <c r="AF28" s="65">
        <f>15/8</f>
        <v>1.875</v>
      </c>
      <c r="AG28" s="65">
        <f>3.5/8</f>
        <v>0.4375</v>
      </c>
      <c r="AH28" s="65">
        <v>0</v>
      </c>
    </row>
    <row r="29" s="45" customFormat="1" ht="15" customHeight="1" spans="1:34">
      <c r="A29" s="65" t="s">
        <v>745</v>
      </c>
      <c r="B29" s="65" t="str">
        <f>人员基本信息!C25</f>
        <v>郑益涛</v>
      </c>
      <c r="C29" s="65">
        <v>6</v>
      </c>
      <c r="D29" s="66">
        <f t="shared" si="2"/>
        <v>1.6</v>
      </c>
      <c r="E29" s="67">
        <f t="shared" si="3"/>
        <v>1.6</v>
      </c>
      <c r="F29" s="68">
        <v>1</v>
      </c>
      <c r="G29" s="68">
        <f>人员基本信息!K25</f>
        <v>1</v>
      </c>
      <c r="H29" s="65">
        <v>0</v>
      </c>
      <c r="I29" s="65">
        <v>0</v>
      </c>
      <c r="J29" s="65">
        <v>0</v>
      </c>
      <c r="K29" s="65">
        <v>0</v>
      </c>
      <c r="L29" s="65">
        <v>0</v>
      </c>
      <c r="M29" s="65">
        <f>18/8</f>
        <v>2.25</v>
      </c>
      <c r="N29" s="65">
        <v>0</v>
      </c>
      <c r="O29" s="65">
        <v>0</v>
      </c>
      <c r="P29" s="65">
        <f>12/8</f>
        <v>1.5</v>
      </c>
      <c r="Q29" s="65">
        <v>0</v>
      </c>
      <c r="R29" s="65">
        <f>5/8</f>
        <v>0.625</v>
      </c>
      <c r="S29" s="65">
        <f>25/8</f>
        <v>3.125</v>
      </c>
      <c r="T29" s="65">
        <f>16/8</f>
        <v>2</v>
      </c>
      <c r="U29" s="65">
        <f>28/8</f>
        <v>3.5</v>
      </c>
      <c r="V29" s="65">
        <v>0</v>
      </c>
      <c r="W29" s="65">
        <v>0</v>
      </c>
      <c r="X29" s="65">
        <v>0</v>
      </c>
      <c r="Y29" s="65">
        <v>0</v>
      </c>
      <c r="Z29" s="65">
        <v>0</v>
      </c>
      <c r="AA29" s="65">
        <v>0</v>
      </c>
      <c r="AB29" s="65">
        <v>0</v>
      </c>
      <c r="AC29" s="65">
        <v>0</v>
      </c>
      <c r="AD29" s="65">
        <v>0</v>
      </c>
      <c r="AE29" s="65">
        <v>0</v>
      </c>
      <c r="AF29" s="65">
        <v>0</v>
      </c>
      <c r="AG29" s="65">
        <v>0</v>
      </c>
      <c r="AH29" s="65">
        <v>0</v>
      </c>
    </row>
    <row r="30" s="45" customFormat="1" ht="15" customHeight="1" spans="1:34">
      <c r="A30" s="65" t="s">
        <v>745</v>
      </c>
      <c r="B30" s="65" t="str">
        <f>人员基本信息!C26</f>
        <v>刘怡涵</v>
      </c>
      <c r="C30" s="65">
        <v>3.5</v>
      </c>
      <c r="D30" s="66">
        <f t="shared" si="2"/>
        <v>1.25</v>
      </c>
      <c r="E30" s="67">
        <f t="shared" ref="E30" si="6">IF(ISBLANK(C30),"-",IF(5&lt;=C30,1.6,IF(AND(3&lt;=C30,5&gt;C30),1.25,IF(AND(2&lt;=C30,3&gt;C30),1,IF(AND(2&gt;C30,1.5&lt;=C30),0.8,IF(AND(1.5&gt;C30,1&lt;=C30),0.7,0.5))))))</f>
        <v>1.25</v>
      </c>
      <c r="F30" s="68">
        <v>1</v>
      </c>
      <c r="G30" s="68">
        <f>人员基本信息!K26</f>
        <v>1</v>
      </c>
      <c r="H30" s="65">
        <v>0</v>
      </c>
      <c r="I30" s="65">
        <v>0</v>
      </c>
      <c r="J30" s="65">
        <v>0</v>
      </c>
      <c r="K30" s="65">
        <v>0</v>
      </c>
      <c r="L30" s="65">
        <v>0</v>
      </c>
      <c r="M30" s="65">
        <v>0</v>
      </c>
      <c r="N30" s="65">
        <v>0</v>
      </c>
      <c r="O30" s="65">
        <v>0</v>
      </c>
      <c r="P30" s="65">
        <v>0</v>
      </c>
      <c r="Q30" s="65">
        <v>0</v>
      </c>
      <c r="R30" s="65">
        <v>0</v>
      </c>
      <c r="S30" s="65">
        <v>0</v>
      </c>
      <c r="T30" s="65">
        <v>0</v>
      </c>
      <c r="U30" s="65">
        <v>0</v>
      </c>
      <c r="V30" s="65">
        <v>0</v>
      </c>
      <c r="W30" s="65">
        <v>0</v>
      </c>
      <c r="X30" s="65">
        <v>0</v>
      </c>
      <c r="Y30" s="65">
        <v>0</v>
      </c>
      <c r="Z30" s="65">
        <v>0</v>
      </c>
      <c r="AA30" s="65">
        <v>0</v>
      </c>
      <c r="AB30" s="65">
        <v>0</v>
      </c>
      <c r="AC30" s="65">
        <v>0</v>
      </c>
      <c r="AD30" s="65">
        <f>15/8</f>
        <v>1.875</v>
      </c>
      <c r="AE30" s="65">
        <f>22/8</f>
        <v>2.75</v>
      </c>
      <c r="AF30" s="65">
        <f>3/8</f>
        <v>0.375</v>
      </c>
      <c r="AG30" s="65">
        <v>0</v>
      </c>
      <c r="AH30" s="65">
        <v>0</v>
      </c>
    </row>
    <row r="31" s="45" customFormat="1" ht="15" customHeight="1" spans="1:34">
      <c r="A31" s="65" t="s">
        <v>745</v>
      </c>
      <c r="B31" s="65" t="str">
        <f>人员基本信息!C27</f>
        <v>黄玲俐</v>
      </c>
      <c r="C31" s="65">
        <v>4</v>
      </c>
      <c r="D31" s="66">
        <f t="shared" ref="D31" si="7">E31</f>
        <v>1.25</v>
      </c>
      <c r="E31" s="67">
        <f t="shared" si="3"/>
        <v>1.25</v>
      </c>
      <c r="F31" s="68">
        <v>1</v>
      </c>
      <c r="G31" s="68">
        <f>人员基本信息!K27</f>
        <v>1</v>
      </c>
      <c r="H31" s="65">
        <v>0</v>
      </c>
      <c r="I31" s="65">
        <v>0</v>
      </c>
      <c r="J31" s="65">
        <v>0</v>
      </c>
      <c r="K31" s="65">
        <v>0</v>
      </c>
      <c r="L31" s="65">
        <f>8/8</f>
        <v>1</v>
      </c>
      <c r="M31" s="65">
        <f>12/8</f>
        <v>1.5</v>
      </c>
      <c r="N31" s="65">
        <v>0</v>
      </c>
      <c r="O31" s="65">
        <v>0</v>
      </c>
      <c r="P31" s="65">
        <v>0</v>
      </c>
      <c r="Q31" s="65">
        <v>0</v>
      </c>
      <c r="R31" s="65">
        <v>0</v>
      </c>
      <c r="S31" s="65">
        <v>0</v>
      </c>
      <c r="T31" s="65">
        <v>0</v>
      </c>
      <c r="U31" s="65">
        <v>0</v>
      </c>
      <c r="V31" s="65">
        <v>0</v>
      </c>
      <c r="W31" s="65">
        <v>0</v>
      </c>
      <c r="X31" s="65">
        <v>0</v>
      </c>
      <c r="Y31" s="65">
        <v>0</v>
      </c>
      <c r="Z31" s="65">
        <v>0</v>
      </c>
      <c r="AA31" s="65">
        <v>0</v>
      </c>
      <c r="AB31" s="65">
        <v>0</v>
      </c>
      <c r="AC31" s="65">
        <v>0</v>
      </c>
      <c r="AD31" s="65">
        <v>0</v>
      </c>
      <c r="AE31" s="65">
        <v>0</v>
      </c>
      <c r="AF31" s="65">
        <v>0</v>
      </c>
      <c r="AG31" s="65">
        <v>0</v>
      </c>
      <c r="AH31" s="65">
        <v>0</v>
      </c>
    </row>
    <row r="32" s="45" customFormat="1" ht="15" customHeight="1" spans="1:34">
      <c r="A32" s="65" t="s">
        <v>746</v>
      </c>
      <c r="B32" s="65" t="str">
        <f>人员基本信息!C28</f>
        <v>吴赛清</v>
      </c>
      <c r="C32" s="65">
        <v>7</v>
      </c>
      <c r="D32" s="66">
        <f t="shared" si="2"/>
        <v>1.6</v>
      </c>
      <c r="E32" s="67">
        <f t="shared" ref="E32" si="8">IF(ISBLANK(C32),"-",IF(5&lt;=C32,1.6,IF(AND(3&lt;=C32,5&gt;C32),1.25,IF(AND(2&lt;=C32,3&gt;C32),1,IF(AND(2&gt;C32,1.5&lt;=C32),0.8,IF(AND(1.5&gt;C32,1&lt;=C32),0.7,0.5))))))</f>
        <v>1.6</v>
      </c>
      <c r="F32" s="68">
        <v>1</v>
      </c>
      <c r="G32" s="68">
        <f>人员基本信息!K28</f>
        <v>1</v>
      </c>
      <c r="H32" s="65">
        <v>0</v>
      </c>
      <c r="I32" s="65">
        <v>0</v>
      </c>
      <c r="J32" s="65">
        <f>6/8</f>
        <v>0.75</v>
      </c>
      <c r="K32" s="65">
        <f>6/8</f>
        <v>0.75</v>
      </c>
      <c r="L32" s="65">
        <f>17.5/8</f>
        <v>2.1875</v>
      </c>
      <c r="M32" s="65">
        <f>27/8</f>
        <v>3.375</v>
      </c>
      <c r="N32" s="65">
        <v>1</v>
      </c>
      <c r="O32" s="65">
        <v>0</v>
      </c>
      <c r="P32" s="65">
        <v>1</v>
      </c>
      <c r="Q32" s="65">
        <v>1</v>
      </c>
      <c r="R32" s="65">
        <f>27/8</f>
        <v>3.375</v>
      </c>
      <c r="S32" s="65">
        <f>12/8</f>
        <v>1.5</v>
      </c>
      <c r="T32" s="65">
        <v>0</v>
      </c>
      <c r="U32" s="65">
        <f>9/8</f>
        <v>1.125</v>
      </c>
      <c r="V32" s="65">
        <v>0.75</v>
      </c>
      <c r="W32" s="65">
        <v>0</v>
      </c>
      <c r="X32" s="65">
        <f>9/8</f>
        <v>1.125</v>
      </c>
      <c r="Y32" s="65">
        <v>0</v>
      </c>
      <c r="Z32" s="65">
        <v>0</v>
      </c>
      <c r="AA32" s="65">
        <f>5/8</f>
        <v>0.625</v>
      </c>
      <c r="AB32" s="65">
        <v>2</v>
      </c>
      <c r="AC32" s="65">
        <v>0</v>
      </c>
      <c r="AD32" s="65">
        <f>5/8</f>
        <v>0.625</v>
      </c>
      <c r="AE32" s="65">
        <v>0</v>
      </c>
      <c r="AF32" s="65">
        <v>0</v>
      </c>
      <c r="AG32" s="65">
        <v>0</v>
      </c>
      <c r="AH32" s="65">
        <f>6/8</f>
        <v>0.75</v>
      </c>
    </row>
    <row r="33" s="45" customFormat="1" ht="15" customHeight="1" spans="1:34">
      <c r="A33" s="65" t="s">
        <v>762</v>
      </c>
      <c r="B33" s="65" t="str">
        <f>人员基本信息!C29</f>
        <v>金灼</v>
      </c>
      <c r="C33" s="65">
        <v>9</v>
      </c>
      <c r="D33" s="66">
        <f t="shared" si="2"/>
        <v>1.6</v>
      </c>
      <c r="E33" s="67">
        <f t="shared" si="3"/>
        <v>1.6</v>
      </c>
      <c r="F33" s="68">
        <v>1</v>
      </c>
      <c r="G33" s="68">
        <f>人员基本信息!K29</f>
        <v>1</v>
      </c>
      <c r="H33" s="65">
        <f>1/8</f>
        <v>0.125</v>
      </c>
      <c r="I33" s="65">
        <f>14/8</f>
        <v>1.75</v>
      </c>
      <c r="J33" s="65">
        <f>24/8</f>
        <v>3</v>
      </c>
      <c r="K33" s="65">
        <f>16/8</f>
        <v>2</v>
      </c>
      <c r="L33" s="65">
        <f>4/8</f>
        <v>0.5</v>
      </c>
      <c r="M33" s="65">
        <f>10/8</f>
        <v>1.25</v>
      </c>
      <c r="N33" s="65">
        <v>0</v>
      </c>
      <c r="O33" s="65">
        <v>1</v>
      </c>
      <c r="P33" s="65">
        <v>0</v>
      </c>
      <c r="Q33" s="65">
        <v>0</v>
      </c>
      <c r="R33" s="65">
        <v>1</v>
      </c>
      <c r="S33" s="65">
        <f>8/8</f>
        <v>1</v>
      </c>
      <c r="T33" s="65">
        <f>12/8</f>
        <v>1.5</v>
      </c>
      <c r="U33" s="65">
        <f>1/8</f>
        <v>0.125</v>
      </c>
      <c r="V33" s="65">
        <f>2/8</f>
        <v>0.25</v>
      </c>
      <c r="W33" s="65">
        <v>2</v>
      </c>
      <c r="X33" s="65">
        <v>2</v>
      </c>
      <c r="Y33" s="65">
        <v>1</v>
      </c>
      <c r="Z33" s="65">
        <f>10/8</f>
        <v>1.25</v>
      </c>
      <c r="AA33" s="65">
        <v>0</v>
      </c>
      <c r="AB33" s="65">
        <v>0</v>
      </c>
      <c r="AC33" s="65">
        <v>1</v>
      </c>
      <c r="AD33" s="65">
        <v>0</v>
      </c>
      <c r="AE33" s="65">
        <v>0</v>
      </c>
      <c r="AF33" s="65">
        <v>0</v>
      </c>
      <c r="AG33" s="65">
        <f>6/8</f>
        <v>0.75</v>
      </c>
      <c r="AH33" s="65">
        <v>0</v>
      </c>
    </row>
    <row r="36" spans="1:2">
      <c r="A36" s="69" t="s">
        <v>763</v>
      </c>
      <c r="B36" s="70"/>
    </row>
    <row r="37" spans="1:1">
      <c r="A37" s="44" t="s">
        <v>764</v>
      </c>
    </row>
    <row r="38" spans="1:1">
      <c r="A38" s="44" t="s">
        <v>586</v>
      </c>
    </row>
    <row r="39" ht="12.75" spans="1:1">
      <c r="A39" s="44"/>
    </row>
    <row r="40" ht="12.75" spans="1:10">
      <c r="A40" s="71" t="s">
        <v>765</v>
      </c>
      <c r="B40" s="72" t="s">
        <v>120</v>
      </c>
      <c r="C40" s="72" t="s">
        <v>766</v>
      </c>
      <c r="D40" s="72" t="s">
        <v>767</v>
      </c>
      <c r="E40" s="72" t="s">
        <v>768</v>
      </c>
      <c r="F40" s="73" t="s">
        <v>769</v>
      </c>
      <c r="G40" s="72" t="s">
        <v>770</v>
      </c>
      <c r="H40" s="72" t="s">
        <v>771</v>
      </c>
      <c r="I40" s="72" t="s">
        <v>762</v>
      </c>
      <c r="J40" s="99" t="s">
        <v>772</v>
      </c>
    </row>
    <row r="41" ht="12.75" spans="1:10">
      <c r="A41" s="74">
        <f>AVERAGE(E8:E33)</f>
        <v>1.50576923076923</v>
      </c>
      <c r="B41" s="75">
        <f>AVERAGEIF($A$8:$A$33,"项目经理",$E$8:$E$33)</f>
        <v>1.6</v>
      </c>
      <c r="C41" s="75" t="e">
        <f>AVERAGEIF(A8:A33,"策划工程师",E8:E33)</f>
        <v>#DIV/0!</v>
      </c>
      <c r="D41" s="75" t="e">
        <f>AVERAGEIF(A8:A33,"需求分析师",E8:E33)</f>
        <v>#DIV/0!</v>
      </c>
      <c r="E41" s="75">
        <f>AVERAGEIF(A8:A33,"开发工程师",E8:E33)</f>
        <v>1.5</v>
      </c>
      <c r="F41" s="75">
        <f>AVERAGEIF(A8:A33,"测试工程师",E8:E33)</f>
        <v>1.46875</v>
      </c>
      <c r="G41" s="75" t="e">
        <f>AVERAGEIF(A8:A33,"UI及美工",E8:E33)</f>
        <v>#DIV/0!</v>
      </c>
      <c r="H41" s="75" t="e">
        <f>AVERAGEIF(A8:A33,"架构师",E8:E33)</f>
        <v>#DIV/0!</v>
      </c>
      <c r="I41" s="75">
        <f>AVERAGEIF(A8:A33,"质量保证工程师",E8:E33)</f>
        <v>1.6</v>
      </c>
      <c r="J41" s="100">
        <f>AVERAGEIF(A8:A33,"配置管理员",E8:E33)</f>
        <v>1.6</v>
      </c>
    </row>
    <row r="42" s="46" customFormat="1" ht="12.75" spans="1:10">
      <c r="A42" s="76"/>
      <c r="B42" s="76"/>
      <c r="C42" s="77"/>
      <c r="D42" s="77"/>
      <c r="E42" s="77"/>
      <c r="F42" s="77"/>
      <c r="G42" s="77"/>
      <c r="H42" s="77"/>
      <c r="I42" s="77"/>
      <c r="J42" s="101"/>
    </row>
    <row r="43" spans="1:2">
      <c r="A43" s="78" t="s">
        <v>773</v>
      </c>
      <c r="B43" s="70"/>
    </row>
    <row r="44" spans="1:1">
      <c r="A44" s="79" t="s">
        <v>774</v>
      </c>
    </row>
    <row r="45" spans="1:1">
      <c r="A45" s="79" t="s">
        <v>775</v>
      </c>
    </row>
    <row r="46" ht="12.75"/>
    <row r="47" ht="12.75" spans="1:5">
      <c r="A47" s="80" t="s">
        <v>559</v>
      </c>
      <c r="B47" s="81" t="s">
        <v>776</v>
      </c>
      <c r="C47" s="81" t="s">
        <v>777</v>
      </c>
      <c r="D47" s="82" t="s">
        <v>778</v>
      </c>
      <c r="E47" s="83"/>
    </row>
    <row r="48" spans="1:5">
      <c r="A48" s="84" t="s">
        <v>396</v>
      </c>
      <c r="B48" s="85">
        <v>1</v>
      </c>
      <c r="C48" s="85">
        <v>1</v>
      </c>
      <c r="D48" s="86">
        <f>C48/B48*100</f>
        <v>100</v>
      </c>
      <c r="E48" s="87"/>
    </row>
    <row r="49" spans="1:5">
      <c r="A49" s="84" t="s">
        <v>397</v>
      </c>
      <c r="B49" s="85"/>
      <c r="C49" s="85"/>
      <c r="D49" s="86" t="e">
        <f t="shared" ref="D49:D63" si="9">C49/B49*100</f>
        <v>#DIV/0!</v>
      </c>
      <c r="E49" s="87"/>
    </row>
    <row r="50" spans="1:5">
      <c r="A50" s="88" t="s">
        <v>563</v>
      </c>
      <c r="B50" s="85">
        <v>4</v>
      </c>
      <c r="C50" s="85">
        <v>4</v>
      </c>
      <c r="D50" s="86">
        <f t="shared" si="9"/>
        <v>100</v>
      </c>
      <c r="E50" s="87"/>
    </row>
    <row r="51" spans="1:5">
      <c r="A51" s="88" t="s">
        <v>564</v>
      </c>
      <c r="B51" s="85">
        <v>3</v>
      </c>
      <c r="C51" s="85">
        <v>3</v>
      </c>
      <c r="D51" s="86">
        <f t="shared" si="9"/>
        <v>100</v>
      </c>
      <c r="E51" s="87"/>
    </row>
    <row r="52" spans="1:5">
      <c r="A52" s="88" t="s">
        <v>565</v>
      </c>
      <c r="B52" s="85">
        <v>6</v>
      </c>
      <c r="C52" s="85">
        <v>6</v>
      </c>
      <c r="D52" s="86">
        <f t="shared" si="9"/>
        <v>100</v>
      </c>
      <c r="E52" s="87"/>
    </row>
    <row r="53" spans="1:5">
      <c r="A53" s="88" t="s">
        <v>566</v>
      </c>
      <c r="B53" s="85">
        <v>4</v>
      </c>
      <c r="C53" s="85">
        <v>4</v>
      </c>
      <c r="D53" s="86">
        <f t="shared" si="9"/>
        <v>100</v>
      </c>
      <c r="E53" s="87"/>
    </row>
    <row r="54" spans="1:5">
      <c r="A54" s="84" t="s">
        <v>405</v>
      </c>
      <c r="B54" s="85"/>
      <c r="C54" s="85"/>
      <c r="D54" s="86" t="e">
        <f t="shared" si="9"/>
        <v>#DIV/0!</v>
      </c>
      <c r="E54" s="87"/>
    </row>
    <row r="55" spans="1:5">
      <c r="A55" s="88" t="s">
        <v>567</v>
      </c>
      <c r="B55" s="85">
        <v>5</v>
      </c>
      <c r="C55" s="85">
        <v>5</v>
      </c>
      <c r="D55" s="86">
        <f t="shared" si="9"/>
        <v>100</v>
      </c>
      <c r="E55" s="87"/>
    </row>
    <row r="56" spans="1:5">
      <c r="A56" s="88" t="s">
        <v>568</v>
      </c>
      <c r="B56" s="85">
        <v>3</v>
      </c>
      <c r="C56" s="85">
        <v>3</v>
      </c>
      <c r="D56" s="86">
        <f t="shared" si="9"/>
        <v>100</v>
      </c>
      <c r="E56" s="87"/>
    </row>
    <row r="57" spans="1:5">
      <c r="A57" s="88" t="s">
        <v>569</v>
      </c>
      <c r="B57" s="85">
        <v>4</v>
      </c>
      <c r="C57" s="85">
        <v>4</v>
      </c>
      <c r="D57" s="86">
        <f t="shared" si="9"/>
        <v>100</v>
      </c>
      <c r="E57" s="87"/>
    </row>
    <row r="58" spans="1:5">
      <c r="A58" s="88" t="s">
        <v>570</v>
      </c>
      <c r="B58" s="85">
        <v>3</v>
      </c>
      <c r="C58" s="85">
        <v>3</v>
      </c>
      <c r="D58" s="86">
        <f t="shared" si="9"/>
        <v>100</v>
      </c>
      <c r="E58" s="87"/>
    </row>
    <row r="59" spans="1:5">
      <c r="A59" s="84" t="s">
        <v>406</v>
      </c>
      <c r="B59" s="85"/>
      <c r="C59" s="85"/>
      <c r="D59" s="86" t="e">
        <f t="shared" si="9"/>
        <v>#DIV/0!</v>
      </c>
      <c r="E59" s="87"/>
    </row>
    <row r="60" spans="1:5">
      <c r="A60" s="88" t="s">
        <v>571</v>
      </c>
      <c r="B60" s="85">
        <v>2</v>
      </c>
      <c r="C60" s="85">
        <v>2</v>
      </c>
      <c r="D60" s="86">
        <f t="shared" si="9"/>
        <v>100</v>
      </c>
      <c r="E60" s="87"/>
    </row>
    <row r="61" spans="1:5">
      <c r="A61" s="88" t="s">
        <v>572</v>
      </c>
      <c r="B61" s="85">
        <v>2</v>
      </c>
      <c r="C61" s="85">
        <v>2</v>
      </c>
      <c r="D61" s="86">
        <f t="shared" si="9"/>
        <v>100</v>
      </c>
      <c r="E61" s="87"/>
    </row>
    <row r="62" spans="1:5">
      <c r="A62" s="88" t="s">
        <v>573</v>
      </c>
      <c r="B62" s="85">
        <v>2</v>
      </c>
      <c r="C62" s="85">
        <v>2</v>
      </c>
      <c r="D62" s="86">
        <f t="shared" si="9"/>
        <v>100</v>
      </c>
      <c r="E62" s="87"/>
    </row>
    <row r="63" spans="1:5">
      <c r="A63" s="88" t="s">
        <v>574</v>
      </c>
      <c r="B63" s="85">
        <v>2</v>
      </c>
      <c r="C63" s="85">
        <v>2</v>
      </c>
      <c r="D63" s="86">
        <f t="shared" si="9"/>
        <v>100</v>
      </c>
      <c r="E63" s="87"/>
    </row>
    <row r="64" spans="1:5">
      <c r="A64" s="84" t="s">
        <v>407</v>
      </c>
      <c r="B64" s="89"/>
      <c r="C64" s="89"/>
      <c r="D64" s="86" t="e">
        <f t="shared" ref="D64:D69" si="10">C64/B64*100</f>
        <v>#DIV/0!</v>
      </c>
      <c r="E64" s="87"/>
    </row>
    <row r="65" spans="1:5">
      <c r="A65" s="88" t="s">
        <v>575</v>
      </c>
      <c r="B65" s="89">
        <v>3</v>
      </c>
      <c r="C65" s="89">
        <v>3</v>
      </c>
      <c r="D65" s="86">
        <f t="shared" si="10"/>
        <v>100</v>
      </c>
      <c r="E65" s="87"/>
    </row>
    <row r="66" spans="1:5">
      <c r="A66" s="88" t="s">
        <v>576</v>
      </c>
      <c r="B66" s="89">
        <v>3</v>
      </c>
      <c r="C66" s="89">
        <v>3</v>
      </c>
      <c r="D66" s="86">
        <f t="shared" si="10"/>
        <v>100</v>
      </c>
      <c r="E66" s="87"/>
    </row>
    <row r="67" spans="1:5">
      <c r="A67" s="88" t="s">
        <v>577</v>
      </c>
      <c r="B67" s="89">
        <v>4</v>
      </c>
      <c r="C67" s="89">
        <v>4</v>
      </c>
      <c r="D67" s="86">
        <f t="shared" si="10"/>
        <v>100</v>
      </c>
      <c r="E67" s="87"/>
    </row>
    <row r="68" spans="1:5">
      <c r="A68" s="88" t="s">
        <v>578</v>
      </c>
      <c r="B68" s="89">
        <v>4</v>
      </c>
      <c r="C68" s="89">
        <v>4</v>
      </c>
      <c r="D68" s="86">
        <f t="shared" si="10"/>
        <v>100</v>
      </c>
      <c r="E68" s="87"/>
    </row>
    <row r="69" ht="15.75" customHeight="1" spans="1:11">
      <c r="A69" s="104" t="s">
        <v>398</v>
      </c>
      <c r="B69" s="105">
        <v>3</v>
      </c>
      <c r="C69" s="105">
        <v>3</v>
      </c>
      <c r="D69" s="86">
        <f t="shared" si="10"/>
        <v>100</v>
      </c>
      <c r="E69" s="87"/>
      <c r="K69" s="152">
        <f>H77</f>
        <v>0</v>
      </c>
    </row>
    <row r="70" ht="12.75" spans="11:11">
      <c r="K70" s="152">
        <f>H78</f>
        <v>2</v>
      </c>
    </row>
    <row r="71" spans="11:11">
      <c r="K71" s="152">
        <f>H91</f>
        <v>0</v>
      </c>
    </row>
    <row r="72" spans="1:11">
      <c r="A72" s="69" t="s">
        <v>779</v>
      </c>
      <c r="B72" s="106"/>
      <c r="C72" s="107"/>
      <c r="K72" s="152">
        <f>H92</f>
        <v>0</v>
      </c>
    </row>
    <row r="73" spans="1:11">
      <c r="A73" s="44" t="s">
        <v>780</v>
      </c>
      <c r="K73" s="152">
        <f>H98</f>
        <v>0</v>
      </c>
    </row>
    <row r="74" spans="1:1">
      <c r="A74" s="44" t="s">
        <v>781</v>
      </c>
    </row>
    <row r="75" ht="12.75"/>
    <row r="76" ht="12.75" spans="1:8">
      <c r="A76" s="108" t="s">
        <v>559</v>
      </c>
      <c r="B76" s="109" t="s">
        <v>782</v>
      </c>
      <c r="C76" s="110" t="s">
        <v>783</v>
      </c>
      <c r="D76" s="111" t="s">
        <v>784</v>
      </c>
      <c r="E76" s="111" t="s">
        <v>785</v>
      </c>
      <c r="F76" s="111" t="s">
        <v>786</v>
      </c>
      <c r="G76" s="112" t="s">
        <v>787</v>
      </c>
      <c r="H76" s="113" t="s">
        <v>788</v>
      </c>
    </row>
    <row r="77" spans="1:10">
      <c r="A77" s="114" t="s">
        <v>396</v>
      </c>
      <c r="B77" s="115">
        <v>1</v>
      </c>
      <c r="C77" s="116">
        <v>0</v>
      </c>
      <c r="D77" s="116">
        <v>0</v>
      </c>
      <c r="E77" s="116">
        <v>0</v>
      </c>
      <c r="F77" s="116">
        <v>0</v>
      </c>
      <c r="G77" s="117">
        <f>B77+C77+E77-D77-F77</f>
        <v>1</v>
      </c>
      <c r="H77" s="118">
        <f t="shared" ref="H77:H82" si="11">SUM(C77:F77)/B77</f>
        <v>0</v>
      </c>
      <c r="I77" s="47" t="str">
        <f>A77</f>
        <v>产品立项阶段</v>
      </c>
      <c r="J77" s="153">
        <f>H77</f>
        <v>0</v>
      </c>
    </row>
    <row r="78" spans="1:10">
      <c r="A78" s="119" t="s">
        <v>397</v>
      </c>
      <c r="B78" s="120"/>
      <c r="C78" s="120"/>
      <c r="D78" s="120"/>
      <c r="E78" s="120"/>
      <c r="F78" s="120"/>
      <c r="G78" s="120"/>
      <c r="H78" s="121">
        <f>SUM(C79:F82)/B79</f>
        <v>2</v>
      </c>
      <c r="I78" s="47" t="str">
        <f>A78</f>
        <v>迭代一</v>
      </c>
      <c r="J78" s="47">
        <f>H78</f>
        <v>2</v>
      </c>
    </row>
    <row r="79" spans="1:10">
      <c r="A79" s="122" t="s">
        <v>563</v>
      </c>
      <c r="B79" s="123">
        <v>4</v>
      </c>
      <c r="C79" s="124">
        <v>0</v>
      </c>
      <c r="D79" s="124">
        <v>1</v>
      </c>
      <c r="E79" s="124">
        <v>1</v>
      </c>
      <c r="F79" s="124">
        <v>1</v>
      </c>
      <c r="G79" s="125">
        <f t="shared" ref="G79:G92" si="12">B79+C79+E79-D79-F79</f>
        <v>3</v>
      </c>
      <c r="H79" s="118">
        <f>SUM(C79:F79)/B79</f>
        <v>0.75</v>
      </c>
      <c r="I79" s="47" t="str">
        <f>A83</f>
        <v>迭代二</v>
      </c>
      <c r="J79" s="47">
        <f>H83</f>
        <v>1.2</v>
      </c>
    </row>
    <row r="80" spans="1:10">
      <c r="A80" s="88" t="s">
        <v>564</v>
      </c>
      <c r="B80" s="126">
        <f>G79</f>
        <v>3</v>
      </c>
      <c r="C80" s="124">
        <v>0</v>
      </c>
      <c r="D80" s="124">
        <v>0</v>
      </c>
      <c r="E80" s="124">
        <v>3</v>
      </c>
      <c r="F80" s="124">
        <v>0</v>
      </c>
      <c r="G80" s="126">
        <f t="shared" si="12"/>
        <v>6</v>
      </c>
      <c r="H80" s="118">
        <f t="shared" si="11"/>
        <v>1</v>
      </c>
      <c r="I80" s="47" t="str">
        <f>A88</f>
        <v>迭代三</v>
      </c>
      <c r="J80" s="47">
        <f>H88</f>
        <v>1</v>
      </c>
    </row>
    <row r="81" spans="1:10">
      <c r="A81" s="88" t="s">
        <v>565</v>
      </c>
      <c r="B81" s="126">
        <f t="shared" ref="B81:B87" si="13">G80</f>
        <v>6</v>
      </c>
      <c r="C81" s="124">
        <v>0</v>
      </c>
      <c r="D81" s="124">
        <v>0</v>
      </c>
      <c r="E81" s="124">
        <v>0</v>
      </c>
      <c r="F81" s="124">
        <v>2</v>
      </c>
      <c r="G81" s="126">
        <f t="shared" si="12"/>
        <v>4</v>
      </c>
      <c r="H81" s="118">
        <f t="shared" si="11"/>
        <v>0.333333333333333</v>
      </c>
      <c r="I81" s="47" t="str">
        <f>A93</f>
        <v>迭代四</v>
      </c>
      <c r="J81" s="47">
        <f>H93</f>
        <v>0.333333333333333</v>
      </c>
    </row>
    <row r="82" spans="1:10">
      <c r="A82" s="88" t="s">
        <v>566</v>
      </c>
      <c r="B82" s="126">
        <f t="shared" si="13"/>
        <v>4</v>
      </c>
      <c r="C82" s="124">
        <v>0</v>
      </c>
      <c r="D82" s="124">
        <v>0</v>
      </c>
      <c r="E82" s="124">
        <v>0</v>
      </c>
      <c r="F82" s="124">
        <v>0</v>
      </c>
      <c r="G82" s="126">
        <f t="shared" si="12"/>
        <v>4</v>
      </c>
      <c r="H82" s="118">
        <f t="shared" si="11"/>
        <v>0</v>
      </c>
      <c r="I82" s="47" t="str">
        <f>A98</f>
        <v>系统集成与验收结项阶段</v>
      </c>
      <c r="J82" s="153">
        <f>H98</f>
        <v>0</v>
      </c>
    </row>
    <row r="83" spans="1:8">
      <c r="A83" s="119" t="s">
        <v>405</v>
      </c>
      <c r="B83" s="120"/>
      <c r="C83" s="120"/>
      <c r="D83" s="120"/>
      <c r="E83" s="120"/>
      <c r="F83" s="120"/>
      <c r="G83" s="120"/>
      <c r="H83" s="121">
        <f>SUM(C84:F87)/B84</f>
        <v>1.2</v>
      </c>
    </row>
    <row r="84" spans="1:8">
      <c r="A84" s="88" t="s">
        <v>567</v>
      </c>
      <c r="B84" s="127">
        <v>5</v>
      </c>
      <c r="C84" s="124">
        <v>0</v>
      </c>
      <c r="D84" s="124">
        <v>1</v>
      </c>
      <c r="E84" s="124">
        <v>1</v>
      </c>
      <c r="F84" s="124">
        <v>2</v>
      </c>
      <c r="G84" s="126">
        <f t="shared" si="12"/>
        <v>3</v>
      </c>
      <c r="H84" s="118">
        <f t="shared" ref="H84:H87" si="14">SUM(C84:F84)/B84</f>
        <v>0.8</v>
      </c>
    </row>
    <row r="85" spans="1:8">
      <c r="A85" s="88" t="s">
        <v>568</v>
      </c>
      <c r="B85" s="126">
        <f t="shared" si="13"/>
        <v>3</v>
      </c>
      <c r="C85" s="124">
        <v>0</v>
      </c>
      <c r="D85" s="124">
        <v>0</v>
      </c>
      <c r="E85" s="124">
        <v>1</v>
      </c>
      <c r="F85" s="124">
        <v>0</v>
      </c>
      <c r="G85" s="126">
        <f t="shared" si="12"/>
        <v>4</v>
      </c>
      <c r="H85" s="118">
        <f t="shared" si="14"/>
        <v>0.333333333333333</v>
      </c>
    </row>
    <row r="86" spans="1:8">
      <c r="A86" s="88" t="s">
        <v>569</v>
      </c>
      <c r="B86" s="126">
        <f t="shared" si="13"/>
        <v>4</v>
      </c>
      <c r="C86" s="124">
        <v>0</v>
      </c>
      <c r="D86" s="124">
        <v>0</v>
      </c>
      <c r="E86" s="124">
        <v>0</v>
      </c>
      <c r="F86" s="124">
        <v>1</v>
      </c>
      <c r="G86" s="126">
        <f t="shared" si="12"/>
        <v>3</v>
      </c>
      <c r="H86" s="118">
        <f t="shared" si="14"/>
        <v>0.25</v>
      </c>
    </row>
    <row r="87" spans="1:8">
      <c r="A87" s="88" t="s">
        <v>570</v>
      </c>
      <c r="B87" s="126">
        <f t="shared" si="13"/>
        <v>3</v>
      </c>
      <c r="C87" s="124">
        <v>0</v>
      </c>
      <c r="D87" s="124">
        <v>0</v>
      </c>
      <c r="E87" s="124">
        <v>0</v>
      </c>
      <c r="F87" s="124">
        <v>0</v>
      </c>
      <c r="G87" s="126">
        <f t="shared" si="12"/>
        <v>3</v>
      </c>
      <c r="H87" s="118">
        <f t="shared" si="14"/>
        <v>0</v>
      </c>
    </row>
    <row r="88" spans="1:8">
      <c r="A88" s="119" t="s">
        <v>406</v>
      </c>
      <c r="B88" s="120"/>
      <c r="C88" s="120"/>
      <c r="D88" s="120"/>
      <c r="E88" s="120"/>
      <c r="F88" s="120"/>
      <c r="G88" s="120"/>
      <c r="H88" s="121">
        <f>SUM(C89:F92)/B89</f>
        <v>1</v>
      </c>
    </row>
    <row r="89" spans="1:8">
      <c r="A89" s="88" t="s">
        <v>571</v>
      </c>
      <c r="B89" s="127">
        <v>2</v>
      </c>
      <c r="C89" s="124">
        <v>1</v>
      </c>
      <c r="D89" s="124">
        <v>0</v>
      </c>
      <c r="E89" s="124">
        <v>0</v>
      </c>
      <c r="F89" s="124">
        <v>1</v>
      </c>
      <c r="G89" s="126">
        <f t="shared" si="12"/>
        <v>2</v>
      </c>
      <c r="H89" s="118">
        <f t="shared" ref="H89:H99" si="15">SUM(C89:F89)/B89</f>
        <v>1</v>
      </c>
    </row>
    <row r="90" spans="1:8">
      <c r="A90" s="88" t="s">
        <v>572</v>
      </c>
      <c r="B90" s="126">
        <f t="shared" ref="B90:B92" si="16">G89</f>
        <v>2</v>
      </c>
      <c r="C90" s="124">
        <v>0</v>
      </c>
      <c r="D90" s="124">
        <v>0</v>
      </c>
      <c r="E90" s="124">
        <v>0</v>
      </c>
      <c r="F90" s="124">
        <v>0</v>
      </c>
      <c r="G90" s="126">
        <f t="shared" si="12"/>
        <v>2</v>
      </c>
      <c r="H90" s="118">
        <f t="shared" si="15"/>
        <v>0</v>
      </c>
    </row>
    <row r="91" spans="1:8">
      <c r="A91" s="88" t="s">
        <v>573</v>
      </c>
      <c r="B91" s="126">
        <f t="shared" si="16"/>
        <v>2</v>
      </c>
      <c r="C91" s="124">
        <v>0</v>
      </c>
      <c r="D91" s="124">
        <v>0</v>
      </c>
      <c r="E91" s="124">
        <v>0</v>
      </c>
      <c r="F91" s="124">
        <v>0</v>
      </c>
      <c r="G91" s="126">
        <f t="shared" si="12"/>
        <v>2</v>
      </c>
      <c r="H91" s="128">
        <f t="shared" si="15"/>
        <v>0</v>
      </c>
    </row>
    <row r="92" spans="1:8">
      <c r="A92" s="88" t="s">
        <v>574</v>
      </c>
      <c r="B92" s="126">
        <f t="shared" si="16"/>
        <v>2</v>
      </c>
      <c r="C92" s="124">
        <v>0</v>
      </c>
      <c r="D92" s="124">
        <v>0</v>
      </c>
      <c r="E92" s="124">
        <v>0</v>
      </c>
      <c r="F92" s="124">
        <v>0</v>
      </c>
      <c r="G92" s="126">
        <f t="shared" si="12"/>
        <v>2</v>
      </c>
      <c r="H92" s="128">
        <f t="shared" si="15"/>
        <v>0</v>
      </c>
    </row>
    <row r="93" spans="1:8">
      <c r="A93" s="119" t="s">
        <v>407</v>
      </c>
      <c r="B93" s="120"/>
      <c r="C93" s="120"/>
      <c r="D93" s="120"/>
      <c r="E93" s="120"/>
      <c r="F93" s="120"/>
      <c r="G93" s="120"/>
      <c r="H93" s="121">
        <f>SUM(C94:F97)/B94</f>
        <v>0.333333333333333</v>
      </c>
    </row>
    <row r="94" spans="1:8">
      <c r="A94" s="88" t="s">
        <v>575</v>
      </c>
      <c r="B94" s="127">
        <v>3</v>
      </c>
      <c r="C94" s="124">
        <v>0</v>
      </c>
      <c r="D94" s="124">
        <v>0</v>
      </c>
      <c r="E94" s="124">
        <v>0</v>
      </c>
      <c r="F94" s="124">
        <v>0</v>
      </c>
      <c r="G94" s="126">
        <f t="shared" ref="G94:G99" si="17">B94+C94+E94-D94-F94</f>
        <v>3</v>
      </c>
      <c r="H94" s="118">
        <f t="shared" si="15"/>
        <v>0</v>
      </c>
    </row>
    <row r="95" spans="1:8">
      <c r="A95" s="88" t="s">
        <v>576</v>
      </c>
      <c r="B95" s="126">
        <f t="shared" ref="B95:B97" si="18">G94</f>
        <v>3</v>
      </c>
      <c r="C95" s="124">
        <v>0</v>
      </c>
      <c r="D95" s="124">
        <v>0</v>
      </c>
      <c r="E95" s="124">
        <v>0</v>
      </c>
      <c r="F95" s="124">
        <v>0</v>
      </c>
      <c r="G95" s="126">
        <f t="shared" si="17"/>
        <v>3</v>
      </c>
      <c r="H95" s="118">
        <f t="shared" si="15"/>
        <v>0</v>
      </c>
    </row>
    <row r="96" spans="1:8">
      <c r="A96" s="88" t="s">
        <v>577</v>
      </c>
      <c r="B96" s="126">
        <f t="shared" si="18"/>
        <v>3</v>
      </c>
      <c r="C96" s="124">
        <v>0</v>
      </c>
      <c r="D96" s="124">
        <v>0</v>
      </c>
      <c r="E96" s="124">
        <v>1</v>
      </c>
      <c r="F96" s="124">
        <v>0</v>
      </c>
      <c r="G96" s="126">
        <f t="shared" si="17"/>
        <v>4</v>
      </c>
      <c r="H96" s="118">
        <f t="shared" si="15"/>
        <v>0.333333333333333</v>
      </c>
    </row>
    <row r="97" spans="1:8">
      <c r="A97" s="88" t="s">
        <v>578</v>
      </c>
      <c r="B97" s="126">
        <f t="shared" si="18"/>
        <v>4</v>
      </c>
      <c r="C97" s="124">
        <v>0</v>
      </c>
      <c r="D97" s="124">
        <v>0</v>
      </c>
      <c r="E97" s="124">
        <v>0</v>
      </c>
      <c r="F97" s="124">
        <v>0</v>
      </c>
      <c r="G97" s="126">
        <f t="shared" si="17"/>
        <v>4</v>
      </c>
      <c r="H97" s="118">
        <f t="shared" si="15"/>
        <v>0</v>
      </c>
    </row>
    <row r="98" ht="12.75" spans="1:8">
      <c r="A98" s="104" t="s">
        <v>398</v>
      </c>
      <c r="B98" s="127">
        <v>3</v>
      </c>
      <c r="C98" s="129">
        <v>0</v>
      </c>
      <c r="D98" s="129">
        <v>0</v>
      </c>
      <c r="E98" s="129">
        <v>0</v>
      </c>
      <c r="F98" s="129">
        <v>0</v>
      </c>
      <c r="G98" s="126">
        <f t="shared" si="17"/>
        <v>3</v>
      </c>
      <c r="H98" s="128">
        <f t="shared" si="15"/>
        <v>0</v>
      </c>
    </row>
    <row r="99" ht="17.25" customHeight="1" spans="1:8">
      <c r="A99" s="130" t="s">
        <v>510</v>
      </c>
      <c r="B99" s="131">
        <f>MAX(B77:B98)</f>
        <v>6</v>
      </c>
      <c r="C99" s="131">
        <f>SUM(C77:C98)</f>
        <v>1</v>
      </c>
      <c r="D99" s="131">
        <f>SUM(D77:D98)</f>
        <v>2</v>
      </c>
      <c r="E99" s="131">
        <f>SUM(E77:E98)</f>
        <v>7</v>
      </c>
      <c r="F99" s="131">
        <f>SUM(F77:F98)</f>
        <v>7</v>
      </c>
      <c r="G99" s="132">
        <f t="shared" si="17"/>
        <v>5</v>
      </c>
      <c r="H99" s="133">
        <f t="shared" si="15"/>
        <v>2.83333333333333</v>
      </c>
    </row>
    <row r="100" customHeight="1" spans="11:11">
      <c r="K100" s="152"/>
    </row>
    <row r="101" customHeight="1" spans="10:11">
      <c r="J101" s="79"/>
      <c r="K101" s="152"/>
    </row>
    <row r="102" customHeight="1" spans="2:11">
      <c r="B102" s="134"/>
      <c r="K102" s="152"/>
    </row>
    <row r="103" hidden="1" customHeight="1" spans="1:11">
      <c r="A103" s="69" t="s">
        <v>789</v>
      </c>
      <c r="B103" s="135"/>
      <c r="C103" s="136"/>
      <c r="K103" s="152">
        <f t="shared" ref="K103:K104" si="19">D110</f>
        <v>0.972330811125982</v>
      </c>
    </row>
    <row r="104" hidden="1" customHeight="1" spans="1:11">
      <c r="A104" s="79" t="s">
        <v>790</v>
      </c>
      <c r="K104" s="152">
        <f t="shared" si="19"/>
        <v>0.977300133840425</v>
      </c>
    </row>
    <row r="105" hidden="1" customHeight="1" spans="1:4">
      <c r="A105" s="79" t="s">
        <v>791</v>
      </c>
      <c r="C105" s="47"/>
      <c r="D105" s="47"/>
    </row>
    <row r="106" ht="12.75" hidden="1" spans="1:4">
      <c r="A106" s="137" t="s">
        <v>559</v>
      </c>
      <c r="B106" s="138" t="s">
        <v>792</v>
      </c>
      <c r="C106" s="138" t="s">
        <v>793</v>
      </c>
      <c r="D106" s="139" t="s">
        <v>281</v>
      </c>
    </row>
    <row r="107" hidden="1" spans="1:9">
      <c r="A107" s="140" t="s">
        <v>545</v>
      </c>
      <c r="B107" s="141">
        <f>工作量分布!C14</f>
        <v>22.6389</v>
      </c>
      <c r="C107" s="141">
        <f>工作量分布!D14</f>
        <v>21.875</v>
      </c>
      <c r="D107" s="142">
        <f t="shared" ref="D107:D112" si="20">C107/B107</f>
        <v>0.966257194474997</v>
      </c>
      <c r="I107" s="47" t="str">
        <f t="shared" ref="I107:I111" si="21">A107</f>
        <v>需求阶段</v>
      </c>
    </row>
    <row r="108" hidden="1" spans="1:9">
      <c r="A108" s="140" t="s">
        <v>546</v>
      </c>
      <c r="B108" s="141">
        <f>工作量分布!E14</f>
        <v>249.0279</v>
      </c>
      <c r="C108" s="141">
        <f>工作量分布!F14</f>
        <v>236.4375</v>
      </c>
      <c r="D108" s="142">
        <f t="shared" si="20"/>
        <v>0.949441809532185</v>
      </c>
      <c r="I108" s="47" t="str">
        <f t="shared" si="21"/>
        <v>设计阶段</v>
      </c>
    </row>
    <row r="109" hidden="1" spans="1:9">
      <c r="A109" s="140" t="s">
        <v>717</v>
      </c>
      <c r="B109" s="141">
        <f>工作量分布!G14</f>
        <v>264.1205</v>
      </c>
      <c r="C109" s="141">
        <f>工作量分布!H14</f>
        <v>255.25</v>
      </c>
      <c r="D109" s="142">
        <f t="shared" si="20"/>
        <v>0.966414950751646</v>
      </c>
      <c r="I109" s="47" t="str">
        <f t="shared" si="21"/>
        <v>编码阶段</v>
      </c>
    </row>
    <row r="110" hidden="1" spans="1:9">
      <c r="A110" s="140" t="s">
        <v>549</v>
      </c>
      <c r="B110" s="141">
        <f>工作量分布!I14</f>
        <v>75.463</v>
      </c>
      <c r="C110" s="141">
        <f>工作量分布!J14</f>
        <v>73.375</v>
      </c>
      <c r="D110" s="142">
        <f t="shared" si="20"/>
        <v>0.972330811125982</v>
      </c>
      <c r="I110" s="47" t="str">
        <f t="shared" si="21"/>
        <v>测试阶段</v>
      </c>
    </row>
    <row r="111" hidden="1" spans="1:9">
      <c r="A111" s="140" t="s">
        <v>694</v>
      </c>
      <c r="B111" s="141">
        <f>工作量分布!M14</f>
        <v>22.6389</v>
      </c>
      <c r="C111" s="141">
        <f>工作量分布!N14</f>
        <v>22.125</v>
      </c>
      <c r="D111" s="142">
        <f t="shared" si="20"/>
        <v>0.977300133840425</v>
      </c>
      <c r="I111" s="47" t="str">
        <f t="shared" si="21"/>
        <v>验收阶段</v>
      </c>
    </row>
    <row r="112" ht="12.75" hidden="1" spans="1:6">
      <c r="A112" s="130" t="s">
        <v>399</v>
      </c>
      <c r="B112" s="143">
        <f>SUM(B107:B111)</f>
        <v>633.8892</v>
      </c>
      <c r="C112" s="143">
        <f>SUM(C107:C111)</f>
        <v>609.0625</v>
      </c>
      <c r="D112" s="144">
        <f t="shared" si="20"/>
        <v>0.960834322465188</v>
      </c>
      <c r="E112" s="145"/>
      <c r="F112" s="146"/>
    </row>
    <row r="113" spans="1:7">
      <c r="A113" s="147"/>
      <c r="B113" s="146"/>
      <c r="C113" s="148"/>
      <c r="D113" s="149"/>
      <c r="E113" s="150"/>
      <c r="F113" s="145"/>
      <c r="G113" s="146"/>
    </row>
    <row r="114" ht="18" customHeight="1" spans="5:7">
      <c r="E114" s="150"/>
      <c r="F114" s="145"/>
      <c r="G114" s="146"/>
    </row>
    <row r="115" ht="18.75" customHeight="1"/>
    <row r="118" spans="1:1">
      <c r="A118" s="151"/>
    </row>
  </sheetData>
  <mergeCells count="27">
    <mergeCell ref="A1:P1"/>
    <mergeCell ref="A6:B6"/>
    <mergeCell ref="D6:E6"/>
    <mergeCell ref="D47:E47"/>
    <mergeCell ref="D48:E48"/>
    <mergeCell ref="D49:E49"/>
    <mergeCell ref="D50:E50"/>
    <mergeCell ref="D51:E51"/>
    <mergeCell ref="D52:E52"/>
    <mergeCell ref="D53:E53"/>
    <mergeCell ref="D54:E54"/>
    <mergeCell ref="D55:E55"/>
    <mergeCell ref="D56:E56"/>
    <mergeCell ref="D57:E57"/>
    <mergeCell ref="D58:E58"/>
    <mergeCell ref="D59:E59"/>
    <mergeCell ref="D60:E60"/>
    <mergeCell ref="D61:E61"/>
    <mergeCell ref="D62:E62"/>
    <mergeCell ref="D63:E63"/>
    <mergeCell ref="D64:E64"/>
    <mergeCell ref="D65:E65"/>
    <mergeCell ref="D66:E66"/>
    <mergeCell ref="D67:E67"/>
    <mergeCell ref="D68:E68"/>
    <mergeCell ref="D69:E69"/>
    <mergeCell ref="A103:C103"/>
  </mergeCells>
  <dataValidations count="3">
    <dataValidation type="list" allowBlank="1" showInputMessage="1" showErrorMessage="1" sqref="A8:A33 A65586:A65599 A131122:A131135 A196658:A196671 A262194:A262207 A327730:A327743 A393266:A393279 A458802:A458815 A524338:A524351 A589874:A589887 A655410:A655423 A720946:A720959 A786482:A786495 A852018:A852031 A917554:A917567 A983090:A983103 IT65586:IT65599 IT131122:IT131135 IT196658:IT196671 IT262194:IT262207 IT327730:IT327743 IT393266:IT393279 IT458802:IT458815 IT524338:IT524351 IT589874:IT589887 IT655410:IT655423 IT720946:IT720959 IT786482:IT786495 IT852018:IT852031 IT917554:IT917567 IT983090:IT983103 JF8:JF33 SP65586:SP65599 SP131122:SP131135 SP196658:SP196671 SP262194:SP262207 SP327730:SP327743 SP393266:SP393279 SP458802:SP458815 SP524338:SP524351 SP589874:SP589887 SP655410:SP655423 SP720946:SP720959 SP786482:SP786495 SP852018:SP852031 SP917554:SP917567 SP983090:SP983103 TB8:TB33 ACL65586:ACL65599 ACL131122:ACL131135 ACL196658:ACL196671 ACL262194:ACL262207 ACL327730:ACL327743 ACL393266:ACL393279 ACL458802:ACL458815 ACL524338:ACL524351 ACL589874:ACL589887 ACL655410:ACL655423 ACL720946:ACL720959 ACL786482:ACL786495 ACL852018:ACL852031 ACL917554:ACL917567 ACL983090:ACL983103 ACX8:ACX33 AMH65586:AMH65599 AMH131122:AMH131135 AMH196658:AMH196671 AMH262194:AMH262207 AMH327730:AMH327743 AMH393266:AMH393279 AMH458802:AMH458815 AMH524338:AMH524351 AMH589874:AMH589887 AMH655410:AMH655423 AMH720946:AMH720959 AMH786482:AMH786495 AMH852018:AMH852031 AMH917554:AMH917567 AMH983090:AMH983103 AMT8:AMT33 AWD65586:AWD65599 AWD131122:AWD131135 AWD196658:AWD196671 AWD262194:AWD262207 AWD327730:AWD327743 AWD393266:AWD393279 AWD458802:AWD458815 AWD524338:AWD524351 AWD589874:AWD589887 AWD655410:AWD655423 AWD720946:AWD720959 AWD786482:AWD786495 AWD852018:AWD852031 AWD917554:AWD917567 AWD983090:AWD983103 AWP8:AWP33 BFZ65586:BFZ65599 BFZ131122:BFZ131135 BFZ196658:BFZ196671 BFZ262194:BFZ262207 BFZ327730:BFZ327743 BFZ393266:BFZ393279 BFZ458802:BFZ458815 BFZ524338:BFZ524351 BFZ589874:BFZ589887 BFZ655410:BFZ655423 BFZ720946:BFZ720959 BFZ786482:BFZ786495 BFZ852018:BFZ852031 BFZ917554:BFZ917567 BFZ983090:BFZ983103 BGL8:BGL33 BPV65586:BPV65599 BPV131122:BPV131135 BPV196658:BPV196671 BPV262194:BPV262207 BPV327730:BPV327743 BPV393266:BPV393279 BPV458802:BPV458815 BPV524338:BPV524351 BPV589874:BPV589887 BPV655410:BPV655423 BPV720946:BPV720959 BPV786482:BPV786495 BPV852018:BPV852031 BPV917554:BPV917567 BPV983090:BPV983103 BQH8:BQH33 BZR65586:BZR65599 BZR131122:BZR131135 BZR196658:BZR196671 BZR262194:BZR262207 BZR327730:BZR327743 BZR393266:BZR393279 BZR458802:BZR458815 BZR524338:BZR524351 BZR589874:BZR589887 BZR655410:BZR655423 BZR720946:BZR720959 BZR786482:BZR786495 BZR852018:BZR852031 BZR917554:BZR917567 BZR983090:BZR983103 CAD8:CAD33 CJN65586:CJN65599 CJN131122:CJN131135 CJN196658:CJN196671 CJN262194:CJN262207 CJN327730:CJN327743 CJN393266:CJN393279 CJN458802:CJN458815 CJN524338:CJN524351 CJN589874:CJN589887 CJN655410:CJN655423 CJN720946:CJN720959 CJN786482:CJN786495 CJN852018:CJN852031 CJN917554:CJN917567 CJN983090:CJN983103 CJZ8:CJZ33 CTJ65586:CTJ65599 CTJ131122:CTJ131135 CTJ196658:CTJ196671 CTJ262194:CTJ262207 CTJ327730:CTJ327743 CTJ393266:CTJ393279 CTJ458802:CTJ458815 CTJ524338:CTJ524351 CTJ589874:CTJ589887 CTJ655410:CTJ655423 CTJ720946:CTJ720959 CTJ786482:CTJ786495 CTJ852018:CTJ852031 CTJ917554:CTJ917567 CTJ983090:CTJ983103 CTV8:CTV33 DDF65586:DDF65599 DDF131122:DDF131135 DDF196658:DDF196671 DDF262194:DDF262207 DDF327730:DDF327743 DDF393266:DDF393279 DDF458802:DDF458815 DDF524338:DDF524351 DDF589874:DDF589887 DDF655410:DDF655423 DDF720946:DDF720959 DDF786482:DDF786495 DDF852018:DDF852031 DDF917554:DDF917567 DDF983090:DDF983103 DDR8:DDR33 DNB65586:DNB65599 DNB131122:DNB131135 DNB196658:DNB196671 DNB262194:DNB262207 DNB327730:DNB327743 DNB393266:DNB393279 DNB458802:DNB458815 DNB524338:DNB524351 DNB589874:DNB589887 DNB655410:DNB655423 DNB720946:DNB720959 DNB786482:DNB786495 DNB852018:DNB852031 DNB917554:DNB917567 DNB983090:DNB983103 DNN8:DNN33 DWX65586:DWX65599 DWX131122:DWX131135 DWX196658:DWX196671 DWX262194:DWX262207 DWX327730:DWX327743 DWX393266:DWX393279 DWX458802:DWX458815 DWX524338:DWX524351 DWX589874:DWX589887 DWX655410:DWX655423 DWX720946:DWX720959 DWX786482:DWX786495 DWX852018:DWX852031 DWX917554:DWX917567 DWX983090:DWX983103 DXJ8:DXJ33 EGT65586:EGT65599 EGT131122:EGT131135 EGT196658:EGT196671 EGT262194:EGT262207 EGT327730:EGT327743 EGT393266:EGT393279 EGT458802:EGT458815 EGT524338:EGT524351 EGT589874:EGT589887 EGT655410:EGT655423 EGT720946:EGT720959 EGT786482:EGT786495 EGT852018:EGT852031 EGT917554:EGT917567 EGT983090:EGT983103 EHF8:EHF33 EQP65586:EQP65599 EQP131122:EQP131135 EQP196658:EQP196671 EQP262194:EQP262207 EQP327730:EQP327743 EQP393266:EQP393279 EQP458802:EQP458815 EQP524338:EQP524351 EQP589874:EQP589887 EQP655410:EQP655423 EQP720946:EQP720959 EQP786482:EQP786495 EQP852018:EQP852031 EQP917554:EQP917567 EQP983090:EQP983103 ERB8:ERB33 FAL65586:FAL65599 FAL131122:FAL131135 FAL196658:FAL196671 FAL262194:FAL262207 FAL327730:FAL327743 FAL393266:FAL393279 FAL458802:FAL458815 FAL524338:FAL524351 FAL589874:FAL589887 FAL655410:FAL655423 FAL720946:FAL720959 FAL786482:FAL786495 FAL852018:FAL852031 FAL917554:FAL917567 FAL983090:FAL983103 FAX8:FAX33 FKH65586:FKH65599 FKH131122:FKH131135 FKH196658:FKH196671 FKH262194:FKH262207 FKH327730:FKH327743 FKH393266:FKH393279 FKH458802:FKH458815 FKH524338:FKH524351 FKH589874:FKH589887 FKH655410:FKH655423 FKH720946:FKH720959 FKH786482:FKH786495 FKH852018:FKH852031 FKH917554:FKH917567 FKH983090:FKH983103 FKT8:FKT33 FUD65586:FUD65599 FUD131122:FUD131135 FUD196658:FUD196671 FUD262194:FUD262207 FUD327730:FUD327743 FUD393266:FUD393279 FUD458802:FUD458815 FUD524338:FUD524351 FUD589874:FUD589887 FUD655410:FUD655423 FUD720946:FUD720959 FUD786482:FUD786495 FUD852018:FUD852031 FUD917554:FUD917567 FUD983090:FUD983103 FUP8:FUP33 GDZ65586:GDZ65599 GDZ131122:GDZ131135 GDZ196658:GDZ196671 GDZ262194:GDZ262207 GDZ327730:GDZ327743 GDZ393266:GDZ393279 GDZ458802:GDZ458815 GDZ524338:GDZ524351 GDZ589874:GDZ589887 GDZ655410:GDZ655423 GDZ720946:GDZ720959 GDZ786482:GDZ786495 GDZ852018:GDZ852031 GDZ917554:GDZ917567 GDZ983090:GDZ983103 GEL8:GEL33 GNV65586:GNV65599 GNV131122:GNV131135 GNV196658:GNV196671 GNV262194:GNV262207 GNV327730:GNV327743 GNV393266:GNV393279 GNV458802:GNV458815 GNV524338:GNV524351 GNV589874:GNV589887 GNV655410:GNV655423 GNV720946:GNV720959 GNV786482:GNV786495 GNV852018:GNV852031 GNV917554:GNV917567 GNV983090:GNV983103 GOH8:GOH33 GXR65586:GXR65599 GXR131122:GXR131135 GXR196658:GXR196671 GXR262194:GXR262207 GXR327730:GXR327743 GXR393266:GXR393279 GXR458802:GXR458815 GXR524338:GXR524351 GXR589874:GXR589887 GXR655410:GXR655423 GXR720946:GXR720959 GXR786482:GXR786495 GXR852018:GXR852031 GXR917554:GXR917567 GXR983090:GXR983103 GYD8:GYD33 HHN65586:HHN65599 HHN131122:HHN131135 HHN196658:HHN196671 HHN262194:HHN262207 HHN327730:HHN327743 HHN393266:HHN393279 HHN458802:HHN458815 HHN524338:HHN524351 HHN589874:HHN589887 HHN655410:HHN655423 HHN720946:HHN720959 HHN786482:HHN786495 HHN852018:HHN852031 HHN917554:HHN917567 HHN983090:HHN983103 HHZ8:HHZ33 HRJ65586:HRJ65599 HRJ131122:HRJ131135 HRJ196658:HRJ196671 HRJ262194:HRJ262207 HRJ327730:HRJ327743 HRJ393266:HRJ393279 HRJ458802:HRJ458815 HRJ524338:HRJ524351 HRJ589874:HRJ589887 HRJ655410:HRJ655423 HRJ720946:HRJ720959 HRJ786482:HRJ786495 HRJ852018:HRJ852031 HRJ917554:HRJ917567 HRJ983090:HRJ983103 HRV8:HRV33 IBF65586:IBF65599 IBF131122:IBF131135 IBF196658:IBF196671 IBF262194:IBF262207 IBF327730:IBF327743 IBF393266:IBF393279 IBF458802:IBF458815 IBF524338:IBF524351 IBF589874:IBF589887 IBF655410:IBF655423 IBF720946:IBF720959 IBF786482:IBF786495 IBF852018:IBF852031 IBF917554:IBF917567 IBF983090:IBF983103 IBR8:IBR33 ILB65586:ILB65599 ILB131122:ILB131135 ILB196658:ILB196671 ILB262194:ILB262207 ILB327730:ILB327743 ILB393266:ILB393279 ILB458802:ILB458815 ILB524338:ILB524351 ILB589874:ILB589887 ILB655410:ILB655423 ILB720946:ILB720959 ILB786482:ILB786495 ILB852018:ILB852031 ILB917554:ILB917567 ILB983090:ILB983103 ILN8:ILN33 IUX65586:IUX65599 IUX131122:IUX131135 IUX196658:IUX196671 IUX262194:IUX262207 IUX327730:IUX327743 IUX393266:IUX393279 IUX458802:IUX458815 IUX524338:IUX524351 IUX589874:IUX589887 IUX655410:IUX655423 IUX720946:IUX720959 IUX786482:IUX786495 IUX852018:IUX852031 IUX917554:IUX917567 IUX983090:IUX983103 IVJ8:IVJ33 JET65586:JET65599 JET131122:JET131135 JET196658:JET196671 JET262194:JET262207 JET327730:JET327743 JET393266:JET393279 JET458802:JET458815 JET524338:JET524351 JET589874:JET589887 JET655410:JET655423 JET720946:JET720959 JET786482:JET786495 JET852018:JET852031 JET917554:JET917567 JET983090:JET983103 JFF8:JFF33 JOP65586:JOP65599 JOP131122:JOP131135 JOP196658:JOP196671 JOP262194:JOP262207 JOP327730:JOP327743 JOP393266:JOP393279 JOP458802:JOP458815 JOP524338:JOP524351 JOP589874:JOP589887 JOP655410:JOP655423 JOP720946:JOP720959 JOP786482:JOP786495 JOP852018:JOP852031 JOP917554:JOP917567 JOP983090:JOP983103 JPB8:JPB33 JYL65586:JYL65599 JYL131122:JYL131135 JYL196658:JYL196671 JYL262194:JYL262207 JYL327730:JYL327743 JYL393266:JYL393279 JYL458802:JYL458815 JYL524338:JYL524351 JYL589874:JYL589887 JYL655410:JYL655423 JYL720946:JYL720959 JYL786482:JYL786495 JYL852018:JYL852031 JYL917554:JYL917567 JYL983090:JYL983103 JYX8:JYX33 KIH65586:KIH65599 KIH131122:KIH131135 KIH196658:KIH196671 KIH262194:KIH262207 KIH327730:KIH327743 KIH393266:KIH393279 KIH458802:KIH458815 KIH524338:KIH524351 KIH589874:KIH589887 KIH655410:KIH655423 KIH720946:KIH720959 KIH786482:KIH786495 KIH852018:KIH852031 KIH917554:KIH917567 KIH983090:KIH983103 KIT8:KIT33 KSD65586:KSD65599 KSD131122:KSD131135 KSD196658:KSD196671 KSD262194:KSD262207 KSD327730:KSD327743 KSD393266:KSD393279 KSD458802:KSD458815 KSD524338:KSD524351 KSD589874:KSD589887 KSD655410:KSD655423 KSD720946:KSD720959 KSD786482:KSD786495 KSD852018:KSD852031 KSD917554:KSD917567 KSD983090:KSD983103 KSP8:KSP33 LBZ65586:LBZ65599 LBZ131122:LBZ131135 LBZ196658:LBZ196671 LBZ262194:LBZ262207 LBZ327730:LBZ327743 LBZ393266:LBZ393279 LBZ458802:LBZ458815 LBZ524338:LBZ524351 LBZ589874:LBZ589887 LBZ655410:LBZ655423 LBZ720946:LBZ720959 LBZ786482:LBZ786495 LBZ852018:LBZ852031 LBZ917554:LBZ917567 LBZ983090:LBZ983103 LCL8:LCL33 LLV65586:LLV65599 LLV131122:LLV131135 LLV196658:LLV196671 LLV262194:LLV262207 LLV327730:LLV327743 LLV393266:LLV393279 LLV458802:LLV458815 LLV524338:LLV524351 LLV589874:LLV589887 LLV655410:LLV655423 LLV720946:LLV720959 LLV786482:LLV786495 LLV852018:LLV852031 LLV917554:LLV917567 LLV983090:LLV983103 LMH8:LMH33 LVR65586:LVR65599 LVR131122:LVR131135 LVR196658:LVR196671 LVR262194:LVR262207 LVR327730:LVR327743 LVR393266:LVR393279 LVR458802:LVR458815 LVR524338:LVR524351 LVR589874:LVR589887 LVR655410:LVR655423 LVR720946:LVR720959 LVR786482:LVR786495 LVR852018:LVR852031 LVR917554:LVR917567 LVR983090:LVR983103 LWD8:LWD33 MFN65586:MFN65599 MFN131122:MFN131135 MFN196658:MFN196671 MFN262194:MFN262207 MFN327730:MFN327743 MFN393266:MFN393279 MFN458802:MFN458815 MFN524338:MFN524351 MFN589874:MFN589887 MFN655410:MFN655423 MFN720946:MFN720959 MFN786482:MFN786495 MFN852018:MFN852031 MFN917554:MFN917567 MFN983090:MFN983103 MFZ8:MFZ33 MPJ65586:MPJ65599 MPJ131122:MPJ131135 MPJ196658:MPJ196671 MPJ262194:MPJ262207 MPJ327730:MPJ327743 MPJ393266:MPJ393279 MPJ458802:MPJ458815 MPJ524338:MPJ524351 MPJ589874:MPJ589887 MPJ655410:MPJ655423 MPJ720946:MPJ720959 MPJ786482:MPJ786495 MPJ852018:MPJ852031 MPJ917554:MPJ917567 MPJ983090:MPJ983103 MPV8:MPV33 MZF65586:MZF65599 MZF131122:MZF131135 MZF196658:MZF196671 MZF262194:MZF262207 MZF327730:MZF327743 MZF393266:MZF393279 MZF458802:MZF458815 MZF524338:MZF524351 MZF589874:MZF589887 MZF655410:MZF655423 MZF720946:MZF720959 MZF786482:MZF786495 MZF852018:MZF852031 MZF917554:MZF917567 MZF983090:MZF983103 MZR8:MZR33 NJB65586:NJB65599 NJB131122:NJB131135 NJB196658:NJB196671 NJB262194:NJB262207 NJB327730:NJB327743 NJB393266:NJB393279 NJB458802:NJB458815 NJB524338:NJB524351 NJB589874:NJB589887 NJB655410:NJB655423 NJB720946:NJB720959 NJB786482:NJB786495 NJB852018:NJB852031 NJB917554:NJB917567 NJB983090:NJB983103 NJN8:NJN33 NSX65586:NSX65599 NSX131122:NSX131135 NSX196658:NSX196671 NSX262194:NSX262207 NSX327730:NSX327743 NSX393266:NSX393279 NSX458802:NSX458815 NSX524338:NSX524351 NSX589874:NSX589887 NSX655410:NSX655423 NSX720946:NSX720959 NSX786482:NSX786495 NSX852018:NSX852031 NSX917554:NSX917567 NSX983090:NSX983103 NTJ8:NTJ33 OCT65586:OCT65599 OCT131122:OCT131135 OCT196658:OCT196671 OCT262194:OCT262207 OCT327730:OCT327743 OCT393266:OCT393279 OCT458802:OCT458815 OCT524338:OCT524351 OCT589874:OCT589887 OCT655410:OCT655423 OCT720946:OCT720959 OCT786482:OCT786495 OCT852018:OCT852031 OCT917554:OCT917567 OCT983090:OCT983103 ODF8:ODF33 OMP65586:OMP65599 OMP131122:OMP131135 OMP196658:OMP196671 OMP262194:OMP262207 OMP327730:OMP327743 OMP393266:OMP393279 OMP458802:OMP458815 OMP524338:OMP524351 OMP589874:OMP589887 OMP655410:OMP655423 OMP720946:OMP720959 OMP786482:OMP786495 OMP852018:OMP852031 OMP917554:OMP917567 OMP983090:OMP983103 ONB8:ONB33 OWL65586:OWL65599 OWL131122:OWL131135 OWL196658:OWL196671 OWL262194:OWL262207 OWL327730:OWL327743 OWL393266:OWL393279 OWL458802:OWL458815 OWL524338:OWL524351 OWL589874:OWL589887 OWL655410:OWL655423 OWL720946:OWL720959 OWL786482:OWL786495 OWL852018:OWL852031 OWL917554:OWL917567 OWL983090:OWL983103 OWX8:OWX33 PGH65586:PGH65599 PGH131122:PGH131135 PGH196658:PGH196671 PGH262194:PGH262207 PGH327730:PGH327743 PGH393266:PGH393279 PGH458802:PGH458815 PGH524338:PGH524351 PGH589874:PGH589887 PGH655410:PGH655423 PGH720946:PGH720959 PGH786482:PGH786495 PGH852018:PGH852031 PGH917554:PGH917567 PGH983090:PGH983103 PGT8:PGT33 PQD65586:PQD65599 PQD131122:PQD131135 PQD196658:PQD196671 PQD262194:PQD262207 PQD327730:PQD327743 PQD393266:PQD393279 PQD458802:PQD458815 PQD524338:PQD524351 PQD589874:PQD589887 PQD655410:PQD655423 PQD720946:PQD720959 PQD786482:PQD786495 PQD852018:PQD852031 PQD917554:PQD917567 PQD983090:PQD983103 PQP8:PQP33 PZZ65586:PZZ65599 PZZ131122:PZZ131135 PZZ196658:PZZ196671 PZZ262194:PZZ262207 PZZ327730:PZZ327743 PZZ393266:PZZ393279 PZZ458802:PZZ458815 PZZ524338:PZZ524351 PZZ589874:PZZ589887 PZZ655410:PZZ655423 PZZ720946:PZZ720959 PZZ786482:PZZ786495 PZZ852018:PZZ852031 PZZ917554:PZZ917567 PZZ983090:PZZ983103 QAL8:QAL33 QJV65586:QJV65599 QJV131122:QJV131135 QJV196658:QJV196671 QJV262194:QJV262207 QJV327730:QJV327743 QJV393266:QJV393279 QJV458802:QJV458815 QJV524338:QJV524351 QJV589874:QJV589887 QJV655410:QJV655423 QJV720946:QJV720959 QJV786482:QJV786495 QJV852018:QJV852031 QJV917554:QJV917567 QJV983090:QJV983103 QKH8:QKH33 QTR65586:QTR65599 QTR131122:QTR131135 QTR196658:QTR196671 QTR262194:QTR262207 QTR327730:QTR327743 QTR393266:QTR393279 QTR458802:QTR458815 QTR524338:QTR524351 QTR589874:QTR589887 QTR655410:QTR655423 QTR720946:QTR720959 QTR786482:QTR786495 QTR852018:QTR852031 QTR917554:QTR917567 QTR983090:QTR983103 QUD8:QUD33 RDN65586:RDN65599 RDN131122:RDN131135 RDN196658:RDN196671 RDN262194:RDN262207 RDN327730:RDN327743 RDN393266:RDN393279 RDN458802:RDN458815 RDN524338:RDN524351 RDN589874:RDN589887 RDN655410:RDN655423 RDN720946:RDN720959 RDN786482:RDN786495 RDN852018:RDN852031 RDN917554:RDN917567 RDN983090:RDN983103 RDZ8:RDZ33 RNJ65586:RNJ65599 RNJ131122:RNJ131135 RNJ196658:RNJ196671 RNJ262194:RNJ262207 RNJ327730:RNJ327743 RNJ393266:RNJ393279 RNJ458802:RNJ458815 RNJ524338:RNJ524351 RNJ589874:RNJ589887 RNJ655410:RNJ655423 RNJ720946:RNJ720959 RNJ786482:RNJ786495 RNJ852018:RNJ852031 RNJ917554:RNJ917567 RNJ983090:RNJ983103 RNV8:RNV33 RXF65586:RXF65599 RXF131122:RXF131135 RXF196658:RXF196671 RXF262194:RXF262207 RXF327730:RXF327743 RXF393266:RXF393279 RXF458802:RXF458815 RXF524338:RXF524351 RXF589874:RXF589887 RXF655410:RXF655423 RXF720946:RXF720959 RXF786482:RXF786495 RXF852018:RXF852031 RXF917554:RXF917567 RXF983090:RXF983103 RXR8:RXR33 SHB65586:SHB65599 SHB131122:SHB131135 SHB196658:SHB196671 SHB262194:SHB262207 SHB327730:SHB327743 SHB393266:SHB393279 SHB458802:SHB458815 SHB524338:SHB524351 SHB589874:SHB589887 SHB655410:SHB655423 SHB720946:SHB720959 SHB786482:SHB786495 SHB852018:SHB852031 SHB917554:SHB917567 SHB983090:SHB983103 SHN8:SHN33 SQX65586:SQX65599 SQX131122:SQX131135 SQX196658:SQX196671 SQX262194:SQX262207 SQX327730:SQX327743 SQX393266:SQX393279 SQX458802:SQX458815 SQX524338:SQX524351 SQX589874:SQX589887 SQX655410:SQX655423 SQX720946:SQX720959 SQX786482:SQX786495 SQX852018:SQX852031 SQX917554:SQX917567 SQX983090:SQX983103 SRJ8:SRJ33 TAT65586:TAT65599 TAT131122:TAT131135 TAT196658:TAT196671 TAT262194:TAT262207 TAT327730:TAT327743 TAT393266:TAT393279 TAT458802:TAT458815 TAT524338:TAT524351 TAT589874:TAT589887 TAT655410:TAT655423 TAT720946:TAT720959 TAT786482:TAT786495 TAT852018:TAT852031 TAT917554:TAT917567 TAT983090:TAT983103 TBF8:TBF33 TKP65586:TKP65599 TKP131122:TKP131135 TKP196658:TKP196671 TKP262194:TKP262207 TKP327730:TKP327743 TKP393266:TKP393279 TKP458802:TKP458815 TKP524338:TKP524351 TKP589874:TKP589887 TKP655410:TKP655423 TKP720946:TKP720959 TKP786482:TKP786495 TKP852018:TKP852031 TKP917554:TKP917567 TKP983090:TKP983103 TLB8:TLB33 TUL65586:TUL65599 TUL131122:TUL131135 TUL196658:TUL196671 TUL262194:TUL262207 TUL327730:TUL327743 TUL393266:TUL393279 TUL458802:TUL458815 TUL524338:TUL524351 TUL589874:TUL589887 TUL655410:TUL655423 TUL720946:TUL720959 TUL786482:TUL786495 TUL852018:TUL852031 TUL917554:TUL917567 TUL983090:TUL983103 TUX8:TUX33 UEH65586:UEH65599 UEH131122:UEH131135 UEH196658:UEH196671 UEH262194:UEH262207 UEH327730:UEH327743 UEH393266:UEH393279 UEH458802:UEH458815 UEH524338:UEH524351 UEH589874:UEH589887 UEH655410:UEH655423 UEH720946:UEH720959 UEH786482:UEH786495 UEH852018:UEH852031 UEH917554:UEH917567 UEH983090:UEH983103 UET8:UET33 UOD65586:UOD65599 UOD131122:UOD131135 UOD196658:UOD196671 UOD262194:UOD262207 UOD327730:UOD327743 UOD393266:UOD393279 UOD458802:UOD458815 UOD524338:UOD524351 UOD589874:UOD589887 UOD655410:UOD655423 UOD720946:UOD720959 UOD786482:UOD786495 UOD852018:UOD852031 UOD917554:UOD917567 UOD983090:UOD983103 UOP8:UOP33 UXZ65586:UXZ65599 UXZ131122:UXZ131135 UXZ196658:UXZ196671 UXZ262194:UXZ262207 UXZ327730:UXZ327743 UXZ393266:UXZ393279 UXZ458802:UXZ458815 UXZ524338:UXZ524351 UXZ589874:UXZ589887 UXZ655410:UXZ655423 UXZ720946:UXZ720959 UXZ786482:UXZ786495 UXZ852018:UXZ852031 UXZ917554:UXZ917567 UXZ983090:UXZ983103 UYL8:UYL33 VHV65586:VHV65599 VHV131122:VHV131135 VHV196658:VHV196671 VHV262194:VHV262207 VHV327730:VHV327743 VHV393266:VHV393279 VHV458802:VHV458815 VHV524338:VHV524351 VHV589874:VHV589887 VHV655410:VHV655423 VHV720946:VHV720959 VHV786482:VHV786495 VHV852018:VHV852031 VHV917554:VHV917567 VHV983090:VHV983103 VIH8:VIH33 VRR65586:VRR65599 VRR131122:VRR131135 VRR196658:VRR196671 VRR262194:VRR262207 VRR327730:VRR327743 VRR393266:VRR393279 VRR458802:VRR458815 VRR524338:VRR524351 VRR589874:VRR589887 VRR655410:VRR655423 VRR720946:VRR720959 VRR786482:VRR786495 VRR852018:VRR852031 VRR917554:VRR917567 VRR983090:VRR983103 VSD8:VSD33 WBN65586:WBN65599 WBN131122:WBN131135 WBN196658:WBN196671 WBN262194:WBN262207 WBN327730:WBN327743 WBN393266:WBN393279 WBN458802:WBN458815 WBN524338:WBN524351 WBN589874:WBN589887 WBN655410:WBN655423 WBN720946:WBN720959 WBN786482:WBN786495 WBN852018:WBN852031 WBN917554:WBN917567 WBN983090:WBN983103 WBZ8:WBZ33 WLJ65586:WLJ65599 WLJ131122:WLJ131135 WLJ196658:WLJ196671 WLJ262194:WLJ262207 WLJ327730:WLJ327743 WLJ393266:WLJ393279 WLJ458802:WLJ458815 WLJ524338:WLJ524351 WLJ589874:WLJ589887 WLJ655410:WLJ655423 WLJ720946:WLJ720959 WLJ786482:WLJ786495 WLJ852018:WLJ852031 WLJ917554:WLJ917567 WLJ983090:WLJ983103 WLV8:WLV33 WVF65586:WVF65599 WVF131122:WVF131135 WVF196658:WVF196671 WVF262194:WVF262207 WVF327730:WVF327743 WVF393266:WVF393279 WVF458802:WVF458815 WVF524338:WVF524351 WVF589874:WVF589887 WVF655410:WVF655423 WVF720946:WVF720959 WVF786482:WVF786495 WVF852018:WVF852031 WVF917554:WVF917567 WVF983090:WVF983103 WVR8:WVR33">
      <formula1>"项目经理,开发工程师,产品经理,策划工程师,需求分析师,配置管理员,质量保证工程师,UI及美工,3D建模工程师,架构师,测试工程师,其他"</formula1>
    </dataValidation>
    <dataValidation allowBlank="1" showInputMessage="1" showErrorMessage="1" prompt="估算规模是“开发工作量估算”sheet中列出的需求项总数。" sqref="K3:K4 K65581:K65582 K131117:K131118 K196653:K196654 K262189:K262190 K327725:K327726 K393261:K393262 K458797:K458798 K524333:K524334 K589869:K589870 K655405:K655406 K720941:K720942 K786477:K786478 K852013:K852014 K917549:K917550 K983085:K983086 JB3:JB4 JD65581:JD65582 JD131117:JD131118 JD196653:JD196654 JD262189:JD262190 JD327725:JD327726 JD393261:JD393262 JD458797:JD458798 JD524333:JD524334 JD589869:JD589870 JD655405:JD655406 JD720941:JD720942 JD786477:JD786478 JD852013:JD852014 JD917549:JD917550 JD983085:JD983086 SX3:SX4 SZ65581:SZ65582 SZ131117:SZ131118 SZ196653:SZ196654 SZ262189:SZ262190 SZ327725:SZ327726 SZ393261:SZ393262 SZ458797:SZ458798 SZ524333:SZ524334 SZ589869:SZ589870 SZ655405:SZ655406 SZ720941:SZ720942 SZ786477:SZ786478 SZ852013:SZ852014 SZ917549:SZ917550 SZ983085:SZ983086 ACT3:ACT4 ACV65581:ACV65582 ACV131117:ACV131118 ACV196653:ACV196654 ACV262189:ACV262190 ACV327725:ACV327726 ACV393261:ACV393262 ACV458797:ACV458798 ACV524333:ACV524334 ACV589869:ACV589870 ACV655405:ACV655406 ACV720941:ACV720942 ACV786477:ACV786478 ACV852013:ACV852014 ACV917549:ACV917550 ACV983085:ACV983086 AMP3:AMP4 AMR65581:AMR65582 AMR131117:AMR131118 AMR196653:AMR196654 AMR262189:AMR262190 AMR327725:AMR327726 AMR393261:AMR393262 AMR458797:AMR458798 AMR524333:AMR524334 AMR589869:AMR589870 AMR655405:AMR655406 AMR720941:AMR720942 AMR786477:AMR786478 AMR852013:AMR852014 AMR917549:AMR917550 AMR983085:AMR983086 AWL3:AWL4 AWN65581:AWN65582 AWN131117:AWN131118 AWN196653:AWN196654 AWN262189:AWN262190 AWN327725:AWN327726 AWN393261:AWN393262 AWN458797:AWN458798 AWN524333:AWN524334 AWN589869:AWN589870 AWN655405:AWN655406 AWN720941:AWN720942 AWN786477:AWN786478 AWN852013:AWN852014 AWN917549:AWN917550 AWN983085:AWN983086 BGH3:BGH4 BGJ65581:BGJ65582 BGJ131117:BGJ131118 BGJ196653:BGJ196654 BGJ262189:BGJ262190 BGJ327725:BGJ327726 BGJ393261:BGJ393262 BGJ458797:BGJ458798 BGJ524333:BGJ524334 BGJ589869:BGJ589870 BGJ655405:BGJ655406 BGJ720941:BGJ720942 BGJ786477:BGJ786478 BGJ852013:BGJ852014 BGJ917549:BGJ917550 BGJ983085:BGJ983086 BQD3:BQD4 BQF65581:BQF65582 BQF131117:BQF131118 BQF196653:BQF196654 BQF262189:BQF262190 BQF327725:BQF327726 BQF393261:BQF393262 BQF458797:BQF458798 BQF524333:BQF524334 BQF589869:BQF589870 BQF655405:BQF655406 BQF720941:BQF720942 BQF786477:BQF786478 BQF852013:BQF852014 BQF917549:BQF917550 BQF983085:BQF983086 BZZ3:BZZ4 CAB65581:CAB65582 CAB131117:CAB131118 CAB196653:CAB196654 CAB262189:CAB262190 CAB327725:CAB327726 CAB393261:CAB393262 CAB458797:CAB458798 CAB524333:CAB524334 CAB589869:CAB589870 CAB655405:CAB655406 CAB720941:CAB720942 CAB786477:CAB786478 CAB852013:CAB852014 CAB917549:CAB917550 CAB983085:CAB983086 CJV3:CJV4 CJX65581:CJX65582 CJX131117:CJX131118 CJX196653:CJX196654 CJX262189:CJX262190 CJX327725:CJX327726 CJX393261:CJX393262 CJX458797:CJX458798 CJX524333:CJX524334 CJX589869:CJX589870 CJX655405:CJX655406 CJX720941:CJX720942 CJX786477:CJX786478 CJX852013:CJX852014 CJX917549:CJX917550 CJX983085:CJX983086 CTR3:CTR4 CTT65581:CTT65582 CTT131117:CTT131118 CTT196653:CTT196654 CTT262189:CTT262190 CTT327725:CTT327726 CTT393261:CTT393262 CTT458797:CTT458798 CTT524333:CTT524334 CTT589869:CTT589870 CTT655405:CTT655406 CTT720941:CTT720942 CTT786477:CTT786478 CTT852013:CTT852014 CTT917549:CTT917550 CTT983085:CTT983086 DDN3:DDN4 DDP65581:DDP65582 DDP131117:DDP131118 DDP196653:DDP196654 DDP262189:DDP262190 DDP327725:DDP327726 DDP393261:DDP393262 DDP458797:DDP458798 DDP524333:DDP524334 DDP589869:DDP589870 DDP655405:DDP655406 DDP720941:DDP720942 DDP786477:DDP786478 DDP852013:DDP852014 DDP917549:DDP917550 DDP983085:DDP983086 DNJ3:DNJ4 DNL65581:DNL65582 DNL131117:DNL131118 DNL196653:DNL196654 DNL262189:DNL262190 DNL327725:DNL327726 DNL393261:DNL393262 DNL458797:DNL458798 DNL524333:DNL524334 DNL589869:DNL589870 DNL655405:DNL655406 DNL720941:DNL720942 DNL786477:DNL786478 DNL852013:DNL852014 DNL917549:DNL917550 DNL983085:DNL983086 DXF3:DXF4 DXH65581:DXH65582 DXH131117:DXH131118 DXH196653:DXH196654 DXH262189:DXH262190 DXH327725:DXH327726 DXH393261:DXH393262 DXH458797:DXH458798 DXH524333:DXH524334 DXH589869:DXH589870 DXH655405:DXH655406 DXH720941:DXH720942 DXH786477:DXH786478 DXH852013:DXH852014 DXH917549:DXH917550 DXH983085:DXH983086 EHB3:EHB4 EHD65581:EHD65582 EHD131117:EHD131118 EHD196653:EHD196654 EHD262189:EHD262190 EHD327725:EHD327726 EHD393261:EHD393262 EHD458797:EHD458798 EHD524333:EHD524334 EHD589869:EHD589870 EHD655405:EHD655406 EHD720941:EHD720942 EHD786477:EHD786478 EHD852013:EHD852014 EHD917549:EHD917550 EHD983085:EHD983086 EQX3:EQX4 EQZ65581:EQZ65582 EQZ131117:EQZ131118 EQZ196653:EQZ196654 EQZ262189:EQZ262190 EQZ327725:EQZ327726 EQZ393261:EQZ393262 EQZ458797:EQZ458798 EQZ524333:EQZ524334 EQZ589869:EQZ589870 EQZ655405:EQZ655406 EQZ720941:EQZ720942 EQZ786477:EQZ786478 EQZ852013:EQZ852014 EQZ917549:EQZ917550 EQZ983085:EQZ983086 FAT3:FAT4 FAV65581:FAV65582 FAV131117:FAV131118 FAV196653:FAV196654 FAV262189:FAV262190 FAV327725:FAV327726 FAV393261:FAV393262 FAV458797:FAV458798 FAV524333:FAV524334 FAV589869:FAV589870 FAV655405:FAV655406 FAV720941:FAV720942 FAV786477:FAV786478 FAV852013:FAV852014 FAV917549:FAV917550 FAV983085:FAV983086 FKP3:FKP4 FKR65581:FKR65582 FKR131117:FKR131118 FKR196653:FKR196654 FKR262189:FKR262190 FKR327725:FKR327726 FKR393261:FKR393262 FKR458797:FKR458798 FKR524333:FKR524334 FKR589869:FKR589870 FKR655405:FKR655406 FKR720941:FKR720942 FKR786477:FKR786478 FKR852013:FKR852014 FKR917549:FKR917550 FKR983085:FKR983086 FUL3:FUL4 FUN65581:FUN65582 FUN131117:FUN131118 FUN196653:FUN196654 FUN262189:FUN262190 FUN327725:FUN327726 FUN393261:FUN393262 FUN458797:FUN458798 FUN524333:FUN524334 FUN589869:FUN589870 FUN655405:FUN655406 FUN720941:FUN720942 FUN786477:FUN786478 FUN852013:FUN852014 FUN917549:FUN917550 FUN983085:FUN983086 GEH3:GEH4 GEJ65581:GEJ65582 GEJ131117:GEJ131118 GEJ196653:GEJ196654 GEJ262189:GEJ262190 GEJ327725:GEJ327726 GEJ393261:GEJ393262 GEJ458797:GEJ458798 GEJ524333:GEJ524334 GEJ589869:GEJ589870 GEJ655405:GEJ655406 GEJ720941:GEJ720942 GEJ786477:GEJ786478 GEJ852013:GEJ852014 GEJ917549:GEJ917550 GEJ983085:GEJ983086 GOD3:GOD4 GOF65581:GOF65582 GOF131117:GOF131118 GOF196653:GOF196654 GOF262189:GOF262190 GOF327725:GOF327726 GOF393261:GOF393262 GOF458797:GOF458798 GOF524333:GOF524334 GOF589869:GOF589870 GOF655405:GOF655406 GOF720941:GOF720942 GOF786477:GOF786478 GOF852013:GOF852014 GOF917549:GOF917550 GOF983085:GOF983086 GXZ3:GXZ4 GYB65581:GYB65582 GYB131117:GYB131118 GYB196653:GYB196654 GYB262189:GYB262190 GYB327725:GYB327726 GYB393261:GYB393262 GYB458797:GYB458798 GYB524333:GYB524334 GYB589869:GYB589870 GYB655405:GYB655406 GYB720941:GYB720942 GYB786477:GYB786478 GYB852013:GYB852014 GYB917549:GYB917550 GYB983085:GYB983086 HHV3:HHV4 HHX65581:HHX65582 HHX131117:HHX131118 HHX196653:HHX196654 HHX262189:HHX262190 HHX327725:HHX327726 HHX393261:HHX393262 HHX458797:HHX458798 HHX524333:HHX524334 HHX589869:HHX589870 HHX655405:HHX655406 HHX720941:HHX720942 HHX786477:HHX786478 HHX852013:HHX852014 HHX917549:HHX917550 HHX983085:HHX983086 HRR3:HRR4 HRT65581:HRT65582 HRT131117:HRT131118 HRT196653:HRT196654 HRT262189:HRT262190 HRT327725:HRT327726 HRT393261:HRT393262 HRT458797:HRT458798 HRT524333:HRT524334 HRT589869:HRT589870 HRT655405:HRT655406 HRT720941:HRT720942 HRT786477:HRT786478 HRT852013:HRT852014 HRT917549:HRT917550 HRT983085:HRT983086 IBN3:IBN4 IBP65581:IBP65582 IBP131117:IBP131118 IBP196653:IBP196654 IBP262189:IBP262190 IBP327725:IBP327726 IBP393261:IBP393262 IBP458797:IBP458798 IBP524333:IBP524334 IBP589869:IBP589870 IBP655405:IBP655406 IBP720941:IBP720942 IBP786477:IBP786478 IBP852013:IBP852014 IBP917549:IBP917550 IBP983085:IBP983086 ILJ3:ILJ4 ILL65581:ILL65582 ILL131117:ILL131118 ILL196653:ILL196654 ILL262189:ILL262190 ILL327725:ILL327726 ILL393261:ILL393262 ILL458797:ILL458798 ILL524333:ILL524334 ILL589869:ILL589870 ILL655405:ILL655406 ILL720941:ILL720942 ILL786477:ILL786478 ILL852013:ILL852014 ILL917549:ILL917550 ILL983085:ILL983086 IVF3:IVF4 IVH65581:IVH65582 IVH131117:IVH131118 IVH196653:IVH196654 IVH262189:IVH262190 IVH327725:IVH327726 IVH393261:IVH393262 IVH458797:IVH458798 IVH524333:IVH524334 IVH589869:IVH589870 IVH655405:IVH655406 IVH720941:IVH720942 IVH786477:IVH786478 IVH852013:IVH852014 IVH917549:IVH917550 IVH983085:IVH983086 JFB3:JFB4 JFD65581:JFD65582 JFD131117:JFD131118 JFD196653:JFD196654 JFD262189:JFD262190 JFD327725:JFD327726 JFD393261:JFD393262 JFD458797:JFD458798 JFD524333:JFD524334 JFD589869:JFD589870 JFD655405:JFD655406 JFD720941:JFD720942 JFD786477:JFD786478 JFD852013:JFD852014 JFD917549:JFD917550 JFD983085:JFD983086 JOX3:JOX4 JOZ65581:JOZ65582 JOZ131117:JOZ131118 JOZ196653:JOZ196654 JOZ262189:JOZ262190 JOZ327725:JOZ327726 JOZ393261:JOZ393262 JOZ458797:JOZ458798 JOZ524333:JOZ524334 JOZ589869:JOZ589870 JOZ655405:JOZ655406 JOZ720941:JOZ720942 JOZ786477:JOZ786478 JOZ852013:JOZ852014 JOZ917549:JOZ917550 JOZ983085:JOZ983086 JYT3:JYT4 JYV65581:JYV65582 JYV131117:JYV131118 JYV196653:JYV196654 JYV262189:JYV262190 JYV327725:JYV327726 JYV393261:JYV393262 JYV458797:JYV458798 JYV524333:JYV524334 JYV589869:JYV589870 JYV655405:JYV655406 JYV720941:JYV720942 JYV786477:JYV786478 JYV852013:JYV852014 JYV917549:JYV917550 JYV983085:JYV983086 KIP3:KIP4 KIR65581:KIR65582 KIR131117:KIR131118 KIR196653:KIR196654 KIR262189:KIR262190 KIR327725:KIR327726 KIR393261:KIR393262 KIR458797:KIR458798 KIR524333:KIR524334 KIR589869:KIR589870 KIR655405:KIR655406 KIR720941:KIR720942 KIR786477:KIR786478 KIR852013:KIR852014 KIR917549:KIR917550 KIR983085:KIR983086 KSL3:KSL4 KSN65581:KSN65582 KSN131117:KSN131118 KSN196653:KSN196654 KSN262189:KSN262190 KSN327725:KSN327726 KSN393261:KSN393262 KSN458797:KSN458798 KSN524333:KSN524334 KSN589869:KSN589870 KSN655405:KSN655406 KSN720941:KSN720942 KSN786477:KSN786478 KSN852013:KSN852014 KSN917549:KSN917550 KSN983085:KSN983086 LCH3:LCH4 LCJ65581:LCJ65582 LCJ131117:LCJ131118 LCJ196653:LCJ196654 LCJ262189:LCJ262190 LCJ327725:LCJ327726 LCJ393261:LCJ393262 LCJ458797:LCJ458798 LCJ524333:LCJ524334 LCJ589869:LCJ589870 LCJ655405:LCJ655406 LCJ720941:LCJ720942 LCJ786477:LCJ786478 LCJ852013:LCJ852014 LCJ917549:LCJ917550 LCJ983085:LCJ983086 LMD3:LMD4 LMF65581:LMF65582 LMF131117:LMF131118 LMF196653:LMF196654 LMF262189:LMF262190 LMF327725:LMF327726 LMF393261:LMF393262 LMF458797:LMF458798 LMF524333:LMF524334 LMF589869:LMF589870 LMF655405:LMF655406 LMF720941:LMF720942 LMF786477:LMF786478 LMF852013:LMF852014 LMF917549:LMF917550 LMF983085:LMF983086 LVZ3:LVZ4 LWB65581:LWB65582 LWB131117:LWB131118 LWB196653:LWB196654 LWB262189:LWB262190 LWB327725:LWB327726 LWB393261:LWB393262 LWB458797:LWB458798 LWB524333:LWB524334 LWB589869:LWB589870 LWB655405:LWB655406 LWB720941:LWB720942 LWB786477:LWB786478 LWB852013:LWB852014 LWB917549:LWB917550 LWB983085:LWB983086 MFV3:MFV4 MFX65581:MFX65582 MFX131117:MFX131118 MFX196653:MFX196654 MFX262189:MFX262190 MFX327725:MFX327726 MFX393261:MFX393262 MFX458797:MFX458798 MFX524333:MFX524334 MFX589869:MFX589870 MFX655405:MFX655406 MFX720941:MFX720942 MFX786477:MFX786478 MFX852013:MFX852014 MFX917549:MFX917550 MFX983085:MFX983086 MPR3:MPR4 MPT65581:MPT65582 MPT131117:MPT131118 MPT196653:MPT196654 MPT262189:MPT262190 MPT327725:MPT327726 MPT393261:MPT393262 MPT458797:MPT458798 MPT524333:MPT524334 MPT589869:MPT589870 MPT655405:MPT655406 MPT720941:MPT720942 MPT786477:MPT786478 MPT852013:MPT852014 MPT917549:MPT917550 MPT983085:MPT983086 MZN3:MZN4 MZP65581:MZP65582 MZP131117:MZP131118 MZP196653:MZP196654 MZP262189:MZP262190 MZP327725:MZP327726 MZP393261:MZP393262 MZP458797:MZP458798 MZP524333:MZP524334 MZP589869:MZP589870 MZP655405:MZP655406 MZP720941:MZP720942 MZP786477:MZP786478 MZP852013:MZP852014 MZP917549:MZP917550 MZP983085:MZP983086 NJJ3:NJJ4 NJL65581:NJL65582 NJL131117:NJL131118 NJL196653:NJL196654 NJL262189:NJL262190 NJL327725:NJL327726 NJL393261:NJL393262 NJL458797:NJL458798 NJL524333:NJL524334 NJL589869:NJL589870 NJL655405:NJL655406 NJL720941:NJL720942 NJL786477:NJL786478 NJL852013:NJL852014 NJL917549:NJL917550 NJL983085:NJL983086 NTF3:NTF4 NTH65581:NTH65582 NTH131117:NTH131118 NTH196653:NTH196654 NTH262189:NTH262190 NTH327725:NTH327726 NTH393261:NTH393262 NTH458797:NTH458798 NTH524333:NTH524334 NTH589869:NTH589870 NTH655405:NTH655406 NTH720941:NTH720942 NTH786477:NTH786478 NTH852013:NTH852014 NTH917549:NTH917550 NTH983085:NTH983086 ODB3:ODB4 ODD65581:ODD65582 ODD131117:ODD131118 ODD196653:ODD196654 ODD262189:ODD262190 ODD327725:ODD327726 ODD393261:ODD393262 ODD458797:ODD458798 ODD524333:ODD524334 ODD589869:ODD589870 ODD655405:ODD655406 ODD720941:ODD720942 ODD786477:ODD786478 ODD852013:ODD852014 ODD917549:ODD917550 ODD983085:ODD983086 OMX3:OMX4 OMZ65581:OMZ65582 OMZ131117:OMZ131118 OMZ196653:OMZ196654 OMZ262189:OMZ262190 OMZ327725:OMZ327726 OMZ393261:OMZ393262 OMZ458797:OMZ458798 OMZ524333:OMZ524334 OMZ589869:OMZ589870 OMZ655405:OMZ655406 OMZ720941:OMZ720942 OMZ786477:OMZ786478 OMZ852013:OMZ852014 OMZ917549:OMZ917550 OMZ983085:OMZ983086 OWT3:OWT4 OWV65581:OWV65582 OWV131117:OWV131118 OWV196653:OWV196654 OWV262189:OWV262190 OWV327725:OWV327726 OWV393261:OWV393262 OWV458797:OWV458798 OWV524333:OWV524334 OWV589869:OWV589870 OWV655405:OWV655406 OWV720941:OWV720942 OWV786477:OWV786478 OWV852013:OWV852014 OWV917549:OWV917550 OWV983085:OWV983086 PGP3:PGP4 PGR65581:PGR65582 PGR131117:PGR131118 PGR196653:PGR196654 PGR262189:PGR262190 PGR327725:PGR327726 PGR393261:PGR393262 PGR458797:PGR458798 PGR524333:PGR524334 PGR589869:PGR589870 PGR655405:PGR655406 PGR720941:PGR720942 PGR786477:PGR786478 PGR852013:PGR852014 PGR917549:PGR917550 PGR983085:PGR983086 PQL3:PQL4 PQN65581:PQN65582 PQN131117:PQN131118 PQN196653:PQN196654 PQN262189:PQN262190 PQN327725:PQN327726 PQN393261:PQN393262 PQN458797:PQN458798 PQN524333:PQN524334 PQN589869:PQN589870 PQN655405:PQN655406 PQN720941:PQN720942 PQN786477:PQN786478 PQN852013:PQN852014 PQN917549:PQN917550 PQN983085:PQN983086 QAH3:QAH4 QAJ65581:QAJ65582 QAJ131117:QAJ131118 QAJ196653:QAJ196654 QAJ262189:QAJ262190 QAJ327725:QAJ327726 QAJ393261:QAJ393262 QAJ458797:QAJ458798 QAJ524333:QAJ524334 QAJ589869:QAJ589870 QAJ655405:QAJ655406 QAJ720941:QAJ720942 QAJ786477:QAJ786478 QAJ852013:QAJ852014 QAJ917549:QAJ917550 QAJ983085:QAJ983086 QKD3:QKD4 QKF65581:QKF65582 QKF131117:QKF131118 QKF196653:QKF196654 QKF262189:QKF262190 QKF327725:QKF327726 QKF393261:QKF393262 QKF458797:QKF458798 QKF524333:QKF524334 QKF589869:QKF589870 QKF655405:QKF655406 QKF720941:QKF720942 QKF786477:QKF786478 QKF852013:QKF852014 QKF917549:QKF917550 QKF983085:QKF983086 QTZ3:QTZ4 QUB65581:QUB65582 QUB131117:QUB131118 QUB196653:QUB196654 QUB262189:QUB262190 QUB327725:QUB327726 QUB393261:QUB393262 QUB458797:QUB458798 QUB524333:QUB524334 QUB589869:QUB589870 QUB655405:QUB655406 QUB720941:QUB720942 QUB786477:QUB786478 QUB852013:QUB852014 QUB917549:QUB917550 QUB983085:QUB983086 RDV3:RDV4 RDX65581:RDX65582 RDX131117:RDX131118 RDX196653:RDX196654 RDX262189:RDX262190 RDX327725:RDX327726 RDX393261:RDX393262 RDX458797:RDX458798 RDX524333:RDX524334 RDX589869:RDX589870 RDX655405:RDX655406 RDX720941:RDX720942 RDX786477:RDX786478 RDX852013:RDX852014 RDX917549:RDX917550 RDX983085:RDX983086 RNR3:RNR4 RNT65581:RNT65582 RNT131117:RNT131118 RNT196653:RNT196654 RNT262189:RNT262190 RNT327725:RNT327726 RNT393261:RNT393262 RNT458797:RNT458798 RNT524333:RNT524334 RNT589869:RNT589870 RNT655405:RNT655406 RNT720941:RNT720942 RNT786477:RNT786478 RNT852013:RNT852014 RNT917549:RNT917550 RNT983085:RNT983086 RXN3:RXN4 RXP65581:RXP65582 RXP131117:RXP131118 RXP196653:RXP196654 RXP262189:RXP262190 RXP327725:RXP327726 RXP393261:RXP393262 RXP458797:RXP458798 RXP524333:RXP524334 RXP589869:RXP589870 RXP655405:RXP655406 RXP720941:RXP720942 RXP786477:RXP786478 RXP852013:RXP852014 RXP917549:RXP917550 RXP983085:RXP983086 SHJ3:SHJ4 SHL65581:SHL65582 SHL131117:SHL131118 SHL196653:SHL196654 SHL262189:SHL262190 SHL327725:SHL327726 SHL393261:SHL393262 SHL458797:SHL458798 SHL524333:SHL524334 SHL589869:SHL589870 SHL655405:SHL655406 SHL720941:SHL720942 SHL786477:SHL786478 SHL852013:SHL852014 SHL917549:SHL917550 SHL983085:SHL983086 SRF3:SRF4 SRH65581:SRH65582 SRH131117:SRH131118 SRH196653:SRH196654 SRH262189:SRH262190 SRH327725:SRH327726 SRH393261:SRH393262 SRH458797:SRH458798 SRH524333:SRH524334 SRH589869:SRH589870 SRH655405:SRH655406 SRH720941:SRH720942 SRH786477:SRH786478 SRH852013:SRH852014 SRH917549:SRH917550 SRH983085:SRH983086 TBB3:TBB4 TBD65581:TBD65582 TBD131117:TBD131118 TBD196653:TBD196654 TBD262189:TBD262190 TBD327725:TBD327726 TBD393261:TBD393262 TBD458797:TBD458798 TBD524333:TBD524334 TBD589869:TBD589870 TBD655405:TBD655406 TBD720941:TBD720942 TBD786477:TBD786478 TBD852013:TBD852014 TBD917549:TBD917550 TBD983085:TBD983086 TKX3:TKX4 TKZ65581:TKZ65582 TKZ131117:TKZ131118 TKZ196653:TKZ196654 TKZ262189:TKZ262190 TKZ327725:TKZ327726 TKZ393261:TKZ393262 TKZ458797:TKZ458798 TKZ524333:TKZ524334 TKZ589869:TKZ589870 TKZ655405:TKZ655406 TKZ720941:TKZ720942 TKZ786477:TKZ786478 TKZ852013:TKZ852014 TKZ917549:TKZ917550 TKZ983085:TKZ983086 TUT3:TUT4 TUV65581:TUV65582 TUV131117:TUV131118 TUV196653:TUV196654 TUV262189:TUV262190 TUV327725:TUV327726 TUV393261:TUV393262 TUV458797:TUV458798 TUV524333:TUV524334 TUV589869:TUV589870 TUV655405:TUV655406 TUV720941:TUV720942 TUV786477:TUV786478 TUV852013:TUV852014 TUV917549:TUV917550 TUV983085:TUV983086 UEP3:UEP4 UER65581:UER65582 UER131117:UER131118 UER196653:UER196654 UER262189:UER262190 UER327725:UER327726 UER393261:UER393262 UER458797:UER458798 UER524333:UER524334 UER589869:UER589870 UER655405:UER655406 UER720941:UER720942 UER786477:UER786478 UER852013:UER852014 UER917549:UER917550 UER983085:UER983086 UOL3:UOL4 UON65581:UON65582 UON131117:UON131118 UON196653:UON196654 UON262189:UON262190 UON327725:UON327726 UON393261:UON393262 UON458797:UON458798 UON524333:UON524334 UON589869:UON589870 UON655405:UON655406 UON720941:UON720942 UON786477:UON786478 UON852013:UON852014 UON917549:UON917550 UON983085:UON983086 UYH3:UYH4 UYJ65581:UYJ65582 UYJ131117:UYJ131118 UYJ196653:UYJ196654 UYJ262189:UYJ262190 UYJ327725:UYJ327726 UYJ393261:UYJ393262 UYJ458797:UYJ458798 UYJ524333:UYJ524334 UYJ589869:UYJ589870 UYJ655405:UYJ655406 UYJ720941:UYJ720942 UYJ786477:UYJ786478 UYJ852013:UYJ852014 UYJ917549:UYJ917550 UYJ983085:UYJ983086 VID3:VID4 VIF65581:VIF65582 VIF131117:VIF131118 VIF196653:VIF196654 VIF262189:VIF262190 VIF327725:VIF327726 VIF393261:VIF393262 VIF458797:VIF458798 VIF524333:VIF524334 VIF589869:VIF589870 VIF655405:VIF655406 VIF720941:VIF720942 VIF786477:VIF786478 VIF852013:VIF852014 VIF917549:VIF917550 VIF983085:VIF983086 VRZ3:VRZ4 VSB65581:VSB65582 VSB131117:VSB131118 VSB196653:VSB196654 VSB262189:VSB262190 VSB327725:VSB327726 VSB393261:VSB393262 VSB458797:VSB458798 VSB524333:VSB524334 VSB589869:VSB589870 VSB655405:VSB655406 VSB720941:VSB720942 VSB786477:VSB786478 VSB852013:VSB852014 VSB917549:VSB917550 VSB983085:VSB983086 WBV3:WBV4 WBX65581:WBX65582 WBX131117:WBX131118 WBX196653:WBX196654 WBX262189:WBX262190 WBX327725:WBX327726 WBX393261:WBX393262 WBX458797:WBX458798 WBX524333:WBX524334 WBX589869:WBX589870 WBX655405:WBX655406 WBX720941:WBX720942 WBX786477:WBX786478 WBX852013:WBX852014 WBX917549:WBX917550 WBX983085:WBX983086 WLR3:WLR4 WLT65581:WLT65582 WLT131117:WLT131118 WLT196653:WLT196654 WLT262189:WLT262190 WLT327725:WLT327726 WLT393261:WLT393262 WLT458797:WLT458798 WLT524333:WLT524334 WLT589869:WLT589870 WLT655405:WLT655406 WLT720941:WLT720942 WLT786477:WLT786478 WLT852013:WLT852014 WLT917549:WLT917550 WLT983085:WLT983086 WVN3:WVN4 WVP65581:WVP65582 WVP131117:WVP131118 WVP196653:WVP196654 WVP262189:WVP262190 WVP327725:WVP327726 WVP393261:WVP393262 WVP458797:WVP458798 WVP524333:WVP524334 WVP589869:WVP589870 WVP655405:WVP655406 WVP720941:WVP720942 WVP786477:WVP786478 WVP852013:WVP852014 WVP917549:WVP917550 WVP983085:WVP983086"/>
    <dataValidation type="list" allowBlank="1" showInputMessage="1" showErrorMessage="1" sqref="F983090:G983103 IY983090:IZ983103 SU983090:SV983103 ACQ983090:ACR983103 AMM983090:AMN983103 AWI983090:AWJ983103 BGE983090:BGF983103 BQA983090:BQB983103 BZW983090:BZX983103 CJS983090:CJT983103 CTO983090:CTP983103 DDK983090:DDL983103 DNG983090:DNH983103 DXC983090:DXD983103 EGY983090:EGZ983103 EQU983090:EQV983103 FAQ983090:FAR983103 FKM983090:FKN983103 FUI983090:FUJ983103 GEE983090:GEF983103 GOA983090:GOB983103 GXW983090:GXX983103 HHS983090:HHT983103 HRO983090:HRP983103 IBK983090:IBL983103 ILG983090:ILH983103 IVC983090:IVD983103 JEY983090:JEZ983103 JOU983090:JOV983103 JYQ983090:JYR983103 KIM983090:KIN983103 KSI983090:KSJ983103 LCE983090:LCF983103 LMA983090:LMB983103 LVW983090:LVX983103 MFS983090:MFT983103 MPO983090:MPP983103 MZK983090:MZL983103 NJG983090:NJH983103 NTC983090:NTD983103 OCY983090:OCZ983103 OMU983090:OMV983103 OWQ983090:OWR983103 PGM983090:PGN983103 PQI983090:PQJ983103 QAE983090:QAF983103 QKA983090:QKB983103 QTW983090:QTX983103 RDS983090:RDT983103 RNO983090:RNP983103 RXK983090:RXL983103 SHG983090:SHH983103 SRC983090:SRD983103 TAY983090:TAZ983103 TKU983090:TKV983103 TUQ983090:TUR983103 UEM983090:UEN983103 UOI983090:UOJ983103 UYE983090:UYF983103 VIA983090:VIB983103 VRW983090:VRX983103 WBS983090:WBT983103 WLO983090:WLP983103 WVK983090:WVL983103 F65586:G65599 IY65586:IZ65599 SU65586:SV65599 ACQ65586:ACR65599 AMM65586:AMN65599 AWI65586:AWJ65599 BGE65586:BGF65599 BQA65586:BQB65599 BZW65586:BZX65599 CJS65586:CJT65599 CTO65586:CTP65599 DDK65586:DDL65599 DNG65586:DNH65599 DXC65586:DXD65599 EGY65586:EGZ65599 EQU65586:EQV65599 FAQ65586:FAR65599 FKM65586:FKN65599 FUI65586:FUJ65599 GEE65586:GEF65599 GOA65586:GOB65599 GXW65586:GXX65599 HHS65586:HHT65599 HRO65586:HRP65599 IBK65586:IBL65599 ILG65586:ILH65599 IVC65586:IVD65599 JEY65586:JEZ65599 JOU65586:JOV65599 JYQ65586:JYR65599 KIM65586:KIN65599 KSI65586:KSJ65599 LCE65586:LCF65599 LMA65586:LMB65599 LVW65586:LVX65599 MFS65586:MFT65599 MPO65586:MPP65599 MZK65586:MZL65599 NJG65586:NJH65599 NTC65586:NTD65599 OCY65586:OCZ65599 OMU65586:OMV65599 OWQ65586:OWR65599 PGM65586:PGN65599 PQI65586:PQJ65599 QAE65586:QAF65599 QKA65586:QKB65599 QTW65586:QTX65599 RDS65586:RDT65599 RNO65586:RNP65599 RXK65586:RXL65599 SHG65586:SHH65599 SRC65586:SRD65599 TAY65586:TAZ65599 TKU65586:TKV65599 TUQ65586:TUR65599 UEM65586:UEN65599 UOI65586:UOJ65599 UYE65586:UYF65599 VIA65586:VIB65599 VRW65586:VRX65599 WBS65586:WBT65599 WLO65586:WLP65599 WVK65586:WVL65599 F131122:G131135 IY131122:IZ131135 SU131122:SV131135 ACQ131122:ACR131135 AMM131122:AMN131135 AWI131122:AWJ131135 BGE131122:BGF131135 BQA131122:BQB131135 BZW131122:BZX131135 CJS131122:CJT131135 CTO131122:CTP131135 DDK131122:DDL131135 DNG131122:DNH131135 DXC131122:DXD131135 EGY131122:EGZ131135 EQU131122:EQV131135 FAQ131122:FAR131135 FKM131122:FKN131135 FUI131122:FUJ131135 GEE131122:GEF131135 GOA131122:GOB131135 GXW131122:GXX131135 HHS131122:HHT131135 HRO131122:HRP131135 IBK131122:IBL131135 ILG131122:ILH131135 IVC131122:IVD131135 JEY131122:JEZ131135 JOU131122:JOV131135 JYQ131122:JYR131135 KIM131122:KIN131135 KSI131122:KSJ131135 LCE131122:LCF131135 LMA131122:LMB131135 LVW131122:LVX131135 MFS131122:MFT131135 MPO131122:MPP131135 MZK131122:MZL131135 NJG131122:NJH131135 NTC131122:NTD131135 OCY131122:OCZ131135 OMU131122:OMV131135 OWQ131122:OWR131135 PGM131122:PGN131135 PQI131122:PQJ131135 QAE131122:QAF131135 QKA131122:QKB131135 QTW131122:QTX131135 RDS131122:RDT131135 RNO131122:RNP131135 RXK131122:RXL131135 SHG131122:SHH131135 SRC131122:SRD131135 TAY131122:TAZ131135 TKU131122:TKV131135 TUQ131122:TUR131135 UEM131122:UEN131135 UOI131122:UOJ131135 UYE131122:UYF131135 VIA131122:VIB131135 VRW131122:VRX131135 WBS131122:WBT131135 WLO131122:WLP131135 WVK131122:WVL131135 F196658:G196671 IY196658:IZ196671 SU196658:SV196671 ACQ196658:ACR196671 AMM196658:AMN196671 AWI196658:AWJ196671 BGE196658:BGF196671 BQA196658:BQB196671 BZW196658:BZX196671 CJS196658:CJT196671 CTO196658:CTP196671 DDK196658:DDL196671 DNG196658:DNH196671 DXC196658:DXD196671 EGY196658:EGZ196671 EQU196658:EQV196671 FAQ196658:FAR196671 FKM196658:FKN196671 FUI196658:FUJ196671 GEE196658:GEF196671 GOA196658:GOB196671 GXW196658:GXX196671 HHS196658:HHT196671 HRO196658:HRP196671 IBK196658:IBL196671 ILG196658:ILH196671 IVC196658:IVD196671 JEY196658:JEZ196671 JOU196658:JOV196671 JYQ196658:JYR196671 KIM196658:KIN196671 KSI196658:KSJ196671 LCE196658:LCF196671 LMA196658:LMB196671 LVW196658:LVX196671 MFS196658:MFT196671 MPO196658:MPP196671 MZK196658:MZL196671 NJG196658:NJH196671 NTC196658:NTD196671 OCY196658:OCZ196671 OMU196658:OMV196671 OWQ196658:OWR196671 PGM196658:PGN196671 PQI196658:PQJ196671 QAE196658:QAF196671 QKA196658:QKB196671 QTW196658:QTX196671 RDS196658:RDT196671 RNO196658:RNP196671 RXK196658:RXL196671 SHG196658:SHH196671 SRC196658:SRD196671 TAY196658:TAZ196671 TKU196658:TKV196671 TUQ196658:TUR196671 UEM196658:UEN196671 UOI196658:UOJ196671 UYE196658:UYF196671 VIA196658:VIB196671 VRW196658:VRX196671 WBS196658:WBT196671 WLO196658:WLP196671 WVK196658:WVL196671 F262194:G262207 IY262194:IZ262207 SU262194:SV262207 ACQ262194:ACR262207 AMM262194:AMN262207 AWI262194:AWJ262207 BGE262194:BGF262207 BQA262194:BQB262207 BZW262194:BZX262207 CJS262194:CJT262207 CTO262194:CTP262207 DDK262194:DDL262207 DNG262194:DNH262207 DXC262194:DXD262207 EGY262194:EGZ262207 EQU262194:EQV262207 FAQ262194:FAR262207 FKM262194:FKN262207 FUI262194:FUJ262207 GEE262194:GEF262207 GOA262194:GOB262207 GXW262194:GXX262207 HHS262194:HHT262207 HRO262194:HRP262207 IBK262194:IBL262207 ILG262194:ILH262207 IVC262194:IVD262207 JEY262194:JEZ262207 JOU262194:JOV262207 JYQ262194:JYR262207 KIM262194:KIN262207 KSI262194:KSJ262207 LCE262194:LCF262207 LMA262194:LMB262207 LVW262194:LVX262207 MFS262194:MFT262207 MPO262194:MPP262207 MZK262194:MZL262207 NJG262194:NJH262207 NTC262194:NTD262207 OCY262194:OCZ262207 OMU262194:OMV262207 OWQ262194:OWR262207 PGM262194:PGN262207 PQI262194:PQJ262207 QAE262194:QAF262207 QKA262194:QKB262207 QTW262194:QTX262207 RDS262194:RDT262207 RNO262194:RNP262207 RXK262194:RXL262207 SHG262194:SHH262207 SRC262194:SRD262207 TAY262194:TAZ262207 TKU262194:TKV262207 TUQ262194:TUR262207 UEM262194:UEN262207 UOI262194:UOJ262207 UYE262194:UYF262207 VIA262194:VIB262207 VRW262194:VRX262207 WBS262194:WBT262207 WLO262194:WLP262207 WVK262194:WVL262207 F327730:G327743 IY327730:IZ327743 SU327730:SV327743 ACQ327730:ACR327743 AMM327730:AMN327743 AWI327730:AWJ327743 BGE327730:BGF327743 BQA327730:BQB327743 BZW327730:BZX327743 CJS327730:CJT327743 CTO327730:CTP327743 DDK327730:DDL327743 DNG327730:DNH327743 DXC327730:DXD327743 EGY327730:EGZ327743 EQU327730:EQV327743 FAQ327730:FAR327743 FKM327730:FKN327743 FUI327730:FUJ327743 GEE327730:GEF327743 GOA327730:GOB327743 GXW327730:GXX327743 HHS327730:HHT327743 HRO327730:HRP327743 IBK327730:IBL327743 ILG327730:ILH327743 IVC327730:IVD327743 JEY327730:JEZ327743 JOU327730:JOV327743 JYQ327730:JYR327743 KIM327730:KIN327743 KSI327730:KSJ327743 LCE327730:LCF327743 LMA327730:LMB327743 LVW327730:LVX327743 MFS327730:MFT327743 MPO327730:MPP327743 MZK327730:MZL327743 NJG327730:NJH327743 NTC327730:NTD327743 OCY327730:OCZ327743 OMU327730:OMV327743 OWQ327730:OWR327743 PGM327730:PGN327743 PQI327730:PQJ327743 QAE327730:QAF327743 QKA327730:QKB327743 QTW327730:QTX327743 RDS327730:RDT327743 RNO327730:RNP327743 RXK327730:RXL327743 SHG327730:SHH327743 SRC327730:SRD327743 TAY327730:TAZ327743 TKU327730:TKV327743 TUQ327730:TUR327743 UEM327730:UEN327743 UOI327730:UOJ327743 UYE327730:UYF327743 VIA327730:VIB327743 VRW327730:VRX327743 WBS327730:WBT327743 WLO327730:WLP327743 WVK327730:WVL327743 F393266:G393279 IY393266:IZ393279 SU393266:SV393279 ACQ393266:ACR393279 AMM393266:AMN393279 AWI393266:AWJ393279 BGE393266:BGF393279 BQA393266:BQB393279 BZW393266:BZX393279 CJS393266:CJT393279 CTO393266:CTP393279 DDK393266:DDL393279 DNG393266:DNH393279 DXC393266:DXD393279 EGY393266:EGZ393279 EQU393266:EQV393279 FAQ393266:FAR393279 FKM393266:FKN393279 FUI393266:FUJ393279 GEE393266:GEF393279 GOA393266:GOB393279 GXW393266:GXX393279 HHS393266:HHT393279 HRO393266:HRP393279 IBK393266:IBL393279 ILG393266:ILH393279 IVC393266:IVD393279 JEY393266:JEZ393279 JOU393266:JOV393279 JYQ393266:JYR393279 KIM393266:KIN393279 KSI393266:KSJ393279 LCE393266:LCF393279 LMA393266:LMB393279 LVW393266:LVX393279 MFS393266:MFT393279 MPO393266:MPP393279 MZK393266:MZL393279 NJG393266:NJH393279 NTC393266:NTD393279 OCY393266:OCZ393279 OMU393266:OMV393279 OWQ393266:OWR393279 PGM393266:PGN393279 PQI393266:PQJ393279 QAE393266:QAF393279 QKA393266:QKB393279 QTW393266:QTX393279 RDS393266:RDT393279 RNO393266:RNP393279 RXK393266:RXL393279 SHG393266:SHH393279 SRC393266:SRD393279 TAY393266:TAZ393279 TKU393266:TKV393279 TUQ393266:TUR393279 UEM393266:UEN393279 UOI393266:UOJ393279 UYE393266:UYF393279 VIA393266:VIB393279 VRW393266:VRX393279 WBS393266:WBT393279 WLO393266:WLP393279 WVK393266:WVL393279 F458802:G458815 IY458802:IZ458815 SU458802:SV458815 ACQ458802:ACR458815 AMM458802:AMN458815 AWI458802:AWJ458815 BGE458802:BGF458815 BQA458802:BQB458815 BZW458802:BZX458815 CJS458802:CJT458815 CTO458802:CTP458815 DDK458802:DDL458815 DNG458802:DNH458815 DXC458802:DXD458815 EGY458802:EGZ458815 EQU458802:EQV458815 FAQ458802:FAR458815 FKM458802:FKN458815 FUI458802:FUJ458815 GEE458802:GEF458815 GOA458802:GOB458815 GXW458802:GXX458815 HHS458802:HHT458815 HRO458802:HRP458815 IBK458802:IBL458815 ILG458802:ILH458815 IVC458802:IVD458815 JEY458802:JEZ458815 JOU458802:JOV458815 JYQ458802:JYR458815 KIM458802:KIN458815 KSI458802:KSJ458815 LCE458802:LCF458815 LMA458802:LMB458815 LVW458802:LVX458815 MFS458802:MFT458815 MPO458802:MPP458815 MZK458802:MZL458815 NJG458802:NJH458815 NTC458802:NTD458815 OCY458802:OCZ458815 OMU458802:OMV458815 OWQ458802:OWR458815 PGM458802:PGN458815 PQI458802:PQJ458815 QAE458802:QAF458815 QKA458802:QKB458815 QTW458802:QTX458815 RDS458802:RDT458815 RNO458802:RNP458815 RXK458802:RXL458815 SHG458802:SHH458815 SRC458802:SRD458815 TAY458802:TAZ458815 TKU458802:TKV458815 TUQ458802:TUR458815 UEM458802:UEN458815 UOI458802:UOJ458815 UYE458802:UYF458815 VIA458802:VIB458815 VRW458802:VRX458815 WBS458802:WBT458815 WLO458802:WLP458815 WVK458802:WVL458815 F524338:G524351 IY524338:IZ524351 SU524338:SV524351 ACQ524338:ACR524351 AMM524338:AMN524351 AWI524338:AWJ524351 BGE524338:BGF524351 BQA524338:BQB524351 BZW524338:BZX524351 CJS524338:CJT524351 CTO524338:CTP524351 DDK524338:DDL524351 DNG524338:DNH524351 DXC524338:DXD524351 EGY524338:EGZ524351 EQU524338:EQV524351 FAQ524338:FAR524351 FKM524338:FKN524351 FUI524338:FUJ524351 GEE524338:GEF524351 GOA524338:GOB524351 GXW524338:GXX524351 HHS524338:HHT524351 HRO524338:HRP524351 IBK524338:IBL524351 ILG524338:ILH524351 IVC524338:IVD524351 JEY524338:JEZ524351 JOU524338:JOV524351 JYQ524338:JYR524351 KIM524338:KIN524351 KSI524338:KSJ524351 LCE524338:LCF524351 LMA524338:LMB524351 LVW524338:LVX524351 MFS524338:MFT524351 MPO524338:MPP524351 MZK524338:MZL524351 NJG524338:NJH524351 NTC524338:NTD524351 OCY524338:OCZ524351 OMU524338:OMV524351 OWQ524338:OWR524351 PGM524338:PGN524351 PQI524338:PQJ524351 QAE524338:QAF524351 QKA524338:QKB524351 QTW524338:QTX524351 RDS524338:RDT524351 RNO524338:RNP524351 RXK524338:RXL524351 SHG524338:SHH524351 SRC524338:SRD524351 TAY524338:TAZ524351 TKU524338:TKV524351 TUQ524338:TUR524351 UEM524338:UEN524351 UOI524338:UOJ524351 UYE524338:UYF524351 VIA524338:VIB524351 VRW524338:VRX524351 WBS524338:WBT524351 WLO524338:WLP524351 WVK524338:WVL524351 F589874:G589887 IY589874:IZ589887 SU589874:SV589887 ACQ589874:ACR589887 AMM589874:AMN589887 AWI589874:AWJ589887 BGE589874:BGF589887 BQA589874:BQB589887 BZW589874:BZX589887 CJS589874:CJT589887 CTO589874:CTP589887 DDK589874:DDL589887 DNG589874:DNH589887 DXC589874:DXD589887 EGY589874:EGZ589887 EQU589874:EQV589887 FAQ589874:FAR589887 FKM589874:FKN589887 FUI589874:FUJ589887 GEE589874:GEF589887 GOA589874:GOB589887 GXW589874:GXX589887 HHS589874:HHT589887 HRO589874:HRP589887 IBK589874:IBL589887 ILG589874:ILH589887 IVC589874:IVD589887 JEY589874:JEZ589887 JOU589874:JOV589887 JYQ589874:JYR589887 KIM589874:KIN589887 KSI589874:KSJ589887 LCE589874:LCF589887 LMA589874:LMB589887 LVW589874:LVX589887 MFS589874:MFT589887 MPO589874:MPP589887 MZK589874:MZL589887 NJG589874:NJH589887 NTC589874:NTD589887 OCY589874:OCZ589887 OMU589874:OMV589887 OWQ589874:OWR589887 PGM589874:PGN589887 PQI589874:PQJ589887 QAE589874:QAF589887 QKA589874:QKB589887 QTW589874:QTX589887 RDS589874:RDT589887 RNO589874:RNP589887 RXK589874:RXL589887 SHG589874:SHH589887 SRC589874:SRD589887 TAY589874:TAZ589887 TKU589874:TKV589887 TUQ589874:TUR589887 UEM589874:UEN589887 UOI589874:UOJ589887 UYE589874:UYF589887 VIA589874:VIB589887 VRW589874:VRX589887 WBS589874:WBT589887 WLO589874:WLP589887 WVK589874:WVL589887 F655410:G655423 IY655410:IZ655423 SU655410:SV655423 ACQ655410:ACR655423 AMM655410:AMN655423 AWI655410:AWJ655423 BGE655410:BGF655423 BQA655410:BQB655423 BZW655410:BZX655423 CJS655410:CJT655423 CTO655410:CTP655423 DDK655410:DDL655423 DNG655410:DNH655423 DXC655410:DXD655423 EGY655410:EGZ655423 EQU655410:EQV655423 FAQ655410:FAR655423 FKM655410:FKN655423 FUI655410:FUJ655423 GEE655410:GEF655423 GOA655410:GOB655423 GXW655410:GXX655423 HHS655410:HHT655423 HRO655410:HRP655423 IBK655410:IBL655423 ILG655410:ILH655423 IVC655410:IVD655423 JEY655410:JEZ655423 JOU655410:JOV655423 JYQ655410:JYR655423 KIM655410:KIN655423 KSI655410:KSJ655423 LCE655410:LCF655423 LMA655410:LMB655423 LVW655410:LVX655423 MFS655410:MFT655423 MPO655410:MPP655423 MZK655410:MZL655423 NJG655410:NJH655423 NTC655410:NTD655423 OCY655410:OCZ655423 OMU655410:OMV655423 OWQ655410:OWR655423 PGM655410:PGN655423 PQI655410:PQJ655423 QAE655410:QAF655423 QKA655410:QKB655423 QTW655410:QTX655423 RDS655410:RDT655423 RNO655410:RNP655423 RXK655410:RXL655423 SHG655410:SHH655423 SRC655410:SRD655423 TAY655410:TAZ655423 TKU655410:TKV655423 TUQ655410:TUR655423 UEM655410:UEN655423 UOI655410:UOJ655423 UYE655410:UYF655423 VIA655410:VIB655423 VRW655410:VRX655423 WBS655410:WBT655423 WLO655410:WLP655423 WVK655410:WVL655423 F720946:G720959 IY720946:IZ720959 SU720946:SV720959 ACQ720946:ACR720959 AMM720946:AMN720959 AWI720946:AWJ720959 BGE720946:BGF720959 BQA720946:BQB720959 BZW720946:BZX720959 CJS720946:CJT720959 CTO720946:CTP720959 DDK720946:DDL720959 DNG720946:DNH720959 DXC720946:DXD720959 EGY720946:EGZ720959 EQU720946:EQV720959 FAQ720946:FAR720959 FKM720946:FKN720959 FUI720946:FUJ720959 GEE720946:GEF720959 GOA720946:GOB720959 GXW720946:GXX720959 HHS720946:HHT720959 HRO720946:HRP720959 IBK720946:IBL720959 ILG720946:ILH720959 IVC720946:IVD720959 JEY720946:JEZ720959 JOU720946:JOV720959 JYQ720946:JYR720959 KIM720946:KIN720959 KSI720946:KSJ720959 LCE720946:LCF720959 LMA720946:LMB720959 LVW720946:LVX720959 MFS720946:MFT720959 MPO720946:MPP720959 MZK720946:MZL720959 NJG720946:NJH720959 NTC720946:NTD720959 OCY720946:OCZ720959 OMU720946:OMV720959 OWQ720946:OWR720959 PGM720946:PGN720959 PQI720946:PQJ720959 QAE720946:QAF720959 QKA720946:QKB720959 QTW720946:QTX720959 RDS720946:RDT720959 RNO720946:RNP720959 RXK720946:RXL720959 SHG720946:SHH720959 SRC720946:SRD720959 TAY720946:TAZ720959 TKU720946:TKV720959 TUQ720946:TUR720959 UEM720946:UEN720959 UOI720946:UOJ720959 UYE720946:UYF720959 VIA720946:VIB720959 VRW720946:VRX720959 WBS720946:WBT720959 WLO720946:WLP720959 WVK720946:WVL720959 F786482:G786495 IY786482:IZ786495 SU786482:SV786495 ACQ786482:ACR786495 AMM786482:AMN786495 AWI786482:AWJ786495 BGE786482:BGF786495 BQA786482:BQB786495 BZW786482:BZX786495 CJS786482:CJT786495 CTO786482:CTP786495 DDK786482:DDL786495 DNG786482:DNH786495 DXC786482:DXD786495 EGY786482:EGZ786495 EQU786482:EQV786495 FAQ786482:FAR786495 FKM786482:FKN786495 FUI786482:FUJ786495 GEE786482:GEF786495 GOA786482:GOB786495 GXW786482:GXX786495 HHS786482:HHT786495 HRO786482:HRP786495 IBK786482:IBL786495 ILG786482:ILH786495 IVC786482:IVD786495 JEY786482:JEZ786495 JOU786482:JOV786495 JYQ786482:JYR786495 KIM786482:KIN786495 KSI786482:KSJ786495 LCE786482:LCF786495 LMA786482:LMB786495 LVW786482:LVX786495 MFS786482:MFT786495 MPO786482:MPP786495 MZK786482:MZL786495 NJG786482:NJH786495 NTC786482:NTD786495 OCY786482:OCZ786495 OMU786482:OMV786495 OWQ786482:OWR786495 PGM786482:PGN786495 PQI786482:PQJ786495 QAE786482:QAF786495 QKA786482:QKB786495 QTW786482:QTX786495 RDS786482:RDT786495 RNO786482:RNP786495 RXK786482:RXL786495 SHG786482:SHH786495 SRC786482:SRD786495 TAY786482:TAZ786495 TKU786482:TKV786495 TUQ786482:TUR786495 UEM786482:UEN786495 UOI786482:UOJ786495 UYE786482:UYF786495 VIA786482:VIB786495 VRW786482:VRX786495 WBS786482:WBT786495 WLO786482:WLP786495 WVK786482:WVL786495 F852018:G852031 IY852018:IZ852031 SU852018:SV852031 ACQ852018:ACR852031 AMM852018:AMN852031 AWI852018:AWJ852031 BGE852018:BGF852031 BQA852018:BQB852031 BZW852018:BZX852031 CJS852018:CJT852031 CTO852018:CTP852031 DDK852018:DDL852031 DNG852018:DNH852031 DXC852018:DXD852031 EGY852018:EGZ852031 EQU852018:EQV852031 FAQ852018:FAR852031 FKM852018:FKN852031 FUI852018:FUJ852031 GEE852018:GEF852031 GOA852018:GOB852031 GXW852018:GXX852031 HHS852018:HHT852031 HRO852018:HRP852031 IBK852018:IBL852031 ILG852018:ILH852031 IVC852018:IVD852031 JEY852018:JEZ852031 JOU852018:JOV852031 JYQ852018:JYR852031 KIM852018:KIN852031 KSI852018:KSJ852031 LCE852018:LCF852031 LMA852018:LMB852031 LVW852018:LVX852031 MFS852018:MFT852031 MPO852018:MPP852031 MZK852018:MZL852031 NJG852018:NJH852031 NTC852018:NTD852031 OCY852018:OCZ852031 OMU852018:OMV852031 OWQ852018:OWR852031 PGM852018:PGN852031 PQI852018:PQJ852031 QAE852018:QAF852031 QKA852018:QKB852031 QTW852018:QTX852031 RDS852018:RDT852031 RNO852018:RNP852031 RXK852018:RXL852031 SHG852018:SHH852031 SRC852018:SRD852031 TAY852018:TAZ852031 TKU852018:TKV852031 TUQ852018:TUR852031 UEM852018:UEN852031 UOI852018:UOJ852031 UYE852018:UYF852031 VIA852018:VIB852031 VRW852018:VRX852031 WBS852018:WBT852031 WLO852018:WLP852031 WVK852018:WVL852031 F917554:G917567 IY917554:IZ917567 SU917554:SV917567 ACQ917554:ACR917567 AMM917554:AMN917567 AWI917554:AWJ917567 BGE917554:BGF917567 BQA917554:BQB917567 BZW917554:BZX917567 CJS917554:CJT917567 CTO917554:CTP917567 DDK917554:DDL917567 DNG917554:DNH917567 DXC917554:DXD917567 EGY917554:EGZ917567 EQU917554:EQV917567 FAQ917554:FAR917567 FKM917554:FKN917567 FUI917554:FUJ917567 GEE917554:GEF917567 GOA917554:GOB917567 GXW917554:GXX917567 HHS917554:HHT917567 HRO917554:HRP917567 IBK917554:IBL917567 ILG917554:ILH917567 IVC917554:IVD917567 JEY917554:JEZ917567 JOU917554:JOV917567 JYQ917554:JYR917567 KIM917554:KIN917567 KSI917554:KSJ917567 LCE917554:LCF917567 LMA917554:LMB917567 LVW917554:LVX917567 MFS917554:MFT917567 MPO917554:MPP917567 MZK917554:MZL917567 NJG917554:NJH917567 NTC917554:NTD917567 OCY917554:OCZ917567 OMU917554:OMV917567 OWQ917554:OWR917567 PGM917554:PGN917567 PQI917554:PQJ917567 QAE917554:QAF917567 QKA917554:QKB917567 QTW917554:QTX917567 RDS917554:RDT917567 RNO917554:RNP917567 RXK917554:RXL917567 SHG917554:SHH917567 SRC917554:SRD917567 TAY917554:TAZ917567 TKU917554:TKV917567 TUQ917554:TUR917567 UEM917554:UEN917567 UOI917554:UOJ917567 UYE917554:UYF917567 VIA917554:VIB917567 VRW917554:VRX917567 WBS917554:WBT917567 WLO917554:WLP917567 WVK917554:WVL917567 JK8:JL33 TG8:TH33 ADC8:ADD33 AMY8:AMZ33 AWU8:AWV33 BGQ8:BGR33 BQM8:BQN33 CAI8:CAJ33 CKE8:CKF33 CUA8:CUB33 DDW8:DDX33 DNS8:DNT33 DXO8:DXP33 EHK8:EHL33 ERG8:ERH33 FBC8:FBD33 FKY8:FKZ33 FUU8:FUV33 GEQ8:GER33 GOM8:GON33 GYI8:GYJ33 HIE8:HIF33 HSA8:HSB33 IBW8:IBX33 ILS8:ILT33 IVO8:IVP33 JFK8:JFL33 JPG8:JPH33 JZC8:JZD33 KIY8:KIZ33 KSU8:KSV33 LCQ8:LCR33 LMM8:LMN33 LWI8:LWJ33 MGE8:MGF33 MQA8:MQB33 MZW8:MZX33 NJS8:NJT33 NTO8:NTP33 ODK8:ODL33 ONG8:ONH33 OXC8:OXD33 PGY8:PGZ33 PQU8:PQV33 QAQ8:QAR33 QKM8:QKN33 QUI8:QUJ33 REE8:REF33 ROA8:ROB33 RXW8:RXX33 SHS8:SHT33 SRO8:SRP33 TBK8:TBL33 TLG8:TLH33 TVC8:TVD33 UEY8:UEZ33 UOU8:UOV33 UYQ8:UYR33 VIM8:VIN33 VSI8:VSJ33 WCE8:WCF33 WMA8:WMB33 WVW8:WVX33 F8:G33">
      <formula1>"0,1,N/A"</formula1>
    </dataValidation>
  </dataValidations>
  <pageMargins left="0.75" right="0.75" top="1" bottom="1" header="0.5" footer="0.5"/>
  <pageSetup paperSize="9" orientation="landscape"/>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989" name="Button 5" r:id="rId4">
              <controlPr print="0" defaultSize="0">
                <anchor moveWithCells="1">
                  <from>
                    <xdr:col>0</xdr:col>
                    <xdr:colOff>38100</xdr:colOff>
                    <xdr:row>33</xdr:row>
                    <xdr:rowOff>47625</xdr:rowOff>
                  </from>
                  <to>
                    <xdr:col>0</xdr:col>
                    <xdr:colOff>685800</xdr:colOff>
                    <xdr:row>34</xdr:row>
                    <xdr:rowOff>57150</xdr:rowOff>
                  </to>
                </anchor>
              </controlPr>
            </control>
          </mc:Choice>
        </mc:AlternateContent>
        <mc:AlternateContent xmlns:mc="http://schemas.openxmlformats.org/markup-compatibility/2006">
          <mc:Choice Requires="x14">
            <control shapeId="41992" name="Button 8" r:id="rId5">
              <controlPr print="0" defaultSize="0">
                <anchor moveWithCells="1">
                  <from>
                    <xdr:col>0</xdr:col>
                    <xdr:colOff>742950</xdr:colOff>
                    <xdr:row>33</xdr:row>
                    <xdr:rowOff>47625</xdr:rowOff>
                  </from>
                  <to>
                    <xdr:col>0</xdr:col>
                    <xdr:colOff>1390650</xdr:colOff>
                    <xdr:row>34</xdr:row>
                    <xdr:rowOff>57150</xdr:rowOff>
                  </to>
                </anchor>
              </controlPr>
            </control>
          </mc:Choice>
        </mc:AlternateContent>
        <mc:AlternateContent xmlns:mc="http://schemas.openxmlformats.org/markup-compatibility/2006">
          <mc:Choice Requires="x14">
            <control shapeId="42008" name="Button 24" r:id="rId6">
              <controlPr print="0" defaultSize="0">
                <anchor moveWithCells="1">
                  <from>
                    <xdr:col>34</xdr:col>
                    <xdr:colOff>209550</xdr:colOff>
                    <xdr:row>7</xdr:row>
                    <xdr:rowOff>85725</xdr:rowOff>
                  </from>
                  <to>
                    <xdr:col>35</xdr:col>
                    <xdr:colOff>238125</xdr:colOff>
                    <xdr:row>8</xdr:row>
                    <xdr:rowOff>171450</xdr:rowOff>
                  </to>
                </anchor>
              </controlPr>
            </control>
          </mc:Choice>
        </mc:AlternateContent>
        <mc:AlternateContent xmlns:mc="http://schemas.openxmlformats.org/markup-compatibility/2006">
          <mc:Choice Requires="x14">
            <control shapeId="42014" name="Button 30" r:id="rId7">
              <controlPr print="0" defaultSize="0">
                <anchor moveWithCells="1">
                  <from>
                    <xdr:col>34</xdr:col>
                    <xdr:colOff>200025</xdr:colOff>
                    <xdr:row>9</xdr:row>
                    <xdr:rowOff>76200</xdr:rowOff>
                  </from>
                  <to>
                    <xdr:col>35</xdr:col>
                    <xdr:colOff>238125</xdr:colOff>
                    <xdr:row>10</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theme="7"/>
  </sheetPr>
  <dimension ref="A1:K33"/>
  <sheetViews>
    <sheetView workbookViewId="0">
      <selection activeCell="C26" sqref="C26"/>
    </sheetView>
  </sheetViews>
  <sheetFormatPr defaultColWidth="9" defaultRowHeight="13.5"/>
  <cols>
    <col min="3" max="3" width="10.625" customWidth="1"/>
  </cols>
  <sheetData>
    <row r="1" spans="1:9">
      <c r="A1" s="24" t="s">
        <v>794</v>
      </c>
      <c r="B1" s="24"/>
      <c r="C1" s="24"/>
      <c r="D1" s="24"/>
      <c r="E1" s="24"/>
      <c r="F1" s="24"/>
      <c r="G1" s="24"/>
      <c r="H1" s="24"/>
      <c r="I1" s="24"/>
    </row>
    <row r="2" ht="35.25" customHeight="1" spans="1:11">
      <c r="A2" s="25"/>
      <c r="B2" s="25" t="s">
        <v>795</v>
      </c>
      <c r="C2" s="25"/>
      <c r="D2" s="26" t="s">
        <v>796</v>
      </c>
      <c r="E2" s="26" t="s">
        <v>797</v>
      </c>
      <c r="F2" s="26" t="s">
        <v>798</v>
      </c>
      <c r="G2" s="26" t="s">
        <v>799</v>
      </c>
      <c r="H2" s="26" t="s">
        <v>800</v>
      </c>
      <c r="I2" s="26" t="s">
        <v>801</v>
      </c>
      <c r="J2" s="26" t="s">
        <v>802</v>
      </c>
      <c r="K2" s="38" t="s">
        <v>399</v>
      </c>
    </row>
    <row r="3" ht="50.1" customHeight="1" spans="1:11">
      <c r="A3" s="25"/>
      <c r="B3" s="27" t="s">
        <v>803</v>
      </c>
      <c r="C3" s="28"/>
      <c r="D3" s="29" t="s">
        <v>804</v>
      </c>
      <c r="E3" s="29" t="s">
        <v>804</v>
      </c>
      <c r="F3" s="29" t="s">
        <v>804</v>
      </c>
      <c r="G3" s="29" t="s">
        <v>804</v>
      </c>
      <c r="H3" s="29" t="s">
        <v>805</v>
      </c>
      <c r="I3" s="29" t="s">
        <v>804</v>
      </c>
      <c r="J3" s="29" t="s">
        <v>804</v>
      </c>
      <c r="K3" s="38"/>
    </row>
    <row r="4" spans="1:11">
      <c r="A4" s="26"/>
      <c r="B4" s="30" t="s">
        <v>806</v>
      </c>
      <c r="C4" s="26" t="s">
        <v>121</v>
      </c>
      <c r="D4" s="31" t="s">
        <v>807</v>
      </c>
      <c r="E4" s="31" t="s">
        <v>807</v>
      </c>
      <c r="F4" s="31" t="s">
        <v>807</v>
      </c>
      <c r="G4" s="31" t="s">
        <v>807</v>
      </c>
      <c r="H4" s="31" t="s">
        <v>807</v>
      </c>
      <c r="I4" s="31" t="s">
        <v>807</v>
      </c>
      <c r="J4" s="31" t="s">
        <v>807</v>
      </c>
      <c r="K4" s="39">
        <f>IF((SUMPRODUCT(($D$3:$J$3="是")*(D4:J4="√"))+SUMPRODUCT(($D$3:$J$3="是")*(D4:J4="N/A"))=COUNTIF($D$3:$J$3,"是"))*(COUNTIF(D4:J4,"√")/(COUNTA(D4:J4)-COUNTIF(D4:J4,"N/A"))&gt;=0.5),1,0)</f>
        <v>1</v>
      </c>
    </row>
    <row r="5" spans="1:11">
      <c r="A5" s="26"/>
      <c r="B5" s="30"/>
      <c r="C5" s="26" t="s">
        <v>126</v>
      </c>
      <c r="D5" s="31" t="s">
        <v>807</v>
      </c>
      <c r="E5" s="31" t="s">
        <v>807</v>
      </c>
      <c r="F5" s="31" t="s">
        <v>807</v>
      </c>
      <c r="G5" s="31" t="s">
        <v>807</v>
      </c>
      <c r="H5" s="31" t="s">
        <v>807</v>
      </c>
      <c r="I5" s="31" t="s">
        <v>807</v>
      </c>
      <c r="J5" s="31" t="s">
        <v>807</v>
      </c>
      <c r="K5" s="39">
        <f t="shared" ref="K5:K29" si="0">IF((SUMPRODUCT(($D$3:$J$3="是")*(D5:J5="√"))+SUMPRODUCT(($D$3:$J$3="是")*(D5:J5="N/A"))=COUNTIF($D$3:$J$3,"是"))*(COUNTIF(D5:J5,"√")/(COUNTA(D5:J5)-COUNTIF(D5:J5,"N/A"))&gt;=0.5),1,0)</f>
        <v>1</v>
      </c>
    </row>
    <row r="6" spans="1:11">
      <c r="A6" s="26"/>
      <c r="B6" s="30"/>
      <c r="C6" s="26" t="s">
        <v>808</v>
      </c>
      <c r="D6" s="31" t="s">
        <v>807</v>
      </c>
      <c r="E6" s="31" t="s">
        <v>807</v>
      </c>
      <c r="F6" s="31" t="s">
        <v>807</v>
      </c>
      <c r="G6" s="31" t="s">
        <v>807</v>
      </c>
      <c r="H6" s="31" t="s">
        <v>807</v>
      </c>
      <c r="I6" s="31" t="s">
        <v>807</v>
      </c>
      <c r="J6" s="31" t="s">
        <v>807</v>
      </c>
      <c r="K6" s="39">
        <f t="shared" si="0"/>
        <v>1</v>
      </c>
    </row>
    <row r="7" spans="1:11">
      <c r="A7" s="26"/>
      <c r="B7" s="30"/>
      <c r="C7" s="26" t="s">
        <v>809</v>
      </c>
      <c r="D7" s="31" t="s">
        <v>807</v>
      </c>
      <c r="E7" s="31" t="s">
        <v>810</v>
      </c>
      <c r="F7" s="31" t="s">
        <v>810</v>
      </c>
      <c r="G7" s="31" t="s">
        <v>810</v>
      </c>
      <c r="H7" s="31" t="s">
        <v>807</v>
      </c>
      <c r="I7" s="31" t="s">
        <v>810</v>
      </c>
      <c r="J7" s="31" t="s">
        <v>807</v>
      </c>
      <c r="K7" s="39">
        <f t="shared" si="0"/>
        <v>1</v>
      </c>
    </row>
    <row r="8" spans="1:11">
      <c r="A8" s="26"/>
      <c r="B8" s="30"/>
      <c r="C8" s="26" t="s">
        <v>811</v>
      </c>
      <c r="D8" s="31" t="s">
        <v>807</v>
      </c>
      <c r="E8" s="31" t="s">
        <v>810</v>
      </c>
      <c r="F8" s="31" t="s">
        <v>810</v>
      </c>
      <c r="G8" s="31" t="s">
        <v>807</v>
      </c>
      <c r="H8" s="31" t="s">
        <v>807</v>
      </c>
      <c r="I8" s="31" t="s">
        <v>807</v>
      </c>
      <c r="J8" s="31" t="s">
        <v>807</v>
      </c>
      <c r="K8" s="39">
        <f t="shared" si="0"/>
        <v>1</v>
      </c>
    </row>
    <row r="9" spans="1:11">
      <c r="A9" s="26"/>
      <c r="B9" s="30"/>
      <c r="C9" s="26" t="s">
        <v>812</v>
      </c>
      <c r="D9" s="31" t="s">
        <v>807</v>
      </c>
      <c r="E9" s="31" t="s">
        <v>810</v>
      </c>
      <c r="F9" s="31" t="s">
        <v>810</v>
      </c>
      <c r="G9" s="31" t="s">
        <v>807</v>
      </c>
      <c r="H9" s="31" t="s">
        <v>807</v>
      </c>
      <c r="I9" s="31" t="s">
        <v>807</v>
      </c>
      <c r="J9" s="31" t="s">
        <v>807</v>
      </c>
      <c r="K9" s="39">
        <f t="shared" si="0"/>
        <v>1</v>
      </c>
    </row>
    <row r="10" spans="1:11">
      <c r="A10" s="26"/>
      <c r="B10" s="30"/>
      <c r="C10" s="26" t="s">
        <v>813</v>
      </c>
      <c r="D10" s="31" t="s">
        <v>807</v>
      </c>
      <c r="E10" s="31" t="s">
        <v>810</v>
      </c>
      <c r="F10" s="31" t="s">
        <v>810</v>
      </c>
      <c r="G10" s="31" t="s">
        <v>807</v>
      </c>
      <c r="H10" s="31" t="s">
        <v>807</v>
      </c>
      <c r="I10" s="31" t="s">
        <v>807</v>
      </c>
      <c r="J10" s="31" t="s">
        <v>807</v>
      </c>
      <c r="K10" s="39">
        <f t="shared" si="0"/>
        <v>1</v>
      </c>
    </row>
    <row r="11" spans="1:11">
      <c r="A11" s="26"/>
      <c r="B11" s="30"/>
      <c r="C11" s="26" t="s">
        <v>814</v>
      </c>
      <c r="D11" s="31" t="s">
        <v>807</v>
      </c>
      <c r="E11" s="31" t="s">
        <v>810</v>
      </c>
      <c r="F11" s="31" t="s">
        <v>810</v>
      </c>
      <c r="G11" s="31" t="s">
        <v>807</v>
      </c>
      <c r="H11" s="31" t="s">
        <v>807</v>
      </c>
      <c r="I11" s="31" t="s">
        <v>807</v>
      </c>
      <c r="J11" s="31" t="s">
        <v>807</v>
      </c>
      <c r="K11" s="39">
        <f t="shared" si="0"/>
        <v>1</v>
      </c>
    </row>
    <row r="12" spans="1:11">
      <c r="A12" s="26"/>
      <c r="B12" s="30"/>
      <c r="C12" s="26" t="s">
        <v>815</v>
      </c>
      <c r="D12" s="31" t="s">
        <v>807</v>
      </c>
      <c r="E12" s="31" t="s">
        <v>810</v>
      </c>
      <c r="F12" s="31" t="s">
        <v>810</v>
      </c>
      <c r="G12" s="31" t="s">
        <v>807</v>
      </c>
      <c r="H12" s="31" t="s">
        <v>807</v>
      </c>
      <c r="I12" s="31" t="s">
        <v>807</v>
      </c>
      <c r="J12" s="31" t="s">
        <v>807</v>
      </c>
      <c r="K12" s="39">
        <f t="shared" si="0"/>
        <v>1</v>
      </c>
    </row>
    <row r="13" spans="1:11">
      <c r="A13" s="26"/>
      <c r="B13" s="30"/>
      <c r="C13" s="26" t="s">
        <v>816</v>
      </c>
      <c r="D13" s="31" t="s">
        <v>807</v>
      </c>
      <c r="E13" s="31" t="s">
        <v>810</v>
      </c>
      <c r="F13" s="31" t="s">
        <v>810</v>
      </c>
      <c r="G13" s="31" t="s">
        <v>807</v>
      </c>
      <c r="H13" s="31" t="s">
        <v>807</v>
      </c>
      <c r="I13" s="31" t="s">
        <v>807</v>
      </c>
      <c r="J13" s="31" t="s">
        <v>807</v>
      </c>
      <c r="K13" s="39">
        <f t="shared" si="0"/>
        <v>1</v>
      </c>
    </row>
    <row r="14" spans="1:11">
      <c r="A14" s="26"/>
      <c r="B14" s="30"/>
      <c r="C14" s="26" t="s">
        <v>817</v>
      </c>
      <c r="D14" s="31" t="s">
        <v>807</v>
      </c>
      <c r="E14" s="31" t="s">
        <v>810</v>
      </c>
      <c r="F14" s="31" t="s">
        <v>810</v>
      </c>
      <c r="G14" s="31" t="s">
        <v>807</v>
      </c>
      <c r="H14" s="31" t="s">
        <v>807</v>
      </c>
      <c r="I14" s="31" t="s">
        <v>807</v>
      </c>
      <c r="J14" s="31" t="s">
        <v>807</v>
      </c>
      <c r="K14" s="39">
        <f t="shared" si="0"/>
        <v>1</v>
      </c>
    </row>
    <row r="15" spans="1:11">
      <c r="A15" s="26"/>
      <c r="B15" s="30"/>
      <c r="C15" s="26" t="s">
        <v>818</v>
      </c>
      <c r="D15" s="31" t="s">
        <v>807</v>
      </c>
      <c r="E15" s="31" t="s">
        <v>810</v>
      </c>
      <c r="F15" s="31" t="s">
        <v>810</v>
      </c>
      <c r="G15" s="31" t="s">
        <v>807</v>
      </c>
      <c r="H15" s="31" t="s">
        <v>807</v>
      </c>
      <c r="I15" s="31" t="s">
        <v>807</v>
      </c>
      <c r="J15" s="31" t="s">
        <v>807</v>
      </c>
      <c r="K15" s="39">
        <f t="shared" si="0"/>
        <v>1</v>
      </c>
    </row>
    <row r="16" spans="1:11">
      <c r="A16" s="26"/>
      <c r="B16" s="30"/>
      <c r="C16" s="26" t="s">
        <v>819</v>
      </c>
      <c r="D16" s="31" t="s">
        <v>807</v>
      </c>
      <c r="E16" s="31" t="s">
        <v>810</v>
      </c>
      <c r="F16" s="31" t="s">
        <v>810</v>
      </c>
      <c r="G16" s="31" t="s">
        <v>807</v>
      </c>
      <c r="H16" s="31" t="s">
        <v>807</v>
      </c>
      <c r="I16" s="31" t="s">
        <v>807</v>
      </c>
      <c r="J16" s="31" t="s">
        <v>807</v>
      </c>
      <c r="K16" s="39">
        <f t="shared" si="0"/>
        <v>1</v>
      </c>
    </row>
    <row r="17" spans="1:11">
      <c r="A17" s="26"/>
      <c r="B17" s="30"/>
      <c r="C17" s="26" t="s">
        <v>820</v>
      </c>
      <c r="D17" s="31" t="s">
        <v>807</v>
      </c>
      <c r="E17" s="31" t="s">
        <v>810</v>
      </c>
      <c r="F17" s="31" t="s">
        <v>810</v>
      </c>
      <c r="G17" s="31" t="s">
        <v>807</v>
      </c>
      <c r="H17" s="31" t="s">
        <v>807</v>
      </c>
      <c r="I17" s="31" t="s">
        <v>807</v>
      </c>
      <c r="J17" s="31" t="s">
        <v>807</v>
      </c>
      <c r="K17" s="39">
        <f t="shared" si="0"/>
        <v>1</v>
      </c>
    </row>
    <row r="18" spans="1:11">
      <c r="A18" s="26"/>
      <c r="B18" s="30"/>
      <c r="C18" s="26" t="s">
        <v>821</v>
      </c>
      <c r="D18" s="31" t="s">
        <v>807</v>
      </c>
      <c r="E18" s="31" t="s">
        <v>810</v>
      </c>
      <c r="F18" s="31" t="s">
        <v>810</v>
      </c>
      <c r="G18" s="31" t="s">
        <v>807</v>
      </c>
      <c r="H18" s="31" t="s">
        <v>807</v>
      </c>
      <c r="I18" s="31" t="s">
        <v>807</v>
      </c>
      <c r="J18" s="31" t="s">
        <v>807</v>
      </c>
      <c r="K18" s="39">
        <f t="shared" si="0"/>
        <v>1</v>
      </c>
    </row>
    <row r="19" spans="1:11">
      <c r="A19" s="26"/>
      <c r="B19" s="30"/>
      <c r="C19" s="26" t="s">
        <v>822</v>
      </c>
      <c r="D19" s="31" t="s">
        <v>823</v>
      </c>
      <c r="E19" s="31" t="s">
        <v>810</v>
      </c>
      <c r="F19" s="31" t="s">
        <v>810</v>
      </c>
      <c r="G19" s="31" t="s">
        <v>823</v>
      </c>
      <c r="H19" s="31" t="s">
        <v>807</v>
      </c>
      <c r="I19" s="31" t="s">
        <v>807</v>
      </c>
      <c r="J19" s="31" t="s">
        <v>807</v>
      </c>
      <c r="K19" s="39">
        <f t="shared" si="0"/>
        <v>1</v>
      </c>
    </row>
    <row r="20" spans="1:11">
      <c r="A20" s="26"/>
      <c r="B20" s="30"/>
      <c r="C20" s="26" t="s">
        <v>824</v>
      </c>
      <c r="D20" s="31" t="s">
        <v>807</v>
      </c>
      <c r="E20" s="31" t="s">
        <v>810</v>
      </c>
      <c r="F20" s="31" t="s">
        <v>810</v>
      </c>
      <c r="G20" s="31" t="s">
        <v>810</v>
      </c>
      <c r="H20" s="31" t="s">
        <v>807</v>
      </c>
      <c r="I20" s="31" t="s">
        <v>807</v>
      </c>
      <c r="J20" s="31" t="s">
        <v>807</v>
      </c>
      <c r="K20" s="39">
        <f t="shared" ref="K20" si="1">IF((SUMPRODUCT(($D$3:$J$3="是")*(D20:J20="√"))+SUMPRODUCT(($D$3:$J$3="是")*(D20:J20="N/A"))=COUNTIF($D$3:$J$3,"是"))*(COUNTIF(D20:J20,"√")/(COUNTA(D20:J20)-COUNTIF(D20:J20,"N/A"))&gt;=0.5),1,0)</f>
        <v>1</v>
      </c>
    </row>
    <row r="21" spans="1:11">
      <c r="A21" s="26"/>
      <c r="B21" s="30"/>
      <c r="C21" s="26" t="s">
        <v>825</v>
      </c>
      <c r="D21" s="31" t="s">
        <v>807</v>
      </c>
      <c r="E21" s="31" t="s">
        <v>810</v>
      </c>
      <c r="F21" s="31" t="s">
        <v>810</v>
      </c>
      <c r="G21" s="31" t="s">
        <v>810</v>
      </c>
      <c r="H21" s="31" t="s">
        <v>807</v>
      </c>
      <c r="I21" s="31" t="s">
        <v>807</v>
      </c>
      <c r="J21" s="31" t="s">
        <v>807</v>
      </c>
      <c r="K21" s="39">
        <f t="shared" si="0"/>
        <v>1</v>
      </c>
    </row>
    <row r="22" spans="1:11">
      <c r="A22" s="26"/>
      <c r="B22" s="30"/>
      <c r="C22" s="26" t="s">
        <v>826</v>
      </c>
      <c r="D22" s="31" t="s">
        <v>807</v>
      </c>
      <c r="E22" s="31" t="s">
        <v>810</v>
      </c>
      <c r="F22" s="31" t="s">
        <v>810</v>
      </c>
      <c r="G22" s="31" t="s">
        <v>810</v>
      </c>
      <c r="H22" s="31" t="s">
        <v>807</v>
      </c>
      <c r="I22" s="31" t="s">
        <v>823</v>
      </c>
      <c r="J22" s="31" t="s">
        <v>807</v>
      </c>
      <c r="K22" s="39">
        <f t="shared" si="0"/>
        <v>1</v>
      </c>
    </row>
    <row r="23" spans="1:11">
      <c r="A23" s="26"/>
      <c r="B23" s="30"/>
      <c r="C23" s="26" t="s">
        <v>827</v>
      </c>
      <c r="D23" s="31" t="s">
        <v>807</v>
      </c>
      <c r="E23" s="31" t="s">
        <v>810</v>
      </c>
      <c r="F23" s="31" t="s">
        <v>810</v>
      </c>
      <c r="G23" s="31" t="s">
        <v>810</v>
      </c>
      <c r="H23" s="31" t="s">
        <v>807</v>
      </c>
      <c r="I23" s="31" t="s">
        <v>807</v>
      </c>
      <c r="J23" s="31" t="s">
        <v>807</v>
      </c>
      <c r="K23" s="39">
        <f t="shared" si="0"/>
        <v>1</v>
      </c>
    </row>
    <row r="24" spans="1:11">
      <c r="A24" s="26"/>
      <c r="B24" s="30"/>
      <c r="C24" s="26" t="s">
        <v>828</v>
      </c>
      <c r="D24" s="31" t="s">
        <v>807</v>
      </c>
      <c r="E24" s="31" t="s">
        <v>810</v>
      </c>
      <c r="F24" s="31" t="s">
        <v>810</v>
      </c>
      <c r="G24" s="31" t="s">
        <v>810</v>
      </c>
      <c r="H24" s="31" t="s">
        <v>807</v>
      </c>
      <c r="I24" s="31" t="s">
        <v>807</v>
      </c>
      <c r="J24" s="31" t="s">
        <v>807</v>
      </c>
      <c r="K24" s="39">
        <f t="shared" si="0"/>
        <v>1</v>
      </c>
    </row>
    <row r="25" spans="1:11">
      <c r="A25" s="26"/>
      <c r="B25" s="30"/>
      <c r="C25" s="26" t="s">
        <v>829</v>
      </c>
      <c r="D25" s="31" t="s">
        <v>807</v>
      </c>
      <c r="E25" s="31" t="s">
        <v>810</v>
      </c>
      <c r="F25" s="31" t="s">
        <v>810</v>
      </c>
      <c r="G25" s="31" t="s">
        <v>810</v>
      </c>
      <c r="H25" s="31" t="s">
        <v>807</v>
      </c>
      <c r="I25" s="31" t="s">
        <v>807</v>
      </c>
      <c r="J25" s="31" t="s">
        <v>807</v>
      </c>
      <c r="K25" s="39">
        <f t="shared" si="0"/>
        <v>1</v>
      </c>
    </row>
    <row r="26" spans="1:11">
      <c r="A26" s="26"/>
      <c r="B26" s="30"/>
      <c r="C26" s="26" t="s">
        <v>830</v>
      </c>
      <c r="D26" s="31" t="s">
        <v>807</v>
      </c>
      <c r="E26" s="31" t="s">
        <v>810</v>
      </c>
      <c r="F26" s="31" t="s">
        <v>810</v>
      </c>
      <c r="G26" s="31" t="s">
        <v>810</v>
      </c>
      <c r="H26" s="31" t="s">
        <v>807</v>
      </c>
      <c r="I26" s="31" t="s">
        <v>807</v>
      </c>
      <c r="J26" s="31" t="s">
        <v>807</v>
      </c>
      <c r="K26" s="39">
        <f t="shared" ref="K26" si="2">IF((SUMPRODUCT(($D$3:$J$3="是")*(D26:J26="√"))+SUMPRODUCT(($D$3:$J$3="是")*(D26:J26="N/A"))=COUNTIF($D$3:$J$3,"是"))*(COUNTIF(D26:J26,"√")/(COUNTA(D26:J26)-COUNTIF(D26:J26,"N/A"))&gt;=0.5),1,0)</f>
        <v>1</v>
      </c>
    </row>
    <row r="27" spans="1:11">
      <c r="A27" s="26"/>
      <c r="B27" s="30"/>
      <c r="C27" s="26" t="s">
        <v>831</v>
      </c>
      <c r="D27" s="31" t="s">
        <v>807</v>
      </c>
      <c r="E27" s="31" t="s">
        <v>810</v>
      </c>
      <c r="F27" s="31" t="s">
        <v>810</v>
      </c>
      <c r="G27" s="31" t="s">
        <v>810</v>
      </c>
      <c r="H27" s="31" t="s">
        <v>807</v>
      </c>
      <c r="I27" s="31" t="s">
        <v>807</v>
      </c>
      <c r="J27" s="31" t="s">
        <v>807</v>
      </c>
      <c r="K27" s="39">
        <f t="shared" si="0"/>
        <v>1</v>
      </c>
    </row>
    <row r="28" spans="1:11">
      <c r="A28" s="26"/>
      <c r="B28" s="30"/>
      <c r="C28" s="26" t="s">
        <v>832</v>
      </c>
      <c r="D28" s="31" t="s">
        <v>807</v>
      </c>
      <c r="E28" s="31" t="s">
        <v>807</v>
      </c>
      <c r="F28" s="31" t="s">
        <v>807</v>
      </c>
      <c r="G28" s="31" t="s">
        <v>810</v>
      </c>
      <c r="H28" s="31" t="s">
        <v>810</v>
      </c>
      <c r="I28" s="31" t="s">
        <v>810</v>
      </c>
      <c r="J28" s="31" t="s">
        <v>807</v>
      </c>
      <c r="K28" s="39">
        <f t="shared" ref="K28" si="3">IF((SUMPRODUCT(($D$3:$J$3="是")*(D28:J28="√"))+SUMPRODUCT(($D$3:$J$3="是")*(D28:J28="N/A"))=COUNTIF($D$3:$J$3,"是"))*(COUNTIF(D28:J28,"√")/(COUNTA(D28:J28)-COUNTIF(D28:J28,"N/A"))&gt;=0.5),1,0)</f>
        <v>1</v>
      </c>
    </row>
    <row r="29" spans="1:11">
      <c r="A29" s="26"/>
      <c r="B29" s="30"/>
      <c r="C29" s="26" t="s">
        <v>833</v>
      </c>
      <c r="D29" s="31" t="s">
        <v>807</v>
      </c>
      <c r="E29" s="31" t="s">
        <v>807</v>
      </c>
      <c r="F29" s="31" t="s">
        <v>807</v>
      </c>
      <c r="G29" s="31" t="s">
        <v>810</v>
      </c>
      <c r="H29" s="31" t="s">
        <v>810</v>
      </c>
      <c r="I29" s="31" t="s">
        <v>810</v>
      </c>
      <c r="J29" s="31" t="s">
        <v>807</v>
      </c>
      <c r="K29" s="39">
        <f t="shared" si="0"/>
        <v>1</v>
      </c>
    </row>
    <row r="30" spans="1:9">
      <c r="A30" s="32" t="s">
        <v>834</v>
      </c>
      <c r="B30" s="33"/>
      <c r="C30" s="33"/>
      <c r="D30" s="33"/>
      <c r="E30" s="33"/>
      <c r="F30" s="33"/>
      <c r="G30" s="33"/>
      <c r="H30" s="33"/>
      <c r="I30" s="40"/>
    </row>
    <row r="31" spans="1:9">
      <c r="A31" s="34"/>
      <c r="B31" s="35"/>
      <c r="C31" s="35"/>
      <c r="D31" s="35"/>
      <c r="E31" s="35"/>
      <c r="F31" s="35"/>
      <c r="G31" s="35"/>
      <c r="H31" s="35"/>
      <c r="I31" s="41"/>
    </row>
    <row r="32" spans="1:9">
      <c r="A32" s="34"/>
      <c r="B32" s="35"/>
      <c r="C32" s="35"/>
      <c r="D32" s="35"/>
      <c r="E32" s="35"/>
      <c r="F32" s="35"/>
      <c r="G32" s="35"/>
      <c r="H32" s="35"/>
      <c r="I32" s="41"/>
    </row>
    <row r="33" ht="24.95" customHeight="1" spans="1:9">
      <c r="A33" s="36"/>
      <c r="B33" s="37"/>
      <c r="C33" s="37"/>
      <c r="D33" s="37"/>
      <c r="E33" s="37"/>
      <c r="F33" s="37"/>
      <c r="G33" s="37"/>
      <c r="H33" s="37"/>
      <c r="I33" s="42"/>
    </row>
  </sheetData>
  <mergeCells count="7">
    <mergeCell ref="A1:I1"/>
    <mergeCell ref="B2:C2"/>
    <mergeCell ref="B3:C3"/>
    <mergeCell ref="A2:A3"/>
    <mergeCell ref="B4:B29"/>
    <mergeCell ref="K2:K3"/>
    <mergeCell ref="A30:I33"/>
  </mergeCells>
  <pageMargins left="0.75" right="0.75" top="1" bottom="1" header="0.511805555555556" footer="0.511805555555556"/>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rgb="FFFF0000"/>
  </sheetPr>
  <dimension ref="A1:U45"/>
  <sheetViews>
    <sheetView workbookViewId="0">
      <selection activeCell="D36" sqref="D36"/>
    </sheetView>
  </sheetViews>
  <sheetFormatPr defaultColWidth="9" defaultRowHeight="16.5"/>
  <cols>
    <col min="1" max="1" width="8.75" style="4" customWidth="1"/>
    <col min="2" max="2" width="20.75" style="4" customWidth="1"/>
    <col min="3" max="7" width="9" style="4"/>
    <col min="8" max="8" width="11.375" style="4" customWidth="1"/>
    <col min="9" max="13" width="9" style="4"/>
    <col min="14" max="14" width="8.25" style="4" customWidth="1"/>
    <col min="15" max="15" width="19.25" style="4" customWidth="1"/>
    <col min="16" max="16" width="9" style="4"/>
    <col min="17" max="17" width="18.375" style="4" customWidth="1"/>
    <col min="18" max="16384" width="9" style="4"/>
  </cols>
  <sheetData>
    <row r="1" s="3" customFormat="1" spans="1:1">
      <c r="A1" s="3" t="s">
        <v>835</v>
      </c>
    </row>
    <row r="2" spans="2:2">
      <c r="B2" s="4" t="s">
        <v>836</v>
      </c>
    </row>
    <row r="5" s="3" customFormat="1" spans="1:1">
      <c r="A5" s="3" t="s">
        <v>837</v>
      </c>
    </row>
    <row r="6" spans="2:4">
      <c r="B6" s="4" t="s">
        <v>838</v>
      </c>
      <c r="D6" s="5"/>
    </row>
    <row r="22" spans="2:4">
      <c r="B22" s="4" t="s">
        <v>839</v>
      </c>
      <c r="D22" s="5"/>
    </row>
    <row r="23" ht="17.25" spans="2:21">
      <c r="B23" s="6" t="s">
        <v>840</v>
      </c>
      <c r="C23" s="7" t="s">
        <v>841</v>
      </c>
      <c r="D23" s="8"/>
      <c r="E23" s="8"/>
      <c r="F23" s="8"/>
      <c r="G23" s="6"/>
      <c r="H23" s="9" t="s">
        <v>842</v>
      </c>
      <c r="M23" s="23"/>
      <c r="N23" s="23"/>
      <c r="O23" s="23"/>
      <c r="P23" s="23"/>
      <c r="Q23" s="23"/>
      <c r="R23" s="23"/>
      <c r="S23" s="23"/>
      <c r="T23" s="23"/>
      <c r="U23" s="23"/>
    </row>
    <row r="24" ht="17.25" spans="2:21">
      <c r="B24" s="10">
        <v>1</v>
      </c>
      <c r="C24" s="11" t="s">
        <v>843</v>
      </c>
      <c r="D24" s="12"/>
      <c r="E24" s="12"/>
      <c r="F24" s="12"/>
      <c r="G24" s="13"/>
      <c r="H24" s="14">
        <v>0.5</v>
      </c>
      <c r="M24" s="23"/>
      <c r="N24" s="23"/>
      <c r="O24" s="23"/>
      <c r="P24" s="23"/>
      <c r="Q24" s="23"/>
      <c r="R24" s="23"/>
      <c r="S24" s="23"/>
      <c r="T24" s="23"/>
      <c r="U24" s="23"/>
    </row>
    <row r="25" ht="17.25" customHeight="1" spans="2:21">
      <c r="B25" s="10">
        <v>2</v>
      </c>
      <c r="C25" s="11" t="s">
        <v>844</v>
      </c>
      <c r="D25" s="12"/>
      <c r="E25" s="12"/>
      <c r="F25" s="12"/>
      <c r="G25" s="13"/>
      <c r="H25" s="14">
        <v>0.3</v>
      </c>
      <c r="M25" s="23"/>
      <c r="N25" s="23"/>
      <c r="O25" s="23"/>
      <c r="P25" s="23"/>
      <c r="Q25" s="23"/>
      <c r="R25" s="23"/>
      <c r="S25" s="23"/>
      <c r="T25" s="23"/>
      <c r="U25" s="23"/>
    </row>
    <row r="26" ht="17.25" customHeight="1" spans="2:21">
      <c r="B26" s="10">
        <v>3</v>
      </c>
      <c r="C26" s="11" t="s">
        <v>845</v>
      </c>
      <c r="D26" s="12"/>
      <c r="E26" s="12"/>
      <c r="F26" s="12"/>
      <c r="G26" s="13"/>
      <c r="H26" s="14">
        <v>0.2</v>
      </c>
      <c r="M26" s="23"/>
      <c r="N26" s="23"/>
      <c r="O26" s="23"/>
      <c r="P26" s="23"/>
      <c r="Q26" s="23"/>
      <c r="R26" s="23"/>
      <c r="S26" s="23"/>
      <c r="T26" s="23"/>
      <c r="U26" s="23"/>
    </row>
    <row r="27" ht="17.25" customHeight="1" spans="2:21">
      <c r="B27" s="10">
        <v>4</v>
      </c>
      <c r="C27" s="11"/>
      <c r="D27" s="12"/>
      <c r="E27" s="12"/>
      <c r="F27" s="12"/>
      <c r="G27" s="13"/>
      <c r="H27" s="15"/>
      <c r="M27" s="23"/>
      <c r="N27" s="23"/>
      <c r="O27" s="23"/>
      <c r="P27" s="23"/>
      <c r="Q27" s="23"/>
      <c r="R27" s="23"/>
      <c r="S27" s="23"/>
      <c r="T27" s="23"/>
      <c r="U27" s="23"/>
    </row>
    <row r="28" ht="18" customHeight="1" spans="2:8">
      <c r="B28" s="10">
        <v>5</v>
      </c>
      <c r="C28" s="11"/>
      <c r="D28" s="12"/>
      <c r="E28" s="12"/>
      <c r="F28" s="12"/>
      <c r="G28" s="13"/>
      <c r="H28" s="15"/>
    </row>
    <row r="29" ht="17.25" spans="2:8">
      <c r="B29" s="10">
        <v>6</v>
      </c>
      <c r="C29" s="11"/>
      <c r="D29" s="12"/>
      <c r="E29" s="12"/>
      <c r="F29" s="12"/>
      <c r="G29" s="13"/>
      <c r="H29" s="15"/>
    </row>
    <row r="30" ht="17.25" spans="2:8">
      <c r="B30" s="16"/>
      <c r="C30" s="17" t="s">
        <v>399</v>
      </c>
      <c r="D30" s="18"/>
      <c r="E30" s="18"/>
      <c r="F30" s="18"/>
      <c r="G30" s="19"/>
      <c r="H30" s="20">
        <v>3</v>
      </c>
    </row>
    <row r="34" s="3" customFormat="1" spans="1:1">
      <c r="A34" s="3" t="s">
        <v>846</v>
      </c>
    </row>
    <row r="35" ht="38.25" customHeight="1" spans="2:11">
      <c r="B35" s="21" t="s">
        <v>847</v>
      </c>
      <c r="C35" s="22"/>
      <c r="D35" s="22"/>
      <c r="E35" s="22"/>
      <c r="F35" s="22"/>
      <c r="G35" s="22"/>
      <c r="H35" s="22"/>
      <c r="I35" s="22"/>
      <c r="J35" s="22"/>
      <c r="K35" s="22"/>
    </row>
    <row r="37" s="3" customFormat="1" spans="1:1">
      <c r="A37" s="3" t="s">
        <v>848</v>
      </c>
    </row>
    <row r="38" spans="2:2">
      <c r="B38" s="4" t="s">
        <v>849</v>
      </c>
    </row>
    <row r="39" spans="2:2">
      <c r="B39" s="4" t="s">
        <v>850</v>
      </c>
    </row>
    <row r="41" spans="2:2">
      <c r="B41" s="4" t="s">
        <v>851</v>
      </c>
    </row>
    <row r="42" spans="2:2">
      <c r="B42" s="4" t="s">
        <v>852</v>
      </c>
    </row>
    <row r="44" s="3" customFormat="1" spans="1:1">
      <c r="A44" s="3" t="s">
        <v>853</v>
      </c>
    </row>
    <row r="45" spans="2:2">
      <c r="B45" s="4" t="s">
        <v>854</v>
      </c>
    </row>
  </sheetData>
  <mergeCells count="9">
    <mergeCell ref="C23:G23"/>
    <mergeCell ref="C24:G24"/>
    <mergeCell ref="C25:G25"/>
    <mergeCell ref="C26:G26"/>
    <mergeCell ref="C27:G27"/>
    <mergeCell ref="C28:G28"/>
    <mergeCell ref="C29:G29"/>
    <mergeCell ref="C30:G30"/>
    <mergeCell ref="B35:K35"/>
  </mergeCells>
  <pageMargins left="0.699305555555556" right="0.699305555555556" top="0.75" bottom="0.75" header="0.3" footer="0.3"/>
  <pageSetup paperSize="9" orientation="portrait"/>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B32"/>
  <sheetViews>
    <sheetView topLeftCell="A4" workbookViewId="0">
      <selection activeCell="G29" sqref="G29"/>
    </sheetView>
  </sheetViews>
  <sheetFormatPr defaultColWidth="9" defaultRowHeight="13.5" outlineLevelCol="1"/>
  <cols>
    <col min="1" max="1" width="13.25" customWidth="1"/>
  </cols>
  <sheetData>
    <row r="1" spans="1:2">
      <c r="A1" s="1">
        <v>43101</v>
      </c>
      <c r="B1" s="2" t="s">
        <v>855</v>
      </c>
    </row>
    <row r="2" spans="1:2">
      <c r="A2" s="1">
        <v>43144</v>
      </c>
      <c r="B2" s="2" t="s">
        <v>856</v>
      </c>
    </row>
    <row r="3" spans="1:2">
      <c r="A3" s="1">
        <v>43145</v>
      </c>
      <c r="B3" s="2" t="s">
        <v>856</v>
      </c>
    </row>
    <row r="4" spans="1:2">
      <c r="A4" s="1">
        <v>43146</v>
      </c>
      <c r="B4" s="2" t="s">
        <v>856</v>
      </c>
    </row>
    <row r="5" spans="1:2">
      <c r="A5" s="1">
        <v>43147</v>
      </c>
      <c r="B5" s="2" t="s">
        <v>856</v>
      </c>
    </row>
    <row r="6" spans="1:2">
      <c r="A6" s="1">
        <v>43148</v>
      </c>
      <c r="B6" s="2" t="s">
        <v>856</v>
      </c>
    </row>
    <row r="7" spans="1:2">
      <c r="A7" s="1">
        <v>43149</v>
      </c>
      <c r="B7" s="2" t="s">
        <v>856</v>
      </c>
    </row>
    <row r="8" spans="1:2">
      <c r="A8" s="1">
        <v>43150</v>
      </c>
      <c r="B8" s="2" t="s">
        <v>856</v>
      </c>
    </row>
    <row r="9" spans="1:2">
      <c r="A9" s="1">
        <v>43151</v>
      </c>
      <c r="B9" s="2" t="s">
        <v>856</v>
      </c>
    </row>
    <row r="10" spans="1:2">
      <c r="A10" s="1">
        <v>43152</v>
      </c>
      <c r="B10" s="2" t="s">
        <v>856</v>
      </c>
    </row>
    <row r="11" spans="1:2">
      <c r="A11" s="1">
        <v>43195</v>
      </c>
      <c r="B11" s="2" t="s">
        <v>857</v>
      </c>
    </row>
    <row r="12" spans="1:2">
      <c r="A12" s="1">
        <v>43196</v>
      </c>
      <c r="B12" s="2" t="s">
        <v>857</v>
      </c>
    </row>
    <row r="13" spans="1:2">
      <c r="A13" s="1">
        <v>43197</v>
      </c>
      <c r="B13" s="2" t="s">
        <v>857</v>
      </c>
    </row>
    <row r="14" spans="1:2">
      <c r="A14" s="1">
        <v>43219</v>
      </c>
      <c r="B14" s="2" t="s">
        <v>858</v>
      </c>
    </row>
    <row r="15" spans="1:2">
      <c r="A15" s="1">
        <v>43220</v>
      </c>
      <c r="B15" s="2" t="s">
        <v>858</v>
      </c>
    </row>
    <row r="16" spans="1:2">
      <c r="A16" s="1">
        <v>43221</v>
      </c>
      <c r="B16" s="2" t="s">
        <v>858</v>
      </c>
    </row>
    <row r="17" spans="1:2">
      <c r="A17" s="1">
        <v>43267</v>
      </c>
      <c r="B17" s="2" t="s">
        <v>859</v>
      </c>
    </row>
    <row r="18" spans="1:2">
      <c r="A18" s="1">
        <v>43268</v>
      </c>
      <c r="B18" s="2" t="s">
        <v>859</v>
      </c>
    </row>
    <row r="19" spans="1:2">
      <c r="A19" s="1">
        <v>43269</v>
      </c>
      <c r="B19" s="2" t="s">
        <v>859</v>
      </c>
    </row>
    <row r="20" spans="1:2">
      <c r="A20" s="1">
        <v>43365</v>
      </c>
      <c r="B20" s="2" t="s">
        <v>860</v>
      </c>
    </row>
    <row r="21" spans="1:2">
      <c r="A21" s="1">
        <v>43366</v>
      </c>
      <c r="B21" s="2" t="s">
        <v>860</v>
      </c>
    </row>
    <row r="22" spans="1:2">
      <c r="A22" s="1">
        <v>43367</v>
      </c>
      <c r="B22" s="2" t="s">
        <v>860</v>
      </c>
    </row>
    <row r="23" spans="1:2">
      <c r="A23" s="1">
        <v>43374</v>
      </c>
      <c r="B23" s="2" t="s">
        <v>861</v>
      </c>
    </row>
    <row r="24" spans="1:2">
      <c r="A24" s="1">
        <v>43375</v>
      </c>
      <c r="B24" s="2" t="s">
        <v>861</v>
      </c>
    </row>
    <row r="25" spans="1:2">
      <c r="A25" s="1">
        <v>43376</v>
      </c>
      <c r="B25" s="2" t="s">
        <v>861</v>
      </c>
    </row>
    <row r="26" spans="1:2">
      <c r="A26" s="1">
        <v>43377</v>
      </c>
      <c r="B26" s="2" t="s">
        <v>861</v>
      </c>
    </row>
    <row r="27" spans="1:2">
      <c r="A27" s="1">
        <v>43378</v>
      </c>
      <c r="B27" s="2" t="s">
        <v>861</v>
      </c>
    </row>
    <row r="28" spans="1:2">
      <c r="A28" s="1">
        <v>43379</v>
      </c>
      <c r="B28" s="2" t="s">
        <v>861</v>
      </c>
    </row>
    <row r="29" spans="1:2">
      <c r="A29" s="1">
        <v>43380</v>
      </c>
      <c r="B29" s="2" t="s">
        <v>861</v>
      </c>
    </row>
    <row r="30" spans="1:2">
      <c r="A30" s="1">
        <v>43464</v>
      </c>
      <c r="B30" s="2" t="s">
        <v>862</v>
      </c>
    </row>
    <row r="31" spans="1:2">
      <c r="A31" s="1">
        <v>43465</v>
      </c>
      <c r="B31" s="2" t="s">
        <v>862</v>
      </c>
    </row>
    <row r="32" spans="1:2">
      <c r="A32" s="1">
        <v>43466</v>
      </c>
      <c r="B32" s="2" t="s">
        <v>862</v>
      </c>
    </row>
  </sheetData>
  <pageMargins left="0.75" right="0.75" top="1" bottom="1" header="0.511805555555556" footer="0.511805555555556"/>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20</vt:i4>
      </vt:variant>
    </vt:vector>
  </HeadingPairs>
  <TitlesOfParts>
    <vt:vector size="20" baseType="lpstr">
      <vt:lpstr>CB_DATA_</vt:lpstr>
      <vt:lpstr>报告封面</vt:lpstr>
      <vt:lpstr>目录</vt:lpstr>
      <vt:lpstr>填写说明</vt:lpstr>
      <vt:lpstr>项目属性</vt:lpstr>
      <vt:lpstr>项目度量分析计划</vt:lpstr>
      <vt:lpstr>预测-结果</vt:lpstr>
      <vt:lpstr>预测-指导</vt:lpstr>
      <vt:lpstr>总模型</vt:lpstr>
      <vt:lpstr>迭代模型</vt:lpstr>
      <vt:lpstr>需求</vt:lpstr>
      <vt:lpstr>工作量分布</vt:lpstr>
      <vt:lpstr>规模</vt:lpstr>
      <vt:lpstr>项目进度</vt:lpstr>
      <vt:lpstr>过程产出缺陷度量</vt:lpstr>
      <vt:lpstr>测试及验收缺陷度量</vt:lpstr>
      <vt:lpstr>人员统计</vt:lpstr>
      <vt:lpstr>人员基本信息</vt:lpstr>
      <vt:lpstr>根因分析</vt:lpstr>
      <vt:lpstr>附录-节假日</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yun.xiong</cp:lastModifiedBy>
  <dcterms:created xsi:type="dcterms:W3CDTF">2006-09-16T00:00:00Z</dcterms:created>
  <dcterms:modified xsi:type="dcterms:W3CDTF">2018-11-19T00:56:59Z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

<file path=userCustomization/customUI.xml>�� 
</file>