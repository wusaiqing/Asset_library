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4.xml" ContentType="application/vnd.openxmlformats-officedocument.drawing+xml"/>
  <Override PartName="/xl/comments6.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5.xml" ContentType="application/vnd.openxmlformats-officedocument.drawing+xml"/>
  <Override PartName="/xl/comments7.xml" ContentType="application/vnd.openxmlformats-officedocument.spreadsheetml.comment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omments8.xml" ContentType="application/vnd.openxmlformats-officedocument.spreadsheetml.comments+xml"/>
  <Override PartName="/xl/drawings/drawing6.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9.xml" ContentType="application/vnd.openxmlformats-officedocument.spreadsheetml.comments+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0.xml" ContentType="application/vnd.openxmlformats-officedocument.spreadsheetml.comments+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drawings/drawing8.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omments11.xml" ContentType="application/vnd.openxmlformats-officedocument.spreadsheetml.comments+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drawings/drawing9.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12.xml" ContentType="application/vnd.openxmlformats-officedocument.spreadsheetml.comments+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drawings/drawing10.xml" ContentType="application/vnd.openxmlformats-officedocument.drawing+xml"/>
  <Override PartName="/xl/charts/chart5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8" Type="http://schemas.openxmlformats.org/officeDocument/2006/relationships/custom-properties" Target="docProps/custom.xml"/><Relationship Id="rId7" Type="http://schemas.openxmlformats.org/officeDocument/2006/relationships/extended-properties" Target="docProps/app.xml"/><Relationship Id="rId1" Type="http://schemas.openxmlformats.org/officeDocument/2006/relationships/officeDocument" Target="xl/workbook.xml"/><Relationship Id="rId6" Type="http://schemas.openxmlformats.org/package/2006/relationships/metadata/core-properties" Target="docProps/core.xml"/><Relationship Id="rId5" Type="http://schemas.microsoft.com/office/2006/relationships/ui/userCustomization" Target="userCustomization/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defaultThemeVersion="124226"/>
  <mc:AlternateContent xmlns:mc="http://schemas.openxmlformats.org/markup-compatibility/2006">
    <mc:Choice Requires="x15">
      <x15ac:absPath xmlns:x15ac="http://schemas.microsoft.com/office/spreadsheetml/2010/11/ac" url="C:\Users\yun.xiong\Desktop\YM\"/>
    </mc:Choice>
  </mc:AlternateContent>
  <xr:revisionPtr revIDLastSave="0" documentId="13_ncr:1_{2B2E5EE9-998A-4B81-8CC1-3886D3897813}" xr6:coauthVersionLast="38" xr6:coauthVersionMax="38" xr10:uidLastSave="{00000000-0000-0000-0000-000000000000}"/>
  <bookViews>
    <workbookView xWindow="0" yWindow="0" windowWidth="20700" windowHeight="10350" tabRatio="879" firstSheet="10" activeTab="19" xr2:uid="{00000000-000D-0000-FFFF-FFFF00000000}"/>
  </bookViews>
  <sheets>
    <sheet name="CB_DATA_" sheetId="1" state="veryHidden" r:id="rId1"/>
    <sheet name="报告封面" sheetId="2" r:id="rId2"/>
    <sheet name="目录" sheetId="3" r:id="rId3"/>
    <sheet name="填写说明" sheetId="4" r:id="rId4"/>
    <sheet name="项目属性" sheetId="5" r:id="rId5"/>
    <sheet name="项目度量分析计划" sheetId="6" r:id="rId6"/>
    <sheet name="预测-结果" sheetId="8" r:id="rId7"/>
    <sheet name="预测-指导" sheetId="9" r:id="rId8"/>
    <sheet name="总模型" sheetId="23" r:id="rId9"/>
    <sheet name="迭代模型" sheetId="24" r:id="rId10"/>
    <sheet name="需求" sheetId="10" r:id="rId11"/>
    <sheet name="工作量分布" sheetId="11" r:id="rId12"/>
    <sheet name="规模" sheetId="12" r:id="rId13"/>
    <sheet name="项目进度" sheetId="13" r:id="rId14"/>
    <sheet name="过程产出缺陷度量" sheetId="14" r:id="rId15"/>
    <sheet name="测试及验收缺陷度量" sheetId="15" r:id="rId16"/>
    <sheet name="人员统计" sheetId="16" r:id="rId17"/>
    <sheet name="人员基本信息" sheetId="20" r:id="rId18"/>
    <sheet name="根因分析" sheetId="17" r:id="rId19"/>
    <sheet name="附录-节假日" sheetId="19" r:id="rId20"/>
  </sheets>
  <externalReferences>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s>
  <definedNames>
    <definedName name="\a" localSheetId="9">#REF!</definedName>
    <definedName name="\a" localSheetId="8">#REF!</definedName>
    <definedName name="\a">#REF!</definedName>
    <definedName name="\c" localSheetId="9">#REF!</definedName>
    <definedName name="\c" localSheetId="8">#REF!</definedName>
    <definedName name="\c">#REF!</definedName>
    <definedName name="\d" localSheetId="9">#REF!</definedName>
    <definedName name="\d" localSheetId="8">#REF!</definedName>
    <definedName name="\d">#REF!</definedName>
    <definedName name="\e" localSheetId="9">#REF!</definedName>
    <definedName name="\e" localSheetId="8">#REF!</definedName>
    <definedName name="\e">#REF!</definedName>
    <definedName name="\p" localSheetId="9">#REF!</definedName>
    <definedName name="\p" localSheetId="8">#REF!</definedName>
    <definedName name="\p">#REF!</definedName>
    <definedName name="\s" localSheetId="9">#REF!</definedName>
    <definedName name="\s" localSheetId="8">#REF!</definedName>
    <definedName name="\s">#REF!</definedName>
    <definedName name="\w" localSheetId="9">#REF!</definedName>
    <definedName name="\w" localSheetId="8">#REF!</definedName>
    <definedName name="\w">#REF!</definedName>
    <definedName name="_Dist_Bin" localSheetId="9" hidden="1">#REF!</definedName>
    <definedName name="_Dist_Bin" localSheetId="8" hidden="1">#REF!</definedName>
    <definedName name="_Dist_Bin" hidden="1">#REF!</definedName>
    <definedName name="_Dist_Values" localSheetId="9" hidden="1">#REF!</definedName>
    <definedName name="_Dist_Values" localSheetId="8" hidden="1">#REF!</definedName>
    <definedName name="_Dist_Values" hidden="1">#REF!</definedName>
    <definedName name="_Fill" localSheetId="9" hidden="1">#REF!</definedName>
    <definedName name="_Fill" localSheetId="8" hidden="1">#REF!</definedName>
    <definedName name="_Fill" hidden="1">#REF!</definedName>
    <definedName name="_Key1" localSheetId="9" hidden="1">#REF!</definedName>
    <definedName name="_Key1" localSheetId="8" hidden="1">#REF!</definedName>
    <definedName name="_Key1" hidden="1">#REF!</definedName>
    <definedName name="_Order1" hidden="1">255</definedName>
    <definedName name="_Sort" localSheetId="9" hidden="1">#REF!</definedName>
    <definedName name="_Sort" localSheetId="8" hidden="1">#REF!</definedName>
    <definedName name="_Sort" hidden="1">#REF!</definedName>
    <definedName name="_VER1" localSheetId="9">'[1]封面 '!#REF!</definedName>
    <definedName name="_VER1" localSheetId="8">'[1]封面 '!#REF!</definedName>
    <definedName name="_VER1">'[1]封面 '!#REF!</definedName>
    <definedName name="A" localSheetId="9">#REF!</definedName>
    <definedName name="A" localSheetId="8">#REF!</definedName>
    <definedName name="A">#REF!</definedName>
    <definedName name="AA" localSheetId="9">#REF!</definedName>
    <definedName name="AA" localSheetId="8">#REF!</definedName>
    <definedName name="AA">#REF!</definedName>
    <definedName name="AAA" localSheetId="9">#REF!</definedName>
    <definedName name="AAA" localSheetId="8">#REF!</definedName>
    <definedName name="AAA">#REF!</definedName>
    <definedName name="AAAA" localSheetId="9">迭代模型!AAAA</definedName>
    <definedName name="AAAA" localSheetId="8">总模型!AAAA</definedName>
    <definedName name="AAAA">AAAA</definedName>
    <definedName name="AB" localSheetId="9">#REF!</definedName>
    <definedName name="AB" localSheetId="8">#REF!</definedName>
    <definedName name="AB">#REF!</definedName>
    <definedName name="Access_Button" hidden="1">"BugTBLU0_LMS11_List"</definedName>
    <definedName name="AccessDatabase" hidden="1">"B:\Users\Docomo\バグ管理\BugTBLU0.mdb"</definedName>
    <definedName name="ActEffort">#REF!</definedName>
    <definedName name="Action">[2]基础配置表!$A$2:$A$53</definedName>
    <definedName name="Activity">[2]ODC配置表!$A$2:$A$12</definedName>
    <definedName name="Age">[2]ODC配置表!$H$2:$H$6</definedName>
    <definedName name="Backend" localSheetId="9">#REF!</definedName>
    <definedName name="Backend" localSheetId="8">#REF!</definedName>
    <definedName name="Backend">#REF!</definedName>
    <definedName name="BackendP" localSheetId="9">#REF!</definedName>
    <definedName name="BackendP" localSheetId="8">#REF!</definedName>
    <definedName name="BackendP">#REF!</definedName>
    <definedName name="BBB" localSheetId="9">#REF!</definedName>
    <definedName name="BBB" localSheetId="8">#REF!</definedName>
    <definedName name="BBB">#REF!</definedName>
    <definedName name="BugTBLU0_LMS11_List" localSheetId="9">#REF!</definedName>
    <definedName name="BugTBLU0_LMS11_List" localSheetId="8">#REF!</definedName>
    <definedName name="BugTBLU0_LMS11_List">#REF!</definedName>
    <definedName name="CB_00168b773d904bf0a2443735b62c31ab" localSheetId="9" hidden="1">迭代模型!$I$43</definedName>
    <definedName name="CB_03f504e7c7724c379d5bff130f919220" localSheetId="9" hidden="1">迭代模型!$C$28</definedName>
    <definedName name="CB_066f09643cc24a419605ecf196688385" localSheetId="8" hidden="1">总模型!$X$34</definedName>
    <definedName name="CB_07d25e9b04e34226b8d2b807d1a4f608" localSheetId="8" hidden="1">总模型!$C$47</definedName>
    <definedName name="CB_1055419c52e747d1bb06ab8a050b4c93" localSheetId="0" hidden="1">#N/A</definedName>
    <definedName name="CB_13a87ddbf9bc45af9984b48de5560067" localSheetId="9" hidden="1">迭代模型!$M$29</definedName>
    <definedName name="CB_1713c8f4487c444794e4d03ca5c29a43" localSheetId="9" hidden="1">迭代模型!$Z$26</definedName>
    <definedName name="CB_1a54e055cce04566941af19111c7b417" localSheetId="9" hidden="1">迭代模型!$M$28</definedName>
    <definedName name="CB_2492e6996dc4454b8289d41d196d8f3d" localSheetId="9" hidden="1">迭代模型!$G$34</definedName>
    <definedName name="CB_27533f828bd94248b76d506cf93ef668" localSheetId="0" hidden="1">#N/A</definedName>
    <definedName name="CB_28a2e8a85a3d43dfa3ed0c0e27f3b072" localSheetId="9" hidden="1">迭代模型!$X$26</definedName>
    <definedName name="CB_28a85be4fd2c4fae8bd75a2f1033717b" localSheetId="8" hidden="1">总模型!$E$47</definedName>
    <definedName name="CB_294888a44f5440cdab6f00a76a0ac139" localSheetId="8" hidden="1">总模型!$G$38</definedName>
    <definedName name="CB_2ba00129776245528109f4eb2f058e25" localSheetId="9" hidden="1">迭代模型!$I$37</definedName>
    <definedName name="CB_2da235539c5f40a7ab81cfddf982082f" localSheetId="8" hidden="1">总模型!$I$38</definedName>
    <definedName name="CB_32f28093af5b47cca2d028e46f78fefd" localSheetId="0" hidden="1">#N/A</definedName>
    <definedName name="CB_340b0bc6d7514eb89a5666603b86220d" localSheetId="9" hidden="1">迭代模型!$C$34</definedName>
    <definedName name="CB_480a3800b99b4645a0287d07008626b4" localSheetId="9" hidden="1">迭代模型!$C$35</definedName>
    <definedName name="CB_48ebec21ed8846fda73e484a7d563a8d" localSheetId="8" hidden="1">总模型!$Y$34</definedName>
    <definedName name="CB_4a93ccdefa894b8ab94089fe4fd57995" localSheetId="9" hidden="1">迭代模型!$C$37</definedName>
    <definedName name="CB_4b88e32533114c799e9d7716ce057f93" localSheetId="8" hidden="1">总模型!$G$47</definedName>
    <definedName name="CB_4d5292b0e9a34193823fec6fa712c6b0" localSheetId="9" hidden="1">迭代模型!$G$38</definedName>
    <definedName name="CB_4e76327ed06a4d07967ee2abc1decf00" localSheetId="9" hidden="1">迭代模型!$C$27</definedName>
    <definedName name="CB_4fc017a48f2040148698ab4cadc1f809" localSheetId="9" hidden="1">迭代模型!$I$44</definedName>
    <definedName name="CB_528016d756944b96aa99947e0e2796cb" localSheetId="9" hidden="1">迭代模型!$G$28</definedName>
    <definedName name="CB_5475d27287644d5c9945cf523d68fc9d" localSheetId="8" hidden="1">总模型!$Z$34</definedName>
    <definedName name="CB_5ab2e471552f46a5897b13f291757d99" localSheetId="8" hidden="1">总模型!$I$41</definedName>
    <definedName name="CB_5b9940299f2f468694a296aa8985ecea" localSheetId="8" hidden="1">总模型!$E$41</definedName>
    <definedName name="CB_5cd0906bd3f049e39b1f775fb757d1f7" localSheetId="8" hidden="1">总模型!$C$38</definedName>
    <definedName name="CB_5f481313a0f648a492c16686206406a7" localSheetId="9" hidden="1">迭代模型!$G$26</definedName>
    <definedName name="CB_5f980e4420a7480891b3ff422a01bc05" localSheetId="8" hidden="1">总模型!$I$45</definedName>
    <definedName name="CB_615ffed7c45140cba8c2593f0797149f" localSheetId="8" hidden="1">总模型!$C$41</definedName>
    <definedName name="CB_63d30cad23a14ad1abcdc29e9381d1b7" localSheetId="9" hidden="1">迭代模型!$G$37</definedName>
    <definedName name="CB_6d635ad374f2431980defa80779db86c" localSheetId="8" hidden="1">总模型!$Z$35</definedName>
    <definedName name="CB_75d82e8c0e1646f3b364e104aa5dc8f0" localSheetId="9" hidden="1">迭代模型!$G$32</definedName>
    <definedName name="CB_77ea3099c8534676a3840d7d6d5d4ce8" localSheetId="9" hidden="1">迭代模型!$I$42</definedName>
    <definedName name="CB_85d187d58437408fae43150785c65a7a" localSheetId="9" hidden="1">迭代模型!$G$27</definedName>
    <definedName name="CB_8d8937e91a4e46ee9f6438abaff9c44f" localSheetId="9" hidden="1">迭代模型!$G$31</definedName>
    <definedName name="CB_93bc1bacca62434d882bc34e029c9880" localSheetId="8" hidden="1">总模型!$E$38</definedName>
    <definedName name="CB_9462cf59a108491e934c9b81fd953fef" localSheetId="9" hidden="1">迭代模型!$I$39</definedName>
    <definedName name="CB_953db35f0aa24151b9fbf691cd50a0d3" localSheetId="9" hidden="1">迭代模型!$E$37</definedName>
    <definedName name="CB_955008308c83451eb90fd16655927f81" localSheetId="8" hidden="1">总模型!$G$44</definedName>
    <definedName name="CB_9603d88963b340189a25f9a410f1dd85" localSheetId="9" hidden="1">迭代模型!$I$34</definedName>
    <definedName name="CB_993b0be0cd6d44708a2c8b6dc242e14f" localSheetId="9" hidden="1">迭代模型!$G$35</definedName>
    <definedName name="CB_9a8913d4b59646538e8c4953c027b861" localSheetId="9" hidden="1">迭代模型!$C$38</definedName>
    <definedName name="CB_a448254d6e8740c89dd4ed7551415e01" localSheetId="9" hidden="1">迭代模型!$Y$26</definedName>
    <definedName name="CB_a4489031f1974b94bb18b9d5131d697e" localSheetId="9" hidden="1">迭代模型!$E$28</definedName>
    <definedName name="CB_a9be9c3f67924d6695b86a01d88f6b07" localSheetId="8" hidden="1">总模型!$C$33</definedName>
    <definedName name="CB_b118e5c7664f48769394311a93b24638" localSheetId="8" hidden="1">总模型!$G$33</definedName>
    <definedName name="CB_b1f51e08d5ee49a89b0f2fb714c97609" localSheetId="9" hidden="1">迭代模型!$M$30</definedName>
    <definedName name="CB_b9de96f2918d4a36b1a7638d986a68b6" localSheetId="9" hidden="1">迭代模型!$I$38</definedName>
    <definedName name="CB_ba58c65ef2254ffcb259c0ef4403b362" localSheetId="9" hidden="1">迭代模型!$C$26</definedName>
    <definedName name="CB_Block_00000000000000000000000000000000" localSheetId="0" hidden="1">"'7.0.0.0"</definedName>
    <definedName name="CB_Block_00000000000000000000000000000000" localSheetId="9" hidden="1">"'7.0.0.0"</definedName>
    <definedName name="CB_Block_00000000000000000000000000000000" localSheetId="8" hidden="1">"'7.0.0.0"</definedName>
    <definedName name="CB_Block_00000000000000000000000000000001" localSheetId="0" hidden="1">"'636777133292613273"</definedName>
    <definedName name="CB_Block_00000000000000000000000000000001" localSheetId="9" hidden="1">"'636777133292583273"</definedName>
    <definedName name="CB_Block_00000000000000000000000000000001" localSheetId="8" hidden="1">"'636777133292133273"</definedName>
    <definedName name="CB_Block_00000000000000000000000000000003" localSheetId="0" hidden="1">"'11.1.4100.0"</definedName>
    <definedName name="CB_Block_00000000000000000000000000000003" localSheetId="9" hidden="1">"'11.1.4100.0"</definedName>
    <definedName name="CB_Block_00000000000000000000000000000003" localSheetId="8" hidden="1">"'11.1.4100.0"</definedName>
    <definedName name="CB_BlockExt_00000000000000000000000000000003" localSheetId="0" hidden="1">"'11.1.2.4.000"</definedName>
    <definedName name="CB_BlockExt_00000000000000000000000000000003" localSheetId="9" hidden="1">"'11.1.2.4.000"</definedName>
    <definedName name="CB_BlockExt_00000000000000000000000000000003" localSheetId="8" hidden="1">"'11.1.2.4.000"</definedName>
    <definedName name="CB_c228d3e3e30842babead0c6f9e748790" localSheetId="9" hidden="1">迭代模型!$I$45</definedName>
    <definedName name="CB_c964a33fe5024320b084032b8d89eb7b" localSheetId="9" hidden="1">迭代模型!$W$26</definedName>
    <definedName name="CB_cc4748c5fe8e46b2a5a3917f086051e2" localSheetId="8" hidden="1">总模型!$I$44</definedName>
    <definedName name="CB_ce2a1ec2ac734a9885ebaf0b3b91a3dc" localSheetId="9" hidden="1">迭代模型!$G$42</definedName>
    <definedName name="CB_d3aba413a79d404ab284f245064fa5cc" localSheetId="8" hidden="1">总模型!$E$44</definedName>
    <definedName name="CB_d43c9e3aaaf241bc9c5ed6463c0fda61" localSheetId="9" hidden="1">迭代模型!$E$27</definedName>
    <definedName name="CB_d5d329a712df486db3b8cefc34f52a68" localSheetId="8" hidden="1">总模型!$I$42</definedName>
    <definedName name="CB_d811c843d6ce4709bbef75539a5d970e" localSheetId="9" hidden="1">迭代模型!$Z$28</definedName>
    <definedName name="CB_d92ce9ce19e444ea8697c2f2104c97ea" localSheetId="9" hidden="1">迭代模型!$G$30</definedName>
    <definedName name="CB_df88c80c79f84f3f9b348a8344c47858" localSheetId="0" hidden="1">#N/A</definedName>
    <definedName name="CB_dffb5f571e154f42a9192e7c450634e7" localSheetId="9" hidden="1">迭代模型!$I$40</definedName>
    <definedName name="CB_e27718bf663f4db4b0e8caf7aee72d77" localSheetId="8" hidden="1">总模型!$I$39</definedName>
    <definedName name="CB_e4e1eb2a26ff42e59d8ecbc761237284" localSheetId="9" hidden="1">迭代模型!$M$27</definedName>
    <definedName name="CB_edc5dbc61bdb4207820a25e29d0ba243" localSheetId="9" hidden="1">迭代模型!$E$26</definedName>
    <definedName name="CB_ef03deff93b44fcf870b05ba9e25f6d6" localSheetId="8" hidden="1">总模型!$W$34</definedName>
    <definedName name="CB_f6976b201c604e2290553c1fabc11292" localSheetId="9" hidden="1">迭代模型!$E$38</definedName>
    <definedName name="CB_f77f1326a5b740c48b68857543f45e02" localSheetId="8" hidden="1">总模型!$E$33</definedName>
    <definedName name="CB_f7d85acae6fc4280b26e85f966df3b0b" localSheetId="8" hidden="1">总模型!$G$41</definedName>
    <definedName name="CB_fd981e1bd4934171b3f5cab9add55a9c" localSheetId="8" hidden="1">总模型!$C$44</definedName>
    <definedName name="CBCR_0462b5b27fa545409bce98ae17f8d9d3" localSheetId="9" hidden="1">迭代模型!$H$42</definedName>
    <definedName name="CBCR_0f5b33cf9f674e6796097102681239cd" localSheetId="8" hidden="1">总模型!$G$33</definedName>
    <definedName name="CBCR_11b093e4d6d145cd863c995c8e5c5096" localSheetId="0" hidden="1">CB_DATA_!$A$10007</definedName>
    <definedName name="CBCR_12ebb4ddaaa54fd799d9463b5295223a" localSheetId="9" hidden="1">迭代模型!$F$38</definedName>
    <definedName name="CBCR_1334044442ac479eb45daf1d406205f6" localSheetId="8" hidden="1">总模型!$F$47</definedName>
    <definedName name="CBCR_1460305362264a6e97acf20650a25909" localSheetId="9" hidden="1">迭代模型!$H$26</definedName>
    <definedName name="CBCR_16c1ae98eacb43d89c594be218c6f9c9" localSheetId="8" hidden="1">总模型!$H$47</definedName>
    <definedName name="CBCR_19ca4f86a58e4dd782d0baec0a4ce5b0" localSheetId="9" hidden="1">迭代模型!$H$38</definedName>
    <definedName name="CBCR_2109a877a3e54518a17614c15713c50f" localSheetId="9" hidden="1">迭代模型!$H$35</definedName>
    <definedName name="CBCR_2249f49b3d8b47d38aa4031e92b4b3a9" localSheetId="9" hidden="1">迭代模型!$I$45</definedName>
    <definedName name="CBCR_249b2432c9214ec884d1f43ba9c88b27" localSheetId="0" hidden="1">CB_DATA_!$A$10001</definedName>
    <definedName name="CBCR_2eec2cd507e345028c3e9930143b4090" localSheetId="9" hidden="1">迭代模型!$F$37</definedName>
    <definedName name="CBCR_39c8e9b06dee41f9a25ccfbd60a83540" localSheetId="9" hidden="1">迭代模型!$J$43</definedName>
    <definedName name="CBCR_4212ee39deb04c60885670730d51f264" localSheetId="9" hidden="1">迭代模型!$Z$27</definedName>
    <definedName name="CBCR_4d50ffc2f801432f8c822cc0cb6c5f76" localSheetId="9" hidden="1">迭代模型!$D$35</definedName>
    <definedName name="CBCR_54eee2b62a614c67a681801633d51ce8" localSheetId="8" hidden="1">总模型!$D$33</definedName>
    <definedName name="CBCR_57f6f2856df2481191251505995ea8aa" localSheetId="9" hidden="1">迭代模型!$L$28</definedName>
    <definedName name="CBCR_5b7dc6a164384dd1aedee7271642fabb" localSheetId="9" hidden="1">迭代模型!$J$44</definedName>
    <definedName name="CBCR_5c68e4e3e4ce4f5ba7993874e1d5c51b" localSheetId="9" hidden="1">迭代模型!$D$34</definedName>
    <definedName name="CBCR_5c7b0d8411d746a2bc38784f13a3f9f9" localSheetId="8" hidden="1">总模型!$F$33</definedName>
    <definedName name="CBCR_5ce6b2d46cfe444f8770e6869d2056a3" localSheetId="8" hidden="1">总模型!$D$47</definedName>
    <definedName name="CBCR_5db8315146ac4bba8f35dff54b7a609d" localSheetId="8" hidden="1">总模型!$G$37</definedName>
    <definedName name="CBCR_5f0d3fb66146489685d30ad4044bda47" localSheetId="0" hidden="1">CB_DATA_!$A$10003</definedName>
    <definedName name="CBCR_659ef3bc2e8b4501b64b7276d836ff63" localSheetId="9" hidden="1">迭代模型!$C$34</definedName>
    <definedName name="CBCR_6ba2bff6b50b4509b7710727ecff636b" localSheetId="9" hidden="1">迭代模型!$D$26</definedName>
    <definedName name="CBCR_74697034f2654c99ab758d358fcc31fe" localSheetId="9" hidden="1">迭代模型!$C$27</definedName>
    <definedName name="CBCR_7aa445f42f4e4434938b7797db761a09" localSheetId="9" hidden="1">迭代模型!$H$28</definedName>
    <definedName name="CBCR_7ae2207dda704938bcef46569c307e59" localSheetId="9" hidden="1">迭代模型!$Z$25</definedName>
    <definedName name="CBCR_7cf2234134a641ff91f17c495d0d1cb2" localSheetId="9" hidden="1">迭代模型!$X$25</definedName>
    <definedName name="CBCR_81b2c509a9b544e181b69a032dbdd5f4" localSheetId="0" hidden="1">CB_DATA_!$A$10002</definedName>
    <definedName name="CBCR_85f6b90d2d5c4877ae9f5df7fc7ffb3c" localSheetId="9" hidden="1">迭代模型!$W$25</definedName>
    <definedName name="CBCR_85ffbd55f43a42c2a6e809fec479841f" localSheetId="9" hidden="1">迭代模型!$G$42</definedName>
    <definedName name="CBCR_89b17bcd7fc84f389e4302fcf80f5daf" localSheetId="9" hidden="1">迭代模型!$D$28</definedName>
    <definedName name="CBCR_8d0e5390d5bf415cb0ad3edd2a99c8d3" localSheetId="9" hidden="1">迭代模型!$Y$25</definedName>
    <definedName name="CBCR_8e5814790be240bd8341b5346d054796" localSheetId="9" hidden="1">迭代模型!$H$34</definedName>
    <definedName name="CBCR_90d75b7f268b439fbdce2c70a1281c45" localSheetId="8" hidden="1">总模型!$C$37</definedName>
    <definedName name="CBCR_915618e8d3934b499418747525b2b436" localSheetId="8" hidden="1">总模型!$E$37</definedName>
    <definedName name="CBCR_983668ab02614206baccf1371b8e5d9e" localSheetId="9" hidden="1">迭代模型!$H$30</definedName>
    <definedName name="CBCR_9ae6592ac6ff47f8b90fdb3b22b6e46f" localSheetId="9" hidden="1">迭代模型!$H$32</definedName>
    <definedName name="CBCR_ae9eedd4da1f44c197ffb5c1bac81d8f" localSheetId="9" hidden="1">迭代模型!$L$27</definedName>
    <definedName name="CBCR_ba410a072dfe4118b72946a63005707e" localSheetId="9" hidden="1">迭代模型!$J$34</definedName>
    <definedName name="CBCR_bad92da892fe41d8b4aad3758b44bd47" localSheetId="9" hidden="1">迭代模型!$H$27</definedName>
    <definedName name="CBCR_c952fc2a2e0c4abe9dbaca6ee4861c7c" localSheetId="9" hidden="1">迭代模型!$D$38</definedName>
    <definedName name="CBCR_cd75b67cd1184ee18f359823c5c6a91f" localSheetId="9" hidden="1">迭代模型!$I$44</definedName>
    <definedName name="CBCR_d30434dd608c45db8a37a52b9367b63b" localSheetId="9" hidden="1">迭代模型!$F$27</definedName>
    <definedName name="CBCR_d56fd194e8644218b51c8d7bfc41cbf4" localSheetId="9" hidden="1">迭代模型!$H$37</definedName>
    <definedName name="CBCR_d6e5840c4b9b408aa013872e16123502" localSheetId="9" hidden="1">迭代模型!$I$43</definedName>
    <definedName name="CBCR_d6e63000b89c49a39a8432f1a4092a12" localSheetId="9" hidden="1">迭代模型!$J$45</definedName>
    <definedName name="CBCR_d803a8e63f124a15a0f706aca673345d" localSheetId="9" hidden="1">迭代模型!$C$26</definedName>
    <definedName name="CBCR_da573efb308342b495736077f523f01f" localSheetId="9" hidden="1">迭代模型!$C$35</definedName>
    <definedName name="CBCR_daead4b8885d4b929d31104e22dd451d" localSheetId="9" hidden="1">迭代模型!$D$37</definedName>
    <definedName name="CBCR_e01f59457ff946669a7a3e65facee46d" localSheetId="9" hidden="1">迭代模型!$E$26</definedName>
    <definedName name="CBCR_e08a42e8dfcc47e585d05dcd2c4caec1" localSheetId="9" hidden="1">迭代模型!$J$42</definedName>
    <definedName name="CBCR_e92ee9af83a147539d37ac5c8250e9c8" localSheetId="9" hidden="1">迭代模型!$L$29</definedName>
    <definedName name="CBCR_ecd9853425a64d408e7b379c2209991f" localSheetId="9" hidden="1">迭代模型!$H$31</definedName>
    <definedName name="CBCR_edfeb7fa5bce4b73b44703ae311b1fca" localSheetId="9" hidden="1">迭代模型!$L$30</definedName>
    <definedName name="CBCR_efab9994ab6d44c4849a207350f81102" localSheetId="9" hidden="1">迭代模型!$F$26</definedName>
    <definedName name="CBCR_efc058b0932240beb12e2451927e62c7" localSheetId="9" hidden="1">迭代模型!$D$27</definedName>
    <definedName name="CBCR_f3575821f09641a19e31827d293c1c1f" localSheetId="9" hidden="1">迭代模型!$I$42</definedName>
    <definedName name="CBCR_f9d49848b9f640d19263d79c6deccee6" localSheetId="9" hidden="1">迭代模型!$F$28</definedName>
    <definedName name="CBCR_fef8fa7c765f4c8690aaacf95ace795c" localSheetId="8" hidden="1">总模型!$H$33</definedName>
    <definedName name="CBWorkbookPriority" localSheetId="0" hidden="1">-971115964</definedName>
    <definedName name="CBx_22ba3f857e8f41309ce28ab8e9a150b6" localSheetId="0" hidden="1">"'迭代模型'!$A$1"</definedName>
    <definedName name="CBx_39a090d00b294b82a84265d2caced056" localSheetId="0" hidden="1">"'总模型'!$A$1"</definedName>
    <definedName name="CBx_420f52c2b41f4b27a52acc0b293d1261" localSheetId="0" hidden="1">"'CB_DATA_'!$A$1"</definedName>
    <definedName name="CBx_6f70a6afb6ea4d819f3d65fedc0ff3aa" localSheetId="0" hidden="1">"'模型'!$A$1"</definedName>
    <definedName name="CBx_Sheet_Guid" localSheetId="0" hidden="1">"'420f52c2-b41f-4b27-a52a-cc0b293d1261"</definedName>
    <definedName name="CBx_Sheet_Guid" localSheetId="9" hidden="1">"'22ba3f85-7e8f-4130-9ce2-8ab8e9a150b6"</definedName>
    <definedName name="CBx_Sheet_Guid" localSheetId="8" hidden="1">"'39a090d0-0b29-4b82-a842-65d2caced056"</definedName>
    <definedName name="CBx_SheetRef" localSheetId="0" hidden="1">CB_DATA_!$A$14</definedName>
    <definedName name="CBx_SheetRef" localSheetId="9" hidden="1">CB_DATA_!$D$14</definedName>
    <definedName name="CBx_SheetRef" localSheetId="8" hidden="1">CB_DATA_!$E$14</definedName>
    <definedName name="CBx_StorageType" localSheetId="0" hidden="1">2</definedName>
    <definedName name="CBx_StorageType" localSheetId="9" hidden="1">2</definedName>
    <definedName name="CBx_StorageType" localSheetId="8" hidden="1">2</definedName>
    <definedName name="CC">#REF!</definedName>
    <definedName name="CheckResult" localSheetId="9">#REF!</definedName>
    <definedName name="CheckResult" localSheetId="8">#REF!</definedName>
    <definedName name="CheckResult">#REF!</definedName>
    <definedName name="_xlnm.Criteria" localSheetId="9">#REF!</definedName>
    <definedName name="_xlnm.Criteria" localSheetId="8">#REF!</definedName>
    <definedName name="_xlnm.Criteria">#REF!</definedName>
    <definedName name="Criteria_MI" localSheetId="9">#REF!</definedName>
    <definedName name="Criteria_MI" localSheetId="8">#REF!</definedName>
    <definedName name="Criteria_MI">#REF!</definedName>
    <definedName name="DATA" localSheetId="9">#REF!</definedName>
    <definedName name="DATA" localSheetId="8">#REF!</definedName>
    <definedName name="DATA">#REF!</definedName>
    <definedName name="_xlnm.Database" localSheetId="9">#REF!</definedName>
    <definedName name="_xlnm.Database" localSheetId="8">#REF!</definedName>
    <definedName name="_xlnm.Database">#REF!</definedName>
    <definedName name="Database_MI" localSheetId="9">#REF!</definedName>
    <definedName name="Database_MI" localSheetId="8">#REF!</definedName>
    <definedName name="Database_MI">#REF!</definedName>
    <definedName name="DDDT" localSheetId="9">迭代模型!DDDT</definedName>
    <definedName name="DDDT" localSheetId="8">总模型!DDDT</definedName>
    <definedName name="DDDT">DDDT</definedName>
    <definedName name="DDDT1" localSheetId="9">迭代模型!DDDT1</definedName>
    <definedName name="DDDT1" localSheetId="8">总模型!DDDT1</definedName>
    <definedName name="DDDT1">DDDT1</definedName>
    <definedName name="DefectType">[2]ODC配置表!$E$2:$E$9</definedName>
    <definedName name="Diskname">目录!$D$27</definedName>
    <definedName name="EC" localSheetId="9">#REF!</definedName>
    <definedName name="EC" localSheetId="8">#REF!</definedName>
    <definedName name="EC">#REF!</definedName>
    <definedName name="ECP" localSheetId="9">#REF!</definedName>
    <definedName name="ECP" localSheetId="8">#REF!</definedName>
    <definedName name="ECP">#REF!</definedName>
    <definedName name="F" localSheetId="9">#REF!</definedName>
    <definedName name="F" localSheetId="8">#REF!</definedName>
    <definedName name="F">#REF!</definedName>
    <definedName name="F4基线" localSheetId="9">#REF!</definedName>
    <definedName name="F4基线" localSheetId="8">#REF!</definedName>
    <definedName name="F4基线">#REF!</definedName>
    <definedName name="FFF" localSheetId="9">#REF!</definedName>
    <definedName name="FFF" localSheetId="8">#REF!</definedName>
    <definedName name="FFF">#REF!</definedName>
    <definedName name="FFFFF77777" localSheetId="9">#REF!</definedName>
    <definedName name="FFFFF77777" localSheetId="8">#REF!</definedName>
    <definedName name="FFFFF77777">#REF!</definedName>
    <definedName name="for_add">项目进度!$H$24:$H$28</definedName>
    <definedName name="for_Creview">过程产出缺陷度量!$A$106:$P$106</definedName>
    <definedName name="for_CRreview">过程产出缺陷度量!$A$9:$P$9</definedName>
    <definedName name="for_Dreview">过程产出缺陷度量!$A$58:$P$58</definedName>
    <definedName name="for_FRreview">过程产出缺陷度量!$A$34:$P$34</definedName>
    <definedName name="for_set_all1">过程产出缺陷度量!$I$9</definedName>
    <definedName name="for_set_all2">过程产出缺陷度量!$I$34</definedName>
    <definedName name="for_set_all3">过程产出缺陷度量!$I$58</definedName>
    <definedName name="for_set_all4">过程产出缺陷度量!$I$83</definedName>
    <definedName name="for_set_all5">过程产出缺陷度量!$I$106</definedName>
    <definedName name="for_set_all6">测试及验收缺陷度量!$I$14</definedName>
    <definedName name="for_set_calculate1">过程产出缺陷度量!$L$9</definedName>
    <definedName name="for_set_calculate2">过程产出缺陷度量!$L$34</definedName>
    <definedName name="for_set_calculate3">过程产出缺陷度量!$L$58</definedName>
    <definedName name="for_set_calculate4">过程产出缺陷度量!$L$83</definedName>
    <definedName name="for_set_calculate5">过程产出缺陷度量!$L$106</definedName>
    <definedName name="for_set_calculate6">测试及验收缺陷度量!$K$14</definedName>
    <definedName name="for_set_PPB">项目进度!$H$26:$H$28</definedName>
    <definedName name="for_set_PPB1">过程产出缺陷度量!$N$9:$P$9</definedName>
    <definedName name="for_set_PPB2">过程产出缺陷度量!$N$34:$P$34</definedName>
    <definedName name="for_set_PPB3">过程产出缺陷度量!$N$58:$P$58</definedName>
    <definedName name="for_set_PPB4">过程产出缺陷度量!$N$83:$P$83</definedName>
    <definedName name="for_set_PPB5">过程产出缺陷度量!$N$106:$P$106</definedName>
    <definedName name="for_set_PPB6">测试及验收缺陷度量!$L$14:$N$14</definedName>
    <definedName name="for_set_review1">过程产出缺陷度量!$A$8</definedName>
    <definedName name="for_set_review2">过程产出缺陷度量!$A$30</definedName>
    <definedName name="for_set_review3">过程产出缺陷度量!$A$57</definedName>
    <definedName name="for_set_review4">过程产出缺陷度量!$A$82</definedName>
    <definedName name="for_set_review5">过程产出缺陷度量!$A$105</definedName>
    <definedName name="for_set_test">测试及验收缺陷度量!$A$11</definedName>
    <definedName name="for_set_week">项目进度!$C$24</definedName>
    <definedName name="for_TCreview">过程产出缺陷度量!$A$83:$P$83</definedName>
    <definedName name="for_Test">测试及验收缺陷度量!$A$14:$N$14</definedName>
    <definedName name="GGG" localSheetId="9">#REF!</definedName>
    <definedName name="GGG" localSheetId="8">#REF!</definedName>
    <definedName name="GGG">#REF!</definedName>
    <definedName name="IM" localSheetId="9">#REF!</definedName>
    <definedName name="IM" localSheetId="8">#REF!</definedName>
    <definedName name="IM">#REF!</definedName>
    <definedName name="IMP" localSheetId="9">#REF!</definedName>
    <definedName name="IMP" localSheetId="8">#REF!</definedName>
    <definedName name="IMP">#REF!</definedName>
    <definedName name="Impact">[2]ODC配置表!$C$2:$C$14</definedName>
    <definedName name="MemberEffort" localSheetId="9">#REF!</definedName>
    <definedName name="MemberEffort" localSheetId="8">#REF!</definedName>
    <definedName name="MemberEffort">#REF!</definedName>
    <definedName name="MmExcelLinker_99CE17F4_AC0C_4E94_A817_0C9A711FE569" localSheetId="9">#REF!</definedName>
    <definedName name="MmExcelLinker_99CE17F4_AC0C_4E94_A817_0C9A711FE569" localSheetId="8">#REF!</definedName>
    <definedName name="MmExcelLinker_99CE17F4_AC0C_4E94_A817_0C9A711FE569">#REF!</definedName>
    <definedName name="MmExcelLinker_A4898482_FBCC_4E08_BC56_51379B51B994" localSheetId="9">#REF!</definedName>
    <definedName name="MmExcelLinker_A4898482_FBCC_4E08_BC56_51379B51B994" localSheetId="8">#REF!</definedName>
    <definedName name="MmExcelLinker_A4898482_FBCC_4E08_BC56_51379B51B994">#REF!</definedName>
    <definedName name="NECSI担当" localSheetId="9">#REF!</definedName>
    <definedName name="NECSI担当" localSheetId="8">#REF!</definedName>
    <definedName name="NECSI担当">#REF!</definedName>
    <definedName name="Not_Our_Bug3级" localSheetId="9">#REF!</definedName>
    <definedName name="Not_Our_Bug3级" localSheetId="8">#REF!</definedName>
    <definedName name="Not_Our_Bug3级">#REF!</definedName>
    <definedName name="NotBug" localSheetId="9">#REF!</definedName>
    <definedName name="NotBug" localSheetId="8">#REF!</definedName>
    <definedName name="NotBug">#REF!</definedName>
    <definedName name="p" localSheetId="9">#REF!</definedName>
    <definedName name="p" localSheetId="8">#REF!</definedName>
    <definedName name="p">#REF!</definedName>
    <definedName name="PA" localSheetId="9">#REF!</definedName>
    <definedName name="PA" localSheetId="8">#REF!</definedName>
    <definedName name="PA">#REF!</definedName>
    <definedName name="PAM" localSheetId="9">#REF!</definedName>
    <definedName name="PAM" localSheetId="8">#REF!</definedName>
    <definedName name="PAM">#REF!</definedName>
    <definedName name="PDeviation">项目进度!$B$25</definedName>
    <definedName name="phase" localSheetId="9">#REF!</definedName>
    <definedName name="phase" localSheetId="8">#REF!</definedName>
    <definedName name="phase">#REF!</definedName>
    <definedName name="PhaseEffort" localSheetId="9">#REF!</definedName>
    <definedName name="PhaseEffort" localSheetId="8">#REF!</definedName>
    <definedName name="PhaseEffort">#REF!</definedName>
    <definedName name="PlanEffort" localSheetId="9">#REF!</definedName>
    <definedName name="PlanEffort" localSheetId="8">#REF!</definedName>
    <definedName name="PlanEffort">#REF!</definedName>
    <definedName name="PMT" localSheetId="9">#REF!</definedName>
    <definedName name="PMT" localSheetId="8">#REF!</definedName>
    <definedName name="PMT">#REF!</definedName>
    <definedName name="PMTP" localSheetId="9">#REF!</definedName>
    <definedName name="PMTP" localSheetId="8">#REF!</definedName>
    <definedName name="PMTP">#REF!</definedName>
    <definedName name="PP" localSheetId="9">#REF!</definedName>
    <definedName name="PP" localSheetId="8">#REF!</definedName>
    <definedName name="PP">#REF!</definedName>
    <definedName name="_xlnm.Print_Area" localSheetId="9">#REF!</definedName>
    <definedName name="_xlnm.Print_Area" localSheetId="8">#REF!</definedName>
    <definedName name="_xlnm.Print_Area">#REF!</definedName>
    <definedName name="PRINT_AREA_MI" localSheetId="9">#REF!</definedName>
    <definedName name="PRINT_AREA_MI" localSheetId="8">#REF!</definedName>
    <definedName name="PRINT_AREA_MI">#REF!</definedName>
    <definedName name="ProjectTeam" localSheetId="9">#REF!</definedName>
    <definedName name="ProjectTeam" localSheetId="8">#REF!</definedName>
    <definedName name="ProjectTeam">#REF!</definedName>
    <definedName name="Q" localSheetId="9">#REF!</definedName>
    <definedName name="Q" localSheetId="8">#REF!</definedName>
    <definedName name="Q">#REF!</definedName>
    <definedName name="Qualifier">[2]ODC配置表!$F$2:$F$5</definedName>
    <definedName name="R_" localSheetId="9">#REF!</definedName>
    <definedName name="R_" localSheetId="8">#REF!</definedName>
    <definedName name="R_">#REF!</definedName>
    <definedName name="REDATA1" localSheetId="9">#REF!</definedName>
    <definedName name="REDATA1" localSheetId="8">#REF!</definedName>
    <definedName name="REDATA1">#REF!</definedName>
    <definedName name="REDATA10" localSheetId="9">#REF!</definedName>
    <definedName name="REDATA10" localSheetId="8">#REF!</definedName>
    <definedName name="REDATA10">#REF!</definedName>
    <definedName name="REDATA11" localSheetId="9">#REF!</definedName>
    <definedName name="REDATA11" localSheetId="8">#REF!</definedName>
    <definedName name="REDATA11">#REF!</definedName>
    <definedName name="REDATA12" localSheetId="9">#REF!</definedName>
    <definedName name="REDATA12" localSheetId="8">#REF!</definedName>
    <definedName name="REDATA12">#REF!</definedName>
    <definedName name="REDATA13" localSheetId="9">#REF!</definedName>
    <definedName name="REDATA13" localSheetId="8">#REF!</definedName>
    <definedName name="REDATA13">#REF!</definedName>
    <definedName name="REDATA14" localSheetId="9">#REF!</definedName>
    <definedName name="REDATA14" localSheetId="8">#REF!</definedName>
    <definedName name="REDATA14">#REF!</definedName>
    <definedName name="REDATA15" localSheetId="9">#REF!</definedName>
    <definedName name="REDATA15" localSheetId="8">#REF!</definedName>
    <definedName name="REDATA15">#REF!</definedName>
    <definedName name="REDATA16" localSheetId="9">#REF!</definedName>
    <definedName name="REDATA16" localSheetId="8">#REF!</definedName>
    <definedName name="REDATA16">#REF!</definedName>
    <definedName name="REDATA17" localSheetId="9">#REF!</definedName>
    <definedName name="REDATA17" localSheetId="8">#REF!</definedName>
    <definedName name="REDATA17">#REF!</definedName>
    <definedName name="REDATA18" localSheetId="9">#REF!</definedName>
    <definedName name="REDATA18" localSheetId="8">#REF!</definedName>
    <definedName name="REDATA18">#REF!</definedName>
    <definedName name="REDATA19" localSheetId="9">#REF!</definedName>
    <definedName name="REDATA19" localSheetId="8">#REF!</definedName>
    <definedName name="REDATA19">#REF!</definedName>
    <definedName name="REDATA2" localSheetId="9">#REF!</definedName>
    <definedName name="REDATA2" localSheetId="8">#REF!</definedName>
    <definedName name="REDATA2">#REF!</definedName>
    <definedName name="REDATA20" localSheetId="9">#REF!</definedName>
    <definedName name="REDATA20" localSheetId="8">#REF!</definedName>
    <definedName name="REDATA20">#REF!</definedName>
    <definedName name="REDATA3" localSheetId="9">#REF!</definedName>
    <definedName name="REDATA3" localSheetId="8">#REF!</definedName>
    <definedName name="REDATA3">#REF!</definedName>
    <definedName name="REDATA4" localSheetId="9">#REF!</definedName>
    <definedName name="REDATA4" localSheetId="8">#REF!</definedName>
    <definedName name="REDATA4">#REF!</definedName>
    <definedName name="REDATA5" localSheetId="9">#REF!</definedName>
    <definedName name="REDATA5" localSheetId="8">#REF!</definedName>
    <definedName name="REDATA5">#REF!</definedName>
    <definedName name="REDATA6" localSheetId="9">#REF!</definedName>
    <definedName name="REDATA6" localSheetId="8">#REF!</definedName>
    <definedName name="REDATA6">#REF!</definedName>
    <definedName name="REDATA7" localSheetId="9">#REF!</definedName>
    <definedName name="REDATA7" localSheetId="8">#REF!</definedName>
    <definedName name="REDATA7">#REF!</definedName>
    <definedName name="REDATA8" localSheetId="9">#REF!</definedName>
    <definedName name="REDATA8" localSheetId="8">#REF!</definedName>
    <definedName name="REDATA8">#REF!</definedName>
    <definedName name="REDATA9" localSheetId="9">#REF!</definedName>
    <definedName name="REDATA9" localSheetId="8">#REF!</definedName>
    <definedName name="REDATA9">#REF!</definedName>
    <definedName name="RI" localSheetId="9">#REF!</definedName>
    <definedName name="RI" localSheetId="8">#REF!</definedName>
    <definedName name="RI">#REF!</definedName>
    <definedName name="RIP" localSheetId="9">#REF!</definedName>
    <definedName name="RIP" localSheetId="8">#REF!</definedName>
    <definedName name="RIP">#REF!</definedName>
    <definedName name="RiskClass">[2]基础配置表!$C$2:$C$10</definedName>
    <definedName name="rrrrrr" localSheetId="9">迭代模型!rrrrrr</definedName>
    <definedName name="rrrrrr" localSheetId="8">总模型!rrrrrr</definedName>
    <definedName name="rrrrrr">rrrrrr</definedName>
    <definedName name="rrrrrrrrrr" localSheetId="9">迭代模型!rrrrrrrrrr</definedName>
    <definedName name="rrrrrrrrrr" localSheetId="8">总模型!rrrrrrrrrr</definedName>
    <definedName name="rrrrrrrrrr">rrrrrrrrrr</definedName>
    <definedName name="SFX_Data" localSheetId="9">#REF!</definedName>
    <definedName name="SFX_Data" localSheetId="8">#REF!</definedName>
    <definedName name="SFX_Data">#REF!</definedName>
    <definedName name="SFX_WBData" localSheetId="9">#REF!</definedName>
    <definedName name="SFX_WBData" localSheetId="8">#REF!</definedName>
    <definedName name="SFX_WBData">#REF!</definedName>
    <definedName name="SFX_WBData_A_First" localSheetId="9">#REF!</definedName>
    <definedName name="SFX_WBData_A_First" localSheetId="8">#REF!</definedName>
    <definedName name="SFX_WBData_A_First">#REF!</definedName>
    <definedName name="SFX_WBData_A_Last" localSheetId="9">#REF!</definedName>
    <definedName name="SFX_WBData_A_Last" localSheetId="8">#REF!</definedName>
    <definedName name="SFX_WBData_A_Last">#REF!</definedName>
    <definedName name="SFX_WBData_B_First" localSheetId="9">#REF!</definedName>
    <definedName name="SFX_WBData_B_First" localSheetId="8">#REF!</definedName>
    <definedName name="SFX_WBData_B_First">#REF!</definedName>
    <definedName name="SFX_WBData_B_Last" localSheetId="9">#REF!</definedName>
    <definedName name="SFX_WBData_B_Last" localSheetId="8">#REF!</definedName>
    <definedName name="SFX_WBData_B_Last">#REF!</definedName>
    <definedName name="SO" localSheetId="9">#REF!</definedName>
    <definedName name="SO" localSheetId="8">#REF!</definedName>
    <definedName name="SO">#REF!</definedName>
    <definedName name="SOP" localSheetId="9">#REF!</definedName>
    <definedName name="SOP" localSheetId="8">#REF!</definedName>
    <definedName name="SOP">#REF!</definedName>
    <definedName name="Source">[2]ODC配置表!$G$2:$G$6</definedName>
    <definedName name="SS" localSheetId="9">#REF!</definedName>
    <definedName name="SS" localSheetId="8">#REF!</definedName>
    <definedName name="SS">#REF!</definedName>
    <definedName name="sssss" localSheetId="9">迭代模型!sssss</definedName>
    <definedName name="sssss" localSheetId="8">总模型!sssss</definedName>
    <definedName name="sssss">sssss</definedName>
    <definedName name="Stakeholder">[2]基础配置表!$H$2:$H$10</definedName>
    <definedName name="Target">[2]ODC配置表!$D$2:$D$4</definedName>
    <definedName name="Tester">[2]基础配置表!$D$2:$D$10</definedName>
    <definedName name="TK_DDDT" localSheetId="9">迭代模型!TK_DDDT</definedName>
    <definedName name="TK_DDDT" localSheetId="8">总模型!TK_DDDT</definedName>
    <definedName name="TK_DDDT">TK_DDDT</definedName>
    <definedName name="TOPMENU" localSheetId="9">#REF!</definedName>
    <definedName name="TOPMENU" localSheetId="8">#REF!</definedName>
    <definedName name="TOPMENU">#REF!</definedName>
    <definedName name="TOPMENU1" localSheetId="9">#REF!</definedName>
    <definedName name="TOPMENU1" localSheetId="8">#REF!</definedName>
    <definedName name="TOPMENU1">#REF!</definedName>
    <definedName name="TOPMENU2" localSheetId="9">#REF!</definedName>
    <definedName name="TOPMENU2" localSheetId="8">#REF!</definedName>
    <definedName name="TOPMENU2">#REF!</definedName>
    <definedName name="TOPMENU3" localSheetId="9">#REF!</definedName>
    <definedName name="TOPMENU3" localSheetId="8">#REF!</definedName>
    <definedName name="TOPMENU3">#REF!</definedName>
    <definedName name="TOPMENU4" localSheetId="9">#REF!</definedName>
    <definedName name="TOPMENU4" localSheetId="8">#REF!</definedName>
    <definedName name="TOPMENU4">#REF!</definedName>
    <definedName name="TOPMENU5" localSheetId="9">#REF!</definedName>
    <definedName name="TOPMENU5" localSheetId="8">#REF!</definedName>
    <definedName name="TOPMENU5">#REF!</definedName>
    <definedName name="TOPMENU6" localSheetId="9">#REF!</definedName>
    <definedName name="TOPMENU6" localSheetId="8">#REF!</definedName>
    <definedName name="TOPMENU6">#REF!</definedName>
    <definedName name="TOPMENU7" localSheetId="9">#REF!</definedName>
    <definedName name="TOPMENU7" localSheetId="8">#REF!</definedName>
    <definedName name="TOPMENU7">#REF!</definedName>
    <definedName name="TOPMENU9" localSheetId="9">#REF!</definedName>
    <definedName name="TOPMENU9" localSheetId="8">#REF!</definedName>
    <definedName name="TOPMENU9">#REF!</definedName>
    <definedName name="Trigger">[2]ODC配置表!$B$2:$B$22</definedName>
    <definedName name="ttttttttttt" localSheetId="9">迭代模型!ttttttttttt</definedName>
    <definedName name="ttttttttttt" localSheetId="8">总模型!ttttttttttt</definedName>
    <definedName name="ttttttttttt">ttttttttttt</definedName>
    <definedName name="U" localSheetId="9">#REF!</definedName>
    <definedName name="U" localSheetId="8">#REF!</definedName>
    <definedName name="U">#REF!</definedName>
    <definedName name="Unit">[2]基础配置表!$B$2:$B$10</definedName>
    <definedName name="Username">目录!$D$28</definedName>
    <definedName name="VCreview">过程产出缺陷度量!$A$106</definedName>
    <definedName name="VCRreview">过程产出缺陷度量!$A$9</definedName>
    <definedName name="VDeviation">项目进度!$H$25</definedName>
    <definedName name="VDreview">过程产出缺陷度量!$A$58</definedName>
    <definedName name="VER">"ver 2.04"</definedName>
    <definedName name="VFRreview">过程产出缺陷度量!$A$34</definedName>
    <definedName name="VSTS_ValidationRange_086a3911343f4d11bfc43cd363c2fc9e" localSheetId="9" hidden="1">#REF!</definedName>
    <definedName name="VSTS_ValidationRange_086a3911343f4d11bfc43cd363c2fc9e" localSheetId="8" hidden="1">#REF!</definedName>
    <definedName name="VSTS_ValidationRange_086a3911343f4d11bfc43cd363c2fc9e" hidden="1">#REF!</definedName>
    <definedName name="VSTS_ValidationRange_098b94c3d2e74b35b85d01a626dc8c6e" localSheetId="9" hidden="1">#REF!</definedName>
    <definedName name="VSTS_ValidationRange_098b94c3d2e74b35b85d01a626dc8c6e" localSheetId="8" hidden="1">#REF!</definedName>
    <definedName name="VSTS_ValidationRange_098b94c3d2e74b35b85d01a626dc8c6e" hidden="1">#REF!</definedName>
    <definedName name="VSTS_ValidationRange_0cbf0e5b39904da9b68e49269fe6f425" localSheetId="9" hidden="1">#REF!</definedName>
    <definedName name="VSTS_ValidationRange_0cbf0e5b39904da9b68e49269fe6f425" localSheetId="8" hidden="1">#REF!</definedName>
    <definedName name="VSTS_ValidationRange_0cbf0e5b39904da9b68e49269fe6f425" hidden="1">#REF!</definedName>
    <definedName name="VSTS_ValidationRange_2863dc41439048b38dee8105498bdff1" hidden="1">[3]VSTS_ValidationWS_1!$AQ$1:$AQ$2</definedName>
    <definedName name="VSTS_ValidationRange_35e0d0b1eb8145d9a81109072e9d023d" hidden="1">[3]VSTS_ValidationWS_1!$AS$1:$AS$9</definedName>
    <definedName name="VSTS_ValidationRange_391ec9b86867494a9a40de5de5639e05" localSheetId="9" hidden="1">#REF!</definedName>
    <definedName name="VSTS_ValidationRange_391ec9b86867494a9a40de5de5639e05" localSheetId="8" hidden="1">#REF!</definedName>
    <definedName name="VSTS_ValidationRange_391ec9b86867494a9a40de5de5639e05" hidden="1">#REF!</definedName>
    <definedName name="VSTS_ValidationRange_433a8d280ebf46d28ead6c40cb24c52e" localSheetId="9" hidden="1">#REF!</definedName>
    <definedName name="VSTS_ValidationRange_433a8d280ebf46d28ead6c40cb24c52e" localSheetId="8" hidden="1">#REF!</definedName>
    <definedName name="VSTS_ValidationRange_433a8d280ebf46d28ead6c40cb24c52e" hidden="1">#REF!</definedName>
    <definedName name="VSTS_ValidationRange_55808223dcb44866a7f4179f9b2e728f" hidden="1">[3]VSTS_ValidationWS_1!$AT$1:$AT$5</definedName>
    <definedName name="VSTS_ValidationRange_5df4c2ac11c04a8e83728bf4c0726d5d" localSheetId="9" hidden="1">#REF!</definedName>
    <definedName name="VSTS_ValidationRange_5df4c2ac11c04a8e83728bf4c0726d5d" localSheetId="8" hidden="1">#REF!</definedName>
    <definedName name="VSTS_ValidationRange_5df4c2ac11c04a8e83728bf4c0726d5d" hidden="1">#REF!</definedName>
    <definedName name="VSTS_ValidationRange_7320edc423744db39b171d7071c5de10" localSheetId="9" hidden="1">#REF!</definedName>
    <definedName name="VSTS_ValidationRange_7320edc423744db39b171d7071c5de10" localSheetId="8" hidden="1">#REF!</definedName>
    <definedName name="VSTS_ValidationRange_7320edc423744db39b171d7071c5de10" hidden="1">#REF!</definedName>
    <definedName name="VSTS_ValidationRange_874d7a6af0f849d78452c31766d4412c" hidden="1">[3]VSTS_ValidationWS_1!$AU$1:$AU$3</definedName>
    <definedName name="VSTS_ValidationRange_89011b7dc6824fb9bff49aa72c313cde" hidden="1">[3]VSTS_ValidationWS_1!$AR$1:$AR$5</definedName>
    <definedName name="VSTS_ValidationRange_911954e328dd4e9abce7fe2d54dce78d" localSheetId="9" hidden="1">#REF!</definedName>
    <definedName name="VSTS_ValidationRange_911954e328dd4e9abce7fe2d54dce78d" localSheetId="8" hidden="1">#REF!</definedName>
    <definedName name="VSTS_ValidationRange_911954e328dd4e9abce7fe2d54dce78d" hidden="1">#REF!</definedName>
    <definedName name="VSTS_ValidationRange_cdd85ef5a4a94d81ba269647e04260a9" localSheetId="9" hidden="1">#REF!</definedName>
    <definedName name="VSTS_ValidationRange_cdd85ef5a4a94d81ba269647e04260a9" localSheetId="8" hidden="1">#REF!</definedName>
    <definedName name="VSTS_ValidationRange_cdd85ef5a4a94d81ba269647e04260a9" hidden="1">#REF!</definedName>
    <definedName name="VSTS_ValidationRange_e972ab3460c64c6aadbc82fe13490467" localSheetId="9" hidden="1">#REF!</definedName>
    <definedName name="VSTS_ValidationRange_e972ab3460c64c6aadbc82fe13490467" localSheetId="8" hidden="1">#REF!</definedName>
    <definedName name="VSTS_ValidationRange_e972ab3460c64c6aadbc82fe13490467" hidden="1">#REF!</definedName>
    <definedName name="VTCreview">过程产出缺陷度量!$A$83</definedName>
    <definedName name="VTest">测试及验收缺陷度量!$A$14</definedName>
    <definedName name="Vweek">项目进度!$H$24</definedName>
    <definedName name="W" localSheetId="9" hidden="1">#REF!</definedName>
    <definedName name="W" localSheetId="8" hidden="1">#REF!</definedName>
    <definedName name="W" hidden="1">#REF!</definedName>
    <definedName name="WW" localSheetId="9">#REF!</definedName>
    <definedName name="WW" localSheetId="8">#REF!</definedName>
    <definedName name="WW">#REF!</definedName>
    <definedName name="xy" localSheetId="9">#REF!</definedName>
    <definedName name="xy" localSheetId="8">#REF!</definedName>
    <definedName name="xy">#REF!</definedName>
    <definedName name="YY" localSheetId="9">#REF!</definedName>
    <definedName name="YY" localSheetId="8">#REF!</definedName>
    <definedName name="YY">#REF!</definedName>
    <definedName name="Z" localSheetId="9">#REF!</definedName>
    <definedName name="Z" localSheetId="8">#REF!</definedName>
    <definedName name="Z">#REF!</definedName>
    <definedName name="ZDAY1" localSheetId="9">迭代模型!ZDAY1</definedName>
    <definedName name="ZDAY1" localSheetId="8">总模型!ZDAY1</definedName>
    <definedName name="ZDAY1">ZDAY1</definedName>
    <definedName name="ZDAY2" localSheetId="9">迭代模型!ZDAY2</definedName>
    <definedName name="ZDAY2" localSheetId="8">总模型!ZDAY2</definedName>
    <definedName name="ZDAY2">ZDAY2</definedName>
    <definedName name="ZDAY3" localSheetId="9">迭代模型!ZDAY3</definedName>
    <definedName name="ZDAY3" localSheetId="8">总模型!ZDAY3</definedName>
    <definedName name="ZDAY3">ZDAY3</definedName>
    <definedName name="報告日" localSheetId="9">#REF!</definedName>
    <definedName name="報告日" localSheetId="8">#REF!</definedName>
    <definedName name="報告日">#REF!</definedName>
    <definedName name="報告者" localSheetId="9">#REF!</definedName>
    <definedName name="報告者" localSheetId="8">#REF!</definedName>
    <definedName name="報告者">#REF!</definedName>
    <definedName name="编码3级" localSheetId="9">#REF!</definedName>
    <definedName name="编码3级" localSheetId="8">#REF!</definedName>
    <definedName name="编码3级">#REF!</definedName>
    <definedName name="变化状态" localSheetId="9">#REF!</definedName>
    <definedName name="变化状态" localSheetId="8">#REF!</definedName>
    <definedName name="变化状态">#REF!</definedName>
    <definedName name="不可用原因代号">'[4]0-累积不可用数据'!$B$2:$B$9</definedName>
    <definedName name="测试3级" localSheetId="9">#REF!</definedName>
    <definedName name="测试3级" localSheetId="8">#REF!</definedName>
    <definedName name="测试3级">#REF!</definedName>
    <definedName name="测试加权缺陷密度的均值于画图">OFFSET(测试及验收缺陷度量!$M$11,,,COUNTA(测试及验收缺陷度量!$M$11:$M$14)-1)</definedName>
    <definedName name="测试加权缺陷密度的上限于画图">OFFSET(测试及验收缺陷度量!$N$11,,,COUNTA(测试及验收缺陷度量!$N$11:$N$14)-1)</definedName>
    <definedName name="测试加权缺陷密度的下限于画图">OFFSET(测试及验收缺陷度量!$L$11,,,COUNTA(测试及验收缺陷度量!$L$11:$L$14)-1)</definedName>
    <definedName name="测试加权缺陷密度于画图">OFFSET(测试及验收缺陷度量!$K$11,,,COUNTA(测试及验收缺陷度量!$K$11:$K$14)-1)</definedName>
    <definedName name="测试轮次于画图">OFFSET(测试及验收缺陷度量!$A$11,,,COUNTA(测试及验收缺陷度量!$A$11:$A$14)-1)</definedName>
    <definedName name="测试人员">[5]资源附表!$B$1:$B$8</definedName>
    <definedName name="测试任务">[5]资源附表!$A$1:$A$60</definedName>
    <definedName name="测试用例评审次数于画图">OFFSET(过程产出缺陷度量!$A$82,,,COUNTA(过程产出缺陷度量!$A$82:$A$83)-1)</definedName>
    <definedName name="测试用例评审缺陷密度的均值于画图">OFFSET(过程产出缺陷度量!$O$82,,,COUNTA(过程产出缺陷度量!$O$82:$O$83)-1)</definedName>
    <definedName name="测试用例评审缺陷密度的上限于画图">OFFSET(过程产出缺陷度量!$P$82,,,COUNTA(过程产出缺陷度量!$P$82:$P$83)-1)</definedName>
    <definedName name="测试用例评审缺陷密度的下限于画图">OFFSET(过程产出缺陷度量!$N$82,,,COUNTA(过程产出缺陷度量!$N$82:$N$83)-1)</definedName>
    <definedName name="测试用例评审缺陷密度于画图">OFFSET(过程产出缺陷度量!$L$82,,,COUNTA(过程产出缺陷度量!$L$82:$L$83)-1)</definedName>
    <definedName name="场所合计" localSheetId="9">#REF!</definedName>
    <definedName name="场所合计" localSheetId="8">#REF!</definedName>
    <definedName name="场所合计">#REF!</definedName>
    <definedName name="大区分" localSheetId="9">#REF!</definedName>
    <definedName name="大区分" localSheetId="8">#REF!</definedName>
    <definedName name="大区分">#REF!</definedName>
    <definedName name="代码走查次数于画图">OFFSET(过程产出缺陷度量!$A$105,,,COUNTA(过程产出缺陷度量!$A$105:$A$106)-1)</definedName>
    <definedName name="代码走查缺陷密度的均值于画图">OFFSET(过程产出缺陷度量!$O$105,,,COUNTA(过程产出缺陷度量!$O$105:$O$106)-1)</definedName>
    <definedName name="代码走查缺陷密度的上限于画图">OFFSET(过程产出缺陷度量!$P$105,,,COUNTA(过程产出缺陷度量!$P$105:$P$106)-1)</definedName>
    <definedName name="代码走查缺陷密度的下限于画图">OFFSET(过程产出缺陷度量!$N$105,,,COUNTA(过程产出缺陷度量!$N$105:$N$106)-1)</definedName>
    <definedName name="代码走查缺陷密度于画图">OFFSET(过程产出缺陷度量!$L$105,,,COUNTA(过程产出缺陷度量!$L$105:$L$106)-1)</definedName>
    <definedName name="担当Ｇ" localSheetId="9">#REF!</definedName>
    <definedName name="担当Ｇ" localSheetId="8">#REF!</definedName>
    <definedName name="担当Ｇ">#REF!</definedName>
    <definedName name="単体品質プログラム別_Click" localSheetId="9">迭代模型!単体品質プログラム別_Click</definedName>
    <definedName name="単体品質プログラム別_Click" localSheetId="8">总模型!単体品質プログラム別_Click</definedName>
    <definedName name="単体品質プログラム別_Click">単体品質プログラム別_Click</definedName>
    <definedName name="二级" localSheetId="9">#REF!</definedName>
    <definedName name="二级" localSheetId="8">#REF!</definedName>
    <definedName name="二级">#REF!</definedName>
    <definedName name="分類" localSheetId="9">#REF!</definedName>
    <definedName name="分類" localSheetId="8">#REF!</definedName>
    <definedName name="分類">#REF!</definedName>
    <definedName name="风险类型">[5]风险分析与规避!$A$2:$A$7</definedName>
    <definedName name="管制圖" localSheetId="9">#REF!</definedName>
    <definedName name="管制圖" localSheetId="8">#REF!</definedName>
    <definedName name="管制圖">#REF!</definedName>
    <definedName name="合计值" localSheetId="9">#REF!</definedName>
    <definedName name="合计值" localSheetId="8">#REF!</definedName>
    <definedName name="合计值">#REF!</definedName>
    <definedName name="交付3级" localSheetId="9">#REF!</definedName>
    <definedName name="交付3级" localSheetId="8">#REF!</definedName>
    <definedName name="交付3级">#REF!</definedName>
    <definedName name="結果" localSheetId="9">#REF!</definedName>
    <definedName name="結果" localSheetId="8">#REF!</definedName>
    <definedName name="結果">#REF!</definedName>
    <definedName name="进度偏差的均值于画图">OFFSET(项目进度!$C$27,,,,COUNTA(项目进度!$C$27:$H$27)-1)</definedName>
    <definedName name="进度偏差的上限于画图">OFFSET(项目进度!$C$28,,,,COUNTA(项目进度!$C$28:$H$28)-1)</definedName>
    <definedName name="进度偏差的下限于画图">OFFSET(项目进度!$C$26,,,,COUNTA(项目进度!$C$26:$H$26)-1)</definedName>
    <definedName name="客户需求评审次数">OFFSET(过程产出缺陷度量!$A$8,,,COUNTA(过程产出缺陷度量!$A$8:$A$9)-1)</definedName>
    <definedName name="客户需求评审缺陷密度">OFFSET(过程产出缺陷度量!$L$8,,,COUNTA(过程产出缺陷度量!$L$8:$L$9)-1)</definedName>
    <definedName name="客户需求评审缺陷密度的均值">OFFSET(过程产出缺陷度量!$O$8,,,COUNTA(过程产出缺陷度量!$O$8:$O$9)-1)</definedName>
    <definedName name="客户需求评审缺陷密度的上限">OFFSET(过程产出缺陷度量!$P$8,,,COUNTA(过程产出缺陷度量!$P$8:$P$9)-1)</definedName>
    <definedName name="客户需求评审缺陷密度的下限">OFFSET(过程产出缺陷度量!$N$8,,,COUNTA(过程产出缺陷度量!$N$8:$N$9)-1)</definedName>
    <definedName name="评审对象名称">[6]指导说明!$D$22:$D$32</definedName>
    <definedName name="其他" localSheetId="9">#REF!</definedName>
    <definedName name="其他" localSheetId="8">#REF!</definedName>
    <definedName name="其他">#REF!</definedName>
    <definedName name="缺陷类型">[2]基础配置表!$E$2:$E$10</definedName>
    <definedName name="人员">OFFSET(人员统计!$A$7,,,COUNTA(人员统计!$A$7:$A$22)+COUNTBLANK(人员统计!$A$7:$A$22))</definedName>
    <definedName name="软件需求3级" localSheetId="9">#REF!</definedName>
    <definedName name="软件需求3级" localSheetId="8">#REF!</definedName>
    <definedName name="软件需求3级">#REF!</definedName>
    <definedName name="三级" localSheetId="9">#REF!</definedName>
    <definedName name="三级" localSheetId="8">#REF!</definedName>
    <definedName name="三级">#REF!</definedName>
    <definedName name="设计3级" localSheetId="9">#REF!</definedName>
    <definedName name="设计3级" localSheetId="8">#REF!</definedName>
    <definedName name="设计3级">#REF!</definedName>
    <definedName name="设计评审次数于画图">OFFSET(过程产出缺陷度量!$A$57,,,COUNTA(过程产出缺陷度量!$A$57:$A$58)-1)</definedName>
    <definedName name="设计评审缺陷密度的均值于画图">OFFSET(过程产出缺陷度量!$O$57,,,COUNTA(过程产出缺陷度量!$O$57:$O$58)-1)</definedName>
    <definedName name="设计评审缺陷密度的上限于画图">OFFSET(过程产出缺陷度量!$P$57,,,COUNTA(过程产出缺陷度量!$P$57:$P$58)-1)</definedName>
    <definedName name="设计评审缺陷密度的下限于画图">OFFSET(过程产出缺陷度量!$N$57,,,COUNTA(过程产出缺陷度量!$N$57:$N$58)-1)</definedName>
    <definedName name="设计评审缺陷密度于画图">OFFSET(过程产出缺陷度量!$L$57,,,COUNTA(过程产出缺陷度量!$L$57:$L$58)-1)</definedName>
    <definedName name="所属模块">[2]基础配置表!$G$2:$G$12</definedName>
    <definedName name="詳細_close" localSheetId="9">迭代模型!詳細_close</definedName>
    <definedName name="詳細_close" localSheetId="8">总模型!詳細_close</definedName>
    <definedName name="詳細_close">詳細_close</definedName>
    <definedName name="詳細品質プログラム別_Click" localSheetId="9">迭代模型!詳細品質プログラム別_Click</definedName>
    <definedName name="詳細品質プログラム別_Click" localSheetId="8">总模型!詳細品質プログラム別_Click</definedName>
    <definedName name="詳細品質プログラム別_Click">詳細品質プログラム別_Click</definedName>
    <definedName name="修改状态">[7]发行控制!$B$40:$E$40</definedName>
    <definedName name="需求规格评审次数于画图">OFFSET(过程产出缺陷度量!$A$30,,,COUNTA(过程产出缺陷度量!$A$30:$A$34)-1)</definedName>
    <definedName name="需求规格评审缺陷密度的均值于画图">OFFSET(过程产出缺陷度量!$O$30,,,COUNTA(过程产出缺陷度量!$O$30:$O$34)-1)</definedName>
    <definedName name="需求规格评审缺陷密度的上限于画图">OFFSET(过程产出缺陷度量!$P$30,,,COUNTA(过程产出缺陷度量!$P$30:$P$34)-1)</definedName>
    <definedName name="需求规格评审缺陷密度的下限于画图">OFFSET(过程产出缺陷度量!$N$30,,,COUNTA(过程产出缺陷度量!$N$30:$N$34)-1)</definedName>
    <definedName name="需求规格评审缺陷密度于画图">OFFSET(过程产出缺陷度量!$L$30,,,COUNTA(过程产出缺陷度量!$L$30:$L$34)-1)</definedName>
    <definedName name="严重等级">[2]基础配置表!$F$2:$F$6</definedName>
    <definedName name="要員配置" localSheetId="9">#REF!,#REF!,#REF!,#REF!,#REF!</definedName>
    <definedName name="要員配置" localSheetId="8">#REF!,#REF!,#REF!,#REF!,#REF!</definedName>
    <definedName name="要員配置">#REF!,#REF!,#REF!,#REF!,#REF!</definedName>
    <definedName name="要員一覧">[8]人员计划!$C$9:$C$22,[8]人员计划!$G$8:$G$22</definedName>
    <definedName name="一级" localSheetId="9">#REF!</definedName>
    <definedName name="一级" localSheetId="8">#REF!</definedName>
    <definedName name="一级">#REF!</definedName>
    <definedName name="优先级别">[2]基础配置表!$I$2:$I$4</definedName>
    <definedName name="原因合计" localSheetId="9">#REF!</definedName>
    <definedName name="原因合计" localSheetId="8">#REF!</definedName>
    <definedName name="原因合计">#REF!</definedName>
    <definedName name="製程能力分析" localSheetId="9">#REF!</definedName>
    <definedName name="製程能力分析" localSheetId="8">#REF!</definedName>
    <definedName name="製程能力分析">#REF!</definedName>
    <definedName name="製造品質プログラム別_Click" localSheetId="9">迭代模型!製造品質プログラム別_Click</definedName>
    <definedName name="製造品質プログラム別_Click" localSheetId="8">总模型!製造品質プログラム別_Click</definedName>
    <definedName name="製造品質プログラム別_Click">製造品質プログラム別_Click</definedName>
    <definedName name="周次">OFFSET(人员统计!#REF!,,,,COUNTA(人员统计!$L$7:$L$7))</definedName>
    <definedName name="周次于画图">OFFSET(项目进度!$C$24,,,,COUNTA(项目进度!$C$24:$H$24)-1)</definedName>
    <definedName name="周进度偏差于画图">OFFSET(项目进度!$C$25,,,,COUNTA(项目进度!$C$25:$H$25)-1)</definedName>
    <definedName name="最后一周">OFFSET(人员统计!$L$7,,,COUNTA(人员统计!$S$7:$S$22)+COUNTBLANK(人员统计!$S$7:$S$22))</definedName>
  </definedNames>
  <calcPr calcId="162913"/>
</workbook>
</file>

<file path=xl/calcChain.xml><?xml version="1.0" encoding="utf-8"?>
<calcChain xmlns="http://schemas.openxmlformats.org/spreadsheetml/2006/main">
  <c r="A396" i="14" l="1"/>
  <c r="E396" i="14" l="1"/>
  <c r="H398" i="14" l="1"/>
  <c r="G398" i="14"/>
  <c r="F398" i="14"/>
  <c r="E398" i="14"/>
  <c r="D398" i="14"/>
  <c r="C398" i="14"/>
  <c r="B398" i="14"/>
  <c r="O44" i="13" l="1"/>
  <c r="P44" i="13"/>
  <c r="Q44" i="13"/>
  <c r="O45" i="13"/>
  <c r="P45" i="13"/>
  <c r="Q45" i="13"/>
  <c r="O46" i="13"/>
  <c r="P46" i="13"/>
  <c r="Q46" i="13"/>
  <c r="O47" i="13"/>
  <c r="P47" i="13"/>
  <c r="Q47" i="13"/>
  <c r="O48" i="13"/>
  <c r="P48" i="13"/>
  <c r="Q48" i="13"/>
  <c r="O49" i="13"/>
  <c r="P49" i="13"/>
  <c r="Q49" i="13"/>
  <c r="H21" i="13"/>
  <c r="H22" i="13"/>
  <c r="O7" i="13"/>
  <c r="O43" i="13"/>
  <c r="P43" i="13"/>
  <c r="Q43" i="13"/>
  <c r="Q42" i="13"/>
  <c r="P42" i="13"/>
  <c r="O42" i="13"/>
  <c r="O28" i="13"/>
  <c r="P28" i="13"/>
  <c r="Q28" i="13"/>
  <c r="O29" i="13"/>
  <c r="P29" i="13"/>
  <c r="Q29" i="13"/>
  <c r="Q27" i="13"/>
  <c r="P27" i="13"/>
  <c r="O27" i="13"/>
  <c r="H20" i="13"/>
  <c r="P7" i="13"/>
  <c r="Q7" i="13"/>
  <c r="O8" i="13"/>
  <c r="P8" i="13"/>
  <c r="Q8" i="13"/>
  <c r="Q6" i="13"/>
  <c r="P6" i="13"/>
  <c r="O6" i="13"/>
  <c r="H11" i="13"/>
  <c r="H12" i="13"/>
  <c r="H13" i="13"/>
  <c r="H14" i="13"/>
  <c r="H15" i="13"/>
  <c r="H16" i="13"/>
  <c r="H17" i="13"/>
  <c r="H18" i="13"/>
  <c r="H19" i="13"/>
  <c r="H4" i="13"/>
  <c r="H7" i="13"/>
  <c r="H8" i="13"/>
  <c r="H9" i="13"/>
  <c r="H10" i="13"/>
  <c r="H6" i="13"/>
  <c r="C95" i="11"/>
  <c r="E95" i="11"/>
  <c r="G95" i="11"/>
  <c r="I95" i="11"/>
  <c r="L95" i="11"/>
  <c r="M95" i="11" s="1"/>
  <c r="C96" i="11"/>
  <c r="E96" i="11"/>
  <c r="G96" i="11"/>
  <c r="I96" i="11"/>
  <c r="L96" i="11"/>
  <c r="M96" i="11"/>
  <c r="C97" i="11"/>
  <c r="E97" i="11"/>
  <c r="G97" i="11"/>
  <c r="I97" i="11"/>
  <c r="L97" i="11"/>
  <c r="M97" i="11" s="1"/>
  <c r="C98" i="11"/>
  <c r="E98" i="11"/>
  <c r="G98" i="11"/>
  <c r="I98" i="11"/>
  <c r="L98" i="11"/>
  <c r="M98" i="11" s="1"/>
  <c r="C99" i="11"/>
  <c r="E99" i="11"/>
  <c r="G99" i="11"/>
  <c r="I99" i="11"/>
  <c r="L99" i="11"/>
  <c r="M99" i="11" s="1"/>
  <c r="D100" i="11"/>
  <c r="F100" i="11"/>
  <c r="H100" i="11"/>
  <c r="J100" i="11"/>
  <c r="K100" i="11"/>
  <c r="L100" i="11"/>
  <c r="N96" i="11" s="1"/>
  <c r="E105" i="11"/>
  <c r="C140" i="11"/>
  <c r="C145" i="11" s="1"/>
  <c r="E140" i="11"/>
  <c r="G140" i="11"/>
  <c r="I140" i="11"/>
  <c r="L140" i="11"/>
  <c r="M140" i="11" s="1"/>
  <c r="C141" i="11"/>
  <c r="E141" i="11"/>
  <c r="E145" i="11" s="1"/>
  <c r="E148" i="11" s="1"/>
  <c r="G141" i="11"/>
  <c r="I141" i="11"/>
  <c r="L141" i="11"/>
  <c r="M141" i="11" s="1"/>
  <c r="C142" i="11"/>
  <c r="E142" i="11"/>
  <c r="G142" i="11"/>
  <c r="I142" i="11"/>
  <c r="I145" i="11" s="1"/>
  <c r="I148" i="11" s="1"/>
  <c r="L142" i="11"/>
  <c r="M142" i="11" s="1"/>
  <c r="C143" i="11"/>
  <c r="E143" i="11"/>
  <c r="G143" i="11"/>
  <c r="I143" i="11"/>
  <c r="L143" i="11"/>
  <c r="M143" i="11" s="1"/>
  <c r="C144" i="11"/>
  <c r="E144" i="11"/>
  <c r="G144" i="11"/>
  <c r="I144" i="11"/>
  <c r="L144" i="11"/>
  <c r="M144" i="11" s="1"/>
  <c r="D145" i="11"/>
  <c r="F145" i="11"/>
  <c r="E147" i="11" s="1"/>
  <c r="G145" i="11"/>
  <c r="G147" i="11" s="1"/>
  <c r="H145" i="11"/>
  <c r="J145" i="11"/>
  <c r="K145" i="11"/>
  <c r="C150" i="11"/>
  <c r="T73" i="11"/>
  <c r="S73" i="11"/>
  <c r="R73" i="11"/>
  <c r="T72" i="11"/>
  <c r="S72" i="11"/>
  <c r="R72" i="11"/>
  <c r="T71" i="11"/>
  <c r="S71" i="11"/>
  <c r="R71" i="11"/>
  <c r="T70" i="11"/>
  <c r="S70" i="11"/>
  <c r="R70" i="11"/>
  <c r="Q24" i="11"/>
  <c r="R24" i="11"/>
  <c r="S24" i="11"/>
  <c r="Q25" i="11"/>
  <c r="R25" i="11"/>
  <c r="S25" i="11"/>
  <c r="Q26" i="11"/>
  <c r="R26" i="11"/>
  <c r="S26" i="11"/>
  <c r="Q27" i="11"/>
  <c r="R27" i="11"/>
  <c r="S27" i="11"/>
  <c r="S23" i="11"/>
  <c r="R23" i="11"/>
  <c r="Q23" i="11"/>
  <c r="I10" i="11"/>
  <c r="H82" i="17"/>
  <c r="G8" i="17"/>
  <c r="G7" i="17"/>
  <c r="K25" i="20"/>
  <c r="K16" i="20"/>
  <c r="K15" i="20"/>
  <c r="K14" i="20"/>
  <c r="K13" i="20"/>
  <c r="K12" i="20"/>
  <c r="K11" i="20"/>
  <c r="K10" i="20"/>
  <c r="K9" i="20"/>
  <c r="K8" i="20"/>
  <c r="K7" i="20"/>
  <c r="G22" i="16" s="1"/>
  <c r="K6" i="20"/>
  <c r="K5" i="20"/>
  <c r="K4" i="20"/>
  <c r="I90" i="16"/>
  <c r="I89" i="16"/>
  <c r="I88" i="16"/>
  <c r="I87" i="16"/>
  <c r="I86" i="16"/>
  <c r="F78" i="16"/>
  <c r="H78" i="16" s="1"/>
  <c r="E78" i="16"/>
  <c r="D78" i="16"/>
  <c r="C78" i="16"/>
  <c r="B78" i="16"/>
  <c r="H77" i="16"/>
  <c r="K57" i="16" s="1"/>
  <c r="G77" i="16"/>
  <c r="J76" i="16"/>
  <c r="H76" i="16"/>
  <c r="K56" i="16" s="1"/>
  <c r="G76" i="16"/>
  <c r="J75" i="16"/>
  <c r="H75" i="16"/>
  <c r="G75" i="16"/>
  <c r="G74" i="16"/>
  <c r="G73" i="16"/>
  <c r="G71" i="16"/>
  <c r="G70" i="16"/>
  <c r="G69" i="16"/>
  <c r="G68" i="16"/>
  <c r="G66" i="16"/>
  <c r="G65" i="16"/>
  <c r="G64" i="16"/>
  <c r="G63" i="16"/>
  <c r="J62" i="16"/>
  <c r="J61" i="16"/>
  <c r="H61" i="16"/>
  <c r="G61" i="16"/>
  <c r="J60" i="16"/>
  <c r="K55" i="16"/>
  <c r="K54" i="16"/>
  <c r="K53" i="16"/>
  <c r="D53" i="16"/>
  <c r="D52" i="16"/>
  <c r="D51" i="16"/>
  <c r="D50" i="16"/>
  <c r="D49" i="16"/>
  <c r="D48" i="16"/>
  <c r="D47" i="16"/>
  <c r="D46" i="16"/>
  <c r="D45" i="16"/>
  <c r="D44" i="16"/>
  <c r="D43" i="16"/>
  <c r="D42" i="16"/>
  <c r="D41" i="16"/>
  <c r="D40" i="16"/>
  <c r="D39" i="16"/>
  <c r="D38" i="16"/>
  <c r="D37" i="16"/>
  <c r="J30" i="16"/>
  <c r="H30" i="16"/>
  <c r="G30" i="16"/>
  <c r="D30" i="16"/>
  <c r="C30" i="16"/>
  <c r="B30" i="16"/>
  <c r="E22" i="16"/>
  <c r="B22" i="16"/>
  <c r="E21" i="16"/>
  <c r="B21" i="16"/>
  <c r="E20" i="16"/>
  <c r="B20" i="16"/>
  <c r="E19" i="16"/>
  <c r="B19" i="16"/>
  <c r="E18" i="16"/>
  <c r="B18" i="16"/>
  <c r="E17" i="16"/>
  <c r="B17" i="16"/>
  <c r="E16" i="16"/>
  <c r="B16" i="16"/>
  <c r="E15" i="16"/>
  <c r="B15" i="16"/>
  <c r="E14" i="16"/>
  <c r="B14" i="16"/>
  <c r="E13" i="16"/>
  <c r="E30" i="16" s="1"/>
  <c r="B13" i="16"/>
  <c r="E12" i="16"/>
  <c r="B12" i="16"/>
  <c r="E11" i="16"/>
  <c r="I30" i="16" s="1"/>
  <c r="B11" i="16"/>
  <c r="G10" i="16"/>
  <c r="E10" i="16"/>
  <c r="D6" i="16" s="1"/>
  <c r="B10" i="16"/>
  <c r="G9" i="16"/>
  <c r="G6" i="16" s="1"/>
  <c r="E9" i="16"/>
  <c r="B9" i="16"/>
  <c r="G8" i="16"/>
  <c r="E8" i="16"/>
  <c r="A30" i="16" s="1"/>
  <c r="B8" i="16"/>
  <c r="L7" i="16"/>
  <c r="K7" i="16"/>
  <c r="J7" i="16"/>
  <c r="I7" i="16"/>
  <c r="H7" i="16"/>
  <c r="Q5" i="16"/>
  <c r="P5" i="16"/>
  <c r="O5" i="16"/>
  <c r="N5" i="16"/>
  <c r="M5" i="16"/>
  <c r="L5" i="16"/>
  <c r="K5" i="16"/>
  <c r="J5" i="16"/>
  <c r="E201" i="15"/>
  <c r="E198" i="15"/>
  <c r="I180" i="15"/>
  <c r="H179" i="15"/>
  <c r="E179" i="15"/>
  <c r="C179" i="15"/>
  <c r="B179" i="15"/>
  <c r="N178" i="15"/>
  <c r="M178" i="15"/>
  <c r="L178" i="15"/>
  <c r="F178" i="15"/>
  <c r="F179" i="15" s="1"/>
  <c r="E178" i="15"/>
  <c r="D178" i="15"/>
  <c r="I178" i="15" s="1"/>
  <c r="K178" i="15" s="1"/>
  <c r="C178" i="15"/>
  <c r="B178" i="15"/>
  <c r="K177" i="15"/>
  <c r="I177" i="15"/>
  <c r="G177" i="15"/>
  <c r="A177" i="15"/>
  <c r="I176" i="15"/>
  <c r="K176" i="15" s="1"/>
  <c r="A176" i="15"/>
  <c r="K175" i="15"/>
  <c r="I175" i="15"/>
  <c r="G175" i="15"/>
  <c r="A175" i="15"/>
  <c r="I174" i="15"/>
  <c r="K174" i="15" s="1"/>
  <c r="A174" i="15"/>
  <c r="E119" i="15"/>
  <c r="E116" i="15"/>
  <c r="I98" i="15"/>
  <c r="H97" i="15"/>
  <c r="D97" i="15"/>
  <c r="B97" i="15"/>
  <c r="N96" i="15"/>
  <c r="M96" i="15"/>
  <c r="L96" i="15"/>
  <c r="F96" i="15"/>
  <c r="F97" i="15" s="1"/>
  <c r="E96" i="15"/>
  <c r="E97" i="15" s="1"/>
  <c r="D96" i="15"/>
  <c r="C96" i="15"/>
  <c r="I96" i="15" s="1"/>
  <c r="K96" i="15" s="1"/>
  <c r="B96" i="15"/>
  <c r="K95" i="15"/>
  <c r="I95" i="15"/>
  <c r="G95" i="15" s="1"/>
  <c r="A95" i="15"/>
  <c r="I94" i="15"/>
  <c r="K94" i="15" s="1"/>
  <c r="G94" i="15"/>
  <c r="A94" i="15"/>
  <c r="K93" i="15"/>
  <c r="I93" i="15"/>
  <c r="G93" i="15" s="1"/>
  <c r="A93" i="15"/>
  <c r="I92" i="15"/>
  <c r="K92" i="15" s="1"/>
  <c r="G92" i="15"/>
  <c r="A92" i="15"/>
  <c r="E37" i="15"/>
  <c r="E34" i="15"/>
  <c r="I16" i="15"/>
  <c r="H15" i="15"/>
  <c r="F15" i="15"/>
  <c r="D15" i="15"/>
  <c r="C15" i="15"/>
  <c r="N14" i="15"/>
  <c r="M14" i="15"/>
  <c r="L14" i="15"/>
  <c r="F14" i="15"/>
  <c r="E14" i="15"/>
  <c r="E15" i="15" s="1"/>
  <c r="D14" i="15"/>
  <c r="C14" i="15"/>
  <c r="B14" i="15"/>
  <c r="B15" i="15" s="1"/>
  <c r="I13" i="15"/>
  <c r="K13" i="15" s="1"/>
  <c r="A13" i="15"/>
  <c r="K12" i="15"/>
  <c r="I12" i="15"/>
  <c r="G12" i="15"/>
  <c r="A12" i="15"/>
  <c r="I11" i="15"/>
  <c r="K11" i="15" s="1"/>
  <c r="A11" i="15"/>
  <c r="M371" i="14"/>
  <c r="K371" i="14"/>
  <c r="J371" i="14"/>
  <c r="H371" i="14"/>
  <c r="G371" i="14"/>
  <c r="F371" i="14"/>
  <c r="E371" i="14"/>
  <c r="D371" i="14"/>
  <c r="C371" i="14"/>
  <c r="B371" i="14"/>
  <c r="I370" i="14"/>
  <c r="L370" i="14" s="1"/>
  <c r="M369" i="14"/>
  <c r="I369" i="14"/>
  <c r="L369" i="14" s="1"/>
  <c r="A369" i="14"/>
  <c r="M368" i="14"/>
  <c r="L368" i="14"/>
  <c r="I368" i="14"/>
  <c r="I371" i="14" s="1"/>
  <c r="L371" i="14" s="1"/>
  <c r="A368" i="14"/>
  <c r="M367" i="14"/>
  <c r="I367" i="14"/>
  <c r="L367" i="14" s="1"/>
  <c r="A367" i="14"/>
  <c r="M366" i="14"/>
  <c r="L366" i="14"/>
  <c r="I366" i="14"/>
  <c r="A366" i="14"/>
  <c r="K345" i="14"/>
  <c r="M345" i="14" s="1"/>
  <c r="J345" i="14"/>
  <c r="H345" i="14"/>
  <c r="G345" i="14"/>
  <c r="F345" i="14"/>
  <c r="E345" i="14"/>
  <c r="D345" i="14"/>
  <c r="C345" i="14"/>
  <c r="B345" i="14"/>
  <c r="L344" i="14"/>
  <c r="I344" i="14"/>
  <c r="M343" i="14"/>
  <c r="L343" i="14"/>
  <c r="I343" i="14"/>
  <c r="A343" i="14"/>
  <c r="M342" i="14"/>
  <c r="I342" i="14"/>
  <c r="I345" i="14" s="1"/>
  <c r="L345" i="14" s="1"/>
  <c r="A342" i="14"/>
  <c r="M341" i="14"/>
  <c r="L341" i="14"/>
  <c r="I341" i="14"/>
  <c r="A341" i="14"/>
  <c r="M318" i="14"/>
  <c r="K318" i="14"/>
  <c r="J318" i="14"/>
  <c r="H318" i="14"/>
  <c r="G318" i="14"/>
  <c r="F318" i="14"/>
  <c r="E318" i="14"/>
  <c r="D318" i="14"/>
  <c r="C318" i="14"/>
  <c r="B318" i="14"/>
  <c r="I317" i="14"/>
  <c r="L317" i="14" s="1"/>
  <c r="M316" i="14"/>
  <c r="I316" i="14"/>
  <c r="L316" i="14" s="1"/>
  <c r="A316" i="14"/>
  <c r="M315" i="14"/>
  <c r="L315" i="14"/>
  <c r="I315" i="14"/>
  <c r="I318" i="14" s="1"/>
  <c r="L318" i="14" s="1"/>
  <c r="A315" i="14"/>
  <c r="M314" i="14"/>
  <c r="I314" i="14"/>
  <c r="L314" i="14" s="1"/>
  <c r="A314" i="14"/>
  <c r="K292" i="14"/>
  <c r="J292" i="14"/>
  <c r="M292" i="14" s="1"/>
  <c r="H292" i="14"/>
  <c r="G292" i="14"/>
  <c r="F292" i="14"/>
  <c r="E292" i="14"/>
  <c r="D292" i="14"/>
  <c r="C292" i="14"/>
  <c r="B292" i="14"/>
  <c r="I291" i="14"/>
  <c r="L291" i="14" s="1"/>
  <c r="M290" i="14"/>
  <c r="I290" i="14"/>
  <c r="L290" i="14" s="1"/>
  <c r="A290" i="14"/>
  <c r="M289" i="14"/>
  <c r="L289" i="14"/>
  <c r="I289" i="14"/>
  <c r="I292" i="14" s="1"/>
  <c r="L292" i="14" s="1"/>
  <c r="A289" i="14"/>
  <c r="M288" i="14"/>
  <c r="I288" i="14"/>
  <c r="L288" i="14" s="1"/>
  <c r="A288" i="14"/>
  <c r="K268" i="14"/>
  <c r="M268" i="14" s="1"/>
  <c r="J268" i="14"/>
  <c r="H268" i="14"/>
  <c r="G268" i="14"/>
  <c r="F268" i="14"/>
  <c r="E268" i="14"/>
  <c r="D268" i="14"/>
  <c r="C268" i="14"/>
  <c r="B268" i="14"/>
  <c r="L267" i="14"/>
  <c r="I267" i="14"/>
  <c r="M266" i="14"/>
  <c r="L266" i="14"/>
  <c r="I266" i="14"/>
  <c r="A266" i="14"/>
  <c r="M265" i="14"/>
  <c r="I265" i="14"/>
  <c r="I268" i="14" s="1"/>
  <c r="L268" i="14" s="1"/>
  <c r="A265" i="14"/>
  <c r="K239" i="14"/>
  <c r="J239" i="14"/>
  <c r="M239" i="14" s="1"/>
  <c r="H239" i="14"/>
  <c r="G239" i="14"/>
  <c r="F239" i="14"/>
  <c r="E239" i="14"/>
  <c r="D239" i="14"/>
  <c r="C239" i="14"/>
  <c r="B239" i="14"/>
  <c r="I238" i="14"/>
  <c r="L238" i="14" s="1"/>
  <c r="M237" i="14"/>
  <c r="I237" i="14"/>
  <c r="L237" i="14" s="1"/>
  <c r="A237" i="14"/>
  <c r="M236" i="14"/>
  <c r="L236" i="14"/>
  <c r="I236" i="14"/>
  <c r="I239" i="14" s="1"/>
  <c r="L239" i="14" s="1"/>
  <c r="A236" i="14"/>
  <c r="M235" i="14"/>
  <c r="I235" i="14"/>
  <c r="L235" i="14" s="1"/>
  <c r="A235" i="14"/>
  <c r="M234" i="14"/>
  <c r="L234" i="14"/>
  <c r="I234" i="14"/>
  <c r="A234" i="14"/>
  <c r="M213" i="14"/>
  <c r="K213" i="14"/>
  <c r="J213" i="14"/>
  <c r="H213" i="14"/>
  <c r="G213" i="14"/>
  <c r="F213" i="14"/>
  <c r="E213" i="14"/>
  <c r="D213" i="14"/>
  <c r="C213" i="14"/>
  <c r="B213" i="14"/>
  <c r="I212" i="14"/>
  <c r="L212" i="14" s="1"/>
  <c r="M211" i="14"/>
  <c r="I211" i="14"/>
  <c r="L211" i="14" s="1"/>
  <c r="A211" i="14"/>
  <c r="M210" i="14"/>
  <c r="L210" i="14"/>
  <c r="I210" i="14"/>
  <c r="I213" i="14" s="1"/>
  <c r="L213" i="14" s="1"/>
  <c r="A210" i="14"/>
  <c r="M209" i="14"/>
  <c r="I209" i="14"/>
  <c r="L209" i="14" s="1"/>
  <c r="A209" i="14"/>
  <c r="K186" i="14"/>
  <c r="J186" i="14"/>
  <c r="M186" i="14" s="1"/>
  <c r="H186" i="14"/>
  <c r="G186" i="14"/>
  <c r="F186" i="14"/>
  <c r="E186" i="14"/>
  <c r="D186" i="14"/>
  <c r="C186" i="14"/>
  <c r="B186" i="14"/>
  <c r="I185" i="14"/>
  <c r="L185" i="14" s="1"/>
  <c r="M184" i="14"/>
  <c r="I184" i="14"/>
  <c r="L184" i="14" s="1"/>
  <c r="A184" i="14"/>
  <c r="M183" i="14"/>
  <c r="L183" i="14"/>
  <c r="I183" i="14"/>
  <c r="I186" i="14" s="1"/>
  <c r="L186" i="14" s="1"/>
  <c r="A183" i="14"/>
  <c r="M182" i="14"/>
  <c r="I182" i="14"/>
  <c r="L182" i="14" s="1"/>
  <c r="A182" i="14"/>
  <c r="K160" i="14"/>
  <c r="M160" i="14" s="1"/>
  <c r="J160" i="14"/>
  <c r="H160" i="14"/>
  <c r="G160" i="14"/>
  <c r="F160" i="14"/>
  <c r="E160" i="14"/>
  <c r="D160" i="14"/>
  <c r="C160" i="14"/>
  <c r="B160" i="14"/>
  <c r="L159" i="14"/>
  <c r="I159" i="14"/>
  <c r="M158" i="14"/>
  <c r="L158" i="14"/>
  <c r="I158" i="14"/>
  <c r="A158" i="14"/>
  <c r="M157" i="14"/>
  <c r="I157" i="14"/>
  <c r="L157" i="14" s="1"/>
  <c r="A157" i="14"/>
  <c r="M156" i="14"/>
  <c r="L156" i="14"/>
  <c r="I156" i="14"/>
  <c r="A156" i="14"/>
  <c r="K136" i="14"/>
  <c r="M136" i="14" s="1"/>
  <c r="J136" i="14"/>
  <c r="H136" i="14"/>
  <c r="G136" i="14"/>
  <c r="F136" i="14"/>
  <c r="E136" i="14"/>
  <c r="D136" i="14"/>
  <c r="C136" i="14"/>
  <c r="B136" i="14"/>
  <c r="L135" i="14"/>
  <c r="I135" i="14"/>
  <c r="M134" i="14"/>
  <c r="L134" i="14"/>
  <c r="I134" i="14"/>
  <c r="A134" i="14"/>
  <c r="M133" i="14"/>
  <c r="I133" i="14"/>
  <c r="I136" i="14" s="1"/>
  <c r="L136" i="14" s="1"/>
  <c r="A133" i="14"/>
  <c r="K107" i="14"/>
  <c r="M107" i="14" s="1"/>
  <c r="J107" i="14"/>
  <c r="I107" i="14"/>
  <c r="L107" i="14" s="1"/>
  <c r="H107" i="14"/>
  <c r="G107" i="14"/>
  <c r="F107" i="14"/>
  <c r="E107" i="14"/>
  <c r="D107" i="14"/>
  <c r="C107" i="14"/>
  <c r="B107" i="14"/>
  <c r="L106" i="14"/>
  <c r="I106" i="14"/>
  <c r="M105" i="14"/>
  <c r="L105" i="14"/>
  <c r="I105" i="14"/>
  <c r="A105" i="14"/>
  <c r="L84" i="14"/>
  <c r="K84" i="14"/>
  <c r="M84" i="14" s="1"/>
  <c r="J84" i="14"/>
  <c r="I84" i="14"/>
  <c r="H84" i="14"/>
  <c r="G84" i="14"/>
  <c r="F84" i="14"/>
  <c r="E84" i="14"/>
  <c r="D84" i="14"/>
  <c r="C84" i="14"/>
  <c r="B84" i="14"/>
  <c r="L83" i="14"/>
  <c r="I83" i="14"/>
  <c r="M82" i="14"/>
  <c r="L82" i="14"/>
  <c r="I82" i="14"/>
  <c r="A82" i="14"/>
  <c r="M59" i="14"/>
  <c r="K59" i="14"/>
  <c r="J59" i="14"/>
  <c r="H59" i="14"/>
  <c r="G59" i="14"/>
  <c r="F59" i="14"/>
  <c r="E59" i="14"/>
  <c r="D59" i="14"/>
  <c r="C59" i="14"/>
  <c r="B59" i="14"/>
  <c r="I58" i="14"/>
  <c r="I59" i="14" s="1"/>
  <c r="L59" i="14" s="1"/>
  <c r="M57" i="14"/>
  <c r="I57" i="14"/>
  <c r="L57" i="14" s="1"/>
  <c r="A57" i="14"/>
  <c r="K35" i="14"/>
  <c r="J35" i="14"/>
  <c r="M35" i="14" s="1"/>
  <c r="H35" i="14"/>
  <c r="G35" i="14"/>
  <c r="F35" i="14"/>
  <c r="E35" i="14"/>
  <c r="D35" i="14"/>
  <c r="C35" i="14"/>
  <c r="B35" i="14"/>
  <c r="I34" i="14"/>
  <c r="L34" i="14" s="1"/>
  <c r="L33" i="14"/>
  <c r="I33" i="14"/>
  <c r="A33" i="14"/>
  <c r="M32" i="14"/>
  <c r="I32" i="14"/>
  <c r="L32" i="14" s="1"/>
  <c r="A32" i="14"/>
  <c r="M31" i="14"/>
  <c r="L31" i="14"/>
  <c r="I31" i="14"/>
  <c r="A31" i="14"/>
  <c r="M30" i="14"/>
  <c r="I30" i="14"/>
  <c r="L30" i="14" s="1"/>
  <c r="A30" i="14"/>
  <c r="M10" i="14"/>
  <c r="K10" i="14"/>
  <c r="J10" i="14"/>
  <c r="H10" i="14"/>
  <c r="G10" i="14"/>
  <c r="F10" i="14"/>
  <c r="E10" i="14"/>
  <c r="D10" i="14"/>
  <c r="C10" i="14"/>
  <c r="B10" i="14"/>
  <c r="L9" i="14"/>
  <c r="I9" i="14"/>
  <c r="M8" i="14"/>
  <c r="I8" i="14"/>
  <c r="I10" i="14" s="1"/>
  <c r="L10" i="14" s="1"/>
  <c r="A8" i="14"/>
  <c r="F57" i="13"/>
  <c r="F56" i="13"/>
  <c r="F55" i="13"/>
  <c r="B47" i="13"/>
  <c r="G24" i="13"/>
  <c r="F24" i="13"/>
  <c r="E24" i="13"/>
  <c r="D24" i="13"/>
  <c r="C24" i="13"/>
  <c r="D23" i="12"/>
  <c r="C22" i="12"/>
  <c r="I146" i="11" s="1"/>
  <c r="C21" i="12"/>
  <c r="G146" i="11" s="1"/>
  <c r="G157" i="11" s="1"/>
  <c r="C20" i="12"/>
  <c r="E146" i="11" s="1"/>
  <c r="C19" i="12"/>
  <c r="C146" i="11" s="1"/>
  <c r="E157" i="11" s="1"/>
  <c r="C18" i="12"/>
  <c r="J180" i="15" s="1"/>
  <c r="C17" i="12"/>
  <c r="I101" i="11" s="1"/>
  <c r="K101" i="11" s="1"/>
  <c r="C16" i="12"/>
  <c r="G101" i="11" s="1"/>
  <c r="C15" i="12"/>
  <c r="E101" i="11" s="1"/>
  <c r="F112" i="11" s="1"/>
  <c r="C14" i="12"/>
  <c r="C101" i="11" s="1"/>
  <c r="C12" i="12"/>
  <c r="I56" i="11" s="1"/>
  <c r="K56" i="11" s="1"/>
  <c r="C11" i="12"/>
  <c r="C10" i="12"/>
  <c r="E56" i="11" s="1"/>
  <c r="C9" i="12"/>
  <c r="C56" i="11" s="1"/>
  <c r="J13" i="11"/>
  <c r="H10" i="11"/>
  <c r="G56" i="11"/>
  <c r="J55" i="11"/>
  <c r="H55" i="11"/>
  <c r="F55" i="11"/>
  <c r="D55" i="11"/>
  <c r="L54" i="11"/>
  <c r="L53" i="11"/>
  <c r="F12" i="11" s="1"/>
  <c r="L52" i="11"/>
  <c r="L51" i="11"/>
  <c r="F10" i="11" s="1"/>
  <c r="L50" i="11"/>
  <c r="F9" i="11" s="1"/>
  <c r="M14" i="11"/>
  <c r="L14" i="11"/>
  <c r="C90" i="16" s="1"/>
  <c r="D14" i="11"/>
  <c r="C86" i="16" s="1"/>
  <c r="K13" i="11"/>
  <c r="I13" i="11"/>
  <c r="G13" i="11"/>
  <c r="F13" i="11"/>
  <c r="E13" i="11"/>
  <c r="K54" i="11" s="1"/>
  <c r="E54" i="11" s="1"/>
  <c r="C13" i="11"/>
  <c r="K12" i="11"/>
  <c r="I12" i="11"/>
  <c r="H12" i="11"/>
  <c r="G12" i="11"/>
  <c r="E12" i="11"/>
  <c r="K53" i="11" s="1"/>
  <c r="G53" i="11" s="1"/>
  <c r="C12" i="11"/>
  <c r="K11" i="11"/>
  <c r="J11" i="11"/>
  <c r="I11" i="11"/>
  <c r="H11" i="11"/>
  <c r="G11" i="11"/>
  <c r="F11" i="11"/>
  <c r="N11" i="11" s="1"/>
  <c r="E11" i="11"/>
  <c r="K52" i="11" s="1"/>
  <c r="C11" i="11"/>
  <c r="K10" i="11"/>
  <c r="J10" i="11"/>
  <c r="G10" i="11"/>
  <c r="E10" i="11"/>
  <c r="K51" i="11" s="1"/>
  <c r="C10" i="11"/>
  <c r="K9" i="11"/>
  <c r="K14" i="11" s="1"/>
  <c r="K17" i="11" s="1"/>
  <c r="I9" i="11"/>
  <c r="G9" i="11"/>
  <c r="E9" i="11"/>
  <c r="K50" i="11" s="1"/>
  <c r="C9" i="11"/>
  <c r="I82" i="10"/>
  <c r="H82" i="10"/>
  <c r="F82" i="10"/>
  <c r="E82" i="10"/>
  <c r="D82" i="10"/>
  <c r="C82" i="10"/>
  <c r="N81" i="10"/>
  <c r="J81" i="10"/>
  <c r="O81" i="10" s="1"/>
  <c r="G81" i="10"/>
  <c r="N80" i="10"/>
  <c r="J80" i="10"/>
  <c r="O80" i="10" s="1"/>
  <c r="G80" i="10"/>
  <c r="N79" i="10"/>
  <c r="J79" i="10"/>
  <c r="O79" i="10" s="1"/>
  <c r="G79" i="10"/>
  <c r="C79" i="10"/>
  <c r="C80" i="10" s="1"/>
  <c r="C81" i="10" s="1"/>
  <c r="N78" i="10"/>
  <c r="J78" i="10"/>
  <c r="O78" i="10" s="1"/>
  <c r="G78" i="10"/>
  <c r="I71" i="10"/>
  <c r="H71" i="10"/>
  <c r="F71" i="10"/>
  <c r="E71" i="10"/>
  <c r="D71" i="10"/>
  <c r="C71" i="10"/>
  <c r="N70" i="10"/>
  <c r="J70" i="10"/>
  <c r="O70" i="10" s="1"/>
  <c r="G70" i="10"/>
  <c r="N69" i="10"/>
  <c r="J69" i="10"/>
  <c r="O69" i="10" s="1"/>
  <c r="G69" i="10"/>
  <c r="N68" i="10"/>
  <c r="J68" i="10"/>
  <c r="O68" i="10" s="1"/>
  <c r="G68" i="10"/>
  <c r="C68" i="10"/>
  <c r="C69" i="10" s="1"/>
  <c r="C70" i="10" s="1"/>
  <c r="N67" i="10"/>
  <c r="J67" i="10"/>
  <c r="O67" i="10" s="1"/>
  <c r="G67" i="10"/>
  <c r="I56" i="10"/>
  <c r="H56" i="10"/>
  <c r="J56" i="10" s="1"/>
  <c r="F56" i="10"/>
  <c r="E56" i="10"/>
  <c r="D56" i="10"/>
  <c r="C56" i="10"/>
  <c r="N55" i="10"/>
  <c r="J55" i="10"/>
  <c r="O55" i="10" s="1"/>
  <c r="G55" i="10"/>
  <c r="N54" i="10"/>
  <c r="J54" i="10"/>
  <c r="O54" i="10" s="1"/>
  <c r="G54" i="10"/>
  <c r="C54" i="10"/>
  <c r="C55" i="10" s="1"/>
  <c r="N53" i="10"/>
  <c r="J53" i="10"/>
  <c r="O53" i="10" s="1"/>
  <c r="G53" i="10"/>
  <c r="C53" i="10"/>
  <c r="N52" i="10"/>
  <c r="J52" i="10"/>
  <c r="O52" i="10" s="1"/>
  <c r="G52" i="10"/>
  <c r="I45" i="10"/>
  <c r="H45" i="10"/>
  <c r="F45" i="10"/>
  <c r="E45" i="10"/>
  <c r="D45" i="10"/>
  <c r="C45" i="10"/>
  <c r="N44" i="10"/>
  <c r="J44" i="10"/>
  <c r="O44" i="10" s="1"/>
  <c r="G44" i="10"/>
  <c r="N43" i="10"/>
  <c r="J43" i="10"/>
  <c r="O43" i="10" s="1"/>
  <c r="G43" i="10"/>
  <c r="N42" i="10"/>
  <c r="J42" i="10"/>
  <c r="O42" i="10" s="1"/>
  <c r="G42" i="10"/>
  <c r="C42" i="10"/>
  <c r="C43" i="10" s="1"/>
  <c r="C44" i="10" s="1"/>
  <c r="N41" i="10"/>
  <c r="J41" i="10"/>
  <c r="O41" i="10" s="1"/>
  <c r="G41" i="10"/>
  <c r="I31" i="10"/>
  <c r="H31" i="10"/>
  <c r="J31" i="10" s="1"/>
  <c r="G31" i="10"/>
  <c r="F31" i="10"/>
  <c r="E31" i="10"/>
  <c r="D31" i="10"/>
  <c r="C31" i="10"/>
  <c r="N30" i="10"/>
  <c r="J30" i="10"/>
  <c r="O30" i="10" s="1"/>
  <c r="G30" i="10"/>
  <c r="C30" i="10"/>
  <c r="N29" i="10"/>
  <c r="J29" i="10"/>
  <c r="O29" i="10" s="1"/>
  <c r="G29" i="10"/>
  <c r="C29" i="10"/>
  <c r="N28" i="10"/>
  <c r="J28" i="10"/>
  <c r="O28" i="10" s="1"/>
  <c r="G28" i="10"/>
  <c r="C28" i="10"/>
  <c r="N27" i="10"/>
  <c r="J27" i="10"/>
  <c r="O27" i="10" s="1"/>
  <c r="G27" i="10"/>
  <c r="J20" i="10"/>
  <c r="O20" i="10" s="1"/>
  <c r="I20" i="10"/>
  <c r="H20" i="10"/>
  <c r="F20" i="10"/>
  <c r="E20" i="10"/>
  <c r="D20" i="10"/>
  <c r="C20" i="10"/>
  <c r="O19" i="10"/>
  <c r="N19" i="10"/>
  <c r="J19" i="10"/>
  <c r="G19" i="10"/>
  <c r="N18" i="10"/>
  <c r="J18" i="10"/>
  <c r="O18" i="10" s="1"/>
  <c r="G18" i="10"/>
  <c r="O17" i="10"/>
  <c r="N17" i="10"/>
  <c r="J17" i="10"/>
  <c r="G17" i="10"/>
  <c r="C17" i="10"/>
  <c r="C18" i="10" s="1"/>
  <c r="C19" i="10" s="1"/>
  <c r="O16" i="10"/>
  <c r="N16" i="10"/>
  <c r="J16" i="10"/>
  <c r="G16" i="10"/>
  <c r="G20" i="10" s="1"/>
  <c r="I40" i="24"/>
  <c r="I39" i="24"/>
  <c r="I38" i="24"/>
  <c r="I37" i="24"/>
  <c r="T32" i="24"/>
  <c r="T31" i="24"/>
  <c r="Z26" i="24" s="1"/>
  <c r="T30" i="24"/>
  <c r="R30" i="24"/>
  <c r="P30" i="24"/>
  <c r="N30" i="24"/>
  <c r="T29" i="24"/>
  <c r="Z28" i="24" s="1"/>
  <c r="R29" i="24"/>
  <c r="P29" i="24"/>
  <c r="N29" i="24"/>
  <c r="R28" i="24"/>
  <c r="R27" i="24"/>
  <c r="P27" i="24"/>
  <c r="N27" i="24"/>
  <c r="W26" i="24" s="1"/>
  <c r="Y26" i="24"/>
  <c r="G38" i="23" s="1"/>
  <c r="X26" i="24"/>
  <c r="E41" i="23" s="1"/>
  <c r="P38" i="23" s="1"/>
  <c r="R42" i="23"/>
  <c r="P42" i="23"/>
  <c r="N42" i="23"/>
  <c r="R36" i="23"/>
  <c r="P36" i="23"/>
  <c r="N36" i="23"/>
  <c r="R35" i="23"/>
  <c r="P35" i="23"/>
  <c r="N35" i="23"/>
  <c r="G27" i="23"/>
  <c r="G24" i="23"/>
  <c r="I21" i="23"/>
  <c r="D19" i="9" s="1"/>
  <c r="F19" i="9" s="1"/>
  <c r="G21" i="23"/>
  <c r="D20" i="9"/>
  <c r="F20" i="9" s="1"/>
  <c r="D13" i="9"/>
  <c r="F13" i="9" s="1"/>
  <c r="D12" i="9"/>
  <c r="F12" i="9" s="1"/>
  <c r="D11" i="9"/>
  <c r="F11" i="9" s="1"/>
  <c r="F6" i="9"/>
  <c r="D6" i="9"/>
  <c r="D5" i="9"/>
  <c r="F5" i="9" s="1"/>
  <c r="D4" i="9"/>
  <c r="F4" i="9" s="1"/>
  <c r="A10007" i="1"/>
  <c r="A10003" i="1"/>
  <c r="A10002" i="1"/>
  <c r="A10001" i="1"/>
  <c r="E11" i="1"/>
  <c r="D11" i="1"/>
  <c r="A11" i="1"/>
  <c r="P2" i="1"/>
  <c r="I44" i="23" l="1"/>
  <c r="T40" i="23" s="1"/>
  <c r="I41" i="23"/>
  <c r="T38" i="23" s="1"/>
  <c r="I38" i="23"/>
  <c r="T36" i="23" s="1"/>
  <c r="Z34" i="23" s="1"/>
  <c r="C147" i="11"/>
  <c r="C148" i="11"/>
  <c r="E149" i="11"/>
  <c r="P154" i="11" s="1"/>
  <c r="I39" i="23"/>
  <c r="T37" i="23" s="1"/>
  <c r="Z35" i="23" s="1"/>
  <c r="I45" i="23"/>
  <c r="T41" i="23" s="1"/>
  <c r="I42" i="23"/>
  <c r="T39" i="23" s="1"/>
  <c r="C41" i="23"/>
  <c r="N38" i="23" s="1"/>
  <c r="W34" i="23" s="1"/>
  <c r="C38" i="23"/>
  <c r="C44" i="23"/>
  <c r="N40" i="23" s="1"/>
  <c r="I15" i="15"/>
  <c r="G97" i="15"/>
  <c r="J45" i="10"/>
  <c r="O45" i="10" s="1"/>
  <c r="J71" i="10"/>
  <c r="O71" i="10" s="1"/>
  <c r="I15" i="11"/>
  <c r="B34" i="12" s="1"/>
  <c r="C8" i="12"/>
  <c r="L133" i="14"/>
  <c r="L342" i="14"/>
  <c r="G174" i="15"/>
  <c r="G179" i="15" s="1"/>
  <c r="G176" i="15"/>
  <c r="G150" i="11"/>
  <c r="I160" i="14"/>
  <c r="L160" i="14" s="1"/>
  <c r="K180" i="15"/>
  <c r="L265" i="14"/>
  <c r="G78" i="16"/>
  <c r="G45" i="10"/>
  <c r="J82" i="10"/>
  <c r="L8" i="14"/>
  <c r="I35" i="14"/>
  <c r="L35" i="14" s="1"/>
  <c r="G11" i="15"/>
  <c r="G15" i="15" s="1"/>
  <c r="G13" i="15"/>
  <c r="I14" i="15"/>
  <c r="K14" i="15" s="1"/>
  <c r="C97" i="15"/>
  <c r="I97" i="15" s="1"/>
  <c r="K99" i="15" s="1"/>
  <c r="D179" i="15"/>
  <c r="I179" i="15" s="1"/>
  <c r="K181" i="15" s="1"/>
  <c r="F30" i="16"/>
  <c r="G82" i="10"/>
  <c r="E44" i="23"/>
  <c r="P40" i="23" s="1"/>
  <c r="X34" i="23" s="1"/>
  <c r="D18" i="9"/>
  <c r="F18" i="9" s="1"/>
  <c r="E38" i="23"/>
  <c r="G44" i="23"/>
  <c r="R40" i="23" s="1"/>
  <c r="C13" i="12"/>
  <c r="L58" i="14"/>
  <c r="G41" i="23"/>
  <c r="R38" i="23" s="1"/>
  <c r="G56" i="10"/>
  <c r="G71" i="10"/>
  <c r="H112" i="11"/>
  <c r="F156" i="11"/>
  <c r="F157" i="11"/>
  <c r="K146" i="11"/>
  <c r="H157" i="11"/>
  <c r="C23" i="12"/>
  <c r="J179" i="15"/>
  <c r="H156" i="11"/>
  <c r="I150" i="11"/>
  <c r="E150" i="11"/>
  <c r="I149" i="11"/>
  <c r="K149" i="11" s="1"/>
  <c r="G148" i="11"/>
  <c r="I147" i="11"/>
  <c r="I105" i="11"/>
  <c r="K102" i="11"/>
  <c r="I100" i="11"/>
  <c r="I102" i="11" s="1"/>
  <c r="E100" i="11"/>
  <c r="E102" i="11" s="1"/>
  <c r="G100" i="11"/>
  <c r="G103" i="11" s="1"/>
  <c r="C100" i="11"/>
  <c r="C103" i="11" s="1"/>
  <c r="H111" i="11"/>
  <c r="G102" i="11"/>
  <c r="C104" i="11"/>
  <c r="P108" i="11" s="1"/>
  <c r="E111" i="11"/>
  <c r="N99" i="11"/>
  <c r="N97" i="11"/>
  <c r="N95" i="11"/>
  <c r="I14" i="11"/>
  <c r="I17" i="11" s="1"/>
  <c r="G156" i="11"/>
  <c r="E156" i="11"/>
  <c r="G149" i="11"/>
  <c r="P155" i="11" s="1"/>
  <c r="C149" i="11"/>
  <c r="P153" i="11" s="1"/>
  <c r="L145" i="11"/>
  <c r="G112" i="11"/>
  <c r="E112" i="11"/>
  <c r="G105" i="11"/>
  <c r="C105" i="11"/>
  <c r="E104" i="11"/>
  <c r="P109" i="11" s="1"/>
  <c r="K103" i="11"/>
  <c r="N98" i="11"/>
  <c r="C14" i="11"/>
  <c r="C16" i="11" s="1"/>
  <c r="G14" i="11"/>
  <c r="G17" i="11" s="1"/>
  <c r="N10" i="11"/>
  <c r="O10" i="11" s="1"/>
  <c r="H9" i="11"/>
  <c r="H14" i="11" s="1"/>
  <c r="G16" i="11" s="1"/>
  <c r="J9" i="11"/>
  <c r="J12" i="11"/>
  <c r="N12" i="11" s="1"/>
  <c r="O12" i="11" s="1"/>
  <c r="H13" i="11"/>
  <c r="N13" i="11" s="1"/>
  <c r="O13" i="11" s="1"/>
  <c r="B86" i="16"/>
  <c r="E25" i="11"/>
  <c r="O11" i="11"/>
  <c r="K55" i="11"/>
  <c r="M50" i="11"/>
  <c r="G50" i="11"/>
  <c r="C50" i="11"/>
  <c r="I50" i="11"/>
  <c r="E50" i="11"/>
  <c r="B90" i="16"/>
  <c r="M51" i="11"/>
  <c r="G51" i="11"/>
  <c r="C51" i="11"/>
  <c r="I51" i="11"/>
  <c r="E51" i="11"/>
  <c r="M52" i="11"/>
  <c r="G52" i="11"/>
  <c r="C52" i="11"/>
  <c r="I52" i="11"/>
  <c r="E52" i="11"/>
  <c r="F14" i="11"/>
  <c r="J14" i="11"/>
  <c r="K16" i="11"/>
  <c r="C17" i="11"/>
  <c r="P23" i="11" s="1"/>
  <c r="P27" i="11"/>
  <c r="C18" i="11"/>
  <c r="E26" i="11"/>
  <c r="I60" i="11"/>
  <c r="E60" i="11"/>
  <c r="G60" i="11"/>
  <c r="C60" i="11"/>
  <c r="E53" i="11"/>
  <c r="M53" i="11"/>
  <c r="M54" i="11"/>
  <c r="E67" i="11"/>
  <c r="G67" i="11"/>
  <c r="L55" i="11"/>
  <c r="N51" i="11" s="1"/>
  <c r="G54" i="11"/>
  <c r="C54" i="11"/>
  <c r="E14" i="11"/>
  <c r="B87" i="16" s="1"/>
  <c r="C53" i="11"/>
  <c r="I53" i="11"/>
  <c r="I54" i="11"/>
  <c r="F67" i="11"/>
  <c r="H67" i="11"/>
  <c r="D90" i="16"/>
  <c r="K83" i="16" s="1"/>
  <c r="D86" i="16"/>
  <c r="B88" i="16" l="1"/>
  <c r="B91" i="16" s="1"/>
  <c r="E103" i="11"/>
  <c r="F111" i="11"/>
  <c r="K179" i="15"/>
  <c r="Y34" i="23"/>
  <c r="I104" i="11"/>
  <c r="K104" i="11" s="1"/>
  <c r="G104" i="11"/>
  <c r="P110" i="11" s="1"/>
  <c r="K17" i="15"/>
  <c r="H25" i="11"/>
  <c r="E15" i="11"/>
  <c r="B32" i="12" s="1"/>
  <c r="J16" i="15"/>
  <c r="K16" i="15" s="1"/>
  <c r="J15" i="15"/>
  <c r="K15" i="15" s="1"/>
  <c r="B89" i="16"/>
  <c r="P156" i="11"/>
  <c r="C102" i="11"/>
  <c r="J97" i="15"/>
  <c r="K97" i="15" s="1"/>
  <c r="J98" i="15"/>
  <c r="K98" i="15" s="1"/>
  <c r="G15" i="11"/>
  <c r="B31" i="12"/>
  <c r="D5" i="12"/>
  <c r="K15" i="11"/>
  <c r="G111" i="11"/>
  <c r="I103" i="11"/>
  <c r="N140" i="11"/>
  <c r="N142" i="11"/>
  <c r="N144" i="11"/>
  <c r="K147" i="11"/>
  <c r="N141" i="11"/>
  <c r="N143" i="11"/>
  <c r="K148" i="11"/>
  <c r="N9" i="11"/>
  <c r="E19" i="11" s="1"/>
  <c r="G18" i="11"/>
  <c r="C34" i="12"/>
  <c r="D34" i="12" s="1"/>
  <c r="C89" i="16"/>
  <c r="D89" i="16" s="1"/>
  <c r="K82" i="16" s="1"/>
  <c r="H26" i="11"/>
  <c r="P26" i="11"/>
  <c r="I16" i="11"/>
  <c r="C32" i="12"/>
  <c r="C87" i="16"/>
  <c r="I18" i="11"/>
  <c r="E18" i="11"/>
  <c r="E17" i="11"/>
  <c r="P24" i="11" s="1"/>
  <c r="E16" i="11"/>
  <c r="K19" i="11"/>
  <c r="C19" i="11"/>
  <c r="N14" i="11"/>
  <c r="I55" i="11"/>
  <c r="G55" i="11"/>
  <c r="K58" i="11"/>
  <c r="K57" i="11"/>
  <c r="N54" i="11"/>
  <c r="N53" i="11"/>
  <c r="N50" i="11"/>
  <c r="K18" i="11"/>
  <c r="M18" i="11" s="1"/>
  <c r="C88" i="16"/>
  <c r="D88" i="16" s="1"/>
  <c r="C33" i="12"/>
  <c r="P25" i="11"/>
  <c r="E55" i="11"/>
  <c r="C55" i="11"/>
  <c r="N52" i="11"/>
  <c r="F25" i="11" l="1"/>
  <c r="I4" i="13"/>
  <c r="I22" i="13"/>
  <c r="N49" i="13" s="1"/>
  <c r="B33" i="12"/>
  <c r="G25" i="11"/>
  <c r="D32" i="12"/>
  <c r="F26" i="11"/>
  <c r="P111" i="11"/>
  <c r="G26" i="11"/>
  <c r="O9" i="11"/>
  <c r="I7" i="13"/>
  <c r="I21" i="13"/>
  <c r="N48" i="13" s="1"/>
  <c r="I8" i="13"/>
  <c r="N6" i="13" s="1"/>
  <c r="I6" i="13"/>
  <c r="I16" i="13"/>
  <c r="N43" i="13" s="1"/>
  <c r="I14" i="13"/>
  <c r="I18" i="13"/>
  <c r="N45" i="13" s="1"/>
  <c r="I20" i="13"/>
  <c r="N47" i="13" s="1"/>
  <c r="I13" i="13"/>
  <c r="I12" i="13"/>
  <c r="I10" i="13"/>
  <c r="N27" i="13" s="1"/>
  <c r="I9" i="13"/>
  <c r="I15" i="13"/>
  <c r="N28" i="13" s="1"/>
  <c r="I11" i="13"/>
  <c r="N42" i="13" s="1"/>
  <c r="I17" i="13"/>
  <c r="N44" i="13" s="1"/>
  <c r="I19" i="13"/>
  <c r="D33" i="12"/>
  <c r="I19" i="11"/>
  <c r="M15" i="11"/>
  <c r="I25" i="11"/>
  <c r="I26" i="11"/>
  <c r="G19" i="11"/>
  <c r="P9" i="11"/>
  <c r="M17" i="11"/>
  <c r="C91" i="16"/>
  <c r="D91" i="16" s="1"/>
  <c r="E66" i="11"/>
  <c r="C57" i="11"/>
  <c r="E59" i="11"/>
  <c r="G59" i="11"/>
  <c r="I59" i="11"/>
  <c r="C58" i="11"/>
  <c r="P70" i="11" s="1"/>
  <c r="C59" i="11"/>
  <c r="H66" i="11"/>
  <c r="I58" i="11"/>
  <c r="P73" i="11" s="1"/>
  <c r="I57" i="11"/>
  <c r="F66" i="11"/>
  <c r="E58" i="11"/>
  <c r="P71" i="11" s="1"/>
  <c r="E57" i="11"/>
  <c r="G66" i="11"/>
  <c r="G58" i="11"/>
  <c r="P72" i="11" s="1"/>
  <c r="G57" i="11"/>
  <c r="C31" i="12"/>
  <c r="D31" i="12" s="1"/>
  <c r="M16" i="11"/>
  <c r="P10" i="11"/>
  <c r="P11" i="11"/>
  <c r="P13" i="11"/>
  <c r="P12" i="11"/>
  <c r="D87" i="16"/>
  <c r="N29" i="13" l="1"/>
  <c r="N46" i="13"/>
  <c r="K59"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作者</author>
  </authors>
  <commentList>
    <comment ref="A9" authorId="0" shapeId="0" xr:uid="{00000000-0006-0000-0400-000001000000}">
      <text>
        <r>
          <rPr>
            <b/>
            <sz val="9"/>
            <rFont val="宋体"/>
            <family val="3"/>
            <charset val="134"/>
          </rPr>
          <t>注：每种软件类型都有它自已的劳动率，具有不同的开发成本。</t>
        </r>
        <r>
          <rPr>
            <sz val="9"/>
            <rFont val="宋体"/>
            <family val="3"/>
            <charset val="134"/>
          </rPr>
          <t xml:space="preserve">
</t>
        </r>
      </text>
    </comment>
    <comment ref="A14" authorId="0" shapeId="0" xr:uid="{00000000-0006-0000-0400-000002000000}">
      <text>
        <r>
          <rPr>
            <b/>
            <sz val="9"/>
            <rFont val="宋体"/>
            <family val="3"/>
            <charset val="134"/>
          </rPr>
          <t>立项申请表中获取，包括所有参与项目的总成员数，不包括CCB组长和CCB成员数</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作者</author>
    <author>gta</author>
  </authors>
  <commentList>
    <comment ref="D3" authorId="0" shapeId="0" xr:uid="{00000000-0006-0000-0500-000001000000}">
      <text>
        <r>
          <rPr>
            <b/>
            <sz val="9"/>
            <rFont val="宋体"/>
            <family val="3"/>
            <charset val="134"/>
          </rPr>
          <t>EPG:</t>
        </r>
        <r>
          <rPr>
            <sz val="9"/>
            <rFont val="宋体"/>
            <family val="3"/>
            <charset val="134"/>
          </rPr>
          <t xml:space="preserve">
的估算结果。即估算表中项目预计开始日期到项目预计结束日期的工作日数。</t>
        </r>
      </text>
    </comment>
    <comment ref="D5" authorId="1" shapeId="0" xr:uid="{00000000-0006-0000-0500-000002000000}">
      <text>
        <r>
          <rPr>
            <b/>
            <sz val="9"/>
            <rFont val="宋体"/>
            <family val="3"/>
            <charset val="134"/>
          </rPr>
          <t>gta:</t>
        </r>
        <r>
          <rPr>
            <sz val="9"/>
            <rFont val="宋体"/>
            <family val="3"/>
            <charset val="134"/>
          </rPr>
          <t xml:space="preserve">
来源于估算表“项目总工作量（人天）”</t>
        </r>
      </text>
    </comment>
    <comment ref="D6" authorId="1" shapeId="0" xr:uid="{00000000-0006-0000-0500-000003000000}">
      <text>
        <r>
          <rPr>
            <b/>
            <sz val="9"/>
            <rFont val="宋体"/>
            <family val="3"/>
            <charset val="134"/>
          </rPr>
          <t>gta:</t>
        </r>
        <r>
          <rPr>
            <sz val="9"/>
            <rFont val="宋体"/>
            <family val="3"/>
            <charset val="134"/>
          </rPr>
          <t xml:space="preserve">
来源于估算表“项目总工作量（人天）”</t>
        </r>
      </text>
    </comment>
    <comment ref="D8" authorId="0" shapeId="0" xr:uid="{00000000-0006-0000-0500-000004000000}">
      <text>
        <r>
          <rPr>
            <b/>
            <sz val="9"/>
            <rFont val="宋体"/>
            <family val="3"/>
            <charset val="134"/>
          </rPr>
          <t>EPG:</t>
        </r>
        <r>
          <rPr>
            <sz val="9"/>
            <rFont val="宋体"/>
            <family val="3"/>
            <charset val="134"/>
          </rPr>
          <t xml:space="preserve">
生产率=估算的SFP/估算计划工作量</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gta</author>
    <author>Windows 用户</author>
  </authors>
  <commentList>
    <comment ref="D3" authorId="0" shapeId="0" xr:uid="{00000000-0006-0000-0600-000001000000}">
      <text>
        <r>
          <rPr>
            <b/>
            <sz val="9"/>
            <rFont val="宋体"/>
            <family val="3"/>
            <charset val="134"/>
          </rPr>
          <t>gta:</t>
        </r>
        <r>
          <rPr>
            <sz val="9"/>
            <rFont val="宋体"/>
            <family val="3"/>
            <charset val="134"/>
          </rPr>
          <t xml:space="preserve">
数据来源于执行本次预测时，估算表中的SFP数。</t>
        </r>
      </text>
    </comment>
    <comment ref="E3" authorId="0" shapeId="0" xr:uid="{00000000-0006-0000-0600-000002000000}">
      <text>
        <r>
          <rPr>
            <b/>
            <sz val="9"/>
            <rFont val="宋体"/>
            <family val="3"/>
            <charset val="134"/>
          </rPr>
          <t>gta:</t>
        </r>
        <r>
          <rPr>
            <sz val="9"/>
            <rFont val="宋体"/>
            <family val="3"/>
            <charset val="134"/>
          </rPr>
          <t xml:space="preserve">
数据来源于执行本次预测时，估算表中的项目总工作量（人天）。</t>
        </r>
      </text>
    </comment>
    <comment ref="U3" authorId="0" shapeId="0" xr:uid="{00000000-0006-0000-0600-000003000000}">
      <text>
        <r>
          <rPr>
            <b/>
            <sz val="9"/>
            <rFont val="宋体"/>
            <family val="3"/>
            <charset val="134"/>
          </rPr>
          <t>gta:</t>
        </r>
        <r>
          <rPr>
            <sz val="9"/>
            <rFont val="宋体"/>
            <family val="3"/>
            <charset val="134"/>
          </rPr>
          <t xml:space="preserve">
对预测结果进行分析：
1，置信度小于90%时，分析置信度的原因及措施。
2，置信度大于90%时，分析保证达到或提高置信度的措施。</t>
        </r>
      </text>
    </comment>
    <comment ref="O4" authorId="1" shapeId="0" xr:uid="{00000000-0006-0000-0600-000004000000}">
      <text>
        <r>
          <rPr>
            <b/>
            <sz val="9"/>
            <rFont val="宋体"/>
            <family val="3"/>
            <charset val="134"/>
          </rPr>
          <t>Windows 用户:</t>
        </r>
        <r>
          <rPr>
            <sz val="9"/>
            <rFont val="宋体"/>
            <family val="3"/>
            <charset val="134"/>
          </rPr>
          <t xml:space="preserve">
总方案</t>
        </r>
      </text>
    </comment>
    <comment ref="O5" authorId="1" shapeId="0" xr:uid="{00000000-0006-0000-0600-000005000000}">
      <text>
        <r>
          <rPr>
            <b/>
            <sz val="9"/>
            <rFont val="宋体"/>
            <family val="3"/>
            <charset val="134"/>
          </rPr>
          <t>Windows 用户:</t>
        </r>
        <r>
          <rPr>
            <sz val="9"/>
            <rFont val="宋体"/>
            <family val="3"/>
            <charset val="134"/>
          </rPr>
          <t xml:space="preserve">
迭代一方案</t>
        </r>
      </text>
    </comment>
    <comment ref="O11" authorId="1" shapeId="0" xr:uid="{00000000-0006-0000-0600-000006000000}">
      <text>
        <r>
          <rPr>
            <b/>
            <sz val="9"/>
            <rFont val="宋体"/>
            <family val="3"/>
            <charset val="134"/>
          </rPr>
          <t>Windows 用户:</t>
        </r>
        <r>
          <rPr>
            <sz val="9"/>
            <rFont val="宋体"/>
            <family val="3"/>
            <charset val="134"/>
          </rPr>
          <t xml:space="preserve">
迭代三方案</t>
        </r>
      </text>
    </comment>
    <comment ref="O12" authorId="1" shapeId="0" xr:uid="{00000000-0006-0000-0600-000007000000}">
      <text>
        <r>
          <rPr>
            <b/>
            <sz val="9"/>
            <rFont val="宋体"/>
            <family val="3"/>
            <charset val="134"/>
          </rPr>
          <t>Windows 用户:</t>
        </r>
        <r>
          <rPr>
            <sz val="9"/>
            <rFont val="宋体"/>
            <family val="3"/>
            <charset val="134"/>
          </rPr>
          <t xml:space="preserve">
迭代四方案</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fe</author>
    <author>叶伦灼</author>
    <author>付艳华</author>
    <author>Windows 用户</author>
  </authors>
  <commentList>
    <comment ref="A1" authorId="0" shapeId="0" xr:uid="{00000000-0006-0000-0800-000001000000}">
      <text>
        <r>
          <rPr>
            <sz val="9"/>
            <rFont val="宋体"/>
            <family val="3"/>
            <charset val="134"/>
          </rPr>
          <t>PPM-版本号</t>
        </r>
      </text>
    </comment>
    <comment ref="A4" authorId="1" shapeId="0" xr:uid="{00000000-0006-0000-0800-000002000000}">
      <text>
        <r>
          <rPr>
            <b/>
            <sz val="9"/>
            <rFont val="宋体"/>
            <family val="3"/>
            <charset val="134"/>
          </rPr>
          <t>叶伦灼:</t>
        </r>
        <r>
          <rPr>
            <sz val="9"/>
            <rFont val="宋体"/>
            <family val="3"/>
            <charset val="134"/>
          </rPr>
          <t xml:space="preserve">
在代码走查充分的前提下，测试加权缺陷密度与代码走查发现的缺陷密度应该是负相关，但基于目前公司的代码走查开展程度严重不足，此处的回归模型显示了前述两者的关系呈现了正相关，意在鼓励更多的进行代码走查</t>
        </r>
      </text>
    </comment>
    <comment ref="Z33" authorId="2" shapeId="0" xr:uid="{00000000-0006-0000-0800-000003000000}">
      <text>
        <r>
          <rPr>
            <b/>
            <sz val="9"/>
            <rFont val="宋体"/>
            <family val="3"/>
            <charset val="134"/>
          </rPr>
          <t>（遗留缺陷率） 验收的密度＝验收＋测试阶机的缺陷密度</t>
        </r>
        <r>
          <rPr>
            <sz val="9"/>
            <rFont val="宋体"/>
            <family val="3"/>
            <charset val="134"/>
          </rPr>
          <t xml:space="preserve">
</t>
        </r>
      </text>
    </comment>
    <comment ref="Z34" authorId="3" shapeId="0" xr:uid="{00000000-0006-0000-0800-000004000000}">
      <text>
        <r>
          <rPr>
            <b/>
            <sz val="9"/>
            <rFont val="宋体"/>
            <family val="3"/>
            <charset val="134"/>
          </rPr>
          <t>Windows 用户:</t>
        </r>
        <r>
          <rPr>
            <sz val="9"/>
            <rFont val="宋体"/>
            <family val="3"/>
            <charset val="134"/>
          </rPr>
          <t xml:space="preserve">
智慧</t>
        </r>
      </text>
    </comment>
    <comment ref="Z35" authorId="3" shapeId="0" xr:uid="{00000000-0006-0000-0800-000005000000}">
      <text>
        <r>
          <rPr>
            <b/>
            <sz val="9"/>
            <rFont val="宋体"/>
            <family val="3"/>
            <charset val="134"/>
          </rPr>
          <t>Windows 用户:</t>
        </r>
        <r>
          <rPr>
            <sz val="9"/>
            <rFont val="宋体"/>
            <family val="3"/>
            <charset val="134"/>
          </rPr>
          <t xml:space="preserve">
非智慧</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fe</author>
    <author>叶伦灼</author>
    <author>付艳华</author>
    <author>Windows 用户</author>
  </authors>
  <commentList>
    <comment ref="A1" authorId="0" shapeId="0" xr:uid="{00000000-0006-0000-0900-000001000000}">
      <text>
        <r>
          <rPr>
            <sz val="9"/>
            <rFont val="宋体"/>
            <family val="3"/>
            <charset val="134"/>
          </rPr>
          <t>PPM-版本号</t>
        </r>
      </text>
    </comment>
    <comment ref="A4" authorId="1" shapeId="0" xr:uid="{00000000-0006-0000-0900-000002000000}">
      <text>
        <r>
          <rPr>
            <b/>
            <sz val="9"/>
            <rFont val="宋体"/>
            <family val="3"/>
            <charset val="134"/>
          </rPr>
          <t>叶伦灼:</t>
        </r>
        <r>
          <rPr>
            <sz val="9"/>
            <rFont val="宋体"/>
            <family val="3"/>
            <charset val="134"/>
          </rPr>
          <t xml:space="preserve">
在代码走查充分的前提下，测试加权缺陷密度与代码走查发现的缺陷密度应该是负相关，但基于目前公司的代码走查开展程度严重不足，此处的回归模型显示了前述两者的关系呈现了正相关，意在鼓励更多的进行代码走查</t>
        </r>
      </text>
    </comment>
    <comment ref="Z25" authorId="2" shapeId="0" xr:uid="{00000000-0006-0000-0900-000003000000}">
      <text>
        <r>
          <rPr>
            <b/>
            <sz val="9"/>
            <rFont val="宋体"/>
            <family val="3"/>
            <charset val="134"/>
          </rPr>
          <t>（遗留缺陷率） 验收的密度＝验收＋测试阶机的缺陷密度</t>
        </r>
        <r>
          <rPr>
            <sz val="9"/>
            <rFont val="宋体"/>
            <family val="3"/>
            <charset val="134"/>
          </rPr>
          <t xml:space="preserve">
</t>
        </r>
      </text>
    </comment>
    <comment ref="Z27" authorId="2" shapeId="0" xr:uid="{00000000-0006-0000-0900-000004000000}">
      <text>
        <r>
          <rPr>
            <b/>
            <sz val="9"/>
            <rFont val="宋体"/>
            <family val="3"/>
            <charset val="134"/>
          </rPr>
          <t>（遗留缺陷率） 验收的密度＝验收＋测试阶机的缺陷密度</t>
        </r>
        <r>
          <rPr>
            <sz val="9"/>
            <rFont val="宋体"/>
            <family val="3"/>
            <charset val="134"/>
          </rPr>
          <t xml:space="preserve">
</t>
        </r>
      </text>
    </comment>
    <comment ref="U29" authorId="3" shapeId="0" xr:uid="{00000000-0006-0000-0900-000005000000}">
      <text>
        <r>
          <rPr>
            <b/>
            <sz val="9"/>
            <rFont val="宋体"/>
            <family val="3"/>
            <charset val="134"/>
          </rPr>
          <t>Windows 用户:</t>
        </r>
        <r>
          <rPr>
            <sz val="9"/>
            <rFont val="宋体"/>
            <family val="3"/>
            <charset val="134"/>
          </rPr>
          <t xml:space="preserve">
测试用例评审缺陷密度</t>
        </r>
      </text>
    </comment>
    <comment ref="B30" authorId="2" shapeId="0" xr:uid="{00000000-0006-0000-0900-000006000000}">
      <text>
        <r>
          <rPr>
            <sz val="9"/>
            <rFont val="宋体"/>
            <family val="3"/>
            <charset val="134"/>
          </rPr>
          <t xml:space="preserve">设计文档被裁减
</t>
        </r>
      </text>
    </comment>
    <comment ref="U30" authorId="3" shapeId="0" xr:uid="{00000000-0006-0000-0900-000007000000}">
      <text>
        <r>
          <rPr>
            <b/>
            <sz val="9"/>
            <rFont val="宋体"/>
            <family val="3"/>
            <charset val="134"/>
          </rPr>
          <t>Windows 用户:</t>
        </r>
        <r>
          <rPr>
            <sz val="9"/>
            <rFont val="宋体"/>
            <family val="3"/>
            <charset val="134"/>
          </rPr>
          <t xml:space="preserve">
代码走查缺陷密度</t>
        </r>
      </text>
    </comment>
    <comment ref="U31" authorId="3" shapeId="0" xr:uid="{00000000-0006-0000-0900-000008000000}">
      <text>
        <r>
          <rPr>
            <b/>
            <sz val="9"/>
            <rFont val="宋体"/>
            <family val="3"/>
            <charset val="134"/>
          </rPr>
          <t>Windows 用户:</t>
        </r>
        <r>
          <rPr>
            <sz val="9"/>
            <rFont val="宋体"/>
            <family val="3"/>
            <charset val="134"/>
          </rPr>
          <t xml:space="preserve">
测试用例覆盖密度（智慧）</t>
        </r>
      </text>
    </comment>
    <comment ref="U32" authorId="3" shapeId="0" xr:uid="{00000000-0006-0000-0900-000009000000}">
      <text>
        <r>
          <rPr>
            <b/>
            <sz val="9"/>
            <rFont val="宋体"/>
            <family val="3"/>
            <charset val="134"/>
          </rPr>
          <t>Windows 用户:</t>
        </r>
        <r>
          <rPr>
            <sz val="9"/>
            <rFont val="宋体"/>
            <family val="3"/>
            <charset val="134"/>
          </rPr>
          <t xml:space="preserve">
测试用例覆盖密度（非智慧）</t>
        </r>
      </text>
    </comment>
    <comment ref="B37" authorId="2" shapeId="0" xr:uid="{00000000-0006-0000-0900-00000A000000}">
      <text>
        <r>
          <rPr>
            <b/>
            <sz val="9"/>
            <rFont val="宋体"/>
            <family val="3"/>
            <charset val="134"/>
          </rPr>
          <t>功能+性能测试用例</t>
        </r>
        <r>
          <rPr>
            <sz val="9"/>
            <rFont val="宋体"/>
            <family val="3"/>
            <charset val="134"/>
          </rPr>
          <t xml:space="preserve">
(功能100%+性能100%+轮次3-6)</t>
        </r>
      </text>
    </comment>
    <comment ref="J37" authorId="3" shapeId="0" xr:uid="{00000000-0006-0000-0900-00000B000000}">
      <text>
        <r>
          <rPr>
            <b/>
            <sz val="9"/>
            <rFont val="宋体"/>
            <family val="3"/>
            <charset val="134"/>
          </rPr>
          <t>Windows 用户:</t>
        </r>
        <r>
          <rPr>
            <sz val="9"/>
            <rFont val="宋体"/>
            <family val="3"/>
            <charset val="134"/>
          </rPr>
          <t xml:space="preserve">
智慧教育线</t>
        </r>
      </text>
    </comment>
    <comment ref="B38" authorId="1" shapeId="0" xr:uid="{00000000-0006-0000-0900-00000C000000}">
      <text>
        <r>
          <rPr>
            <b/>
            <sz val="9"/>
            <rFont val="宋体"/>
            <family val="3"/>
            <charset val="134"/>
          </rPr>
          <t>叶伦灼:</t>
        </r>
        <r>
          <rPr>
            <sz val="9"/>
            <rFont val="宋体"/>
            <family val="3"/>
            <charset val="134"/>
          </rPr>
          <t xml:space="preserve">
(功能((100%)+轮次(3))</t>
        </r>
      </text>
    </comment>
    <comment ref="B39" authorId="2" shapeId="0" xr:uid="{00000000-0006-0000-0900-00000D000000}">
      <text>
        <r>
          <rPr>
            <b/>
            <sz val="9"/>
            <rFont val="宋体"/>
            <family val="3"/>
            <charset val="134"/>
          </rPr>
          <t>功能+性能测试用例</t>
        </r>
        <r>
          <rPr>
            <sz val="9"/>
            <rFont val="宋体"/>
            <family val="3"/>
            <charset val="134"/>
          </rPr>
          <t xml:space="preserve">
(功能100%+性能100%+轮次3-6)</t>
        </r>
      </text>
    </comment>
    <comment ref="J39" authorId="3" shapeId="0" xr:uid="{00000000-0006-0000-0900-00000E000000}">
      <text>
        <r>
          <rPr>
            <b/>
            <sz val="9"/>
            <rFont val="宋体"/>
            <family val="3"/>
            <charset val="134"/>
          </rPr>
          <t>Windows 用户:</t>
        </r>
        <r>
          <rPr>
            <sz val="9"/>
            <rFont val="宋体"/>
            <family val="3"/>
            <charset val="134"/>
          </rPr>
          <t xml:space="preserve">
非智慧教育线</t>
        </r>
      </text>
    </comment>
    <comment ref="B40" authorId="1" shapeId="0" xr:uid="{00000000-0006-0000-0900-00000F000000}">
      <text>
        <r>
          <rPr>
            <b/>
            <sz val="9"/>
            <rFont val="宋体"/>
            <family val="3"/>
            <charset val="134"/>
          </rPr>
          <t>叶伦灼:</t>
        </r>
        <r>
          <rPr>
            <sz val="9"/>
            <rFont val="宋体"/>
            <family val="3"/>
            <charset val="134"/>
          </rPr>
          <t xml:space="preserve">
(功能((100%)+轮次(3))</t>
        </r>
      </text>
    </comment>
    <comment ref="J42" authorId="3" shapeId="0" xr:uid="{00000000-0006-0000-0900-000010000000}">
      <text>
        <r>
          <rPr>
            <b/>
            <sz val="9"/>
            <rFont val="宋体"/>
            <family val="3"/>
            <charset val="134"/>
          </rPr>
          <t>Windows 用户:</t>
        </r>
        <r>
          <rPr>
            <sz val="9"/>
            <rFont val="宋体"/>
            <family val="3"/>
            <charset val="134"/>
          </rPr>
          <t xml:space="preserve">
智慧教育线</t>
        </r>
      </text>
    </comment>
    <comment ref="J44" authorId="3" shapeId="0" xr:uid="{00000000-0006-0000-0900-000011000000}">
      <text>
        <r>
          <rPr>
            <b/>
            <sz val="9"/>
            <rFont val="宋体"/>
            <family val="3"/>
            <charset val="134"/>
          </rPr>
          <t>Windows 用户:</t>
        </r>
        <r>
          <rPr>
            <sz val="9"/>
            <rFont val="宋体"/>
            <family val="3"/>
            <charset val="134"/>
          </rPr>
          <t xml:space="preserve">
非智慧教育线</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gta</author>
    <author>作者</author>
  </authors>
  <commentList>
    <comment ref="C14" authorId="0" shapeId="0" xr:uid="{00000000-0006-0000-0A00-000001000000}">
      <text>
        <r>
          <rPr>
            <b/>
            <sz val="9"/>
            <rFont val="宋体"/>
            <family val="3"/>
            <charset val="134"/>
          </rPr>
          <t>gta:</t>
        </r>
        <r>
          <rPr>
            <sz val="9"/>
            <rFont val="宋体"/>
            <family val="3"/>
            <charset val="134"/>
          </rPr>
          <t xml:space="preserve">
即客户需求说明书中的CR和NCR个数</t>
        </r>
      </text>
    </comment>
    <comment ref="D14" authorId="0" shapeId="0" xr:uid="{00000000-0006-0000-0A00-000002000000}">
      <text>
        <r>
          <rPr>
            <b/>
            <sz val="9"/>
            <rFont val="宋体"/>
            <family val="3"/>
            <charset val="134"/>
          </rPr>
          <t>gta:</t>
        </r>
        <r>
          <rPr>
            <sz val="9"/>
            <rFont val="宋体"/>
            <family val="3"/>
            <charset val="134"/>
          </rPr>
          <t xml:space="preserve">
变更影响的客户需求说明书的CR和NCR个数</t>
        </r>
      </text>
    </comment>
    <comment ref="H14" authorId="1" shapeId="0" xr:uid="{00000000-0006-0000-0A00-000003000000}">
      <text>
        <r>
          <rPr>
            <b/>
            <sz val="9"/>
            <rFont val="宋体"/>
            <family val="3"/>
            <charset val="134"/>
          </rPr>
          <t>作者:</t>
        </r>
        <r>
          <rPr>
            <sz val="9"/>
            <rFont val="宋体"/>
            <family val="3"/>
            <charset val="134"/>
          </rPr>
          <t xml:space="preserve">
=|新增SFP值| + |删除SFP值| + |修订的SFP值|
举例：新增一个需求，增加了20SFP，删除一个需求，减少了10SFP，修改一个需求，SFP改变了3FP，那这些需求变更产生的SFP变化为20+10+3=33</t>
        </r>
      </text>
    </comment>
    <comment ref="C20" authorId="0" shapeId="0" xr:uid="{00000000-0006-0000-0A00-000004000000}">
      <text>
        <r>
          <rPr>
            <b/>
            <sz val="9"/>
            <rFont val="宋体"/>
            <family val="3"/>
            <charset val="134"/>
          </rPr>
          <t>gta:</t>
        </r>
        <r>
          <rPr>
            <sz val="9"/>
            <rFont val="宋体"/>
            <family val="3"/>
            <charset val="134"/>
          </rPr>
          <t xml:space="preserve">
等于需求阶段初始需求总数，用于计算项目整体需求稳定度</t>
        </r>
      </text>
    </comment>
    <comment ref="C25" authorId="0" shapeId="0" xr:uid="{00000000-0006-0000-0A00-000005000000}">
      <text>
        <r>
          <rPr>
            <b/>
            <sz val="9"/>
            <rFont val="宋体"/>
            <family val="3"/>
            <charset val="134"/>
          </rPr>
          <t>gta:</t>
        </r>
        <r>
          <rPr>
            <sz val="9"/>
            <rFont val="宋体"/>
            <family val="3"/>
            <charset val="134"/>
          </rPr>
          <t xml:space="preserve">
即需求规格说明书中的FR和NFR个数</t>
        </r>
      </text>
    </comment>
    <comment ref="D25" authorId="0" shapeId="0" xr:uid="{00000000-0006-0000-0A00-000006000000}">
      <text>
        <r>
          <rPr>
            <b/>
            <sz val="9"/>
            <rFont val="宋体"/>
            <family val="3"/>
            <charset val="134"/>
          </rPr>
          <t>gta:</t>
        </r>
        <r>
          <rPr>
            <sz val="9"/>
            <rFont val="宋体"/>
            <family val="3"/>
            <charset val="134"/>
          </rPr>
          <t xml:space="preserve">
变更影响的需求规格说明书的FR和NFR个数</t>
        </r>
      </text>
    </comment>
    <comment ref="C31" authorId="0" shapeId="0" xr:uid="{00000000-0006-0000-0A00-000007000000}">
      <text>
        <r>
          <rPr>
            <b/>
            <sz val="9"/>
            <rFont val="宋体"/>
            <family val="3"/>
            <charset val="134"/>
          </rPr>
          <t>gta:</t>
        </r>
        <r>
          <rPr>
            <sz val="9"/>
            <rFont val="宋体"/>
            <family val="3"/>
            <charset val="134"/>
          </rPr>
          <t xml:space="preserve">
等于需求阶段初始需求总数，用于计算项目整体需求稳定度</t>
        </r>
      </text>
    </comment>
    <comment ref="C39" authorId="0" shapeId="0" xr:uid="{00000000-0006-0000-0A00-000008000000}">
      <text>
        <r>
          <rPr>
            <b/>
            <sz val="9"/>
            <rFont val="宋体"/>
            <family val="3"/>
            <charset val="134"/>
          </rPr>
          <t>gta:</t>
        </r>
        <r>
          <rPr>
            <sz val="9"/>
            <rFont val="宋体"/>
            <family val="3"/>
            <charset val="134"/>
          </rPr>
          <t xml:space="preserve">
即客户需求说明书中的CR和NCR个数</t>
        </r>
      </text>
    </comment>
    <comment ref="D39" authorId="0" shapeId="0" xr:uid="{00000000-0006-0000-0A00-000009000000}">
      <text>
        <r>
          <rPr>
            <b/>
            <sz val="9"/>
            <rFont val="宋体"/>
            <family val="3"/>
            <charset val="134"/>
          </rPr>
          <t>gta:</t>
        </r>
        <r>
          <rPr>
            <sz val="9"/>
            <rFont val="宋体"/>
            <family val="3"/>
            <charset val="134"/>
          </rPr>
          <t xml:space="preserve">
变更影响的客户需求说明书的CR和NCR个数</t>
        </r>
      </text>
    </comment>
    <comment ref="H39" authorId="1" shapeId="0" xr:uid="{00000000-0006-0000-0A00-00000A000000}">
      <text>
        <r>
          <rPr>
            <b/>
            <sz val="9"/>
            <rFont val="宋体"/>
            <family val="3"/>
            <charset val="134"/>
          </rPr>
          <t>作者:</t>
        </r>
        <r>
          <rPr>
            <sz val="9"/>
            <rFont val="宋体"/>
            <family val="3"/>
            <charset val="134"/>
          </rPr>
          <t xml:space="preserve">
=|新增SFP值| + |删除SFP值| + |修订的SFP值|
举例：新增一个需求，增加了20SFP，删除一个需求，减少了10SFP，修改一个需求，SFP改变了3FP，那这些需求变更产生的SFP变化为20+10+3=33</t>
        </r>
      </text>
    </comment>
    <comment ref="C45" authorId="0" shapeId="0" xr:uid="{00000000-0006-0000-0A00-00000B000000}">
      <text>
        <r>
          <rPr>
            <b/>
            <sz val="9"/>
            <rFont val="宋体"/>
            <family val="3"/>
            <charset val="134"/>
          </rPr>
          <t>gta:</t>
        </r>
        <r>
          <rPr>
            <sz val="9"/>
            <rFont val="宋体"/>
            <family val="3"/>
            <charset val="134"/>
          </rPr>
          <t xml:space="preserve">
等于需求阶段初始需求总数，用于计算项目整体需求稳定度</t>
        </r>
      </text>
    </comment>
    <comment ref="C50" authorId="0" shapeId="0" xr:uid="{00000000-0006-0000-0A00-00000C000000}">
      <text>
        <r>
          <rPr>
            <b/>
            <sz val="9"/>
            <rFont val="宋体"/>
            <family val="3"/>
            <charset val="134"/>
          </rPr>
          <t>gta:</t>
        </r>
        <r>
          <rPr>
            <sz val="9"/>
            <rFont val="宋体"/>
            <family val="3"/>
            <charset val="134"/>
          </rPr>
          <t xml:space="preserve">
即需求规格说明书中的FR和NFR个数</t>
        </r>
      </text>
    </comment>
    <comment ref="D50" authorId="0" shapeId="0" xr:uid="{00000000-0006-0000-0A00-00000D000000}">
      <text>
        <r>
          <rPr>
            <b/>
            <sz val="9"/>
            <rFont val="宋体"/>
            <family val="3"/>
            <charset val="134"/>
          </rPr>
          <t>gta:</t>
        </r>
        <r>
          <rPr>
            <sz val="9"/>
            <rFont val="宋体"/>
            <family val="3"/>
            <charset val="134"/>
          </rPr>
          <t xml:space="preserve">
变更影响的需求规格说明书的FR和NFR个数</t>
        </r>
      </text>
    </comment>
    <comment ref="C56" authorId="0" shapeId="0" xr:uid="{00000000-0006-0000-0A00-00000E000000}">
      <text>
        <r>
          <rPr>
            <b/>
            <sz val="9"/>
            <rFont val="宋体"/>
            <family val="3"/>
            <charset val="134"/>
          </rPr>
          <t>gta:</t>
        </r>
        <r>
          <rPr>
            <sz val="9"/>
            <rFont val="宋体"/>
            <family val="3"/>
            <charset val="134"/>
          </rPr>
          <t xml:space="preserve">
等于需求阶段初始需求总数，用于计算项目整体需求稳定度</t>
        </r>
      </text>
    </comment>
    <comment ref="C65" authorId="0" shapeId="0" xr:uid="{00000000-0006-0000-0A00-00000F000000}">
      <text>
        <r>
          <rPr>
            <b/>
            <sz val="9"/>
            <rFont val="宋体"/>
            <family val="3"/>
            <charset val="134"/>
          </rPr>
          <t>gta:</t>
        </r>
        <r>
          <rPr>
            <sz val="9"/>
            <rFont val="宋体"/>
            <family val="3"/>
            <charset val="134"/>
          </rPr>
          <t xml:space="preserve">
即客户需求说明书中的CR和NCR个数</t>
        </r>
      </text>
    </comment>
    <comment ref="D65" authorId="0" shapeId="0" xr:uid="{00000000-0006-0000-0A00-000010000000}">
      <text>
        <r>
          <rPr>
            <b/>
            <sz val="9"/>
            <rFont val="宋体"/>
            <family val="3"/>
            <charset val="134"/>
          </rPr>
          <t>gta:</t>
        </r>
        <r>
          <rPr>
            <sz val="9"/>
            <rFont val="宋体"/>
            <family val="3"/>
            <charset val="134"/>
          </rPr>
          <t xml:space="preserve">
变更影响的客户需求说明书的CR和NCR个数</t>
        </r>
      </text>
    </comment>
    <comment ref="H65" authorId="1" shapeId="0" xr:uid="{00000000-0006-0000-0A00-000011000000}">
      <text>
        <r>
          <rPr>
            <b/>
            <sz val="9"/>
            <rFont val="宋体"/>
            <family val="3"/>
            <charset val="134"/>
          </rPr>
          <t>作者:</t>
        </r>
        <r>
          <rPr>
            <sz val="9"/>
            <rFont val="宋体"/>
            <family val="3"/>
            <charset val="134"/>
          </rPr>
          <t xml:space="preserve">
=|新增SFP值| + |删除SFP值| + |修订的SFP值|
举例：新增一个需求，增加了20SFP，删除一个需求，减少了10SFP，修改一个需求，SFP改变了3FP，那这些需求变更产生的SFP变化为20+10+3=33</t>
        </r>
      </text>
    </comment>
    <comment ref="C71" authorId="0" shapeId="0" xr:uid="{00000000-0006-0000-0A00-000012000000}">
      <text>
        <r>
          <rPr>
            <b/>
            <sz val="9"/>
            <rFont val="宋体"/>
            <family val="3"/>
            <charset val="134"/>
          </rPr>
          <t>gta:</t>
        </r>
        <r>
          <rPr>
            <sz val="9"/>
            <rFont val="宋体"/>
            <family val="3"/>
            <charset val="134"/>
          </rPr>
          <t xml:space="preserve">
等于需求阶段初始需求总数，用于计算项目整体需求稳定度</t>
        </r>
      </text>
    </comment>
    <comment ref="C76" authorId="0" shapeId="0" xr:uid="{00000000-0006-0000-0A00-000013000000}">
      <text>
        <r>
          <rPr>
            <b/>
            <sz val="9"/>
            <rFont val="宋体"/>
            <family val="3"/>
            <charset val="134"/>
          </rPr>
          <t>gta:</t>
        </r>
        <r>
          <rPr>
            <sz val="9"/>
            <rFont val="宋体"/>
            <family val="3"/>
            <charset val="134"/>
          </rPr>
          <t xml:space="preserve">
即需求规格说明书中的FR和NFR个数</t>
        </r>
      </text>
    </comment>
    <comment ref="D76" authorId="0" shapeId="0" xr:uid="{00000000-0006-0000-0A00-000014000000}">
      <text>
        <r>
          <rPr>
            <b/>
            <sz val="9"/>
            <rFont val="宋体"/>
            <family val="3"/>
            <charset val="134"/>
          </rPr>
          <t>gta:</t>
        </r>
        <r>
          <rPr>
            <sz val="9"/>
            <rFont val="宋体"/>
            <family val="3"/>
            <charset val="134"/>
          </rPr>
          <t xml:space="preserve">
变更影响的需求规格说明书的FR和NFR个数</t>
        </r>
      </text>
    </comment>
    <comment ref="C82" authorId="0" shapeId="0" xr:uid="{00000000-0006-0000-0A00-000015000000}">
      <text>
        <r>
          <rPr>
            <b/>
            <sz val="9"/>
            <rFont val="宋体"/>
            <family val="3"/>
            <charset val="134"/>
          </rPr>
          <t>gta:</t>
        </r>
        <r>
          <rPr>
            <sz val="9"/>
            <rFont val="宋体"/>
            <family val="3"/>
            <charset val="134"/>
          </rPr>
          <t xml:space="preserve">
等于需求阶段初始需求总数，用于计算项目整体需求稳定度</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作者</author>
    <author>yun.xiong</author>
  </authors>
  <commentList>
    <comment ref="R7" authorId="0" shapeId="0" xr:uid="{00000000-0006-0000-0B00-000001000000}">
      <text>
        <r>
          <rPr>
            <b/>
            <sz val="9"/>
            <rFont val="宋体"/>
            <family val="3"/>
            <charset val="134"/>
          </rPr>
          <t>项目组项目情况调整工作量配比。但比例需与估算表保持一致</t>
        </r>
      </text>
    </comment>
    <comment ref="P47" authorId="0" shapeId="0" xr:uid="{00000000-0006-0000-0B00-000002000000}">
      <text>
        <r>
          <rPr>
            <b/>
            <sz val="9"/>
            <rFont val="宋体"/>
            <family val="3"/>
            <charset val="134"/>
          </rPr>
          <t>项目组项目情况调整工作量配比。但比例需与估算表保持一致</t>
        </r>
      </text>
    </comment>
    <comment ref="C63" authorId="1" shapeId="0" xr:uid="{00000000-0006-0000-0B00-000003000000}">
      <text>
        <r>
          <rPr>
            <b/>
            <sz val="9"/>
            <rFont val="宋体"/>
            <family val="3"/>
            <charset val="134"/>
          </rPr>
          <t>yun.xiong:</t>
        </r>
        <r>
          <rPr>
            <sz val="9"/>
            <rFont val="宋体"/>
            <family val="3"/>
            <charset val="134"/>
          </rPr>
          <t xml:space="preserve">
根据项目实际情况选择相应的值，参考值来源于“项目度量分析计划”</t>
        </r>
      </text>
    </comment>
    <comment ref="P92" authorId="0" shapeId="0" xr:uid="{00000000-0006-0000-0B00-000004000000}">
      <text>
        <r>
          <rPr>
            <b/>
            <sz val="9"/>
            <rFont val="宋体"/>
            <family val="3"/>
            <charset val="134"/>
          </rPr>
          <t>项目组项目情况调整工作量配比。但比例需与估算表保持一致</t>
        </r>
      </text>
    </comment>
    <comment ref="C108" authorId="1" shapeId="0" xr:uid="{00000000-0006-0000-0B00-000005000000}">
      <text>
        <r>
          <rPr>
            <b/>
            <sz val="9"/>
            <rFont val="宋体"/>
            <family val="3"/>
            <charset val="134"/>
          </rPr>
          <t>yun.xiong:</t>
        </r>
        <r>
          <rPr>
            <sz val="9"/>
            <rFont val="宋体"/>
            <family val="3"/>
            <charset val="134"/>
          </rPr>
          <t xml:space="preserve">
根据项目实际情况选择相应的值，参考值来源于“项目度量分析计划”
</t>
        </r>
      </text>
    </comment>
    <comment ref="P137" authorId="0" shapeId="0" xr:uid="{00000000-0006-0000-0B00-000006000000}">
      <text>
        <r>
          <rPr>
            <b/>
            <sz val="9"/>
            <rFont val="宋体"/>
            <family val="3"/>
            <charset val="134"/>
          </rPr>
          <t>项目组项目情况调整工作量配比。但比例需与估算表保持一致</t>
        </r>
      </text>
    </comment>
    <comment ref="C153" authorId="1" shapeId="0" xr:uid="{00000000-0006-0000-0B00-000007000000}">
      <text>
        <r>
          <rPr>
            <b/>
            <sz val="9"/>
            <rFont val="宋体"/>
            <family val="3"/>
            <charset val="134"/>
          </rPr>
          <t>yun.xiong:</t>
        </r>
        <r>
          <rPr>
            <sz val="9"/>
            <rFont val="宋体"/>
            <family val="3"/>
            <charset val="134"/>
          </rPr>
          <t xml:space="preserve">
根据项目实际情况选择相应的值，参考值来源于“项目度量分析计划”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gta</author>
  </authors>
  <commentList>
    <comment ref="D6" authorId="0" shapeId="0" xr:uid="{00000000-0006-0000-0C00-000001000000}">
      <text>
        <r>
          <rPr>
            <b/>
            <sz val="9"/>
            <rFont val="宋体"/>
            <family val="3"/>
            <charset val="134"/>
          </rPr>
          <t>gta:</t>
        </r>
        <r>
          <rPr>
            <sz val="9"/>
            <rFont val="宋体"/>
            <family val="3"/>
            <charset val="134"/>
          </rPr>
          <t xml:space="preserve">
数据来源于确定性估算表中“复用的功能点总数(SFP)”</t>
        </r>
      </text>
    </comment>
    <comment ref="B41" authorId="0" shapeId="0" xr:uid="{00000000-0006-0000-0C00-000002000000}">
      <text>
        <r>
          <rPr>
            <b/>
            <sz val="9"/>
            <rFont val="宋体"/>
            <family val="3"/>
            <charset val="134"/>
          </rPr>
          <t>gta:</t>
        </r>
        <r>
          <rPr>
            <sz val="9"/>
            <rFont val="宋体"/>
            <family val="3"/>
            <charset val="134"/>
          </rPr>
          <t xml:space="preserve">
数据来源于估算表“技术复杂度评估表”</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gta</author>
  </authors>
  <commentList>
    <comment ref="J5" authorId="0" shapeId="0" xr:uid="{00000000-0006-0000-0D00-000001000000}">
      <text>
        <r>
          <rPr>
            <b/>
            <sz val="9"/>
            <rFont val="宋体"/>
            <family val="3"/>
            <charset val="134"/>
          </rPr>
          <t>gta:</t>
        </r>
        <r>
          <rPr>
            <sz val="9"/>
            <rFont val="宋体"/>
            <family val="3"/>
            <charset val="134"/>
          </rPr>
          <t xml:space="preserve">
当阶段偏差或累计偏差其中之一出现偏差超过20%时，则必须进行偏差原因分析及采取相应的措施</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gta</author>
  </authors>
  <commentList>
    <comment ref="A6" authorId="0" shapeId="0" xr:uid="{00000000-0006-0000-0E00-000001000000}">
      <text>
        <r>
          <rPr>
            <b/>
            <sz val="9"/>
            <rFont val="宋体"/>
            <family val="3"/>
            <charset val="134"/>
          </rPr>
          <t>gta:</t>
        </r>
        <r>
          <rPr>
            <sz val="9"/>
            <rFont val="宋体"/>
            <family val="3"/>
            <charset val="134"/>
          </rPr>
          <t xml:space="preserve">
每组织一次评审就记为一次，不区分正式评审和非正式评审</t>
        </r>
      </text>
    </comment>
    <comment ref="J6" authorId="0" shapeId="0" xr:uid="{00000000-0006-0000-0E00-000002000000}">
      <text>
        <r>
          <rPr>
            <b/>
            <sz val="9"/>
            <rFont val="宋体"/>
            <family val="3"/>
            <charset val="134"/>
          </rPr>
          <t>gta:</t>
        </r>
        <r>
          <rPr>
            <sz val="9"/>
            <rFont val="宋体"/>
            <family val="3"/>
            <charset val="134"/>
          </rPr>
          <t xml:space="preserve">
文档页数仅统计正文的页数即可</t>
        </r>
      </text>
    </comment>
    <comment ref="A28" authorId="0" shapeId="0" xr:uid="{00000000-0006-0000-0E00-000003000000}">
      <text>
        <r>
          <rPr>
            <b/>
            <sz val="9"/>
            <rFont val="宋体"/>
            <family val="3"/>
            <charset val="134"/>
          </rPr>
          <t>gta:</t>
        </r>
        <r>
          <rPr>
            <sz val="9"/>
            <rFont val="宋体"/>
            <family val="3"/>
            <charset val="134"/>
          </rPr>
          <t xml:space="preserve">
每组织一次评审就记为一次，不区分正式评审和非正式评审</t>
        </r>
      </text>
    </comment>
    <comment ref="J28" authorId="0" shapeId="0" xr:uid="{00000000-0006-0000-0E00-000004000000}">
      <text>
        <r>
          <rPr>
            <b/>
            <sz val="9"/>
            <rFont val="宋体"/>
            <family val="3"/>
            <charset val="134"/>
          </rPr>
          <t>gta:</t>
        </r>
        <r>
          <rPr>
            <sz val="9"/>
            <rFont val="宋体"/>
            <family val="3"/>
            <charset val="134"/>
          </rPr>
          <t xml:space="preserve">
文档页数仅统计正文的页数即可</t>
        </r>
      </text>
    </comment>
    <comment ref="A55" authorId="0" shapeId="0" xr:uid="{00000000-0006-0000-0E00-000005000000}">
      <text>
        <r>
          <rPr>
            <b/>
            <sz val="9"/>
            <rFont val="宋体"/>
            <family val="3"/>
            <charset val="134"/>
          </rPr>
          <t>gta:</t>
        </r>
        <r>
          <rPr>
            <sz val="9"/>
            <rFont val="宋体"/>
            <family val="3"/>
            <charset val="134"/>
          </rPr>
          <t xml:space="preserve">
每组织一次评审就记为一次，不区分正式评审和非正式评审</t>
        </r>
      </text>
    </comment>
    <comment ref="J55" authorId="0" shapeId="0" xr:uid="{00000000-0006-0000-0E00-000006000000}">
      <text>
        <r>
          <rPr>
            <b/>
            <sz val="9"/>
            <rFont val="宋体"/>
            <family val="3"/>
            <charset val="134"/>
          </rPr>
          <t>gta:</t>
        </r>
        <r>
          <rPr>
            <sz val="9"/>
            <rFont val="宋体"/>
            <family val="3"/>
            <charset val="134"/>
          </rPr>
          <t xml:space="preserve">
文档页数仅统计正文的页数即可</t>
        </r>
      </text>
    </comment>
    <comment ref="A80" authorId="0" shapeId="0" xr:uid="{00000000-0006-0000-0E00-000007000000}">
      <text>
        <r>
          <rPr>
            <b/>
            <sz val="9"/>
            <rFont val="宋体"/>
            <family val="3"/>
            <charset val="134"/>
          </rPr>
          <t>gta:</t>
        </r>
        <r>
          <rPr>
            <sz val="9"/>
            <rFont val="宋体"/>
            <family val="3"/>
            <charset val="134"/>
          </rPr>
          <t xml:space="preserve">
每组织一次评审就记为一次，不区分正式评审和非正式评审</t>
        </r>
      </text>
    </comment>
    <comment ref="A103" authorId="0" shapeId="0" xr:uid="{00000000-0006-0000-0E00-000008000000}">
      <text>
        <r>
          <rPr>
            <b/>
            <sz val="9"/>
            <rFont val="宋体"/>
            <family val="3"/>
            <charset val="134"/>
          </rPr>
          <t>gta:</t>
        </r>
        <r>
          <rPr>
            <sz val="9"/>
            <rFont val="宋体"/>
            <family val="3"/>
            <charset val="134"/>
          </rPr>
          <t xml:space="preserve">
每组织一次走查就记为一次</t>
        </r>
      </text>
    </comment>
    <comment ref="A131" authorId="0" shapeId="0" xr:uid="{00000000-0006-0000-0E00-000009000000}">
      <text>
        <r>
          <rPr>
            <b/>
            <sz val="9"/>
            <rFont val="宋体"/>
            <family val="3"/>
            <charset val="134"/>
          </rPr>
          <t>gta:</t>
        </r>
        <r>
          <rPr>
            <sz val="9"/>
            <rFont val="宋体"/>
            <family val="3"/>
            <charset val="134"/>
          </rPr>
          <t xml:space="preserve">
每组织一次评审就记为一次，不区分正式评审和非正式评审</t>
        </r>
      </text>
    </comment>
    <comment ref="J131" authorId="0" shapeId="0" xr:uid="{00000000-0006-0000-0E00-00000A000000}">
      <text>
        <r>
          <rPr>
            <b/>
            <sz val="9"/>
            <rFont val="宋体"/>
            <family val="3"/>
            <charset val="134"/>
          </rPr>
          <t>gta:</t>
        </r>
        <r>
          <rPr>
            <sz val="9"/>
            <rFont val="宋体"/>
            <family val="3"/>
            <charset val="134"/>
          </rPr>
          <t xml:space="preserve">
文档页数仅统计正文的页数即可</t>
        </r>
      </text>
    </comment>
    <comment ref="A154" authorId="0" shapeId="0" xr:uid="{00000000-0006-0000-0E00-00000B000000}">
      <text>
        <r>
          <rPr>
            <b/>
            <sz val="9"/>
            <rFont val="宋体"/>
            <family val="3"/>
            <charset val="134"/>
          </rPr>
          <t>gta:</t>
        </r>
        <r>
          <rPr>
            <sz val="9"/>
            <rFont val="宋体"/>
            <family val="3"/>
            <charset val="134"/>
          </rPr>
          <t xml:space="preserve">
每组织一次评审就记为一次，不区分正式评审和非正式评审</t>
        </r>
      </text>
    </comment>
    <comment ref="J154" authorId="0" shapeId="0" xr:uid="{00000000-0006-0000-0E00-00000C000000}">
      <text>
        <r>
          <rPr>
            <b/>
            <sz val="9"/>
            <rFont val="宋体"/>
            <family val="3"/>
            <charset val="134"/>
          </rPr>
          <t>gta:</t>
        </r>
        <r>
          <rPr>
            <sz val="9"/>
            <rFont val="宋体"/>
            <family val="3"/>
            <charset val="134"/>
          </rPr>
          <t xml:space="preserve">
文档页数仅统计正文的页数即可</t>
        </r>
      </text>
    </comment>
    <comment ref="A180" authorId="0" shapeId="0" xr:uid="{00000000-0006-0000-0E00-00000D000000}">
      <text>
        <r>
          <rPr>
            <b/>
            <sz val="9"/>
            <rFont val="宋体"/>
            <family val="3"/>
            <charset val="134"/>
          </rPr>
          <t>gta:</t>
        </r>
        <r>
          <rPr>
            <sz val="9"/>
            <rFont val="宋体"/>
            <family val="3"/>
            <charset val="134"/>
          </rPr>
          <t xml:space="preserve">
每组织一次评审就记为一次，不区分正式评审和非正式评审</t>
        </r>
      </text>
    </comment>
    <comment ref="J180" authorId="0" shapeId="0" xr:uid="{00000000-0006-0000-0E00-00000E000000}">
      <text>
        <r>
          <rPr>
            <b/>
            <sz val="9"/>
            <rFont val="宋体"/>
            <family val="3"/>
            <charset val="134"/>
          </rPr>
          <t>gta:</t>
        </r>
        <r>
          <rPr>
            <sz val="9"/>
            <rFont val="宋体"/>
            <family val="3"/>
            <charset val="134"/>
          </rPr>
          <t xml:space="preserve">
文档页数仅统计正文的页数即可</t>
        </r>
      </text>
    </comment>
    <comment ref="A207" authorId="0" shapeId="0" xr:uid="{00000000-0006-0000-0E00-00000F000000}">
      <text>
        <r>
          <rPr>
            <b/>
            <sz val="9"/>
            <rFont val="宋体"/>
            <family val="3"/>
            <charset val="134"/>
          </rPr>
          <t>gta:</t>
        </r>
        <r>
          <rPr>
            <sz val="9"/>
            <rFont val="宋体"/>
            <family val="3"/>
            <charset val="134"/>
          </rPr>
          <t xml:space="preserve">
每组织一次评审就记为一次，不区分正式评审和非正式评审</t>
        </r>
      </text>
    </comment>
    <comment ref="A232" authorId="0" shapeId="0" xr:uid="{00000000-0006-0000-0E00-000010000000}">
      <text>
        <r>
          <rPr>
            <b/>
            <sz val="9"/>
            <rFont val="宋体"/>
            <family val="3"/>
            <charset val="134"/>
          </rPr>
          <t>gta:</t>
        </r>
        <r>
          <rPr>
            <sz val="9"/>
            <rFont val="宋体"/>
            <family val="3"/>
            <charset val="134"/>
          </rPr>
          <t xml:space="preserve">
每组织一次走查就记为一次</t>
        </r>
      </text>
    </comment>
    <comment ref="A263" authorId="0" shapeId="0" xr:uid="{00000000-0006-0000-0E00-000011000000}">
      <text>
        <r>
          <rPr>
            <b/>
            <sz val="9"/>
            <rFont val="宋体"/>
            <family val="3"/>
            <charset val="134"/>
          </rPr>
          <t>gta:</t>
        </r>
        <r>
          <rPr>
            <sz val="9"/>
            <rFont val="宋体"/>
            <family val="3"/>
            <charset val="134"/>
          </rPr>
          <t xml:space="preserve">
每组织一次评审就记为一次，不区分正式评审和非正式评审</t>
        </r>
      </text>
    </comment>
    <comment ref="J263" authorId="0" shapeId="0" xr:uid="{00000000-0006-0000-0E00-000012000000}">
      <text>
        <r>
          <rPr>
            <b/>
            <sz val="9"/>
            <rFont val="宋体"/>
            <family val="3"/>
            <charset val="134"/>
          </rPr>
          <t>gta:</t>
        </r>
        <r>
          <rPr>
            <sz val="9"/>
            <rFont val="宋体"/>
            <family val="3"/>
            <charset val="134"/>
          </rPr>
          <t xml:space="preserve">
文档页数仅统计正文的页数即可</t>
        </r>
      </text>
    </comment>
    <comment ref="A286" authorId="0" shapeId="0" xr:uid="{00000000-0006-0000-0E00-000013000000}">
      <text>
        <r>
          <rPr>
            <b/>
            <sz val="9"/>
            <rFont val="宋体"/>
            <family val="3"/>
            <charset val="134"/>
          </rPr>
          <t>gta:</t>
        </r>
        <r>
          <rPr>
            <sz val="9"/>
            <rFont val="宋体"/>
            <family val="3"/>
            <charset val="134"/>
          </rPr>
          <t xml:space="preserve">
每组织一次评审就记为一次，不区分正式评审和非正式评审</t>
        </r>
      </text>
    </comment>
    <comment ref="J286" authorId="0" shapeId="0" xr:uid="{00000000-0006-0000-0E00-000014000000}">
      <text>
        <r>
          <rPr>
            <b/>
            <sz val="9"/>
            <rFont val="宋体"/>
            <family val="3"/>
            <charset val="134"/>
          </rPr>
          <t>gta:</t>
        </r>
        <r>
          <rPr>
            <sz val="9"/>
            <rFont val="宋体"/>
            <family val="3"/>
            <charset val="134"/>
          </rPr>
          <t xml:space="preserve">
文档页数仅统计正文的页数即可</t>
        </r>
      </text>
    </comment>
    <comment ref="A312" authorId="0" shapeId="0" xr:uid="{00000000-0006-0000-0E00-000015000000}">
      <text>
        <r>
          <rPr>
            <b/>
            <sz val="9"/>
            <rFont val="宋体"/>
            <family val="3"/>
            <charset val="134"/>
          </rPr>
          <t>gta:</t>
        </r>
        <r>
          <rPr>
            <sz val="9"/>
            <rFont val="宋体"/>
            <family val="3"/>
            <charset val="134"/>
          </rPr>
          <t xml:space="preserve">
每组织一次评审就记为一次，不区分正式评审和非正式评审</t>
        </r>
      </text>
    </comment>
    <comment ref="J312" authorId="0" shapeId="0" xr:uid="{00000000-0006-0000-0E00-000016000000}">
      <text>
        <r>
          <rPr>
            <b/>
            <sz val="9"/>
            <rFont val="宋体"/>
            <family val="3"/>
            <charset val="134"/>
          </rPr>
          <t>gta:</t>
        </r>
        <r>
          <rPr>
            <sz val="9"/>
            <rFont val="宋体"/>
            <family val="3"/>
            <charset val="134"/>
          </rPr>
          <t xml:space="preserve">
文档页数仅统计正文的页数即可</t>
        </r>
      </text>
    </comment>
    <comment ref="A339" authorId="0" shapeId="0" xr:uid="{00000000-0006-0000-0E00-000017000000}">
      <text>
        <r>
          <rPr>
            <b/>
            <sz val="9"/>
            <rFont val="宋体"/>
            <family val="3"/>
            <charset val="134"/>
          </rPr>
          <t>gta:</t>
        </r>
        <r>
          <rPr>
            <sz val="9"/>
            <rFont val="宋体"/>
            <family val="3"/>
            <charset val="134"/>
          </rPr>
          <t xml:space="preserve">
每组织一次评审就记为一次，不区分正式评审和非正式评审</t>
        </r>
      </text>
    </comment>
    <comment ref="A364" authorId="0" shapeId="0" xr:uid="{00000000-0006-0000-0E00-000018000000}">
      <text>
        <r>
          <rPr>
            <b/>
            <sz val="9"/>
            <rFont val="宋体"/>
            <family val="3"/>
            <charset val="134"/>
          </rPr>
          <t>gta:</t>
        </r>
        <r>
          <rPr>
            <sz val="9"/>
            <rFont val="宋体"/>
            <family val="3"/>
            <charset val="134"/>
          </rPr>
          <t xml:space="preserve">
每组织一次走查就记为一次</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Windows 用户</author>
    <author>gta</author>
  </authors>
  <commentList>
    <comment ref="I17" authorId="0" shapeId="0" xr:uid="{00000000-0006-0000-0F00-000001000000}">
      <text>
        <r>
          <rPr>
            <b/>
            <sz val="9"/>
            <rFont val="宋体"/>
            <family val="3"/>
            <charset val="134"/>
          </rPr>
          <t>EPG:</t>
        </r>
        <r>
          <rPr>
            <sz val="9"/>
            <rFont val="宋体"/>
            <family val="3"/>
            <charset val="134"/>
          </rPr>
          <t xml:space="preserve">
此处取测试报告中遗留缺陷数</t>
        </r>
      </text>
    </comment>
    <comment ref="K17" authorId="1" shapeId="0" xr:uid="{00000000-0006-0000-0F00-000002000000}">
      <text>
        <r>
          <rPr>
            <b/>
            <sz val="9"/>
            <rFont val="宋体"/>
            <family val="3"/>
            <charset val="134"/>
          </rPr>
          <t>gta:</t>
        </r>
        <r>
          <rPr>
            <sz val="9"/>
            <rFont val="宋体"/>
            <family val="3"/>
            <charset val="134"/>
          </rPr>
          <t xml:space="preserve">
遗留缺陷率</t>
        </r>
      </text>
    </comment>
    <comment ref="G34" authorId="1" shapeId="0" xr:uid="{00000000-0006-0000-0F00-000003000000}">
      <text>
        <r>
          <rPr>
            <b/>
            <sz val="9"/>
            <rFont val="宋体"/>
            <family val="3"/>
            <charset val="134"/>
          </rPr>
          <t>gta:</t>
        </r>
        <r>
          <rPr>
            <sz val="9"/>
            <rFont val="宋体"/>
            <family val="3"/>
            <charset val="134"/>
          </rPr>
          <t xml:space="preserve">
测试轮次定义：成功转测试的轮次，包括回归测试</t>
        </r>
      </text>
    </comment>
    <comment ref="I99" authorId="0" shapeId="0" xr:uid="{00000000-0006-0000-0F00-000004000000}">
      <text>
        <r>
          <rPr>
            <b/>
            <sz val="9"/>
            <rFont val="宋体"/>
            <family val="3"/>
            <charset val="134"/>
          </rPr>
          <t>EPG:</t>
        </r>
        <r>
          <rPr>
            <sz val="9"/>
            <rFont val="宋体"/>
            <family val="3"/>
            <charset val="134"/>
          </rPr>
          <t xml:space="preserve">
此处取测试报告中遗留缺陷数</t>
        </r>
      </text>
    </comment>
    <comment ref="K99" authorId="1" shapeId="0" xr:uid="{00000000-0006-0000-0F00-000005000000}">
      <text>
        <r>
          <rPr>
            <b/>
            <sz val="9"/>
            <rFont val="宋体"/>
            <family val="3"/>
            <charset val="134"/>
          </rPr>
          <t>gta:</t>
        </r>
        <r>
          <rPr>
            <sz val="9"/>
            <rFont val="宋体"/>
            <family val="3"/>
            <charset val="134"/>
          </rPr>
          <t xml:space="preserve">
遗留缺陷率</t>
        </r>
      </text>
    </comment>
    <comment ref="G116" authorId="1" shapeId="0" xr:uid="{00000000-0006-0000-0F00-000006000000}">
      <text>
        <r>
          <rPr>
            <b/>
            <sz val="9"/>
            <rFont val="宋体"/>
            <family val="3"/>
            <charset val="134"/>
          </rPr>
          <t>gta:</t>
        </r>
        <r>
          <rPr>
            <sz val="9"/>
            <rFont val="宋体"/>
            <family val="3"/>
            <charset val="134"/>
          </rPr>
          <t xml:space="preserve">
测试轮次定义：成功转测试的轮次，包括回归测试</t>
        </r>
      </text>
    </comment>
    <comment ref="I181" authorId="0" shapeId="0" xr:uid="{00000000-0006-0000-0F00-000007000000}">
      <text>
        <r>
          <rPr>
            <b/>
            <sz val="9"/>
            <rFont val="宋体"/>
            <family val="3"/>
            <charset val="134"/>
          </rPr>
          <t>EPG:</t>
        </r>
        <r>
          <rPr>
            <sz val="9"/>
            <rFont val="宋体"/>
            <family val="3"/>
            <charset val="134"/>
          </rPr>
          <t xml:space="preserve">
此处取测试报告中遗留缺陷数</t>
        </r>
      </text>
    </comment>
    <comment ref="K181" authorId="1" shapeId="0" xr:uid="{00000000-0006-0000-0F00-000008000000}">
      <text>
        <r>
          <rPr>
            <b/>
            <sz val="9"/>
            <rFont val="宋体"/>
            <family val="3"/>
            <charset val="134"/>
          </rPr>
          <t>gta:</t>
        </r>
        <r>
          <rPr>
            <sz val="9"/>
            <rFont val="宋体"/>
            <family val="3"/>
            <charset val="134"/>
          </rPr>
          <t xml:space="preserve">
遗留缺陷率</t>
        </r>
      </text>
    </comment>
    <comment ref="G198" authorId="1" shapeId="0" xr:uid="{00000000-0006-0000-0F00-000009000000}">
      <text>
        <r>
          <rPr>
            <b/>
            <sz val="9"/>
            <rFont val="宋体"/>
            <family val="3"/>
            <charset val="134"/>
          </rPr>
          <t>gta:</t>
        </r>
        <r>
          <rPr>
            <sz val="9"/>
            <rFont val="宋体"/>
            <family val="3"/>
            <charset val="134"/>
          </rPr>
          <t xml:space="preserve">
测试轮次定义：成功转测试的轮次，包括回归测试</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作者</author>
  </authors>
  <commentList>
    <comment ref="Q3" authorId="0" shapeId="0" xr:uid="{00000000-0006-0000-1000-000001000000}">
      <text>
        <r>
          <rPr>
            <b/>
            <sz val="9"/>
            <rFont val="宋体"/>
            <family val="3"/>
            <charset val="134"/>
          </rPr>
          <t>其他角色或管理员</t>
        </r>
      </text>
    </comment>
    <comment ref="F60" authorId="0" shapeId="0" xr:uid="{00000000-0006-0000-1000-000002000000}">
      <text>
        <r>
          <rPr>
            <sz val="9"/>
            <rFont val="宋体"/>
            <family val="3"/>
            <charset val="134"/>
          </rPr>
          <t xml:space="preserve">从A项目调到B项目
</t>
        </r>
      </text>
    </comment>
  </commentList>
</comments>
</file>

<file path=xl/sharedStrings.xml><?xml version="1.0" encoding="utf-8"?>
<sst xmlns="http://schemas.openxmlformats.org/spreadsheetml/2006/main" count="2637" uniqueCount="872">
  <si>
    <t>Crystal Ball Data</t>
  </si>
  <si>
    <t>Workbook Variables</t>
  </si>
  <si>
    <t>Last Var Column</t>
  </si>
  <si>
    <t xml:space="preserve">    Name:</t>
  </si>
  <si>
    <t xml:space="preserve">    Value:</t>
  </si>
  <si>
    <t>Worksheet Data</t>
  </si>
  <si>
    <t>Last Data Column Used</t>
  </si>
  <si>
    <t>Sheet Ref</t>
  </si>
  <si>
    <t>Sheet Guid</t>
  </si>
  <si>
    <t>420f52c2-b41f-4b27-a52a-cc0b293d1261</t>
  </si>
  <si>
    <t>22ba3f85-7e8f-4130-9ce2-8ab8e9a150b6</t>
  </si>
  <si>
    <t>39a090d0-0b29-4b82-a842-65d2caced056</t>
  </si>
  <si>
    <t>Deleted sheet count</t>
  </si>
  <si>
    <t>Last row used</t>
  </si>
  <si>
    <t>Data blocks</t>
  </si>
  <si>
    <t>CB_Block_0</t>
  </si>
  <si>
    <t>CB_Block_7.0.0.0:2</t>
  </si>
  <si>
    <t>㜸〱敤㕣㕢㙣ㅣ㔷ㄹ摥㌳摥㔹敦慣敤搸㡤搳㑢㑡㘹㑤㑢㕢愸㠳ㅢ愷つ愵㐰㌰扥㌴㤷攲挴㙥散愴㈰㉥㥢昱敥㤹㜸㥡㥤ㄹ㜷㘶搶㠹㑢愵㔶㔰㙥㠲㠲搴〲愲㔰㉥慡㄰ㄲ㉦㕣㕥戸扦㈰㈱㠱㔰㤱㤰㠰〷㈴㠴ち㐲昰〰㐲ㄱ扣㈰㠱〴摦㜷㘶㘶㜷㜶搷㍢㜶户㉤戸挸愷摤摦㘷捥㙤捥㌹晦昵晣晦㤹攴㐴㉥㤷晢㌷ㄲ晦㌲攵㤹戹㙥㘹㈳〸愵㌳㌱敢搵㙡戲ㄲ摡㥥ㅢ㑣㑣晢扥戹㌱㙦〷㘱ㅦㅡㄴ捡㌶敡〳扤ㅣ搸て挹㘲㜹㕤晡〱ㅡ改戹㕣戱㘸㘸愸攷㈰晣㡤㈴て〶㝢つ收〱㤶㘷㘷ㄶ㔶ㅥ挰愸㑢愱攷换〳㘳㘷愳扥㐷㈶㈷㈷㈶㈷敥㥣㍣㜸㜰攲攰㠱戱搹㝡㉤慣晢昲㠸㉢敢愱㙦搶づ㡣㉤搶㔷㙡㜶攵㙤㜲㘳搹扢㈰摤㈳㜲攵攰ㅤ㉢收㥤㙦㤸扣昳昰㘱敢敥扢摦㌰㠸㔷攷㑥捤捥㉣晡搲ち㕥愴㌱㜵㑥昹捥㌹㔹戱戹㌶㈹㝤摢㍤㍦㌱㍢㠳晦㔳昳挷搳㕤ㄳ㑢慢㔲㠶㝣戵昴愵㕢㤱㠱㠱㡥〳捥㜴㄰搴㥤㌵㙥㥥攱ㅣ挵㔲㉢㘶㄰敡捥慣慣搵っ㈷ㄹ戵攸㉣㘰敦㙡收挶愰戳㈴摤挰づ敤㜵㍢摣㈸㌸换ㄸ愸㍡攴㥣〹攴㘹搳㍤㉦㑦㤹㡥搴㥤㘳㜵扢㥡㡦㔲慥敦搶㘴㠸昴挴搴昲㈷愶〳㘷㜶搵昴搵㡣〲㙥㑣㐶摢愳㝥愵戵敤㑤摤挷攵搴搵ㅢ㌸收捤摤摢愱收慣改㌷㕡㡥㜷㙦ㄹ㉦扥㜵〶户㜷㙦㥦摡愳搶㍥慦敤摥㐷㙤㘵㙢㙢㌱㄰搳户摡㔱㉣挶㈸㄰昴ㄳㄴ〹㠸㐰愳㐴㌰㐰㌰〸㈰昲㝦〷㤷愴㍢戲㑡㉢㥢㕡㜹㐵㉢㔷戴㜲㔵㉢㑢慤㙣㘹攵昳㕡㜹㔵㉢摢㕡昹〱慤㝣〱㙤㤲㔴散敦搷攲昴攴㌵扦㤸晡攷㙦㙦㤹晦摡㝢晥㌶戹㜲攳攳㥦ㄹ摣㠳㐶昷挵㤳㥡昳捤㡢㈰戵㈶ㄵㅦ㥡〰㑦㙣㠷㉢挰ㄴ搶㘱敢㉥㙢㜲戲㝡昸愰㜹㠷愹㜳㔹ㄹ挸㙦㈱㤴ㄱ戴ㅤ戴敥户摤慡㜷㔱攱敥扡ㄹ㌳㤰捤㡤ㅢ㡦敢㘶扣扡㕢つ㕥戱㜹攵㔲㘸㠶昲摡昶扡收㈰ㅤ摤㤶挰㔶㌲㔰敦扢扥扤摢㔹戳㔶㤷搳㤷散愸晡㤵㙤搵捥愲敦慤㜴慦㍤敡换〷ㅢ戵ㅤ㌳㥡㠶㔰㕢㔷㘳㜷慣㌲慡㡡收㌵㌶扢敡〵搲㔵搳ㅢ㜷ㄶ敤捡〵改㉦㐹㡡㐴㔹㔵㑢扤㤲㔵㌱搷㡦㉦戸㔸㈸戸戵㝡㘳扡搴扡攷㔲〸㘶㤶㔵捣㜷㑤晡攱挶戲戹㔲㤳㔷戵㌴㠹摥㠹㡡晤㉤挵㐷扤㑡㍤㤸昵摣搰昷㙡慤㌵搳搵㜵ㄳ㤲愶㝡搲慢捡㝣㍥愷㠴〲〴㙥㕦㥦㄰戹摢扡昳㠲㐲㐴ち挵㘴攴㙢㕡挹㙥攲㌴㔶㠷㔵搴㈴㘹㔲㝢昵ㄶ㠳㜱扥㑡挶㘴㜰㘰㙡㑤搴ㅦ㝣改㙢戶ㄸ戶㠱戹㤷戶戱愶㡤挶慢扦㘷㕤扡攱㜱搳慤搶愴㥦愹晤〴㘷㘴っ〳攸㤷㈱㄰扡敥ㅥ㔵㥤戸㈴㌶昴㡢㜶㌵㕣㉤慣㑡晢晣㙡㠸㌲㘸挸㘲㤱㕢摢㤱㡣㉢㔰㘴散㈵ㄸ〵㈸㤵㜲㠵㝤㙣㔴㈸㈱攵㜴㑡愷っ㕥㙥ㄱ攴散搷挲换㠳搶㔱扢ㄶ捡㐸㈸て㕢挰㐸愴搵ㄴ晡㠶㐸愲扥㔹㠹ㄴ挶㍥㙢ㄶ㔴㙡摡㙥戸搱攴摢づ㉥㠹㠸㘸㔷ㄶ散㌸㔹㐰㔱搰㉡て㌲㜸つ㐴搳㈶つ戲ㅢ愷㠸㠸㙣㤰愱搹㌱㜲㉢㤱戱㝤㠶㡣㐰晢㌴ㄱ戲昵挱敥㌲㠲挴摥㐹愴散搴㤵ㅦ㜷愵搹㘶戶㝣㈴捤慥挴挶ㄹ㔷ㄱ㕣㑤㜰つ挱㝥〰昱㐷㐸㌸㑡㌹攴㕢㤳昱ち㍣ㅢ搷ㄱ扣ㄲ〰昲挹愰捣㠹㐵ㄵ㙤愸敤搸㤱㙣㌷〴㍢㔹ㄹ挵㤱㈸愲㘵摣戰㌳㠷ㅣ㠵攸搸敡摣ㄹ扡㌶慦㜴散㉤摤㘹㌳扤ㅣ㔲㘴㐶搳昴㕡户㘸㥡摥〸㌶敤㔱㙦摤㠰慥挶ㄸ挱慢〰㑡挶㡤㠴㔰㉥㌴㜸户㘷搱搳愴㝣㔹㤸㐵㤱㌱搴愳㠲㡦〹㤹㐷㠰っ㈱搷㜱㝣搹戵愱㘹づ㡥㕢㉦㝢ㅢ晡㐰㜷晥㡥㤱摥愶㌷㜷昵づ晤㐵捦搳㡡扥〹散㈵㝥搳㔵挷摣㡣㙡攳ㄶ㠲㕢〱摡㜴っ㑦摦捦搷㔳愰捣㘲㈷㠵戹扤昴扡㈸㉢㜷㜹㘳㑤㉡つ㌴㘸㉤㥢晥㜹ㄹ挲㠳㜱㘲づ戶戰攷晢戲㠶㐳㙤㔵ㄵ昰晣㜲㜵㙢㘱㜰搴昷ㅣ㤶敦摡挸挱换㐲㌱攴昳㕡㕦慥捤㐶捥戰㌵㔳㍥愷ㄴ攵㔰〷摦搱㕤㐸愴㍡戵㤲ㄷ晢㘵㥦㉦㜷㈵㐹て㤲攴戵搸㔶攳㌶〰㐸〹昱慢慥ㄲ攵〰㥢扤㑥㌵㙢戵㔸改攱换㌸㥤戴昹㄰㍢攴挸㐰攴戰㥤㠱晦㈰ㄸ㜲㤶㙣愷㈱㉣〶㥣㐵改㔷攰㕢戰㙢戲ㄴ戹㘵㈹㙡㜶㘵挵换㐴㔶昴昵㜵㥣愷㌳晣㙢㡡㑥摡愴㐴㈶户㘷㔶㘶㥣挵㥢㐴㐵㌷㈴㠵㑡㠶㙢愸㈱㠱㐸㜹㙣扢㉢㘲㝡㄰㌱户㘳攳㡣㠳〴㤳〴㠷〰昴㥦㐱搲㙣㜷攳ㄹづ敢㕦愷㑢扢㕣捥ㄵ㠹〶攵㈲㝣戶慢戰㍡捣搷扣㥥攰㉥㠰㌶昳㠷づ挸っ㐲㔴㈸㑦ㄱ愲ち㘳㔸㘷㙤㜹㤱㌴戰挷㐲㘰㘹戶ㅥ㠴㥥挳挸搲㤰㌵攷㥤昲挲㌹㍢㔸㐳㈴㙡搴㡡㌳昷慦㑡ㄷ搴攵挳昶㘹㉢昳搶搶㘴搵戰㤶扣㍡㐴摢㠹戹㥤㜰㌰挷㜶挰㤶㔴㘷㜳㑤㈰昵㜶㍥挶㄰〲㍢慤晣慤昴挶㙥换晢捤㐳摦㜰㜳㐷㤷敤戰㈶〷慣㠸改㤸㉦㕡搸㐵㐴づ慡晤搶昲慡㉦攵摣㤰㜵捣户慢㌵摢㤵㐴〶㙣㑣〶敢收攵㜹㐴〹ㄶ㍤挶〰㍤㜷挸㕡昶㑤㌷㔸㌳ㄹ㔰摣搸摢昲愴挲㈲扡㌵㘳扢〱㕥愳戰挸晣戰戵戴敡㕤㐴挴戶敥戸挷捣戵㘰㐷㘰㠵㐴ㅦ㈵㠵ㅡ愱〹㑤ㄳ㐵慤搸㉢㝥㜸㈰捦攵挸㝢㜹〲㠵慢㥣㑥㥦㜹㠶昶愶㕤ㅦ挷㘸㘸愷㜳㑥㠳㠸ㅥ㌵ち晢㌲愵㌰㌹搵戸㥢㝤摥〸㜰敦戱㌳㈷㥡㤱戹ㄷㄴ戳搶改攵捦㤰昱㡡㉣ㅡ㠱㄰晡攸昶㐴愴挲㌲㔲づ㌸㄰ㄸ攷㔳㍢昹㤵㉣搵㠶搴户愷㤹㍤㡡㐸搲愰㌵㙦慥挸ㅡ攲搱㡥ㄹ敥㠹ㅥ㘸挶㍡㘶㉤㠸敢㘶㍤挷㌱㐹㕡㈴换愵㡡㐹ち㥥慥㠷摥㐹摢㌵㉣〰㐵㝦㜱㤱㜹〹㐵收㈵㔵㌴㘸㥤㘶㘸㔰攵㌹㤶㜷摥昴敤㜰搵戱㉢㐵㍥㌰㝣户㈳㘸ㄲ㑣㑥挹㥢愴㐴㘶㡣戵㔹昳㘷㘰戲〵ㄳ㐰昷〴攴㈸户㡥攸〷攵㙡愲㠰晦㐴㡦㡥㈵〸ㄸ攵㈹㌵摥㡣搱㜴㜵㍢〲㈲㐷愵换挹ㅤ㡣换㡦愰㈴ㄲ㐲挴㝡〶㠹挰㉢㤸ㄲ昲㜴㜱ㄷ慣㌳慥ㅤ〲㝢挴搸㔱㍢㥣ぢ㠰㜲〰㘴搵昱昶㕡㠵搵㔴愷昱㠶㔶戸愱戳慡㐵㑤㕣摦㔹㥦搶ㅢ慦摥愴㍡搲㈸㈹㐵戲㔵㈳愵㔹㌶㤹攳㑥㔲㌵㐲㈹敥㐴摢㠸㉣户㘹㜳摦㈹㐵㕥㠰㘲㔲㌴㤳㌳摥愲〸〵㠱摥㔸㐷搱㘷㥦㑤ㅥ愹㠸つ㙤㠰ㄲ昵㔴㔴㌶ㄴ㠷〴㑦攰摡㐹㔵㤶攲㈷昰昷㥥㌸扢㔰て㕢㙡捣㑢愳㜱捤㜴慤戶攰挲㑡愸㤸㝥㜵㠷戰㌴搶ㄶ㘹ㄸ挵㥤扤㙡晦㘸㝢㔳㡣ㄸ戳㈱挳㈲ㄹ㝥㘰戰㈱㤸㉢ㄵ㔱愵㜵㌶挴慤㙥ㄴㄷ昹㜴㔲㥡慥挲挰㔲㔸㥤㤳敢捡っ㙢㕡昲愳慡㐳攳戴愸攴愸㘱㑤慦〴㔰改㈱攵㜸㥣㔳っ㙥㔸愷改㤶挲㈵〶㠸摤㌸户㔸〹ㄱ摡㙤っ挰㤳挱捥挱づ㜶㈴ち㥤搰㍡愳〴㉤㘴㄰㙥敢㈲挸㍢㍤㘲ㄴ㠲搴㔲改慦㔳攲戳㑦㌱㝤㜵㉡㤷㘴㘲㈶㘲戸㉢挳㝡〰㜲搳㤱㐹㜲搱㘸ㄲ㌰㡦㈴㥢ㄲ㕡㠳㐹ㄹ㑤㡣㈱㥡㝣㝥㠸㕢㍣㡣㘵つ㤳㙤㙡戸攷ㄶ摡搰愶戵㡤㍤搶〹户㔲慢㔷愵㔲挵㠹慣㔶ㅡ㜹㐷攰㑢㕤〱㡣戸㈹㘳㕦攲㑤㌹㠱愳ㄴ㤷㑣㈴昵㙥㜷ㅢ㔳攸慥㠴ㅣ挶㠸㔴ㅦ〳㤰ㄹ㙥㌹ㄵ㄰敢戸愷㐰晢㜰㙦昳〲㠳扡㍣〷㤱搶㔱㐴㔹㌶㡦晢㜸㡤㈸戲攲戶㔴戳㜹㙦摥愳捤㥥㉡㍡㙥㐷㐵㍢〲㐷㔸㘷㈴昰ち〵ㄸ㈳㍤㜲〷〷挹㕤㡥愳扢㤷ㅦ㔱㡦戹换㐰㠵挲㠰㘰㡣㤷愷愰ㅣ㜶ㄵ㡣㐴㠳㕢㙢㕡摤㠲搱㕦㕡摥挶㌴㠰㘰ㄸ㤸〶㉤㕡㐶〶捥㉣昲㕢ㅢ㌸㌷愰㔵㐶㠴㌴ㅤ㑣㘵㡣㜲ㄴづ㝢㈰つ摣挴㠳昴戲〷㈵ㄴ敥㔳ㄷ挳㤲扢㠹攳づ㡥㐰㥥㝦㔵㕢攱愲ㄹ攲晡㡢扢扦慤㜸扡㕡愵戹ぢ晦摣㡥挰㉡慥㙥㐴收攸扥戶㑢㔹㙡㑤戴敦㙥㙡慢㠸㉦ぢㅥ㥡㥢㌸㙥㠶㤵搵愵㜰㈳扡戸搵㉢㐹攸㍦㠰㍦㘲搳户搳㘶捥扢扣㠸扡捥扤㉦㕤㜰扤㡢慥㥡㤷ㅥ昰搶ㅦ㈸〴㔷㈸晢㌹挹㔲敥摦昸㑦㈵㉤愷㝦ㅦ㈳㙥㘷摡ㅣ愰改㈰攱㌸㉡㐵搲㘰っ昹っ㍡㠱敤摥戸㌵㐰㍡搹搷㐶㈷㑡㄰散ㄲ㡡㝢晥㐵㈳ㄴ昱㍤愰㤵挴ㄲㅤ挹戱攷㕦〱敢㡢敦愲㠴〸挷㜳㉣㐶昴㔷㈱㤷㠱㍡㈵挸攳㉢ㅥ扣㄰昲晦㠳愵㠴㥢㌷㘵愷晦〲㌳㡢敦戴愳攸㝡愲攸摢ㅤ㈸ㄲ扣〶愲昸昷㕥㘴㤲愴㌳㍣晢扣〲攱㕣搳敥〱昴㈵扦昰晢㍦㍣㠰捥挷挴愱㙣㌴㠴摡㙥挶㜳挳㐴攸敢㌰ㄱㄸ扣㔷㈶挲㐹㘴〴愳昸㤱㠹㄰晢㐰ㄶ㔰戰戵㠹挰搸㕥㠶㈱㤸ち戵愶摣ㅡ㍣㠱㕤攵搰㍦㜶ㅣㄷ㙦㘵㠰㜸㍥㤴㔶㌰ぢ㡦搴搵㥤挵㡢愶㙦㍡晢㔵昹㌱㕦㐲㤹昹换戸挹慤扡戰挷戵㥢搶愸㑥㥢昸㉡ㄲ㉦晢慥㍦㘵㝢昷搷㠱愹㈸㐵敥㝢㔱ㄴ㠵ㄷ攰㈹ㄱ㍣㌷攴摥扢敦㙢挷㝥昷搰㘳㔳扣慤ㄶ搳慡㝥ㅢ昲扤㠴散㘹㑦㈰愸㥢扡㈸㜲㈵㍦捣㌹㠹㑦㤴散戵㥡㥣㌱㝤㘵〵〵㠶㤳㘴㈳挲㑢ㄱ㘶㐴㝣㍢挱挴挴扤㠷挸挴㥣㘸㜳㜷慡て㥢㤴㡢㜰㈲㌵㜱攵搳㑢挲㠶愲慢㈲敢搱摡搴扦〱㔵昴㍣㈷搲㙡㈵昲搴挹㈴挴搷摢㜵摤㘱敡扡攸㈰挳戰㝦㈲愵㄰㝦㈰㠵愴て㌲扣㄰愰愴搴㘹㘴昴摢〱㌲㈲㙢敤㈱㕥晡〳㜶㠵㠰㙣㕣晡敢昱㈳ㄶ散㈲戰㤸昸攲㝢㍤搱搲ㄶ㑤㔴ㄳ㐳戵捡愶㔹㐲㐶ㅤ㕥㔸㌰㤹㤴㉥㈳㤳㈴晤㄰㜲摢㜶㐷昱㈵㐳㑥ㄴ㜸㡢ㄸ㕢㜷攸㙢㉢㌹昷戸㜵摣晣㠰㥥㈹㈸㠵攱敥㘵㌱づ愴㉡㐶ㄷ㌵㉤㐵㐵㠴挳㔱戶搱㘹㈰慥㠲捥㜲昷攳㔴㡡攰ㅦ扦ㄴ㘲晤㜸㜳攸㉢摢㙢愸攳摣㝥㉣㤰㍦搸㕦搷㘷㌰㌶摥㑡㡥㠱㠴摤㔶慢㘲㜴㍤晣っ扡㜰搱㌹㘱㌴戳敡㔹ㅣ挶㥦㠴戳晡戴づ晤捦攸戵攲慣戳散捤㌰㜶㡢晥㝦㍢ち戶搴晦㠲戱㌷㠵挸㜷挴ㄹ㍥攸㡣㥦㙣ㄹ戲攱㡥挰戳㡤攰㡤㍡ㄸㅢ㉡换㤰㜷㤴㕢挲挷慢㔱戵㤲攰昰㝢攵摢慦㐶㌴晡搲戶ㅤ攸㉡〰ㄹㅢ搲扦〲ㄱ搴戵㝦慢摣㑡㑥户㠵㜷愲攳扥㤳㜶挵昷〲捦ち挷㤶㄰昴ㅤ攳户㘷ㄶ㙣㥥㘹昱攵㜶愱㜶ㄳ㜶㘲昰摤攸㜳㙡〱〲晢㤴っ㕦慣㔸㈴㈳ぢ摢㡢㘴昰㍢愴㤱㔴㜸㠹摡㈱戸挲扡慦㙥搶昰改敡〲㝣㥤㈱㡢㜶㠴戲㡢㍣捥敤㌷㌴戸㜵戸愳昵㌶昸㠳㘴㙤〲挱㌱戵㠴㜷扥㥢晢摡扥〷慤㙤攳戵〵㙣搹㥢捦慤愴㍦〳㥣㙥敦㉤慤㈴挳㜷昲㡢攴㤲㔱㈶挴愵晤㈹晣摤扥㠳㤶愳㡤㠲捥攳て扡改〸ㅢ慦挱㝤戶㡤攸昷㌹㜴ㄵ搳〴昸ㄹ㘶㥣攱㠳愰㤷㡦慣㈸扥㠰㘵㤱〱㤰捦ㄵ㉡〰摤愹晡改捤愸㝡攴㕥昶㐴ㄲ㍣㘳㤰ㅣ㑢攲㜳㘸挸敤㡡㤶つ㤶攰戲㠵㍡㑢㈰㙦㈴㍤㤰捦〹㥥㈵搴㐴㍥㠳づ㡤㠹搸㈸敤㍥㤱㑦㙦㌶ㄱ㐱㉢㐰㉤㌴㍤晥㐸愲㐵㡣ㅡ慡つ㠷挰㈵昰〰㐶ㄲ㘵㌲㑣昹㐸愱㔳㠸㘲っ摦㈵㡡㤰㝥ㅥ晦㝤㙥敡㘷捦㌲晤㘵㑡㈸㠹㠸慡搶㔵㔰㈲慡㔵㝣㈲扤ちㅦ愵摤㔷昱昸㘶慢ㄸ愱戰攴㑣㡣㄰㘰愸㑦㤴昱㐷慤慡㡥っ㌷㤴㍦㜱㡥〰扦㤶㔹㡣㤸㈸㔱㝤㉦㈲㠳扥摣㜹搵敡ㄲ㌲㐹㕦㥤ㅢ㤱昱㤵㡦㌲㤴㜸㈳㤲㑥㥤㐲攴㤵㉤㐴敡戱攸挴敥搸ㅤ㈱㈴戰㈴㝥㌶摢㔵戶ㄷ㝡っ昵㡢て㈵㠸㌹㝥㍣昹㠴㑡㡢㠳㑦㈰㡣挸㌴㈵㈱㜱㈳挵〷㤳挶摦晣㔶搳㜷㡡ち㈴㔰㑦搴㤸〴愷ㅡ㝦㈰㘹㝣〸㥦㘷愹㌶㌹㕥㈵㘰㝡㉥㘹㑣挲㔴㡤ㅦ㑢ㅡ晦昹搰晥㐶攳㠴づ愳㤱㜵ㄲ㐹㠶搱慢㡥〱愹㑦戵㠷搱㕣户愸㐸〷慣愸㤸㈲㔴挵㤰㙢㑡㤵づ攲㔶㠸㡦㡦愵攷㜱挹〹㜷㐱㈰㙤愳㝦㌳攱〴㉥㍦捤㤹愱㠹㙦愱搷ㄱ㜵昶つ昵挴捥〵㙢挱㐷㐱扦㜵㈲挰攱慡扡愳㐸〴㜶㐱㍥摡摦㉤扣昳ㄹ㌶㘴㜳㍦㤲㘸㤹挶换㈴扤㘹ㄱㄵ㘱挹㡢昷㈵㤸捤㍤摡愴ㄹ攳ㄱ㈰〷㘲ㄲ㤰ㄹ攳㔱挰㈸㈲戳㡦〵㈳攴㝦挵摣敦㘳挵晢〹ㅥ〳㈸〹㌲㍢改愰昰〱㠰攱攴㕦慣ㄸ㕢㔷㡥ㄳ㑤㍣㤴扣㉣㑤㐶挶㠷搸攱挳〰㝤昰攳㡡㤸〸㑢挶㐷㔰㤲㝥㈹〵㠷㝡改㐷㔹昱㌱㠲挷〱㑡㍡㈷扢敤㕤攳㥡㝡㔴㘱ㅦ㐷㔷昱㈸〱㝥挶㈷攲っㅦ㜴敥挳㥢扡ㅢ捤㍣ㄳ㈷㕦昸㈳收搹昲㈹晦㍤昸㌴㝦㠳㡢敥挳扦㑣愲㉢ぢ㍦慦扤戱户戱挸〴㌴捥搵㙦つ㥢晤〲挶攱扡㥡愱ㄴ㡥㐸愵㔲搴ち㠲昸收㠲㠵㠷㌷昰㉤㐷㔴㠵㄰愴〱㔵攱挶ㄵ㔳㈸㌰㥥㘴㔳攲㤸㜸㌲㍥挹㈷愲㔶㙤攲愷攲っㅦ〴昱慡扡㍦㄰㜷㑦㕥㐸㕣慢ち扢敤㠵挴扦慡㔸㑤扦昰㈹づ愶㤰㠵㑣慢㔶㈲搲ㄴつ㝤づ㤹愱扥㘱捥敤㝥晣戴㑢愲㜲慥㝡敥摣㍦㠶昳㘳搷收摦晥搶挱愷㥥晢改敦㥦昸攵扢㡥晣改㕦㑦㍦晤换㍦㍣昱散扦㝥戰㜲攴挷捦㍣昳愳㝢扦昸散敦昷㕡㕦搲扥昵㡦昹㉦㍤㍣㜹攱攱〷慤㌳户ㅤ㝢昸ㅤて摣㌷戹㜸挵㜸㕦㕦㝦晦慤愳㍦戹收㌵㈳㡦㍥昸ㅤ昱挳㕦㕦敤ち戵㕣扣愰㜵ㅡ㕣戶㥡挶攷㤱挱㌴㌸攳㤷㜴ㅡ㕣慥摡愸㤵㜸愳㘶㔰㔰㠴㜳㠳ㄳ㔰ㄵ㘶㙢挵挰㝦〰㘴扥戳㘵</t>
  </si>
  <si>
    <t>㜸〱敤㕣〹㤸㕣㔵㤵慥㕢摤昵扡㙥昵㔶㈱慣㘱㐹〸ㅤ〸㜴㙣慡扡扢㝡挱戴㐹㉦㔹ㅡ戲㤱捥〲戲㌴慦慡摥㑢㡡搴ㄲ慡慡㐳挲㌸ㄲ〱㔱㕣㐰㤰攵㔳愲㄰昶㘵㘴㔱㘴㈰〲〲㍡挲㡣捣㝣㡡㡣㡡愳㝥ㄱ改㈶㈸㉡㌰㡣㌲㡡㘶晥晦扥昷慡㕦㉤摤㔹㠸㌳㤹敦昳㜵搷愹㝢捦㌹㜷㍢㜷㍢攷摣晢捡㈳㍣ㅥ捦㙥㍣晣收㔳捤挰㌱㐳㕢㜲㜹㈳搵搲㥦㐹㈶㡤㔸㍥㤱㐹攷㕡㝡戳㔹㝤换㤲㐴㉥㕦〵〶㙤㌸〱㝡捥㌷㥣㑢㕣㘲昸㠷㌷ㄹ搹ㅣ㤸㝣ㅥ㡦摦㉦扤愰搷搸㥦愰ㄳ㤱㑣㈵慢〹挰攵㤱ㅡ〱戹愴㥦㐰〲搴〵〰㔶昵昷㉤㡦㕥㠸㌲㠷昲㤹慣㌱㘷挶ㅡ㉢攷㥥㜰戸㈵摣搲ㅥづ㠵㕡㐲㜳㘶昴㡦㈴昳㈳㔹愳㈷㙤㡣攴戳㝡㜲捥㡣ㄵ㈳搱㘴㈲㜶㠶戱㘵㔵㘶㠳㤱敥㌱愲愱戶愸摥摥ㄵ㙥㡦㐴捣敥敥慥扡㕡攴扣慣扦㙦㐵搶㌰㜳〷㉡捦㍡收戹扣扦慦㘵㤹㤱㍦㔰㜹搶㈳㑦㘴㌹㤰㐹改㠹昴〱捡搴㐷挹㐷〶㡣㔸㠲㕤㘴ㄸ搹㐴㝡㕤ぢ慡㕤㈴㘸挴㍡㕢㝡㜳戹㤱搴㐶昶㜶扦㤱㑣慥㌴㑣搵㌵愹㠱㕣㝥㠵㥥㑤攵敡㔲㤴㥦㤱㌵搲㌱㈳搷㤰㕡戰㌹㘶㈴㙤挶㥣㍦戵㐶捦㉥搳㔳㐶㌵〳㡤㈹慢て〷攳㐶㍡㥦挸㙦愹㑦慤捥ㄹ㉢昵昴㍡㠳㉣扥搴愲㤱㐴㕣㔴㔷攳摦㔳㜵㔲愵㥡愹㡥㐲㝤㔲晤敢昵㙣㕥挵搸㠵攱㑡扣慥攱愲㕡㔱㔴㉦づ愹ㄹ㈵愹搸㘷㐳㠹搴ㄹ㐶㌶㙤㈴㔹〸㝢戲戹㠴㐹〹挸敡㠷㠲愴ち捤〱扦愸戵愷〸摢挲㔲戴〶㠰㘳㤷㘵戲㈹っ挸愵㠶㥥敥挱㔰㡤捣ㄹ捡挷〷㡣㑤っ㠷㍢㘴㈳㔸㘴㤰捣㔳〰愶㡥㕥㝤换攸㤷㍦摤晣晡戶慤㘳て㕦戶敢敥㉢挶㙥㝤㐲ㅥ㐲㤶愹〰愲晡つ捣㑡㜷㈹㤴㠰㜷㔸昷づ㐷扤挳㌱敦㜰摣㍢㙣㜸㠷㑤敦昰㍡敦昰㝡敦㜰挲㍢㝣愱㜷㜸〳㜸㥣挷㕦㔳攳戵㥦昳扦㜳搶㡥㔹㙦扦户晣慢㘷㍦晤扢㠱慡慦㐵㝤㥣㠸㙤㤵㥡㕣㉡捤㠵㤸㠵㌱㍤㤷户㍢㥡㌳昶挰㡥㠳㍤て㠳㠵搹搸㕦㝦ㄸ愰㤰〳㌲っ攴㘱㤰㤰㍣ㅣ㐰㍢〲愰扡攷散搶㠸㍣㤲戸愳〰㠴ㄸ㐳愷戲㘳㤷捥㕡㝣挷㈷搲捦捦晦搲㑢扦ㄹ㌹戳昷㝣攱攳慡戸㔷攳ㅢ扤㠶㈹收㥡愱つ㥣㕤晤㈳戹㝣㈶挵改㜵㘰扢挷㘳昷㡦㤸㔵㘹戴㔸昳搴慡搱晢㥣愵㈷㤴攴捦㔹扡㝣㘳摥㥥愵㔶ㄱ〷愴㠷㠴㍣㥡摤㜱っ㠰㜶㉣㐰㐳㈸扣敢㥢㕦㜹昵ㅢ户㕢昳㔰ㅥ㐷敡㜴〰㈱㜶摡㥤㜵捡慦㝦昱敡敥ㄳ㐷晢扥㜴昵㜷㥦搳㑦挸㕥㈱戸㝢戱挳㠴㍣㥥摣㌳〱戴ㄳ〰ㅡ㐲慤㔶㕥扢ㅥ㜸㙡搷〳摢㘵ㄳ愹戳〰㠴昸㠹㥤搷敡㥤慢愶敤㝣挱㕣㜰晤戴户慥㥤昲摣㈳㐷〸㑥㈹戵愵㥥㠴挰昴攲〵愴㌵ㄴ敥㜶㉤㈱ㅤ㥤㜲㌶㜳㍣ㄹ㐰㍢㠵愱搱㈷ㅥㅥ晢晡愷㜷㍤㜸㠳㙣㘶㜴づ㠰㄰㍦戰㡢㝡㘹敡㔵㕦扣昱敢㐳ぢ慦晥捣攰搰搳㈷㍤愶ぢ慥攷慡愸ㄶ〴㡥㉢㉥㉡摣摤收㉥愹㑤㥥捡っ㐳〰㕡㤸挹ㄶ戴㠵㘵㉢㔱㙤〰㐲扣㘰㤷㜱摡㤷攷扥昴昶㝤㑦昴㙥㍢晦㠷ぢ攷㌶晥㐴ㄷ摣挹㔵ㄹㄱ〴㘶ㄴ㤷搱ㅡ敥敡㜴ㄵ搲搹摡㉤㍢㤸㘵㈷㠰搶挵搰慢㡦㝤㜶搷搷ㅦㅡ扢攵㑥搹捤攸㘹〰㐲晣㤳㕤㤶愷㉢戰昸收挷ㄷ㉣扣㜵昶摦搷㜸慥㍣昱㤱扡戹㈰㥦㘹慦挳〳㔹晤㘲散㙣攳㥢㘶㙢ぢㄶ摤扤搱ㄶ愰㉣㤸ㄱ戳搳っ㠷攳㤱㤰摥愶晢戸㑣敦敤戶挴搵扣捥㕣㥢㐸挷㌳ㄷ慢ㄹ㜰㑣㥦㡥搹㔸搸戶㥡㙤㕡㕦㘶㈴ㅤ捦ㅤ㕤㤹㌸㤴搷昳挶戴㔲摡㜸㈶㘵挹㠶戰㡢ㅢ㌹㔵摥㜱愵挹搶攸挹ㄱ愳㜷㜳挲㈲ㅦ㕢㐲挶ㅥ㥥㠹㑥㑣㕤㤸㌵㉥㉡㔰换㙡搴ぢ㔵㜰㤳捡扢慣㤵ㄶ挹慡搷㡣晥昵㤹㥣㤱㔶搵㙢㑥慤㐸挴㌶ㄸ搹㈱㠳㡡愴ㄱ㔷㑤㍤㡣㈴㕢㤱㘸㕥㥥㐶㐳愱ㅡ挴㘷扡戱收㠲捤㜹㈳ㅤ㌷攲愸敦㐶㈳㥢摦戲㑡㡦㈶㡤挳㡢㔸慣㌲㐱㌸慡〸扤㌰ㄳㅢ挹昵㘷搲昹㙣㈶㔹㑣改㡤㙦搲愱扣挴㤷㘶攲〶㜴㡦㙡㍥ㅥ攱愹慡ㄲ挲㜳㑡挹晡愳ㄴ〰收㥢㙢㔱ㅤ攱敡㘲㙥挴㐷ㄶて扢㤶㤵㘸ㅤ㕡㤱㌴㌸㈶扤㑤㝢挸㑣攵换㙣㑥㥥㤸搱搵㈶㙡摤攴㥥㍤㌱户慡㘳愱攷晥扡捣㕥敦㔴扢昵ぢ㌶㐱挱㕢慣愷攳㐹㈳㍢愹捤㈰㔸㈳搹〳攰㝢ㄶ戳㜹㐲改㔱㉦ㄱ㥢挵ㄶ摦挵㠹㜸㝥扤戶摥㐸慣㕢㥦〷づ㜶㠵摦㑦搱㤶㍤㜲ㅥ㔰㜲㍥㐱㉦㐰㈰攰搱晡昰敤搱〲戲摦㡡晢㌸㐷昷㙡㙢㉤㔲ㅤ㘹戹㐸愵慡挲慥挸昹㔲搰㠴㜲㔵㔵㤵㕡戹㔸捦慤捦㜳㜸㑥㑡愴㤲㈸〷〸ㄶ〰昸愸攸敤㔱㌳攵㑡㔴㑤〵扣㍥㌵㘰㤸㍡捣ㅥ㌵扢㠵敥㔳㕢扤て搸㕣㑣㔲攵ㅥ挴㕣搹慣㈱㠴挹㕦㤷攲攸㌷㌶攷〷昴扣㕥㤳㠲昲㡥㕥㤲㘰㙡㔶愹慣㄰㔳搶㉢㥣㤳㍡㘰挷㤰㐳㔰〵㕤戹搴㉡㠴㤵ㄳ㈶づ收㡢愷捡㠶㤳㌷〲㜵攷慥慤㤵づ昴㘲㈵ㅣ戶㐱㝣㤱㤱㕥戵㘵愳㤱㈳扢㕦㥢㔴㤴愵搳㑢改ち戱攸敡㝣㈲㤹㙢㐱㑤ㄷ㘵㌳㈳ㅢて㘴㍥捣㑢㉥〴㜰ㅥ摦攳ㄸ挵㝢摦㈶摡搴㌵㥢搸㌷挳挳ㅥ㍦㜳㈳㐶搲ち㤰ㅣ慤挸㙣㌷扥搴㈳㑦挷㔷㘰㌲㥡㡦昶挱扥ㄸ㉣㔴㔵敡㔲换㘳搱㔵㔹㐳㤹㘰㝥ㄵ㠱戴敢㔳㙢㌳搹つ搱㑣㘶〳㔵挷〶ㄵ换慤㌷㡣㍣捤㥡㕡摢㡣㔳收㥡㄰㔵㔵㐵搶㠸换晥愱搹慡㉤〳㘸ㅣ扢㙡敢搸戶慢㐶晦昱捥㔷㥦摣昶摡㐳摦搴㤶〳㔹〵ㄳ㑢㕢㠱㐰摦攸捤㑦㡥㝤敤愱搱〷慥ㅡ摢戶㘳散戶㠷㐶㙦搹昱摡昶慤㙢㔶㡥㝤㘱挷搸挷敦摥昵攰㔳愳户㕥戶敢挹〷㕦晤挶愳㙢挲㉤慤挳慦㙦㝦晣戵㥢ㅦㄸ摤㜱搷敢㥦戸㘶搷昶㝢㕡㌶㈷㜳㈹昱㈰㈴㐵晤昹攳昳㜶捣扣收愳愱摥㙤慦㝣敡戱搷户慦㜸㔴㍣㘰ㄳ捡㑣ㅤ㉡攴㤳散收㐵搶挵愱攰㉤摡捤敢捣㠵㠹㘴摥挸慡〵扢搱挴㤷㘵㐶慢㜸㍤㌷愹慣ㅥ戳っ搴㐳捤㝥散㔳戰摢昳㕢搴㘲慣㔸捡昶㐹㙢ㅢ昹㥢㌶㜰搰㘹〳㑡ㄷ㈸搲〸㈶搹㙤㌱㘸㑡昴㠱挹㤹㕤㠳㠸ㅢ㘱挵戹慢挶㑢ぢ㜲㉥ㅥ㘴攴㉦㕤㘸㕣扡〹昸摤㠳㤰摣愱㠹戵〴づ昶昲㐱捡㐴ㄳ敥挸㝦搳㘷㉡昹㐰㉤㝤㘶〸㠲㤳慢〸㔶ㄳ慣㈱㔸ぢ㈰敥挱㘲㐴㍤〷攱攲㐷㥥㡤戸晣㌰挱㌹〰搰㔶搴晡て㘵攵㍣㐴戵昳〱敡㕥扦敤ち搸㜴慦摤㜷搳攸㌵户〷㍣㠲扥〴㙡㌰㜲㤸攰〲㠰㍡ㅤ㘰搹㘲㈳〹挵昸㐰戹㌳㝤昴㔱㑣扥㤵㘳昰㔰㘹㌹㍣㌵戴㈵ㅤ㕢㥦捤愴攱晡愵㠶搱ㅢ㠳㍦㌰㈷㜴㉤戵㈴搳㍦㤲搷㔲㡢ㄳ昸慡㑢慤㌴㌶ㅡ㝡扥ㅦ㠶て搴㤷㈵昰㈱㈹攵㘴㌰扥昹晦㔲㜹昱㔰挳㠴㑤㌹慥扦㠸搲愹㙢愹ㄱ戶㜸㕢〶㌲昰㉤ㅢ捡昹㑤戱㙢ㅡㄴ搱㠳㔰㍢昱挸㈸㙡㜷换㕢昷㝤㜰搶㤷ㅥ摣㙤㝦㕦㡡㈱愸ㅥ㐹㕦㔴戹愶㘱〰ㅢ㤸㡣㈶攸戴愲戶㈱戹扢㙢ㄷ〲㔴㘱ㄸ㐸敥收攲㝡㘴㕤㜱㉢晥扣㑤㈸昳㜱搱昱戲㜷㝥㈴㍡㔸晥㕦㤸㤱㤶昱戸㥦〶㔱㑤〰㡦㐷ㅣ㠳挶慡ㄹ㥥㐶㐰㘶〰㝣㜴㐲敤㡤㐷㡣晤㈳㜴ㄱㄵ㌱ㄱㄷ㐶㑤ちㅥ戳愵敢戲晢㍥挱ㅡ㤰㔰愹昸㔶〶㜵㑥㔴㌹ㄴ㥤〸㑤㠶愰ㄳ〱户戲㌹敡挷ㄱ㔰㙦愷㍡㌱㤷敤㔰挸晢㐰ㅢ㈲㘸㍢捦慢搴㕣㉥㌲㐹㌴㍥㤳㡢て昵㠴愰づ愴㡤昰扦㕤摥㠱㕡㠵㈸〳敢㜹㤳愶㌴㥦昹ち㝡晣昶户㠳摦昹捤㠰戶ㄱ愴敡㥥㈵慤㥤攵慢㐹ㄶ愴㐰㐰㤲㘳〲攲㘴㌴㌱ㅤ改挶㤷㥡㑢㄰搳愰挸㘰㤸㔹慢捤ㄵㄳ慤㌶㤷摢㠴㌲㈷敤昱挸㠲㉢㡥㍤换㘶㈲愸㘶搹㐷ㄱ㤰㤷〲〸扡㘷㌹搳慣挷㘹收㘴捤摦ち㔶㌶扦慢扣㠵㤷㠱㠴收㤳㘳〲攲㘴㌴㐱㉦㜱愱昹㤲捤户摡㥤㥦愸摤㌹㥢㔰收㔰愶㡢㤸㡥〳㜹㌵㠰戸〸㙣㤵㔵㤱捦㤱攷㕡㠲敢〰㕣慡挸昵㔶㔴搰捤慣㈴㜶〳㤹㙥〴㄰捤〰㔴〲攴㑤〰捥㈳搶愳っㅡ挴㤸㠹ㅥ㜹ち㐱ㅦ〰㄰扢ㅤㄶ㜹㌳㐲㠱挹㘸㘲づ㌸挶〵㐰挳搱ㄲ挰昹挸愶攲㌶㜳㥥㑤㈸㜳㜳㥦㡡戴㑡〰㜷㈰㈰捥〱㕢㘵〱摣挵㌲敥㈶戸〷挰㈵㠰晢慣愸〸攱㕢〹攰㝥㌲晤〳㠰㘸〵㔰〲昸ち〲捥㈳㔶愲っ㐷〰摡㠳㐰㔷㉤愸㌴㐳ㅥ〶㈵㈰㐹㉦ㄷ㤰愲㠹㌶搰㉡〹㘱昱㐴㐲㔸㘴ㄳ捡晣昰㜴慣㉢㈱散㐰㐰㉣㤸㔰〸㑦戰㌶㑦ㄲ㍣〵攰ㄲ挲搳㔶㔴搰㌹慦㠴昰っ〲昲㔹〰搱つ愰㠴昰㉤〴㥣㐷捣㜵〹㐱㉡㙦㝥搹㈸㜸づ捣㠱挹㘸攲㌴㜰㔴ㄲ㐰敢㐴〲〸摢㠴搲挳〱ㅦ㥤㡤晢攸搴㤵收㥡㠴㜱㌱扤㔰つ㘶搱㤹㕡扤㌹㤰㔹㤶挹て㈴㜲ㅢ㤳晡㤶愹愶ㅤ㔸扢摥㐸挳愱㥤㠵㕦扢〴㤷搹戸搱㠸㑢㜳㈸㌳㤲㡤ㄹ㠳〳〷㠳挳㕢昵ㄳ㥣㌸搸㉦扤〲捦晥昹㜰愱㍡ぢ㡣ㄲ敡㉤㍥㙥ㄷ愵慥㌸㤷㘹㍡敥〵攱昰㘹ㅣ㤷攸慡㐴㍥㘹搴㥡㡡慥挲㝥ㄳ㔲挴㈹㐱扣挶㕣戵ㅥ㉥慡㠱㝡㜳㔱㌶ㄱ㑦㈶搲〶㍢〳㥥ㄵ㥥愷㉣㌱搶攱㐴㘰㐵㈶㤷攰ㄵ㠵㝡㜳㔵㔶㑦攷㌶搲戹ㄹ摢㜲㐸㔱㑣ㄹㅡ㍥戳㉦㤱捥愱ㄸ㜵㌲捡㜰愳㌹戴㍥㜳㌱敥戴㡣愴搲㡢昴㡤戹㠳愲㔷戸㘶㕡㡦敡ㅡ攱ㄵ㕥慦昰㝢晤晢摢㍦摡昷㤰摢㔴敢摣㙤〶挶㘹㍥㥢㠸㡥㔰㘰慡㄰㉥㕦搵〴慡て㍤扥昹〸㑤攲㕤愰㑦挲㍥愷攱ㄹ〴敢㕡㜴扣㕣搱ㅤ㕥戸㈸㐴扦㠲晣㍥搳扣〸㜰晡愲搵㠳攳愷㜳敦敢㍥㡦慦ㄷ昹㤵㥡㙤愵㈳慦㜰ㄸ㐲〷㘰㠳㌵㠴㠸攳㠸挲捣挴㐸㘰慣㜴㔸〶㑣挵挳ㄱ摡㌰ㅥ㕣〸㝦㝡㥤戹㐴㡦ㅡ㐹ㅣ〳愴昴㝣㠳ㄵ愱愷〵昷㍤㜲㌶慤㍦㤳㑡改ㅣ㜲ㅣ慥㐳㌱㍤㘹昸捤摥㤱㝣㘶㘹㈲㉤㑤〰㌵㉥㙤㤴扥ㄹ㈸㝤戳㐲搵㤹㉢㜹㍣愸挲捣㉢戳㑥捦㈶昲敢㔳㠹㤸㥦ㄱㅥ攱ㅤㄴ㘳ㄵ㑢扦㌲㥦㈱㔰㍥捥㕡㔲敡㌶戰っ㘸㜴㜷ぢ㥣㘴ㄴㅤ扢ㅦ㈳摡㉢㌴晣㠹晤㌴㤶戰昲愸㕤㔳扥㠴摣㝣㕥〰㉥㐵敡㜹搳戹扤昶收愵挰愸挵㐹昰昰㠷㘴昹敦㜶㠰㤱敡〱㠰㐹㡦ㄶ㙡挰㄰㔸㤲搱攳ぢ攱搷捤㘴㙢散晢㘷㝥㜴㉤㤷㥡㙣㤰㠷㍤晤㌸㍦挴戹攴愶㐴摣挸晡㠹ㄸ㠲㉢愴㥡挷㐴㥡搵㠷㤴㡤挷攷慢昵㔷㉡㙢搰挹慢挹㜶愱扢㙦搹つ㤶攵晦挶㤹㕤昳搸摡㐰㐰捤愷ㅦ㈲㈸㝦〴㈰㜸㡣挴昶㤴㌰晣㤸っ㉦〳昸㜸㘰㔱摡㌷挵攷㉥㌸㥤攱㜹㝤㌵捤扣㙡㥡㜷㝥挷慣昳愹㠶搴扡捣㌸捤㌲摦晣捥㜵㌰㙤〸愳摣㠸〷慣昵㤵㡥㈰㜶㠷搷㕢㡤慥搶㑡ㅤ敥㘵挵㈲戳搴㤰愱捥㠶〴㉤㄰敤㈷〰㐷㜳戲㈰晦攱㑡㌷愳㑡㤵〹攸摡㍦㐵ㅡ㑦㐰㥣づ攸〸㠲慡㠹㉤愹㥦㈱㈸㝦づ攰ㅢ〲㤸㘴戹㠰㐷挳攵捤㙤〰戳㘶慥㑥㈷昲㤸挹慣搰挲㐴㥥愷㔸㈶〰㠲捡㑤㍢㑤捤㜰㔷愲收㠲收㌰扤㥣㔴愴㑡ㅣ㔷㑥㜷敢ㄶ㑤ㄵ挸㤶搶攱㔲㌶昶挴愴戴㡦ち㜵㍣㤸搴ㄱ㘱㜹攲㍣㤶㐶㌲改昵愲㜱戹㜳〶扣て攵㐵慤ㅦㅥ戹ㄳ戹㘰㙤愰ㅥ㈳㝦㠱㈰㜵ㄹ㝡㜱㈷ㅦ㈲㈵㍥晣〰昵ㄹぢ㔷㙦ㅦㄲつ愶㜳㔸ㄱ〲㜶っ敢㝤㠳ㅤ㕣㍥㤲㉦愲攸㥢愷摡㤴摥㘴㜲㜹ㅡ扢㜴㑣捦挶て㤲㈵ㅥ㠲戰㌴ㄱ戵㕡敦愷㤶㠸㑣昸戸ㄶ㘶攸晤慦〰㐳㔹搳㔹扥㉦㐷㈰㌴㘳敡㈹敥挲挹㠸㥦㌱㕥戲㔴扤㘰摤戱㔴㉡晢ち〳晡㌶敥㥣㈶㡤愹㉡㐱㈱慡㤶㌳㘹昶㐶㜳㔰晦昲摣摢敤㤰㥡攸搲㕣㘹㈴㜵㕥㙥挱㔶㙣㠷㔶挴昲㌸昰㉢㘴挰㡢㉢〷㑦て㐱㈲搵㜶㉦〹搵㑦摡㈴㠳户戸ㄱ㥣㐳晢搹慢㔸摦㑤昵晣㜶㥥昸攲ㄷ昸摣㍢捦攳〴㙣愳㘰つ戲㥦㐴愳挴㕡㕢㝡㕥㌵搵㌹㐶戵㔶㌸戵㜸搵㌹㌸慡㥤昵㌴て戲㜹摣敥攲慤挷㐶㑥㥤㈴昶攵㝣〲ㅡ㔶㜲㑢㠳㌹㤸㡥㈵㐷攲㠶㔲捦㥣㌵㕢㘹㘹〷㐵㝦愹ぢ昵㔶㕦㑤㈲ㄷ㕢㈸㠳戸㔵敦摣昶搹㝦ㅢ㑤晥ㄲ㥤愰ㄶ㍢攴ㄱ㤰愳㠸㜱摥慤挵昷㍥ㅦづ〶㤰攸㤰昱愳㙤㜵㡢ㅢ㑢㕢ㄹ㡡㙢ㅡて㜹ち攷㡢㙡挶戹搸㤶㘴㤶㘴㘸攳戹㔰㡢ㄳㄶ敡愰攸㈷戴搳㕡昸攰㍢摥㙦敢㤸㤹㘰搵㔳㕦㥥㌷改㘴挴㐳挷愲愵㤴㥥㡤ㄸ慤㘶て愴㡡挹㐴㐳捣㍢㙥㡤㠹て㈳㍥ㅦㅦ㌹〶㈰㜸㐰搸㡢て㌸㉤挵㜷ㄷ挲㝢㔶㝣㜹㤰㠸扣㍤昲㜵〰慡敢晣㠸㘱〰㐷㐷㈲搵搶㤱㝥㠵愰晣㌵ㄹ㉥〰愸挰昰〶ㄹ㝥〳攰㡢〲㤴㉥㌲ㄳㅥ㤵㔵㌱㐵㡡㑡愱㍦㐵攵ㄸ㔳㔴挳慤㈴ㅣ〵㐲挱搶㙡晤㍡戳晤㉤挰扦扥昰〲ㅤ㌵ㅥ挱戳㈸愷晣ㄳㄱ戶㉢昸㍢〴攵㥢㘴愰〱敢㌰㔸㉤㘰㈱昲㉤㠲户挹㤰愹捣昰㥦㘴㜸㠷っ㔹ㄷ㐳慢㤷㐵㑣㈱敤扦〸㝥㑦〶㝡㠶㉢ㄴ昱〷㌲扣㑢〶㜶㘸〵㠶晦㈶挳ㅦ挹㜰㤹㡢攱㤴昱㈲晥㐴㠶昷挸㜰㌵㠰搵攰㠲ㅦ㐵㝣づ㌸㌵㉡戴㍦㈳ㄴㅣ晢捡敤㘳㕢㍦㌶㝢搹挹㌳㐶㍦㜹攵攸㘳㤷〳㘷つㄵ㤷攱㉥慥〵㙥㍥㍥昲㉦〰攲㍡㠰㕥㝣ち㌶ㄲ㐷挰㥥㠷ちㅤ扤ㄴ愵愴收捥㠰晡摣㠰㐰㠵㐶㝡㐱㤴㔵㘴扣戱㌲〳ㄷ㍡改㈳挳㑤㘰愰昱㠱㠹攴昱㑣㈹㈸昵㠵扢捡㝤愰挱㙤户ㅢ㕦敡㠱ㅥ收〷㈷㔴㜹扡㠹㥤戲㈹愶㐰㠰〶㤹㤴捣㍡挰慣敦㐰㔴挹て㑤〵ㄵ㡦㐷摣〵㥣㈵扦㕡戰散㥤晣敥㐶㥡昹昸挸㍡收㑡晦㙦㉦㍥〵昹㌵〰扢㘷昹摤挷ㄴ昸挸㐶㘶㘲㐷挴晤〸㌸㙤㈰㌲㄰㔰〳㌵㠸戰㥣㐲㐶㍡㤲㉢㌰ㅣ㐲㠶愹㘴愰㙦㔹挹敦㔰挴㙡ㅤ昹昱〶㜶〵挹ㅤづㅥ㐸敥㘱㔷愶㉥挹ㅤ挱㑣㡦㘴愶㍢挰愰㈴㐷戳搹㤶ㅣ㥤扦㤶攴㡥〲换摥㐹敥㐹愴㤹㡦㡦㥣挶㕣改㌴敥挵愷㈰戹㘳㠰摤戳攴㥥㘶ち㝣攴戱捣挴㡥㠸㘷㄰㜰〴攳㐵搸㤶摣㜱㘰㤰搳挹昸㙣㘵㠶ㄹ㘴㌸㥥っ摦〲㠳㤲摣㑣挴ち㈳㙦晣㔶㜹〵昹㌵㠱ㄳ昲㝢捥㤵戵㑢㝥戳㤸昵㠹捣晡晢㘰㈰慢㍣㠹㌱〴搸慢㍥㍡㈳㑡㙤散㌲晦㐷㌵㤸㘰ㄶ挰ㄳ㌲㤴摦㤲㠴昷㠹㐱摡摣㔶㠸ぢ愴㐵㠶㈷㈰㤳挵㍣慡㉥扤㡥㔳㐸㍢ㄷ㔹搵ㅥ㕡㜲昹㔸㈵㈳攵㐵㝣㝣㍦晥㑢昹〵摢㐲㝡㔶㝣晣㈶㈲搳昰搱㑥〶晥搰愵㠹㔸㌶㤳换㤸昹ㄹ㐳昰慣捥攰㘵㙥ㄳㅡ㐳慦敦㠷挸戱㘲㤹㙣㔸㜵ㅡつ昱㙤攲攵挶挰㠶㜴收攲戴慡㡤㉦挷㍢敤㉣㑤搶搴戰ㄸ敡ㄱ敡㌹〱挲ぢ搲㈹挳挴戲ㄹ㉣昵㔵㐱㝡㌵搸攳摡ㅣ挴㘷昵昷昵慦ㅣ㡥㜷㠵摡昴㉥愳愳捤っ户戶敢攱㠸ㅥ㌲㍢㐳ㅤ㝡㑣敦攸㙣㙢㙢㡦挴戵てㄴ㔸㍢愲㝡㙢搴㌴㍢愲㤱㔰戴㍤ㄲ敡㡥㜶㜶㠶㐳㥤慤㥤㐶っ挸戶㡥㘸㤰晥ㄲ㘶㉦㕢㤰㐶㥥ち㄰愴㥢㐴愱㐲㐴㠵㠹愲搳㐴愱挸愰㔸㝤㍦〵㙡㙦㝤ㄹ㙣㡦㜳ㄲ㕦㕤㔳㔳㘶搲㤶昹㐰ち搷㕤㌵㡤㉥㄰摦ぢ㄰㜳改昵㠸捡㠹㔰㍦㔷㉦㌲戱㕡㘲㈲慣㜷〷㐰㈰昸㌳攰㔸㈱慤ㄳ搱扡晥扥㘱愵㡥慤挴㜵㜶慤ぢ㤸㐳㠰挱戵㑣昷攵㑦慤ㅢ昸〶攰㕤㑥㕦敤㌴攰愶〰㔷晣㍥㕦㤰㕥ㄵ搵㝤昴散慢㘳㍡敢摤戶て㠱摤户ㄳ戸搲㘶戸㥣戳㉥㌷ち搷昶愰换挷愲〴㌲挵㍣㜳㐴㑦攲慤挱攵㔰昴昳㐴ㅤっ敡㘱戵㘵㙥敤㜱㉣愸㈶㥣㜳ㅥ扢愴㔴〶挵㕤㘹户㑤㕤㜷摥㍦㜳㉣攰㝢㘶㡦〳挶㈹〵晤㔲㘱挰〴攴㝣㄰戸㠵晥〲㜴昲挸㕥㐲晢ㄱ慦㈰㔰㠶昵晤ㄲ搸扤户㘴㤸㝥敡戸㠷㤳扥散收㈴㡣扡扤㌸㍡攸㐳㕡㐱攳㐵搵愱ㅦ㤰戳㤳ㅦ㌱收㘰〷挸㠳〸挷扦愰㠲捣〵㔹㝣〳㠲攱㌲㠸戰㐷㕢〸晡㠴㙢㥢㜸ㅣ㙣㕣摦㡡搷㈷㐷㜷㤶㡢㤱㔸づㄲ㥣㑥㜰〶㐰㤰㑡㌳扥㍤摡ㄲ㐰㙢戱敡㡡㠷㡣㐸㕢㜷㈸ㅥ㠹㥡敤攱㐸㉣ㅡ搲攳㙤㐶㍣摥慡㜷㜷挷扡攲㙤㐱愵㘳㈳㡤㕣捡ㅣ摥戰㜳㤰换ㄸ愳㝡捤晣ㄴ慤㤱㕡㌱㉢愳攱㜳㐰㥦㈰㜵㘹捡㐹㕢㠱搲㡡搷㠴㌳㠱㈹㥤晢㉢㠱慢㌰昷愹㡣慢搵收㜰〴慣搷ㅤ㔷㠳㌳昸ㄶ愲昸昶㘸㙢〰㉤愹攸㐶户〱㈱戴挷昵戰搹摥ㅥぢ㜷㜷㥡㘶㌴ㄲぢ㐷昵㔸㔷㌸摥㘵〶㤵摥捥㙣搶㌲〷㙡敡捣㐱㥥挵㤸㔲搹ぢ㌴㉡改㕣㉥戴て㤳㠶ㄵ愹挸愹慡㥤〳㙣敤戰㜵㕦㠴㔳㔰㍢ㄷ㠸晡㘱换㌷慤㤶扥㥣㜶ㅥ㔰挵慤㍥㥦㑣挸ぢ㑥敦摥㜸㍣㡢㕢㡣摡㌰㔰愵㠲戸〰戸ち㠲愰挹挰㉡昹㠵昰㕢敡慢昵㔲㘱ㄴ散㙢㑥㍡攷晤㕦㜶㍦捦㝡㤷㜰散㥥敤㜸㑤昸愴攳㤷攲㑡挱搱㈸㑦挶㔱㐰㤰㐶〹扥㍤ㅡ㌷㔹㑢摣㤱㑥戳挳㙣敤㡡㜴挴捤㔶扣晣ㅥ敥づ户㐶挲㤱㔰愴扢㍢㘲攸㕤扡ㅥ㔴㌶っ㜳㌰㤹〳慤ㄶ收㈰搷㌱愶捣㤷〲㡤〶㡢ㄲ㜷㠲戴㌲㜱㕦〸㙣㤱戸㌷〰㔱㈲敥㈴㔰㐵攲㤶ㄴ户㤶〶㈸ㄵ㜰〶戸ち〲㝥捦慥㠴㑢挰㌳㠱搲㉥〲晢㕦㐷挰㕤搶晢㥣㌹ㄴ㈰㤴㘱㐵㠱昰搸ㄳ晦搶ㄲ挳㤰㕡㘲㍥敤㕥㘲㌶〱㍢昱ㄲ㜳㔵挵㈵〶㕡戸戵㠷㙥㐶〰㉡㤰ㄷ㕦昸昷㘸㕢〰慤づ㡤㜵㐷㕡捤㔸慢摥㙡㠴㘲敤㌸㝣散㡥㘳收攸ㅤ㠶搱摥搵ㄱ㡥㜵挶㠲捡ㅣ㘳ㅤ㉦㐱㥡㈰ㄴ㐷慢㐳晦㡥㌱㘵㠹㌹㌴挱〱㑡㘵㐶㕣㡥捡㔰搱㔰㔳昸愳挰㑡㜵㘶ㄶ愴㠹愵ㄴ㠶慤〸㤴㜶搰挷㠰㉢敡㑢敤㌲㘰捡扢㑣扢ㅣ攸ち扡㐵㤰戶㥢㔲ㄸ㘶戳㐶扣㔸㈴慦〴捡扡攱愳㑣㌰愲㍥〹ㄴ晥㉤㐹搳〴㔳㤲扥搸㉤改㑦〱㍢戱愴㐷㉡㑡㥡搶㤹㉡晣㌳〸㐰搲戴挴昰敦搱㍥ぢ㘸㐹㍡摥ㄶ㙡㙦㙢㡦挷㍢㐲㕤㌱攸㤶搱㉥扤慤㔳㡦戴㐶扢摢㍡㍡愳ㅤ㙤搱愰㌲摣㔸挷慢㤱㈶㐸㔳㡤㌹挸㙢ㄸ㔳㌶㥢㐳ㄳ戴挷㤴愴㌳㙥㐹㕦〷慣晣㍣㐰㈰㐸㤳㑣㐹晡㝡〴㑡㈵㝤〳㜰挵㤲扥ㄱ㤸ち㤲扥〹攸㑡㤲愶慤愷ㅡ㝢㉡㙢ㄴ㈲昸㈲㔰㤶愴愷㈱㠴㝦㡦摣㘶〷搴戶㐹㤳㑤㐹㍡收㤲戴攴㤸愶昶㉦昴㡡㐲愵攱愶捡戹ㄵ〱〸昵㌸㝣㜱㙢搶戶㈳㘰〹戵ㅤ敦搳㥡ㄸ扦㘶㔷㈸摣摥㠶慦㔸㔷㙢㙢㉣ㄶ㡡㐵㍢㘲㜸攱戶㐳扢慤挰ㅡ搷㈳㥤㙤㠶ㄹ㙤ぢ㜵戵戵户㐶摢扢ㄱ敤〸㜵㜶㥡㤱搶㌶㌳ㄴ㌶㠳㌴晦㤸扤扣ㅤ〱㜹〷㐰㜰㠶㠳扡㤳愸扢㠸㍡摥㐱㤱㐱戱㡡㈶㠴㔴㜷慣㜵㜷挷㝤愴摦て㄰〸捥〲㔴つ搹㑡ㅣ㐷扡攴攰㤶ㅣ捡挱ㄳ〱ㄴ戱㠳㘵㜷ㄲ㝣㤵挴ㄵ〸〵㘹〸㉡攲㈳〸搴㔷昹㘸换㝣㜰攲㤷㉦㕣㝡㜵㌳摣扤㐵㙦户㉥挰摢慡㕢搸扥㉡㥣㈲㕢㘷慦搵摥搳昶㉦㉦敥㝦㜴昲昳攳㍢〳慤㝥ㅦ昹愰㐵㉥扤㤱㌹㑥挷㐷㍥ち扣慦〵愰愲㍢戹昴㌷㈴摣慦㔵㔲慢㌹㉣㌵㤸㠳㈵㠲㤷ㄷ㔶㘵㝡㤵㐳㤹戶昰ㄴ挷㐲㘹㜶㕥扡㥣㌵㡥㜱㑥㙢㥣㘴换戳㠵㜴㜸㠹ㄱ愶㈷〸捤㝣㐵昳戰昱㤸敢散晡攸㜱㉣づ改㜰㜴㘰挴㥤ㅣ㜳昰㕣㔴㝢慢捡摥〲㔰ㄶ㡢晤〳㈰㍣慣㘶㙥㜸愱㜸㌰㕥㡦ㄶㅣ㕤攱攴扥㉦㤱㔷㌷㕦愸扢〹㌹〷挲搱ㅥ㈳攸㘹敡㙦㙡敤昰㉤㐲㐷㤴扡㑦㈷㉣〳改㕣㘲㘷㠹ㅣㅢ〱戹〳〴㐱敢㤴戲ㄷ㤲ㄶ戰昶〴㐱㑦搳〰ちㄱ晤㈸㠴〵㜱㕡〷攴㔳㘴愲㜹敢愰〴捤㕣㐶㤸㕢㈳慤㐵ㅦ〲㈵㡡收㐴搷㘰㠳昳ㅢ㍢㥣ㄴ攷㠹攳慦敢昵敤扣戴昴㝤〳攷㉣攸扤㝢摦㝡㜱㘹昴㜳昳挴㠷㤰愲搲㜵扥て愱ㄲㄵ㉦㜵昶搸㠴搲搷昸挴㝣攴㠴㝦㡦晣㌶㈰摢挷㑦戰㤷㈸㍣愲捦㈱㍢ㄸ㐵敥〷㔶捤搰敦㈰㈰㥦〳愸昷〶〷ㅣ攴昳㡣㔷㠹挵昸攲搴ㄵ㥤㈸㥢昳攵㌸㘴〸㥤㐳㔰敤㔷㠴づ㥢搰㐰㠲㉤慥㜷㜷㡢搳ㅤ㝡挴愶㌷ㄶ搳捦㜰攸敤㌶㥤摡㥢㉢㍤㑤〱慢㈳㤷㈰愴晤ㅢ㐱㑦搳搹㑤慤ㄱ㕦ㄸ㈹㉡㕥㕥戴㐷㈴㡥搱㥣㈱扤㈰㍤㤲㐲捡㤲昱〲〴㐶挰昷㐰㄰换〰㤸ㅦ㔱㠲慡晡㜸㠷㕣〸㤴戵㌳捣〱㐳挵づ㘹戶〹愵㉦㜳〸慡散㔶敤搷㈰愴晤㠸愰愷㘹㐹㔳㙢愷㙦㌶搲㝣愰搲攲㘵搷摥搲搳昷愶〱㉦㈳㔷㐱㜳㠰㔹慡〶挴ㄱㄹ㙦挰㈵㠵〶㥣㌰㔱〳㘶摡㠴戲晢攱㈶㜲戲ㅡ㐰ㄵ㕡摢㐹愰ㅡ搰㈵愶㈳㡤㔳㈲捥慤㐱ㄱ㔴㤲ㅤ㤴愰㠲㔸愹ㄲ搳㈶慡挴㔱㌶愱昴戲㜶㤰捡愵ㅡ愱扢㄰挰㘰愴㌲愸挶摣ㄱ㐸挱挱愸搶摢㕦〱㉢愸攳㔹昵愵㠶愸扤㐱挰㜹摦搶㈵愶㠲搱㤹攴〱昹㕢㜲㔳〷㜴㔰㡤搴昳昶㙤慡㔳㈹㔴㈹㈶㥡敡㡦扦昷㠹㜷晥攳㐷晦㍣敦㥤㍦扦戴昹昵ㄳㅦ㥥㈷慥㐴㡡㜱㤹㉣㉦㜴㑣㠳摤昴戲㌷㜶敢㙤㐲改晤敤㈰搵㐰㈵㤳㜷㄰㠰㑣愸戶㈹㤹搴㈲㐵㐱㈶扦〷㔶㕣つ㘰挹㠴扡㥣昶㉥㐱㑦搳㐲っ㐲㔱㔳㈴㤳㍦㤲㥢摡㕡㐱㈶搴挸昶㑤㈶㔴摦㈶㤵挹戲㘸昰慣敥㐷㥥㥦户敡㤷㜷摥晣敤ㄹて攱㤰ㅣ㈹㉡挹挴㍢㤱㑣㠴㑤㈸扤捥ㅤ愴挲愶㘴挲㥤〰㌲戹ㄵ㜱㈵㤳摤㝦㜶挹挴ぢ愲愰㠶㘴挹㘴㍢㐲㕡㌵㜰搶㌸㠹㠸㍦㠱搹ㄱ㐰㐰㙡攴扥愳挰㑤㙤㑣昳㕢摣晤㑤㙤ㄱ昱〷㥢ㅢ㈸慣㈵〱㜲㔳搵㘲〶㐴㠹扢散〸㤷摡㐶㙡㔴晢㈶捥晢㥤ㄴㄳつ戱戹换扥㝦敤戹㝦昹敥扣ㅦ晣㝣㘷敤攷敦晤敡㍣㐱搵慢㤲㌸摦㐶㐵㉢㉥㕥㙦搹㠴戲换攱搴搸㉡慥慦敡㝡㤷昵㡢ㅦ慥ㅦ㔹攱挲敥㌳愹愵搴㥡ㄶ㥡㑡㤶扡改㤳㔴敥敥㍡摣攵捣攲㘷㑥㤶攰捡㌲㙥㜰攲攷挵㙣㡦㈹慥㌲昳ㄴ搴戹㉤㈸㔵㑣㜹㈸捣攵㔹㕣ㅦ慣㌱〷㜳㜰㘵挴晤昸㤹㠶㍣㕥㌴㑦ㅦっ捥㑥ㅣ㐰㜰搴攰戱慥㜸㔶昴晤捦〵戹愲㐲㘳㠹㜰㕣ㅥ捥㝤〶㉦慦㠰敥㥦慢㔳攳敦〸㍡㤷㥡攳慥㑢捤搵攲㜷攸㘲换㝦户搵愳㜶〸敡㑡昲㄰昰㙢㔳〱慡攰攵㔶㝡〳㐰㐰ㅥち㡣㜵㤶摥挷搶昹愸挷㤶㌶㡥愷㌱ぢ挱攷㈹昹つ㤲摡㕡戶搸㜹慡愹㡡㑤愶〶㜲㔲搴愴㠶㜵晥㙡愲㍦㌵㥣㌴搲敢昲敢ぢ扦㤴〸摦ち摥㈳㤵㠷愳ㅣㄶ挵㐷㔰㕤㘳慥昲〸ㄷ㌶㐸㜵㐷㑤晣㈳㠱㤵㐷ㄱ㑣〳〸〸慡㌴㙡〵ㄸ㠵〴戸㉡搲ㅦ攷挷戵㌶慡㌹㡡昰慡㑤㌸㠲〴㍦て㕣挵昳愰㜱散㙢挷㌲㈳敢㑤攳搱慤㑦㜸挵㉢㡥ㄸ㝦摤㝡搴戸ㄸ愷㠳㑢㥢〱挰户㍥〵扥㔱㑤㠸昱㜸㈶敥㐳㐴〱㡦愰㥡愱㙡㝥〲〸攴攲㐷㜰敦㔶搸㈶㌷㤶㥢愹挲捥㜲㘳戹晢愹㝡㥤〸㙣扤㜵〲㙥ㅦ㝦㔷㡢㤷㥤扡㜹摣㕤㍣ㅢ㥣摡挹〰挵㕤捣㔳㜷㜷摤戸㜵戲㥢㥤㐷㜰㜷㔴ㄵ㤸〳㑥晣㕢㤵攵㔶愳㉡昰〱愰㑡㉢昰㘲挵ち㥣ち㑥㉤〴㔰㕣㠱㌰㌰敥ち㜰㥦㉡慡挰ㅦ㥤ち戴㠱ㄳ晦㔶〵〸㔵〵摡ㄱ㈸慤挰㜷㉢㔶愰〳㥣㕡㈷㐰㜱〵扡㠰㜱㔷㠰㥢㐲㔱〵戸敥㉢〹㥣㠶〰晥慤ち㜰㝤㔷搸て扡戰㍥㑥愴扤㥥攵㘸搸晥晡晡攷愲ㅣ挱改挹㍣㘴㡦ㅤ㘰愴㤱㤳㠴〱㍦㍥㥥㐶㑥㡥㐲㑣㜰㔲愸戱晥㉣㈴挴㐹挰㌹敡昷㙡㠲ㄳ㐵ㄱ㥥戱〹㍣搳昵攳敥㈸㈷㡦㈲㍣㙤ㄳ收㠱㈰㝢㤹㉢㐷㍢摢㉢晢ㄸ攳㈰㔷㤵改户〳慡㌲ㅣ攱慡㜸戵改㜱㘴㡦挷㌸愲ぢ㌱挱昱愹㜲ㅢ㈰㥡挳㤲㌴戹挰づ㌰搲挸㈱㌸㥥㠲〳㑡愵攰昲㈳㌸㡥㔴㡡㐵㜶㐰愵攰㤸ㄹ㑦挱ㄱ愰㔲㉣㈶㥡ㅤ慦㔲っ㈲㠰㝦昵㘹㘴㈷ㄷ㔲㌴戲㜳ぢ㌱愱愴捥㕡㥤㑥㜶晢〹㔲晡㙡挹㌹〳㠱晡慡㐶ち㘷㉤㠸摥捤㈲㜶㐱晣㠲ぢ摥㙤慣㥥㌱慤晡慣昹㜵㕦搸昹㉦慦㕣昷搲戹㍤慦扤户㙤摢㑢慦㕥昷挲㝢㑦㐴㝢㥥扢敤戶㙦㥦㝥换ぢ慦ㅣ㘲摥敡㝤昴摤㈵户㝥㈴扣攱㈳ㄷ㤹慢㑦㔹昴㤱戳㉦㍣㌳扣㘲㑡㜳㔵㔵㑤捤㐹㔳㥦㍦㜲㜶㜰敢㐵㡦㠹㘷㕥㍥㈲㉤㤴扣㔱㐰搱改㔳㤰㜲㔷搵㔸慡慡㈱㤴ㅣ挹戵っ㜱攷〹㔲㥥㡡㙢戹挵愵㘴㐷慥ㄵ㙥㉥捡㔰㜱㥤㘹㜱㈹㜹㤱慢㈸㉦捡㑤㜱つ㈱㈰㔷㤱搵ㅢ㜴㐴㈳㈸つ㌵㜲敥户㐷㑥ㅦ㌲攰㠲换晡㈹挲㝤挵㠴愰㤳戹㘰摤ㄴ挷扤㈵ㅣ㑥㈵〵敢愵㌸敥㈹收㄰慣㡡㈲摣㕤㐲㘰昵ㄴ攱㉥㥢愰捥㘲捦〱㔶㄰愸㘱㜱㉥㘳ち戰慤攷㈱收㍣㐱㈷㔲晢㍦㍦收㥡㠰</t>
  </si>
  <si>
    <t>㜸〱捤㕡㙢㙣ㅣ㔷ㄵ摥㤹摤ㄹ敦慣搷昶收搹㌴改挳㠵愴㘹敢戰戲昳愸㤳ㄶ㤳摡敢㌸㜱攳挴㡥敤㌸㐵ㄴ㌶戳扢㜷散愹攷攱捣捣晡㠱㉡㌵慡愰愸攲搱慡㐲㔴㈵㐱㑤〲㝤搰ㅦ㙤㈵㐴ぢ㘹〳㐲㈰㠱慡㠰ち㔴〲晥愱㔲㍢慤愸㔰㄰㍦攸㡦㑡攱㝣㜷㘶㥦㕥㙦㔲㌷㐸ㅥ换㘷敥扤攷摥㍢昷㥥搷㍤攷摣つ〹愱㔰攸ち㍤㜸攳㠹愰㜰搳挸㥣敢㌱㌳㤹戲つ㠳㘵㍤摤戶摣㘴户攳愸㜳〳扡敢㠵愹㠳㥣搶〹敦㑡㘹㔷晦㉡㡢愶愷㤹攳㔲㈷㈹ㄴ㡡㐶ㄵ㤱昰㤸〴晦㠹㐲㐵挱愸㜸㠴挰㘸慡㘷㌰昳㄰捤㍡攲搹づ摢搶㍡收㡦敤敡攸㐸㜶㈴㜷㜶戴户㈷摢户戵愶昲㠶㤷㜷㔸㤷挵昲㥥愳ㅡ摢㕡㠷昲ㄹ㐳捦ㅥ㘴㜳愳昶㈴戳扡㔸愶㝤㐷㐶摤戹扢㘳攷慥㕤摡㥥㍤扢攳昴改搰攱㔴捦㤰挳㌴昷㝡捤㈹㘳捥挱㔴㑦昲㌰昳慥搷㥣つ㌴㈷㑤搹㙢㥢慡㙥㕤愷㐹㈵搰㜶㐷㉦换敡㘰〲㘳㡥㙥㡤㈷㘹搹ㄵ㠴愶㕡㘷戲㡦㈸㥥㔵㕤㉦挵っ㘳㤸㘹㔸㑣摣〴捤㤸挳慣㉣㜳㥢捤㝤戳㔹㘶〴㘸㌷㙡㡥愹捥㘱搵㘴ㄱㄴ㕡㑣㥦㙦晤㌹㘶㜹扡㌷搷㘴ㅥ㜵搹戰㙡㡤㌳㜴㤱捣晤㜹㍤ㄷ㠹〸㤱㐸㈸扣戵搶㘲㌸㙦㤲㝤㑥㌶㌵愱㍡ㅥ慦㠱㙢ㅤ戵晡㤶㐹〸㕦㜸挵戲㈰㐵慤㔵愳挰愶ㄱ摤㍣挸ㅣ㡢ㄹ昸〸㤸搷㔶搵㠹搳挴㈷㝤㤱㌸㠵摤㠰ㄶ㐲㘳㈰昷㝣㉢搴愰㐴〱ㄴ〲㜲㡣㐰愴㉢戵愳㔳㘹㐴㕢㥣㠰㄰昹て㈹㑥昹ㄸ愰挴戴㉡愶㌳㘲㍡㉢愶㜳㘲㥡㠹㘹㑤㑣㡦㡢改〹㌱慤㡢改㠷挴昴㈴昵㈹㍣搱㠶〶㌱㜸㈶㥦㝣晢挱换㝦晥㐷晦愹㕢㘷搲慦ㅦ晢攳㝦攳捤搴改㐸戰㥥㕥㐷㥤㈱愶㤶攴㘵㝢㤲搴攴㕡ㄴ㠵昴㐴摢愵㜵㙡ㅤㅤ戹㕤敤敡づ㔵挲㡥慥㤵㍤㙢愹㙦㕣㍢愶㕢㌹㝢㠶昳㉢慥昵改㠶挷ㅣ㕥㘹搱攸攵换ㅣ慦㌷㘹晢㘶㐹㔹戳㍥㙢搷㙡㈹收㜸㈴攴摥㕣㠹摦㌷昵愸㉥㉢㔵摢㠲戹㝢散扣㤵㜳㌷搵㐶㡥㜸慡挷㌶㔶攳㑡㤳㉣ㅡ㌶㐲ち挰㕣扥愴㕢慡㠷㡤愹㐶㥥㜵捦敡㍥晡收㉡㌴愹㠲㥤㔹ㅡ摢攷戰ㄳ㐵散愲ㄵ㜵㤳㥤㥣收㜳㉦摡愵㡦昲搷搵㥡㥡戰㕤㘶昱攵戵㤹㐳㝡㜶㤲㌹㈳っ㔶㤶攵昸㔶搷〱ㄵ攸㘳摢愰㐵ㅢ㈵つ换㝤愶扣ㄵ㠴㘶㔶㡥攵㘸扤㔳㐴攵戹㔱㌵㘳戰昵ㄵ㕤晣㙦ㄲ攲挶㡡收㍥㍢㥢㜷㔳戶攵㌹戶㔱㠹改捥㑤慢㘴〳㜲㠷散ㅣ㡢昰㈷攴㐳㈱ㄴづぢ㐲攸㡥㕡捡㠴戹㕤愸㕢㤹㤰㐰愹敢㜷㉥ㄳ㈲㜴慥愹愶挵㤹愹㔰㈶㘴攸㝦㘷摤㤵㤴ぢ㈱㝡户搷敤㕤㐳㐸㌱㘸㐳愵攲㈵㠷㠹㍦挴〷㠳㐱㉢挵捤㑢㑦㔹㤲换慢慣戴㡣㉢㌸㔴搱扢づ搱昸戴㐵搹晢晦㜶ㄶ挵㌵挱敥昷㑤㤳愵㍦愰㕡㌹㠳㌹㜵㕤〲〱㉢㔲㕡〰ㄲ〰慢〰㔶〳慣㈱㈰㝤㐸㘶㜲㐹㡡挲㥡ぢ戳挲㥣㌴愳攷扣〹㜹㠲改攳ㄳㅥ戵㤱㉢ㄱ㡤㠲摣㡢ㅥ㘵ㅤ㌵㈹敢〱㙥㈰㄰㡢㠵攴つ攸㈴挷㤴ㅢ昱摡㐸㈰晥挱戹慦㉤晣昴㥢㤷㕥㝡㝡晥㠹ㅦ挶㐲ㄲ㙣昸㈷㍦㘹攰扤㈸晣㘰㈳捦挳㤵㑣㍡㍦摤㜰戸ㄶ㈹づ愸敥㠴〷㉤慣㡢挴㕥㤵㑤〰㌷ㄱ㠸摦㑣攰昰〱㘶㤰づ㕦㉦愷㐵挲ㄱ㜴搵挳ㄱ慣㔹㙦㡥捣㔹搹〹挷戶挸㠵敢㔵㍤戵㍢㑢ㅥ㠰㉢愸戲㌹㘰愷昲㥥㙣ㅥ搰改ㄵ㌷㠷搹ㄴ㔳扤ㄴ搹㘸慦挹ㅣ㈰敦㠱ㅢ搱晥摣慣㘴晡〷㝦㉦㜳戳ち㍣㠴㝥戲㐹戳㌲㤵挸挸挶㑤㔸ㄹ㌶敢㘱敡〶㜳㐸㈵て挳㔳愸㔳ㅢㅦ攵㤷㌰戲㠹户ㄵ㐶挷㠲ㅡ捤㤰攰挵戲㔹ㅡ㜹㠳㍦㔳〸愴っ㤱㔹ち㠵㈳〱慣㔶㥦愳㥥㙥戸挹㠰扣挹㕥㥢㍣㐸挶㥤㔸㤰㕤㤶㐹扡攴扡捣慡搶㜲戸ㄸ㠳搹㡣㍦㉤㉤㘵扦㘳攷愷攰㘶㕣慦㜹㌰㔷㐸戹㠵挰戳晦㝥改摥㉤㍦㜸攵㑡昰㝥㠴昴㠷㍦ち扣㄰〵挲㡥㉡扤昸愳摣㐶慦㔸㍤㥣〴㜷愵愶㤹㕤挲ㅢ㠲㍥挷㑤摡敤愸挳戸㝢ㄷ攵㤵戹㈹搶㘴ㅥ戳㥤挹㡣㙤㑦㠲昹捤扣收㑥㌰收挱㘷㙡っ㕣㐴㤴〵㐱〸㠷㉢㥣愳㌲攷ち摥㤶扣㠵㐰换挲攳㈷ㄷ㑥㍦㍥晦晡㜳敦㕤㌸㝤改搵㕦捡户㔳㘳ㄸ晥摢㔶㉡昴捣㥦扡戰昰㤳㔷攷㕦㝥㝣攱昴昹㠵㜳慦捥㍦㝢晥搲搹㤳㘳挳ぢ捦㥣㕦昸晡ぢ敦扦昲㡢昹㌳㡦扥㝦攱㤵昷摥㜸㙤慣㈳戹㍤晤挱搹㥦㕦㍡昵昲晣昹攷㍦昸挶ㄳ敦㥦㝤㌱㌹㙢戸愶昰㔷愲ㄴ晣戴户㥦㍣戳攷捥挶㐷て扥搸挳晥昴搶ㅦ摥ㅥㄳ晥ㄲ㈰慡㍤㉦〹㜶慣㕡㤸戸敢㔸㍣㤳捡㑥㍢㔸㈸㔹㍢㙡改㥥摢愸㜵攷㍤扢㑦昷㝡㕤㉦慥ㄱ愰㈲ㅦ戲㤱㥢敦戲㐱㙤摡㤸捥㘶㐶㠹㥣户㉥㐶㤱㔷㥤捡扢㥥捤昵攴㤶挵昸㕥晢戰敤昵敡敥㤴愱捥㙤慥㠱昶㌱挷㈶㤸㐵晥㠴㐳㙥挵搵㍡搹㔳㔳㉣㔷㘳㡤㈳㜶摥挹戲晥摥㤵攰㤱〸扥挲㠷㐸愶㐸摤㠵㉤㑢㥦挰㘵㜴㠷ㄴ㡢㈴㠷挲㌲て㌴㝥慡㈸㙤㌴ぢ〵戳〲ㅤ㌴捡㌶㉡搲㜹㈳攱㤴慢㉦㈲㘵㍥づ㑣㜲㑣㈳戶晡㙤㑤㠱ㄳ摤㙦戹㝡㡥挵㠲摡㈱摤㙡づ㡡㠳㜹慦〲愳捥慥〹㌰摤㠶㌱㘸ㄱ敢戳慡㤳㕢〹㕣愱㡤搱攳戳㐴㤰改㙦㜹㠴昶愷〹㠵㉥ㄷ戲㄰㤷ㅦ㈱㝢昶㌹㙡〶慤攱㑣搴戴㕤㐵㜵愴㐲㤹㡢〸昵㙤〲戹㡢捤㔱搴づ㌱搵攲㕣ㄸ昱㜲扤㙣扡㤹昷㘰㈴攰ㄴ捣ㅡ㙣㑤㘵㤵ㅦ㘱㡡搶㥤㜱㙤㈳敦戱收㘲㠹㉢扡愲つ㌳㐳㠵扢ㅦ㉦㤶㠶戲ㅥ〵㐴挵昹攰捡慦ㅣづㄱ㐵㈲〱㤷〴捥㈷戹㡥昰㔶㙥〲㍡戴㑣慥搲攱慣昱攷㕦㝢㠵敦㍦㠳攷挷㝢㐳㠵㐲っ㑦㐸㠲㈷㜲敤晥㍣㌴㘹㑤㈱捣昴㉤ㅣ㌷㕥昱㐲ㅢ㕣改㈶㡤摢㍤㡡㤷㤱挷㘸㠱敡ㄸ㤴㘴昲昴慣㙡ㄸ㜳捤㕡扦㤵㌵昲㌹㌶愰㘶㤸㔱戰搹戶㘳慥㄰㝥昱晣㥢捦慢㍡㜴〹㠲㥣㝥㑡挲ㄵ愲㠷㘵㥢戹㤰㤲㈴戲㜲慦㠲收㠸㈹敤㔴〳㙢攰扡㝦攲攰〹づ捡敡㔲攸捦搳㐳㘴摡ㄶ㌵挱愶挱㤷㉣挶㕦㕣攳捡扡つ搸〳㌶挵挶戹戲愶〳扡摦戴㘲昴㡡戳㐹㤶攵攵ㅥ㌰㐴㉢㝡㉥〷㡥ㅣㄹ㍤扦扥ㄷ昴〷〷㄰攷㔴㝢愱㘵㡥〸㍦晢戹ㄱ挴㜱搴〲ぢ收㍢づ愳扡㘷戰㐶㡤攳㜹㌹ち㤵〰㌵ㅢ戴搱〹昲攸㝡㥢戴晤㡥㥥㌳㜴㡢挱〹愱㕣つ㔲㜲〳㙣㥣戲ち㐳戶慢㈳攳摢愴㡤㍡慡攵㑥挱㜱捦捥慤慥愸㜱㘶㐹㕡㡦㙥㤱〲昹摦㐴戹㐵ㅢ㤹戰㘷㈸㘹㥣㌷慤晤敡㤴扢㈲ㄸ㠵㌴戴晦昸㕡㈵ち愲㈸㐴挵攸㜲捦㉡㤲㜰㥡㜲㍢㑤㈹〲〴慣㐲㌴㕡㐷㕦挱愵㈰愷〳㝤挵㥡㉡ㄲ慦㌵㘳捡㘲挶ㅤ㌶㔸改挰ㄸ㝣昱晥晤㐷晢㑢㤹挰㑦㤵㌶㤷㄰㍦搷㌹ち戸㔸ㄴ搳づ㄰挷㘶㕦㔴搰〶挹㔱㌸挷㔱慢ㄶ扦㤸挶晢㐰ㄲ改昴㐴㜷ㄴ晢㈸㈶㡣㤳攲㤳改愵㔸㥡㙣㙥戳㕦㠱㍢㘷慡㠶ㅢ攰㔲戶㘹慡㄰㉤㠸攵〸搹㙤ㄶ攵扥㌵㔹ㄲ㐵㈳挰攵㉦㘸㔲㘷愹㐹㥤攵㑤㜴ㅣ㈳㤵挸换㤸换ㅥ㔷ㅤ摤㥢㌰昵㙣ㄴㄵ愴晢㔶㠴㑣㤲〸昱昸㤵〸㡡㠷ぢ㈶㌹慡搵㜱扢ㅦ㙡ㄲ扢㤳ㄴ㍢㠰㜴㕣敡愲㠲挸捦㜰㘱㤹㜹ㅡㄲ㕦㙥散㤵㥤昴㘹㠹㕦搰㈰㠲挶㔳收㠰㔱ぢ㌷㐲〲㔲㉡㐰㉢扢〸㘰搵晣ㅦ㐹㡣扡搱㌳㈲扣搸㠰慤收晡㈸㈳㙣㍢つ挱㌵㑦㤴㔸ぢ㤳攲㈴㤰㌱㐹㔱慥㤱㜲㤸搳攴〷㍢㔱㌴㡣㔰㉥㈲㠲㕣㡢散昳㄰戴〹㐹㔲㘳戴搶户晡ぢ㜳㙤づ㈲换昲敢慡晥㐵昳㝦㜸㘴昷㕥㙣㈴ㄶ挳㝤㠹㜲㌷㐰㈷〱〱戹ㄸ散愷慡挳㙥㜴搸㐳㐰㐲㐸㕥慤㈵㑢㘶ㄷ㌰戹㘴㈲敢ㄱ㌵戱ㅤ㜲㌷㘴捡㠵㔰昶㠴㐸㈲㌷㐶㤱㝤㔰敥㈱昰晢㡢ㄷ扢攸ㄵㄲ㙥㈳㔰昸㍥摥戱ㄸ㠸愷摣ぢ昰㜹〲ㄲ㈲㤰㙢㡢㜸㌰㌰㔱ㄶ㠶㐲㐷摤㔵摡㤱扣㙡搰㡤捤㈰昹㐲ㅥ㥡㔶㠲ㄲ㐴㝣㡦戴晡㉥愲昲㈲㠷㠲㌹扥㠵㉦㝤ㄹ挹㤱㙡ㅡ㔴昶つ昶收愲攷昲㍣搶㤸昴㙢捡〹㕣摢㔷㈰㐹つ搳挸㜴愵搳㤴〱愲ㅡㄸㅦ㔳扥〰ㄸぢ〹㠸ㄴ戹摡搰㘹㕥㝣〴挴㌴㡢㕡㈵昸㕦㜵づ㡦㉡㘷て攳搷㤴㐴ㅤ㐶慤捤挰扤㙣㉤ㅤ愹㍣㐳敥挳攷攱摦昱㌵㜴㔳〱敡捦㑤〰㡥ㄷ摥摡ㄳㄴ戸ㅣ挳㐴㕣搵㉡挱㈰㔰ㄸ㑢昶㘹挴㥢㌳攸㑣㐰ㄱ搹㈱扦〴㈵昰搱戴㘸摢㈱〷㌷㔲㥤っ㉥㡥㐵㌶愵㜱㙤㔵昲㥤て〳〶收㑦扡㐰㉣㕡㜲㍣㜶㔰攲ち挶攰㤱㝢〹慣㍤愴㘷ㅤ摢戵㌵慦㜵㠴晣㥡㔶㕣挷㘸攴攱㜶㑢㙦搰㡣㌵扦挹㉤㥤㠵换㑤捥攸搸愴㘵捦㔸㝣㌵㤲㡢㕢㈹㑥慦㠶〶㝣〶㝥㉦㝦㍥㑢㔴㑣ㄴ㑣愵搲㐷㙤捡㝥㠰〳〰晤〴ㄲ㌰㍣ㄸ㈹摦㑦㘰㑢慡㈷㌵㥣摥搳㥥敢摣㤵改搴戶摦扤㍢戳㜳挷ㅥ㉤㤳换戲敤搹捥㜶戵㘳晢敥㡥散捥㕤〹㙥愷愸扢㜲㤰㐰〲㤶㠹㝦㝢〰㌵㤸㈸㕥〳慥〵㤶〵㡢㠱㐴㕥搷㈷〱㝢〴愱㤰てㄳ㘸㑥昵愴换㥣ㅡ㜹㤰摡攲搴挶捤昶㌰㕤ち挹㐳搴戲㡡㕡㉡㉦㡤ㄳ㌰㘸㤸愵㜴戵慡㡣㔰㔵㠰摥昰㕤㡣〶ㅤ搰㈹㔱㔰ㅥ攱扥〲扡搸〲㜴㌷〱㌰㐹ㄹ〳㌸㐶愰㐹㑣㐰㠰㜹攳〳愸㠷㈵昰攰摥愵昳㐵㘵扢㘸㈳㑤慢戸㔷摢㐷昷㘴㜳㔰㡦㌰㥤㐹ㄲ摦㕢㐴扣㘷㜹㜳挱㡥挱㤱攳晦㉦㤰挸㝤㡡㜹㐰愸㤲㤸㘳㐶ㅣ㔱㔱ち摦㈰㙢搸戰昰㍣㝤〱㕦㠱㜰㜲昳㐴敦㡦慥〸㄰㐳㡥㝦㉥挰㈳㕢㔲㠶㠷㠴㜲晣㡦〲㍣づ愴ㄲ㕥㠲㡣搵っち敢摤搸换㌴㘸㥤搹敦㤲㕣搰㑤挷愸摤㕤晣搵挰慡㠲扣戴ㄵ㙥㔹戶㤴㕡ち搹㤷挲戰㐱愷㌸㡥㉥つ挸昲ㄲ愲つ㜷㌲敢㑡戵戲敢㠲㑤愵㔶㑡戵㔱〲㠰攵ち㌳扡㜴㜳㄰ㄱ挳挲㕤戵㔸ㄹ愴挴㈹〷㕤㤸㘰㥦㤵㌷㜱戲㙥慡攱㘷昴攸ㅥ户戱㤰㌸㐱㠱㑡换㕦〱攸摡㥣摡扣愳㔳㍡㑢㘴晣〴㕦愹㘴㉣扥㠹㈷愶ㅣ㈷㈸㐰摢㌱ㅦ扤㐲〲㤴㈶㑥晦捡ㄶ㠰摢〱戶ㄲ㄰㑥㔳㠷㥡改敥㔳〱愲㍡摤㥤㠰挲㜱㝤搱㌰挹㌸挰〴㠱㤸〰愵攲戲昰㌴つ㠵㉣慤愷㠶㈸㘵㐲愱㘸ㅣ昱扤〰㜱〳㄰㔱慡㕣㤱愰㜴㌵㌷捣〳搵愴敦搱㤷㙥攸㈱㝥㤲㠶挳愲㔱昳㉦挸愱㈷㍣㈹㙡㜰㑢ㅢ㈷攷摥愱㍢昲〱㡡㔵挹愵愷摦㜸〴〶㠵㘲㔸㌸㔹〵昷㔱攱㌵っ㤶戵㐱㠷晣挹〶慤摦愵㠸㌸ㄷ愵扢㈷㡦㝥戳㘰慤〴愷㠷捥扥〸散〹㔹ㄴ攴戱挵㥡挷づ㔴戶摡摤㉣ぢ晢㑢昴㈸愴㝥㐴㡡㘶㤷ㄹっ挸㤳昴㌱挵扦㉣㥤㍦昹愶㈸㝣㤷㤸㠸〳㌱昶捦敤㌷㜲㐹㠳㝦愰㤸搴㑢戶戰㙣㔲ぢ挱摦〱㠹愵㡤挱ㅢち㈰ㄴ㌹㑥挵㝡㑡〲㥢摥㘰愶㔵晣㤴㉣㙡愶つ㘶㡤㝢ㄳ挵㥦㡦㤱戸搳愵㥣㜲㠲㍡攱ぢ昸ㄷ㈰㤳㕣搴扥㐳㙢㠲っ攲晣㠸㡡戲〰㌹攵㠸㙦〷〸昸搲㔱ち愲㈰扢ㅣ昱慤〰㠱ㄳ㐳挹ㄳ㤰戰㡢㙢㈶㉣㔴㜱㤹㙥搶㌴つㄵ㐰ㅢ捣愱捣〴〵㔴㕡戰㌹ㄴ愲㈰㐵ぢ㔶〵㘵ㄲ㘷㠵散昱摣昱攳ㅦ戵㐴㕡㌷㐶ㅥ戸㉦晥捣摦摦㝡昷愹㜷ㅥ散扡昴昱改搳敦扣昷搴挵㡦摦捣㜴晤昶摣戹摦摣晦散挵㜷㔷㙢㘷挴搷㍥ㅡ㌸昳㜰挷攴挳㈷戴愳㜷敤㝦昸㡢てㅤ改ㄸ㕡搵ㄶづ㌷㌴㙣㕤昳扢つ㜷㈴㑥㥥昸㤹昰慢扦摤㘰〹㝣㈵昴〱愵㜰㙣㔲㌹㤴挰㡡戸挶捦㔱愱㈹㉣攰挵㐹昶㔸㐰戲ㅥ㙡㈰㐵㙦晣ㅦ㜲挴㕣㉡</t>
  </si>
  <si>
    <t>Decisioneering:7.0.0.0</t>
  </si>
  <si>
    <t>CB_Block_7.4.0.0:1</t>
  </si>
  <si>
    <t>㜸〱敤㔹㝢㙣㔳搷ㄹ昷戵攳㙢㕦攷㠱㘹挵愶慥摤愰ㅡっ戲㠰㘷㍢㜶ㄲ戳〵㐸ㅣㅥ㈹㡦愴㐹㐸改㘳扢㕣摢㈷㠹挱㡦㘰摦㘴㐹ㅢ戶〰㙤㐳愰慣㑣ㄴ㌶挴慢㌰㔱㤸愶〲摢扡搲〵㔸戵㙡搲扡慡摡搸㈶㑤摡㍦摤㍦㜱㐲㌴㈶㌶㌴㔵㙣㔲挷扥摦戹昷㍡㑥攲㈴㕢〵㥡愶敤㐸昹㝣捥昷㝤攷㍢摦晤㕥攷ㄱ㤳㘰㌲㤹敥㔲挳㉦㕡〱㍡㡦㌴昷愶㔵ㄶ㜷〵㤳戱ㄸぢ慢搱㘴㈲敤慡㐹愵㤴摥つ搱戴㙡㈱〶㔱㡥ㄲ㍤㙤㤵搳搱㘷㤹㕤敥㘶愹㌴㌱㔹㑤㈶扢㕤㌲㐳㡡晥攷㌴〶ㄲ㘶㐹㐰㑢挴㘵㤲㐴〲㐵㌶〲㉤挱摡㠶搰㌶㕡愴㔹㑤愶搸搲〵慤㥡愸㙡㡦挷攵㜱昹㍣㙥户换扤㜴㐱戰㉢愶㜶愵㔸㜵㠲㜵愹㈹㈵戶㜴㐱㘳㔷㈸ㄶつ慦㘷扤㉤挹敤㉣㔱捤㐲敥昲㤰攲慢昲昸晣晥戶㐰愰慡挸㑥㤲㌷㌵〴㙢㕤㥢㤸㝡㡦㘴㕡昱〵㕦愸㘳攱㈸㍥㤵戱㔴㌴搱敥愲ㄵ㈶攸敦㙡攸㔴㕤つ捤摡ㄷ㐵扢ㄹ扥戰㐸㙥㑣戱㌶㤶㘲㠹㌰㑢㤷挸慢㝢挲㉣ㄶ㘴戱㔸ㄳ㙢㑢ㄷ捡㙢㔳挹慥捥晡㐴㠴昵ㄴ挸慤㑡捡㉥慦敤㡡㐶㌶㉡㥤挵昱捤㘹搶愴㈴摡搹㈶㈵捥慣㜱愰捤〵愶〲㡢挹攲㤹㑤㠹㘰㙤愵㙢挲㌲㔰挳扥㘰搲㌴㤸㠷搴㕤捦㔲〹ㄶ㜳㤱捡㌰㕡㍥捦慦㔳搲ㅤ慡ㄲ㡡㌱愱㔰㡦ぢ㈸〳㤹づ㐹㈲㠸㈶㌹〰ち〹〸〵㝦愵㜰捡攵〴搶㉣㉢㘶㌹㘴㤶挳㘶㌹㘲㤶㤹㔹㙥㌳换敤㘶戹挳㉣㐷捤昲㌶戳扣㥤㜸㡣㘶户搹捣㝡㍢搴㝦摢晢昴挵昷搷㥥戹扥㘴㌸搹昳㡦㡦慣㠸愰㔹扦㕦㜳㐲ㄳ摢搱ㄵ㑤戱㌸㑢愸晦㍤㙥㈰愵㍦㡥ㅢ㡡㜵摢㐹㈵搴㤱收㄰㄰㠴㍦㤳ㅢ攰㡡摤㉢㥢ㄷ晦㝥晦扡摡换昱挶搸摦㔶㝣搸㈱㈰〱㘱㐷㠷㌴㤷㈰㥡昴〰挰㠳〴〴攱愶㍥敤㜸捤㘶攷㘸搳慦搷㕥ㄱ扦户捦㕡戸攱㤰㠰㤴搵愶捤愳ㅥ㥡昴〹㠰㑦ㄲ㄰㠴ㅢ晡戴愲㜷昷晥攱㑥敦捡㠶㘳扥㝤㝢敡㝥搶戳挵㡡〸㤹搵㘳㔳㈲ㄶ㜵㐳攲㐱㑦㐹㥥戶挶搷㈴㔳㘹㡢㘵挶攸㥣㤱㠸〸㤰ㅥ〲昸ㄴ〱㉢愲㜵搶㝣挰搷〹㡡㄰戲挵㈹愰㌶戶愷慣㜱㉤ㄵ敢㔸㍡㉣挵㈹㔹㜹摡㡡搴㡢㜵戱愲㜸㌰㤹㔰㔹㡦㕡愷愸㡡㉤摥愸㔰扥慢㈵㌴㤱昸捡㜴〱㐵挶㄰㜲戲〳㠸㜳ㅡㄴ㐳㙡昱㌸㠲㠴㍦㘸㡣㜲搶挸捡搶㤶㤲昸㍡㄰慣昵㈰戵㤸攳っ㤱づ㝤㐴昲㥣扣㥢㈳慣㤰㈳㌴㐹〵〵〵〲㙤〲ㄶ攳㐷ㅢ㤴捥㔶㍤戰㑦㜴戳㌵㕤〹挴㙦搹扦挶摤搲摢挹搲攰晦散捣晣摣晣攰戳㡢㌳㝡㜹㘱㍥㌱攱搰㘶㌵ㅡ㑢扢攸ㄳ㜹戱晤㑦慣㜷慦昴㠶敥づ㙢㠶㜲敤摦戱㌰戶㜴㕢㌷愲㔴㤶㘹㠷愶ㄱ㌰づ昱ㄱ㠲㈵㌹扢搵昲昲攵攲愷〹挷て〴昸㐵㤳㍥㐳挰攱㤰挰㉣㠱㑡㡢摦愵ㅦ摥㌴攲㑣戴〲㔴晦ㄹ㥤挶㌷㤲つ㐹㈵戲㐶〹搳ㄹ挰愶㥦〰散挱㘴扣㤳戲㈸攵挴晥ㄳ㑣㐶㔸㘳㉡搹ㅤ㡤戰㤴ㅤ㠸㘶㍡㜸ㄴ愰㌶㠸㍣晤搲ㄴ戰ㄶ㤳搵㕡㘸捦户㔶扤㈱㙢㘱㥥㠳㑤晤ㄴ昹㌷ㅦ慦㕡戹㠸搴㜶㌸昸愹〵㕤改㜳〴〴㤴㔹搴㌳㘹㌱挰ㄲ〲㔶ㄴ摣㤹㉢〹㤵昴晦搱㑡㠲搳攴搴㑡㈲㡡晦捦昶〹㠷㐸㝥㄰换㔷愵㤰愹㕡扢愳㘷摣㥤扢づ戱㤴㔰捥㠶收㥣攳つ攵敤搴捣㉣㈳㌶㑡㕢㜰㑦㐳㥣㠹㈶攰っ㠱搴㐵㉥捣攷愲㜸㉥㜸㈱慥㥣㠰㠰戳〳捦〵ㅦ㍡㝥愰㜰㡡㐰㍥㘸㉤㔷攷ち㐲㑤搲搹㥢㐷攷㉡㘲㈳㥤挱㍤㔵㘷㑥㥣㠹㈶攰〰㘳攸晣㘵㉥㡡敢扣ㄲ攲㔶ㄱ㄰㜰㜰攱㍡搷愰㔳ぢㄴ㔲㌳扦捥㐱愲ㄴ㑦戰昳㔴㥤㔶ㄳて㈹っ搶㘹㠸㌳搱〴ㅣ㥤っ㠵敢戹㈸慥昰〶㠸摢㐸㐰挰㠹挵㘰攰㌵㕢慢㐸㥢挰搰〰〶㥣㘶昲㌰㌴㠲攱㜱㌰愰㝡ㅢっ㈷攸攴攷㜰㜰挷㌵㠱愱㤹㠰ㄳ搵つ愲昹扥㘰㜲昲㍡〷㘲ぢ昰愸㜳挶散㥣昵㌷㠳愱ㄵっ愸㠱㜹ㄸ㥥〰挳ㄶ㌰㤴攵㌰摣㈶摢敢敢㍦〹㠶愷〸㌸ㄱ㔱㌹敢昳搸〲昱㘹攰ㄱ㕢㜹挴㍦〳〶㜸㔸㐰摣攵㘱昸ちㄸ㘴㌰㈰㙡っ㠶㘵㜴散搳搷摦ち〶㠵㠰ㄳ搱㤱戳晥㉡㝤㈸㠵搰愹㈱㘰捣〶㤳扥㈳㠴愹㉢㐵挰㠰ㄸ捡挳挰挰搰〶〶㐴㠸挱戰㠸戶㍡㝤晤㜶㌰㜴㄰㜰挲搹㌹敢㜳户㠳ㄸ〵ㄱ㡥〶㔱摣㐶㘰㔱戰㌶搸㈴㝢㍣㈱㜷愰㥣昹㈲ㄵㄱ扡敥㠶㈳㔵ㄵ攵攱㐰挰ㅦ慥㘲晥戰摦ㅤ愸㜰昲戸㈰㜶㘹㍢〱㈷㈲〱ㄲ愴ㄸ㐶㍣㈴㌰攲㌴〴〱㠵㠴㐹㑣㄰㈸づ搶捡㜴捣慣㠹㜴㌷慢㡡㉡㈶〹㘵㤳㔷敦愰㑤户㔳散愴㐱㠹㐶㙦愶㕢ㄵ㙥戲攲㡥昱㌹㜴搷㡣㜵㐵㤸㤸㈲搴㕣戰昱ぢ㝤㝤㠴㑥挰㔱戵搷㠹㌰攳换愴愹㔳㐸〲㐳㑡㈸ㅡ㈳㡡愸ㄲ㘲扦昰㕣㕦㔳㌲愹昶㡤㥤㜹㝥攴㐷晢晢㌲挷慥㡤晣昰㔲收挲攰挸昱愱㤱㌳㤷㌲愷㠶㐶㑦昷户㌶㡤ㅣㅤㅡ㜹攱摣㡤㡢㍦挹扣扡晢挶戵㡢挳㔷摥㙣昵戸扣昲搸改ㅦ㡦ㅥ扢㤰ㄹ㝡㙤㙣攰攵ㅢ愷捦㉦换扣㝥搰搵ㄳ㑢挷晢㐶晡慦㡣㥣㍦㥤㌹㐹〲㉦㥦ㅤ扥㜶㥣攸㤹㕤㉦㘷㉥㕦㜰〵㔷㌷戵搴搴㙦㙡㜹㜲挹㌲㝡㘳昰慣㉥㉢㜷㔷㉥㜵扢捡〳ㄵ愵㍢戵㈴戰ぢ㈶愹㡢㔴戳㈱〷戸昵㜰ㅤ戱攴摥㘹㠵㝤晡㝤攷搱㥢㝦㕣户昷㑦ㅦ慤㌹户㘲摤㘳㍢㕢㤷ㅦ㄰〶㜵挲昵㠳慦〶㑡ぢ㜷慦㍦㕦换㝥昳摥㉦慦户㍡㤱㌴摣㤷㍤搴搱㝣改㙦㜳㐷捡摢㐲ㄵㄵㅥ㕦㠵慦㉡㔰㔱攵㡦㤴扢㤵㠸捦敤昳㠵㈲㡡慦搲挹㜳㡣搸愵㕥〲㑥㘴ㄵ昷攵戳ㄸ昱昴捡搲㤰㔰摣挸㝤搴㤹攴换㥤㠴捡晡昲㙢㌴㤸散换慦㡦捦㌱㝣搹㑦愸㍣扥㐴捡昲㘵㜶㔱㐷ち戲㤴慡㐴ㄳ攴挹摤㌴㍣㜲扦㍤㌹戶敢㕢愳㠷㡦㡥㕥ㅤㅡ㍢㝡㜹昴ㅢ〳户慥敥ㅤ㍢㜱㔲ぢ㡣㕢㔷〷㜳ㅣ敢㈶㝦扡晤扥搲㥤㉢慡摤慥㠰摤づ昷挱愹㝢攸搷㠶挲㌲㡤㔳晢㜴摦晤昶愹㜰晣戶晡㔰戰晦㠳扦昷㝦昵挴㕢㌱攱戹改㥣㡡㑡挴㥤晡㈲㜵㌴愷㔶㜹㐲㕥㘴愲ㄲ〸昹㝤㍥收愱㜱㐵㐰㜱㤷㝢㈳愱㐸挴摦收㜳昲挲㐵散搲〰〱㈷㑡ㄵ㜷敡㕥㡣㜸捤捡搲戶㔲て搶㤶攰㔴〹㙥㤴攰㍥〹晥㤲晡〹㌸ㄵ〲㥣〳晥㄰てㄲ㌸㜸扦扤㤰㌹㜰㜸昸摡㠱ㅢ攷㥥㐷㝥㕤㍥㍢㜲晣㔴慥攵㕤摥㑡㑦ㄵ㤹扦愲戲㜴攷㠲ㄵ搵ぢ戸晤昱㝤戰晦㌷改搷ㄶ㈲㌰㡤晤ㄳ扡㤹敦㝥㘰戹昵挶愱㕦㌵っㄴ㕡㠷㑥㉥晡昰㜷㐲㝣㍡晢愳ㄲ㐳扡昸ち〱捤晥㕥㕦㈰攴昵㤵㝢挳〱慦挷挷挲㔵㔵扥㠸愷捤㐷敦㠳〱敡㠷扣㤵㑥㕥戸㠹㕤㍡㑣挰挹〸㐰㠲㜴〴㈳㕥戳㌱攲㌴㔴改㤹敤㡦ㄲ㍥㙥晦㤳㌴摡㜳扦敤㍦晡捡愹攱愱㜳ㄴ晦ㄳ捣敥㠳捤㜳㑣㑥㥡㜰㤳㥦愲㕦ㅢ昶㤲㘹㑣扥㔵户㙣㐴㑡㡡敦㝣愹收戱㈳搶㥢㝦㌹搲戱攷〵㐱㥥挶攴㔶㙣ㅤ敥㐹ㄷ敤㈹敦愰㤳ㅦ㜴㐴㥡㌴㉦㕥㥦愶㐷㑦㝡攰㙤㐹搶㘴㥦㌶攷昲晢ㅢ攱换㡣攷㥥㐵攳㤸㥡㔰㍡ㄹ敢㔲㤹㌱慤㈱㤵㥤㐷㡦ㅢ㜴愱攵昳攸㜱㘸摥昸㈸攷㔹攳攱㜱㙣㝤㈲㑤挵㡡㐵っ㠹㘹㝡戳㉡㌰㕢〴晦㙣㕦㐲㝢㈲㕥㜴戵㠷ㅣ攳摤㤶㌶㜲搳挳㜹敥㤲戵㔱㤵扦㤳㠳㉥㐸搸戴挵敦㄰㤰慡ㄷ搶㉣愴户㙣㜷愵昵ㄹ㌲敢挷㕢ㄳ㐱㍡㝥㡢挷ち㘸づ改㉣㐱〱扢㍢㐴〳㔵昴ㅡ〱扡㔴搴㈵攳㔴㥣敦搵昳㌷㌶挴挹㡦づ摣敤摡㌲搹㜷㜰㘳摢㐷㔶ㄴ挵ㅢ挲愱㤶ㄴ攳㙦搸㜶㍥愰ㄷ㥦攲昸ㄳ挹搴昶㔰㌲戹ㅤ捦㔵㈵㝣㤴敥㘰㑣挵戳㜲㘱㕣㍢㍤愰㉦〸㠲㘵挲慥㥢扢〳攳㈳挵㜳〴收㡣っ昶㡦ㅣㅦ搴戶昹搱㑢㙦㡢攷〹㘹㈱㈹攲㜷愹攳摡戲㘵换㤴㔳㠲㜶搴ㄸ㜹㘹㈰㜳昱敡昰搵㙦㘷㕥㍡㌲㍡戸㤷㥦ㅢ㠴㔶㍤散摦㘹㥡㔳㍢晦㡤挵敢捦㝥晥晤挲搲敡〷ㄴ㘱戳㑥㤸晣㈴㉤㘰㙢㐶㑥〸ㄲ㌶㜶昱㜵〲㔹㝦㤷ぢ㑤㌴捤㜰㡣㐳扡〸㍥散摥〶㑡挰㤶〴搳㡡㤷〸㑣昹㤴敦ㄳ搲㐲㌷㍤昱〷搴㤹㥦昷㔳昸㥥愸改扥㜱㍡摤㌷攸㠴㈹㑦挱〳㈴㔶搳晤㐵敡㠹㙦ㄲ挸敡敥ㄵ敡㈷攸晥ㄶㄱ〵㙣㔲㔹摤㔱捥愱扢〴摤㈵攸㉡㐱㑦愱㙥㍡㍤㠲㍡㘱捡摢㌲慡慤愶〷敡戸昸㌶㐴ㄹ㌹攳ㄱ㔶㑤搰攳愷㔸〲挵㍡慢〷㙡㕣㍥㍤扥㌸㥤ㅥ换㜵挲攴挷敡〲攴搲㑣㜹㙤㈱扡㉤㉥㉢昸㕦㤸㍤㉥挷㔸愲㕤敤挸晥晦㡢㜲搲㑥晦〰晢㌹㌱攱挴㠱㈶挰攳㤰㉡扤㑢㈰㡢㠵㉤㌹昶ㄷ戹㔸㝣ㄹ挷扥㤷㠳㥤〳㜱挸㝤㍢晤㤹收㐰捣昸〸搳挷㐷㤸㤶ㅤㄵ晥ㄳ晡晢㍣〴</t>
  </si>
  <si>
    <t>㜸〱敤㕣㕢㙣ㅣ㔷ㄹ摥㌳摥㕤敦慣敤搸㡤搳㑢㑡㘹つ愵昴攲攰挶㘹㐳㈹㄰㠲㉦捤愵㌸戱ㅢ㍢㈹〸慡捤㜸昷㑣㍣捤捥㡣㍢㌳敢挴愵㔲㉢㘸㈹〸ちㄲ㌷㔱㈸ㄷ㔵〸㠹〷㙥㉦㕣晢㠲㠴〴㐲㐵攲〱㤰㤰㜸㈸ㄵ㠲〷㄰㡡〴てㄵ慡〴摦㜷㘶㘶㜷㘶搷㍢㜶户㉤戸挸愷摤摦㘷捥㙤捥㌹晦昵晣晦㤹攴㐴㉥㤷晢㌷ㄲ晦㌲攵㤹戹㘶㜱摤て愴㍤㌱攳搶敢戲ㅡ㔸慥攳㑦㑣㜹㥥戱㍥㘷昹㐱ㅦㅡㄴ㉢ㄶ敡晤㐲挵户ㅥ㤴愵捡㥡昴㝣㌴㉡攴㜲愵㤲慥愱㥥㠳昰㌷ㄲ㍦攸散㌵㤸〷㔸㥡㤹㥥㕦扥ㅦ愳㉥〶慥㈷昷㡤㥤〹晢ㅥ㥡㥣㥣㤸㥣戸㝤㜲晦晥㠹晤晢挶㘶ㅡ昵愰攱挹㐳㡥㙣〴㥥㔱摦㌷戶搰㔸慥㕢搵昷挸昵㈵昷扣㜴づ挹攵晤户㉤ㅢ户扦㙤昲昶㠳〷捤㍢敦㝣摢㈰㕥㥤㍢㌹㌳扤攰㐹搳㝦㠵挶㉣㜰捡户捦捡慡挵戵㐹改㔹捥戹㠹㤹㘹晣㥦㤸㍦㥥敥㤸㔸㕣㤱㌲攰慢愵㈷㥤慡昴㜵㜴ㅣ戰愷㝣扦㘱慦㜲昳㜴晢〸㤶㕡㌵晣愰㘰捦挸㝡㕤户攳㔱㑢昶㍣昶慥㙥慣て摡㡢搲昱慤挰㕡戳㠲昵愲扤㠴㠱㙡㐳昶㘹㕦㥥㌲㥣㜳昲愴㘱换㠲㝤戴㘱搵昲㘱捡昵摤ㄸて㤱㥣㤸㕡晥挴㤴㙦捦慣ㄸ㥥㥡㤱捦㡤挹㘸㝢挴慢愶摢㕥摦㝤㕣㑥㕤扤㠱㘳摥搰扤ㅤ㙡捥ㄸ㕥戳攵㜸昷㤶搱攲搳㌳戸戵㝢晢挴ㅥ愵晢摣摣扤㡦摡捡㜴㙢㌱㄰搱户摡㔱㉣㐶㉦ㄲ昴ㄳ㤴〸㠸㐰扤㑣㌰㐰㌰〸㈰昲晦〰㤷㈴㍢戲㑡慢ㄸ㕡㘵㔹慢㔴戵㑡㑤慢㐸慤㘲㙡㤵㜳㕡㘵㐵慢㔸㕡攵㝥慤㜲ㅥ㙤攲㔴敡敦搷愲昴昹㥢㠷晥昵扢昱敡捣户敥晥攷ㅤ〷㝦㌶㌵㌷戸ぢ㡤敥㠹㈶㌵敢ㄹㄷ㐰㙡㉤㉡㍥㌰〱㥥搸ち㔷㠰㈹捣㠳收ㅤ收攴㘴敤攰㝥攳㌶愳挰㘵㘵㈰㍦㐵㈸㈳㘸㍢㘸摥㙢㌹㌵昷㠲挲摤㌵搳㠶㉦㕢ㅢ㌷ㅥ搵㑤扢つ愷收扦㙥攳捡挵挰〸攴搵敤㜵慤㐱㍡扡㉤㠲慤愴慦摥㜷㙤㝢户㌳㐶扤㈱愷㉥㕡㘱昵敢摢慡敤〵捦㕤敥㕥㝢挴㤳て㌴㙢㍢㘶㌴〵愱戶愶挶敥㔸㘵㔸ㄵ捥㙢㙣㘶挵昵愵愳愶㌷㙥㉦㔸搵昳搲㕢㤴ㄴ㠹戲愶㤶㝡㌹慢㈲慥ㅦ㥦㜷戰㔰㜰㙢敤㡤挹㔲昳慥㡢〱㤸㔹搶㌰摦㔵改〵敢㑢挶㜲㕤㕥㤱㙡ㄲ扥ㄳㄵ㝢㔳挵㐷摣㙡挳㥦㜱㥤挰㜳敢改㥡愹摡㥡〱㐹㔳㍢攱搶㘴㍥㥦㔳㐲〱〲户慦㑦㠸摣㉤摤㜹㐱㈱㈲㠱㘲㌲昲㔵㘹戲㥢㌸㠵搵㘱ㄵ㜵㐹㥡搴摥戴挹㘰㥣慦㤲㌱ㄹㅣ㤸㔸ㄳ昵〷㕦㝡搳㈶挳㌶㌱昷敡㌶搶戴搱㘸昵㜷慤㐹㈷㌸㘶㌸戵扡昴㌲戵㥦攰㡣昴㘱㠰挲㈵〸㠴慥扢㐷㔵㈷㉥㡡昵挲〵慢ㄶ慣ㄴ㔷愴㜵㙥㈵㐰ㄹ㌴㘴愹挴慤敤㐸晡㘵㈸搲㜷ㄳ㡣〲㤴换戹攲ㅥ㌶㉡㤶㤱㜲〵㑡愷っ㕥㑥〹㜲昶㑢昱昲愰㜹挴慡〷㌲ㄴ捡挳㈶㌰ㄲ㙡㌵㠵扥㈱㤲愸㘷㔴㐳㠵戱挷㥣〱㤵ㅡ㤶ㄳ慣户昸戶㠳㑢㐲㈲摡㤱〵摢㑥ㄶ㔰ㄴ愴攵㐱〶慦㠱㘸摡愴㐱㜶攳〴ㄱ㤱つ㌲㌴㍢㐶㑥ㄳㄹ摢㘷挸〸戴㑦ㄲ㈱㕢敦敦㉥㈳㐸散㥤㐴捡㑥㕤昹㜱㐷㥡㙤㘴换㠷搲散㜲㙣㥣㝥〵挱㤵〴㔷ㄱ散〵㄰㝦㠶㠴愳㤴㐳㍥㥤昴搷攱㔹扦㠶攰昵〰㤰㑦㍡㘵㑥㈴慡㘸㐳㙤挵㡥㘴扢㈱搸挹捡㈸づ㐵ㄱ㉤攳愶㥤㌹㘴㉢㐴㐷㔶攷昶搰戵㜹愵㘳摦摣㥤㌶㤳换㈱㐵㘶㌴㑤慥㜵㤳愶挹㡤㘰搳ㅥ昵搶㜵攸慡㡦ㄱ扣〱愰慣扦㤱㄰捡㠵〶敦搶㉣㝡㥡㤴慦〹戳㈸㌴㠶㝡㔴昰ㄱ㈱昳〸㤰㈱攴㍡㡥㉦㍢㌶㌴捤挱㜱昳㌵㙦㐳敦敢捥摦ㄱ搲摢昴收㡥摥愱扦攸㈵㕡搱搷㠳扤挴ㅦ扡敡㤸ㅢ㔰慤扦㤹攰㐶㠰㌶ㅤ挳搳昷㑢昵ㄴ㈸戳搸㑥㘰㙥㌷扤㉥捡捡㕤㕡㕦㤵㑡〳つ㥡㑢㠶㜷㑥〶昰㘰ㅣ㥦㠵㉤散㝡㥥慣攳㔰㕢㔳〵㍣扦㕣㤹㉥昴㡦㜸慥捤昲ㅤㅢ搹㝦㑤㈸㠶㝣㕥敢换戵搹挸ㄹ戶㘶挲攷㤴愰ㅣ敡攰摢扡ぢ㠹㐴愷㌴㜹戱㕦昶昹㜲㐷㤲昴㈰㐹㙥挶戶敡户〰㐰㑡㠸摦㜶㤵㈸晢搸散㉤慡㔹摡㘲愵㠷㉦攳㜴搲收㐳散㤰㈳〳愱挳㜶ㅡ晥〳㝦挸㕥戴散愶戰ㄸ戰ㄷ愴㔷㠵㙦挱慡换㜲攸㤶愵愸搹㤱ㄵ慦ㄱ㔹搱搷搷㜱㥥捥昰慦㈹㍡㘹㤳ㄲ㤹摣㥥㔹㤹㜱ㄶ㙦ㄱㄵ摤㤰ㄴ㉡ㄹ慥愱愶〴㈲攵戱敤㡥㠸改㐱挴摣㡡㡤搳昷ㄳ㑣ㄲㅣ〰㈸晣ち㤲㘶慢ㅢ捦㜰㔸晦ㅡ㕤摡㤵㑡慥㐴㌴㈸ㄷ攱戳㕤㠵搵㐱扥收慤〴㜷〰戴㤹㍦㜴㐰㘶㄰愲㐲㜹㠲㄰㔵ㄸ挳㍣㘳挹ぢ愴㠱㕤㈶〲㑢㌳つ㍦㜰㙤㐶㤶㠶捣㔹昷愴ㅢ捣㕡晥㉡㈲㔱愳㘶㤴戹㜷㐵㍡愰㉥て戶㑦㕢㤹扢扡㉡㙢扡戹攸㌶㈰摡㡥捦㙥㠷㠳㌹戶〳戶愴㍡㥢㙢〲愹户昳㌱㠶㄰搸㘹攵㙦愵㌷㜶㑢摥㙦ㅥ晡㠶㕢㍢扡㘴〵㜵㌹㘰㠶㑣挷㝣挹挴㉥㈲㜲㔰敢㌷㤷㔶㍣㈹㘷㠷捣愳㥥㔵慢㕢㡥㈴㌲㘰㘳㌲㔸㌷㈷捦㈱㑡戰攰㌲〶攸㍡㐳收㤲㘷㌸晥慡挱㠰攲晡敥搴㤳ち㡢ㄴ捣㘹换昱昱ㅡ㠵㐵收㠷捤挵ㄵ昷〲㈲戶つ摢㌹㙡慣晡摢〲㉢㈴晡㌰㈹搴〸㑤㘸㥡㈸㘹愵㕥昱挳〳㜹㉥㐷摥换ㄳ㈸㕣攵ち昴㤹㘷㘸㙦摡昵㔱㡣㠶㜶㍡攷㌴㠸攸㔱戳戰㉦㔳ち㤳㔳昵㍢搹攷敤〰㜷ㅦ㍤㝤扣ㄵ㤹㝢㔹㌱敢〲扤晣ㄹ㌲㕥㤱㐵㌳㄰㐲ㅦ摤慥㤰㔴㔸㐶捡〱〷〲攳㝣㙡㈷扦戲愹摡㤰晡㜶戵戲㐷㄰㐹ㅡ㌴攷㡣㘵㔹㐷㍣摡㌶㠲㕤攱〳捤㔸摢愸晢㔱摤㡣㙢摢〶㐹㡢㘴戹㔸㌵㐸挱㔳㡤挰㍤㘱㌹扡〹愰攸㉦㉡㌲㉥愲挸戸愸㡡〶捤㔳っつ慡㍣挷㜲捦ㄹ㥥ㄵ慣搸㔶戵挴〷㠶敦戶〵㑤㠲挹㈹㜹攳ㄴ换㡣戱㌶㙢晥㌴㑣㌶㝦〲攸㥥㠰ㅣ攵搶ㄱ晤愰㕣㑤ㄴ昱㥦攸搱戱〴〱愳㍣愵晡㍢㌱㕡㐱摤㡥㠰挸㔱改㔲㝣〷攳搲挳㈸〹㠵㄰戱㥥㐱㈲昰ち㈶㠴㍣㕤摣㐵昳戴㘳〵挰ㅥ㌱㜶挴ち㘶㝤愰ㅣ〰㔹㜵扣扤㕡㘱㌵搱㘹扣愹ㄵ慥敢慣㑡愹㠹㙢㍢敢㤳㝡攳㑤ㅢ㔴㠷ㅡ㈵愱㐸㌶㙢愴㌴换〶㜳摣㑥慡㐶㈸挵ㅤ㙢ㅢ㤱攵㌶㙤敤㍢愵挸换㔰㑣㡡㘶㜲晡扢ㄴ愱㈰搰ㅢ改㈸晡散戳挹㈳ㄱ戱愱つ㔰愶㥥ち换㠶愲㤰攰㜱㕣㍢愹挹㜲昴〴晥摥ㄵ㘵攷ㅢ㐱慡挶戸㌸ㅡ搵㑣搵敢昳づ慣㠴慡攱搵戶〹㑢㘳㙤愱㠶㔱摣搹慢昶て户㌷挱㠸ㄱㅢ㌲㉣㤲攱〷〶ㅢ㠲戹ㄲㄱ㔵㕡㘷㐳摣敡㘶㜱㠹㑦㈷愴攱㈸っ㉣〶戵㔹戹愶捣戰㤶㈵㍦慡㍡㌴㑦㡢㑡㡥敡收搴戲て㤵ㅥ㔰㡥㐷㌹挵攰扡㜹㡡㙥㈹㕣㘲㠰搸㡤㜲ぢ搵〰愱摤收〰㍣ㄹ㙣ㅦ散㘰㐷挲搰〹慤㌳㑡搰㘲〶攱愶ㄷ㐱摥改ㄱ愳㄰愴愶㑡㝦㍦㉣扥昸㈴搳㌷て攷攲㑣挴㐴っ㜷㘵㔸て㐰㙥㌲㌲㐹㉥ㅡ㡤〳收愱㘴㔳㐲㙢㌰㉥愳㠹㌱㐴㤳捦ぢ㜰㡢㠷戱慣㘱戲㑤ㅤ昷摣〲ぢ摡戴扥扥换㍣敥㔴敢㡤㥡㔴慡㌸㤶搵㑡㈳㙦ぢ㝣愹㉢㠰㈱㌷㘵散㑢戴㈹挷㜱㤴攲㤲㠹愴摥敤㙥晤㌰扡㉢㈱㠷㌱㐲搵挷〰㘴㠶㕢㑥〵挴㍡敥㈹搰㍥摣摤扡挰愰㉥捦㐱愴㜵ㄴ㔱㤶捤攱㍥㕥㌳㡡慣戸㉤搱㙣捥㥤㜳㘹戳㈷㡡㡥㔹㘱搱戶挰ㄱ搶ㄹち扣㘲ㄱ挶㐸㡦摣挱㐱㜲㤷愲攸敥愵㠷搵㘳敥ㄲ㔰愱㌰㈰ㄸ攳攵㈹㈸㠷㕤〵㈳搱攰搶㕡㔶户㘰昴㤷㤶户㍥〵㈰ㄸ〶愶㐱㡢㤶愱㠱㌳㠳晣收〶捥㜵㘸㤵ㄱ㈱㑤〶㔳ㄹ愳ㅣ㠵挳ㅥ㐸〳㌷昱㈰扤攴㐲〹〵㝢搴挵戰昸㙥攲戸㡤㈳㤰敢㕤搱㔶戸㘰〴戸晥攲散㙤㉢㥥慡搵㘸敥挲㍦户㉤戰㡡慢ㅢ愱㌹扡愷敤㔲㤶㕡ㄳ敤扢敢摢㉡愲换㠲〷㘶㈷㡥ㄹ㐱㜵㘵㌱㔸て㉦㙥昵㑡ㄲ㠵㘷攰㡦搸昰敤戴㤹昳づ㉦愲慥㜱敦换攷ㅤ昷㠲愳收㔵昰㜹敢てㄴ㠲㉢㤴晤㥣㘴㌹昷㙦晣愷㤲㤶㉢晣〴㈳㙥㘵摡ㅣ愰攵㈰攱㌸㉡㠵搲㘰っ昹っ㍡㠱敤摥扣㌵㐰㍡搹搳㐶㈷㑡㄰散㄰㡡㜳敥ㄵ㈳ㄴ昱㘳愰㤵挴ㄲㅥ挹戱攷摦〰敢㡢ㅦ愱㠴〸挷㜳㈴㐶ち㙦㐰㉥〳㜵㑡㤰㐷㔷㍣㜸㈱攴晦〷㑢㌱㌷㙦挸㑥晦〵㘶ㄶ㍦㙣㐷搱戵㐴搱て㍡㔰㈴㜸つ㐴昱敦摤挸挴愹挰昰散㑢ち㠴㜳㑤㍢〷搰㔷晤挲敦晦昰〰㍡ㄷㄱ㠷戲搱㄰㙡扢〱捦㑤ㄳ愱慦挳㐴㘰昰㕥㤹〸㈷㤰ㄱ㡣攲㠷㈶㐲攴〳㤹㐷挱收㈶〲㘳㝢ㄹ㠶㘰㈲搴㥡㜰㙢昰〴㜶㠵㑤晦搸㌱㕣扣㤵㍥攲昹㔰㕡晥っ㍣㔲㔷㜶ㄶ㉦ㄸ㥥㘱敦㔵攵㐷㍤〹㘵收㉤攱㈶户敡挲ㅥ㔷㙦㔸愳㍡㙤攰慢㠸扤散㍢晥㤴慤摤㕦〷愶挲ㄴ扡敦㐵㐹ㄴ㕦㠶愷㐴昰摣㤰晢攰㥥㙦ㅦ晤攳㠳㡦ㅥ收㙤戵㠸㔶ぢ户㈰摦㑢挸㥥昶〴㠲扡㠹㡢㈲㤷昳挳㥣ㄳ昸㐴挹㕡慤换㘹挳㔳㔶㤰慦摢㜱㌶㈴扣〴㘱㠶挴户ㅤ㑣㑣摣㝢〸㑤捣㠹㌶㜷愷晡戰㐹戹〸㈷ㄲㄳ㔷㍥扤㌸㙣㈸扡㉡戲ㅥ慤捤挲㜷愱㡡㕥攲㐴搲㔶㈲㑦㥤㑣㐲㝣愷㕤搷ㅤ愴慥ぢて㌲っ晢挷㔲ち昱〷㔲㐸昲㈰挳ぢ〱㑡㑡㥤㐲愶㜰㉢㐰㐶㘴慤㍤挴㑢㝦挰㡥㄰㤰捤㑢㝦㍤㝥挴㠲㕤〴ㄶ㘳㕦㝣慦㈷㕡摡愲戱㙡㘲愸㔶搹㌴㡢挸愸挳ぢぢ㈶攳搲㤴愵㜳〰愵㕢㜶㐷昱㈵㐳㜶ㄸ㜸ぢㄹ扢㘰搳搷㔶戶敦㜲ㅡ戸昹〱㍤㔳㔴ち挳搹捤㘲ㅣ㐸㔵㡣㉥㙣㕡づ㡢〸㠷挳㙣戳搳㐰㔴〵㥤攵散挵愹ㄴ挱㍦㝥㈹挴晡昱搶搰㤷户搷㔰挷㌹晤㔸㈰㝦戰扦慥捤㘰㙣扣㤵ㅣ〳〹扢愵㔶愵昰㝡昸㘹㜴攱愲㜳㐲㙦㘵搵戳㌸㠸㍦㌱㘷昵㘹ㅤ晡㥦搱㙢挵㔹㘷搸㥢㘱散㤴晥㝦㉦ち㌶搵晦㠲戱㌷㠵挸昷㐵ㄹ㍥ㄴㄸ㍦搹㌴㘴挳ㅤ㠱㘷ㅢ挱ㅢ㜵㌰搶㔵㤶㈱敦㌰户㠸㡦㔷挳㙡㈵挱攱昷捡户㕦㡤㘸昶愵㙤㍢搰㔵〰㌲㌶㔴昸〶㐴㔰搷晥㘹戹ㄵ㥦㙥㡢敦㐷挷㍤㈷慣慡攷晡慥ㄹ㡣㉤㈲攸㍢挶㙦捦㑣搸㍣㔳攲敢敤㐲敤㝡散挴攰㝤攸㜳㜲ㅥ〲晢愴っ㕥愹㔸㈴㈳ぢ㕢㡢㘴昰㍢愴㤱㐴㜸㠹摡挱扦捣扣愷㘱搴昱改敡㍣㝣㥤〱㡢戶㠵戲ぢ㍤捥敤㌷㌴戸㜵戸愳昵ㅥ昸㠳㘴㝤〲挱㌱戵㠴昷摦挷㝤㙤摦㠳㜴摢㘸㙤㍥㕢昶收㜳㉢ㄷ㥥〶㑥户昶㤶㌴挹昰㥤晣㈲戹慣㔷〸㜱㘹晦㌰晥㙥摤㐱换搱㐶㐱攷搱〷摤㜴㠴㡤搷攱㍥摢㐲昴晢㉣扡㡡㈹〲晣㜴㈳捡昰㐱搰换㐷㔶ㄴ㕦挱戲挸〰挸攷㡡㔵㠰敥㔴晤搴㐶㔴㍤ㄲぢ㘴挱㌳〶挹戱㉣扥㠴㠶摣慥㜰搹㘰〹㉥㕢愸戳〴昲㝡摣〳昹㥣攰㔹㐲㑤攴ぢ攸搰㥣㠸㠵搲敥ㄳ昹晣㐶ㄳㄱ戴〲搴㐲㤳攳㡦挴㕡㐴慦愳㕡户〹ㅣ〲ㄷ㘰㤸㘲㤱戲愶ㄸ㠶ㄶ㝥㐴捣㈰晤㍡晡晢摣攱㕦㍤换昴户挳㐲〹㐲㔴愵㈷㑦㐱愸㈶晦愹攴攴㍤㤴㜶㥦晣ㄳㅢ㑤㝥㠴㌲㤲㌳搱〳㠰愱㍥㔱挱ㅦ戵㤸〶㌲摣㐷晥挴㔹〲晣㔲戳ㄸ㌱㔰愲晡㕥㐰〶㝤戹攱慡搵㐵㘴攲扥〵慥㍦攳攳ㅥ㘵ㅦ昱㈲㈴㝤㌹挵搰ㄹ㕢っ戵㘲挹㡥扣戰摢㐲㌶㘰㐹晣㕡戶慢㐸㉦昶ㄸ攱ㄷ㡦挷㠸㌹㜶㉣晥㜲㑡㡢㘲㑥㈰㡣搰㈲㈵晤㜰㈳挵㐷攲挶摦晢㝥换㘵㡡ち㈴㔰㑦搸㤸㜴愶ㅡ㍦ㄶ㌷㍥㠰慦戲㔴㥢ㅣ㙦㄰㌰㍤ㄷ㌷㈶㍤慡挶㡦挶㡤晦㝡㘰㙦戳㜱㑣㠷攱挸〵ㄲ㐹㠶慤慢慣晦挴ㄷ摡挳㘸㕥㌰愹㍦〷捣戰㤸㤲㔳㠵㡥敢㑡㠳づ攲㌲㠸㠷㙦愴攷㜰户〹㔷㐰㈰㘴挳㝦㉡攱㌸敥㍣捤ㅡ㠱㠱㑦愰搷㄰㙣昶㜴昵挴捥㐵㜳摥㐳㐱扦㜹摣挷㤹慡戶慤㐸〴收㐰㍥摣摦㑤㥣昲ㄹ愶㘳㙢㍦攲㈰㤹挶㍢㈴扤㈹てㄵ㔸挹㡢て挵㤸捤㍤搲愲ㄹ晤㘱㈰〷搲ㄱ㤰ㄹ晤ㄱ挰㌰㄰挳摢捡戹ㄱ昲扦㘲敥て戱攲挳〴㡦〲㤴〵㤹㥤㜴㔰㝣っ㘰㌸晥㠷㉡挶搶㤴扦㐴ㄳて挶㉦㑢㤲㤱晥㌸㍢㝣ㄴ愰て敥㕢ㄱㄱ㘱㔹晦ㄸ㑡㤲㉦愵攰㔰㉦晤㌸㉢㍥㐱昰〴㐰戹挰挹㙥㜹搷戸愶ㅥ㌵搷㈷搱㔵㍣㐲㠰㥦晥愹㈸挳㠷〲昷攱ㅤ摤㙤㘵ㅥ㠵攳て晢ㄱ敡㑣㝤挱㝦ㄷ扥挸㕦攷愲晢昰て㤲ㄴ㤴㘱㥦搷摥摥摢㔸㘴〲摡攴敡户㡡捤㝥ㄹ攳㜰㕤慤〸ち㐷愴㔲㈹㘹㐵㐱㝣㜳挱挲挵ㅢ昸㤶㐳慡㐲〸搲㠰慡㜰愲㡡挳㈸搰㍦挳愶挴㌱昱愴㝦㤶㑦㐴慤摡挴捦㐵ㄹ㍥〸攲㔵㜵扦㍦敡ㅥ扦㤰戸㔶ㄵ㔶摢ぢ㠹㝦㔵戱㤲㝣攱㤳ㅣ㑣㈱ぢ㤹戴㔶㈲搲ㄴつ㝤〹㤹愱扥㘱捥敤㕥晣戴㡢愲㝡戶㜶昶散ぢ挳昹戱慢昳敦㝤昷攰㤳捦晤昲昹㑦晦收〳㠷晥昲攲㔳㑦晤收㑦㥦㝥昶挵㘷㤶て晤晣改愷㝦㜶昷㔷㥦㝤㝥户昹㌵敤晢㉦捣㝤敤愱挹昳て㍤㘰㥥扥攵攸㐳敦扢晦㥥挹㠵换挶晢晡晡晢㙦ㅣ晤挵㔵㌷㡤㍣昲挰て挵㑦㝦㝦愵㈳搴㜲昱㠲昴㌴戸㙣㌵㡤㉦㈳㠳㘹㜰挶慦敡㌴戸㕣戵㔱换搱㐶㑤愳愰〴㥦〶㈷愰㉡㡣㜴挵挰㝦〰㌴㠳戲㉣</t>
  </si>
  <si>
    <t>Decisioneering:7.4.0.0</t>
  </si>
  <si>
    <t>CB_Block_7.0.0.0:1</t>
  </si>
  <si>
    <t>㜸〱敤㝤〷㤸ㄴ㐵ㅡ昶搴㠶㘶㙢㔸搸㔶㑣愸㈰㈰〸㠸攲散捣散捥慥㡡ぢ㉣㔱㄰㄰㄰ㄵ挵㘵㈲慣㙣挰摤㈵愹愷愸ㄸ㌰攷慣〸㈶㡣愰㥥㈲㈸收㌳㥤㌹摥改㤹㈵㥤㘷㌸敦搴搳㔳昹摦户扡㙢愶愷愷㘷〱㑦晦挷晦㜹晥㘱昶愳扦㔰㕦㔵扤㔵㕤㕤㕤昵㑤户㑦昸㝣扥捤昸昰㝦㝥㡡㜸戰晢愴〵慤㙤挹挶㠱戵捤つつ挹㜸㕢㝤㜳㔳敢挰㈱㉤㉤搱〵㘳敢㕢摢ち㘱㘰搴搵㐳摦㕡㕣搷㕡㝦㝣戲愴㙥㙥戲愵ㄵ㐶挵㍥㕦㐹㠹㉣㠰扥慢晤㘷㙡㐶㌲㤵㉣㈲㠱㤵㑦ㅡ㈴ㅤ㐸㑡㐸㈴㠹㥦愴㈳㐹㈹㐹㈷㤲捥㈴㘵㈴㈶挹㜶㈴摢㤳㜴㈱搹㠱㘴㐷㤲㥤㐸㜶㈶搹㠵㠴昹换㕤㐹㜶〳㈹摤ㅤ㘴㜲敤搰昱戱㘳㔱㥢㐹㙤捤㉤挹㝤㝡㑣戱捡㍣愸扣㝣㘰昹挰㜰㜹㈰㌰㌰戰㑦㡦摡㌹つ㙤㜳㕡㤲㠳㥡㤲㜳摡㕡愲つ晢昴㤸㌰㈷搶㔰ㅦㅦ㤳㕣㌰戹㜹㔶戲㘹㔰㌲ㄶ〸挵愲攱慡昲㜰㐵㐵慡扡扡慡戴ㅢ㍣㡦慢ㅤ㍡愱㈵㤹㙡晤戵㝣㜶愷捦昱戵㐳〷㡥㑢戶晤㕡㍥昷㠰㑦戸ㅣ搶摣ㄸ慤㙦晡㤵㥣ㄶ戳㑤㉢㠶㈵攳昵㙣晣㘴戲愵扥㘹挶㐰ㄴ㍢ぢ㘸㜰㤱㠱㐳㕡㕢攷㌴捥㘶㍦慡㑤㌶㌴㑣㑣愶㔴愳㌷づ㙢㙤㥢㄰㙤㘹㙣㉤㙤㈴㝥挹㤶㘴㔳㍣搹摡戹㜱昸晣㜸戲挱㌶㙣㉤㘹㥣ㄲ㙤ㄹㄷ㙤㑣ㄶ昱愰慣搱㙡挳搱㠹㘴㔳㕢㝤摢㠲㑥㡤㠷戵㈶㈷㐶㥢㘶㈴㘹㔲摣㌸㜲㑥㝤㐲ㄴㄵ攱敢㉢散敢㔵㌲搵㔰㈸㑦㘳敤捣㘸㑢㥢攲搸㠴攵㕥戶㡥敥愲㙡㤱㔵㉥㜶愹ㅥ慥㔴㙣戳㐹昵㡤㘳㤲㉤㑤挹〶㘶挲㤶ㅣ攰㌲㔲〰㔹敤㤰㐶㑡㔷㠷慤㈴㍡摡㈷ㅦ敢挲㕣㡣ㅥ㈰㍤挶㌵户㌴愲㐳ㅥ㤲㡣㌶つちっっ㠶换㠳晢㑣㙡㑢っ㑢捥〵ㄷ愸ち㠴㘴㑦㔸挹㕥戴摦㤳㐷敢ㅥ㕥戳晥晥㜳㌶慥戸㑣昶㈶摢〷㐴ㄴ扤㠳ㄳ摤改㥥㈷㕢㐱㕤戴愰㉥㔶㔰ㄷ㉦愸㑢ㄴ搴㈵ぢ敡㔲〵㜵㌳ち敡㘶ㄶ搴搵ㄷ搴ㅤ㕢㔰㌷ぢ㌶晡㔳搲愱㐳㠱晤㜹晦㠵㑢づ㕥晣挳搹㘳㔶て㕥晣昳昸㌷ㄷ㕣㈶㜸㙥慢愱愱㉦づ昶㜰ㄵ户戲摡㔹摡敡㑡搹て㐶戲㍦㠸戱㌷㐸改晡ㅢㅥ㕣昷攸㘹ㅢ敦㕦戹㝥挹捤㜲〰㜵晢㠰〸昱㍡ち捣㐲㍦摤戱㘳昸搰户ㅦㅣ㜷昵㤴搴昴〳捥攸搵㐹㜰㄰㔱戹つ挴挱敥搹戹〵〲㤵㤹摣㠲㜲㍦扡ぢ㠰ㄸ攵㈰扢㙤㝣昴慥㑦ㅦ扡㜱搳戵ぢ搷摦㜳敡扡㔵㌷㝦扡昶摡㑤㘷㕥戰敥㤴ぢ搶慤扡㕢〶㘹ㅡ〲ㄱ攲〵㍢攷㉥㕤㐶搵㝤㝢挳㑤愳㉥㝥㍣㜵㐶㡦㠴㜱慢攰挸愵㜲慥挰㠱慢㥥㠱昲昲㑣捥㠱㐰㈸㉣㉢改㌱〲㘲㔴㠱㜴户㥡㘴挳愵换㍦㝤〴㙤戳㘸摤摤㑢㌷㍣扣㘶搳㔵慢搶慤㌸㘳摤㥡㕢㘴㌵慤昷〷ㄱ攲㑦㜶晥㡢晦㔲㜸昹㝤昱㕤〶㕦摤攷晢㥢捣㝦扥㜷扡攰愰愹昲㍦㤰づ戳㙢ㅥ〹㔷㘵昲て㠶慢攴㈰㍡㍣〸挴愸㘱戲攱攱愰ㅣ㑣搱㄰㄰㈱ㅥ戱昳攸㌱敢㡡㙦愷敦摥㙢摣㠵㠷ㅤ戸挷ㅤ㡦㙦㝦戱攰改愹昲愸挵㠱㉢て搴捡㔹挹㜲㌹㡣づ㠷㠳ㄸ㈳㐸搶㥤扦㘴摤昵攷挸㤱㤴㡥〲ㄱ㘲㤵㥤捤㠶愲㙦ち㕢㥥㠹㡣扤敥愸捤㕤捡㉥扡戸㠷攰愸慦戲㌹ㄸ〷晤戳慢ㄲ慣挸搴㈴㔴㔹㔱㕤㔹㕤㔵㔱㕥㕥ㅥ〹〴㈲㜲っ㝤㡦〵㌱づ愱㠷㤱愸搵㌸㡡挶㠳〸戱搲捥㙥攵挵ㄳて戹㜱搳㈵㐳㑥慤昹㐷昳慤摢㍦扤戲㤸搷㤷慤㍡搱㜱挶㘲慣㜱っ㔵㥤㌹捣搴捥㘹㙤㙢㙥攴㌸昳敢㡥㔷㍥㝢扣ㄲ㝤扣㐶ち㙢挰戲㑡昴㍦づ㔷㝢扡晣㜳戸ㅡ㍦扢捤ㅥ慥慣㉣㝥㤵ㄱ㑢挸㐳搹ㅣㄳ㐱㡣㐹㈰㥤〳㈱敢慣㕢昷昰挲㜵ㄷ㕣㈴㈷㔳㝢ㄸ㠸㄰户摢㡤昵敥ㅦ㤶㜷㜹昸晢ㄵ挳慦㕡昴挷昳搶㑤昱捤㈸敥〸㜵挸㔵㘰捦㙢换〸㕣捤攳搱搶㌶扢戹㜸㝡晣扡敤戳攵换挹㠸㤶昸㙦㝦㌹㐱㈶扦㑡攳挸挳㠹晥ㄱ㈰挶㤱㈰㐵㠳づて㔶挸愹㤴ㅤ〵㈲挴㑤㜶㡢搴摣㤸㜸慥㘰㕤㡦摡㤵㡢ち〷㥣户昸戳ㄳ〴㈷㘵㍣㠵㠴㥣㐶敢㘳㐰㡣㍡㤰ㅤ〲㘱慢㜵慤挱㙤搳㤵て慣扦晢㝥㌹㥤㌶㔱㄰㈱慥户㍤㤶㜴晦收㥥㉦摥㕣㍥晡㥡戲晤㔶敤昰摣㕣㈹㌸挳㘳㍢换㌸㐹〲挴㐸㠲ㄴつ㍡〲㐵㑡㔱㌶〳㐴㠸㉢㙤〷换㌷㉥敢㌷㘸敡〷戵㌷㝥㕥摡戹敦扦㔶戶〸捥づ搵〰㔲㡦〳搷㌸ㄵち㘵〶㤰㘰〴づ㡦愵挳㔹㈰㐶〳㠸㝤ㅤ戰捡散扥づ㌴搲戴〹㐴㠸㡢散扣敦㉡㝤㍤扥㜴捦㔷て扥攳挵㈷慥扦攴㤴㔷㔷〹㑥㑡㔵摥戳㜱戰㑢搶攰㤵挹㌸㈴㡦愳慢ㄶ㄰愳㤵〹㐶㠶㠲戲㡤愲㌹㈰㐲㥣㙤㝢㝦㝢愷㠵ㄳ㉦㥤㜲昹㤸摢慦扡昴愴捥㝤㉦晦戳攰㙣㔷㜹㥦㠷㠳㕥㑥敦晢攲㝡ㅦ㜱㕥攰㉡〲攵搵ㄵ㜲㍥㥤㉥〰㌱㡥㘷搲㤱愱ち㜹〲㐵㈷㠲〸㜱㥡㥤捦愶挸攲昳挶敤晡挵㠸㈵㠹慡㍢㔶㝣晦搴㜸挱〹戵捡攷㈴ㅣ散改捥愷㍡攴捣㈸ㄲ愸愸〸捡㤳改㜵㈱㠸㜱ち〸㌲慡㤴愷㔲㜴ㅡ㠸㄰㈷摡ㄹ㥤㍢昰㉦㜳㜶敡晣慦ㄱ昷㈵㍥㉡扡㝤摡戳㕦〹㑥摡㔵㐶愷攳挰㜵搹っ〶ㅣ㠳㝤㈰㡣ㄱ晥っ㝡㍣ㄳ挴㌸ぢ愴㘷搶㌵晢扣换㍥㕤㝢摥挶㕢ㄷ慤㕦扥㌴摤㙥㜲㌱ㄳ㥣つ㈲挴ㅣ扢〸㑦扦晢愷捦摦摤慤挳搰㔳晤㝤㍥扥慥攳戲㕡挱㕢〶㔵㠴㜳㜱搰捤㔹搷挰挰昲㤰㜳㍥ㄵ㤶攷搱摦昹㈰挶〵㑣㌵ㅣ捤㜶㈱㐵ㄷ㠱〸搱㘴㘷㔱㝥攱愸㥢慥昸攷愵㘳ㅥ摡㘵昵㥢㕤扡搵㥦㈴㜸㐳愲㝡昴㈵㌴扥ㄴ挴戸っ愴㘸搰㔴㜴挰换㈹扢〲㐴㠸㤹戶㠳㝦㍦摢㘵攷ㄳ㐷㡤ㅣ㜶改愷慦ㅣ㜸昳ㄳ㔷搷㡡ㅤ愱㔶㘵扣ち〷㝢㘵㤵㌱搳慢㠲ㄵ㠱㐰愰扡慡扡㍡ㄲ慡っ㠷㐲昲㙡㍡扥〶挴戸㤶挹㐷㠶慡攵㜵ㄴ㕤て㈲㐴搴捥敢挳㡥〷㕣搵昸攲散㘱㘷敦㜳㑥攳ㄳ㐳㍦ㅡ㉦㜸捦愴昲扡〱〷慥㌹㔴挴搱㈲㈸晡㔲㔸挸㘵㈰挶㡤㈰㜶㝢搸攷㡥㘷㝢摣挴〴㌷㠳〸㌱搵捥扦敥扥㐱㤷㉤昳ㅦ㍡㘴昵㝦扦扤攸挵〹㌷扣㉥㜶㠶㕡攵㝦㉢づ扡收慢㙢戹㕣㑥㕦户㠱ㄸ户㠳搸㈷慥㜵㈹㐹㜷〰㝢〲㜷〷㑤敦〴ㄱ㘲㤲㥤敤㔵敢㉦敥晤㔴攳㤸攱愷㉥㝥愳㕢搷挶ぢ〶〹摥㈰慡㙣敦挶㠱㙢搰〸㌸㈷㔰㠱昲㑡戹㠲づ㔷㠲ㄸ昷㠰㤴㕡搳㐶㜶扥ㅢㅥ㤶昷㔲㜷ㅦ㠸㄰㘳敤捣㑥ち捥ㅤ㜷散㉢ㅤづ戹晣愴㡦敦㜸晣晤㤷㝤愲㉢搴慡㐳摣㑦攳〷㐰㡣㔵㈰散㄰ㄱ昹㈰㘵慢㐱㠴ㄸ㘱㍢愸㝤㜶扢扦扣昴㤶ㅣ昹搰㤷㜳㈶㕤㍤敤㡡捥㘲㔷愸㔵㘹ㅦ挲㐱㙦㈷㐸ㅣ〸㉡〲㤵攱㑣扦㈸て㔶㠴慡换攵挳㜴扢ㄶ挴㜸〴挴挶㙢攳摤㡦㙣扣㍢㜳挲搸㜸㍤㑡搳挷㐰㠴愸戱㑢昰搲愶㝤晥晡㘹搷扦て㍢攳㡡㈷扥㌶挷㕥昱㜷戱ㅢ搴慡〴㑦攰㘰㌷㘷〹〲㤹慣㐳戸ㄹ㤶㑦挲㐰㍥〵㘲晣㠹㘹㐶㠶捡攵搳ㄴ㍤〳㈲㐴㤵㥤挱㥢㘷扥㝡㝡㘴搱〵㠳敦慥摤戱挳改㑦㑦㍤扥昴㌹愸て戵㙦㝡㠶戵㐴攷攱㌶㌲㜳㠷ㅡㅣ㠸㙡㙥捤慤㌹敥捣㔳ㄵ愹㐸慡扣㍣㔱ㄱ㠸㠶愲挵㍤攱㜶㙢敦〱㌹摣㤶愶づ慦㙦㑡㌴捦㔳戳慣摤㠷㐶㌱攳㑢摦㈳づ戰㜵㐳㥢攷㌴㈵㕡㜷昳㔶㑥㙡㡢戶㈵㜷㜵敢㌲㑥㜲㤲㑤挲㉤㜳戲㔵攵搷摤㥤㙣㑡戴㘱㑥㜲挸晣㝡㑢摤捤愵挶つ㜳㜳㉣扦㜶㐴㑢昲戸戴㌶愷㐴㐳戰愲㌳㔷昹捥愹愵愵戲捡搵愳㜶㘶㜳㙢戲㐹ㄵ㙦㐰攳㠴晡昸慣㘴换愴㈴搷㠳㤲〹㔵搵ㅤ愹戲敦摡〷㡣㙦㐲㐵㜱ㅦ㥥攸攵㤴愶㠶捦㙦㑢㌶㈵㤲〹㤴㜷㜶戲愵㙤挱攴㘸慣㈱戹㔳㤶㠹㤵㈷ㄴ㕤戳挴㈳㥡攳㜳㕡㙢㥢㥢摡㕡㥡ㅢ戲㌵㐳ㄲ㜳愳㔸㈹㐸ㅣ搲㥣㐸攲㐶扦㠸ㅦ㥦昰ㄵㄶち攱摢摢㙢捡㐸扦慤〳㔵㐳㌸㥡戸ㅢ摡㝣㤷散㙥㌷㜰㈲㙡㠷㕡㌴㈴搹㈷ぢ㝡㙦挱㤹昲㑢㌷晤昳ㅢ㍡敡挴挵㌳㕡昷换㙦慤捡㤸㙥戹摦搶戸愰愰㡢㕤晢攱㜳戱㥡㌲㉡摡㤴㘸㐸戶戴扢昴㈷㔸㈲昹㍣㐸㜱〵捥收扣攸ㄵ挱㐲捣ㄷぢ㡡攷搵㈷摡㘶ㅡ㌳㤳昵㌳㘶㜲搶㠳攵挱㤲ㄲ㐲㥢昳㤱㉦㐰㈴㕦㈴㜹〹挴敦昷ㄹ㉦搳挸昰换㔷㉣扥㤸㙢ㅢ㕢㜵晢㤶戵㑥㔳㠰㔴㔲慤ぢ㘱ㄱ慦戵戸ㄱ户ぢ慤㠵㠵㕥戵ㅣㄵ㙤㥤搹挶敥搹扥㤲晥㕥㈵㜹つ愴戸㌷挸ㄶ㤷㠱捡㘰㔴挴搵慥㑥㡤挳㤲愹㈸搶ㄸ搵搹㉤愲挵敡㜶戲ㄸ搲搶戸攴晡搶㘸㥣㉢昳つㅣ攱攴㉦㙤㘴敦㑦捥㙦ㅢㄶ㙤㡢㜶㘸挴㑡ㄹ㕡㐹挲㘸㠰㑡㘵ㅤ㌱㘵㈷㈵搳愹晤㌶〷て愶㍡㜴㜸改愸〴㤶㈷㥣㌸㌸㕦㝣㠵㌶㙤扦ㄲ㈸㝢㜷㔴挲㜰㜷昴散ㄵ㉦㉣挴㈵㐶㈶㥢㈶㉦㤸㥤㙣愵㜹㠹搱㉥㤴敥搳㑢摤㡦挶㘳㠷戵搵㌷戴づ㐴㐹㐷戶㌴捦㤹晤㙢晡愱㉦昹㍡㠸晥ㄴ敦㠳㕥扣昵㜵〲㕣扥づ㜳搹㌶㜵㜵扥ㄲ㝡愳㐴敥㐹挲摥ち㘷㥢昱㥦晡挸户昱㥦扦㍤㕤㜱ㅦ㔸㙣换敡㘰㌱散㑢ㅢ挷挷㘳㤳㕢㤲㙡扤戳㐴㌱㐰扢㔳攳攱捤㉤戳㘲捤捤戳戸㍣搱㔹㜱慤㌳㤳挹㌶慥㈱㜶戴搷㑣搵摡愸㄰㠵㠵㔹㉢㠰㡥挵挶㍤攰摦㜸ㄷ愴㙣晤攲㠵敢慦㕤㙣㑤慥㌶慣㝣搴昸ㅢ㠴㠵㔸捦㌴摥挳挱搰㜵搷慣㕤㝦摦捡㜵㜷㉦㕥㝦敤㥡昵换㔶慥㕢戲㘶挳搲㠵㔳㈶慥扦㙡捤晡搳㙦摤戸攲㤱㜵㌷㥣扡㜱敤㡡㑦ㅦ㝡㘰㑡昹挰㘰摤愶愵慢㌷㕣㜳㌷㔶户戰捣戶㜱改昲㠱昳ㅢ㕡ㅢ㐵㉦㈰挵㜵扤搳㙢搶昴扡攰愴挰㤰㙢㍦㍥晢挱㑤㑢㈷㍣㈰㝡摡㡡㥣攵挵㝥挸㤹㔷㜴昹㈱㠸搸〳㘶ㅣ㠱㜰㥣晤㤱ㅦ㠳㤷㥦㤰㝣ち㠲㜱㐴戵っ㠶㤱昵ㄶ㉢晡攳㝦づ㈵㜲〳挹㐶㄰㌱〰㠴㈷戲摣〴愲㍦㘲㈷昸㘷晦㔰㙤扣㌷挴戹㙤晣㌹愴㝥搹㡥㑥散〳ぢ戶戳㈴慥㤲㌸㑡㘲㈸㑡攱搸ㄳ㠰㡥戶㈲㘷挵㜳㍦㈴㔳〰㝣换昴ㄲ㘶摥〰晣㠷㜹㝣㑦昲〳㠸〳㠰ㅦ㉤㔶〴昰扦〲攰㈷ㅡ晤っ㈲㠲㈰ち〰㈷愰㠲晤㌹つ㐰㌹㡤㜳㍡㜹㈱挰昱换㜶㜴㈲㠴㜴㕥〰㝣晢㜳ㅥ〰扥戱ㄵ㌹ぢ慦㤵昰愴〰㈸㐵愶攲㕦㌰昳〶愰㌳搴戲㡣挴〴㜱〰戰扤挵㡡〸ㅣ㈹〰扡搰㘸〷㄰㔱つ㤱〲㘰㐷㜰晡㈳晥㡥㍣搲〰㔴㐱㥣ぢ㐰㔷晡㤴敤攸挴晥㐸攷〵挰㠷昹〰昸挰㔶攴慣晣づ㠲愷㥥㉣㐵㉦ㄶ昹扤扣〰昴㠶㕡昶㈱搹ぢ挴〱㐰㍦㡢ㄵ〷挱㠹〲愰㍦㡤昶〶ㄱ㠳㈱㔲〰っ〰愷㍦攲つ〷〰挶扥搰攰㐶戸㉡ㄷ㠴晤愰昱㑢敡昳攸挴㄰戸昴〲攱昹㝣㈰㍣㘷㉢㜲㤶愶㠷挱㔳㑦晣挹㉡㘴㈷㥥挹ぢ挲晥㉣捤〱㈴〷㠲㌸㐰㌸挸㘲挵㜰㌸㔱㈰搴搰㘸㌰㠸ㄸ〹㤱〲㘱〸㌸晤ㄱ㡦㌸㐰㤰㈳㈰捥慤攴㜰晡㙣㑦㈷㐶㈱㥤ㄷ〰㝦捣〷挰㝤戶㈲㘷搱㝣っ㍣昵㘴㈹挶戱挸昷攴〵㘰〲搴昲㔰㤲㠹㈰づ〰㈶㕢慣ㄸぢ㈷ち㠰挳㘸㌴〵㐴㡣㠳㐸〱㜰㌸㌸晤ㄱ换ㅤ〰ㄸ㐷㐲㠳㍢㍢㡦㕥㜰ㄴ㌴㝥㐹㝤㉥㐰㑡㈷挶挳愵ㄷ〸搷攷〳攱㍡㕢㤱戳㤴㝦㈸㍤攵㥦㐶㐳㠳昹㠳㥡㥥ㅢ戰晣㝦攲㑥挶扡㝦昹㠵㜳昲づ㝥㝣㝣㘲㈲㉡慢㥡㌴挱㔶㐸㠲ㄴ㑦㠶㘸㙢ㄶ晥扢挲㑥㐴㐵㑣挴㐵㐲㈴㍢㌴㘲㘳攰㤰ㄹ㉤摢㍥㐱敤㡣㠴㙡㤶㘹㌹㈸搵慣摡㌷搱っ㘷慤愶㘶㘰慤愶扤㥤㌲〲捣戰扡㘸捥㌱㝤㑤晢晥戵攷挲愸㍢㘶攸〲㜸ㄵ㘲戵㕦晤㘷㔱㠳㥦昶攱㐳㌹〱ㄴ㈷㠳扦搶㜴昷晦㜶㝥扦㔶戹㠹㠱昵昹慡挶㍥ㄸ㥣晤扦㤶㝦昸愸摦㐸〱收愲㐱㘳㠳搵戹愳挵㑣愸晣㝥㐹㡢㍣捡昶㜴攲㌰㘴㥡ㅥ㘶㡣搹昰㘲㔸〳㠲㌵昵㍡㍦摦㘸㜳㥥慤挸搹㡢㍡ㅣづ摢㔹㐹捡摡晥攱ち㜰搶㑡㔲㘹㙡㐴㝤㐳㕢搲ㅡ㡤捡㔲ㄸ㤴慣㜸〹㌵㍡㜵攲〲㐹㑢㌴㙥㐵㈲散㤰慡挵ㅡ〹〲㌴摡ㄶ㘴㔶㡤㜲搶㘸慣㈵㡣晦扦ㄲ昵扢㕢㠹㔲敢㔰㔹慢㔱敤慣昴愰搳戸搶愲摡㌷㜶㜴愲㙥攸㘲㥥昷㡤慡㑢つ㠴攷散㑥㐶㝢昷㑤慥摡㑡㑤摢㍢㍢㈱慤〳昹㉦慤散散戹㥤㤴㠹昲慥〶晤晦戵㌴慦㌰㍡㙢㉤慤㡤㘳摣ㅣ㤲戹㈴昳㐸收㠳㠸㌳㌱ㄸ㜹摦摦ㅣ㑦㥢ㄳ㐸㑥〴㜱㑣散㑥〲㙢㥣っ㔲扡㘹搹㈲㙣捥㙣戸晤㡡㜵ㄷ摣㠸㘹挱ㄱ㘸ㅤ㌵㉤㔸挸㔴愷搰攲㔴㤰㜱愳㤲つ㔸㤴晤戵攲搶㡡愷㈲㥢昶㤷㤱搰㜹戶㠷搱㑥㡤㤳ㄶ㌴挵㘷戶㌴㌷㈱㝡㤰慢㕢㐳攲〸晣㙡ㄵ㔱愳㜱㙣㜳敤㥣㌶愳㜱㔴㍤晥㉢㙤㥣㤸㥣㥤㡣戶搵㘲搱ㅤ㑢㘷㘳戱挹慦ㄶ挶㐶㈷收㙦晢扣攴搷㕢㌸昳ㄵ愱ち㍥攷㉣㐱戸㑦㕤㙢〹换㠶㜷攰戰㘶〴ㄱ㈶㔵晣㈴㘱㌷っ㉣㠲晥づ㔷挶戰㠵㡢搲㉤昹攷敤〷昴戹㙥挵㘶晢晦㤳戱〶愰㍥昲㐸㔴㍡昷㙡㝣〶㤲㘰搲㥦㕦㈷㡥㠲㉥㜳㌵㍥〷昶㠵攸〶搶愵戸㌵摦愵戸挵㔶攴〴㈱㑣㠳㌷㑥晥つ㙢挲㝢っづ㔵捦扥〰㝥攵㠵㈰㘲㍡㐴㥣昴㕡ㅦ㍤攳昰つ戶〵昶晦㕡捥㤹挸㐵㐸㠶㤹㐸㈸㤰㕢扤㑢愰挲㑣㠴ㄶ㜹㤴敤改㐴ㄴ㤹愶敢㉥㌹ㄳ戱敡ㅤ捦㔷敦㤸慤挸〹㤵㠸挳ㄳ愷㈱㜲〹㥤摣㐰戲㤴㘴ㄹ挹㡤㈰攲㘸㈴昵ㅥ㌰㙥愶捤㉤㈴户㠲㌸〶㡣摢挰ㅡ户㠳戸〷㡣〴㜲㔲戰摥挱㔴㜷㠲㠸ㄴ㐴㍣挱㝤昲㉥戰㜹㝢㐹㤲ㄶ㌹换㐴㉢㤱挴㉦摢搱㠹ㄹ㐸㤷㐱㡡扤挴㐲㙡㜴㍥愴㐶搹㡡㥣㤸㤰㘳攱愹㈷㑢戱ㅡ㑥挴㠸扣愸㍣挴㍣ㅥ㈶㔹ぢ攲㐰攵㔱㡢ㄵ戳攰㐴㠱昰ㄸ㡤ㅥ〷ㄱ㡤㄰愹晢攳㈷挰改㡦ㄸ㠴㍣搲换㐴つ㄰攷〲昰㌴㝤捡㜶㜴愲〹改㌲〰㘴ㄶち㐳昹〰〸摡㡡㥣挰㤴攳攰愹愷㉡〵㡢ㅣ挸ぢ挰慢㔰换搷㐸㕥〷㜱〰昰愶挵㡡ㄶ㌸㔱〰扣㐵愳户㐱〴㌷㜱ㄴ〰㝦〱愷㍦愲慦〳〰攳ㅤ㘸ち㐷〶㍤ㄶ〸晥〶㡤㕦㔲㥦ぢ㤰搲㠹㌹㜰改〵㐲户㝣㈰散㙥㉢㜲攲㘷收挳㔳㑦晣挹㜵挸㑥散㥡ㄷ㠴つ㉣捤㐶㤲㑤㈰づ㄰㍥戳㔸戱〰㑥ㄴ〸晦愰搱攷㈰攲〴㠸ㄴ〸㕦㠰搳ㅦ戱㥤ㄳ㠴慦愰㔱晢摦㌹愷挲搷搰昸㈵昵戹㈰㈸㥤㌸ㄱ㉥扤㐰攸㤰て〴挳㔶攴〴昷㥣っ㑦㍤昱㈷晦㡢散㐴㔱㕥㄰㝥㘲㘹㝥㈶搹っ攲〰㐱ㄴ㈸㔶㉣㠴ㄳ〵㐲〱〴戲㄰㐴㥣ち㤱〲愱〸㥣晥㠸晦晥㤴㌹ㄵっ〳ㅡ㠰㄰捣慤㘸〹㌴㝥㐹㝤ㅥ㥤㌸つ㉥扤㐰昸㈷㌲昰㕣㌷晦捡㔶攴〴ㅥ㥤〱㑦㍤昱㈷户㐳㜶攲ぢ㤸㜹㡦㤲㕤㔸㥡ㅤ㐸㜶〴㜱㠰戰戳挵㡡㌳攱愴ㄷㅤ敤㐲愳慥㈰㘲㌱㔸〵挲慥攰昴㐷慣㜳㠰㈰捦㠲㌸户㤲摤㘱敦㙦㑦㈷捥㐶㍡㉦〰摥捤〷挰㍢戶㈲㈷散㠹愱㑣ち㠰扥㉣昲㕦昲〲搰ㅦ㙡戹㌷挹〰㤶㉥戳㜳戲慦挵㡡昳攱愸ㄷ慢㌳㤰㐶晢㠱㠸ぢ挱㉡〰〲攰昴㐷扣散〰挰〸㐲㔳㌸摣㙢㍣〸㐳攳㤷搴攷〲愴㜴攲㈲戸昴〲攱㑦昹㐰㜸捡㔶攴〴㘶㌱ㅥ㑢㕤㍦〷㌱扢㠳㐸㙡㐸〶㤳っ〱ㄱ㡦攴〵愶㤶㌶挳㐸㠶㠳㌸㠰ㄹ㐹ㄹ慦㥦㤸㘳㕦㡡っ㝡攱㑦㡥愶昰㘰㄰㜱㌹㔸敢㤲㌹〶㙣摥㑢收㘵㑣㤵㌳㑥㡣㐳ㄲ扦㙣㐷㈷慥㐰扡っ㌸㤹㑢收ㅤ昹挰戹摤㔶攴〴㥤㕤つ㑦慡㠷ㅣ捥㘲㉦捦ぢ挴㤱㔰换愹㈴㐷戱㜴㤹ㅥ㌲捤㘲挵㌵㜰搴㡢搵㌹㠶㐶㜵㈰攲㍡戰慡㠷㑣〷愷㍦㘲〹昲搰㤷㑣㈳〶つ挶㠹㡡㕣㄰ㄲ搰昸㈵昵㜹㜴攲㝡戸捣㠰㤰戹㙣㕥㤶て㠴㑢㙤㐵㑥㌴摣㔲㜸㔲㈰㌴㈲㍢㜱㜱㕥㄰㥡㔹㥡搹㈴挷㠱㌸㐰㘸戵㔸戱っ㡥㝡攱㑦戶㐱㈰攷㠰㠸㥢挰㉡㄰收㠲搳ㅦ戱搸〱㠲扣ㄱ攲摣㑡ㅥて㝢㝦㝢㍡㜱㌳搲㜹〱㜰㜲㍥〰㑥戲ㄵ㌹攱㜸换攱㐹〱㜰ㅡ㡢㝣㘲㕥〰㑥㠷㕡㥥㐱㜲㈶㑢㤷改〵㡢㉤㔶摣〶㐷扤㔸㥤戳㘹㜴づ㠸戸〳慣〲攰㕣㜰晡㈳㕡㥤〰摣づ㜱㉥〰ㄷ挲摥㉦摢搱㠹㍢㤱捥ぢ㠰晡㝣〰捣戴ㄵ㌹㠱㠱㉢攰㐹〱㜰ㄵ㡢㥣捡ぢ挰㌵㔰换㙢㐹慥㘳改㌲〰㉣戱㔸戱ㄲ㡥㝡戱㍡㌷搰㘸㈹㠸戸ㄷ慣〲㘰ㄹ㌸晤ㄱ搳㥣〰摣〳㜱㉥〰户挰摥㉦摢搱〹㐶㈰㝡〱㌰㈹ㅦ〰ㄳ㙤㐵㑥戰攲晤昰愴〶挹ㄵ㉣昷㑡㤲㝢㐸敥㈵戹て㐴㡣捤ぢ捡晤戴㜹㠰㘴ㄵ㠸〳㤴搵㤴搹㠳㈴攳ㅦ㝢戱㥡て㔱昸㌰㠸㜸㄰慣㌵㐸慥〵㥢㜷㤰㕣挵㔴㌹㠳攴㘳㐸攲㤷敤攸挴㙡愴换㠰㤳ㄹ㈴慢昳㠱㔳㘵㉢㜲〲㌱ㅦ㠶㈷搵㍢㥥㘳戱㉢昳〲昱㘷愸攵ぢ㈴㉦戲㜴㤹摥昱戲挵㡡戵㜰搴㡢搵㜹㠵㐶慦㠲㠸㐷挱慡摥昱ㅡ㌸晤ㄱ晢㈲て㍤㐸捡㐷㈰捥〵攰㉤搸晢摢搳㠹挷㤰㉥〳㐰㘶㠰摣㌳ㅦ〰扤㙣㐵㑥ㅣ攸㤳昰愴〰昸㠰㐵敥㤱ㄷ㠰㡦愰㤶ㅦ㤳㝣挲搲㘵〰㔸㘷戱攲㈹㌸敡㠵㍦戹㥥㐶ㅢ㐰挴搳㘰ㄵ〰ㅢ挱改㡦搸搹〱㠰昱㜷㘸㜰㕦ㄱ挹〵攱ㅦ搰昸㈵昵㜹㜴攲ㄹ戸昴〲愱㔳㍥㄰㑡㙤㠵㍢㔶戵昸㜹㜸摡㠶ㄸ挳㡥㌰㤷愹㈹昵挹㜹っ㡡敡㥣捡晡ㄹ㔱愷搴戰收㜱捤㙤挳敡㕢㘷㌷㐴ㄷ㜴㐹搹〷㠷捦㑣㌶㈱扥戲〵㘱㤶㉥㔹昳散搹挹㠴㑣㑤㙡㥥搳ㄲ㑦㡥ㅥ昶㝢㠸扦㔴㙤㠵㤸㈲㈱㝣〵〲㥦㕦ㄶ㔲攸㐳㑡昴ㄴ敥㘱ㄶ扦〰㤷敥挸㌰挷㙡㜵㘶㘳挴㠴㘱㔹〶搱挹昵㙤つ挹㡥㈹愵㔷挷㈵㈹愰㠸愰搵㐴㠷搴攴㤹㠸㤸ㅡ搶㈹㌵戲愵㍥搱㔰摦㤴㘴㘳㘰戳㠵攱扤㘳㤳㌳㄰愰㍡愱戹戵㥥㍦㑦敤㤴㥡摣ㄲ㙤㙡㥤捤㔸扢昸㠲敤戳㌸戵昶㔸㥣ㅡ㕡摦搴㡡㙣搴㡦挱㜸㕣㤶㥡㌴戳㜹ㅥ㝥㈹㍤愷戱㘹㘴㜴㜶敢敦愲㔵㠴㙡ㄷㄲ搵㌴愲㐰ㄴㄴ㠸㤲㠲㤲㕦摡㍥挶㌷㌸扢捣昵㜷摤戸㝥攱㈹晤挶昵敦戱敥慣㌳搶㍤挸㝢㌴㥦㉦㠸扦㈲ㄲ搵㠰扥㘲挶㜰戶戳摢挰㍤〷㍢㘶㤸昱戰㉣㘸搶捦戵㍣㐳㌳搳扦㍤攷㍥㠳晣ㄶ㘵㈹晤づ攴攰㤱㠷㡤捥㐴㡡晦㑦㍦攴㉥㝥〹㥥摤换戸敥㙥㤷づ捣摤ㄱ挶㥤慤晥㐳ㄹ扢ㄳ㑥㑢㜴〳㜲敥㍥改㑦㈹ㅢ㜶捦捥㤹挳ㄱ㠸敤㉣㑤㡤㡤挶㤲つ〸㐹㙤㡣戶㜵戶ㄸ敥扣攰㠷扥慤戶慥戶戹戱㌱捡晥挶扥㍡㈹ㅥ㙤㐸㤶愴㠶捣㘹㙢㍥愴扥㐹愶㐰㔴愷戴㐵搱昹㄰㐵攷㉢㔱㘹㙡㈲㐳搵搵㌱㝤㌵捦㠸戶搴户捤㙣慣㡦㤷㤰㘱㌸昹敦愲愳㘲散㉦〲㤸晡愳〷ㄲ昷㌶㠲戵愰㡥收ㅥ㠸㑤㌳㐲挷收㐷㜷㉥㄰〶晥㠹㕦ㄸ㌵㠱㘱㐷㕤㌱攴昷昰㔶㡣㍦㌵づ愹戲㝣挵㤵㄰㝥扥㍡ㄹ〷搶㘲昳㉢㘰㈹㤵㍦挰㤴〷晣㉢㝡ㄵ愴摤㌰搷づ㌰昰㡦㙤㡥㈶㐶㘰㥦户戹愵㠳晤攰㠱ㄲ㌴㉤挷㤹ㄶ㤳㠱挷戵㠸㘵㐷㡣晣摣晡㐴戲愵㠴㠲㐹搸ㅡ㈹㘲挸戲㘱戵㈱捦㘴㕦㜱㜱挷ㄲ慦扣㐶㙢㕦扤敤㜰㑥攷㠳ㅢ㐶攷昸晦挷愱㔵㌵㉣扢摦㕦〸㉡晦㡢敡挸ㅦ㔹愷搷挰戲㍥㉥㠳㥦㘸昰㌳㐸㌱㠳㘷摤㙤㤳ㅤ〳㡣㐸㘱〹愳㈲挶㝢ㄴ㌱捥愳㐴挷㜷ㄴ慢㡡㜴㜴挴㜳ㄸ㔶ㅣ㐷㠹㝥づ㠰㌱〹扤㍣㤹昰㕢㠳㉢㌷㠶㜰㔹昰ㄵㄴㄴ愱愹つ昷〶㝣㑥戶㜰搶㌸㈹愹攲㤴〵㐳ㄱ㡣捤㈸昱㜶㍣㔹攰扦㉥昳㝢㜸昷㉣ㄲ敢晢㠲㌸昸挵摢愰扡晡〷㔱攲㘷摢挹〲㘸㈵搰昷㠹て挱㜲〶攰戸㕥㠹㡦挱昲㥡攵㌳㡡㘰戲㔵㘳愴昸〴收ㅣ㈷㈵ㅦ愱㈰㍥挵ㄱ㠷㥦㜴㜷散〰改㤶扢攳㝡愶挰㥦㉣愱ㄳ㥢ㄱㅢ㜰愰敢㠰晡敢㌶收昳㌷㈴㥢㕢㌰攲搵挳愰㈳つ㑡㘹戰〹〶㙣㘷愳ㄳ戸ㅤ㌴㝥㔹扦搰昷㠰戰っ挶㠰昰㜳㠷昷㐱㤴㔸㄰㥡昴扥ㅤ扤㌳㝡搵つ攱㝦㈰戳㈰摣ㅥ㈶㕢〷攱昷㐸愳㈰散㐲慦㍦㠰换㠲㜰㐷㐸户っ攱㡦㐸愶㈰摣㠹㑥㙣㐶晣㠴〳㡤㄰㠵昶㘹戲㌳㙣攴㉥㌴晣搹摢愰㉢つ㜶愵〱挳㘸ㄵ㠴扢㠱摢㔳㐳㤸昵㉢㐶搷㤳〷㍣㄰敤㠶戴㐰㤴㈱戶扡㌴づ㐴扢㌳戳㍤㤸ㄹ挳㘱摤㠸㌲〶搶㐲戴〷㑣戶づ㔱㠶捣㉡㐴㝢搲慢〹㉥ぢ搱㍤㈱摤㌲愲摢㈳ㄹ扥㍥搹㥢㑥㜰愰晥ㄸ㘸慢敢㐰㠱㡤㘸ㅦ搸挸扤㘸挸㈰㕣て㠳扥㌴攸㐷〳挶攵㉡㐴晢㠳摢㑢㈳㙡晤〲㌱敦攳ㄴ㍣㐰ㅤ㠰攴〰㤵㘱扢㍡㍦挷㤹扥て昳摢㤷昹昵㠲㠱〲ㄵ㈷㈵㡡换㤹愹㘰㕣慤〵敡㐰㤸㙣ㅤ愸㝤㤰㐶㠱扡ㅦ扤敥〵㉥ぢ搴㜲㐸户っ㉡攳㜶昱昵挹㈰㥤㘸㔰ㄹ扣慢敢㐰愱つ㙡〸㌶㌲㑣㐳〶昶㝡ㄸ㔴搰愰㤲〶〳㘰愰㐰㡤㠰敢愸㐱攵㐳㈲㍣㤰慢㠶つ㤰㘳慣慦㜶敡攸㡥晢搳改〱㜴捡戸㕣㜷㜷㘴㌰慥㠵摣㠱㌰搹㍡攴づ㐰ㅡ㠵摣㈰㝡㍤㄰㕣ㄶ㜲㌵㤰㙥ㄹ㌹〶晢攲㡢㜵㕥㍡搱挸昱攲愷敢㐰愱㡤摣㄰搸挸愱㌴ㅣ散㙤㔰㑢㠳㘱㌴ㄸ〲〳㠵摣㜰㜰㥤㌵㜲昶愳㉦㍣挰ㅢ〹㌳㠰㌷摣攱搷〱摥㈸晡ㅤ㑤扦㡣改㜵㜷扢〹㤰㔹攰ㅤっ㤳慤〳㡦㜱扦ち扣㌱昴㍡ㄱ㕣ㄶ㜸㠷㐰扡㘵昰ㄸ㈸㡣㉦㈲㡤改㐴㠳挷㘸㘱て昰挶挳㐶㑥愰㈱㈳㠹㍤っづ愵挱㐴ㅡ㌰戸㔸㠱㌷〹㕣扡摢昱㈹ㅥㅥ挸ㅤ〶ㅢ㈰㜷㤴挳愹〳戹㈹㜴㝡㌸㥤㌲攲搵㈳搷㈳㘸㜰㈴つ㤲摥〶㔳㘹㜰ㄴつㄸ㜵愸㍤昴挱愵搳敦摦㡥㤵㍦㥡〶搳㐰㡡㜹戳搲捥㉤〲愲ㅡㅣㄱ㕤㥤㤱搶㐸ㅤ搶㔴摦㠶搹㍢㍢挸㠸晡㌶捣㐳㑡㔳㈰㌸㔴愱㔷扢慡㔹扤㈳搱㠰昴㔲挱ㅥ戹慡慣戵㠳敥戹㝡攷㘲㐲㙦て戵戵捣攰㔸㕤搸㤲㤱㕡㙥昰㈸攳敦㘹晤㐱㔸搱㌸㍥㙢〹愲摤㐷愸㘴㜰敦㠶戶昹ㅦ㔶㉢㔴㌷挵昶〶晡〴㑥ぢ㕥ㅥ攴㜴ㅣ㜳昱㠲㤱㕣敤㜷ㄱ㐷ㅣㅦㄷ㠷晣㕣挰戰㘴㥤散㐰搱搱㑤慤戸ぢ昰摢ㅣ敥昱㍡摢㠷攳攷戴㘵㘹愲昳扢搸㥡㈱つつ攳㥢戰㝣ㄴ㡦戶㈴㝥㈷户㜵愸㥢戵昴愰敥搰㝥攱戲㄰㥣昰攳戸ㄹ挳㐲㕦搴挶㥡〱㜳摢ㄲ〶㔹〶㑦㥤〸㜷㍡㍡戲㠴ㅣ㥦愸愵㕡挱㝡㥣㤶㕡愳㥢㤰挴〲ㅢㅥ㌰搶㤰散愲ㄲ愴㔹㜵ぢ㈳㔳㐳㘲慤㔸敦㘹攳晤扣㝤愴㑥㜴㤹㥡㤸㙣㠸昲挷搵戸晤戶㡦㈶挴摢㄰昴㥢㜶挰ㅦ㑥晦㝥㕡〸㠸ㄴ搹慤㈴㔴㍢ㄹ敤㜴摥散㑡昰ㅣ晡㠵慤㡡㜶㑢愹捦ㄷ㌵攲敡慢昸戹慤挶愷て慣戹㔶㌱〳㈱摢㔹㐵挲㔸敢㡣㔹攵㤹搴㐵㠷㔲㕢㈳㥣ㅡ扣㑡戵㡣㑢㑤㥤戸ㅥ搸搲㠶愷ぢ搴攲㈱㜴㘵㍣㜵ㅡ㜰㉦摥㔶㡦㔵㤵㠶〵㥤㔳愳㥢攲つ㜳ㄲ㐹戵㈴愳挷㙣戵㌲昳扢㘸慦㈲〰㘲㥦㔱敤攰㘲㠳㌲ㅡて㘷搴扦㌶晦攵㡢戲㌲㠶㌳㑤つ㜶昰攱㤷〹晢扣㘳㜸敡㌶〷〸晢㔱晡敤㌳攱敤敡㤱㝤ㄸ摡㜲㐴ㅣ搳ㄸ攸㤹㡥㌱㔶㘷㥣挳㙣㙣昳搸㘶㉥敡㍡㐴愳敡㉤搱敦愲㥤㔰㑦慢㤹昰挳㤱㕦扣ㅣ㑥㈷ㄸ昵搴㝦㔸㠱戲晦慦攱㌵㠶㌷㈲㡣〰㔶㌳㐲愰㡡㐳㉥扥ㄶ㘴㔶㘰挵〹㤰愹挹㕦ㄲ㉤㈶㑥〴㘷㑤晥慣戶㤴㌳㈰摤昲攴㡦挱挴昸晡攴㑣㤸㜳㠹㡥㝦㘲㈱㐴㝡㡥㐴慤摦慦㜶㌸敡㘱㈳㡦㘵㙥愷㜸ㅢ捣愲㐱〳㐸㌱㘳㑣摤㠳㑣摥㜰㔹㈴昰攱搷昱㔸〸㉡㘹攴㠲ㄸ㑥㔱〳扦㡡㐷㌸㌰ㄶ㘶㡣㡥㈵愷挲㤹㙣㠴搵㡢㉦扣挰㔹愱㑦㌰ㅥ㔵ㄷ戰㙦愶㠰㑤捣扦ㄹ㐴㌰㔰㔴ㅢ攰㄰㌵㘰㈶㜲㌶つ㡥愳挱㠵摥〶㉤㌴㘸愵〱㘳㐲戵㠷挳㌲昳㐴㍥ㄷ㔵捥愱挱ㄲㄸ㜰慥㘸捦ㄳ收㐱〶㈸搵㍣㘱㍥㡥搹㠲㌷㐰捤戹㠲晥㘴㕦攱ㄶ搸㔶㑢㘱挱慢ㅣ搲㙥㜱挴ㄴ㡣〴攵愸改㤳挷㈳㜹收戴㍤搱㜶挶㈰㔱㥥扡搶㈷㝦攷扡ㄹ㌶敤㜴㉥挶㤱慡捥昵〷昸ㄵっ㈸捤敡㕣㈷㐳扡攵捥挵挰㔳㝣昱ㅣ㈹㤸愷㍢搷ㅤ㄰㘹㘰愹戵㥢收ㄴ搸挸㔳㤹ㅢ〳㔱㍤っ㑥愳挱㈲ㅡ㌰㌴㤵ㅤ㑣㥥づ㉥摤㈷㔶㍡㤲昵㔲㝥搵戲摥ㄹ㑣㜶㈶㤳㌱㔲搴㝤换晡㄰㘴搶㕤搷㔹㌰搹扡扢慥㠷㤱㐶㘱戳㤸㕥ㄹ㔶㥡㜵搷㜵づ愴㕢挶收㔱㈴挳搷㈷捦愵ㄳㅣ愸扦挷㐰㍤慡㝥ㅥ㙣攴昹㌴㝣摣摢攰〲ㅡ㕣㐸〳㠶慣慡扢慥㡢挰戹搶愴扣㥦㠲收㜱㌷㜶〹搲攲㙥㡣攱慣扡㌴㡥扢戱㑢㤹搹㘵捣散㘵ㄸ戸敦㘳ㄹ㙦㙡㈱㝡㌹㑣戶づ搱搷㤰㐶㈱㝡〵扤㌲㑥㌵ぢ搱慢㈰摤㌲愲㙦㈲ㄹ扥㍥㜹㌵㥤㘸㐴ㄹ搴慡敢㐰愱摤摢慥㠱㡤扣㤶㠶っ㜸昵㌰戸㡥〶搷搳㠰㌱戰ち搱㈵攰㌲昷戱ㅥ〱㡦戸㐳㔸ちㅢ㈰挷㌸㔷敤搴㠱摣㌲㍡扤㤱㑥搷挱挰㡤ㅣ㠳㔴㉤攴㙥㠲挹搶㈱挷㤸㔶㠵摣捤昴捡攰搶㉣攴㙥㠵㜴换挸㝤㠶㘴昸晡攴㜲㍡搱挸㌱ㄲ㔶搷㠱㐲ㅢ戹摢㘰㈳㙦愷㈱愳㘴㍤っ敥愰挱㥤㌴㘰攰慣㐲敥㉥㜰づ攴㜲㐳挰㠰摣ち搸〰㌹〶挷㙡愷づ攴㔶搲改㍤㜴晡㕦ㄸ戸㤱㘳㘴慢㠵摣扤㌰搹㍡攴ㄸ〸慢㤰扢㡦㕥㌷㠳换㐲敥㝥㐸户㡣㥣挰㠵〱㈹ㄱㄲ㐳㈷ㅡ戹〲㐸㜵ㅤ㈸戴㤱㕢〵ㅢ昹㈰つㄹ㕡敢㘱戰㥡〶㙢㘸㔰〴〳㠵摣㐳攰ㅣ挸㔵慡〱㥦扦搴㠰㕢昵〱㜲㙢㘱〳攴ㄸ㙤慢㥤㍡㤰㝢㠴㑥ㅦ愵㔳㐶挶扡挷㍦㠶挳㕡挸㍤〶㤳慤㐳㡥搱戳ち戹挷改㜵㐷㜰㔹挸㍤〹改㤶㤱摢ㄹ挹ㄴ㜲㑦搱〹㉡愰晥ㄸ㜳慢敢㠰㐳㡤摣㥦㘰㈳㥦愶㘱㔷㙦㠳㘷㘸昰㉣つㄸ愲慢㤰㝢づ㕣㝦扤㘴㤷戵㈶敦昹㈴㍢㡦㔱昰捦昰〰㕣ㄹ挴慢换攴㔸㐴㝥㠱㔹扥挸㉣ㄹ㜰敢敥㤱㡣戲戵㜰㝤〹㈶㕢㠷敢摥㐸愳㜰㝤㤹㕥ㄹ㥤㥢㠵敢慢㤰㙥ㄹ㔷㐶昱㉡㕣㕦愳ㄳ㡤㉢㐳㜹㜵ㅤ㈸戴㝢攴敢戰㤱㙦搰㤰㘱扥ㅥ〶㙦搲攰㉤ㅡ〴㘰愰㜰㝤ㅢ㕣扡㐷昲㠱㠹ㅥ挸晤ㄵ㌶㐰㡥搱扤摡愹愳㐷扥㐳愷敦搲改㈰ㄸ㌸愶㔰敦㌱㤹㍤㠵㝡ㅦ挷㥣㐲㌱㠶㌷晦ㄴ敡〳摢慡〶㔶㕢㍤㠵㘲㌰戰㌵㠵晡㄰挹㌳㔳愸㡦㙤㘷㐳愰摦㥡㈹ㄴ〳㠶㔵ㅢ晢㔹敡㥣昹昹㌰愸㔵㜳㝥〲扦㘲㌸㌸慢㌹敤昹昹㍡㐸户摣㥣㡣㍤㔶捤戹ㅥ收改㈹ㄴ㠳㡦㌵戰㡥收摣〰ㅢ戹㤱戹ㅤ散㙤戰㠹〶㝦愷〱㐳㤵搵ㄴ敡㌳㜰改㈹ㄴ愳㤱戵摦㥥慡㥢愸㈹搴㍦㤸散㜳㈶㍢ㅣ〶敥慥㝥㈴㘴㔶㔷晦〲㈶㕢搷搵ㄹ㕤慣戰昹㤲㕥ㄹ㘶㥣搵搵晦〹改㤶戱㤹㠶㘴ち㥢慦改㐴㜵ㅤ晣捦㤸㘴㕤〷〷㌶晦㠲㡤晣㌷つ敢扣つ扥愱挱户㌴㤸づ〳搵搵扦〳㤷敥敡㝣摣愶㐷㔷晦ㅥ㌶攸敡〹㠷㔳摣挰愱敢㉡攴㝥愰搳晦搲㈹挳㡤摤㠳㉦㘳㡣㉤攴㝥㠴挹搶㈱㌷ㅢ㘹ㄴ㜲㍦搱㉢㘳㤳戳㤰摢っ改㤶㤱㘳っ戳㐲㡥㕤㉡㡤ㅣ〳㤹㍤㤰㘳攴㠶挴收扣㑦捣昱㌶㈸愴〱㥥捤攷ㄳ㡣㝢㔶挸ㄵ㠳㜳つ扥敤㍤㐶搴〳搷づ昰〰㕣ㄹㄹ慤换攴ㄸ㐲㑡㤸㈵摦㌳㈱ㄸ挵散挶昵㜴挸㉣㕣晤㌰搹㍡㕣ㄹ改慣㜰敤㐸慦っ㜹捥挲戵ㄳ愴㕢挶㤵愱搱ち搷捥㜴愲㝢攴搹㤰敡㍡㔰㘸て扥㘵戰㤱㈶つㄹ㍢敤㘱戰ㅤつ戶愷〱挳愹ㄵ慥㕤挰愵户㐵慤㡢㥡攷ㄳ㔲昷て敦敦搵㔹㜷㐴㜲㠰㝡愱㈳㍦〷愸㍢㌱扦㥤㤹摦㔵㌰㜰㠳捡㜰㘸ぢ搴㕤㘰戲㜵愰㌲㝡㕡㠱摡㤵㕥慦〳㤷〵敡㙥㤰㙥ㄹ搴㈵㐸愶㐰摤㥤㑥㌴愸㌷㐰慡㌱挳愱〶戵ㅢ㙣㘴㜷ㅡ㉥昵㌶搸㠳〶㍤㘸挰㄰㙤〵㙡㑦㜰改〰㠸慣㐷扦㝡昴换㍤㘱っ〸ㄹ慦慤戳㜷㥣敦扤改扤て扤㌳戶摡㜱㘹敢换㘴昶愵慤ㅦ㡥㜹㘹㕢〹㤳晣㤷戶晥戶ㄵ㐳戳户晡搲挶㄰㙥敢搲戶㌷㤲㘷㉥㙤晢搸捥ㄸ摤扤㌵㤷戶晢㘱愷ㅡ摢捦㔲攷㕣摡ㄸ〰慥摡㜵㕦昸ㄵ慢挰㔹敤㙡㕦摡昶㠳㜴换敤扡ㅡ挹㔴扢〶㘰㡥慦晡ㄳっㄹ搷挰㔲㙢㥦㉣攵㌰㤰㐱㄰挱㜰㜲て㠳㄰つ挲㌴㔸ぢ〳㜵㘹慢〰㤷扥戴㍤收㐸搶㑢昹㔵〳㜴㈵㤳㐵㤸㡣昱摥敥㍥捦㈰㙦慢捦㔷挱㘴敢晡㍣㘳挲ㄵ㌶搵昴捡攰昰慣㍥㝦〰愴㕢挶㠶㐱攴ち㥢〳改㐴㜵ㅤ晣晦ち愴ㅥ㔵ㅦ〴ㅢ㜹㄰つㄹ㘵敥㘱㔰㐳㠳挱㌴㘰攰戹敡昳㐳挰戹㔶〷扣ㅦㅤ散㜱ち搴㈲㉤㑥〱〶愵敢捣ㅣ昳攲㘱捣㙣㌸㌳晢〰〶ち㔱㐷㜰挵㐷㤰㔹㠸㡥㠰挹搶㈱捡㈰㜳㠵攸㐸㝡㘵戴㜹ㄶ愲愳㈱摤㌲愲敢㤰㑣㈱㝡㌰㥤㘸㐴ㄹ㥡慥敢㐰愱摤摢挶挰㐶㡥愵㈱挳搶㍤っづ愱挱㌸ㅡ㌰㤲㕤㈱㍡ㅥ㥣㘳戲㔰敥㌵晥ㅥちㅢ㈰挷㐸㜶敤搴㠱摣㐴㍡㥤㐴愷っ㝤㔵㠵㥤㑣づ㘹㜰㔵昷ㄵ㝦て愹㍢㉡㉦㈷㘲㔲攵㤰㘲散攴愴戶〵つ㠸㔷攵㈱愳昴慣㈳㉥慦㘲捦ㄱ㌲挴づ㌶户㘰扢愱挸晤㐰㡦㜴摡攷㤰㘹挷ㅤ㕣㡦捥㔵挹愸㘱㘸㘶昱ㅤ晦捤㝤㍣㙣㍡㍤ぢ㥥㜹㡥㈶搳昰㘳㑣㐱ㄱ㜷㌸愴㍥摥搲摣摡㥣㙡敢㌱〹㠱搸㍤昸㈸攲ㄴ昶ㅢ㠶ㄴ摦〶㡦㥥㜹戲㘲㐵㑤愸㐸昱㕣㍥㥡搳㍦慢愹㜹㕥㤳㉡㑤㜱㉢㥦挸慣昰敡搰㠱搹㘰搰戲㍥㝢〲㍣㤳㘱㥣㑣㉣㡦〰敤㔴㘸㌲づ㤲挶挶㤱攰晢搴づ慤㥤㔸㤷㠸㈶愳㠹㜰慣慡慡慡〲晦㔵〷慢ㄳ愱昲昲㐰㌸ㄹっ㈶ㄲ攱㡡昲㠴愹挲㈶改㘳㉡搲㤸㍦搹ㅥ攴㔱攴ㄸ㌱愹㌲愷慥㔸愰愹戶㌶㠶ㄱ昶㍥晤㈸慥愲づㅤ㜲戶戵㜳㘲ㅦ搳㡦㕣㌵㡣敥㐸㕢㝣㈳挰㜲㍦ㅦ捤㍢㔱㜶㕢㌰㌱扢㤴㍣〶㐵㤰㜵㈰㝥戳〰〲ㄶ挸㤸づ摡戹㜶㘸㥤㈳㠴摢㠸㐲㔶ち㤹摡愶㤹㠸挷㉣ㅢ㌱㐸戶㠳㈴晢㐵㑤㐶ㅣ攲敤㈱挶㔳㐴㥤捦㉡㌵ぢ㙤敦戲㈷戳敤㐵㤲㠲愹昵敢晦㘲㈸ㄵ㠲㌳㈱攲〱换㈶㍡㠰戲换㡢㉢㔰㑢㜶㌴〸㝤挶戱㌰挹摢㝢挴㘵㌰㘳て捡敥〱㈵㍡昳〶㈴㐶て㤰攰攱搸㘷㌴㠲户㝡㐰㐵扣戲㉡ㄹ㑥㠶㤲攱㜸㌲㥣慡㠸㐵㈳搵搵愱慡㐸㌸㠹挷㡣挷㉢捡㘳㐶㔳摡ㄴ㙦愹㐹愶㐲戱㜸㌰㔹ㄵぢ攳慤っ戱捡㜰㉣ㄲ㡣㔴㈶慡㐲㤵愹㔴㘵挸攴㔶〳摤换㘶愴㤱戳㐱捣㡥㕡㜴ㅣ㐵㉤ㄴ㤵㙡ㄱつ㤴愹㈸㠳㠸晤㐷㥣㠳㉡戰㙤㜱㡣㈷挶㔰㍦て挴㙦㥡㄰攰挰㘷捣〷㜵户搱〲挸戲摢攸㜸㐸㍣摡攸〴㠸扤摡㘸㍢摢㝢收慤㑤昲㈴㤸㕡㙤搴㠵攵㘲㜱ㄶ㐲㤴㙥愳ㅤ㈱㔵㙤㜴㌲㑡㥢㙥愳㔳㘱㤲扦㡤晥〰搳摣㌶摡㐹㘷扥〸㠹搱㐶㍢摢昹ㄹ愷㠳户摡愸㍣㕣ㄹ〸〵㉡㐲㤵挱㘰㘵㌸㕡㤹慣㡥㐴攳愹㘰愰ㄲ捦㠱て㔶㔴〷慡㑤ㄵ戵挹㌲㥥㠱㌴㘶㔷㕤攲㌳挹敤慡㌹敡㐴㌷㜲晣㥢攷㐴晡㙣愸攴㌹㈰㝥㤳㜱㤷㌸昰ㄹ攷㠲扡㤱㍥て戲㙣愴捦㠷挴〳改ぢ㈰昶㐲㝡て摢㝢收愵㔵昲㘲㤸㕡㐸昷㘴戹㔸㡢㑢㈱㑡㈳扤㈷愴ち改㔹㑥愴㉦㠷㐹㝥愴敢㍤㤱敥慤㌳扦ㄲ㠹㠱㜴ㅦ㍢㍦攳㉡昰ㄶ搲㜸昷㕤㜹㈰ㅡ㠸〴ㄳ愹㘴戸扣扣ち晤扢㍡㕣ㄹ慤っ〵〲ㄵ㤱㐰㈴㘹慡㘸㑥㤶昱㙡愴㌱晢敡ㄲ㕦㐳慥㥦收愸ㄳ〳挸昱㉦敥㐴晡㝡愸攴ㄲ㄰扦戹て㤴㌸昰ㄹ㌷㠰扡㤱㕥ち㔹㌶搲换㈰昱㐰晡㐶㠸扤㤰摥搷昶㥥㜹㐳㤷扣〵愶ㄶ搲晢戱㕣慣挵㜲㠸搲㐸㤷㐳慡㤰㍥摣㠹昴敤㌰挹㡦昴㘱㥥㐸〷㜵收㜷㈲㌱㤰づ搹昹ㄹ㜷㠱户晢㜴㌰ㄹ㡢㠵ㄳ㠹㘸㌴㕡ㄱ㑥㈵㌰敡㈴㠰㜴㈸㔶ㄱ慣慥〸〶㐳㔱㌳慣换㜸㌷搲㤸ㄵ㥡㕢㐱慥㔲㜳搴㠹㙡㜲晣ㅢ敦㐴晡㕥愸攴㝤㈰㝥㜳㝦㈸㜱攰㌳晥〸敡㐶晡㝥挸戲㤱㝥〰ㄲて愴㔷㐱散㠵昴〱戶昷捣换挸攴ㅡ㤸㕡㐸て㘲戹㠸昴挳㄰愵㤱慥㠱㔴㈱㕤敢㐴晡ㄱ㤸攴㐷㝡㠸㈷搲㠳㜵收㡦㈱㌱㤰ㅥ㘲攷㘷㍣づ摥㐲扡慡㍡㔶ㅥ㠹挵ㄳ㤱㔴扣㉡㥣ち㔵㔵㈷挳愱㐰㌰ㄵ㑦㔵〵㔲ㄵ㠹㘸捡ㅣ慡换昸〴搲㤸戵㥡㝢㤲摣㌰捤㔱㈷㐶㤲攳摦〱㑥愴㥦㠶㑡㍥〳攲㌷㐷㐱㠹〳㥦昱㉣愸ㅢ改攷㈰换㐶晡㜹㐸㍣㤰晥㌳挴㕥㐸㡦戶扤换㘱㐴㜴㌸挹㑢㌰戵㤰ㅥ挳㜲㔱昴ち㐴㘹愴て㠱㔴㈱扤㥦〳㘹挹搱㠳㤳㉥戱慦㈷愸攳㜴㍥㙦挰づ愰㡥户㕤ㅢ㙦㠲户扢㙦㜵㍣ㅡ㑥㔵㔵㐶㉢㜰昵㑣㈴㈲㔵挱㐴㈰ㄶ㑤挶〳㔱㕣㐷㉢㘲〱㜳㠲㉥捥㕢㐸㘳ㅥ慡戹户挹㑤搴ㅣ㜵攲㌰㜲晣敢敢〴昵ㅤ愸攴扢㈰㝥㜳ち㤴㌸挰捦慤㈹攳挸㈰㌹ㄸ㐸㥥晡收攱㕡㌹㠶ㄶ㘳㐹㍥愶昲㍤ㅣ㤹㡣づ㈵ㄴ挶愷㄰㔹〵㑦㔶〷㤳挹敡㘸慡㉡ㄴ㉤て㐷昰㍥㤵㐴〸㔷㤳㡡㜸ㄵ㕥扡㤳慣㡥㔷㤹㐷摡㘹攴㍡扡㥦慡戹昵攴㡥搲㥣搲㌱㜲㤴昷㤲挶㐶敡㌰昷挹㡡攰㌴㌶㐱摡戱捥㝡㌲㈵攷㙦挶摦㈱攸㔴㘷晤昸㐵捤愷㕡㡤捦㈰捡敥ㄲ晦愰㤱㥡㜰戵っ㐹㈴㕡昰搸㌴攳㜳㠸摣㝤改ぢ挸㜲㝢㡥㌹捤㉥㔲㠹㄰㈵㈵慣戹摦㝡㑢摢㔷㌰㥦搲昷愸晦晤挹敥搳慣戵㈷扥㥢改晡㜳晡昶㍣〴㡦昷㍣ㄴ搹挸慦㤱㐱㜱ㅤ㜲㜷捦㑡ㅤ扦戱㜳㐴挶ㄲ㌶搳ㄱ㌶慢收户摢愵づ㥤ㄳ㙤挰㕢㍦挷㈳㜶慢㡤愲摦㐳挴㑦㤱ㄵ㐱户挵愹扤慡挲㔱搳㌸挳㜶㘳㤰㍤㌳户敢愶摥愰昰换㈲散晣挵㥤㜰慡㙣㕤㉥散〴㤹㝢㌱㍤晦昷换㝦愳挱戸ㄶ㌵㕤㜷改㙦㈰搰ㅦㄱ昵㤲ㄶ挷㈰摤晡攰㌴收摣〵昷㘹昶ㅢ㠶昹㤳挴〱つ㝣扦戰搷㉦摣㕣扦〰㐵㔹㐴㐲㤷攱㍢㜰㥣㔶昳㑦㈴戵昴㍦戴㠱〴扣㑦捣〰㔵挳㕣〷挷㌰㘷晣〰㤳晣ㄷ㤴㘲捦戱㙦㈶㍣㈱ㄹ㝥㌰〷㉡㝦㈲昹㤹㘴㌳㠸㔹㙦㘷㙥昸㡡昵㜸㔲㔵㤱慡㡣㔵〷ㄲ㐱摣㉥㠴慢㈲㤱㘸戲ㅡ㔷ㄵ扣愷㈸ㅥ㐹愵㘲愱戸㜹慣㥤㐶ち愴㌱㘷㘹慥㠰㕣㠳收愸㉢㙢〴挷晢ㄷ〳㝦扦敡挷㙣㠲㘷㝣昱ㄳ㌶攴㤳㍤摥ㄴ㐳攲ㅥ㕣っ挸㍣〶㤷㘶摢㡢㝡戹愰昵㥡㐱扥散搹㥣つ㌹㕢挲昰㠳戳㐷㔹捣ㅦ㘳㤱㔴戴㈲㠶扢慡㔸㈴ㄴぢ㠷㈳㠱㔰㌴㠹扢敢㔸㜹㉡ㅥ㌵㡦戳搳挸㡥昴搰愲戹㔲㜲慤㥡㔳扡㌶㜰㙡挵㡥愳慣攴愰㉡㌹㤰㑡づ㥤㤲愳愵攴昸㈸㌹㈰㥡㜳㙣㕢挷昰㜷っぢ戶ㄳ摣晥㈶挳ㅦ㥥㈹㌸つㄹ挸㕤㤰㠱㤸㠷摣㌹〴晡挵㠶ㅦ㌶㙦收㈹ち〶㈳昰慥㔰昲㔴㘳㜰ㄸ㜱㤲扢㐱愰㍦㘲㠱愷昴㜸㐸㜹扡挹摤改㤹㌱㕥㉡㘵㌷㜰改㔳攱て㕡摡㥤㌶㜰〸摥㈷㑥〶㔵愷挲㐷㈸㐴晡捥慣〷㑣昲㥦ちㅦ挰㌴昷捥㙣㈱㍣〱㔵摣戵㈳戱摣㤳愴㌷㐹ㅦ㄰昳ㄴ㍢㜳㘳㉦㜰㔶愳㐷㜰㔳ㄶ挴摢㘳㐳戸㐷ぢ㤷愷㔲搵攵愹昲㐸㍣㕣㕤㤱〸㈴捡攳戱愰㜹慡㥤㐶昶愵㠷搳㌴搷㡦摣㈲捤㔱㔷㜶㍡戸摦收㔴㘰㔴ㄸ扥㜸㉦㌱昲㜱㜷晣〱㤰㘵㥦ㅥ晢㐰攲㜱㉡㥣㘹㝢㤱㜱攲㤳㈰搹て㤶㘲㌱攴慡愱〲攴㈰㘶㔶攲ㅣ㔰搵㈴㉦㍢㥡㈴㌳〹㝢搱ㄳ晤㜳㤱㐸愱ㅦ㠶㉢㑣挲捥戳㕤ㅢㄵ攰㉤挰ㄳㄵ㤵愹㐴㜹㜵㌸㔹㔵ㄹづ〷㜱户㔶㔱ㅥ慦㑡㐴㘲愹㜸ㄸ㜸愷挲收昹㜶ㅡ㔹㠹㌴收〵㥡㡢㤰扢㔰㜳搴㠹㑢挸昱敦ㄹㄴ㈶扤〲戱㍦㔴昲〰㄰扦㜹㈹㤴慡㌸㌷㠰扡㈷㘱㤷㘹攵戱㐴㘲ㄶ挹㔰㈶攵㈴㑣㕣㐱户ㄴつ㘳㐶㌸〰㡦㥤㈶㔰㠵挹㐳づ㑣㡣ㄱ㌰挹摦㑤㔷㝢〲㜵戵捥㝣ㄴㄲ〳愸㙢散晣㡣搱攰敤㥥ㄹ㡤㠶挳ㄵ愹㜰㌰ㄵ㑥㠶挳愱㌰㔶㜸㘲㤱㐸㜵㈴ㄱ㡢㔴㤶㐷戱㠰愰〲挲㔸挶㠳㤱挶扣捥昶㈰挷㤰㔳戱㘰㕡㈷㤶㔲挷扦晢㥣㐰㡤㠳愱ㅣて攲㌷㤷㐱㐹愰㡣〹㘰摤ㅤ散㔰挸戲㍢搸㐴㐸㜲㍢㤸㌱〹㘲慦㕢㠰ㅢ㙤敦㤹昷㡥捡㈹㌰戵㤰扥㤹攵㘲㐹㡦㠰㈸㡤昴慤㤰㉡愴㙦㜵㈰㉤㙦㘷ㄹ㜹ぢ㜰戳㈷愸换㜵㍥㐷挳ㄵ㐰扤捤㜶㙤㑣〳㙦㡦昱昱〴摥搹ㅣち〷㉢㜰扡㈷挲㠱慡㘴㈴ㄶ㡡㔴挷㠳挱㐰㜵㌵捥㝤昳㜶㕤㥣㘳㤰挶扣㐳㜳㜵攴敥搴ㅣ㜵㘲〵㌹晥㉤㜱㠲ㅡ㠳㑡挶㐱晣收㑡㈸㔵敦攳ㅤ慣攴㉤慢攴㕤慡攴㍤愹㜹㡦㔶昲愱㤰敡ㅤ愹昲㔸㈶㔵扤敦㍥扡愵扣㠱ㄹ攱〰扣㑦摣て慡㌰戹挴ㄳ㤳㡢㍣㌱㜹㐰攷㌳ㅢ慥㠰挹㉡摢戵㜱ㅣ㜸ぢ㤳敡㘸ㄲ慢㠴挱㘸ㅣぢ㠲攱㐸慡ち㌳㠳㔴㈲ㄶ㡡〵㠳戱捡㘴戸㌲㘵慡㈸㌰ㄶ愷〵㘹捣搵戶〷搹㑡㙥㡤收愸ㄳ㙢挹昱敦ㅣ㈷㈶㜳愱㤲昳㐰晣㈶攳扢㔰㝤㥦昴挲攴㔱慤㍣㤹ㄶぢ㐹㑥㘲㔲㠵挹攳㜴慢攴捣〸〷攰㝤攲㐹㔰㠵挹挹㑥㑣㡥㘵ㄶ散㈷㝦昰挴攴㈹㥤捦㈲戸〲㈶㝦〲捦ぢ㤴㜱㍡㜸扢㥦愴愲㌱㜴㠸㜰㌴㔶㤹〸㠷㌱㐹ち㔷㐷㠳㠱㐸愸㈲㤰慡挲㘲㝢搰㌸㈳㘳ㅡ㈸㑦㔵㔴㠷㉢㌰㜵挲㘲㐸㘵㘵㜵㌴ㄲつ〱搱㔴㌴㥥〴㝣〹㤳愱㘰㜴㉦捦㐴ㅡ㜹ㄶ㠸昹㡣ㄶ㉤愶攸㙣㡡㥥搵㈲ㅡ㈸㔳昱㘷㠸ㄴ㥡慤㑥㌴捦愷晥〲㄰扦昹〲っㄴ㥡㕣㘱㤵㕣㔲㤵挷㤳㜰捤搴㝣㔱㉢捦㔰㜹㤳㕣捥愴ち捤㤷改㥡愲㉢㈱㑡愳昹㉡愴ち捤ㄹ㑥㌴愷挰㥢㐲㌳改㠹收㙢㍡㥦㙢攱ち㘸扥㙥扢㌶慥〳㙦愱㤹慡㑥㠴慢慢挲攸㔹愹捡㌰慥慢搵挱捡㄰㔶㡦攲㤵㠹㘴ㅣ㈰㔵㥡㙦攸攲㕣㡦㌴收㥢㥡㕢㐲敥㉤捤㔱㈷晥㑡㡥㝦㜵㑥㑣㤶㐱㈵㙦〴昱㥢敦㐰挹〲换改㐴㠲㕢〱㌲㐶挲戵㝥昳㕤慤㍣㡦ㄶ攷㤳摣捥愴ち㤳昷愰戴愶㐲㤳攱㍢㌳ㄵ扡㡢㝥㌱ㄵ㘲㤰㤷挲㉣㙢㉡昴㠱愷昴㐳㐸搵㔴㘸〵ㄲ㡢㡦戵捤㑡㜰改愹搰㈷㕡㝡て㙤㔰ㄶ昰㠸戵〵㔵㙤㌰捥搹〶㥣ち愹㌶ㄸ敢搹〶㍡摥㑡摥て㍢昹〰挹㉡㤲〷㐱捣つ㜶㍥挶㙡㜰㔶㠳㘰挶㡦ㄱ㉦㠲㤵扣㐸㐰㕤㔸攲挹㔴戸戲愲戲㍡ㅥ挲㠲㘹㐵戵戹㔱㤷㙤つ㍤㙣搲摣㐳攴晥慥㌹敡捡㍥〳昷摢捣㝡晥〱捦昸攲昹㥦挸㐷㜲㥡㈳㌹戳㌱㍦搷昲㑢愸攴㌳㉥攵ㄳ㤰㡢㉦㈱㔷敤昳㈴㌹㠸㤹㔸晣ㄳ㔴攱㜹愰〳㑦攳㑦㌰挹㝦捤摥摦ㄳ攴慦攱〹㥤〸换㘶㐸㡣㡥晥㉦㍢㍦攳㔹昰ㄶ慥挱昲㐰㜵㤴㌷㔴愱㘴〵戶攲慡愲攵戸㔶㠷攳攵ㄵ㤱昲㔰ㅣ㘳㠷昹㙦㍢㡤㝣づ㘹捣㙦㌴昷㍣戹㙦㌵㐷㥤昸㥥ㅣ晦挲㈸㑣㝡㜲昳㈲㔴昲㈵㄰扦昹〳㤴㉣㡥昱㌲㔸昷㌵晢ㄵ挸戲慦搹慦㐲攲㜱捤㝥つ㘲慦㙢昶㝦㙤敦㤹昷㌸换㌷㘱㙡㥤㈹㍦戱㕣㐴攲㙤㠸搲㐸㙦㠶㔴㈱摤捦㠱㜴收㥡扤㤷㈷愸慣㠲〲昵㕤戸〲愸〲っ㍤ㅡ㝦〳㙦㠳㥡㑣挶㠳㜱扣㐰㌷㤲っ㘱ぢ㉢㔸ㄵて㈵戱摦ㄵ㈸て攳ㄶ㉤㔰ㅤ㌰ぢ散㌴昲㍤愴㌱ぢ㌵昷㍥戹㈲捤㔱㈷㍡㤰㘳攱㝢㌸㐱晤〸㉡昹㌱㠸摦㉣㠱〱扥摥搷㈷愹㤵㑢㘹戱㡣㘴ㄳ㤳慡搱愳㈳㕤㔳昴ㄹ㌳挲〱戲昱㠹㑥㤰㉡㑣㜶昰挴㘴㝢㑦㑣㍡敢㝣扥㠴㉢㘰㔲㘶扢㌶扥〲㙦㘱㔲㤵慣愸挲㔲㘰㜵㈰㤶っ㠶〳㌱散收㠵换㘳㤸搷㔴㈶〲ㄵ㄰㔷㥡愶㉥捥㍦㤱挶㘴㜰㤶㉡摣搷攴戶搷ㅣ㜵㘲㐷㜲挴愴搴㠹挹㌷㔰挹㙦㐱晣收㑥㌰挰搷ㅢ㤳㥤戵㤲㑦敡㔴㉦挴㤶㍦㌱愹挲愴㉢㕤㔳扥㤹ㄹ攱㐰㘱戲ㅢ愴ちㄳ㥦ㄳㄳ㉥愴慢ㄱ敥攷敦扤敥敢ㄸ㑥㐵ぢ㔹㠸㤵〶㘰挲搰㈹㜵捤㉥〲㙦㘱㤲㑣挵〳ㄵ㔵戱㐰㜵㈸㐸㑣㤲戱昲㈰挰愹挰搵㈶㤲慣っ挶㈳㐶㜱摡㌴ㄲ慥慣挶扤㝤㌸ㄵ慣慣〸挷慢慢愳戱㐸㐵㔵㈲㔴㔱㤵㡡挷㐳攵愹愴搹摤㜶㉦つ愴㤱ㅤ㐰捣㍤戴愸㠴㈲㐹㔱て㉤愲㠱㌲ㄵ㝢㐲愴搰晣㌷慡㤱㍥㙤㍢㔱摦ㄹ挴㙦昶㠶〱扥〸〰〷㤵㕣㕥㤷捦㤳晣ㄹ挴散〳㠲慦㉦昳㡡㙦戹㈳㤳㉡㌴晢㐲㘳㕤㥦㌶挱㜷收晡戴ぢ晤攲晡搴て㝡㠵㜶㔷〸昴㐷昴昷㤴敥つ愹扡㍥敤ち㕢戱㡦戶搹つ㕣晡晡戴慦㤶敥㑥ㅢ㌸㔴慤户ㅦ愴慡昵㍥㐱㈱搲户敡摤㘱㤲㝦㍣晤挸戳㐹〳昰㠴㉦〲摣㤰㔸昶㈴改㐵戲㈷㠸挹㄰㉡收㘹昴〶㘷戵㉦敥ㄶ戱っ㡥挵敦㘴㉣㄰㡥㔷〶㄰晦㔰㠹晤扤㔰㈰㔱㔱㡥㠶っ㥢㐱㍢㡤散㐳て㡣戱㔲㜰散㐵㉥慣㌹敡捡㉡挰晤㌶ㄷ慤㑡㜸㈶㑥㐶㍦攴攳ㅥ㤵晢㐳㤶㍤㉡敦つ㐹敥愸㙣㐶㙣㉦㤲㑦㍦㔵㙦㘸㤷晢挲㔲㔴敢㕡っ㈴〷㥤㙡㤲〳㈰㔵㑤昲慡愳㐹㌲〳敦换㥥攸㌳㔶ぢ㕦挴愹挱ㄵ㑥㈸挶㘵㈹挰㐳攰㉤挰慢ㄱ㈳㔰㔹ㄵ㡤〵㠲戸㠸㘱敢㍡ㄶ㡤挷㔳攵愱㐸㜹っ挳㑦愲㍡㘹ㅥ㘴愷㤱㘱愴㌱㙢㌴㔷㐱㙥戰收愸ㄳ戵攴㔰㔸昱ㅣち㤳㍥㉤慡愰㤲搵㈰㝥㜳ㄸっ昰昵ㅥ㘴㠶㙢㈵㥦㜷慡摥㈲㉦〷㌳愹㍡㉤㐶搲㌵攵㐳㤹ㄱづㄴ㈶愳㈱㔵㤸慣昵挴攴㈱㑦㑣づ搶昹㡣㠰㉢㘰㌲挶㜶㙤㡣〴㙦㘱ㄲ㡢㈶慡㠳㠹㘸㔵㜵㤰㥢捤〹〴㔵㐴愳搸㡤挱戸ㄳづ挷ㄲ攱㠸㌹㔶ㄷ㘷ㄴ搲㤸㠷㘸㙥㌴戹㜱㥡愳㑥㌰扥㑡㘱㜲扦ㄳ㤳戱㔰挹㐳㐰晣收㐴ㄸ攰敢㡤〹㐳慦㤴昲㐹㕡㍣㐵㌲㤹㐹㠹㠹㌹㔹㉢愷㐰搴愹戰昸〸昰〷攴㝦㝦㤲㈳㜸㘶〰㝥慤㥤昵㜲昴攱㜸搹昹〲㡥〹㠵㜸昰㥢昵戸戴愲㠲晤㝦㤹㉦㙥㌷㜴㠳㉢晥ㄵ摦㠶㕡晦て㝥搸搲㤹㍤〲㝡摣〳㝦昲〸㔴戸㜸㉡慡敢昹㙢㜰㉢晥㘷ㄲ㥥㜸㤷ㅣ㔸㍢㌴㌲搰昹㔶㙥㈴昴敤搸㌸扡ㄵ〱㐳㜸晦搰攴收㈱敡昷攰っ㐶摢㑥〷ㄲつ搰敦散敥㤳㤱攸㠷㉤攸㘴攳㕢搲改昰づ㙣挴㝥㐱㌱㠰㙦昸摥㌱挳㌹ㅥ㌷户㕢㐶㡡㘷㙣攰㤷晦挹㠴昶搸㡡㐸挴愲㠲挲㥣ㄷ昹愸摤愹㘱捤㡤㜸㈷摢㐰㍥㕦㡥摥昰㍥晡搱〹〲戰㥢挷挳昶㠶搶户愹慤㡡摤愱ㄷ昲㐸㠰㘳㑣㐵㙤㡤㐱扤㠷昵づ㐵㡡㙦㐶㐳戸㝦晤㥣㌷㡦㙣搸㤹㈳㑦㌷扦㍣ㅡづ挵㔱㜰㑤㙦ㄴ㤵ㅤ〳〶㤷㝤昷捥㠰㝥挹㡤㙦㌰㜴昸㤴っ㔶晦㘱挰㈸慢搳㈹愶㠹㥥ㄷて㈹晥昰㘴昷㤳㤷扢㍤户慥收愶て㕥慡戹慢晥晤攳捥㍥晦㡦㌵㈲㠵ㄴ㝤㤰摥晤㈶攳ㅢ㔰㠸㜷昰扢戳㥣㔷㌹㉦戱ㄵ敥㔷㌹㥢㌳攱〹㕦摣㉣愲㈲㥤ち㐵〳ㄸ㥥㌵攲㍡愴㘰㔷㔵扤㉢挱㕡㌶㐳捣ㅥ㈶㘴㈳愸㤱㑡㐳ㄹㄶ㔷挱㔰〳攰㤷㌳㘹㍤㍢㙤摤㐴敢㘳㉤敢摡摥愱戰戸捣戶收搹㠵ㄷ戱搰㥡ㄱ㔷㜴㐰㤱㘸戱ㄹ〵攷㕣㌰摢〶攷㍣㥤㈲ㅦ㥣搷㝦㜹敢搳㘳㈲慦搶㍣戳收挱昳㡣慦ㅥ愸ㄱ㈷㈱㠵ㄷ㥣ㄷ愲㐴㥥㜰㕥㘰㉢摣㉦㠶㌶ㄷ挲ㄳ扥㔸㌲㐲慤〰攷㈲㌰ち捥昳㤰㈲つ㘷ㅢ慢㝣〶㔴ㄶ㥣愷攳挸㤸㙢〱㌴慡㜷戰㔲㉣㠶㜱〶捥昹戴㍥ㄳ㌶㕡㔴㜶㌶㤸㙤挳攴ㅣ㥤㈲ㅦ㈶㍦㥣㜴散挳㙤㤷捣慦戱ㅥ晤昱㕣㡤戸ㄸ㈹扣㌰㔹㤴て㤳搳㙣㠵晢㕤搱收愵昰㠴㉦ㄶ戵㉣㑣慥〴愳㌰㌹挵㠹挹㐲搶昲㙡愸㉣㑣慥挲㤱㜱慡㠵挹挱散㌴㝦挸挲㘴ㄱ慤慦㠱㑤ㅡ㤳敢挱㙣ㅢ㈶㑢㜴㡡㝣㤸慣ㄹ㕤㕡㌰攰捣㌳㙡敡㍡扣搴昵搰㜷㘶搵㠸㕢㤰挲ぢ㤳昹昹㌰㤹㘷㉢摣慦㡦㌶㤷挳ㄳ扥㔸〳戳㌰戹ㄳ㡣挲㘴㡥ㄳ㤳㜳㔹换扢愱戲㌰戹ぢ㐷挶昹ㄶ㈶㈳㝡㠷慡挴㜱㔹㤸㕣㐸敢ㄵ戰㐹㘳㜲㉦㤸㙤挳㠴㌱㐸㉡㐵㍥㑣愶㜴摥昷摥敢扥摣㔰㜳㐴昵ㅦ㥦㥤晢挸换㌵㘲つ㔲㜸㘱搲㤰て㤳㔹戶挲晤㌶㘹㤳㔱㐷昸㘲戹捥挲攴㌱㌰ち㤳㝡㈷㈶㔷戲㤶㑦㐰㘵㘱挲搰㈱攳㙡ぢ㤳㘱扤㠳㔵㈲㤹㠵挹戵戴㝥ㄲ㌶㘹㑣㥥〶戳㙤㤸㍣愳㔳攴挳㘴敤挴换㝢㥥㍦㘷㘹捤〹㍢摣㍤昲愳攳ㄷ搵㠸㤷㤰挲ぢ㤳改昹㌰愹戳ㄵ敥ㄷ㑣㥢慦挰ㄳ扥戸敢戶㌰㜹〳㡣挲㘴㥡ㄳ㤳㥢㔸换户愰戲㌰㜹ㄳ㐷挶㉤ㄶ㈶愳搸㑦㡥捣挲㘴㌹慤摦㠶㑤ㅡ㤳㜷挰㙣ㅢ㈶敦敡ㄴ昹㌰㐱㤹昱㜹愵愶攵㤶㜹㉦㤷㌶扣㕤㈳ㄸ攸攳㠵挹攴㝣㤸㑣戲ㄵ敥昷㑤ぢ挶昳㔸ㄵ晤ㄴ㐷挶ち慢愲㘳㝢〷慢㡢㈷㈰捤扥㕥㜳㌴㝢摡〰ㄵ㥥㠰慢愷ㅥ挳㥢收㌴收㕥搷㔹㙥扣攴㠱㈰慤㠷㝦扡愴㐸㝣㥤㔵㠱搹㐸㘸捤挳挷攴慢挰挱戶挲晤ち㕢昱㙦㜸㘲扥㜲ㄵ㌲攱㐵㡥㝦收㌷㤰昲㈳扥搵㙡㉤㔱敡敦㈰愵㠵㕣㡤㐴㜲つ㐸愷〲昳㍦㕡昸㄰昹㐲挱㌸〸搵㍤㠶㈱㙦㕥㙥ㄸ㐳㠲つ㜶挱搸〸愵愸戵ㄵ㥤愹㐰㈲㝥晥戳㔹晣慣昵㐳㙤㝤ㄹ攴づ晤㘶慤ㅦ㘲敢㜷换搶ぢ㜴ㅦ慢㑤搸㤱㡣挷攱ㄹ搳慣挳㝢〷㉢㡡て㐲ち捦愷昴摢㙤㠲挷㐷㙤㑤㠳㍣〹㤷愲〰捥改㡦愵ㄶㄲ㑣ㅦㅣ㔸㤳㈰挷敢㈴㘰攰㜹搵慥戲ㄵ㌹㉦㌲散〸㑦㔶改晤㌸㌲㥥户㑡㍦戶㜷㈸㈰㉡㤰㐶㜷〱扦㝣㠱㠵㘰摣㠳ㄶ〹〶ㄳ昴㐹ㄷ㈲搳㉢〲昹ち戱㥦慤挸㜹慢㈰㈳て㔴慦㜸つ㤹愴㝢㠵㕥㜳ㄷ㉡戶㠰ㄹ㘹〹愷㑡㘶㌷㈴㐲搳攰昷攱㐸㈴摦〴㐱慦攸慥㠵㙦㤱㉦ㄴ扤挰慢挶敦㡦扣㥤扤㠲㘱〲㑡搱捦㔶戸㝡〵㈳〸㤴扥慦慤㜷昵ち〶ㄷ㈸晤㕥戶摥搵㉢ㄸㅥ㘰攱捡挰〳攳㙦㈸づ㝡挵ㄱ攸ㄵ㘲㑦愴搰㉤改㤷敦㐳㈳晡挱㐶㡢挴㝥㘰晡愴㜱捤㌴㙥㜷愴昳㙣摣㙥戶挲晤づ㐲㌳〰㑦ち愲㑦㉤㌴戸㐵慦ち扤㥢㕤㘸㌵挳㕤捦ㄲ㔴㐲㘵㤵㤷晢昶挶㐶慢扣ㄸ㐲㈳㘲㘷ㄸ敢昱ㄲ敦户愰㌵㜷收戵愸㡣扢敦昸㙥挳慣晦〰㥤㈲摦㄰扡挷改㥦ㅤ晡㘰昷㌷㙢㡥ㅢ攴㝦晢挶搹慦搶㠸愱㐸搱㈷㡤㐹收昵㈱摢攷挳㘴㍢㕢攱㝥㉤愱挹摤㝤㠵挹㔷ㄶ㈶愳挰㉢㑣捡㥣㤸㝣捤㕡ㅥっ㤵㠵挹㘸ㅣㄹ晦搶㤸攰㔲摢㌱ぢ㤳㙦㘹捤㑤昸㌴㈶摣㘸挷㜷ㅢ㌰ㄹ慦㔳攴挳〴摥搴㈷愴㍥慦搷㠸㈹㐸搱〷㈲昷㥤㤰㤱て㤳㘲㕢攱㝥㑢愱挹㝤㜸㠵挹㡦ㄶ㈶摣㑣㔷㤸ㄴ㍡㌱昹㤹戵㍣〶㉡ぢ㤳㘹㌸㌲ㄸ昲㠴㝥㡤㝥㔲㉥㌶晦挷搹㑦ち愰ㄱ摣㐳㑦㘳ㄲ〳㠳敦㌶㘰挲㑤㜵㤵㈲ㅦ㈶敦㝥捦戹晢㝤㡦摥晣捥慤㥦㤴ㄷ扥㔲㈳㡥㠵㜹ㅦて㑣㝥㐰搹㍣捦㥤敦㙤㠵晢愵㠵㈶昷攱ㄵ㈶㈵愸〸㐶㤲搹攰ㄵ㈶摦㈱〵㐷ㄲ㜵敥昰㔷昴㠲晢攰ㄶ㈶挷攱挸㈸㑤㘳ㄲㄴ晦捡挲愴㌳慤戹㠷㥥挶㘴㉥ㄸ㝣户〱ㄳ㙥慡慢ㄴ昹㌰㤹昱收㠶㘳〷㝣扢敡搱愹愷㝤㜷搸敡〹㌸㜷㑥㠲㜹ㅦて㑣扥挸㠷挹攷戶挲晤づ㐳㜳㈱㍣㈹㑣㜶戰㌰攱㘶扡挲攴㌳㈷㈶㍢戱㤶摣昸戶㌰攱づ扢戱㡢㠵挹〸摥攲㙤挸挲㘴㔷㕡㜳〳摣戲收㈶扢戱扢㘵㍤㥣搶㥦搸搶搶ㅤ㜳㜷㕡㉦㠶つㄱ㔴㜷捣㘷摢っ㉦ㅢ㘵摣㈸挷㜷ㅢ攰扣㐰愷挸〷愷ㅡ㠱〶㍤㕦㤳晡敥搳攸搲户㙥慡ㄱ㤷㈳㐵ㅦて㌸摦户㔱换㔹㠰㜸捦㔶戸摦㠸㘸㜲㈳㕥挱搹ㅢ戵㐲ㄷ攳㙥扡㠲昳㕤愴㐸㜷戱扤㔸攵敢愱戲〰扡づ㐷㐶㍦ぢ㈰挰㔹㈵摥戶〱㈲〰㝥戹㌷慤戹㠹㥥敥㘲换挰攰扢つ㤸㜰㔷㕤愵挸㠷挹搸挸攲㈱搳搷㍤㘶捦晡㠱挹敤㌰敦攳㠱挹㙢昹㌰㜹搵㔶攴扣㈰㤱㍢敦㙡㉡㄰㐰㐵昴㔴㐰慣搰搲慣ㄹ挰㑡㐸ㄵ㝥㐱搸捡㄰〸㘶〰昷㘸㘱㤸㝣愱攰昶戸〲昵捦㌶愸㝡㕥昸㠰㔶㍣㙦㉢㕣㌳〰敥愶慢㠴捦搹㝡搷っ㠰ㅢ敤㑡晦慣慤㜷捤〰戸㔵㙥㌵ㄹ㌷攱㡤晤㔱ㅣ㡣㤴㔳㌹〳昸ㄳ㔲攸换扤㕦ㅥ〸㡤㜸〸㌶㕡㈴㥥〰搳㈷つ㘷㘶〶昰ㄸ搲㜹㡥㘲㡦摡ち昷㉢ㄵ㑤敥㡢㉢㠸㠶㕡㘸㜰ㅦ㕢ㄵ㝡慤㕤㘸㌵㡡つ㘳〹㥥㠳捡㉡㉦㌷户㡤ㄱ㔶㜹㌱戲㔷㠸搵㌰搶晤挹㉦㐷搱晡㜹搸㘸㔱ㄹ户愸昱摤㠶㉥挶晤㙣㤵㈲㕦ㄷ㠳㌷昵㌹攱㡤㈷㑥敦㡦㥢㈹挱慤攸㍥㄰戹慦㜶㝦捣㠷挹㝤戶挲晤㠶㐵㤳㍢搸ち㤳㜱ㄶ㈶敦㠲㔷㤸摣攳挴㘴〲㙢昹ㅥ㔴ㄶ㈶摣㥢㌶㈶㕡㤸㘰〱㈲㈲敥捡挲㘴㌲慤摦㠷㑤ㅡ㤳㡦挰攰扢つ㤸㝣慣㔳戴㡦挹挶ㅡぢㄹ㘰戲〹㈹晡㜸㘰戲㍣ㅦ㈶户摡ち昷㑢ㄷ㑤敥㘰㉢㑣愶㕡㤸㝣〹㕥㘱㜲戳ㄳ㤳愳㔹㑢敥㈰㕢㤸㜰㙦摡㌸挶挲〴晤㈴㉣㤶㘶㘱㌲㥤搶摣㝤㑥㘳挲ㅤ㘶㝣户〱㤳㙦㜵㡡昶㌱昱昹㍥㍡㥥㉢㄰捦搷㠸㥦㤰愲㡦〷㈶搷收挳攴ㅡ㕢攱㝥て愳挹ㅤ㙣㠵㐹捡挲㠴摢搰ち㤳慢㥣㤸捣㘴㉤つ愸㉣㑣㡡㜰㘴ㅣ㙢㘱㠲㐵㤹㠸戸㉣ぢ㤳〶㕡㜳敢搸戲收昶戴搱㘴㔹搷搲晡㈲摢摡扡摡捤愶㌵㙦㐵㠹愰扡摡㜱て㍡つ㈷户㤸㔱挶㙤㠰㤳晢搱㉡㐵㍥㌸慤戵搰攵㌵㍦摥昶捦搷づ㠹㕤㔸㈳戸ㄷ敤〵攷戹㌶㙡㌹㔷扢㜳㙣㐵捥㕢ㅤ㜷㠱㈷㌵戲捦㐵慤昴挸㙥敡㡤㙢愱㜶愵搹㙥㕡挲晡㥡摣㥤㔶㙤㌰ㅦ㠹攴〲㄰っ昱扢㙢攱昱攴ぢ㐵て昰慡㘱㑥㐷摥捥㥢㍣㙥㌰㉢挵㈲㕢攱ㅡ攲㝢㘹晤㘹戶摥㌵挴㜳㕢㕡愵㍦搵搶扢㠶㜸㙥㉣㕢つ搹ㅢ㐷挶㐲ㄴ挷ㅡ攲㈳攲㘴愴搰攳戹㕦㥥ち㡤搸ぢ㌶㕡㈴戸户㥢挱㌵㌳挴ㅦ㡦㜴㥥㐳晣〲㕢攱㝥㈱愴挹㝤㘱〵搱㔹ㄶㅡ摣摣㔵㠵㥥㘷ㄷ㕡つ昱㘷戳〴㘱愸慣昲㜲挷搷㌸搷㉡㉦㑥摤㠰㘸㠵戱敥㔸㝥㜹㍥慤戹愷慢㐵㘵㔵㘰戶慤慦㜱㤳户摤扥㌶愸敦摡收ㄳ㍦扦敤搱㉦昷摦敤敢㤷㑢ㅦ慢ㄱ㠳㤱㈲㠳㐹收㈶慦㈹ㅦ㈶㡤戶挲晤㡥㐸㜳㈸㍣㈹㑣㉥戵㌰ㄹ〱㕥㘱㌲换㠹挹攵慣攵㈸愸㉣㑣戸攳㙢㕣愹㌱挱挹㌸㈳ぢ㤳慢㘹捤㍤摤㌴㈶摣户摤㌶㑣戸挹摢㉥㈶攸昳敡戳㕤攵㠱㔸㕡晤㙢㡤㤸㡣ㄴ㕥㤸挴昲㘱ㄲ戵ㄵ㌹慦㡣㥣〲㑦㥥㡢㔱敡ㅤ㄰〳搵㥢ㅡ昸㤸㡢㘴慢ㄲ昰㔴㈸㑥㜱㉦戴㘳捡ㄲ㜳㉢㔷扤づ愰㐱㍤搵愲ㄴ㉦㜹㙢㤹㤵㙣ㄹ㡢ㄷㄹ攲搵㙥㤳敡ㅢ敤㐷㉤攰〵㠷㝣㔴戲㝥㡤㤸㔴ㅣㄳㅢ愹昱㉤㜸慦㔸㠷搴攸㔶晣〴㌱㔱搲㌸㈱摡搶㤶㙣㘹晡㍤晣㝣づ捦ㄹ攱㌳㉤昱戱摥晤收昹㠸て㍥扢挳㜳摢搴㠲㌰㠳㠷㝥攸㜹〱摦つ昷换㝥㍣㘷摣挰慥㙢扤敡搰㝥捦㘱㤱愸㘳昷挵て㜶晣扥㠵扥捤慡戴㠸摤㤱换搸㘷㙦〴㈹挴㔳㉤搴ㄸぢ攲㤷㌷㐱愲ㅥ昲愲㠸慦昸〸㜴〰㜷戵昸戸㤵ㄱ慣㜷昱扣晡㐴摢㑣㘳㘶戲㝥挶捣㌶晣㈰戴愳㝥ㅣち㜳㈹㍡ㅡ㐹摢摢㘶收㜰摥愱戱㉥摡搲ㄲ㕤㔰搲㔸搷㤰㙣㥡搱㌶戳愴㙥㉥㜶搵昱㌶㑢㤴愳愴愴㐴摥㠲晦㤹ㄵ晦㐴っㅥ搹㈳㡤㕢㈱㜵㔷昳〸捦㙡摥〶㑢攳㜶㤰散㙡摥〱㠹愳㥡㈲〱慦慣慡晥㠸㤹㘰㔸〱㜹ㄷ㉣搳〵攰摥慢㤲摥敤㤴㜲敦㔲ㄵ㙢〵愴敥㘲㑤昰㉣搶㍤戰㌴敥〵挹㉥搶㝤㤰㌸㡢搵〶捦㔹挵㥡慦ぢ㜰㍦㉣搳挵攲㐶愱㉡挰〳㤰扡ぢ㌰摡戳〰て挲搲㔸つ㤲㕤㠰㌵㤰㌸ぢ戰搰㕤㠰㐵扡〰て挳㌲㕤〰敥捡愹〲慣㠵搴㕤㠰愱㥥〵㜸ㄴ㤶挶㘳㈰搹〵㜸ㅣㄲ㘷〱戸愵㤷㠵〰㜷敤㔴ㄳ㍣〹换㜴〱㉥搷〵㜸ち㔲㜷〱づ昰㉣挰搳戰㌴㥥〱挹㉥挰戳㤰㌸ぢ㜰愵扢〰搷敡〲㍣て换㜴〱戸摦愴㄰昸㌳愴敥〲㠴㍤ぢ昰㈲㜳㘲ㄳ㘴捥扥㤷㈹㝡ㄹㄲ㐵昰敥㜵㜷收换㜵收慦挲㌲㥤㌹㌷㕦ㄴ㈶慦㌹愴㈶㜷㑢搴昵散㜵㝡㝤㠳攴㑤㄰扦攰㡥㠸扡戰敤捤㜲㘱㤶戸ㄳ㜲挴㉦慡〵㜷㐹㤴愲扦慤搸㤹㡡ㄲ㍥㤹㔷㜰挷㐴㔵昰㉦㜴戴㘹搹㈲㍣晡㜰摤挲㠷ぢ㐴㕦㕤戹捦㠲㕤㌳挳换㍢戰㌲摥〵㈹挴㝥㠵㘰㐹搵昰昲㌷㈶㜶㔴㤰扢ㄴ慡攴敦㐳㤱慥て户つ㤴昴〳㠷搴攴㍡扦慡捦㠷㜴昲ㄱ挹挷㈰㝥昱〶ㄴ慡搸摤㕣昵攱晡扥㔲散㥥㕢㥦户愰㔳昵㔹㐷㐷㡥晡散敡㔹㥦つ戰㌲㌶㠲㘴搷㘷ㄳㄳ㍢敡挳㠵㜹㔵昲捦愰㐸搷攷㔳㥤搷㍦㈰㜵㜷㡥㉥㍡扦慣攱昹ぢ㍡捥敥ㅣ㕦戹昲攲ㄲ㝣搶愹挱㔵㜶㤵昹搷捥捣戹㘴慤㉡晡㉦㡦捣㑢㍤㌳晦〶㤶挶户㈰搹愷挶㜷㤰㌸㉢换昵敥慣〲㝣慢ぢ昰㍤㉣搳戵晦㔱ㄷ攰〷㐸摤戵㉦昶㉣挰㡦捣㠹㠳㐳收搴昸㤹㈲〷搲㕣㔸捥捡扣〰〶慡昶扥ㄲ㐷收㈵㤰慡摡ぢ㐸摤㤹晦晣㥤搷㤵戱㄰㤶慥捣㡢㈹㜲㘴敥㠷搷慣捣㍢敢捣㍢㌸㌳摦㐱㘷㕥攲㤱昹㜷㥥㤹晢㤹ㄳ慦㔷㤹㥡㤷扡㌲摦挹㥤昹慥㍡昳捥捥捣戹敡愹昰㈸㜳㑡戹㙡愸昰㌰㈱㜵攳昱愵㘷㤱戶㘷晥㥣㈹㘴㡡戴〳㐵づ㍣昶㠲㌶ぢ㡦扤㜵收㍢㌹㌲㌷戹㍣愷捥攰㥤㤹㝥ㄷ㤲慥㈰㝥ㄱ㘴㝡㘸挴㝡㤶挰㌱㈲㜱㝤㑥㈹搶搹ち挷㠸ㄴ㠶㡥㔵㤱㍣㠳ぢ挴㈷扡昰㔹攳㔰㜷㘶挲昳㌶㌳〶昵愰挸㔱昸〳愱㔵㐰昵㠲㈲摤㙢㠷摡摥㡤㍤㈱㜵〳昵㌷㥤㔷搶㌹摢〷㤶挶㕥㈰搹愷㑤㕦㐸㥣昹㜱攱㉣ぢ慣㔱扡〰晤㘱㤹㉥挰㌸㕤㠰扤㈱㜵ㄷ攰㑤捦〲散挳㥣戲㑦㥢㠱慥捣戹㐲㤵㤵昹㘴㥤㜹挰㤹昹㔴㥤㜹戹㐷收㉦㜹㘶ㅥ捡捤扣挲㤵昹搱敥捣愷敢捣㈳捥捣戹㜴愲晡㘸㤵㐷收捦㜸㘶扥㍦㜳捡㍥㙤づ㜴㘵㍥搳㥤㌹㤷㔵㔴扢ㅦ攴捣㥣换㈷㑡㕡攳㤰㥡㜳㈱㔵㍤㜷㌰扤づ㈱ㄹち攲ㄷ㕣㘲㔰ㅤ㜴㉤换攵攸戹ぢ戴攲㘱㕢攱攸戹挷㐳攷攸戹㙢㜴㤵戲㝡敥㐸㘶㤲摤㜳㐷㔳攴攸戹愷挲㡦㉡敢ㄸ㈸搲ㅤ攷㉣摢扢㌱ㄶ㔲㜷挷戹㑦攷㤵搵㜳挷搱㜱㜶挷㤹攰捡敢㙣搶〷㘷㥢晥㠸昳㜵收ㄳ㥤㤹㕦慡㌳㥦攴㤱昹㥤㥥㤹ㅦ㤶㥢昹攱慥捣㉦㜷㘷㝥戵捥晣㐸㐷收挵换㈰摤敡㕢㉤㉥㉢晤挲㐷㜸㑣㐵愶㠲㜷㑡㙡㘹敡㈸㜲㜰挶扦㌲摥慦昰愰㠴㜷㌷㠲㜷ㅦ㉣㤴㍣㥡㌶扣改㔰㈹愶㌹ち㕤挶ㅢ㡣㜴㡡戲扢㥤㥣攰㙤㠲㑡㝦っ搳昳敥㐰愵慦㜳收挸㍢㠱㜴㝡挱㜹扤㑡㌱㥤㌶㙢㜴㡡愸㌳挵挳㔹㈹㌸ㄱ㔷㈹㘲戴攱晣㕢攵ㄱ㜷愶攰㕣㍢㤳〷㘷捥㉡㐵㠲㌶捦敡ㄴ㐹㘷㡡攷戳㔲㜰慡慢㔲愴㘸挳㔹慥捡㘳㠶㌳〵㘷戴改㍣捡㌸㤳㑤㜳㠲㌳㔸㜵㤶㕤㘹㥦㑣〷ㄲ攲〲㐳扣愱ㄵ㔷搸㡡㐱㑡㈱〴㘷扡㉡挵攵戶㠲ぢ攰㜲ㄶ㌳㝣〷㉡㔵㤸〶㜲㝦〳愷ち搳攸㉣っ愷愳改散换㌸つ㑤㜳攲㐳㜰捡昵挵慥挲㜰㑡慡ㄴㄷ戹ち昳戱㔶㕣攸㉣捣㜱捣㤰昳㑡㔵㤸ㄶ㜲㥣㑥慡挲戴㍡ぢ挳戹㘴㈶晢㉦㜴㡡㌶摡㜰㔲愸㔲捣㜱愶攰〴㌰㤳㠲搳㌹㤵挷㕣摡㜰ㄶ愷㔲捣㜳愶攰㡣㉤㤳攲㐷㥤㘲㍥㙤㌸昵㔲㈹ㄶ㌸㔳㜰㥡㤵㐹挱㐹㤳捡攳㜸㡡㌹㕦㔲㈹㑥戰て挸㤴㜱㙥㤴㐹挱㤹㡥㑡㜱㈲挵㥣攴愸ㄴ㝦挰㠱ㅥ捡捡㌸愱㐹愷㈸攳㐴㈶捤〹㑥㑢㔴晡㤳㈸收㡣㐴愵㍦搹㍥㈰㔳挶搹㐷㈶〵㘷ㅤ慡㝤ㄶ扡ㅡ㡥㌳ㄱ愵㌸搹搵㜰㥣㥤㈸挵㐹捥㠶㍢㡤㕥㌹戱㔰搹㉦㈲挷㌹㠵捡晥㜴晢㐰㘵捦〹㐵㈶㝢㑥て㔴㡡㌳㈸收慣㐰愵㌸搳㍥㔰㈹㌸〳挸愴攰昵㕣愵㌸㡢㘲㕥捡㔵㡡挵昶㠱㑡挱换㜶㈶〵㉦挲㉡挵搹ㄴ昳晡慢㔲㥣㘳ㅦ愸ㄴ扣搶㘶㔲昰捡愹㔲㥣㑢㌱㉦㥡㉡挵㜹㌸㐸㌷〳㉦㤰改ㄴ㘵扣㌰愶㌹挱ぢ愲㠲愸挵〵㉡㉦㤲㑡㜱㥣ぢ㔴㕥㌸㤵㘲戶ㄳ搴㡢攸㜵㈴㠸㉡捣挵攴㜸戹㔳㠵戹挴㍥㈰㔳挶㙢㕤㈶㝢㕥戹㔴㡡㑢㈹收㐵㑢愵戸捣㍥㔰㈹㜸㠱捡愴攰攵㐶愵戸㥣㘲㕥㘹㔴㡡㉢散〳㤵㠲㔷㤵㑣ち㌵摣㈳㙢㜹㈵挴晡㘳㜲搸㔷㔳㠲慢㜰㠰つ〵㌵挴搳敡㙡愷ㄵ㠷㝡㘵㜵つづ攴戵㌴㉤㄰㙡㌴愷改㜵㑥㔳㡥敡捡昴㝡㕡ㄵち㌵㠲搳㙡㠹搳㡡㈳戹戲扡挱戲㔲愳㌶慤㤶㍡慤㌸㝡㉢慢㘵㤶㤵ㅡ愹㘹㜵愳搳㡡㈳戶戲扡挹戲㔲愳㜳㑥㡥㌳戴搵㉤捡慡㡣㠳攸攱戰㉡㤸㉦攲搳ㄳ搳愷晦愷慣愸挷慥㐵㐷っ㉥扤敡挳攷㍦扥昸㡤愳〷㙤昸昱摡㙢摦昸昴攲ㄷ㝥㝣㌸㌶攸㤹㘵换㥥㍡㜸挹ぢㅦ㙦㥦扡愱攰㠱晦㡣扤攱挴昲㔹㈷ㅥ㤷㍡㙣敦㤱㈷ㅥ㜹散愱攵ㄳ戶ㅢ㔰㔸搸愱㐳摦㉥捦敥搲捦㕣㜸摣㠳攲昱扦敥摣㈴搴戸捣㘲攸㠰㑥ㅣ晢㑣㡥捦慡戰换慤㘲㜰昸晣㑤㡢愱㐶㘴ㄶ㐳挷て愸㘲㜰㘴㔶挵戸㕤ㄵ㐳愸㔱㤸㔶㔹慤挴搱㔸㔹摤㘹㔹愹㤱㤷㔶㜷㠱搷ㅦ㜳㥥戶扡摢戲㔲愳㉤慤戲摡㤲愳慥昲戵搲戲㔲㈳㙣㡥ㄵ㐷㕡㘵㜵慦㘵愵㐶㔵㕡㘵㜵㐷㡥慥捡敡㡦㌸㤰昷搳戴㐰㥣㠴晦搴㌹㤰搵扦㑦搶愶慢㘸㔵㔸挶㔱敦㌷挵㕢つ愴㉣㜱ㄶ摥ㅣ㔰㔵㠹㔷慢㘲〸㌵㜸搲㙡つ㜸晤㌱㌹㠸㉡慢㠷㉣㉢㌵㘰搲㉡ぢ㐹づ㥣捡㙡慤㘵愵〶挹ㅣ㉢づ㤶捡敡㔱换㑡つ㡣戴捡㍡㜷㌸㐰㉡慢挷㜱㈰㥦愰㘹㐱ㄹ〷戱摦ㄴ㈳㌵㉥戲㉣㝡挳ㄳ挷㍥㤳攳愳㉡换㔳㉣㐶愱㔰㘳㈱慤戲㙡捦㌱㔱㔹㍤㙤㔹愹昱㉦挷㡡攳愰戲㝡㔶㔹㤹扡㑦〸づ㜳㙡搸㡥搸挳昶㔰愴挵慡愱愹㍢㤸攰㄰愷㉣㉡戳㉤〴㠷㍤愵愸戰ㄵ㈶戳㝤〱㔲㔳㡦㠰㠲㠳㥥戲〹㘵㈷㌶昵㜹㈵㌸攰㈹㡢愰换㐲搷㔲㜰戰㔳ㄶ攵㉥ぢ摤㜲㠲〳㥤戲〸㘴㕢〸㡥㙤㑡戱㥦㑢挱搱㐶㈹〶扡ㄴ㍣晦㤵㘲㕦㤷㠲愷扣㔲散㤳慤㌰昵戹㉦㜸扡㉢㡢〱搹ㄶ㠲㘷戸㔲散敤㔲昰愴㔶㡡晥㉥〵捦㘳愵攸攷㔲昰摣㔶㡡扥戶㐲㘱晥づ愴㠲㈷戴㔲昵㜱愵攱㈹愶ㄴ扤戳ㄵ愶㍥搷〴㑦㉦㘵戱㘷戶㠵攰ㄹ愵ㄴ扤㕣ち㥥㐴㑡搱搳愵攰㜹愳ㄴ㍤㕣ち㥥㑢㑡戱㠷慤㔰㈵晦ㄸ㔲挱晥慤㔴摤㕣㘹搸愵㤵㘲㜷㤷㠲扤㔸㈹㜶㜳㈹搸晢搴㌴㘰㍤づ〴㜱㔱摣〶㜲捣㑢㜱ㅢ挹㈹〳㜶搸㑤攰昴㐷㈸㐳㑡晦敥㤴慡〴㙥愹愹ㄳ㥡摡戶攳晦〱㜳捦㑤㑢</t>
  </si>
  <si>
    <t>㜸〱敤㝤㜷㝣ㄴ搵摡㝦㑥捡㤲㔹〲㔹挵ち㠸〱㔱㈹ㅡ〹㘹㠰㈲扤㐹ㄵ㄰ㄱ㑢摣㈴扢㄰㐹㠱㈴㌴ㅢ愰愰愲㔸〰ぢ㔸㔱㐴ㄴ㍢㝡〵ㄱㄵ〴昵摡换搵㙢扦㡡〲昶㜲搱㙢㝢扤㤷摦昷晢捣㌹扢戳㌳戳㈱搷搷㝣㝥晥昱づ㥢㠷㜳㥥㍥捦㜳捥㤹㌳㌳㘷㘶㔲㔴㑡㑡捡ㅥ㙣晣㥦㕢㍡ぢ㙤挷捤愹慢㡦㔴攵づ愸愹慣㡣㤴搵㔷搴㔴搷攵昶慢慤つ捦ㄹ㔱㔱㔷㥦〶㠶㐰㐹〵攸㜵ㄹ㈵㜵ㄵ㘷㐷㌲㑢㘶㐶㙡敢挰㤴㤱㤲㤲㤹㘹愵㠲㝥戰晥ぢ㤹㡡㐵㈹㉢㥤〰㕣㈹㔶㠰愰ㄹ㐱㈶㠱㐵㄰㈴㘸㑥㤰㐵搰㠲愰㈵㐱㌶㐱㠸㘰ㅦ㠲㝤〹㕡ㄱ散㐷戰㍦挱〱〴〷ㄲㅣ㐴㐰晢㔶㙢㠲㌶〰㔹㙤〱挶て攸㍦扡昴㉣散捤戸晡㥡摡挸㔱㌹ㄳ㙣㥦㝢攷攵攵收攵ㄶ攴㜵敢㤶摢敤愸㥣〱㌳㉡敢㘷搴㐶㝡㔷㐷㘶搴搷㠶㉢㡦捡ㄹ㌳愳戴戲愲㙣㜸㘴捥昸㥡愹㤱敡摥㤱搲㙥昹愵攱㠲ㅥ㜹〵㠵㠵搱㥥㍤㝢㘴ㅤ〲捤愳〶昴ㅦ㔳ㅢ㠹搶晤㔱㍡摢㔱攷攸〱晤㜳㐷㐵敡晦㈸㥤㠷㐲㈷㔴づ慣愹ち㔷㔴晦㐱㑡㌳㤸搳晣㠱㤱戲ち㈶㍦ㄲ愹慤愸㥥㥣ぢ户ㄳ〲㡤㕡㜱敥㘰㐴扣㉣㕣㔷㍦㈰㔲㔹㌹㌶ㄲ㘵摥戳慡ㄸ戳㐸㙤愴扡㉣㔲搷戲㙡搰散戲㐸愵㈶搷㘵㔶㑤〸搷㡥ち㔷㐵搲㔹挸慥戲昳㌶慣㍣㔲㕤㕦㔱㍦愷㐵搵㐹㜵㤱戱攱敡挹ㄱ戲㘴㔴つ㤹㔱㔱㥥㥥慥搲搳㔳搲㡥昴㜳㐶㜲㤳㍢戸戶㙣挰㤴㜰㙤扤搴㤸戵㍣㍦㕥㐷ぢㄱ挷ㄳ摣㘲㉢捡㜱㐹㌱㑤攳㉡慡㠶㐷㙡慢㈳㤵㌴挲攴㜵㜵㌱㐹㑣散搰挷㠲㘳昶㠶㠹㔱捤㜵㝦攳慥搰㡡㤵㐳搰ㅥ㈰搰〱愰攳㘷㑦摥扢攳戱㔵㍢㌶㉥晥㝣晥㜵㥦㕥戳攲搳㑤ㅢ㍦㕦戱晥搳㉢㉥晥㜶搳㈵扢㔶㙣摣戵㜰捤户㥢ㄶ㔹㠷㔱愶㈳㠰㑡㝦てㅤ摡愹㤳㥤㉡戵㈴㥣㕡㔲㥡㕡㔲㤶㕡㔲㥥㕡ㄲ㐹㉤㠹愶㤶㑣㑥㉤㤹㤲㕡㔲㤱㕡㜲㔶㙡挹㔴昰㤸㉤戳㔹戳㔴扤㑤摦戱㙥搲㌱㈷慤ㅥ扣攸㥣㔶扢㤷捣㌸㙦㐵〶晢㜰愱摦づ扡㘳搷慦慥㙥㐶搵㌴づㅥ㍡慦搲搳慢〶搶搵㡦〹搷㔶搵晤戱つ〰改摦㕢ぢ攸㔷㔷搵昴㉤〰㐶晥㤰ㄶ㄰㌸〲㘱捥ㄹ㔵㔳㕢㠵㔱㘸㘴㈴㕣摤ㅢ攳㔳昷挲晣愳挶搵㤷て㡣捣㘴㉤慦戸搸㍡ㄲ㕣㔶㈷㠰㐰㘷㠰慣㑦慦扥㘵挷挶㌵㘸ㄸ扤扡昷戲扡㤰搶ㄵ㐰愹㌷搰ㅥ搸㈶㜶㥣㝡㘷愷愳晥㝤摦攸换摥㥡㜴㑣㈸㝦晡㌹㡡㘳戱㡣捣㐷㤳㌹ㄷ㈰㜰っ㐰㝡敦㐱昹挵㔶㌷攲昲〰㤴㝡㔹㉢戸愷捤愶㘵愵捦㡦ㅣ㜰㐹搷慤愳㔲㙦㕣㍥㑦㜱ㅣㄷ〵昹㘴㉥〰〸ㄴ〲㤸ㄶ扢㘱㕥㐳㉤戶㠸㌲挵〰㑡晤㔵ㅢㄸ㔷㜸摢搱㈵㌷慥改㝢昷晣㔷㍥昸攵㠲捣㘳ㄴ挷ち㌱搰㤳捣扤〰〲挷〲ㅣ愴扢挴㠶㐵㍢搷慦摥昱昸㡤㥦㕦㝣攵捥昹㔷敥㕣㝦㥦㜵ㅣ昹㝡〳㈸昵㤴㔶摡㉤㜳捣㌵ㄷ㉥㙥㌷攸搱散搷愲㈷㉤㥤㍢㕦戱㈵㡡搲㍥㘴敥ぢ㄰攸挷㔲㉣㝥㔶㝦㔶〷〰㈸戵㐹㙢㈹户㙡〲㑦ㅤ搷敦㠴㙢㌳扥晡攷戵㔳㉥㕣愸㜸搰ㄲ㉤㠳挸㍣ㄸ㈰㌰〴攰挸㤸㙢摥㝤晦晣愶㥢攳ㅤ㜶㈸挵㠶〱㈸昵㠸戶㌱戰攵昲㤲㌵㌹㤹㐳㤷㍣戴愷㝦ㄷ戵㈹㐳昱㤸㈸㌶㠶㤳㜹〴㐰㘰㈴㐰㉣扥㡢扣㌶攲〶㐶㔱㘶㌴㠰㔲て㘸〳㑦てㅤ昲攲ㄵ晦㔹㌷㜸昵慡㈵㜳㌳捦㍣昱㘳搵ㅣ㘴㜶改挰㠹〰㥥〶㤷㕦攴㙣㜰㜹㜹搶㔸㜰㔹攳挸㍦ㅥ㘰晦㥤㤷㕦戳攳昱换㍦㕢戳㘰搷㥤户㈲ㄱ扢㙥扣㠵㉤敦㈴㌲㑤〰㔰敡㉥㙤昷㠶㌳㕥㙦昶㐹晡ㄱ晤㌷扣扥愱搹㙢户晦㤸愹㜸㠸㤷ㅤ㥢㐸收㔳〰〲㤳〰昶昵㙡戴㑥㈵挷㘹〰㑡慤搲敡昶晣㈳敤摢㠷㤷扤㌲晡攲收ㄹㅢ㙦㍥晣挷扦㉢㑥ㄶ㐴摤ㄹ㘴㉥〱〸㥣〹㘰㜲攱㌷㜲㈶攴㈲㑣戱㔲〰愵㙥搲㌶搶㜴晥摢㥢ㅦ敥㕢㌵昴愱つ㉦晦㔶昰慦㉥㔳ㄴ攷㈲ㄲ慡㜲ㄴ摡扡晡㘶㕥㍣㔰摤扢㕢ㄱ慡㡢〲〴㈶〳㘴扢摢攸ㄴ㤲㉢〰㤴扡㔶㕢㝢㜶攷㐱て㡥㡥捥ㅣ扡散敡扣搶换搶つ敥愱㌸改ㄱ㙢㔳㔱攸攸戴㜶㜴户摣敥摤㝢昴㉣㜴㔸捣㉦㈸挴㘸㔰㐹戵㔵〰㠱㙡㠰㝤㕤㔶㤹㤹ㅡ㜲㑣〳㔰敡㑡㙤昸昰㑦㉥ㄹ扥㑦晥㥣ㄱ㌷摦㌴敢㠰㤷㌳收㉥㔳㥣㘸㐹㈸㙢挹㕣〷㄰愸〷㐸敦㍤〴㘳挲っ攲㘶〲㈸戵㐸㉢戸晤㤲愱㥤挷㡦㝥愹敦摤㌵㈹㙢捥ち㙥改愹㌸㐹ㄳ〵戳挹㍣〷㈰㜰㌶㐰㥢㔸扦昰挹昱㌹㘴㍤ㄷ㐰愹ぢ戵摥㌶敤㤶晦㝢搹ㅢ搳晢㍤昴慦攷ㅦ扤昷捤㐹㌷㉡捥晢㐴敦昹㘴㥥ぢ㄰㤸〷戰㙦散攸ㄸ敦扥昳挹㜱〱㠰㔲攷㘹㜵㥤晢慥㌸昵㤸㕢㉥ㅡ㝣昵㙤搷慥㕤戴昰慢㉦ㄴ㘷㤰愲㙥〱㤹ㄷ〲〴㉥〲昰㈴敢㘲㤲㉦〱㔰㙡㤶搶搵晥慢㉦㠷㕥昲昵扦〷慦㌹㝥攸〹攷㑤攸㜵戹攲㐴㔴㜴㕤㑡收换〰〲㡢〱摡㜹㝢㘷㐲慢扢㥣摣㔷〰㈸㌵㕤慢晥摢愴戲慡摤昵〷て㤸昷㡦㕦攷捤扡㘹㐳愵攲昴㔶㔴㕦㐵收㈵〰㠱愵〰〷扡㔴㜷戲扢㝤㘷㙢ㄹ搹慥〶㔰㙡慡搶㔹晢晡㡣昱攵ㄷ㥦㌶㜲挵愰㔷挶昶㥥昲摢㑤㡡戳㘵㘹㕢搷愲㜰㠸戳㙤攱戸攲㘸㔷摤昲㡡慣敢愸㙦㌹㐰㘰〵㠰㕦晦扣㥥ㅣ㌷〰㈸㔵慥㉤昶戹昱㠹扢㤶㑥㡥㡥扣㘶挳㔹敡敤㉢愷㌶㔳㥣㥡换㕥摣㐴收㥢〱〲户〰㤸㘱㝣攳㘲㔷㘳戵㔶㤲敦㔶〰愵捥搰㑡㥦㥦昴昶㑦扦敤㥡搷㝦㕤昵挲㕦愲ㅦㅥ摢㕣㜱慡㉦㑡㔷㤱昹㜶㠰挰㙡〰搳㈰㌶㉣㡡㌷㠸㍢挸戱〶㐰愹㠹㕡㕤慢摢敦晥摢㑤㙢㑥攸扢㙥挱敥㐱㠱搱慢㕦㔴〷㠳㉣敡敥㈲昳㕡㠰挰摤〰㘶っ昱㍢㤶㈵㘴昳ㅥ㡡摤ぢ愰搴㔸㙤攳挹㠳㘶㝤摣㈷晡昰挸〷㍥㝢晥愷晢㍥㍤㝡㤶㙡つ戲㐴晥㝥ㄴ摡㈵㐶㍥捦ㄹ昹㠲ㅥ㍤慤〷愸昰㐱㠰挰㍡㤶攲㝢昳㄰慢て〳㈸㌵㕣㕢㍡愲搵摣㥦搶慦摥搶昷戲㈹ぢ㘷っ昸攱㡣㔴搵〶㘴搹㥢㐷挸扣ㅥ㈰戰〱挰昴㐲㐴摣㌳㜶㕢㡦㤲㜵㈳㠰㔲㠳戴摥户晥㔳ㄲ㍥㜱摢ぢ㝤敦㝣敡㤴㍥捤慥摢敦㤶慣㑤㈰㥦愸攷慢〳㙢挳戳㌰改㡦㥦㑦㜴捦㐵〳㙡捣㠹ㄴ捥愳愲㠵搱攲㘸㕥㕥㜹㘱户㜰㝥㌸㈳〷㙡ㅢ㍢㝤㘷㙦换㡡㥥㕣㔱㕤㕥㌳㑢收昳㔹搱挱ㄵ㤵昵㤱㕡愹㘴㐷昱㥦㝤㑥㈲昵ㄶ搱㐱戳㜱㌲㔷㘶㑦晤昷㡢づ㠸搴搶攳㈴愸㝥㑥㝣㌶搸戶㝦戸㉥ㄲ慦㜶搵扡晢搷捣愸㉥慦㙢攳㑦ㅣ㔷ㅦ慥㡦戴㜶搳攲㑡㍣㘲攳㜰㠲ㄴ愹ㄳ㤷摡戹挵㈶㠴㉢㘷㐴晡捤慥戰挹㠷戸挸㌸㔵慡㈹㑤㑥ㅤ㕣ㅢ㤹ㅥ愳㝡㍣敡㠷昳昷㤹愲摢戳㤷㌶挹昶㉢㘷挰㤴㥡扡㐸戵戸搷戵㙡㑣㐵搹搴㐸敤戸〸捦晥㈳攵戲慢晢㤳愴捦搷扡㡥慥挶㡥攲っ慣扣㠳ㄳ换㐰㐷慡换㈳攵昰㜷ㅡ愲㍣㘷㝣戸戴㌲㜲㐰〲㡢㙤ㄳ㠴㠳ㄳ搰㠳㙢捡㘶搴つ愸愹慥慦慤愹㑣愴昴㉢㥦ㄹ挶㌹㘲昹挸㥡昲㐸扡㙣㈹㌶㔴㈹㘹㘹㑡愵㜴昲㍢ㄷ愱敥㍡㥥㡥㌹ㅡ〹㑦晡ㅡ㘶㜶㌴㈲㌲晢㥥挶挵㌴愳攰㘸㘴攴敦摣愰㈷捥㐶㐸敥㙥つ㜲晢㌴㔲ちㅤ㤴搸昱㜲挷㈲㍦挸㐳㘵㠴扤㌲戵㘳㜲㤵昱㜶戹ㄷ㑦ㅤ㔹攱挵ㅥ㜲㌷㄰㌴㔱ㅢ㙢㝢㑤换㥣㥡摡㑡敦晤愰㤹戸ㄲ㌰㌴㕣㕤㕥ㄹ愹㙤昰㔲㤵愲㐷搶攳〴㑦㄰㍣㐹戰㤹㘰ぢ㐰挶昱ㄸ攳㤲㐶㤴愳戴㥡慤收㘴捣慡㈸慦㥦ㄲ㤸ㄲ愹㤸㍣愵ㅥ㌸㕣攲捡捣㘴戸㍤㥢戵ㄵ㈸㙢ㅢ挱搳〰挱㘰㑡攰ㄹ㌲〵㠲搶戳晣敦慦〰㔹㥦摦戶㘰搷㕦㉥晢㜴敤㜵㍢慦㕣ㄵ㑣挹㘸て摣㝦㝦㈵㈲ㄵ㔲㤶㕣昸挰㤵愹扡㡣㉡㕣㕦愹㑢㑢昳ぢ挵搰㜰摤㤴㝡昶挲㠶㠹搴昷ㅣ挱昳〰㔹㉦〰㡣ㅡㅡ愹㐴ㅦ晥愳㉥㙡㘵ㅣ〶㥤㝢扤㜸挲ㄹ摥〱㔵攳收㔴㤷㑤愹慤愹挶愵挵㠱攱晡㜰扦㌲㕣㈱慡㔳攱㐰搵㠸㥡〱㌳敡〳㔵㐳㉢昰㕦㔶搵搸挸戴㐸戸㝥〰挶攸晡ㄶ㔵㈳㜰㜵㐹〶搱㘱攵戳㌳慡散ぢ㐳〳㈳㜵㘵ㄶ慦㈰つ挳㤸㌴㍢㠰ㄲ〶搹慣㉡㡥㌲㤱搹昵㔴摤慣ち㤷㈲搰㤶㉣㌰㜵ㄵ㈹扢㐴挹ㄶ㠲㌳搲㐱㕤㠳㠶㤰ㄴㅤ㕡㥡ぢ挲搶㈴〷㜷ㅣ㍥㜱散㑤搷搰摤㝤㑥慡慦愸慣换搵攱捤ㅤ㔸㠳㉢㡣ㄱ戹戸捡戰〷〲㘸㕤㠱〶㤳攵敥攵扣〴㌵扡慣搴㔶ぢ㔷㠶搴搶捣㤸搶づ扡晥㈸㍤搴㤵㘲扤〸㜰换㍦搷ㅥ㝢昸㑤昷敦搱晦捦㐵晦㤱捤敡㐰づ㌶㜶㔶昱㥦㙣搶㉢昸㉦搸㄰㉤愳㈳㌸㝣㠷搹㈴㔷换㌲挰㥦㔵㠵扤ㅤ㕦ㅢ㤱换㝦㤹㔲㤹㌳㉤搲愲敡攴㥡摡愹愵㌵㌵㔳㤹晣㤶㔲慢㥢ㄲ㠹搴昳㥡㕡㜳㝤〹㤱㘵愵㔴㕡㕡挲挵㌱挷挵户㐳愱㍦昰㌷㠰散㕤㡢收敤扡㔱㕦㕣昸昴㠱㈷〳㙦〰㤹㠶〳㑡攰㑤ㄴ晡敦扣攱昱㕤て㍤戰昳扥㐵扢㙥摣戸敢戶〷㜶摥戲昱搳㕢攷㑤ㄸ㙢捦挱㍦扢晦㠹㥤㉢㉦昸散昱晢㜷㍣昶挸㠴扣摣敥㈵㥦摦晡攸愷㌷摣户㜳攳ㅤ戸㑡昱搹慤㜷收捥慥慣慢㔲㕤㄰㈹㕥㤳㜹昵慡㤵㍤㍢㌷扦㘰昸㥤晤㈳慦㍦晦昲慢ㄳ㔴㘷㑤昰㕣㜹㍢ㄲ㤶ㅢ㤸㈲㈵㕣摦攲㐹㕣挲ㄴ挹㜳昰户㡦㡣晦㌷挵昹搳㑤㜱ㄲ愷㌷㕤昶㜲㑣㜷㑤㜰㤲ㅥ捥晥㙦㠲攰㜷㉦换㥥㈰扣㡤捥愲㡥㐴户攳㠴〰攵挴捤㝡ㄷ㜵敢㍤㠲昷〱㜰㔸㤷㤱づ㐷昵㝦搸㔵搵〹晦昳㐰㙥㝤㐸昰ㄱ㐰㐶ㄷ㠰㠶て㜷攸慥搹㘰㑡攷〵昱ㄶ㔵〳㈳搱㌰敥㍤挹㈱㑡㠵晦㝦ㅥ挱搲㜱ぢ搰㜱昸㙡㜸㈷攰㍢㡦づ〱昷搴㌷昱戶〸㙥搶㤴て㠹㔴㡦挷㌰㕤昷㐷ㅥ㤸晥挸〳㥣戵ㅤ晢㘱戶㡣㜶㘸〸㡤摦㈷㠴㉢愵搹㑣捥㉥㑡㑡㔲㌲戹㠷挴㔸㥤〹㍣〷挵㥤挰〶ㅢ愲愹慥攰攰㠱搱攲㠱㈸昰〵㐰ㅡㅡ㡢挵〳㡦摡㑦ㅦㅣ㍣㐷㡤㔶㥡攰戹挴㝦㌴挴㜲昰㘷㝤㐳昰㉤挱㜷〴晦㈴搸つ愰㕡㐰搴扦攵晦㐰㥥㝦ㄱ晣〸攰㘸昹㍦ㄳ挷昹㙣㌰㐵攵攲扦昶慣晦㑡昰㍦〰慡ㅢ〰㈷㝣㈹搶㙦〰㐹㘷つ挷㤰挳ㄳ㈰昶挰愰搵〰㑤攵㠱㈳ㄶ㈰㡢㐷㘶㍢㌸扦晥㈷挹㈱昵ㄷ㑤昰摣扥挸㠷㙣づ攵㌳㤱㌱换㈲〸ㄲ㌴㈷挸〲㔰摦㐳搴㍦㌸㉤挹㤳㑤㄰〲㜰〴㘷㕦攲㜴㜰ち愰扣㍤つ散㐷攴晥〰慡〸㔵㍢㌸〷愰㥡㌴㌸㠵㤴昲〴攷㘰㠸〴慤〶㘸㡡昷㔳晣㠲昳㔱戲攰㝣愸〹㥥㕢㉦㍤愱㈹㠷㕥㜴㠰㔱敢㌰㠲㡥〴㠷ㄳㅣ〱愰摥㐹ㅡ㥣㑥攴改㑣搰〵挰ㄱ㥣愳㠸搳挱改〵攵敤㘹㈰㤷挸㘳〰搴㜱愸摡挱改㠶㙡搲攰ㅣ㑢㈹㑦㜰昲㈱ㄲ戴ㅡ愰愹摥㤰昳ぢ捥㌳挹㠲昳戴㈶㜸㙥㈱昵㠱愶ㅣ㝡㜱ㅣ㡣㕡扤〹㡥㈷攸㐳搰ㄷ㐰㍤愹㠳戳ㅣ㕣㌷攳㙦ㅢ捥摡㍥〱㈱挵敡㑦㥥〱〴〳〱ㅣ挱ㄹ㡣㙡㘰〸㠰敢㌴㔱昵㠵㔸㝢㡡づ〵搱ㅡ〶愰晡愳㙡㐷敡〴㔴㤳㐶慡ㅦ愵㍣㤱ㅡ〹㤱愰搵〰㑤つ㠰㥣㕦愴敥㐹ㄶ愹扢㌵挱㜳㥢㙣㄰㌴攵搰㡢〹㌰㙡㥤㑣㌰㤱攰ㄴ㠲㐹〰㙡戵㡥ㄴ㤸ㄲ㌷敢㌴昲㥣㑥㜰〶㠰㈳㔲㘷愲ㅡ〸〳戸㈳㌵ㄸㅡ摡攳捦㉡〵搱㉡〳㔰㐳㔱戵㈳㔵㡥㙡搲㐸つ愱㤴㈷㔲㤳㈱ㄲ戴ㅡ愰愹㘱㤰昳㡢搴搲㘴㤱㕡愲〹㥥㥢㝤挳愱㈹㠷㕥㑣㠳㔱㙢㍡㐱㉤㐱ㅤ㐱㍤㠰扡㉣㘹愴㘶㤲㘷ㄶ挱㙣〰㐷愴捥㈶㑥㜷戸ㄱ㔰摥㥥〶捥㈵昲㍣〰㌵ち㔵㍢㌸攷愳㥡㌴㌸㈳㈹攵〹捥㝣㠸〴慤〶㘸㙡㌴攴晣㠲㌳㍢㔹㜰㘶㘹㠲攷㐶攵㔸㘸攲ㄹ㤰㜵㈹摤㥥㤱㌴㄰㡢㐱戶㉥㈷戸㠲摥挵㘷㙢㔷搹㔵㌵づ㑡摡㔳搱ㄲ㌲㉤〵㔰㈷愱捡ㄹ㥢戵っ㌵戳愹㑡搸㘸㠷㘳㈳㜱搶㜸〲㑦〰慥〳㉤搸㄰㑤㑤㠰㕣㍣〰㍣㤸摢挷慡㔲扤㥦㥥〳㜹㔸ㄳ㍣㜷㑣㈷㐲㌶㠷昲㉢㘱搴扡㤵攰㌶㠲㔵〴户〳愸㔳㈱㝡㍣ㅣ㘶戶昹ㄷㅦ㜱敥㈰捦ㅡ㠲㍢〱ㅣ㐱㔹㑢ㅣ㐷ㅣㅣ挸㑦㠱㐸㝢ㅡ戸㠷挸㝢〱搴愹愸摡慤攳㍥㔴㤳戶㡥㐹㤴昲〴攷㐱㠸〴慤〶㘸敡㌴挸挵㠳ㄳ㍦㤰て㑤ㄶ㥣㈱㥡攰戹晦㝢〶㌴攵搰㡢㡤㌰㙡㍤㐶戰㠹攰㜱㠲㈷〰㔴㍦ㅤㅣ㌰㈵㙥搶㘶昲㙣㈱㜸ち挰ㄱ㥣㙤挴改慥㔳〲愱昶昸戳㥥㈱昲㔹〰ㄵ㐶搵づ捥㕦㔱㑤ㅡ㥣㌳㐵ち〰㤹攱摣㐶㌶敢〵㠸〴慤㌳㔱昱〶㑥㘸慡ㄴ㌴扦攰攴㈶ぢ捥搱㥡攰戹㜱ㅤ㠱㈶改㍡㙦搰敤慥㐹〳昱㜷㤰慤户〸摥愶㜷昱慥昳慥㕤㔵㔱㈸㙡㑦㤷摦㈳搳晢〰㙡ち慡搲㜵㍥㐰捤㙣慡〳㙣戴㌳㕤㘷㌲搰摥㥤摣づ晥愰搵〰㑤㔵㐰㉥ㅥ㠰㜸搷㌹㐸敦愷愷敢ㅣ愸〹㥥㝢改㤵搰㈴〱昸㠲㉥敦て戶攳ㅤ戹㌰㕥愷㔸㕦㠱㙣㝤㑤昰つ扤㡢〷攰㍢扢慡慡挰摢ㅥ㝦搶㍦挹戴ㅢ㐰搵愰㉡〱昸ㅥ㌵戳愹㉣搸㘸㘷〲㔰つ戴㌷〰㍦㠱㍦㘸㌵㐰㔳搳㈰攷ㄷ㠰㔴㈸昷扤㜴愴㌴挱㜳㑦扦ㄶ㥡㜲攸㐵ち㈶㈱㤶㈲㐸㈵㐸㈳㐸〷㔰晦昳敦㘴㐱〹㤰愷ㄹ㐱㈶㠰㈳㈸㐱攲㜴昷愸㠳昲昶㌴㤰㐵㘴ぢ〰㌵〳㔵扢㝢戴㐴㌵㘹昷愸愷㤴㘷散搸〷㈲㐱慢〱㥡㥡〹戹㜸㜰攲㘳挷㘷搸ㄱ摦攰㝣慡〹㥥昵ち戳愱㈹㠷㕥戴愶敦㙤〸摡ㄲㅣ㐲搰づ㐰㙤㑦ㅡ㥣ㅣ昲戴㈷攸〰攰〸㑥㐷攲㜴㜰收㐰戹〴攷〸㈲㡦〴㔰攷〰㘵〷愷ㄳ慡㐹㠳㜳㌶摤昲〴愷㉢㐴㠲㔶〳㌴㜵㉥攴晣㠲昳㜲戲攰扣愴〹㥥㐵ㄷ攷㐳㔳づ扤㈸愰敦㠵〴㐵〴挵〴㍤〰搴戳㐹㠳搳㡢㍣挷ㄲㅣ〷攰〸捥昱挴改攰捣㠵㜲〹㑥㕦㈲晢〱愸昹㐰搹挱改㡦㙡搲攰捣愳㕢㥥攰っ㠲㐸搰㙡㠰愶㉥㠰㥣㕦㜰ㅥ㑥ㄶ㥣㠷㌴挱戳㠴㘴〱㌴攵攰捦ㅡ〵愳搶㘸㠲㌱〴㈷ㄲ㡣〵㔰昷敡攰摣て㉥晥挵て挹攳挹㜳ㄲ挱〴〰㐷㜰㈶ㄲ愷て挹ぢ㈱㈲挱㤹㐴攴愹〰敡㘲愰散攰㥣㠶㙡搲攰㕣〴㌶㙦㜰㑡㈰ㄲ戴ㅡ愰愹㑢㈰攷ㄷ㥣敢㤳〵㘷㠵㈶㜸搶挴㕣ち㑤㌹昴㘲ち㝤慦㈰㌸㡢㘰㉡㐱㈵㠰㕡愶㠳挳㠹攸㐷攰㡣〷愷㥡㍣㌵〴搳〰ㅣ挱愹㈵㑥户㥣换㈰㈲挱愹㈷㜲〶㠰扡ㅣ㈸㍢㌸㌳㔱㑤ㅡ㥣挵㘰昳〶㘷づ㐴㠲㔶〳㌴㜵〵攴晣㠲㌳㉦㔹㜰收㙡㠲㘷㔵捦㔵搰㤴㐳㉦㉥愰敦ㄷㄲ㉣㈰㔸㐸㜰ㄱ㠰㥡愳㠳㜳㌰戸昸ㄷて捥㈵攴㔹㐴㜰㈹㠰㈳㌸㡢㠹搳挱攱㐲㈱〹捥ㄵ㐴㕥〹愰㤶〱㘵〷攷㉡㔴㤳〶㘷㈹搸扣挱㔹〶㤱愰搵〰㑤㕤つ㌹扦攰㐴㤳〵㈷愲〹㥥攵㐹㕣㜲㈴㠷敢ㅢ改㜶㤹づ〴㤰㠹㥢㜵㌳挸搶㉤〴㉢改㕤晣㜰㝤㥢㕤㔵㍣昵㤶㈰慣㈲搳敤〰敡㝡愰攴㜰扤ㅡ㌵戳愹㐹戰ㄱ㍢㕣慦〰摡ㅢ㠰扢愸搳㙡㠰愶㙥㠰㕣㍣〰昱昹捡㤸㘴〱ㄸ慤〹㥥搵㔲㌷㐱㔳づ扤㔸㐷扦ㅦ㈲㜸㤸攰㉦〴㡦〰愸㘱㐹㠳戲㠱㍣㡦ㄲ㙣〴㜰〴㘵ㄳ㜱扡㜵昰㝡㠴〴收〹㈲㥦〴㔰㉢㠱戲㕢挷㘶㔴㤳戶㡥㕢攸㤶㘷搰摤ち㤱愰搵〰㑤摤ち戹㜸㜰攲㠷敢愲㘴挱㈹搴〴捦慡慦㔵搰㤴㐳㉦㕥愴敦㉦ㄱ扣㑣昰ち挱慢〰敡㤸愴挱㜹㥤㍣㝦㈳㜸〳挰ㄱ㥣扦ㄳ愷㠳㜳㍢㤴㑢㜰摥㈶昲ㅤ〰㜵〷㔰㜶㜰摥㐵㌵㘹㜰㔶搳㉤㑦㜰㍥㠰㐸搰㙡㠰愶搶㐰捥㉦㌸㙤㤳〵愷㡤㈶㜸搶戰摤〵㑤㌹昴㘲ㄷ㝤晦㤴攰㌳㠲捦〹扥〰㔰晢㈷つ捥㔷攴昹㥡攰ㅢ〰㐷㜰扥㈳㑥〷㘷㉤㤴㑢㜰㜶ㄳ昹㍤㠰扡〷㈸㍢㌸㍦愰㥡㌴㌸㜷搳㉤㑦㜰㝥㠲㐸搰㙡㠰愶敥㠵㥣㕦㜰㔲㤳〵㐷㘹㠲㘷昱摤〳搰㈴攳ちㄷ挶愹㍤扦㈵㥢昱愶㠲㙣愵ㄱ愴〳㌸〲ㄱ戰慢㡡㙢昲㈴〸捤挸㤴〹愰ㅥ〲㑡挶ㄵ㜹搲〹ㄵ㙥敡㐷搸㠸㡤㉢敢㠰昱〶愰〵㜵㕡つ搰搴挳㤰㡢〷㈰㍥慥㝣〵攵扥㌳摤㉦㌵挱戳㈶昰ㄱ㘸捡愱ㄷ〷搰敦〳〹づ㈲㌸㤸愰㌵㠰摡㤹㌴㈸㙤挹㜳〸㐱㍢〰㐷㔰㜲㠸搳慤㠳换っ㈵㌰ㅤ㠸㍣っ㐰㍤ち搴㘱昸挳挵㘳㔴㤳戶㡥つ攴昰戴㡥㈳㈱ㄲ戴ㅡ愰愹㡤㤰㡢〷㈷㍥慥扣㥥㉣㌸慦㘹㠲㝢㘱㘳〶㤷〹戹搷㙡挸㤳㍢戱㈵㕦㡥㝢慤㉤挱ㅣ㠸㥥㔴㕤㔱㕦搷㍣摡㙦㐶㝤捤攰㡡㝡摣っ换㡡〲愰㈸㈲慤㘵㜵㤴㐳愸㙢㜴㐲㐵㘴ㄶ㙦㠳ㅤ敡㈵攱愱愶〱㌳敡敡㙢㘴ㄹ㑡㍢㉦㝤㘰捤愸㥡晡㠱ㄵ㜵搳㉡挳㜳㍡晡㤰㙤捡挹㔳㈲搵㔸慥㔷㡢㔵㝢㝢㘳慡㤹㌶㉤㔲敥攳攳戸㥡ㄹ戵㘵㤱㘱〳晦っぢ晥㤴扤㥥㈶〵㑢㌶㤴㑡㔱㠷㈷扦ㄹ敥㠸晢㈱挸㑤㉡㤶㜹愸摦戹㕥㡣慤㄰て扥愰改愵挰㈶㥡扡搵㥤捤㄰慢戵㥥〰慡攱㈶攲㔸㐲搸ㅣ捣挱㈸搲㙡攳㕡攸㌵慡挳慡敢㉡捡㈳㐱㕤ㅢ㔹㔱摤㔲ㄷ㐷捦愸㑦愰㠴㘷户搲㤴㝥㤵㤵愳慢㤱晡戲㜰㙤昹㥦㈱㉢搸㌱㙣㜶㑡㔴〰晦㝥㕦愰㙤㌵㈹㈹摦㤹㠷㑦扦㥢㡢捥㥥慦㘳晤㈴挸扥㑢㠳㘲摤ㄱ〵挷ち捣㙣昰户㘰戸㘳攸㑣搶昸散㤴㘴挱㝥㜰慡愵㜰㐴搰挰昱㉣㘱㘵愴㔵㘲㔵㙥扦㕢搱㝥愵㜵㌵㤵㌳敡㈳㉤㘳㈵改攸㔶㜴㙣愴㌲捣搵戴㔹戱搲㤸戲㝡慣㌷㡥改攳㑡搹㍦㑦㠶㄰㤱㜴㥤㈵㈵㜹ち㌴搰㜸ㄳ㜷㠲㝤攸㜷㘶㔵愵愴㐴㘵晢愶㡦扡㝥〵户扢晡愴㤸㐲㤰㕢㑡挶㘶愸㜷摦㕦㑦ㅣ㙢㥤换㘵搹㤳㕡㤹㔵摣昶〸㈷㠳㔷㤶挱㜱愵㙡㡢愸㡣㝢㔸㡥捥挷つ戳搹㜵㉡昱㡣㙦㝤㐵㔹戸戲㜲㑥换攸戰敡戲捡ㄹ攵㤱ㄱ攱搲㐸愵ㄹ戳昹㜸摤㥦㈳㕦改㠸㥡敥㔱つ挴㐵〷㘵ㄸ㥥扤㌶㡢㜳㝦昷㌰㠷㉢㍡攸㘹㜲挸㠵㡥愰㔵愴晢摤ㄶ㌸昲㕦慦㑤づ㐲㘸摦昸捡㝡㜹㍡ㄷ㐳㥢〷挵㌱㡤㑢㌵㘳换㥢愵挷㌹搸㐶搴㡣愸挱搲昳㜲〷㙡㘸㠵㡤晡搳昴㉢改㔲㠱㐰攰昷ㅥ㘰㄰㉢㙣摦敤搱晦捦搵晦昷攱㌱㠶㥤㘳㉢㄰敥㐵㥥㡥捥㈱挷㝥ㄹ〴㐳㘰捣收〸㘶㑦ㅣ挶㔷搴㔷㐶㥡㐷㠵㉥攵㑣㜶〹㐶戳㔹㜴晣ㄴ㉣㤸ㅣ搸㈲㍡愴戶愲扣戲愲㍡挲㐹〸ㅥ㠵攰ㄳ搱㈳㈲㤳戱㘸㝦㑣㑤㕤〵㥦搵㙤ㄱㅤ㕦ㅢ慥慥㥢挶㜵戱㘵㜳昶㑤愸㐹戲㌲愲晤㉢慡搱㠱㙣㥢㉣㘷㐷挷㑤愹㤹㠵㜷〵捣愸慡ㅥㄲ㥥㔶昷愷㐸ㄴ晢㤳扤搹㈳㘰慡㑡㑤㔵㤹愹㤹扦昷㔸㠵ㄶづ㤵摤愱㌲㤵㐰愷㙡ㅢ㑡つ昴㔷㘶㐹㍦㌲挱晥㑡㥦ㄲㅥ㝢昶㕤戲ㅤ㝢搱〲挷㘰慢ㄸ摤㌲慢〷挰〹㐳㑥ㅡㄶ㝦搰收㝦昵搶㠲㡣愷愱戹㠱㐳㠱㌴㡢搸慡晥晤挱摣搲㙥㉡挴戱攵㔸㤲㜱搶摣捤㉦ㄸㄵㅥ戶㐴ㅣ㍤挹捥攲㘰㉣戹捥㐲挷挷搰㡢愵敡ㄸ㜳㕢摡ㄵ㑥攷昰㠰㜳㥤愶つ愸愹慡ち戳㘹戱㔹㡥挳戸ㅤ挹㤴戹㌵㐶ㄲ㉢ち㈰敤㑦愳挲戳㠱ち捦ㄶㄴづ挷㝣㔲㐷捡搴㔵㌳㌹㕣㕢㔱㍦愵慡愲㉣㤳ㄵ㍥㑤昳愷㘸㤳㘸㐲改〸愶搹愴㘱㘲愲敡㕥㘲㘷慦攴㐶扡㜳㜱敥挰搰㌱晤㘸戹愹㜲っ㔷扦昳㌱〸㌴㕦ㄹ散慤㕥搰㤶㠱戳敥ㄴっ晢戶㉢㡥〹ㄸ㌰㌲〸愹㘷挹㠰㍦敢㔸戰搳㙢昹㝢づ㠵〶ㄷ愷㌷〳㐳㜰㐴㑤戸㝣㌰ㅥ戸慡愹㙤愶摦戲㤱㠹搴㜲㐸愹つ昱㠱㠴〱㜸㤴〷㡦〸捤挴㍣戸㌶㤳㠸㜱㔸敡㥦捥㐷ㄹ〲㜶づ㜹㈸㑣挹挸㘸㥥改㘷㙢㤸搱搵㔱㉦摣㜶扥愵㘴㤸㐷晦㔷㈷昶挰挸捡摤挲㡥攰㑥〴愰搵ㅢ㐰㍤㡦㉡昷挷挵㜰㍣ㄹ晡〰㘴扣〸愲扢㤷㈴㕤扣て㠱㤴㡣㉡㍥㔴㤰㔹挵摤挱㜴㈳㠰㐷つ昰㜰〲㐲ㄲ㘸㥥昹〲攸㔶㕦㜰扤昴攲㡢扤㔱㑥㔱慦〰ㄸ晢㙤㔰づ〶ㄹ㍣慢ㅦ敤昷愷晤户㔱晤㉦㤶晦㜲㤶㘴挵捥㌰㘵愲ㅢ㍦愱㙣ㄱ㜵㥥㍦戶㡡敡ㄳ㐹挷改愲ぢ㈷ㄳ㉣昴昳㍦搱挹㈰昶て㘱㌳扤收㜷ㅦ㝤搹散搹挶戱攲攱㕤㈸摣㑡慤㠱〱〸㜸㘸搷扤慢㜶捤㥢摦㘹㔴攷㥣㥤㤷㕣戴㜳挳㠵愴挸㤰㥦ㅥㅦ昲搵㝢挰㜱搸户〶㐲㐴扤㡦ㄲ㐷㔳㜴㈶扢㜷つ〶㜶敦扤敢ㅦ㤴挰㥦㌵㠴㑡㜴㐵㝤㠸㠲㘹ㄱ㐴敡㈶㍢ㄴ㍣搶㌰㌲㝥攴捦㜰〲ㄹ㠶〳㘴㙣〷㠳㝢㌸㐹㕣㡢㡢昳㘴ぢ㑣改昲㝡ㄵ㍥攷㤲㠹㐷㐶攴〱㤹っ改㝢捤ㅤて戶〴散㘷㕡㌲㈱㠳㔲㔵㕤㘰ㅣ〶收㐸㜹搰㙥㔶㙣敢ㅣ㐱㔲㔳搳㌱㍡〵摣㑦㈶㜸捣㔲挵戸㠸慣ㄷ㔶敤攰㐲㘰〴㍣摥㡦搷㑥愰扦㈴昶㜰㉢ㅦ㔳㜷㕦〷挲㈹昸㈸㌰愷〴搵㑥㐰ㄳ愲㉥挴搸㥤㘶㌴㈳㌰〶㐰㝤〳攴攳昸ㄳㅤ戸〹㐷㌱㝤ㄶ㍦づ㘵㘶晤㕢愰㜸㈶㙦㌶挷昰㠷昳捦昱㥡敢㍢㤰㥦㈴ぢ㜶㜱㙦攷㌳㡡㡢㘹㌷㤳搹㍡〹攲㘲㕢㈶搵㈷㙢㘵扢㐱摡㐲扡㙣㐹愷㝥敡〷搰户㤲挷㜷扡愱晥〵㡡戴扤㠹搰慢㝥㐴捤㙥㝢㝡㘴㥦〴散摥摢摥捦㄰挳㍥攱㜶㈲搸捤挸慥㝥〵挶〴㤶㔴摤昶㑥〳㡦㜵㍡慤晤㡦㍦挳ㄹ㘴㈸㈱挳㙦㘰攰㤰㘹㥤㠹㕡㙣㤴摢攳㄰㜳㡣㜲㘱㡡㤵㔲㉣ㄳ搶ㅣ〹㉢〷捥㈴㉣㠲㌲ㄳ挶㜵戹挹ㄳㄶ搵㕣㐱㜰㌵㍡㘱㕣攰扢ㄹ㤶㔲慣挹㄰㡦㈷慣㐲㉢换〲㝤ぢ改戲㈵㑦㔸㑢昰㙤㈵㡦㝦挲戸㍣㔸ㄲ㜶ㄶ昴慡㄰㙡〹〹慢〴㜶敦〹攳㝡㘲晣昰挴ㅦ搸㘳〹攳㠲㘲㤳㌰㜱挰㍥扥㔵㠳挷慡愱㌵㉥㌶昶㘱㤸㐶㠶改㘴攰昲㘳㐹㔸㉤㙡戱㠴㜱㠵戱ㄱ㜳㈴慣㡥㘲㝣昷㤷敡〰〶㐷挲㘶〲㘷ㄲ㌶ぢ㘵㈶散㌰戰㈴㑦搸㙣捤搵ㄱ㕣㡤㑥ㄸㄷㅤ㙦收㝥㕡㜳㈰ㅥ㑦搸㌹㕡搹ㄱ愰㙦㈱㕤戶攴〹敢〴扥慤攴昱㑦ㄸ㤷㉣㑢挲捥㠵㕥搵〵戵㠴㠴㥤て散摥ㄳ㜶ㄴ挴昰挳㍢㉡挰ㅥ㑢㔸㉥㔰㈶戰攲㠰㥤戰㜹攰戱收搳ㅡㄷ㐰晢㌰㕣㐰㠶ぢ挹搰つっ㤲戰〵愸挵ㄲ挶㔵捦㐶捣㤱戰㠵ㄴ扢㠸㘲挷㠱挱㤱戰㑢㠰㌳〹㕢㠴㌲ㄳ搶ㅢ㉣挹ㄳ㜶愹收攲〲攷㐶㈷㡣ぢ愱㌷㜳㍦慤换㈰ㅥ㑦搸攵㕡㔹㕦搰户㤰㉥㕢昲㠴昵〷摦㔶昲挸㜲㘵㝡敥㍥ぢ㔳㕣㑡㉤㐹扢ㄲ扡搵㐰搴ㄲ㤲戶〴搸扤㈷㙤㌰挴昰挳㡡㔰㉡㐱㐱晥㠶〲㥡攰搲〹㍤㉣㉥〳㡦㜵㌵ㄹ戹ㄶ摢㠷攱ㅡ㌲㕣㑢㠶ㄳ挰㈰㐹扢づ戵㔸搲戸〰摢㠸㜵㄰扤㌲昹㕢㑥戱ㄵㄴ攳㘲㘹㐷搲㙥〰づㅥ挹搵攸ㅢ㔱㘶搲㑥〶㑢昲愴摤愴戹戸搶扡搱㐹攳㥡散捤戰㠴㔷㜴㐰㍣㥥戴㤵㕡ㄹ㤷㙢㙦㈱㕤戶攴㐹㍢つ㝣㕢挹攳摦换㑥〷㔹ㄲ㜶㉢昴㉡㉥敤㑥㐸搸㉡㘰昷㥥戰㌳㈱㠶ㅦ敥敢㠳㍤搶换㑡㠱㌲㠱ㄵ〷散㕥戶ㅡ㍣搶ㅤ戴挶㈵攱㍥っ㙢挸㜰㈷ㄹ捡挱㈰〹扢ぢ戵㔸挲㈶㍢挴摡㜲挷散㠹挷㕡㡡摤㑤戱㘹㘰㜰㈴散㕥攰㑣挲敥㐳㤹〹攳㡡敥攴〹扢㕦㜳㜱挹㜷愳ㄳ挶愵攱㥢戹㥦搶〳㄰㡦㈷㙣㥤㔶挶㙢づ㕢㐸㤷㉤㜹挲戸㝣㝣㉢㜹晣ㄳ㌶ぢ㘴㐹搸㐳搰㡢愷攲㕤〹晢ぢ戰㝢㑦ㄸ㔷愲攳㠷ㄵっ㘰㡦㈵散㕣愰㝣昲戱ㅥ㍣搶〶㕡攳敡㈰ㅦ㠶㐷挹戰㤱っ㕣戸㉥〹㝢っ戵㔸挲收㍢挴ㅣ挳攲㈶㡡㍤㑥戱㑢挱挰㔳㉣㌹て搶㈷〴㡢㠱摢㑡㕣攰〹戰㌴敥㠴㠰㙢捤㈵㌶㑦㔲敢ㄵ愸搹㡤㔹㥦㄰㙣〱㜶敦戱戹ち㘲昸㘱〹㌲㤵搰㈹晥㜱㠵扡搹㜵㈲昴攸戳ㄵ㍣搶㌶㌲㜲昵扡て挳搳㘴㜸㠶っ㕣搰扥ㅤ㤲㠱㘷㔱㍢挴㑣戶扤慦㝥㐹㌲敢㝥づ㔲㤸㜵㕦攷㌰搳㐵晣㤰搱敡㜹㥡㜹㠱㘶㔶㠲挱搱昸㕦愲㤸ㅥ慤㕥㐶㤹㡤晦㔶戰㈴㙦晣慦㘸慥摢挰搵攸挶捦㤵敦㥢㘱〹换㍥㈰ㅥ㙦晣慦㙢㘵户㠳扥㠵㜴搹㤲㌷晥㍢挰户㤵㍣戲㔸㥤㥥㝢づ㌱㙢㠰㤳㈴扦〱摤敡㑥搴ㄲ㐶慣扦〳扢昷㈴慦㠵ㄸ㝥㔸㘳㑤㈵㈸挸摦㍤㠰㈶㠷㜴㈲ㄸ㤴㌳昹户挱㘳扤㐳㐶慥挴昷㘱㜸㤷っ敦㤱攱㍥㌰㐸〷㜸ㅦ戵㔸〷攰昲㝢㈳搶㌹慥昷〳㡡晤㠳㘲㕣㉡敦㐸摡㐷挰挱㈳㌹挴㙣㐷㤹㐹攳㐲晡攴㐹晢㔸㜳㙤〲㔷愳㤳昶㌸㤸㌷挳㔲㡡昵〹挴攳㐹摢愹㤵㜱戱晥ㄶ搲㘵㑢㥥戴捤攰摢㑡ㅥ晦ㄱ㙢ぢ挸㤲戰㕤搰慢㥥㐲㉤㈱㘱㥦〱扢昷㠴㙤㠳ㄸ㝥㔸㍥〳昶搸㠸昵っ㔰㈶戰攲㠰㝤㠸昹〲㍣搶㤷戴昶慣㍦挳㔷㘴昸㥡っ㝦〵㠳㈴散ㅢ搴㘲〹攳戲㝦愳搷㜱㠸昹㤶㘲摦㔱㡣换昷摤㈳ㄶ搷散㙦愵ㄷ㠱㝦㠲愵㜱㈳搶㕢㤰㤱搸散愶㔶慥昵㑦ㄸ戱㝥〰㜶敦戱攱㌳〱昸攱昹㔰㉡㐱㐱晥昸㘰㠰搹〷㕥㘳搴㈳搶㡦攰戱㝥㈲攳晢晥っ㍦㤳攱ㄷ㌲㝣〰㠶敤摣㥦㕦㔱㍢㌰㌶㘲戹摥昲昸っ㌸戰扣㝥て晥㤳つ㔷〸㝥〳㍦挶慡敤づ〳晤㠹戱て搴晦愶㠱晦搰挰ㄷ㘰㜰㐷昱㉢攰戶㔲㔱㘰て㔸ㅡㄷ㐵㍥㈷㈰㔱㘴换㔰摦愰㤶㄰㐵㕣ㄵ㘹㐴ㄴ扦㠳ㄸ㝥㔸㙥㐴㈵㈸挸ㅦ㥦㉥㌰㔱㈴㐲㐷ㄱ慦戸挵敢㤳挹挸㈷て㝣ㄸ〲㘴㘸㐶〶㍥㡣戰㥤晢㤳㠹㕡敢㈴㔱㑣㌲攸〷㈱㠲㐰晥攴戰攱〸㘴㜳摡挸愲㡤ㄴ㈴搸㌱㝥戴愴㤸ㅥ㍦戲㔱收昸挱㈷つ㤲㡦ㅦ㈱捤㤵ち慥㐶㡦ㅦ㝣㘴㘱㌳㉣攱㘵搰㄰㡦㡦ㅦ慤戴戲㜴搰户㤰㉥㕢昲昱㠳㡦㌵㐸捡晤挷て㍥昰戰つ㉡慣晤愰ㄷ㌷㡥㑣㜶㙤㡢搶〱挰敥扤㡦昰〹〹㐴ㄱ㑢慤挰㡥㥦晣愹㉣㘰㝤㤲㜷㄰ㄸ慣㠳〱ㄴㅦ㥦昰㘱㘸㑤㠶㌶㘴㘸〹〶ㄹ㍦摡愲ㄶㅢ㍦昸捣㠴ㄱ㜳捣㜸づ愱㔸㍢㡡戵〶㠳㈳㘱㌹挰㤹㠴戵㐷㤹〹攳搳て挹ㄳ搶㐱㜳戵〵㔷愳ㄳ挶挷㈸㌶挳ㄲ搶㠳㐱㍣㥥戰挳戵㌲㍥㘱搱㤸㠴攵㠰慦㠱㠴昱㈱㡣㙤戴㜲〴昴慡づ愸㈵っ昸㥤㠰摤㝢挲㍡㐲㑣ㄲ搶ㄹ散昸搹〹攳㘳ㅢ㈶戰摣ㄱ摤ㅤ扢㠰挱敡ち愰昸㐸㠷て挳㔱㘴㌸㥡っ㥤挰㈰〹换㐵㉤㤶㌰㍥挷㘱挴ㅣ〹㍢㠶㘲摤㈸㔶〰〶㐷挲扡〳㘷ㄲ㤶㡦㌲ㄳ挶㈷㌲㤲㈷慣㐰㜳ㄵ㠱慢搱〹攳愳ㅤ㥢戹㥦㔶㈱挴攳〹㉢搶捡昸搴㐷㘳ㄲ搶ぢ㝣つ㈴㡣て㠶㙣愳㤵ㅥ搰慢㡥㐳㉤㈱㘱扤㠰摤㝢挲昸㈴㠹㈴散㔸戰攳㘷㈷慣㉦戰㈶戰摣ㄱ㥤戰攳挰㘰昵〶㔰㝣捣挴㠷攱㜸㌲昴㈱㐳㝦㌰㐸挲晡愲ㄶ㑢搸㈰㠷㤸攳〸摤㡦㘲晤㈹㌶ちっ㡥㠴つ〴捥㈴㙣㄰捡㑣ㄸ㥦ㄲ㐹㥥戰挱㥡㙢っ戸ㅡ㥤㌰㍥㙥戲㤹晢㘹つ㠱㜸㍣㘱挳戴戲戱愰㌷㈶㘱攳挱㈷〹㤳㈷㐴攸戹㘷ㅥ捣〷㔶戶搱搲㜰攸㔶ㄳ㔰㑢㐸摡㐸㘰昷㥥㌴㍥攱㈲㐹ㅢ㐵㈵搰㈶㝦㤳㠰昵挹挹㘸昰㔸㘳挸挸挷㕦㝣ㄸ㑥㈴挳㔸㌲㥣〶〶㐹摡㌸搴㘲㐹攳㌳㉦㐶散㔰ㄸ搳ㄳ㠲昱ㄴ㍢㠹㘲㔳挰攰㐸摡挹挰挱㈳㤹〷㑦㐴㤹㐹攳搳㉢挹㤳㜶㡡收攲攳㉤㡤㑥ㅡㅦ㠳搹っ㑢㌸改㠰㜸㍣㘹愷㘹㘵㤵愰㙦㈱㕤戶攴挷戱㙡昰搹㐹㕢㉣㥣㠸愵㙢㤵㠲攲㠳㌴摢㐰戴捥㠰㙥㌵つ戵㠴愴㥤〹散摥㤳㔶ぢ㌱收挹ち㤳ㅤ〵晥愹㝡㘰㑤㜰㔱㌷㍤慤ㄴ㍣㔶ㄹ慤昱戱ㅣㅦ㠶㜲㌲㐴挸㌰ㄳっ㤲戴㈸㙡戱愴昱㔹ㅣ㈳收㐸摡㘴㡡㑤愱搸〵㘰㜰㈴敤㉣攰㑣搲愶愲捣愴昱愹㥡攴㐹慢搴㕣ぢ挰搵攸愴㉤〴昳㘶敥愷㔵〵昱㜸搲㙡戴㌲㍥戹搳㤸愴㕤〲㍥㍢㘹㑢愹㡤㠱㜵㈷㡤て昸㙣愳愵改搰慤昸愴㑦㐲搲敡㠰摤㝢搲ㄶ㐳㑣㤲㔶㑦㜶㘸㤳愴㕤〱慣〹㉥慤敢攱㜱〶㜸慣㤹戴挶挷㠵㝣ㄸ㘶㤱㘱㌶ㄹ慥〲㠳㈴㙤づ㙡戱愴昱ㄹ㈱㈳收㐸摡搹ㄴ㍢㠷㘲㌷㠲挱㍤昵收㐳㍣ㄲ㡡挰戹㘰㘹摣搴㥢捦晣㙣㘳㙣捥愳搶㤵愸搹戱搱㤷㕣收〲扢昷搸摣〶㌱㠹捤㍣㉡㠱㌶昹攳㤳㐲㘶ㅦ㠸搰戱㤹てㅥ敢〲㌲摥敥捦㜰㈱ㄹㄶ㤰㘱㌵ㄸ戶㐳㌲戰㄰戵昸搴摢晢戶摤㘷挰攴㍡㠷戹ㄸ㈲㤸㝡昳㔹㈳攳㐴㔷㜱㐲慥户㕣㐲ㅢ㡢㘸㘳ㅤㄸㅣ慤晦㌲㡡改㈱㙢㌱捡㙣晤㝣㙡㈸㜹敢扦㕣㜳㍤っ慥㐶户㝥㍥㝥戴ㄹ㤶昰㙡〵㠸挷㕢晦㔵㕡搹㈳愰㙦㈱㕤戶攴㐳ㄶㅦ㔱㤲㤴晢㑦扤昹昰搲㌶愸戰㤶㐰慦摡㠸㕡㐲换㕦〶散摥戳扢〹㘲捣㥦㜵㌵搸昱㤳㍦挵挷㥤㑣㘰改愴捥敥㌵㘰戰慥〵㔰㝣ㄴ捡㠷攱㍡㌲㉣㈷挳㘶㌰㐸换㕦㠱㕡慣攵昳昹㈷㈳收㤸挹㕤㑦戱ㅢ㈸昶㈲ㄸㅣ〹扢〹㌸㤳戰㥢㔱㘶挲昸㈴㔳昲㠴摤愲戹㕥〶㔷愳ㄳ挶㐷愲㌶㜳㍦慤㤵㄰㡦㈷散㌶慤散㔵搰ㅢ㤳戰搷挱搷㐰挲昸㐰搵㌶㕡㔹〵扤敡つ搴ㄲㄲ戶ㅡ搸扤㈷散敦㄰㤳㠴摤〱㜶晣散㠴昱ㄱ㉣ㄳ㔸敥㠸㑥搸ㅡ㌰㔸㜷〲㈸㍥㥥攵挳㜰ㄷㄹ搶㤲攱㕤㌰㐸挲敥㐶㉤㤶㌰㍥㤳㘵挴ㅣ㌳戹㝢㈸㜶㉦挵昸晣㤴㈳㘱昷〳㘷ㄲ昶〰捡㑣ㄸ㥦慥㑡㥥戰〷㌵搷㘷攰㙡㜴挲昸㤸搶㘶敥愷戵づ攲昱㠴㍤慣㤵昱〹慥挶㈴散㉢昰㌵㤰㌰㍥攴戵㡤㔶晥〲扤敡ㅢ搴ㄲㄲ戶ㅥ搸扤㈷散㍢㠸㐹挲㌶㠰ㅤ㍦㍢㘱扢㠱㌵㠱攵㡥攸㠴㍤ち〶㙢㈳㠰攲㈳㘳㍥っ㡦㤱㘱ㄳㄹ㝥〰㠳㈴散㜱搴㘲〹攳㜳㘲㐶捣搱挳㥥愰搸㤳ㄴ㑢㐹昳ㅥ㕢㔲㠱㤳㌰〴㌶㠳愵㜱挷㤶㌴挸㙣㘳㙣戶㔰㙢㍡㙡〹挷㤶慤挰敥㍤㌶〱㠸㐹㙣戶㔱〹戴挹㕦㌳㘰捤㍥㄰愱㘳昳㌴㜸慣㘷挸㤸改捦昰㉣ㄹ晥㑡〶ぢっ摢㈱ㄹ㜸づ戵㝤捣㘵㥤搸摡ㄹ㘹㌰慥㐳捡ぢ攰挴㈱愵㠵㐳戵攳ㄲ晥㡢㔴晤ㄲ㔵ㅦ〰〶㐷㠳㝦㠵㘲晡㤰昲㉡捡㙣昰〷㠲㈵㜹㠳㝦㑤㜳ㅤ〴慥㐶㌷昸㠳挱扣ㄹ㤶㔲慣搷㈱ㅥ㙦昰㙦㘸㘵慤㐱摦㐲扡㙣挹て㈹㙤挱户㤵㍣晥㠷㤴㐳㐰摥〶慡昵㈶昴慡㜶愸㈵㌴昸户㠰摤㝢㔲㜳㈰挶戴㔹㙦㠳ㅤ㍦扢挱㜷〰搶㈴ㄵ㌸㤳搴㜷挰㘰扤ぢ愰づ昳㘷㜸㡦っ敦㤳愱㈳ㄸ愴挱㝦㠰㕡慣挱ㅦ改㄰㜳㌴昸㝦㔰散㐳㠰っ㍥愰搴戸〷愲㌸㜹〸㌹㥥㔲㤳ㄷ㌱敥ㄳ㍤㜱㐶戸ㄲ摦搳ㅡ㡤㐷㈵敡㠹晡㌳慣㤱㑤户ㅦ㔸搹敢㘲㌲搹㠵㔳㑦㙦㠷㍤㜳挷㈰㜱攱㤹摥㌷㜹敦攴敦㝢愰㈵㤸㤱昳㍦㝢昶㌴捥ち㥢㐷攲㥢㈰㤱㈴㉣㉡摢㡥㠴戱〷㜵㐷㔵㥡搰挷㐰㤸㑤攵晢㘱㌳ち㠰㙤㘰㙤戹敢㔹㄰㙡㙤ㄵ㕦〹换㌵捦㕤㉢昹戵㍥扦㈵戴㠹㑢捣㍦㠱㉦慡挸昸戰〳㌵㡣戵昲愷㡡つ㜶㈷㜹㠰㐵㍤㈵愳ㄷ愰㝢㤵愱㘷搱㌲㜷㄰㑦戹㘱昹昲戸晡㌹㤵㔸㌲捥㈲㔷ㅤ摡㈵慥㤱戵挹㜰扡愶㌶ㅤ㑦晡戹摦㕤ㅢ㤳摤〴㔵捤昷㜳扤晡㕥挴㐸改〱㙦㌲㕡㈳㐵㐹攵ㄳ戳㐲ㄹ㙥㠱㑦攱攲㝥㈳㉢捡㙡㙢敡㙡愲昵㌹攳昰搸㐳づ㍦㠶㄰挵〳㌰晤㌲づ㠲㐶㕦㥢摣戱昴㙡㝥㝡㙥㈶㕦昹ㄹ㥣㕡㕤㌳慢㕡扣挹愸攳㌷㈱㈴扦捤㥡搱っ〶㈳㝢㍢っ挱ぢㅤぢ㐷㈹㙣㝤づ㘸㝤㐱昰㈵挱㔷〰愱攳ㄸ㔹㙣愱摥愶㜰扣㈹昴搱㠵散扥㈸㔰㘵㐰㌸晦㐰㄰敡〷捤戴ㄲ昸ㅡ扥戴ㅣ搰扦挴昱攴㐲攰ㅢ攰戲㠰㤳昵愱㘳昱㘱㠵挰户挰散〳㑣攲㠷昹㐲晤戵ㄶ㉢〷慡慣昶〴扢挱愹〶〲㉦㔱昹㥥㌵愰㘹㑡つ〶㘴㑢㔲㔹㠸㌴昳〷㘴㑡攰㕦㘰㐹㥡ㄴㄵ㘴㥡昱㤷ㄸ搸㈱搰〲㌱摣㘱〲㙣㤱ㄶㅡ㑡慤㔴昶㌳敡㠷て攸㍦㘰㙣㐹㕥㝥㝥㐱户〲㙣摤挳㘵〵挵㍤㈳愵〵㠵攵攱㘸㕥㜹㐱户愲敥摤ち愳㐵愱㘱㕡挶晡〵㌲愱ㄳ㑣敤㔷搶㠶㥢ㅡ㘹ㄹ愳㔰摢敢昸愴ㄷ扢㠲㍦㐵㤵㘲捤㐹戹㡡愴㌷㙢收㜹㠰㌵㜱慣挲㍡㔸ㄹ搷㌸慡〵〲㠴ㄹ改搸搹㠶㠷ㅥ㈳挴ㅤ昶づ㍤搶扦攱㠲昵ㅦ㠰㘰㘸㌴ㅣ愷㐳㠱㍤㠰敥㈴昳捡㐰㘲㤲昹㜱㌸㙦㤲〳愹㐰敦㡢摣攳㤵戴捥㌷慥㠷挶㘸敤昱㙦搲㔹ㄹ㘰戵摦㜶㌷ㄶ㐴ㅥ慦㠲敡㤷㕦昷散攱㜸㡡ち挶挵㑣㜰㜰㕣ㅣ㠷慡戴㤰㠴㜱㜱扣㉦㤶㉢㙣㌹㌶㕡㐱〸慢㤳つ㑦㜳搴㘲攳搶㐴㠳捤㈲て㑣愱㥥愲㈶〱㑡㡢晢ㅥ㑥㤸ㄶ㘷㜱ㄸ㘰㡦㔷晦〴搶摢戸㑥㠵㄰㌹慣㄰㔴㔹晢㄰散㑢搰ち㈰㜴㥡戶ㄳ搸て㌵扢愵昵捣㉢㉣捡敢ㄱ改㔱㥥摦㌳扦愰戴愰㘷捦㠲扣ㅥ挵〵挵㠵摤ぢ㑢扢㤷ㄶ攴ㄷ㠵㑥搷㌲搶晥搴㜰㠶愹ㅤ挰㕡㠹愹㤱㤶㝤㈶㙡㑤搳摦挳搰㡣ㅦ㙥㐷㘳搷㉣㜶㜰㡢㝤㍡㔴㙡昰㐷㤳㤸㑢㜰〸㍣㔱攵挰摢昹晢㌸㈱㝦㠷㠲挸晣㐵㐰昷收㉦敡㡢㥤っ慣攴慦㍤㌵㔷ㄸ㥥づ愸挵昲㜷㤶挱ㅥ㐶ㅥ戸㠱㝡㡡攲㜲㔹挹摦晢扥昹㝢搷㌷㝦㔵㄰㤲晣ㅤ〹㔵㔶㈷㠲捥〴㕤〰㐲搵搴㡢㉤㔴㘳ち搳㑣㘱扡㉥㘴搷愲搰㌴㔹愸㠳㘶㕡㜱㘷愱摥攰昳㐹㉣㈰攸〶㙦搵㑣攰敤㉣扣㤲㤰㠵敥㈰㌲ぢ戳㐰昷㘶㘱戶㉦㜶づ戰㤲㠵〲㙡㍥挷昰ㄴ愲ㄶ换挲戹〶㕢㐴ㅥ戸㠱㍡㤶㕢〱㑡ㄶ㥥昳捤挲戳扥㔹㤸ぢ㈱挹㐲㉦愸戲㡥㈵㌸㡥愰㌷㐰㘸ㅥ昵㘲ぢ捤㌷㠵ぢ㑣攱㐲㕤挸㕥㠰㐲搳㘴㘱㈱㌴搳㡡㍢ぢㄷㄹ㝣㑦ㄲ㝢ㄱっ㠰户敡ㄲ攰敤㉣㙣㑡挸挲㈰㄰㤹㠵㐵愰㑢ㄶ〶〳㘱㌶㜵愹㉦昶㌲㘰㈵ぢ㐳愸昹㜲㕦㥥㉢つ㜶ㄸ㜹愰㄰㜵㉣つ〳㤴㉣㍣攲挸㐲㘰㌸㔸㤲ㅦ㍤ㅦ昶㑤捤㔲㘸㤲搴㡣㠴㌰㡥㥥换愸ㅦ㕢攸㙡㔳攰㘲㔶挱㕣慢ぢ搹搷愱搰㌴搹㔸づ捤戴ㄲㄸ〵㙦摣〷愹搱挰㈵ㅥ愴挶〰攳㍤㐸㠵㔶㘸㉤㔶ㅦ愸戲晡ㄲ㡣〳愷扡〱㜸㍢㜷昷㈴攴敥㈴㄰㤹扢ㅢ㐱㤷摣㑤〰挲㙣敡㈶㕦散捤挰㑡敥㑥愶收㤵㠶㘷㈲㙡戱ㅥ㜴慢挱㥥㐲ㅥ㈸㐴㍤㐵慤〲㤴摣摤攱捣摤愹㘰㐹㥥扢摢㝤㜳㜷㍢㌴㐹敥㑥㠷戰㜵〶㐱〹挱㤹〰愱搵㌴㠶㉤㜴㠷㈹慣㌱㠵㍢㜵㈱晢㉥ㄴ㥡㈶㤱㙢愱㤹㔶〲㘱昸攲㑥㘴㈹㜰㠹㠹㉣〳挶㈷㤱㜷㙢㉤搶㈰愸㤲㙦慣㕡㔱㜰慡㝢㠱户ㄳ戹㈲㈱㤱㔳㐰㘴㈲敦〳㕤ㄲ㤹㌰愱戸摦ㄷ晢〰戰㤲挸戳愸㜹㥤攱㤹㡡㕡㉣㤱てㄹ㙣㈵㜹攰ぢ敡㈹㡡敢㕥㈵㤱换ㅣ㠹㡣㑦㈸㤶昸收散ㄱ〸㐹捥愶㐱㤵㌵㥤愰㤶愰づ㈰戴㥥㝡戱㠵㌶㤸挲愳愶戰㔱ㄷ戲ㅦ㐳愱㘹㜲戶〹㥡㘹挵㍤ㄴ㍥㙥昰挳㐹ㅣ㐱㌰〷摥慡㈷㠱㤷㈸㥦捤ㅡ搰ㄴ㔶㕢〰㈵㉡ぢ㥤㔱攱挴㕥愶㔹ㄷ晡㐶攵㈹〸㐹㔴捥㠷㉡㡣㐲㕢戵敡挰㕣搴敤㤹㔵㘱㔹愴愸戴㝢㜹㐱㔱㔹㌴㠲㤹㝣戴㐷㜱㜱户㐸㔱㡦愲㥥攵㤸挲ㄷ㠵昳㐳摢戴㡣㌵て㌲愱愷㑤㙤㍥㙢捦㤸ㅡ㘹敡㌹搴㌸㡦㔷攷挱ㄹ捥戱㔱挶敤ㅢ㤰慣㠵〰挱搰昳㐰㠸㍢㥣㉢㕢㥣ㅣ㕢㥣て㕢㥣晤㠶㕥㌰挴戱㤴ㅡ㐷戰㤸挴㌷㔱㔲㉦㠱㘸户捣㕡攸㡥㑦㜵慦〴〷㕢收换愰㑢捣慥〲挲㙣敡ㄵ㕦散慢挰㑡换㕣〲㕥昵扡㉦捦ㅢ〶扢㡣㍣㔰㠸㝡㡡晡㍢愰攴愰搲㤱㠳挰㌵㘰㐹㍥挴㥣攵㥢㤸户愰㐹㈲㜱ㅤ㠴㤱㤸户愹ㅦ㕢攸ㅤ㔳㜸搷ㄴ摥搳㠵散昷㔱㘸㥡ㄶ晡〱㌴搳㥢挰㜲㜸㤳㌸㠲慣〰挶㍤捥㕣て㕣㉢晢㉣搵晥愴攱㠰㈹ㄱ扥㄰㈱㜰〳〸㍥挳捤㍦戴㝡昹㈰戱㌵ㄱ㠶㌲昱㘰攷捤㘰㔶ㅦ㠱㘴攷㌵㥣㤰搷㤵㈰㌲慦摢㐱㤷扣㈶㡣㌸ㅦ晢㘲㍦〱㔶昲㝡ㅢ㌵敦㌴㍣慢㔰㡢㡤㌸扢っ昶㜶昲挰ㄳ搴㔳搴㘷㠰㤲搷㔳ㅤ㜹㡤㡦㌸愷昸愶昰㜳〸㐹ち敦㠴㉡敢㉥㠲戵〴㜷〳㠴扥愰㕥㙣愱㉦㑤㠱敢㔴〵昳戵㉥㘴㝦㠳㐲搳攴昳㕢㘸愶ㄵ昷㠸昳㥤挱㥦㐱㘲〹挱㠳昰㔶敤〶㕥愲扣㡥㌵愰㈹慣㝥〰㤴愸㡣㜴㐴㈵昰㌰㔸㤲户昶攱扥愱攲㘲㔶〹搵㈳㄰㐶㙢晦ㄱ㜵愶㈴戰ㅥ㜵㝢ㄸ敡ㄶ㉤㉣捤捦㉦㡢昶㡣ㄶㄵㄷ㐴㡡㡡㝢ㄶ㜵敢㔹㥣搷慤㝢㔱㡦扣敥昹㍤换捡〳ㅢ㘲慣搱㐸戴㐷㌴㕣㕣㔶㕣㔴ㄸ㉤㈸挳㐸搵㉤ㅣづ㐳戲㌰㕣ㄶ㈹敥㔹㔸ㄶ晡㐹慢户ㅥ㠵㡣戵ㄱ㈰昴戳㐱㍤㐶搴㈶愲㝥㌱愸ㄸ㤷晡つ㈸ㄹ挰晡㘱㌷㘲〳搸㘶㡡㙣〱〸㠶晥つ〶改㈸㑦愱敡敥ㄶ㕢㠱㑢散㍣摢㠰昱昶㠷挰搳㐰晢㥤散晦㐷㙢户㈲捣っ㉥㤸攱晥〴㔸敤ㄱ㤰㜶㈵㐷捦〳ㄵ换㔱㉡戰㤲愳㐲㘷㡥㕥〴㑢昲ㅣ攵晢收㈸つ㥡戸㙢搶换㄰㐶㡥搲戵扤挰㉢愸敢换㍤㐵㘵㜹攱㐸捦ㅥ㤱㜰ㄹ捥戹换㝢昴㉣㉢散㔹㔰ㅡ改㥥搷愳慣㈸摡戳慣㘷㈸㐳换㔸慦㐲㈶ㄴ㌰戵搷㔸㙢㘶㙡愴愹㈰㙡ㄲ改愳㥤㤱㝥〳㈴敢㑤㠰㘰愸㌹ㄸ昰㑢〹晣ㅤ㔵㜷愴摦〲㉥㌱搲㙦〳攳ㄳ改㜷㠰昶㡢㜴㤶搶ㅥ晦戸户昵㍥㔸敤㐸户〴搱ㅥ㤳㍡挰戹昸戱收㐳㜰㜰㑣捡〶㕤㌲㤱㌰㈶㠵㝣戱晢〰㉢㘳搲㜶〸慢㔶㌱ㅥ搴㘲㘳搲㝥〶晢〹㜹戰捦㘸〶戸㜳〴慣㘴戶慤㈳戳昱㌱愹戵㙦ㄲて㠴㄰㝥㜸㐷㈵㔴㔹㥦ㄱ㝣㑥昰〵㐰攸㈰㙤㈷昰㈵㙡晡攰㕦㕥摡㈳㍦慦㌰慦愰〸ㄷ昰㑡㑢挳㍤愲昹㠵攵搱㘸㘱㐱㘹㜱ㄸㅤ戰㍣㜴戰㤶戱扥愲㠶搶愶昶㌵㙢㙤㑣㡤戴散戶愸㌵捤㘸㜶〸㌴㌳㈴敥搱慣㥤挱搷㤲㔸㐷昰〳㍣㔱㌹挰摢昹㙢㥥㤰扦ㅦ㐱㘴晥摡㠳敥捤㕦〷㕦散㘱挰㑡晥㝥愶收挳つ捦㉦愸挵昲㜷㠴挱晥㑡ㅥ戸㈱昹敢〴慣攴㉦挳㌷㝦㘹扥昹敢っ㈱晣㜰㙤ㄱ慡慣㍤〴扣㉥㙤㈹㠰㔰ㄷ㔲戰㠵扡㥡挲㔱愶㜰戴㉥㘴攷愲搰㌴㔹㌸〶㥡晤戲搰捤攰㘷挳㌵昹㉥扤搵っ摥慡敥挰摢㔹昸昹ㄷ㘷㉦戲㐰㘴ㄶ昲㐱昷㘶愱挰ㄷ㕢〸慣㘴愱㌹㌵ㄷㅢ㥥㉣搴㘲㔹攸㘱戰㉤挸〳㕦㈴ぢ扤㠰㤵㉣散㠶ㄳ摥㡢㤳摦〱敢扤㌸㜹㉣㠴昰挳㜵㐹愸戲昶㈵㘸㐵戰ㅦ㐰攸㌸㔲戰㠵㝡㥢挲昱愶搰㐷ㄷ戲晢愲搰㌴㔹攸〷捤㝥㔹攸㙦昰攷挳㌵㙢㉥㐱㙢㜸慢〶〲㙦㘷㘱㘷㐲ㄶ摡㠲挸㉣っ〲㕤戲㤰㜰㔹㘵戰㉦㜶〸戰㤲㠵㜶搴㍣捣㤷㘷戸挱收㤰〷㙥㐸ㄶ㐶〲㉢㔹昸搰㤹㠵攱㘸摥㜲敥昲㠱㙦ㄶ㐶㐱〸㍦扣攱ㄴ慡㜰㐰ㅡ捤ち戶搰ㄸ㔳㌸搱ㄴ挶敡㐲昶㌸ㄴ㥡㈶昰攳愱㔹〲捦㉢㈸ㄶ㉦㤹㔸㘳〰㐲㈷ㄹ晣〲戸㘶㉤㈴攸挲㕤㍦ㄹ㜸㍢昰㙦㈶〴晥㈸㄰ㄹ昸㠹愰㝢〳㝦㡡㉦㜶ㄲ戰ㄲ昸㕣㙡㍥捤昰ㅣ㠳㕡慣昹㥦㘱戰摤挸〳㌷㈴昰㘷〲㉢㠱㝦挵㌷昰㉦昹〶㍥っ愱㑣敥㐸〱㔴㔹㠵〴㐵〴挵〴㍤〰㤰㡣㔲昰㜰ぢ㤵㤹㐲戹㈹㐴㜴㈱㍢㡡㐲搳㈴㘳㌲㌴晢㈵㘳㡡挱㕦ち搷慣换〸㡥㠷扦敡㉣攰敤㘴㙣㐹㐸㐶㕦㄰㤹㡣愹愰㝢㤳㔱改㡢慤〲㔶㤲搱㥦㥡㙢っ捦〰搴㘲挹㤸㙥戰〳挹〳㌷㈴ㄹ㜵挰㑡㌲ㅥ昳㑤挶愳扥挹愸㠷㤰㈴㘳㈸㔴㔹挳〸㑥㈰ㄸ㑥㌰〲〰挹㤸〱ㅥ㙥㈱㉥㌳㤵挲㉣㔳㤸慤ぢ搹㜳㔰㘸㥡㘴㥣つ捤㝥挹㌸挷攰昹㔶㝥㡢㙦捥户挶挲㕦㜵ㅥ昰ㄲ散㜱慣〱㉤挱㤹ぢ慣〴攷ㅥ㘷㜰㘲㤷㌷搶晡〶㘷ㅥ㠴昰挳昷捦散㐰捣搷慡〳ㄳ㔱搷㌳㥣㠲㐸㈴搲扤戴愸㝢戸㈸慦愰慣〸搳㥡ㅥ㜹㍤扡攵ㄵ攵攷㤷ㄷ收㤵㐵㝡㠴㉥搰㌲搶㈹㤰〹㕤㘸㙡㤳㔸㕢㘰㙡愴愹㡢㔱㤳㌹敢敤㜰㈶㜶㜶㜰㍡㐸搶ㄹ〰挱搰㈵㘰挰て〷㙥㐰昷攵㡤㐵㠶挸昷昰㕢换〹㈲ㄴ㤵换ㅢ㤷㠱㘸㌷搰ㄵ搰ㅤ㥦㜲㑥愱㕥㌴搰挵愰㑢捣㍥㐶挱㙣敡㜲㕦散ㄵ挰㑡〳㍤ぢ挲敡㉡挳㌳ㄵ戵㔸〳㕤㘲戰㤵攴㠱㐲挹挱㌲㘰㈵〷换㥣㌹昸ㄴ㔸ㄹ愶㤷昸收攰㙡㤰挹㘱㑤㠳㉡㙢㍡㐱㉤㐱ㅤ㐰攸ㅡ㤱㐵㠱换㐰戹㠵慥㌳㠵攵扡㤰扤〲㠵愶㘹㤹搷㐳戳戴捣慦㔱㜰摣㡦扢挱攰㙦㠲㐷搶捤〴㜳攰慤扡〹㜸㍢ぢㄷ㈵㘴攱ㅣ㄰㤹㠵㥢㐱昷㘶攱ㄶ㕦散㑡㘰㈵ぢ攷㔱昳㙤㠶攷㝣搴㘲㔹㔸㘵戰㜳挹〳㌷㈴ぢ慢㠱㤵㉣捣昳捤挲昹扥㔹戸〳㐲昸愵㔸ㄷ㐲㤵戵㠰㘰㈱挱㐵〰愱㌵愴㘰ぢ摤㘹ち㜷㤹挲㕡㕤挸扥ㅢ㠵愶挹挲㍤搰散㤷㠵㝢つ㝥ㄵ㕣戳㙥㈷㔸っ㙦搵晤挰摢㔹愸㑢挸挲ㄵ㈰㌲ぢて㠰敥捤挲㠳扥搸㜵挰㑡ㄶ慥愲收㠷つ捦ㄲ搴㘲㔹昸㡢挱㉥㈵て摣㤰㉣慣〷㔶戲㔰攵㥢㠵愹扥㔹搸〰㈱晣戰敡ㄹ慡慣敢〸㤶ㄳ慣〰〸㍤㑡ち戶搰㐶㔳㜸捣ㄴ㌶改㐲昶攳㈸㌴㑤ㄶ㥥㠰㘶扦㉣㍣㘹昰㜷挱㌵㙢㉤挱㉤昰㔶㙤〱㕥愲扣㤲㌵愰㈵㉡㕢㠱㤵愸㤴㌸愳ㄲㅢ愵㑦昷㡤捡㌶〸攱㠷ㅣ㐳ㄵづ㔷㑦㙢搵㠱搵愸敢㔱扡慣戸戴㕢㜹㡦㠲扣扣昲㘲㥣㡢㜶㉦㉤换敦㔱摣愳㈰㥡㤷ㅦ捥挷㈵愱㥥愱㘷戴㡣㜵〷㘴㐲捦㥡摡ㅡ搶晥㙡㙡愴愹ㄷ㔰㤳㔱晡㘴㌸ㄳㅢ愵搷㠲㘴摤つ㄰っ扤〸〶晣晣㐷改㤷っ㤱㕦㌵戰昸㐵〲㙢ㅤ㐵㘵㤴㝥〵㐴扢㘵㡥㠰敥昸㈸晤ㄷ敡㐵换㝣ㄵ㜴㙦换㝣捤ㄷ晢㍡戰搲㌲搷㐳㔸扤㘱㜸㌶愰ㄶ㙢㤹㙦ㅡ散愳攴㠱㉦㤲㠳户㠰㤵ㅣっ㜶收㈰㌶㑡て昴捤挱摢㄰挲て㉦改㠰㉡敢〹㠲㈷〹㌶〳㠴摥㈱〵㕢攸㕤㔳㜸捦ㄴ摥搷㠵散て㔰㘸㥡㤶昹て㘸昶㙢㤹ㅦㅡ㍣扦慦㘰昱ㅢ〸搶㌳昰㔶㙤〷㕥愲晣㉣㙡ㄴ攴㕦挸ㅣㄸ搵㈷㠶ㅣ挳㤰扣〳㔸晣㔲慣攷戸搷捦〳戴㐸つ敤㌴挸ㄷ㔸㑦换昸ㅣ昵㘳㤳扦っ摦戱㝡慢㉢搶〹攲昵扥㤱㜲扣㜰㜳ㅡ㕥㠷㍤㘷㔰㜵㝤㉤㥦慥㑡㐹挳ぢ㌷敤㜷晥愵愷昶晡㝤扡戸㕡改㄰愸攲㕦㐶〱搲昹扦搰挳㐰挵搷㉦㔱㈳ㄷ㐰攱昲扢晡〲㍢换ㅤ㔶昹戰㐰㉢晣昸㐲㈶〲挱敤攷㍤敡㑢㐳敦慥改㝣ㄵ扣㠳晥㤵愱攷㘹㍡㤷搳㍡攸扢㐱敦〸㤴㝣㙦摢昱㌹改愳挱晥ㅥ㔶㔳㝢扥㌳㜸㤴㈶㑣摦戱㙥搲㌱㈷慤ㅥ扣攸㥣㔶扢㤷捣㌸㙦㐵攸㝢㘸挲て㥤㔰搲愴㝥㐲㐵㍣敦愲㉤ㅦ㑡攲㕢㈰㘶晣〲㤲敦㙢戶敤扢ㄵ攳昰昲搴㐸敥㠰晥挵戹㠳㘶㤷㐵㉡〷攰㤵收㔸㜹挷㝤摥扦㙡㔸ㅤ㡡㤱摡扡昱㌵晤攴㐵摢㕣㔴戹㡦㔹㥣搷戵㙡挸㡣㡡㜲愴昶昰㌸挶扣捦摥㠸㡤慥㡤挹戵㠸㜳攱捤扣晢挷㙢㡥搷㐰戶㠹㘳昱昱〲戴愱㐸戹搱㔸㠷㐷晣搳㔳搳㤴晢㌵愹昲扡敡㠱㌵㔵攱㡡敡㕣㉥㠵愳戶摡㥡捡㘱攵っ㐰ㅢ㥦昷戶昶慦愸㤷㐵愹㙤㐱㔷搶捦〸㑥攰ㅤ散㙤愰㜷挷挱ㅤぢ㡡㌳㡥㐰晣ㅡ㙤㈳戱㈵搱㈲晢㕤搰㝡てち搵慦㔰㑤㙤㐴㘵晦ㅢㄵ㥣ㅡ愷㌰慥㡥敤扢㍥扡搲搷晥㍦㔳晦ㅦ敡㥢晤ㅦ㈳㜱扡㙡扦戴㕦挶㐷㜳摤ㅦ㌴㈹晢㘶㔲晦攳㍦㕢搱愷昶搲㉢㜶散㍥㜴㘹ㅦ挵㐵㜰ㅤ愱挷㙥㕤㕦戰㈴㐳㜴㝢摤㠸㍣慤㉢㐷ㄳ㍣㕦㜲捦㠴㈶ㄹ㑥戶挳㕦㌳㥣愸愰挱㈶㡣㈲捤㠱㠵慢㈹搶㈷攰戵㜶〰㘰ㄴ挹㌲挸㥤慣愷愹㄰敡搲㍣㕢挳㈴㍢㤶改㜱晢ㄸ挲挱㥡攰敡㜱㕣〰㈷㠲〷㘹扡慢挷㜱㙤㥣搰て搴㜴㔷㡦摢ㅦ㜴㜶〰㘵敤㠷㔲攰㑢戸㠳㑣て敡㤸㕦㥣戱ㅦ㈴㝣㕦㝡慢㕢搳攰摡㌲搳ㅣ〷㔵捦愸昲收ㅡ㍢㡤㕣㝦つ㤵敡〰㈸愷㍥愲ㄴ搷戱挵昳㄰晦㔰㑣㌶ㄸ㝣㝢㜹㑢㑤昰㝣㌴晥㔰㘸㤲㍣㝣て㈳戱㍣戴㌷搸㠴㍣㜴〰㔶昲昰㉦昰㕡㍦〲㈰て㠷ㄹ攴㑦慣愷㈹慥㑣㤳㜰㘵挲愴㌳て㥤っ愱㤹㈶戸昲挰㠵㙣㈲ㄸ搰㜴㔷ㅥ扡ㄸ㝡㠶愶扢昲搰つ㜴扦㤸㈸戰晢挶㈴㐵ㄳ㍣摦㡡攷ㄲ㌴㠹㠹挲挳〶戱㤸ㄴㄸ㙣㐲㑣ち㠱㤵㤸愴㠱搷㑡〷㐰㑣㡡っ㌲㠳昵㌴搵ぢ㜵搹戵㕦㝦㑥㡣〹搷㡥〹攱ㄷ㑤㜰挵㠴换捡㠴晥戳愶扢㘲挲ㄵ㘷㐲晦㐹搳㕤㌱ㄹ〰扡㕦㑣扥〷扢㙦㑣㜶㙢㠲攷ㄳ昱㕣㄰㈶㌱挹㜶挴㈴㘴㉥㕦㉡㔹昲㠵㤶㘹挵㌰愸㠴戸挸㑢㠲戳㡦ㅤ〷㉥捡ㄲ㜷扦搱敥㜲㍣戳㕡㠱愸戸愲挹捦搳捦㤳㜹晡㤹㈶㜸㍥搱㝥㤲昱昴㘰愷愷ㄳ㠰攵愶㘴㠱ㄳち㔶っ㠳㑡㘸㈲挸攲㘹ㅢ〸㔹㙤改㙥㙡攸ㄴ㠳㍣㠴昵㌴挵㜵㐹攲晥挷摡㝤㌳挴㜰慤㤲㄰戶㙢㠲㉢㡤㈵㠶晥㤱愶扢搲㜸愶愱㝦愸改慥㌴㜲㤵㤰㕦㜰摥〳扢㙦ㅡ摦搵〴捦㔷搹愷㐰㤳愴昱㐸㐷㜰搴㔹〶㥢搰戴愷〲㉢㌱改捣㤸㜴戱㘳㔲㘹㤰㕤敤㤸㑣㐳㕤㜶晤つ敤扡㠹挹㜴㐳昸㥢㈶戸㘲挲㘵㐲㈲昸扡愶扢㘲挲ㄵ㐴㐲㝦㑤搳㕤㌱㤹〳扡㕦㑣㕥〲扢㙦㑣㕥搴〴昷挷搸㐳㘷㐳㤳散㘷愱扤㑢㕣戴㈳㤶㥦搷㤶愵㤵ㄶ㠳愸收㠱㘴㡦昵㜳㔱ち昴〴づ㘳晤㐰ㅣ搵搵㌳㘰㌶挷攲愰㜵㉣戹攷㠳挷愰戲戹ㅥ〷扦晦攲昰捣挵㍢㈲㤱散昰晣㜵㡢㈷扡慤攸戲扣㑦扦ぢ㍥㝥㜶昹㘳ㄷ昵㔱㡢挱ㅥ㡦㐹晣昰扣㈵㔹㑣㌶㙢㠲攷晢散㕣攰㈳敤愴ㅦ㜶挴っ㠱愱慢攸づ㌶戵挴㤰つ㠶㜳昰㄰ㄷ敤㐸㈰〷㐰〸晤㠵㡢㙣㈴㤰㥢㥣㠱ㅣ挴搰㜰ㄵ㑡摣搳昸〱㙣㝤㌲㑦ㅦ搱〴捦挷搲㔷ㅡ㔷㠶㍢㍣㔵戲ㄶ〵㍥㔹〹㉤㝡㤵㜱㜰㈴㜸慤㔱昴㌲㌵挴㈵㈹攲昵㘸搶搳搴㥤愸㡢搷て㘸慦㑤㡢收㕡ㄳ㈱摣慦〹慥ㄶ扤搶搰敦搳㜴㔷㡢扥摢搰敦搵㜴㔷㡢㝥㄰㜴扦㤸摣〵㜶摦ㄶ㝤愷㈶戸扦㤱ㅥ攲㝡ㄲ搹愵㔳散㕤㝡挴㔸扥㐳㕢㤶ㄶ㝤㉡㠸敡㔱㤰散ㄶ捤㐵㈱㠱搳㠱㐳㡢ㅥ搲㌱㍦㕦摤〶㘶㌶㕦收㌶㘸㤵㤰㥢㡢㍡㙣㙥慥ぢ〹㠴㙤敥愱攴扥㔹㜳戳戱〴慤㌲㜲㜳搱㠷㔱愰戸昸㈳搶ㄹ㌶愳㠲摦㝦搱ㄹ戸㄰㐴㈴㤲㜵㠶㜳昶扢㙦挸昶戳ㄷ昴改㝣摡㤵㑦晤慢搳㡢㝤搴㕦挱ㅥて㘷扣㌳慣搰㔱昳捣㔵㤷㙢㠲晢㡢敢愱攷愱㐹挲㔹㠱扤㐲ぢ攱㔲つ㘹〸搷㐲㠲㔳ㅣ〹攷㔴敥昲慢㈰搹〱攲晡㡤㐰㤵〹㄰〶㠸愵〹〱慡㈱昷㙢攰㠹挵㠴慢㌰昰晢㉦㘲挲㈵ㅢ㈲㤱㉣㈶ㄳ敦㉣㝣改搸㔱㉦㍤昹散攴㜵㜳㙦づ扣摣㐷㜱戵㠵㕦㑣㉥㑦ㄶ㤳挵㥡攰昹〸晢㠷搰㈴〳挴っ散㠸ㄹ㈰㤴㉣户挰㍥㈴㜶扢㡦挱㉢昱㥢〵㕥㙢㌶〰扡ㅤ㔷㕤〸㜲づ敢㘹㡡㑢㈷㈴愸ㄷ改愰㥡㙥昷㤹㈱㉣搴〴㔷户攳㑡ぢㄱ㕣愰改慥㙥昷㠵愱㕦愸改慥㙥挷㘵ㄴ㜶捡扥㐴㈹㌰ㄷ敥搸㍤愰㔸捤㠳㠴㤹㜳〷慤昹愰㈸㉥挱㌰㈸挵㜵て昱㜰挶㐷戱㜳㈰攷摢㘳捦搶〴捦㘷摢㝦㠴㈶〹攷挵㌰ㄲぢ愷慣㝥昰㠴㤳慢㈰㈴㜲㡢挰㙢㕤ち㠰㜰㜲ㄱ㠴㈰㉦㘳㍤㑤㜱㈵㠳㐴愵㕥敦戵〹攷ㅥ㐳愸搳〴㔷㌸搹晥㐴戰㔶搳㕤攱攴㥡〸愱㑦搷㜴㔷㌸戹ち挱㉦㈶㔵㘰昷㡤㐹愵㈶㜸扥搶捥㈵ぢㄲ㤳㙢㥣㌱㘹㙥戰〹㈳㝢ㄶ戰戲晢搷㌱㈶换敤㤸㜰㐹㠲㈰㔷搸㌱攱扡〲㜱㍤慡㕤㌷㌱搹搷㄰㈲㥡攰㡡〹㤷㈱㠸㘰戹愶扢㘲挲ㄵち㐲㉦搳㜴㔷㑣戸㈶挰㉦㈶㈵㘰昷㡤挹ㄹ㥡攰昹㐸㍢ㄷ㄰㐸㑣㔶㌹㘳搲捥㘰ㄳ㘶摦㌹挰捡敥慦戶㜷扦㈳敡攲攵㈴敤愵っ㕢㙢㐰㔴㕤㐰昲㜳昰愴㘴づ㡥搷〴捦㠷搲㡦㌲慥摣敢㜴㔰敥愰戳㈱ㅢ〷㘵扥挰㍢改攲攰晤攰戵ㅥ愰㤷愹㈱摥㐸ㄷ攴㠳慣愷㈹摥つㄷ慦㐷㘹慦㑤搲㜸㠷㕣〸㈳㌵挱㤵㌴摥㍣ㄷ晡〸㑤㜷㈵慤搸搰㠷㙢扡㉢㘹扣攵㉥昲㈷㘸扡㠴㙢㍤扣㔲挷㠳攴ㄷ慥㐱攰昴捤攷㐰㑤昰㝣㍡扤㉦㌴㐹㍥ㅦ㠷摥㔸扦㤷㝢摣㥥㜰昱㕥户㐴收㐹昰㕡㥢ㄹ㥥搴搰㐰㠳摣挲㝡㥡ㅡ㡡扡㜸㝤扣搳敢慤㈰㉡摥挵ㄶ搲㜱㥡㘴㈲㜹㠲㈱ㅣ慢〹慥㐸づ㌷昴㕥㥡敥㡡攴〸㐳敦愹改慥㐸㡥〵摤㉦㕣㠵㘰昷つ㔷㠱㈶戸㍦愶ㅥ攲扤㙢〹挱㑢昶摥㥥㙣㉣㜷搷㤶㈵㐷慦㜰㙦㑦〱挹ㅥ搶㜹㔷㍡昰ㅡ㜰㌲㔵挷㔴㈵ㄷ捣收戰ㅢ戴晥㐶㙥摥㜷㌶愸㙣摥㕢挶㈸昹㕦ㅣ㠹捦㌰ㄲ挹㡥挴收㤳㤱扦摤昵捦搷㐷㤶㕥搵㐷昱㈶㜴㍣㈶昱搹㐹攷㘴㌱改愴〹㥥敦慢㑦㠱㈶㘹㐲敦㘰㐷㘲㑤攸㉣㠳㑤ㄸ㈶愷〲㉢昱㝢て扣搶晢〰㘸㐲㤵〶昹〱敢㘹㡡㜷㤴愵㥤㜴搰㐱㌵敤㠴㜷㤹㠵搰㕥ㄳ㕣敤愴搶搰㜳㌴摤搵㑥㜸㙦㕡攴て搵㜴㔷㍢㤹〳㝡㍣㈶昱挳㘹ㅢ戰晢戶㤳搶㥡攰昹慣㍡㙦ㅤ㑢㑣㍥㜵挶㐴敥〹㝢づ愷攷㠳㔷㘲昲㌹㘳昲㠵ㅤㄳ摥ㅡㄶ攴㤷㜶㑣㜸㝦㔷㕣摦㑦扢㙥㘲戲挰㄰㕡㘹㠲㉢㈶扣ㅤ㉣㠲晢㙡扡㉢㈶ㄷㄹ晡㍥㥡敥㡡挹㘲搰晤㘲搲〲散扥㌱挹搲〴捦搷搴㜹㈳㔷㘲昲㉦㘷㑣攴づ慤㈷㈶扣㔳㉢扢晦ㄳ㘳昲戳ㅤ㤳愵〶昹㡢ㅤㄳ摥㙤㤵㕤ぢ㘸搷㑤㑣慥㌳㠴っ㑤㜰挵㠴㌷㘷㐵㌰㕤搳㕤㌱㔹㘱攸㘹㥡敥㡡〹敦㤴晡挵㘴捦㑦㐹㘲昲ㅦ㑤㜰㝦㐴㍤戴ㄲ㥡㘴㍦搳戰搸〷㑤晦㜶㘳昹㌷㐸挴㘶昶ㄹ㈰㉡摥攵戴挷ㄳ摥㍦つ㌴〳づ攳挹㘰㥥晡晣っ㘶㌳㜸〴㉤㡢摣扣㐳㙡㔰搹㙢㔱昹敦挶㤳扢㡤㐴戲昱㈴㕦戶慤㝤㍡㥤扦昸搱愹搶㕤㝤搴㍡㐸挴㘳ㄲㅦ㑦扥㑦ㄶ㤳摤㥡攰昹慥㍡㙦慢㑡㍢挹挶㡥挴挶㤳昵〶㥢㌰㥥昰扥愹挴㙦ㅦ昰㕡晢〲㘰㍣㜹搴㈰㕢戱㥥愶㜸敦㔳搲晤㤵づ慡㘹㈷㑦ㄸ挲㤷㥡攰㙡㈷扣㔵㉡㠲㕦㘸扡慢㥤㙣㌶昴捦㌵摤搵㑥㜸摦㌲ㅥ㤳昸㜸戲ㄳ散扥㝤㘷㠷㈶戸㍦愷ㅥ攲㍤㑦搹捦㐳戸㥦敤〸づ〵〸㉡摥搷ㄴㄷ㍦搲㉥ㅣ㠰扥㤴㠹㔷つ㍤㙦〸ㅦ㙡挲㠱㈴㘴昲㝤㐶ㄹ㉦㠰收㝢㕢㐰㍥㠴㥡㙢㝦㌱ㄲ敦敥㠸搴〹㠲㝢㥤ㄱ攵㡤戱收㔱扥搲㈳㈲㥦慤㤴㡦㙥㔷捡慢㍡戲昰昱挸摡愹㤱摡ㄱ昸ㄶ㉡㍥ㄹ㌹慥愲㑡扦换〲摦㐸攵㠷捤捣攷〹㉤愹昱㍥㘷㈰㍡扡ㄶ摦㉢㙣ㄶㅤ㔶㠷㉦慥㤶㘷㔶㡤〹搷搷㐷㙡慢晦っ㙦捤挱换㔳昸摡㙢㙣昶搷昱㝣摦㕢挲ㄷ㤲昸摥㐳戳㐳ㄸ㡦㠷昹戴㜰㉡扦㌹昹晢摥㤹ㄳ攸挰㝣㝦㝥摢㠲㕤㝦戹㙣攷扣㑤愹敡〳愴㔴㤶㉦㝦搹晤攰㍤攲㈹ㄶて㔸ㅤ挱ㄵ㌸ㅣ㈰つ户㜵昸慥㜰㙥㐱敢〸ち㍦㠳愲㠰ㄴ挵扢愹㙣〰㠱㑥㈰戴戰扦搲愷㍦搱㤷慥摥㌲㥡㔳收愵挴㌵㜷愱收慥搴㡣昷㔴㐸摦〴〸㕡㐷㈵㙡捥㜸ぢ㕡摤挱攲㥢㘹〶搳㤷㡣㔹ㄵ攵昵㔳〲㔳㈲ㄵ㤳愷搴攳つ㌴捤捤㥢㘳攸㘵㍡敦㈶㌶㜴㈷㤳挳㐰戳慡㤲㜰㙤㙤㜸㑥㘶㔵㐹㘵愴㝡㜲晤㤴捣㤲㤹戸㜱㡢捦散攲㜰㤰㤹㤹㘹攵挲ㅦ㥡攲㕦㠸户昵愴挷ㅣ㐳㉦扢ㄱ攴〱〴ㄵ敦攱㐹㡦㜹搹搵㘳㜶ㄸ挲㑢㥥ㅥ愳㜸㡦㡦㐱戳㤸㡡㔴昵㠲〹㔳㐲〲㡡㘸㠴〹㠸〷扦〷㔱捦挰ㅦㅤ㝣摥㐹攳扥㕡扤愸挷昸捡㕢㕦攲敢戱㘴㍦㡥愰㌷㐰㔰昱㍥㤷昸晡㤴换㔷摥晢ㄲ挲ㄶ慦慦㍦㠱收昰昵㐹㕦㕦晢搳㐸愲慦〳㠹㝡㈶收㙢㐸㈱慣攲搵㘰ㄲ㠶㄰っ〵〸慡㌴㄰挴昸㝡㤷㔷扣晢㈴㠴㐷扣㕥昱㑥㤴挳慢㠷㝤扤ㅡ㐹㈳㠹㕥㡤㈶捡攱㔵戶昱敡㐴ㄲ挶ㄲ㡣〳〸㉡摥攲㤱㜶㍤㥥㌸㐷㙦戹摢搷搴〴㜰〵㑥〶㠸昷ㄶ戶改㠹ㄴ㡥㥢㔳扣㌷挴㜶㍤㝥挵挶扥晦捥㍦扤㕦攸㘰㘳㝦ㄲ㌹㑦㈵㌸つ㈰愸㜸攳㐶㜶㝥㤵㉢㉡扣㤹㈳㠴摢扣㔱攱㡤ㅤ㜱扡㠴㡡ㅣ㑥慦昴㜵㍡っ慥㐰㈹㐰摣㘹㤸戶捡㈸ㅣ㜷㍡挴㝢㉢㤲戹〸〹㔱㠲挹〰㐱挵ㅢ㈹攲捡㜲㤷㡦扣戹㈲㠴敢扣㍥㜶搵㍥敡戶㝦㡤慦㘷㤵㌴㤲㤸戹㙡愲攲㕥㈹摥摤㤰㝤㥤〶㠲㝢攰戹搲㘸㑤㜱づ㍣戵㔴挱㠱㈷㍥攸搴扢戴ㄶ㐳㉢ㄳ㘴㌶挵㍢ㅦ搲挵㘶㠲㌳搶挵晡〱㉢㈱㤹㐵昹搹〴㜳〰㠲㙡㠰昶捡㘲戳㐹㔵ぢ㡤ㅦ〹㍤晢㕣昲戳戱搸㍤㥢つ攵㝣愲ㅣ㝢挷扢ち〹つ㘵戸戱㌸㡦㥣昳〹㉥〰〸㉡㕥晢㤷㔸㥦愷㘳㙤づ搹扣ㅦ㈰㠴㜳㌵㈱㝥挸㔶愳㐱㜳㜴㥦戳㝤摤扣㤸㐶ㄲ㤳戰㠸㈸㠷㥢愷㘸㍤㠱换㐰㜰㈷愱摥㘸㑤㐸挲攵攰っ㕣〱㤰㌸晡㕦改搲捣慢昹〹㠹攰〵㝢㐹挴ㄲ㜰㥡㐴愸㌲㠳㕤敡挴昲挲戶戴㡤㘵挰扡摤慡昴㜵敢ㅡ摡愷㕢昱戶㜱ㅤ㔱㡥㥤㥤敡㜶愹挶ㄸ㕦〱㑥攳㔲㠸㔷㤰愵㙤㕣㑦昹ㅢ〸㙥〴〸慡㔹㈰㐸㐲捡㜴㐲㑣愶㜸〹㔹〸愵㥡攰挸搴ㅣ搰ㅣ㤹㍡搳㌸㥦搰愰㙥愵㤱挴㑣慤㈲捡攱㍣慦昶㑡昸㔶㠳㄰昳㤵㤷㘷挵搷㍢挸扥㠶攰㑥㠰愰攲戵㔸㜱改㘴㤷慦扣㍥㉢㠴〹㕥㕦㉦〳捤攱敢㜸㕦㕦敦愵㤱㐴㕦敦㈷㉡敥㙢㠸ㄷ㐸挵慢〷㐹㔸㐷昰㄰〰扥㜵㘵㡣㡦㜰㜹挵㉢愴攲搵㜰慦㔷㉢ㄲ扤ㅡ收敢搵〶ㅡ㐹昴㙡㈳㔱づ慦㔶ㄹ慦㌶㤱昰㌸挱ㄳ〰㐱挵敢㤱戲摢㜶㥦敦敢㙢㘰ぢ昹ㄳ晢晣㔶愲攲〶ㄴ㉦㕤㈶昴㜹㕥㜳㤴㌸㍣㉤㥣〴捦〲〴搵晤㈰挸敥昶㜰挵㠱ㄷㅤ㠵㔰散㡤〳㉦㐰㍡摣㉣昴㜵昳㐵ㅡ㐹㜴昳㘵㌱㡥㡥㈱扥愶愸昵搰㤳攰㈶慦昵㠹㥢慦㤲昳㌵㠲搷〱㠲㡡ㄷ昶挴㥢愳㕤㙥昲㘲㥦㄰㡥昲扡挹ぢ㝦㜴㌳昰㈶ㄵ㌹㡥㘱㕤㝣ㅤ㝥ぢ㕣㠱户〱攲挷㌰㡥愷敦㔰搸ㄱ摢慤搰敡㜴㕡昱㡡㥢㤸㜹て㥣敥㈱愲愳㌱㤵攲㍣㝣㝣㐰㥤㠹㠷㡦て㕤㘶㕥搱㘶㘲㠷て㕥㡤㤳㙥户ㅤ㥣戱㙥昷づ戰ㄲ戱㡦㈹晦〹挱づ㠰愰攲㜵㉣〹㑣ㅢ㔷挴㜸㙤㑢〸慤扤ㄱ攳㜵㉥㐹㙣〷摡㔰〷ㄹ攷ㄳ㠶㠸捦㘹㈴戱㠱㝦㐹㔴㍣㐶㈱㕥㕣ㄲ慦扥㈶攱ㅢ㠲㙦〱㠲㡡㔷㤲挴㜸挸攵ㄵ慦㉥〹㈱摢敢搵㤷㠹㕥戵昰昵敡〷ㅡ㐹昴敡㐷愲ㅣ㕥昱昲㡥㜸昵㌳〹扦㄰晣ち㠰㙦㈰ㄹ攳ㄹ㉥慦㜸㝤㐷扣㑡昷㝡昵㑢愲㔷愹扥㕥敤愱㤱㐴慦㤴㤵攰㤵㑡〳㡢㌴㥦㌴㄰摣捤攷户ㅦ捤昳愰捥收㤳㐱ㄵ㠹捤愷㤹㑢㙢〶戴㈶ㅣ昴㜸昱㐵㥡㡦〵捥㔸昳挹〶㔶㐲ㄲ愴㝣㜳㠲㉣〰㑣㕡㐱㤰㍤晦ㅥㅥ昰㝡㡦㌹挲散㙢〸扢㌵挱㜱㠴攱㘵つ㐷昳昹捥㌸㥦搰㝣昶愱㤱挴㤰戴㈲㉡㥥㈸挵㙢〹㘲晣㑢㙤攳㌸昴㠲捣搴㠰攲昵〵㈱㝣愱〹扤㠵愰ㄴ慦㌹〸攱㜳㑤攸挳㔱收㈰攸捤攰搹㘷愳㑦㠸㜹㜹攷㜷扥㕦昵㘰ㄸ㔳㍣愷㤵㑢㐴慤㔹㠳㌲昹攳㘹㉡摤戰摡㄰换戳㔳攱㘹敢攰挹捥搵搸㑣㥥㔱慡㘳㔰㤳晤昹挴ㄵ〱㥥㉦ち攱㘳㔷〴昲っ㘱扢㌳〲㌹㌴挱搳㍦㌱摦㥥戵ㅥ愸㠹昹づ㑥昳扤㌴搶㌶捦搳㍤戱昲㠱换晣㜱㠶昰扥换㍣㑦ぢ㐵攲㍤愷昹㈳㘸愲㍦㐸㘲晥㐸搶〶愲㈶收㍢㌹捣㉢㥥挹㠹昸㕢㉥㠳㐳っ攱敦㉥㠳㍣攳ㄳ㠹㌷㥤〶㡦愲㔲㥥慣㠹挱愳㔹ㅢ㡤㥡ㄸ捣㜵ㅡ㍣搱㠸扦收㌲㌸搶㄰㕥㜵ㄹ攴挹㥣ㄸ㝣挵㘹戰㍢㤵昲㤴㑤っ收戳㌶ㄱ㌵㌱㔸㠰㥡改㘹㙡㤲ㄱ㝦挱㘵㤰㘷㙡愲昷㜹㤷挱搳っ攱㌹愷挱ㅥ㌴ㄱ〶㐹っ昶㘴慤っ㌵㌱搸㡢㌵搳攸㈲㐶晣㘹㤷㐱㥥㜶㠹挱㙤㉥㠳㤳つ㘱慢搳攰昱㔴捡戳㈸㌱搸㠷戵㙡搴挴㘰㕦愷挱㕡挳搳㡦㔸㥥づ〹㑦㝦〷㑦㌶㑦㝤㠸戵㥢搹㉣搴挴㤳挷㕤㉥捥㌶㠴㑤㉥ㄷ㜹㙡㈴ㄲ㡦㌹㕤ㅣ㑣ㄳ攷㠲㈴㉥づ㘱㡤㘷㐱㘲㝥㈸㙡戱㈴昰㡣㐷挴搷扢っ捥㌷㠴㐷㕣〶㜹㘶㈴ㄲ㝦㜱ㅡㅣ㐱ㄳㄷ㠳㈴〶㐷戲挶昳ㄹ㌱㌸㡡㌵㤳〴㥥愲〸捦㘸㘲慦㌴㍣㘳ㅣ㍣搹㑢㌴㔶㘲㤲扤搴㔹㔳㍣㤷㄰昹ㄳ㈹㜱㥤㤱ㅦ敢㤴攷㈹㐳㍣愶搷愳㈶づ摦敢摡㐵㥥㍥〸攱ㅥ搷㉥摥㘸〸㜷㍢㜷㜱〲㑤摣ち㤲㤸㍦㤹戵㔵愸挹㉥㑥㜴㥡㕦慤戱㜶㑡㌹晢ㄷ㉢㙢㕣收搷ㄸ挲ㅤ㉥昳㍣㑢㄰㠹搵㑥昳愷搱〴㈷昸㘲晥㜴搶敥㐷㑤捣㥦攱㌰慦ㅥ㌴攲户扡っ慥㌳㠴㤵㉥㠳㍣〱㄰㠳户㌸つ㤶㔲改〶㤰挴㘰ㄹ㙢ㅢ㔱ㄳ㠳攵㑥㠳㥢㡣昸つ㉥㠳㥣挷㡢摥敢㕤〶㌹户ㄷ挲ち愷挱㈹㔴扡〵㈴㌱㔸挱摡㔶搴挴攰㔹愸挵ㅡ敤搳㐶晣ㅡ㤷挱㘷っ攱㙡㤷挱㘷つ㘱㤹搳㘰㌵㑤㜰㔶㉥〶㙢㔸攳㠴㕣っ㑥㜳ㅡ攴攴㕢晣扤搲㘵昰㌵㐳戸挲㘵昰㜵㐳戸摣㘹戰㥥㈶㌸慢ㄶ㠳㌳㔸攳㘴㕡っ捥㜴ㅡ攴㜴㔸㜸㘶㤱㠷㌳㘱攱㤹捤㥡敥㐹搹摢㌵搶㙥㘶㥣敤㡡㡢ㄷ扢㕣晣挴㄰㉥㜲戹戸挳㄰ㄶ㍡㕤㍣㤷㈶㌸愱ㄵ昳攷戱挶戹慣㤸㍦摦㘱㕥㜱㈲㉢〶攷扢っ㜲㜲㉢㠴㜹㉥㠳摦ㅡ挲㕣愷挱ぢ愸㤴㜳㔵㌱㜸㈱㙢㥣愶㡡挱〵㑥㠳㍦ㅢ昱㜳㕣〶㌹㙦ㄵ㠳㘷扢っ晥㙡〸㜳㥣〶㉦愱㔲㑥㐳挵攰㈲搶㌸〳ㄵ㠳㤷㍡つ㜲㔲㈹㍣㤷ㄱ换昹愴昰㉣㜶昰㘴㜳敥㐸慣㥤〴捥ㄹ挵㤳㍡㤷㡢㥣㐷ち愱搶攵㈲攷㤶㐲㤸敥㜴昱㉡㙡攵戴㔰捣㉦㘱㡤㌳㐲㌱扦㔴ㄷ㔸挹收㝣敥㘴ㄴ㔲㘷慢戲㌳换捦㍣昳攷散昴㥣搶改ㄳ晢㘶慤昸攸昹㡦㤷扥㜱㕡敦㑦㝦扢昱挶㌷㜶㉣㝤昱户㑤愵扤㥦扤敤戶㙤㈷摣昲攲挷晢㐶㔷愶㍥昲昳㠸㤵攷收㑤㍤㜷㝡昴愴㉥㐳捥㍤攵慣ㄳ昳挶散搳㌵㉤慤㔹戳㈳㕢晤昵愰㑥愱㜹搳㌷愸㉤敦ㅣ㔸慤㘴づ〷〳戱㔵㝡㈸攳㉤㐳㌰㉢㤳攴慢㔱挰㙤㍢㤹挵㤱敢ㅡ搴捤ㄶ攲㙣㑥戸慥ㄵ慥㙣㑥扤㥡搴㔹㤹捤搱つ㜳攳㤱慥㠴㌸慢ㄳ㌷㤶摢㙥㜰ち搶愴㙥挸慣捥攳〶㘷㜷攲挶昵戶ㅢ㥣㤸㌵愹ㅢ㌲搷昳戸挱㌹㥦戸㜱愳敤〶愷㙢㑤敡㠶捣〰改㠶㔹捦㠵㜲㑡㠸㌳㐱㜱攳㘶ㄴ慣㕢攸㑢㙡㜶㡦愶昶㐵㈶㠷昴挵㍣搰㈱扥㜰㤲㈸扥摣㑡㌷搲戲㌹扦㙢搲㤰挸㤴㤱㙥㈴戴㔳㑥ㅤ挵㡤㔵攲㠶㤲㐹㈳戹ㄲ㍡ㄵ㈷㡦挲戵㕡戸戲㌹搳㙢㔲㘷㘵昲㐸㌷捣晡㝤㠹ㄹ㈷㤱攲挶ㅡㄴ慣㍢改㑢㙡㌶㈷㠱㑤敡㡢捣㉢㍤㠱攳晣㔲㝣㔹㑢㌷搲㤴捣㉣挹㜵㌷敡㘶ぢ㜱㠶㈹㕣昷搸㕣㌲㝦㈴搷扤㑥㉥捥㈳㠵敢㍥攱捡收愴慦㐹㜷㐹收㤱㜴㈳愱㉤㑣㌴㙥㍣㘰扢挱挹㕦㤳扡㈱昳㐹㡦ㅢ㥣㔷㑡㌴搶搹㙥㜰㑡搸愴㙥挸㉣搳攳〶㘷㥢攲挶挳戶ㅢ㔳㥡摡つ㤹㝢搲㡤㠴㌱㡢㜳㔰㜱攳ㄱㄴ慣昵昴㈵㌵㥢㜳挸㈶つ㠹㑣㑢㍤扥㜰㝡㉡扥㍣㑡㕦㌶摡扥㜰㝡搹愴扥挸㡣搵攳ぢ㘷慥攲换㈶晡昲戸昸愲㘴攲㑡搶㠴搱㙢戶㘱㝤㤲㕣㘹搹攷攲扦㈶昵㔸㈶戰㜴㈳愱㝢㜱㈲㉢ㅥ㙦戱摤攰ㅣ戴㐹摤㤰㘹慤挷つ㑥㙦挵㡤慤戶ㅢ㤷㌴戵ㅢ㌲搹昵戸挱㐹慦戸昱戴戸愱㘴扡敢㐹摤㘲挳昵慣㜰㘵㜳㡥摡愴㌱㤳㘹慦挷㔹㑥㝦挵搹攷挴つ挵ㄹ愸㑣愰㡢昴〴扡㍦㐴戰慡㉡㘴摡㥤攲散㔳㌸ちㄳ㌹ㄴ攷㠳㐲㈸㜰ㄱ㌸㐳ㄳ㐲扥㡢挰㌹㤳㄰扡扢〸㥣挵〸㈱捦㐵攰捣㐶〸摤㌴㈱挴㍤㝡つ㔸挵搹㠶㤰㜲㕤㌲㍣晥ぢ攱㘸ㄷ㠱㠷㝣㈱ㅣ攵㈲昰㈰㉣㠴慥㉥〲て捣㐲攸愲〹㘲晥㉤㘰ㄵて㤶㐲敡㤴㈸ㄳ㌲㐷㑤挵〳愵㜰ㅣ改攲㌰㐷㑣挵㠳愴㜰ㅣ㤱挸愱㜸搸ㄲ挲攱㉥〲て㈴㐲攸攸㈲㜰㘸ㄷ挲㘱㉥〲〷㕢㈱㜴㜰ㄱ㌸〰ぢ愱扤㈶挸扥㝤〴慣攲愰㈸愴㐳㕤㌲ㅣ㈸㠵搰捥㈹昳〹㘵㌸㜸〹愹慤㑢㠶〳㥡㄰摡㌸㘵㜶㔱㠶愳㤸㤰づ㜶挹㜰㕣ㄱ挲㐱㉥〲㝢扡㄰づ㜴ㄱ搸昷㠴㜰㠰㡢挰敥㈶㠴晤㕤〴㜶〰㈱散攷㈲戰㜵挹㠹攳搷㈸㈸㈶㕢㙡摦戰挶昰㐸敤㕢搶戸攳㔲晢㡥㌵敥㤲搴晥挹㥡〸扢扢㥦ㄲ㈵ㅥ慣㈸昳㘰㐵愹〷㉢捡摤搸收晦て挵ぢ昹㠵</t>
  </si>
  <si>
    <t>StartOptEquations</t>
  </si>
  <si>
    <t xml:space="preserve"> XXX度量表</t>
  </si>
  <si>
    <t>修订历史记录（A-添加，M-修改，D-删除）</t>
  </si>
  <si>
    <t>版本　</t>
  </si>
  <si>
    <t>日期　</t>
  </si>
  <si>
    <r>
      <rPr>
        <sz val="10.5"/>
        <color indexed="8"/>
        <rFont val="Times New Roman"/>
        <family val="1"/>
      </rPr>
      <t>A/M/D</t>
    </r>
    <r>
      <rPr>
        <sz val="10.5"/>
        <color indexed="8"/>
        <rFont val="宋体"/>
        <family val="3"/>
        <charset val="134"/>
      </rPr>
      <t>　</t>
    </r>
  </si>
  <si>
    <t>修订者</t>
  </si>
  <si>
    <t>说明　　　</t>
  </si>
  <si>
    <r>
      <rPr>
        <sz val="10"/>
        <rFont val="宋体"/>
        <family val="3"/>
        <charset val="134"/>
      </rPr>
      <t>V</t>
    </r>
    <r>
      <rPr>
        <sz val="11"/>
        <color theme="1"/>
        <rFont val="宋体"/>
        <family val="3"/>
        <charset val="134"/>
      </rPr>
      <t>0.1</t>
    </r>
  </si>
  <si>
    <t>A</t>
  </si>
  <si>
    <t>黄文</t>
  </si>
  <si>
    <t>创新初始版本</t>
  </si>
  <si>
    <t>V1.0</t>
  </si>
  <si>
    <t>M</t>
  </si>
  <si>
    <t>付艳华</t>
  </si>
  <si>
    <t>对部分公式及度量指标忧化</t>
  </si>
  <si>
    <r>
      <rPr>
        <sz val="10"/>
        <rFont val="宋体"/>
        <family val="3"/>
        <charset val="134"/>
      </rPr>
      <t>V</t>
    </r>
    <r>
      <rPr>
        <sz val="10"/>
        <rFont val="宋体"/>
        <family val="3"/>
        <charset val="134"/>
      </rPr>
      <t>1.1</t>
    </r>
  </si>
  <si>
    <t>对部分公式及文字描述进行修改,增加阶段人员数据度量</t>
  </si>
  <si>
    <r>
      <rPr>
        <sz val="10"/>
        <rFont val="宋体"/>
        <family val="3"/>
        <charset val="134"/>
      </rPr>
      <t>V</t>
    </r>
    <r>
      <rPr>
        <sz val="11"/>
        <color theme="1"/>
        <rFont val="宋体"/>
        <family val="3"/>
        <charset val="134"/>
      </rPr>
      <t>1.5</t>
    </r>
  </si>
  <si>
    <t>增加人员变动信息统计</t>
  </si>
  <si>
    <r>
      <rPr>
        <sz val="10"/>
        <rFont val="宋体"/>
        <family val="3"/>
        <charset val="134"/>
      </rPr>
      <t>V1.</t>
    </r>
    <r>
      <rPr>
        <sz val="10"/>
        <rFont val="宋体"/>
        <family val="3"/>
        <charset val="134"/>
      </rPr>
      <t>6</t>
    </r>
  </si>
  <si>
    <t>增加新的度量指标公式</t>
  </si>
  <si>
    <t>V2.0</t>
  </si>
  <si>
    <t>熊芸</t>
  </si>
  <si>
    <t>根据新的迭代开发模式更新</t>
  </si>
  <si>
    <t>重要声明</t>
  </si>
  <si>
    <t>版权声明</t>
  </si>
  <si>
    <r>
      <rPr>
        <sz val="10"/>
        <rFont val="宋体"/>
        <family val="3"/>
        <charset val="134"/>
      </rPr>
      <t>版权所有 © 2017</t>
    </r>
    <r>
      <rPr>
        <sz val="11"/>
        <color theme="1"/>
        <rFont val="宋体"/>
        <family val="3"/>
        <charset val="134"/>
      </rPr>
      <t xml:space="preserve">, 国泰安教育技术有限公司，保留所有权利。
</t>
    </r>
  </si>
  <si>
    <t>商标声明</t>
  </si>
  <si>
    <t>国泰安教育技术有限公司和国泰安教育技术有限公司的产品是国泰安教育技术有限公司专有。在提及其他公司及其产品时将使用各自公司所拥有的商标，这种使用的目的仅限于引用。</t>
  </si>
  <si>
    <r>
      <rPr>
        <b/>
        <u/>
        <sz val="12"/>
        <color indexed="8"/>
        <rFont val="宋体"/>
        <family val="3"/>
        <charset val="134"/>
      </rPr>
      <t>不作保证声明</t>
    </r>
    <r>
      <rPr>
        <b/>
        <u/>
        <sz val="12"/>
        <color indexed="8"/>
        <rFont val="Arial"/>
        <family val="2"/>
      </rPr>
      <t xml:space="preserve"> </t>
    </r>
  </si>
  <si>
    <t>国泰安教育技术有限公司不对此文档中的任何内容作任何明示或暗示的陈述或保证，而且不对特定目的的适销性及适用性或者任何间接、特殊或连带的损失承担任何责任。</t>
  </si>
  <si>
    <t>保密声明</t>
  </si>
  <si>
    <t>本文档（包括任何附件）包含的信息是保密信息。接收人了解其获得的本文档是保密的，除用于规定的目的外不得用于任何目的，也不得将本文档泄露给任何第三方。</t>
  </si>
  <si>
    <t xml:space="preserve"> </t>
  </si>
  <si>
    <t>目录</t>
  </si>
  <si>
    <t>#</t>
  </si>
  <si>
    <t>描述</t>
  </si>
  <si>
    <t>填写说明</t>
  </si>
  <si>
    <t>项目属性</t>
  </si>
  <si>
    <t>项目度量分析计划</t>
  </si>
  <si>
    <t>模型</t>
  </si>
  <si>
    <t>预测-结果</t>
  </si>
  <si>
    <t>预测-指导</t>
  </si>
  <si>
    <t>需求</t>
  </si>
  <si>
    <t>工作量分布</t>
  </si>
  <si>
    <t>规模</t>
  </si>
  <si>
    <t>进度</t>
  </si>
  <si>
    <t>过程产出缺陷度量</t>
  </si>
  <si>
    <t>测试及验收缺陷度量</t>
  </si>
  <si>
    <t>人员统计</t>
  </si>
  <si>
    <t>根因分析</t>
  </si>
  <si>
    <t>模型检验</t>
  </si>
  <si>
    <t>管理员操作</t>
  </si>
  <si>
    <t>YIPIN.ZHAO</t>
  </si>
  <si>
    <t>填写本文档注意事项：
1.各表中无底色的单元格均需填写数据；
2.各表中淡蓝底色的单元格为带有公式的或为说明文字，不需要填写内容；请不要删除修改。
3.淡绿色说明文字，不需要填写内容
4.各表中蓝色底色且字体为粗体为表格标题，不需填写。
具体见下单元格图例</t>
  </si>
  <si>
    <t>单元格图例说明</t>
  </si>
  <si>
    <t>编号</t>
  </si>
  <si>
    <t>表格样式</t>
  </si>
  <si>
    <t>说明</t>
  </si>
  <si>
    <t>需填写数据</t>
  </si>
  <si>
    <t>项目数据填写、信息输入等</t>
  </si>
  <si>
    <t>自动计算</t>
  </si>
  <si>
    <t>不可编辑，表格自动计算</t>
  </si>
  <si>
    <t>说明名字</t>
  </si>
  <si>
    <t>数据填写指引，一般不编辑</t>
  </si>
  <si>
    <t>表格标题</t>
  </si>
  <si>
    <t>表格指引，一般不编辑</t>
  </si>
  <si>
    <t>度量指标</t>
  </si>
  <si>
    <t>度量指引，一般不编辑</t>
  </si>
  <si>
    <t>项目名称</t>
  </si>
  <si>
    <t>国泰安机械基础VR智慧课堂软件V1.2</t>
  </si>
  <si>
    <t>项目选用生命周期</t>
  </si>
  <si>
    <t>迭代开发模型</t>
  </si>
  <si>
    <t>项目定义过程</t>
  </si>
  <si>
    <t>产品立项阶段、迭代一、验收结项阶段</t>
  </si>
  <si>
    <t>应用领域</t>
  </si>
  <si>
    <t>教学  培训</t>
  </si>
  <si>
    <t>项目类型</t>
  </si>
  <si>
    <t>微型</t>
  </si>
  <si>
    <t>客户</t>
  </si>
  <si>
    <t>中职  高职  应本</t>
  </si>
  <si>
    <t>技术</t>
  </si>
  <si>
    <t>unity3D、zSpace</t>
  </si>
  <si>
    <t>软件类型</t>
  </si>
  <si>
    <t>其他</t>
  </si>
  <si>
    <t>采用的语言</t>
  </si>
  <si>
    <t>C#</t>
  </si>
  <si>
    <t>采用的数据库</t>
  </si>
  <si>
    <t>无</t>
  </si>
  <si>
    <t>项目所属部门</t>
  </si>
  <si>
    <t>理工医疗开发部</t>
  </si>
  <si>
    <t>项目经理</t>
  </si>
  <si>
    <t>叶苏莲</t>
  </si>
  <si>
    <t>团队规模</t>
  </si>
  <si>
    <t>项目组成员</t>
  </si>
  <si>
    <t>叶苏莲、赵俊、吴可帆、吴赛清、李婷、周小军、吴佳红、张涵、司乾义、刘艳玲、严晓婷、陈都、骆宣霏</t>
  </si>
  <si>
    <t>本报告制作及维护人</t>
  </si>
  <si>
    <t>本报告初次填写时间</t>
  </si>
  <si>
    <t>本报告末次填写时间</t>
  </si>
  <si>
    <t>注:蓝色字体是给出的例子，编制时请删除内容</t>
  </si>
  <si>
    <t>项目度量计划</t>
  </si>
  <si>
    <t>项目目标</t>
  </si>
  <si>
    <t>优先级</t>
  </si>
  <si>
    <t>设定说明</t>
  </si>
  <si>
    <t>项目实际数据</t>
  </si>
  <si>
    <t>达成情况</t>
  </si>
  <si>
    <t>工期总目标(计划工期)</t>
  </si>
  <si>
    <t>不超过40天</t>
  </si>
  <si>
    <t>中</t>
  </si>
  <si>
    <t>基于客户要求\事业部的承诺基于管理层的要求设定</t>
  </si>
  <si>
    <t>达成目标</t>
  </si>
  <si>
    <t>工期总目标（单位规模工期）</t>
  </si>
  <si>
    <t>0.2718≤X&lt;0.6780</t>
  </si>
  <si>
    <t>存在1个U3D开发工程师和1个动画工程师并行两个项目的情况，导致工作效率较低，所以单位规模工期目标的上限较组织级略高</t>
  </si>
  <si>
    <t>工作量目标(总目标)</t>
  </si>
  <si>
    <t>不超过239.7人天</t>
  </si>
  <si>
    <t>工作量目标(估算目标)</t>
  </si>
  <si>
    <t>工作量目标（工作量偏差）</t>
  </si>
  <si>
    <t>X≤0.3960（不超过68人天）</t>
  </si>
  <si>
    <t>高</t>
  </si>
  <si>
    <t>项目级重点最为重视成本，建议不能超过组织级上限</t>
  </si>
  <si>
    <t>效率总目标(生产率)</t>
  </si>
  <si>
    <t>0.3436≤X&lt;0.6SFP/人天</t>
  </si>
  <si>
    <t>存在1个U3D开发工程师和1个动画工程师并行两个项目的情况，导致生产率目标低于组织级</t>
  </si>
  <si>
    <t>质量总目标（遗留缺陷率）</t>
  </si>
  <si>
    <t>0≤X&lt;0.054</t>
  </si>
  <si>
    <t>低</t>
  </si>
  <si>
    <t>内部自研项目，该指标要求不高，采用组织级目标</t>
  </si>
  <si>
    <t>说明：</t>
  </si>
  <si>
    <t>1.目标的设置优先考虑内外部客户的要求，若无相关要求，则在组织级QPPO的范围内进行设定</t>
  </si>
  <si>
    <t>2.计划工期和计划工作量以预估算值进行设定，在确定性估算完成后，依据确定性估算的结果对目标进行调整</t>
  </si>
  <si>
    <t>3.得到内外部客户同意以及经过CCB审批通过的变更发生后，可以根据变更的结果对目标进行调整</t>
  </si>
  <si>
    <t>序号</t>
  </si>
  <si>
    <t>统计管理度量项(组织级的度量表)</t>
  </si>
  <si>
    <t>单位</t>
  </si>
  <si>
    <t>是否基线</t>
  </si>
  <si>
    <t>是否项目必选</t>
  </si>
  <si>
    <t>度量时机</t>
  </si>
  <si>
    <t>LOL</t>
  </si>
  <si>
    <t>OL</t>
  </si>
  <si>
    <t>U0L</t>
  </si>
  <si>
    <t>σ</t>
  </si>
  <si>
    <t>产品立项阶段工作量偏差</t>
  </si>
  <si>
    <t>-</t>
  </si>
  <si>
    <t>■基线</t>
  </si>
  <si>
    <t>■ 是</t>
  </si>
  <si>
    <t>产品立项阶段结束时</t>
  </si>
  <si>
    <t>迭代需求单位规模工期(原型+需求规格)</t>
  </si>
  <si>
    <t>天/SFP</t>
  </si>
  <si>
    <t>迭代需求阶段结束时</t>
  </si>
  <si>
    <t>迭代需求单位规模工期(需求规格)</t>
  </si>
  <si>
    <t>迭代需求单位规模工期(原型)</t>
  </si>
  <si>
    <t>迭代需求单位规模工作量(原型+需求规格)</t>
  </si>
  <si>
    <t>人天/SFP</t>
  </si>
  <si>
    <t>迭代需求单位规模工作量(需求规格)</t>
  </si>
  <si>
    <t>迭代需求单位规模工作量(原型)</t>
  </si>
  <si>
    <t>迭代需求工作量偏差(原型+需求规格)</t>
  </si>
  <si>
    <t>迭代需求工作量偏差(需求规格)</t>
  </si>
  <si>
    <t>迭代需求工作量偏差(原型)</t>
  </si>
  <si>
    <t>迭代设计工作量偏差(全设计)</t>
  </si>
  <si>
    <t>迭代设计阶段结束时</t>
  </si>
  <si>
    <t>迭代设计工作量偏差(核心设计)</t>
  </si>
  <si>
    <t>迭代设计工作量偏差(简化设计)</t>
  </si>
  <si>
    <t>迭代开发单位规模工期(核心走查)</t>
  </si>
  <si>
    <t>迭代开发阶段结束时</t>
  </si>
  <si>
    <t>迭代开发单位规模工期(不走查)</t>
  </si>
  <si>
    <t>迭代开发单位规模工作量(核心走查)</t>
  </si>
  <si>
    <t>迭代开发单位规模工作量(不走查)</t>
  </si>
  <si>
    <t>迭代开发工作量偏差(核心走查)</t>
  </si>
  <si>
    <t>迭代开发工作量偏差(不走查)</t>
  </si>
  <si>
    <t>测试用例评审密度</t>
  </si>
  <si>
    <t>个/SFP</t>
  </si>
  <si>
    <t>测试用例评审结束时</t>
  </si>
  <si>
    <t>迭代测试单位规模工期（强测试）</t>
  </si>
  <si>
    <t>迭代测试阶段结束时</t>
  </si>
  <si>
    <t>迭代测试单位规模工期(弱测试)</t>
  </si>
  <si>
    <t>迭代测试单位规模工作量（强测试）</t>
  </si>
  <si>
    <t>迭代测试单位规模工作量(弱测试)</t>
  </si>
  <si>
    <t>迭代测试工作量偏差（强测试）</t>
  </si>
  <si>
    <t>迭代测试工作量偏差(弱测试)</t>
  </si>
  <si>
    <t>测试加权缺陷密度（强测试）</t>
  </si>
  <si>
    <t>测试加权缺陷密度（强测试） (智慧教育线)</t>
  </si>
  <si>
    <t>测试加权缺陷密度（弱测试）</t>
  </si>
  <si>
    <t>测试加权缺陷密度（弱测试）(智慧教育线)</t>
  </si>
  <si>
    <t>迭代验收工作量偏差</t>
  </si>
  <si>
    <t>迭代验收阶段结束时</t>
  </si>
  <si>
    <t>遗留缺陷率</t>
  </si>
  <si>
    <t>工作量偏差（智慧教育线）</t>
  </si>
  <si>
    <t>项目结束时</t>
  </si>
  <si>
    <t>工作量偏差（非智慧教育线）</t>
  </si>
  <si>
    <t>单位规模工期（特色线）</t>
  </si>
  <si>
    <t>单位规模工期（资源线）</t>
  </si>
  <si>
    <t>单位规模工期（教学+智慧教育线）</t>
  </si>
  <si>
    <t>生产率（特色线）</t>
  </si>
  <si>
    <t>生产率（非特色线）</t>
  </si>
  <si>
    <t>测试用例覆盖密度（强智慧）</t>
  </si>
  <si>
    <t>条/SFP</t>
  </si>
  <si>
    <t>测试用例覆盖密度（弱智慧）</t>
  </si>
  <si>
    <t>测试用例覆盖密度（强非智慧）</t>
  </si>
  <si>
    <t>测试用例覆盖密度（弱非智慧）</t>
  </si>
  <si>
    <t>代码走查缺陷密度</t>
  </si>
  <si>
    <t>代码走查结束时</t>
  </si>
  <si>
    <t>验收单位规模工期</t>
  </si>
  <si>
    <t>□ 否</t>
  </si>
  <si>
    <t>验收单位规模工作量</t>
  </si>
  <si>
    <t>验收工作量偏差</t>
  </si>
  <si>
    <t>其它度量项</t>
  </si>
  <si>
    <t>备注</t>
  </si>
  <si>
    <t>客户需求评审投入度=评审工作量/文档页数</t>
  </si>
  <si>
    <t>□观测项</t>
  </si>
  <si>
    <t>客户需求评审结束时</t>
  </si>
  <si>
    <t>观测项，无QPPO</t>
  </si>
  <si>
    <t>需求规格评审投入度=评审工作量/文档页数</t>
  </si>
  <si>
    <t>需求规格评审结束时</t>
  </si>
  <si>
    <t>设计评审投入度=评审工作量/文档页数</t>
  </si>
  <si>
    <t>设计评审结束时</t>
  </si>
  <si>
    <t>代码走查投入度=代码走查工作量/走查的SFP</t>
  </si>
  <si>
    <t>测试用例评审投入度=测试用例评审工作量/新增加用例数</t>
  </si>
  <si>
    <t>准入测试的不通过率</t>
  </si>
  <si>
    <t>项目立项时/变更发生时</t>
  </si>
  <si>
    <t xml:space="preserve">研发自测发现缺陷密度    </t>
  </si>
  <si>
    <t>研发人员编码自测时</t>
  </si>
  <si>
    <t>产品人员平均技能系数</t>
  </si>
  <si>
    <t>项目立项时/人员变更发生时</t>
  </si>
  <si>
    <t>开发人员平均技能系数</t>
  </si>
  <si>
    <t>测试人员平均技能系数</t>
  </si>
  <si>
    <t>客户需求稳定度</t>
  </si>
  <si>
    <t>需求规格稳定度</t>
  </si>
  <si>
    <t>迭代设计单位规模工期(全设计)</t>
  </si>
  <si>
    <t>迭代设计单位规模工期(核心设计)</t>
  </si>
  <si>
    <t>迭代设计单位规模工期(简化设计)</t>
  </si>
  <si>
    <t>迭代设计单位规模工作量(全设计)</t>
  </si>
  <si>
    <t>迭代设计单位规模工作量(核心设计)</t>
  </si>
  <si>
    <t>迭代设计单位规模工作量(简化设计)</t>
  </si>
  <si>
    <t>进度偏差</t>
  </si>
  <si>
    <t>技术复杂度</t>
  </si>
  <si>
    <t>项目立项时</t>
  </si>
  <si>
    <t>模块复用率</t>
  </si>
  <si>
    <t>项目估算时</t>
  </si>
  <si>
    <t>人员平均技能系数</t>
  </si>
  <si>
    <t>业务知识符合度</t>
  </si>
  <si>
    <t>技能符合度</t>
  </si>
  <si>
    <t>人员变动率</t>
  </si>
  <si>
    <t>人员变更发生时</t>
  </si>
  <si>
    <t>资源到位率</t>
  </si>
  <si>
    <t>迭代阶段活动时</t>
  </si>
  <si>
    <t>稼动率</t>
  </si>
  <si>
    <t>需求进度偏差(原型+需求规格)</t>
  </si>
  <si>
    <t>需求进度偏差(需求规格)</t>
  </si>
  <si>
    <t>需求进度偏差(原型)</t>
  </si>
  <si>
    <t>设计进度偏差(全设计)</t>
  </si>
  <si>
    <t>设计进度偏差(核心设计)</t>
  </si>
  <si>
    <t>设计进度偏差(简化设计)</t>
  </si>
  <si>
    <t>开发进度偏差(核心走查)</t>
  </si>
  <si>
    <t>开发进度偏差(不走查)</t>
  </si>
  <si>
    <t>测试进度偏差（强测试）</t>
  </si>
  <si>
    <t>测试进度偏差(弱测试)</t>
  </si>
  <si>
    <t>验收进度偏差</t>
  </si>
  <si>
    <t>Bug返工率</t>
  </si>
  <si>
    <t>迭代测试执行结束时</t>
  </si>
  <si>
    <t>客户需求评审缺陷密度</t>
  </si>
  <si>
    <t>需求规格评审缺陷密度</t>
  </si>
  <si>
    <t>设计评审缺陷密度</t>
  </si>
  <si>
    <t>测试加权执行轮次（强测试）</t>
  </si>
  <si>
    <t>次</t>
  </si>
  <si>
    <t>测试加权执行轮次（弱测试）</t>
  </si>
  <si>
    <t>验收缺陷密度</t>
  </si>
  <si>
    <t>遗留缺陷密度</t>
  </si>
  <si>
    <t>注：选择项目度量项请依据项目裁剪结果进行选择相对应的度量项。</t>
  </si>
  <si>
    <t>模型预测结果</t>
  </si>
  <si>
    <t>目标设定</t>
  </si>
  <si>
    <t>预测编号</t>
  </si>
  <si>
    <t>目标性质</t>
  </si>
  <si>
    <t>预测促发</t>
  </si>
  <si>
    <t>项目规模（SFP）</t>
  </si>
  <si>
    <t>项目工作量</t>
  </si>
  <si>
    <t>允许最大工作量偏差(人天)</t>
  </si>
  <si>
    <t>项目工期</t>
  </si>
  <si>
    <t>工作量偏差率</t>
  </si>
  <si>
    <t>单位规模工期</t>
  </si>
  <si>
    <t>生产率</t>
  </si>
  <si>
    <t>基于本次预测的最佳方案</t>
  </si>
  <si>
    <t>单位规模工期达成置信度</t>
  </si>
  <si>
    <t>生产率达成置信度</t>
  </si>
  <si>
    <t>工作量偏差达成置信度</t>
  </si>
  <si>
    <t>遗留缺陷率达成置信度</t>
  </si>
  <si>
    <t>预测结论</t>
  </si>
  <si>
    <t>预测结果分析及采取的措施</t>
  </si>
  <si>
    <t>总目标</t>
  </si>
  <si>
    <t>产品立项阶段预估算</t>
  </si>
  <si>
    <t>≤0.3960</t>
  </si>
  <si>
    <t>0.2718≤X&lt;0.67</t>
  </si>
  <si>
    <t>0.4≤X&lt;0.6</t>
  </si>
  <si>
    <t>接受</t>
  </si>
  <si>
    <t>1.分析：存在1个U3D开发工程师和1个动画工程师并行两个项目的情况，导致生产效率较低，所以项目的单位规模工期目标的上限较组织级略高，生产率目标低于组织级</t>
  </si>
  <si>
    <t>产品立项阶段结束迭代一开始</t>
  </si>
  <si>
    <t>迭代一子目标</t>
  </si>
  <si>
    <t>迭代一编码阶段结束，测试阶段开始</t>
  </si>
  <si>
    <t>1.分析：开发阶段工作量比例偏大（84%），测试阶段工作量比例偏小（12%），暂时接受</t>
  </si>
  <si>
    <t>生产率模型预测</t>
  </si>
  <si>
    <t>模型公式：
生产率=1/(产品立项阶段单位规模工作量+迭代一工作量比例/迭代一生产率+......+迭代N工作量比例/迭代N生产率+系统集成与验收结项阶段单位规模工作量)
迭代生产率=0.6914 - 0.0939 迭代开发工作量偏差 - 0.4371 迭代需求单位规模工作量 - 0.1958 迭代测试单位规模工作量</t>
  </si>
  <si>
    <t>此几列最开始是填写估算的计划值，当项目执行过程中形成实际值后，用实际值替换掉计划值</t>
  </si>
  <si>
    <t>基线</t>
  </si>
  <si>
    <t>说明：1. 工作量估算完成后，在第一行填写计划的各阶段单位规模工作量，从而通过回归方程公式自动计算出生产率，计算出预测的项目总工作量。此时通过与估算的工作量作对比，判断是否存在较大偏差，如果有，则分析原因并采取措施。
2. 当每个阶段结束，有其中一个或多个单位规模工作量实际值时，则填写对应的实际值，其他仍然填写计划值，从而通过回归方程公式自动计算出生产率，计算出预测的项目总工作量。此时通过与估算的工作量作对比，判断是否存在较大偏差，如果有，则分析原因并采取措施。</t>
  </si>
  <si>
    <t>类别</t>
  </si>
  <si>
    <t>估算SFP</t>
  </si>
  <si>
    <t>估算的项目工作量</t>
  </si>
  <si>
    <t>预测的项目总工作量(人天)</t>
  </si>
  <si>
    <t>产品立项阶段单位规模工作量</t>
  </si>
  <si>
    <t>迭代一生产率</t>
  </si>
  <si>
    <t>迭代二生产率</t>
  </si>
  <si>
    <t>迭代三生产率</t>
  </si>
  <si>
    <t>系统集成与验收结项阶段单位规模工作量</t>
  </si>
  <si>
    <t>UOL</t>
  </si>
  <si>
    <t>第一次预测</t>
  </si>
  <si>
    <t>因子预测值</t>
  </si>
  <si>
    <t>特色线</t>
  </si>
  <si>
    <t>第二次预测</t>
  </si>
  <si>
    <t>因子实际值</t>
  </si>
  <si>
    <t>非特色线</t>
  </si>
  <si>
    <t>第三次预测</t>
  </si>
  <si>
    <t>单位规模工期模型预测</t>
  </si>
  <si>
    <t>模型公式：迭代单位规模工期=0.0568 + 2.530 迭代需求单位规模工期 + 0.558 迭代开发单位规模工期+ 0.877 迭代测试单位规模工期
单位规模工期=产品立项阶段单位规模工期+迭代一估算规模比例*迭代一单位规模工期+......+迭代N估算规模比例*迭代N单位规模工期+系统集成与验收结项阶段单位规模工期</t>
  </si>
  <si>
    <t>基线-总体</t>
  </si>
  <si>
    <t>说明：1. 项目目标设定后，在第一行填写计划值（如代码走查密度、测试用例覆盖密度、实际测试执行轮次），从而通过回归方程公式计算出预测的测试加权缺陷密度，计算出预测的测试发现缺陷数，与目标设定的测试发现缺陷数作对比，判断是否存在较大偏差，如果有，则分析原因并采取措施。
2. 当其中有一个或多个实际值时，则填写对应的实际值，其他仍然填写计划值，从而通过回归方程公式自动计算出预测的测试加权缺陷密度，计算出预测的测试发现缺陷数，与目标设定的测试发现缺陷数作对比，判断是否存在较大偏差，如果有，则分析原因并采取措施。</t>
  </si>
  <si>
    <t>估算的项目总工期</t>
  </si>
  <si>
    <t>预测的项目总工期(天)</t>
  </si>
  <si>
    <t>产品立项阶段单位规模工期</t>
  </si>
  <si>
    <t>迭代一单位规模工期</t>
  </si>
  <si>
    <t>迭代二单位规模工期</t>
  </si>
  <si>
    <t>迭代三单位规模工期</t>
  </si>
  <si>
    <t>系统集成与验收结项阶段单位规模工期</t>
  </si>
  <si>
    <t>资源线</t>
  </si>
  <si>
    <t>教学+智慧教育线</t>
  </si>
  <si>
    <t>工作量偏差率模型预测</t>
  </si>
  <si>
    <t xml:space="preserve">模型公式：
工作量偏差率=产品立项阶段工作量比例*产品立项阶段工作量偏差率+迭代一工作量比例*迭代一工作量偏差率+......+迭代N工作量比例*迭代N工作量偏差率+系统集成与验收结项阶段工作量比例*系统集成与验收结项阶段工作量偏差率
迭代工作量偏差率=迭代需求比例*迭代需求工作量偏差率+迭代设计比例*迭代设计工作量偏差率+迭代开发比例*迭代开发工作量偏差率+迭代测试比例*迭代测试工作量偏差
</t>
  </si>
  <si>
    <t>说明：1.当编码阶段进度偏差率有实际值时，填写编码阶段实际值，测试阶段进度偏差率填写预计值，从而通过回归方程公式自动算出预测的项目总体进度偏差率，计算出项目预计出现的偏差天数。此时通过与目标设定的允许最大偏差天数作对比，判断是否存在较大偏差，如果有，则分析原因并采取措施。
2.当编码阶段进度偏差率、测试阶段进度偏差率有实际值时，填写实际值，从而通过回归方程公式自动算出预测的项目总体进度偏差率，计算出项目预计出现的偏差天数。此时通过与目标设定的允许最大偏差天数作对比，判断是否存在较大偏差，如果有，则分析原因并采取措施。</t>
  </si>
  <si>
    <t>项目总工作量（人天）</t>
  </si>
  <si>
    <t xml:space="preserve">工作量偏差率 </t>
  </si>
  <si>
    <t>允许的项目工作量偏差（人天）</t>
  </si>
  <si>
    <t>预测的项目工作量偏差（人天）</t>
  </si>
  <si>
    <t>产品立项阶段工作量偏差率</t>
  </si>
  <si>
    <t>迭代一工作量偏差率</t>
  </si>
  <si>
    <t>迭代二工作量偏差率</t>
  </si>
  <si>
    <t>迭代三工作量偏差率</t>
  </si>
  <si>
    <t>系统集成与验收结项阶段工作量偏差率</t>
  </si>
  <si>
    <t>智慧教育线</t>
  </si>
  <si>
    <t>非智慧教育线</t>
  </si>
  <si>
    <t>PPM-V</t>
  </si>
  <si>
    <t>1、</t>
  </si>
  <si>
    <t>拟合回归模型</t>
  </si>
  <si>
    <t>生产率=1/(产品立项阶段单位规模工作量+迭代一工作量比例/迭代一生产率+......+迭代N工作量比例/迭代N生产率+系统集成与验收结项阶段单位规模工作量)</t>
  </si>
  <si>
    <t>工作量偏差率=产品立项阶段工作量比例*产品立项阶段工作量偏差率+迭代一工作量比例*迭代一工作量偏差率+......+迭代N工作量比例*迭代N工作量偏差率+系统集成与验收结项阶段工作量比例*系统集成与验收结项阶段工作量偏差率</t>
  </si>
  <si>
    <t>单位规模工期=产品立项阶段单位规模工期+迭代一估算规模比例*迭代一单位规模工期+......+迭代N估算规模比例*迭代N单位规模工期+系统集成与验收结项阶段单位规模工期</t>
  </si>
  <si>
    <t>遗留缺陷率=迭代一估算规模比例*迭代一遗留缺陷率+......+迭代N估算规模比例*迭代N遗留缺陷率</t>
  </si>
  <si>
    <t>产品立项阶段</t>
  </si>
  <si>
    <t>迭代一</t>
  </si>
  <si>
    <t>系统集成与验收结项阶段</t>
  </si>
  <si>
    <t>合计</t>
  </si>
  <si>
    <t>迭代需求</t>
  </si>
  <si>
    <t>迭代设计</t>
  </si>
  <si>
    <t>迭代开发</t>
  </si>
  <si>
    <t>迭代测试</t>
  </si>
  <si>
    <t>迭代SFP</t>
  </si>
  <si>
    <t>迭代二</t>
  </si>
  <si>
    <t>迭代三</t>
  </si>
  <si>
    <t>2、</t>
  </si>
  <si>
    <t>假设单元</t>
  </si>
  <si>
    <t>❶</t>
  </si>
  <si>
    <t>❷</t>
  </si>
  <si>
    <t>有实际值就取实际值，没有就取目标值</t>
  </si>
  <si>
    <t>❸</t>
  </si>
  <si>
    <t>找到回归模型把公式带进来</t>
  </si>
  <si>
    <t>定 义 假 设 单 元</t>
  </si>
  <si>
    <t>估算规模偏差</t>
  </si>
  <si>
    <t>定 义 方 案 选 择</t>
  </si>
  <si>
    <t>定 义 预 测 单 元</t>
  </si>
  <si>
    <t>阶段（来自于前面的阶段）</t>
  </si>
  <si>
    <t>方案选择</t>
  </si>
  <si>
    <t>工作量偏差</t>
  </si>
  <si>
    <t>目标值</t>
  </si>
  <si>
    <t>实际值</t>
  </si>
  <si>
    <t>迭代阶段</t>
  </si>
  <si>
    <t>迭代阶段（迭代一）</t>
  </si>
  <si>
    <t>迭代一工作量偏差</t>
  </si>
  <si>
    <t>迭代一遗留缺陷率</t>
  </si>
  <si>
    <t>智慧</t>
  </si>
  <si>
    <t>迭代阶段（迭代二）</t>
  </si>
  <si>
    <t>非智慧</t>
  </si>
  <si>
    <t>迭代二工作量偏差</t>
  </si>
  <si>
    <t>迭代二遗留缺陷率</t>
  </si>
  <si>
    <t>迭代阶段（迭代三）</t>
  </si>
  <si>
    <t>迭代三工作量偏差</t>
  </si>
  <si>
    <t>迭代三遗留缺陷率</t>
  </si>
  <si>
    <t>背景色表示的意思</t>
  </si>
  <si>
    <t>●</t>
  </si>
  <si>
    <t>均值</t>
  </si>
  <si>
    <t>决策变量</t>
  </si>
  <si>
    <t>预测变量</t>
  </si>
  <si>
    <t>迭代生产率</t>
  </si>
  <si>
    <t>迭代生产率=0.6914 - 0.0939 迭代开发工作量偏差率 - 0.4371 迭代需求单位规模工作量 - 0.1958 迭代测试单位规模工作量</t>
  </si>
  <si>
    <t>迭代工作量偏差率</t>
  </si>
  <si>
    <t>迭代工作量偏差率=迭代需求工作量比例*迭代需求工作量偏差率+迭代设计工作量比例*迭代设计工作量偏差率+迭代开发工作量比例*迭代开发工作量偏差率+迭代测试工作量比例*迭代测试工作量偏差率</t>
  </si>
  <si>
    <t>迭代单位规模工期</t>
  </si>
  <si>
    <t>迭代单位规模工期=0.0568 + 2.530 迭代需求单位规模工期 + 0.558 迭代开发单位规模工期+ 0.877 迭代测试单位规模工期</t>
  </si>
  <si>
    <t>迭代遗留缺陷率</t>
  </si>
  <si>
    <t>迭代遗留缺陷率=0.04015 - 0.373 测试用例评审缺陷密度 - 0.01078 测试加权缺陷密度</t>
  </si>
  <si>
    <t>迭代测试加权缺陷密度</t>
  </si>
  <si>
    <t>迭代测试加权缺陷密度=0.699 + 0.01928 测试用例覆盖密度 - 2.262 代码走查缺陷密度</t>
  </si>
  <si>
    <t>工作量工期质量模型</t>
  </si>
  <si>
    <t>迭代开发阶段</t>
  </si>
  <si>
    <t>定义假设单元</t>
  </si>
  <si>
    <t>迭代需求过程</t>
  </si>
  <si>
    <t>迭代需求单位规模工期</t>
  </si>
  <si>
    <t>迭代需求单位规模工作量</t>
  </si>
  <si>
    <t>迭代需求工作量偏差率</t>
  </si>
  <si>
    <t>迭代开发过程</t>
  </si>
  <si>
    <t>迭代遗留缺陷率(智慧）</t>
  </si>
  <si>
    <t>原型+需求规格</t>
  </si>
  <si>
    <t>需求规格</t>
  </si>
  <si>
    <t>01迭代需求</t>
  </si>
  <si>
    <t>迭代遗留缺陷率(非智慧）</t>
  </si>
  <si>
    <t>原型</t>
  </si>
  <si>
    <t>02迭代设计</t>
  </si>
  <si>
    <t>迭代设计过程</t>
  </si>
  <si>
    <t>迭代设计单位规模工期</t>
  </si>
  <si>
    <t>迭代设计单位规模工作量</t>
  </si>
  <si>
    <t>迭代设计工作量偏差率</t>
  </si>
  <si>
    <t>03迭代开发</t>
  </si>
  <si>
    <t>全设计</t>
  </si>
  <si>
    <t>04迭代测试</t>
  </si>
  <si>
    <t xml:space="preserve">核心设计 </t>
  </si>
  <si>
    <t>简化设计</t>
  </si>
  <si>
    <t>迭代开发单位规模工期</t>
  </si>
  <si>
    <t>迭代开发工作量偏差率</t>
  </si>
  <si>
    <t>测试用例评审缺陷密度</t>
  </si>
  <si>
    <t>核心走查</t>
  </si>
  <si>
    <t>不走查</t>
  </si>
  <si>
    <t>迭代测试过程</t>
  </si>
  <si>
    <t>迭代测试单位规模工期</t>
  </si>
  <si>
    <t>迭代测试单位规模工作量</t>
  </si>
  <si>
    <t>迭代测试工作量偏差率</t>
  </si>
  <si>
    <t>测试加权的缺陷密度</t>
  </si>
  <si>
    <t>强测试</t>
  </si>
  <si>
    <t>弱测试</t>
  </si>
  <si>
    <t>子过程</t>
  </si>
  <si>
    <t>测试用例覆盖密度</t>
  </si>
  <si>
    <t>需求稳定度</t>
  </si>
  <si>
    <t>说明：
1.需求变更产生的SFP变化=|新增SFP值| + |删除SFP值| + |修订的SFP值|。举例：新增一个需求，增加了20SFP，删除一个需求，减少了10SFP，修改一个需求，SFP改变了3FP，那这些需求变更产生的SFP变化为20+10+3=33
2.为什么客户需求稳定度中的“需求变更产生的SFP变化”和需求规格稳定度中的“需求变更产生的SFP变化”会不一样？客户需求的变化一定会引起需求规格的变化，但除了来自于客户需求的影响外，需求分析或分解时的错误也会引起需求规格出现波动，这个时候需求规格就会有额外的修改，从而导致SFP值发生变化。
3.需求稳定度=1-（变化的SFP/原SFP总数）。当需求稳定度值为最大值1时，表示需求稳定；该数值越小，表示需求稳定度越小，需求越不稳定；需求稳定度可能会出现负值，表示需求稳定度很低，低到为负值。</t>
  </si>
  <si>
    <t>度量一：客户需求稳定度</t>
  </si>
  <si>
    <t>目的：支持对项目质量、成本、进度的分析和控制</t>
  </si>
  <si>
    <t>度量单位：客户需求中的功能性和非功能性个数（即CR与NCR个数）</t>
  </si>
  <si>
    <t>过程名称</t>
  </si>
  <si>
    <t>初始需求总数</t>
  </si>
  <si>
    <t>变更的需求数</t>
  </si>
  <si>
    <r>
      <rPr>
        <b/>
        <sz val="10"/>
        <rFont val="宋体"/>
        <family val="3"/>
        <charset val="134"/>
      </rPr>
      <t>需求变更产生的S</t>
    </r>
    <r>
      <rPr>
        <b/>
        <sz val="10"/>
        <rFont val="宋体"/>
        <family val="3"/>
        <charset val="134"/>
      </rPr>
      <t>FP</t>
    </r>
    <r>
      <rPr>
        <b/>
        <sz val="10"/>
        <rFont val="宋体"/>
        <family val="3"/>
        <charset val="134"/>
      </rPr>
      <t>变化</t>
    </r>
  </si>
  <si>
    <t>变更前的SFP</t>
  </si>
  <si>
    <t xml:space="preserve"> 需求稳定度</t>
  </si>
  <si>
    <t>新增</t>
  </si>
  <si>
    <t>删除</t>
  </si>
  <si>
    <t>修订</t>
  </si>
  <si>
    <t>变更数合计</t>
  </si>
  <si>
    <t>需求过程</t>
  </si>
  <si>
    <t>设计过程</t>
  </si>
  <si>
    <t>开发过程</t>
  </si>
  <si>
    <t>测试过程</t>
  </si>
  <si>
    <t>累计</t>
  </si>
  <si>
    <t xml:space="preserve">度量二：需求规格稳定度 </t>
  </si>
  <si>
    <t>度量单位：软件瀑布开发项目SFP, 迭代项目需求任务条数，3D模型个数、场景数</t>
  </si>
  <si>
    <t>度量一:各活动各阶段工作量</t>
  </si>
  <si>
    <t>目的：为重新估算提供参考；为收集组织工作量分布数据提供输入；比较估计工作量的准确性并用以调整计划。</t>
  </si>
  <si>
    <t>度量单位：人日</t>
  </si>
  <si>
    <t>说明：工作量“总计”中的“计划”列数据来源于确定性估算表。各阶段的“实际”列数据来源于DevSuite计划与任务，“计划”列数据由公式自动计算，无需改动。</t>
  </si>
  <si>
    <t>总体</t>
  </si>
  <si>
    <t>度量活动</t>
  </si>
  <si>
    <t>总计</t>
  </si>
  <si>
    <t>各活动类型资源投入率</t>
  </si>
  <si>
    <t>各活动类型工作量比例</t>
  </si>
  <si>
    <t>计划各阶段工作量配比</t>
  </si>
  <si>
    <t>计划</t>
  </si>
  <si>
    <t>实际</t>
  </si>
  <si>
    <t>工程活动</t>
  </si>
  <si>
    <t>项目管理活动</t>
  </si>
  <si>
    <t>配置管理活动</t>
  </si>
  <si>
    <t>质量保证活动</t>
  </si>
  <si>
    <t>其他(风险预留)</t>
  </si>
  <si>
    <t>所有活动各阶段统计值</t>
  </si>
  <si>
    <t>当前SFP</t>
  </si>
  <si>
    <t>阶段资源投入率</t>
  </si>
  <si>
    <t>项目工作量偏差率</t>
  </si>
  <si>
    <t>阶段累计工作量偏差率</t>
  </si>
  <si>
    <t>各阶段工程活动工作量比例</t>
  </si>
  <si>
    <t>度量定义</t>
  </si>
  <si>
    <t>阶段单位规模工作量=阶段实际工作量/当前SFP值</t>
  </si>
  <si>
    <t>目标</t>
  </si>
  <si>
    <t>计划数据</t>
  </si>
  <si>
    <t>实际数据</t>
  </si>
  <si>
    <t>过程资源投入率</t>
  </si>
  <si>
    <t>过程累计工作量偏差率</t>
  </si>
  <si>
    <t>各过程工程活动工作量比例</t>
  </si>
  <si>
    <t>过程单位规模工作量=过程实际工作量/当前SFP值</t>
  </si>
  <si>
    <t>所有活动各过程统计值</t>
  </si>
  <si>
    <t>规模度量统计分析报告</t>
  </si>
  <si>
    <t>度量一：各阶段对软件产品规模的度量</t>
  </si>
  <si>
    <t>目的：比较估计规模的准确性并用以调整计划。</t>
  </si>
  <si>
    <r>
      <rPr>
        <sz val="10"/>
        <rFont val="宋体"/>
        <family val="3"/>
        <charset val="134"/>
      </rPr>
      <t>度量单位：</t>
    </r>
    <r>
      <rPr>
        <sz val="10"/>
        <rFont val="Times New Roman"/>
        <family val="1"/>
      </rPr>
      <t>SFP</t>
    </r>
  </si>
  <si>
    <t>复用程度</t>
  </si>
  <si>
    <t>阶段</t>
  </si>
  <si>
    <t>标准功能点规模（SFP）</t>
  </si>
  <si>
    <t>复用的功能点（SFP）</t>
  </si>
  <si>
    <t>——</t>
  </si>
  <si>
    <t>迭代一需求</t>
  </si>
  <si>
    <t>迭代一设计</t>
  </si>
  <si>
    <t>迭代一开发</t>
  </si>
  <si>
    <t>迭代一测试</t>
  </si>
  <si>
    <t>迭代二需求</t>
  </si>
  <si>
    <t>迭代二设计</t>
  </si>
  <si>
    <t>迭代二开发</t>
  </si>
  <si>
    <t>迭代二测试</t>
  </si>
  <si>
    <t>迭代三需求</t>
  </si>
  <si>
    <t>迭代三设计</t>
  </si>
  <si>
    <t>迭代三开发</t>
  </si>
  <si>
    <t>迭代三测试</t>
  </si>
  <si>
    <t>度量二：项目生产率度量</t>
  </si>
  <si>
    <t>目的：统计软件产品标准功能点完成率，分析项目生产效率情况，计算公式为标准功能点总数除以总体工作量</t>
  </si>
  <si>
    <r>
      <rPr>
        <sz val="10"/>
        <rFont val="宋体"/>
        <family val="3"/>
        <charset val="134"/>
      </rPr>
      <t>度量单位：S</t>
    </r>
    <r>
      <rPr>
        <sz val="11"/>
        <color theme="1"/>
        <rFont val="宋体"/>
        <family val="3"/>
        <charset val="134"/>
      </rPr>
      <t>FP</t>
    </r>
    <r>
      <rPr>
        <sz val="10"/>
        <rFont val="宋体"/>
        <family val="3"/>
        <charset val="134"/>
      </rPr>
      <t>/人日</t>
    </r>
  </si>
  <si>
    <t>项目规模</t>
  </si>
  <si>
    <t>实际工作量</t>
  </si>
  <si>
    <t>度量三：技术复杂度</t>
  </si>
  <si>
    <t>目的1：支持对项目进度偏差、生产率、质量的分析，计算公式TCF = 0.6 + 0.01 x ∑（技术复杂度影响因素）</t>
  </si>
  <si>
    <t>度量单位：0</t>
  </si>
  <si>
    <t>度量一： 项目进度偏差</t>
  </si>
  <si>
    <t>目的：控制项目的进度</t>
  </si>
  <si>
    <t>度量单位：计划时间取“确定性估算总体估算与计划表”中开始及完成时间，实际时间提取项目过程中实际开始及完成时间</t>
  </si>
  <si>
    <t>SPE/Phase</t>
  </si>
  <si>
    <t>计划开始时间</t>
  </si>
  <si>
    <t>计划完成时间</t>
  </si>
  <si>
    <t>实际开始时间</t>
  </si>
  <si>
    <t>实际完成时间</t>
  </si>
  <si>
    <t>变更后计划开始时间</t>
  </si>
  <si>
    <t>变更后计划结束时间</t>
  </si>
  <si>
    <t>偏差分析</t>
  </si>
  <si>
    <t>改进措施</t>
  </si>
  <si>
    <t>项目数据</t>
  </si>
  <si>
    <t>周次</t>
  </si>
  <si>
    <t>……第N周</t>
  </si>
  <si>
    <t>说明：
1.周次的进度偏差取自Project，但请注意，Project中的值填入度量表时需要取相反数，即正数表示延迟，负数表示提前；
2.如需增加或删除周次，请点击上面的按钮；
3.最后一列请勿人为删除，否则将导致表格出错</t>
  </si>
  <si>
    <t>度量二：项目周期压力系数</t>
  </si>
  <si>
    <t>目的：通过项目压力系,判断项目受外在因素的影响有大小,从来</t>
  </si>
  <si>
    <t>度量单位:天数（工作日）</t>
  </si>
  <si>
    <t>项目周期压力系数</t>
  </si>
  <si>
    <t>估算工期</t>
  </si>
  <si>
    <t>内定工期</t>
  </si>
  <si>
    <t>度量二：估算的偏差</t>
  </si>
  <si>
    <t>目的：了解各级估算之前的偏差,形成基线,便于研发提供更加工期结果更加准确</t>
  </si>
  <si>
    <t>度量单位: 人月、SFP</t>
  </si>
  <si>
    <t>估算阶段</t>
  </si>
  <si>
    <t>量级估算
（人月）</t>
  </si>
  <si>
    <t>迭代一确定性/预估算</t>
  </si>
  <si>
    <t>迭代二确定性/预估算</t>
  </si>
  <si>
    <t>迭代三确定性/预估算</t>
  </si>
  <si>
    <t>各迭代偏差</t>
  </si>
  <si>
    <t>不适用</t>
  </si>
  <si>
    <t>迭代一偏差</t>
  </si>
  <si>
    <t>迭代二偏差</t>
  </si>
  <si>
    <t>迭代三偏差</t>
  </si>
  <si>
    <t>过程产出缺陷度量统计分析报告</t>
  </si>
  <si>
    <t>目的：控制过程质量
度量单位：个/产出规模</t>
  </si>
  <si>
    <t>说明：本页缺陷数据来源于评审报告</t>
  </si>
  <si>
    <t>度量一：客户需求说明书评审缺陷密度</t>
  </si>
  <si>
    <t>评审次数</t>
  </si>
  <si>
    <t>缺陷级别</t>
  </si>
  <si>
    <t>解决问题数</t>
  </si>
  <si>
    <t>遗留问题数</t>
  </si>
  <si>
    <t>问题总数</t>
  </si>
  <si>
    <t>评审规模（页）</t>
  </si>
  <si>
    <t>评审花费工作量（人时）</t>
  </si>
  <si>
    <t>缺陷密度
（个/页）</t>
  </si>
  <si>
    <t>评审投入度（人时/页）</t>
  </si>
  <si>
    <t>P1(致命)缺陷</t>
  </si>
  <si>
    <t>P2(严重)缺陷</t>
  </si>
  <si>
    <t>P3(一般)缺陷</t>
  </si>
  <si>
    <t>P4(微小)缺陷</t>
  </si>
  <si>
    <t>P5(建议)缺陷</t>
  </si>
  <si>
    <t>第N次评审</t>
  </si>
  <si>
    <t>度量二：需求规格说明书评审缺陷密度</t>
  </si>
  <si>
    <t>度量三：设计评审缺陷密度</t>
  </si>
  <si>
    <t>度量四：测试用例评审缺陷密度</t>
  </si>
  <si>
    <t>评审规模（条）</t>
  </si>
  <si>
    <t>缺陷密度
（个/条）</t>
  </si>
  <si>
    <t>评审投入度（人时/条）</t>
  </si>
  <si>
    <t>度量四：代码走查缺陷密度</t>
  </si>
  <si>
    <t>走查次数</t>
  </si>
  <si>
    <t>评审规模（SFP）</t>
  </si>
  <si>
    <t>走查花费工作量（人时）</t>
  </si>
  <si>
    <t>缺陷密度
（个/SFP）</t>
  </si>
  <si>
    <t>走查投入度（人时/SFP）</t>
  </si>
  <si>
    <t>第N次走查</t>
  </si>
  <si>
    <t>1.缺陷数据取自评审报告；</t>
  </si>
  <si>
    <t>2.走查形式不限；</t>
  </si>
  <si>
    <t>3.若需增加走查次数，请点击添加按钮；</t>
  </si>
  <si>
    <t>4.请勿对“第N次评审”行进行删除或者填写，以免造成不必要的错误</t>
  </si>
  <si>
    <t>测试及验收缺陷度量统计分析报告</t>
  </si>
  <si>
    <t>度量一：测试及验收发现的缺陷:</t>
  </si>
  <si>
    <t>目的：评价产品的发布前的质量</t>
  </si>
  <si>
    <t>度量单位：个/SFP</t>
  </si>
  <si>
    <t>说明：本页缺陷数据来源于缺陷库</t>
  </si>
  <si>
    <t>P1(致命)</t>
  </si>
  <si>
    <t>P2(严重)</t>
  </si>
  <si>
    <t>P3(一般)</t>
  </si>
  <si>
    <t>P4(微小)</t>
  </si>
  <si>
    <t>P5(建议)</t>
  </si>
  <si>
    <t>测试方式选择：</t>
  </si>
  <si>
    <t>验收方式选择：</t>
  </si>
  <si>
    <t>内部验收</t>
  </si>
  <si>
    <t>测试缺陷加权分</t>
  </si>
  <si>
    <t>缺陷收集节点</t>
  </si>
  <si>
    <t>解决缺陷加权数</t>
  </si>
  <si>
    <t>遗留缺陷加权数</t>
  </si>
  <si>
    <t>缺陷总数</t>
  </si>
  <si>
    <t>规模(SFP)</t>
  </si>
  <si>
    <t>缺陷密度</t>
  </si>
  <si>
    <t>测试第N轮</t>
  </si>
  <si>
    <t>测试合计</t>
  </si>
  <si>
    <t>验收阶段</t>
  </si>
  <si>
    <t>遗留缺陷</t>
  </si>
  <si>
    <t>度量二:准入测试的通过率</t>
  </si>
  <si>
    <t>度量三：测试的计划执行轮次及实际的执行轮次</t>
  </si>
  <si>
    <t>目的：促进公司级产品质量提高,评估开发的版本质量</t>
  </si>
  <si>
    <t>目的：</t>
  </si>
  <si>
    <t>度量单位：</t>
  </si>
  <si>
    <t>度量单位：次数</t>
  </si>
  <si>
    <t>准入测试用例的通过率</t>
  </si>
  <si>
    <t>准入测试用例不通过条数</t>
  </si>
  <si>
    <t>通过率</t>
  </si>
  <si>
    <t>测试轮次</t>
  </si>
  <si>
    <t>计划的执行轮次</t>
  </si>
  <si>
    <t>实际执行的轮次</t>
  </si>
  <si>
    <t>准入测试用例的总数</t>
  </si>
  <si>
    <t>准入测试通过率</t>
  </si>
  <si>
    <t>准入不通过次数</t>
  </si>
  <si>
    <t>转测试总次数</t>
  </si>
  <si>
    <t>度量四：缺陷来源(引入阶段)</t>
  </si>
  <si>
    <t>目的：评估产品质量开展根因分析</t>
  </si>
  <si>
    <t>度量单位：缺陷个数</t>
  </si>
  <si>
    <t>项目阶段</t>
  </si>
  <si>
    <t>数量</t>
  </si>
  <si>
    <t>需求阶段</t>
  </si>
  <si>
    <t>编码阶段</t>
  </si>
  <si>
    <t>度量五：缺陷位置</t>
  </si>
  <si>
    <t>目的：通过指标判断缺陷存在的位置,评估产品质量</t>
  </si>
  <si>
    <t>缺陷位置</t>
  </si>
  <si>
    <t>前端</t>
  </si>
  <si>
    <t>后台</t>
  </si>
  <si>
    <t>度量六：缺陷类型</t>
  </si>
  <si>
    <t>目的:通过缺陷类型评估开发的产品质量</t>
  </si>
  <si>
    <t>单位:缺陷个数</t>
  </si>
  <si>
    <t>度量数据来源: Devsuite</t>
  </si>
  <si>
    <t>缺陷类型</t>
  </si>
  <si>
    <t>前端问题</t>
  </si>
  <si>
    <t>功能性错误</t>
  </si>
  <si>
    <t>UI问题</t>
  </si>
  <si>
    <t xml:space="preserve">jg </t>
  </si>
  <si>
    <t xml:space="preserve">jhjh </t>
  </si>
  <si>
    <t>jhjhj</t>
  </si>
  <si>
    <t>dfgjlkj</t>
  </si>
  <si>
    <t>设计阶段</t>
  </si>
  <si>
    <t>测试阶段</t>
  </si>
  <si>
    <t>人员度量统计分析报告</t>
  </si>
  <si>
    <t>度量一：项目组成员每周的工作量投入情况</t>
  </si>
  <si>
    <t>角色</t>
  </si>
  <si>
    <t>开发工程师</t>
  </si>
  <si>
    <t>UI及美工工程师</t>
  </si>
  <si>
    <t>策划工程师</t>
  </si>
  <si>
    <t>测试工程师</t>
  </si>
  <si>
    <t>配置管理员</t>
  </si>
  <si>
    <t>质量保证</t>
  </si>
  <si>
    <t>其他人员</t>
  </si>
  <si>
    <t>目的：度量每周人员投入情况，为计划时安排资源提供输入</t>
  </si>
  <si>
    <t>累计工作量</t>
  </si>
  <si>
    <t>度量单位：项目成员每周投入的工作量（人天）</t>
  </si>
  <si>
    <t>工作量比例</t>
  </si>
  <si>
    <t>说明：本页工时数据来源于devsuite、工时系统或个人周报；“要求的人员业务知识”数据来源于“确定性估算总体估算与计划表”</t>
  </si>
  <si>
    <t>项目角色</t>
  </si>
  <si>
    <t>项目成员</t>
  </si>
  <si>
    <t>工作年限</t>
  </si>
  <si>
    <t>要求的
技能系数</t>
  </si>
  <si>
    <t>实际的
技能系数</t>
  </si>
  <si>
    <t>要求的
人员业务知识</t>
  </si>
  <si>
    <t>实际的
人员业务知识</t>
  </si>
  <si>
    <t>产品经理</t>
  </si>
  <si>
    <t>质量保证工程师</t>
  </si>
  <si>
    <t>N/A</t>
  </si>
  <si>
    <t>3D建模工程师</t>
  </si>
  <si>
    <t>UI及美工</t>
  </si>
  <si>
    <t>度量二：团队平均技能系数</t>
  </si>
  <si>
    <t>目的：度量团队的整体技能水平，该指标越高，说明项目团队的整体技能水平越高。</t>
  </si>
  <si>
    <t>团队技能平均系数</t>
  </si>
  <si>
    <t>策划团队</t>
  </si>
  <si>
    <t>需求分析</t>
  </si>
  <si>
    <t>开发团队</t>
  </si>
  <si>
    <t>测试团队</t>
  </si>
  <si>
    <t>UI及美工团队</t>
  </si>
  <si>
    <t>架构师团队</t>
  </si>
  <si>
    <t>配置管理工程师</t>
  </si>
  <si>
    <t>度量三：各阶段资源到位率</t>
  </si>
  <si>
    <t>目的：度量各阶段开发人员数量，为计划时安排资源提供输入</t>
  </si>
  <si>
    <t>度量单位：人员数量</t>
  </si>
  <si>
    <t>计划投入人数</t>
  </si>
  <si>
    <t>实际到位人数</t>
  </si>
  <si>
    <t>各阶段资源到位率</t>
  </si>
  <si>
    <t>度量四：人员变动率 (不考虑全职兼职，按人头计算)</t>
  </si>
  <si>
    <t>目的：评估团队的稳定性</t>
  </si>
  <si>
    <t>度量单位：阶段开发人员数（按人次计）</t>
  </si>
  <si>
    <t>起始人数</t>
  </si>
  <si>
    <t>新入职人员</t>
  </si>
  <si>
    <t>离职人数</t>
  </si>
  <si>
    <t>内部调入</t>
  </si>
  <si>
    <t>内部调出</t>
  </si>
  <si>
    <t>实际人数</t>
  </si>
  <si>
    <t>变动率</t>
  </si>
  <si>
    <t>度量五：稼动率 各阶段的工作量投入情况分析</t>
  </si>
  <si>
    <t>目的：项目的稼动率，该指标&gt;1表示团队的加班情况越明显，指标&lt;0表示资源使用不充分。</t>
  </si>
  <si>
    <t>度量的单位:</t>
  </si>
  <si>
    <t>计划投入工作量</t>
  </si>
  <si>
    <t>实际投入工作量</t>
  </si>
  <si>
    <t>项目人员业务知识基本信息</t>
  </si>
  <si>
    <t>具备业务知识
(根据项目的实际情况调整)</t>
  </si>
  <si>
    <t>研发流程</t>
  </si>
  <si>
    <t>项目管理</t>
  </si>
  <si>
    <t>度量分析</t>
  </si>
  <si>
    <t>代码规范</t>
  </si>
  <si>
    <t>业务知识</t>
  </si>
  <si>
    <t>数据库知识</t>
  </si>
  <si>
    <t>其他知识</t>
  </si>
  <si>
    <t>是否为核心业务知识</t>
  </si>
  <si>
    <t>是</t>
  </si>
  <si>
    <t>否</t>
  </si>
  <si>
    <t>项目成员信息</t>
  </si>
  <si>
    <t>√</t>
  </si>
  <si>
    <t>赵俊</t>
  </si>
  <si>
    <t>吴可帆</t>
  </si>
  <si>
    <t>吴赛清</t>
  </si>
  <si>
    <t>李婷</t>
  </si>
  <si>
    <t>周小军</t>
  </si>
  <si>
    <t>吴佳红</t>
  </si>
  <si>
    <t>张涵</t>
  </si>
  <si>
    <t>司乾义</t>
  </si>
  <si>
    <t>刘艳玲</t>
  </si>
  <si>
    <t>严晓婷</t>
  </si>
  <si>
    <t>陈都</t>
  </si>
  <si>
    <t>骆宣霏</t>
  </si>
  <si>
    <t>姓名14</t>
  </si>
  <si>
    <t>姓名15</t>
  </si>
  <si>
    <t>姓名16</t>
  </si>
  <si>
    <t>姓名17</t>
  </si>
  <si>
    <t>姓名18</t>
  </si>
  <si>
    <t>姓名19</t>
  </si>
  <si>
    <t>姓名20</t>
  </si>
  <si>
    <t>姓名21</t>
  </si>
  <si>
    <t>姓名N</t>
  </si>
  <si>
    <t>注:单个项目成员的业务知识的掌握根据以下条件判断
1.标识为核心业务知识的，必须全部掌握，否则视为该成员不具备业务知识；
2.在条件1满足的前提下，还要判断整体业务知识掌握程度是否达到50%及以上，否则视为该成员不具备业务知识；
3.该项目成员不需掌握的业务知识，标记为“N/A”,不参与判断。</t>
  </si>
  <si>
    <t>1、识别异常点</t>
  </si>
  <si>
    <t>“项目工作量偏差率”控制图，产品测试阶段的工作量偏差超出上限。</t>
  </si>
  <si>
    <t>2、过程相关数据收集及分析</t>
  </si>
  <si>
    <t>1）产品测试阶段分析</t>
  </si>
  <si>
    <t>活动名称</t>
  </si>
  <si>
    <t>单位规模工作量
（人时/SFP）</t>
  </si>
  <si>
    <t>规模SFP</t>
  </si>
  <si>
    <t>计划工作量(人时)</t>
  </si>
  <si>
    <t>实际工作量（人时）</t>
  </si>
  <si>
    <t>偏差率</t>
  </si>
  <si>
    <t>集成测试</t>
  </si>
  <si>
    <t>系统测试</t>
  </si>
  <si>
    <t>集成测试工作量（人时）</t>
  </si>
  <si>
    <t>集成测试单位规模工作量</t>
  </si>
  <si>
    <r>
      <rPr>
        <sz val="10"/>
        <rFont val="微软雅黑"/>
        <family val="2"/>
        <charset val="134"/>
      </rPr>
      <t>根据集成测试活动和系统测试活动的计划工作量和实际工作量的数据对比，系统测试活动的工作量基本正常，而</t>
    </r>
    <r>
      <rPr>
        <b/>
        <sz val="10"/>
        <rFont val="微软雅黑"/>
        <family val="2"/>
        <charset val="134"/>
      </rPr>
      <t>集成测试活动的工作量偏高</t>
    </r>
    <r>
      <rPr>
        <sz val="10"/>
        <rFont val="微软雅黑"/>
        <family val="2"/>
        <charset val="134"/>
      </rPr>
      <t>，偏差率为24.3%，且相对项目QPPO值处于接近上限值。</t>
    </r>
  </si>
  <si>
    <t>集成测试过程数据异常</t>
  </si>
  <si>
    <t>2）集成测试活动分析</t>
  </si>
  <si>
    <t xml:space="preserve">    </t>
  </si>
  <si>
    <t>集成测试缺陷数（个）</t>
  </si>
  <si>
    <t>集成测试缺陷密度</t>
  </si>
  <si>
    <t>集成测试缺陷密度控制图中，数据点均落在中心线同侧，且在中心线和上限间。</t>
  </si>
  <si>
    <t>集成测试单位规模缺陷密度偏高</t>
  </si>
  <si>
    <t>集成测试用例数（个）</t>
  </si>
  <si>
    <t>集成测试单位规模用例数</t>
  </si>
  <si>
    <t>集成测试单位规模用例数偏高，用相对项目QPPO值处于接近上限值 。</t>
  </si>
  <si>
    <t>通过现有度量数据，可以得出集成测试阶段工作量高，可能有以下原因：</t>
  </si>
  <si>
    <t>3、原因分析</t>
  </si>
  <si>
    <t>组织会议，采用头脑风暴，对集成测试工作量高的原因进行分析，如下：</t>
  </si>
  <si>
    <t>分析问题及其影响程度</t>
  </si>
  <si>
    <t xml:space="preserve">序号 </t>
  </si>
  <si>
    <t xml:space="preserve">问题类型 </t>
  </si>
  <si>
    <t>影响程度</t>
  </si>
  <si>
    <t>根据分析的数据，绘制Pareto 图</t>
  </si>
  <si>
    <t>４、总结</t>
  </si>
  <si>
    <t xml:space="preserve">1、核心模块的复杂度较高，导致编写测试用例的工作难度比较大，所以工作量相应增加。
2、测试用例数量的增加，以及用例质量的提升，使得发现的缺陷数较多，相应引起缺陷修改和回归工作量的增加。
</t>
  </si>
  <si>
    <t>5、改进行动</t>
  </si>
  <si>
    <t>短期措施：</t>
  </si>
  <si>
    <t>1，将测试阶段工作量实际数据带入模型进行目标模拟，预测目标达成的置信度；</t>
  </si>
  <si>
    <t>2，如目标达成的置信度较低，将其纳入风险管理，并增加对后续阶段工作量偏差的监控频度；</t>
  </si>
  <si>
    <t>长期措施：</t>
  </si>
  <si>
    <t>1，加强测试用例编写技能的培训，提高测试人员用例编写技能水平。负责人：，完成日期：</t>
  </si>
  <si>
    <t>6、改进效果</t>
  </si>
  <si>
    <t>本项目</t>
  </si>
  <si>
    <t>后续项目</t>
  </si>
  <si>
    <t>元旦</t>
  </si>
  <si>
    <t>春节</t>
  </si>
  <si>
    <t>清明</t>
  </si>
  <si>
    <t>劳动</t>
  </si>
  <si>
    <t>端午</t>
  </si>
  <si>
    <t>中秋</t>
  </si>
  <si>
    <t>国庆</t>
  </si>
  <si>
    <t>2019年元旦</t>
  </si>
  <si>
    <t>项目实际数据</t>
    <phoneticPr fontId="150" type="noConversion"/>
  </si>
  <si>
    <t>阶段</t>
    <phoneticPr fontId="150" type="noConversion"/>
  </si>
  <si>
    <t>LOL</t>
    <phoneticPr fontId="150" type="noConversion"/>
  </si>
  <si>
    <t>OL</t>
    <phoneticPr fontId="150" type="noConversion"/>
  </si>
  <si>
    <t>UCL</t>
    <phoneticPr fontId="150" type="noConversion"/>
  </si>
  <si>
    <t>项目实际数据</t>
    <phoneticPr fontId="150" type="noConversion"/>
  </si>
  <si>
    <t>`</t>
    <phoneticPr fontId="150" type="noConversion"/>
  </si>
  <si>
    <t>阶段实际工期</t>
    <phoneticPr fontId="150" type="noConversion"/>
  </si>
  <si>
    <t>阶段单位规模工期</t>
    <phoneticPr fontId="150" type="noConversion"/>
  </si>
  <si>
    <t>总体偏差</t>
    <phoneticPr fontId="150" type="noConversion"/>
  </si>
  <si>
    <t>项目进度</t>
    <phoneticPr fontId="150" type="noConversion"/>
  </si>
  <si>
    <t xml:space="preserve">迭代需求 </t>
    <phoneticPr fontId="150" type="noConversion"/>
  </si>
  <si>
    <t xml:space="preserve">阶段 </t>
    <phoneticPr fontId="150" type="noConversion"/>
  </si>
  <si>
    <t>迭代一</t>
    <phoneticPr fontId="150" type="noConversion"/>
  </si>
  <si>
    <t>LOL</t>
    <phoneticPr fontId="150" type="noConversion"/>
  </si>
  <si>
    <t>UOL</t>
    <phoneticPr fontId="150" type="noConversion"/>
  </si>
  <si>
    <t xml:space="preserve">迭代二 </t>
    <phoneticPr fontId="150" type="noConversion"/>
  </si>
  <si>
    <t>迭代三</t>
    <phoneticPr fontId="150" type="noConversion"/>
  </si>
  <si>
    <t xml:space="preserve">迭代开发 </t>
    <phoneticPr fontId="150" type="noConversion"/>
  </si>
  <si>
    <t xml:space="preserve">迭代测试 </t>
    <phoneticPr fontId="150" type="noConversion"/>
  </si>
  <si>
    <t xml:space="preserve">迭代三 </t>
    <phoneticPr fontId="150" type="noConversion"/>
  </si>
  <si>
    <t>度量五：测试用例覆盖密度</t>
  </si>
  <si>
    <t xml:space="preserve"> 迭代</t>
  </si>
  <si>
    <t>用例设计数</t>
  </si>
  <si>
    <t>迭代规模（SFP）</t>
  </si>
  <si>
    <t>测试用例覆盖密度
（条/SFP）</t>
  </si>
  <si>
    <t>性能用例设计数</t>
  </si>
  <si>
    <t>迭代N</t>
  </si>
  <si>
    <t>功能用例设计数</t>
    <phoneticPr fontId="15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</si>
</sst>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176" formatCode="yyyy\/mm\/dd"/>
    <numFmt numFmtId="177" formatCode="yyyy/m/d;@"/>
    <numFmt numFmtId="178" formatCode="_(&quot;$&quot;* #,##0_);_(&quot;$&quot;* \(#,##0\);_(&quot;$&quot;* &quot;-&quot;_);_(@_)"/>
    <numFmt numFmtId="179" formatCode="0.000_);[Red]\(0.000\)"/>
    <numFmt numFmtId="180" formatCode="_(* #,##0.00_);_(* \(#,##0.00\);_(* &quot;-&quot;??_);_(@_)"/>
    <numFmt numFmtId="181" formatCode="0_);[Red]\(0\)"/>
    <numFmt numFmtId="182" formatCode="0.0000_ "/>
    <numFmt numFmtId="183" formatCode="&quot;$&quot;#,##0_);[Red]\(&quot;$&quot;#,##0\)"/>
    <numFmt numFmtId="184" formatCode="0.0%"/>
    <numFmt numFmtId="185" formatCode="_ &quot;\&quot;* #,##0_ ;_ &quot;\&quot;* \-#,##0_ ;_ &quot;\&quot;* &quot;-&quot;_ ;_ @_ "/>
    <numFmt numFmtId="186" formatCode="_(&quot;$&quot;* #,##0.00_);_(&quot;$&quot;* \(#,##0.00\);_(&quot;$&quot;* &quot;-&quot;??_);_(@_)"/>
    <numFmt numFmtId="187" formatCode="0.000000_ "/>
    <numFmt numFmtId="188" formatCode="#,##0;\-#,##0;&quot;-&quot;"/>
    <numFmt numFmtId="189" formatCode="_(* #,##0_);_(* \(#,##0\);_(* &quot;-&quot;_);_(@_)"/>
    <numFmt numFmtId="190" formatCode="0.0_ "/>
    <numFmt numFmtId="191" formatCode="_ &quot;\&quot;* #,##0.00_ ;_ &quot;\&quot;* \-#,##0.00_ ;_ &quot;\&quot;* &quot;-&quot;??_ ;_ @_ "/>
    <numFmt numFmtId="192" formatCode="0.00_ "/>
    <numFmt numFmtId="193" formatCode="0.00000_ "/>
    <numFmt numFmtId="194" formatCode="0.000_ "/>
    <numFmt numFmtId="195" formatCode="0.0000_);[Red]\(0.0000\)"/>
    <numFmt numFmtId="196" formatCode="m/d"/>
    <numFmt numFmtId="197" formatCode="0_ "/>
    <numFmt numFmtId="198" formatCode="0.00_);[Red]\(0.00\)"/>
  </numFmts>
  <fonts count="151">
    <font>
      <sz val="11"/>
      <color theme="1"/>
      <name val="宋体"/>
      <charset val="134"/>
      <scheme val="minor"/>
    </font>
    <font>
      <sz val="10"/>
      <color theme="1"/>
      <name val="宋体"/>
      <family val="3"/>
      <charset val="134"/>
      <scheme val="minor"/>
    </font>
    <font>
      <sz val="10"/>
      <name val="微软雅黑"/>
      <family val="2"/>
      <charset val="134"/>
    </font>
    <font>
      <sz val="12"/>
      <name val="微软雅黑"/>
      <family val="2"/>
      <charset val="134"/>
    </font>
    <font>
      <b/>
      <sz val="12"/>
      <name val="微软雅黑"/>
      <family val="2"/>
      <charset val="134"/>
    </font>
    <font>
      <b/>
      <sz val="9"/>
      <color theme="0"/>
      <name val="宋体"/>
      <family val="3"/>
      <charset val="134"/>
    </font>
    <font>
      <sz val="9"/>
      <color theme="1"/>
      <name val="宋体"/>
      <family val="3"/>
      <charset val="134"/>
    </font>
    <font>
      <sz val="9"/>
      <color rgb="FFFF0000"/>
      <name val="宋体"/>
      <family val="3"/>
      <charset val="134"/>
    </font>
    <font>
      <u/>
      <sz val="10"/>
      <name val="微软雅黑"/>
      <family val="2"/>
      <charset val="134"/>
    </font>
    <font>
      <b/>
      <sz val="10"/>
      <color indexed="9"/>
      <name val="微软雅黑"/>
      <family val="2"/>
      <charset val="134"/>
    </font>
    <font>
      <b/>
      <sz val="10"/>
      <name val="微软雅黑"/>
      <family val="2"/>
      <charset val="134"/>
    </font>
    <font>
      <b/>
      <sz val="10"/>
      <color rgb="FFFFFFFF"/>
      <name val="微软雅黑"/>
      <family val="2"/>
      <charset val="134"/>
    </font>
    <font>
      <sz val="10"/>
      <color rgb="FF000000"/>
      <name val="微软雅黑"/>
      <family val="2"/>
      <charset val="134"/>
    </font>
    <font>
      <sz val="12"/>
      <name val="宋体"/>
      <family val="3"/>
      <charset val="134"/>
    </font>
    <font>
      <sz val="9"/>
      <color theme="1"/>
      <name val="宋体"/>
      <family val="3"/>
      <charset val="134"/>
      <scheme val="minor"/>
    </font>
    <font>
      <sz val="10"/>
      <color rgb="FF3A31F7"/>
      <name val="宋体"/>
      <family val="3"/>
      <charset val="134"/>
      <scheme val="minor"/>
    </font>
    <font>
      <sz val="10"/>
      <name val="宋体"/>
      <family val="3"/>
      <charset val="134"/>
      <scheme val="minor"/>
    </font>
    <font>
      <sz val="10"/>
      <name val="宋体"/>
      <family val="3"/>
      <charset val="134"/>
    </font>
    <font>
      <sz val="16"/>
      <name val="宋体"/>
      <family val="3"/>
      <charset val="134"/>
    </font>
    <font>
      <sz val="10"/>
      <name val="Times New Roman"/>
      <family val="1"/>
    </font>
    <font>
      <sz val="10"/>
      <color rgb="FFFF0000"/>
      <name val="宋体"/>
      <family val="3"/>
      <charset val="134"/>
    </font>
    <font>
      <b/>
      <sz val="10"/>
      <name val="宋体"/>
      <family val="3"/>
      <charset val="134"/>
    </font>
    <font>
      <sz val="16"/>
      <name val="Times New Roman"/>
      <family val="1"/>
    </font>
    <font>
      <b/>
      <sz val="10"/>
      <color theme="1"/>
      <name val="宋体"/>
      <family val="3"/>
      <charset val="134"/>
      <scheme val="minor"/>
    </font>
    <font>
      <sz val="9"/>
      <name val="宋体"/>
      <family val="3"/>
      <charset val="134"/>
    </font>
    <font>
      <sz val="9"/>
      <color rgb="FF000000"/>
      <name val="宋体"/>
      <family val="3"/>
      <charset val="134"/>
    </font>
    <font>
      <sz val="10"/>
      <color theme="0"/>
      <name val="宋体"/>
      <family val="3"/>
      <charset val="134"/>
    </font>
    <font>
      <b/>
      <sz val="10"/>
      <color theme="0"/>
      <name val="宋体"/>
      <family val="3"/>
      <charset val="134"/>
    </font>
    <font>
      <sz val="10"/>
      <color theme="1"/>
      <name val="宋体"/>
      <family val="3"/>
      <charset val="134"/>
    </font>
    <font>
      <sz val="9"/>
      <name val="仿宋"/>
      <family val="3"/>
      <charset val="134"/>
    </font>
    <font>
      <sz val="22"/>
      <name val="宋体"/>
      <family val="3"/>
      <charset val="134"/>
    </font>
    <font>
      <sz val="10"/>
      <color theme="5"/>
      <name val="宋体"/>
      <family val="3"/>
      <charset val="134"/>
    </font>
    <font>
      <sz val="10"/>
      <color indexed="12"/>
      <name val="宋体"/>
      <family val="3"/>
      <charset val="134"/>
    </font>
    <font>
      <b/>
      <sz val="10"/>
      <name val="Times New Roman"/>
      <family val="1"/>
    </font>
    <font>
      <sz val="10"/>
      <color rgb="FFC00000"/>
      <name val="宋体"/>
      <family val="3"/>
      <charset val="134"/>
    </font>
    <font>
      <sz val="10"/>
      <color rgb="FF0066FF"/>
      <name val="宋体"/>
      <family val="3"/>
      <charset val="134"/>
    </font>
    <font>
      <b/>
      <sz val="10"/>
      <color theme="1"/>
      <name val="宋体"/>
      <family val="3"/>
      <charset val="134"/>
    </font>
    <font>
      <b/>
      <sz val="12"/>
      <name val="宋体"/>
      <family val="3"/>
      <charset val="134"/>
    </font>
    <font>
      <sz val="10"/>
      <color indexed="8"/>
      <name val="宋体"/>
      <family val="3"/>
      <charset val="134"/>
    </font>
    <font>
      <b/>
      <sz val="16"/>
      <name val="宋体"/>
      <family val="3"/>
      <charset val="134"/>
    </font>
    <font>
      <sz val="9"/>
      <color rgb="FFFFFF00"/>
      <name val="微软雅黑"/>
      <family val="2"/>
      <charset val="134"/>
    </font>
    <font>
      <sz val="9"/>
      <color rgb="FFFFFF00"/>
      <name val="宋体"/>
      <family val="3"/>
      <charset val="134"/>
      <scheme val="minor"/>
    </font>
    <font>
      <b/>
      <sz val="9"/>
      <name val="微软雅黑"/>
      <family val="2"/>
      <charset val="134"/>
    </font>
    <font>
      <b/>
      <sz val="9"/>
      <color indexed="9"/>
      <name val="微软雅黑"/>
      <family val="2"/>
      <charset val="134"/>
    </font>
    <font>
      <sz val="9"/>
      <name val="微软雅黑"/>
      <family val="2"/>
      <charset val="134"/>
    </font>
    <font>
      <sz val="9"/>
      <color theme="1"/>
      <name val="微软雅黑"/>
      <family val="2"/>
      <charset val="134"/>
    </font>
    <font>
      <sz val="9"/>
      <color rgb="FFFF0000"/>
      <name val="微软雅黑"/>
      <family val="2"/>
      <charset val="134"/>
    </font>
    <font>
      <sz val="9"/>
      <color rgb="FF92D050"/>
      <name val="宋体"/>
      <family val="3"/>
      <charset val="134"/>
      <scheme val="minor"/>
    </font>
    <font>
      <sz val="9"/>
      <color theme="8" tint="0.39954832605975527"/>
      <name val="宋体"/>
      <family val="3"/>
      <charset val="134"/>
      <scheme val="minor"/>
    </font>
    <font>
      <sz val="10"/>
      <color rgb="FF000000"/>
      <name val="宋体"/>
      <family val="3"/>
      <charset val="134"/>
      <scheme val="minor"/>
    </font>
    <font>
      <sz val="13"/>
      <color rgb="FF004D72"/>
      <name val="Segoe UI Semibold"/>
      <family val="2"/>
    </font>
    <font>
      <sz val="11"/>
      <color theme="1"/>
      <name val="宋体"/>
      <family val="3"/>
      <charset val="134"/>
      <scheme val="minor"/>
    </font>
    <font>
      <sz val="10"/>
      <color theme="1"/>
      <name val="Segoe UI"/>
      <family val="2"/>
    </font>
    <font>
      <b/>
      <sz val="10"/>
      <color rgb="FF000000"/>
      <name val="宋体"/>
      <family val="3"/>
      <charset val="134"/>
      <scheme val="minor"/>
    </font>
    <font>
      <sz val="10"/>
      <color rgb="FF000000"/>
      <name val="Symbol"/>
      <family val="1"/>
      <charset val="2"/>
    </font>
    <font>
      <sz val="9"/>
      <color rgb="FF000000"/>
      <name val="微软雅黑"/>
      <family val="2"/>
      <charset val="134"/>
    </font>
    <font>
      <sz val="9"/>
      <color theme="8" tint="0.39948728904080327"/>
      <name val="宋体"/>
      <family val="3"/>
      <charset val="134"/>
      <scheme val="minor"/>
    </font>
    <font>
      <b/>
      <sz val="14"/>
      <color indexed="9"/>
      <name val="宋体"/>
      <family val="3"/>
      <charset val="134"/>
    </font>
    <font>
      <sz val="9"/>
      <color indexed="9"/>
      <name val="宋体"/>
      <family val="3"/>
      <charset val="134"/>
    </font>
    <font>
      <b/>
      <sz val="10"/>
      <color indexed="9"/>
      <name val="宋体"/>
      <family val="3"/>
      <charset val="134"/>
    </font>
    <font>
      <sz val="10"/>
      <color indexed="9"/>
      <name val="宋体"/>
      <family val="3"/>
      <charset val="134"/>
    </font>
    <font>
      <i/>
      <sz val="10"/>
      <color rgb="FF0000FF"/>
      <name val="宋体"/>
      <family val="3"/>
      <charset val="134"/>
    </font>
    <font>
      <b/>
      <sz val="26"/>
      <color theme="4" tint="-0.499984740745262"/>
      <name val="微软雅黑"/>
      <family val="2"/>
      <charset val="134"/>
    </font>
    <font>
      <b/>
      <sz val="14"/>
      <color indexed="9"/>
      <name val="微软雅黑"/>
      <family val="2"/>
      <charset val="134"/>
    </font>
    <font>
      <sz val="10"/>
      <color theme="1"/>
      <name val="微软雅黑"/>
      <family val="2"/>
      <charset val="134"/>
    </font>
    <font>
      <i/>
      <sz val="10"/>
      <color rgb="FF0000FF"/>
      <name val="微软雅黑"/>
      <family val="2"/>
      <charset val="134"/>
    </font>
    <font>
      <i/>
      <sz val="10"/>
      <color theme="1"/>
      <name val="微软雅黑"/>
      <family val="2"/>
      <charset val="134"/>
    </font>
    <font>
      <sz val="10"/>
      <color indexed="8"/>
      <name val="微软雅黑"/>
      <family val="2"/>
      <charset val="134"/>
    </font>
    <font>
      <b/>
      <sz val="10"/>
      <color theme="0"/>
      <name val="微软雅黑"/>
      <family val="2"/>
      <charset val="134"/>
    </font>
    <font>
      <b/>
      <sz val="14"/>
      <color theme="0"/>
      <name val="微软雅黑"/>
      <family val="2"/>
      <charset val="134"/>
    </font>
    <font>
      <u/>
      <sz val="10"/>
      <color indexed="12"/>
      <name val="微软雅黑"/>
      <family val="2"/>
      <charset val="134"/>
    </font>
    <font>
      <sz val="10"/>
      <color rgb="FFFF0000"/>
      <name val="微软雅黑"/>
      <family val="2"/>
      <charset val="134"/>
    </font>
    <font>
      <sz val="14"/>
      <name val="微软雅黑"/>
      <family val="2"/>
      <charset val="134"/>
    </font>
    <font>
      <sz val="10"/>
      <color rgb="FF7030A0"/>
      <name val="宋体"/>
      <family val="3"/>
      <charset val="134"/>
    </font>
    <font>
      <b/>
      <sz val="9"/>
      <name val="宋体"/>
      <family val="3"/>
      <charset val="134"/>
    </font>
    <font>
      <b/>
      <sz val="10"/>
      <name val="Comic Sans MS"/>
      <family val="4"/>
    </font>
    <font>
      <b/>
      <sz val="12"/>
      <name val="Comic Sans MS"/>
      <family val="4"/>
    </font>
    <font>
      <u/>
      <sz val="12"/>
      <color indexed="12"/>
      <name val="宋体"/>
      <family val="3"/>
      <charset val="134"/>
    </font>
    <font>
      <sz val="12"/>
      <name val="Comic Sans MS"/>
      <family val="4"/>
    </font>
    <font>
      <b/>
      <sz val="18"/>
      <color indexed="8"/>
      <name val="宋体"/>
      <family val="3"/>
      <charset val="134"/>
    </font>
    <font>
      <sz val="10.5"/>
      <color indexed="8"/>
      <name val="宋体"/>
      <family val="3"/>
      <charset val="134"/>
    </font>
    <font>
      <sz val="10.5"/>
      <color indexed="8"/>
      <name val="Times New Roman"/>
      <family val="1"/>
    </font>
    <font>
      <b/>
      <sz val="14"/>
      <color indexed="8"/>
      <name val="宋体"/>
      <family val="3"/>
      <charset val="134"/>
    </font>
    <font>
      <b/>
      <u/>
      <sz val="12"/>
      <color indexed="8"/>
      <name val="宋体"/>
      <family val="3"/>
      <charset val="134"/>
    </font>
    <font>
      <b/>
      <sz val="11"/>
      <color theme="1"/>
      <name val="宋体"/>
      <family val="3"/>
      <charset val="134"/>
      <scheme val="minor"/>
    </font>
    <font>
      <sz val="10"/>
      <name val="Helv"/>
      <family val="2"/>
    </font>
    <font>
      <sz val="11"/>
      <color indexed="8"/>
      <name val="Calibri"/>
      <family val="2"/>
    </font>
    <font>
      <u/>
      <sz val="10"/>
      <color indexed="36"/>
      <name val="ＭＳ Ｐ明朝"/>
      <charset val="134"/>
    </font>
    <font>
      <b/>
      <sz val="11"/>
      <color indexed="8"/>
      <name val="Calibri"/>
      <family val="2"/>
    </font>
    <font>
      <sz val="10"/>
      <name val="Arial"/>
      <family val="2"/>
    </font>
    <font>
      <sz val="12"/>
      <name val="M"/>
      <charset val="136"/>
    </font>
    <font>
      <b/>
      <sz val="11"/>
      <color indexed="9"/>
      <name val="Calibri"/>
      <family val="2"/>
    </font>
    <font>
      <sz val="11"/>
      <color indexed="9"/>
      <name val="Calibri"/>
      <family val="2"/>
    </font>
    <font>
      <sz val="8"/>
      <name val="Arial"/>
      <family val="2"/>
    </font>
    <font>
      <sz val="11"/>
      <color indexed="62"/>
      <name val="Calibri"/>
      <family val="2"/>
    </font>
    <font>
      <b/>
      <sz val="15"/>
      <color indexed="62"/>
      <name val="宋体"/>
      <family val="3"/>
      <charset val="134"/>
    </font>
    <font>
      <b/>
      <sz val="12"/>
      <name val="MS Sans Serif"/>
      <family val="2"/>
    </font>
    <font>
      <sz val="7"/>
      <name val="Small Fonts"/>
      <family val="2"/>
    </font>
    <font>
      <b/>
      <sz val="15"/>
      <color indexed="62"/>
      <name val="Calibri"/>
      <family val="2"/>
    </font>
    <font>
      <sz val="11"/>
      <color indexed="8"/>
      <name val="宋体"/>
      <family val="3"/>
      <charset val="134"/>
    </font>
    <font>
      <u/>
      <sz val="10.8"/>
      <color indexed="12"/>
      <name val="宋体"/>
      <family val="3"/>
      <charset val="134"/>
    </font>
    <font>
      <b/>
      <sz val="11"/>
      <color indexed="52"/>
      <name val="宋体"/>
      <family val="3"/>
      <charset val="134"/>
    </font>
    <font>
      <b/>
      <sz val="18"/>
      <color indexed="62"/>
      <name val="Cambria"/>
      <family val="1"/>
    </font>
    <font>
      <b/>
      <sz val="12"/>
      <name val="Arial"/>
      <family val="2"/>
    </font>
    <font>
      <sz val="12"/>
      <name val="Times New Roman"/>
      <family val="1"/>
    </font>
    <font>
      <sz val="11"/>
      <color indexed="17"/>
      <name val="微软雅黑"/>
      <family val="2"/>
      <charset val="134"/>
    </font>
    <font>
      <sz val="11"/>
      <name val="Times New Roman"/>
      <family val="1"/>
    </font>
    <font>
      <b/>
      <sz val="13"/>
      <color indexed="62"/>
      <name val="宋体"/>
      <family val="3"/>
      <charset val="134"/>
    </font>
    <font>
      <sz val="11"/>
      <color indexed="53"/>
      <name val="Calibri"/>
      <family val="2"/>
    </font>
    <font>
      <sz val="11"/>
      <color indexed="16"/>
      <name val="Calibri"/>
      <family val="2"/>
    </font>
    <font>
      <sz val="11"/>
      <name val="ＭＳ 明朝"/>
      <family val="3"/>
    </font>
    <font>
      <b/>
      <sz val="13"/>
      <color indexed="62"/>
      <name val="Calibri"/>
      <family val="2"/>
    </font>
    <font>
      <sz val="9"/>
      <color indexed="17"/>
      <name val="幼圆"/>
      <family val="3"/>
      <charset val="134"/>
    </font>
    <font>
      <b/>
      <sz val="11"/>
      <color indexed="63"/>
      <name val="宋体"/>
      <family val="3"/>
      <charset val="134"/>
    </font>
    <font>
      <b/>
      <sz val="11"/>
      <color indexed="8"/>
      <name val="宋体"/>
      <family val="3"/>
      <charset val="134"/>
    </font>
    <font>
      <sz val="9"/>
      <color indexed="20"/>
      <name val="幼圆"/>
      <family val="3"/>
      <charset val="134"/>
    </font>
    <font>
      <sz val="11"/>
      <color indexed="60"/>
      <name val="Calibri"/>
      <family val="2"/>
    </font>
    <font>
      <sz val="11"/>
      <color indexed="17"/>
      <name val="宋体"/>
      <family val="3"/>
      <charset val="134"/>
    </font>
    <font>
      <sz val="12"/>
      <name val="바탕체"/>
      <charset val="134"/>
    </font>
    <font>
      <sz val="11"/>
      <color indexed="60"/>
      <name val="宋体"/>
      <family val="3"/>
      <charset val="134"/>
    </font>
    <font>
      <sz val="11"/>
      <color indexed="9"/>
      <name val="宋体"/>
      <family val="3"/>
      <charset val="134"/>
    </font>
    <font>
      <b/>
      <sz val="11"/>
      <color indexed="56"/>
      <name val="宋体"/>
      <family val="3"/>
      <charset val="134"/>
    </font>
    <font>
      <sz val="11"/>
      <name val="ＭＳ Ｐゴシック"/>
      <charset val="134"/>
    </font>
    <font>
      <i/>
      <sz val="11"/>
      <color indexed="23"/>
      <name val="Calibri"/>
      <family val="2"/>
    </font>
    <font>
      <sz val="10"/>
      <color indexed="8"/>
      <name val="Arial"/>
      <family val="2"/>
    </font>
    <font>
      <b/>
      <sz val="11"/>
      <color indexed="62"/>
      <name val="Calibri"/>
      <family val="2"/>
    </font>
    <font>
      <b/>
      <sz val="15"/>
      <color indexed="56"/>
      <name val="宋体"/>
      <family val="3"/>
      <charset val="134"/>
    </font>
    <font>
      <b/>
      <sz val="11"/>
      <color indexed="63"/>
      <name val="Calibri"/>
      <family val="2"/>
    </font>
    <font>
      <sz val="11"/>
      <color indexed="17"/>
      <name val="Calibri"/>
      <family val="2"/>
    </font>
    <font>
      <b/>
      <sz val="18"/>
      <color indexed="56"/>
      <name val="Cambria"/>
      <family val="1"/>
    </font>
    <font>
      <b/>
      <sz val="11"/>
      <color indexed="53"/>
      <name val="Calibri"/>
      <family val="2"/>
    </font>
    <font>
      <sz val="11"/>
      <color indexed="52"/>
      <name val="宋体"/>
      <family val="3"/>
      <charset val="134"/>
    </font>
    <font>
      <sz val="12"/>
      <name val="MS Sans Serif"/>
      <family val="2"/>
    </font>
    <font>
      <sz val="10"/>
      <name val="MS Sans Serif"/>
      <family val="2"/>
    </font>
    <font>
      <b/>
      <sz val="18"/>
      <color indexed="56"/>
      <name val="宋体"/>
      <family val="3"/>
      <charset val="134"/>
    </font>
    <font>
      <b/>
      <sz val="13"/>
      <color indexed="56"/>
      <name val="宋体"/>
      <family val="3"/>
      <charset val="134"/>
    </font>
    <font>
      <i/>
      <sz val="11"/>
      <color indexed="23"/>
      <name val="宋体"/>
      <family val="3"/>
      <charset val="134"/>
    </font>
    <font>
      <sz val="9"/>
      <color indexed="17"/>
      <name val="微软雅黑"/>
      <family val="2"/>
      <charset val="134"/>
    </font>
    <font>
      <sz val="11"/>
      <color indexed="20"/>
      <name val="微软雅黑"/>
      <family val="2"/>
      <charset val="134"/>
    </font>
    <font>
      <u/>
      <sz val="10"/>
      <color indexed="12"/>
      <name val="ＭＳ Ｐ明朝"/>
      <charset val="134"/>
    </font>
    <font>
      <sz val="11"/>
      <color indexed="10"/>
      <name val="宋体"/>
      <family val="3"/>
      <charset val="134"/>
    </font>
    <font>
      <sz val="11"/>
      <color indexed="62"/>
      <name val="宋体"/>
      <family val="3"/>
      <charset val="134"/>
    </font>
    <font>
      <sz val="9"/>
      <color indexed="20"/>
      <name val="微软雅黑"/>
      <family val="2"/>
      <charset val="134"/>
    </font>
    <font>
      <b/>
      <sz val="11"/>
      <color indexed="9"/>
      <name val="宋体"/>
      <family val="3"/>
      <charset val="134"/>
    </font>
    <font>
      <sz val="11"/>
      <color indexed="20"/>
      <name val="宋体"/>
      <family val="3"/>
      <charset val="134"/>
    </font>
    <font>
      <sz val="11"/>
      <color indexed="10"/>
      <name val="Calibri"/>
      <family val="2"/>
    </font>
    <font>
      <sz val="11"/>
      <color theme="1"/>
      <name val="宋体"/>
      <family val="3"/>
      <charset val="134"/>
    </font>
    <font>
      <b/>
      <u/>
      <sz val="12"/>
      <color indexed="8"/>
      <name val="Arial"/>
      <family val="2"/>
    </font>
    <font>
      <sz val="8"/>
      <color rgb="FF000000"/>
      <name val="宋体"/>
      <family val="3"/>
      <charset val="134"/>
    </font>
    <font>
      <sz val="11"/>
      <color rgb="FFFF0000"/>
      <name val="宋体"/>
      <family val="3"/>
      <charset val="134"/>
    </font>
    <font>
      <sz val="9"/>
      <name val="宋体"/>
      <family val="3"/>
      <charset val="134"/>
      <scheme val="minor"/>
    </font>
  </fonts>
  <fills count="99">
    <fill>
      <patternFill patternType="none"/>
    </fill>
    <fill>
      <patternFill patternType="gray125"/>
    </fill>
    <fill>
      <patternFill patternType="solid">
        <fgColor theme="4" tint="0.39957884456923126"/>
        <bgColor indexed="64"/>
      </patternFill>
    </fill>
    <fill>
      <patternFill patternType="solid">
        <fgColor theme="4" tint="0.59999389629810485"/>
        <bgColor indexed="64"/>
      </patternFill>
    </fill>
    <fill>
      <patternFill patternType="solid">
        <fgColor theme="0" tint="-0.249977111117893"/>
        <bgColor indexed="64"/>
      </patternFill>
    </fill>
    <fill>
      <patternFill patternType="solid">
        <fgColor theme="4"/>
        <bgColor theme="4"/>
      </patternFill>
    </fill>
    <fill>
      <patternFill patternType="solid">
        <fgColor rgb="FFFFC000"/>
        <bgColor indexed="64"/>
      </patternFill>
    </fill>
    <fill>
      <patternFill patternType="solid">
        <fgColor theme="4" tint="0.79958494827112647"/>
        <bgColor theme="4" tint="0.79958494827112647"/>
      </patternFill>
    </fill>
    <fill>
      <patternFill patternType="solid">
        <fgColor theme="4" tint="0.59999389629810485"/>
        <bgColor theme="4" tint="0.59999389629810485"/>
      </patternFill>
    </fill>
    <fill>
      <patternFill patternType="solid">
        <fgColor theme="5" tint="0.39957884456923126"/>
        <bgColor indexed="64"/>
      </patternFill>
    </fill>
    <fill>
      <patternFill patternType="solid">
        <fgColor rgb="FF00B050"/>
        <bgColor indexed="64"/>
      </patternFill>
    </fill>
    <fill>
      <patternFill patternType="solid">
        <fgColor theme="0"/>
        <bgColor indexed="64"/>
      </patternFill>
    </fill>
    <fill>
      <patternFill patternType="solid">
        <fgColor theme="4" tint="-0.249977111117893"/>
        <bgColor indexed="25"/>
      </patternFill>
    </fill>
    <fill>
      <patternFill patternType="solid">
        <fgColor rgb="FF4F81BD"/>
        <bgColor indexed="64"/>
      </patternFill>
    </fill>
    <fill>
      <patternFill patternType="solid">
        <fgColor rgb="FFDBE5F1"/>
        <bgColor indexed="64"/>
      </patternFill>
    </fill>
    <fill>
      <patternFill patternType="solid">
        <fgColor rgb="FFB8CCE4"/>
        <bgColor indexed="64"/>
      </patternFill>
    </fill>
    <fill>
      <patternFill patternType="solid">
        <fgColor theme="6" tint="0.79964598529007846"/>
        <bgColor indexed="64"/>
      </patternFill>
    </fill>
    <fill>
      <patternFill patternType="solid">
        <fgColor theme="9" tint="0.79964598529007846"/>
        <bgColor indexed="64"/>
      </patternFill>
    </fill>
    <fill>
      <patternFill patternType="solid">
        <fgColor theme="9" tint="0.79985961485641044"/>
        <bgColor indexed="64"/>
      </patternFill>
    </fill>
    <fill>
      <patternFill patternType="solid">
        <fgColor theme="8" tint="0.79964598529007846"/>
        <bgColor indexed="64"/>
      </patternFill>
    </fill>
    <fill>
      <patternFill patternType="solid">
        <fgColor theme="8" tint="0.79973754081850645"/>
        <bgColor indexed="64"/>
      </patternFill>
    </fill>
    <fill>
      <patternFill patternType="solid">
        <fgColor indexed="9"/>
        <bgColor indexed="64"/>
      </patternFill>
    </fill>
    <fill>
      <patternFill patternType="solid">
        <fgColor rgb="FF00FFFF"/>
        <bgColor indexed="64"/>
      </patternFill>
    </fill>
    <fill>
      <patternFill patternType="solid">
        <fgColor rgb="FFCCFFFF"/>
        <bgColor indexed="64"/>
      </patternFill>
    </fill>
    <fill>
      <patternFill patternType="solid">
        <fgColor rgb="FFD8E4BC"/>
        <bgColor indexed="64"/>
      </patternFill>
    </fill>
    <fill>
      <patternFill patternType="solid">
        <fgColor theme="3" tint="0.59999389629810485"/>
        <bgColor indexed="64"/>
      </patternFill>
    </fill>
    <fill>
      <patternFill patternType="darkTrellis">
        <bgColor indexed="9"/>
      </patternFill>
    </fill>
    <fill>
      <patternFill patternType="solid">
        <fgColor indexed="15"/>
        <bgColor indexed="64"/>
      </patternFill>
    </fill>
    <fill>
      <patternFill patternType="solid">
        <fgColor theme="0" tint="-0.499984740745262"/>
        <bgColor theme="4"/>
      </patternFill>
    </fill>
    <fill>
      <patternFill patternType="solid">
        <fgColor theme="0" tint="-0.14960173345133823"/>
        <bgColor theme="4" tint="0.79958494827112647"/>
      </patternFill>
    </fill>
    <fill>
      <patternFill patternType="solid">
        <fgColor theme="0" tint="-0.14960173345133823"/>
        <bgColor indexed="64"/>
      </patternFill>
    </fill>
    <fill>
      <patternFill patternType="darkTrellis">
        <bgColor rgb="FFCCFFFF"/>
      </patternFill>
    </fill>
    <fill>
      <patternFill patternType="darkTrellis"/>
    </fill>
    <fill>
      <patternFill patternType="solid">
        <fgColor rgb="FFFFFF00"/>
        <bgColor indexed="64"/>
      </patternFill>
    </fill>
    <fill>
      <patternFill patternType="solid">
        <fgColor theme="0" tint="-0.34998626667073579"/>
        <bgColor theme="4" tint="0.59999389629810485"/>
      </patternFill>
    </fill>
    <fill>
      <patternFill patternType="solid">
        <fgColor indexed="22"/>
        <bgColor indexed="64"/>
      </patternFill>
    </fill>
    <fill>
      <patternFill patternType="solid">
        <fgColor theme="5" tint="-0.249977111117893"/>
        <bgColor indexed="64"/>
      </patternFill>
    </fill>
    <fill>
      <patternFill patternType="solid">
        <fgColor theme="4" tint="0.39954832605975527"/>
        <bgColor indexed="64"/>
      </patternFill>
    </fill>
    <fill>
      <patternFill patternType="solid">
        <fgColor theme="4" tint="-0.499984740745262"/>
        <bgColor indexed="25"/>
      </patternFill>
    </fill>
    <fill>
      <patternFill patternType="solid">
        <fgColor indexed="62"/>
        <bgColor indexed="25"/>
      </patternFill>
    </fill>
    <fill>
      <patternFill patternType="solid">
        <fgColor indexed="30"/>
        <bgColor indexed="64"/>
      </patternFill>
    </fill>
    <fill>
      <patternFill patternType="solid">
        <fgColor indexed="44"/>
        <bgColor indexed="64"/>
      </patternFill>
    </fill>
    <fill>
      <patternFill patternType="solid">
        <fgColor rgb="FF00FF00"/>
        <bgColor indexed="64"/>
      </patternFill>
    </fill>
    <fill>
      <patternFill patternType="solid">
        <fgColor indexed="55"/>
        <bgColor indexed="64"/>
      </patternFill>
    </fill>
    <fill>
      <patternFill patternType="solid">
        <fgColor indexed="11"/>
        <bgColor indexed="64"/>
      </patternFill>
    </fill>
    <fill>
      <patternFill patternType="solid">
        <fgColor indexed="62"/>
        <bgColor indexed="64"/>
      </patternFill>
    </fill>
    <fill>
      <patternFill patternType="solid">
        <fgColor rgb="FFFFFFFF"/>
        <bgColor indexed="64"/>
      </patternFill>
    </fill>
    <fill>
      <patternFill patternType="solid">
        <fgColor theme="4" tint="0.39948728904080327"/>
        <bgColor indexed="64"/>
      </patternFill>
    </fill>
    <fill>
      <patternFill patternType="solid">
        <fgColor rgb="FF92CDDC"/>
        <bgColor indexed="64"/>
      </patternFill>
    </fill>
    <fill>
      <patternFill patternType="solid">
        <fgColor theme="6" tint="0.59999389629810485"/>
        <bgColor indexed="64"/>
      </patternFill>
    </fill>
    <fill>
      <patternFill patternType="solid">
        <fgColor rgb="FF969696"/>
        <bgColor indexed="64"/>
      </patternFill>
    </fill>
    <fill>
      <patternFill patternType="solid">
        <fgColor theme="8" tint="-0.249977111117893"/>
        <bgColor indexed="64"/>
      </patternFill>
    </fill>
    <fill>
      <patternFill patternType="solid">
        <fgColor indexed="31"/>
        <bgColor indexed="64"/>
      </patternFill>
    </fill>
    <fill>
      <patternFill patternType="solid">
        <fgColor indexed="53"/>
        <bgColor indexed="64"/>
      </patternFill>
    </fill>
    <fill>
      <patternFill patternType="solid">
        <fgColor indexed="23"/>
        <bgColor indexed="64"/>
      </patternFill>
    </fill>
    <fill>
      <patternFill patternType="solid">
        <fgColor theme="7" tint="-0.249977111117893"/>
        <bgColor indexed="64"/>
      </patternFill>
    </fill>
    <fill>
      <patternFill patternType="solid">
        <fgColor theme="0" tint="-4.9989318521683403E-2"/>
        <bgColor theme="4" tint="0.79958494827112647"/>
      </patternFill>
    </fill>
    <fill>
      <patternFill patternType="solid">
        <fgColor theme="4" tint="0.59999389629810485"/>
        <bgColor theme="4" tint="0.79952391125217448"/>
      </patternFill>
    </fill>
    <fill>
      <patternFill patternType="solid">
        <fgColor theme="0" tint="-0.14954069643238624"/>
        <bgColor indexed="64"/>
      </patternFill>
    </fill>
    <fill>
      <patternFill patternType="solid">
        <fgColor theme="4" tint="-0.249977111117893"/>
        <bgColor indexed="64"/>
      </patternFill>
    </fill>
    <fill>
      <patternFill patternType="solid">
        <fgColor theme="0" tint="-0.14954069643238624"/>
        <bgColor theme="4" tint="0.79952391125217448"/>
      </patternFill>
    </fill>
    <fill>
      <patternFill patternType="solid">
        <fgColor indexed="42"/>
        <bgColor indexed="64"/>
      </patternFill>
    </fill>
    <fill>
      <patternFill patternType="solid">
        <fgColor indexed="55"/>
        <bgColor indexed="55"/>
      </patternFill>
    </fill>
    <fill>
      <patternFill patternType="solid">
        <fgColor indexed="26"/>
        <bgColor indexed="26"/>
      </patternFill>
    </fill>
    <fill>
      <patternFill patternType="solid">
        <fgColor indexed="22"/>
        <bgColor indexed="22"/>
      </patternFill>
    </fill>
    <fill>
      <patternFill patternType="solid">
        <fgColor indexed="47"/>
        <bgColor indexed="47"/>
      </patternFill>
    </fill>
    <fill>
      <patternFill patternType="lightUp">
        <fgColor indexed="9"/>
        <bgColor indexed="29"/>
      </patternFill>
    </fill>
    <fill>
      <patternFill patternType="solid">
        <fgColor indexed="27"/>
        <bgColor indexed="27"/>
      </patternFill>
    </fill>
    <fill>
      <patternFill patternType="solid">
        <fgColor indexed="54"/>
        <bgColor indexed="54"/>
      </patternFill>
    </fill>
    <fill>
      <patternFill patternType="solid">
        <fgColor indexed="36"/>
        <bgColor indexed="64"/>
      </patternFill>
    </fill>
    <fill>
      <patternFill patternType="solid">
        <fgColor indexed="46"/>
        <bgColor indexed="64"/>
      </patternFill>
    </fill>
    <fill>
      <patternFill patternType="lightUp">
        <fgColor indexed="9"/>
        <bgColor indexed="55"/>
      </patternFill>
    </fill>
    <fill>
      <patternFill patternType="solid">
        <fgColor indexed="45"/>
        <bgColor indexed="64"/>
      </patternFill>
    </fill>
    <fill>
      <patternFill patternType="lightUp">
        <fgColor indexed="9"/>
        <bgColor indexed="22"/>
      </patternFill>
    </fill>
    <fill>
      <patternFill patternType="solid">
        <fgColor indexed="31"/>
        <bgColor indexed="31"/>
      </patternFill>
    </fill>
    <fill>
      <patternFill patternType="solid">
        <fgColor indexed="45"/>
        <bgColor indexed="45"/>
      </patternFill>
    </fill>
    <fill>
      <patternFill patternType="solid">
        <fgColor indexed="43"/>
        <bgColor indexed="43"/>
      </patternFill>
    </fill>
    <fill>
      <patternFill patternType="solid">
        <fgColor indexed="26"/>
        <bgColor indexed="64"/>
      </patternFill>
    </fill>
    <fill>
      <patternFill patternType="solid">
        <fgColor indexed="49"/>
        <bgColor indexed="49"/>
      </patternFill>
    </fill>
    <fill>
      <patternFill patternType="solid">
        <fgColor indexed="42"/>
        <bgColor indexed="42"/>
      </patternFill>
    </fill>
    <fill>
      <patternFill patternType="solid">
        <fgColor indexed="43"/>
        <bgColor indexed="64"/>
      </patternFill>
    </fill>
    <fill>
      <patternFill patternType="solid">
        <fgColor indexed="44"/>
        <bgColor indexed="44"/>
      </patternFill>
    </fill>
    <fill>
      <patternFill patternType="solid">
        <fgColor indexed="25"/>
        <bgColor indexed="25"/>
      </patternFill>
    </fill>
    <fill>
      <patternFill patternType="solid">
        <fgColor indexed="52"/>
        <bgColor indexed="52"/>
      </patternFill>
    </fill>
    <fill>
      <patternFill patternType="solid">
        <fgColor indexed="49"/>
        <bgColor indexed="64"/>
      </patternFill>
    </fill>
    <fill>
      <patternFill patternType="solid">
        <fgColor indexed="29"/>
        <bgColor indexed="64"/>
      </patternFill>
    </fill>
    <fill>
      <patternFill patternType="solid">
        <fgColor indexed="27"/>
        <bgColor indexed="64"/>
      </patternFill>
    </fill>
    <fill>
      <patternFill patternType="solid">
        <fgColor indexed="52"/>
        <bgColor indexed="64"/>
      </patternFill>
    </fill>
    <fill>
      <patternFill patternType="solid">
        <fgColor indexed="51"/>
        <bgColor indexed="64"/>
      </patternFill>
    </fill>
    <fill>
      <patternFill patternType="solid">
        <fgColor indexed="47"/>
        <bgColor indexed="64"/>
      </patternFill>
    </fill>
    <fill>
      <patternFill patternType="solid">
        <fgColor indexed="9"/>
        <bgColor indexed="9"/>
      </patternFill>
    </fill>
    <fill>
      <patternFill patternType="gray0625">
        <fgColor indexed="44"/>
        <bgColor indexed="26"/>
      </patternFill>
    </fill>
    <fill>
      <patternFill patternType="solid">
        <fgColor indexed="25"/>
        <bgColor indexed="64"/>
      </patternFill>
    </fill>
    <fill>
      <patternFill patternType="solid">
        <fgColor indexed="10"/>
        <bgColor indexed="64"/>
      </patternFill>
    </fill>
    <fill>
      <patternFill patternType="gray125">
        <bgColor indexed="22"/>
      </patternFill>
    </fill>
    <fill>
      <patternFill patternType="solid">
        <fgColor indexed="57"/>
        <bgColor indexed="64"/>
      </patternFill>
    </fill>
    <fill>
      <patternFill patternType="solid">
        <fgColor theme="0" tint="-0.14999847407452621"/>
        <bgColor indexed="64"/>
      </patternFill>
    </fill>
    <fill>
      <patternFill patternType="solid">
        <fgColor theme="0" tint="-0.14957121494186223"/>
        <bgColor indexed="64"/>
      </patternFill>
    </fill>
    <fill>
      <patternFill patternType="solid">
        <fgColor theme="0" tint="-0.14951017792291024"/>
        <bgColor theme="4" tint="0.79949339274269848"/>
      </patternFill>
    </fill>
  </fills>
  <borders count="322">
    <border>
      <left/>
      <right/>
      <top/>
      <bottom/>
      <diagonal/>
    </border>
    <border>
      <left style="thin">
        <color auto="1"/>
      </left>
      <right style="thin">
        <color auto="1"/>
      </right>
      <top style="thin">
        <color auto="1"/>
      </top>
      <bottom style="thin">
        <color auto="1"/>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theme="0"/>
      </left>
      <right style="thin">
        <color theme="0"/>
      </right>
      <top/>
      <bottom style="thin">
        <color theme="0"/>
      </bottom>
      <diagonal/>
    </border>
    <border>
      <left/>
      <right style="thin">
        <color theme="0"/>
      </right>
      <top style="thin">
        <color theme="0"/>
      </top>
      <bottom style="thin">
        <color theme="0"/>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thin">
        <color theme="0"/>
      </right>
      <top style="thin">
        <color theme="0"/>
      </top>
      <bottom/>
      <diagonal/>
    </border>
    <border>
      <left/>
      <right style="thin">
        <color rgb="FFFFFFFF"/>
      </right>
      <top/>
      <bottom style="thick">
        <color rgb="FFFFFFFF"/>
      </bottom>
      <diagonal/>
    </border>
    <border>
      <left style="thin">
        <color rgb="FFFFFFFF"/>
      </left>
      <right/>
      <top/>
      <bottom style="thick">
        <color rgb="FFFFFFFF"/>
      </bottom>
      <diagonal/>
    </border>
    <border>
      <left/>
      <right/>
      <top/>
      <bottom style="thick">
        <color rgb="FFFFFFFF"/>
      </bottom>
      <diagonal/>
    </border>
    <border>
      <left style="thin">
        <color rgb="FFFFFFFF"/>
      </left>
      <right style="thin">
        <color rgb="FFFFFFFF"/>
      </right>
      <top/>
      <bottom style="thick">
        <color rgb="FFFFFFFF"/>
      </bottom>
      <diagonal/>
    </border>
    <border>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right style="thin">
        <color rgb="FFFFFFFF"/>
      </right>
      <top style="thick">
        <color rgb="FFFFFFFF"/>
      </top>
      <bottom style="thin">
        <color rgb="FFFFFFFF"/>
      </bottom>
      <diagonal/>
    </border>
    <border>
      <left style="thin">
        <color rgb="FFFFFFFF"/>
      </left>
      <right/>
      <top style="thick">
        <color rgb="FFFFFFFF"/>
      </top>
      <bottom style="thin">
        <color rgb="FFFFFFFF"/>
      </bottom>
      <diagonal/>
    </border>
    <border>
      <left/>
      <right/>
      <top style="thick">
        <color rgb="FFFFFFFF"/>
      </top>
      <bottom style="thin">
        <color rgb="FFFFFFFF"/>
      </bottom>
      <diagonal/>
    </border>
    <border>
      <left style="thin">
        <color rgb="FFFFFFFF"/>
      </left>
      <right style="thin">
        <color rgb="FFFFFFFF"/>
      </right>
      <top style="thick">
        <color rgb="FFFFFFFF"/>
      </top>
      <bottom style="thin">
        <color rgb="FFFFFFFF"/>
      </bottom>
      <diagonal/>
    </border>
    <border>
      <left style="thin">
        <color auto="1"/>
      </left>
      <right style="thin">
        <color auto="1"/>
      </right>
      <top/>
      <bottom style="thin">
        <color auto="1"/>
      </bottom>
      <diagonal/>
    </border>
    <border>
      <left style="thin">
        <color auto="1"/>
      </left>
      <right/>
      <top style="thin">
        <color auto="1"/>
      </top>
      <bottom/>
      <diagonal/>
    </border>
    <border>
      <left/>
      <right/>
      <top style="thin">
        <color auto="1"/>
      </top>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style="double">
        <color rgb="FF0000FF"/>
      </right>
      <top/>
      <bottom style="thin">
        <color auto="1"/>
      </bottom>
      <diagonal/>
    </border>
    <border>
      <left style="double">
        <color rgb="FF0000FF"/>
      </left>
      <right/>
      <top style="double">
        <color rgb="FF0000FF"/>
      </top>
      <bottom/>
      <diagonal/>
    </border>
    <border>
      <left/>
      <right style="double">
        <color rgb="FF0000FF"/>
      </right>
      <top style="double">
        <color rgb="FF0000FF"/>
      </top>
      <bottom/>
      <diagonal/>
    </border>
    <border>
      <left style="double">
        <color rgb="FF0000FF"/>
      </left>
      <right style="double">
        <color rgb="FF0000FF"/>
      </right>
      <top style="double">
        <color rgb="FF0000FF"/>
      </top>
      <bottom/>
      <diagonal/>
    </border>
    <border>
      <left style="double">
        <color rgb="FF0033CC"/>
      </left>
      <right style="thin">
        <color auto="1"/>
      </right>
      <top style="double">
        <color rgb="FF0033CC"/>
      </top>
      <bottom style="thin">
        <color auto="1"/>
      </bottom>
      <diagonal/>
    </border>
    <border>
      <left style="thin">
        <color auto="1"/>
      </left>
      <right style="thin">
        <color auto="1"/>
      </right>
      <top style="double">
        <color rgb="FF0033CC"/>
      </top>
      <bottom style="thin">
        <color auto="1"/>
      </bottom>
      <diagonal/>
    </border>
    <border>
      <left style="double">
        <color rgb="FF0033CC"/>
      </left>
      <right style="thin">
        <color auto="1"/>
      </right>
      <top style="thin">
        <color auto="1"/>
      </top>
      <bottom style="double">
        <color rgb="FF0033CC"/>
      </bottom>
      <diagonal/>
    </border>
    <border>
      <left style="thin">
        <color auto="1"/>
      </left>
      <right style="thin">
        <color auto="1"/>
      </right>
      <top style="thin">
        <color auto="1"/>
      </top>
      <bottom style="double">
        <color rgb="FF0033CC"/>
      </bottom>
      <diagonal/>
    </border>
    <border>
      <left style="double">
        <color indexed="39"/>
      </left>
      <right style="thin">
        <color indexed="39"/>
      </right>
      <top style="double">
        <color indexed="39"/>
      </top>
      <bottom style="dashed">
        <color indexed="39"/>
      </bottom>
      <diagonal/>
    </border>
    <border>
      <left style="thin">
        <color indexed="39"/>
      </left>
      <right style="thin">
        <color indexed="39"/>
      </right>
      <top style="double">
        <color indexed="39"/>
      </top>
      <bottom style="dashed">
        <color indexed="39"/>
      </bottom>
      <diagonal/>
    </border>
    <border>
      <left style="thin">
        <color indexed="39"/>
      </left>
      <right/>
      <top style="double">
        <color indexed="39"/>
      </top>
      <bottom style="dashed">
        <color indexed="39"/>
      </bottom>
      <diagonal/>
    </border>
    <border>
      <left/>
      <right style="double">
        <color indexed="39"/>
      </right>
      <top style="double">
        <color indexed="39"/>
      </top>
      <bottom style="dashed">
        <color indexed="39"/>
      </bottom>
      <diagonal/>
    </border>
    <border>
      <left style="double">
        <color indexed="39"/>
      </left>
      <right style="hair">
        <color indexed="39"/>
      </right>
      <top style="hair">
        <color indexed="39"/>
      </top>
      <bottom style="hair">
        <color indexed="39"/>
      </bottom>
      <diagonal/>
    </border>
    <border>
      <left style="thin">
        <color indexed="39"/>
      </left>
      <right style="thin">
        <color indexed="39"/>
      </right>
      <top style="dashed">
        <color indexed="39"/>
      </top>
      <bottom style="dashed">
        <color indexed="39"/>
      </bottom>
      <diagonal/>
    </border>
    <border>
      <left style="thin">
        <color auto="1"/>
      </left>
      <right/>
      <top style="dashed">
        <color indexed="39"/>
      </top>
      <bottom style="dashed">
        <color indexed="39"/>
      </bottom>
      <diagonal/>
    </border>
    <border>
      <left/>
      <right style="double">
        <color rgb="FF0000FF"/>
      </right>
      <top style="dashed">
        <color indexed="12"/>
      </top>
      <bottom style="dashed">
        <color indexed="39"/>
      </bottom>
      <diagonal/>
    </border>
    <border>
      <left style="double">
        <color indexed="39"/>
      </left>
      <right style="hair">
        <color indexed="39"/>
      </right>
      <top style="hair">
        <color indexed="39"/>
      </top>
      <bottom style="double">
        <color indexed="39"/>
      </bottom>
      <diagonal/>
    </border>
    <border>
      <left style="thin">
        <color indexed="39"/>
      </left>
      <right style="thin">
        <color indexed="39"/>
      </right>
      <top style="dashed">
        <color indexed="39"/>
      </top>
      <bottom style="double">
        <color indexed="39"/>
      </bottom>
      <diagonal/>
    </border>
    <border>
      <left style="double">
        <color indexed="39"/>
      </left>
      <right style="thin">
        <color auto="1"/>
      </right>
      <top style="double">
        <color indexed="39"/>
      </top>
      <bottom style="hair">
        <color indexed="39"/>
      </bottom>
      <diagonal/>
    </border>
    <border>
      <left style="thin">
        <color auto="1"/>
      </left>
      <right style="thin">
        <color auto="1"/>
      </right>
      <top style="double">
        <color indexed="39"/>
      </top>
      <bottom style="hair">
        <color indexed="39"/>
      </bottom>
      <diagonal/>
    </border>
    <border>
      <left style="thin">
        <color auto="1"/>
      </left>
      <right/>
      <top style="double">
        <color indexed="39"/>
      </top>
      <bottom/>
      <diagonal/>
    </border>
    <border>
      <left style="thin">
        <color auto="1"/>
      </left>
      <right style="thin">
        <color auto="1"/>
      </right>
      <top style="double">
        <color indexed="39"/>
      </top>
      <bottom style="hair">
        <color auto="1"/>
      </bottom>
      <diagonal/>
    </border>
    <border>
      <left style="thin">
        <color auto="1"/>
      </left>
      <right/>
      <top style="double">
        <color indexed="39"/>
      </top>
      <bottom style="hair">
        <color indexed="39"/>
      </bottom>
      <diagonal/>
    </border>
    <border>
      <left style="thin">
        <color auto="1"/>
      </left>
      <right style="double">
        <color indexed="39"/>
      </right>
      <top style="double">
        <color indexed="39"/>
      </top>
      <bottom style="thin">
        <color auto="1"/>
      </bottom>
      <diagonal/>
    </border>
    <border>
      <left style="double">
        <color indexed="39"/>
      </left>
      <right style="hair">
        <color indexed="39"/>
      </right>
      <top style="hair">
        <color indexed="39"/>
      </top>
      <bottom/>
      <diagonal/>
    </border>
    <border>
      <left style="thin">
        <color auto="1"/>
      </left>
      <right style="thin">
        <color auto="1"/>
      </right>
      <top style="hair">
        <color indexed="39"/>
      </top>
      <bottom/>
      <diagonal/>
    </border>
    <border>
      <left style="thin">
        <color auto="1"/>
      </left>
      <right style="thin">
        <color auto="1"/>
      </right>
      <top style="hair">
        <color auto="1"/>
      </top>
      <bottom/>
      <diagonal/>
    </border>
    <border>
      <left style="thin">
        <color auto="1"/>
      </left>
      <right style="double">
        <color indexed="39"/>
      </right>
      <top style="thin">
        <color auto="1"/>
      </top>
      <bottom/>
      <diagonal/>
    </border>
    <border>
      <left style="double">
        <color indexed="39"/>
      </left>
      <right style="hair">
        <color indexed="39"/>
      </right>
      <top/>
      <bottom style="hair">
        <color indexed="39"/>
      </bottom>
      <diagonal/>
    </border>
    <border>
      <left style="thin">
        <color auto="1"/>
      </left>
      <right style="thin">
        <color auto="1"/>
      </right>
      <top/>
      <bottom style="hair">
        <color indexed="39"/>
      </bottom>
      <diagonal/>
    </border>
    <border>
      <left style="thin">
        <color auto="1"/>
      </left>
      <right style="thin">
        <color auto="1"/>
      </right>
      <top/>
      <bottom style="hair">
        <color auto="1"/>
      </bottom>
      <diagonal/>
    </border>
    <border>
      <left style="thin">
        <color auto="1"/>
      </left>
      <right style="double">
        <color indexed="39"/>
      </right>
      <top/>
      <bottom style="hair">
        <color auto="1"/>
      </bottom>
      <diagonal/>
    </border>
    <border>
      <left style="thin">
        <color auto="1"/>
      </left>
      <right style="thin">
        <color auto="1"/>
      </right>
      <top style="hair">
        <color indexed="39"/>
      </top>
      <bottom style="hair">
        <color indexed="39"/>
      </bottom>
      <diagonal/>
    </border>
    <border>
      <left style="thin">
        <color auto="1"/>
      </left>
      <right style="thin">
        <color auto="1"/>
      </right>
      <top style="hair">
        <color auto="1"/>
      </top>
      <bottom style="hair">
        <color auto="1"/>
      </bottom>
      <diagonal/>
    </border>
    <border>
      <left style="thin">
        <color auto="1"/>
      </left>
      <right style="thin">
        <color auto="1"/>
      </right>
      <top style="hair">
        <color indexed="39"/>
      </top>
      <bottom style="hair">
        <color auto="1"/>
      </bottom>
      <diagonal/>
    </border>
    <border>
      <left style="thin">
        <color auto="1"/>
      </left>
      <right style="double">
        <color indexed="39"/>
      </right>
      <top style="thin">
        <color auto="1"/>
      </top>
      <bottom style="hair">
        <color auto="1"/>
      </bottom>
      <diagonal/>
    </border>
    <border>
      <left style="double">
        <color rgb="FF0000FF"/>
      </left>
      <right style="thin">
        <color auto="1"/>
      </right>
      <top style="double">
        <color indexed="12"/>
      </top>
      <bottom style="thin">
        <color auto="1"/>
      </bottom>
      <diagonal/>
    </border>
    <border>
      <left style="thin">
        <color auto="1"/>
      </left>
      <right style="thin">
        <color auto="1"/>
      </right>
      <top style="double">
        <color indexed="39"/>
      </top>
      <bottom style="thin">
        <color auto="1"/>
      </bottom>
      <diagonal/>
    </border>
    <border>
      <left style="thin">
        <color auto="1"/>
      </left>
      <right style="thin">
        <color auto="1"/>
      </right>
      <top style="double">
        <color indexed="12"/>
      </top>
      <bottom style="thin">
        <color auto="1"/>
      </bottom>
      <diagonal/>
    </border>
    <border>
      <left style="double">
        <color rgb="FF0000FF"/>
      </left>
      <right style="thin">
        <color auto="1"/>
      </right>
      <top style="thin">
        <color auto="1"/>
      </top>
      <bottom style="thin">
        <color auto="1"/>
      </bottom>
      <diagonal/>
    </border>
    <border>
      <left style="double">
        <color rgb="FF0000FF"/>
      </left>
      <right style="thin">
        <color auto="1"/>
      </right>
      <top style="thin">
        <color auto="1"/>
      </top>
      <bottom style="double">
        <color rgb="FF0000FF"/>
      </bottom>
      <diagonal/>
    </border>
    <border>
      <left style="thin">
        <color auto="1"/>
      </left>
      <right style="thin">
        <color auto="1"/>
      </right>
      <top style="thin">
        <color auto="1"/>
      </top>
      <bottom style="double">
        <color rgb="FF0000FF"/>
      </bottom>
      <diagonal/>
    </border>
    <border>
      <left style="thin">
        <color auto="1"/>
      </left>
      <right style="double">
        <color rgb="FF0033CC"/>
      </right>
      <top style="double">
        <color rgb="FF0033CC"/>
      </top>
      <bottom style="thin">
        <color auto="1"/>
      </bottom>
      <diagonal/>
    </border>
    <border>
      <left style="thin">
        <color auto="1"/>
      </left>
      <right style="double">
        <color rgb="FF0033CC"/>
      </right>
      <top style="thin">
        <color auto="1"/>
      </top>
      <bottom style="double">
        <color rgb="FF0033CC"/>
      </bottom>
      <diagonal/>
    </border>
    <border>
      <left style="double">
        <color indexed="39"/>
      </left>
      <right style="thin">
        <color auto="1"/>
      </right>
      <top style="thin">
        <color auto="1"/>
      </top>
      <bottom style="double">
        <color indexed="39"/>
      </bottom>
      <diagonal/>
    </border>
    <border>
      <left style="thin">
        <color auto="1"/>
      </left>
      <right style="thin">
        <color auto="1"/>
      </right>
      <top style="thin">
        <color auto="1"/>
      </top>
      <bottom style="double">
        <color indexed="39"/>
      </bottom>
      <diagonal/>
    </border>
    <border>
      <left/>
      <right style="thin">
        <color auto="1"/>
      </right>
      <top style="thin">
        <color auto="1"/>
      </top>
      <bottom style="double">
        <color indexed="39"/>
      </bottom>
      <diagonal/>
    </border>
    <border>
      <left/>
      <right style="double">
        <color indexed="39"/>
      </right>
      <top style="thin">
        <color auto="1"/>
      </top>
      <bottom style="double">
        <color indexed="39"/>
      </bottom>
      <diagonal/>
    </border>
    <border>
      <left style="double">
        <color indexed="39"/>
      </left>
      <right style="thin">
        <color auto="1"/>
      </right>
      <top style="double">
        <color indexed="39"/>
      </top>
      <bottom style="thin">
        <color auto="1"/>
      </bottom>
      <diagonal/>
    </border>
    <border>
      <left style="thin">
        <color auto="1"/>
      </left>
      <right style="double">
        <color rgb="FF0000FF"/>
      </right>
      <top style="thin">
        <color auto="1"/>
      </top>
      <bottom style="thin">
        <color auto="1"/>
      </bottom>
      <diagonal/>
    </border>
    <border>
      <left style="double">
        <color auto="1"/>
      </left>
      <right style="thin">
        <color auto="1"/>
      </right>
      <top style="double">
        <color auto="1"/>
      </top>
      <bottom style="thin">
        <color auto="1"/>
      </bottom>
      <diagonal/>
    </border>
    <border>
      <left style="double">
        <color auto="1"/>
      </left>
      <right style="thin">
        <color auto="1"/>
      </right>
      <top style="double">
        <color auto="1"/>
      </top>
      <bottom style="double">
        <color auto="1"/>
      </bottom>
      <diagonal/>
    </border>
    <border>
      <left style="thin">
        <color auto="1"/>
      </left>
      <right style="thin">
        <color auto="1"/>
      </right>
      <top style="double">
        <color auto="1"/>
      </top>
      <bottom style="double">
        <color auto="1"/>
      </bottom>
      <diagonal/>
    </border>
    <border>
      <left style="thin">
        <color auto="1"/>
      </left>
      <right style="double">
        <color auto="1"/>
      </right>
      <top style="double">
        <color auto="1"/>
      </top>
      <bottom style="double">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double">
        <color theme="0"/>
      </left>
      <right style="double">
        <color theme="0"/>
      </right>
      <top/>
      <bottom style="double">
        <color theme="0"/>
      </bottom>
      <diagonal/>
    </border>
    <border>
      <left style="thin">
        <color auto="1"/>
      </left>
      <right style="thin">
        <color auto="1"/>
      </right>
      <top style="double">
        <color auto="1"/>
      </top>
      <bottom style="thin">
        <color auto="1"/>
      </bottom>
      <diagonal/>
    </border>
    <border>
      <left style="thin">
        <color auto="1"/>
      </left>
      <right style="double">
        <color auto="1"/>
      </right>
      <top style="double">
        <color auto="1"/>
      </top>
      <bottom style="thin">
        <color auto="1"/>
      </bottom>
      <diagonal/>
    </border>
    <border>
      <left style="double">
        <color auto="1"/>
      </left>
      <right style="double">
        <color auto="1"/>
      </right>
      <top style="double">
        <color auto="1"/>
      </top>
      <bottom/>
      <diagonal/>
    </border>
    <border>
      <left style="thin">
        <color auto="1"/>
      </left>
      <right style="double">
        <color auto="1"/>
      </right>
      <top style="thin">
        <color auto="1"/>
      </top>
      <bottom style="double">
        <color auto="1"/>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double">
        <color auto="1"/>
      </left>
      <right style="double">
        <color auto="1"/>
      </right>
      <top style="double">
        <color auto="1"/>
      </top>
      <bottom style="double">
        <color auto="1"/>
      </bottom>
      <diagonal/>
    </border>
    <border>
      <left style="double">
        <color auto="1"/>
      </left>
      <right style="thin">
        <color auto="1"/>
      </right>
      <top style="thin">
        <color auto="1"/>
      </top>
      <bottom style="thin">
        <color auto="1"/>
      </bottom>
      <diagonal/>
    </border>
    <border>
      <left style="thin">
        <color auto="1"/>
      </left>
      <right style="thin">
        <color theme="1"/>
      </right>
      <top style="thin">
        <color auto="1"/>
      </top>
      <bottom style="thin">
        <color auto="1"/>
      </bottom>
      <diagonal/>
    </border>
    <border>
      <left style="thin">
        <color theme="1"/>
      </left>
      <right/>
      <top style="thin">
        <color auto="1"/>
      </top>
      <bottom style="thin">
        <color auto="1"/>
      </bottom>
      <diagonal/>
    </border>
    <border>
      <left/>
      <right style="double">
        <color auto="1"/>
      </right>
      <top style="thin">
        <color auto="1"/>
      </top>
      <bottom style="thin">
        <color auto="1"/>
      </bottom>
      <diagonal/>
    </border>
    <border>
      <left/>
      <right/>
      <top style="thin">
        <color auto="1"/>
      </top>
      <bottom style="double">
        <color auto="1"/>
      </bottom>
      <diagonal/>
    </border>
    <border>
      <left style="thin">
        <color auto="1"/>
      </left>
      <right style="thin">
        <color theme="1"/>
      </right>
      <top style="thin">
        <color auto="1"/>
      </top>
      <bottom style="double">
        <color auto="1"/>
      </bottom>
      <diagonal/>
    </border>
    <border>
      <left style="thin">
        <color theme="1"/>
      </left>
      <right/>
      <top style="thin">
        <color auto="1"/>
      </top>
      <bottom style="double">
        <color auto="1"/>
      </bottom>
      <diagonal/>
    </border>
    <border>
      <left/>
      <right style="double">
        <color auto="1"/>
      </right>
      <top style="thin">
        <color auto="1"/>
      </top>
      <bottom style="double">
        <color auto="1"/>
      </bottom>
      <diagonal/>
    </border>
    <border>
      <left style="thin">
        <color auto="1"/>
      </left>
      <right style="double">
        <color auto="1"/>
      </right>
      <top style="thin">
        <color auto="1"/>
      </top>
      <bottom style="thin">
        <color auto="1"/>
      </bottom>
      <diagonal/>
    </border>
    <border>
      <left style="double">
        <color auto="1"/>
      </left>
      <right/>
      <top style="double">
        <color auto="1"/>
      </top>
      <bottom/>
      <diagonal/>
    </border>
    <border>
      <left/>
      <right style="double">
        <color auto="1"/>
      </right>
      <top style="double">
        <color auto="1"/>
      </top>
      <bottom/>
      <diagonal/>
    </border>
    <border>
      <left style="double">
        <color auto="1"/>
      </left>
      <right/>
      <top/>
      <bottom style="double">
        <color auto="1"/>
      </bottom>
      <diagonal/>
    </border>
    <border>
      <left/>
      <right style="double">
        <color auto="1"/>
      </right>
      <top/>
      <bottom style="double">
        <color auto="1"/>
      </bottom>
      <diagonal/>
    </border>
    <border>
      <left style="double">
        <color auto="1"/>
      </left>
      <right/>
      <top style="double">
        <color auto="1"/>
      </top>
      <bottom style="double">
        <color auto="1"/>
      </bottom>
      <diagonal/>
    </border>
    <border>
      <left/>
      <right style="double">
        <color auto="1"/>
      </right>
      <top style="double">
        <color auto="1"/>
      </top>
      <bottom style="double">
        <color auto="1"/>
      </bottom>
      <diagonal/>
    </border>
    <border>
      <left style="thin">
        <color auto="1"/>
      </left>
      <right/>
      <top style="double">
        <color auto="1"/>
      </top>
      <bottom style="thin">
        <color auto="1"/>
      </bottom>
      <diagonal/>
    </border>
    <border>
      <left/>
      <right/>
      <top style="double">
        <color auto="1"/>
      </top>
      <bottom style="thin">
        <color auto="1"/>
      </bottom>
      <diagonal/>
    </border>
    <border>
      <left/>
      <right style="double">
        <color auto="1"/>
      </right>
      <top style="double">
        <color auto="1"/>
      </top>
      <bottom style="thin">
        <color auto="1"/>
      </bottom>
      <diagonal/>
    </border>
    <border>
      <left style="thin">
        <color auto="1"/>
      </left>
      <right style="thin">
        <color auto="1"/>
      </right>
      <top/>
      <bottom/>
      <diagonal/>
    </border>
    <border>
      <left style="double">
        <color auto="1"/>
      </left>
      <right style="thin">
        <color auto="1"/>
      </right>
      <top style="thin">
        <color auto="1"/>
      </top>
      <bottom/>
      <diagonal/>
    </border>
    <border>
      <left style="thin">
        <color theme="1"/>
      </left>
      <right style="thin">
        <color theme="1"/>
      </right>
      <top style="thin">
        <color theme="1"/>
      </top>
      <bottom style="thin">
        <color theme="1"/>
      </bottom>
      <diagonal/>
    </border>
    <border>
      <left style="double">
        <color auto="1"/>
      </left>
      <right style="thin">
        <color theme="1"/>
      </right>
      <top style="thin">
        <color theme="1"/>
      </top>
      <bottom style="double">
        <color auto="1"/>
      </bottom>
      <diagonal/>
    </border>
    <border>
      <left style="thin">
        <color theme="1"/>
      </left>
      <right style="thin">
        <color theme="1"/>
      </right>
      <top style="thin">
        <color theme="1"/>
      </top>
      <bottom style="double">
        <color auto="1"/>
      </bottom>
      <diagonal/>
    </border>
    <border>
      <left style="thin">
        <color auto="1"/>
      </left>
      <right/>
      <top style="thin">
        <color auto="1"/>
      </top>
      <bottom style="double">
        <color auto="1"/>
      </bottom>
      <diagonal/>
    </border>
    <border>
      <left/>
      <right/>
      <top/>
      <bottom style="thin">
        <color theme="0"/>
      </bottom>
      <diagonal/>
    </border>
    <border>
      <left/>
      <right/>
      <top/>
      <bottom style="double">
        <color indexed="39"/>
      </bottom>
      <diagonal/>
    </border>
    <border>
      <left/>
      <right style="double">
        <color indexed="39"/>
      </right>
      <top/>
      <bottom style="double">
        <color indexed="39"/>
      </bottom>
      <diagonal/>
    </border>
    <border>
      <left style="double">
        <color indexed="39"/>
      </left>
      <right style="hair">
        <color indexed="39"/>
      </right>
      <top style="double">
        <color indexed="39"/>
      </top>
      <bottom style="double">
        <color indexed="39"/>
      </bottom>
      <diagonal/>
    </border>
    <border>
      <left style="hair">
        <color auto="1"/>
      </left>
      <right style="hair">
        <color auto="1"/>
      </right>
      <top style="double">
        <color indexed="39"/>
      </top>
      <bottom style="double">
        <color indexed="39"/>
      </bottom>
      <diagonal/>
    </border>
    <border>
      <left style="double">
        <color indexed="39"/>
      </left>
      <right style="hair">
        <color indexed="39"/>
      </right>
      <top style="double">
        <color indexed="39"/>
      </top>
      <bottom style="hair">
        <color indexed="39"/>
      </bottom>
      <diagonal/>
    </border>
    <border>
      <left style="hair">
        <color indexed="39"/>
      </left>
      <right style="hair">
        <color indexed="39"/>
      </right>
      <top style="double">
        <color indexed="39"/>
      </top>
      <bottom style="hair">
        <color indexed="39"/>
      </bottom>
      <diagonal/>
    </border>
    <border>
      <left style="hair">
        <color indexed="39"/>
      </left>
      <right style="hair">
        <color indexed="39"/>
      </right>
      <top/>
      <bottom style="hair">
        <color indexed="39"/>
      </bottom>
      <diagonal/>
    </border>
    <border>
      <left/>
      <right style="hair">
        <color rgb="FF0000FF"/>
      </right>
      <top/>
      <bottom style="hair">
        <color rgb="FF0000FF"/>
      </bottom>
      <diagonal/>
    </border>
    <border>
      <left style="hair">
        <color rgb="FF0000FF"/>
      </left>
      <right style="hair">
        <color rgb="FF0000FF"/>
      </right>
      <top/>
      <bottom style="hair">
        <color rgb="FF0000FF"/>
      </bottom>
      <diagonal/>
    </border>
    <border>
      <left style="hair">
        <color rgb="FF0000FF"/>
      </left>
      <right/>
      <top/>
      <bottom style="hair">
        <color rgb="FF0000FF"/>
      </bottom>
      <diagonal/>
    </border>
    <border>
      <left style="hair">
        <color indexed="39"/>
      </left>
      <right style="hair">
        <color indexed="39"/>
      </right>
      <top style="hair">
        <color indexed="39"/>
      </top>
      <bottom style="hair">
        <color indexed="39"/>
      </bottom>
      <diagonal/>
    </border>
    <border>
      <left/>
      <right style="hair">
        <color rgb="FF0000FF"/>
      </right>
      <top style="hair">
        <color rgb="FF0000FF"/>
      </top>
      <bottom style="hair">
        <color rgb="FF0000FF"/>
      </bottom>
      <diagonal/>
    </border>
    <border>
      <left style="hair">
        <color rgb="FF0000FF"/>
      </left>
      <right style="hair">
        <color rgb="FF0000FF"/>
      </right>
      <top style="hair">
        <color rgb="FF0000FF"/>
      </top>
      <bottom style="hair">
        <color rgb="FF0000FF"/>
      </bottom>
      <diagonal/>
    </border>
    <border>
      <left style="hair">
        <color rgb="FF0000FF"/>
      </left>
      <right/>
      <top style="hair">
        <color rgb="FF0000FF"/>
      </top>
      <bottom style="hair">
        <color rgb="FF0000FF"/>
      </bottom>
      <diagonal/>
    </border>
    <border>
      <left/>
      <right style="hair">
        <color rgb="FF0000FF"/>
      </right>
      <top style="hair">
        <color rgb="FF0000FF"/>
      </top>
      <bottom/>
      <diagonal/>
    </border>
    <border>
      <left style="hair">
        <color rgb="FF0000FF"/>
      </left>
      <right style="hair">
        <color rgb="FF0000FF"/>
      </right>
      <top style="hair">
        <color rgb="FF0000FF"/>
      </top>
      <bottom/>
      <diagonal/>
    </border>
    <border>
      <left style="hair">
        <color rgb="FF0000FF"/>
      </left>
      <right/>
      <top style="hair">
        <color rgb="FF0000FF"/>
      </top>
      <bottom/>
      <diagonal/>
    </border>
    <border>
      <left/>
      <right/>
      <top style="double">
        <color indexed="39"/>
      </top>
      <bottom/>
      <diagonal/>
    </border>
    <border>
      <left style="double">
        <color indexed="39"/>
      </left>
      <right style="hair">
        <color indexed="39"/>
      </right>
      <top style="double">
        <color indexed="39"/>
      </top>
      <bottom/>
      <diagonal/>
    </border>
    <border>
      <left style="hair">
        <color indexed="39"/>
      </left>
      <right style="thin">
        <color auto="1"/>
      </right>
      <top style="double">
        <color indexed="39"/>
      </top>
      <bottom/>
      <diagonal/>
    </border>
    <border>
      <left/>
      <right style="hair">
        <color indexed="39"/>
      </right>
      <top style="double">
        <color indexed="39"/>
      </top>
      <bottom/>
      <diagonal/>
    </border>
    <border>
      <left style="double">
        <color indexed="39"/>
      </left>
      <right style="double">
        <color indexed="39"/>
      </right>
      <top style="double">
        <color indexed="39"/>
      </top>
      <bottom/>
      <diagonal/>
    </border>
    <border>
      <left style="double">
        <color indexed="39"/>
      </left>
      <right style="hair">
        <color indexed="39"/>
      </right>
      <top/>
      <bottom style="double">
        <color indexed="39"/>
      </bottom>
      <diagonal/>
    </border>
    <border>
      <left style="hair">
        <color indexed="39"/>
      </left>
      <right style="thin">
        <color auto="1"/>
      </right>
      <top/>
      <bottom style="double">
        <color indexed="39"/>
      </bottom>
      <diagonal/>
    </border>
    <border>
      <left style="thin">
        <color auto="1"/>
      </left>
      <right style="double">
        <color indexed="39"/>
      </right>
      <top style="thin">
        <color auto="1"/>
      </top>
      <bottom style="double">
        <color indexed="39"/>
      </bottom>
      <diagonal/>
    </border>
    <border>
      <left style="hair">
        <color auto="1"/>
      </left>
      <right/>
      <top style="double">
        <color indexed="39"/>
      </top>
      <bottom style="double">
        <color indexed="39"/>
      </bottom>
      <diagonal/>
    </border>
    <border>
      <left/>
      <right style="double">
        <color indexed="39"/>
      </right>
      <top style="double">
        <color indexed="39"/>
      </top>
      <bottom style="double">
        <color indexed="39"/>
      </bottom>
      <diagonal/>
    </border>
    <border>
      <left style="hair">
        <color indexed="39"/>
      </left>
      <right style="double">
        <color indexed="39"/>
      </right>
      <top style="double">
        <color indexed="39"/>
      </top>
      <bottom style="hair">
        <color indexed="39"/>
      </bottom>
      <diagonal/>
    </border>
    <border>
      <left style="hair">
        <color indexed="39"/>
      </left>
      <right style="double">
        <color indexed="39"/>
      </right>
      <top style="hair">
        <color indexed="39"/>
      </top>
      <bottom style="hair">
        <color indexed="39"/>
      </bottom>
      <diagonal/>
    </border>
    <border>
      <left style="hair">
        <color indexed="39"/>
      </left>
      <right style="hair">
        <color indexed="39"/>
      </right>
      <top style="hair">
        <color indexed="39"/>
      </top>
      <bottom/>
      <diagonal/>
    </border>
    <border>
      <left style="hair">
        <color auto="1"/>
      </left>
      <right style="double">
        <color auto="1"/>
      </right>
      <top style="hair">
        <color auto="1"/>
      </top>
      <bottom/>
      <diagonal/>
    </border>
    <border>
      <left style="hair">
        <color indexed="39"/>
      </left>
      <right style="hair">
        <color indexed="39"/>
      </right>
      <top style="hair">
        <color indexed="39"/>
      </top>
      <bottom style="double">
        <color indexed="39"/>
      </bottom>
      <diagonal/>
    </border>
    <border>
      <left style="hair">
        <color auto="1"/>
      </left>
      <right style="double">
        <color rgb="FF0000FF"/>
      </right>
      <top style="hair">
        <color auto="1"/>
      </top>
      <bottom style="double">
        <color indexed="39"/>
      </bottom>
      <diagonal/>
    </border>
    <border>
      <left style="double">
        <color rgb="FF0033CC"/>
      </left>
      <right style="double">
        <color indexed="12"/>
      </right>
      <top style="double">
        <color indexed="12"/>
      </top>
      <bottom style="double">
        <color rgb="FF0033CC"/>
      </bottom>
      <diagonal/>
    </border>
    <border>
      <left style="double">
        <color indexed="39"/>
      </left>
      <right style="thin">
        <color auto="1"/>
      </right>
      <top style="double">
        <color indexed="39"/>
      </top>
      <bottom style="hair">
        <color auto="1"/>
      </bottom>
      <diagonal/>
    </border>
    <border>
      <left style="thin">
        <color auto="1"/>
      </left>
      <right style="thin">
        <color auto="1"/>
      </right>
      <top style="double">
        <color indexed="39"/>
      </top>
      <bottom/>
      <diagonal/>
    </border>
    <border>
      <left style="thin">
        <color auto="1"/>
      </left>
      <right/>
      <top style="double">
        <color indexed="39"/>
      </top>
      <bottom style="hair">
        <color auto="1"/>
      </bottom>
      <diagonal/>
    </border>
    <border>
      <left style="hair">
        <color auto="1"/>
      </left>
      <right style="double">
        <color rgb="FF0000FF"/>
      </right>
      <top style="double">
        <color indexed="39"/>
      </top>
      <bottom style="hair">
        <color auto="1"/>
      </bottom>
      <diagonal/>
    </border>
    <border>
      <left style="double">
        <color indexed="39"/>
      </left>
      <right style="thin">
        <color auto="1"/>
      </right>
      <top/>
      <bottom style="hair">
        <color auto="1"/>
      </bottom>
      <diagonal/>
    </border>
    <border>
      <left style="hair">
        <color auto="1"/>
      </left>
      <right style="double">
        <color rgb="FF0000FF"/>
      </right>
      <top style="hair">
        <color auto="1"/>
      </top>
      <bottom style="hair">
        <color auto="1"/>
      </bottom>
      <diagonal/>
    </border>
    <border>
      <left style="double">
        <color indexed="39"/>
      </left>
      <right style="thin">
        <color auto="1"/>
      </right>
      <top/>
      <bottom/>
      <diagonal/>
    </border>
    <border>
      <left style="double">
        <color indexed="39"/>
      </left>
      <right style="thin">
        <color auto="1"/>
      </right>
      <top/>
      <bottom style="double">
        <color indexed="39"/>
      </bottom>
      <diagonal/>
    </border>
    <border>
      <left/>
      <right style="hair">
        <color indexed="39"/>
      </right>
      <top/>
      <bottom style="hair">
        <color indexed="39"/>
      </bottom>
      <diagonal/>
    </border>
    <border>
      <left/>
      <right style="hair">
        <color indexed="39"/>
      </right>
      <top style="double">
        <color indexed="39"/>
      </top>
      <bottom style="hair">
        <color indexed="39"/>
      </bottom>
      <diagonal/>
    </border>
    <border>
      <left style="thin">
        <color auto="1"/>
      </left>
      <right style="double">
        <color indexed="39"/>
      </right>
      <top style="double">
        <color indexed="39"/>
      </top>
      <bottom style="hair">
        <color auto="1"/>
      </bottom>
      <diagonal/>
    </border>
    <border>
      <left style="thin">
        <color auto="1"/>
      </left>
      <right style="double">
        <color indexed="39"/>
      </right>
      <top style="hair">
        <color auto="1"/>
      </top>
      <bottom style="double">
        <color indexed="39"/>
      </bottom>
      <diagonal/>
    </border>
    <border>
      <left style="double">
        <color indexed="39"/>
      </left>
      <right style="thin">
        <color auto="1"/>
      </right>
      <top style="hair">
        <color auto="1"/>
      </top>
      <bottom style="double">
        <color indexed="39"/>
      </bottom>
      <diagonal/>
    </border>
    <border>
      <left style="double">
        <color indexed="39"/>
      </left>
      <right style="thin">
        <color auto="1"/>
      </right>
      <top style="double">
        <color indexed="39"/>
      </top>
      <bottom/>
      <diagonal/>
    </border>
    <border>
      <left style="thin">
        <color auto="1"/>
      </left>
      <right style="double">
        <color rgb="FF0000FF"/>
      </right>
      <top style="double">
        <color indexed="39"/>
      </top>
      <bottom/>
      <diagonal/>
    </border>
    <border>
      <left style="hair">
        <color indexed="39"/>
      </left>
      <right style="hair">
        <color indexed="39"/>
      </right>
      <top style="double">
        <color indexed="39"/>
      </top>
      <bottom/>
      <diagonal/>
    </border>
    <border>
      <left style="hair">
        <color indexed="39"/>
      </left>
      <right/>
      <top style="double">
        <color indexed="39"/>
      </top>
      <bottom style="hair">
        <color indexed="39"/>
      </bottom>
      <diagonal/>
    </border>
    <border>
      <left style="hair">
        <color indexed="39"/>
      </left>
      <right/>
      <top style="hair">
        <color indexed="39"/>
      </top>
      <bottom style="hair">
        <color indexed="39"/>
      </bottom>
      <diagonal/>
    </border>
    <border>
      <left/>
      <right style="hair">
        <color indexed="39"/>
      </right>
      <top style="hair">
        <color indexed="39"/>
      </top>
      <bottom style="hair">
        <color indexed="39"/>
      </bottom>
      <diagonal/>
    </border>
    <border>
      <left style="hair">
        <color indexed="39"/>
      </left>
      <right/>
      <top style="hair">
        <color indexed="39"/>
      </top>
      <bottom style="double">
        <color indexed="39"/>
      </bottom>
      <diagonal/>
    </border>
    <border>
      <left/>
      <right style="hair">
        <color indexed="39"/>
      </right>
      <top style="hair">
        <color indexed="39"/>
      </top>
      <bottom style="double">
        <color indexed="39"/>
      </bottom>
      <diagonal/>
    </border>
    <border>
      <left/>
      <right style="thin">
        <color theme="0"/>
      </right>
      <top/>
      <bottom/>
      <diagonal/>
    </border>
    <border>
      <left style="thin">
        <color theme="0"/>
      </left>
      <right style="thin">
        <color theme="0"/>
      </right>
      <top/>
      <bottom/>
      <diagonal/>
    </border>
    <border>
      <left style="hair">
        <color indexed="39"/>
      </left>
      <right style="double">
        <color indexed="39"/>
      </right>
      <top style="double">
        <color indexed="39"/>
      </top>
      <bottom/>
      <diagonal/>
    </border>
    <border>
      <left style="hair">
        <color indexed="39"/>
      </left>
      <right style="double">
        <color indexed="39"/>
      </right>
      <top/>
      <bottom style="hair">
        <color indexed="39"/>
      </bottom>
      <diagonal/>
    </border>
    <border>
      <left style="hair">
        <color indexed="39"/>
      </left>
      <right/>
      <top/>
      <bottom style="hair">
        <color indexed="39"/>
      </bottom>
      <diagonal/>
    </border>
    <border>
      <left style="hair">
        <color indexed="39"/>
      </left>
      <right style="double">
        <color indexed="39"/>
      </right>
      <top/>
      <bottom/>
      <diagonal/>
    </border>
    <border>
      <left style="hair">
        <color indexed="39"/>
      </left>
      <right style="double">
        <color indexed="39"/>
      </right>
      <top style="hair">
        <color indexed="39"/>
      </top>
      <bottom/>
      <diagonal/>
    </border>
    <border>
      <left style="hair">
        <color indexed="39"/>
      </left>
      <right style="hair">
        <color indexed="39"/>
      </right>
      <top/>
      <bottom style="double">
        <color indexed="39"/>
      </bottom>
      <diagonal/>
    </border>
    <border>
      <left style="hair">
        <color indexed="39"/>
      </left>
      <right style="double">
        <color indexed="39"/>
      </right>
      <top/>
      <bottom style="double">
        <color indexed="39"/>
      </bottom>
      <diagonal/>
    </border>
    <border>
      <left style="thin">
        <color indexed="9"/>
      </left>
      <right style="thin">
        <color indexed="9"/>
      </right>
      <top style="thin">
        <color indexed="9"/>
      </top>
      <bottom style="thin">
        <color indexed="9"/>
      </bottom>
      <diagonal/>
    </border>
    <border>
      <left style="double">
        <color rgb="FF0066FF"/>
      </left>
      <right style="hair">
        <color rgb="FF0066FF"/>
      </right>
      <top style="hair">
        <color indexed="12"/>
      </top>
      <bottom/>
      <diagonal/>
    </border>
    <border>
      <left style="double">
        <color rgb="FF0066FF"/>
      </left>
      <right style="hair">
        <color rgb="FF0066FF"/>
      </right>
      <top style="hair">
        <color rgb="FF0066FF"/>
      </top>
      <bottom/>
      <diagonal/>
    </border>
    <border>
      <left style="double">
        <color rgb="FF0066FF"/>
      </left>
      <right style="hair">
        <color rgb="FF0066FF"/>
      </right>
      <top style="hair">
        <color rgb="FF0066FF"/>
      </top>
      <bottom style="double">
        <color rgb="FF0066FF"/>
      </bottom>
      <diagonal/>
    </border>
    <border>
      <left style="double">
        <color rgb="FF0066FF"/>
      </left>
      <right style="hair">
        <color rgb="FF0066FF"/>
      </right>
      <top/>
      <bottom style="hair">
        <color rgb="FF0066FF"/>
      </bottom>
      <diagonal/>
    </border>
    <border>
      <left style="double">
        <color indexed="39"/>
      </left>
      <right/>
      <top style="double">
        <color indexed="39"/>
      </top>
      <bottom/>
      <diagonal/>
    </border>
    <border>
      <left style="double">
        <color indexed="39"/>
      </left>
      <right/>
      <top/>
      <bottom style="hair">
        <color indexed="39"/>
      </bottom>
      <diagonal/>
    </border>
    <border>
      <left/>
      <right style="double">
        <color indexed="39"/>
      </right>
      <top style="double">
        <color indexed="39"/>
      </top>
      <bottom/>
      <diagonal/>
    </border>
    <border>
      <left/>
      <right style="double">
        <color indexed="39"/>
      </right>
      <top/>
      <bottom style="hair">
        <color indexed="39"/>
      </bottom>
      <diagonal/>
    </border>
    <border>
      <left style="hair">
        <color rgb="FF0066FF"/>
      </left>
      <right style="double">
        <color rgb="FF0066FF"/>
      </right>
      <top style="hair">
        <color indexed="12"/>
      </top>
      <bottom/>
      <diagonal/>
    </border>
    <border>
      <left style="hair">
        <color rgb="FF0066FF"/>
      </left>
      <right style="double">
        <color rgb="FF0066FF"/>
      </right>
      <top/>
      <bottom style="hair">
        <color rgb="FF0066FF"/>
      </bottom>
      <diagonal/>
    </border>
    <border>
      <left style="hair">
        <color rgb="FF0066FF"/>
      </left>
      <right style="double">
        <color rgb="FF0066FF"/>
      </right>
      <top style="hair">
        <color rgb="FF0066FF"/>
      </top>
      <bottom/>
      <diagonal/>
    </border>
    <border>
      <left style="hair">
        <color rgb="FF0066FF"/>
      </left>
      <right style="double">
        <color rgb="FF0066FF"/>
      </right>
      <top style="hair">
        <color rgb="FF0066FF"/>
      </top>
      <bottom style="double">
        <color rgb="FF0066FF"/>
      </bottom>
      <diagonal/>
    </border>
    <border>
      <left/>
      <right/>
      <top/>
      <bottom style="double">
        <color rgb="FF0000FF"/>
      </bottom>
      <diagonal/>
    </border>
    <border>
      <left style="double">
        <color rgb="FF0000FF"/>
      </left>
      <right style="thin">
        <color auto="1"/>
      </right>
      <top style="double">
        <color rgb="FF0000FF"/>
      </top>
      <bottom/>
      <diagonal/>
    </border>
    <border>
      <left style="thin">
        <color auto="1"/>
      </left>
      <right style="thin">
        <color auto="1"/>
      </right>
      <top style="double">
        <color rgb="FF0000FF"/>
      </top>
      <bottom/>
      <diagonal/>
    </border>
    <border>
      <left style="thin">
        <color auto="1"/>
      </left>
      <right/>
      <top style="double">
        <color rgb="FF0000FF"/>
      </top>
      <bottom/>
      <diagonal/>
    </border>
    <border>
      <left/>
      <right/>
      <top style="double">
        <color rgb="FF0000FF"/>
      </top>
      <bottom/>
      <diagonal/>
    </border>
    <border>
      <left/>
      <right style="thin">
        <color auto="1"/>
      </right>
      <top style="double">
        <color rgb="FF0000FF"/>
      </top>
      <bottom/>
      <diagonal/>
    </border>
    <border>
      <left style="double">
        <color rgb="FF0000FF"/>
      </left>
      <right style="thin">
        <color auto="1"/>
      </right>
      <top/>
      <bottom style="thin">
        <color auto="1"/>
      </bottom>
      <diagonal/>
    </border>
    <border>
      <left style="double">
        <color rgb="FF0000FF"/>
      </left>
      <right style="thin">
        <color auto="1"/>
      </right>
      <top style="thin">
        <color auto="1"/>
      </top>
      <bottom/>
      <diagonal/>
    </border>
    <border>
      <left style="double">
        <color rgb="FF0000FF"/>
      </left>
      <right style="thin">
        <color auto="1"/>
      </right>
      <top/>
      <bottom/>
      <diagonal/>
    </border>
    <border>
      <left style="double">
        <color rgb="FF0000FF"/>
      </left>
      <right style="thin">
        <color auto="1"/>
      </right>
      <top/>
      <bottom style="double">
        <color rgb="FF0000FF"/>
      </bottom>
      <diagonal/>
    </border>
    <border>
      <left/>
      <right style="thin">
        <color auto="1"/>
      </right>
      <top style="thin">
        <color auto="1"/>
      </top>
      <bottom style="double">
        <color rgb="FF0066FF"/>
      </bottom>
      <diagonal/>
    </border>
    <border>
      <left style="thin">
        <color auto="1"/>
      </left>
      <right style="thin">
        <color auto="1"/>
      </right>
      <top style="thin">
        <color auto="1"/>
      </top>
      <bottom style="double">
        <color rgb="FF0066FF"/>
      </bottom>
      <diagonal/>
    </border>
    <border>
      <left style="thin">
        <color auto="1"/>
      </left>
      <right style="thin">
        <color auto="1"/>
      </right>
      <top style="hair">
        <color rgb="FF0066FF"/>
      </top>
      <bottom style="double">
        <color rgb="FF0000FF"/>
      </bottom>
      <diagonal/>
    </border>
    <border>
      <left/>
      <right style="thin">
        <color auto="1"/>
      </right>
      <top/>
      <bottom style="double">
        <color rgb="FF0000FF"/>
      </bottom>
      <diagonal/>
    </border>
    <border>
      <left style="thin">
        <color auto="1"/>
      </left>
      <right style="double">
        <color rgb="FF0000FF"/>
      </right>
      <top style="double">
        <color rgb="FF0000FF"/>
      </top>
      <bottom/>
      <diagonal/>
    </border>
    <border>
      <left style="thin">
        <color auto="1"/>
      </left>
      <right style="double">
        <color rgb="FF0000FF"/>
      </right>
      <top/>
      <bottom style="thin">
        <color auto="1"/>
      </bottom>
      <diagonal/>
    </border>
    <border>
      <left/>
      <right/>
      <top/>
      <bottom style="medium">
        <color auto="1"/>
      </bottom>
      <diagonal/>
    </border>
    <border>
      <left style="medium">
        <color auto="1"/>
      </left>
      <right/>
      <top/>
      <bottom/>
      <diagonal/>
    </border>
    <border>
      <left style="medium">
        <color auto="1"/>
      </left>
      <right/>
      <top style="medium">
        <color auto="1"/>
      </top>
      <bottom/>
      <diagonal/>
    </border>
    <border>
      <left/>
      <right/>
      <top style="medium">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style="medium">
        <color auto="1"/>
      </top>
      <bottom style="medium">
        <color auto="1"/>
      </bottom>
      <diagonal/>
    </border>
    <border>
      <left style="medium">
        <color auto="1"/>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thin">
        <color auto="1"/>
      </left>
      <right style="medium">
        <color auto="1"/>
      </right>
      <top style="thin">
        <color auto="1"/>
      </top>
      <bottom style="thin">
        <color auto="1"/>
      </bottom>
      <diagonal/>
    </border>
    <border>
      <left style="thin">
        <color rgb="FF000000"/>
      </left>
      <right style="thin">
        <color rgb="FF000000"/>
      </right>
      <top/>
      <bottom style="thin">
        <color rgb="FF000000"/>
      </bottom>
      <diagonal/>
    </border>
    <border>
      <left style="thin">
        <color auto="1"/>
      </left>
      <right/>
      <top style="thin">
        <color auto="1"/>
      </top>
      <bottom style="medium">
        <color auto="1"/>
      </bottom>
      <diagonal/>
    </border>
    <border>
      <left/>
      <right style="thin">
        <color auto="1"/>
      </right>
      <top style="thin">
        <color auto="1"/>
      </top>
      <bottom style="medium">
        <color auto="1"/>
      </bottom>
      <diagonal/>
    </border>
    <border>
      <left/>
      <right style="medium">
        <color auto="1"/>
      </right>
      <top/>
      <bottom/>
      <diagonal/>
    </border>
    <border>
      <left style="thin">
        <color rgb="FF000000"/>
      </left>
      <right style="thin">
        <color rgb="FF000000"/>
      </right>
      <top style="thin">
        <color rgb="FF000000"/>
      </top>
      <bottom style="thin">
        <color rgb="FF000000"/>
      </bottom>
      <diagonal/>
    </border>
    <border>
      <left style="medium">
        <color auto="1"/>
      </left>
      <right style="medium">
        <color auto="1"/>
      </right>
      <top/>
      <bottom style="medium">
        <color auto="1"/>
      </bottom>
      <diagonal/>
    </border>
    <border>
      <left/>
      <right style="medium">
        <color auto="1"/>
      </right>
      <top style="medium">
        <color auto="1"/>
      </top>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thin">
        <color auto="1"/>
      </right>
      <top style="thin">
        <color auto="1"/>
      </top>
      <bottom style="thin">
        <color auto="1"/>
      </bottom>
      <diagonal/>
    </border>
    <border>
      <left style="medium">
        <color auto="1"/>
      </left>
      <right/>
      <top/>
      <bottom style="thin">
        <color auto="1"/>
      </bottom>
      <diagonal/>
    </border>
    <border>
      <left style="medium">
        <color auto="1"/>
      </left>
      <right style="medium">
        <color auto="1"/>
      </right>
      <top style="thin">
        <color auto="1"/>
      </top>
      <bottom style="thin">
        <color auto="1"/>
      </bottom>
      <diagonal/>
    </border>
    <border>
      <left style="medium">
        <color auto="1"/>
      </left>
      <right/>
      <top style="thin">
        <color auto="1"/>
      </top>
      <bottom style="thin">
        <color auto="1"/>
      </bottom>
      <diagonal/>
    </border>
    <border>
      <left/>
      <right style="medium">
        <color auto="1"/>
      </right>
      <top/>
      <bottom style="thin">
        <color auto="1"/>
      </bottom>
      <diagonal/>
    </border>
    <border>
      <left style="medium">
        <color auto="1"/>
      </left>
      <right/>
      <top/>
      <bottom style="medium">
        <color auto="1"/>
      </bottom>
      <diagonal/>
    </border>
    <border>
      <left/>
      <right/>
      <top style="medium">
        <color auto="1"/>
      </top>
      <bottom style="thin">
        <color auto="1"/>
      </bottom>
      <diagonal/>
    </border>
    <border>
      <left/>
      <right style="medium">
        <color auto="1"/>
      </right>
      <top/>
      <bottom style="medium">
        <color auto="1"/>
      </bottom>
      <diagonal/>
    </border>
    <border>
      <left style="medium">
        <color auto="1"/>
      </left>
      <right style="medium">
        <color auto="1"/>
      </right>
      <top/>
      <bottom style="thin">
        <color auto="1"/>
      </bottom>
      <diagonal/>
    </border>
    <border>
      <left style="thin">
        <color rgb="FF000000"/>
      </left>
      <right/>
      <top style="thin">
        <color auto="1"/>
      </top>
      <bottom/>
      <diagonal/>
    </border>
    <border>
      <left style="thin">
        <color rgb="FF000000"/>
      </left>
      <right/>
      <top/>
      <bottom style="thin">
        <color rgb="FF000000"/>
      </bottom>
      <diagonal/>
    </border>
    <border>
      <left/>
      <right/>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bottom style="thin">
        <color rgb="FF000000"/>
      </bottom>
      <diagonal/>
    </border>
    <border>
      <left style="thin">
        <color rgb="FF000000"/>
      </left>
      <right/>
      <top/>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medium">
        <color rgb="FF000000"/>
      </right>
      <top style="thin">
        <color rgb="FF000000"/>
      </top>
      <bottom style="medium">
        <color rgb="FF000000"/>
      </bottom>
      <diagonal/>
    </border>
    <border>
      <left style="medium">
        <color auto="1"/>
      </left>
      <right style="thin">
        <color auto="1"/>
      </right>
      <top style="medium">
        <color auto="1"/>
      </top>
      <bottom/>
      <diagonal/>
    </border>
    <border>
      <left/>
      <right style="thin">
        <color rgb="FF000000"/>
      </right>
      <top style="thin">
        <color auto="1"/>
      </top>
      <bottom/>
      <diagonal/>
    </border>
    <border>
      <left/>
      <right style="thin">
        <color rgb="FF000000"/>
      </right>
      <top style="thin">
        <color rgb="FF000000"/>
      </top>
      <bottom/>
      <diagonal/>
    </border>
    <border>
      <left/>
      <right style="thin">
        <color rgb="FF000000"/>
      </right>
      <top/>
      <bottom/>
      <diagonal/>
    </border>
    <border>
      <left style="thin">
        <color indexed="9"/>
      </left>
      <right/>
      <top/>
      <bottom style="thin">
        <color theme="0"/>
      </bottom>
      <diagonal/>
    </border>
    <border>
      <left style="thin">
        <color indexed="9"/>
      </left>
      <right/>
      <top style="thin">
        <color theme="0"/>
      </top>
      <bottom style="thin">
        <color theme="0"/>
      </bottom>
      <diagonal/>
    </border>
    <border>
      <left/>
      <right/>
      <top style="thin">
        <color theme="0"/>
      </top>
      <bottom style="thin">
        <color theme="0"/>
      </bottom>
      <diagonal/>
    </border>
    <border>
      <left style="thin">
        <color indexed="9"/>
      </left>
      <right style="thin">
        <color indexed="9"/>
      </right>
      <top/>
      <bottom style="thin">
        <color indexed="9"/>
      </bottom>
      <diagonal/>
    </border>
    <border>
      <left style="thin">
        <color indexed="9"/>
      </left>
      <right/>
      <top/>
      <bottom style="thin">
        <color indexed="9"/>
      </bottom>
      <diagonal/>
    </border>
    <border>
      <left/>
      <right style="thin">
        <color rgb="FFFFFFFF"/>
      </right>
      <top/>
      <bottom/>
      <diagonal/>
    </border>
    <border>
      <left style="thin">
        <color rgb="FFFFFFFF"/>
      </left>
      <right style="thin">
        <color rgb="FFFFFFFF"/>
      </right>
      <top/>
      <bottom/>
      <diagonal/>
    </border>
    <border>
      <left style="thin">
        <color indexed="9"/>
      </left>
      <right/>
      <top style="thin">
        <color indexed="9"/>
      </top>
      <bottom style="thin">
        <color indexed="9"/>
      </bottom>
      <diagonal/>
    </border>
    <border>
      <left style="thin">
        <color indexed="9"/>
      </left>
      <right/>
      <top/>
      <bottom/>
      <diagonal/>
    </border>
    <border>
      <left style="thin">
        <color indexed="9"/>
      </left>
      <right style="thin">
        <color indexed="9"/>
      </right>
      <top/>
      <bottom/>
      <diagonal/>
    </border>
    <border>
      <left/>
      <right/>
      <top/>
      <bottom style="thin">
        <color indexed="9"/>
      </bottom>
      <diagonal/>
    </border>
    <border>
      <left/>
      <right/>
      <top style="thin">
        <color indexed="9"/>
      </top>
      <bottom style="thin">
        <color indexed="9"/>
      </bottom>
      <diagonal/>
    </border>
    <border>
      <left style="thin">
        <color indexed="9"/>
      </left>
      <right style="thin">
        <color indexed="9"/>
      </right>
      <top style="thin">
        <color indexed="9"/>
      </top>
      <bottom/>
      <diagonal/>
    </border>
    <border>
      <left style="thin">
        <color indexed="9"/>
      </left>
      <right style="hair">
        <color indexed="22"/>
      </right>
      <top/>
      <bottom style="thin">
        <color indexed="9"/>
      </bottom>
      <diagonal/>
    </border>
    <border>
      <left style="hair">
        <color indexed="22"/>
      </left>
      <right/>
      <top/>
      <bottom style="hair">
        <color indexed="22"/>
      </bottom>
      <diagonal/>
    </border>
    <border>
      <left/>
      <right/>
      <top/>
      <bottom style="hair">
        <color indexed="22"/>
      </bottom>
      <diagonal/>
    </border>
    <border>
      <left style="thin">
        <color rgb="FFFFFFFF"/>
      </left>
      <right/>
      <top/>
      <bottom/>
      <diagonal/>
    </border>
    <border>
      <left/>
      <right style="hair">
        <color indexed="22"/>
      </right>
      <top/>
      <bottom style="thin">
        <color indexed="9"/>
      </bottom>
      <diagonal/>
    </border>
    <border>
      <left style="thin">
        <color indexed="9"/>
      </left>
      <right style="thin">
        <color indexed="9"/>
      </right>
      <top style="thin">
        <color theme="0"/>
      </top>
      <bottom/>
      <diagonal/>
    </border>
    <border>
      <left/>
      <right style="thin">
        <color theme="0"/>
      </right>
      <top/>
      <bottom style="thin">
        <color theme="0"/>
      </bottom>
      <diagonal/>
    </border>
    <border>
      <left style="thin">
        <color theme="0"/>
      </left>
      <right/>
      <top style="thin">
        <color theme="0"/>
      </top>
      <bottom/>
      <diagonal/>
    </border>
    <border>
      <left/>
      <right/>
      <top style="thin">
        <color theme="0"/>
      </top>
      <bottom style="thin">
        <color auto="1"/>
      </bottom>
      <diagonal/>
    </border>
    <border>
      <left/>
      <right style="thin">
        <color theme="0"/>
      </right>
      <top style="thin">
        <color theme="0"/>
      </top>
      <bottom style="thin">
        <color auto="1"/>
      </bottom>
      <diagonal/>
    </border>
    <border>
      <left style="thin">
        <color theme="0"/>
      </left>
      <right/>
      <top/>
      <bottom style="thin">
        <color theme="0"/>
      </bottom>
      <diagonal/>
    </border>
    <border>
      <left style="thin">
        <color theme="0"/>
      </left>
      <right/>
      <top/>
      <bottom/>
      <diagonal/>
    </border>
    <border>
      <left style="thin">
        <color theme="0"/>
      </left>
      <right/>
      <top style="thin">
        <color theme="0"/>
      </top>
      <bottom style="thin">
        <color auto="1"/>
      </bottom>
      <diagonal/>
    </border>
    <border>
      <left style="mediumDashDotDot">
        <color auto="1"/>
      </left>
      <right/>
      <top style="mediumDashDotDot">
        <color auto="1"/>
      </top>
      <bottom/>
      <diagonal/>
    </border>
    <border>
      <left/>
      <right/>
      <top style="mediumDashDotDot">
        <color auto="1"/>
      </top>
      <bottom/>
      <diagonal/>
    </border>
    <border>
      <left/>
      <right style="mediumDashDotDot">
        <color auto="1"/>
      </right>
      <top style="mediumDashDotDot">
        <color auto="1"/>
      </top>
      <bottom/>
      <diagonal/>
    </border>
    <border>
      <left style="mediumDashDotDot">
        <color auto="1"/>
      </left>
      <right/>
      <top/>
      <bottom/>
      <diagonal/>
    </border>
    <border>
      <left/>
      <right style="mediumDashDotDot">
        <color auto="1"/>
      </right>
      <top/>
      <bottom/>
      <diagonal/>
    </border>
    <border>
      <left/>
      <right/>
      <top/>
      <bottom style="mediumDashDot">
        <color auto="1"/>
      </bottom>
      <diagonal/>
    </border>
    <border>
      <left/>
      <right style="mediumDashDot">
        <color auto="1"/>
      </right>
      <top/>
      <bottom style="mediumDashDot">
        <color auto="1"/>
      </bottom>
      <diagonal/>
    </border>
    <border>
      <left style="mediumDashDot">
        <color auto="1"/>
      </left>
      <right/>
      <top style="mediumDashDot">
        <color auto="1"/>
      </top>
      <bottom/>
      <diagonal/>
    </border>
    <border>
      <left/>
      <right style="mediumDashDot">
        <color auto="1"/>
      </right>
      <top style="mediumDashDot">
        <color auto="1"/>
      </top>
      <bottom/>
      <diagonal/>
    </border>
    <border>
      <left/>
      <right/>
      <top style="mediumDashDot">
        <color auto="1"/>
      </top>
      <bottom/>
      <diagonal/>
    </border>
    <border>
      <left style="mediumDashDot">
        <color auto="1"/>
      </left>
      <right/>
      <top/>
      <bottom/>
      <diagonal/>
    </border>
    <border>
      <left/>
      <right style="mediumDashDot">
        <color auto="1"/>
      </right>
      <top/>
      <bottom/>
      <diagonal/>
    </border>
    <border>
      <left style="mediumDashDot">
        <color auto="1"/>
      </left>
      <right/>
      <top/>
      <bottom style="mediumDashDot">
        <color auto="1"/>
      </bottom>
      <diagonal/>
    </border>
    <border>
      <left/>
      <right/>
      <top style="thin">
        <color indexed="54"/>
      </top>
      <bottom style="double">
        <color indexed="54"/>
      </bottom>
      <diagonal/>
    </border>
    <border>
      <left style="double">
        <color indexed="63"/>
      </left>
      <right style="double">
        <color indexed="63"/>
      </right>
      <top style="double">
        <color indexed="63"/>
      </top>
      <bottom style="double">
        <color indexed="63"/>
      </bottom>
      <diagonal/>
    </border>
    <border>
      <left style="thin">
        <color indexed="23"/>
      </left>
      <right style="thin">
        <color indexed="23"/>
      </right>
      <top style="thin">
        <color indexed="23"/>
      </top>
      <bottom style="thin">
        <color indexed="23"/>
      </bottom>
      <diagonal/>
    </border>
    <border>
      <left/>
      <right/>
      <top/>
      <bottom style="thick">
        <color indexed="49"/>
      </bottom>
      <diagonal/>
    </border>
    <border>
      <left/>
      <right/>
      <top/>
      <bottom style="thick">
        <color indexed="54"/>
      </bottom>
      <diagonal/>
    </border>
    <border>
      <left/>
      <right/>
      <top/>
      <bottom style="thick">
        <color indexed="22"/>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right/>
      <top/>
      <bottom style="medium">
        <color indexed="44"/>
      </bottom>
      <diagonal/>
    </border>
    <border>
      <left/>
      <right/>
      <top/>
      <bottom style="thick">
        <color indexed="62"/>
      </bottom>
      <diagonal/>
    </border>
    <border>
      <left style="hair">
        <color rgb="FF0066FF"/>
      </left>
      <right style="double">
        <color rgb="FF0066FF"/>
      </right>
      <top style="hair">
        <color indexed="39"/>
      </top>
      <bottom/>
      <diagonal/>
    </border>
    <border>
      <left style="double">
        <color rgb="FF0066FF"/>
      </left>
      <right style="hair">
        <color rgb="FF0066FF"/>
      </right>
      <top style="hair">
        <color indexed="39"/>
      </top>
      <bottom/>
      <diagonal/>
    </border>
    <border>
      <left style="thin">
        <color theme="0"/>
      </left>
      <right/>
      <top style="thin">
        <color auto="1"/>
      </top>
      <bottom style="thin">
        <color theme="0"/>
      </bottom>
      <diagonal/>
    </border>
    <border>
      <left/>
      <right style="thin">
        <color theme="0"/>
      </right>
      <top style="thin">
        <color auto="1"/>
      </top>
      <bottom style="thin">
        <color theme="0"/>
      </bottom>
      <diagonal/>
    </border>
  </borders>
  <cellStyleXfs count="328">
    <xf numFmtId="0" fontId="0" fillId="0" borderId="0"/>
    <xf numFmtId="0" fontId="86" fillId="64" borderId="0" applyNumberFormat="0" applyBorder="0" applyAlignment="0" applyProtection="0"/>
    <xf numFmtId="0" fontId="92" fillId="65" borderId="0" applyNumberFormat="0" applyBorder="0" applyAlignment="0" applyProtection="0">
      <alignment vertical="center"/>
    </xf>
    <xf numFmtId="0" fontId="86" fillId="70" borderId="0" applyNumberFormat="0" applyBorder="0" applyAlignment="0" applyProtection="0"/>
    <xf numFmtId="0" fontId="101" fillId="35" borderId="307" applyNumberFormat="0" applyAlignment="0" applyProtection="0">
      <alignment vertical="center"/>
    </xf>
    <xf numFmtId="0" fontId="94" fillId="65" borderId="307" applyNumberFormat="0" applyAlignment="0" applyProtection="0">
      <alignment vertical="center"/>
    </xf>
    <xf numFmtId="177" fontId="106" fillId="0" borderId="1">
      <alignment horizontal="center" vertical="center"/>
      <protection locked="0"/>
    </xf>
    <xf numFmtId="0" fontId="92" fillId="62" borderId="0" applyNumberFormat="0" applyBorder="0" applyAlignment="0" applyProtection="0"/>
    <xf numFmtId="0" fontId="77" fillId="0" borderId="0" applyNumberFormat="0" applyFill="0" applyBorder="0" applyAlignment="0" applyProtection="0">
      <alignment vertical="top"/>
      <protection locked="0"/>
    </xf>
    <xf numFmtId="0" fontId="112" fillId="61" borderId="0" applyNumberFormat="0" applyBorder="0" applyAlignment="0" applyProtection="0">
      <alignment vertical="center"/>
    </xf>
    <xf numFmtId="0" fontId="88" fillId="71" borderId="0" applyNumberFormat="0" applyBorder="0" applyAlignment="0" applyProtection="0"/>
    <xf numFmtId="0" fontId="105" fillId="61" borderId="0" applyNumberFormat="0" applyBorder="0" applyAlignment="0" applyProtection="0">
      <alignment vertical="center"/>
    </xf>
    <xf numFmtId="0" fontId="13" fillId="0" borderId="0">
      <alignment vertical="center"/>
    </xf>
    <xf numFmtId="9" fontId="99" fillId="0" borderId="0" applyFont="0" applyFill="0" applyBorder="0" applyAlignment="0" applyProtection="0">
      <alignment vertical="center"/>
    </xf>
    <xf numFmtId="9" fontId="17" fillId="0" borderId="0" applyFont="0" applyFill="0" applyBorder="0" applyAlignment="0" applyProtection="0"/>
    <xf numFmtId="0" fontId="104" fillId="0" borderId="0"/>
    <xf numFmtId="0" fontId="85" fillId="0" borderId="0"/>
    <xf numFmtId="0" fontId="92" fillId="83" borderId="0" applyNumberFormat="0" applyBorder="0" applyAlignment="0" applyProtection="0">
      <alignment vertical="center"/>
    </xf>
    <xf numFmtId="0" fontId="87" fillId="0" borderId="0" applyNumberFormat="0" applyFill="0" applyBorder="0" applyAlignment="0" applyProtection="0">
      <alignment vertical="top"/>
      <protection locked="0"/>
    </xf>
    <xf numFmtId="0" fontId="85" fillId="0" borderId="0">
      <alignment vertical="center"/>
    </xf>
    <xf numFmtId="0" fontId="94" fillId="65" borderId="307" applyNumberFormat="0" applyAlignment="0" applyProtection="0"/>
    <xf numFmtId="0" fontId="99" fillId="70" borderId="0" applyNumberFormat="0" applyBorder="0" applyAlignment="0" applyProtection="0">
      <alignment vertical="center"/>
    </xf>
    <xf numFmtId="0" fontId="86" fillId="72" borderId="0" applyNumberFormat="0" applyBorder="0" applyAlignment="0" applyProtection="0">
      <alignment vertical="center"/>
    </xf>
    <xf numFmtId="0" fontId="19" fillId="0" borderId="0"/>
    <xf numFmtId="0" fontId="125" fillId="0" borderId="316" applyNumberFormat="0" applyFill="0" applyAlignment="0" applyProtection="0"/>
    <xf numFmtId="0" fontId="86" fillId="61" borderId="0" applyNumberFormat="0" applyBorder="0" applyAlignment="0" applyProtection="0">
      <alignment vertical="center"/>
    </xf>
    <xf numFmtId="0" fontId="115" fillId="72" borderId="0" applyNumberFormat="0" applyBorder="0" applyAlignment="0" applyProtection="0">
      <alignment vertical="center"/>
    </xf>
    <xf numFmtId="0" fontId="86" fillId="72" borderId="0" applyNumberFormat="0" applyBorder="0" applyAlignment="0" applyProtection="0"/>
    <xf numFmtId="0" fontId="113" fillId="35" borderId="312" applyNumberFormat="0" applyAlignment="0" applyProtection="0">
      <alignment vertical="center"/>
    </xf>
    <xf numFmtId="0" fontId="86" fillId="61" borderId="0" applyNumberFormat="0" applyBorder="0" applyAlignment="0" applyProtection="0"/>
    <xf numFmtId="0" fontId="86" fillId="64" borderId="0" applyNumberFormat="0" applyBorder="0" applyAlignment="0" applyProtection="0">
      <alignment vertical="center"/>
    </xf>
    <xf numFmtId="0" fontId="86" fillId="74" borderId="0" applyNumberFormat="0" applyBorder="0" applyAlignment="0" applyProtection="0">
      <alignment vertical="center"/>
    </xf>
    <xf numFmtId="0" fontId="86" fillId="52" borderId="0" applyNumberFormat="0" applyBorder="0" applyAlignment="0" applyProtection="0">
      <alignment vertical="center"/>
    </xf>
    <xf numFmtId="37" fontId="97" fillId="0" borderId="0"/>
    <xf numFmtId="0" fontId="130" fillId="90" borderId="307" applyNumberFormat="0" applyAlignment="0" applyProtection="0">
      <alignment vertical="center"/>
    </xf>
    <xf numFmtId="0" fontId="85" fillId="0" borderId="0">
      <alignment vertical="center"/>
    </xf>
    <xf numFmtId="0" fontId="106" fillId="91" borderId="1">
      <alignment horizontal="center" vertical="center"/>
    </xf>
    <xf numFmtId="0" fontId="119" fillId="80" borderId="0" applyNumberFormat="0" applyBorder="0" applyAlignment="0" applyProtection="0">
      <alignment vertical="center"/>
    </xf>
    <xf numFmtId="0" fontId="125" fillId="0" borderId="316" applyNumberFormat="0" applyFill="0" applyAlignment="0" applyProtection="0">
      <alignment vertical="center"/>
    </xf>
    <xf numFmtId="0" fontId="88" fillId="66" borderId="0" applyNumberFormat="0" applyBorder="0" applyAlignment="0" applyProtection="0">
      <alignment vertical="center"/>
    </xf>
    <xf numFmtId="0" fontId="85" fillId="0" borderId="0"/>
    <xf numFmtId="0" fontId="86" fillId="74" borderId="0" applyNumberFormat="0" applyBorder="0" applyAlignment="0" applyProtection="0"/>
    <xf numFmtId="0" fontId="86" fillId="52" borderId="0" applyNumberFormat="0" applyBorder="0" applyAlignment="0" applyProtection="0"/>
    <xf numFmtId="0" fontId="130" fillId="90" borderId="307" applyNumberFormat="0" applyAlignment="0" applyProtection="0"/>
    <xf numFmtId="0" fontId="85" fillId="0" borderId="0"/>
    <xf numFmtId="0" fontId="85" fillId="0" borderId="0">
      <alignment vertical="center"/>
    </xf>
    <xf numFmtId="0" fontId="135" fillId="0" borderId="310" applyNumberFormat="0" applyFill="0" applyAlignment="0" applyProtection="0">
      <alignment vertical="center"/>
    </xf>
    <xf numFmtId="38" fontId="93" fillId="35" borderId="0" applyNumberFormat="0" applyBorder="0" applyAlignment="0" applyProtection="0"/>
    <xf numFmtId="0" fontId="104" fillId="0" borderId="0">
      <alignment vertical="center"/>
    </xf>
    <xf numFmtId="0" fontId="13" fillId="0" borderId="0">
      <alignment vertical="center"/>
    </xf>
    <xf numFmtId="0" fontId="86" fillId="70" borderId="0" applyNumberFormat="0" applyBorder="0" applyAlignment="0" applyProtection="0">
      <alignment vertical="center"/>
    </xf>
    <xf numFmtId="0" fontId="86" fillId="86" borderId="0" applyNumberFormat="0" applyBorder="0" applyAlignment="0" applyProtection="0"/>
    <xf numFmtId="0" fontId="86" fillId="86" borderId="0" applyNumberFormat="0" applyBorder="0" applyAlignment="0" applyProtection="0">
      <alignment vertical="center"/>
    </xf>
    <xf numFmtId="0" fontId="86" fillId="89" borderId="0" applyNumberFormat="0" applyBorder="0" applyAlignment="0" applyProtection="0"/>
    <xf numFmtId="0" fontId="86" fillId="89" borderId="0" applyNumberFormat="0" applyBorder="0" applyAlignment="0" applyProtection="0">
      <alignment vertical="center"/>
    </xf>
    <xf numFmtId="0" fontId="99" fillId="52" borderId="0" applyNumberFormat="0" applyBorder="0" applyAlignment="0" applyProtection="0">
      <alignment vertical="center"/>
    </xf>
    <xf numFmtId="0" fontId="51" fillId="0" borderId="0">
      <alignment vertical="center"/>
    </xf>
    <xf numFmtId="0" fontId="99" fillId="72" borderId="0" applyNumberFormat="0" applyBorder="0" applyAlignment="0" applyProtection="0">
      <alignment vertical="center"/>
    </xf>
    <xf numFmtId="0" fontId="111" fillId="0" borderId="310" applyNumberFormat="0" applyFill="0" applyAlignment="0" applyProtection="0"/>
    <xf numFmtId="0" fontId="99" fillId="61" borderId="0" applyNumberFormat="0" applyBorder="0" applyAlignment="0" applyProtection="0">
      <alignment vertical="center"/>
    </xf>
    <xf numFmtId="0" fontId="51" fillId="0" borderId="0">
      <alignment vertical="center"/>
    </xf>
    <xf numFmtId="0" fontId="99" fillId="70" borderId="0" applyNumberFormat="0" applyBorder="0" applyAlignment="0" applyProtection="0">
      <alignment vertical="center"/>
    </xf>
    <xf numFmtId="0" fontId="106" fillId="89" borderId="1">
      <alignment horizontal="center" vertical="center"/>
    </xf>
    <xf numFmtId="0" fontId="99" fillId="86" borderId="0" applyNumberFormat="0" applyBorder="0" applyAlignment="0" applyProtection="0">
      <alignment vertical="center"/>
    </xf>
    <xf numFmtId="0" fontId="99" fillId="89" borderId="0" applyNumberFormat="0" applyBorder="0" applyAlignment="0" applyProtection="0">
      <alignment vertical="center"/>
    </xf>
    <xf numFmtId="0" fontId="86" fillId="41" borderId="0" applyNumberFormat="0" applyBorder="0" applyAlignment="0" applyProtection="0"/>
    <xf numFmtId="0" fontId="86" fillId="41" borderId="0" applyNumberFormat="0" applyBorder="0" applyAlignment="0" applyProtection="0">
      <alignment vertical="center"/>
    </xf>
    <xf numFmtId="0" fontId="86" fillId="85" borderId="0" applyNumberFormat="0" applyBorder="0" applyAlignment="0" applyProtection="0"/>
    <xf numFmtId="0" fontId="86" fillId="85" borderId="0" applyNumberFormat="0" applyBorder="0" applyAlignment="0" applyProtection="0">
      <alignment vertical="center"/>
    </xf>
    <xf numFmtId="0" fontId="86" fillId="44" borderId="0" applyNumberFormat="0" applyBorder="0" applyAlignment="0" applyProtection="0"/>
    <xf numFmtId="0" fontId="86" fillId="44" borderId="0" applyNumberFormat="0" applyBorder="0" applyAlignment="0" applyProtection="0">
      <alignment vertical="center"/>
    </xf>
    <xf numFmtId="0" fontId="139" fillId="0" borderId="0" applyNumberFormat="0" applyFill="0" applyBorder="0" applyAlignment="0" applyProtection="0">
      <alignment vertical="top"/>
      <protection locked="0"/>
    </xf>
    <xf numFmtId="183" fontId="110" fillId="0" borderId="0"/>
    <xf numFmtId="0" fontId="86" fillId="70" borderId="0" applyNumberFormat="0" applyBorder="0" applyAlignment="0" applyProtection="0"/>
    <xf numFmtId="0" fontId="139" fillId="0" borderId="0" applyNumberFormat="0" applyFill="0" applyBorder="0" applyAlignment="0" applyProtection="0">
      <alignment vertical="top"/>
      <protection locked="0"/>
    </xf>
    <xf numFmtId="183" fontId="110" fillId="0" borderId="0">
      <alignment vertical="center"/>
    </xf>
    <xf numFmtId="0" fontId="86" fillId="70" borderId="0" applyNumberFormat="0" applyBorder="0" applyAlignment="0" applyProtection="0">
      <alignment vertical="center"/>
    </xf>
    <xf numFmtId="0" fontId="140" fillId="0" borderId="0" applyNumberFormat="0" applyFill="0" applyBorder="0" applyAlignment="0" applyProtection="0">
      <alignment vertical="center"/>
    </xf>
    <xf numFmtId="0" fontId="86" fillId="41" borderId="0" applyNumberFormat="0" applyBorder="0" applyAlignment="0" applyProtection="0"/>
    <xf numFmtId="0" fontId="86" fillId="41" borderId="0" applyNumberFormat="0" applyBorder="0" applyAlignment="0" applyProtection="0">
      <alignment vertical="center"/>
    </xf>
    <xf numFmtId="180" fontId="118" fillId="0" borderId="0" applyFont="0" applyFill="0" applyBorder="0" applyAlignment="0" applyProtection="0"/>
    <xf numFmtId="0" fontId="86" fillId="88" borderId="0" applyNumberFormat="0" applyBorder="0" applyAlignment="0" applyProtection="0"/>
    <xf numFmtId="0" fontId="13" fillId="0" borderId="0">
      <alignment vertical="center"/>
    </xf>
    <xf numFmtId="0" fontId="86" fillId="88" borderId="0" applyNumberFormat="0" applyBorder="0" applyAlignment="0" applyProtection="0">
      <alignment vertical="center"/>
    </xf>
    <xf numFmtId="0" fontId="89" fillId="0" borderId="0"/>
    <xf numFmtId="0" fontId="99" fillId="41" borderId="0" applyNumberFormat="0" applyBorder="0" applyAlignment="0" applyProtection="0">
      <alignment vertical="center"/>
    </xf>
    <xf numFmtId="0" fontId="99" fillId="85" borderId="0" applyNumberFormat="0" applyBorder="0" applyAlignment="0" applyProtection="0">
      <alignment vertical="center"/>
    </xf>
    <xf numFmtId="0" fontId="99" fillId="44" borderId="0" applyNumberFormat="0" applyBorder="0" applyAlignment="0" applyProtection="0">
      <alignment vertical="center"/>
    </xf>
    <xf numFmtId="0" fontId="99" fillId="41" borderId="0" applyNumberFormat="0" applyBorder="0" applyAlignment="0" applyProtection="0">
      <alignment vertical="center"/>
    </xf>
    <xf numFmtId="0" fontId="99" fillId="88" borderId="0" applyNumberFormat="0" applyBorder="0" applyAlignment="0" applyProtection="0">
      <alignment vertical="center"/>
    </xf>
    <xf numFmtId="0" fontId="92" fillId="40" borderId="0" applyNumberFormat="0" applyBorder="0" applyAlignment="0" applyProtection="0"/>
    <xf numFmtId="0" fontId="92" fillId="40" borderId="0" applyNumberFormat="0" applyBorder="0" applyAlignment="0" applyProtection="0">
      <alignment vertical="center"/>
    </xf>
    <xf numFmtId="0" fontId="13" fillId="0" borderId="0"/>
    <xf numFmtId="0" fontId="129" fillId="0" borderId="0" applyNumberFormat="0" applyFill="0" applyBorder="0" applyAlignment="0" applyProtection="0">
      <alignment vertical="center"/>
    </xf>
    <xf numFmtId="0" fontId="92" fillId="85" borderId="0" applyNumberFormat="0" applyBorder="0" applyAlignment="0" applyProtection="0"/>
    <xf numFmtId="0" fontId="13" fillId="0" borderId="0">
      <alignment vertical="center"/>
    </xf>
    <xf numFmtId="0" fontId="92" fillId="85" borderId="0" applyNumberFormat="0" applyBorder="0" applyAlignment="0" applyProtection="0">
      <alignment vertical="center"/>
    </xf>
    <xf numFmtId="0" fontId="13" fillId="0" borderId="0"/>
    <xf numFmtId="0" fontId="92" fillId="44" borderId="0" applyNumberFormat="0" applyBorder="0" applyAlignment="0" applyProtection="0"/>
    <xf numFmtId="0" fontId="13" fillId="0" borderId="0">
      <alignment vertical="center"/>
    </xf>
    <xf numFmtId="0" fontId="109" fillId="75" borderId="0" applyNumberFormat="0" applyBorder="0" applyAlignment="0" applyProtection="0"/>
    <xf numFmtId="0" fontId="92" fillId="44" borderId="0" applyNumberFormat="0" applyBorder="0" applyAlignment="0" applyProtection="0">
      <alignment vertical="center"/>
    </xf>
    <xf numFmtId="0" fontId="13" fillId="0" borderId="0"/>
    <xf numFmtId="0" fontId="92" fillId="69" borderId="0" applyNumberFormat="0" applyBorder="0" applyAlignment="0" applyProtection="0"/>
    <xf numFmtId="0" fontId="13" fillId="0" borderId="0">
      <alignment vertical="center"/>
    </xf>
    <xf numFmtId="0" fontId="92" fillId="69" borderId="0" applyNumberFormat="0" applyBorder="0" applyAlignment="0" applyProtection="0">
      <alignment vertical="center"/>
    </xf>
    <xf numFmtId="0" fontId="120" fillId="69" borderId="0" applyNumberFormat="0" applyBorder="0" applyAlignment="0" applyProtection="0">
      <alignment vertical="center"/>
    </xf>
    <xf numFmtId="0" fontId="99" fillId="0" borderId="0">
      <alignment vertical="center"/>
    </xf>
    <xf numFmtId="0" fontId="92" fillId="84" borderId="0" applyNumberFormat="0" applyBorder="0" applyAlignment="0" applyProtection="0"/>
    <xf numFmtId="0" fontId="92" fillId="84" borderId="0" applyNumberFormat="0" applyBorder="0" applyAlignment="0" applyProtection="0">
      <alignment vertical="center"/>
    </xf>
    <xf numFmtId="0" fontId="51" fillId="0" borderId="0">
      <alignment vertical="center"/>
    </xf>
    <xf numFmtId="0" fontId="92" fillId="87" borderId="0" applyNumberFormat="0" applyBorder="0" applyAlignment="0" applyProtection="0"/>
    <xf numFmtId="0" fontId="92" fillId="87" borderId="0" applyNumberFormat="0" applyBorder="0" applyAlignment="0" applyProtection="0">
      <alignment vertical="center"/>
    </xf>
    <xf numFmtId="0" fontId="125" fillId="0" borderId="0" applyNumberFormat="0" applyFill="0" applyBorder="0" applyAlignment="0" applyProtection="0"/>
    <xf numFmtId="0" fontId="120" fillId="40" borderId="0" applyNumberFormat="0" applyBorder="0" applyAlignment="0" applyProtection="0">
      <alignment vertical="center"/>
    </xf>
    <xf numFmtId="0" fontId="13" fillId="0" borderId="0">
      <alignment vertical="center"/>
    </xf>
    <xf numFmtId="0" fontId="120" fillId="85" borderId="0" applyNumberFormat="0" applyBorder="0" applyAlignment="0" applyProtection="0">
      <alignment vertical="center"/>
    </xf>
    <xf numFmtId="0" fontId="120" fillId="44" borderId="0" applyNumberFormat="0" applyBorder="0" applyAlignment="0" applyProtection="0">
      <alignment vertical="center"/>
    </xf>
    <xf numFmtId="0" fontId="116" fillId="76" borderId="0" applyNumberFormat="0" applyBorder="0" applyAlignment="0" applyProtection="0"/>
    <xf numFmtId="0" fontId="120" fillId="69" borderId="0" applyNumberFormat="0" applyBorder="0" applyAlignment="0" applyProtection="0">
      <alignment vertical="center"/>
    </xf>
    <xf numFmtId="0" fontId="120" fillId="84" borderId="0" applyNumberFormat="0" applyBorder="0" applyAlignment="0" applyProtection="0">
      <alignment vertical="center"/>
    </xf>
    <xf numFmtId="0" fontId="120" fillId="87" borderId="0" applyNumberFormat="0" applyBorder="0" applyAlignment="0" applyProtection="0">
      <alignment vertical="center"/>
    </xf>
    <xf numFmtId="185" fontId="118" fillId="0" borderId="0" applyFont="0" applyFill="0" applyBorder="0" applyAlignment="0" applyProtection="0"/>
    <xf numFmtId="0" fontId="92" fillId="68" borderId="0" applyNumberFormat="0" applyBorder="0" applyAlignment="0" applyProtection="0"/>
    <xf numFmtId="0" fontId="86" fillId="74" borderId="0" applyNumberFormat="0" applyBorder="0" applyAlignment="0" applyProtection="0"/>
    <xf numFmtId="0" fontId="86" fillId="74" borderId="0" applyNumberFormat="0" applyBorder="0" applyAlignment="0" applyProtection="0">
      <alignment vertical="center"/>
    </xf>
    <xf numFmtId="0" fontId="92" fillId="81" borderId="0" applyNumberFormat="0" applyBorder="0" applyAlignment="0" applyProtection="0"/>
    <xf numFmtId="0" fontId="99" fillId="0" borderId="0"/>
    <xf numFmtId="0" fontId="92" fillId="81" borderId="0" applyNumberFormat="0" applyBorder="0" applyAlignment="0" applyProtection="0">
      <alignment vertical="center"/>
    </xf>
    <xf numFmtId="0" fontId="92" fillId="68" borderId="0" applyNumberFormat="0" applyBorder="0" applyAlignment="0" applyProtection="0">
      <alignment vertical="center"/>
    </xf>
    <xf numFmtId="0" fontId="105" fillId="61" borderId="0" applyNumberFormat="0" applyBorder="0" applyAlignment="0" applyProtection="0">
      <alignment vertical="center"/>
    </xf>
    <xf numFmtId="186" fontId="104" fillId="0" borderId="0">
      <alignment horizontal="justify" vertical="center"/>
    </xf>
    <xf numFmtId="0" fontId="92" fillId="82" borderId="0" applyNumberFormat="0" applyBorder="0" applyAlignment="0" applyProtection="0"/>
    <xf numFmtId="0" fontId="86" fillId="63" borderId="0" applyNumberFormat="0" applyBorder="0" applyAlignment="0" applyProtection="0"/>
    <xf numFmtId="0" fontId="86" fillId="63" borderId="0" applyNumberFormat="0" applyBorder="0" applyAlignment="0" applyProtection="0">
      <alignment vertical="center"/>
    </xf>
    <xf numFmtId="0" fontId="100" fillId="0" borderId="0" applyNumberFormat="0" applyFill="0" applyBorder="0" applyProtection="0">
      <alignment vertical="center"/>
    </xf>
    <xf numFmtId="0" fontId="92" fillId="62" borderId="0" applyNumberFormat="0" applyBorder="0" applyAlignment="0" applyProtection="0">
      <alignment vertical="center"/>
    </xf>
    <xf numFmtId="0" fontId="105" fillId="61" borderId="0" applyNumberFormat="0" applyBorder="0" applyAlignment="0" applyProtection="0">
      <alignment vertical="center"/>
    </xf>
    <xf numFmtId="0" fontId="92" fillId="82" borderId="0" applyNumberFormat="0" applyBorder="0" applyAlignment="0" applyProtection="0">
      <alignment vertical="center"/>
    </xf>
    <xf numFmtId="0" fontId="92" fillId="92" borderId="0" applyNumberFormat="0" applyBorder="0" applyAlignment="0" applyProtection="0"/>
    <xf numFmtId="0" fontId="92" fillId="62" borderId="0" applyNumberFormat="0" applyBorder="0" applyAlignment="0" applyProtection="0"/>
    <xf numFmtId="0" fontId="92" fillId="78" borderId="0" applyNumberFormat="0" applyBorder="0" applyAlignment="0" applyProtection="0">
      <alignment vertical="center"/>
    </xf>
    <xf numFmtId="0" fontId="86" fillId="63" borderId="0" applyNumberFormat="0" applyBorder="0" applyAlignment="0" applyProtection="0"/>
    <xf numFmtId="0" fontId="86" fillId="63" borderId="0" applyNumberFormat="0" applyBorder="0" applyAlignment="0" applyProtection="0">
      <alignment vertical="center"/>
    </xf>
    <xf numFmtId="0" fontId="86" fillId="79" borderId="0" applyNumberFormat="0" applyBorder="0" applyAlignment="0" applyProtection="0"/>
    <xf numFmtId="0" fontId="86" fillId="79" borderId="0" applyNumberFormat="0" applyBorder="0" applyAlignment="0" applyProtection="0">
      <alignment vertical="center"/>
    </xf>
    <xf numFmtId="0" fontId="88" fillId="71" borderId="0" applyNumberFormat="0" applyBorder="0" applyAlignment="0" applyProtection="0">
      <alignment vertical="center"/>
    </xf>
    <xf numFmtId="0" fontId="92" fillId="64" borderId="0" applyNumberFormat="0" applyBorder="0" applyAlignment="0" applyProtection="0"/>
    <xf numFmtId="0" fontId="92" fillId="64" borderId="0" applyNumberFormat="0" applyBorder="0" applyAlignment="0" applyProtection="0">
      <alignment vertical="center"/>
    </xf>
    <xf numFmtId="0" fontId="92" fillId="62" borderId="0" applyNumberFormat="0" applyBorder="0" applyAlignment="0" applyProtection="0">
      <alignment vertical="center"/>
    </xf>
    <xf numFmtId="0" fontId="92" fillId="68" borderId="0" applyNumberFormat="0" applyBorder="0" applyAlignment="0" applyProtection="0"/>
    <xf numFmtId="9" fontId="13" fillId="0" borderId="0" applyFont="0" applyFill="0" applyBorder="0" applyAlignment="0" applyProtection="0">
      <alignment vertical="center"/>
    </xf>
    <xf numFmtId="0" fontId="86" fillId="74" borderId="0" applyNumberFormat="0" applyBorder="0" applyAlignment="0" applyProtection="0"/>
    <xf numFmtId="0" fontId="86" fillId="74" borderId="0" applyNumberFormat="0" applyBorder="0" applyAlignment="0" applyProtection="0">
      <alignment vertical="center"/>
    </xf>
    <xf numFmtId="0" fontId="86" fillId="64" borderId="0" applyNumberFormat="0" applyBorder="0" applyAlignment="0" applyProtection="0"/>
    <xf numFmtId="0" fontId="13" fillId="0" borderId="0">
      <alignment vertical="center"/>
    </xf>
    <xf numFmtId="0" fontId="86" fillId="65" borderId="0" applyNumberFormat="0" applyBorder="0" applyAlignment="0" applyProtection="0"/>
    <xf numFmtId="0" fontId="86" fillId="64" borderId="0" applyNumberFormat="0" applyBorder="0" applyAlignment="0" applyProtection="0">
      <alignment vertical="center"/>
    </xf>
    <xf numFmtId="0" fontId="92" fillId="64" borderId="0" applyNumberFormat="0" applyBorder="0" applyAlignment="0" applyProtection="0"/>
    <xf numFmtId="0" fontId="92" fillId="64" borderId="0" applyNumberFormat="0" applyBorder="0" applyAlignment="0" applyProtection="0">
      <alignment vertical="center"/>
    </xf>
    <xf numFmtId="0" fontId="92" fillId="83" borderId="0" applyNumberFormat="0" applyBorder="0" applyAlignment="0" applyProtection="0"/>
    <xf numFmtId="0" fontId="92" fillId="68" borderId="0" applyNumberFormat="0" applyBorder="0" applyAlignment="0" applyProtection="0">
      <alignment vertical="center"/>
    </xf>
    <xf numFmtId="0" fontId="92" fillId="78" borderId="0" applyNumberFormat="0" applyBorder="0" applyAlignment="0" applyProtection="0"/>
    <xf numFmtId="0" fontId="86" fillId="67" borderId="0" applyNumberFormat="0" applyBorder="0" applyAlignment="0" applyProtection="0"/>
    <xf numFmtId="0" fontId="86" fillId="67" borderId="0" applyNumberFormat="0" applyBorder="0" applyAlignment="0" applyProtection="0">
      <alignment vertical="center"/>
    </xf>
    <xf numFmtId="0" fontId="86" fillId="74" borderId="0" applyNumberFormat="0" applyBorder="0" applyAlignment="0" applyProtection="0"/>
    <xf numFmtId="0" fontId="102" fillId="0" borderId="0" applyNumberFormat="0" applyFill="0" applyBorder="0" applyAlignment="0" applyProtection="0"/>
    <xf numFmtId="0" fontId="86" fillId="74" borderId="0" applyNumberFormat="0" applyBorder="0" applyAlignment="0" applyProtection="0">
      <alignment vertical="center"/>
    </xf>
    <xf numFmtId="0" fontId="89" fillId="0" borderId="0"/>
    <xf numFmtId="0" fontId="92" fillId="81" borderId="0" applyNumberFormat="0" applyBorder="0" applyAlignment="0" applyProtection="0"/>
    <xf numFmtId="0" fontId="89" fillId="0" borderId="0">
      <alignment vertical="center"/>
    </xf>
    <xf numFmtId="0" fontId="92" fillId="81" borderId="0" applyNumberFormat="0" applyBorder="0" applyAlignment="0" applyProtection="0">
      <alignment vertical="center"/>
    </xf>
    <xf numFmtId="0" fontId="86" fillId="63" borderId="0" applyNumberFormat="0" applyBorder="0" applyAlignment="0" applyProtection="0"/>
    <xf numFmtId="0" fontId="86" fillId="63" borderId="0" applyNumberFormat="0" applyBorder="0" applyAlignment="0" applyProtection="0">
      <alignment vertical="center"/>
    </xf>
    <xf numFmtId="0" fontId="86" fillId="65" borderId="0" applyNumberFormat="0" applyBorder="0" applyAlignment="0" applyProtection="0">
      <alignment vertical="center"/>
    </xf>
    <xf numFmtId="0" fontId="92" fillId="65" borderId="0" applyNumberFormat="0" applyBorder="0" applyAlignment="0" applyProtection="0"/>
    <xf numFmtId="0" fontId="109" fillId="75" borderId="0" applyNumberFormat="0" applyBorder="0" applyAlignment="0" applyProtection="0">
      <alignment vertical="center"/>
    </xf>
    <xf numFmtId="188" fontId="124" fillId="0" borderId="0" applyFill="0" applyBorder="0" applyAlignment="0"/>
    <xf numFmtId="188" fontId="124" fillId="0" borderId="0" applyFill="0" applyBorder="0" applyAlignment="0">
      <alignment vertical="center"/>
    </xf>
    <xf numFmtId="0" fontId="99" fillId="0" borderId="0">
      <alignment vertical="center"/>
    </xf>
    <xf numFmtId="0" fontId="91" fillId="62" borderId="306" applyNumberFormat="0" applyAlignment="0" applyProtection="0"/>
    <xf numFmtId="0" fontId="99" fillId="0" borderId="0">
      <alignment vertical="center"/>
    </xf>
    <xf numFmtId="0" fontId="91" fillId="62" borderId="306" applyNumberFormat="0" applyAlignment="0" applyProtection="0">
      <alignment vertical="center"/>
    </xf>
    <xf numFmtId="0" fontId="88" fillId="66" borderId="0" applyNumberFormat="0" applyBorder="0" applyAlignment="0" applyProtection="0"/>
    <xf numFmtId="0" fontId="88" fillId="73" borderId="0" applyNumberFormat="0" applyBorder="0" applyAlignment="0" applyProtection="0"/>
    <xf numFmtId="0" fontId="88" fillId="73" borderId="0" applyNumberFormat="0" applyBorder="0" applyAlignment="0" applyProtection="0">
      <alignment vertical="center"/>
    </xf>
    <xf numFmtId="0" fontId="120" fillId="45" borderId="0" applyNumberFormat="0" applyBorder="0" applyAlignment="0" applyProtection="0">
      <alignment vertical="center"/>
    </xf>
    <xf numFmtId="0" fontId="123" fillId="0" borderId="0" applyNumberFormat="0" applyFill="0" applyBorder="0" applyAlignment="0" applyProtection="0"/>
    <xf numFmtId="0" fontId="13" fillId="0" borderId="0"/>
    <xf numFmtId="0" fontId="123" fillId="0" borderId="0" applyNumberFormat="0" applyFill="0" applyBorder="0" applyAlignment="0" applyProtection="0">
      <alignment vertical="center"/>
    </xf>
    <xf numFmtId="0" fontId="100" fillId="0" borderId="0" applyNumberFormat="0" applyFill="0" applyBorder="0" applyAlignment="0" applyProtection="0">
      <alignment vertical="top"/>
      <protection locked="0"/>
    </xf>
    <xf numFmtId="0" fontId="13" fillId="0" borderId="0">
      <alignment vertical="center"/>
    </xf>
    <xf numFmtId="0" fontId="128" fillId="79" borderId="0" applyNumberFormat="0" applyBorder="0" applyAlignment="0" applyProtection="0"/>
    <xf numFmtId="0" fontId="128" fillId="79" borderId="0" applyNumberFormat="0" applyBorder="0" applyAlignment="0" applyProtection="0">
      <alignment vertical="center"/>
    </xf>
    <xf numFmtId="38" fontId="93" fillId="35" borderId="0" applyNumberFormat="0" applyBorder="0" applyAlignment="0" applyProtection="0">
      <alignment vertical="center"/>
    </xf>
    <xf numFmtId="186" fontId="104" fillId="0" borderId="0">
      <alignment horizontal="justify"/>
    </xf>
    <xf numFmtId="0" fontId="103" fillId="0" borderId="227" applyNumberFormat="0" applyAlignment="0" applyProtection="0">
      <alignment horizontal="left" vertical="center"/>
    </xf>
    <xf numFmtId="0" fontId="103" fillId="0" borderId="7">
      <alignment horizontal="left" vertical="center"/>
    </xf>
    <xf numFmtId="180" fontId="89" fillId="0" borderId="0" applyFont="0" applyFill="0" applyBorder="0" applyAlignment="0" applyProtection="0"/>
    <xf numFmtId="0" fontId="138" fillId="72" borderId="0" applyNumberFormat="0" applyBorder="0" applyAlignment="0" applyProtection="0">
      <alignment vertical="center"/>
    </xf>
    <xf numFmtId="0" fontId="98" fillId="0" borderId="309" applyNumberFormat="0" applyFill="0" applyAlignment="0" applyProtection="0"/>
    <xf numFmtId="0" fontId="138" fillId="72" borderId="0" applyNumberFormat="0" applyBorder="0" applyAlignment="0" applyProtection="0">
      <alignment vertical="center"/>
    </xf>
    <xf numFmtId="0" fontId="98" fillId="0" borderId="309" applyNumberFormat="0" applyFill="0" applyAlignment="0" applyProtection="0">
      <alignment vertical="center"/>
    </xf>
    <xf numFmtId="0" fontId="111" fillId="0" borderId="310" applyNumberFormat="0" applyFill="0" applyAlignment="0" applyProtection="0">
      <alignment vertical="center"/>
    </xf>
    <xf numFmtId="0" fontId="125" fillId="0" borderId="0" applyNumberFormat="0" applyFill="0" applyBorder="0" applyAlignment="0" applyProtection="0">
      <alignment vertical="center"/>
    </xf>
    <xf numFmtId="10" fontId="93" fillId="77" borderId="1" applyNumberFormat="0" applyBorder="0" applyAlignment="0" applyProtection="0"/>
    <xf numFmtId="10" fontId="93" fillId="77" borderId="1" applyNumberFormat="0" applyBorder="0" applyAlignment="0" applyProtection="0">
      <alignment vertical="center"/>
    </xf>
    <xf numFmtId="0" fontId="94" fillId="65" borderId="307" applyNumberFormat="0" applyAlignment="0" applyProtection="0"/>
    <xf numFmtId="0" fontId="143" fillId="43" borderId="306" applyNumberFormat="0" applyAlignment="0" applyProtection="0">
      <alignment vertical="center"/>
    </xf>
    <xf numFmtId="0" fontId="108" fillId="0" borderId="311" applyNumberFormat="0" applyFill="0" applyAlignment="0" applyProtection="0"/>
    <xf numFmtId="0" fontId="108" fillId="0" borderId="311" applyNumberFormat="0" applyFill="0" applyAlignment="0" applyProtection="0">
      <alignment vertical="center"/>
    </xf>
    <xf numFmtId="38" fontId="133" fillId="0" borderId="0" applyFont="0" applyFill="0" applyBorder="0" applyAlignment="0" applyProtection="0"/>
    <xf numFmtId="0" fontId="142" fillId="72" borderId="0" applyNumberFormat="0" applyBorder="0" applyAlignment="0" applyProtection="0">
      <alignment vertical="center"/>
    </xf>
    <xf numFmtId="40" fontId="133" fillId="0" borderId="0" applyFont="0" applyFill="0" applyBorder="0" applyAlignment="0" applyProtection="0"/>
    <xf numFmtId="0" fontId="90" fillId="0" borderId="0" applyFont="0" applyFill="0" applyBorder="0" applyAlignment="0" applyProtection="0"/>
    <xf numFmtId="189" fontId="89" fillId="0" borderId="0" applyFont="0" applyFill="0" applyBorder="0" applyAlignment="0" applyProtection="0"/>
    <xf numFmtId="0" fontId="90" fillId="0" borderId="0" applyFont="0" applyFill="0" applyBorder="0" applyAlignment="0" applyProtection="0"/>
    <xf numFmtId="0" fontId="116" fillId="76" borderId="0" applyNumberFormat="0" applyBorder="0" applyAlignment="0" applyProtection="0">
      <alignment vertical="center"/>
    </xf>
    <xf numFmtId="0" fontId="145" fillId="0" borderId="0" applyNumberFormat="0" applyFill="0" applyBorder="0" applyAlignment="0" applyProtection="0"/>
    <xf numFmtId="0" fontId="132" fillId="0" borderId="0" applyNumberFormat="0" applyFill="0">
      <alignment horizontal="left" vertical="center"/>
    </xf>
    <xf numFmtId="37" fontId="97" fillId="0" borderId="0">
      <alignment vertical="center"/>
    </xf>
    <xf numFmtId="0" fontId="122" fillId="63" borderId="315" applyNumberFormat="0" applyFont="0" applyAlignment="0" applyProtection="0"/>
    <xf numFmtId="0" fontId="134" fillId="0" borderId="0" applyNumberFormat="0" applyFill="0" applyBorder="0" applyAlignment="0" applyProtection="0">
      <alignment vertical="center"/>
    </xf>
    <xf numFmtId="0" fontId="122" fillId="63" borderId="315" applyNumberFormat="0" applyFont="0" applyAlignment="0" applyProtection="0">
      <alignment vertical="center"/>
    </xf>
    <xf numFmtId="0" fontId="127" fillId="90" borderId="312" applyNumberFormat="0" applyAlignment="0" applyProtection="0"/>
    <xf numFmtId="0" fontId="127" fillId="90" borderId="312" applyNumberFormat="0" applyAlignment="0" applyProtection="0">
      <alignment vertical="center"/>
    </xf>
    <xf numFmtId="10" fontId="89" fillId="0" borderId="0" applyFont="0" applyFill="0" applyBorder="0" applyAlignment="0" applyProtection="0"/>
    <xf numFmtId="10" fontId="89" fillId="0" borderId="0" applyFont="0" applyFill="0" applyBorder="0" applyAlignment="0" applyProtection="0">
      <alignment vertical="center"/>
    </xf>
    <xf numFmtId="0" fontId="102" fillId="0" borderId="0" applyNumberFormat="0" applyFill="0" applyBorder="0" applyAlignment="0" applyProtection="0">
      <alignment vertical="center"/>
    </xf>
    <xf numFmtId="0" fontId="96" fillId="0" borderId="1">
      <alignment horizontal="center"/>
    </xf>
    <xf numFmtId="0" fontId="138" fillId="72" borderId="0" applyNumberFormat="0" applyBorder="0" applyAlignment="0" applyProtection="0">
      <alignment vertical="center"/>
    </xf>
    <xf numFmtId="0" fontId="104" fillId="0" borderId="0"/>
    <xf numFmtId="0" fontId="104" fillId="0" borderId="0">
      <alignment vertical="center"/>
    </xf>
    <xf numFmtId="0" fontId="96" fillId="0" borderId="1">
      <alignment horizontal="center" vertical="center"/>
    </xf>
    <xf numFmtId="0" fontId="96" fillId="0" borderId="0">
      <alignment horizontal="center" vertical="center"/>
    </xf>
    <xf numFmtId="0" fontId="13" fillId="0" borderId="0"/>
    <xf numFmtId="0" fontId="129" fillId="0" borderId="0" applyNumberFormat="0" applyFill="0" applyBorder="0" applyAlignment="0" applyProtection="0"/>
    <xf numFmtId="0" fontId="88" fillId="0" borderId="305" applyNumberFormat="0" applyFill="0" applyAlignment="0" applyProtection="0"/>
    <xf numFmtId="0" fontId="88" fillId="0" borderId="305" applyNumberFormat="0" applyFill="0" applyAlignment="0" applyProtection="0">
      <alignment vertical="center"/>
    </xf>
    <xf numFmtId="0" fontId="145" fillId="0" borderId="0" applyNumberFormat="0" applyFill="0" applyBorder="0" applyAlignment="0" applyProtection="0">
      <alignment vertical="center"/>
    </xf>
    <xf numFmtId="0" fontId="112" fillId="61" borderId="0" applyNumberFormat="0" applyBorder="0" applyAlignment="0" applyProtection="0">
      <alignment vertical="center"/>
    </xf>
    <xf numFmtId="9" fontId="99" fillId="0" borderId="0" applyFont="0" applyFill="0" applyBorder="0" applyAlignment="0" applyProtection="0">
      <alignment vertical="center"/>
    </xf>
    <xf numFmtId="9" fontId="13" fillId="0" borderId="0" applyFont="0" applyFill="0" applyBorder="0" applyAlignment="0" applyProtection="0"/>
    <xf numFmtId="9" fontId="99" fillId="0" borderId="0" applyFont="0" applyFill="0" applyBorder="0" applyAlignment="0" applyProtection="0">
      <alignment vertical="center"/>
    </xf>
    <xf numFmtId="9" fontId="13" fillId="0" borderId="0" applyFont="0" applyFill="0" applyBorder="0" applyAlignment="0" applyProtection="0">
      <alignment vertical="center"/>
    </xf>
    <xf numFmtId="192" fontId="106" fillId="0" borderId="1">
      <alignment horizontal="center" vertical="center" wrapText="1"/>
    </xf>
    <xf numFmtId="186" fontId="89" fillId="0" borderId="0" applyFont="0" applyFill="0" applyBorder="0" applyAlignment="0" applyProtection="0"/>
    <xf numFmtId="178" fontId="89" fillId="0" borderId="0" applyFont="0" applyFill="0" applyBorder="0" applyAlignment="0" applyProtection="0"/>
    <xf numFmtId="0" fontId="138" fillId="72" borderId="0" applyNumberFormat="0" applyBorder="0" applyAlignment="0" applyProtection="0">
      <alignment vertical="center"/>
    </xf>
    <xf numFmtId="0" fontId="95" fillId="0" borderId="308" applyNumberFormat="0" applyFill="0" applyProtection="0">
      <alignment vertical="center"/>
    </xf>
    <xf numFmtId="0" fontId="126" fillId="0" borderId="317" applyNumberFormat="0" applyFill="0" applyAlignment="0" applyProtection="0">
      <alignment vertical="center"/>
    </xf>
    <xf numFmtId="0" fontId="112" fillId="61" borderId="0" applyNumberFormat="0" applyBorder="0" applyAlignment="0" applyProtection="0">
      <alignment vertical="center"/>
    </xf>
    <xf numFmtId="0" fontId="107" fillId="0" borderId="310" applyNumberFormat="0" applyFill="0" applyProtection="0">
      <alignment vertical="center"/>
    </xf>
    <xf numFmtId="0" fontId="121" fillId="0" borderId="314" applyNumberFormat="0" applyFill="0" applyAlignment="0" applyProtection="0">
      <alignment vertical="center"/>
    </xf>
    <xf numFmtId="0" fontId="121" fillId="0" borderId="0" applyNumberFormat="0" applyFill="0" applyBorder="0" applyAlignment="0" applyProtection="0">
      <alignment vertical="center"/>
    </xf>
    <xf numFmtId="0" fontId="122" fillId="0" borderId="0"/>
    <xf numFmtId="0" fontId="87" fillId="0" borderId="0" applyNumberFormat="0" applyFill="0" applyBorder="0" applyAlignment="0" applyProtection="0">
      <alignment vertical="top"/>
      <protection locked="0"/>
    </xf>
    <xf numFmtId="0" fontId="144" fillId="72" borderId="0" applyNumberFormat="0" applyBorder="0" applyAlignment="0" applyProtection="0">
      <alignment vertical="center"/>
    </xf>
    <xf numFmtId="0" fontId="13" fillId="0" borderId="0">
      <alignment vertical="center"/>
    </xf>
    <xf numFmtId="0" fontId="138" fillId="72" borderId="0" applyNumberFormat="0" applyBorder="0" applyAlignment="0" applyProtection="0">
      <alignment vertical="center"/>
    </xf>
    <xf numFmtId="0" fontId="138" fillId="72" borderId="0" applyNumberFormat="0" applyBorder="0" applyAlignment="0" applyProtection="0">
      <alignment vertical="center"/>
    </xf>
    <xf numFmtId="0" fontId="138" fillId="72" borderId="0" applyNumberFormat="0" applyBorder="0" applyAlignment="0" applyProtection="0">
      <alignment vertical="center"/>
    </xf>
    <xf numFmtId="0" fontId="138" fillId="72" borderId="0" applyNumberFormat="0" applyBorder="0" applyAlignment="0" applyProtection="0">
      <alignment vertical="center"/>
    </xf>
    <xf numFmtId="0" fontId="115" fillId="72" borderId="0" applyNumberFormat="0" applyBorder="0" applyAlignment="0" applyProtection="0">
      <alignment vertical="center"/>
    </xf>
    <xf numFmtId="0" fontId="115" fillId="72" borderId="0" applyNumberFormat="0" applyBorder="0" applyAlignment="0" applyProtection="0">
      <alignment vertical="center"/>
    </xf>
    <xf numFmtId="0" fontId="142" fillId="72" borderId="0" applyNumberFormat="0" applyBorder="0" applyAlignment="0" applyProtection="0">
      <alignment vertical="center"/>
    </xf>
    <xf numFmtId="0" fontId="115" fillId="72" borderId="0" applyNumberFormat="0" applyBorder="0" applyAlignment="0" applyProtection="0">
      <alignment vertical="center"/>
    </xf>
    <xf numFmtId="0" fontId="115" fillId="72" borderId="0" applyNumberFormat="0" applyBorder="0" applyAlignment="0" applyProtection="0">
      <alignment vertical="center"/>
    </xf>
    <xf numFmtId="0" fontId="100" fillId="0" borderId="0" applyNumberFormat="0" applyFill="0" applyBorder="0" applyAlignment="0" applyProtection="0">
      <alignment vertical="top"/>
      <protection locked="0"/>
    </xf>
    <xf numFmtId="0" fontId="115" fillId="72" borderId="0" applyNumberFormat="0" applyBorder="0" applyAlignment="0" applyProtection="0">
      <alignment vertical="center"/>
    </xf>
    <xf numFmtId="0" fontId="19" fillId="0" borderId="0">
      <alignment vertical="center"/>
    </xf>
    <xf numFmtId="0" fontId="137" fillId="61" borderId="0" applyNumberFormat="0" applyBorder="0" applyAlignment="0" applyProtection="0">
      <alignment vertical="center"/>
    </xf>
    <xf numFmtId="0" fontId="13" fillId="0" borderId="0"/>
    <xf numFmtId="0" fontId="13" fillId="0" borderId="0">
      <alignment vertical="center"/>
    </xf>
    <xf numFmtId="0" fontId="13" fillId="0" borderId="0">
      <alignment vertical="center"/>
    </xf>
    <xf numFmtId="0" fontId="17" fillId="0" borderId="0"/>
    <xf numFmtId="0" fontId="13" fillId="0" borderId="0">
      <alignment vertical="center"/>
    </xf>
    <xf numFmtId="0" fontId="51" fillId="0" borderId="0">
      <alignment vertical="center"/>
    </xf>
    <xf numFmtId="0" fontId="51" fillId="0" borderId="0">
      <alignment vertical="center"/>
    </xf>
    <xf numFmtId="0" fontId="51" fillId="0" borderId="0">
      <alignment vertical="center"/>
    </xf>
    <xf numFmtId="0" fontId="51" fillId="0" borderId="0">
      <alignment vertical="center"/>
    </xf>
    <xf numFmtId="0" fontId="13" fillId="0" borderId="0">
      <alignment vertical="center"/>
    </xf>
    <xf numFmtId="0" fontId="13" fillId="0" borderId="0"/>
    <xf numFmtId="0" fontId="13" fillId="0" borderId="0">
      <alignment vertical="center"/>
    </xf>
    <xf numFmtId="0" fontId="99" fillId="0" borderId="0">
      <alignment vertical="center"/>
    </xf>
    <xf numFmtId="189" fontId="118" fillId="0" borderId="0" applyFont="0" applyFill="0" applyBorder="0" applyAlignment="0" applyProtection="0"/>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xf numFmtId="0" fontId="13" fillId="0" borderId="0"/>
    <xf numFmtId="0" fontId="13" fillId="0" borderId="0">
      <alignment vertical="center"/>
    </xf>
    <xf numFmtId="0" fontId="100" fillId="0" borderId="0" applyNumberFormat="0" applyFill="0" applyBorder="0" applyAlignment="0" applyProtection="0">
      <alignment vertical="top"/>
      <protection locked="0"/>
    </xf>
    <xf numFmtId="0" fontId="100" fillId="0" borderId="0" applyNumberFormat="0" applyFill="0" applyBorder="0" applyAlignment="0" applyProtection="0">
      <alignment vertical="top"/>
      <protection locked="0"/>
    </xf>
    <xf numFmtId="0" fontId="100" fillId="0" borderId="0" applyNumberFormat="0" applyFill="0" applyBorder="0" applyAlignment="0" applyProtection="0">
      <alignment vertical="top"/>
      <protection locked="0"/>
    </xf>
    <xf numFmtId="0" fontId="100" fillId="0" borderId="0" applyNumberFormat="0" applyFill="0" applyBorder="0" applyAlignment="0" applyProtection="0">
      <alignment vertical="top"/>
      <protection locked="0"/>
    </xf>
    <xf numFmtId="0" fontId="100" fillId="0" borderId="0" applyNumberFormat="0" applyFill="0" applyBorder="0" applyAlignment="0" applyProtection="0">
      <alignment vertical="top"/>
      <protection locked="0"/>
    </xf>
    <xf numFmtId="0" fontId="117" fillId="61" borderId="0" applyNumberFormat="0" applyBorder="0" applyAlignment="0" applyProtection="0">
      <alignment vertical="center"/>
    </xf>
    <xf numFmtId="0" fontId="105" fillId="61" borderId="0" applyNumberFormat="0" applyBorder="0" applyAlignment="0" applyProtection="0">
      <alignment vertical="center"/>
    </xf>
    <xf numFmtId="0" fontId="105" fillId="61" borderId="0" applyNumberFormat="0" applyBorder="0" applyAlignment="0" applyProtection="0">
      <alignment vertical="center"/>
    </xf>
    <xf numFmtId="0" fontId="105" fillId="61" borderId="0" applyNumberFormat="0" applyBorder="0" applyAlignment="0" applyProtection="0">
      <alignment vertical="center"/>
    </xf>
    <xf numFmtId="0" fontId="105" fillId="61" borderId="0" applyNumberFormat="0" applyBorder="0" applyAlignment="0" applyProtection="0">
      <alignment vertical="center"/>
    </xf>
    <xf numFmtId="0" fontId="112" fillId="61" borderId="0" applyNumberFormat="0" applyBorder="0" applyAlignment="0" applyProtection="0">
      <alignment vertical="center"/>
    </xf>
    <xf numFmtId="0" fontId="105" fillId="61" borderId="0" applyNumberFormat="0" applyBorder="0" applyAlignment="0" applyProtection="0">
      <alignment vertical="center"/>
    </xf>
    <xf numFmtId="0" fontId="137" fillId="61" borderId="0" applyNumberFormat="0" applyBorder="0" applyAlignment="0" applyProtection="0">
      <alignment vertical="center"/>
    </xf>
    <xf numFmtId="0" fontId="112" fillId="61" borderId="0" applyNumberFormat="0" applyBorder="0" applyAlignment="0" applyProtection="0">
      <alignment vertical="center"/>
    </xf>
    <xf numFmtId="0" fontId="112" fillId="61" borderId="0" applyNumberFormat="0" applyBorder="0" applyAlignment="0" applyProtection="0">
      <alignment vertical="center"/>
    </xf>
    <xf numFmtId="0" fontId="114" fillId="0" borderId="313" applyNumberFormat="0" applyFill="0" applyAlignment="0" applyProtection="0">
      <alignment vertical="center"/>
    </xf>
    <xf numFmtId="0" fontId="136" fillId="0" borderId="0" applyNumberFormat="0" applyFill="0" applyBorder="0" applyAlignment="0" applyProtection="0">
      <alignment vertical="center"/>
    </xf>
    <xf numFmtId="0" fontId="106" fillId="94" borderId="1">
      <alignment horizontal="center" vertical="center"/>
    </xf>
    <xf numFmtId="0" fontId="131" fillId="0" borderId="311" applyNumberFormat="0" applyFill="0" applyAlignment="0" applyProtection="0">
      <alignment vertical="center"/>
    </xf>
    <xf numFmtId="0" fontId="120" fillId="93" borderId="0" applyNumberFormat="0" applyBorder="0" applyAlignment="0" applyProtection="0">
      <alignment vertical="center"/>
    </xf>
    <xf numFmtId="0" fontId="120" fillId="95" borderId="0" applyNumberFormat="0" applyBorder="0" applyAlignment="0" applyProtection="0">
      <alignment vertical="center"/>
    </xf>
    <xf numFmtId="0" fontId="120" fillId="84" borderId="0" applyNumberFormat="0" applyBorder="0" applyAlignment="0" applyProtection="0">
      <alignment vertical="center"/>
    </xf>
    <xf numFmtId="0" fontId="120" fillId="53" borderId="0" applyNumberFormat="0" applyBorder="0" applyAlignment="0" applyProtection="0">
      <alignment vertical="center"/>
    </xf>
    <xf numFmtId="0" fontId="106" fillId="0" borderId="1">
      <alignment vertical="center" wrapText="1"/>
      <protection locked="0"/>
    </xf>
    <xf numFmtId="0" fontId="141" fillId="89" borderId="307" applyNumberFormat="0" applyAlignment="0" applyProtection="0">
      <alignment vertical="center"/>
    </xf>
    <xf numFmtId="0" fontId="106" fillId="77" borderId="1">
      <alignment horizontal="center" vertical="center" wrapText="1"/>
    </xf>
    <xf numFmtId="0" fontId="104" fillId="0" borderId="0"/>
    <xf numFmtId="0" fontId="104" fillId="0" borderId="0">
      <alignment vertical="center"/>
    </xf>
    <xf numFmtId="0" fontId="118" fillId="0" borderId="0"/>
    <xf numFmtId="0" fontId="89" fillId="0" borderId="0"/>
    <xf numFmtId="0" fontId="13" fillId="77" borderId="315" applyNumberFormat="0" applyFont="0" applyAlignment="0" applyProtection="0">
      <alignment vertical="center"/>
    </xf>
    <xf numFmtId="0" fontId="13" fillId="77" borderId="315" applyNumberFormat="0" applyFont="0" applyAlignment="0" applyProtection="0">
      <alignment vertical="center"/>
    </xf>
    <xf numFmtId="0" fontId="17" fillId="77" borderId="315" applyNumberFormat="0" applyFont="0" applyAlignment="0" applyProtection="0">
      <alignment vertical="center"/>
    </xf>
    <xf numFmtId="191" fontId="118" fillId="0" borderId="0" applyFont="0" applyFill="0" applyBorder="0" applyAlignment="0" applyProtection="0"/>
    <xf numFmtId="0" fontId="118" fillId="0" borderId="0"/>
  </cellStyleXfs>
  <cellXfs count="1048">
    <xf numFmtId="0" fontId="0" fillId="0" borderId="0" xfId="0"/>
    <xf numFmtId="31" fontId="1" fillId="0" borderId="1" xfId="0" applyNumberFormat="1" applyFont="1" applyFill="1" applyBorder="1" applyAlignment="1">
      <alignment horizontal="left" vertical="center"/>
    </xf>
    <xf numFmtId="0" fontId="1" fillId="0" borderId="1" xfId="0" applyFont="1" applyFill="1" applyBorder="1" applyAlignment="1">
      <alignment vertical="center"/>
    </xf>
    <xf numFmtId="0" fontId="2" fillId="4" borderId="0" xfId="282" applyFont="1" applyFill="1" applyAlignment="1">
      <alignment vertical="center"/>
    </xf>
    <xf numFmtId="0" fontId="3" fillId="0" borderId="0" xfId="282" applyFont="1" applyAlignment="1">
      <alignment vertical="center"/>
    </xf>
    <xf numFmtId="0" fontId="2" fillId="0" borderId="0" xfId="282" applyFont="1" applyAlignment="1">
      <alignment horizontal="left" vertical="center" indent="1"/>
    </xf>
    <xf numFmtId="0" fontId="2" fillId="0" borderId="0" xfId="282" applyFont="1" applyAlignment="1">
      <alignment vertical="center"/>
    </xf>
    <xf numFmtId="0" fontId="4" fillId="0" borderId="0" xfId="282" applyFont="1" applyAlignment="1">
      <alignment vertical="center"/>
    </xf>
    <xf numFmtId="0" fontId="5" fillId="5" borderId="2" xfId="282" applyFont="1" applyFill="1" applyBorder="1" applyAlignment="1">
      <alignment vertical="center"/>
    </xf>
    <xf numFmtId="0" fontId="5" fillId="5" borderId="2" xfId="282" applyFont="1" applyFill="1" applyBorder="1" applyAlignment="1">
      <alignment horizontal="center" vertical="center" wrapText="1"/>
    </xf>
    <xf numFmtId="0" fontId="5" fillId="5" borderId="2" xfId="282" applyFont="1" applyFill="1" applyBorder="1" applyAlignment="1">
      <alignment horizontal="center" vertical="center"/>
    </xf>
    <xf numFmtId="0" fontId="2" fillId="0" borderId="0" xfId="282" applyFont="1" applyAlignment="1">
      <alignment horizontal="center" vertical="center"/>
    </xf>
    <xf numFmtId="0" fontId="6" fillId="6" borderId="2" xfId="282" applyFont="1" applyFill="1" applyBorder="1" applyAlignment="1">
      <alignment vertical="center"/>
    </xf>
    <xf numFmtId="182" fontId="6" fillId="7" borderId="2" xfId="282" applyNumberFormat="1" applyFont="1" applyFill="1" applyBorder="1" applyAlignment="1">
      <alignment horizontal="center" vertical="center"/>
    </xf>
    <xf numFmtId="0" fontId="6" fillId="7" borderId="2" xfId="282" applyFont="1" applyFill="1" applyBorder="1" applyAlignment="1">
      <alignment horizontal="center" vertical="center"/>
    </xf>
    <xf numFmtId="0" fontId="7" fillId="7" borderId="2" xfId="282" applyFont="1" applyFill="1" applyBorder="1" applyAlignment="1">
      <alignment horizontal="center" vertical="center"/>
    </xf>
    <xf numFmtId="184" fontId="2" fillId="0" borderId="0" xfId="282" applyNumberFormat="1" applyFont="1" applyAlignment="1">
      <alignment vertical="center"/>
    </xf>
    <xf numFmtId="0" fontId="6" fillId="8" borderId="2" xfId="282" applyFont="1" applyFill="1" applyBorder="1" applyAlignment="1">
      <alignment vertical="center"/>
    </xf>
    <xf numFmtId="182" fontId="6" fillId="8" borderId="2" xfId="282" applyNumberFormat="1" applyFont="1" applyFill="1" applyBorder="1" applyAlignment="1">
      <alignment horizontal="center" vertical="center"/>
    </xf>
    <xf numFmtId="0" fontId="6" fillId="8" borderId="2" xfId="282" applyFont="1" applyFill="1" applyBorder="1" applyAlignment="1">
      <alignment horizontal="center" vertical="center"/>
    </xf>
    <xf numFmtId="0" fontId="2" fillId="9" borderId="8" xfId="282" applyFont="1" applyFill="1" applyBorder="1" applyAlignment="1">
      <alignment horizontal="center" vertical="center"/>
    </xf>
    <xf numFmtId="0" fontId="2" fillId="10" borderId="8" xfId="282" applyFont="1" applyFill="1" applyBorder="1" applyAlignment="1">
      <alignment horizontal="center" vertical="center"/>
    </xf>
    <xf numFmtId="0" fontId="2" fillId="0" borderId="11" xfId="282" applyFont="1" applyBorder="1" applyAlignment="1">
      <alignment vertical="center" wrapText="1"/>
    </xf>
    <xf numFmtId="0" fontId="2" fillId="0" borderId="12" xfId="282" applyFont="1" applyBorder="1" applyAlignment="1">
      <alignment horizontal="center" vertical="center"/>
    </xf>
    <xf numFmtId="0" fontId="2" fillId="0" borderId="12" xfId="282" applyFont="1" applyBorder="1" applyAlignment="1">
      <alignment vertical="center"/>
    </xf>
    <xf numFmtId="0" fontId="2" fillId="0" borderId="13" xfId="282" applyFont="1" applyBorder="1" applyAlignment="1">
      <alignment vertical="center"/>
    </xf>
    <xf numFmtId="0" fontId="2" fillId="0" borderId="14" xfId="282" applyFont="1" applyBorder="1" applyAlignment="1">
      <alignment vertical="center" wrapText="1"/>
    </xf>
    <xf numFmtId="182" fontId="2" fillId="0" borderId="15" xfId="282" applyNumberFormat="1" applyFont="1" applyBorder="1" applyAlignment="1">
      <alignment horizontal="center" vertical="center"/>
    </xf>
    <xf numFmtId="195" fontId="2" fillId="11" borderId="15" xfId="276" applyNumberFormat="1" applyFont="1" applyFill="1" applyBorder="1" applyAlignment="1">
      <alignment horizontal="center" vertical="center" wrapText="1"/>
    </xf>
    <xf numFmtId="195" fontId="8" fillId="11" borderId="15" xfId="127" applyNumberFormat="1" applyFont="1" applyFill="1" applyBorder="1" applyAlignment="1">
      <alignment horizontal="center" vertical="top"/>
    </xf>
    <xf numFmtId="195" fontId="2" fillId="11" borderId="16" xfId="276" applyNumberFormat="1" applyFont="1" applyFill="1" applyBorder="1" applyAlignment="1">
      <alignment horizontal="center" vertical="center" wrapText="1"/>
    </xf>
    <xf numFmtId="0" fontId="9" fillId="12" borderId="17" xfId="132" applyFont="1" applyFill="1" applyBorder="1" applyAlignment="1">
      <alignment horizontal="center" vertical="center" wrapText="1"/>
    </xf>
    <xf numFmtId="0" fontId="9" fillId="12" borderId="3" xfId="132" applyFont="1" applyFill="1" applyBorder="1" applyAlignment="1">
      <alignment horizontal="center" vertical="center" wrapText="1"/>
    </xf>
    <xf numFmtId="0" fontId="2" fillId="0" borderId="11" xfId="282" applyFont="1" applyBorder="1" applyAlignment="1">
      <alignment vertical="center"/>
    </xf>
    <xf numFmtId="0" fontId="2" fillId="0" borderId="14" xfId="282" applyFont="1" applyBorder="1" applyAlignment="1">
      <alignment vertical="center"/>
    </xf>
    <xf numFmtId="195" fontId="2" fillId="3" borderId="15" xfId="276" applyNumberFormat="1" applyFont="1" applyFill="1" applyBorder="1" applyAlignment="1">
      <alignment horizontal="center" vertical="center" wrapText="1"/>
    </xf>
    <xf numFmtId="195" fontId="8" fillId="3" borderId="15" xfId="127" applyNumberFormat="1" applyFont="1" applyFill="1" applyBorder="1" applyAlignment="1">
      <alignment horizontal="center" vertical="top"/>
    </xf>
    <xf numFmtId="195" fontId="2" fillId="3" borderId="16" xfId="276" applyNumberFormat="1" applyFont="1" applyFill="1" applyBorder="1" applyAlignment="1">
      <alignment horizontal="center" vertical="center" wrapText="1"/>
    </xf>
    <xf numFmtId="0" fontId="2" fillId="0" borderId="15" xfId="282" applyFont="1" applyBorder="1" applyAlignment="1">
      <alignment horizontal="center" vertical="center"/>
    </xf>
    <xf numFmtId="0" fontId="10" fillId="0" borderId="0" xfId="282" applyFont="1" applyAlignment="1">
      <alignment vertical="center"/>
    </xf>
    <xf numFmtId="0" fontId="11" fillId="13" borderId="18" xfId="282" applyFont="1" applyFill="1" applyBorder="1" applyAlignment="1">
      <alignment horizontal="center" vertical="center" wrapText="1" readingOrder="1"/>
    </xf>
    <xf numFmtId="0" fontId="11" fillId="13" borderId="21" xfId="282" applyFont="1" applyFill="1" applyBorder="1" applyAlignment="1">
      <alignment horizontal="center" vertical="center" wrapText="1" readingOrder="1"/>
    </xf>
    <xf numFmtId="0" fontId="12" fillId="14" borderId="22" xfId="282" applyFont="1" applyFill="1" applyBorder="1" applyAlignment="1">
      <alignment horizontal="center" vertical="center" wrapText="1" readingOrder="1"/>
    </xf>
    <xf numFmtId="0" fontId="12" fillId="14" borderId="25" xfId="282" applyFont="1" applyFill="1" applyBorder="1" applyAlignment="1">
      <alignment horizontal="center" vertical="center" wrapText="1" readingOrder="1"/>
    </xf>
    <xf numFmtId="0" fontId="12" fillId="15" borderId="26" xfId="282" applyFont="1" applyFill="1" applyBorder="1" applyAlignment="1">
      <alignment horizontal="center" vertical="center" wrapText="1" readingOrder="1"/>
    </xf>
    <xf numFmtId="0" fontId="12" fillId="15" borderId="29" xfId="282" applyFont="1" applyFill="1" applyBorder="1" applyAlignment="1">
      <alignment horizontal="center" vertical="center" wrapText="1" readingOrder="1"/>
    </xf>
    <xf numFmtId="0" fontId="0" fillId="0" borderId="0" xfId="282" applyFont="1"/>
    <xf numFmtId="0" fontId="15" fillId="18" borderId="1" xfId="235" applyFont="1" applyFill="1" applyBorder="1" applyAlignment="1">
      <alignment horizontal="center" vertical="center" wrapText="1"/>
    </xf>
    <xf numFmtId="0" fontId="16" fillId="11" borderId="1" xfId="235" applyFont="1" applyFill="1" applyBorder="1" applyAlignment="1">
      <alignment horizontal="center" vertical="center" wrapText="1"/>
    </xf>
    <xf numFmtId="0" fontId="15" fillId="11" borderId="1" xfId="235" applyFont="1" applyFill="1" applyBorder="1" applyAlignment="1">
      <alignment horizontal="center" vertical="center" wrapText="1"/>
    </xf>
    <xf numFmtId="0" fontId="1" fillId="11" borderId="1" xfId="235" applyFont="1" applyFill="1" applyBorder="1" applyAlignment="1">
      <alignment horizontal="center" vertical="center" wrapText="1"/>
    </xf>
    <xf numFmtId="0" fontId="1" fillId="20" borderId="1" xfId="235" applyNumberFormat="1" applyFont="1" applyFill="1" applyBorder="1" applyAlignment="1">
      <alignment horizontal="center" vertical="center" wrapText="1"/>
    </xf>
    <xf numFmtId="0" fontId="1" fillId="19" borderId="1" xfId="235" applyNumberFormat="1" applyFont="1" applyFill="1" applyBorder="1" applyAlignment="1">
      <alignment horizontal="center" vertical="center" wrapText="1"/>
    </xf>
    <xf numFmtId="0" fontId="17" fillId="21" borderId="0" xfId="275" applyFont="1" applyFill="1"/>
    <xf numFmtId="0" fontId="17" fillId="21" borderId="0" xfId="275" applyFont="1" applyFill="1" applyAlignment="1">
      <alignment horizontal="left"/>
    </xf>
    <xf numFmtId="0" fontId="17" fillId="21" borderId="0" xfId="275" applyFont="1" applyFill="1" applyBorder="1"/>
    <xf numFmtId="0" fontId="17" fillId="0" borderId="0" xfId="275" applyFill="1"/>
    <xf numFmtId="0" fontId="17" fillId="0" borderId="0" xfId="275"/>
    <xf numFmtId="0" fontId="17" fillId="0" borderId="0" xfId="275" applyAlignment="1">
      <alignment horizontal="center"/>
    </xf>
    <xf numFmtId="0" fontId="18" fillId="21" borderId="0" xfId="275" applyFont="1" applyFill="1" applyAlignment="1">
      <alignment horizontal="center"/>
    </xf>
    <xf numFmtId="0" fontId="17" fillId="22" borderId="5" xfId="275" applyFill="1" applyBorder="1" applyAlignment="1">
      <alignment horizontal="left"/>
    </xf>
    <xf numFmtId="0" fontId="17" fillId="22" borderId="7" xfId="275" applyFill="1" applyBorder="1" applyAlignment="1">
      <alignment horizontal="left"/>
    </xf>
    <xf numFmtId="0" fontId="19" fillId="22" borderId="6" xfId="275" applyFont="1" applyFill="1" applyBorder="1" applyAlignment="1">
      <alignment horizontal="center"/>
    </xf>
    <xf numFmtId="0" fontId="19" fillId="21" borderId="0" xfId="275" applyFont="1" applyFill="1" applyAlignment="1">
      <alignment horizontal="center"/>
    </xf>
    <xf numFmtId="0" fontId="19" fillId="21" borderId="0" xfId="275" applyFont="1" applyFill="1" applyAlignment="1">
      <alignment horizontal="left"/>
    </xf>
    <xf numFmtId="0" fontId="17" fillId="21" borderId="0" xfId="275" applyFill="1" applyAlignment="1">
      <alignment horizontal="left"/>
    </xf>
    <xf numFmtId="0" fontId="21" fillId="2" borderId="40" xfId="275" applyFont="1" applyFill="1" applyBorder="1" applyAlignment="1">
      <alignment horizontal="center" vertical="center"/>
    </xf>
    <xf numFmtId="0" fontId="21" fillId="2" borderId="42" xfId="275" applyFont="1" applyFill="1" applyBorder="1" applyAlignment="1">
      <alignment horizontal="center" vertical="center"/>
    </xf>
    <xf numFmtId="182" fontId="17" fillId="23" borderId="41" xfId="275" applyNumberFormat="1" applyFont="1" applyFill="1" applyBorder="1" applyAlignment="1">
      <alignment horizontal="center" vertical="center"/>
    </xf>
    <xf numFmtId="196" fontId="21" fillId="24" borderId="1" xfId="290" applyNumberFormat="1" applyFont="1" applyFill="1" applyBorder="1" applyAlignment="1">
      <alignment horizontal="center" vertical="center" wrapText="1"/>
    </xf>
    <xf numFmtId="0" fontId="21" fillId="24" borderId="1" xfId="275" applyFont="1" applyFill="1" applyBorder="1" applyAlignment="1">
      <alignment horizontal="center" vertical="center"/>
    </xf>
    <xf numFmtId="0" fontId="17" fillId="21" borderId="1" xfId="275" applyFont="1" applyFill="1" applyBorder="1" applyAlignment="1">
      <alignment horizontal="center"/>
    </xf>
    <xf numFmtId="192" fontId="17" fillId="21" borderId="1" xfId="275" applyNumberFormat="1" applyFont="1" applyFill="1" applyBorder="1" applyAlignment="1">
      <alignment horizontal="center" vertical="top"/>
    </xf>
    <xf numFmtId="192" fontId="1" fillId="23" borderId="1" xfId="110" applyNumberFormat="1" applyFont="1" applyFill="1" applyBorder="1" applyAlignment="1">
      <alignment horizontal="center" vertical="center" wrapText="1"/>
    </xf>
    <xf numFmtId="0" fontId="17" fillId="21" borderId="1" xfId="275" applyNumberFormat="1" applyFont="1" applyFill="1" applyBorder="1" applyAlignment="1">
      <alignment horizontal="center" vertical="center"/>
    </xf>
    <xf numFmtId="0" fontId="17" fillId="22" borderId="5" xfId="275" applyFont="1" applyFill="1" applyBorder="1" applyAlignment="1">
      <alignment horizontal="left"/>
    </xf>
    <xf numFmtId="0" fontId="17" fillId="22" borderId="6" xfId="275" applyFill="1" applyBorder="1"/>
    <xf numFmtId="196" fontId="21" fillId="25" borderId="43" xfId="290" applyNumberFormat="1" applyFont="1" applyFill="1" applyBorder="1" applyAlignment="1">
      <alignment horizontal="center" vertical="center"/>
    </xf>
    <xf numFmtId="0" fontId="21" fillId="24" borderId="44" xfId="275" applyFont="1" applyFill="1" applyBorder="1" applyAlignment="1">
      <alignment horizontal="center" vertical="center"/>
    </xf>
    <xf numFmtId="0" fontId="21" fillId="24" borderId="44" xfId="275" applyFont="1" applyFill="1" applyBorder="1" applyAlignment="1">
      <alignment horizontal="center"/>
    </xf>
    <xf numFmtId="198" fontId="17" fillId="0" borderId="45" xfId="275" applyNumberFormat="1" applyBorder="1" applyAlignment="1">
      <alignment horizontal="center" vertical="center"/>
    </xf>
    <xf numFmtId="198" fontId="17" fillId="23" borderId="46" xfId="275" applyNumberFormat="1" applyFill="1" applyBorder="1" applyAlignment="1">
      <alignment horizontal="center" vertical="center"/>
    </xf>
    <xf numFmtId="192" fontId="17" fillId="0" borderId="0" xfId="275" applyNumberFormat="1" applyFill="1" applyBorder="1" applyAlignment="1">
      <alignment horizontal="center" vertical="center"/>
    </xf>
    <xf numFmtId="0" fontId="17" fillId="0" borderId="0" xfId="275" applyFill="1" applyBorder="1" applyAlignment="1">
      <alignment horizontal="center" vertical="center"/>
    </xf>
    <xf numFmtId="0" fontId="17" fillId="22" borderId="5" xfId="275" applyFont="1" applyFill="1" applyBorder="1"/>
    <xf numFmtId="0" fontId="17" fillId="0" borderId="0" xfId="275" applyFont="1"/>
    <xf numFmtId="196" fontId="21" fillId="24" borderId="47" xfId="290" applyNumberFormat="1" applyFont="1" applyFill="1" applyBorder="1" applyAlignment="1">
      <alignment horizontal="center" vertical="center"/>
    </xf>
    <xf numFmtId="0" fontId="21" fillId="24" borderId="48" xfId="275" applyFont="1" applyFill="1" applyBorder="1" applyAlignment="1">
      <alignment horizontal="center" vertical="center"/>
    </xf>
    <xf numFmtId="0" fontId="21" fillId="24" borderId="51" xfId="275" applyFont="1" applyFill="1" applyBorder="1" applyAlignment="1">
      <alignment horizontal="left" vertical="center"/>
    </xf>
    <xf numFmtId="0" fontId="17" fillId="21" borderId="52" xfId="275" applyFont="1" applyFill="1" applyBorder="1" applyAlignment="1">
      <alignment horizontal="center"/>
    </xf>
    <xf numFmtId="0" fontId="21" fillId="24" borderId="51" xfId="275" applyFont="1" applyFill="1" applyBorder="1" applyAlignment="1">
      <alignment horizontal="left" vertical="center" indent="2"/>
    </xf>
    <xf numFmtId="0" fontId="21" fillId="24" borderId="55" xfId="275" applyFont="1" applyFill="1" applyBorder="1" applyAlignment="1">
      <alignment horizontal="left" vertical="center"/>
    </xf>
    <xf numFmtId="0" fontId="17" fillId="21" borderId="56" xfId="275" applyFont="1" applyFill="1" applyBorder="1" applyAlignment="1">
      <alignment horizontal="center"/>
    </xf>
    <xf numFmtId="0" fontId="17" fillId="22" borderId="7" xfId="275" applyFill="1" applyBorder="1"/>
    <xf numFmtId="0" fontId="17" fillId="22" borderId="6" xfId="275" applyFill="1" applyBorder="1" applyAlignment="1">
      <alignment horizontal="center"/>
    </xf>
    <xf numFmtId="196" fontId="21" fillId="24" borderId="57" xfId="290" applyNumberFormat="1" applyFont="1" applyFill="1" applyBorder="1" applyAlignment="1">
      <alignment horizontal="center" vertical="center"/>
    </xf>
    <xf numFmtId="0" fontId="21" fillId="24" borderId="58" xfId="275" applyFont="1" applyFill="1" applyBorder="1" applyAlignment="1">
      <alignment horizontal="center" vertical="center"/>
    </xf>
    <xf numFmtId="0" fontId="21" fillId="24" borderId="59" xfId="275" applyFont="1" applyFill="1" applyBorder="1" applyAlignment="1">
      <alignment horizontal="center" vertical="center"/>
    </xf>
    <xf numFmtId="0" fontId="21" fillId="24" borderId="60" xfId="275" applyFont="1" applyFill="1" applyBorder="1" applyAlignment="1">
      <alignment horizontal="center" vertical="center"/>
    </xf>
    <xf numFmtId="0" fontId="21" fillId="24" borderId="61" xfId="275" applyFont="1" applyFill="1" applyBorder="1" applyAlignment="1">
      <alignment horizontal="center" vertical="center"/>
    </xf>
    <xf numFmtId="0" fontId="21" fillId="25" borderId="62" xfId="275" applyFont="1" applyFill="1" applyBorder="1" applyAlignment="1">
      <alignment horizontal="center" vertical="center"/>
    </xf>
    <xf numFmtId="0" fontId="21" fillId="24" borderId="63" xfId="275" applyFont="1" applyFill="1" applyBorder="1" applyAlignment="1">
      <alignment horizontal="left" vertical="center"/>
    </xf>
    <xf numFmtId="0" fontId="17" fillId="21" borderId="64" xfId="275" applyFont="1" applyFill="1" applyBorder="1" applyAlignment="1">
      <alignment horizontal="center"/>
    </xf>
    <xf numFmtId="0" fontId="17" fillId="21" borderId="65" xfId="275" applyFont="1" applyFill="1" applyBorder="1" applyAlignment="1">
      <alignment horizontal="center"/>
    </xf>
    <xf numFmtId="0" fontId="17" fillId="23" borderId="64" xfId="275" applyFont="1" applyFill="1" applyBorder="1" applyAlignment="1">
      <alignment horizontal="center"/>
    </xf>
    <xf numFmtId="10" fontId="17" fillId="23" borderId="66" xfId="275" applyNumberFormat="1" applyFill="1" applyBorder="1" applyAlignment="1">
      <alignment horizontal="center"/>
    </xf>
    <xf numFmtId="0" fontId="21" fillId="24" borderId="5" xfId="275" applyFont="1" applyFill="1" applyBorder="1" applyAlignment="1">
      <alignment vertical="center"/>
    </xf>
    <xf numFmtId="0" fontId="21" fillId="24" borderId="7" xfId="275" applyFont="1" applyFill="1" applyBorder="1" applyAlignment="1">
      <alignment vertical="center"/>
    </xf>
    <xf numFmtId="0" fontId="21" fillId="24" borderId="6" xfId="275" applyFont="1" applyFill="1" applyBorder="1" applyAlignment="1">
      <alignment vertical="center"/>
    </xf>
    <xf numFmtId="0" fontId="21" fillId="24" borderId="67" xfId="275" applyFont="1" applyFill="1" applyBorder="1" applyAlignment="1">
      <alignment horizontal="left" vertical="center" indent="2"/>
    </xf>
    <xf numFmtId="0" fontId="17" fillId="21" borderId="68" xfId="275" applyFont="1" applyFill="1" applyBorder="1" applyAlignment="1">
      <alignment horizontal="center"/>
    </xf>
    <xf numFmtId="0" fontId="17" fillId="21" borderId="69" xfId="275" applyFont="1" applyFill="1" applyBorder="1" applyAlignment="1">
      <alignment horizontal="center"/>
    </xf>
    <xf numFmtId="0" fontId="17" fillId="23" borderId="69" xfId="275" applyFont="1" applyFill="1" applyBorder="1" applyAlignment="1">
      <alignment horizontal="center"/>
    </xf>
    <xf numFmtId="10" fontId="17" fillId="23" borderId="70" xfId="275" applyNumberFormat="1" applyFill="1" applyBorder="1" applyAlignment="1">
      <alignment horizontal="center"/>
    </xf>
    <xf numFmtId="0" fontId="17" fillId="21" borderId="71" xfId="275" applyFont="1" applyFill="1" applyBorder="1" applyAlignment="1">
      <alignment horizontal="center"/>
    </xf>
    <xf numFmtId="0" fontId="17" fillId="21" borderId="72" xfId="275" applyFont="1" applyFill="1" applyBorder="1" applyAlignment="1">
      <alignment horizontal="center"/>
    </xf>
    <xf numFmtId="0" fontId="17" fillId="23" borderId="73" xfId="275" applyFont="1" applyFill="1" applyBorder="1" applyAlignment="1">
      <alignment horizontal="center"/>
    </xf>
    <xf numFmtId="10" fontId="17" fillId="23" borderId="74" xfId="275" applyNumberFormat="1" applyFill="1" applyBorder="1" applyAlignment="1">
      <alignment horizontal="center"/>
    </xf>
    <xf numFmtId="196" fontId="21" fillId="24" borderId="75" xfId="290" applyNumberFormat="1" applyFont="1" applyFill="1" applyBorder="1" applyAlignment="1">
      <alignment horizontal="center" vertical="center" wrapText="1"/>
    </xf>
    <xf numFmtId="196" fontId="21" fillId="24" borderId="76" xfId="290" applyNumberFormat="1" applyFont="1" applyFill="1" applyBorder="1" applyAlignment="1">
      <alignment horizontal="center" vertical="center" wrapText="1"/>
    </xf>
    <xf numFmtId="196" fontId="21" fillId="24" borderId="77" xfId="290" applyNumberFormat="1" applyFont="1" applyFill="1" applyBorder="1" applyAlignment="1">
      <alignment horizontal="center" vertical="center" wrapText="1"/>
    </xf>
    <xf numFmtId="0" fontId="21" fillId="0" borderId="78" xfId="275" applyFont="1" applyFill="1" applyBorder="1" applyAlignment="1">
      <alignment horizontal="center" vertical="center" wrapText="1"/>
    </xf>
    <xf numFmtId="198" fontId="17" fillId="0" borderId="1" xfId="275" applyNumberFormat="1" applyFont="1" applyFill="1" applyBorder="1" applyAlignment="1">
      <alignment horizontal="center" vertical="center" wrapText="1"/>
    </xf>
    <xf numFmtId="0" fontId="1" fillId="0" borderId="1" xfId="110" applyFont="1" applyFill="1" applyBorder="1" applyAlignment="1">
      <alignment horizontal="center" vertical="center" wrapText="1"/>
    </xf>
    <xf numFmtId="0" fontId="17" fillId="0" borderId="1" xfId="275" applyFont="1" applyFill="1" applyBorder="1" applyAlignment="1">
      <alignment horizontal="center" vertical="center" wrapText="1"/>
    </xf>
    <xf numFmtId="0" fontId="21" fillId="0" borderId="79" xfId="275" applyFont="1" applyFill="1" applyBorder="1" applyAlignment="1">
      <alignment horizontal="center" vertical="center" wrapText="1"/>
    </xf>
    <xf numFmtId="190" fontId="1" fillId="23" borderId="80" xfId="110" applyNumberFormat="1" applyFont="1" applyFill="1" applyBorder="1" applyAlignment="1">
      <alignment horizontal="center" vertical="center" wrapText="1"/>
    </xf>
    <xf numFmtId="0" fontId="21" fillId="24" borderId="81" xfId="275" applyFont="1" applyFill="1" applyBorder="1" applyAlignment="1">
      <alignment horizontal="center" vertical="center"/>
    </xf>
    <xf numFmtId="198" fontId="17" fillId="23" borderId="82" xfId="275" applyNumberFormat="1" applyFont="1" applyFill="1" applyBorder="1" applyAlignment="1">
      <alignment horizontal="center" vertical="center"/>
    </xf>
    <xf numFmtId="0" fontId="17" fillId="0" borderId="0" xfId="275" applyFont="1" applyFill="1" applyBorder="1" applyAlignment="1">
      <alignment horizontal="center" vertical="center"/>
    </xf>
    <xf numFmtId="192" fontId="17" fillId="0" borderId="0" xfId="275" applyNumberFormat="1"/>
    <xf numFmtId="0" fontId="1" fillId="0" borderId="8" xfId="110" applyFont="1" applyFill="1" applyBorder="1" applyAlignment="1">
      <alignment horizontal="center" vertical="center" wrapText="1"/>
    </xf>
    <xf numFmtId="196" fontId="21" fillId="24" borderId="83" xfId="290" applyNumberFormat="1" applyFont="1" applyFill="1" applyBorder="1" applyAlignment="1">
      <alignment horizontal="center" vertical="center"/>
    </xf>
    <xf numFmtId="0" fontId="17" fillId="23" borderId="84" xfId="275" applyFill="1" applyBorder="1" applyAlignment="1">
      <alignment horizontal="center"/>
    </xf>
    <xf numFmtId="181" fontId="17" fillId="23" borderId="85" xfId="290" applyNumberFormat="1" applyFont="1" applyFill="1" applyBorder="1" applyAlignment="1">
      <alignment horizontal="center" vertical="center"/>
    </xf>
    <xf numFmtId="10" fontId="17" fillId="23" borderId="86" xfId="275" applyNumberFormat="1" applyFill="1" applyBorder="1" applyAlignment="1">
      <alignment horizontal="center"/>
    </xf>
    <xf numFmtId="0" fontId="17" fillId="0" borderId="0" xfId="275" applyFont="1" applyAlignment="1">
      <alignment horizontal="center"/>
    </xf>
    <xf numFmtId="196" fontId="21" fillId="24" borderId="87" xfId="290" applyNumberFormat="1" applyFont="1" applyFill="1" applyBorder="1" applyAlignment="1">
      <alignment horizontal="center" vertical="center"/>
    </xf>
    <xf numFmtId="196" fontId="21" fillId="24" borderId="76" xfId="290" applyNumberFormat="1" applyFont="1" applyFill="1" applyBorder="1" applyAlignment="1">
      <alignment horizontal="center" vertical="center"/>
    </xf>
    <xf numFmtId="196" fontId="21" fillId="25" borderId="62" xfId="290" applyNumberFormat="1" applyFont="1" applyFill="1" applyBorder="1" applyAlignment="1">
      <alignment horizontal="center" vertical="center"/>
    </xf>
    <xf numFmtId="0" fontId="21" fillId="24" borderId="1" xfId="275" applyFont="1" applyFill="1" applyBorder="1" applyAlignment="1">
      <alignment horizontal="center"/>
    </xf>
    <xf numFmtId="0" fontId="17" fillId="23" borderId="1" xfId="275" applyFill="1" applyBorder="1" applyAlignment="1">
      <alignment horizontal="center"/>
    </xf>
    <xf numFmtId="192" fontId="17" fillId="23" borderId="88" xfId="290" applyNumberFormat="1" applyFont="1" applyFill="1" applyBorder="1" applyAlignment="1">
      <alignment horizontal="center" vertical="center"/>
    </xf>
    <xf numFmtId="0" fontId="17" fillId="23" borderId="46" xfId="275" applyFill="1" applyBorder="1" applyAlignment="1">
      <alignment horizontal="center"/>
    </xf>
    <xf numFmtId="192" fontId="17" fillId="23" borderId="86" xfId="275" applyNumberFormat="1" applyFill="1" applyBorder="1" applyAlignment="1">
      <alignment horizontal="center"/>
    </xf>
    <xf numFmtId="192" fontId="17" fillId="0" borderId="0" xfId="290" applyNumberFormat="1" applyFont="1" applyFill="1" applyBorder="1" applyAlignment="1">
      <alignment horizontal="center" vertical="center"/>
    </xf>
    <xf numFmtId="0" fontId="17" fillId="0" borderId="0" xfId="275" applyBorder="1" applyAlignment="1">
      <alignment horizontal="center"/>
    </xf>
    <xf numFmtId="0" fontId="17" fillId="21" borderId="0" xfId="275" applyFont="1" applyFill="1" applyBorder="1" applyAlignment="1">
      <alignment horizontal="center"/>
    </xf>
    <xf numFmtId="0" fontId="17" fillId="0" borderId="0" xfId="275" applyFont="1" applyBorder="1" applyAlignment="1">
      <alignment horizontal="center"/>
    </xf>
    <xf numFmtId="0" fontId="17" fillId="0" borderId="0" xfId="290" applyNumberFormat="1" applyFont="1" applyFill="1" applyBorder="1" applyAlignment="1">
      <alignment horizontal="center" vertical="center"/>
    </xf>
    <xf numFmtId="0" fontId="17" fillId="0" borderId="0" xfId="275" applyFill="1" applyBorder="1" applyAlignment="1">
      <alignment horizontal="center"/>
    </xf>
    <xf numFmtId="0" fontId="17" fillId="21" borderId="0" xfId="275" applyFont="1" applyFill="1" applyBorder="1" applyAlignment="1">
      <alignment horizontal="left"/>
    </xf>
    <xf numFmtId="0" fontId="18" fillId="22" borderId="6" xfId="275" applyFont="1" applyFill="1" applyBorder="1" applyAlignment="1">
      <alignment horizontal="center"/>
    </xf>
    <xf numFmtId="0" fontId="22" fillId="21" borderId="0" xfId="275" applyFont="1" applyFill="1" applyAlignment="1">
      <alignment horizontal="center"/>
    </xf>
    <xf numFmtId="0" fontId="20" fillId="21" borderId="0" xfId="275" applyFont="1" applyFill="1" applyAlignment="1">
      <alignment horizontal="left"/>
    </xf>
    <xf numFmtId="0" fontId="19" fillId="21" borderId="0" xfId="275" applyFont="1" applyFill="1" applyBorder="1" applyAlignment="1">
      <alignment horizontal="center"/>
    </xf>
    <xf numFmtId="0" fontId="19" fillId="21" borderId="89" xfId="275" applyFont="1" applyFill="1" applyBorder="1" applyAlignment="1">
      <alignment horizontal="center"/>
    </xf>
    <xf numFmtId="58" fontId="21" fillId="24" borderId="2" xfId="275" applyNumberFormat="1" applyFont="1" applyFill="1" applyBorder="1" applyAlignment="1">
      <alignment horizontal="center" vertical="center"/>
    </xf>
    <xf numFmtId="58" fontId="21" fillId="24" borderId="90" xfId="275" applyNumberFormat="1" applyFont="1" applyFill="1" applyBorder="1" applyAlignment="1">
      <alignment horizontal="center" vertical="center"/>
    </xf>
    <xf numFmtId="0" fontId="17" fillId="21" borderId="91" xfId="275" applyFont="1" applyFill="1" applyBorder="1" applyAlignment="1">
      <alignment horizontal="center" vertical="center"/>
    </xf>
    <xf numFmtId="58" fontId="21" fillId="24" borderId="91" xfId="275" applyNumberFormat="1" applyFont="1" applyFill="1" applyBorder="1" applyAlignment="1">
      <alignment horizontal="center" vertical="center"/>
    </xf>
    <xf numFmtId="0" fontId="19" fillId="21" borderId="92" xfId="275" applyFont="1" applyFill="1" applyBorder="1" applyAlignment="1">
      <alignment horizontal="center" vertical="center"/>
    </xf>
    <xf numFmtId="58" fontId="21" fillId="24" borderId="93" xfId="275" applyNumberFormat="1" applyFont="1" applyFill="1" applyBorder="1" applyAlignment="1">
      <alignment horizontal="center" vertical="center"/>
    </xf>
    <xf numFmtId="190" fontId="1" fillId="23" borderId="94" xfId="110" applyNumberFormat="1" applyFont="1" applyFill="1" applyBorder="1" applyAlignment="1">
      <alignment horizontal="center" vertical="center" wrapText="1"/>
    </xf>
    <xf numFmtId="58" fontId="21" fillId="24" borderId="95" xfId="275" applyNumberFormat="1" applyFont="1" applyFill="1" applyBorder="1" applyAlignment="1">
      <alignment horizontal="center" vertical="center"/>
    </xf>
    <xf numFmtId="181" fontId="17" fillId="21" borderId="2" xfId="275" applyNumberFormat="1" applyFont="1" applyFill="1" applyBorder="1" applyAlignment="1">
      <alignment horizontal="center" vertical="center"/>
    </xf>
    <xf numFmtId="190" fontId="1" fillId="23" borderId="2" xfId="110" applyNumberFormat="1" applyFont="1" applyFill="1" applyBorder="1" applyAlignment="1">
      <alignment horizontal="center" vertical="center" wrapText="1"/>
    </xf>
    <xf numFmtId="190" fontId="17" fillId="21" borderId="2" xfId="275" applyNumberFormat="1" applyFont="1" applyFill="1" applyBorder="1" applyAlignment="1">
      <alignment horizontal="center" vertical="center"/>
    </xf>
    <xf numFmtId="181" fontId="17" fillId="26" borderId="2" xfId="275" applyNumberFormat="1" applyFont="1" applyFill="1" applyBorder="1" applyAlignment="1">
      <alignment horizontal="center" vertical="center"/>
    </xf>
    <xf numFmtId="190" fontId="17" fillId="26" borderId="2" xfId="275" applyNumberFormat="1" applyFont="1" applyFill="1" applyBorder="1" applyAlignment="1">
      <alignment horizontal="center" vertical="center"/>
    </xf>
    <xf numFmtId="197" fontId="1" fillId="23" borderId="2" xfId="110" applyNumberFormat="1" applyFont="1" applyFill="1" applyBorder="1" applyAlignment="1">
      <alignment horizontal="center" vertical="center" wrapText="1"/>
    </xf>
    <xf numFmtId="58" fontId="21" fillId="24" borderId="0" xfId="275" applyNumberFormat="1" applyFont="1" applyFill="1" applyBorder="1" applyAlignment="1">
      <alignment horizontal="center" vertical="center"/>
    </xf>
    <xf numFmtId="181" fontId="17" fillId="21" borderId="0" xfId="275" applyNumberFormat="1" applyFont="1" applyFill="1" applyBorder="1" applyAlignment="1">
      <alignment horizontal="center" vertical="center"/>
    </xf>
    <xf numFmtId="0" fontId="17" fillId="0" borderId="0" xfId="275" applyFont="1" applyFill="1" applyBorder="1"/>
    <xf numFmtId="0" fontId="17" fillId="0" borderId="0" xfId="275" applyAlignment="1">
      <alignment vertical="center"/>
    </xf>
    <xf numFmtId="190" fontId="23" fillId="24" borderId="96" xfId="110" applyNumberFormat="1" applyFont="1" applyFill="1" applyBorder="1" applyAlignment="1">
      <alignment horizontal="center" vertical="center" wrapText="1"/>
    </xf>
    <xf numFmtId="0" fontId="17" fillId="0" borderId="96" xfId="275" applyFill="1" applyBorder="1" applyAlignment="1">
      <alignment horizontal="center" vertical="center"/>
    </xf>
    <xf numFmtId="190" fontId="23" fillId="24" borderId="94" xfId="110" applyNumberFormat="1" applyFont="1" applyFill="1" applyBorder="1" applyAlignment="1">
      <alignment horizontal="center" vertical="center" wrapText="1"/>
    </xf>
    <xf numFmtId="0" fontId="17" fillId="0" borderId="94" xfId="275" applyBorder="1" applyAlignment="1">
      <alignment horizontal="center" vertical="center"/>
    </xf>
    <xf numFmtId="0" fontId="17" fillId="0" borderId="102" xfId="275" applyBorder="1" applyAlignment="1">
      <alignment horizontal="center" vertical="center"/>
    </xf>
    <xf numFmtId="58" fontId="21" fillId="11" borderId="0" xfId="275" applyNumberFormat="1" applyFont="1" applyFill="1" applyBorder="1" applyAlignment="1">
      <alignment horizontal="center" vertical="center" wrapText="1"/>
    </xf>
    <xf numFmtId="0" fontId="17" fillId="0" borderId="0" xfId="275" applyBorder="1" applyAlignment="1">
      <alignment horizontal="center" vertical="center"/>
    </xf>
    <xf numFmtId="58" fontId="17" fillId="27" borderId="89" xfId="275" applyNumberFormat="1" applyFont="1" applyFill="1" applyBorder="1" applyAlignment="1">
      <alignment horizontal="center" vertical="center" wrapText="1"/>
    </xf>
    <xf numFmtId="58" fontId="17" fillId="27" borderId="96" xfId="275" applyNumberFormat="1" applyFont="1" applyFill="1" applyBorder="1" applyAlignment="1">
      <alignment horizontal="center" vertical="center" wrapText="1"/>
    </xf>
    <xf numFmtId="0" fontId="24" fillId="0" borderId="103" xfId="275" applyFont="1" applyBorder="1" applyAlignment="1">
      <alignment horizontal="center" vertical="center"/>
    </xf>
    <xf numFmtId="0" fontId="24" fillId="0" borderId="7" xfId="275" applyFont="1" applyFill="1" applyBorder="1" applyAlignment="1">
      <alignment horizontal="center" vertical="center"/>
    </xf>
    <xf numFmtId="0" fontId="24" fillId="0" borderId="104" xfId="275" applyFont="1" applyBorder="1" applyAlignment="1">
      <alignment horizontal="center" vertical="center"/>
    </xf>
    <xf numFmtId="0" fontId="24" fillId="0" borderId="93" xfId="275" applyFont="1" applyBorder="1" applyAlignment="1">
      <alignment horizontal="center" vertical="center"/>
    </xf>
    <xf numFmtId="0" fontId="24" fillId="0" borderId="107" xfId="275" applyFont="1" applyFill="1" applyBorder="1" applyAlignment="1">
      <alignment horizontal="center" vertical="center"/>
    </xf>
    <xf numFmtId="0" fontId="24" fillId="0" borderId="108" xfId="275" applyFont="1" applyBorder="1" applyAlignment="1">
      <alignment horizontal="center" vertical="center"/>
    </xf>
    <xf numFmtId="0" fontId="17" fillId="22" borderId="1" xfId="275" applyFont="1" applyFill="1" applyBorder="1"/>
    <xf numFmtId="0" fontId="25" fillId="0" borderId="1" xfId="275" applyFont="1" applyFill="1" applyBorder="1" applyAlignment="1">
      <alignment horizontal="center" vertical="center" wrapText="1"/>
    </xf>
    <xf numFmtId="0" fontId="24" fillId="0" borderId="1" xfId="275" applyFont="1" applyBorder="1" applyAlignment="1">
      <alignment horizontal="center" vertical="center"/>
    </xf>
    <xf numFmtId="0" fontId="25" fillId="0" borderId="94" xfId="275" applyFont="1" applyFill="1" applyBorder="1" applyAlignment="1">
      <alignment horizontal="center" vertical="center" wrapText="1"/>
    </xf>
    <xf numFmtId="0" fontId="24" fillId="0" borderId="94" xfId="275" applyFont="1" applyBorder="1" applyAlignment="1">
      <alignment horizontal="center" vertical="center"/>
    </xf>
    <xf numFmtId="190" fontId="1" fillId="23" borderId="99" xfId="110" applyNumberFormat="1" applyFont="1" applyFill="1" applyBorder="1" applyAlignment="1">
      <alignment horizontal="center" vertical="center" wrapText="1"/>
    </xf>
    <xf numFmtId="0" fontId="27" fillId="28" borderId="2" xfId="0" applyFont="1" applyFill="1" applyBorder="1" applyAlignment="1">
      <alignment horizontal="center" vertical="center" wrapText="1"/>
    </xf>
    <xf numFmtId="182" fontId="28" fillId="29" borderId="2" xfId="0" applyNumberFormat="1" applyFont="1" applyFill="1" applyBorder="1" applyAlignment="1">
      <alignment horizontal="center" vertical="center" wrapText="1"/>
    </xf>
    <xf numFmtId="195" fontId="2" fillId="3" borderId="2" xfId="276" applyNumberFormat="1" applyFont="1" applyFill="1" applyBorder="1" applyAlignment="1">
      <alignment horizontal="left" vertical="center" wrapText="1"/>
    </xf>
    <xf numFmtId="0" fontId="17" fillId="0" borderId="2" xfId="275" applyBorder="1" applyAlignment="1">
      <alignment horizontal="center" vertical="center"/>
    </xf>
    <xf numFmtId="179" fontId="28" fillId="23" borderId="2" xfId="275" applyNumberFormat="1" applyFont="1" applyFill="1" applyBorder="1" applyAlignment="1">
      <alignment horizontal="center" vertical="center"/>
    </xf>
    <xf numFmtId="182" fontId="17" fillId="28" borderId="2" xfId="0" applyNumberFormat="1" applyFont="1" applyFill="1" applyBorder="1" applyAlignment="1">
      <alignment horizontal="center" vertical="center" wrapText="1"/>
    </xf>
    <xf numFmtId="182" fontId="17" fillId="29" borderId="2" xfId="0" applyNumberFormat="1" applyFont="1" applyFill="1" applyBorder="1" applyAlignment="1">
      <alignment horizontal="center" vertical="center" wrapText="1"/>
    </xf>
    <xf numFmtId="195" fontId="2" fillId="30" borderId="2" xfId="276" applyNumberFormat="1" applyFont="1" applyFill="1" applyBorder="1" applyAlignment="1">
      <alignment horizontal="left" vertical="center" wrapText="1"/>
    </xf>
    <xf numFmtId="190" fontId="1" fillId="31" borderId="2" xfId="110" applyNumberFormat="1" applyFont="1" applyFill="1" applyBorder="1" applyAlignment="1">
      <alignment horizontal="center" vertical="center" wrapText="1"/>
    </xf>
    <xf numFmtId="0" fontId="17" fillId="32" borderId="2" xfId="275" applyFill="1" applyBorder="1" applyAlignment="1">
      <alignment horizontal="center" vertical="center"/>
    </xf>
    <xf numFmtId="179" fontId="28" fillId="31" borderId="2" xfId="275" applyNumberFormat="1" applyFont="1" applyFill="1" applyBorder="1" applyAlignment="1">
      <alignment horizontal="center" vertical="center"/>
    </xf>
    <xf numFmtId="182" fontId="17" fillId="32" borderId="2" xfId="275" applyNumberFormat="1" applyFill="1" applyBorder="1" applyAlignment="1">
      <alignment horizontal="center" vertical="center"/>
    </xf>
    <xf numFmtId="0" fontId="17" fillId="23" borderId="2" xfId="275" applyFill="1" applyBorder="1" applyAlignment="1">
      <alignment horizontal="center" vertical="center"/>
    </xf>
    <xf numFmtId="190" fontId="1" fillId="11" borderId="0" xfId="110" applyNumberFormat="1" applyFont="1" applyFill="1" applyBorder="1" applyAlignment="1">
      <alignment horizontal="center" vertical="center" wrapText="1"/>
    </xf>
    <xf numFmtId="179" fontId="28" fillId="23" borderId="0" xfId="275" applyNumberFormat="1" applyFont="1" applyFill="1" applyBorder="1" applyAlignment="1">
      <alignment horizontal="center" vertical="center"/>
    </xf>
    <xf numFmtId="182" fontId="17" fillId="0" borderId="0" xfId="275" applyNumberFormat="1"/>
    <xf numFmtId="0" fontId="17" fillId="0" borderId="102" xfId="275" applyBorder="1" applyAlignment="1">
      <alignment horizontal="center"/>
    </xf>
    <xf numFmtId="0" fontId="17" fillId="0" borderId="0" xfId="275" applyFont="1" applyFill="1"/>
    <xf numFmtId="195" fontId="2" fillId="3" borderId="2" xfId="276" applyNumberFormat="1" applyFont="1" applyFill="1" applyBorder="1" applyAlignment="1">
      <alignment horizontal="center" vertical="center" wrapText="1"/>
    </xf>
    <xf numFmtId="195" fontId="2" fillId="30" borderId="2" xfId="276" applyNumberFormat="1" applyFont="1" applyFill="1" applyBorder="1" applyAlignment="1">
      <alignment horizontal="center" vertical="center" wrapText="1"/>
    </xf>
    <xf numFmtId="0" fontId="29" fillId="0" borderId="1" xfId="275" applyFont="1" applyFill="1" applyBorder="1" applyAlignment="1">
      <alignment horizontal="center" vertical="center"/>
    </xf>
    <xf numFmtId="0" fontId="24" fillId="0" borderId="1" xfId="275" applyFont="1" applyFill="1" applyBorder="1" applyAlignment="1">
      <alignment horizontal="center" vertical="center"/>
    </xf>
    <xf numFmtId="0" fontId="24" fillId="0" borderId="121" xfId="275" applyFont="1" applyFill="1" applyBorder="1" applyAlignment="1">
      <alignment horizontal="center" vertical="center"/>
    </xf>
    <xf numFmtId="0" fontId="24" fillId="0" borderId="8" xfId="275" applyFont="1" applyFill="1" applyBorder="1" applyAlignment="1">
      <alignment horizontal="center" vertical="center"/>
    </xf>
    <xf numFmtId="0" fontId="24" fillId="0" borderId="122" xfId="275" applyFont="1" applyBorder="1" applyAlignment="1">
      <alignment horizontal="center" vertical="center"/>
    </xf>
    <xf numFmtId="0" fontId="24" fillId="0" borderId="123" xfId="275" applyFont="1" applyFill="1" applyBorder="1" applyAlignment="1">
      <alignment horizontal="center" vertical="center"/>
    </xf>
    <xf numFmtId="0" fontId="24" fillId="0" borderId="124" xfId="275" applyFont="1" applyBorder="1" applyAlignment="1">
      <alignment horizontal="center" vertical="center"/>
    </xf>
    <xf numFmtId="0" fontId="24" fillId="0" borderId="125" xfId="275" applyFont="1" applyFill="1" applyBorder="1" applyAlignment="1">
      <alignment horizontal="center" vertical="center"/>
    </xf>
    <xf numFmtId="0" fontId="24" fillId="0" borderId="125" xfId="275" applyFont="1" applyBorder="1" applyAlignment="1">
      <alignment horizontal="center" vertical="center"/>
    </xf>
    <xf numFmtId="0" fontId="17" fillId="21" borderId="0" xfId="275" applyNumberFormat="1" applyFont="1" applyFill="1"/>
    <xf numFmtId="0" fontId="17" fillId="21" borderId="0" xfId="275" applyFont="1" applyFill="1" applyAlignment="1">
      <alignment horizontal="left" vertical="top" wrapText="1"/>
    </xf>
    <xf numFmtId="0" fontId="20" fillId="21" borderId="0" xfId="275" applyFont="1" applyFill="1" applyAlignment="1">
      <alignment horizontal="left" vertical="top"/>
    </xf>
    <xf numFmtId="0" fontId="17" fillId="22" borderId="1" xfId="275" applyFont="1" applyFill="1" applyBorder="1" applyAlignment="1">
      <alignment horizontal="left"/>
    </xf>
    <xf numFmtId="0" fontId="17" fillId="21" borderId="2" xfId="275" applyNumberFormat="1" applyFont="1" applyFill="1" applyBorder="1" applyAlignment="1">
      <alignment horizontal="center" vertical="center"/>
    </xf>
    <xf numFmtId="0" fontId="17" fillId="26" borderId="2" xfId="275" applyNumberFormat="1" applyFont="1" applyFill="1" applyBorder="1" applyAlignment="1">
      <alignment horizontal="center" vertical="center"/>
    </xf>
    <xf numFmtId="0" fontId="17" fillId="23" borderId="2" xfId="275" applyNumberFormat="1" applyFont="1" applyFill="1" applyBorder="1" applyAlignment="1">
      <alignment horizontal="center" vertical="center"/>
    </xf>
    <xf numFmtId="0" fontId="30" fillId="21" borderId="127" xfId="275" applyNumberFormat="1" applyFont="1" applyFill="1" applyBorder="1" applyAlignment="1">
      <alignment vertical="top"/>
    </xf>
    <xf numFmtId="0" fontId="17" fillId="26" borderId="2" xfId="275" applyNumberFormat="1" applyFont="1" applyFill="1" applyBorder="1" applyAlignment="1">
      <alignment horizontal="center"/>
    </xf>
    <xf numFmtId="0" fontId="17" fillId="21" borderId="2" xfId="275" applyNumberFormat="1" applyFont="1" applyFill="1" applyBorder="1" applyAlignment="1">
      <alignment horizontal="center"/>
    </xf>
    <xf numFmtId="0" fontId="17" fillId="23" borderId="2" xfId="275" applyNumberFormat="1" applyFont="1" applyFill="1" applyBorder="1" applyAlignment="1">
      <alignment horizontal="center"/>
    </xf>
    <xf numFmtId="194" fontId="17" fillId="23" borderId="2" xfId="275" applyNumberFormat="1" applyFont="1" applyFill="1" applyBorder="1" applyAlignment="1">
      <alignment horizontal="center" vertical="center"/>
    </xf>
    <xf numFmtId="194" fontId="17" fillId="26" borderId="2" xfId="275" applyNumberFormat="1" applyFont="1" applyFill="1" applyBorder="1" applyAlignment="1">
      <alignment horizontal="center" vertical="center"/>
    </xf>
    <xf numFmtId="182" fontId="17" fillId="26" borderId="2" xfId="275" applyNumberFormat="1" applyFont="1" applyFill="1" applyBorder="1" applyAlignment="1">
      <alignment horizontal="center" vertical="center"/>
    </xf>
    <xf numFmtId="194" fontId="17" fillId="23" borderId="0" xfId="275" applyNumberFormat="1" applyFont="1" applyFill="1" applyAlignment="1">
      <alignment horizontal="center" vertical="center"/>
    </xf>
    <xf numFmtId="0" fontId="17" fillId="21" borderId="0" xfId="275" applyNumberFormat="1" applyFont="1" applyFill="1" applyAlignment="1">
      <alignment vertical="center"/>
    </xf>
    <xf numFmtId="0" fontId="31" fillId="21" borderId="0" xfId="275" applyNumberFormat="1" applyFont="1" applyFill="1"/>
    <xf numFmtId="0" fontId="30" fillId="21" borderId="0" xfId="275" applyNumberFormat="1" applyFont="1" applyFill="1" applyAlignment="1">
      <alignment vertical="top"/>
    </xf>
    <xf numFmtId="0" fontId="17" fillId="23" borderId="2" xfId="275" applyFont="1" applyFill="1" applyBorder="1" applyAlignment="1">
      <alignment horizontal="center" vertical="center"/>
    </xf>
    <xf numFmtId="0" fontId="17" fillId="26" borderId="2" xfId="275" applyNumberFormat="1" applyFont="1" applyFill="1" applyBorder="1"/>
    <xf numFmtId="182" fontId="17" fillId="26" borderId="2" xfId="275" applyNumberFormat="1" applyFont="1" applyFill="1" applyBorder="1" applyAlignment="1">
      <alignment horizontal="center"/>
    </xf>
    <xf numFmtId="194" fontId="17" fillId="23" borderId="2" xfId="275" applyNumberFormat="1" applyFont="1" applyFill="1" applyBorder="1" applyAlignment="1">
      <alignment horizontal="center"/>
    </xf>
    <xf numFmtId="194" fontId="17" fillId="21" borderId="2" xfId="275" applyNumberFormat="1" applyFont="1" applyFill="1" applyBorder="1" applyAlignment="1">
      <alignment horizontal="center"/>
    </xf>
    <xf numFmtId="0" fontId="17" fillId="0" borderId="0" xfId="275" applyNumberFormat="1" applyFont="1" applyFill="1"/>
    <xf numFmtId="0" fontId="17" fillId="21" borderId="0" xfId="275" applyNumberFormat="1" applyFont="1" applyFill="1" applyAlignment="1">
      <alignment horizontal="center" vertical="center"/>
    </xf>
    <xf numFmtId="0" fontId="30" fillId="21" borderId="0" xfId="275" applyNumberFormat="1" applyFont="1" applyFill="1" applyAlignment="1">
      <alignment horizontal="center" vertical="top"/>
    </xf>
    <xf numFmtId="0" fontId="17" fillId="31" borderId="2" xfId="275" applyNumberFormat="1" applyFont="1" applyFill="1" applyBorder="1" applyAlignment="1">
      <alignment horizontal="center" vertical="center"/>
    </xf>
    <xf numFmtId="194" fontId="17" fillId="31" borderId="2" xfId="275" applyNumberFormat="1" applyFont="1" applyFill="1" applyBorder="1" applyAlignment="1">
      <alignment horizontal="center" vertical="center"/>
    </xf>
    <xf numFmtId="0" fontId="17" fillId="21" borderId="2" xfId="275" applyNumberFormat="1" applyFont="1" applyFill="1" applyBorder="1"/>
    <xf numFmtId="0" fontId="30" fillId="21" borderId="0" xfId="275" applyNumberFormat="1" applyFont="1" applyFill="1" applyAlignment="1">
      <alignment horizontal="left" vertical="top"/>
    </xf>
    <xf numFmtId="0" fontId="17" fillId="23" borderId="2" xfId="275" applyFont="1" applyFill="1" applyBorder="1" applyAlignment="1">
      <alignment horizontal="center"/>
    </xf>
    <xf numFmtId="0" fontId="17" fillId="21" borderId="0" xfId="275" applyFont="1" applyFill="1" applyAlignment="1">
      <alignment horizontal="center"/>
    </xf>
    <xf numFmtId="58" fontId="17" fillId="21" borderId="0" xfId="275" applyNumberFormat="1" applyFont="1" applyFill="1" applyAlignment="1">
      <alignment horizontal="center"/>
    </xf>
    <xf numFmtId="58" fontId="17" fillId="21" borderId="0" xfId="275" applyNumberFormat="1" applyFont="1" applyFill="1"/>
    <xf numFmtId="58" fontId="22" fillId="21" borderId="0" xfId="275" applyNumberFormat="1" applyFont="1" applyFill="1" applyAlignment="1">
      <alignment horizontal="center"/>
    </xf>
    <xf numFmtId="0" fontId="17" fillId="21" borderId="0" xfId="275" applyFill="1"/>
    <xf numFmtId="0" fontId="17" fillId="21" borderId="128" xfId="275" applyFont="1" applyFill="1" applyBorder="1" applyAlignment="1">
      <alignment horizontal="left"/>
    </xf>
    <xf numFmtId="58" fontId="21" fillId="2" borderId="130" xfId="275" applyNumberFormat="1" applyFont="1" applyFill="1" applyBorder="1" applyAlignment="1">
      <alignment horizontal="center" vertical="center"/>
    </xf>
    <xf numFmtId="197" fontId="32" fillId="23" borderId="131" xfId="275" applyNumberFormat="1" applyFont="1" applyFill="1" applyBorder="1" applyAlignment="1">
      <alignment horizontal="center" vertical="center"/>
    </xf>
    <xf numFmtId="0" fontId="33" fillId="24" borderId="132" xfId="275" applyFont="1" applyFill="1" applyBorder="1" applyAlignment="1">
      <alignment horizontal="center" vertical="center"/>
    </xf>
    <xf numFmtId="58" fontId="21" fillId="24" borderId="133" xfId="275" applyNumberFormat="1" applyFont="1" applyFill="1" applyBorder="1" applyAlignment="1">
      <alignment horizontal="center" vertical="center"/>
    </xf>
    <xf numFmtId="58" fontId="21" fillId="24" borderId="134" xfId="275" applyNumberFormat="1" applyFont="1" applyFill="1" applyBorder="1" applyAlignment="1">
      <alignment horizontal="center" vertical="center"/>
    </xf>
    <xf numFmtId="58" fontId="17" fillId="21" borderId="135" xfId="275" applyNumberFormat="1" applyFont="1" applyFill="1" applyBorder="1"/>
    <xf numFmtId="58" fontId="17" fillId="21" borderId="136" xfId="275" applyNumberFormat="1" applyFont="1" applyFill="1" applyBorder="1"/>
    <xf numFmtId="0" fontId="17" fillId="21" borderId="136" xfId="275" applyFont="1" applyFill="1" applyBorder="1"/>
    <xf numFmtId="0" fontId="17" fillId="21" borderId="137" xfId="275" applyFont="1" applyFill="1" applyBorder="1"/>
    <xf numFmtId="197" fontId="32" fillId="23" borderId="138" xfId="275" applyNumberFormat="1" applyFont="1" applyFill="1" applyBorder="1" applyAlignment="1">
      <alignment horizontal="center"/>
    </xf>
    <xf numFmtId="0" fontId="17" fillId="21" borderId="145" xfId="275" applyFill="1" applyBorder="1"/>
    <xf numFmtId="0" fontId="17" fillId="21" borderId="145" xfId="275" applyFont="1" applyFill="1" applyBorder="1"/>
    <xf numFmtId="0" fontId="21" fillId="24" borderId="2" xfId="275" applyFont="1" applyFill="1" applyBorder="1" applyAlignment="1">
      <alignment horizontal="center" vertical="center"/>
    </xf>
    <xf numFmtId="0" fontId="21" fillId="24" borderId="2" xfId="275" applyFont="1" applyFill="1" applyBorder="1" applyAlignment="1">
      <alignment horizontal="center"/>
    </xf>
    <xf numFmtId="10" fontId="17" fillId="0" borderId="2" xfId="275" applyNumberFormat="1" applyFont="1" applyFill="1" applyBorder="1" applyAlignment="1">
      <alignment horizontal="center" vertical="center"/>
    </xf>
    <xf numFmtId="10" fontId="17" fillId="32" borderId="2" xfId="292" applyNumberFormat="1" applyFont="1" applyFill="1" applyBorder="1" applyAlignment="1">
      <alignment horizontal="center" vertical="center" wrapText="1"/>
    </xf>
    <xf numFmtId="10" fontId="27" fillId="28" borderId="2" xfId="0" applyNumberFormat="1" applyFont="1" applyFill="1" applyBorder="1" applyAlignment="1">
      <alignment horizontal="center" vertical="center" wrapText="1"/>
    </xf>
    <xf numFmtId="10" fontId="28" fillId="29" borderId="2" xfId="0" applyNumberFormat="1" applyFont="1" applyFill="1" applyBorder="1" applyAlignment="1">
      <alignment horizontal="center" vertical="center" wrapText="1"/>
    </xf>
    <xf numFmtId="58" fontId="17" fillId="22" borderId="6" xfId="275" applyNumberFormat="1" applyFont="1" applyFill="1" applyBorder="1" applyAlignment="1">
      <alignment horizontal="center"/>
    </xf>
    <xf numFmtId="192" fontId="17" fillId="21" borderId="0" xfId="275" applyNumberFormat="1" applyFont="1" applyFill="1"/>
    <xf numFmtId="0" fontId="21" fillId="24" borderId="148" xfId="275" applyFont="1" applyFill="1" applyBorder="1" applyAlignment="1">
      <alignment horizontal="center" vertical="center"/>
    </xf>
    <xf numFmtId="0" fontId="21" fillId="24" borderId="149" xfId="275" applyFont="1" applyFill="1" applyBorder="1" applyAlignment="1">
      <alignment horizontal="center" vertical="center"/>
    </xf>
    <xf numFmtId="0" fontId="17" fillId="21" borderId="85" xfId="275" applyNumberFormat="1" applyFont="1" applyFill="1" applyBorder="1" applyAlignment="1">
      <alignment horizontal="center"/>
    </xf>
    <xf numFmtId="0" fontId="17" fillId="21" borderId="152" xfId="275" applyNumberFormat="1" applyFont="1" applyFill="1" applyBorder="1" applyAlignment="1">
      <alignment horizontal="center"/>
    </xf>
    <xf numFmtId="0" fontId="21" fillId="24" borderId="1" xfId="275" applyFont="1" applyFill="1" applyBorder="1" applyAlignment="1">
      <alignment horizontal="center" vertical="center" wrapText="1"/>
    </xf>
    <xf numFmtId="0" fontId="21" fillId="2" borderId="1" xfId="275" applyFont="1" applyFill="1" applyBorder="1" applyAlignment="1">
      <alignment horizontal="center" vertical="center" wrapText="1"/>
    </xf>
    <xf numFmtId="0" fontId="17" fillId="21" borderId="0" xfId="275" applyFont="1" applyFill="1" applyAlignment="1">
      <alignment horizontal="left" vertical="center"/>
    </xf>
    <xf numFmtId="198" fontId="17" fillId="21" borderId="1" xfId="275" applyNumberFormat="1" applyFont="1" applyFill="1" applyBorder="1" applyAlignment="1">
      <alignment horizontal="center" vertical="center"/>
    </xf>
    <xf numFmtId="198" fontId="17" fillId="23" borderId="1" xfId="275" applyNumberFormat="1" applyFont="1" applyFill="1" applyBorder="1" applyAlignment="1">
      <alignment horizontal="center" vertical="center"/>
    </xf>
    <xf numFmtId="58" fontId="21" fillId="2" borderId="134" xfId="275" applyNumberFormat="1" applyFont="1" applyFill="1" applyBorder="1" applyAlignment="1">
      <alignment horizontal="center" vertical="center"/>
    </xf>
    <xf numFmtId="58" fontId="21" fillId="24" borderId="155" xfId="275" applyNumberFormat="1" applyFont="1" applyFill="1" applyBorder="1" applyAlignment="1">
      <alignment horizontal="center" vertical="center"/>
    </xf>
    <xf numFmtId="10" fontId="32" fillId="21" borderId="138" xfId="275" applyNumberFormat="1" applyFont="1" applyFill="1" applyBorder="1" applyAlignment="1">
      <alignment horizontal="center"/>
    </xf>
    <xf numFmtId="10" fontId="32" fillId="21" borderId="156" xfId="275" applyNumberFormat="1" applyFont="1" applyFill="1" applyBorder="1" applyAlignment="1">
      <alignment horizontal="center"/>
    </xf>
    <xf numFmtId="10" fontId="32" fillId="21" borderId="157" xfId="275" applyNumberFormat="1" applyFont="1" applyFill="1" applyBorder="1" applyAlignment="1">
      <alignment horizontal="center"/>
    </xf>
    <xf numFmtId="10" fontId="32" fillId="21" borderId="158" xfId="275" applyNumberFormat="1" applyFont="1" applyFill="1" applyBorder="1" applyAlignment="1">
      <alignment horizontal="center"/>
    </xf>
    <xf numFmtId="10" fontId="32" fillId="21" borderId="159" xfId="275" applyNumberFormat="1" applyFont="1" applyFill="1" applyBorder="1" applyAlignment="1">
      <alignment horizontal="center"/>
    </xf>
    <xf numFmtId="0" fontId="17" fillId="21" borderId="160" xfId="275" applyFont="1" applyFill="1" applyBorder="1" applyAlignment="1">
      <alignment horizontal="center"/>
    </xf>
    <xf numFmtId="197" fontId="17" fillId="21" borderId="0" xfId="275" applyNumberFormat="1" applyFont="1" applyFill="1" applyAlignment="1">
      <alignment horizontal="center" vertical="center"/>
    </xf>
    <xf numFmtId="0" fontId="17" fillId="21" borderId="0" xfId="275" applyFont="1" applyFill="1" applyAlignment="1">
      <alignment horizontal="center" vertical="center"/>
    </xf>
    <xf numFmtId="0" fontId="21" fillId="21" borderId="0" xfId="275" applyFont="1" applyFill="1" applyBorder="1"/>
    <xf numFmtId="0" fontId="17" fillId="22" borderId="7" xfId="275" applyFont="1" applyFill="1" applyBorder="1"/>
    <xf numFmtId="0" fontId="17" fillId="22" borderId="6" xfId="275" applyFont="1" applyFill="1" applyBorder="1" applyAlignment="1">
      <alignment horizontal="center"/>
    </xf>
    <xf numFmtId="0" fontId="32" fillId="21" borderId="0" xfId="275" applyFont="1" applyFill="1" applyBorder="1" applyAlignment="1">
      <alignment horizontal="left"/>
    </xf>
    <xf numFmtId="0" fontId="21" fillId="2" borderId="161" xfId="275" applyFont="1" applyFill="1" applyBorder="1" applyAlignment="1">
      <alignment horizontal="center" vertical="center"/>
    </xf>
    <xf numFmtId="0" fontId="19" fillId="21" borderId="162" xfId="275" applyFont="1" applyFill="1" applyBorder="1" applyAlignment="1">
      <alignment horizontal="center" vertical="center"/>
    </xf>
    <xf numFmtId="0" fontId="21" fillId="24" borderId="163" xfId="275" applyFont="1" applyFill="1" applyBorder="1" applyAlignment="1">
      <alignment horizontal="center" vertical="center"/>
    </xf>
    <xf numFmtId="0" fontId="21" fillId="24" borderId="164" xfId="275" applyFont="1" applyFill="1" applyBorder="1" applyAlignment="1">
      <alignment horizontal="center" vertical="center"/>
    </xf>
    <xf numFmtId="0" fontId="21" fillId="24" borderId="165" xfId="275" applyFont="1" applyFill="1" applyBorder="1" applyAlignment="1">
      <alignment horizontal="center" vertical="center"/>
    </xf>
    <xf numFmtId="0" fontId="21" fillId="24" borderId="166" xfId="275" applyFont="1" applyFill="1" applyBorder="1" applyAlignment="1">
      <alignment horizontal="center"/>
    </xf>
    <xf numFmtId="0" fontId="21" fillId="24" borderId="1" xfId="275" applyFont="1" applyFill="1" applyBorder="1" applyAlignment="1">
      <alignment vertical="center"/>
    </xf>
    <xf numFmtId="0" fontId="17" fillId="21" borderId="167" xfId="275" applyFont="1" applyFill="1" applyBorder="1" applyAlignment="1">
      <alignment horizontal="center"/>
    </xf>
    <xf numFmtId="0" fontId="21" fillId="24" borderId="1" xfId="275" applyFont="1" applyFill="1" applyBorder="1" applyAlignment="1">
      <alignment horizontal="left" vertical="center" indent="1"/>
    </xf>
    <xf numFmtId="192" fontId="17" fillId="0" borderId="88" xfId="290" applyNumberFormat="1" applyFont="1" applyFill="1" applyBorder="1" applyAlignment="1">
      <alignment horizontal="center" vertical="center"/>
    </xf>
    <xf numFmtId="0" fontId="21" fillId="24" borderId="168" xfId="275" applyFont="1" applyFill="1" applyBorder="1" applyAlignment="1">
      <alignment horizontal="center"/>
    </xf>
    <xf numFmtId="0" fontId="21" fillId="24" borderId="169" xfId="275" applyFont="1" applyFill="1" applyBorder="1" applyAlignment="1">
      <alignment horizontal="center"/>
    </xf>
    <xf numFmtId="0" fontId="21" fillId="0" borderId="170" xfId="275" applyFont="1" applyFill="1" applyBorder="1" applyAlignment="1">
      <alignment vertical="center"/>
    </xf>
    <xf numFmtId="0" fontId="21" fillId="21" borderId="0" xfId="275" applyFont="1" applyFill="1" applyBorder="1" applyAlignment="1">
      <alignment horizontal="center"/>
    </xf>
    <xf numFmtId="0" fontId="17" fillId="22" borderId="5" xfId="275" applyFont="1" applyFill="1" applyBorder="1" applyAlignment="1">
      <alignment horizontal="left" vertical="top"/>
    </xf>
    <xf numFmtId="0" fontId="21" fillId="24" borderId="171" xfId="275" applyFont="1" applyFill="1" applyBorder="1" applyAlignment="1">
      <alignment vertical="center"/>
    </xf>
    <xf numFmtId="0" fontId="17" fillId="21" borderId="0" xfId="275" applyFill="1" applyBorder="1" applyAlignment="1">
      <alignment horizontal="left" vertical="top"/>
    </xf>
    <xf numFmtId="0" fontId="21" fillId="2" borderId="172" xfId="275" applyFont="1" applyFill="1" applyBorder="1" applyAlignment="1">
      <alignment horizontal="center" vertical="center"/>
    </xf>
    <xf numFmtId="182" fontId="17" fillId="23" borderId="173" xfId="275" applyNumberFormat="1" applyFill="1" applyBorder="1" applyAlignment="1">
      <alignment horizontal="center"/>
    </xf>
    <xf numFmtId="0" fontId="21" fillId="24" borderId="174" xfId="275" applyFont="1" applyFill="1" applyBorder="1" applyAlignment="1">
      <alignment horizontal="center"/>
    </xf>
    <xf numFmtId="0" fontId="17" fillId="21" borderId="0" xfId="275" applyFont="1" applyFill="1" applyBorder="1" applyAlignment="1">
      <alignment horizontal="left" vertical="top"/>
    </xf>
    <xf numFmtId="0" fontId="19" fillId="21" borderId="175" xfId="275" applyFont="1" applyFill="1" applyBorder="1" applyAlignment="1">
      <alignment horizontal="center" vertical="center"/>
    </xf>
    <xf numFmtId="0" fontId="21" fillId="2" borderId="176" xfId="275" applyFont="1" applyFill="1" applyBorder="1" applyAlignment="1">
      <alignment horizontal="center" vertical="center"/>
    </xf>
    <xf numFmtId="0" fontId="20" fillId="0" borderId="0" xfId="275" applyFont="1" applyFill="1"/>
    <xf numFmtId="0" fontId="22" fillId="22" borderId="6" xfId="275" applyFont="1" applyFill="1" applyBorder="1" applyAlignment="1">
      <alignment horizontal="center"/>
    </xf>
    <xf numFmtId="0" fontId="13" fillId="21" borderId="0" xfId="275" applyFont="1" applyFill="1" applyAlignment="1">
      <alignment horizontal="left"/>
    </xf>
    <xf numFmtId="0" fontId="13" fillId="21" borderId="0" xfId="275" applyFont="1" applyFill="1"/>
    <xf numFmtId="0" fontId="21" fillId="24" borderId="138" xfId="275" applyFont="1" applyFill="1" applyBorder="1" applyAlignment="1">
      <alignment horizontal="center" vertical="center"/>
    </xf>
    <xf numFmtId="0" fontId="21" fillId="24" borderId="157" xfId="275" applyFont="1" applyFill="1" applyBorder="1" applyAlignment="1">
      <alignment horizontal="center" vertical="center"/>
    </xf>
    <xf numFmtId="0" fontId="21" fillId="24" borderId="51" xfId="275" applyFont="1" applyFill="1" applyBorder="1" applyAlignment="1">
      <alignment horizontal="center"/>
    </xf>
    <xf numFmtId="0" fontId="21" fillId="24" borderId="138" xfId="275" applyFont="1" applyFill="1" applyBorder="1"/>
    <xf numFmtId="0" fontId="32" fillId="23" borderId="138" xfId="275" applyFont="1" applyFill="1" applyBorder="1" applyAlignment="1">
      <alignment horizontal="center"/>
    </xf>
    <xf numFmtId="0" fontId="17" fillId="21" borderId="179" xfId="275" applyFont="1" applyFill="1" applyBorder="1" applyAlignment="1">
      <alignment horizontal="center"/>
    </xf>
    <xf numFmtId="0" fontId="32" fillId="23" borderId="138" xfId="275" applyFont="1" applyFill="1" applyBorder="1" applyAlignment="1">
      <alignment horizontal="right"/>
    </xf>
    <xf numFmtId="0" fontId="21" fillId="2" borderId="51" xfId="275" applyFont="1" applyFill="1" applyBorder="1" applyAlignment="1">
      <alignment horizontal="center"/>
    </xf>
    <xf numFmtId="0" fontId="21" fillId="2" borderId="157" xfId="275" applyFont="1" applyFill="1" applyBorder="1"/>
    <xf numFmtId="0" fontId="32" fillId="23" borderId="179" xfId="275" applyFont="1" applyFill="1" applyBorder="1" applyAlignment="1">
      <alignment horizontal="center"/>
    </xf>
    <xf numFmtId="0" fontId="21" fillId="2" borderId="138" xfId="275" applyFont="1" applyFill="1" applyBorder="1"/>
    <xf numFmtId="0" fontId="21" fillId="2" borderId="55" xfId="275" applyFont="1" applyFill="1" applyBorder="1" applyAlignment="1">
      <alignment horizontal="center"/>
    </xf>
    <xf numFmtId="0" fontId="21" fillId="2" borderId="159" xfId="275" applyFont="1" applyFill="1" applyBorder="1"/>
    <xf numFmtId="0" fontId="17" fillId="0" borderId="0" xfId="275" applyFont="1" applyFill="1" applyBorder="1" applyAlignment="1">
      <alignment horizontal="center"/>
    </xf>
    <xf numFmtId="10" fontId="35" fillId="0" borderId="0" xfId="275" applyNumberFormat="1" applyFont="1" applyFill="1" applyBorder="1" applyAlignment="1">
      <alignment horizontal="center"/>
    </xf>
    <xf numFmtId="0" fontId="21" fillId="2" borderId="157" xfId="275" applyFont="1" applyFill="1" applyBorder="1" applyAlignment="1">
      <alignment wrapText="1"/>
    </xf>
    <xf numFmtId="182" fontId="28" fillId="34" borderId="2" xfId="0" applyNumberFormat="1" applyFont="1" applyFill="1" applyBorder="1" applyAlignment="1">
      <alignment horizontal="center" vertical="center" wrapText="1"/>
    </xf>
    <xf numFmtId="0" fontId="36" fillId="24" borderId="2" xfId="275" applyFont="1" applyFill="1" applyBorder="1" applyAlignment="1">
      <alignment vertical="center"/>
    </xf>
    <xf numFmtId="0" fontId="32" fillId="23" borderId="2" xfId="275" applyFont="1" applyFill="1" applyBorder="1" applyAlignment="1">
      <alignment horizontal="center"/>
    </xf>
    <xf numFmtId="0" fontId="37" fillId="21" borderId="0" xfId="275" applyFont="1" applyFill="1"/>
    <xf numFmtId="0" fontId="17" fillId="21" borderId="180" xfId="275" applyFont="1" applyFill="1" applyBorder="1" applyAlignment="1">
      <alignment horizontal="center"/>
    </xf>
    <xf numFmtId="0" fontId="17" fillId="21" borderId="138" xfId="275" applyFont="1" applyFill="1" applyBorder="1" applyAlignment="1">
      <alignment horizontal="center"/>
    </xf>
    <xf numFmtId="0" fontId="21" fillId="24" borderId="179" xfId="275" applyFont="1" applyFill="1" applyBorder="1" applyAlignment="1">
      <alignment horizontal="center" vertical="center"/>
    </xf>
    <xf numFmtId="0" fontId="1" fillId="11" borderId="138" xfId="110" applyFont="1" applyFill="1" applyBorder="1" applyAlignment="1">
      <alignment horizontal="center" vertical="center" wrapText="1"/>
    </xf>
    <xf numFmtId="192" fontId="32" fillId="23" borderId="187" xfId="275" applyNumberFormat="1" applyFont="1" applyFill="1" applyBorder="1" applyAlignment="1">
      <alignment horizontal="center"/>
    </xf>
    <xf numFmtId="9" fontId="35" fillId="23" borderId="186" xfId="275" applyNumberFormat="1" applyFont="1" applyFill="1" applyBorder="1" applyAlignment="1">
      <alignment horizontal="center"/>
    </xf>
    <xf numFmtId="0" fontId="32" fillId="23" borderId="179" xfId="275" applyFont="1" applyFill="1" applyBorder="1" applyAlignment="1">
      <alignment horizontal="right"/>
    </xf>
    <xf numFmtId="0" fontId="32" fillId="23" borderId="138" xfId="275" applyFont="1" applyFill="1" applyBorder="1"/>
    <xf numFmtId="0" fontId="32" fillId="23" borderId="179" xfId="275" applyFont="1" applyFill="1" applyBorder="1"/>
    <xf numFmtId="9" fontId="35" fillId="23" borderId="188" xfId="275" applyNumberFormat="1" applyFont="1" applyFill="1" applyBorder="1" applyAlignment="1">
      <alignment horizontal="center"/>
    </xf>
    <xf numFmtId="10" fontId="35" fillId="23" borderId="190" xfId="275" applyNumberFormat="1" applyFont="1" applyFill="1" applyBorder="1" applyAlignment="1"/>
    <xf numFmtId="182" fontId="38" fillId="35" borderId="192" xfId="275" applyNumberFormat="1" applyFont="1" applyFill="1" applyBorder="1" applyAlignment="1">
      <alignment horizontal="center" vertical="center" wrapText="1"/>
    </xf>
    <xf numFmtId="10" fontId="17" fillId="21" borderId="0" xfId="275" applyNumberFormat="1" applyFont="1" applyFill="1"/>
    <xf numFmtId="0" fontId="32" fillId="23" borderId="10" xfId="275" applyFont="1" applyFill="1" applyBorder="1" applyAlignment="1">
      <alignment horizontal="center"/>
    </xf>
    <xf numFmtId="0" fontId="36" fillId="24" borderId="195" xfId="275" applyFont="1" applyFill="1" applyBorder="1" applyAlignment="1">
      <alignment horizontal="center" vertical="center" wrapText="1"/>
    </xf>
    <xf numFmtId="0" fontId="36" fillId="24" borderId="195" xfId="275" applyFont="1" applyFill="1" applyBorder="1" applyAlignment="1">
      <alignment horizontal="center" vertical="center"/>
    </xf>
    <xf numFmtId="0" fontId="28" fillId="0" borderId="0" xfId="275" applyFont="1" applyFill="1" applyBorder="1" applyAlignment="1">
      <alignment horizontal="center" vertical="center"/>
    </xf>
    <xf numFmtId="184" fontId="28" fillId="0" borderId="204" xfId="275" applyNumberFormat="1" applyFont="1" applyFill="1" applyBorder="1" applyAlignment="1">
      <alignment horizontal="center" vertical="center"/>
    </xf>
    <xf numFmtId="9" fontId="28" fillId="0" borderId="0" xfId="275" applyNumberFormat="1" applyFont="1" applyFill="1" applyBorder="1" applyAlignment="1">
      <alignment horizontal="center" vertical="center"/>
    </xf>
    <xf numFmtId="9" fontId="28" fillId="0" borderId="204" xfId="275" applyNumberFormat="1" applyFont="1" applyFill="1" applyBorder="1" applyAlignment="1">
      <alignment horizontal="center" vertical="center"/>
    </xf>
    <xf numFmtId="0" fontId="17" fillId="22" borderId="6" xfId="275" applyFont="1" applyFill="1" applyBorder="1" applyAlignment="1">
      <alignment horizontal="left" vertical="center"/>
    </xf>
    <xf numFmtId="0" fontId="17" fillId="0" borderId="0" xfId="275" applyFont="1" applyBorder="1" applyAlignment="1">
      <alignment horizontal="left" vertical="center"/>
    </xf>
    <xf numFmtId="0" fontId="17" fillId="0" borderId="205" xfId="275" applyBorder="1"/>
    <xf numFmtId="58" fontId="21" fillId="24" borderId="1" xfId="275" applyNumberFormat="1" applyFont="1" applyFill="1" applyBorder="1" applyAlignment="1">
      <alignment horizontal="center" vertical="center" wrapText="1"/>
    </xf>
    <xf numFmtId="0" fontId="17" fillId="0" borderId="1" xfId="275" applyBorder="1" applyAlignment="1">
      <alignment horizontal="center" vertical="center"/>
    </xf>
    <xf numFmtId="0" fontId="28" fillId="23" borderId="1" xfId="275" applyFont="1" applyFill="1" applyBorder="1" applyAlignment="1">
      <alignment horizontal="center" vertical="center"/>
    </xf>
    <xf numFmtId="0" fontId="28" fillId="23" borderId="30" xfId="275" applyFont="1" applyFill="1" applyBorder="1" applyAlignment="1">
      <alignment horizontal="center" vertical="center"/>
    </xf>
    <xf numFmtId="0" fontId="21" fillId="24" borderId="80" xfId="275" applyFont="1" applyFill="1" applyBorder="1" applyAlignment="1">
      <alignment horizontal="center" vertical="center"/>
    </xf>
    <xf numFmtId="0" fontId="28" fillId="23" borderId="215" xfId="275" applyFont="1" applyFill="1" applyBorder="1" applyAlignment="1">
      <alignment horizontal="center" vertical="center"/>
    </xf>
    <xf numFmtId="0" fontId="28" fillId="23" borderId="216" xfId="275" applyFont="1" applyFill="1" applyBorder="1" applyAlignment="1">
      <alignment horizontal="center" vertical="center"/>
    </xf>
    <xf numFmtId="0" fontId="28" fillId="23" borderId="217" xfId="275" applyFont="1" applyFill="1" applyBorder="1" applyAlignment="1">
      <alignment horizontal="center" vertical="center"/>
    </xf>
    <xf numFmtId="0" fontId="28" fillId="23" borderId="80" xfId="275" applyFont="1" applyFill="1" applyBorder="1" applyAlignment="1">
      <alignment horizontal="center" vertical="center"/>
    </xf>
    <xf numFmtId="0" fontId="17" fillId="22" borderId="5" xfId="275" applyFont="1" applyFill="1" applyBorder="1" applyAlignment="1"/>
    <xf numFmtId="0" fontId="17" fillId="22" borderId="1" xfId="275" applyFont="1" applyFill="1" applyBorder="1" applyAlignment="1"/>
    <xf numFmtId="0" fontId="17" fillId="21" borderId="33" xfId="275" applyFont="1" applyFill="1" applyBorder="1" applyAlignment="1"/>
    <xf numFmtId="0" fontId="17" fillId="21" borderId="0" xfId="275" applyFont="1" applyFill="1" applyAlignment="1"/>
    <xf numFmtId="0" fontId="17" fillId="22" borderId="34" xfId="275" applyFont="1" applyFill="1" applyBorder="1" applyAlignment="1">
      <alignment horizontal="left"/>
    </xf>
    <xf numFmtId="0" fontId="17" fillId="22" borderId="38" xfId="275" applyFont="1" applyFill="1" applyBorder="1" applyAlignment="1">
      <alignment horizontal="left" vertical="center"/>
    </xf>
    <xf numFmtId="0" fontId="39" fillId="0" borderId="32" xfId="275" applyFont="1" applyBorder="1" applyAlignment="1">
      <alignment vertical="center"/>
    </xf>
    <xf numFmtId="0" fontId="39" fillId="0" borderId="0" xfId="275" applyFont="1" applyBorder="1" applyAlignment="1">
      <alignment vertical="center"/>
    </xf>
    <xf numFmtId="0" fontId="17" fillId="0" borderId="0" xfId="275" applyFont="1" applyBorder="1" applyAlignment="1">
      <alignment vertical="center"/>
    </xf>
    <xf numFmtId="0" fontId="17" fillId="0" borderId="0" xfId="275" applyFont="1" applyFill="1" applyBorder="1" applyAlignment="1">
      <alignment vertical="center"/>
    </xf>
    <xf numFmtId="0" fontId="34" fillId="0" borderId="0" xfId="275" applyFont="1" applyFill="1" applyAlignment="1">
      <alignment horizontal="left" vertical="top" wrapText="1"/>
    </xf>
    <xf numFmtId="0" fontId="17" fillId="0" borderId="37" xfId="275" applyFont="1" applyBorder="1" applyAlignment="1">
      <alignment horizontal="left" vertical="center"/>
    </xf>
    <xf numFmtId="0" fontId="34" fillId="0" borderId="0" xfId="275" applyFont="1" applyFill="1" applyAlignment="1">
      <alignment vertical="top"/>
    </xf>
    <xf numFmtId="0" fontId="17" fillId="0" borderId="218" xfId="275" applyBorder="1"/>
    <xf numFmtId="192" fontId="28" fillId="23" borderId="88" xfId="275" applyNumberFormat="1" applyFont="1" applyFill="1" applyBorder="1" applyAlignment="1">
      <alignment horizontal="center" vertical="center"/>
    </xf>
    <xf numFmtId="0" fontId="14" fillId="0" borderId="0" xfId="56" applyFont="1" applyAlignment="1">
      <alignment vertical="center"/>
    </xf>
    <xf numFmtId="0" fontId="40" fillId="36" borderId="0" xfId="56" applyFont="1" applyFill="1" applyAlignment="1">
      <alignment vertical="center"/>
    </xf>
    <xf numFmtId="0" fontId="41" fillId="36" borderId="0" xfId="56" applyFont="1" applyFill="1" applyAlignment="1">
      <alignment vertical="center"/>
    </xf>
    <xf numFmtId="0" fontId="42" fillId="37" borderId="0" xfId="188" applyFont="1" applyFill="1" applyAlignment="1">
      <alignment vertical="center"/>
    </xf>
    <xf numFmtId="0" fontId="44" fillId="0" borderId="0" xfId="188" applyFont="1" applyAlignment="1">
      <alignment vertical="center"/>
    </xf>
    <xf numFmtId="0" fontId="14" fillId="0" borderId="0" xfId="56" applyFont="1" applyAlignment="1"/>
    <xf numFmtId="0" fontId="46" fillId="0" borderId="222" xfId="188" applyFont="1" applyBorder="1" applyAlignment="1">
      <alignment horizontal="center" vertical="center"/>
    </xf>
    <xf numFmtId="0" fontId="43" fillId="39" borderId="223" xfId="132" applyFont="1" applyFill="1" applyBorder="1" applyAlignment="1">
      <alignment horizontal="center" vertical="center"/>
    </xf>
    <xf numFmtId="0" fontId="43" fillId="39" borderId="224" xfId="132" applyFont="1" applyFill="1" applyBorder="1" applyAlignment="1">
      <alignment horizontal="center" vertical="center"/>
    </xf>
    <xf numFmtId="0" fontId="42" fillId="40" borderId="223" xfId="188" applyFont="1" applyFill="1" applyBorder="1" applyAlignment="1"/>
    <xf numFmtId="0" fontId="44" fillId="41" borderId="232" xfId="188" applyFont="1" applyFill="1" applyBorder="1" applyAlignment="1">
      <alignment horizontal="left"/>
    </xf>
    <xf numFmtId="195" fontId="44" fillId="42" borderId="6" xfId="188" applyNumberFormat="1" applyFont="1" applyFill="1" applyBorder="1" applyAlignment="1">
      <alignment horizontal="center"/>
    </xf>
    <xf numFmtId="195" fontId="44" fillId="43" borderId="233" xfId="188" applyNumberFormat="1" applyFont="1" applyFill="1" applyBorder="1" applyAlignment="1">
      <alignment horizontal="center"/>
    </xf>
    <xf numFmtId="195" fontId="12" fillId="42" borderId="234" xfId="56" applyNumberFormat="1" applyFont="1" applyFill="1" applyBorder="1" applyAlignment="1">
      <alignment horizontal="center" vertical="center" wrapText="1"/>
    </xf>
    <xf numFmtId="195" fontId="44" fillId="43" borderId="235" xfId="188" applyNumberFormat="1" applyFont="1" applyFill="1" applyBorder="1" applyAlignment="1">
      <alignment horizontal="center"/>
    </xf>
    <xf numFmtId="195" fontId="44" fillId="42" borderId="236" xfId="188" applyNumberFormat="1" applyFont="1" applyFill="1" applyBorder="1" applyAlignment="1">
      <alignment horizontal="center"/>
    </xf>
    <xf numFmtId="195" fontId="44" fillId="43" borderId="16" xfId="188" applyNumberFormat="1" applyFont="1" applyFill="1" applyBorder="1" applyAlignment="1">
      <alignment horizontal="center"/>
    </xf>
    <xf numFmtId="0" fontId="44" fillId="41" borderId="225" xfId="188" applyFont="1" applyFill="1" applyBorder="1" applyAlignment="1">
      <alignment horizontal="left"/>
    </xf>
    <xf numFmtId="195" fontId="44" fillId="42" borderId="0" xfId="188" applyNumberFormat="1" applyFont="1" applyFill="1" applyBorder="1" applyAlignment="1">
      <alignment horizontal="center"/>
    </xf>
    <xf numFmtId="195" fontId="44" fillId="43" borderId="237" xfId="188" applyNumberFormat="1" applyFont="1" applyFill="1" applyBorder="1" applyAlignment="1">
      <alignment horizontal="center"/>
    </xf>
    <xf numFmtId="0" fontId="42" fillId="40" borderId="225" xfId="188" applyFont="1" applyFill="1" applyBorder="1" applyAlignment="1"/>
    <xf numFmtId="195" fontId="12" fillId="42" borderId="238" xfId="56" applyNumberFormat="1" applyFont="1" applyFill="1" applyBorder="1" applyAlignment="1">
      <alignment horizontal="center" vertical="center" wrapText="1"/>
    </xf>
    <xf numFmtId="0" fontId="44" fillId="41" borderId="239" xfId="188" applyFont="1" applyFill="1" applyBorder="1" applyAlignment="1">
      <alignment horizontal="left"/>
    </xf>
    <xf numFmtId="0" fontId="44" fillId="41" borderId="232" xfId="188" applyFont="1" applyFill="1" applyBorder="1" applyAlignment="1"/>
    <xf numFmtId="195" fontId="44" fillId="43" borderId="31" xfId="188" applyNumberFormat="1" applyFont="1" applyFill="1" applyBorder="1" applyAlignment="1">
      <alignment horizontal="center"/>
    </xf>
    <xf numFmtId="195" fontId="44" fillId="44" borderId="36" xfId="188" applyNumberFormat="1" applyFont="1" applyFill="1" applyBorder="1" applyAlignment="1">
      <alignment horizontal="center"/>
    </xf>
    <xf numFmtId="195" fontId="12" fillId="42" borderId="0" xfId="56" applyNumberFormat="1" applyFont="1" applyFill="1" applyBorder="1" applyAlignment="1">
      <alignment horizontal="center" vertical="center" wrapText="1"/>
    </xf>
    <xf numFmtId="195" fontId="44" fillId="42" borderId="1" xfId="188" applyNumberFormat="1" applyFont="1" applyFill="1" applyBorder="1" applyAlignment="1">
      <alignment horizontal="center"/>
    </xf>
    <xf numFmtId="195" fontId="44" fillId="43" borderId="1" xfId="188" applyNumberFormat="1" applyFont="1" applyFill="1" applyBorder="1" applyAlignment="1">
      <alignment horizontal="center"/>
    </xf>
    <xf numFmtId="195" fontId="44" fillId="44" borderId="1" xfId="188" applyNumberFormat="1" applyFont="1" applyFill="1" applyBorder="1" applyAlignment="1">
      <alignment horizontal="center"/>
    </xf>
    <xf numFmtId="195" fontId="44" fillId="43" borderId="0" xfId="188" applyNumberFormat="1" applyFont="1" applyFill="1" applyBorder="1" applyAlignment="1">
      <alignment horizontal="center"/>
    </xf>
    <xf numFmtId="195" fontId="44" fillId="44" borderId="0" xfId="188" applyNumberFormat="1" applyFont="1" applyFill="1" applyBorder="1" applyAlignment="1">
      <alignment horizontal="center"/>
    </xf>
    <xf numFmtId="0" fontId="44" fillId="41" borderId="230" xfId="188" applyFont="1" applyFill="1" applyBorder="1" applyAlignment="1"/>
    <xf numFmtId="195" fontId="44" fillId="0" borderId="1" xfId="188" applyNumberFormat="1" applyFont="1" applyFill="1" applyBorder="1" applyAlignment="1">
      <alignment horizontal="center"/>
    </xf>
    <xf numFmtId="0" fontId="14" fillId="0" borderId="230" xfId="56" applyFont="1" applyBorder="1" applyAlignment="1">
      <alignment vertical="center"/>
    </xf>
    <xf numFmtId="0" fontId="47" fillId="0" borderId="227" xfId="56" applyFont="1" applyBorder="1" applyAlignment="1">
      <alignment vertical="center"/>
    </xf>
    <xf numFmtId="0" fontId="14" fillId="0" borderId="227" xfId="56" applyFont="1" applyBorder="1" applyAlignment="1">
      <alignment vertical="center"/>
    </xf>
    <xf numFmtId="0" fontId="41" fillId="0" borderId="227" xfId="56" applyFont="1" applyBorder="1" applyAlignment="1">
      <alignment vertical="center"/>
    </xf>
    <xf numFmtId="0" fontId="48" fillId="0" borderId="221" xfId="56" applyFont="1" applyBorder="1" applyAlignment="1">
      <alignment vertical="center"/>
    </xf>
    <xf numFmtId="0" fontId="14" fillId="0" borderId="221" xfId="56" applyFont="1" applyFill="1" applyBorder="1" applyAlignment="1">
      <alignment vertical="center"/>
    </xf>
    <xf numFmtId="0" fontId="43" fillId="45" borderId="223" xfId="188" applyFont="1" applyFill="1" applyBorder="1" applyAlignment="1">
      <alignment horizontal="center" vertical="center"/>
    </xf>
    <xf numFmtId="0" fontId="43" fillId="45" borderId="224" xfId="188" applyFont="1" applyFill="1" applyBorder="1" applyAlignment="1">
      <alignment horizontal="center" vertical="center"/>
    </xf>
    <xf numFmtId="0" fontId="44" fillId="41" borderId="223" xfId="188" applyFont="1" applyFill="1" applyBorder="1" applyAlignment="1"/>
    <xf numFmtId="0" fontId="44" fillId="41" borderId="240" xfId="188" applyFont="1" applyFill="1" applyBorder="1" applyAlignment="1"/>
    <xf numFmtId="195" fontId="44" fillId="44" borderId="11" xfId="188" applyNumberFormat="1" applyFont="1" applyFill="1" applyBorder="1" applyAlignment="1"/>
    <xf numFmtId="195" fontId="44" fillId="43" borderId="13" xfId="188" applyNumberFormat="1" applyFont="1" applyFill="1" applyBorder="1" applyAlignment="1"/>
    <xf numFmtId="0" fontId="42" fillId="40" borderId="239" xfId="188" applyFont="1" applyFill="1" applyBorder="1" applyAlignment="1">
      <alignment horizontal="left" vertical="center"/>
    </xf>
    <xf numFmtId="182" fontId="44" fillId="0" borderId="241" xfId="188" applyNumberFormat="1" applyFont="1" applyFill="1" applyBorder="1" applyAlignment="1">
      <alignment horizontal="center" vertical="center"/>
    </xf>
    <xf numFmtId="182" fontId="44" fillId="0" borderId="242" xfId="188" applyNumberFormat="1" applyFont="1" applyFill="1" applyBorder="1" applyAlignment="1">
      <alignment horizontal="center" vertical="center"/>
    </xf>
    <xf numFmtId="182" fontId="44" fillId="0" borderId="14" xfId="188" applyNumberFormat="1" applyFont="1" applyFill="1" applyBorder="1" applyAlignment="1">
      <alignment horizontal="center" vertical="center"/>
    </xf>
    <xf numFmtId="195" fontId="44" fillId="44" borderId="243" xfId="188" applyNumberFormat="1" applyFont="1" applyFill="1" applyBorder="1" applyAlignment="1"/>
    <xf numFmtId="195" fontId="44" fillId="43" borderId="233" xfId="188" applyNumberFormat="1" applyFont="1" applyFill="1" applyBorder="1" applyAlignment="1"/>
    <xf numFmtId="0" fontId="44" fillId="41" borderId="244" xfId="188" applyFont="1" applyFill="1" applyBorder="1" applyAlignment="1">
      <alignment vertical="center"/>
    </xf>
    <xf numFmtId="0" fontId="44" fillId="33" borderId="245" xfId="188" applyFont="1" applyFill="1" applyBorder="1" applyAlignment="1">
      <alignment horizontal="center" vertical="center"/>
    </xf>
    <xf numFmtId="195" fontId="44" fillId="43" borderId="243" xfId="188" applyNumberFormat="1" applyFont="1" applyFill="1" applyBorder="1" applyAlignment="1">
      <alignment horizontal="center" vertical="center"/>
    </xf>
    <xf numFmtId="195" fontId="44" fillId="35" borderId="233" xfId="188" applyNumberFormat="1" applyFont="1" applyFill="1" applyBorder="1" applyAlignment="1">
      <alignment horizontal="center" vertical="center"/>
    </xf>
    <xf numFmtId="195" fontId="44" fillId="44" borderId="14" xfId="188" applyNumberFormat="1" applyFont="1" applyFill="1" applyBorder="1" applyAlignment="1"/>
    <xf numFmtId="195" fontId="44" fillId="43" borderId="16" xfId="188" applyNumberFormat="1" applyFont="1" applyFill="1" applyBorder="1" applyAlignment="1"/>
    <xf numFmtId="0" fontId="44" fillId="41" borderId="246" xfId="188" applyFont="1" applyFill="1" applyBorder="1" applyAlignment="1">
      <alignment vertical="center"/>
    </xf>
    <xf numFmtId="195" fontId="44" fillId="44" borderId="6" xfId="188" applyNumberFormat="1" applyFont="1" applyFill="1" applyBorder="1" applyAlignment="1">
      <alignment horizontal="center"/>
    </xf>
    <xf numFmtId="195" fontId="44" fillId="43" borderId="242" xfId="188" applyNumberFormat="1" applyFont="1" applyFill="1" applyBorder="1" applyAlignment="1">
      <alignment horizontal="center"/>
    </xf>
    <xf numFmtId="195" fontId="44" fillId="44" borderId="236" xfId="188" applyNumberFormat="1" applyFont="1" applyFill="1" applyBorder="1" applyAlignment="1">
      <alignment horizontal="center"/>
    </xf>
    <xf numFmtId="0" fontId="46" fillId="0" borderId="222" xfId="188" applyFont="1" applyBorder="1" applyAlignment="1">
      <alignment vertical="center"/>
    </xf>
    <xf numFmtId="0" fontId="44" fillId="0" borderId="0" xfId="188" applyFont="1" applyFill="1" applyAlignment="1"/>
    <xf numFmtId="195" fontId="49" fillId="42" borderId="238" xfId="56" applyNumberFormat="1" applyFont="1" applyFill="1" applyBorder="1" applyAlignment="1">
      <alignment vertical="center" wrapText="1"/>
    </xf>
    <xf numFmtId="195" fontId="44" fillId="22" borderId="36" xfId="188" applyNumberFormat="1" applyFont="1" applyFill="1" applyBorder="1" applyAlignment="1">
      <alignment horizontal="center"/>
    </xf>
    <xf numFmtId="195" fontId="44" fillId="22" borderId="236" xfId="188" applyNumberFormat="1" applyFont="1" applyFill="1" applyBorder="1" applyAlignment="1">
      <alignment horizontal="center"/>
    </xf>
    <xf numFmtId="0" fontId="50" fillId="0" borderId="0" xfId="56" applyFont="1">
      <alignment vertical="center"/>
    </xf>
    <xf numFmtId="0" fontId="51" fillId="0" borderId="0" xfId="56">
      <alignment vertical="center"/>
    </xf>
    <xf numFmtId="0" fontId="28" fillId="46" borderId="0" xfId="56" applyFont="1" applyFill="1" applyAlignment="1">
      <alignment horizontal="left" vertical="top"/>
    </xf>
    <xf numFmtId="0" fontId="52" fillId="46" borderId="0" xfId="56" applyFont="1" applyFill="1" applyAlignment="1">
      <alignment horizontal="left" vertical="top"/>
    </xf>
    <xf numFmtId="195" fontId="44" fillId="22" borderId="1" xfId="188" applyNumberFormat="1" applyFont="1" applyFill="1" applyBorder="1" applyAlignment="1">
      <alignment horizontal="center"/>
    </xf>
    <xf numFmtId="0" fontId="14" fillId="0" borderId="221" xfId="56" applyFont="1" applyBorder="1" applyAlignment="1">
      <alignment vertical="center"/>
    </xf>
    <xf numFmtId="0" fontId="14" fillId="0" borderId="250" xfId="56" applyFont="1" applyBorder="1" applyAlignment="1">
      <alignment vertical="center"/>
    </xf>
    <xf numFmtId="10" fontId="14" fillId="0" borderId="0" xfId="56" applyNumberFormat="1" applyFont="1" applyAlignment="1">
      <alignment vertical="center"/>
    </xf>
    <xf numFmtId="187" fontId="44" fillId="0" borderId="0" xfId="188" applyNumberFormat="1" applyFont="1" applyFill="1" applyAlignment="1"/>
    <xf numFmtId="0" fontId="44" fillId="0" borderId="226" xfId="188" applyFont="1" applyBorder="1" applyAlignment="1">
      <alignment vertical="center"/>
    </xf>
    <xf numFmtId="0" fontId="44" fillId="41" borderId="232" xfId="188" applyFont="1" applyFill="1" applyBorder="1" applyAlignment="1">
      <alignment horizontal="center"/>
    </xf>
    <xf numFmtId="182" fontId="44" fillId="0" borderId="16" xfId="188" applyNumberFormat="1" applyFont="1" applyFill="1" applyBorder="1" applyAlignment="1">
      <alignment horizontal="center" vertical="center"/>
    </xf>
    <xf numFmtId="195" fontId="44" fillId="22" borderId="232" xfId="188" applyNumberFormat="1" applyFont="1" applyFill="1" applyBorder="1" applyAlignment="1">
      <alignment horizontal="center"/>
    </xf>
    <xf numFmtId="195" fontId="44" fillId="0" borderId="0" xfId="188" applyNumberFormat="1" applyFont="1" applyFill="1" applyBorder="1" applyAlignment="1">
      <alignment horizontal="center"/>
    </xf>
    <xf numFmtId="195" fontId="44" fillId="0" borderId="0" xfId="188" applyNumberFormat="1" applyFont="1" applyFill="1" applyAlignment="1">
      <alignment horizontal="center"/>
    </xf>
    <xf numFmtId="195" fontId="44" fillId="35" borderId="5" xfId="188" applyNumberFormat="1" applyFont="1" applyFill="1" applyBorder="1" applyAlignment="1">
      <alignment horizontal="center" vertical="center"/>
    </xf>
    <xf numFmtId="0" fontId="44" fillId="0" borderId="251" xfId="188" applyFont="1" applyBorder="1" applyAlignment="1">
      <alignment vertical="center"/>
    </xf>
    <xf numFmtId="0" fontId="44" fillId="0" borderId="0" xfId="188" applyFont="1" applyBorder="1" applyAlignment="1">
      <alignment vertical="center"/>
    </xf>
    <xf numFmtId="0" fontId="43" fillId="45" borderId="240" xfId="188" applyFont="1" applyFill="1" applyBorder="1" applyAlignment="1">
      <alignment horizontal="center" vertical="center"/>
    </xf>
    <xf numFmtId="195" fontId="44" fillId="22" borderId="232" xfId="188" applyNumberFormat="1" applyFont="1" applyFill="1" applyBorder="1" applyAlignment="1"/>
    <xf numFmtId="195" fontId="44" fillId="0" borderId="0" xfId="188" applyNumberFormat="1" applyFont="1" applyFill="1" applyBorder="1" applyAlignment="1"/>
    <xf numFmtId="0" fontId="44" fillId="0" borderId="0" xfId="188" applyFont="1" applyFill="1" applyAlignment="1">
      <alignment vertical="center"/>
    </xf>
    <xf numFmtId="195" fontId="44" fillId="0" borderId="0" xfId="188" applyNumberFormat="1" applyFont="1" applyFill="1" applyAlignment="1"/>
    <xf numFmtId="0" fontId="42" fillId="47" borderId="0" xfId="188" applyFont="1" applyFill="1" applyAlignment="1">
      <alignment vertical="center"/>
    </xf>
    <xf numFmtId="0" fontId="53" fillId="48" borderId="1" xfId="56" applyFont="1" applyFill="1" applyBorder="1" applyAlignment="1">
      <alignment horizontal="center" vertical="center" wrapText="1"/>
    </xf>
    <xf numFmtId="179" fontId="53" fillId="48" borderId="1" xfId="56" applyNumberFormat="1" applyFont="1" applyFill="1" applyBorder="1" applyAlignment="1">
      <alignment horizontal="center" vertical="center" wrapText="1"/>
    </xf>
    <xf numFmtId="0" fontId="53" fillId="48" borderId="1" xfId="56" applyFont="1" applyFill="1" applyBorder="1" applyAlignment="1">
      <alignment vertical="center" wrapText="1"/>
    </xf>
    <xf numFmtId="0" fontId="53" fillId="48" borderId="5" xfId="56" applyFont="1" applyFill="1" applyBorder="1" applyAlignment="1">
      <alignment vertical="center" wrapText="1"/>
    </xf>
    <xf numFmtId="10" fontId="54" fillId="0" borderId="30" xfId="56" applyNumberFormat="1" applyFont="1" applyBorder="1" applyAlignment="1">
      <alignment horizontal="center" vertical="center" wrapText="1"/>
    </xf>
    <xf numFmtId="10" fontId="49" fillId="0" borderId="257" xfId="56" applyNumberFormat="1" applyFont="1" applyBorder="1" applyAlignment="1">
      <alignment horizontal="center" vertical="center" wrapText="1"/>
    </xf>
    <xf numFmtId="10" fontId="49" fillId="0" borderId="234" xfId="56" applyNumberFormat="1" applyFont="1" applyBorder="1" applyAlignment="1">
      <alignment horizontal="center" vertical="center" wrapText="1"/>
    </xf>
    <xf numFmtId="10" fontId="49" fillId="49" borderId="253" xfId="56" applyNumberFormat="1" applyFont="1" applyFill="1" applyBorder="1" applyAlignment="1">
      <alignment horizontal="center" vertical="center" wrapText="1"/>
    </xf>
    <xf numFmtId="192" fontId="16" fillId="0" borderId="1" xfId="56" applyNumberFormat="1" applyFont="1" applyFill="1" applyBorder="1" applyAlignment="1">
      <alignment horizontal="center" vertical="center" wrapText="1"/>
    </xf>
    <xf numFmtId="179" fontId="53" fillId="48" borderId="259" xfId="56" applyNumberFormat="1" applyFont="1" applyFill="1" applyBorder="1" applyAlignment="1">
      <alignment horizontal="center" vertical="center" wrapText="1"/>
    </xf>
    <xf numFmtId="179" fontId="53" fillId="48" borderId="238" xfId="56" applyNumberFormat="1" applyFont="1" applyFill="1" applyBorder="1" applyAlignment="1">
      <alignment horizontal="center" vertical="center" wrapText="1"/>
    </xf>
    <xf numFmtId="0" fontId="53" fillId="48" borderId="238" xfId="56" applyFont="1" applyFill="1" applyBorder="1" applyAlignment="1">
      <alignment vertical="center" wrapText="1"/>
    </xf>
    <xf numFmtId="0" fontId="53" fillId="48" borderId="260" xfId="56" applyFont="1" applyFill="1" applyBorder="1" applyAlignment="1">
      <alignment vertical="center" wrapText="1"/>
    </xf>
    <xf numFmtId="10" fontId="54" fillId="0" borderId="1" xfId="56" applyNumberFormat="1" applyFont="1" applyBorder="1" applyAlignment="1">
      <alignment horizontal="center" vertical="center" wrapText="1"/>
    </xf>
    <xf numFmtId="10" fontId="49" fillId="0" borderId="259" xfId="56" applyNumberFormat="1" applyFont="1" applyBorder="1" applyAlignment="1">
      <alignment horizontal="center" vertical="center" wrapText="1"/>
    </xf>
    <xf numFmtId="10" fontId="49" fillId="0" borderId="238" xfId="56" applyNumberFormat="1" applyFont="1" applyBorder="1" applyAlignment="1">
      <alignment horizontal="center" vertical="center" wrapText="1"/>
    </xf>
    <xf numFmtId="10" fontId="49" fillId="49" borderId="260" xfId="56" applyNumberFormat="1" applyFont="1" applyFill="1" applyBorder="1" applyAlignment="1">
      <alignment horizontal="center" vertical="center" wrapText="1"/>
    </xf>
    <xf numFmtId="195" fontId="55" fillId="50" borderId="261" xfId="56" applyNumberFormat="1" applyFont="1" applyFill="1" applyBorder="1" applyAlignment="1">
      <alignment horizontal="center" wrapText="1"/>
    </xf>
    <xf numFmtId="195" fontId="44" fillId="22" borderId="6" xfId="188" applyNumberFormat="1" applyFont="1" applyFill="1" applyBorder="1" applyAlignment="1">
      <alignment horizontal="center"/>
    </xf>
    <xf numFmtId="195" fontId="44" fillId="22" borderId="241" xfId="188" applyNumberFormat="1" applyFont="1" applyFill="1" applyBorder="1" applyAlignment="1"/>
    <xf numFmtId="0" fontId="43" fillId="39" borderId="1" xfId="132" applyFont="1" applyFill="1" applyBorder="1" applyAlignment="1">
      <alignment horizontal="center" vertical="center"/>
    </xf>
    <xf numFmtId="0" fontId="42" fillId="40" borderId="262" xfId="188" applyFont="1" applyFill="1" applyBorder="1" applyAlignment="1">
      <alignment vertical="center"/>
    </xf>
    <xf numFmtId="0" fontId="42" fillId="40" borderId="223" xfId="188" applyFont="1" applyFill="1" applyBorder="1" applyAlignment="1">
      <alignment vertical="center"/>
    </xf>
    <xf numFmtId="0" fontId="44" fillId="41" borderId="230" xfId="188" applyFont="1" applyFill="1" applyBorder="1" applyAlignment="1">
      <alignment horizontal="left"/>
    </xf>
    <xf numFmtId="0" fontId="44" fillId="41" borderId="223" xfId="188" applyFont="1" applyFill="1" applyBorder="1" applyAlignment="1">
      <alignment horizontal="left"/>
    </xf>
    <xf numFmtId="195" fontId="44" fillId="22" borderId="0" xfId="188" applyNumberFormat="1" applyFont="1" applyFill="1" applyBorder="1" applyAlignment="1">
      <alignment horizontal="center"/>
    </xf>
    <xf numFmtId="195" fontId="44" fillId="22" borderId="35" xfId="188" applyNumberFormat="1" applyFont="1" applyFill="1" applyBorder="1" applyAlignment="1">
      <alignment horizontal="center"/>
    </xf>
    <xf numFmtId="195" fontId="44" fillId="43" borderId="35" xfId="188" applyNumberFormat="1" applyFont="1" applyFill="1" applyBorder="1" applyAlignment="1">
      <alignment horizontal="center"/>
    </xf>
    <xf numFmtId="0" fontId="43" fillId="39" borderId="223" xfId="132" applyFont="1" applyFill="1" applyBorder="1" applyAlignment="1">
      <alignment horizontal="center" vertical="center" wrapText="1"/>
    </xf>
    <xf numFmtId="0" fontId="56" fillId="0" borderId="227" xfId="56" applyFont="1" applyBorder="1" applyAlignment="1">
      <alignment vertical="center"/>
    </xf>
    <xf numFmtId="0" fontId="14" fillId="0" borderId="227" xfId="56" applyFont="1" applyFill="1" applyBorder="1" applyAlignment="1">
      <alignment vertical="center"/>
    </xf>
    <xf numFmtId="0" fontId="45" fillId="0" borderId="0" xfId="56" applyFont="1" applyBorder="1" applyAlignment="1">
      <alignment horizontal="left" vertical="center"/>
    </xf>
    <xf numFmtId="0" fontId="44" fillId="0" borderId="245" xfId="188" applyFont="1" applyFill="1" applyBorder="1" applyAlignment="1">
      <alignment horizontal="center" vertical="center"/>
    </xf>
    <xf numFmtId="195" fontId="44" fillId="0" borderId="243" xfId="188" applyNumberFormat="1" applyFont="1" applyFill="1" applyBorder="1" applyAlignment="1">
      <alignment horizontal="center" vertical="center"/>
    </xf>
    <xf numFmtId="0" fontId="42" fillId="40" borderId="232" xfId="188" applyFont="1" applyFill="1" applyBorder="1" applyAlignment="1">
      <alignment horizontal="left" vertical="center"/>
    </xf>
    <xf numFmtId="195" fontId="44" fillId="43" borderId="242" xfId="188" applyNumberFormat="1" applyFont="1" applyFill="1" applyBorder="1" applyAlignment="1"/>
    <xf numFmtId="0" fontId="42" fillId="40" borderId="230" xfId="188" applyFont="1" applyFill="1" applyBorder="1" applyAlignment="1">
      <alignment horizontal="left" vertical="center"/>
    </xf>
    <xf numFmtId="0" fontId="14" fillId="0" borderId="232" xfId="56" applyFont="1" applyBorder="1" applyAlignment="1">
      <alignment vertical="center"/>
    </xf>
    <xf numFmtId="0" fontId="42" fillId="0" borderId="0" xfId="188" applyFont="1" applyFill="1" applyBorder="1" applyAlignment="1">
      <alignment horizontal="left" vertical="center"/>
    </xf>
    <xf numFmtId="0" fontId="14" fillId="0" borderId="0" xfId="56" applyFont="1" applyFill="1" applyBorder="1" applyAlignment="1">
      <alignment vertical="center"/>
    </xf>
    <xf numFmtId="0" fontId="44" fillId="0" borderId="225" xfId="188" applyFont="1" applyBorder="1" applyAlignment="1">
      <alignment vertical="center"/>
    </xf>
    <xf numFmtId="182" fontId="44" fillId="0" borderId="1" xfId="188" applyNumberFormat="1" applyFont="1" applyFill="1" applyBorder="1" applyAlignment="1">
      <alignment horizontal="center" vertical="center"/>
    </xf>
    <xf numFmtId="0" fontId="44" fillId="0" borderId="237" xfId="188" applyFont="1" applyBorder="1" applyAlignment="1">
      <alignment vertical="center"/>
    </xf>
    <xf numFmtId="0" fontId="14" fillId="0" borderId="1" xfId="56" applyFont="1" applyBorder="1" applyAlignment="1">
      <alignment vertical="center"/>
    </xf>
    <xf numFmtId="0" fontId="13" fillId="0" borderId="0" xfId="272" applyAlignment="1">
      <alignment vertical="center" wrapText="1"/>
    </xf>
    <xf numFmtId="0" fontId="13" fillId="0" borderId="0" xfId="272" applyAlignment="1">
      <alignment horizontal="center" vertical="center"/>
    </xf>
    <xf numFmtId="0" fontId="13" fillId="0" borderId="0" xfId="272" applyAlignment="1">
      <alignment vertical="center"/>
    </xf>
    <xf numFmtId="0" fontId="57" fillId="45" borderId="127" xfId="272" applyFont="1" applyFill="1" applyBorder="1" applyAlignment="1">
      <alignment horizontal="left" vertical="center" wrapText="1"/>
    </xf>
    <xf numFmtId="0" fontId="59" fillId="45" borderId="269" xfId="272" applyFont="1" applyFill="1" applyBorder="1" applyAlignment="1">
      <alignment horizontal="center" vertical="center" wrapText="1"/>
    </xf>
    <xf numFmtId="0" fontId="59" fillId="45" borderId="270" xfId="272" applyFont="1" applyFill="1" applyBorder="1" applyAlignment="1">
      <alignment horizontal="center" vertical="center" wrapText="1"/>
    </xf>
    <xf numFmtId="0" fontId="59" fillId="51" borderId="271" xfId="272" applyFont="1" applyFill="1" applyBorder="1" applyAlignment="1">
      <alignment horizontal="center" vertical="center" wrapText="1"/>
    </xf>
    <xf numFmtId="0" fontId="59" fillId="51" borderId="272" xfId="272" applyFont="1" applyFill="1" applyBorder="1" applyAlignment="1">
      <alignment horizontal="center" vertical="center" wrapText="1"/>
    </xf>
    <xf numFmtId="0" fontId="38" fillId="41" borderId="192" xfId="272" applyFont="1" applyFill="1" applyBorder="1" applyAlignment="1">
      <alignment horizontal="center" vertical="center" wrapText="1"/>
    </xf>
    <xf numFmtId="0" fontId="38" fillId="41" borderId="273" xfId="272" applyFont="1" applyFill="1" applyBorder="1" applyAlignment="1">
      <alignment horizontal="center" vertical="center" wrapText="1"/>
    </xf>
    <xf numFmtId="0" fontId="38" fillId="0" borderId="192" xfId="272" applyFont="1" applyFill="1" applyBorder="1" applyAlignment="1">
      <alignment horizontal="center" vertical="top" wrapText="1"/>
    </xf>
    <xf numFmtId="0" fontId="38" fillId="0" borderId="273" xfId="272" applyFont="1" applyFill="1" applyBorder="1" applyAlignment="1">
      <alignment horizontal="center" vertical="center" wrapText="1"/>
    </xf>
    <xf numFmtId="0" fontId="38" fillId="52" borderId="192" xfId="272" applyFont="1" applyFill="1" applyBorder="1" applyAlignment="1">
      <alignment horizontal="center" vertical="top" wrapText="1"/>
    </xf>
    <xf numFmtId="0" fontId="38" fillId="52" borderId="273" xfId="272" applyFont="1" applyFill="1" applyBorder="1" applyAlignment="1">
      <alignment horizontal="center" vertical="center" wrapText="1"/>
    </xf>
    <xf numFmtId="0" fontId="57" fillId="45" borderId="0" xfId="272" applyFont="1" applyFill="1" applyAlignment="1">
      <alignment horizontal="left" vertical="center" wrapText="1"/>
    </xf>
    <xf numFmtId="0" fontId="59" fillId="45" borderId="275" xfId="272" applyFont="1" applyFill="1" applyBorder="1" applyAlignment="1">
      <alignment horizontal="center" vertical="center" wrapText="1"/>
    </xf>
    <xf numFmtId="0" fontId="38" fillId="0" borderId="192" xfId="272" applyFont="1" applyFill="1" applyBorder="1" applyAlignment="1">
      <alignment horizontal="center" vertical="center" wrapText="1"/>
    </xf>
    <xf numFmtId="0" fontId="38" fillId="52" borderId="192" xfId="272" applyFont="1" applyFill="1" applyBorder="1" applyAlignment="1">
      <alignment horizontal="center" vertical="center" wrapText="1"/>
    </xf>
    <xf numFmtId="0" fontId="57" fillId="45" borderId="270" xfId="272" applyFont="1" applyFill="1" applyBorder="1" applyAlignment="1">
      <alignment vertical="center"/>
    </xf>
    <xf numFmtId="0" fontId="57" fillId="45" borderId="276" xfId="272" applyFont="1" applyFill="1" applyBorder="1" applyAlignment="1">
      <alignment vertical="center" wrapText="1"/>
    </xf>
    <xf numFmtId="0" fontId="27" fillId="45" borderId="192" xfId="272" applyFont="1" applyFill="1" applyBorder="1" applyAlignment="1">
      <alignment horizontal="center" vertical="center" wrapText="1"/>
    </xf>
    <xf numFmtId="0" fontId="27" fillId="45" borderId="278" xfId="272" applyFont="1" applyFill="1" applyBorder="1" applyAlignment="1">
      <alignment horizontal="center" vertical="center" wrapText="1"/>
    </xf>
    <xf numFmtId="182" fontId="38" fillId="41" borderId="277" xfId="272" applyNumberFormat="1" applyFont="1" applyFill="1" applyBorder="1" applyAlignment="1">
      <alignment horizontal="center" vertical="center" wrapText="1"/>
    </xf>
    <xf numFmtId="182" fontId="38" fillId="0" borderId="277" xfId="272" applyNumberFormat="1" applyFont="1" applyFill="1" applyBorder="1" applyAlignment="1">
      <alignment horizontal="center" vertical="center" wrapText="1"/>
    </xf>
    <xf numFmtId="182" fontId="38" fillId="0" borderId="0" xfId="272" applyNumberFormat="1" applyFont="1" applyFill="1" applyAlignment="1">
      <alignment horizontal="center" vertical="center" wrapText="1"/>
    </xf>
    <xf numFmtId="0" fontId="57" fillId="0" borderId="127" xfId="272" applyFont="1" applyFill="1" applyBorder="1" applyAlignment="1">
      <alignment vertical="center" wrapText="1"/>
    </xf>
    <xf numFmtId="0" fontId="58" fillId="0" borderId="268" xfId="272" applyFont="1" applyFill="1" applyBorder="1" applyAlignment="1">
      <alignment vertical="center" wrapText="1"/>
    </xf>
    <xf numFmtId="0" fontId="60" fillId="53" borderId="279" xfId="272" applyFont="1" applyFill="1" applyBorder="1" applyAlignment="1">
      <alignment horizontal="center" vertical="center" wrapText="1"/>
    </xf>
    <xf numFmtId="0" fontId="59" fillId="51" borderId="282" xfId="272" applyFont="1" applyFill="1" applyBorder="1" applyAlignment="1">
      <alignment horizontal="center" vertical="center" wrapText="1"/>
    </xf>
    <xf numFmtId="0" fontId="59" fillId="54" borderId="269" xfId="275" applyFont="1" applyFill="1" applyBorder="1" applyAlignment="1">
      <alignment horizontal="center" vertical="center" wrapText="1"/>
    </xf>
    <xf numFmtId="0" fontId="38" fillId="0" borderId="0" xfId="272" applyFont="1" applyFill="1" applyAlignment="1">
      <alignment horizontal="center" vertical="center" wrapText="1"/>
    </xf>
    <xf numFmtId="0" fontId="57" fillId="0" borderId="0" xfId="272" applyFont="1" applyFill="1" applyBorder="1" applyAlignment="1">
      <alignment vertical="center" wrapText="1"/>
    </xf>
    <xf numFmtId="0" fontId="60" fillId="53" borderId="283" xfId="272" applyFont="1" applyFill="1" applyBorder="1" applyAlignment="1">
      <alignment horizontal="center" vertical="center" wrapText="1"/>
    </xf>
    <xf numFmtId="0" fontId="57" fillId="0" borderId="276" xfId="272" applyFont="1" applyFill="1" applyBorder="1" applyAlignment="1">
      <alignment vertical="center" wrapText="1"/>
    </xf>
    <xf numFmtId="0" fontId="58" fillId="0" borderId="277" xfId="272" applyFont="1" applyFill="1" applyBorder="1" applyAlignment="1">
      <alignment vertical="center" wrapText="1"/>
    </xf>
    <xf numFmtId="0" fontId="0" fillId="0" borderId="0" xfId="0" applyAlignment="1">
      <alignment horizontal="center" vertical="center"/>
    </xf>
    <xf numFmtId="0" fontId="59" fillId="45" borderId="278" xfId="272" applyFont="1" applyFill="1" applyBorder="1" applyAlignment="1">
      <alignment horizontal="center" vertical="center" wrapText="1"/>
    </xf>
    <xf numFmtId="0" fontId="57" fillId="45" borderId="270" xfId="272" applyFont="1" applyFill="1" applyBorder="1" applyAlignment="1">
      <alignment horizontal="left" vertical="center" wrapText="1"/>
    </xf>
    <xf numFmtId="0" fontId="57" fillId="45" borderId="273" xfId="272" applyFont="1" applyFill="1" applyBorder="1" applyAlignment="1">
      <alignment vertical="center" wrapText="1"/>
    </xf>
    <xf numFmtId="0" fontId="57" fillId="45" borderId="277" xfId="272" applyFont="1" applyFill="1" applyBorder="1" applyAlignment="1">
      <alignment vertical="center" wrapText="1"/>
    </xf>
    <xf numFmtId="0" fontId="0" fillId="0" borderId="1" xfId="0" applyBorder="1" applyAlignment="1">
      <alignment horizontal="center" vertical="center"/>
    </xf>
    <xf numFmtId="0" fontId="38" fillId="0" borderId="1" xfId="272" applyFont="1" applyFill="1" applyBorder="1" applyAlignment="1">
      <alignment horizontal="center" vertical="center" wrapText="1"/>
    </xf>
    <xf numFmtId="0" fontId="38" fillId="11" borderId="1" xfId="272" applyFont="1" applyFill="1" applyBorder="1" applyAlignment="1">
      <alignment horizontal="center" vertical="center" wrapText="1"/>
    </xf>
    <xf numFmtId="0" fontId="38" fillId="0" borderId="1" xfId="272" applyFont="1" applyFill="1" applyBorder="1" applyAlignment="1">
      <alignment horizontal="center" vertical="top" wrapText="1"/>
    </xf>
    <xf numFmtId="0" fontId="57" fillId="45" borderId="0" xfId="272" applyFont="1" applyFill="1" applyBorder="1" applyAlignment="1">
      <alignment vertical="center" wrapText="1"/>
    </xf>
    <xf numFmtId="0" fontId="59" fillId="55" borderId="284" xfId="272" applyFont="1" applyFill="1" applyBorder="1" applyAlignment="1">
      <alignment horizontal="left" vertical="center"/>
    </xf>
    <xf numFmtId="0" fontId="59" fillId="55" borderId="284" xfId="272" applyFont="1" applyFill="1" applyBorder="1" applyAlignment="1">
      <alignment horizontal="center" vertical="center"/>
    </xf>
    <xf numFmtId="0" fontId="59" fillId="55" borderId="284" xfId="272" applyFont="1" applyFill="1" applyBorder="1" applyAlignment="1">
      <alignment horizontal="center" vertical="center" wrapText="1"/>
    </xf>
    <xf numFmtId="10" fontId="38" fillId="0" borderId="1" xfId="272" applyNumberFormat="1" applyFont="1" applyFill="1" applyBorder="1" applyAlignment="1">
      <alignment horizontal="center" vertical="center" wrapText="1"/>
    </xf>
    <xf numFmtId="198" fontId="38" fillId="0" borderId="1" xfId="272" applyNumberFormat="1" applyFont="1" applyFill="1" applyBorder="1" applyAlignment="1">
      <alignment horizontal="center" vertical="center" wrapText="1"/>
    </xf>
    <xf numFmtId="0" fontId="59" fillId="45" borderId="284" xfId="272" applyFont="1" applyFill="1" applyBorder="1" applyAlignment="1">
      <alignment horizontal="center" vertical="center" wrapText="1"/>
    </xf>
    <xf numFmtId="198" fontId="61" fillId="0" borderId="1" xfId="272" applyNumberFormat="1" applyFont="1" applyFill="1" applyBorder="1" applyAlignment="1">
      <alignment horizontal="left" vertical="center" wrapText="1"/>
    </xf>
    <xf numFmtId="197" fontId="38" fillId="0" borderId="1" xfId="272" applyNumberFormat="1" applyFont="1" applyFill="1" applyBorder="1" applyAlignment="1">
      <alignment horizontal="center" vertical="center" wrapText="1"/>
    </xf>
    <xf numFmtId="197" fontId="61" fillId="0" borderId="1" xfId="272" applyNumberFormat="1" applyFont="1" applyFill="1" applyBorder="1" applyAlignment="1">
      <alignment horizontal="left" vertical="center" wrapText="1"/>
    </xf>
    <xf numFmtId="0" fontId="3" fillId="0" borderId="2" xfId="110" applyFont="1" applyBorder="1" applyAlignment="1">
      <alignment vertical="center"/>
    </xf>
    <xf numFmtId="0" fontId="44" fillId="0" borderId="2" xfId="110" applyFont="1" applyBorder="1" applyAlignment="1">
      <alignment vertical="center"/>
    </xf>
    <xf numFmtId="0" fontId="44" fillId="0" borderId="2" xfId="110" applyFont="1" applyBorder="1" applyAlignment="1">
      <alignment horizontal="center" vertical="center"/>
    </xf>
    <xf numFmtId="0" fontId="44" fillId="0" borderId="2" xfId="110" applyFont="1" applyBorder="1" applyAlignment="1">
      <alignment horizontal="center" vertical="center" wrapText="1"/>
    </xf>
    <xf numFmtId="0" fontId="44" fillId="0" borderId="2" xfId="110" applyFont="1" applyBorder="1" applyAlignment="1">
      <alignment horizontal="left" vertical="top"/>
    </xf>
    <xf numFmtId="0" fontId="3" fillId="0" borderId="4" xfId="110" applyFont="1" applyBorder="1" applyAlignment="1">
      <alignment vertical="center"/>
    </xf>
    <xf numFmtId="0" fontId="63" fillId="12" borderId="287" xfId="132" applyFont="1" applyFill="1" applyBorder="1" applyAlignment="1">
      <alignment vertical="center" wrapText="1"/>
    </xf>
    <xf numFmtId="0" fontId="64" fillId="8" borderId="2" xfId="275" applyFont="1" applyFill="1" applyBorder="1" applyAlignment="1">
      <alignment horizontal="center" vertical="center"/>
    </xf>
    <xf numFmtId="0" fontId="64" fillId="8" borderId="289" xfId="275" applyFont="1" applyFill="1" applyBorder="1" applyAlignment="1">
      <alignment vertical="center"/>
    </xf>
    <xf numFmtId="0" fontId="64" fillId="0" borderId="1" xfId="275" applyFont="1" applyFill="1" applyBorder="1" applyAlignment="1">
      <alignment horizontal="center" vertical="center"/>
    </xf>
    <xf numFmtId="0" fontId="64" fillId="8" borderId="4" xfId="275" applyFont="1" applyFill="1" applyBorder="1" applyAlignment="1">
      <alignment vertical="center"/>
    </xf>
    <xf numFmtId="0" fontId="64" fillId="8" borderId="290" xfId="275" applyFont="1" applyFill="1" applyBorder="1" applyAlignment="1">
      <alignment horizontal="left" vertical="center"/>
    </xf>
    <xf numFmtId="0" fontId="67" fillId="8" borderId="127" xfId="275" applyFont="1" applyFill="1" applyBorder="1" applyAlignment="1">
      <alignment horizontal="left" vertical="center"/>
    </xf>
    <xf numFmtId="0" fontId="64" fillId="8" borderId="127" xfId="275" applyFont="1" applyFill="1" applyBorder="1" applyAlignment="1">
      <alignment horizontal="left" vertical="center"/>
    </xf>
    <xf numFmtId="0" fontId="64" fillId="8" borderId="35" xfId="275" applyFont="1" applyFill="1" applyBorder="1" applyAlignment="1">
      <alignment horizontal="center" vertical="center"/>
    </xf>
    <xf numFmtId="0" fontId="64" fillId="8" borderId="127" xfId="275" applyFont="1" applyFill="1" applyBorder="1" applyAlignment="1">
      <alignment horizontal="center" vertical="center"/>
    </xf>
    <xf numFmtId="0" fontId="9" fillId="12" borderId="9" xfId="132" applyFont="1" applyFill="1" applyBorder="1" applyAlignment="1">
      <alignment horizontal="center" vertical="center" wrapText="1"/>
    </xf>
    <xf numFmtId="0" fontId="9" fillId="12" borderId="2" xfId="132" applyFont="1" applyFill="1" applyBorder="1" applyAlignment="1">
      <alignment horizontal="center" vertical="center" wrapText="1"/>
    </xf>
    <xf numFmtId="0" fontId="69" fillId="12" borderId="3" xfId="132" applyFont="1" applyFill="1" applyBorder="1" applyAlignment="1">
      <alignment horizontal="center" vertical="center" wrapText="1"/>
    </xf>
    <xf numFmtId="0" fontId="64" fillId="57" borderId="2" xfId="275" applyFont="1" applyFill="1" applyBorder="1" applyAlignment="1">
      <alignment horizontal="left" vertical="center"/>
    </xf>
    <xf numFmtId="195" fontId="2" fillId="58" borderId="2" xfId="276" applyNumberFormat="1" applyFont="1" applyFill="1" applyBorder="1" applyAlignment="1">
      <alignment horizontal="left" vertical="center" wrapText="1"/>
    </xf>
    <xf numFmtId="195" fontId="2" fillId="58" borderId="2" xfId="276" applyNumberFormat="1" applyFont="1" applyFill="1" applyBorder="1" applyAlignment="1">
      <alignment horizontal="center" vertical="center" wrapText="1"/>
    </xf>
    <xf numFmtId="0" fontId="64" fillId="0" borderId="2" xfId="275" applyFont="1" applyFill="1" applyBorder="1" applyAlignment="1">
      <alignment horizontal="center" vertical="center"/>
    </xf>
    <xf numFmtId="0" fontId="70" fillId="0" borderId="2" xfId="8" applyFont="1" applyFill="1" applyBorder="1" applyAlignment="1" applyProtection="1">
      <alignment vertical="center"/>
    </xf>
    <xf numFmtId="0" fontId="64" fillId="0" borderId="2" xfId="275" applyFont="1" applyFill="1" applyBorder="1" applyAlignment="1">
      <alignment horizontal="left" vertical="top" wrapText="1"/>
    </xf>
    <xf numFmtId="193" fontId="2" fillId="0" borderId="2" xfId="8" applyNumberFormat="1" applyFont="1" applyFill="1" applyBorder="1" applyAlignment="1" applyProtection="1">
      <alignment horizontal="right" vertical="center"/>
    </xf>
    <xf numFmtId="0" fontId="69" fillId="59" borderId="3" xfId="110" applyFont="1" applyFill="1" applyBorder="1" applyAlignment="1">
      <alignment horizontal="center" vertical="center"/>
    </xf>
    <xf numFmtId="0" fontId="64" fillId="0" borderId="1" xfId="275" applyFont="1" applyFill="1" applyBorder="1" applyAlignment="1">
      <alignment vertical="center"/>
    </xf>
    <xf numFmtId="0" fontId="3" fillId="0" borderId="10" xfId="110" applyFont="1" applyBorder="1" applyAlignment="1">
      <alignment vertical="center"/>
    </xf>
    <xf numFmtId="31" fontId="71" fillId="8" borderId="127" xfId="275" applyNumberFormat="1" applyFont="1" applyFill="1" applyBorder="1" applyAlignment="1">
      <alignment horizontal="center" vertical="center"/>
    </xf>
    <xf numFmtId="31" fontId="71" fillId="8" borderId="285" xfId="275" applyNumberFormat="1" applyFont="1" applyFill="1" applyBorder="1" applyAlignment="1">
      <alignment horizontal="center" vertical="center"/>
    </xf>
    <xf numFmtId="0" fontId="64" fillId="8" borderId="9" xfId="275" applyFont="1" applyFill="1" applyBorder="1" applyAlignment="1">
      <alignment vertical="center"/>
    </xf>
    <xf numFmtId="0" fontId="72" fillId="30" borderId="268" xfId="110" applyFont="1" applyFill="1" applyBorder="1" applyAlignment="1">
      <alignment horizontal="left" vertical="top"/>
    </xf>
    <xf numFmtId="0" fontId="72" fillId="30" borderId="10" xfId="110" applyFont="1" applyFill="1" applyBorder="1" applyAlignment="1">
      <alignment horizontal="left" vertical="top"/>
    </xf>
    <xf numFmtId="0" fontId="2" fillId="3" borderId="2" xfId="110" applyFont="1" applyFill="1" applyBorder="1" applyAlignment="1">
      <alignment horizontal="left" vertical="center"/>
    </xf>
    <xf numFmtId="0" fontId="2" fillId="58" borderId="2" xfId="110" applyFont="1" applyFill="1" applyBorder="1" applyAlignment="1">
      <alignment horizontal="left" vertical="center"/>
    </xf>
    <xf numFmtId="0" fontId="64" fillId="60" borderId="2" xfId="275" applyFont="1" applyFill="1" applyBorder="1" applyAlignment="1">
      <alignment horizontal="left" vertical="center"/>
    </xf>
    <xf numFmtId="0" fontId="2" fillId="3" borderId="2" xfId="110" applyFont="1" applyFill="1" applyBorder="1" applyAlignment="1">
      <alignment horizontal="center" vertical="center"/>
    </xf>
    <xf numFmtId="0" fontId="64" fillId="60" borderId="10" xfId="275" applyFont="1" applyFill="1" applyBorder="1" applyAlignment="1">
      <alignment horizontal="left" vertical="top"/>
    </xf>
    <xf numFmtId="0" fontId="2" fillId="58" borderId="4" xfId="110" applyFont="1" applyFill="1" applyBorder="1" applyAlignment="1">
      <alignment horizontal="left" vertical="top"/>
    </xf>
    <xf numFmtId="0" fontId="2" fillId="60" borderId="2" xfId="8" applyFont="1" applyFill="1" applyBorder="1" applyAlignment="1" applyProtection="1">
      <alignment horizontal="left" vertical="center"/>
    </xf>
    <xf numFmtId="0" fontId="72" fillId="58" borderId="268" xfId="110" applyFont="1" applyFill="1" applyBorder="1" applyAlignment="1">
      <alignment horizontal="left" vertical="top"/>
    </xf>
    <xf numFmtId="0" fontId="2" fillId="0" borderId="2" xfId="110" applyFont="1" applyFill="1" applyBorder="1" applyAlignment="1">
      <alignment horizontal="left" vertical="center"/>
    </xf>
    <xf numFmtId="0" fontId="17" fillId="0" borderId="1" xfId="275" applyFont="1" applyBorder="1" applyAlignment="1">
      <alignment horizontal="left"/>
    </xf>
    <xf numFmtId="0" fontId="17" fillId="0" borderId="1" xfId="0" applyFont="1" applyBorder="1" applyAlignment="1">
      <alignment horizontal="left"/>
    </xf>
    <xf numFmtId="0" fontId="17" fillId="0" borderId="1" xfId="275" applyBorder="1" applyAlignment="1">
      <alignment horizontal="left"/>
    </xf>
    <xf numFmtId="0" fontId="17" fillId="0" borderId="1" xfId="0" applyFont="1" applyBorder="1" applyAlignment="1">
      <alignment horizontal="left" wrapText="1"/>
    </xf>
    <xf numFmtId="14" fontId="17" fillId="0" borderId="1" xfId="0" applyNumberFormat="1" applyFont="1" applyBorder="1" applyAlignment="1">
      <alignment horizontal="left"/>
    </xf>
    <xf numFmtId="0" fontId="73" fillId="0" borderId="0" xfId="275" applyFont="1" applyFill="1" applyBorder="1" applyAlignment="1">
      <alignment horizontal="left"/>
    </xf>
    <xf numFmtId="0" fontId="0" fillId="0" borderId="1" xfId="0" applyBorder="1" applyAlignment="1">
      <alignment vertical="center"/>
    </xf>
    <xf numFmtId="0" fontId="74" fillId="49" borderId="1" xfId="0" applyFont="1" applyFill="1" applyBorder="1" applyAlignment="1">
      <alignment horizontal="center" vertical="center"/>
    </xf>
    <xf numFmtId="0" fontId="13" fillId="0" borderId="30" xfId="0" applyFont="1" applyBorder="1" applyAlignment="1">
      <alignment vertical="center"/>
    </xf>
    <xf numFmtId="0" fontId="17" fillId="21" borderId="1" xfId="0" applyFont="1" applyFill="1" applyBorder="1" applyAlignment="1">
      <alignment horizontal="center"/>
    </xf>
    <xf numFmtId="0" fontId="32" fillId="23" borderId="1" xfId="0" applyFont="1" applyFill="1" applyBorder="1" applyAlignment="1">
      <alignment horizontal="center"/>
    </xf>
    <xf numFmtId="0" fontId="21" fillId="27" borderId="1" xfId="0" applyFont="1" applyFill="1" applyBorder="1" applyAlignment="1">
      <alignment horizontal="center" vertical="center"/>
    </xf>
    <xf numFmtId="0" fontId="21" fillId="25" borderId="1" xfId="0" applyFont="1" applyFill="1" applyBorder="1" applyAlignment="1">
      <alignment horizontal="center"/>
    </xf>
    <xf numFmtId="0" fontId="17" fillId="21" borderId="0" xfId="291" applyFont="1" applyFill="1" applyBorder="1" applyAlignment="1">
      <alignment horizontal="left"/>
    </xf>
    <xf numFmtId="0" fontId="17" fillId="21" borderId="0" xfId="291" applyFont="1" applyFill="1" applyAlignment="1">
      <alignment horizontal="left"/>
    </xf>
    <xf numFmtId="0" fontId="75" fillId="21" borderId="0" xfId="291" applyFont="1" applyFill="1" applyAlignment="1">
      <alignment horizontal="left"/>
    </xf>
    <xf numFmtId="0" fontId="17" fillId="21" borderId="292" xfId="291" applyFont="1" applyFill="1" applyBorder="1" applyAlignment="1">
      <alignment horizontal="left"/>
    </xf>
    <xf numFmtId="0" fontId="17" fillId="21" borderId="293" xfId="291" applyFont="1" applyFill="1" applyBorder="1" applyAlignment="1">
      <alignment horizontal="left"/>
    </xf>
    <xf numFmtId="0" fontId="75" fillId="21" borderId="293" xfId="291" applyFont="1" applyFill="1" applyBorder="1" applyAlignment="1">
      <alignment horizontal="left"/>
    </xf>
    <xf numFmtId="0" fontId="17" fillId="21" borderId="294" xfId="291" applyFont="1" applyFill="1" applyBorder="1" applyAlignment="1">
      <alignment horizontal="left"/>
    </xf>
    <xf numFmtId="197" fontId="17" fillId="21" borderId="0" xfId="291" applyNumberFormat="1" applyFont="1" applyFill="1" applyAlignment="1">
      <alignment horizontal="left"/>
    </xf>
    <xf numFmtId="0" fontId="13" fillId="21" borderId="295" xfId="291" applyFont="1" applyFill="1" applyBorder="1" applyAlignment="1">
      <alignment horizontal="left"/>
    </xf>
    <xf numFmtId="0" fontId="13" fillId="21" borderId="296" xfId="291" applyFont="1" applyFill="1" applyBorder="1" applyAlignment="1">
      <alignment horizontal="left"/>
    </xf>
    <xf numFmtId="0" fontId="13" fillId="21" borderId="0" xfId="291" applyFont="1" applyFill="1" applyBorder="1" applyAlignment="1">
      <alignment horizontal="left"/>
    </xf>
    <xf numFmtId="0" fontId="76" fillId="21" borderId="0" xfId="291" applyFont="1" applyFill="1" applyBorder="1" applyAlignment="1">
      <alignment horizontal="left"/>
    </xf>
    <xf numFmtId="0" fontId="77" fillId="21" borderId="0" xfId="8" applyFill="1" applyBorder="1" applyAlignment="1" applyProtection="1">
      <alignment horizontal="left"/>
    </xf>
    <xf numFmtId="0" fontId="77" fillId="21" borderId="0" xfId="8" applyFont="1" applyFill="1" applyBorder="1" applyAlignment="1" applyProtection="1">
      <alignment horizontal="left"/>
    </xf>
    <xf numFmtId="0" fontId="77" fillId="21" borderId="0" xfId="8" applyFill="1" applyAlignment="1" applyProtection="1">
      <alignment horizontal="left"/>
    </xf>
    <xf numFmtId="0" fontId="78" fillId="21" borderId="0" xfId="291" applyFont="1" applyFill="1" applyBorder="1" applyAlignment="1">
      <alignment horizontal="left"/>
    </xf>
    <xf numFmtId="0" fontId="77" fillId="0" borderId="0" xfId="8" applyFont="1" applyAlignment="1" applyProtection="1"/>
    <xf numFmtId="0" fontId="75" fillId="21" borderId="0" xfId="291" applyFont="1" applyFill="1" applyBorder="1" applyAlignment="1">
      <alignment horizontal="left"/>
    </xf>
    <xf numFmtId="0" fontId="17" fillId="21" borderId="296" xfId="291" applyFont="1" applyFill="1" applyBorder="1" applyAlignment="1">
      <alignment horizontal="left"/>
    </xf>
    <xf numFmtId="0" fontId="17" fillId="21" borderId="295" xfId="291" applyFont="1" applyFill="1" applyBorder="1" applyAlignment="1">
      <alignment horizontal="left"/>
    </xf>
    <xf numFmtId="0" fontId="17" fillId="21" borderId="297" xfId="291" applyFont="1" applyFill="1" applyBorder="1" applyAlignment="1">
      <alignment horizontal="left"/>
    </xf>
    <xf numFmtId="0" fontId="75" fillId="21" borderId="297" xfId="291" applyFont="1" applyFill="1" applyBorder="1" applyAlignment="1">
      <alignment horizontal="left"/>
    </xf>
    <xf numFmtId="0" fontId="17" fillId="21" borderId="298" xfId="291" applyFont="1" applyFill="1" applyBorder="1" applyAlignment="1">
      <alignment horizontal="left"/>
    </xf>
    <xf numFmtId="0" fontId="17" fillId="21" borderId="301" xfId="291" applyFont="1" applyFill="1" applyBorder="1" applyAlignment="1">
      <alignment horizontal="left"/>
    </xf>
    <xf numFmtId="0" fontId="75" fillId="21" borderId="301" xfId="291" applyFont="1" applyFill="1" applyBorder="1" applyAlignment="1">
      <alignment horizontal="left"/>
    </xf>
    <xf numFmtId="0" fontId="17" fillId="21" borderId="300" xfId="291" applyFont="1" applyFill="1" applyBorder="1" applyAlignment="1">
      <alignment horizontal="left"/>
    </xf>
    <xf numFmtId="0" fontId="17" fillId="21" borderId="0" xfId="291" applyFont="1" applyFill="1" applyBorder="1" applyAlignment="1" applyProtection="1">
      <alignment horizontal="left"/>
    </xf>
    <xf numFmtId="0" fontId="17" fillId="21" borderId="303" xfId="291" applyFont="1" applyFill="1" applyBorder="1" applyAlignment="1">
      <alignment horizontal="left"/>
    </xf>
    <xf numFmtId="0" fontId="17" fillId="0" borderId="0" xfId="275" applyAlignment="1">
      <alignment horizontal="center" vertical="center"/>
    </xf>
    <xf numFmtId="0" fontId="80" fillId="0" borderId="1" xfId="275" applyFont="1" applyBorder="1" applyAlignment="1">
      <alignment horizontal="center" vertical="center"/>
    </xf>
    <xf numFmtId="0" fontId="81" fillId="0" borderId="1" xfId="275" applyFont="1" applyBorder="1" applyAlignment="1">
      <alignment horizontal="center" vertical="center"/>
    </xf>
    <xf numFmtId="49" fontId="17" fillId="0" borderId="1" xfId="275" applyNumberFormat="1" applyBorder="1" applyAlignment="1">
      <alignment horizontal="center" vertical="center"/>
    </xf>
    <xf numFmtId="176" fontId="17" fillId="0" borderId="1" xfId="275" applyNumberFormat="1" applyBorder="1" applyAlignment="1">
      <alignment horizontal="center" vertical="center"/>
    </xf>
    <xf numFmtId="0" fontId="17" fillId="0" borderId="1" xfId="275" applyFont="1" applyBorder="1" applyAlignment="1">
      <alignment horizontal="center" vertical="center"/>
    </xf>
    <xf numFmtId="176" fontId="17" fillId="0" borderId="1" xfId="275" applyNumberFormat="1" applyFont="1" applyBorder="1" applyAlignment="1">
      <alignment horizontal="center" vertical="center"/>
    </xf>
    <xf numFmtId="0" fontId="17" fillId="0" borderId="1" xfId="275" applyFont="1" applyBorder="1" applyAlignment="1">
      <alignment horizontal="center" vertical="center" wrapText="1"/>
    </xf>
    <xf numFmtId="0" fontId="83" fillId="0" borderId="1" xfId="275" applyFont="1" applyBorder="1" applyAlignment="1">
      <alignment horizontal="left" vertical="center" wrapText="1"/>
    </xf>
    <xf numFmtId="0" fontId="13" fillId="21" borderId="0" xfId="275" applyFont="1" applyFill="1" applyBorder="1" applyAlignment="1">
      <alignment vertical="center"/>
    </xf>
    <xf numFmtId="0" fontId="13" fillId="21" borderId="0" xfId="275" applyNumberFormat="1" applyFont="1" applyFill="1" applyBorder="1" applyAlignment="1">
      <alignment horizontal="center" vertical="center"/>
    </xf>
    <xf numFmtId="0" fontId="13" fillId="21" borderId="0" xfId="275" applyNumberFormat="1" applyFont="1" applyFill="1" applyBorder="1" applyAlignment="1">
      <alignment vertical="center"/>
    </xf>
    <xf numFmtId="0" fontId="17" fillId="21" borderId="0" xfId="275" applyNumberFormat="1" applyFill="1" applyBorder="1"/>
    <xf numFmtId="0" fontId="13" fillId="21" borderId="0" xfId="275" applyNumberFormat="1" applyFont="1" applyFill="1" applyBorder="1"/>
    <xf numFmtId="0" fontId="13" fillId="21" borderId="0" xfId="275" applyFont="1" applyFill="1" applyBorder="1"/>
    <xf numFmtId="0" fontId="84" fillId="0" borderId="0" xfId="0" applyFont="1"/>
    <xf numFmtId="0" fontId="0" fillId="0" borderId="0" xfId="0" quotePrefix="1"/>
    <xf numFmtId="58" fontId="21" fillId="24" borderId="2" xfId="275" applyNumberFormat="1" applyFont="1" applyFill="1" applyBorder="1" applyAlignment="1">
      <alignment horizontal="center" vertical="center"/>
    </xf>
    <xf numFmtId="58" fontId="21" fillId="24" borderId="2" xfId="275" applyNumberFormat="1" applyFont="1" applyFill="1" applyBorder="1" applyAlignment="1">
      <alignment horizontal="center" vertical="center" wrapText="1"/>
    </xf>
    <xf numFmtId="0" fontId="17" fillId="22" borderId="5" xfId="275" applyFont="1" applyFill="1" applyBorder="1" applyAlignment="1">
      <alignment horizontal="left"/>
    </xf>
    <xf numFmtId="0" fontId="36" fillId="24" borderId="1" xfId="275" applyFont="1" applyFill="1" applyBorder="1" applyAlignment="1">
      <alignment horizontal="center" vertical="center"/>
    </xf>
    <xf numFmtId="0" fontId="36" fillId="24" borderId="1" xfId="275" applyNumberFormat="1" applyFont="1" applyFill="1" applyBorder="1" applyAlignment="1">
      <alignment horizontal="center" vertical="center" wrapText="1"/>
    </xf>
    <xf numFmtId="0" fontId="36" fillId="24" borderId="1" xfId="275" applyFont="1" applyFill="1" applyBorder="1" applyAlignment="1">
      <alignment horizontal="center" vertical="center" wrapText="1"/>
    </xf>
    <xf numFmtId="0" fontId="36" fillId="0" borderId="0" xfId="275" applyFont="1" applyFill="1" applyBorder="1" applyAlignment="1">
      <alignment vertical="center"/>
    </xf>
    <xf numFmtId="0" fontId="17" fillId="21" borderId="1" xfId="275" applyNumberFormat="1" applyFont="1" applyFill="1" applyBorder="1" applyAlignment="1">
      <alignment horizontal="center"/>
    </xf>
    <xf numFmtId="0" fontId="17" fillId="21" borderId="1" xfId="275" applyFont="1" applyFill="1" applyBorder="1"/>
    <xf numFmtId="195" fontId="17" fillId="21" borderId="1" xfId="275" applyNumberFormat="1" applyFont="1" applyFill="1" applyBorder="1"/>
    <xf numFmtId="0" fontId="32" fillId="23" borderId="138" xfId="275" applyNumberFormat="1" applyFont="1" applyFill="1" applyBorder="1" applyAlignment="1">
      <alignment horizontal="center"/>
    </xf>
    <xf numFmtId="0" fontId="34" fillId="0" borderId="0" xfId="275" applyNumberFormat="1" applyFont="1" applyFill="1" applyAlignment="1">
      <alignment horizontal="left" vertical="top" wrapText="1"/>
    </xf>
    <xf numFmtId="184" fontId="32" fillId="0" borderId="0" xfId="275" applyNumberFormat="1" applyFont="1" applyFill="1" applyBorder="1" applyAlignment="1">
      <alignment horizontal="center" vertical="center"/>
    </xf>
    <xf numFmtId="0" fontId="21" fillId="96" borderId="51" xfId="275" applyFont="1" applyFill="1" applyBorder="1" applyAlignment="1">
      <alignment horizontal="left" vertical="center"/>
    </xf>
    <xf numFmtId="0" fontId="21" fillId="96" borderId="51" xfId="275" applyFont="1" applyFill="1" applyBorder="1" applyAlignment="1">
      <alignment horizontal="left" vertical="center" indent="2"/>
    </xf>
    <xf numFmtId="58" fontId="17" fillId="0" borderId="139" xfId="275" applyNumberFormat="1" applyFont="1" applyFill="1" applyBorder="1"/>
    <xf numFmtId="58" fontId="17" fillId="0" borderId="140" xfId="275" applyNumberFormat="1" applyFont="1" applyFill="1" applyBorder="1"/>
    <xf numFmtId="0" fontId="17" fillId="0" borderId="140" xfId="275" applyFont="1" applyFill="1" applyBorder="1"/>
    <xf numFmtId="0" fontId="17" fillId="0" borderId="141" xfId="275" applyFont="1" applyFill="1" applyBorder="1"/>
    <xf numFmtId="58" fontId="17" fillId="0" borderId="142" xfId="275" applyNumberFormat="1" applyFont="1" applyFill="1" applyBorder="1"/>
    <xf numFmtId="58" fontId="17" fillId="0" borderId="143" xfId="275" applyNumberFormat="1" applyFont="1" applyFill="1" applyBorder="1"/>
    <xf numFmtId="0" fontId="17" fillId="0" borderId="143" xfId="275" applyFont="1" applyFill="1" applyBorder="1"/>
    <xf numFmtId="0" fontId="17" fillId="0" borderId="144" xfId="275" applyFont="1" applyFill="1" applyBorder="1"/>
    <xf numFmtId="195" fontId="2" fillId="97" borderId="2" xfId="276" applyNumberFormat="1" applyFont="1" applyFill="1" applyBorder="1" applyAlignment="1">
      <alignment horizontal="left" vertical="center" wrapText="1"/>
    </xf>
    <xf numFmtId="195" fontId="2" fillId="97" borderId="2" xfId="276" applyNumberFormat="1" applyFont="1" applyFill="1" applyBorder="1" applyAlignment="1">
      <alignment horizontal="center" vertical="center"/>
    </xf>
    <xf numFmtId="0" fontId="17" fillId="21" borderId="0" xfId="275" applyNumberFormat="1" applyFont="1" applyFill="1" applyAlignment="1"/>
    <xf numFmtId="182" fontId="28" fillId="98" borderId="2" xfId="0" applyNumberFormat="1" applyFont="1" applyFill="1" applyBorder="1" applyAlignment="1">
      <alignment horizontal="center" vertical="center" wrapText="1"/>
    </xf>
    <xf numFmtId="182" fontId="17" fillId="98" borderId="2" xfId="0" applyNumberFormat="1" applyFont="1" applyFill="1" applyBorder="1" applyAlignment="1">
      <alignment horizontal="center" vertical="center" wrapText="1"/>
    </xf>
    <xf numFmtId="0" fontId="82" fillId="0" borderId="8" xfId="275" applyFont="1" applyBorder="1" applyAlignment="1">
      <alignment horizontal="left" vertical="center" wrapText="1"/>
    </xf>
    <xf numFmtId="0" fontId="82" fillId="0" borderId="121" xfId="275" applyFont="1" applyBorder="1" applyAlignment="1">
      <alignment horizontal="left" vertical="center" wrapText="1"/>
    </xf>
    <xf numFmtId="0" fontId="82" fillId="0" borderId="30" xfId="275" applyFont="1" applyBorder="1" applyAlignment="1">
      <alignment horizontal="left" vertical="center" wrapText="1"/>
    </xf>
    <xf numFmtId="0" fontId="79" fillId="0" borderId="0" xfId="275" applyFont="1" applyAlignment="1">
      <alignment horizontal="center" vertical="center"/>
    </xf>
    <xf numFmtId="0" fontId="17" fillId="0" borderId="1" xfId="275" applyBorder="1" applyAlignment="1">
      <alignment horizontal="center" vertical="center"/>
    </xf>
    <xf numFmtId="0" fontId="17" fillId="0" borderId="1" xfId="275" applyFont="1" applyBorder="1" applyAlignment="1">
      <alignment horizontal="left" vertical="center" wrapText="1"/>
    </xf>
    <xf numFmtId="0" fontId="17" fillId="0" borderId="1" xfId="275" applyBorder="1" applyAlignment="1">
      <alignment horizontal="left" vertical="center" wrapText="1"/>
    </xf>
    <xf numFmtId="0" fontId="39" fillId="21" borderId="0" xfId="291" applyFont="1" applyFill="1" applyBorder="1" applyAlignment="1">
      <alignment horizontal="center"/>
    </xf>
    <xf numFmtId="0" fontId="17" fillId="21" borderId="299" xfId="291" applyFont="1" applyFill="1" applyBorder="1" applyAlignment="1">
      <alignment horizontal="center" vertical="center"/>
    </xf>
    <xf numFmtId="0" fontId="17" fillId="21" borderId="300" xfId="291" applyFont="1" applyFill="1" applyBorder="1" applyAlignment="1">
      <alignment horizontal="center" vertical="center"/>
    </xf>
    <xf numFmtId="0" fontId="17" fillId="21" borderId="302" xfId="291" applyFont="1" applyFill="1" applyBorder="1" applyAlignment="1">
      <alignment horizontal="center" vertical="center"/>
    </xf>
    <xf numFmtId="0" fontId="17" fillId="21" borderId="303" xfId="291" applyFont="1" applyFill="1" applyBorder="1" applyAlignment="1">
      <alignment horizontal="center" vertical="center"/>
    </xf>
    <xf numFmtId="0" fontId="17" fillId="21" borderId="304" xfId="291" applyFont="1" applyFill="1" applyBorder="1" applyAlignment="1">
      <alignment horizontal="center" vertical="center"/>
    </xf>
    <xf numFmtId="0" fontId="17" fillId="21" borderId="298" xfId="291" applyFont="1" applyFill="1" applyBorder="1" applyAlignment="1">
      <alignment horizontal="center" vertical="center"/>
    </xf>
    <xf numFmtId="0" fontId="13" fillId="0" borderId="5" xfId="0" applyFont="1" applyBorder="1" applyAlignment="1">
      <alignment horizontal="left" vertical="center"/>
    </xf>
    <xf numFmtId="0" fontId="13" fillId="0" borderId="7" xfId="0" applyFont="1" applyBorder="1" applyAlignment="1">
      <alignment horizontal="left" vertical="center"/>
    </xf>
    <xf numFmtId="0" fontId="13" fillId="0" borderId="6" xfId="0" applyFont="1" applyBorder="1" applyAlignment="1">
      <alignment horizontal="left" vertical="center"/>
    </xf>
    <xf numFmtId="0" fontId="17" fillId="0" borderId="1" xfId="0" applyFont="1" applyBorder="1" applyAlignment="1">
      <alignment horizontal="left" vertical="top" wrapText="1"/>
    </xf>
    <xf numFmtId="0" fontId="0" fillId="0" borderId="1" xfId="0" applyBorder="1" applyAlignment="1">
      <alignment vertical="center"/>
    </xf>
    <xf numFmtId="0" fontId="21" fillId="61" borderId="1" xfId="0" applyFont="1" applyFill="1" applyBorder="1" applyAlignment="1">
      <alignment horizontal="center" vertical="center"/>
    </xf>
    <xf numFmtId="0" fontId="37" fillId="0" borderId="1" xfId="0" applyFont="1" applyBorder="1" applyAlignment="1">
      <alignment vertical="center"/>
    </xf>
    <xf numFmtId="0" fontId="74" fillId="49" borderId="5" xfId="0" applyFont="1" applyFill="1" applyBorder="1" applyAlignment="1">
      <alignment horizontal="center" vertical="center"/>
    </xf>
    <xf numFmtId="0" fontId="74" fillId="49" borderId="7" xfId="0" applyFont="1" applyFill="1" applyBorder="1" applyAlignment="1">
      <alignment horizontal="center" vertical="center"/>
    </xf>
    <xf numFmtId="0" fontId="74" fillId="49" borderId="6" xfId="0" applyFont="1" applyFill="1" applyBorder="1" applyAlignment="1">
      <alignment horizontal="center" vertical="center"/>
    </xf>
    <xf numFmtId="0" fontId="18" fillId="0" borderId="0" xfId="275" applyFont="1" applyAlignment="1">
      <alignment horizontal="center"/>
    </xf>
    <xf numFmtId="0" fontId="9" fillId="12" borderId="2" xfId="132" applyFont="1" applyFill="1" applyBorder="1" applyAlignment="1">
      <alignment horizontal="center" vertical="center" wrapText="1"/>
    </xf>
    <xf numFmtId="0" fontId="9" fillId="12" borderId="3" xfId="132" applyFont="1" applyFill="1" applyBorder="1" applyAlignment="1">
      <alignment horizontal="center" vertical="center" wrapText="1"/>
    </xf>
    <xf numFmtId="195" fontId="2" fillId="58" borderId="4" xfId="276" applyNumberFormat="1" applyFont="1" applyFill="1" applyBorder="1" applyAlignment="1">
      <alignment horizontal="center" vertical="center" wrapText="1"/>
    </xf>
    <xf numFmtId="195" fontId="2" fillId="58" borderId="10" xfId="276" applyNumberFormat="1" applyFont="1" applyFill="1" applyBorder="1" applyAlignment="1">
      <alignment horizontal="center" vertical="center" wrapText="1"/>
    </xf>
    <xf numFmtId="0" fontId="2" fillId="60" borderId="289" xfId="275" applyFont="1" applyFill="1" applyBorder="1" applyAlignment="1">
      <alignment horizontal="center" vertical="top"/>
    </xf>
    <xf numFmtId="0" fontId="64" fillId="60" borderId="285" xfId="275" applyFont="1" applyFill="1" applyBorder="1" applyAlignment="1">
      <alignment horizontal="center" vertical="top"/>
    </xf>
    <xf numFmtId="0" fontId="64" fillId="56" borderId="3" xfId="275" applyFont="1" applyFill="1" applyBorder="1" applyAlignment="1">
      <alignment horizontal="center" vertical="center"/>
    </xf>
    <xf numFmtId="0" fontId="64" fillId="56" borderId="184" xfId="275" applyFont="1" applyFill="1" applyBorder="1" applyAlignment="1">
      <alignment horizontal="center" vertical="center"/>
    </xf>
    <xf numFmtId="0" fontId="64" fillId="56" borderId="9" xfId="275" applyFont="1" applyFill="1" applyBorder="1" applyAlignment="1">
      <alignment horizontal="center" vertical="center"/>
    </xf>
    <xf numFmtId="0" fontId="9" fillId="12" borderId="9" xfId="132" applyFont="1" applyFill="1" applyBorder="1" applyAlignment="1">
      <alignment horizontal="center" vertical="center" wrapText="1"/>
    </xf>
    <xf numFmtId="0" fontId="68" fillId="12" borderId="9" xfId="132" applyFont="1" applyFill="1" applyBorder="1" applyAlignment="1">
      <alignment horizontal="center" vertical="center" wrapText="1"/>
    </xf>
    <xf numFmtId="0" fontId="68" fillId="12" borderId="3" xfId="132" applyFont="1" applyFill="1" applyBorder="1" applyAlignment="1">
      <alignment horizontal="center" vertical="center" wrapText="1"/>
    </xf>
    <xf numFmtId="195" fontId="2" fillId="3" borderId="4" xfId="276" applyNumberFormat="1" applyFont="1" applyFill="1" applyBorder="1" applyAlignment="1">
      <alignment horizontal="center" vertical="center" wrapText="1"/>
    </xf>
    <xf numFmtId="195" fontId="2" fillId="3" borderId="10" xfId="276" applyNumberFormat="1" applyFont="1" applyFill="1" applyBorder="1" applyAlignment="1">
      <alignment horizontal="center" vertical="center" wrapText="1"/>
    </xf>
    <xf numFmtId="0" fontId="2" fillId="3" borderId="4" xfId="110" applyFont="1" applyFill="1" applyBorder="1" applyAlignment="1">
      <alignment horizontal="center" vertical="center" wrapText="1"/>
    </xf>
    <xf numFmtId="0" fontId="2" fillId="3" borderId="10" xfId="110" applyFont="1" applyFill="1" applyBorder="1" applyAlignment="1">
      <alignment horizontal="center" vertical="center" wrapText="1"/>
    </xf>
    <xf numFmtId="0" fontId="2" fillId="3" borderId="4" xfId="110" applyFont="1" applyFill="1" applyBorder="1" applyAlignment="1">
      <alignment horizontal="center" vertical="center"/>
    </xf>
    <xf numFmtId="0" fontId="2" fillId="3" borderId="10" xfId="110" applyFont="1" applyFill="1" applyBorder="1" applyAlignment="1">
      <alignment horizontal="center" vertical="center"/>
    </xf>
    <xf numFmtId="0" fontId="64" fillId="60" borderId="4" xfId="275" applyFont="1" applyFill="1" applyBorder="1" applyAlignment="1">
      <alignment horizontal="center" vertical="top"/>
    </xf>
    <xf numFmtId="0" fontId="64" fillId="60" borderId="10" xfId="275" applyFont="1" applyFill="1" applyBorder="1" applyAlignment="1">
      <alignment horizontal="center" vertical="top"/>
    </xf>
    <xf numFmtId="0" fontId="2" fillId="60" borderId="4" xfId="275" applyFont="1" applyFill="1" applyBorder="1" applyAlignment="1">
      <alignment horizontal="center" vertical="top"/>
    </xf>
    <xf numFmtId="0" fontId="2" fillId="60" borderId="4" xfId="275" applyFont="1" applyFill="1" applyBorder="1" applyAlignment="1">
      <alignment horizontal="center" vertical="center"/>
    </xf>
    <xf numFmtId="0" fontId="64" fillId="60" borderId="10" xfId="275" applyFont="1" applyFill="1" applyBorder="1" applyAlignment="1">
      <alignment horizontal="center" vertical="center"/>
    </xf>
    <xf numFmtId="0" fontId="9" fillId="12" borderId="4" xfId="132" applyFont="1" applyFill="1" applyBorder="1" applyAlignment="1">
      <alignment horizontal="center" vertical="center" wrapText="1"/>
    </xf>
    <xf numFmtId="0" fontId="9" fillId="12" borderId="10" xfId="132" applyFont="1" applyFill="1" applyBorder="1" applyAlignment="1">
      <alignment horizontal="center" vertical="center" wrapText="1"/>
    </xf>
    <xf numFmtId="0" fontId="64" fillId="11" borderId="5" xfId="275" applyFont="1" applyFill="1" applyBorder="1" applyAlignment="1">
      <alignment horizontal="left" vertical="center"/>
    </xf>
    <xf numFmtId="0" fontId="64" fillId="11" borderId="6" xfId="275" applyFont="1" applyFill="1" applyBorder="1" applyAlignment="1">
      <alignment horizontal="left" vertical="center"/>
    </xf>
    <xf numFmtId="0" fontId="65" fillId="0" borderId="5" xfId="275" applyFont="1" applyFill="1" applyBorder="1" applyAlignment="1">
      <alignment vertical="center" wrapText="1"/>
    </xf>
    <xf numFmtId="0" fontId="65" fillId="0" borderId="6" xfId="275" applyFont="1" applyFill="1" applyBorder="1" applyAlignment="1">
      <alignment vertical="center" wrapText="1"/>
    </xf>
    <xf numFmtId="0" fontId="64" fillId="0" borderId="1" xfId="275" applyFont="1" applyFill="1" applyBorder="1" applyAlignment="1">
      <alignment horizontal="center" vertical="center"/>
    </xf>
    <xf numFmtId="0" fontId="66" fillId="0" borderId="5" xfId="275" applyFont="1" applyFill="1" applyBorder="1" applyAlignment="1">
      <alignment horizontal="left" vertical="center"/>
    </xf>
    <xf numFmtId="0" fontId="66" fillId="0" borderId="6" xfId="275" applyFont="1" applyFill="1" applyBorder="1" applyAlignment="1">
      <alignment horizontal="left" vertical="center"/>
    </xf>
    <xf numFmtId="0" fontId="65" fillId="0" borderId="1" xfId="275" applyFont="1" applyFill="1" applyBorder="1" applyAlignment="1">
      <alignment vertical="center"/>
    </xf>
    <xf numFmtId="0" fontId="64" fillId="56" borderId="289" xfId="275" applyFont="1" applyFill="1" applyBorder="1" applyAlignment="1">
      <alignment horizontal="left" vertical="center"/>
    </xf>
    <xf numFmtId="0" fontId="64" fillId="56" borderId="127" xfId="275" applyFont="1" applyFill="1" applyBorder="1" applyAlignment="1">
      <alignment horizontal="left" vertical="center"/>
    </xf>
    <xf numFmtId="0" fontId="64" fillId="56" borderId="285" xfId="275" applyFont="1" applyFill="1" applyBorder="1" applyAlignment="1">
      <alignment horizontal="left" vertical="center"/>
    </xf>
    <xf numFmtId="0" fontId="64" fillId="56" borderId="4" xfId="275" applyFont="1" applyFill="1" applyBorder="1" applyAlignment="1">
      <alignment horizontal="left" vertical="center"/>
    </xf>
    <xf numFmtId="0" fontId="64" fillId="56" borderId="268" xfId="275" applyFont="1" applyFill="1" applyBorder="1" applyAlignment="1">
      <alignment horizontal="left" vertical="center"/>
    </xf>
    <xf numFmtId="0" fontId="64" fillId="56" borderId="10" xfId="275" applyFont="1" applyFill="1" applyBorder="1" applyAlignment="1">
      <alignment horizontal="left" vertical="center"/>
    </xf>
    <xf numFmtId="0" fontId="64" fillId="11" borderId="1" xfId="275" applyFont="1" applyFill="1" applyBorder="1" applyAlignment="1">
      <alignment horizontal="left" vertical="center"/>
    </xf>
    <xf numFmtId="0" fontId="64" fillId="0" borderId="1" xfId="275" applyFont="1" applyFill="1" applyBorder="1" applyAlignment="1">
      <alignment horizontal="left" vertical="center"/>
    </xf>
    <xf numFmtId="0" fontId="66" fillId="0" borderId="5" xfId="275" quotePrefix="1" applyFont="1" applyFill="1" applyBorder="1" applyAlignment="1">
      <alignment horizontal="left" vertical="center"/>
    </xf>
    <xf numFmtId="0" fontId="65" fillId="0" borderId="5" xfId="275" quotePrefix="1" applyFont="1" applyFill="1" applyBorder="1" applyAlignment="1">
      <alignment vertical="center"/>
    </xf>
    <xf numFmtId="0" fontId="65" fillId="0" borderId="6" xfId="275" applyFont="1" applyFill="1" applyBorder="1" applyAlignment="1">
      <alignment vertical="center"/>
    </xf>
    <xf numFmtId="0" fontId="62" fillId="0" borderId="2" xfId="110" applyFont="1" applyBorder="1" applyAlignment="1">
      <alignment horizontal="center" vertical="center"/>
    </xf>
    <xf numFmtId="0" fontId="63" fillId="12" borderId="286" xfId="132" applyFont="1" applyFill="1" applyBorder="1" applyAlignment="1">
      <alignment horizontal="center" vertical="center" wrapText="1"/>
    </xf>
    <xf numFmtId="0" fontId="63" fillId="12" borderId="287" xfId="132" applyFont="1" applyFill="1" applyBorder="1" applyAlignment="1">
      <alignment horizontal="center" vertical="center" wrapText="1"/>
    </xf>
    <xf numFmtId="0" fontId="63" fillId="12" borderId="288" xfId="132" applyFont="1" applyFill="1" applyBorder="1" applyAlignment="1">
      <alignment horizontal="center" vertical="center" wrapText="1"/>
    </xf>
    <xf numFmtId="0" fontId="69" fillId="59" borderId="291" xfId="110" applyFont="1" applyFill="1" applyBorder="1" applyAlignment="1">
      <alignment horizontal="center" vertical="center" wrapText="1"/>
    </xf>
    <xf numFmtId="0" fontId="69" fillId="59" borderId="288" xfId="110" applyFont="1" applyFill="1" applyBorder="1" applyAlignment="1">
      <alignment horizontal="center" vertical="center" wrapText="1"/>
    </xf>
    <xf numFmtId="0" fontId="66" fillId="11" borderId="5" xfId="275" applyFont="1" applyFill="1" applyBorder="1" applyAlignment="1">
      <alignment horizontal="left" vertical="center"/>
    </xf>
    <xf numFmtId="0" fontId="66" fillId="11" borderId="6" xfId="275" applyFont="1" applyFill="1" applyBorder="1" applyAlignment="1">
      <alignment horizontal="left" vertical="center"/>
    </xf>
    <xf numFmtId="0" fontId="57" fillId="45" borderId="127" xfId="272" applyFont="1" applyFill="1" applyBorder="1" applyAlignment="1">
      <alignment horizontal="center" vertical="center" wrapText="1"/>
    </xf>
    <xf numFmtId="0" fontId="57" fillId="45" borderId="285" xfId="272" applyFont="1" applyFill="1" applyBorder="1" applyAlignment="1">
      <alignment horizontal="center" vertical="center" wrapText="1"/>
    </xf>
    <xf numFmtId="0" fontId="57" fillId="45" borderId="0" xfId="272" applyFont="1" applyFill="1" applyBorder="1" applyAlignment="1">
      <alignment horizontal="center" vertical="center" wrapText="1"/>
    </xf>
    <xf numFmtId="0" fontId="20" fillId="0" borderId="0" xfId="272" applyFont="1" applyAlignment="1">
      <alignment horizontal="left" vertical="top" wrapText="1"/>
    </xf>
    <xf numFmtId="0" fontId="58" fillId="45" borderId="4" xfId="272" applyFont="1" applyFill="1" applyBorder="1" applyAlignment="1">
      <alignment horizontal="left" vertical="center" wrapText="1"/>
    </xf>
    <xf numFmtId="0" fontId="58" fillId="45" borderId="268" xfId="272" applyFont="1" applyFill="1" applyBorder="1" applyAlignment="1">
      <alignment horizontal="left" vertical="center" wrapText="1"/>
    </xf>
    <xf numFmtId="0" fontId="58" fillId="51" borderId="268" xfId="272" applyFont="1" applyFill="1" applyBorder="1" applyAlignment="1">
      <alignment horizontal="left" vertical="center" wrapText="1"/>
    </xf>
    <xf numFmtId="0" fontId="60" fillId="54" borderId="280" xfId="275" applyFont="1" applyFill="1" applyBorder="1" applyAlignment="1">
      <alignment horizontal="center" vertical="center" wrapText="1"/>
    </xf>
    <xf numFmtId="0" fontId="60" fillId="54" borderId="281" xfId="275" applyFont="1" applyFill="1" applyBorder="1" applyAlignment="1">
      <alignment horizontal="center" vertical="center" wrapText="1"/>
    </xf>
    <xf numFmtId="0" fontId="58" fillId="45" borderId="273" xfId="272" applyFont="1" applyFill="1" applyBorder="1" applyAlignment="1">
      <alignment horizontal="left" vertical="center" wrapText="1"/>
    </xf>
    <xf numFmtId="0" fontId="58" fillId="45" borderId="277" xfId="272" applyFont="1" applyFill="1" applyBorder="1" applyAlignment="1">
      <alignment horizontal="left" vertical="center" wrapText="1"/>
    </xf>
    <xf numFmtId="0" fontId="57" fillId="45" borderId="266" xfId="272" applyFont="1" applyFill="1" applyBorder="1" applyAlignment="1">
      <alignment horizontal="left" vertical="center" wrapText="1"/>
    </xf>
    <xf numFmtId="0" fontId="57" fillId="45" borderId="127" xfId="272" applyFont="1" applyFill="1" applyBorder="1" applyAlignment="1">
      <alignment horizontal="left" vertical="center" wrapText="1"/>
    </xf>
    <xf numFmtId="0" fontId="58" fillId="45" borderId="267" xfId="272" applyFont="1" applyFill="1" applyBorder="1" applyAlignment="1">
      <alignment horizontal="left" vertical="center" wrapText="1"/>
    </xf>
    <xf numFmtId="0" fontId="57" fillId="45" borderId="274" xfId="272" applyFont="1" applyFill="1" applyBorder="1" applyAlignment="1">
      <alignment horizontal="left" vertical="center" wrapText="1"/>
    </xf>
    <xf numFmtId="0" fontId="57" fillId="45" borderId="0" xfId="272" applyFont="1" applyFill="1" applyAlignment="1">
      <alignment horizontal="left" vertical="center" wrapText="1"/>
    </xf>
    <xf numFmtId="0" fontId="46" fillId="0" borderId="223" xfId="188" applyFont="1" applyBorder="1" applyAlignment="1">
      <alignment horizontal="center" vertical="center"/>
    </xf>
    <xf numFmtId="0" fontId="46" fillId="0" borderId="222" xfId="188" applyFont="1" applyBorder="1" applyAlignment="1">
      <alignment horizontal="center" vertical="center"/>
    </xf>
    <xf numFmtId="0" fontId="46" fillId="0" borderId="248" xfId="188" applyFont="1" applyBorder="1" applyAlignment="1">
      <alignment horizontal="center" vertical="center"/>
    </xf>
    <xf numFmtId="0" fontId="46" fillId="0" borderId="222" xfId="188" applyFont="1" applyFill="1" applyBorder="1" applyAlignment="1">
      <alignment horizontal="center"/>
    </xf>
    <xf numFmtId="0" fontId="42" fillId="40" borderId="225" xfId="188" applyFont="1" applyFill="1" applyBorder="1" applyAlignment="1">
      <alignment horizontal="left" vertical="center"/>
    </xf>
    <xf numFmtId="0" fontId="42" fillId="40" borderId="239" xfId="188" applyFont="1" applyFill="1" applyBorder="1" applyAlignment="1">
      <alignment horizontal="left" vertical="center"/>
    </xf>
    <xf numFmtId="0" fontId="44" fillId="40" borderId="225" xfId="188" applyFont="1" applyFill="1" applyBorder="1" applyAlignment="1">
      <alignment horizontal="center" vertical="center"/>
    </xf>
    <xf numFmtId="0" fontId="44" fillId="40" borderId="239" xfId="188" applyFont="1" applyFill="1" applyBorder="1" applyAlignment="1">
      <alignment horizontal="center" vertical="center"/>
    </xf>
    <xf numFmtId="0" fontId="44" fillId="0" borderId="1" xfId="56" applyFont="1" applyBorder="1" applyAlignment="1">
      <alignment horizontal="left" vertical="center"/>
    </xf>
    <xf numFmtId="0" fontId="45" fillId="0" borderId="1" xfId="56" applyFont="1" applyBorder="1" applyAlignment="1">
      <alignment horizontal="left" vertical="center"/>
    </xf>
    <xf numFmtId="0" fontId="45" fillId="0" borderId="1" xfId="56" applyFont="1" applyBorder="1" applyAlignment="1">
      <alignment horizontal="left" vertical="center" wrapText="1"/>
    </xf>
    <xf numFmtId="0" fontId="53" fillId="48" borderId="252" xfId="56" applyFont="1" applyFill="1" applyBorder="1" applyAlignment="1">
      <alignment horizontal="center" vertical="center" wrapText="1"/>
    </xf>
    <xf numFmtId="0" fontId="53" fillId="48" borderId="32" xfId="56" applyFont="1" applyFill="1" applyBorder="1" applyAlignment="1">
      <alignment horizontal="center" vertical="center" wrapText="1"/>
    </xf>
    <xf numFmtId="0" fontId="53" fillId="48" borderId="253" xfId="56" applyFont="1" applyFill="1" applyBorder="1" applyAlignment="1">
      <alignment horizontal="center" vertical="center" wrapText="1"/>
    </xf>
    <xf numFmtId="0" fontId="53" fillId="48" borderId="254" xfId="56" applyFont="1" applyFill="1" applyBorder="1" applyAlignment="1">
      <alignment horizontal="center" vertical="center" wrapText="1"/>
    </xf>
    <xf numFmtId="10" fontId="54" fillId="0" borderId="255" xfId="56" applyNumberFormat="1" applyFont="1" applyBorder="1" applyAlignment="1">
      <alignment horizontal="center" vertical="center" wrapText="1"/>
    </xf>
    <xf numFmtId="10" fontId="54" fillId="0" borderId="256" xfId="56" applyNumberFormat="1" applyFont="1" applyBorder="1" applyAlignment="1">
      <alignment horizontal="center" vertical="center" wrapText="1"/>
    </xf>
    <xf numFmtId="10" fontId="54" fillId="0" borderId="258" xfId="56" applyNumberFormat="1" applyFont="1" applyBorder="1" applyAlignment="1">
      <alignment horizontal="center" vertical="center" wrapText="1"/>
    </xf>
    <xf numFmtId="10" fontId="54" fillId="0" borderId="0" xfId="56" applyNumberFormat="1" applyFont="1" applyBorder="1" applyAlignment="1">
      <alignment horizontal="center" vertical="center" wrapText="1"/>
    </xf>
    <xf numFmtId="10" fontId="54" fillId="0" borderId="253" xfId="56" applyNumberFormat="1" applyFont="1" applyBorder="1" applyAlignment="1">
      <alignment horizontal="center" vertical="center" wrapText="1"/>
    </xf>
    <xf numFmtId="10" fontId="54" fillId="0" borderId="254" xfId="56" applyNumberFormat="1" applyFont="1" applyBorder="1" applyAlignment="1">
      <alignment horizontal="center" vertical="center" wrapText="1"/>
    </xf>
    <xf numFmtId="0" fontId="46" fillId="0" borderId="225" xfId="188" applyFont="1" applyBorder="1" applyAlignment="1">
      <alignment horizontal="center" vertical="center"/>
    </xf>
    <xf numFmtId="0" fontId="46" fillId="0" borderId="226" xfId="188" applyFont="1" applyBorder="1" applyAlignment="1">
      <alignment horizontal="center" vertical="center"/>
    </xf>
    <xf numFmtId="0" fontId="42" fillId="40" borderId="225" xfId="188" applyFont="1" applyFill="1" applyBorder="1" applyAlignment="1">
      <alignment horizontal="center" vertical="center"/>
    </xf>
    <xf numFmtId="0" fontId="42" fillId="40" borderId="226" xfId="188" applyFont="1" applyFill="1" applyBorder="1" applyAlignment="1">
      <alignment horizontal="center" vertical="center"/>
    </xf>
    <xf numFmtId="0" fontId="44" fillId="41" borderId="223" xfId="188" applyFont="1" applyFill="1" applyBorder="1" applyAlignment="1">
      <alignment horizontal="center"/>
    </xf>
    <xf numFmtId="0" fontId="44" fillId="41" borderId="248" xfId="188" applyFont="1" applyFill="1" applyBorder="1" applyAlignment="1">
      <alignment horizontal="center"/>
    </xf>
    <xf numFmtId="0" fontId="53" fillId="48" borderId="263" xfId="56" applyFont="1" applyFill="1" applyBorder="1" applyAlignment="1">
      <alignment horizontal="center" vertical="center" wrapText="1"/>
    </xf>
    <xf numFmtId="0" fontId="53" fillId="48" borderId="257" xfId="56" applyFont="1" applyFill="1" applyBorder="1" applyAlignment="1">
      <alignment horizontal="center" vertical="center" wrapText="1"/>
    </xf>
    <xf numFmtId="10" fontId="49" fillId="49" borderId="264" xfId="56" applyNumberFormat="1" applyFont="1" applyFill="1" applyBorder="1" applyAlignment="1">
      <alignment horizontal="center" vertical="center" wrapText="1"/>
    </xf>
    <xf numFmtId="10" fontId="49" fillId="49" borderId="265" xfId="56" applyNumberFormat="1" applyFont="1" applyFill="1" applyBorder="1" applyAlignment="1">
      <alignment horizontal="center" vertical="center" wrapText="1"/>
    </xf>
    <xf numFmtId="10" fontId="49" fillId="49" borderId="257" xfId="56" applyNumberFormat="1" applyFont="1" applyFill="1" applyBorder="1" applyAlignment="1">
      <alignment horizontal="center" vertical="center" wrapText="1"/>
    </xf>
    <xf numFmtId="0" fontId="44" fillId="41" borderId="1" xfId="188" applyFont="1" applyFill="1" applyBorder="1" applyAlignment="1">
      <alignment horizontal="center"/>
    </xf>
    <xf numFmtId="0" fontId="44" fillId="41" borderId="5" xfId="188" applyFont="1" applyFill="1" applyBorder="1" applyAlignment="1">
      <alignment horizontal="center"/>
    </xf>
    <xf numFmtId="0" fontId="44" fillId="41" borderId="6" xfId="188" applyFont="1" applyFill="1" applyBorder="1" applyAlignment="1">
      <alignment horizontal="center"/>
    </xf>
    <xf numFmtId="0" fontId="44" fillId="41" borderId="221" xfId="188" applyFont="1" applyFill="1" applyBorder="1" applyAlignment="1">
      <alignment horizontal="center" vertical="center"/>
    </xf>
    <xf numFmtId="0" fontId="44" fillId="41" borderId="244" xfId="188" applyFont="1" applyFill="1" applyBorder="1" applyAlignment="1">
      <alignment horizontal="center" vertical="center"/>
    </xf>
    <xf numFmtId="0" fontId="44" fillId="41" borderId="247" xfId="188" applyFont="1" applyFill="1" applyBorder="1" applyAlignment="1">
      <alignment horizontal="center" vertical="center"/>
    </xf>
    <xf numFmtId="0" fontId="44" fillId="41" borderId="248" xfId="188" applyFont="1" applyFill="1" applyBorder="1" applyAlignment="1">
      <alignment horizontal="center" vertical="center"/>
    </xf>
    <xf numFmtId="0" fontId="44" fillId="41" borderId="227" xfId="188" applyFont="1" applyFill="1" applyBorder="1" applyAlignment="1">
      <alignment horizontal="center"/>
    </xf>
    <xf numFmtId="0" fontId="44" fillId="41" borderId="228" xfId="188" applyFont="1" applyFill="1" applyBorder="1" applyAlignment="1">
      <alignment horizontal="center"/>
    </xf>
    <xf numFmtId="0" fontId="44" fillId="41" borderId="229" xfId="188" applyFont="1" applyFill="1" applyBorder="1" applyAlignment="1">
      <alignment horizontal="center"/>
    </xf>
    <xf numFmtId="0" fontId="44" fillId="41" borderId="230" xfId="188" applyFont="1" applyFill="1" applyBorder="1" applyAlignment="1">
      <alignment horizontal="center"/>
    </xf>
    <xf numFmtId="0" fontId="43" fillId="45" borderId="223" xfId="188" applyFont="1" applyFill="1" applyBorder="1" applyAlignment="1">
      <alignment horizontal="center" vertical="center"/>
    </xf>
    <xf numFmtId="0" fontId="43" fillId="45" borderId="224" xfId="188" applyFont="1" applyFill="1" applyBorder="1" applyAlignment="1">
      <alignment horizontal="center" vertical="center"/>
    </xf>
    <xf numFmtId="0" fontId="43" fillId="45" borderId="230" xfId="188" applyFont="1" applyFill="1" applyBorder="1" applyAlignment="1">
      <alignment horizontal="center" vertical="center"/>
    </xf>
    <xf numFmtId="0" fontId="43" fillId="45" borderId="227" xfId="188" applyFont="1" applyFill="1" applyBorder="1" applyAlignment="1">
      <alignment horizontal="center" vertical="center"/>
    </xf>
    <xf numFmtId="0" fontId="43" fillId="45" borderId="231" xfId="188" applyFont="1" applyFill="1" applyBorder="1" applyAlignment="1">
      <alignment horizontal="center" vertical="center"/>
    </xf>
    <xf numFmtId="0" fontId="44" fillId="41" borderId="228" xfId="188" applyFont="1" applyFill="1" applyBorder="1" applyAlignment="1">
      <alignment horizontal="center" vertical="center"/>
    </xf>
    <xf numFmtId="0" fontId="44" fillId="41" borderId="229" xfId="188" applyFont="1" applyFill="1" applyBorder="1" applyAlignment="1">
      <alignment horizontal="center" vertical="center"/>
    </xf>
    <xf numFmtId="0" fontId="44" fillId="41" borderId="11" xfId="188" applyFont="1" applyFill="1" applyBorder="1" applyAlignment="1">
      <alignment horizontal="center" vertical="center"/>
    </xf>
    <xf numFmtId="0" fontId="44" fillId="41" borderId="13" xfId="188" applyFont="1" applyFill="1" applyBorder="1" applyAlignment="1">
      <alignment horizontal="center" vertical="center"/>
    </xf>
    <xf numFmtId="0" fontId="43" fillId="39" borderId="223" xfId="132" applyFont="1" applyFill="1" applyBorder="1" applyAlignment="1">
      <alignment horizontal="center" vertical="center"/>
    </xf>
    <xf numFmtId="0" fontId="43" fillId="39" borderId="224" xfId="132" applyFont="1" applyFill="1" applyBorder="1" applyAlignment="1">
      <alignment horizontal="center" vertical="center"/>
    </xf>
    <xf numFmtId="179" fontId="53" fillId="48" borderId="33" xfId="56" applyNumberFormat="1" applyFont="1" applyFill="1" applyBorder="1" applyAlignment="1">
      <alignment horizontal="center" vertical="center" wrapText="1"/>
    </xf>
    <xf numFmtId="179" fontId="53" fillId="48" borderId="0" xfId="56" applyNumberFormat="1" applyFont="1" applyFill="1" applyBorder="1" applyAlignment="1">
      <alignment horizontal="center" vertical="center" wrapText="1"/>
    </xf>
    <xf numFmtId="179" fontId="53" fillId="48" borderId="37" xfId="56" applyNumberFormat="1" applyFont="1" applyFill="1" applyBorder="1" applyAlignment="1">
      <alignment horizontal="center" vertical="center" wrapText="1"/>
    </xf>
    <xf numFmtId="0" fontId="46" fillId="0" borderId="221" xfId="188" applyFont="1" applyBorder="1" applyAlignment="1">
      <alignment horizontal="center" vertical="center"/>
    </xf>
    <xf numFmtId="0" fontId="43" fillId="38" borderId="33" xfId="132" applyFont="1" applyFill="1" applyBorder="1" applyAlignment="1">
      <alignment horizontal="left" vertical="center"/>
    </xf>
    <xf numFmtId="0" fontId="43" fillId="38" borderId="0" xfId="132" applyFont="1" applyFill="1" applyBorder="1" applyAlignment="1">
      <alignment horizontal="left" vertical="center"/>
    </xf>
    <xf numFmtId="0" fontId="53" fillId="48" borderId="1" xfId="56" applyFont="1" applyFill="1" applyBorder="1" applyAlignment="1">
      <alignment horizontal="center" vertical="center" wrapText="1"/>
    </xf>
    <xf numFmtId="0" fontId="44" fillId="41" borderId="231" xfId="188" applyFont="1" applyFill="1" applyBorder="1" applyAlignment="1">
      <alignment horizontal="center"/>
    </xf>
    <xf numFmtId="0" fontId="44" fillId="41" borderId="35" xfId="188" applyFont="1" applyFill="1" applyBorder="1" applyAlignment="1">
      <alignment horizontal="left"/>
    </xf>
    <xf numFmtId="0" fontId="44" fillId="41" borderId="247" xfId="188" applyFont="1" applyFill="1" applyBorder="1" applyAlignment="1">
      <alignment horizontal="left"/>
    </xf>
    <xf numFmtId="0" fontId="44" fillId="41" borderId="249" xfId="188" applyFont="1" applyFill="1" applyBorder="1" applyAlignment="1">
      <alignment horizontal="center"/>
    </xf>
    <xf numFmtId="0" fontId="45" fillId="0" borderId="5" xfId="56" applyFont="1" applyBorder="1" applyAlignment="1">
      <alignment horizontal="left" vertical="center" wrapText="1"/>
    </xf>
    <xf numFmtId="0" fontId="45" fillId="0" borderId="7" xfId="56" applyFont="1" applyBorder="1" applyAlignment="1">
      <alignment horizontal="left" vertical="center" wrapText="1"/>
    </xf>
    <xf numFmtId="0" fontId="45" fillId="0" borderId="6" xfId="56" applyFont="1" applyBorder="1" applyAlignment="1">
      <alignment horizontal="left" vertical="center" wrapText="1"/>
    </xf>
    <xf numFmtId="0" fontId="34" fillId="33" borderId="0" xfId="275" applyFont="1" applyFill="1" applyAlignment="1">
      <alignment horizontal="left" vertical="top" wrapText="1"/>
    </xf>
    <xf numFmtId="0" fontId="39" fillId="0" borderId="32" xfId="275" applyFont="1" applyBorder="1" applyAlignment="1">
      <alignment horizontal="center" vertical="center"/>
    </xf>
    <xf numFmtId="0" fontId="39" fillId="0" borderId="0" xfId="275" applyFont="1" applyAlignment="1">
      <alignment horizontal="center" vertical="center"/>
    </xf>
    <xf numFmtId="58" fontId="21" fillId="24" borderId="207" xfId="275" applyNumberFormat="1" applyFont="1" applyFill="1" applyBorder="1" applyAlignment="1">
      <alignment horizontal="center" vertical="center" wrapText="1"/>
    </xf>
    <xf numFmtId="58" fontId="21" fillId="24" borderId="30" xfId="275" applyNumberFormat="1" applyFont="1" applyFill="1" applyBorder="1" applyAlignment="1">
      <alignment horizontal="center" vertical="center" wrapText="1"/>
    </xf>
    <xf numFmtId="58" fontId="21" fillId="2" borderId="219" xfId="275" applyNumberFormat="1" applyFont="1" applyFill="1" applyBorder="1" applyAlignment="1">
      <alignment horizontal="center" vertical="center" wrapText="1"/>
    </xf>
    <xf numFmtId="58" fontId="21" fillId="2" borderId="220" xfId="275" applyNumberFormat="1" applyFont="1" applyFill="1" applyBorder="1" applyAlignment="1">
      <alignment horizontal="center" vertical="center" wrapText="1"/>
    </xf>
    <xf numFmtId="58" fontId="21" fillId="24" borderId="206" xfId="275" applyNumberFormat="1" applyFont="1" applyFill="1" applyBorder="1" applyAlignment="1">
      <alignment horizontal="center" vertical="center" wrapText="1"/>
    </xf>
    <xf numFmtId="58" fontId="21" fillId="24" borderId="211" xfId="275" applyNumberFormat="1" applyFont="1" applyFill="1" applyBorder="1" applyAlignment="1">
      <alignment horizontal="center" vertical="center" wrapText="1"/>
    </xf>
    <xf numFmtId="0" fontId="21" fillId="24" borderId="212" xfId="275" applyFont="1" applyFill="1" applyBorder="1" applyAlignment="1">
      <alignment horizontal="center" vertical="center" wrapText="1"/>
    </xf>
    <xf numFmtId="0" fontId="21" fillId="24" borderId="213" xfId="275" applyFont="1" applyFill="1" applyBorder="1" applyAlignment="1">
      <alignment horizontal="center" vertical="center" wrapText="1"/>
    </xf>
    <xf numFmtId="0" fontId="21" fillId="24" borderId="214" xfId="275" applyFont="1" applyFill="1" applyBorder="1" applyAlignment="1">
      <alignment horizontal="center" vertical="center" wrapText="1"/>
    </xf>
    <xf numFmtId="0" fontId="17" fillId="21" borderId="0" xfId="275" applyFont="1" applyFill="1" applyAlignment="1">
      <alignment horizontal="left"/>
    </xf>
    <xf numFmtId="0" fontId="17" fillId="21" borderId="205" xfId="275" applyFont="1" applyFill="1" applyBorder="1" applyAlignment="1">
      <alignment horizontal="left"/>
    </xf>
    <xf numFmtId="58" fontId="21" fillId="24" borderId="208" xfId="275" applyNumberFormat="1" applyFont="1" applyFill="1" applyBorder="1" applyAlignment="1">
      <alignment horizontal="center" vertical="center" wrapText="1"/>
    </xf>
    <xf numFmtId="58" fontId="21" fillId="24" borderId="209" xfId="275" applyNumberFormat="1" applyFont="1" applyFill="1" applyBorder="1" applyAlignment="1">
      <alignment horizontal="center" vertical="center" wrapText="1"/>
    </xf>
    <xf numFmtId="58" fontId="21" fillId="24" borderId="210" xfId="275" applyNumberFormat="1" applyFont="1" applyFill="1" applyBorder="1" applyAlignment="1">
      <alignment horizontal="center" vertical="center" wrapText="1"/>
    </xf>
    <xf numFmtId="0" fontId="13" fillId="0" borderId="1" xfId="275" applyFont="1" applyBorder="1" applyAlignment="1">
      <alignment horizontal="left" vertical="center"/>
    </xf>
    <xf numFmtId="0" fontId="13" fillId="0" borderId="1" xfId="275" applyFont="1" applyFill="1" applyBorder="1" applyAlignment="1">
      <alignment horizontal="left" vertical="center"/>
    </xf>
    <xf numFmtId="0" fontId="17" fillId="0" borderId="209" xfId="275" applyBorder="1" applyAlignment="1">
      <alignment horizontal="center"/>
    </xf>
    <xf numFmtId="0" fontId="17" fillId="0" borderId="0" xfId="275" applyBorder="1" applyAlignment="1">
      <alignment horizontal="center"/>
    </xf>
    <xf numFmtId="0" fontId="13" fillId="0" borderId="33" xfId="275" applyFont="1" applyFill="1" applyBorder="1" applyAlignment="1">
      <alignment horizontal="left" vertical="center"/>
    </xf>
    <xf numFmtId="0" fontId="13" fillId="0" borderId="0" xfId="275" applyFont="1" applyFill="1" applyBorder="1" applyAlignment="1">
      <alignment horizontal="left" vertical="center"/>
    </xf>
    <xf numFmtId="0" fontId="13" fillId="0" borderId="37" xfId="275" applyFont="1" applyFill="1" applyBorder="1" applyAlignment="1">
      <alignment horizontal="left" vertical="center"/>
    </xf>
    <xf numFmtId="0" fontId="17" fillId="27" borderId="197" xfId="275" applyFont="1" applyFill="1" applyBorder="1" applyAlignment="1">
      <alignment horizontal="center" vertical="center"/>
    </xf>
    <xf numFmtId="0" fontId="17" fillId="27" borderId="199" xfId="275" applyFont="1" applyFill="1" applyBorder="1" applyAlignment="1">
      <alignment horizontal="center" vertical="center"/>
    </xf>
    <xf numFmtId="0" fontId="17" fillId="27" borderId="198" xfId="275" applyFont="1" applyFill="1" applyBorder="1" applyAlignment="1">
      <alignment horizontal="center" vertical="center"/>
    </xf>
    <xf numFmtId="0" fontId="17" fillId="27" borderId="200" xfId="275" applyFont="1" applyFill="1" applyBorder="1" applyAlignment="1">
      <alignment horizontal="center" vertical="center"/>
    </xf>
    <xf numFmtId="0" fontId="21" fillId="27" borderId="177" xfId="275" applyFont="1" applyFill="1" applyBorder="1" applyAlignment="1">
      <alignment horizontal="center" vertical="center"/>
    </xf>
    <xf numFmtId="0" fontId="21" fillId="27" borderId="134" xfId="275" applyFont="1" applyFill="1" applyBorder="1" applyAlignment="1">
      <alignment horizontal="center" vertical="center"/>
    </xf>
    <xf numFmtId="0" fontId="19" fillId="0" borderId="146" xfId="275" applyFont="1" applyFill="1" applyBorder="1" applyAlignment="1">
      <alignment horizontal="center" vertical="center"/>
    </xf>
    <xf numFmtId="0" fontId="19" fillId="0" borderId="67" xfId="275" applyFont="1" applyFill="1" applyBorder="1" applyAlignment="1">
      <alignment horizontal="center" vertical="center"/>
    </xf>
    <xf numFmtId="0" fontId="27" fillId="28" borderId="17" xfId="0" applyFont="1" applyFill="1" applyBorder="1" applyAlignment="1">
      <alignment horizontal="center" vertical="center" wrapText="1"/>
    </xf>
    <xf numFmtId="0" fontId="27" fillId="28" borderId="183" xfId="0" applyFont="1" applyFill="1" applyBorder="1" applyAlignment="1">
      <alignment horizontal="center" vertical="center" wrapText="1"/>
    </xf>
    <xf numFmtId="0" fontId="36" fillId="24" borderId="194" xfId="275" applyFont="1" applyFill="1" applyBorder="1" applyAlignment="1">
      <alignment horizontal="center" vertical="center"/>
    </xf>
    <xf numFmtId="0" fontId="36" fillId="24" borderId="196" xfId="275" applyFont="1" applyFill="1" applyBorder="1" applyAlignment="1">
      <alignment horizontal="center" vertical="center"/>
    </xf>
    <xf numFmtId="0" fontId="36" fillId="24" borderId="194" xfId="275" applyNumberFormat="1" applyFont="1" applyFill="1" applyBorder="1" applyAlignment="1">
      <alignment horizontal="center" vertical="center" wrapText="1"/>
    </xf>
    <xf numFmtId="0" fontId="36" fillId="24" borderId="196" xfId="275" applyNumberFormat="1" applyFont="1" applyFill="1" applyBorder="1" applyAlignment="1">
      <alignment horizontal="center" vertical="center" wrapText="1"/>
    </xf>
    <xf numFmtId="0" fontId="36" fillId="24" borderId="319" xfId="275" applyFont="1" applyFill="1" applyBorder="1" applyAlignment="1">
      <alignment horizontal="center" vertical="center"/>
    </xf>
    <xf numFmtId="0" fontId="36" fillId="24" borderId="193" xfId="275" applyFont="1" applyFill="1" applyBorder="1" applyAlignment="1">
      <alignment horizontal="center" vertical="center"/>
    </xf>
    <xf numFmtId="184" fontId="28" fillId="21" borderId="201" xfId="275" applyNumberFormat="1" applyFont="1" applyFill="1" applyBorder="1" applyAlignment="1">
      <alignment horizontal="center" vertical="center"/>
    </xf>
    <xf numFmtId="184" fontId="28" fillId="21" borderId="202" xfId="275" applyNumberFormat="1" applyFont="1" applyFill="1" applyBorder="1" applyAlignment="1">
      <alignment horizontal="center" vertical="center"/>
    </xf>
    <xf numFmtId="184" fontId="28" fillId="21" borderId="203" xfId="275" applyNumberFormat="1" applyFont="1" applyFill="1" applyBorder="1" applyAlignment="1">
      <alignment horizontal="center" vertical="center"/>
    </xf>
    <xf numFmtId="184" fontId="28" fillId="0" borderId="203" xfId="275" applyNumberFormat="1" applyFont="1" applyFill="1" applyBorder="1" applyAlignment="1">
      <alignment horizontal="center" vertical="center"/>
    </xf>
    <xf numFmtId="184" fontId="28" fillId="0" borderId="202" xfId="275" applyNumberFormat="1" applyFont="1" applyFill="1" applyBorder="1" applyAlignment="1">
      <alignment horizontal="center" vertical="center"/>
    </xf>
    <xf numFmtId="0" fontId="17" fillId="0" borderId="189" xfId="275" applyFont="1" applyFill="1" applyBorder="1" applyAlignment="1">
      <alignment horizontal="center"/>
    </xf>
    <xf numFmtId="0" fontId="17" fillId="0" borderId="188" xfId="275" applyFont="1" applyFill="1" applyBorder="1" applyAlignment="1">
      <alignment horizontal="center"/>
    </xf>
    <xf numFmtId="0" fontId="17" fillId="0" borderId="191" xfId="275" applyFont="1" applyFill="1" applyBorder="1" applyAlignment="1">
      <alignment horizontal="center"/>
    </xf>
    <xf numFmtId="0" fontId="21" fillId="24" borderId="178" xfId="275" applyFont="1" applyFill="1" applyBorder="1" applyAlignment="1">
      <alignment horizontal="center" vertical="center"/>
    </xf>
    <xf numFmtId="0" fontId="21" fillId="24" borderId="171" xfId="275" applyFont="1" applyFill="1" applyBorder="1" applyAlignment="1">
      <alignment horizontal="center" vertical="center"/>
    </xf>
    <xf numFmtId="9" fontId="28" fillId="21" borderId="201" xfId="275" applyNumberFormat="1" applyFont="1" applyFill="1" applyBorder="1" applyAlignment="1">
      <alignment horizontal="center" vertical="center"/>
    </xf>
    <xf numFmtId="9" fontId="28" fillId="21" borderId="202" xfId="275" applyNumberFormat="1" applyFont="1" applyFill="1" applyBorder="1" applyAlignment="1">
      <alignment horizontal="center" vertical="center"/>
    </xf>
    <xf numFmtId="9" fontId="28" fillId="21" borderId="203" xfId="275" applyNumberFormat="1" applyFont="1" applyFill="1" applyBorder="1" applyAlignment="1">
      <alignment horizontal="center" vertical="center"/>
    </xf>
    <xf numFmtId="9" fontId="28" fillId="0" borderId="203" xfId="275" applyNumberFormat="1" applyFont="1" applyFill="1" applyBorder="1" applyAlignment="1">
      <alignment horizontal="center" vertical="center"/>
    </xf>
    <xf numFmtId="9" fontId="28" fillId="0" borderId="202" xfId="275" applyNumberFormat="1" applyFont="1" applyFill="1" applyBorder="1" applyAlignment="1">
      <alignment horizontal="center" vertical="center"/>
    </xf>
    <xf numFmtId="9" fontId="28" fillId="21" borderId="318" xfId="275" applyNumberFormat="1" applyFont="1" applyFill="1" applyBorder="1" applyAlignment="1">
      <alignment horizontal="center" vertical="center"/>
    </xf>
    <xf numFmtId="0" fontId="26" fillId="28" borderId="3" xfId="0" applyFont="1" applyFill="1" applyBorder="1" applyAlignment="1">
      <alignment horizontal="left" vertical="center" wrapText="1"/>
    </xf>
    <xf numFmtId="0" fontId="26" fillId="28" borderId="184" xfId="0" applyFont="1" applyFill="1" applyBorder="1" applyAlignment="1">
      <alignment horizontal="left" vertical="center" wrapText="1"/>
    </xf>
    <xf numFmtId="0" fontId="26" fillId="28" borderId="9" xfId="0" applyFont="1" applyFill="1" applyBorder="1" applyAlignment="1">
      <alignment horizontal="left" vertical="center" wrapText="1"/>
    </xf>
    <xf numFmtId="0" fontId="21" fillId="2" borderId="177" xfId="275" applyFont="1" applyFill="1" applyBorder="1" applyAlignment="1">
      <alignment horizontal="center" vertical="center"/>
    </xf>
    <xf numFmtId="0" fontId="21" fillId="2" borderId="134" xfId="275" applyFont="1" applyFill="1" applyBorder="1" applyAlignment="1">
      <alignment horizontal="center" vertical="center"/>
    </xf>
    <xf numFmtId="0" fontId="21" fillId="2" borderId="185" xfId="275" applyFont="1" applyFill="1" applyBorder="1" applyAlignment="1">
      <alignment horizontal="center" vertical="center"/>
    </xf>
    <xf numFmtId="0" fontId="21" fillId="2" borderId="186" xfId="275" applyFont="1" applyFill="1" applyBorder="1" applyAlignment="1">
      <alignment horizontal="center" vertical="center"/>
    </xf>
    <xf numFmtId="10" fontId="35" fillId="23" borderId="179" xfId="275" applyNumberFormat="1" applyFont="1" applyFill="1" applyBorder="1" applyAlignment="1">
      <alignment horizontal="center"/>
    </xf>
    <xf numFmtId="10" fontId="35" fillId="23" borderId="180" xfId="275" applyNumberFormat="1" applyFont="1" applyFill="1" applyBorder="1" applyAlignment="1">
      <alignment horizontal="center"/>
    </xf>
    <xf numFmtId="10" fontId="35" fillId="23" borderId="181" xfId="275" applyNumberFormat="1" applyFont="1" applyFill="1" applyBorder="1" applyAlignment="1">
      <alignment horizontal="center"/>
    </xf>
    <xf numFmtId="10" fontId="35" fillId="23" borderId="182" xfId="275" applyNumberFormat="1" applyFont="1" applyFill="1" applyBorder="1" applyAlignment="1">
      <alignment horizontal="center"/>
    </xf>
    <xf numFmtId="192" fontId="32" fillId="23" borderId="179" xfId="275" applyNumberFormat="1" applyFont="1" applyFill="1" applyBorder="1" applyAlignment="1">
      <alignment horizontal="center"/>
    </xf>
    <xf numFmtId="192" fontId="32" fillId="23" borderId="180" xfId="275" applyNumberFormat="1" applyFont="1" applyFill="1" applyBorder="1" applyAlignment="1">
      <alignment horizontal="center"/>
    </xf>
    <xf numFmtId="0" fontId="32" fillId="23" borderId="179" xfId="275" applyFont="1" applyFill="1" applyBorder="1" applyAlignment="1">
      <alignment horizontal="center"/>
    </xf>
    <xf numFmtId="0" fontId="32" fillId="23" borderId="180" xfId="275" applyFont="1" applyFill="1" applyBorder="1" applyAlignment="1">
      <alignment horizontal="center"/>
    </xf>
    <xf numFmtId="0" fontId="18" fillId="21" borderId="0" xfId="275" applyFont="1" applyFill="1" applyAlignment="1">
      <alignment horizontal="center"/>
    </xf>
    <xf numFmtId="0" fontId="17" fillId="21" borderId="128" xfId="275" applyFont="1" applyFill="1" applyBorder="1" applyAlignment="1">
      <alignment horizontal="left"/>
    </xf>
    <xf numFmtId="0" fontId="0" fillId="0" borderId="128" xfId="0" applyBorder="1" applyAlignment="1"/>
    <xf numFmtId="0" fontId="0" fillId="0" borderId="129" xfId="0" applyBorder="1" applyAlignment="1"/>
    <xf numFmtId="0" fontId="32" fillId="23" borderId="153" xfId="275" applyNumberFormat="1" applyFont="1" applyFill="1" applyBorder="1" applyAlignment="1">
      <alignment horizontal="center" vertical="center"/>
    </xf>
    <xf numFmtId="0" fontId="32" fillId="23" borderId="154" xfId="275" applyNumberFormat="1" applyFont="1" applyFill="1" applyBorder="1" applyAlignment="1">
      <alignment horizontal="center" vertical="center"/>
    </xf>
    <xf numFmtId="0" fontId="17" fillId="21" borderId="0" xfId="275" applyFont="1" applyFill="1" applyBorder="1" applyAlignment="1">
      <alignment horizontal="left"/>
    </xf>
    <xf numFmtId="0" fontId="21" fillId="24" borderId="2" xfId="275" applyFont="1" applyFill="1" applyBorder="1" applyAlignment="1">
      <alignment horizontal="center" vertical="center"/>
    </xf>
    <xf numFmtId="0" fontId="26" fillId="28" borderId="2" xfId="0" applyFont="1" applyFill="1" applyBorder="1" applyAlignment="1">
      <alignment horizontal="left" vertical="center" wrapText="1"/>
    </xf>
    <xf numFmtId="0" fontId="21" fillId="2" borderId="146" xfId="275" applyFont="1" applyFill="1" applyBorder="1" applyAlignment="1">
      <alignment horizontal="center" vertical="center" wrapText="1"/>
    </xf>
    <xf numFmtId="0" fontId="21" fillId="2" borderId="150" xfId="275" applyFont="1" applyFill="1" applyBorder="1" applyAlignment="1">
      <alignment horizontal="center" vertical="center" wrapText="1"/>
    </xf>
    <xf numFmtId="0" fontId="17" fillId="23" borderId="147" xfId="275" applyNumberFormat="1" applyFont="1" applyFill="1" applyBorder="1" applyAlignment="1">
      <alignment horizontal="center" vertical="center"/>
    </xf>
    <xf numFmtId="0" fontId="17" fillId="23" borderId="151" xfId="275" applyNumberFormat="1" applyFont="1" applyFill="1" applyBorder="1" applyAlignment="1">
      <alignment horizontal="center" vertical="center"/>
    </xf>
    <xf numFmtId="58" fontId="21" fillId="24" borderId="3" xfId="275" applyNumberFormat="1" applyFont="1" applyFill="1" applyBorder="1" applyAlignment="1">
      <alignment horizontal="center" vertical="center" wrapText="1"/>
    </xf>
    <xf numFmtId="58" fontId="21" fillId="24" borderId="9" xfId="275" applyNumberFormat="1" applyFont="1" applyFill="1" applyBorder="1" applyAlignment="1">
      <alignment horizontal="center" vertical="center" wrapText="1"/>
    </xf>
    <xf numFmtId="58" fontId="21" fillId="24" borderId="2" xfId="275" applyNumberFormat="1" applyFont="1" applyFill="1" applyBorder="1" applyAlignment="1">
      <alignment horizontal="center" vertical="center" wrapText="1"/>
    </xf>
    <xf numFmtId="58" fontId="21" fillId="24" borderId="2" xfId="275" applyNumberFormat="1" applyFont="1" applyFill="1" applyBorder="1" applyAlignment="1">
      <alignment horizontal="center" vertical="center"/>
    </xf>
    <xf numFmtId="58" fontId="21" fillId="24" borderId="3" xfId="275" applyNumberFormat="1" applyFont="1" applyFill="1" applyBorder="1" applyAlignment="1">
      <alignment horizontal="center" vertical="center"/>
    </xf>
    <xf numFmtId="58" fontId="21" fillId="24" borderId="9" xfId="275" applyNumberFormat="1" applyFont="1" applyFill="1" applyBorder="1" applyAlignment="1">
      <alignment horizontal="center" vertical="center"/>
    </xf>
    <xf numFmtId="0" fontId="26" fillId="28" borderId="2" xfId="0" applyFont="1" applyFill="1" applyBorder="1" applyAlignment="1">
      <alignment horizontal="center" vertical="center" wrapText="1"/>
    </xf>
    <xf numFmtId="0" fontId="17" fillId="21" borderId="0" xfId="275" applyFont="1" applyFill="1" applyAlignment="1">
      <alignment horizontal="left" vertical="top" wrapText="1"/>
    </xf>
    <xf numFmtId="0" fontId="30" fillId="21" borderId="127" xfId="275" applyNumberFormat="1" applyFont="1" applyFill="1" applyBorder="1" applyAlignment="1">
      <alignment horizontal="left" vertical="top"/>
    </xf>
    <xf numFmtId="58" fontId="21" fillId="24" borderId="320" xfId="275" applyNumberFormat="1" applyFont="1" applyFill="1" applyBorder="1" applyAlignment="1">
      <alignment horizontal="center" vertical="center"/>
    </xf>
    <xf numFmtId="58" fontId="21" fillId="24" borderId="321" xfId="275" applyNumberFormat="1" applyFont="1" applyFill="1" applyBorder="1" applyAlignment="1">
      <alignment horizontal="center" vertical="center"/>
    </xf>
    <xf numFmtId="0" fontId="26" fillId="28" borderId="2" xfId="0" applyFont="1" applyFill="1" applyBorder="1" applyAlignment="1">
      <alignment horizontal="center" vertical="center"/>
    </xf>
    <xf numFmtId="0" fontId="24" fillId="0" borderId="5" xfId="275" applyFont="1" applyBorder="1" applyAlignment="1">
      <alignment horizontal="left" vertical="center"/>
    </xf>
    <xf numFmtId="0" fontId="24" fillId="0" borderId="7" xfId="275" applyFont="1" applyBorder="1" applyAlignment="1">
      <alignment horizontal="left" vertical="center"/>
    </xf>
    <xf numFmtId="0" fontId="24" fillId="0" borderId="106" xfId="275" applyFont="1" applyBorder="1" applyAlignment="1">
      <alignment horizontal="left" vertical="center"/>
    </xf>
    <xf numFmtId="0" fontId="24" fillId="0" borderId="126" xfId="275" applyFont="1" applyBorder="1" applyAlignment="1">
      <alignment horizontal="left" vertical="center"/>
    </xf>
    <xf numFmtId="0" fontId="24" fillId="0" borderId="107" xfId="275" applyFont="1" applyBorder="1" applyAlignment="1">
      <alignment horizontal="left" vertical="center"/>
    </xf>
    <xf numFmtId="0" fontId="24" fillId="0" borderId="110" xfId="275" applyFont="1" applyBorder="1" applyAlignment="1">
      <alignment horizontal="left" vertical="center"/>
    </xf>
    <xf numFmtId="58" fontId="21" fillId="24" borderId="89" xfId="275" applyNumberFormat="1" applyFont="1" applyFill="1" applyBorder="1" applyAlignment="1">
      <alignment horizontal="center" vertical="center" wrapText="1"/>
    </xf>
    <xf numFmtId="58" fontId="21" fillId="24" borderId="93" xfId="275" applyNumberFormat="1" applyFont="1" applyFill="1" applyBorder="1" applyAlignment="1">
      <alignment horizontal="center" vertical="center" wrapText="1"/>
    </xf>
    <xf numFmtId="190" fontId="23" fillId="2" borderId="96" xfId="110" applyNumberFormat="1" applyFont="1" applyFill="1" applyBorder="1" applyAlignment="1">
      <alignment horizontal="center" vertical="center" wrapText="1"/>
    </xf>
    <xf numFmtId="190" fontId="23" fillId="2" borderId="94" xfId="110" applyNumberFormat="1" applyFont="1" applyFill="1" applyBorder="1" applyAlignment="1">
      <alignment horizontal="center" vertical="center" wrapText="1"/>
    </xf>
    <xf numFmtId="0" fontId="17" fillId="23" borderId="97" xfId="275" applyFill="1" applyBorder="1" applyAlignment="1">
      <alignment horizontal="center" vertical="center"/>
    </xf>
    <xf numFmtId="0" fontId="17" fillId="23" borderId="99" xfId="275" applyFill="1" applyBorder="1" applyAlignment="1">
      <alignment horizontal="center" vertical="center"/>
    </xf>
    <xf numFmtId="0" fontId="24" fillId="0" borderId="1" xfId="275" applyFont="1" applyBorder="1" applyAlignment="1">
      <alignment horizontal="center" vertical="center"/>
    </xf>
    <xf numFmtId="0" fontId="24" fillId="0" borderId="111" xfId="275" applyFont="1" applyBorder="1" applyAlignment="1">
      <alignment horizontal="center" vertical="center"/>
    </xf>
    <xf numFmtId="0" fontId="24" fillId="0" borderId="94" xfId="275" applyFont="1" applyBorder="1" applyAlignment="1">
      <alignment horizontal="center" vertical="center"/>
    </xf>
    <xf numFmtId="0" fontId="24" fillId="0" borderId="99" xfId="275" applyFont="1" applyBorder="1" applyAlignment="1">
      <alignment horizontal="center" vertical="center"/>
    </xf>
    <xf numFmtId="58" fontId="17" fillId="27" borderId="118" xfId="275" applyNumberFormat="1" applyFont="1" applyFill="1" applyBorder="1" applyAlignment="1">
      <alignment horizontal="center" vertical="center" wrapText="1"/>
    </xf>
    <xf numFmtId="58" fontId="17" fillId="27" borderId="119" xfId="275" applyNumberFormat="1" applyFont="1" applyFill="1" applyBorder="1" applyAlignment="1">
      <alignment horizontal="center" vertical="center" wrapText="1"/>
    </xf>
    <xf numFmtId="58" fontId="17" fillId="27" borderId="120" xfId="275" applyNumberFormat="1" applyFont="1" applyFill="1" applyBorder="1" applyAlignment="1">
      <alignment horizontal="center" vertical="center" wrapText="1"/>
    </xf>
    <xf numFmtId="0" fontId="17" fillId="0" borderId="116" xfId="275" applyBorder="1" applyAlignment="1">
      <alignment horizontal="center" vertical="center"/>
    </xf>
    <xf numFmtId="0" fontId="17" fillId="0" borderId="117" xfId="275" applyBorder="1" applyAlignment="1">
      <alignment horizontal="center" vertical="center"/>
    </xf>
    <xf numFmtId="58" fontId="17" fillId="27" borderId="96" xfId="275" applyNumberFormat="1" applyFont="1" applyFill="1" applyBorder="1" applyAlignment="1">
      <alignment horizontal="center" vertical="center" wrapText="1"/>
    </xf>
    <xf numFmtId="58" fontId="17" fillId="27" borderId="97" xfId="275" applyNumberFormat="1" applyFont="1" applyFill="1" applyBorder="1" applyAlignment="1">
      <alignment horizontal="center" vertical="center" wrapText="1"/>
    </xf>
    <xf numFmtId="0" fontId="24" fillId="0" borderId="105" xfId="275" applyFont="1" applyBorder="1" applyAlignment="1">
      <alignment horizontal="center" vertical="center"/>
    </xf>
    <xf numFmtId="0" fontId="24" fillId="0" borderId="106" xfId="275" applyFont="1" applyBorder="1" applyAlignment="1">
      <alignment horizontal="center" vertical="center"/>
    </xf>
    <xf numFmtId="0" fontId="24" fillId="0" borderId="109" xfId="275" applyFont="1" applyBorder="1" applyAlignment="1">
      <alignment horizontal="center" vertical="center"/>
    </xf>
    <xf numFmtId="0" fontId="24" fillId="0" borderId="110" xfId="275" applyFont="1" applyBorder="1" applyAlignment="1">
      <alignment horizontal="center" vertical="center"/>
    </xf>
    <xf numFmtId="58" fontId="21" fillId="24" borderId="98" xfId="275" applyNumberFormat="1" applyFont="1" applyFill="1" applyBorder="1" applyAlignment="1">
      <alignment horizontal="center" vertical="center" wrapText="1"/>
    </xf>
    <xf numFmtId="58" fontId="21" fillId="24" borderId="100" xfId="275" applyNumberFormat="1" applyFont="1" applyFill="1" applyBorder="1" applyAlignment="1">
      <alignment horizontal="center" vertical="center" wrapText="1"/>
    </xf>
    <xf numFmtId="58" fontId="21" fillId="24" borderId="101" xfId="275" applyNumberFormat="1" applyFont="1" applyFill="1" applyBorder="1" applyAlignment="1">
      <alignment horizontal="center" vertical="center" wrapText="1"/>
    </xf>
    <xf numFmtId="190" fontId="23" fillId="24" borderId="98" xfId="110" applyNumberFormat="1" applyFont="1" applyFill="1" applyBorder="1" applyAlignment="1">
      <alignment horizontal="center" vertical="center" wrapText="1"/>
    </xf>
    <xf numFmtId="190" fontId="23" fillId="24" borderId="101" xfId="110" applyNumberFormat="1" applyFont="1" applyFill="1" applyBorder="1" applyAlignment="1">
      <alignment horizontal="center" vertical="center" wrapText="1"/>
    </xf>
    <xf numFmtId="190" fontId="23" fillId="24" borderId="102" xfId="110" applyNumberFormat="1" applyFont="1" applyFill="1" applyBorder="1" applyAlignment="1">
      <alignment horizontal="center" vertical="center" wrapText="1"/>
    </xf>
    <xf numFmtId="190" fontId="23" fillId="24" borderId="112" xfId="110" applyNumberFormat="1" applyFont="1" applyFill="1" applyBorder="1" applyAlignment="1">
      <alignment horizontal="center" vertical="center" wrapText="1"/>
    </xf>
    <xf numFmtId="190" fontId="23" fillId="24" borderId="113" xfId="110" applyNumberFormat="1" applyFont="1" applyFill="1" applyBorder="1" applyAlignment="1">
      <alignment horizontal="center" vertical="center" wrapText="1"/>
    </xf>
    <xf numFmtId="190" fontId="23" fillId="24" borderId="114" xfId="110" applyNumberFormat="1" applyFont="1" applyFill="1" applyBorder="1" applyAlignment="1">
      <alignment horizontal="center" vertical="center" wrapText="1"/>
    </xf>
    <xf numFmtId="190" fontId="23" fillId="24" borderId="115" xfId="110" applyNumberFormat="1" applyFont="1" applyFill="1" applyBorder="1" applyAlignment="1">
      <alignment horizontal="center" vertical="center" wrapText="1"/>
    </xf>
    <xf numFmtId="192" fontId="1" fillId="23" borderId="53" xfId="110" applyNumberFormat="1" applyFont="1" applyFill="1" applyBorder="1" applyAlignment="1">
      <alignment horizontal="center" vertical="center" wrapText="1"/>
    </xf>
    <xf numFmtId="192" fontId="1" fillId="23" borderId="54" xfId="110" applyNumberFormat="1" applyFont="1" applyFill="1" applyBorder="1" applyAlignment="1">
      <alignment horizontal="center" vertical="center" wrapText="1"/>
    </xf>
    <xf numFmtId="0" fontId="17" fillId="22" borderId="5" xfId="275" applyFont="1" applyFill="1" applyBorder="1" applyAlignment="1">
      <alignment horizontal="left"/>
    </xf>
    <xf numFmtId="0" fontId="17" fillId="22" borderId="7" xfId="275" applyFont="1" applyFill="1" applyBorder="1" applyAlignment="1">
      <alignment horizontal="left"/>
    </xf>
    <xf numFmtId="0" fontId="17" fillId="22" borderId="6" xfId="275" applyFont="1" applyFill="1" applyBorder="1" applyAlignment="1">
      <alignment horizontal="left"/>
    </xf>
    <xf numFmtId="0" fontId="20" fillId="21" borderId="35" xfId="275" applyFont="1" applyFill="1" applyBorder="1" applyAlignment="1">
      <alignment horizontal="left" wrapText="1"/>
    </xf>
    <xf numFmtId="0" fontId="0" fillId="0" borderId="39" xfId="0" applyBorder="1" applyAlignment="1">
      <alignment horizontal="left"/>
    </xf>
    <xf numFmtId="187" fontId="19" fillId="23" borderId="40" xfId="275" applyNumberFormat="1" applyFont="1" applyFill="1" applyBorder="1" applyAlignment="1">
      <alignment horizontal="center" vertical="center"/>
    </xf>
    <xf numFmtId="187" fontId="19" fillId="23" borderId="41" xfId="275" applyNumberFormat="1" applyFont="1" applyFill="1" applyBorder="1" applyAlignment="1">
      <alignment horizontal="center" vertical="center"/>
    </xf>
    <xf numFmtId="0" fontId="21" fillId="25" borderId="49" xfId="275" applyFont="1" applyFill="1" applyBorder="1" applyAlignment="1">
      <alignment horizontal="center" vertical="center"/>
    </xf>
    <xf numFmtId="0" fontId="21" fillId="25" borderId="50" xfId="275" applyFont="1" applyFill="1" applyBorder="1" applyAlignment="1">
      <alignment horizontal="center" vertical="center"/>
    </xf>
    <xf numFmtId="0" fontId="1" fillId="19" borderId="1" xfId="235" applyFont="1" applyFill="1" applyBorder="1" applyAlignment="1">
      <alignment horizontal="center" vertical="center" wrapText="1"/>
    </xf>
    <xf numFmtId="0" fontId="1" fillId="11" borderId="31" xfId="235" applyFont="1" applyFill="1" applyBorder="1" applyAlignment="1">
      <alignment horizontal="left" vertical="center" wrapText="1"/>
    </xf>
    <xf numFmtId="0" fontId="1" fillId="11" borderId="32" xfId="235" applyFont="1" applyFill="1" applyBorder="1" applyAlignment="1">
      <alignment horizontal="left" vertical="center" wrapText="1"/>
    </xf>
    <xf numFmtId="0" fontId="1" fillId="11" borderId="36" xfId="235" applyFont="1" applyFill="1" applyBorder="1" applyAlignment="1">
      <alignment horizontal="left" vertical="center" wrapText="1"/>
    </xf>
    <xf numFmtId="0" fontId="1" fillId="11" borderId="33" xfId="235" applyFont="1" applyFill="1" applyBorder="1" applyAlignment="1">
      <alignment horizontal="left" vertical="center" wrapText="1"/>
    </xf>
    <xf numFmtId="0" fontId="1" fillId="11" borderId="0" xfId="235" applyFont="1" applyFill="1" applyBorder="1" applyAlignment="1">
      <alignment horizontal="left" vertical="center" wrapText="1"/>
    </xf>
    <xf numFmtId="0" fontId="1" fillId="11" borderId="37" xfId="235" applyFont="1" applyFill="1" applyBorder="1" applyAlignment="1">
      <alignment horizontal="left" vertical="center" wrapText="1"/>
    </xf>
    <xf numFmtId="0" fontId="1" fillId="11" borderId="34" xfId="235" applyFont="1" applyFill="1" applyBorder="1" applyAlignment="1">
      <alignment horizontal="left" vertical="center" wrapText="1"/>
    </xf>
    <xf numFmtId="0" fontId="1" fillId="11" borderId="35" xfId="235" applyFont="1" applyFill="1" applyBorder="1" applyAlignment="1">
      <alignment horizontal="left" vertical="center" wrapText="1"/>
    </xf>
    <xf numFmtId="0" fontId="1" fillId="11" borderId="38" xfId="235" applyFont="1" applyFill="1" applyBorder="1" applyAlignment="1">
      <alignment horizontal="left" vertical="center" wrapText="1"/>
    </xf>
    <xf numFmtId="0" fontId="1" fillId="16" borderId="1" xfId="235" applyFont="1" applyFill="1" applyBorder="1" applyAlignment="1">
      <alignment horizontal="center" vertical="center" wrapText="1"/>
    </xf>
    <xf numFmtId="0" fontId="14" fillId="17" borderId="1" xfId="235" applyFont="1" applyFill="1" applyBorder="1" applyAlignment="1">
      <alignment horizontal="center" vertical="center" wrapText="1"/>
    </xf>
    <xf numFmtId="0" fontId="1" fillId="17" borderId="8" xfId="235" applyFont="1" applyFill="1" applyBorder="1" applyAlignment="1">
      <alignment horizontal="center" vertical="center" wrapText="1"/>
    </xf>
    <xf numFmtId="0" fontId="1" fillId="17" borderId="30" xfId="235" applyFont="1" applyFill="1" applyBorder="1" applyAlignment="1">
      <alignment horizontal="center" vertical="center" wrapText="1"/>
    </xf>
    <xf numFmtId="0" fontId="1" fillId="17" borderId="1" xfId="235" applyFont="1" applyFill="1" applyBorder="1" applyAlignment="1">
      <alignment horizontal="center" vertical="center" wrapText="1"/>
    </xf>
    <xf numFmtId="0" fontId="12" fillId="14" borderId="23" xfId="282" applyFont="1" applyFill="1" applyBorder="1" applyAlignment="1">
      <alignment horizontal="left" vertical="top" wrapText="1" readingOrder="1"/>
    </xf>
    <xf numFmtId="0" fontId="12" fillId="14" borderId="24" xfId="282" applyFont="1" applyFill="1" applyBorder="1" applyAlignment="1">
      <alignment horizontal="left" vertical="top" wrapText="1" readingOrder="1"/>
    </xf>
    <xf numFmtId="0" fontId="12" fillId="14" borderId="22" xfId="282" applyFont="1" applyFill="1" applyBorder="1" applyAlignment="1">
      <alignment horizontal="left" vertical="top" wrapText="1" readingOrder="1"/>
    </xf>
    <xf numFmtId="0" fontId="12" fillId="15" borderId="27" xfId="282" applyFont="1" applyFill="1" applyBorder="1" applyAlignment="1">
      <alignment vertical="center" wrapText="1" readingOrder="1"/>
    </xf>
    <xf numFmtId="0" fontId="12" fillId="15" borderId="28" xfId="282" applyFont="1" applyFill="1" applyBorder="1" applyAlignment="1">
      <alignment vertical="center" wrapText="1" readingOrder="1"/>
    </xf>
    <xf numFmtId="0" fontId="12" fillId="15" borderId="26" xfId="282" applyFont="1" applyFill="1" applyBorder="1" applyAlignment="1">
      <alignment vertical="center" wrapText="1" readingOrder="1"/>
    </xf>
    <xf numFmtId="0" fontId="2" fillId="0" borderId="0" xfId="282" applyFont="1" applyAlignment="1">
      <alignment horizontal="left" vertical="top" wrapText="1"/>
    </xf>
    <xf numFmtId="0" fontId="13" fillId="0" borderId="0" xfId="282" applyAlignment="1">
      <alignment horizontal="left" vertical="top" wrapText="1"/>
    </xf>
    <xf numFmtId="0" fontId="11" fillId="13" borderId="19" xfId="282" applyFont="1" applyFill="1" applyBorder="1" applyAlignment="1">
      <alignment horizontal="center" vertical="center" wrapText="1" readingOrder="1"/>
    </xf>
    <xf numFmtId="0" fontId="11" fillId="13" borderId="20" xfId="282" applyFont="1" applyFill="1" applyBorder="1" applyAlignment="1">
      <alignment horizontal="center" vertical="center" wrapText="1" readingOrder="1"/>
    </xf>
    <xf numFmtId="0" fontId="11" fillId="13" borderId="18" xfId="282" applyFont="1" applyFill="1" applyBorder="1" applyAlignment="1">
      <alignment horizontal="center" vertical="center" wrapText="1" readingOrder="1"/>
    </xf>
  </cellXfs>
  <cellStyles count="328">
    <cellStyle name="_Yanlian-CRS-CMMI ML4-SERVICE PLAN_20080408" xfId="40" xr:uid="{00000000-0005-0000-0000-000000000000}"/>
    <cellStyle name="_Yanlian-CRS-CMMI ML4-SERVICE PLAN_20080408 2" xfId="19" xr:uid="{00000000-0005-0000-0000-000001000000}"/>
    <cellStyle name="_项目度量管理模版323" xfId="44" xr:uid="{00000000-0005-0000-0000-000002000000}"/>
    <cellStyle name="_项目度量管理模版323 2" xfId="35" xr:uid="{00000000-0005-0000-0000-000003000000}"/>
    <cellStyle name="_项目预算模板(成本)" xfId="16" xr:uid="{00000000-0005-0000-0000-000004000000}"/>
    <cellStyle name="_项目预算模板(成本) 2" xfId="45" xr:uid="{00000000-0005-0000-0000-000005000000}"/>
    <cellStyle name="0,0_x000d__x000a_NA_x000d__x000a_" xfId="15" xr:uid="{00000000-0005-0000-0000-000006000000}"/>
    <cellStyle name="0,0_x000d__x000a_NA_x000d__x000a_ 2" xfId="48" xr:uid="{00000000-0005-0000-0000-000007000000}"/>
    <cellStyle name="20% - Accent1" xfId="42" xr:uid="{00000000-0005-0000-0000-000008000000}"/>
    <cellStyle name="20% - Accent1 2" xfId="32" xr:uid="{00000000-0005-0000-0000-000009000000}"/>
    <cellStyle name="20% - Accent2" xfId="27" xr:uid="{00000000-0005-0000-0000-00000A000000}"/>
    <cellStyle name="20% - Accent2 2" xfId="22" xr:uid="{00000000-0005-0000-0000-00000B000000}"/>
    <cellStyle name="20% - Accent3" xfId="29" xr:uid="{00000000-0005-0000-0000-00000C000000}"/>
    <cellStyle name="20% - Accent3 2" xfId="25" xr:uid="{00000000-0005-0000-0000-00000D000000}"/>
    <cellStyle name="20% - Accent4" xfId="3" xr:uid="{00000000-0005-0000-0000-00000E000000}"/>
    <cellStyle name="20% - Accent4 2" xfId="50" xr:uid="{00000000-0005-0000-0000-00000F000000}"/>
    <cellStyle name="20% - Accent5" xfId="51" xr:uid="{00000000-0005-0000-0000-000010000000}"/>
    <cellStyle name="20% - Accent5 2" xfId="52" xr:uid="{00000000-0005-0000-0000-000011000000}"/>
    <cellStyle name="20% - Accent6" xfId="53" xr:uid="{00000000-0005-0000-0000-000012000000}"/>
    <cellStyle name="20% - Accent6 2" xfId="54" xr:uid="{00000000-0005-0000-0000-000013000000}"/>
    <cellStyle name="20% - 强调文字颜色 1 2" xfId="55" xr:uid="{00000000-0005-0000-0000-000014000000}"/>
    <cellStyle name="20% - 强调文字颜色 2 2" xfId="57" xr:uid="{00000000-0005-0000-0000-000015000000}"/>
    <cellStyle name="20% - 强调文字颜色 3 2" xfId="59" xr:uid="{00000000-0005-0000-0000-000016000000}"/>
    <cellStyle name="20% - 强调文字颜色 4 2" xfId="61" xr:uid="{00000000-0005-0000-0000-000017000000}"/>
    <cellStyle name="20% - 强调文字颜色 5 2" xfId="63" xr:uid="{00000000-0005-0000-0000-000018000000}"/>
    <cellStyle name="20% - 强调文字颜色 6 2" xfId="64" xr:uid="{00000000-0005-0000-0000-000019000000}"/>
    <cellStyle name="40% - Accent1" xfId="65" xr:uid="{00000000-0005-0000-0000-00001A000000}"/>
    <cellStyle name="40% - Accent1 2" xfId="66" xr:uid="{00000000-0005-0000-0000-00001B000000}"/>
    <cellStyle name="40% - Accent2" xfId="67" xr:uid="{00000000-0005-0000-0000-00001C000000}"/>
    <cellStyle name="40% - Accent2 2" xfId="68" xr:uid="{00000000-0005-0000-0000-00001D000000}"/>
    <cellStyle name="40% - Accent3" xfId="69" xr:uid="{00000000-0005-0000-0000-00001E000000}"/>
    <cellStyle name="40% - Accent3 2" xfId="70" xr:uid="{00000000-0005-0000-0000-00001F000000}"/>
    <cellStyle name="40% - Accent4" xfId="73" xr:uid="{00000000-0005-0000-0000-000020000000}"/>
    <cellStyle name="40% - Accent4 2" xfId="76" xr:uid="{00000000-0005-0000-0000-000021000000}"/>
    <cellStyle name="40% - Accent5" xfId="78" xr:uid="{00000000-0005-0000-0000-000022000000}"/>
    <cellStyle name="40% - Accent5 2" xfId="79" xr:uid="{00000000-0005-0000-0000-000023000000}"/>
    <cellStyle name="40% - Accent6" xfId="81" xr:uid="{00000000-0005-0000-0000-000024000000}"/>
    <cellStyle name="40% - Accent6 2" xfId="83" xr:uid="{00000000-0005-0000-0000-000025000000}"/>
    <cellStyle name="40% - 强调文字颜色 1 2" xfId="85" xr:uid="{00000000-0005-0000-0000-000026000000}"/>
    <cellStyle name="40% - 强调文字颜色 2 2" xfId="86" xr:uid="{00000000-0005-0000-0000-000027000000}"/>
    <cellStyle name="40% - 强调文字颜色 3 2" xfId="87" xr:uid="{00000000-0005-0000-0000-000028000000}"/>
    <cellStyle name="40% - 强调文字颜色 4 2" xfId="21" xr:uid="{00000000-0005-0000-0000-000029000000}"/>
    <cellStyle name="40% - 强调文字颜色 5 2" xfId="88" xr:uid="{00000000-0005-0000-0000-00002A000000}"/>
    <cellStyle name="40% - 强调文字颜色 6 2" xfId="89" xr:uid="{00000000-0005-0000-0000-00002B000000}"/>
    <cellStyle name="60% - Accent1" xfId="90" xr:uid="{00000000-0005-0000-0000-00002C000000}"/>
    <cellStyle name="60% - Accent1 2" xfId="91" xr:uid="{00000000-0005-0000-0000-00002D000000}"/>
    <cellStyle name="60% - Accent2" xfId="94" xr:uid="{00000000-0005-0000-0000-00002E000000}"/>
    <cellStyle name="60% - Accent2 2" xfId="96" xr:uid="{00000000-0005-0000-0000-00002F000000}"/>
    <cellStyle name="60% - Accent3" xfId="98" xr:uid="{00000000-0005-0000-0000-000030000000}"/>
    <cellStyle name="60% - Accent3 2" xfId="101" xr:uid="{00000000-0005-0000-0000-000031000000}"/>
    <cellStyle name="60% - Accent4" xfId="103" xr:uid="{00000000-0005-0000-0000-000032000000}"/>
    <cellStyle name="60% - Accent4 2" xfId="105" xr:uid="{00000000-0005-0000-0000-000033000000}"/>
    <cellStyle name="60% - Accent5" xfId="108" xr:uid="{00000000-0005-0000-0000-000034000000}"/>
    <cellStyle name="60% - Accent5 2" xfId="109" xr:uid="{00000000-0005-0000-0000-000035000000}"/>
    <cellStyle name="60% - Accent6" xfId="111" xr:uid="{00000000-0005-0000-0000-000036000000}"/>
    <cellStyle name="60% - Accent6 2" xfId="112" xr:uid="{00000000-0005-0000-0000-000037000000}"/>
    <cellStyle name="60% - 强调文字颜色 1 2" xfId="114" xr:uid="{00000000-0005-0000-0000-000038000000}"/>
    <cellStyle name="60% - 强调文字颜色 2 2" xfId="116" xr:uid="{00000000-0005-0000-0000-000039000000}"/>
    <cellStyle name="60% - 强调文字颜色 3 2" xfId="117" xr:uid="{00000000-0005-0000-0000-00003A000000}"/>
    <cellStyle name="60% - 强调文字颜色 4 2" xfId="119" xr:uid="{00000000-0005-0000-0000-00003B000000}"/>
    <cellStyle name="60% - 强调文字颜色 5 2" xfId="120" xr:uid="{00000000-0005-0000-0000-00003C000000}"/>
    <cellStyle name="60% - 强调文字颜色 6 2" xfId="121" xr:uid="{00000000-0005-0000-0000-00003D000000}"/>
    <cellStyle name="Accent1" xfId="123" xr:uid="{00000000-0005-0000-0000-00003E000000}"/>
    <cellStyle name="Accent1 - 20%" xfId="41" xr:uid="{00000000-0005-0000-0000-00003F000000}"/>
    <cellStyle name="Accent1 - 20% 2" xfId="31" xr:uid="{00000000-0005-0000-0000-000040000000}"/>
    <cellStyle name="Accent1 - 40%" xfId="124" xr:uid="{00000000-0005-0000-0000-000041000000}"/>
    <cellStyle name="Accent1 - 40% 2" xfId="125" xr:uid="{00000000-0005-0000-0000-000042000000}"/>
    <cellStyle name="Accent1 - 60%" xfId="126" xr:uid="{00000000-0005-0000-0000-000043000000}"/>
    <cellStyle name="Accent1 - 60% 2" xfId="128" xr:uid="{00000000-0005-0000-0000-000044000000}"/>
    <cellStyle name="Accent1 2" xfId="129" xr:uid="{00000000-0005-0000-0000-000045000000}"/>
    <cellStyle name="Accent2" xfId="132" xr:uid="{00000000-0005-0000-0000-000046000000}"/>
    <cellStyle name="Accent2 - 20%" xfId="133" xr:uid="{00000000-0005-0000-0000-000047000000}"/>
    <cellStyle name="Accent2 - 20% 2" xfId="134" xr:uid="{00000000-0005-0000-0000-000048000000}"/>
    <cellStyle name="Accent2 - 40%" xfId="1" xr:uid="{00000000-0005-0000-0000-000049000000}"/>
    <cellStyle name="Accent2 - 40% 2" xfId="30" xr:uid="{00000000-0005-0000-0000-00004A000000}"/>
    <cellStyle name="Accent2 - 60%" xfId="7" xr:uid="{00000000-0005-0000-0000-00004B000000}"/>
    <cellStyle name="Accent2 - 60% 2" xfId="136" xr:uid="{00000000-0005-0000-0000-00004C000000}"/>
    <cellStyle name="Accent2 2" xfId="138" xr:uid="{00000000-0005-0000-0000-00004D000000}"/>
    <cellStyle name="Accent2 3" xfId="139" xr:uid="{00000000-0005-0000-0000-00004E000000}"/>
    <cellStyle name="Accent3" xfId="140" xr:uid="{00000000-0005-0000-0000-00004F000000}"/>
    <cellStyle name="Accent3 - 20%" xfId="142" xr:uid="{00000000-0005-0000-0000-000050000000}"/>
    <cellStyle name="Accent3 - 20% 2" xfId="143" xr:uid="{00000000-0005-0000-0000-000051000000}"/>
    <cellStyle name="Accent3 - 40%" xfId="144" xr:uid="{00000000-0005-0000-0000-000052000000}"/>
    <cellStyle name="Accent3 - 40% 2" xfId="145" xr:uid="{00000000-0005-0000-0000-000053000000}"/>
    <cellStyle name="Accent3 - 60%" xfId="147" xr:uid="{00000000-0005-0000-0000-000054000000}"/>
    <cellStyle name="Accent3 - 60% 2" xfId="148" xr:uid="{00000000-0005-0000-0000-000055000000}"/>
    <cellStyle name="Accent3 2" xfId="149" xr:uid="{00000000-0005-0000-0000-000056000000}"/>
    <cellStyle name="Accent4" xfId="150" xr:uid="{00000000-0005-0000-0000-000057000000}"/>
    <cellStyle name="Accent4 - 20%" xfId="152" xr:uid="{00000000-0005-0000-0000-000058000000}"/>
    <cellStyle name="Accent4 - 20% 2" xfId="153" xr:uid="{00000000-0005-0000-0000-000059000000}"/>
    <cellStyle name="Accent4 - 40%" xfId="154" xr:uid="{00000000-0005-0000-0000-00005A000000}"/>
    <cellStyle name="Accent4 - 40% 2" xfId="157" xr:uid="{00000000-0005-0000-0000-00005B000000}"/>
    <cellStyle name="Accent4 - 60%" xfId="158" xr:uid="{00000000-0005-0000-0000-00005C000000}"/>
    <cellStyle name="Accent4 - 60% 2" xfId="159" xr:uid="{00000000-0005-0000-0000-00005D000000}"/>
    <cellStyle name="Accent4 2" xfId="161" xr:uid="{00000000-0005-0000-0000-00005E000000}"/>
    <cellStyle name="Accent5" xfId="162" xr:uid="{00000000-0005-0000-0000-00005F000000}"/>
    <cellStyle name="Accent5 - 20%" xfId="163" xr:uid="{00000000-0005-0000-0000-000060000000}"/>
    <cellStyle name="Accent5 - 20% 2" xfId="164" xr:uid="{00000000-0005-0000-0000-000061000000}"/>
    <cellStyle name="Accent5 - 40%" xfId="165" xr:uid="{00000000-0005-0000-0000-000062000000}"/>
    <cellStyle name="Accent5 - 40% 2" xfId="167" xr:uid="{00000000-0005-0000-0000-000063000000}"/>
    <cellStyle name="Accent5 - 60%" xfId="169" xr:uid="{00000000-0005-0000-0000-000064000000}"/>
    <cellStyle name="Accent5 - 60% 2" xfId="171" xr:uid="{00000000-0005-0000-0000-000065000000}"/>
    <cellStyle name="Accent5 2" xfId="141" xr:uid="{00000000-0005-0000-0000-000066000000}"/>
    <cellStyle name="Accent6" xfId="160" xr:uid="{00000000-0005-0000-0000-000067000000}"/>
    <cellStyle name="Accent6 - 20%" xfId="172" xr:uid="{00000000-0005-0000-0000-000068000000}"/>
    <cellStyle name="Accent6 - 20% 2" xfId="173" xr:uid="{00000000-0005-0000-0000-000069000000}"/>
    <cellStyle name="Accent6 - 40%" xfId="156" xr:uid="{00000000-0005-0000-0000-00006A000000}"/>
    <cellStyle name="Accent6 - 40% 2" xfId="174" xr:uid="{00000000-0005-0000-0000-00006B000000}"/>
    <cellStyle name="Accent6 - 60%" xfId="175" xr:uid="{00000000-0005-0000-0000-00006C000000}"/>
    <cellStyle name="Accent6 - 60% 2" xfId="2" xr:uid="{00000000-0005-0000-0000-00006D000000}"/>
    <cellStyle name="Accent6 2" xfId="17" xr:uid="{00000000-0005-0000-0000-00006E000000}"/>
    <cellStyle name="Bad" xfId="100" xr:uid="{00000000-0005-0000-0000-00006F000000}"/>
    <cellStyle name="Bad 2" xfId="176" xr:uid="{00000000-0005-0000-0000-000070000000}"/>
    <cellStyle name="Calc Currency (0)" xfId="177" xr:uid="{00000000-0005-0000-0000-000071000000}"/>
    <cellStyle name="Calc Currency (0) 2" xfId="178" xr:uid="{00000000-0005-0000-0000-000072000000}"/>
    <cellStyle name="Calculation" xfId="43" xr:uid="{00000000-0005-0000-0000-000073000000}"/>
    <cellStyle name="Calculation 2" xfId="34" xr:uid="{00000000-0005-0000-0000-000074000000}"/>
    <cellStyle name="Check Cell" xfId="180" xr:uid="{00000000-0005-0000-0000-000075000000}"/>
    <cellStyle name="Check Cell 2" xfId="182" xr:uid="{00000000-0005-0000-0000-000076000000}"/>
    <cellStyle name="Emphasis 1" xfId="10" xr:uid="{00000000-0005-0000-0000-000077000000}"/>
    <cellStyle name="Emphasis 1 2" xfId="146" xr:uid="{00000000-0005-0000-0000-000078000000}"/>
    <cellStyle name="Emphasis 2" xfId="183" xr:uid="{00000000-0005-0000-0000-000079000000}"/>
    <cellStyle name="Emphasis 2 2" xfId="39" xr:uid="{00000000-0005-0000-0000-00007A000000}"/>
    <cellStyle name="Emphasis 3" xfId="184" xr:uid="{00000000-0005-0000-0000-00007B000000}"/>
    <cellStyle name="Emphasis 3 2" xfId="185" xr:uid="{00000000-0005-0000-0000-00007C000000}"/>
    <cellStyle name="Explanatory Text" xfId="187" xr:uid="{00000000-0005-0000-0000-00007D000000}"/>
    <cellStyle name="Explanatory Text 2" xfId="189" xr:uid="{00000000-0005-0000-0000-00007E000000}"/>
    <cellStyle name="Good" xfId="192" xr:uid="{00000000-0005-0000-0000-00007F000000}"/>
    <cellStyle name="Good 2" xfId="193" xr:uid="{00000000-0005-0000-0000-000080000000}"/>
    <cellStyle name="Grey" xfId="47" xr:uid="{00000000-0005-0000-0000-000081000000}"/>
    <cellStyle name="Grey 2" xfId="194" xr:uid="{00000000-0005-0000-0000-000082000000}"/>
    <cellStyle name="Header1" xfId="196" xr:uid="{00000000-0005-0000-0000-000083000000}"/>
    <cellStyle name="Header2" xfId="197" xr:uid="{00000000-0005-0000-0000-000084000000}"/>
    <cellStyle name="Heading 1" xfId="200" xr:uid="{00000000-0005-0000-0000-000085000000}"/>
    <cellStyle name="Heading 1 2" xfId="202" xr:uid="{00000000-0005-0000-0000-000086000000}"/>
    <cellStyle name="Heading 2" xfId="58" xr:uid="{00000000-0005-0000-0000-000087000000}"/>
    <cellStyle name="Heading 2 2" xfId="203" xr:uid="{00000000-0005-0000-0000-000088000000}"/>
    <cellStyle name="Heading 3" xfId="24" xr:uid="{00000000-0005-0000-0000-000089000000}"/>
    <cellStyle name="Heading 3 2" xfId="38" xr:uid="{00000000-0005-0000-0000-00008A000000}"/>
    <cellStyle name="Heading 4" xfId="113" xr:uid="{00000000-0005-0000-0000-00008B000000}"/>
    <cellStyle name="Heading 4 2" xfId="204" xr:uid="{00000000-0005-0000-0000-00008C000000}"/>
    <cellStyle name="Input" xfId="20" xr:uid="{00000000-0005-0000-0000-00008D000000}"/>
    <cellStyle name="Input [yellow]" xfId="205" xr:uid="{00000000-0005-0000-0000-00008E000000}"/>
    <cellStyle name="Input [yellow] 2" xfId="206" xr:uid="{00000000-0005-0000-0000-00008F000000}"/>
    <cellStyle name="Input 2" xfId="5" xr:uid="{00000000-0005-0000-0000-000090000000}"/>
    <cellStyle name="Input_2011年佰钧成组织度量数据表-提交" xfId="207" xr:uid="{00000000-0005-0000-0000-000091000000}"/>
    <cellStyle name="Linked Cell" xfId="209" xr:uid="{00000000-0005-0000-0000-000092000000}"/>
    <cellStyle name="Linked Cell 2" xfId="210" xr:uid="{00000000-0005-0000-0000-000093000000}"/>
    <cellStyle name="LISAM" xfId="195" xr:uid="{00000000-0005-0000-0000-000094000000}"/>
    <cellStyle name="LISAM 2" xfId="131" xr:uid="{00000000-0005-0000-0000-000095000000}"/>
    <cellStyle name="Milliers [0]_1" xfId="211" xr:uid="{00000000-0005-0000-0000-000096000000}"/>
    <cellStyle name="Milliers_1" xfId="213" xr:uid="{00000000-0005-0000-0000-000097000000}"/>
    <cellStyle name="Mon閠aire [0]_1OP" xfId="214" xr:uid="{00000000-0005-0000-0000-000098000000}"/>
    <cellStyle name="Mon閠aire_10]" xfId="216" xr:uid="{00000000-0005-0000-0000-000099000000}"/>
    <cellStyle name="Neutral" xfId="118" xr:uid="{00000000-0005-0000-0000-00009A000000}"/>
    <cellStyle name="Neutral 2" xfId="217" xr:uid="{00000000-0005-0000-0000-00009B000000}"/>
    <cellStyle name="no dec" xfId="33" xr:uid="{00000000-0005-0000-0000-00009C000000}"/>
    <cellStyle name="no dec 2" xfId="220" xr:uid="{00000000-0005-0000-0000-00009D000000}"/>
    <cellStyle name="Normal - Style1" xfId="72" xr:uid="{00000000-0005-0000-0000-00009E000000}"/>
    <cellStyle name="Normal - Style1 2" xfId="75" xr:uid="{00000000-0005-0000-0000-00009F000000}"/>
    <cellStyle name="Normal_#18-Internet" xfId="84" xr:uid="{00000000-0005-0000-0000-0000A0000000}"/>
    <cellStyle name="Note" xfId="221" xr:uid="{00000000-0005-0000-0000-0000A1000000}"/>
    <cellStyle name="Note 2" xfId="223" xr:uid="{00000000-0005-0000-0000-0000A2000000}"/>
    <cellStyle name="Output" xfId="224" xr:uid="{00000000-0005-0000-0000-0000A3000000}"/>
    <cellStyle name="Output 2" xfId="225" xr:uid="{00000000-0005-0000-0000-0000A4000000}"/>
    <cellStyle name="Percent [2]" xfId="226" xr:uid="{00000000-0005-0000-0000-0000A5000000}"/>
    <cellStyle name="Percent [2] 2" xfId="227" xr:uid="{00000000-0005-0000-0000-0000A6000000}"/>
    <cellStyle name="Sheet Title" xfId="166" xr:uid="{00000000-0005-0000-0000-0000A7000000}"/>
    <cellStyle name="Sheet Title 2" xfId="228" xr:uid="{00000000-0005-0000-0000-0000A8000000}"/>
    <cellStyle name="style" xfId="229" xr:uid="{00000000-0005-0000-0000-0000A9000000}"/>
    <cellStyle name="Style 1" xfId="231" xr:uid="{00000000-0005-0000-0000-0000AA000000}"/>
    <cellStyle name="Style 1 2" xfId="232" xr:uid="{00000000-0005-0000-0000-0000AB000000}"/>
    <cellStyle name="style 2" xfId="233" xr:uid="{00000000-0005-0000-0000-0000AC000000}"/>
    <cellStyle name="style1" xfId="234" xr:uid="{00000000-0005-0000-0000-0000AD000000}"/>
    <cellStyle name="style2" xfId="219" xr:uid="{00000000-0005-0000-0000-0000AE000000}"/>
    <cellStyle name="Title" xfId="236" xr:uid="{00000000-0005-0000-0000-0000AF000000}"/>
    <cellStyle name="Title 2" xfId="93" xr:uid="{00000000-0005-0000-0000-0000B0000000}"/>
    <cellStyle name="Total" xfId="237" xr:uid="{00000000-0005-0000-0000-0000B1000000}"/>
    <cellStyle name="Total 2" xfId="238" xr:uid="{00000000-0005-0000-0000-0000B2000000}"/>
    <cellStyle name="Warning Text" xfId="218" xr:uid="{00000000-0005-0000-0000-0000B3000000}"/>
    <cellStyle name="Warning Text 2" xfId="239" xr:uid="{00000000-0005-0000-0000-0000B4000000}"/>
    <cellStyle name="ハイパーリンク" xfId="71" xr:uid="{00000000-0005-0000-0000-0000B5000000}"/>
    <cellStyle name="ハイパーリンク 2" xfId="74" xr:uid="{00000000-0005-0000-0000-0000B6000000}"/>
    <cellStyle name="百分比 2" xfId="241" xr:uid="{00000000-0005-0000-0000-0000B7000000}"/>
    <cellStyle name="百分比 2 2" xfId="242" xr:uid="{00000000-0005-0000-0000-0000B8000000}"/>
    <cellStyle name="百分比 2 2 2" xfId="151" xr:uid="{00000000-0005-0000-0000-0000B9000000}"/>
    <cellStyle name="百分比 2 3" xfId="243" xr:uid="{00000000-0005-0000-0000-0000BA000000}"/>
    <cellStyle name="百分比 3" xfId="244" xr:uid="{00000000-0005-0000-0000-0000BB000000}"/>
    <cellStyle name="百分比 4" xfId="13" xr:uid="{00000000-0005-0000-0000-0000BC000000}"/>
    <cellStyle name="百分比 5" xfId="14" xr:uid="{00000000-0005-0000-0000-0000BD000000}"/>
    <cellStyle name="版本" xfId="245" xr:uid="{00000000-0005-0000-0000-0000BE000000}"/>
    <cellStyle name="捠壿 [0.00]_1997 Turns杮" xfId="246" xr:uid="{00000000-0005-0000-0000-0000BF000000}"/>
    <cellStyle name="捠壿_1997 Turns7 Tu" xfId="247" xr:uid="{00000000-0005-0000-0000-0000C0000000}"/>
    <cellStyle name="标题 1 1" xfId="249" xr:uid="{00000000-0005-0000-0000-0000C1000000}"/>
    <cellStyle name="标题 1 2" xfId="250" xr:uid="{00000000-0005-0000-0000-0000C2000000}"/>
    <cellStyle name="标题 2 1" xfId="252" xr:uid="{00000000-0005-0000-0000-0000C3000000}"/>
    <cellStyle name="标题 2 2" xfId="46" xr:uid="{00000000-0005-0000-0000-0000C4000000}"/>
    <cellStyle name="标题 3 2" xfId="253" xr:uid="{00000000-0005-0000-0000-0000C5000000}"/>
    <cellStyle name="标题 4 2" xfId="254" xr:uid="{00000000-0005-0000-0000-0000C6000000}"/>
    <cellStyle name="标题 5" xfId="222" xr:uid="{00000000-0005-0000-0000-0000C7000000}"/>
    <cellStyle name="標準_22_画面設計書" xfId="255" xr:uid="{00000000-0005-0000-0000-0000C8000000}"/>
    <cellStyle name="表示済みのハイパーリンク" xfId="256" xr:uid="{00000000-0005-0000-0000-0000C9000000}"/>
    <cellStyle name="表示済みのハイパーリンク 2" xfId="18" xr:uid="{00000000-0005-0000-0000-0000CA000000}"/>
    <cellStyle name="差 2" xfId="257" xr:uid="{00000000-0005-0000-0000-0000CB000000}"/>
    <cellStyle name="差_CIENET-CRS-CMMI ML5-SERVICE PLAN_20071027" xfId="259" xr:uid="{00000000-0005-0000-0000-0000CC000000}"/>
    <cellStyle name="差_CIENET-CRS-CMMI ML5-SERVICE PLAN_20071027 2" xfId="260" xr:uid="{00000000-0005-0000-0000-0000CD000000}"/>
    <cellStyle name="差_CIENET-CRS-CMMI ML5-SERVICE PLAN_20071209" xfId="261" xr:uid="{00000000-0005-0000-0000-0000CE000000}"/>
    <cellStyle name="差_CIENET-CRS-CMMI ML5-SERVICE PLAN_20071209 2" xfId="230" xr:uid="{00000000-0005-0000-0000-0000CF000000}"/>
    <cellStyle name="差_MySoft-CRS-CMMI ML3-ServicePlan-20080118" xfId="199" xr:uid="{00000000-0005-0000-0000-0000D0000000}"/>
    <cellStyle name="差_MySoft-CRS-CMMI ML3-ServicePlan-20080118 2" xfId="201" xr:uid="{00000000-0005-0000-0000-0000D1000000}"/>
    <cellStyle name="差_NEWYULONG-CRS-CMMI ML5-SERVICE PLAN_20071125" xfId="248" xr:uid="{00000000-0005-0000-0000-0000D2000000}"/>
    <cellStyle name="差_NEWYULONG-CRS-CMMI ML5-SERVICE PLAN_20071125 2" xfId="262" xr:uid="{00000000-0005-0000-0000-0000D3000000}"/>
    <cellStyle name="差_PROJ-04-T02C 项目里程碑报告" xfId="263" xr:uid="{00000000-0005-0000-0000-0000D4000000}"/>
    <cellStyle name="差_PROJ-04-T02C 项目里程碑报告 2" xfId="264" xr:uid="{00000000-0005-0000-0000-0000D5000000}"/>
    <cellStyle name="差_REF-TEMP-PMC-项目周报" xfId="265" xr:uid="{00000000-0005-0000-0000-0000D6000000}"/>
    <cellStyle name="差_REF-TEMP-PMC-项目周报 2" xfId="212" xr:uid="{00000000-0005-0000-0000-0000D7000000}"/>
    <cellStyle name="差_YD_OPM_STANDARD_OSSP过程文档体系文件编写规范_样式" xfId="266" xr:uid="{00000000-0005-0000-0000-0000D8000000}"/>
    <cellStyle name="差_YD_OPM_STANDARD_OSSP过程文档体系文件编写规范_样式 2" xfId="267" xr:uid="{00000000-0005-0000-0000-0000D9000000}"/>
    <cellStyle name="差_决策分析" xfId="269" xr:uid="{00000000-0005-0000-0000-0000DA000000}"/>
    <cellStyle name="差_决策分析 2" xfId="26" xr:uid="{00000000-0005-0000-0000-0000DB000000}"/>
    <cellStyle name="常规" xfId="0" builtinId="0"/>
    <cellStyle name="常规 10" xfId="191" xr:uid="{00000000-0005-0000-0000-0000DD000000}"/>
    <cellStyle name="常规 11" xfId="270" xr:uid="{00000000-0005-0000-0000-0000DE000000}"/>
    <cellStyle name="常规 12" xfId="168" xr:uid="{00000000-0005-0000-0000-0000DF000000}"/>
    <cellStyle name="常规 12 2" xfId="170" xr:uid="{00000000-0005-0000-0000-0000E0000000}"/>
    <cellStyle name="常规 13" xfId="272" xr:uid="{00000000-0005-0000-0000-0000E1000000}"/>
    <cellStyle name="常规 13 2" xfId="258" xr:uid="{00000000-0005-0000-0000-0000E2000000}"/>
    <cellStyle name="常规 14" xfId="273" xr:uid="{00000000-0005-0000-0000-0000E3000000}"/>
    <cellStyle name="常规 14 2" xfId="274" xr:uid="{00000000-0005-0000-0000-0000E4000000}"/>
    <cellStyle name="常规 15" xfId="179" xr:uid="{00000000-0005-0000-0000-0000E5000000}"/>
    <cellStyle name="常规 16" xfId="275" xr:uid="{00000000-0005-0000-0000-0000E6000000}"/>
    <cellStyle name="常规 2" xfId="235" xr:uid="{00000000-0005-0000-0000-0000E7000000}"/>
    <cellStyle name="常规 2 2" xfId="92" xr:uid="{00000000-0005-0000-0000-0000E8000000}"/>
    <cellStyle name="常规 2 2 12" xfId="276" xr:uid="{00000000-0005-0000-0000-0000E9000000}"/>
    <cellStyle name="常规 2 2 2" xfId="95" xr:uid="{00000000-0005-0000-0000-0000EA000000}"/>
    <cellStyle name="常规 2 3" xfId="97" xr:uid="{00000000-0005-0000-0000-0000EB000000}"/>
    <cellStyle name="常规 2 3 2" xfId="99" xr:uid="{00000000-0005-0000-0000-0000EC000000}"/>
    <cellStyle name="常规 2 4" xfId="102" xr:uid="{00000000-0005-0000-0000-0000ED000000}"/>
    <cellStyle name="常规 2 4 2" xfId="104" xr:uid="{00000000-0005-0000-0000-0000EE000000}"/>
    <cellStyle name="常规 2 5" xfId="107" xr:uid="{00000000-0005-0000-0000-0000EF000000}"/>
    <cellStyle name="常规 2 6" xfId="110" xr:uid="{00000000-0005-0000-0000-0000F0000000}"/>
    <cellStyle name="常规 2 6 2 2" xfId="277" xr:uid="{00000000-0005-0000-0000-0000F1000000}"/>
    <cellStyle name="常规 2 6 2 2 2" xfId="278" xr:uid="{00000000-0005-0000-0000-0000F2000000}"/>
    <cellStyle name="常规 2 6 2 2 3" xfId="279" xr:uid="{00000000-0005-0000-0000-0000F3000000}"/>
    <cellStyle name="常规 2 6 2 2 4" xfId="280" xr:uid="{00000000-0005-0000-0000-0000F4000000}"/>
    <cellStyle name="常规 2 6 2 2 5" xfId="56" xr:uid="{00000000-0005-0000-0000-0000F5000000}"/>
    <cellStyle name="常规 2_ODC属性分类和评估" xfId="281" xr:uid="{00000000-0005-0000-0000-0000F6000000}"/>
    <cellStyle name="常规 3" xfId="60" xr:uid="{00000000-0005-0000-0000-0000F7000000}"/>
    <cellStyle name="常规 3 2" xfId="282" xr:uid="{00000000-0005-0000-0000-0000F8000000}"/>
    <cellStyle name="常规 3 2 2" xfId="283" xr:uid="{00000000-0005-0000-0000-0000F9000000}"/>
    <cellStyle name="常规 3 3" xfId="155" xr:uid="{00000000-0005-0000-0000-0000FA000000}"/>
    <cellStyle name="常规 3 4" xfId="284" xr:uid="{00000000-0005-0000-0000-0000FB000000}"/>
    <cellStyle name="常规 3_2011年佰钧成组织度量数据表-提交" xfId="181" xr:uid="{00000000-0005-0000-0000-0000FC000000}"/>
    <cellStyle name="常规 4" xfId="49" xr:uid="{00000000-0005-0000-0000-0000FD000000}"/>
    <cellStyle name="常规 4 2" xfId="286" xr:uid="{00000000-0005-0000-0000-0000FE000000}"/>
    <cellStyle name="常规 4_测试和验收流程" xfId="287" xr:uid="{00000000-0005-0000-0000-0000FF000000}"/>
    <cellStyle name="常规 5" xfId="115" xr:uid="{00000000-0005-0000-0000-000000010000}"/>
    <cellStyle name="常规 6" xfId="12" xr:uid="{00000000-0005-0000-0000-000001010000}"/>
    <cellStyle name="常规 7" xfId="288" xr:uid="{00000000-0005-0000-0000-000002010000}"/>
    <cellStyle name="常规 8" xfId="82" xr:uid="{00000000-0005-0000-0000-000003010000}"/>
    <cellStyle name="常规 9" xfId="289" xr:uid="{00000000-0005-0000-0000-000004010000}"/>
    <cellStyle name="常规_PIM003 AMS项目度量数据表 3" xfId="188" xr:uid="{00000000-0005-0000-0000-000006010000}"/>
    <cellStyle name="常规_PM_PR_20020401" xfId="290" xr:uid="{00000000-0005-0000-0000-000007010000}"/>
    <cellStyle name="常规_sst3A1" xfId="291" xr:uid="{00000000-0005-0000-0000-000008010000}"/>
    <cellStyle name="常规_度量数据收集参考列表-V0.1" xfId="292" xr:uid="{00000000-0005-0000-0000-000009010000}"/>
    <cellStyle name="常规_原始数据 2" xfId="127" xr:uid="{00000000-0005-0000-0000-00000A010000}"/>
    <cellStyle name="超链接" xfId="8" builtinId="8"/>
    <cellStyle name="超链接 2" xfId="135" xr:uid="{00000000-0005-0000-0000-00000C010000}"/>
    <cellStyle name="超链接 3" xfId="293" xr:uid="{00000000-0005-0000-0000-00000D010000}"/>
    <cellStyle name="超链接 4" xfId="294" xr:uid="{00000000-0005-0000-0000-00000E010000}"/>
    <cellStyle name="超链接 5" xfId="295" xr:uid="{00000000-0005-0000-0000-00000F010000}"/>
    <cellStyle name="超链接 6" xfId="296" xr:uid="{00000000-0005-0000-0000-000010010000}"/>
    <cellStyle name="超链接 7" xfId="297" xr:uid="{00000000-0005-0000-0000-000011010000}"/>
    <cellStyle name="超链接 8" xfId="268" xr:uid="{00000000-0005-0000-0000-000012010000}"/>
    <cellStyle name="超链接 9" xfId="190" xr:uid="{00000000-0005-0000-0000-000013010000}"/>
    <cellStyle name="好 2" xfId="298" xr:uid="{00000000-0005-0000-0000-000014010000}"/>
    <cellStyle name="好_CIENET-CRS-CMMI ML5-SERVICE PLAN_20071027" xfId="299" xr:uid="{00000000-0005-0000-0000-000015010000}"/>
    <cellStyle name="好_CIENET-CRS-CMMI ML5-SERVICE PLAN_20071027 2" xfId="300" xr:uid="{00000000-0005-0000-0000-000016010000}"/>
    <cellStyle name="好_CIENET-CRS-CMMI ML5-SERVICE PLAN_20071209" xfId="301" xr:uid="{00000000-0005-0000-0000-000017010000}"/>
    <cellStyle name="好_CIENET-CRS-CMMI ML5-SERVICE PLAN_20071209 2" xfId="302" xr:uid="{00000000-0005-0000-0000-000018010000}"/>
    <cellStyle name="好_MySoft-CRS-CMMI ML3-ServicePlan-20080118" xfId="130" xr:uid="{00000000-0005-0000-0000-000019010000}"/>
    <cellStyle name="好_MySoft-CRS-CMMI ML3-ServicePlan-20080118 2" xfId="137" xr:uid="{00000000-0005-0000-0000-00001A010000}"/>
    <cellStyle name="好_NEWYULONG-CRS-CMMI ML5-SERVICE PLAN_20071125" xfId="304" xr:uid="{00000000-0005-0000-0000-00001B010000}"/>
    <cellStyle name="好_NEWYULONG-CRS-CMMI ML5-SERVICE PLAN_20071125 2" xfId="11" xr:uid="{00000000-0005-0000-0000-00001C010000}"/>
    <cellStyle name="好_PROJ-04-T02C 项目里程碑报告" xfId="9" xr:uid="{00000000-0005-0000-0000-00001D010000}"/>
    <cellStyle name="好_PROJ-04-T02C 项目里程碑报告 2" xfId="240" xr:uid="{00000000-0005-0000-0000-00001E010000}"/>
    <cellStyle name="好_REF-TEMP-PMC-项目周报" xfId="305" xr:uid="{00000000-0005-0000-0000-00001F010000}"/>
    <cellStyle name="好_REF-TEMP-PMC-项目周报 2" xfId="271" xr:uid="{00000000-0005-0000-0000-000020010000}"/>
    <cellStyle name="好_YD_OPM_STANDARD_OSSP过程文档体系文件编写规范_样式" xfId="251" xr:uid="{00000000-0005-0000-0000-000021010000}"/>
    <cellStyle name="好_YD_OPM_STANDARD_OSSP过程文档体系文件编写规范_样式 2" xfId="303" xr:uid="{00000000-0005-0000-0000-000022010000}"/>
    <cellStyle name="好_决策分析" xfId="306" xr:uid="{00000000-0005-0000-0000-000023010000}"/>
    <cellStyle name="好_决策分析 2" xfId="307" xr:uid="{00000000-0005-0000-0000-000024010000}"/>
    <cellStyle name="汇总 2" xfId="308" xr:uid="{00000000-0005-0000-0000-000025010000}"/>
    <cellStyle name="计算 2" xfId="4" xr:uid="{00000000-0005-0000-0000-000026010000}"/>
    <cellStyle name="检查单元格 2" xfId="208" xr:uid="{00000000-0005-0000-0000-000027010000}"/>
    <cellStyle name="解释性文本 2" xfId="309" xr:uid="{00000000-0005-0000-0000-000028010000}"/>
    <cellStyle name="禁止写入" xfId="310" xr:uid="{00000000-0005-0000-0000-000029010000}"/>
    <cellStyle name="警告文本 2" xfId="77" xr:uid="{00000000-0005-0000-0000-00002A010000}"/>
    <cellStyle name="链接单元格 2" xfId="311" xr:uid="{00000000-0005-0000-0000-00002B010000}"/>
    <cellStyle name="普通_expenses_AR-ITD (2)" xfId="23" xr:uid="{00000000-0005-0000-0000-00002C010000}"/>
    <cellStyle name="强调文字颜色 1 2" xfId="186" xr:uid="{00000000-0005-0000-0000-00002D010000}"/>
    <cellStyle name="强调文字颜色 2 2" xfId="312" xr:uid="{00000000-0005-0000-0000-00002E010000}"/>
    <cellStyle name="强调文字颜色 3 2" xfId="313" xr:uid="{00000000-0005-0000-0000-00002F010000}"/>
    <cellStyle name="强调文字颜色 4 2" xfId="106" xr:uid="{00000000-0005-0000-0000-000030010000}"/>
    <cellStyle name="强调文字颜色 5 2" xfId="314" xr:uid="{00000000-0005-0000-0000-000031010000}"/>
    <cellStyle name="强调文字颜色 6 2" xfId="315" xr:uid="{00000000-0005-0000-0000-000032010000}"/>
    <cellStyle name="日期" xfId="6" xr:uid="{00000000-0005-0000-0000-000033010000}"/>
    <cellStyle name="适中 2" xfId="37" xr:uid="{00000000-0005-0000-0000-000034010000}"/>
    <cellStyle name="输出 2" xfId="28" xr:uid="{00000000-0005-0000-0000-000035010000}"/>
    <cellStyle name="输入 2" xfId="317" xr:uid="{00000000-0005-0000-0000-000036010000}"/>
    <cellStyle name="填充色1" xfId="318" xr:uid="{00000000-0005-0000-0000-000037010000}"/>
    <cellStyle name="填充色2" xfId="62" xr:uid="{00000000-0005-0000-0000-000038010000}"/>
    <cellStyle name="样式 1" xfId="319" xr:uid="{00000000-0005-0000-0000-000039010000}"/>
    <cellStyle name="样式 1 2" xfId="320" xr:uid="{00000000-0005-0000-0000-00003A010000}"/>
    <cellStyle name="一般_CPK" xfId="321" xr:uid="{00000000-0005-0000-0000-00003B010000}"/>
    <cellStyle name="昗弨_1997 Turns7 Tu" xfId="322" xr:uid="{00000000-0005-0000-0000-00003C010000}"/>
    <cellStyle name="正文" xfId="316" xr:uid="{00000000-0005-0000-0000-00003D010000}"/>
    <cellStyle name="寘嬫愗傝 [0.00]_1997 Turnsyns Wins" xfId="198" xr:uid="{00000000-0005-0000-0000-00003E010000}"/>
    <cellStyle name="寘嬫愗傝_1997 Turns7 Turnsy" xfId="215" xr:uid="{00000000-0005-0000-0000-00003F010000}"/>
    <cellStyle name="注释 2" xfId="323" xr:uid="{00000000-0005-0000-0000-000040010000}"/>
    <cellStyle name="注释 2 2" xfId="324" xr:uid="{00000000-0005-0000-0000-000041010000}"/>
    <cellStyle name="注释 3" xfId="325" xr:uid="{00000000-0005-0000-0000-000042010000}"/>
    <cellStyle name="自动填写" xfId="36" xr:uid="{00000000-0005-0000-0000-000043010000}"/>
    <cellStyle name="콤마 [0]_laroux" xfId="285" xr:uid="{00000000-0005-0000-0000-000044010000}"/>
    <cellStyle name="콤마_laroux" xfId="80" xr:uid="{00000000-0005-0000-0000-000045010000}"/>
    <cellStyle name="통화 [0]_laroux" xfId="122" xr:uid="{00000000-0005-0000-0000-000046010000}"/>
    <cellStyle name="통화_laroux" xfId="326" xr:uid="{00000000-0005-0000-0000-000047010000}"/>
    <cellStyle name="표준_AP" xfId="327" xr:uid="{00000000-0005-0000-0000-000048010000}"/>
  </cellStyles>
  <dxfs count="89">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s>
  <tableStyles count="0" defaultTableStyle="TableStyleMedium2"/>
  <colors>
    <mruColors>
      <color rgb="FFCCFF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6.xml"/><Relationship Id="rId3" Type="http://schemas.openxmlformats.org/officeDocument/2006/relationships/worksheet" Target="worksheets/sheet3.xml"/><Relationship Id="rId21" Type="http://schemas.openxmlformats.org/officeDocument/2006/relationships/externalLink" Target="externalLinks/externalLink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externalLink" Target="externalLinks/externalLink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externalLink" Target="externalLinks/externalLink7.xml"/><Relationship Id="rId30" Type="http://schemas.openxmlformats.org/officeDocument/2006/relationships/externalLink" Target="externalLinks/externalLink10.xml"/><Relationship Id="rId35" Type="http://schemas.microsoft.com/office/2006/relationships/vbaProject" Target="vbaProject.bin"/></Relationships>
</file>

<file path=xl/charts/_rels/chart7.xml.rels><?xml version="1.0" encoding="UTF-8" standalone="yes"?>
<Relationships xmlns="http://schemas.openxmlformats.org/package/2006/relationships"><Relationship Id="rId1" Type="http://schemas.openxmlformats.org/officeDocument/2006/relationships/image" Target="../media/image5.jpeg"/></Relationships>
</file>

<file path=xl/charts/_rels/chart8.xml.rels><?xml version="1.0" encoding="UTF-8" standalone="yes"?>
<Relationships xmlns="http://schemas.openxmlformats.org/package/2006/relationships"><Relationship Id="rId1" Type="http://schemas.openxmlformats.org/officeDocument/2006/relationships/image" Target="../media/image5.jpeg"/></Relationships>
</file>

<file path=xl/charts/_rels/chart10.xml.rels><?xml version="1.0" encoding="UTF-8" standalone="yes"?>
<Relationships xmlns="http://schemas.openxmlformats.org/package/2006/relationships"><Relationship Id="rId1" Type="http://schemas.openxmlformats.org/officeDocument/2006/relationships/image" Target="../media/image5.jpeg"/></Relationships>
</file>

<file path=xl/charts/_rels/chart12.xml.rels><?xml version="1.0" encoding="UTF-8" standalone="yes"?>
<Relationships xmlns="http://schemas.openxmlformats.org/package/2006/relationships"><Relationship Id="rId1" Type="http://schemas.openxmlformats.org/officeDocument/2006/relationships/image" Target="../media/image5.jpeg"/></Relationships>
</file>

<file path=xl/charts/_rels/chart13.xml.rels><?xml version="1.0" encoding="UTF-8" standalone="yes"?>
<Relationships xmlns="http://schemas.openxmlformats.org/package/2006/relationships"><Relationship Id="rId1" Type="http://schemas.openxmlformats.org/officeDocument/2006/relationships/image" Target="../media/image5.jpeg"/></Relationships>
</file>

<file path=xl/charts/_rels/chart14.xml.rels><?xml version="1.0" encoding="UTF-8" standalone="yes"?>
<Relationships xmlns="http://schemas.openxmlformats.org/package/2006/relationships"><Relationship Id="rId1" Type="http://schemas.openxmlformats.org/officeDocument/2006/relationships/image" Target="../media/image5.jpeg"/></Relationships>
</file>

<file path=xl/charts/_rels/chart16.xml.rels><?xml version="1.0" encoding="UTF-8" standalone="yes"?>
<Relationships xmlns="http://schemas.openxmlformats.org/package/2006/relationships"><Relationship Id="rId1" Type="http://schemas.openxmlformats.org/officeDocument/2006/relationships/image" Target="../media/image5.jpeg"/></Relationships>
</file>

<file path=xl/charts/_rels/chart17.xml.rels><?xml version="1.0" encoding="UTF-8" standalone="yes"?>
<Relationships xmlns="http://schemas.openxmlformats.org/package/2006/relationships"><Relationship Id="rId1" Type="http://schemas.openxmlformats.org/officeDocument/2006/relationships/image" Target="../media/image5.jpeg"/></Relationships>
</file>

<file path=xl/charts/_rels/chart18.xml.rels><?xml version="1.0" encoding="UTF-8" standalone="yes"?>
<Relationships xmlns="http://schemas.openxmlformats.org/package/2006/relationships"><Relationship Id="rId1" Type="http://schemas.openxmlformats.org/officeDocument/2006/relationships/image" Target="../media/image5.jpeg"/></Relationships>
</file>

<file path=xl/charts/_rels/chart19.xml.rels><?xml version="1.0" encoding="UTF-8" standalone="yes"?>
<Relationships xmlns="http://schemas.openxmlformats.org/package/2006/relationships"><Relationship Id="rId1" Type="http://schemas.openxmlformats.org/officeDocument/2006/relationships/image" Target="../media/image5.jpeg"/></Relationships>
</file>

<file path=xl/charts/_rels/chart20.xml.rels><?xml version="1.0" encoding="UTF-8" standalone="yes"?>
<Relationships xmlns="http://schemas.openxmlformats.org/package/2006/relationships"><Relationship Id="rId1" Type="http://schemas.openxmlformats.org/officeDocument/2006/relationships/image" Target="../media/image5.jpeg"/></Relationships>
</file>

<file path=xl/charts/_rels/chart21.xml.rels><?xml version="1.0" encoding="UTF-8" standalone="yes"?>
<Relationships xmlns="http://schemas.openxmlformats.org/package/2006/relationships"><Relationship Id="rId1" Type="http://schemas.openxmlformats.org/officeDocument/2006/relationships/image" Target="../media/image5.jpeg"/></Relationships>
</file>

<file path=xl/charts/_rels/chart22.xml.rels><?xml version="1.0" encoding="UTF-8" standalone="yes"?>
<Relationships xmlns="http://schemas.openxmlformats.org/package/2006/relationships"><Relationship Id="rId1" Type="http://schemas.openxmlformats.org/officeDocument/2006/relationships/image" Target="../media/image5.jpeg"/></Relationships>
</file>

<file path=xl/charts/_rels/chart23.xml.rels><?xml version="1.0" encoding="UTF-8" standalone="yes"?>
<Relationships xmlns="http://schemas.openxmlformats.org/package/2006/relationships"><Relationship Id="rId1" Type="http://schemas.openxmlformats.org/officeDocument/2006/relationships/image" Target="../media/image5.jpeg"/></Relationships>
</file>

<file path=xl/charts/_rels/chart24.xml.rels><?xml version="1.0" encoding="UTF-8" standalone="yes"?>
<Relationships xmlns="http://schemas.openxmlformats.org/package/2006/relationships"><Relationship Id="rId1" Type="http://schemas.openxmlformats.org/officeDocument/2006/relationships/image" Target="../media/image5.jpeg"/></Relationships>
</file>

<file path=xl/charts/_rels/chart25.xml.rels><?xml version="1.0" encoding="UTF-8" standalone="yes"?>
<Relationships xmlns="http://schemas.openxmlformats.org/package/2006/relationships"><Relationship Id="rId1" Type="http://schemas.openxmlformats.org/officeDocument/2006/relationships/image" Target="../media/image5.jpeg"/></Relationships>
</file>

<file path=xl/charts/_rels/chart26.xml.rels><?xml version="1.0" encoding="UTF-8" standalone="yes"?>
<Relationships xmlns="http://schemas.openxmlformats.org/package/2006/relationships"><Relationship Id="rId1" Type="http://schemas.openxmlformats.org/officeDocument/2006/relationships/image" Target="../media/image5.jpeg"/></Relationships>
</file>

<file path=xl/charts/_rels/chart27.xml.rels><?xml version="1.0" encoding="UTF-8" standalone="yes"?>
<Relationships xmlns="http://schemas.openxmlformats.org/package/2006/relationships"><Relationship Id="rId1" Type="http://schemas.openxmlformats.org/officeDocument/2006/relationships/image" Target="../media/image5.jpeg"/></Relationships>
</file>

<file path=xl/charts/_rels/chart28.xml.rels><?xml version="1.0" encoding="UTF-8" standalone="yes"?>
<Relationships xmlns="http://schemas.openxmlformats.org/package/2006/relationships"><Relationship Id="rId1" Type="http://schemas.openxmlformats.org/officeDocument/2006/relationships/image" Target="../media/image5.jpeg"/></Relationships>
</file>

<file path=xl/charts/_rels/chart29.xml.rels><?xml version="1.0" encoding="UTF-8" standalone="yes"?>
<Relationships xmlns="http://schemas.openxmlformats.org/package/2006/relationships"><Relationship Id="rId1" Type="http://schemas.openxmlformats.org/officeDocument/2006/relationships/image" Target="../media/image5.jpeg"/></Relationships>
</file>

<file path=xl/charts/_rels/chart30.xml.rels><?xml version="1.0" encoding="UTF-8" standalone="yes"?>
<Relationships xmlns="http://schemas.openxmlformats.org/package/2006/relationships"><Relationship Id="rId1" Type="http://schemas.openxmlformats.org/officeDocument/2006/relationships/image" Target="../media/image5.jpeg"/></Relationships>
</file>

<file path=xl/charts/_rels/chart31.xml.rels><?xml version="1.0" encoding="UTF-8" standalone="yes"?>
<Relationships xmlns="http://schemas.openxmlformats.org/package/2006/relationships"><Relationship Id="rId1" Type="http://schemas.openxmlformats.org/officeDocument/2006/relationships/image" Target="../media/image5.jpeg"/></Relationships>
</file>

<file path=xl/charts/_rels/chart32.xml.rels><?xml version="1.0" encoding="UTF-8" standalone="yes"?>
<Relationships xmlns="http://schemas.openxmlformats.org/package/2006/relationships"><Relationship Id="rId1" Type="http://schemas.openxmlformats.org/officeDocument/2006/relationships/image" Target="../media/image5.jpeg"/></Relationships>
</file>

<file path=xl/charts/_rels/chart33.xml.rels><?xml version="1.0" encoding="UTF-8" standalone="yes"?>
<Relationships xmlns="http://schemas.openxmlformats.org/package/2006/relationships"><Relationship Id="rId1" Type="http://schemas.openxmlformats.org/officeDocument/2006/relationships/image" Target="../media/image5.jpeg"/></Relationships>
</file>

<file path=xl/charts/_rels/chart34.xml.rels><?xml version="1.0" encoding="UTF-8" standalone="yes"?>
<Relationships xmlns="http://schemas.openxmlformats.org/package/2006/relationships"><Relationship Id="rId1" Type="http://schemas.openxmlformats.org/officeDocument/2006/relationships/image" Target="../media/image5.jpeg"/></Relationships>
</file>

<file path=xl/charts/_rels/chart35.xml.rels><?xml version="1.0" encoding="UTF-8" standalone="yes"?>
<Relationships xmlns="http://schemas.openxmlformats.org/package/2006/relationships"><Relationship Id="rId1" Type="http://schemas.openxmlformats.org/officeDocument/2006/relationships/image" Target="../media/image5.jpeg"/></Relationships>
</file>

<file path=xl/charts/_rels/chart39.xml.rels><?xml version="1.0" encoding="UTF-8" standalone="yes"?>
<Relationships xmlns="http://schemas.openxmlformats.org/package/2006/relationships"><Relationship Id="rId1" Type="http://schemas.openxmlformats.org/officeDocument/2006/relationships/image" Target="../media/image5.jpeg"/></Relationships>
</file>

<file path=xl/charts/_rels/chart43.xml.rels><?xml version="1.0" encoding="UTF-8" standalone="yes"?>
<Relationships xmlns="http://schemas.openxmlformats.org/package/2006/relationships"><Relationship Id="rId1" Type="http://schemas.openxmlformats.org/officeDocument/2006/relationships/image" Target="../media/image5.jpeg"/></Relationships>
</file>

<file path=xl/charts/_rels/chart47.xml.rels><?xml version="1.0" encoding="UTF-8" standalone="yes"?>
<Relationships xmlns="http://schemas.openxmlformats.org/package/2006/relationships"><Relationship Id="rId1" Type="http://schemas.openxmlformats.org/officeDocument/2006/relationships/image" Target="../media/image5.jpe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需求规格各阶段稳定度图表</a:t>
            </a:r>
          </a:p>
        </c:rich>
      </c:tx>
      <c:overlay val="0"/>
    </c:title>
    <c:autoTitleDeleted val="0"/>
    <c:plotArea>
      <c:layout/>
      <c:barChart>
        <c:barDir val="col"/>
        <c:grouping val="clustered"/>
        <c:varyColors val="1"/>
        <c:ser>
          <c:idx val="0"/>
          <c:order val="0"/>
          <c:invertIfNegative val="0"/>
          <c:dPt>
            <c:idx val="0"/>
            <c:invertIfNegative val="0"/>
            <c:bubble3D val="0"/>
            <c:extLst>
              <c:ext xmlns:c16="http://schemas.microsoft.com/office/drawing/2014/chart" uri="{C3380CC4-5D6E-409C-BE32-E72D297353CC}">
                <c16:uniqueId val="{00000000-A306-4420-9882-BD3E70FA1BC3}"/>
              </c:ext>
            </c:extLst>
          </c:dPt>
          <c:dPt>
            <c:idx val="1"/>
            <c:invertIfNegative val="0"/>
            <c:bubble3D val="0"/>
            <c:extLst>
              <c:ext xmlns:c16="http://schemas.microsoft.com/office/drawing/2014/chart" uri="{C3380CC4-5D6E-409C-BE32-E72D297353CC}">
                <c16:uniqueId val="{00000001-A306-4420-9882-BD3E70FA1BC3}"/>
              </c:ext>
            </c:extLst>
          </c:dPt>
          <c:dPt>
            <c:idx val="2"/>
            <c:invertIfNegative val="0"/>
            <c:bubble3D val="0"/>
            <c:extLst>
              <c:ext xmlns:c16="http://schemas.microsoft.com/office/drawing/2014/chart" uri="{C3380CC4-5D6E-409C-BE32-E72D297353CC}">
                <c16:uniqueId val="{00000002-A306-4420-9882-BD3E70FA1BC3}"/>
              </c:ext>
            </c:extLst>
          </c:dPt>
          <c:dPt>
            <c:idx val="3"/>
            <c:invertIfNegative val="0"/>
            <c:bubble3D val="0"/>
            <c:extLst>
              <c:ext xmlns:c16="http://schemas.microsoft.com/office/drawing/2014/chart" uri="{C3380CC4-5D6E-409C-BE32-E72D297353CC}">
                <c16:uniqueId val="{00000003-A306-4420-9882-BD3E70FA1BC3}"/>
              </c:ext>
            </c:extLst>
          </c:dPt>
          <c:dLbls>
            <c:numFmt formatCode="#,##0.00_);[Red]\(#,##0.0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需求!$B$27:$B$30</c:f>
              <c:strCache>
                <c:ptCount val="4"/>
                <c:pt idx="0">
                  <c:v>需求过程</c:v>
                </c:pt>
                <c:pt idx="1">
                  <c:v>设计过程</c:v>
                </c:pt>
                <c:pt idx="2">
                  <c:v>开发过程</c:v>
                </c:pt>
                <c:pt idx="3">
                  <c:v>测试过程</c:v>
                </c:pt>
              </c:strCache>
            </c:strRef>
          </c:cat>
          <c:val>
            <c:numRef>
              <c:f>需求!$J$27:$J$30</c:f>
              <c:numCache>
                <c:formatCode>0.00_ </c:formatCode>
                <c:ptCount val="4"/>
                <c:pt idx="0">
                  <c:v>0</c:v>
                </c:pt>
                <c:pt idx="1">
                  <c:v>0</c:v>
                </c:pt>
                <c:pt idx="2">
                  <c:v>0</c:v>
                </c:pt>
                <c:pt idx="3">
                  <c:v>0</c:v>
                </c:pt>
              </c:numCache>
            </c:numRef>
          </c:val>
          <c:extLst>
            <c:ext xmlns:c16="http://schemas.microsoft.com/office/drawing/2014/chart" uri="{C3380CC4-5D6E-409C-BE32-E72D297353CC}">
              <c16:uniqueId val="{00000004-A306-4420-9882-BD3E70FA1BC3}"/>
            </c:ext>
          </c:extLst>
        </c:ser>
        <c:dLbls>
          <c:showLegendKey val="0"/>
          <c:showVal val="0"/>
          <c:showCatName val="0"/>
          <c:showSerName val="0"/>
          <c:showPercent val="0"/>
          <c:showBubbleSize val="0"/>
        </c:dLbls>
        <c:gapWidth val="150"/>
        <c:axId val="198377472"/>
        <c:axId val="198379008"/>
      </c:barChart>
      <c:catAx>
        <c:axId val="198377472"/>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98379008"/>
        <c:crosses val="autoZero"/>
        <c:auto val="1"/>
        <c:lblAlgn val="ctr"/>
        <c:lblOffset val="100"/>
        <c:noMultiLvlLbl val="0"/>
      </c:catAx>
      <c:valAx>
        <c:axId val="198379008"/>
        <c:scaling>
          <c:orientation val="minMax"/>
        </c:scaling>
        <c:delete val="0"/>
        <c:axPos val="l"/>
        <c:majorGridlines/>
        <c:numFmt formatCode="0.0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98377472"/>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需求规格各阶段稳定度图表</a:t>
            </a:r>
          </a:p>
        </c:rich>
      </c:tx>
      <c:overlay val="0"/>
    </c:title>
    <c:autoTitleDeleted val="0"/>
    <c:plotArea>
      <c:layout/>
      <c:barChart>
        <c:barDir val="col"/>
        <c:grouping val="clustered"/>
        <c:varyColors val="1"/>
        <c:ser>
          <c:idx val="0"/>
          <c:order val="0"/>
          <c:invertIfNegative val="0"/>
          <c:dLbls>
            <c:numFmt formatCode="#,##0.00_);[Red]\(#,##0.0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需求!$B$52:$B$55</c:f>
            </c:multiLvlStrRef>
          </c:cat>
          <c:val>
            <c:numRef>
              <c:f>需求!$J$52:$J$55</c:f>
            </c:numRef>
          </c:val>
          <c:extLst>
            <c:ext xmlns:c16="http://schemas.microsoft.com/office/drawing/2014/chart" uri="{C3380CC4-5D6E-409C-BE32-E72D297353CC}">
              <c16:uniqueId val="{00000000-A0D0-45A0-8DF7-38BC120440BD}"/>
            </c:ext>
          </c:extLst>
        </c:ser>
        <c:dLbls>
          <c:showLegendKey val="0"/>
          <c:showVal val="0"/>
          <c:showCatName val="0"/>
          <c:showSerName val="0"/>
          <c:showPercent val="0"/>
          <c:showBubbleSize val="0"/>
        </c:dLbls>
        <c:gapWidth val="150"/>
        <c:axId val="198403968"/>
        <c:axId val="198405504"/>
      </c:barChart>
      <c:catAx>
        <c:axId val="198403968"/>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98405504"/>
        <c:crosses val="autoZero"/>
        <c:auto val="1"/>
        <c:lblAlgn val="ctr"/>
        <c:lblOffset val="100"/>
        <c:noMultiLvlLbl val="0"/>
      </c:catAx>
      <c:valAx>
        <c:axId val="198405504"/>
        <c:scaling>
          <c:orientation val="minMax"/>
        </c:scaling>
        <c:delete val="0"/>
        <c:axPos val="l"/>
        <c:majorGridlines/>
        <c:numFmt formatCode="0.0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98403968"/>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客户需求</a:t>
            </a:r>
            <a:r>
              <a:rPr lang="zh-CN" altLang="zh-CN" sz="1100" b="1" i="0" u="none" strike="noStrike" baseline="0">
                <a:effectLst/>
              </a:rPr>
              <a:t>各阶段</a:t>
            </a:r>
            <a:r>
              <a:rPr lang="zh-CN" altLang="en-US" sz="1100"/>
              <a:t>稳定度图表</a:t>
            </a:r>
          </a:p>
        </c:rich>
      </c:tx>
      <c:overlay val="0"/>
    </c:title>
    <c:autoTitleDeleted val="0"/>
    <c:plotArea>
      <c:layout/>
      <c:barChart>
        <c:barDir val="col"/>
        <c:grouping val="clustered"/>
        <c:varyColors val="1"/>
        <c:ser>
          <c:idx val="0"/>
          <c:order val="0"/>
          <c:invertIfNegative val="1"/>
          <c:dLbls>
            <c:numFmt formatCode="#,##0.00_);[Red]\(#,##0.0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需求!$B$67:$B$70</c:f>
            </c:multiLvlStrRef>
          </c:cat>
          <c:val>
            <c:numRef>
              <c:f>需求!$J$67:$J$70</c:f>
            </c:numRef>
          </c:val>
          <c:extLst>
            <c:ext xmlns:c16="http://schemas.microsoft.com/office/drawing/2014/chart" uri="{C3380CC4-5D6E-409C-BE32-E72D297353CC}">
              <c16:uniqueId val="{00000000-FD06-4710-B404-F25EF07CCC86}"/>
            </c:ext>
          </c:extLst>
        </c:ser>
        <c:dLbls>
          <c:showLegendKey val="0"/>
          <c:showVal val="0"/>
          <c:showCatName val="0"/>
          <c:showSerName val="0"/>
          <c:showPercent val="0"/>
          <c:showBubbleSize val="0"/>
        </c:dLbls>
        <c:gapWidth val="150"/>
        <c:axId val="198430720"/>
        <c:axId val="198432256"/>
      </c:barChart>
      <c:catAx>
        <c:axId val="198430720"/>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98432256"/>
        <c:crosses val="autoZero"/>
        <c:auto val="1"/>
        <c:lblAlgn val="ctr"/>
        <c:lblOffset val="100"/>
        <c:noMultiLvlLbl val="0"/>
      </c:catAx>
      <c:valAx>
        <c:axId val="198432256"/>
        <c:scaling>
          <c:orientation val="minMax"/>
        </c:scaling>
        <c:delete val="0"/>
        <c:axPos val="l"/>
        <c:majorGridlines/>
        <c:numFmt formatCode="0.0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98430720"/>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需求规格各阶段稳定度图表</a:t>
            </a:r>
          </a:p>
        </c:rich>
      </c:tx>
      <c:overlay val="0"/>
    </c:title>
    <c:autoTitleDeleted val="0"/>
    <c:plotArea>
      <c:layout/>
      <c:barChart>
        <c:barDir val="col"/>
        <c:grouping val="clustered"/>
        <c:varyColors val="1"/>
        <c:ser>
          <c:idx val="0"/>
          <c:order val="0"/>
          <c:invertIfNegative val="0"/>
          <c:dLbls>
            <c:numFmt formatCode="#,##0.00_);[Red]\(#,##0.0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需求!$B$78:$B$81</c:f>
            </c:multiLvlStrRef>
          </c:cat>
          <c:val>
            <c:numRef>
              <c:f>需求!$J$78:$J$81</c:f>
            </c:numRef>
          </c:val>
          <c:extLst>
            <c:ext xmlns:c16="http://schemas.microsoft.com/office/drawing/2014/chart" uri="{C3380CC4-5D6E-409C-BE32-E72D297353CC}">
              <c16:uniqueId val="{00000000-FE99-4AD6-A831-2D3C037732B0}"/>
            </c:ext>
          </c:extLst>
        </c:ser>
        <c:dLbls>
          <c:showLegendKey val="0"/>
          <c:showVal val="0"/>
          <c:showCatName val="0"/>
          <c:showSerName val="0"/>
          <c:showPercent val="0"/>
          <c:showBubbleSize val="0"/>
        </c:dLbls>
        <c:gapWidth val="150"/>
        <c:axId val="199108480"/>
        <c:axId val="199110016"/>
      </c:barChart>
      <c:catAx>
        <c:axId val="199108480"/>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99110016"/>
        <c:crosses val="autoZero"/>
        <c:auto val="1"/>
        <c:lblAlgn val="ctr"/>
        <c:lblOffset val="100"/>
        <c:noMultiLvlLbl val="0"/>
      </c:catAx>
      <c:valAx>
        <c:axId val="199110016"/>
        <c:scaling>
          <c:orientation val="minMax"/>
        </c:scaling>
        <c:delete val="0"/>
        <c:axPos val="l"/>
        <c:majorGridlines/>
        <c:numFmt formatCode="0.0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99108480"/>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需求规格各阶段稳定度图表</a:t>
            </a:r>
          </a:p>
        </c:rich>
      </c:tx>
      <c:overlay val="0"/>
    </c:title>
    <c:autoTitleDeleted val="0"/>
    <c:plotArea>
      <c:layout/>
      <c:barChart>
        <c:barDir val="col"/>
        <c:grouping val="clustered"/>
        <c:varyColors val="1"/>
        <c:ser>
          <c:idx val="0"/>
          <c:order val="0"/>
          <c:invertIfNegative val="0"/>
          <c:dPt>
            <c:idx val="0"/>
            <c:invertIfNegative val="0"/>
            <c:bubble3D val="0"/>
            <c:extLst>
              <c:ext xmlns:c16="http://schemas.microsoft.com/office/drawing/2014/chart" uri="{C3380CC4-5D6E-409C-BE32-E72D297353CC}">
                <c16:uniqueId val="{00000000-5FEE-4887-8178-3C204D1CD53A}"/>
              </c:ext>
            </c:extLst>
          </c:dPt>
          <c:dPt>
            <c:idx val="1"/>
            <c:invertIfNegative val="0"/>
            <c:bubble3D val="0"/>
            <c:extLst>
              <c:ext xmlns:c16="http://schemas.microsoft.com/office/drawing/2014/chart" uri="{C3380CC4-5D6E-409C-BE32-E72D297353CC}">
                <c16:uniqueId val="{00000001-5FEE-4887-8178-3C204D1CD53A}"/>
              </c:ext>
            </c:extLst>
          </c:dPt>
          <c:dPt>
            <c:idx val="2"/>
            <c:invertIfNegative val="0"/>
            <c:bubble3D val="0"/>
            <c:extLst>
              <c:ext xmlns:c16="http://schemas.microsoft.com/office/drawing/2014/chart" uri="{C3380CC4-5D6E-409C-BE32-E72D297353CC}">
                <c16:uniqueId val="{00000002-5FEE-4887-8178-3C204D1CD53A}"/>
              </c:ext>
            </c:extLst>
          </c:dPt>
          <c:dPt>
            <c:idx val="3"/>
            <c:invertIfNegative val="0"/>
            <c:bubble3D val="0"/>
            <c:extLst>
              <c:ext xmlns:c16="http://schemas.microsoft.com/office/drawing/2014/chart" uri="{C3380CC4-5D6E-409C-BE32-E72D297353CC}">
                <c16:uniqueId val="{00000003-5FEE-4887-8178-3C204D1CD53A}"/>
              </c:ext>
            </c:extLst>
          </c:dPt>
          <c:dLbls>
            <c:numFmt formatCode="#,##0.00_);[Red]\(#,##0.0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需求!$B$16:$B$19</c:f>
              <c:strCache>
                <c:ptCount val="4"/>
                <c:pt idx="0">
                  <c:v>需求过程</c:v>
                </c:pt>
                <c:pt idx="1">
                  <c:v>设计过程</c:v>
                </c:pt>
                <c:pt idx="2">
                  <c:v>开发过程</c:v>
                </c:pt>
                <c:pt idx="3">
                  <c:v>测试过程</c:v>
                </c:pt>
              </c:strCache>
            </c:strRef>
          </c:cat>
          <c:val>
            <c:numRef>
              <c:f>需求!$J$16:$J$19</c:f>
              <c:numCache>
                <c:formatCode>0.00_ </c:formatCode>
                <c:ptCount val="4"/>
                <c:pt idx="0">
                  <c:v>1</c:v>
                </c:pt>
                <c:pt idx="1">
                  <c:v>1</c:v>
                </c:pt>
                <c:pt idx="2">
                  <c:v>1</c:v>
                </c:pt>
                <c:pt idx="3">
                  <c:v>1</c:v>
                </c:pt>
              </c:numCache>
            </c:numRef>
          </c:val>
          <c:extLst>
            <c:ext xmlns:c16="http://schemas.microsoft.com/office/drawing/2014/chart" uri="{C3380CC4-5D6E-409C-BE32-E72D297353CC}">
              <c16:uniqueId val="{00000004-5FEE-4887-8178-3C204D1CD53A}"/>
            </c:ext>
          </c:extLst>
        </c:ser>
        <c:dLbls>
          <c:showLegendKey val="0"/>
          <c:showVal val="0"/>
          <c:showCatName val="0"/>
          <c:showSerName val="0"/>
          <c:showPercent val="0"/>
          <c:showBubbleSize val="0"/>
        </c:dLbls>
        <c:gapWidth val="150"/>
        <c:axId val="199159808"/>
        <c:axId val="199161344"/>
      </c:barChart>
      <c:catAx>
        <c:axId val="199159808"/>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99161344"/>
        <c:crosses val="autoZero"/>
        <c:auto val="1"/>
        <c:lblAlgn val="ctr"/>
        <c:lblOffset val="100"/>
        <c:noMultiLvlLbl val="0"/>
      </c:catAx>
      <c:valAx>
        <c:axId val="199161344"/>
        <c:scaling>
          <c:orientation val="minMax"/>
        </c:scaling>
        <c:delete val="0"/>
        <c:axPos val="l"/>
        <c:majorGridlines/>
        <c:numFmt formatCode="0.0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99159808"/>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需求规格各阶段稳定度图表</a:t>
            </a:r>
          </a:p>
        </c:rich>
      </c:tx>
      <c:overlay val="0"/>
    </c:title>
    <c:autoTitleDeleted val="0"/>
    <c:plotArea>
      <c:layout/>
      <c:barChart>
        <c:barDir val="col"/>
        <c:grouping val="clustered"/>
        <c:varyColors val="1"/>
        <c:ser>
          <c:idx val="0"/>
          <c:order val="0"/>
          <c:invertIfNegative val="0"/>
          <c:dLbls>
            <c:numFmt formatCode="#,##0.00_);[Red]\(#,##0.0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需求!$B$41:$B$44</c:f>
            </c:multiLvlStrRef>
          </c:cat>
          <c:val>
            <c:numRef>
              <c:f>需求!$J$41:$J$44</c:f>
            </c:numRef>
          </c:val>
          <c:extLst>
            <c:ext xmlns:c16="http://schemas.microsoft.com/office/drawing/2014/chart" uri="{C3380CC4-5D6E-409C-BE32-E72D297353CC}">
              <c16:uniqueId val="{00000000-591A-461F-8E61-08E9006638C5}"/>
            </c:ext>
          </c:extLst>
        </c:ser>
        <c:dLbls>
          <c:showLegendKey val="0"/>
          <c:showVal val="0"/>
          <c:showCatName val="0"/>
          <c:showSerName val="0"/>
          <c:showPercent val="0"/>
          <c:showBubbleSize val="0"/>
        </c:dLbls>
        <c:gapWidth val="150"/>
        <c:axId val="199460736"/>
        <c:axId val="199462272"/>
      </c:barChart>
      <c:catAx>
        <c:axId val="199460736"/>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99462272"/>
        <c:crosses val="autoZero"/>
        <c:auto val="1"/>
        <c:lblAlgn val="ctr"/>
        <c:lblOffset val="100"/>
        <c:noMultiLvlLbl val="0"/>
      </c:catAx>
      <c:valAx>
        <c:axId val="199462272"/>
        <c:scaling>
          <c:orientation val="minMax"/>
        </c:scaling>
        <c:delete val="0"/>
        <c:axPos val="l"/>
        <c:majorGridlines/>
        <c:numFmt formatCode="0.0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99460736"/>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阶段单位规模工作量的控制图</a:t>
            </a:r>
            <a:endParaRPr lang="en-US" altLang="zh-CN"/>
          </a:p>
        </c:rich>
      </c:tx>
      <c:overlay val="0"/>
    </c:title>
    <c:autoTitleDeleted val="0"/>
    <c:plotArea>
      <c:layout/>
      <c:lineChart>
        <c:grouping val="standard"/>
        <c:varyColors val="0"/>
        <c:ser>
          <c:idx val="0"/>
          <c:order val="0"/>
          <c:tx>
            <c:strRef>
              <c:f>工作量分布!$D$22</c:f>
              <c:strCache>
                <c:ptCount val="1"/>
                <c:pt idx="0">
                  <c:v>LOL</c:v>
                </c:pt>
              </c:strCache>
            </c:strRef>
          </c:tx>
          <c:cat>
            <c:strRef>
              <c:f>工作量分布!$E$21:$I$21</c:f>
              <c:strCache>
                <c:ptCount val="5"/>
                <c:pt idx="0">
                  <c:v>产品立项阶段</c:v>
                </c:pt>
                <c:pt idx="1">
                  <c:v>迭代一生产率</c:v>
                </c:pt>
                <c:pt idx="2">
                  <c:v>迭代二生产率</c:v>
                </c:pt>
                <c:pt idx="3">
                  <c:v>迭代三生产率</c:v>
                </c:pt>
                <c:pt idx="4">
                  <c:v>系统集成与验收结项阶段</c:v>
                </c:pt>
              </c:strCache>
            </c:strRef>
          </c:cat>
          <c:val>
            <c:numRef>
              <c:f>工作量分布!$E$22:$I$22</c:f>
              <c:numCache>
                <c:formatCode>0.0000_ </c:formatCode>
                <c:ptCount val="5"/>
                <c:pt idx="0">
                  <c:v>3.3E-3</c:v>
                </c:pt>
                <c:pt idx="1">
                  <c:v>0.48520000000000002</c:v>
                </c:pt>
                <c:pt idx="4">
                  <c:v>0</c:v>
                </c:pt>
              </c:numCache>
            </c:numRef>
          </c:val>
          <c:smooth val="0"/>
          <c:extLst>
            <c:ext xmlns:c16="http://schemas.microsoft.com/office/drawing/2014/chart" uri="{C3380CC4-5D6E-409C-BE32-E72D297353CC}">
              <c16:uniqueId val="{00000000-3344-4072-9645-16001869A255}"/>
            </c:ext>
          </c:extLst>
        </c:ser>
        <c:ser>
          <c:idx val="1"/>
          <c:order val="1"/>
          <c:tx>
            <c:strRef>
              <c:f>工作量分布!$D$23</c:f>
              <c:strCache>
                <c:ptCount val="1"/>
                <c:pt idx="0">
                  <c:v>OL</c:v>
                </c:pt>
              </c:strCache>
            </c:strRef>
          </c:tx>
          <c:cat>
            <c:strRef>
              <c:f>工作量分布!$E$21:$I$21</c:f>
              <c:strCache>
                <c:ptCount val="5"/>
                <c:pt idx="0">
                  <c:v>产品立项阶段</c:v>
                </c:pt>
                <c:pt idx="1">
                  <c:v>迭代一生产率</c:v>
                </c:pt>
                <c:pt idx="2">
                  <c:v>迭代二生产率</c:v>
                </c:pt>
                <c:pt idx="3">
                  <c:v>迭代三生产率</c:v>
                </c:pt>
                <c:pt idx="4">
                  <c:v>系统集成与验收结项阶段</c:v>
                </c:pt>
              </c:strCache>
            </c:strRef>
          </c:cat>
          <c:val>
            <c:numRef>
              <c:f>工作量分布!$E$23:$I$23</c:f>
              <c:numCache>
                <c:formatCode>0.0000_ </c:formatCode>
                <c:ptCount val="5"/>
                <c:pt idx="0">
                  <c:v>0.15</c:v>
                </c:pt>
                <c:pt idx="1">
                  <c:v>0.66900000000000004</c:v>
                </c:pt>
                <c:pt idx="4">
                  <c:v>2.53E-2</c:v>
                </c:pt>
              </c:numCache>
            </c:numRef>
          </c:val>
          <c:smooth val="0"/>
          <c:extLst>
            <c:ext xmlns:c16="http://schemas.microsoft.com/office/drawing/2014/chart" uri="{C3380CC4-5D6E-409C-BE32-E72D297353CC}">
              <c16:uniqueId val="{00000001-3344-4072-9645-16001869A255}"/>
            </c:ext>
          </c:extLst>
        </c:ser>
        <c:ser>
          <c:idx val="2"/>
          <c:order val="2"/>
          <c:tx>
            <c:strRef>
              <c:f>工作量分布!$D$24</c:f>
              <c:strCache>
                <c:ptCount val="1"/>
                <c:pt idx="0">
                  <c:v>UOL</c:v>
                </c:pt>
              </c:strCache>
            </c:strRef>
          </c:tx>
          <c:cat>
            <c:strRef>
              <c:f>工作量分布!$E$21:$I$21</c:f>
              <c:strCache>
                <c:ptCount val="5"/>
                <c:pt idx="0">
                  <c:v>产品立项阶段</c:v>
                </c:pt>
                <c:pt idx="1">
                  <c:v>迭代一生产率</c:v>
                </c:pt>
                <c:pt idx="2">
                  <c:v>迭代二生产率</c:v>
                </c:pt>
                <c:pt idx="3">
                  <c:v>迭代三生产率</c:v>
                </c:pt>
                <c:pt idx="4">
                  <c:v>系统集成与验收结项阶段</c:v>
                </c:pt>
              </c:strCache>
            </c:strRef>
          </c:cat>
          <c:val>
            <c:numRef>
              <c:f>工作量分布!$E$24:$I$24</c:f>
              <c:numCache>
                <c:formatCode>0.0000_ </c:formatCode>
                <c:ptCount val="5"/>
                <c:pt idx="0">
                  <c:v>0.29670000000000002</c:v>
                </c:pt>
                <c:pt idx="1">
                  <c:v>0.85270000000000001</c:v>
                </c:pt>
                <c:pt idx="4">
                  <c:v>7.8399999999999997E-2</c:v>
                </c:pt>
              </c:numCache>
            </c:numRef>
          </c:val>
          <c:smooth val="0"/>
          <c:extLst>
            <c:ext xmlns:c16="http://schemas.microsoft.com/office/drawing/2014/chart" uri="{C3380CC4-5D6E-409C-BE32-E72D297353CC}">
              <c16:uniqueId val="{00000002-3344-4072-9645-16001869A255}"/>
            </c:ext>
          </c:extLst>
        </c:ser>
        <c:ser>
          <c:idx val="3"/>
          <c:order val="3"/>
          <c:tx>
            <c:strRef>
              <c:f>工作量分布!$D$25</c:f>
              <c:strCache>
                <c:ptCount val="1"/>
                <c:pt idx="0">
                  <c:v>计划数据</c:v>
                </c:pt>
              </c:strCache>
            </c:strRef>
          </c:tx>
          <c:cat>
            <c:strRef>
              <c:f>工作量分布!$E$21:$I$21</c:f>
              <c:strCache>
                <c:ptCount val="5"/>
                <c:pt idx="0">
                  <c:v>产品立项阶段</c:v>
                </c:pt>
                <c:pt idx="1">
                  <c:v>迭代一生产率</c:v>
                </c:pt>
                <c:pt idx="2">
                  <c:v>迭代二生产率</c:v>
                </c:pt>
                <c:pt idx="3">
                  <c:v>迭代三生产率</c:v>
                </c:pt>
                <c:pt idx="4">
                  <c:v>系统集成与验收结项阶段</c:v>
                </c:pt>
              </c:strCache>
            </c:strRef>
          </c:cat>
          <c:val>
            <c:numRef>
              <c:f>工作量分布!$E$25:$I$25</c:f>
              <c:numCache>
                <c:formatCode>General</c:formatCode>
                <c:ptCount val="5"/>
                <c:pt idx="0">
                  <c:v>8.4394915254237313E-2</c:v>
                </c:pt>
                <c:pt idx="1">
                  <c:v>0.36208914389238472</c:v>
                </c:pt>
                <c:pt idx="2">
                  <c:v>0</c:v>
                </c:pt>
                <c:pt idx="3">
                  <c:v>0</c:v>
                </c:pt>
                <c:pt idx="4">
                  <c:v>6.4023728813559333E-2</c:v>
                </c:pt>
              </c:numCache>
            </c:numRef>
          </c:val>
          <c:smooth val="0"/>
          <c:extLst>
            <c:ext xmlns:c16="http://schemas.microsoft.com/office/drawing/2014/chart" uri="{C3380CC4-5D6E-409C-BE32-E72D297353CC}">
              <c16:uniqueId val="{00000003-3344-4072-9645-16001869A255}"/>
            </c:ext>
          </c:extLst>
        </c:ser>
        <c:ser>
          <c:idx val="4"/>
          <c:order val="4"/>
          <c:tx>
            <c:strRef>
              <c:f>工作量分布!$D$26</c:f>
              <c:strCache>
                <c:ptCount val="1"/>
                <c:pt idx="0">
                  <c:v>实际数据</c:v>
                </c:pt>
              </c:strCache>
            </c:strRef>
          </c:tx>
          <c:cat>
            <c:strRef>
              <c:f>工作量分布!$E$21:$I$21</c:f>
              <c:strCache>
                <c:ptCount val="5"/>
                <c:pt idx="0">
                  <c:v>产品立项阶段</c:v>
                </c:pt>
                <c:pt idx="1">
                  <c:v>迭代一生产率</c:v>
                </c:pt>
                <c:pt idx="2">
                  <c:v>迭代二生产率</c:v>
                </c:pt>
                <c:pt idx="3">
                  <c:v>迭代三生产率</c:v>
                </c:pt>
                <c:pt idx="4">
                  <c:v>系统集成与验收结项阶段</c:v>
                </c:pt>
              </c:strCache>
            </c:strRef>
          </c:cat>
          <c:val>
            <c:numRef>
              <c:f>工作量分布!$E$26:$I$26</c:f>
              <c:numCache>
                <c:formatCode>General</c:formatCode>
                <c:ptCount val="5"/>
                <c:pt idx="0">
                  <c:v>9.7457627118644072E-2</c:v>
                </c:pt>
                <c:pt idx="1">
                  <c:v>0.40936686903729402</c:v>
                </c:pt>
                <c:pt idx="2">
                  <c:v>0</c:v>
                </c:pt>
                <c:pt idx="3">
                  <c:v>0</c:v>
                </c:pt>
                <c:pt idx="4">
                  <c:v>6.991525423728813E-2</c:v>
                </c:pt>
              </c:numCache>
            </c:numRef>
          </c:val>
          <c:smooth val="0"/>
          <c:extLst>
            <c:ext xmlns:c16="http://schemas.microsoft.com/office/drawing/2014/chart" uri="{C3380CC4-5D6E-409C-BE32-E72D297353CC}">
              <c16:uniqueId val="{00000004-3344-4072-9645-16001869A255}"/>
            </c:ext>
          </c:extLst>
        </c:ser>
        <c:dLbls>
          <c:showLegendKey val="0"/>
          <c:showVal val="0"/>
          <c:showCatName val="0"/>
          <c:showSerName val="0"/>
          <c:showPercent val="0"/>
          <c:showBubbleSize val="0"/>
        </c:dLbls>
        <c:marker val="1"/>
        <c:smooth val="0"/>
        <c:axId val="199822336"/>
        <c:axId val="199828224"/>
      </c:lineChart>
      <c:catAx>
        <c:axId val="199822336"/>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99828224"/>
        <c:crosses val="autoZero"/>
        <c:auto val="1"/>
        <c:lblAlgn val="ctr"/>
        <c:lblOffset val="100"/>
        <c:noMultiLvlLbl val="0"/>
      </c:catAx>
      <c:valAx>
        <c:axId val="199828224"/>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99822336"/>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过程单位规模工作量的控制图</a:t>
            </a:r>
            <a:endParaRPr lang="en-US" altLang="zh-CN"/>
          </a:p>
        </c:rich>
      </c:tx>
      <c:overlay val="0"/>
    </c:title>
    <c:autoTitleDeleted val="0"/>
    <c:plotArea>
      <c:layout/>
      <c:lineChart>
        <c:grouping val="standard"/>
        <c:varyColors val="0"/>
        <c:ser>
          <c:idx val="0"/>
          <c:order val="0"/>
          <c:tx>
            <c:strRef>
              <c:f>工作量分布!$D$63</c:f>
              <c:strCache>
                <c:ptCount val="1"/>
                <c:pt idx="0">
                  <c:v>LOL</c:v>
                </c:pt>
              </c:strCache>
            </c:strRef>
          </c:tx>
          <c:val>
            <c:numRef>
              <c:f>工作量分布!$E$63:$H$63</c:f>
              <c:numCache>
                <c:formatCode>0.0000_ </c:formatCode>
                <c:ptCount val="4"/>
                <c:pt idx="0">
                  <c:v>1.2E-2</c:v>
                </c:pt>
                <c:pt idx="1">
                  <c:v>1E-4</c:v>
                </c:pt>
                <c:pt idx="2">
                  <c:v>0.1326</c:v>
                </c:pt>
                <c:pt idx="3">
                  <c:v>4.0000000000000001E-3</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 xmlns:c16="http://schemas.microsoft.com/office/drawing/2014/chart" uri="{C3380CC4-5D6E-409C-BE32-E72D297353CC}">
              <c16:uniqueId val="{00000000-3A45-4A3E-B2E8-39D2C901FF12}"/>
            </c:ext>
          </c:extLst>
        </c:ser>
        <c:ser>
          <c:idx val="1"/>
          <c:order val="1"/>
          <c:tx>
            <c:strRef>
              <c:f>工作量分布!$D$64</c:f>
              <c:strCache>
                <c:ptCount val="1"/>
                <c:pt idx="0">
                  <c:v>OL</c:v>
                </c:pt>
              </c:strCache>
            </c:strRef>
          </c:tx>
          <c:val>
            <c:numRef>
              <c:f>工作量分布!$E$64:$H$64</c:f>
              <c:numCache>
                <c:formatCode>0.0000_ </c:formatCode>
                <c:ptCount val="4"/>
                <c:pt idx="0">
                  <c:v>0.13200000000000001</c:v>
                </c:pt>
                <c:pt idx="1">
                  <c:v>0.2165</c:v>
                </c:pt>
                <c:pt idx="2">
                  <c:v>0.93</c:v>
                </c:pt>
                <c:pt idx="3">
                  <c:v>0.748</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 xmlns:c16="http://schemas.microsoft.com/office/drawing/2014/chart" uri="{C3380CC4-5D6E-409C-BE32-E72D297353CC}">
              <c16:uniqueId val="{00000001-3A45-4A3E-B2E8-39D2C901FF12}"/>
            </c:ext>
          </c:extLst>
        </c:ser>
        <c:ser>
          <c:idx val="2"/>
          <c:order val="2"/>
          <c:tx>
            <c:strRef>
              <c:f>工作量分布!$D$65</c:f>
              <c:strCache>
                <c:ptCount val="1"/>
                <c:pt idx="0">
                  <c:v>UOL</c:v>
                </c:pt>
              </c:strCache>
            </c:strRef>
          </c:tx>
          <c:val>
            <c:numRef>
              <c:f>工作量分布!$E$65:$H$65</c:f>
              <c:numCache>
                <c:formatCode>0.0000_ </c:formatCode>
                <c:ptCount val="4"/>
                <c:pt idx="0">
                  <c:v>0.252</c:v>
                </c:pt>
                <c:pt idx="1">
                  <c:v>0.43290000000000001</c:v>
                </c:pt>
                <c:pt idx="2">
                  <c:v>1.7274</c:v>
                </c:pt>
                <c:pt idx="3">
                  <c:v>1.492</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 xmlns:c16="http://schemas.microsoft.com/office/drawing/2014/chart" uri="{C3380CC4-5D6E-409C-BE32-E72D297353CC}">
              <c16:uniqueId val="{00000002-3A45-4A3E-B2E8-39D2C901FF12}"/>
            </c:ext>
          </c:extLst>
        </c:ser>
        <c:ser>
          <c:idx val="3"/>
          <c:order val="3"/>
          <c:tx>
            <c:strRef>
              <c:f>工作量分布!$D$66</c:f>
              <c:strCache>
                <c:ptCount val="1"/>
                <c:pt idx="0">
                  <c:v>计划数据</c:v>
                </c:pt>
              </c:strCache>
            </c:strRef>
          </c:tx>
          <c:val>
            <c:numRef>
              <c:f>工作量分布!$E$66:$H$66</c:f>
              <c:numCache>
                <c:formatCode>General</c:formatCode>
                <c:ptCount val="4"/>
                <c:pt idx="0">
                  <c:v>9.1966303220338982E-2</c:v>
                </c:pt>
                <c:pt idx="1">
                  <c:v>9.1966303220338982E-2</c:v>
                </c:pt>
                <c:pt idx="2">
                  <c:v>2.2210000315254241</c:v>
                </c:pt>
                <c:pt idx="3">
                  <c:v>0.35681820949152554</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 xmlns:c16="http://schemas.microsoft.com/office/drawing/2014/chart" uri="{C3380CC4-5D6E-409C-BE32-E72D297353CC}">
              <c16:uniqueId val="{00000003-3A45-4A3E-B2E8-39D2C901FF12}"/>
            </c:ext>
          </c:extLst>
        </c:ser>
        <c:ser>
          <c:idx val="4"/>
          <c:order val="4"/>
          <c:tx>
            <c:strRef>
              <c:f>工作量分布!$D$67</c:f>
              <c:strCache>
                <c:ptCount val="1"/>
                <c:pt idx="0">
                  <c:v>实际数据</c:v>
                </c:pt>
              </c:strCache>
            </c:strRef>
          </c:tx>
          <c:val>
            <c:numRef>
              <c:f>工作量分布!$E$67:$H$67</c:f>
              <c:numCache>
                <c:formatCode>General</c:formatCode>
                <c:ptCount val="4"/>
                <c:pt idx="0">
                  <c:v>6.7796610169491525E-2</c:v>
                </c:pt>
                <c:pt idx="1">
                  <c:v>8.4745762711864403E-2</c:v>
                </c:pt>
                <c:pt idx="2">
                  <c:v>1.9703389830508475</c:v>
                </c:pt>
                <c:pt idx="3">
                  <c:v>0.31991525423728812</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 xmlns:c16="http://schemas.microsoft.com/office/drawing/2014/chart" uri="{C3380CC4-5D6E-409C-BE32-E72D297353CC}">
              <c16:uniqueId val="{00000004-3A45-4A3E-B2E8-39D2C901FF12}"/>
            </c:ext>
          </c:extLst>
        </c:ser>
        <c:dLbls>
          <c:showLegendKey val="0"/>
          <c:showVal val="0"/>
          <c:showCatName val="0"/>
          <c:showSerName val="0"/>
          <c:showPercent val="0"/>
          <c:showBubbleSize val="0"/>
        </c:dLbls>
        <c:marker val="1"/>
        <c:smooth val="0"/>
        <c:axId val="199898624"/>
        <c:axId val="199900160"/>
      </c:lineChart>
      <c:catAx>
        <c:axId val="199898624"/>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99900160"/>
        <c:crosses val="autoZero"/>
        <c:auto val="1"/>
        <c:lblAlgn val="ctr"/>
        <c:lblOffset val="100"/>
        <c:noMultiLvlLbl val="0"/>
      </c:catAx>
      <c:valAx>
        <c:axId val="199900160"/>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99898624"/>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累计各过程工作量偏差</a:t>
            </a:r>
          </a:p>
        </c:rich>
      </c:tx>
      <c:overlay val="0"/>
    </c:title>
    <c:autoTitleDeleted val="0"/>
    <c:plotArea>
      <c:layout/>
      <c:barChart>
        <c:barDir val="col"/>
        <c:grouping val="clustered"/>
        <c:varyColors val="1"/>
        <c:ser>
          <c:idx val="0"/>
          <c:order val="0"/>
          <c:invertIfNegative val="1"/>
          <c:dPt>
            <c:idx val="0"/>
            <c:invertIfNegative val="1"/>
            <c:bubble3D val="0"/>
            <c:extLst>
              <c:ext xmlns:c16="http://schemas.microsoft.com/office/drawing/2014/chart" uri="{C3380CC4-5D6E-409C-BE32-E72D297353CC}">
                <c16:uniqueId val="{00000000-56C8-42A4-B36A-430D4F862954}"/>
              </c:ext>
            </c:extLst>
          </c:dPt>
          <c:dPt>
            <c:idx val="1"/>
            <c:invertIfNegative val="1"/>
            <c:bubble3D val="0"/>
            <c:extLst>
              <c:ext xmlns:c16="http://schemas.microsoft.com/office/drawing/2014/chart" uri="{C3380CC4-5D6E-409C-BE32-E72D297353CC}">
                <c16:uniqueId val="{00000001-56C8-42A4-B36A-430D4F862954}"/>
              </c:ext>
            </c:extLst>
          </c:dPt>
          <c:dPt>
            <c:idx val="2"/>
            <c:invertIfNegative val="1"/>
            <c:bubble3D val="0"/>
            <c:extLst>
              <c:ext xmlns:c16="http://schemas.microsoft.com/office/drawing/2014/chart" uri="{C3380CC4-5D6E-409C-BE32-E72D297353CC}">
                <c16:uniqueId val="{00000002-56C8-42A4-B36A-430D4F862954}"/>
              </c:ext>
            </c:extLst>
          </c:dPt>
          <c:dPt>
            <c:idx val="3"/>
            <c:invertIfNegative val="1"/>
            <c:bubble3D val="0"/>
            <c:extLst>
              <c:ext xmlns:c16="http://schemas.microsoft.com/office/drawing/2014/chart" uri="{C3380CC4-5D6E-409C-BE32-E72D297353CC}">
                <c16:uniqueId val="{00000003-56C8-42A4-B36A-430D4F862954}"/>
              </c:ext>
            </c:extLst>
          </c:dPt>
          <c:cat>
            <c:strRef>
              <c:f>工作量分布!$O$70:$O$73</c:f>
              <c:strCache>
                <c:ptCount val="4"/>
                <c:pt idx="0">
                  <c:v>需求过程</c:v>
                </c:pt>
                <c:pt idx="1">
                  <c:v>设计过程</c:v>
                </c:pt>
                <c:pt idx="2">
                  <c:v>开发过程</c:v>
                </c:pt>
                <c:pt idx="3">
                  <c:v>测试过程</c:v>
                </c:pt>
              </c:strCache>
            </c:strRef>
          </c:cat>
          <c:val>
            <c:numRef>
              <c:f>工作量分布!$P$70:$P$73</c:f>
              <c:numCache>
                <c:formatCode>0.0000_);[Red]\(0.0000\)</c:formatCode>
                <c:ptCount val="4"/>
                <c:pt idx="0">
                  <c:v>-0.26281031426195411</c:v>
                </c:pt>
                <c:pt idx="1">
                  <c:v>-7.8512892827442671E-2</c:v>
                </c:pt>
                <c:pt idx="2">
                  <c:v>-0.11285954296111278</c:v>
                </c:pt>
                <c:pt idx="3">
                  <c:v>-0.10342228695902311</c:v>
                </c:pt>
              </c:numCache>
            </c:numRef>
          </c:val>
          <c:extLst>
            <c:ext xmlns:c16="http://schemas.microsoft.com/office/drawing/2014/chart" uri="{C3380CC4-5D6E-409C-BE32-E72D297353CC}">
              <c16:uniqueId val="{00000004-56C8-42A4-B36A-430D4F862954}"/>
            </c:ext>
          </c:extLst>
        </c:ser>
        <c:dLbls>
          <c:showLegendKey val="0"/>
          <c:showVal val="0"/>
          <c:showCatName val="0"/>
          <c:showSerName val="0"/>
          <c:showPercent val="0"/>
          <c:showBubbleSize val="0"/>
        </c:dLbls>
        <c:gapWidth val="150"/>
        <c:axId val="199908352"/>
        <c:axId val="199926528"/>
      </c:barChart>
      <c:catAx>
        <c:axId val="199908352"/>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99926528"/>
        <c:crosses val="autoZero"/>
        <c:auto val="1"/>
        <c:lblAlgn val="ctr"/>
        <c:lblOffset val="100"/>
        <c:noMultiLvlLbl val="0"/>
      </c:catAx>
      <c:valAx>
        <c:axId val="199926528"/>
        <c:scaling>
          <c:orientation val="minMax"/>
        </c:scaling>
        <c:delete val="0"/>
        <c:axPos val="l"/>
        <c:majorGridlines/>
        <c:numFmt formatCode="0.0000_);[Red]\(0.0000\)"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99908352"/>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过程单位规模工作量的控制图</a:t>
            </a:r>
            <a:endParaRPr lang="en-US" altLang="zh-CN"/>
          </a:p>
        </c:rich>
      </c:tx>
      <c:overlay val="0"/>
    </c:title>
    <c:autoTitleDeleted val="0"/>
    <c:plotArea>
      <c:layout/>
      <c:lineChart>
        <c:grouping val="standard"/>
        <c:varyColors val="0"/>
        <c:ser>
          <c:idx val="0"/>
          <c:order val="0"/>
          <c:tx>
            <c:strRef>
              <c:f>工作量分布!$D$63</c:f>
              <c:strCache>
                <c:ptCount val="1"/>
                <c:pt idx="0">
                  <c:v>LOL</c:v>
                </c:pt>
              </c:strCache>
            </c:strRef>
          </c:tx>
          <c:val>
            <c:numRef>
              <c:f>工作量分布!$E$63:$H$63</c:f>
              <c:numCache>
                <c:formatCode>0.0000_ </c:formatCode>
                <c:ptCount val="4"/>
                <c:pt idx="0">
                  <c:v>1.2E-2</c:v>
                </c:pt>
                <c:pt idx="1">
                  <c:v>1E-4</c:v>
                </c:pt>
                <c:pt idx="2">
                  <c:v>0.1326</c:v>
                </c:pt>
                <c:pt idx="3">
                  <c:v>4.0000000000000001E-3</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 xmlns:c16="http://schemas.microsoft.com/office/drawing/2014/chart" uri="{C3380CC4-5D6E-409C-BE32-E72D297353CC}">
              <c16:uniqueId val="{00000000-59D5-4B66-998D-F405A162CA66}"/>
            </c:ext>
          </c:extLst>
        </c:ser>
        <c:ser>
          <c:idx val="1"/>
          <c:order val="1"/>
          <c:tx>
            <c:strRef>
              <c:f>工作量分布!$D$64</c:f>
              <c:strCache>
                <c:ptCount val="1"/>
                <c:pt idx="0">
                  <c:v>OL</c:v>
                </c:pt>
              </c:strCache>
            </c:strRef>
          </c:tx>
          <c:val>
            <c:numRef>
              <c:f>工作量分布!$E$64:$H$64</c:f>
              <c:numCache>
                <c:formatCode>0.0000_ </c:formatCode>
                <c:ptCount val="4"/>
                <c:pt idx="0">
                  <c:v>0.13200000000000001</c:v>
                </c:pt>
                <c:pt idx="1">
                  <c:v>0.2165</c:v>
                </c:pt>
                <c:pt idx="2">
                  <c:v>0.93</c:v>
                </c:pt>
                <c:pt idx="3">
                  <c:v>0.748</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 xmlns:c16="http://schemas.microsoft.com/office/drawing/2014/chart" uri="{C3380CC4-5D6E-409C-BE32-E72D297353CC}">
              <c16:uniqueId val="{00000001-59D5-4B66-998D-F405A162CA66}"/>
            </c:ext>
          </c:extLst>
        </c:ser>
        <c:ser>
          <c:idx val="2"/>
          <c:order val="2"/>
          <c:tx>
            <c:strRef>
              <c:f>工作量分布!$D$65</c:f>
              <c:strCache>
                <c:ptCount val="1"/>
                <c:pt idx="0">
                  <c:v>UOL</c:v>
                </c:pt>
              </c:strCache>
            </c:strRef>
          </c:tx>
          <c:val>
            <c:numRef>
              <c:f>工作量分布!$E$65:$H$65</c:f>
              <c:numCache>
                <c:formatCode>0.0000_ </c:formatCode>
                <c:ptCount val="4"/>
                <c:pt idx="0">
                  <c:v>0.252</c:v>
                </c:pt>
                <c:pt idx="1">
                  <c:v>0.43290000000000001</c:v>
                </c:pt>
                <c:pt idx="2">
                  <c:v>1.7274</c:v>
                </c:pt>
                <c:pt idx="3">
                  <c:v>1.492</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 xmlns:c16="http://schemas.microsoft.com/office/drawing/2014/chart" uri="{C3380CC4-5D6E-409C-BE32-E72D297353CC}">
              <c16:uniqueId val="{00000002-59D5-4B66-998D-F405A162CA66}"/>
            </c:ext>
          </c:extLst>
        </c:ser>
        <c:ser>
          <c:idx val="3"/>
          <c:order val="3"/>
          <c:tx>
            <c:strRef>
              <c:f>工作量分布!$D$66</c:f>
              <c:strCache>
                <c:ptCount val="1"/>
                <c:pt idx="0">
                  <c:v>计划数据</c:v>
                </c:pt>
              </c:strCache>
            </c:strRef>
          </c:tx>
          <c:val>
            <c:numRef>
              <c:f>工作量分布!$E$66:$H$66</c:f>
              <c:numCache>
                <c:formatCode>General</c:formatCode>
                <c:ptCount val="4"/>
                <c:pt idx="0">
                  <c:v>9.1966303220338982E-2</c:v>
                </c:pt>
                <c:pt idx="1">
                  <c:v>9.1966303220338982E-2</c:v>
                </c:pt>
                <c:pt idx="2">
                  <c:v>2.2210000315254241</c:v>
                </c:pt>
                <c:pt idx="3">
                  <c:v>0.35681820949152554</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 xmlns:c16="http://schemas.microsoft.com/office/drawing/2014/chart" uri="{C3380CC4-5D6E-409C-BE32-E72D297353CC}">
              <c16:uniqueId val="{00000003-59D5-4B66-998D-F405A162CA66}"/>
            </c:ext>
          </c:extLst>
        </c:ser>
        <c:ser>
          <c:idx val="4"/>
          <c:order val="4"/>
          <c:tx>
            <c:strRef>
              <c:f>工作量分布!$D$67</c:f>
              <c:strCache>
                <c:ptCount val="1"/>
                <c:pt idx="0">
                  <c:v>实际数据</c:v>
                </c:pt>
              </c:strCache>
            </c:strRef>
          </c:tx>
          <c:val>
            <c:numRef>
              <c:f>工作量分布!$E$67:$H$67</c:f>
              <c:numCache>
                <c:formatCode>General</c:formatCode>
                <c:ptCount val="4"/>
                <c:pt idx="0">
                  <c:v>6.7796610169491525E-2</c:v>
                </c:pt>
                <c:pt idx="1">
                  <c:v>8.4745762711864403E-2</c:v>
                </c:pt>
                <c:pt idx="2">
                  <c:v>1.9703389830508475</c:v>
                </c:pt>
                <c:pt idx="3">
                  <c:v>0.31991525423728812</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 xmlns:c16="http://schemas.microsoft.com/office/drawing/2014/chart" uri="{C3380CC4-5D6E-409C-BE32-E72D297353CC}">
              <c16:uniqueId val="{00000004-59D5-4B66-998D-F405A162CA66}"/>
            </c:ext>
          </c:extLst>
        </c:ser>
        <c:dLbls>
          <c:showLegendKey val="0"/>
          <c:showVal val="0"/>
          <c:showCatName val="0"/>
          <c:showSerName val="0"/>
          <c:showPercent val="0"/>
          <c:showBubbleSize val="0"/>
        </c:dLbls>
        <c:marker val="1"/>
        <c:smooth val="0"/>
        <c:axId val="200011776"/>
        <c:axId val="200013312"/>
      </c:lineChart>
      <c:catAx>
        <c:axId val="200011776"/>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00013312"/>
        <c:crosses val="autoZero"/>
        <c:auto val="1"/>
        <c:lblAlgn val="ctr"/>
        <c:lblOffset val="100"/>
        <c:noMultiLvlLbl val="0"/>
      </c:catAx>
      <c:valAx>
        <c:axId val="200013312"/>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00011776"/>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累计各过程工作量偏差</a:t>
            </a:r>
          </a:p>
        </c:rich>
      </c:tx>
      <c:overlay val="0"/>
    </c:title>
    <c:autoTitleDeleted val="0"/>
    <c:plotArea>
      <c:layout/>
      <c:barChart>
        <c:barDir val="col"/>
        <c:grouping val="clustered"/>
        <c:varyColors val="1"/>
        <c:ser>
          <c:idx val="0"/>
          <c:order val="0"/>
          <c:invertIfNegative val="1"/>
          <c:dPt>
            <c:idx val="0"/>
            <c:invertIfNegative val="1"/>
            <c:bubble3D val="0"/>
            <c:extLst>
              <c:ext xmlns:c16="http://schemas.microsoft.com/office/drawing/2014/chart" uri="{C3380CC4-5D6E-409C-BE32-E72D297353CC}">
                <c16:uniqueId val="{00000000-3270-4EA1-884E-23641BE07E91}"/>
              </c:ext>
            </c:extLst>
          </c:dPt>
          <c:dPt>
            <c:idx val="1"/>
            <c:invertIfNegative val="1"/>
            <c:bubble3D val="0"/>
            <c:extLst>
              <c:ext xmlns:c16="http://schemas.microsoft.com/office/drawing/2014/chart" uri="{C3380CC4-5D6E-409C-BE32-E72D297353CC}">
                <c16:uniqueId val="{00000001-3270-4EA1-884E-23641BE07E91}"/>
              </c:ext>
            </c:extLst>
          </c:dPt>
          <c:dPt>
            <c:idx val="2"/>
            <c:invertIfNegative val="1"/>
            <c:bubble3D val="0"/>
            <c:extLst>
              <c:ext xmlns:c16="http://schemas.microsoft.com/office/drawing/2014/chart" uri="{C3380CC4-5D6E-409C-BE32-E72D297353CC}">
                <c16:uniqueId val="{00000002-3270-4EA1-884E-23641BE07E91}"/>
              </c:ext>
            </c:extLst>
          </c:dPt>
          <c:dPt>
            <c:idx val="3"/>
            <c:invertIfNegative val="1"/>
            <c:bubble3D val="0"/>
            <c:extLst>
              <c:ext xmlns:c16="http://schemas.microsoft.com/office/drawing/2014/chart" uri="{C3380CC4-5D6E-409C-BE32-E72D297353CC}">
                <c16:uniqueId val="{00000003-3270-4EA1-884E-23641BE07E91}"/>
              </c:ext>
            </c:extLst>
          </c:dPt>
          <c:cat>
            <c:strRef>
              <c:f>工作量分布!$O$70:$O$73</c:f>
              <c:strCache>
                <c:ptCount val="4"/>
                <c:pt idx="0">
                  <c:v>需求过程</c:v>
                </c:pt>
                <c:pt idx="1">
                  <c:v>设计过程</c:v>
                </c:pt>
                <c:pt idx="2">
                  <c:v>开发过程</c:v>
                </c:pt>
                <c:pt idx="3">
                  <c:v>测试过程</c:v>
                </c:pt>
              </c:strCache>
            </c:strRef>
          </c:cat>
          <c:val>
            <c:numRef>
              <c:f>工作量分布!$P$70:$P$73</c:f>
              <c:numCache>
                <c:formatCode>0.0000_);[Red]\(0.0000\)</c:formatCode>
                <c:ptCount val="4"/>
                <c:pt idx="0">
                  <c:v>-0.26281031426195411</c:v>
                </c:pt>
                <c:pt idx="1">
                  <c:v>-7.8512892827442671E-2</c:v>
                </c:pt>
                <c:pt idx="2">
                  <c:v>-0.11285954296111278</c:v>
                </c:pt>
                <c:pt idx="3">
                  <c:v>-0.10342228695902311</c:v>
                </c:pt>
              </c:numCache>
            </c:numRef>
          </c:val>
          <c:extLst>
            <c:ext xmlns:c16="http://schemas.microsoft.com/office/drawing/2014/chart" uri="{C3380CC4-5D6E-409C-BE32-E72D297353CC}">
              <c16:uniqueId val="{00000004-3270-4EA1-884E-23641BE07E91}"/>
            </c:ext>
          </c:extLst>
        </c:ser>
        <c:dLbls>
          <c:showLegendKey val="0"/>
          <c:showVal val="0"/>
          <c:showCatName val="0"/>
          <c:showSerName val="0"/>
          <c:showPercent val="0"/>
          <c:showBubbleSize val="0"/>
        </c:dLbls>
        <c:gapWidth val="150"/>
        <c:axId val="200558080"/>
        <c:axId val="200559616"/>
      </c:barChart>
      <c:catAx>
        <c:axId val="200558080"/>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00559616"/>
        <c:crosses val="autoZero"/>
        <c:auto val="1"/>
        <c:lblAlgn val="ctr"/>
        <c:lblOffset val="100"/>
        <c:noMultiLvlLbl val="0"/>
      </c:catAx>
      <c:valAx>
        <c:axId val="200559616"/>
        <c:scaling>
          <c:orientation val="minMax"/>
        </c:scaling>
        <c:delete val="0"/>
        <c:axPos val="l"/>
        <c:majorGridlines/>
        <c:numFmt formatCode="0.0000_);[Red]\(0.0000\)"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00558080"/>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过程单位规模工作量的控制图</a:t>
            </a:r>
            <a:endParaRPr lang="en-US" altLang="zh-CN"/>
          </a:p>
        </c:rich>
      </c:tx>
      <c:overlay val="0"/>
    </c:title>
    <c:autoTitleDeleted val="0"/>
    <c:plotArea>
      <c:layout/>
      <c:lineChart>
        <c:grouping val="standard"/>
        <c:varyColors val="0"/>
        <c:ser>
          <c:idx val="0"/>
          <c:order val="0"/>
          <c:tx>
            <c:strRef>
              <c:f>工作量分布!$D$63</c:f>
              <c:strCache>
                <c:ptCount val="1"/>
                <c:pt idx="0">
                  <c:v>LOL</c:v>
                </c:pt>
              </c:strCache>
            </c:strRef>
          </c:tx>
          <c:val>
            <c:numRef>
              <c:f>工作量分布!$E$63:$H$63</c:f>
              <c:numCache>
                <c:formatCode>0.0000_ </c:formatCode>
                <c:ptCount val="4"/>
                <c:pt idx="0">
                  <c:v>1.2E-2</c:v>
                </c:pt>
                <c:pt idx="1">
                  <c:v>1E-4</c:v>
                </c:pt>
                <c:pt idx="2">
                  <c:v>0.1326</c:v>
                </c:pt>
                <c:pt idx="3">
                  <c:v>4.0000000000000001E-3</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 xmlns:c16="http://schemas.microsoft.com/office/drawing/2014/chart" uri="{C3380CC4-5D6E-409C-BE32-E72D297353CC}">
              <c16:uniqueId val="{00000000-2DBE-4499-91E6-D1F261D8A846}"/>
            </c:ext>
          </c:extLst>
        </c:ser>
        <c:ser>
          <c:idx val="1"/>
          <c:order val="1"/>
          <c:tx>
            <c:strRef>
              <c:f>工作量分布!$D$64</c:f>
              <c:strCache>
                <c:ptCount val="1"/>
                <c:pt idx="0">
                  <c:v>OL</c:v>
                </c:pt>
              </c:strCache>
            </c:strRef>
          </c:tx>
          <c:val>
            <c:numRef>
              <c:f>工作量分布!$E$64:$H$64</c:f>
              <c:numCache>
                <c:formatCode>0.0000_ </c:formatCode>
                <c:ptCount val="4"/>
                <c:pt idx="0">
                  <c:v>0.13200000000000001</c:v>
                </c:pt>
                <c:pt idx="1">
                  <c:v>0.2165</c:v>
                </c:pt>
                <c:pt idx="2">
                  <c:v>0.93</c:v>
                </c:pt>
                <c:pt idx="3">
                  <c:v>0.748</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 xmlns:c16="http://schemas.microsoft.com/office/drawing/2014/chart" uri="{C3380CC4-5D6E-409C-BE32-E72D297353CC}">
              <c16:uniqueId val="{00000001-2DBE-4499-91E6-D1F261D8A846}"/>
            </c:ext>
          </c:extLst>
        </c:ser>
        <c:ser>
          <c:idx val="2"/>
          <c:order val="2"/>
          <c:tx>
            <c:strRef>
              <c:f>工作量分布!$D$65</c:f>
              <c:strCache>
                <c:ptCount val="1"/>
                <c:pt idx="0">
                  <c:v>UOL</c:v>
                </c:pt>
              </c:strCache>
            </c:strRef>
          </c:tx>
          <c:val>
            <c:numRef>
              <c:f>工作量分布!$E$65:$H$65</c:f>
              <c:numCache>
                <c:formatCode>0.0000_ </c:formatCode>
                <c:ptCount val="4"/>
                <c:pt idx="0">
                  <c:v>0.252</c:v>
                </c:pt>
                <c:pt idx="1">
                  <c:v>0.43290000000000001</c:v>
                </c:pt>
                <c:pt idx="2">
                  <c:v>1.7274</c:v>
                </c:pt>
                <c:pt idx="3">
                  <c:v>1.492</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 xmlns:c16="http://schemas.microsoft.com/office/drawing/2014/chart" uri="{C3380CC4-5D6E-409C-BE32-E72D297353CC}">
              <c16:uniqueId val="{00000002-2DBE-4499-91E6-D1F261D8A846}"/>
            </c:ext>
          </c:extLst>
        </c:ser>
        <c:ser>
          <c:idx val="3"/>
          <c:order val="3"/>
          <c:tx>
            <c:strRef>
              <c:f>工作量分布!$D$66</c:f>
              <c:strCache>
                <c:ptCount val="1"/>
                <c:pt idx="0">
                  <c:v>计划数据</c:v>
                </c:pt>
              </c:strCache>
            </c:strRef>
          </c:tx>
          <c:val>
            <c:numRef>
              <c:f>工作量分布!$E$66:$H$66</c:f>
              <c:numCache>
                <c:formatCode>General</c:formatCode>
                <c:ptCount val="4"/>
                <c:pt idx="0">
                  <c:v>9.1966303220338982E-2</c:v>
                </c:pt>
                <c:pt idx="1">
                  <c:v>9.1966303220338982E-2</c:v>
                </c:pt>
                <c:pt idx="2">
                  <c:v>2.2210000315254241</c:v>
                </c:pt>
                <c:pt idx="3">
                  <c:v>0.35681820949152554</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 xmlns:c16="http://schemas.microsoft.com/office/drawing/2014/chart" uri="{C3380CC4-5D6E-409C-BE32-E72D297353CC}">
              <c16:uniqueId val="{00000003-2DBE-4499-91E6-D1F261D8A846}"/>
            </c:ext>
          </c:extLst>
        </c:ser>
        <c:ser>
          <c:idx val="4"/>
          <c:order val="4"/>
          <c:tx>
            <c:strRef>
              <c:f>工作量分布!$D$67</c:f>
              <c:strCache>
                <c:ptCount val="1"/>
                <c:pt idx="0">
                  <c:v>实际数据</c:v>
                </c:pt>
              </c:strCache>
            </c:strRef>
          </c:tx>
          <c:val>
            <c:numRef>
              <c:f>工作量分布!$E$67:$H$67</c:f>
              <c:numCache>
                <c:formatCode>General</c:formatCode>
                <c:ptCount val="4"/>
                <c:pt idx="0">
                  <c:v>6.7796610169491525E-2</c:v>
                </c:pt>
                <c:pt idx="1">
                  <c:v>8.4745762711864403E-2</c:v>
                </c:pt>
                <c:pt idx="2">
                  <c:v>1.9703389830508475</c:v>
                </c:pt>
                <c:pt idx="3">
                  <c:v>0.31991525423728812</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 xmlns:c16="http://schemas.microsoft.com/office/drawing/2014/chart" uri="{C3380CC4-5D6E-409C-BE32-E72D297353CC}">
              <c16:uniqueId val="{00000004-2DBE-4499-91E6-D1F261D8A846}"/>
            </c:ext>
          </c:extLst>
        </c:ser>
        <c:dLbls>
          <c:showLegendKey val="0"/>
          <c:showVal val="0"/>
          <c:showCatName val="0"/>
          <c:showSerName val="0"/>
          <c:showPercent val="0"/>
          <c:showBubbleSize val="0"/>
        </c:dLbls>
        <c:marker val="1"/>
        <c:smooth val="0"/>
        <c:axId val="200616192"/>
        <c:axId val="200617984"/>
      </c:lineChart>
      <c:catAx>
        <c:axId val="200616192"/>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00617984"/>
        <c:crosses val="autoZero"/>
        <c:auto val="1"/>
        <c:lblAlgn val="ctr"/>
        <c:lblOffset val="100"/>
        <c:noMultiLvlLbl val="0"/>
      </c:catAx>
      <c:valAx>
        <c:axId val="200617984"/>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00616192"/>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工作量偏差的控率制图</a:t>
            </a:r>
            <a:endParaRPr lang="en-US" altLang="zh-CN"/>
          </a:p>
        </c:rich>
      </c:tx>
      <c:overlay val="0"/>
    </c:title>
    <c:autoTitleDeleted val="0"/>
    <c:plotArea>
      <c:layout/>
      <c:lineChart>
        <c:grouping val="standard"/>
        <c:varyColors val="0"/>
        <c:ser>
          <c:idx val="0"/>
          <c:order val="0"/>
          <c:tx>
            <c:strRef>
              <c:f>工作量分布!$P$22</c:f>
              <c:strCache>
                <c:ptCount val="1"/>
                <c:pt idx="0">
                  <c:v>项目实际数据</c:v>
                </c:pt>
              </c:strCache>
            </c:strRef>
          </c:tx>
          <c:val>
            <c:numRef>
              <c:f>工作量分布!$P$23:$P$27</c:f>
              <c:numCache>
                <c:formatCode>General</c:formatCode>
                <c:ptCount val="5"/>
                <c:pt idx="0">
                  <c:v>0.15478079248087062</c:v>
                </c:pt>
                <c:pt idx="1">
                  <c:v>-0.11548986672050932</c:v>
                </c:pt>
                <c:pt idx="2">
                  <c:v>0</c:v>
                </c:pt>
                <c:pt idx="3">
                  <c:v>0</c:v>
                </c:pt>
                <c:pt idx="4">
                  <c:v>9.2020966802562443E-2</c:v>
                </c:pt>
              </c:numCache>
            </c:numRef>
          </c:val>
          <c:smooth val="0"/>
          <c:extLst>
            <c:ext xmlns:c16="http://schemas.microsoft.com/office/drawing/2014/chart" uri="{C3380CC4-5D6E-409C-BE32-E72D297353CC}">
              <c16:uniqueId val="{00000000-EE3F-4CAE-B292-86BC6378546C}"/>
            </c:ext>
          </c:extLst>
        </c:ser>
        <c:ser>
          <c:idx val="1"/>
          <c:order val="1"/>
          <c:tx>
            <c:strRef>
              <c:f>工作量分布!$Q$22</c:f>
              <c:strCache>
                <c:ptCount val="1"/>
                <c:pt idx="0">
                  <c:v>LOL</c:v>
                </c:pt>
              </c:strCache>
            </c:strRef>
          </c:tx>
          <c:val>
            <c:numRef>
              <c:f>工作量分布!$Q$23:$Q$27</c:f>
              <c:numCache>
                <c:formatCode>General</c:formatCode>
                <c:ptCount val="5"/>
                <c:pt idx="0">
                  <c:v>-0.38769999999999999</c:v>
                </c:pt>
                <c:pt idx="1">
                  <c:v>-0.38769999999999999</c:v>
                </c:pt>
                <c:pt idx="2">
                  <c:v>-0.38769999999999999</c:v>
                </c:pt>
                <c:pt idx="3">
                  <c:v>-0.38769999999999999</c:v>
                </c:pt>
                <c:pt idx="4">
                  <c:v>-0.38769999999999999</c:v>
                </c:pt>
              </c:numCache>
            </c:numRef>
          </c:val>
          <c:smooth val="0"/>
          <c:extLst>
            <c:ext xmlns:c16="http://schemas.microsoft.com/office/drawing/2014/chart" uri="{C3380CC4-5D6E-409C-BE32-E72D297353CC}">
              <c16:uniqueId val="{00000001-EE3F-4CAE-B292-86BC6378546C}"/>
            </c:ext>
          </c:extLst>
        </c:ser>
        <c:ser>
          <c:idx val="2"/>
          <c:order val="2"/>
          <c:tx>
            <c:strRef>
              <c:f>工作量分布!$R$22</c:f>
              <c:strCache>
                <c:ptCount val="1"/>
                <c:pt idx="0">
                  <c:v>OL</c:v>
                </c:pt>
              </c:strCache>
            </c:strRef>
          </c:tx>
          <c:val>
            <c:numRef>
              <c:f>工作量分布!$R$23:$R$27</c:f>
              <c:numCache>
                <c:formatCode>General</c:formatCode>
                <c:ptCount val="5"/>
                <c:pt idx="0">
                  <c:v>4.4999999999999997E-3</c:v>
                </c:pt>
                <c:pt idx="1">
                  <c:v>4.4999999999999997E-3</c:v>
                </c:pt>
                <c:pt idx="2">
                  <c:v>4.4999999999999997E-3</c:v>
                </c:pt>
                <c:pt idx="3">
                  <c:v>4.4999999999999997E-3</c:v>
                </c:pt>
                <c:pt idx="4">
                  <c:v>4.4999999999999997E-3</c:v>
                </c:pt>
              </c:numCache>
            </c:numRef>
          </c:val>
          <c:smooth val="0"/>
          <c:extLst>
            <c:ext xmlns:c16="http://schemas.microsoft.com/office/drawing/2014/chart" uri="{C3380CC4-5D6E-409C-BE32-E72D297353CC}">
              <c16:uniqueId val="{00000002-EE3F-4CAE-B292-86BC6378546C}"/>
            </c:ext>
          </c:extLst>
        </c:ser>
        <c:ser>
          <c:idx val="3"/>
          <c:order val="3"/>
          <c:tx>
            <c:strRef>
              <c:f>工作量分布!$S$22</c:f>
              <c:strCache>
                <c:ptCount val="1"/>
                <c:pt idx="0">
                  <c:v>UCL</c:v>
                </c:pt>
              </c:strCache>
            </c:strRef>
          </c:tx>
          <c:val>
            <c:numRef>
              <c:f>工作量分布!$S$23:$S$27</c:f>
              <c:numCache>
                <c:formatCode>General</c:formatCode>
                <c:ptCount val="5"/>
                <c:pt idx="0">
                  <c:v>0.3967</c:v>
                </c:pt>
                <c:pt idx="1">
                  <c:v>0.3967</c:v>
                </c:pt>
                <c:pt idx="2">
                  <c:v>0.3967</c:v>
                </c:pt>
                <c:pt idx="3">
                  <c:v>0.3967</c:v>
                </c:pt>
                <c:pt idx="4">
                  <c:v>0.3967</c:v>
                </c:pt>
              </c:numCache>
            </c:numRef>
          </c:val>
          <c:smooth val="0"/>
          <c:extLst>
            <c:ext xmlns:c16="http://schemas.microsoft.com/office/drawing/2014/chart" uri="{C3380CC4-5D6E-409C-BE32-E72D297353CC}">
              <c16:uniqueId val="{00000003-EE3F-4CAE-B292-86BC6378546C}"/>
            </c:ext>
          </c:extLst>
        </c:ser>
        <c:dLbls>
          <c:showLegendKey val="0"/>
          <c:showVal val="0"/>
          <c:showCatName val="0"/>
          <c:showSerName val="0"/>
          <c:showPercent val="0"/>
          <c:showBubbleSize val="0"/>
        </c:dLbls>
        <c:marker val="1"/>
        <c:smooth val="0"/>
        <c:axId val="287185152"/>
        <c:axId val="287211520"/>
      </c:lineChart>
      <c:catAx>
        <c:axId val="287185152"/>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87211520"/>
        <c:crosses val="autoZero"/>
        <c:auto val="1"/>
        <c:lblAlgn val="ctr"/>
        <c:lblOffset val="100"/>
        <c:noMultiLvlLbl val="0"/>
      </c:catAx>
      <c:valAx>
        <c:axId val="287211520"/>
        <c:scaling>
          <c:orientation val="minMax"/>
        </c:scaling>
        <c:delete val="0"/>
        <c:axPos val="l"/>
        <c:majorGridlines/>
        <c:numFmt formatCode="General"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87185152"/>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工作量偏差的控率制图</a:t>
            </a:r>
            <a:endParaRPr lang="en-US" altLang="zh-CN"/>
          </a:p>
        </c:rich>
      </c:tx>
      <c:overlay val="0"/>
    </c:title>
    <c:autoTitleDeleted val="0"/>
    <c:plotArea>
      <c:layout/>
      <c:lineChart>
        <c:grouping val="standard"/>
        <c:varyColors val="0"/>
        <c:ser>
          <c:idx val="0"/>
          <c:order val="0"/>
          <c:tx>
            <c:strRef>
              <c:f>工作量分布!$O$70</c:f>
              <c:strCache>
                <c:ptCount val="1"/>
                <c:pt idx="0">
                  <c:v>需求过程</c:v>
                </c:pt>
              </c:strCache>
            </c:strRef>
          </c:tx>
          <c:cat>
            <c:strRef>
              <c:f>工作量分布!$P$69:$T$69</c:f>
              <c:strCache>
                <c:ptCount val="5"/>
                <c:pt idx="0">
                  <c:v>项目实际数据</c:v>
                </c:pt>
                <c:pt idx="2">
                  <c:v>LOL</c:v>
                </c:pt>
                <c:pt idx="3">
                  <c:v>OL</c:v>
                </c:pt>
                <c:pt idx="4">
                  <c:v>UCL</c:v>
                </c:pt>
              </c:strCache>
            </c:strRef>
          </c:cat>
          <c:val>
            <c:numRef>
              <c:f>工作量分布!$P$70:$T$70</c:f>
              <c:numCache>
                <c:formatCode>General</c:formatCode>
                <c:ptCount val="5"/>
                <c:pt idx="0" formatCode="0.0000_);[Red]\(0.0000\)">
                  <c:v>-0.26281031426195411</c:v>
                </c:pt>
                <c:pt idx="2">
                  <c:v>-0.38769999999999999</c:v>
                </c:pt>
                <c:pt idx="3">
                  <c:v>4.4999999999999997E-3</c:v>
                </c:pt>
                <c:pt idx="4">
                  <c:v>0.3967</c:v>
                </c:pt>
              </c:numCache>
            </c:numRef>
          </c:val>
          <c:smooth val="0"/>
          <c:extLst>
            <c:ext xmlns:c16="http://schemas.microsoft.com/office/drawing/2014/chart" uri="{C3380CC4-5D6E-409C-BE32-E72D297353CC}">
              <c16:uniqueId val="{00000000-5739-4DA4-9A14-6A12256FC549}"/>
            </c:ext>
          </c:extLst>
        </c:ser>
        <c:ser>
          <c:idx val="1"/>
          <c:order val="1"/>
          <c:tx>
            <c:strRef>
              <c:f>工作量分布!$O$71</c:f>
              <c:strCache>
                <c:ptCount val="1"/>
                <c:pt idx="0">
                  <c:v>设计过程</c:v>
                </c:pt>
              </c:strCache>
            </c:strRef>
          </c:tx>
          <c:cat>
            <c:strRef>
              <c:f>工作量分布!$P$69:$T$69</c:f>
              <c:strCache>
                <c:ptCount val="5"/>
                <c:pt idx="0">
                  <c:v>项目实际数据</c:v>
                </c:pt>
                <c:pt idx="2">
                  <c:v>LOL</c:v>
                </c:pt>
                <c:pt idx="3">
                  <c:v>OL</c:v>
                </c:pt>
                <c:pt idx="4">
                  <c:v>UCL</c:v>
                </c:pt>
              </c:strCache>
            </c:strRef>
          </c:cat>
          <c:val>
            <c:numRef>
              <c:f>工作量分布!$P$71:$T$71</c:f>
              <c:numCache>
                <c:formatCode>General</c:formatCode>
                <c:ptCount val="5"/>
                <c:pt idx="0" formatCode="0.0000_);[Red]\(0.0000\)">
                  <c:v>-7.8512892827442671E-2</c:v>
                </c:pt>
                <c:pt idx="2">
                  <c:v>-0.38769999999999999</c:v>
                </c:pt>
                <c:pt idx="3">
                  <c:v>4.4999999999999997E-3</c:v>
                </c:pt>
                <c:pt idx="4">
                  <c:v>0.3967</c:v>
                </c:pt>
              </c:numCache>
            </c:numRef>
          </c:val>
          <c:smooth val="0"/>
          <c:extLst>
            <c:ext xmlns:c16="http://schemas.microsoft.com/office/drawing/2014/chart" uri="{C3380CC4-5D6E-409C-BE32-E72D297353CC}">
              <c16:uniqueId val="{00000001-5739-4DA4-9A14-6A12256FC549}"/>
            </c:ext>
          </c:extLst>
        </c:ser>
        <c:ser>
          <c:idx val="2"/>
          <c:order val="2"/>
          <c:tx>
            <c:strRef>
              <c:f>工作量分布!$O$72</c:f>
              <c:strCache>
                <c:ptCount val="1"/>
                <c:pt idx="0">
                  <c:v>开发过程</c:v>
                </c:pt>
              </c:strCache>
            </c:strRef>
          </c:tx>
          <c:cat>
            <c:strRef>
              <c:f>工作量分布!$P$69:$T$69</c:f>
              <c:strCache>
                <c:ptCount val="5"/>
                <c:pt idx="0">
                  <c:v>项目实际数据</c:v>
                </c:pt>
                <c:pt idx="2">
                  <c:v>LOL</c:v>
                </c:pt>
                <c:pt idx="3">
                  <c:v>OL</c:v>
                </c:pt>
                <c:pt idx="4">
                  <c:v>UCL</c:v>
                </c:pt>
              </c:strCache>
            </c:strRef>
          </c:cat>
          <c:val>
            <c:numRef>
              <c:f>工作量分布!$P$72:$T$72</c:f>
              <c:numCache>
                <c:formatCode>General</c:formatCode>
                <c:ptCount val="5"/>
                <c:pt idx="0" formatCode="0.0000_);[Red]\(0.0000\)">
                  <c:v>-0.11285954296111278</c:v>
                </c:pt>
                <c:pt idx="2">
                  <c:v>-0.38769999999999999</c:v>
                </c:pt>
                <c:pt idx="3">
                  <c:v>4.4999999999999997E-3</c:v>
                </c:pt>
                <c:pt idx="4">
                  <c:v>0.3967</c:v>
                </c:pt>
              </c:numCache>
            </c:numRef>
          </c:val>
          <c:smooth val="0"/>
          <c:extLst>
            <c:ext xmlns:c16="http://schemas.microsoft.com/office/drawing/2014/chart" uri="{C3380CC4-5D6E-409C-BE32-E72D297353CC}">
              <c16:uniqueId val="{00000002-5739-4DA4-9A14-6A12256FC549}"/>
            </c:ext>
          </c:extLst>
        </c:ser>
        <c:ser>
          <c:idx val="3"/>
          <c:order val="3"/>
          <c:tx>
            <c:strRef>
              <c:f>工作量分布!$O$73</c:f>
              <c:strCache>
                <c:ptCount val="1"/>
                <c:pt idx="0">
                  <c:v>测试过程</c:v>
                </c:pt>
              </c:strCache>
            </c:strRef>
          </c:tx>
          <c:cat>
            <c:strRef>
              <c:f>工作量分布!$P$69:$T$69</c:f>
              <c:strCache>
                <c:ptCount val="5"/>
                <c:pt idx="0">
                  <c:v>项目实际数据</c:v>
                </c:pt>
                <c:pt idx="2">
                  <c:v>LOL</c:v>
                </c:pt>
                <c:pt idx="3">
                  <c:v>OL</c:v>
                </c:pt>
                <c:pt idx="4">
                  <c:v>UCL</c:v>
                </c:pt>
              </c:strCache>
            </c:strRef>
          </c:cat>
          <c:val>
            <c:numRef>
              <c:f>工作量分布!$P$73:$T$73</c:f>
              <c:numCache>
                <c:formatCode>General</c:formatCode>
                <c:ptCount val="5"/>
                <c:pt idx="0" formatCode="0.0000_);[Red]\(0.0000\)">
                  <c:v>-0.10342228695902311</c:v>
                </c:pt>
                <c:pt idx="2">
                  <c:v>-0.38769999999999999</c:v>
                </c:pt>
                <c:pt idx="3">
                  <c:v>4.4999999999999997E-3</c:v>
                </c:pt>
                <c:pt idx="4">
                  <c:v>0.3967</c:v>
                </c:pt>
              </c:numCache>
            </c:numRef>
          </c:val>
          <c:smooth val="0"/>
          <c:extLst>
            <c:ext xmlns:c16="http://schemas.microsoft.com/office/drawing/2014/chart" uri="{C3380CC4-5D6E-409C-BE32-E72D297353CC}">
              <c16:uniqueId val="{00000003-5739-4DA4-9A14-6A12256FC549}"/>
            </c:ext>
          </c:extLst>
        </c:ser>
        <c:dLbls>
          <c:showLegendKey val="0"/>
          <c:showVal val="0"/>
          <c:showCatName val="0"/>
          <c:showSerName val="0"/>
          <c:showPercent val="0"/>
          <c:showBubbleSize val="0"/>
        </c:dLbls>
        <c:marker val="1"/>
        <c:smooth val="0"/>
        <c:axId val="195047808"/>
        <c:axId val="195049344"/>
      </c:lineChart>
      <c:catAx>
        <c:axId val="195047808"/>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95049344"/>
        <c:crosses val="autoZero"/>
        <c:auto val="1"/>
        <c:lblAlgn val="ctr"/>
        <c:lblOffset val="100"/>
        <c:noMultiLvlLbl val="0"/>
      </c:catAx>
      <c:valAx>
        <c:axId val="195049344"/>
        <c:scaling>
          <c:orientation val="minMax"/>
        </c:scaling>
        <c:delete val="0"/>
        <c:axPos val="l"/>
        <c:majorGridlines/>
        <c:numFmt formatCode="0.0000_);[Red]\(0.0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95047808"/>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估算之前的偏差</a:t>
            </a:r>
          </a:p>
        </c:rich>
      </c:tx>
      <c:overlay val="0"/>
    </c:title>
    <c:autoTitleDeleted val="0"/>
    <c:plotArea>
      <c:layout/>
      <c:barChart>
        <c:barDir val="col"/>
        <c:grouping val="clustered"/>
        <c:varyColors val="1"/>
        <c:ser>
          <c:idx val="0"/>
          <c:order val="0"/>
          <c:invertIfNegative val="0"/>
          <c:dPt>
            <c:idx val="0"/>
            <c:invertIfNegative val="0"/>
            <c:bubble3D val="0"/>
            <c:extLst>
              <c:ext xmlns:c16="http://schemas.microsoft.com/office/drawing/2014/chart" uri="{C3380CC4-5D6E-409C-BE32-E72D297353CC}">
                <c16:uniqueId val="{00000000-B1AA-4CD4-BA2C-3DD580C33FCA}"/>
              </c:ext>
            </c:extLst>
          </c:dPt>
          <c:dPt>
            <c:idx val="1"/>
            <c:invertIfNegative val="0"/>
            <c:bubble3D val="0"/>
            <c:extLst>
              <c:ext xmlns:c16="http://schemas.microsoft.com/office/drawing/2014/chart" uri="{C3380CC4-5D6E-409C-BE32-E72D297353CC}">
                <c16:uniqueId val="{00000001-B1AA-4CD4-BA2C-3DD580C33FCA}"/>
              </c:ext>
            </c:extLst>
          </c:dPt>
          <c:dPt>
            <c:idx val="2"/>
            <c:invertIfNegative val="0"/>
            <c:bubble3D val="0"/>
            <c:extLst>
              <c:ext xmlns:c16="http://schemas.microsoft.com/office/drawing/2014/chart" uri="{C3380CC4-5D6E-409C-BE32-E72D297353CC}">
                <c16:uniqueId val="{00000002-B1AA-4CD4-BA2C-3DD580C33FCA}"/>
              </c:ext>
            </c:extLst>
          </c:dPt>
          <c:dLbls>
            <c:numFmt formatCode="#,##0.00_);[Red]\(#,##0.0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项目进度!$A$55:$A$57</c:f>
              <c:strCache>
                <c:ptCount val="3"/>
                <c:pt idx="0">
                  <c:v>迭代一偏差</c:v>
                </c:pt>
                <c:pt idx="1">
                  <c:v>迭代二偏差</c:v>
                </c:pt>
                <c:pt idx="2">
                  <c:v>迭代三偏差</c:v>
                </c:pt>
              </c:strCache>
            </c:strRef>
          </c:cat>
          <c:val>
            <c:numRef>
              <c:f>项目进度!$F$55:$F$57</c:f>
              <c:numCache>
                <c:formatCode>0.00_);[Red]\(0.00\)</c:formatCode>
                <c:ptCount val="3"/>
                <c:pt idx="0">
                  <c:v>0</c:v>
                </c:pt>
                <c:pt idx="1">
                  <c:v>0</c:v>
                </c:pt>
                <c:pt idx="2">
                  <c:v>0</c:v>
                </c:pt>
              </c:numCache>
            </c:numRef>
          </c:val>
          <c:extLst>
            <c:ext xmlns:c16="http://schemas.microsoft.com/office/drawing/2014/chart" uri="{C3380CC4-5D6E-409C-BE32-E72D297353CC}">
              <c16:uniqueId val="{00000003-B1AA-4CD4-BA2C-3DD580C33FCA}"/>
            </c:ext>
          </c:extLst>
        </c:ser>
        <c:dLbls>
          <c:showLegendKey val="0"/>
          <c:showVal val="0"/>
          <c:showCatName val="0"/>
          <c:showSerName val="0"/>
          <c:showPercent val="0"/>
          <c:showBubbleSize val="0"/>
        </c:dLbls>
        <c:gapWidth val="150"/>
        <c:axId val="200866816"/>
        <c:axId val="261317376"/>
      </c:barChart>
      <c:catAx>
        <c:axId val="200866816"/>
        <c:scaling>
          <c:orientation val="minMax"/>
        </c:scaling>
        <c:delete val="1"/>
        <c:axPos val="b"/>
        <c:numFmt formatCode="General" sourceLinked="0"/>
        <c:majorTickMark val="out"/>
        <c:minorTickMark val="none"/>
        <c:tickLblPos val="nextTo"/>
        <c:crossAx val="261317376"/>
        <c:crosses val="autoZero"/>
        <c:auto val="1"/>
        <c:lblAlgn val="ctr"/>
        <c:lblOffset val="100"/>
        <c:noMultiLvlLbl val="0"/>
      </c:catAx>
      <c:valAx>
        <c:axId val="261317376"/>
        <c:scaling>
          <c:orientation val="minMax"/>
        </c:scaling>
        <c:delete val="0"/>
        <c:axPos val="l"/>
        <c:majorGridlines/>
        <c:numFmt formatCode="0.00_);[Red]\(0.00\)"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00866816"/>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进度偏差的控制图</a:t>
            </a:r>
            <a:endParaRPr lang="en-US" altLang="zh-CN"/>
          </a:p>
        </c:rich>
      </c:tx>
      <c:overlay val="0"/>
    </c:title>
    <c:autoTitleDeleted val="0"/>
    <c:plotArea>
      <c:layout/>
      <c:lineChart>
        <c:grouping val="standard"/>
        <c:varyColors val="0"/>
        <c:ser>
          <c:idx val="0"/>
          <c:order val="0"/>
          <c:tx>
            <c:strRef>
              <c:f>项目进度!$B$26</c:f>
              <c:strCache>
                <c:ptCount val="1"/>
                <c:pt idx="0">
                  <c:v>LOL</c:v>
                </c:pt>
              </c:strCache>
            </c:strRef>
          </c:tx>
          <c:cat>
            <c:strRef>
              <c:f>[0]!周次于画图</c:f>
              <c:strCache>
                <c:ptCount val="5"/>
                <c:pt idx="0">
                  <c:v>第1周</c:v>
                </c:pt>
                <c:pt idx="1">
                  <c:v>第2周</c:v>
                </c:pt>
                <c:pt idx="2">
                  <c:v>第3周</c:v>
                </c:pt>
                <c:pt idx="3">
                  <c:v>第4周</c:v>
                </c:pt>
                <c:pt idx="4">
                  <c:v>第5周</c:v>
                </c:pt>
              </c:strCache>
            </c:strRef>
          </c:cat>
          <c:val>
            <c:numRef>
              <c:f>[0]!进度偏差的下限于画图</c:f>
              <c:numCache>
                <c:formatCode>0.00%</c:formatCode>
                <c:ptCount val="5"/>
                <c:pt idx="0">
                  <c:v>-0.1037</c:v>
                </c:pt>
                <c:pt idx="1">
                  <c:v>-0.1037</c:v>
                </c:pt>
                <c:pt idx="2">
                  <c:v>-0.1037</c:v>
                </c:pt>
                <c:pt idx="3">
                  <c:v>-0.1037</c:v>
                </c:pt>
                <c:pt idx="4">
                  <c:v>-0.1037</c:v>
                </c:pt>
              </c:numCache>
            </c:numRef>
          </c:val>
          <c:smooth val="0"/>
          <c:extLst>
            <c:ext xmlns:c16="http://schemas.microsoft.com/office/drawing/2014/chart" uri="{C3380CC4-5D6E-409C-BE32-E72D297353CC}">
              <c16:uniqueId val="{00000000-2E4D-4A30-AAC7-06494685CBDC}"/>
            </c:ext>
          </c:extLst>
        </c:ser>
        <c:ser>
          <c:idx val="1"/>
          <c:order val="1"/>
          <c:tx>
            <c:strRef>
              <c:f>项目进度!$B$27</c:f>
              <c:strCache>
                <c:ptCount val="1"/>
                <c:pt idx="0">
                  <c:v>OL</c:v>
                </c:pt>
              </c:strCache>
            </c:strRef>
          </c:tx>
          <c:cat>
            <c:strRef>
              <c:f>[0]!周次于画图</c:f>
              <c:strCache>
                <c:ptCount val="5"/>
                <c:pt idx="0">
                  <c:v>第1周</c:v>
                </c:pt>
                <c:pt idx="1">
                  <c:v>第2周</c:v>
                </c:pt>
                <c:pt idx="2">
                  <c:v>第3周</c:v>
                </c:pt>
                <c:pt idx="3">
                  <c:v>第4周</c:v>
                </c:pt>
                <c:pt idx="4">
                  <c:v>第5周</c:v>
                </c:pt>
              </c:strCache>
            </c:strRef>
          </c:cat>
          <c:val>
            <c:numRef>
              <c:f>[0]!进度偏差的均值于画图</c:f>
              <c:numCache>
                <c:formatCode>0.00%</c:formatCode>
                <c:ptCount val="5"/>
                <c:pt idx="0">
                  <c:v>-1.7100000000000001E-2</c:v>
                </c:pt>
                <c:pt idx="1">
                  <c:v>-1.7100000000000001E-2</c:v>
                </c:pt>
                <c:pt idx="2">
                  <c:v>-1.7100000000000001E-2</c:v>
                </c:pt>
                <c:pt idx="3">
                  <c:v>-1.7100000000000001E-2</c:v>
                </c:pt>
                <c:pt idx="4">
                  <c:v>-1.7100000000000001E-2</c:v>
                </c:pt>
              </c:numCache>
            </c:numRef>
          </c:val>
          <c:smooth val="0"/>
          <c:extLst>
            <c:ext xmlns:c16="http://schemas.microsoft.com/office/drawing/2014/chart" uri="{C3380CC4-5D6E-409C-BE32-E72D297353CC}">
              <c16:uniqueId val="{00000001-2E4D-4A30-AAC7-06494685CBDC}"/>
            </c:ext>
          </c:extLst>
        </c:ser>
        <c:ser>
          <c:idx val="2"/>
          <c:order val="2"/>
          <c:tx>
            <c:strRef>
              <c:f>项目进度!$B$28</c:f>
              <c:strCache>
                <c:ptCount val="1"/>
                <c:pt idx="0">
                  <c:v>UOL</c:v>
                </c:pt>
              </c:strCache>
            </c:strRef>
          </c:tx>
          <c:cat>
            <c:strRef>
              <c:f>[0]!周次于画图</c:f>
              <c:strCache>
                <c:ptCount val="5"/>
                <c:pt idx="0">
                  <c:v>第1周</c:v>
                </c:pt>
                <c:pt idx="1">
                  <c:v>第2周</c:v>
                </c:pt>
                <c:pt idx="2">
                  <c:v>第3周</c:v>
                </c:pt>
                <c:pt idx="3">
                  <c:v>第4周</c:v>
                </c:pt>
                <c:pt idx="4">
                  <c:v>第5周</c:v>
                </c:pt>
              </c:strCache>
            </c:strRef>
          </c:cat>
          <c:val>
            <c:numRef>
              <c:f>[0]!进度偏差的上限于画图</c:f>
              <c:numCache>
                <c:formatCode>0.00%</c:formatCode>
                <c:ptCount val="5"/>
                <c:pt idx="0">
                  <c:v>6.9500000000000006E-2</c:v>
                </c:pt>
                <c:pt idx="1">
                  <c:v>6.9500000000000006E-2</c:v>
                </c:pt>
                <c:pt idx="2">
                  <c:v>6.9500000000000006E-2</c:v>
                </c:pt>
                <c:pt idx="3">
                  <c:v>6.9500000000000006E-2</c:v>
                </c:pt>
                <c:pt idx="4">
                  <c:v>6.9500000000000006E-2</c:v>
                </c:pt>
              </c:numCache>
            </c:numRef>
          </c:val>
          <c:smooth val="0"/>
          <c:extLst>
            <c:ext xmlns:c16="http://schemas.microsoft.com/office/drawing/2014/chart" uri="{C3380CC4-5D6E-409C-BE32-E72D297353CC}">
              <c16:uniqueId val="{00000002-2E4D-4A30-AAC7-06494685CBDC}"/>
            </c:ext>
          </c:extLst>
        </c:ser>
        <c:dLbls>
          <c:showLegendKey val="0"/>
          <c:showVal val="0"/>
          <c:showCatName val="0"/>
          <c:showSerName val="0"/>
          <c:showPercent val="0"/>
          <c:showBubbleSize val="0"/>
        </c:dLbls>
        <c:marker val="1"/>
        <c:smooth val="0"/>
        <c:axId val="265562368"/>
        <c:axId val="265564160"/>
      </c:lineChart>
      <c:catAx>
        <c:axId val="265562368"/>
        <c:scaling>
          <c:orientation val="minMax"/>
        </c:scaling>
        <c:delete val="0"/>
        <c:axPos val="b"/>
        <c:numFmt formatCode="General" sourceLinked="0"/>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5564160"/>
        <c:crosses val="autoZero"/>
        <c:auto val="1"/>
        <c:lblAlgn val="ctr"/>
        <c:lblOffset val="100"/>
        <c:noMultiLvlLbl val="0"/>
      </c:catAx>
      <c:valAx>
        <c:axId val="265564160"/>
        <c:scaling>
          <c:orientation val="minMax"/>
        </c:scaling>
        <c:delete val="0"/>
        <c:axPos val="l"/>
        <c:majorGridlines/>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5562368"/>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需求单位规模工期的控制图</a:t>
            </a:r>
            <a:endParaRPr lang="en-US" altLang="zh-CN"/>
          </a:p>
        </c:rich>
      </c:tx>
      <c:overlay val="0"/>
    </c:title>
    <c:autoTitleDeleted val="0"/>
    <c:plotArea>
      <c:layout/>
      <c:lineChart>
        <c:grouping val="standard"/>
        <c:varyColors val="0"/>
        <c:ser>
          <c:idx val="0"/>
          <c:order val="0"/>
          <c:tx>
            <c:strRef>
              <c:f>项目进度!$N$5</c:f>
              <c:strCache>
                <c:ptCount val="1"/>
                <c:pt idx="0">
                  <c:v>迭代需求 </c:v>
                </c:pt>
              </c:strCache>
            </c:strRef>
          </c:tx>
          <c:cat>
            <c:strRef>
              <c:f>项目进度!$M$6:$M$8</c:f>
              <c:strCache>
                <c:ptCount val="3"/>
                <c:pt idx="0">
                  <c:v>迭代一</c:v>
                </c:pt>
                <c:pt idx="1">
                  <c:v>迭代二 </c:v>
                </c:pt>
                <c:pt idx="2">
                  <c:v>迭代三</c:v>
                </c:pt>
              </c:strCache>
            </c:strRef>
          </c:cat>
          <c:val>
            <c:numRef>
              <c:f>项目进度!$N$6:$N$8</c:f>
              <c:numCache>
                <c:formatCode>General</c:formatCode>
                <c:ptCount val="3"/>
                <c:pt idx="0">
                  <c:v>1.6949152542372881E-2</c:v>
                </c:pt>
              </c:numCache>
            </c:numRef>
          </c:val>
          <c:smooth val="0"/>
          <c:extLst>
            <c:ext xmlns:c16="http://schemas.microsoft.com/office/drawing/2014/chart" uri="{C3380CC4-5D6E-409C-BE32-E72D297353CC}">
              <c16:uniqueId val="{00000000-D201-4931-8658-850731A2BDE3}"/>
            </c:ext>
          </c:extLst>
        </c:ser>
        <c:ser>
          <c:idx val="1"/>
          <c:order val="1"/>
          <c:tx>
            <c:strRef>
              <c:f>项目进度!$O$5</c:f>
              <c:strCache>
                <c:ptCount val="1"/>
                <c:pt idx="0">
                  <c:v>LOL</c:v>
                </c:pt>
              </c:strCache>
            </c:strRef>
          </c:tx>
          <c:cat>
            <c:strRef>
              <c:f>项目进度!$M$6:$M$8</c:f>
              <c:strCache>
                <c:ptCount val="3"/>
                <c:pt idx="0">
                  <c:v>迭代一</c:v>
                </c:pt>
                <c:pt idx="1">
                  <c:v>迭代二 </c:v>
                </c:pt>
                <c:pt idx="2">
                  <c:v>迭代三</c:v>
                </c:pt>
              </c:strCache>
            </c:strRef>
          </c:cat>
          <c:val>
            <c:numRef>
              <c:f>项目进度!$O$6:$O$8</c:f>
              <c:numCache>
                <c:formatCode>General</c:formatCode>
                <c:ptCount val="3"/>
                <c:pt idx="0">
                  <c:v>4.1000000000000003E-3</c:v>
                </c:pt>
                <c:pt idx="1">
                  <c:v>4.1000000000000003E-3</c:v>
                </c:pt>
                <c:pt idx="2">
                  <c:v>4.1000000000000003E-3</c:v>
                </c:pt>
              </c:numCache>
            </c:numRef>
          </c:val>
          <c:smooth val="0"/>
          <c:extLst>
            <c:ext xmlns:c16="http://schemas.microsoft.com/office/drawing/2014/chart" uri="{C3380CC4-5D6E-409C-BE32-E72D297353CC}">
              <c16:uniqueId val="{00000001-D201-4931-8658-850731A2BDE3}"/>
            </c:ext>
          </c:extLst>
        </c:ser>
        <c:ser>
          <c:idx val="2"/>
          <c:order val="2"/>
          <c:tx>
            <c:strRef>
              <c:f>项目进度!$P$5</c:f>
              <c:strCache>
                <c:ptCount val="1"/>
                <c:pt idx="0">
                  <c:v>OL</c:v>
                </c:pt>
              </c:strCache>
            </c:strRef>
          </c:tx>
          <c:cat>
            <c:strRef>
              <c:f>项目进度!$M$6:$M$8</c:f>
              <c:strCache>
                <c:ptCount val="3"/>
                <c:pt idx="0">
                  <c:v>迭代一</c:v>
                </c:pt>
                <c:pt idx="1">
                  <c:v>迭代二 </c:v>
                </c:pt>
                <c:pt idx="2">
                  <c:v>迭代三</c:v>
                </c:pt>
              </c:strCache>
            </c:strRef>
          </c:cat>
          <c:val>
            <c:numRef>
              <c:f>项目进度!$P$6:$P$8</c:f>
              <c:numCache>
                <c:formatCode>General</c:formatCode>
                <c:ptCount val="3"/>
                <c:pt idx="0">
                  <c:v>3.4099999999999998E-2</c:v>
                </c:pt>
                <c:pt idx="1">
                  <c:v>3.4099999999999998E-2</c:v>
                </c:pt>
                <c:pt idx="2">
                  <c:v>3.4099999999999998E-2</c:v>
                </c:pt>
              </c:numCache>
            </c:numRef>
          </c:val>
          <c:smooth val="0"/>
          <c:extLst>
            <c:ext xmlns:c16="http://schemas.microsoft.com/office/drawing/2014/chart" uri="{C3380CC4-5D6E-409C-BE32-E72D297353CC}">
              <c16:uniqueId val="{00000002-D201-4931-8658-850731A2BDE3}"/>
            </c:ext>
          </c:extLst>
        </c:ser>
        <c:ser>
          <c:idx val="3"/>
          <c:order val="3"/>
          <c:tx>
            <c:strRef>
              <c:f>项目进度!$Q$5</c:f>
              <c:strCache>
                <c:ptCount val="1"/>
                <c:pt idx="0">
                  <c:v>UOL</c:v>
                </c:pt>
              </c:strCache>
            </c:strRef>
          </c:tx>
          <c:cat>
            <c:strRef>
              <c:f>项目进度!$M$6:$M$8</c:f>
              <c:strCache>
                <c:ptCount val="3"/>
                <c:pt idx="0">
                  <c:v>迭代一</c:v>
                </c:pt>
                <c:pt idx="1">
                  <c:v>迭代二 </c:v>
                </c:pt>
                <c:pt idx="2">
                  <c:v>迭代三</c:v>
                </c:pt>
              </c:strCache>
            </c:strRef>
          </c:cat>
          <c:val>
            <c:numRef>
              <c:f>项目进度!$Q$6:$Q$8</c:f>
              <c:numCache>
                <c:formatCode>General</c:formatCode>
                <c:ptCount val="3"/>
                <c:pt idx="0">
                  <c:v>6.4100000000000004E-2</c:v>
                </c:pt>
                <c:pt idx="1">
                  <c:v>6.4100000000000004E-2</c:v>
                </c:pt>
                <c:pt idx="2">
                  <c:v>6.4100000000000004E-2</c:v>
                </c:pt>
              </c:numCache>
            </c:numRef>
          </c:val>
          <c:smooth val="0"/>
          <c:extLst>
            <c:ext xmlns:c16="http://schemas.microsoft.com/office/drawing/2014/chart" uri="{C3380CC4-5D6E-409C-BE32-E72D297353CC}">
              <c16:uniqueId val="{00000003-D201-4931-8658-850731A2BDE3}"/>
            </c:ext>
          </c:extLst>
        </c:ser>
        <c:dLbls>
          <c:showLegendKey val="0"/>
          <c:showVal val="0"/>
          <c:showCatName val="0"/>
          <c:showSerName val="0"/>
          <c:showPercent val="0"/>
          <c:showBubbleSize val="0"/>
        </c:dLbls>
        <c:marker val="1"/>
        <c:smooth val="0"/>
        <c:axId val="337195392"/>
        <c:axId val="337196928"/>
      </c:lineChart>
      <c:catAx>
        <c:axId val="337195392"/>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37196928"/>
        <c:crosses val="autoZero"/>
        <c:auto val="1"/>
        <c:lblAlgn val="ctr"/>
        <c:lblOffset val="100"/>
        <c:noMultiLvlLbl val="0"/>
      </c:catAx>
      <c:valAx>
        <c:axId val="337196928"/>
        <c:scaling>
          <c:orientation val="minMax"/>
        </c:scaling>
        <c:delete val="0"/>
        <c:axPos val="l"/>
        <c:majorGridlines/>
        <c:numFmt formatCode="General"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37195392"/>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开发单位规模工期的控率制图</a:t>
            </a:r>
            <a:endParaRPr lang="en-US" altLang="zh-CN"/>
          </a:p>
        </c:rich>
      </c:tx>
      <c:overlay val="0"/>
    </c:title>
    <c:autoTitleDeleted val="0"/>
    <c:plotArea>
      <c:layout>
        <c:manualLayout>
          <c:layoutTarget val="inner"/>
          <c:xMode val="edge"/>
          <c:yMode val="edge"/>
          <c:x val="0.16222372594050743"/>
          <c:y val="0.20794220658109056"/>
          <c:w val="0.79564946959755034"/>
          <c:h val="0.70268324176519736"/>
        </c:manualLayout>
      </c:layout>
      <c:lineChart>
        <c:grouping val="standard"/>
        <c:varyColors val="0"/>
        <c:ser>
          <c:idx val="0"/>
          <c:order val="0"/>
          <c:tx>
            <c:strRef>
              <c:f>项目进度!$N$26</c:f>
              <c:strCache>
                <c:ptCount val="1"/>
                <c:pt idx="0">
                  <c:v>迭代开发 </c:v>
                </c:pt>
              </c:strCache>
            </c:strRef>
          </c:tx>
          <c:cat>
            <c:strRef>
              <c:f>项目进度!$M$27:$M$29</c:f>
              <c:strCache>
                <c:ptCount val="3"/>
                <c:pt idx="0">
                  <c:v>迭代一</c:v>
                </c:pt>
                <c:pt idx="1">
                  <c:v>迭代二 </c:v>
                </c:pt>
                <c:pt idx="2">
                  <c:v>迭代三</c:v>
                </c:pt>
              </c:strCache>
            </c:strRef>
          </c:cat>
          <c:val>
            <c:numRef>
              <c:f>项目进度!$N$27:$N$29</c:f>
              <c:numCache>
                <c:formatCode>General</c:formatCode>
                <c:ptCount val="3"/>
                <c:pt idx="0">
                  <c:v>0.20338983050847459</c:v>
                </c:pt>
                <c:pt idx="1">
                  <c:v>0</c:v>
                </c:pt>
                <c:pt idx="2">
                  <c:v>0</c:v>
                </c:pt>
              </c:numCache>
            </c:numRef>
          </c:val>
          <c:smooth val="0"/>
          <c:extLst>
            <c:ext xmlns:c16="http://schemas.microsoft.com/office/drawing/2014/chart" uri="{C3380CC4-5D6E-409C-BE32-E72D297353CC}">
              <c16:uniqueId val="{00000000-9FA7-40B0-8694-13CDC09FB568}"/>
            </c:ext>
          </c:extLst>
        </c:ser>
        <c:ser>
          <c:idx val="1"/>
          <c:order val="1"/>
          <c:tx>
            <c:strRef>
              <c:f>项目进度!$O$26</c:f>
              <c:strCache>
                <c:ptCount val="1"/>
                <c:pt idx="0">
                  <c:v>LOL</c:v>
                </c:pt>
              </c:strCache>
            </c:strRef>
          </c:tx>
          <c:cat>
            <c:strRef>
              <c:f>项目进度!$M$27:$M$29</c:f>
              <c:strCache>
                <c:ptCount val="3"/>
                <c:pt idx="0">
                  <c:v>迭代一</c:v>
                </c:pt>
                <c:pt idx="1">
                  <c:v>迭代二 </c:v>
                </c:pt>
                <c:pt idx="2">
                  <c:v>迭代三</c:v>
                </c:pt>
              </c:strCache>
            </c:strRef>
          </c:cat>
          <c:val>
            <c:numRef>
              <c:f>项目进度!$O$27:$O$29</c:f>
              <c:numCache>
                <c:formatCode>General</c:formatCode>
                <c:ptCount val="3"/>
                <c:pt idx="0">
                  <c:v>2.0000000000000001E-4</c:v>
                </c:pt>
                <c:pt idx="1">
                  <c:v>2.0000000000000001E-4</c:v>
                </c:pt>
                <c:pt idx="2">
                  <c:v>2.0000000000000001E-4</c:v>
                </c:pt>
              </c:numCache>
            </c:numRef>
          </c:val>
          <c:smooth val="0"/>
          <c:extLst>
            <c:ext xmlns:c16="http://schemas.microsoft.com/office/drawing/2014/chart" uri="{C3380CC4-5D6E-409C-BE32-E72D297353CC}">
              <c16:uniqueId val="{00000001-9FA7-40B0-8694-13CDC09FB568}"/>
            </c:ext>
          </c:extLst>
        </c:ser>
        <c:ser>
          <c:idx val="2"/>
          <c:order val="2"/>
          <c:tx>
            <c:strRef>
              <c:f>项目进度!$P$26</c:f>
              <c:strCache>
                <c:ptCount val="1"/>
                <c:pt idx="0">
                  <c:v>OL</c:v>
                </c:pt>
              </c:strCache>
            </c:strRef>
          </c:tx>
          <c:cat>
            <c:strRef>
              <c:f>项目进度!$M$27:$M$29</c:f>
              <c:strCache>
                <c:ptCount val="3"/>
                <c:pt idx="0">
                  <c:v>迭代一</c:v>
                </c:pt>
                <c:pt idx="1">
                  <c:v>迭代二 </c:v>
                </c:pt>
                <c:pt idx="2">
                  <c:v>迭代三</c:v>
                </c:pt>
              </c:strCache>
            </c:strRef>
          </c:cat>
          <c:val>
            <c:numRef>
              <c:f>项目进度!$P$27:$P$29</c:f>
              <c:numCache>
                <c:formatCode>General</c:formatCode>
                <c:ptCount val="3"/>
                <c:pt idx="0">
                  <c:v>0.26900000000000002</c:v>
                </c:pt>
                <c:pt idx="1">
                  <c:v>0.26900000000000002</c:v>
                </c:pt>
                <c:pt idx="2">
                  <c:v>0.26900000000000002</c:v>
                </c:pt>
              </c:numCache>
            </c:numRef>
          </c:val>
          <c:smooth val="0"/>
          <c:extLst>
            <c:ext xmlns:c16="http://schemas.microsoft.com/office/drawing/2014/chart" uri="{C3380CC4-5D6E-409C-BE32-E72D297353CC}">
              <c16:uniqueId val="{00000002-9FA7-40B0-8694-13CDC09FB568}"/>
            </c:ext>
          </c:extLst>
        </c:ser>
        <c:ser>
          <c:idx val="3"/>
          <c:order val="3"/>
          <c:tx>
            <c:strRef>
              <c:f>项目进度!$Q$26</c:f>
              <c:strCache>
                <c:ptCount val="1"/>
                <c:pt idx="0">
                  <c:v>UOL</c:v>
                </c:pt>
              </c:strCache>
            </c:strRef>
          </c:tx>
          <c:cat>
            <c:strRef>
              <c:f>项目进度!$M$27:$M$29</c:f>
              <c:strCache>
                <c:ptCount val="3"/>
                <c:pt idx="0">
                  <c:v>迭代一</c:v>
                </c:pt>
                <c:pt idx="1">
                  <c:v>迭代二 </c:v>
                </c:pt>
                <c:pt idx="2">
                  <c:v>迭代三</c:v>
                </c:pt>
              </c:strCache>
            </c:strRef>
          </c:cat>
          <c:val>
            <c:numRef>
              <c:f>项目进度!$Q$27:$Q$29</c:f>
              <c:numCache>
                <c:formatCode>General</c:formatCode>
                <c:ptCount val="3"/>
                <c:pt idx="0">
                  <c:v>0.53779999999999994</c:v>
                </c:pt>
                <c:pt idx="1">
                  <c:v>0.53779999999999994</c:v>
                </c:pt>
                <c:pt idx="2">
                  <c:v>0.53779999999999994</c:v>
                </c:pt>
              </c:numCache>
            </c:numRef>
          </c:val>
          <c:smooth val="0"/>
          <c:extLst>
            <c:ext xmlns:c16="http://schemas.microsoft.com/office/drawing/2014/chart" uri="{C3380CC4-5D6E-409C-BE32-E72D297353CC}">
              <c16:uniqueId val="{00000003-9FA7-40B0-8694-13CDC09FB568}"/>
            </c:ext>
          </c:extLst>
        </c:ser>
        <c:dLbls>
          <c:showLegendKey val="0"/>
          <c:showVal val="0"/>
          <c:showCatName val="0"/>
          <c:showSerName val="0"/>
          <c:showPercent val="0"/>
          <c:showBubbleSize val="0"/>
        </c:dLbls>
        <c:marker val="1"/>
        <c:smooth val="0"/>
        <c:axId val="300027264"/>
        <c:axId val="300033152"/>
      </c:lineChart>
      <c:catAx>
        <c:axId val="300027264"/>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0033152"/>
        <c:crosses val="autoZero"/>
        <c:auto val="1"/>
        <c:lblAlgn val="ctr"/>
        <c:lblOffset val="100"/>
        <c:noMultiLvlLbl val="0"/>
      </c:catAx>
      <c:valAx>
        <c:axId val="300033152"/>
        <c:scaling>
          <c:orientation val="minMax"/>
        </c:scaling>
        <c:delete val="0"/>
        <c:axPos val="l"/>
        <c:majorGridlines/>
        <c:numFmt formatCode="General"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0027264"/>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lgn="ctr">
              <a:defRPr lang="zh-CN" sz="1800" b="1" i="0" u="none" strike="noStrike" kern="1200" baseline="0">
                <a:solidFill>
                  <a:schemeClr val="tx1"/>
                </a:solidFill>
                <a:latin typeface="+mn-lt"/>
                <a:ea typeface="+mn-ea"/>
                <a:cs typeface="+mn-cs"/>
              </a:defRPr>
            </a:pPr>
            <a:r>
              <a:rPr lang="zh-CN" altLang="en-US"/>
              <a:t>测试单位规模工期的控率制图</a:t>
            </a:r>
            <a:endParaRPr lang="en-US" altLang="zh-CN"/>
          </a:p>
        </c:rich>
      </c:tx>
      <c:layout>
        <c:manualLayout>
          <c:xMode val="edge"/>
          <c:yMode val="edge"/>
          <c:x val="0.17802944553805775"/>
          <c:y val="3.0010718113612004E-2"/>
        </c:manualLayout>
      </c:layout>
      <c:overlay val="0"/>
    </c:title>
    <c:autoTitleDeleted val="0"/>
    <c:plotArea>
      <c:layout/>
      <c:lineChart>
        <c:grouping val="standard"/>
        <c:varyColors val="0"/>
        <c:ser>
          <c:idx val="0"/>
          <c:order val="0"/>
          <c:tx>
            <c:strRef>
              <c:f>项目进度!$N$41</c:f>
              <c:strCache>
                <c:ptCount val="1"/>
                <c:pt idx="0">
                  <c:v>迭代测试 </c:v>
                </c:pt>
              </c:strCache>
            </c:strRef>
          </c:tx>
          <c:cat>
            <c:strRef>
              <c:f>项目进度!$M$42:$M$49</c:f>
              <c:strCache>
                <c:ptCount val="3"/>
                <c:pt idx="0">
                  <c:v>迭代一</c:v>
                </c:pt>
                <c:pt idx="1">
                  <c:v>迭代二 </c:v>
                </c:pt>
                <c:pt idx="2">
                  <c:v>迭代三 </c:v>
                </c:pt>
              </c:strCache>
            </c:strRef>
          </c:cat>
          <c:val>
            <c:numRef>
              <c:f>项目进度!$N$42:$N$49</c:f>
              <c:numCache>
                <c:formatCode>General</c:formatCode>
                <c:ptCount val="3"/>
                <c:pt idx="0">
                  <c:v>0.11864406779661017</c:v>
                </c:pt>
                <c:pt idx="1">
                  <c:v>0</c:v>
                </c:pt>
                <c:pt idx="2">
                  <c:v>0</c:v>
                </c:pt>
              </c:numCache>
            </c:numRef>
          </c:val>
          <c:smooth val="0"/>
          <c:extLst>
            <c:ext xmlns:c16="http://schemas.microsoft.com/office/drawing/2014/chart" uri="{C3380CC4-5D6E-409C-BE32-E72D297353CC}">
              <c16:uniqueId val="{00000000-DA46-4772-B115-2C512DE2DC88}"/>
            </c:ext>
          </c:extLst>
        </c:ser>
        <c:ser>
          <c:idx val="1"/>
          <c:order val="1"/>
          <c:tx>
            <c:strRef>
              <c:f>项目进度!$O$41</c:f>
              <c:strCache>
                <c:ptCount val="1"/>
                <c:pt idx="0">
                  <c:v>LOL</c:v>
                </c:pt>
              </c:strCache>
            </c:strRef>
          </c:tx>
          <c:cat>
            <c:strRef>
              <c:f>项目进度!$M$42:$M$49</c:f>
              <c:strCache>
                <c:ptCount val="3"/>
                <c:pt idx="0">
                  <c:v>迭代一</c:v>
                </c:pt>
                <c:pt idx="1">
                  <c:v>迭代二 </c:v>
                </c:pt>
                <c:pt idx="2">
                  <c:v>迭代三 </c:v>
                </c:pt>
              </c:strCache>
            </c:strRef>
          </c:cat>
          <c:val>
            <c:numRef>
              <c:f>项目进度!$O$42:$O$49</c:f>
              <c:numCache>
                <c:formatCode>General</c:formatCode>
                <c:ptCount val="3"/>
                <c:pt idx="0">
                  <c:v>8.9999999999999998E-4</c:v>
                </c:pt>
                <c:pt idx="1">
                  <c:v>8.9999999999999998E-4</c:v>
                </c:pt>
                <c:pt idx="2">
                  <c:v>8.9999999999999998E-4</c:v>
                </c:pt>
              </c:numCache>
            </c:numRef>
          </c:val>
          <c:smooth val="0"/>
          <c:extLst>
            <c:ext xmlns:c16="http://schemas.microsoft.com/office/drawing/2014/chart" uri="{C3380CC4-5D6E-409C-BE32-E72D297353CC}">
              <c16:uniqueId val="{00000001-DA46-4772-B115-2C512DE2DC88}"/>
            </c:ext>
          </c:extLst>
        </c:ser>
        <c:ser>
          <c:idx val="2"/>
          <c:order val="2"/>
          <c:tx>
            <c:strRef>
              <c:f>项目进度!$P$41</c:f>
              <c:strCache>
                <c:ptCount val="1"/>
                <c:pt idx="0">
                  <c:v>OL</c:v>
                </c:pt>
              </c:strCache>
            </c:strRef>
          </c:tx>
          <c:cat>
            <c:strRef>
              <c:f>项目进度!$M$42:$M$49</c:f>
              <c:strCache>
                <c:ptCount val="3"/>
                <c:pt idx="0">
                  <c:v>迭代一</c:v>
                </c:pt>
                <c:pt idx="1">
                  <c:v>迭代二 </c:v>
                </c:pt>
                <c:pt idx="2">
                  <c:v>迭代三 </c:v>
                </c:pt>
              </c:strCache>
            </c:strRef>
          </c:cat>
          <c:val>
            <c:numRef>
              <c:f>项目进度!$P$42:$P$49</c:f>
              <c:numCache>
                <c:formatCode>General</c:formatCode>
                <c:ptCount val="3"/>
                <c:pt idx="0">
                  <c:v>0.2019</c:v>
                </c:pt>
                <c:pt idx="1">
                  <c:v>0.2019</c:v>
                </c:pt>
                <c:pt idx="2">
                  <c:v>0.2019</c:v>
                </c:pt>
              </c:numCache>
            </c:numRef>
          </c:val>
          <c:smooth val="0"/>
          <c:extLst>
            <c:ext xmlns:c16="http://schemas.microsoft.com/office/drawing/2014/chart" uri="{C3380CC4-5D6E-409C-BE32-E72D297353CC}">
              <c16:uniqueId val="{00000002-DA46-4772-B115-2C512DE2DC88}"/>
            </c:ext>
          </c:extLst>
        </c:ser>
        <c:ser>
          <c:idx val="3"/>
          <c:order val="3"/>
          <c:tx>
            <c:strRef>
              <c:f>项目进度!$Q$41</c:f>
              <c:strCache>
                <c:ptCount val="1"/>
                <c:pt idx="0">
                  <c:v>UOL</c:v>
                </c:pt>
              </c:strCache>
            </c:strRef>
          </c:tx>
          <c:cat>
            <c:strRef>
              <c:f>项目进度!$M$42:$M$49</c:f>
              <c:strCache>
                <c:ptCount val="3"/>
                <c:pt idx="0">
                  <c:v>迭代一</c:v>
                </c:pt>
                <c:pt idx="1">
                  <c:v>迭代二 </c:v>
                </c:pt>
                <c:pt idx="2">
                  <c:v>迭代三 </c:v>
                </c:pt>
              </c:strCache>
            </c:strRef>
          </c:cat>
          <c:val>
            <c:numRef>
              <c:f>项目进度!$Q$42:$Q$49</c:f>
              <c:numCache>
                <c:formatCode>General</c:formatCode>
                <c:ptCount val="3"/>
                <c:pt idx="0">
                  <c:v>0.40289999999999998</c:v>
                </c:pt>
                <c:pt idx="1">
                  <c:v>0.40289999999999998</c:v>
                </c:pt>
                <c:pt idx="2">
                  <c:v>0.40289999999999998</c:v>
                </c:pt>
              </c:numCache>
            </c:numRef>
          </c:val>
          <c:smooth val="0"/>
          <c:extLst>
            <c:ext xmlns:c16="http://schemas.microsoft.com/office/drawing/2014/chart" uri="{C3380CC4-5D6E-409C-BE32-E72D297353CC}">
              <c16:uniqueId val="{00000003-DA46-4772-B115-2C512DE2DC88}"/>
            </c:ext>
          </c:extLst>
        </c:ser>
        <c:dLbls>
          <c:showLegendKey val="0"/>
          <c:showVal val="0"/>
          <c:showCatName val="0"/>
          <c:showSerName val="0"/>
          <c:showPercent val="0"/>
          <c:showBubbleSize val="0"/>
        </c:dLbls>
        <c:marker val="1"/>
        <c:smooth val="0"/>
        <c:axId val="336252288"/>
        <c:axId val="337210368"/>
      </c:lineChart>
      <c:catAx>
        <c:axId val="336252288"/>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37210368"/>
        <c:crosses val="autoZero"/>
        <c:auto val="1"/>
        <c:lblAlgn val="ctr"/>
        <c:lblOffset val="100"/>
        <c:noMultiLvlLbl val="0"/>
      </c:catAx>
      <c:valAx>
        <c:axId val="337210368"/>
        <c:scaling>
          <c:orientation val="minMax"/>
        </c:scaling>
        <c:delete val="0"/>
        <c:axPos val="l"/>
        <c:majorGridlines/>
        <c:numFmt formatCode="General"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36252288"/>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客户需求评审缺陷密度的控制图</a:t>
            </a:r>
            <a:endParaRPr lang="en-US" altLang="zh-CN"/>
          </a:p>
        </c:rich>
      </c:tx>
      <c:overlay val="0"/>
    </c:title>
    <c:autoTitleDeleted val="0"/>
    <c:plotArea>
      <c:layout/>
      <c:lineChart>
        <c:grouping val="standard"/>
        <c:varyColors val="0"/>
        <c:ser>
          <c:idx val="0"/>
          <c:order val="0"/>
          <c:tx>
            <c:strRef>
              <c:f>过程产出缺陷度量!$N$7</c:f>
              <c:strCache>
                <c:ptCount val="1"/>
                <c:pt idx="0">
                  <c:v>LOL</c:v>
                </c:pt>
              </c:strCache>
            </c:strRef>
          </c:tx>
          <c:cat>
            <c:strRef>
              <c:f>[0]!客户需求评审次数</c:f>
              <c:strCache>
                <c:ptCount val="1"/>
                <c:pt idx="0">
                  <c:v>第1次评审</c:v>
                </c:pt>
              </c:strCache>
            </c:strRef>
          </c:cat>
          <c:val>
            <c:numRef>
              <c:f>[0]!客户需求评审缺陷密度的下限</c:f>
              <c:numCache>
                <c:formatCode>0.0000_ </c:formatCode>
                <c:ptCount val="1"/>
                <c:pt idx="0">
                  <c:v>0</c:v>
                </c:pt>
              </c:numCache>
            </c:numRef>
          </c:val>
          <c:smooth val="0"/>
          <c:extLst>
            <c:ext xmlns:c16="http://schemas.microsoft.com/office/drawing/2014/chart" uri="{C3380CC4-5D6E-409C-BE32-E72D297353CC}">
              <c16:uniqueId val="{00000000-3E2C-4D70-A287-FFAA2A1B744B}"/>
            </c:ext>
          </c:extLst>
        </c:ser>
        <c:ser>
          <c:idx val="1"/>
          <c:order val="1"/>
          <c:tx>
            <c:strRef>
              <c:f>过程产出缺陷度量!$O$7</c:f>
              <c:strCache>
                <c:ptCount val="1"/>
                <c:pt idx="0">
                  <c:v>OL</c:v>
                </c:pt>
              </c:strCache>
            </c:strRef>
          </c:tx>
          <c:cat>
            <c:strRef>
              <c:f>[0]!客户需求评审次数</c:f>
              <c:strCache>
                <c:ptCount val="1"/>
                <c:pt idx="0">
                  <c:v>第1次评审</c:v>
                </c:pt>
              </c:strCache>
            </c:strRef>
          </c:cat>
          <c:val>
            <c:numRef>
              <c:f>[0]!客户需求评审缺陷密度的均值</c:f>
              <c:numCache>
                <c:formatCode>0.0000_ </c:formatCode>
                <c:ptCount val="1"/>
                <c:pt idx="0">
                  <c:v>0.21110000000000001</c:v>
                </c:pt>
              </c:numCache>
            </c:numRef>
          </c:val>
          <c:smooth val="0"/>
          <c:extLst>
            <c:ext xmlns:c16="http://schemas.microsoft.com/office/drawing/2014/chart" uri="{C3380CC4-5D6E-409C-BE32-E72D297353CC}">
              <c16:uniqueId val="{00000001-3E2C-4D70-A287-FFAA2A1B744B}"/>
            </c:ext>
          </c:extLst>
        </c:ser>
        <c:ser>
          <c:idx val="2"/>
          <c:order val="2"/>
          <c:tx>
            <c:strRef>
              <c:f>过程产出缺陷度量!$P$7</c:f>
              <c:strCache>
                <c:ptCount val="1"/>
                <c:pt idx="0">
                  <c:v>UOL</c:v>
                </c:pt>
              </c:strCache>
            </c:strRef>
          </c:tx>
          <c:cat>
            <c:strRef>
              <c:f>[0]!客户需求评审次数</c:f>
              <c:strCache>
                <c:ptCount val="1"/>
                <c:pt idx="0">
                  <c:v>第1次评审</c:v>
                </c:pt>
              </c:strCache>
            </c:strRef>
          </c:cat>
          <c:val>
            <c:numRef>
              <c:f>[0]!客户需求评审缺陷密度的上限</c:f>
              <c:numCache>
                <c:formatCode>0.0000_ </c:formatCode>
                <c:ptCount val="1"/>
                <c:pt idx="0">
                  <c:v>0.627</c:v>
                </c:pt>
              </c:numCache>
            </c:numRef>
          </c:val>
          <c:smooth val="0"/>
          <c:extLst>
            <c:ext xmlns:c16="http://schemas.microsoft.com/office/drawing/2014/chart" uri="{C3380CC4-5D6E-409C-BE32-E72D297353CC}">
              <c16:uniqueId val="{00000002-3E2C-4D70-A287-FFAA2A1B744B}"/>
            </c:ext>
          </c:extLst>
        </c:ser>
        <c:ser>
          <c:idx val="3"/>
          <c:order val="3"/>
          <c:tx>
            <c:v>项目数据</c:v>
          </c:tx>
          <c:cat>
            <c:strRef>
              <c:f>[0]!客户需求评审次数</c:f>
              <c:strCache>
                <c:ptCount val="1"/>
                <c:pt idx="0">
                  <c:v>第1次评审</c:v>
                </c:pt>
              </c:strCache>
            </c:strRef>
          </c:cat>
          <c:val>
            <c:numRef>
              <c:f>[0]!客户需求评审缺陷密度</c:f>
              <c:numCache>
                <c:formatCode>0.000_ </c:formatCode>
                <c:ptCount val="1"/>
                <c:pt idx="0">
                  <c:v>8.8235294117647065E-2</c:v>
                </c:pt>
              </c:numCache>
            </c:numRef>
          </c:val>
          <c:smooth val="0"/>
          <c:extLst>
            <c:ext xmlns:c16="http://schemas.microsoft.com/office/drawing/2014/chart" uri="{C3380CC4-5D6E-409C-BE32-E72D297353CC}">
              <c16:uniqueId val="{00000003-3E2C-4D70-A287-FFAA2A1B744B}"/>
            </c:ext>
          </c:extLst>
        </c:ser>
        <c:dLbls>
          <c:showLegendKey val="0"/>
          <c:showVal val="0"/>
          <c:showCatName val="0"/>
          <c:showSerName val="0"/>
          <c:showPercent val="0"/>
          <c:showBubbleSize val="0"/>
        </c:dLbls>
        <c:marker val="1"/>
        <c:smooth val="0"/>
        <c:axId val="266142464"/>
        <c:axId val="266144000"/>
      </c:lineChart>
      <c:catAx>
        <c:axId val="266142464"/>
        <c:scaling>
          <c:orientation val="minMax"/>
        </c:scaling>
        <c:delete val="0"/>
        <c:axPos val="b"/>
        <c:numFmt formatCode="General" sourceLinked="0"/>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6144000"/>
        <c:crosses val="autoZero"/>
        <c:auto val="1"/>
        <c:lblAlgn val="ctr"/>
        <c:lblOffset val="100"/>
        <c:noMultiLvlLbl val="0"/>
      </c:catAx>
      <c:valAx>
        <c:axId val="266144000"/>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6142464"/>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需求规格评审缺陷密度的控制图</a:t>
            </a:r>
            <a:endParaRPr lang="en-US" altLang="zh-CN"/>
          </a:p>
        </c:rich>
      </c:tx>
      <c:overlay val="0"/>
    </c:title>
    <c:autoTitleDeleted val="0"/>
    <c:plotArea>
      <c:layout/>
      <c:lineChart>
        <c:grouping val="standard"/>
        <c:varyColors val="0"/>
        <c:ser>
          <c:idx val="0"/>
          <c:order val="0"/>
          <c:tx>
            <c:strRef>
              <c:f>过程产出缺陷度量!$N$29</c:f>
              <c:strCache>
                <c:ptCount val="1"/>
                <c:pt idx="0">
                  <c:v>LOL</c:v>
                </c:pt>
              </c:strCache>
            </c:strRef>
          </c:tx>
          <c:cat>
            <c:strRef>
              <c:f>[0]!需求规格评审次数于画图</c:f>
              <c:strCache>
                <c:ptCount val="4"/>
                <c:pt idx="0">
                  <c:v>第1次评审</c:v>
                </c:pt>
                <c:pt idx="1">
                  <c:v>第2次评审</c:v>
                </c:pt>
                <c:pt idx="2">
                  <c:v>第3次评审</c:v>
                </c:pt>
                <c:pt idx="3">
                  <c:v>第4次评审</c:v>
                </c:pt>
              </c:strCache>
            </c:strRef>
          </c:cat>
          <c:val>
            <c:numRef>
              <c:f>[0]!需求规格评审缺陷密度的下限于画图</c:f>
              <c:numCache>
                <c:formatCode>0.0000_ </c:formatCode>
                <c:ptCount val="4"/>
                <c:pt idx="0">
                  <c:v>0</c:v>
                </c:pt>
                <c:pt idx="1">
                  <c:v>0</c:v>
                </c:pt>
                <c:pt idx="2">
                  <c:v>0</c:v>
                </c:pt>
                <c:pt idx="3">
                  <c:v>0</c:v>
                </c:pt>
              </c:numCache>
            </c:numRef>
          </c:val>
          <c:smooth val="0"/>
          <c:extLst>
            <c:ext xmlns:c16="http://schemas.microsoft.com/office/drawing/2014/chart" uri="{C3380CC4-5D6E-409C-BE32-E72D297353CC}">
              <c16:uniqueId val="{00000000-FF31-498E-9A75-C54BD4C033CA}"/>
            </c:ext>
          </c:extLst>
        </c:ser>
        <c:ser>
          <c:idx val="1"/>
          <c:order val="1"/>
          <c:tx>
            <c:strRef>
              <c:f>过程产出缺陷度量!$O$29</c:f>
              <c:strCache>
                <c:ptCount val="1"/>
                <c:pt idx="0">
                  <c:v>OL</c:v>
                </c:pt>
              </c:strCache>
            </c:strRef>
          </c:tx>
          <c:cat>
            <c:strRef>
              <c:f>[0]!需求规格评审次数于画图</c:f>
              <c:strCache>
                <c:ptCount val="4"/>
                <c:pt idx="0">
                  <c:v>第1次评审</c:v>
                </c:pt>
                <c:pt idx="1">
                  <c:v>第2次评审</c:v>
                </c:pt>
                <c:pt idx="2">
                  <c:v>第3次评审</c:v>
                </c:pt>
                <c:pt idx="3">
                  <c:v>第4次评审</c:v>
                </c:pt>
              </c:strCache>
            </c:strRef>
          </c:cat>
          <c:val>
            <c:numRef>
              <c:f>[0]!需求规格评审缺陷密度的均值于画图</c:f>
              <c:numCache>
                <c:formatCode>0.0000_ </c:formatCode>
                <c:ptCount val="4"/>
                <c:pt idx="0">
                  <c:v>7.5399999999999995E-2</c:v>
                </c:pt>
                <c:pt idx="1">
                  <c:v>7.5399999999999995E-2</c:v>
                </c:pt>
                <c:pt idx="2">
                  <c:v>7.5399999999999995E-2</c:v>
                </c:pt>
                <c:pt idx="3">
                  <c:v>7.5399999999999995E-2</c:v>
                </c:pt>
              </c:numCache>
            </c:numRef>
          </c:val>
          <c:smooth val="0"/>
          <c:extLst>
            <c:ext xmlns:c16="http://schemas.microsoft.com/office/drawing/2014/chart" uri="{C3380CC4-5D6E-409C-BE32-E72D297353CC}">
              <c16:uniqueId val="{00000001-FF31-498E-9A75-C54BD4C033CA}"/>
            </c:ext>
          </c:extLst>
        </c:ser>
        <c:ser>
          <c:idx val="2"/>
          <c:order val="2"/>
          <c:tx>
            <c:strRef>
              <c:f>过程产出缺陷度量!$P$29</c:f>
              <c:strCache>
                <c:ptCount val="1"/>
                <c:pt idx="0">
                  <c:v>UOL</c:v>
                </c:pt>
              </c:strCache>
            </c:strRef>
          </c:tx>
          <c:cat>
            <c:strRef>
              <c:f>[0]!需求规格评审次数于画图</c:f>
              <c:strCache>
                <c:ptCount val="4"/>
                <c:pt idx="0">
                  <c:v>第1次评审</c:v>
                </c:pt>
                <c:pt idx="1">
                  <c:v>第2次评审</c:v>
                </c:pt>
                <c:pt idx="2">
                  <c:v>第3次评审</c:v>
                </c:pt>
                <c:pt idx="3">
                  <c:v>第4次评审</c:v>
                </c:pt>
              </c:strCache>
            </c:strRef>
          </c:cat>
          <c:val>
            <c:numRef>
              <c:f>[0]!需求规格评审缺陷密度的上限于画图</c:f>
              <c:numCache>
                <c:formatCode>0.0000_ </c:formatCode>
                <c:ptCount val="4"/>
                <c:pt idx="0">
                  <c:v>0.2273</c:v>
                </c:pt>
                <c:pt idx="1">
                  <c:v>0.2273</c:v>
                </c:pt>
                <c:pt idx="2">
                  <c:v>0.2273</c:v>
                </c:pt>
                <c:pt idx="3">
                  <c:v>0.2273</c:v>
                </c:pt>
              </c:numCache>
            </c:numRef>
          </c:val>
          <c:smooth val="0"/>
          <c:extLst>
            <c:ext xmlns:c16="http://schemas.microsoft.com/office/drawing/2014/chart" uri="{C3380CC4-5D6E-409C-BE32-E72D297353CC}">
              <c16:uniqueId val="{00000002-FF31-498E-9A75-C54BD4C033CA}"/>
            </c:ext>
          </c:extLst>
        </c:ser>
        <c:ser>
          <c:idx val="3"/>
          <c:order val="3"/>
          <c:tx>
            <c:v>项目数据</c:v>
          </c:tx>
          <c:cat>
            <c:strRef>
              <c:f>[0]!需求规格评审次数于画图</c:f>
              <c:strCache>
                <c:ptCount val="4"/>
                <c:pt idx="0">
                  <c:v>第1次评审</c:v>
                </c:pt>
                <c:pt idx="1">
                  <c:v>第2次评审</c:v>
                </c:pt>
                <c:pt idx="2">
                  <c:v>第3次评审</c:v>
                </c:pt>
                <c:pt idx="3">
                  <c:v>第4次评审</c:v>
                </c:pt>
              </c:strCache>
            </c:strRef>
          </c:cat>
          <c:val>
            <c:numRef>
              <c:f>[0]!需求规格评审缺陷密度于画图</c:f>
              <c:numCache>
                <c:formatCode>0.000_ </c:formatCode>
                <c:ptCount val="4"/>
                <c:pt idx="0">
                  <c:v>0</c:v>
                </c:pt>
                <c:pt idx="1">
                  <c:v>0</c:v>
                </c:pt>
                <c:pt idx="2">
                  <c:v>0</c:v>
                </c:pt>
                <c:pt idx="3">
                  <c:v>0</c:v>
                </c:pt>
              </c:numCache>
            </c:numRef>
          </c:val>
          <c:smooth val="0"/>
          <c:extLst>
            <c:ext xmlns:c16="http://schemas.microsoft.com/office/drawing/2014/chart" uri="{C3380CC4-5D6E-409C-BE32-E72D297353CC}">
              <c16:uniqueId val="{00000003-FF31-498E-9A75-C54BD4C033CA}"/>
            </c:ext>
          </c:extLst>
        </c:ser>
        <c:dLbls>
          <c:showLegendKey val="0"/>
          <c:showVal val="0"/>
          <c:showCatName val="0"/>
          <c:showSerName val="0"/>
          <c:showPercent val="0"/>
          <c:showBubbleSize val="0"/>
        </c:dLbls>
        <c:marker val="1"/>
        <c:smooth val="0"/>
        <c:axId val="266191616"/>
        <c:axId val="266193152"/>
      </c:lineChart>
      <c:catAx>
        <c:axId val="266191616"/>
        <c:scaling>
          <c:orientation val="minMax"/>
        </c:scaling>
        <c:delete val="0"/>
        <c:axPos val="b"/>
        <c:numFmt formatCode="General" sourceLinked="0"/>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6193152"/>
        <c:crosses val="autoZero"/>
        <c:auto val="1"/>
        <c:lblAlgn val="ctr"/>
        <c:lblOffset val="100"/>
        <c:noMultiLvlLbl val="0"/>
      </c:catAx>
      <c:valAx>
        <c:axId val="266193152"/>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6191616"/>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设计评审缺陷密度的控制图</a:t>
            </a:r>
            <a:endParaRPr lang="en-US" altLang="zh-CN"/>
          </a:p>
        </c:rich>
      </c:tx>
      <c:overlay val="0"/>
    </c:title>
    <c:autoTitleDeleted val="0"/>
    <c:plotArea>
      <c:layout/>
      <c:lineChart>
        <c:grouping val="standard"/>
        <c:varyColors val="0"/>
        <c:ser>
          <c:idx val="0"/>
          <c:order val="0"/>
          <c:tx>
            <c:strRef>
              <c:f>过程产出缺陷度量!$N$56</c:f>
              <c:strCache>
                <c:ptCount val="1"/>
                <c:pt idx="0">
                  <c:v>LOL</c:v>
                </c:pt>
              </c:strCache>
            </c:strRef>
          </c:tx>
          <c:cat>
            <c:strRef>
              <c:f>[0]!设计评审次数于画图</c:f>
              <c:strCache>
                <c:ptCount val="1"/>
                <c:pt idx="0">
                  <c:v>第1次评审</c:v>
                </c:pt>
              </c:strCache>
            </c:strRef>
          </c:cat>
          <c:val>
            <c:numRef>
              <c:f>[0]!设计评审缺陷密度的下限于画图</c:f>
              <c:numCache>
                <c:formatCode>0.0000_ </c:formatCode>
                <c:ptCount val="1"/>
                <c:pt idx="0">
                  <c:v>0</c:v>
                </c:pt>
              </c:numCache>
            </c:numRef>
          </c:val>
          <c:smooth val="0"/>
          <c:extLst>
            <c:ext xmlns:c16="http://schemas.microsoft.com/office/drawing/2014/chart" uri="{C3380CC4-5D6E-409C-BE32-E72D297353CC}">
              <c16:uniqueId val="{00000000-877E-46F5-9AC9-C01722AEAF5D}"/>
            </c:ext>
          </c:extLst>
        </c:ser>
        <c:ser>
          <c:idx val="1"/>
          <c:order val="1"/>
          <c:tx>
            <c:strRef>
              <c:f>过程产出缺陷度量!$O$56</c:f>
              <c:strCache>
                <c:ptCount val="1"/>
                <c:pt idx="0">
                  <c:v>OL</c:v>
                </c:pt>
              </c:strCache>
            </c:strRef>
          </c:tx>
          <c:cat>
            <c:strRef>
              <c:f>[0]!设计评审次数于画图</c:f>
              <c:strCache>
                <c:ptCount val="1"/>
                <c:pt idx="0">
                  <c:v>第1次评审</c:v>
                </c:pt>
              </c:strCache>
            </c:strRef>
          </c:cat>
          <c:val>
            <c:numRef>
              <c:f>[0]!设计评审缺陷密度的均值于画图</c:f>
              <c:numCache>
                <c:formatCode>0.0000_ </c:formatCode>
                <c:ptCount val="1"/>
                <c:pt idx="0">
                  <c:v>8.3400000000000002E-2</c:v>
                </c:pt>
              </c:numCache>
            </c:numRef>
          </c:val>
          <c:smooth val="0"/>
          <c:extLst>
            <c:ext xmlns:c16="http://schemas.microsoft.com/office/drawing/2014/chart" uri="{C3380CC4-5D6E-409C-BE32-E72D297353CC}">
              <c16:uniqueId val="{00000001-877E-46F5-9AC9-C01722AEAF5D}"/>
            </c:ext>
          </c:extLst>
        </c:ser>
        <c:ser>
          <c:idx val="2"/>
          <c:order val="2"/>
          <c:tx>
            <c:strRef>
              <c:f>过程产出缺陷度量!$P$56</c:f>
              <c:strCache>
                <c:ptCount val="1"/>
                <c:pt idx="0">
                  <c:v>UOL</c:v>
                </c:pt>
              </c:strCache>
            </c:strRef>
          </c:tx>
          <c:cat>
            <c:strRef>
              <c:f>[0]!设计评审次数于画图</c:f>
              <c:strCache>
                <c:ptCount val="1"/>
                <c:pt idx="0">
                  <c:v>第1次评审</c:v>
                </c:pt>
              </c:strCache>
            </c:strRef>
          </c:cat>
          <c:val>
            <c:numRef>
              <c:f>[0]!设计评审缺陷密度的上限于画图</c:f>
              <c:numCache>
                <c:formatCode>0.0000_ </c:formatCode>
                <c:ptCount val="1"/>
                <c:pt idx="0">
                  <c:v>0.22040000000000001</c:v>
                </c:pt>
              </c:numCache>
            </c:numRef>
          </c:val>
          <c:smooth val="0"/>
          <c:extLst>
            <c:ext xmlns:c16="http://schemas.microsoft.com/office/drawing/2014/chart" uri="{C3380CC4-5D6E-409C-BE32-E72D297353CC}">
              <c16:uniqueId val="{00000002-877E-46F5-9AC9-C01722AEAF5D}"/>
            </c:ext>
          </c:extLst>
        </c:ser>
        <c:ser>
          <c:idx val="3"/>
          <c:order val="3"/>
          <c:tx>
            <c:v>项目数据</c:v>
          </c:tx>
          <c:cat>
            <c:strRef>
              <c:f>[0]!设计评审次数于画图</c:f>
              <c:strCache>
                <c:ptCount val="1"/>
                <c:pt idx="0">
                  <c:v>第1次评审</c:v>
                </c:pt>
              </c:strCache>
            </c:strRef>
          </c:cat>
          <c:val>
            <c:numRef>
              <c:f>[0]!设计评审缺陷密度于画图</c:f>
              <c:numCache>
                <c:formatCode>0.000_ </c:formatCode>
                <c:ptCount val="1"/>
                <c:pt idx="0">
                  <c:v>0.15789473684210525</c:v>
                </c:pt>
              </c:numCache>
            </c:numRef>
          </c:val>
          <c:smooth val="0"/>
          <c:extLst>
            <c:ext xmlns:c16="http://schemas.microsoft.com/office/drawing/2014/chart" uri="{C3380CC4-5D6E-409C-BE32-E72D297353CC}">
              <c16:uniqueId val="{00000003-877E-46F5-9AC9-C01722AEAF5D}"/>
            </c:ext>
          </c:extLst>
        </c:ser>
        <c:dLbls>
          <c:showLegendKey val="0"/>
          <c:showVal val="0"/>
          <c:showCatName val="0"/>
          <c:showSerName val="0"/>
          <c:showPercent val="0"/>
          <c:showBubbleSize val="0"/>
        </c:dLbls>
        <c:marker val="1"/>
        <c:smooth val="0"/>
        <c:axId val="266617600"/>
        <c:axId val="266619136"/>
      </c:lineChart>
      <c:catAx>
        <c:axId val="266617600"/>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6619136"/>
        <c:crosses val="autoZero"/>
        <c:auto val="1"/>
        <c:lblAlgn val="ctr"/>
        <c:lblOffset val="100"/>
        <c:noMultiLvlLbl val="0"/>
      </c:catAx>
      <c:valAx>
        <c:axId val="266619136"/>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6617600"/>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测试用例评审缺陷密度的控制图</a:t>
            </a:r>
            <a:endParaRPr lang="en-US" altLang="zh-CN"/>
          </a:p>
        </c:rich>
      </c:tx>
      <c:overlay val="0"/>
    </c:title>
    <c:autoTitleDeleted val="0"/>
    <c:plotArea>
      <c:layout/>
      <c:lineChart>
        <c:grouping val="standard"/>
        <c:varyColors val="0"/>
        <c:ser>
          <c:idx val="0"/>
          <c:order val="0"/>
          <c:tx>
            <c:strRef>
              <c:f>过程产出缺陷度量!$N$81</c:f>
              <c:strCache>
                <c:ptCount val="1"/>
                <c:pt idx="0">
                  <c:v>LOL</c:v>
                </c:pt>
              </c:strCache>
            </c:strRef>
          </c:tx>
          <c:cat>
            <c:strRef>
              <c:f>[0]!测试用例评审次数于画图</c:f>
              <c:strCache>
                <c:ptCount val="1"/>
                <c:pt idx="0">
                  <c:v>第1次评审</c:v>
                </c:pt>
              </c:strCache>
            </c:strRef>
          </c:cat>
          <c:val>
            <c:numRef>
              <c:f>[0]!测试用例评审缺陷密度的下限于画图</c:f>
              <c:numCache>
                <c:formatCode>0.0000_ </c:formatCode>
                <c:ptCount val="1"/>
                <c:pt idx="0">
                  <c:v>8.0000000000000004E-4</c:v>
                </c:pt>
              </c:numCache>
            </c:numRef>
          </c:val>
          <c:smooth val="0"/>
          <c:extLst>
            <c:ext xmlns:c16="http://schemas.microsoft.com/office/drawing/2014/chart" uri="{C3380CC4-5D6E-409C-BE32-E72D297353CC}">
              <c16:uniqueId val="{00000000-406D-45B8-B3E7-72392FEBACDD}"/>
            </c:ext>
          </c:extLst>
        </c:ser>
        <c:ser>
          <c:idx val="1"/>
          <c:order val="1"/>
          <c:tx>
            <c:strRef>
              <c:f>过程产出缺陷度量!$O$81</c:f>
              <c:strCache>
                <c:ptCount val="1"/>
                <c:pt idx="0">
                  <c:v>OL</c:v>
                </c:pt>
              </c:strCache>
            </c:strRef>
          </c:tx>
          <c:cat>
            <c:strRef>
              <c:f>[0]!测试用例评审次数于画图</c:f>
              <c:strCache>
                <c:ptCount val="1"/>
                <c:pt idx="0">
                  <c:v>第1次评审</c:v>
                </c:pt>
              </c:strCache>
            </c:strRef>
          </c:cat>
          <c:val>
            <c:numRef>
              <c:f>[0]!测试用例评审缺陷密度的均值于画图</c:f>
              <c:numCache>
                <c:formatCode>0.0000_ </c:formatCode>
                <c:ptCount val="1"/>
                <c:pt idx="0">
                  <c:v>1.0999999999999999E-2</c:v>
                </c:pt>
              </c:numCache>
            </c:numRef>
          </c:val>
          <c:smooth val="0"/>
          <c:extLst>
            <c:ext xmlns:c16="http://schemas.microsoft.com/office/drawing/2014/chart" uri="{C3380CC4-5D6E-409C-BE32-E72D297353CC}">
              <c16:uniqueId val="{00000001-406D-45B8-B3E7-72392FEBACDD}"/>
            </c:ext>
          </c:extLst>
        </c:ser>
        <c:ser>
          <c:idx val="2"/>
          <c:order val="2"/>
          <c:tx>
            <c:strRef>
              <c:f>过程产出缺陷度量!$P$81</c:f>
              <c:strCache>
                <c:ptCount val="1"/>
                <c:pt idx="0">
                  <c:v>UOL</c:v>
                </c:pt>
              </c:strCache>
            </c:strRef>
          </c:tx>
          <c:cat>
            <c:strRef>
              <c:f>[0]!测试用例评审次数于画图</c:f>
              <c:strCache>
                <c:ptCount val="1"/>
                <c:pt idx="0">
                  <c:v>第1次评审</c:v>
                </c:pt>
              </c:strCache>
            </c:strRef>
          </c:cat>
          <c:val>
            <c:numRef>
              <c:f>[0]!测试用例评审缺陷密度的上限于画图</c:f>
              <c:numCache>
                <c:formatCode>0.0000_ </c:formatCode>
                <c:ptCount val="1"/>
                <c:pt idx="0">
                  <c:v>2.12E-2</c:v>
                </c:pt>
              </c:numCache>
            </c:numRef>
          </c:val>
          <c:smooth val="0"/>
          <c:extLst>
            <c:ext xmlns:c16="http://schemas.microsoft.com/office/drawing/2014/chart" uri="{C3380CC4-5D6E-409C-BE32-E72D297353CC}">
              <c16:uniqueId val="{00000002-406D-45B8-B3E7-72392FEBACDD}"/>
            </c:ext>
          </c:extLst>
        </c:ser>
        <c:ser>
          <c:idx val="3"/>
          <c:order val="3"/>
          <c:tx>
            <c:v>项目数据</c:v>
          </c:tx>
          <c:cat>
            <c:strRef>
              <c:f>[0]!测试用例评审次数于画图</c:f>
              <c:strCache>
                <c:ptCount val="1"/>
                <c:pt idx="0">
                  <c:v>第1次评审</c:v>
                </c:pt>
              </c:strCache>
            </c:strRef>
          </c:cat>
          <c:val>
            <c:numRef>
              <c:f>[0]!测试用例评审缺陷密度于画图</c:f>
              <c:numCache>
                <c:formatCode>0.000_ </c:formatCode>
                <c:ptCount val="1"/>
                <c:pt idx="0">
                  <c:v>6.1538461538461538E-3</c:v>
                </c:pt>
              </c:numCache>
            </c:numRef>
          </c:val>
          <c:smooth val="0"/>
          <c:extLst>
            <c:ext xmlns:c16="http://schemas.microsoft.com/office/drawing/2014/chart" uri="{C3380CC4-5D6E-409C-BE32-E72D297353CC}">
              <c16:uniqueId val="{00000003-406D-45B8-B3E7-72392FEBACDD}"/>
            </c:ext>
          </c:extLst>
        </c:ser>
        <c:dLbls>
          <c:showLegendKey val="0"/>
          <c:showVal val="0"/>
          <c:showCatName val="0"/>
          <c:showSerName val="0"/>
          <c:showPercent val="0"/>
          <c:showBubbleSize val="0"/>
        </c:dLbls>
        <c:marker val="1"/>
        <c:smooth val="0"/>
        <c:axId val="266662656"/>
        <c:axId val="266664192"/>
      </c:lineChart>
      <c:catAx>
        <c:axId val="266662656"/>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6664192"/>
        <c:crosses val="autoZero"/>
        <c:auto val="1"/>
        <c:lblAlgn val="ctr"/>
        <c:lblOffset val="100"/>
        <c:noMultiLvlLbl val="0"/>
      </c:catAx>
      <c:valAx>
        <c:axId val="266664192"/>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6662656"/>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代码走查缺陷密度的控制图</a:t>
            </a:r>
            <a:endParaRPr lang="en-US" altLang="zh-CN"/>
          </a:p>
        </c:rich>
      </c:tx>
      <c:overlay val="0"/>
    </c:title>
    <c:autoTitleDeleted val="0"/>
    <c:plotArea>
      <c:layout/>
      <c:lineChart>
        <c:grouping val="standard"/>
        <c:varyColors val="0"/>
        <c:ser>
          <c:idx val="0"/>
          <c:order val="0"/>
          <c:tx>
            <c:strRef>
              <c:f>过程产出缺陷度量!$N$104</c:f>
              <c:strCache>
                <c:ptCount val="1"/>
                <c:pt idx="0">
                  <c:v>LOL</c:v>
                </c:pt>
              </c:strCache>
            </c:strRef>
          </c:tx>
          <c:cat>
            <c:strRef>
              <c:f>[0]!代码走查次数于画图</c:f>
              <c:strCache>
                <c:ptCount val="1"/>
                <c:pt idx="0">
                  <c:v>第1次走查</c:v>
                </c:pt>
              </c:strCache>
            </c:strRef>
          </c:cat>
          <c:val>
            <c:numRef>
              <c:f>[0]!代码走查缺陷密度的下限于画图</c:f>
              <c:numCache>
                <c:formatCode>0.0000_ </c:formatCode>
                <c:ptCount val="1"/>
                <c:pt idx="0">
                  <c:v>0</c:v>
                </c:pt>
              </c:numCache>
            </c:numRef>
          </c:val>
          <c:smooth val="0"/>
          <c:extLst>
            <c:ext xmlns:c16="http://schemas.microsoft.com/office/drawing/2014/chart" uri="{C3380CC4-5D6E-409C-BE32-E72D297353CC}">
              <c16:uniqueId val="{00000000-99B3-4212-A414-EBB3FDFC47D5}"/>
            </c:ext>
          </c:extLst>
        </c:ser>
        <c:ser>
          <c:idx val="1"/>
          <c:order val="1"/>
          <c:tx>
            <c:strRef>
              <c:f>过程产出缺陷度量!$O$104</c:f>
              <c:strCache>
                <c:ptCount val="1"/>
                <c:pt idx="0">
                  <c:v>OL</c:v>
                </c:pt>
              </c:strCache>
            </c:strRef>
          </c:tx>
          <c:cat>
            <c:strRef>
              <c:f>[0]!代码走查次数于画图</c:f>
              <c:strCache>
                <c:ptCount val="1"/>
                <c:pt idx="0">
                  <c:v>第1次走查</c:v>
                </c:pt>
              </c:strCache>
            </c:strRef>
          </c:cat>
          <c:val>
            <c:numRef>
              <c:f>[0]!代码走查缺陷密度的均值于画图</c:f>
              <c:numCache>
                <c:formatCode>0.0000_ </c:formatCode>
                <c:ptCount val="1"/>
                <c:pt idx="0">
                  <c:v>5.0599999999999999E-2</c:v>
                </c:pt>
              </c:numCache>
            </c:numRef>
          </c:val>
          <c:smooth val="0"/>
          <c:extLst>
            <c:ext xmlns:c16="http://schemas.microsoft.com/office/drawing/2014/chart" uri="{C3380CC4-5D6E-409C-BE32-E72D297353CC}">
              <c16:uniqueId val="{00000001-99B3-4212-A414-EBB3FDFC47D5}"/>
            </c:ext>
          </c:extLst>
        </c:ser>
        <c:ser>
          <c:idx val="2"/>
          <c:order val="2"/>
          <c:tx>
            <c:strRef>
              <c:f>过程产出缺陷度量!$P$104</c:f>
              <c:strCache>
                <c:ptCount val="1"/>
                <c:pt idx="0">
                  <c:v>UOL</c:v>
                </c:pt>
              </c:strCache>
            </c:strRef>
          </c:tx>
          <c:cat>
            <c:strRef>
              <c:f>[0]!代码走查次数于画图</c:f>
              <c:strCache>
                <c:ptCount val="1"/>
                <c:pt idx="0">
                  <c:v>第1次走查</c:v>
                </c:pt>
              </c:strCache>
            </c:strRef>
          </c:cat>
          <c:val>
            <c:numRef>
              <c:f>[0]!代码走查缺陷密度的上限于画图</c:f>
              <c:numCache>
                <c:formatCode>0.0000_ </c:formatCode>
                <c:ptCount val="1"/>
                <c:pt idx="0">
                  <c:v>0.15440000000000001</c:v>
                </c:pt>
              </c:numCache>
            </c:numRef>
          </c:val>
          <c:smooth val="0"/>
          <c:extLst>
            <c:ext xmlns:c16="http://schemas.microsoft.com/office/drawing/2014/chart" uri="{C3380CC4-5D6E-409C-BE32-E72D297353CC}">
              <c16:uniqueId val="{00000002-99B3-4212-A414-EBB3FDFC47D5}"/>
            </c:ext>
          </c:extLst>
        </c:ser>
        <c:ser>
          <c:idx val="3"/>
          <c:order val="3"/>
          <c:tx>
            <c:v>项目数据</c:v>
          </c:tx>
          <c:cat>
            <c:strRef>
              <c:f>[0]!代码走查次数于画图</c:f>
              <c:strCache>
                <c:ptCount val="1"/>
                <c:pt idx="0">
                  <c:v>第1次走查</c:v>
                </c:pt>
              </c:strCache>
            </c:strRef>
          </c:cat>
          <c:val>
            <c:numRef>
              <c:f>[0]!代码走查缺陷密度于画图</c:f>
              <c:numCache>
                <c:formatCode>0.000_ </c:formatCode>
                <c:ptCount val="1"/>
                <c:pt idx="0">
                  <c:v>5.0847457627118647E-2</c:v>
                </c:pt>
              </c:numCache>
            </c:numRef>
          </c:val>
          <c:smooth val="0"/>
          <c:extLst>
            <c:ext xmlns:c16="http://schemas.microsoft.com/office/drawing/2014/chart" uri="{C3380CC4-5D6E-409C-BE32-E72D297353CC}">
              <c16:uniqueId val="{00000003-99B3-4212-A414-EBB3FDFC47D5}"/>
            </c:ext>
          </c:extLst>
        </c:ser>
        <c:dLbls>
          <c:showLegendKey val="0"/>
          <c:showVal val="0"/>
          <c:showCatName val="0"/>
          <c:showSerName val="0"/>
          <c:showPercent val="0"/>
          <c:showBubbleSize val="0"/>
        </c:dLbls>
        <c:marker val="1"/>
        <c:smooth val="0"/>
        <c:axId val="268088064"/>
        <c:axId val="268089600"/>
      </c:lineChart>
      <c:catAx>
        <c:axId val="268088064"/>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8089600"/>
        <c:crosses val="autoZero"/>
        <c:auto val="1"/>
        <c:lblAlgn val="ctr"/>
        <c:lblOffset val="100"/>
        <c:noMultiLvlLbl val="0"/>
      </c:catAx>
      <c:valAx>
        <c:axId val="268089600"/>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8088064"/>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客户需求评审缺陷密度的控制图</a:t>
            </a:r>
            <a:endParaRPr lang="en-US" altLang="zh-CN"/>
          </a:p>
        </c:rich>
      </c:tx>
      <c:overlay val="0"/>
    </c:title>
    <c:autoTitleDeleted val="0"/>
    <c:plotArea>
      <c:layout/>
      <c:lineChart>
        <c:grouping val="standard"/>
        <c:varyColors val="0"/>
        <c:ser>
          <c:idx val="0"/>
          <c:order val="0"/>
          <c:tx>
            <c:strRef>
              <c:f>过程产出缺陷度量!$N$7</c:f>
              <c:strCache>
                <c:ptCount val="1"/>
                <c:pt idx="0">
                  <c:v>LOL</c:v>
                </c:pt>
              </c:strCache>
            </c:strRef>
          </c:tx>
          <c:cat>
            <c:strRef>
              <c:f>[0]!客户需求评审次数</c:f>
              <c:strCache>
                <c:ptCount val="1"/>
                <c:pt idx="0">
                  <c:v>第1次评审</c:v>
                </c:pt>
              </c:strCache>
            </c:strRef>
          </c:cat>
          <c:val>
            <c:numRef>
              <c:f>[0]!客户需求评审缺陷密度的下限</c:f>
              <c:numCache>
                <c:formatCode>0.0000_ </c:formatCode>
                <c:ptCount val="1"/>
                <c:pt idx="0">
                  <c:v>0</c:v>
                </c:pt>
              </c:numCache>
            </c:numRef>
          </c:val>
          <c:smooth val="0"/>
          <c:extLst>
            <c:ext xmlns:c16="http://schemas.microsoft.com/office/drawing/2014/chart" uri="{C3380CC4-5D6E-409C-BE32-E72D297353CC}">
              <c16:uniqueId val="{00000000-D5DF-436F-B4F8-24EBC982B725}"/>
            </c:ext>
          </c:extLst>
        </c:ser>
        <c:ser>
          <c:idx val="1"/>
          <c:order val="1"/>
          <c:tx>
            <c:strRef>
              <c:f>过程产出缺陷度量!$O$7</c:f>
              <c:strCache>
                <c:ptCount val="1"/>
                <c:pt idx="0">
                  <c:v>OL</c:v>
                </c:pt>
              </c:strCache>
            </c:strRef>
          </c:tx>
          <c:cat>
            <c:strRef>
              <c:f>[0]!客户需求评审次数</c:f>
              <c:strCache>
                <c:ptCount val="1"/>
                <c:pt idx="0">
                  <c:v>第1次评审</c:v>
                </c:pt>
              </c:strCache>
            </c:strRef>
          </c:cat>
          <c:val>
            <c:numRef>
              <c:f>[0]!客户需求评审缺陷密度的均值</c:f>
              <c:numCache>
                <c:formatCode>0.0000_ </c:formatCode>
                <c:ptCount val="1"/>
                <c:pt idx="0">
                  <c:v>0.21110000000000001</c:v>
                </c:pt>
              </c:numCache>
            </c:numRef>
          </c:val>
          <c:smooth val="0"/>
          <c:extLst>
            <c:ext xmlns:c16="http://schemas.microsoft.com/office/drawing/2014/chart" uri="{C3380CC4-5D6E-409C-BE32-E72D297353CC}">
              <c16:uniqueId val="{00000001-D5DF-436F-B4F8-24EBC982B725}"/>
            </c:ext>
          </c:extLst>
        </c:ser>
        <c:ser>
          <c:idx val="2"/>
          <c:order val="2"/>
          <c:tx>
            <c:strRef>
              <c:f>过程产出缺陷度量!$P$7</c:f>
              <c:strCache>
                <c:ptCount val="1"/>
                <c:pt idx="0">
                  <c:v>UOL</c:v>
                </c:pt>
              </c:strCache>
            </c:strRef>
          </c:tx>
          <c:cat>
            <c:strRef>
              <c:f>[0]!客户需求评审次数</c:f>
              <c:strCache>
                <c:ptCount val="1"/>
                <c:pt idx="0">
                  <c:v>第1次评审</c:v>
                </c:pt>
              </c:strCache>
            </c:strRef>
          </c:cat>
          <c:val>
            <c:numRef>
              <c:f>[0]!客户需求评审缺陷密度的上限</c:f>
              <c:numCache>
                <c:formatCode>0.0000_ </c:formatCode>
                <c:ptCount val="1"/>
                <c:pt idx="0">
                  <c:v>0.627</c:v>
                </c:pt>
              </c:numCache>
            </c:numRef>
          </c:val>
          <c:smooth val="0"/>
          <c:extLst>
            <c:ext xmlns:c16="http://schemas.microsoft.com/office/drawing/2014/chart" uri="{C3380CC4-5D6E-409C-BE32-E72D297353CC}">
              <c16:uniqueId val="{00000002-D5DF-436F-B4F8-24EBC982B725}"/>
            </c:ext>
          </c:extLst>
        </c:ser>
        <c:ser>
          <c:idx val="3"/>
          <c:order val="3"/>
          <c:tx>
            <c:v>项目数据</c:v>
          </c:tx>
          <c:cat>
            <c:strRef>
              <c:f>[0]!客户需求评审次数</c:f>
              <c:strCache>
                <c:ptCount val="1"/>
                <c:pt idx="0">
                  <c:v>第1次评审</c:v>
                </c:pt>
              </c:strCache>
            </c:strRef>
          </c:cat>
          <c:val>
            <c:numRef>
              <c:f>[0]!客户需求评审缺陷密度</c:f>
              <c:numCache>
                <c:formatCode>0.000_ </c:formatCode>
                <c:ptCount val="1"/>
                <c:pt idx="0">
                  <c:v>8.8235294117647065E-2</c:v>
                </c:pt>
              </c:numCache>
            </c:numRef>
          </c:val>
          <c:smooth val="0"/>
          <c:extLst>
            <c:ext xmlns:c16="http://schemas.microsoft.com/office/drawing/2014/chart" uri="{C3380CC4-5D6E-409C-BE32-E72D297353CC}">
              <c16:uniqueId val="{00000003-D5DF-436F-B4F8-24EBC982B725}"/>
            </c:ext>
          </c:extLst>
        </c:ser>
        <c:dLbls>
          <c:showLegendKey val="0"/>
          <c:showVal val="0"/>
          <c:showCatName val="0"/>
          <c:showSerName val="0"/>
          <c:showPercent val="0"/>
          <c:showBubbleSize val="0"/>
        </c:dLbls>
        <c:marker val="1"/>
        <c:smooth val="0"/>
        <c:axId val="268149504"/>
        <c:axId val="268151040"/>
      </c:lineChart>
      <c:catAx>
        <c:axId val="268149504"/>
        <c:scaling>
          <c:orientation val="minMax"/>
        </c:scaling>
        <c:delete val="0"/>
        <c:axPos val="b"/>
        <c:numFmt formatCode="General" sourceLinked="0"/>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8151040"/>
        <c:crosses val="autoZero"/>
        <c:auto val="1"/>
        <c:lblAlgn val="ctr"/>
        <c:lblOffset val="100"/>
        <c:noMultiLvlLbl val="0"/>
      </c:catAx>
      <c:valAx>
        <c:axId val="268151040"/>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8149504"/>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需求规格评审缺陷密度的控制图</a:t>
            </a:r>
            <a:endParaRPr lang="en-US" altLang="zh-CN"/>
          </a:p>
        </c:rich>
      </c:tx>
      <c:overlay val="0"/>
    </c:title>
    <c:autoTitleDeleted val="0"/>
    <c:plotArea>
      <c:layout/>
      <c:lineChart>
        <c:grouping val="standard"/>
        <c:varyColors val="0"/>
        <c:ser>
          <c:idx val="0"/>
          <c:order val="0"/>
          <c:tx>
            <c:strRef>
              <c:f>过程产出缺陷度量!$N$29</c:f>
              <c:strCache>
                <c:ptCount val="1"/>
                <c:pt idx="0">
                  <c:v>LOL</c:v>
                </c:pt>
              </c:strCache>
            </c:strRef>
          </c:tx>
          <c:cat>
            <c:strRef>
              <c:f>[0]!需求规格评审次数于画图</c:f>
              <c:strCache>
                <c:ptCount val="4"/>
                <c:pt idx="0">
                  <c:v>第1次评审</c:v>
                </c:pt>
                <c:pt idx="1">
                  <c:v>第2次评审</c:v>
                </c:pt>
                <c:pt idx="2">
                  <c:v>第3次评审</c:v>
                </c:pt>
                <c:pt idx="3">
                  <c:v>第4次评审</c:v>
                </c:pt>
              </c:strCache>
            </c:strRef>
          </c:cat>
          <c:val>
            <c:numRef>
              <c:f>[0]!需求规格评审缺陷密度的下限于画图</c:f>
              <c:numCache>
                <c:formatCode>0.0000_ </c:formatCode>
                <c:ptCount val="4"/>
                <c:pt idx="0">
                  <c:v>0</c:v>
                </c:pt>
                <c:pt idx="1">
                  <c:v>0</c:v>
                </c:pt>
                <c:pt idx="2">
                  <c:v>0</c:v>
                </c:pt>
                <c:pt idx="3">
                  <c:v>0</c:v>
                </c:pt>
              </c:numCache>
            </c:numRef>
          </c:val>
          <c:smooth val="0"/>
          <c:extLst>
            <c:ext xmlns:c16="http://schemas.microsoft.com/office/drawing/2014/chart" uri="{C3380CC4-5D6E-409C-BE32-E72D297353CC}">
              <c16:uniqueId val="{00000000-F508-46A4-AF6E-5E5BC3BF0473}"/>
            </c:ext>
          </c:extLst>
        </c:ser>
        <c:ser>
          <c:idx val="1"/>
          <c:order val="1"/>
          <c:tx>
            <c:strRef>
              <c:f>过程产出缺陷度量!$O$29</c:f>
              <c:strCache>
                <c:ptCount val="1"/>
                <c:pt idx="0">
                  <c:v>OL</c:v>
                </c:pt>
              </c:strCache>
            </c:strRef>
          </c:tx>
          <c:cat>
            <c:strRef>
              <c:f>[0]!需求规格评审次数于画图</c:f>
              <c:strCache>
                <c:ptCount val="4"/>
                <c:pt idx="0">
                  <c:v>第1次评审</c:v>
                </c:pt>
                <c:pt idx="1">
                  <c:v>第2次评审</c:v>
                </c:pt>
                <c:pt idx="2">
                  <c:v>第3次评审</c:v>
                </c:pt>
                <c:pt idx="3">
                  <c:v>第4次评审</c:v>
                </c:pt>
              </c:strCache>
            </c:strRef>
          </c:cat>
          <c:val>
            <c:numRef>
              <c:f>[0]!需求规格评审缺陷密度的均值于画图</c:f>
              <c:numCache>
                <c:formatCode>0.0000_ </c:formatCode>
                <c:ptCount val="4"/>
                <c:pt idx="0">
                  <c:v>7.5399999999999995E-2</c:v>
                </c:pt>
                <c:pt idx="1">
                  <c:v>7.5399999999999995E-2</c:v>
                </c:pt>
                <c:pt idx="2">
                  <c:v>7.5399999999999995E-2</c:v>
                </c:pt>
                <c:pt idx="3">
                  <c:v>7.5399999999999995E-2</c:v>
                </c:pt>
              </c:numCache>
            </c:numRef>
          </c:val>
          <c:smooth val="0"/>
          <c:extLst>
            <c:ext xmlns:c16="http://schemas.microsoft.com/office/drawing/2014/chart" uri="{C3380CC4-5D6E-409C-BE32-E72D297353CC}">
              <c16:uniqueId val="{00000001-F508-46A4-AF6E-5E5BC3BF0473}"/>
            </c:ext>
          </c:extLst>
        </c:ser>
        <c:ser>
          <c:idx val="2"/>
          <c:order val="2"/>
          <c:tx>
            <c:strRef>
              <c:f>过程产出缺陷度量!$P$29</c:f>
              <c:strCache>
                <c:ptCount val="1"/>
                <c:pt idx="0">
                  <c:v>UOL</c:v>
                </c:pt>
              </c:strCache>
            </c:strRef>
          </c:tx>
          <c:cat>
            <c:strRef>
              <c:f>[0]!需求规格评审次数于画图</c:f>
              <c:strCache>
                <c:ptCount val="4"/>
                <c:pt idx="0">
                  <c:v>第1次评审</c:v>
                </c:pt>
                <c:pt idx="1">
                  <c:v>第2次评审</c:v>
                </c:pt>
                <c:pt idx="2">
                  <c:v>第3次评审</c:v>
                </c:pt>
                <c:pt idx="3">
                  <c:v>第4次评审</c:v>
                </c:pt>
              </c:strCache>
            </c:strRef>
          </c:cat>
          <c:val>
            <c:numRef>
              <c:f>[0]!需求规格评审缺陷密度的上限于画图</c:f>
              <c:numCache>
                <c:formatCode>0.0000_ </c:formatCode>
                <c:ptCount val="4"/>
                <c:pt idx="0">
                  <c:v>0.2273</c:v>
                </c:pt>
                <c:pt idx="1">
                  <c:v>0.2273</c:v>
                </c:pt>
                <c:pt idx="2">
                  <c:v>0.2273</c:v>
                </c:pt>
                <c:pt idx="3">
                  <c:v>0.2273</c:v>
                </c:pt>
              </c:numCache>
            </c:numRef>
          </c:val>
          <c:smooth val="0"/>
          <c:extLst>
            <c:ext xmlns:c16="http://schemas.microsoft.com/office/drawing/2014/chart" uri="{C3380CC4-5D6E-409C-BE32-E72D297353CC}">
              <c16:uniqueId val="{00000002-F508-46A4-AF6E-5E5BC3BF0473}"/>
            </c:ext>
          </c:extLst>
        </c:ser>
        <c:ser>
          <c:idx val="3"/>
          <c:order val="3"/>
          <c:tx>
            <c:v>项目数据</c:v>
          </c:tx>
          <c:cat>
            <c:strRef>
              <c:f>[0]!需求规格评审次数于画图</c:f>
              <c:strCache>
                <c:ptCount val="4"/>
                <c:pt idx="0">
                  <c:v>第1次评审</c:v>
                </c:pt>
                <c:pt idx="1">
                  <c:v>第2次评审</c:v>
                </c:pt>
                <c:pt idx="2">
                  <c:v>第3次评审</c:v>
                </c:pt>
                <c:pt idx="3">
                  <c:v>第4次评审</c:v>
                </c:pt>
              </c:strCache>
            </c:strRef>
          </c:cat>
          <c:val>
            <c:numRef>
              <c:f>[0]!需求规格评审缺陷密度于画图</c:f>
              <c:numCache>
                <c:formatCode>0.000_ </c:formatCode>
                <c:ptCount val="4"/>
                <c:pt idx="0">
                  <c:v>0</c:v>
                </c:pt>
                <c:pt idx="1">
                  <c:v>0</c:v>
                </c:pt>
                <c:pt idx="2">
                  <c:v>0</c:v>
                </c:pt>
                <c:pt idx="3">
                  <c:v>0</c:v>
                </c:pt>
              </c:numCache>
            </c:numRef>
          </c:val>
          <c:smooth val="0"/>
          <c:extLst>
            <c:ext xmlns:c16="http://schemas.microsoft.com/office/drawing/2014/chart" uri="{C3380CC4-5D6E-409C-BE32-E72D297353CC}">
              <c16:uniqueId val="{00000003-F508-46A4-AF6E-5E5BC3BF0473}"/>
            </c:ext>
          </c:extLst>
        </c:ser>
        <c:dLbls>
          <c:showLegendKey val="0"/>
          <c:showVal val="0"/>
          <c:showCatName val="0"/>
          <c:showSerName val="0"/>
          <c:showPercent val="0"/>
          <c:showBubbleSize val="0"/>
        </c:dLbls>
        <c:marker val="1"/>
        <c:smooth val="0"/>
        <c:axId val="268206848"/>
        <c:axId val="268208384"/>
      </c:lineChart>
      <c:catAx>
        <c:axId val="268206848"/>
        <c:scaling>
          <c:orientation val="minMax"/>
        </c:scaling>
        <c:delete val="0"/>
        <c:axPos val="b"/>
        <c:numFmt formatCode="General" sourceLinked="0"/>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8208384"/>
        <c:crosses val="autoZero"/>
        <c:auto val="1"/>
        <c:lblAlgn val="ctr"/>
        <c:lblOffset val="100"/>
        <c:noMultiLvlLbl val="0"/>
      </c:catAx>
      <c:valAx>
        <c:axId val="268208384"/>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8206848"/>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设计评审缺陷密度的控制图</a:t>
            </a:r>
            <a:endParaRPr lang="en-US" altLang="zh-CN"/>
          </a:p>
        </c:rich>
      </c:tx>
      <c:overlay val="0"/>
    </c:title>
    <c:autoTitleDeleted val="0"/>
    <c:plotArea>
      <c:layout/>
      <c:lineChart>
        <c:grouping val="standard"/>
        <c:varyColors val="0"/>
        <c:ser>
          <c:idx val="0"/>
          <c:order val="0"/>
          <c:tx>
            <c:strRef>
              <c:f>过程产出缺陷度量!$N$56</c:f>
              <c:strCache>
                <c:ptCount val="1"/>
                <c:pt idx="0">
                  <c:v>LOL</c:v>
                </c:pt>
              </c:strCache>
            </c:strRef>
          </c:tx>
          <c:cat>
            <c:strRef>
              <c:f>[0]!设计评审次数于画图</c:f>
              <c:strCache>
                <c:ptCount val="1"/>
                <c:pt idx="0">
                  <c:v>第1次评审</c:v>
                </c:pt>
              </c:strCache>
            </c:strRef>
          </c:cat>
          <c:val>
            <c:numRef>
              <c:f>[0]!设计评审缺陷密度的下限于画图</c:f>
              <c:numCache>
                <c:formatCode>0.0000_ </c:formatCode>
                <c:ptCount val="1"/>
                <c:pt idx="0">
                  <c:v>0</c:v>
                </c:pt>
              </c:numCache>
            </c:numRef>
          </c:val>
          <c:smooth val="0"/>
          <c:extLst>
            <c:ext xmlns:c16="http://schemas.microsoft.com/office/drawing/2014/chart" uri="{C3380CC4-5D6E-409C-BE32-E72D297353CC}">
              <c16:uniqueId val="{00000000-9ABD-4693-848D-3FA11F4CF604}"/>
            </c:ext>
          </c:extLst>
        </c:ser>
        <c:ser>
          <c:idx val="1"/>
          <c:order val="1"/>
          <c:tx>
            <c:strRef>
              <c:f>过程产出缺陷度量!$O$56</c:f>
              <c:strCache>
                <c:ptCount val="1"/>
                <c:pt idx="0">
                  <c:v>OL</c:v>
                </c:pt>
              </c:strCache>
            </c:strRef>
          </c:tx>
          <c:cat>
            <c:strRef>
              <c:f>[0]!设计评审次数于画图</c:f>
              <c:strCache>
                <c:ptCount val="1"/>
                <c:pt idx="0">
                  <c:v>第1次评审</c:v>
                </c:pt>
              </c:strCache>
            </c:strRef>
          </c:cat>
          <c:val>
            <c:numRef>
              <c:f>[0]!设计评审缺陷密度的均值于画图</c:f>
              <c:numCache>
                <c:formatCode>0.0000_ </c:formatCode>
                <c:ptCount val="1"/>
                <c:pt idx="0">
                  <c:v>8.3400000000000002E-2</c:v>
                </c:pt>
              </c:numCache>
            </c:numRef>
          </c:val>
          <c:smooth val="0"/>
          <c:extLst>
            <c:ext xmlns:c16="http://schemas.microsoft.com/office/drawing/2014/chart" uri="{C3380CC4-5D6E-409C-BE32-E72D297353CC}">
              <c16:uniqueId val="{00000001-9ABD-4693-848D-3FA11F4CF604}"/>
            </c:ext>
          </c:extLst>
        </c:ser>
        <c:ser>
          <c:idx val="2"/>
          <c:order val="2"/>
          <c:tx>
            <c:strRef>
              <c:f>过程产出缺陷度量!$P$56</c:f>
              <c:strCache>
                <c:ptCount val="1"/>
                <c:pt idx="0">
                  <c:v>UOL</c:v>
                </c:pt>
              </c:strCache>
            </c:strRef>
          </c:tx>
          <c:cat>
            <c:strRef>
              <c:f>[0]!设计评审次数于画图</c:f>
              <c:strCache>
                <c:ptCount val="1"/>
                <c:pt idx="0">
                  <c:v>第1次评审</c:v>
                </c:pt>
              </c:strCache>
            </c:strRef>
          </c:cat>
          <c:val>
            <c:numRef>
              <c:f>[0]!设计评审缺陷密度的上限于画图</c:f>
              <c:numCache>
                <c:formatCode>0.0000_ </c:formatCode>
                <c:ptCount val="1"/>
                <c:pt idx="0">
                  <c:v>0.22040000000000001</c:v>
                </c:pt>
              </c:numCache>
            </c:numRef>
          </c:val>
          <c:smooth val="0"/>
          <c:extLst>
            <c:ext xmlns:c16="http://schemas.microsoft.com/office/drawing/2014/chart" uri="{C3380CC4-5D6E-409C-BE32-E72D297353CC}">
              <c16:uniqueId val="{00000002-9ABD-4693-848D-3FA11F4CF604}"/>
            </c:ext>
          </c:extLst>
        </c:ser>
        <c:ser>
          <c:idx val="3"/>
          <c:order val="3"/>
          <c:tx>
            <c:v>项目数据</c:v>
          </c:tx>
          <c:cat>
            <c:strRef>
              <c:f>[0]!设计评审次数于画图</c:f>
              <c:strCache>
                <c:ptCount val="1"/>
                <c:pt idx="0">
                  <c:v>第1次评审</c:v>
                </c:pt>
              </c:strCache>
            </c:strRef>
          </c:cat>
          <c:val>
            <c:numRef>
              <c:f>[0]!设计评审缺陷密度于画图</c:f>
              <c:numCache>
                <c:formatCode>0.000_ </c:formatCode>
                <c:ptCount val="1"/>
                <c:pt idx="0">
                  <c:v>0.15789473684210525</c:v>
                </c:pt>
              </c:numCache>
            </c:numRef>
          </c:val>
          <c:smooth val="0"/>
          <c:extLst>
            <c:ext xmlns:c16="http://schemas.microsoft.com/office/drawing/2014/chart" uri="{C3380CC4-5D6E-409C-BE32-E72D297353CC}">
              <c16:uniqueId val="{00000003-9ABD-4693-848D-3FA11F4CF604}"/>
            </c:ext>
          </c:extLst>
        </c:ser>
        <c:dLbls>
          <c:showLegendKey val="0"/>
          <c:showVal val="0"/>
          <c:showCatName val="0"/>
          <c:showSerName val="0"/>
          <c:showPercent val="0"/>
          <c:showBubbleSize val="0"/>
        </c:dLbls>
        <c:marker val="1"/>
        <c:smooth val="0"/>
        <c:axId val="268321536"/>
        <c:axId val="268323072"/>
      </c:lineChart>
      <c:catAx>
        <c:axId val="268321536"/>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8323072"/>
        <c:crosses val="autoZero"/>
        <c:auto val="1"/>
        <c:lblAlgn val="ctr"/>
        <c:lblOffset val="100"/>
        <c:noMultiLvlLbl val="0"/>
      </c:catAx>
      <c:valAx>
        <c:axId val="268323072"/>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8321536"/>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测试用例评审缺陷密度的控制图</a:t>
            </a:r>
            <a:endParaRPr lang="en-US" altLang="zh-CN"/>
          </a:p>
        </c:rich>
      </c:tx>
      <c:overlay val="0"/>
    </c:title>
    <c:autoTitleDeleted val="0"/>
    <c:plotArea>
      <c:layout/>
      <c:lineChart>
        <c:grouping val="standard"/>
        <c:varyColors val="0"/>
        <c:ser>
          <c:idx val="0"/>
          <c:order val="0"/>
          <c:tx>
            <c:strRef>
              <c:f>过程产出缺陷度量!$N$81</c:f>
              <c:strCache>
                <c:ptCount val="1"/>
                <c:pt idx="0">
                  <c:v>LOL</c:v>
                </c:pt>
              </c:strCache>
            </c:strRef>
          </c:tx>
          <c:cat>
            <c:strRef>
              <c:f>[0]!测试用例评审次数于画图</c:f>
              <c:strCache>
                <c:ptCount val="1"/>
                <c:pt idx="0">
                  <c:v>第1次评审</c:v>
                </c:pt>
              </c:strCache>
            </c:strRef>
          </c:cat>
          <c:val>
            <c:numRef>
              <c:f>[0]!测试用例评审缺陷密度的下限于画图</c:f>
              <c:numCache>
                <c:formatCode>0.0000_ </c:formatCode>
                <c:ptCount val="1"/>
                <c:pt idx="0">
                  <c:v>8.0000000000000004E-4</c:v>
                </c:pt>
              </c:numCache>
            </c:numRef>
          </c:val>
          <c:smooth val="0"/>
          <c:extLst>
            <c:ext xmlns:c16="http://schemas.microsoft.com/office/drawing/2014/chart" uri="{C3380CC4-5D6E-409C-BE32-E72D297353CC}">
              <c16:uniqueId val="{00000000-03C9-4487-ACF4-B699DA7D6BF8}"/>
            </c:ext>
          </c:extLst>
        </c:ser>
        <c:ser>
          <c:idx val="1"/>
          <c:order val="1"/>
          <c:tx>
            <c:strRef>
              <c:f>过程产出缺陷度量!$O$81</c:f>
              <c:strCache>
                <c:ptCount val="1"/>
                <c:pt idx="0">
                  <c:v>OL</c:v>
                </c:pt>
              </c:strCache>
            </c:strRef>
          </c:tx>
          <c:cat>
            <c:strRef>
              <c:f>[0]!测试用例评审次数于画图</c:f>
              <c:strCache>
                <c:ptCount val="1"/>
                <c:pt idx="0">
                  <c:v>第1次评审</c:v>
                </c:pt>
              </c:strCache>
            </c:strRef>
          </c:cat>
          <c:val>
            <c:numRef>
              <c:f>[0]!测试用例评审缺陷密度的均值于画图</c:f>
              <c:numCache>
                <c:formatCode>0.0000_ </c:formatCode>
                <c:ptCount val="1"/>
                <c:pt idx="0">
                  <c:v>1.0999999999999999E-2</c:v>
                </c:pt>
              </c:numCache>
            </c:numRef>
          </c:val>
          <c:smooth val="0"/>
          <c:extLst>
            <c:ext xmlns:c16="http://schemas.microsoft.com/office/drawing/2014/chart" uri="{C3380CC4-5D6E-409C-BE32-E72D297353CC}">
              <c16:uniqueId val="{00000001-03C9-4487-ACF4-B699DA7D6BF8}"/>
            </c:ext>
          </c:extLst>
        </c:ser>
        <c:ser>
          <c:idx val="2"/>
          <c:order val="2"/>
          <c:tx>
            <c:strRef>
              <c:f>过程产出缺陷度量!$P$81</c:f>
              <c:strCache>
                <c:ptCount val="1"/>
                <c:pt idx="0">
                  <c:v>UOL</c:v>
                </c:pt>
              </c:strCache>
            </c:strRef>
          </c:tx>
          <c:cat>
            <c:strRef>
              <c:f>[0]!测试用例评审次数于画图</c:f>
              <c:strCache>
                <c:ptCount val="1"/>
                <c:pt idx="0">
                  <c:v>第1次评审</c:v>
                </c:pt>
              </c:strCache>
            </c:strRef>
          </c:cat>
          <c:val>
            <c:numRef>
              <c:f>[0]!测试用例评审缺陷密度的上限于画图</c:f>
              <c:numCache>
                <c:formatCode>0.0000_ </c:formatCode>
                <c:ptCount val="1"/>
                <c:pt idx="0">
                  <c:v>2.12E-2</c:v>
                </c:pt>
              </c:numCache>
            </c:numRef>
          </c:val>
          <c:smooth val="0"/>
          <c:extLst>
            <c:ext xmlns:c16="http://schemas.microsoft.com/office/drawing/2014/chart" uri="{C3380CC4-5D6E-409C-BE32-E72D297353CC}">
              <c16:uniqueId val="{00000002-03C9-4487-ACF4-B699DA7D6BF8}"/>
            </c:ext>
          </c:extLst>
        </c:ser>
        <c:ser>
          <c:idx val="3"/>
          <c:order val="3"/>
          <c:tx>
            <c:v>项目数据</c:v>
          </c:tx>
          <c:cat>
            <c:strRef>
              <c:f>[0]!测试用例评审次数于画图</c:f>
              <c:strCache>
                <c:ptCount val="1"/>
                <c:pt idx="0">
                  <c:v>第1次评审</c:v>
                </c:pt>
              </c:strCache>
            </c:strRef>
          </c:cat>
          <c:val>
            <c:numRef>
              <c:f>[0]!测试用例评审缺陷密度于画图</c:f>
              <c:numCache>
                <c:formatCode>0.000_ </c:formatCode>
                <c:ptCount val="1"/>
                <c:pt idx="0">
                  <c:v>6.1538461538461538E-3</c:v>
                </c:pt>
              </c:numCache>
            </c:numRef>
          </c:val>
          <c:smooth val="0"/>
          <c:extLst>
            <c:ext xmlns:c16="http://schemas.microsoft.com/office/drawing/2014/chart" uri="{C3380CC4-5D6E-409C-BE32-E72D297353CC}">
              <c16:uniqueId val="{00000003-03C9-4487-ACF4-B699DA7D6BF8}"/>
            </c:ext>
          </c:extLst>
        </c:ser>
        <c:dLbls>
          <c:showLegendKey val="0"/>
          <c:showVal val="0"/>
          <c:showCatName val="0"/>
          <c:showSerName val="0"/>
          <c:showPercent val="0"/>
          <c:showBubbleSize val="0"/>
        </c:dLbls>
        <c:marker val="1"/>
        <c:smooth val="0"/>
        <c:axId val="268346112"/>
        <c:axId val="268347648"/>
      </c:lineChart>
      <c:catAx>
        <c:axId val="268346112"/>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8347648"/>
        <c:crosses val="autoZero"/>
        <c:auto val="1"/>
        <c:lblAlgn val="ctr"/>
        <c:lblOffset val="100"/>
        <c:noMultiLvlLbl val="0"/>
      </c:catAx>
      <c:valAx>
        <c:axId val="268347648"/>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8346112"/>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代码走查缺陷密度的控制图</a:t>
            </a:r>
            <a:endParaRPr lang="en-US" altLang="zh-CN"/>
          </a:p>
        </c:rich>
      </c:tx>
      <c:overlay val="0"/>
    </c:title>
    <c:autoTitleDeleted val="0"/>
    <c:plotArea>
      <c:layout/>
      <c:lineChart>
        <c:grouping val="standard"/>
        <c:varyColors val="0"/>
        <c:ser>
          <c:idx val="0"/>
          <c:order val="0"/>
          <c:tx>
            <c:strRef>
              <c:f>过程产出缺陷度量!$N$104</c:f>
              <c:strCache>
                <c:ptCount val="1"/>
                <c:pt idx="0">
                  <c:v>LOL</c:v>
                </c:pt>
              </c:strCache>
            </c:strRef>
          </c:tx>
          <c:cat>
            <c:strRef>
              <c:f>[0]!代码走查次数于画图</c:f>
              <c:strCache>
                <c:ptCount val="1"/>
                <c:pt idx="0">
                  <c:v>第1次走查</c:v>
                </c:pt>
              </c:strCache>
            </c:strRef>
          </c:cat>
          <c:val>
            <c:numRef>
              <c:f>[0]!代码走查缺陷密度的下限于画图</c:f>
              <c:numCache>
                <c:formatCode>0.0000_ </c:formatCode>
                <c:ptCount val="1"/>
                <c:pt idx="0">
                  <c:v>0</c:v>
                </c:pt>
              </c:numCache>
            </c:numRef>
          </c:val>
          <c:smooth val="0"/>
          <c:extLst>
            <c:ext xmlns:c16="http://schemas.microsoft.com/office/drawing/2014/chart" uri="{C3380CC4-5D6E-409C-BE32-E72D297353CC}">
              <c16:uniqueId val="{00000000-6645-438C-AE3F-F65CCA6683BF}"/>
            </c:ext>
          </c:extLst>
        </c:ser>
        <c:ser>
          <c:idx val="1"/>
          <c:order val="1"/>
          <c:tx>
            <c:strRef>
              <c:f>过程产出缺陷度量!$O$104</c:f>
              <c:strCache>
                <c:ptCount val="1"/>
                <c:pt idx="0">
                  <c:v>OL</c:v>
                </c:pt>
              </c:strCache>
            </c:strRef>
          </c:tx>
          <c:cat>
            <c:strRef>
              <c:f>[0]!代码走查次数于画图</c:f>
              <c:strCache>
                <c:ptCount val="1"/>
                <c:pt idx="0">
                  <c:v>第1次走查</c:v>
                </c:pt>
              </c:strCache>
            </c:strRef>
          </c:cat>
          <c:val>
            <c:numRef>
              <c:f>[0]!代码走查缺陷密度的均值于画图</c:f>
              <c:numCache>
                <c:formatCode>0.0000_ </c:formatCode>
                <c:ptCount val="1"/>
                <c:pt idx="0">
                  <c:v>5.0599999999999999E-2</c:v>
                </c:pt>
              </c:numCache>
            </c:numRef>
          </c:val>
          <c:smooth val="0"/>
          <c:extLst>
            <c:ext xmlns:c16="http://schemas.microsoft.com/office/drawing/2014/chart" uri="{C3380CC4-5D6E-409C-BE32-E72D297353CC}">
              <c16:uniqueId val="{00000001-6645-438C-AE3F-F65CCA6683BF}"/>
            </c:ext>
          </c:extLst>
        </c:ser>
        <c:ser>
          <c:idx val="2"/>
          <c:order val="2"/>
          <c:tx>
            <c:strRef>
              <c:f>过程产出缺陷度量!$P$104</c:f>
              <c:strCache>
                <c:ptCount val="1"/>
                <c:pt idx="0">
                  <c:v>UOL</c:v>
                </c:pt>
              </c:strCache>
            </c:strRef>
          </c:tx>
          <c:cat>
            <c:strRef>
              <c:f>[0]!代码走查次数于画图</c:f>
              <c:strCache>
                <c:ptCount val="1"/>
                <c:pt idx="0">
                  <c:v>第1次走查</c:v>
                </c:pt>
              </c:strCache>
            </c:strRef>
          </c:cat>
          <c:val>
            <c:numRef>
              <c:f>[0]!代码走查缺陷密度的上限于画图</c:f>
              <c:numCache>
                <c:formatCode>0.0000_ </c:formatCode>
                <c:ptCount val="1"/>
                <c:pt idx="0">
                  <c:v>0.15440000000000001</c:v>
                </c:pt>
              </c:numCache>
            </c:numRef>
          </c:val>
          <c:smooth val="0"/>
          <c:extLst>
            <c:ext xmlns:c16="http://schemas.microsoft.com/office/drawing/2014/chart" uri="{C3380CC4-5D6E-409C-BE32-E72D297353CC}">
              <c16:uniqueId val="{00000002-6645-438C-AE3F-F65CCA6683BF}"/>
            </c:ext>
          </c:extLst>
        </c:ser>
        <c:ser>
          <c:idx val="3"/>
          <c:order val="3"/>
          <c:tx>
            <c:v>项目数据</c:v>
          </c:tx>
          <c:cat>
            <c:strRef>
              <c:f>[0]!代码走查次数于画图</c:f>
              <c:strCache>
                <c:ptCount val="1"/>
                <c:pt idx="0">
                  <c:v>第1次走查</c:v>
                </c:pt>
              </c:strCache>
            </c:strRef>
          </c:cat>
          <c:val>
            <c:numRef>
              <c:f>[0]!代码走查缺陷密度于画图</c:f>
              <c:numCache>
                <c:formatCode>0.000_ </c:formatCode>
                <c:ptCount val="1"/>
                <c:pt idx="0">
                  <c:v>5.0847457627118647E-2</c:v>
                </c:pt>
              </c:numCache>
            </c:numRef>
          </c:val>
          <c:smooth val="0"/>
          <c:extLst>
            <c:ext xmlns:c16="http://schemas.microsoft.com/office/drawing/2014/chart" uri="{C3380CC4-5D6E-409C-BE32-E72D297353CC}">
              <c16:uniqueId val="{00000003-6645-438C-AE3F-F65CCA6683BF}"/>
            </c:ext>
          </c:extLst>
        </c:ser>
        <c:dLbls>
          <c:showLegendKey val="0"/>
          <c:showVal val="0"/>
          <c:showCatName val="0"/>
          <c:showSerName val="0"/>
          <c:showPercent val="0"/>
          <c:showBubbleSize val="0"/>
        </c:dLbls>
        <c:marker val="1"/>
        <c:smooth val="0"/>
        <c:axId val="268407552"/>
        <c:axId val="268409088"/>
      </c:lineChart>
      <c:catAx>
        <c:axId val="268407552"/>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8409088"/>
        <c:crosses val="autoZero"/>
        <c:auto val="1"/>
        <c:lblAlgn val="ctr"/>
        <c:lblOffset val="100"/>
        <c:noMultiLvlLbl val="0"/>
      </c:catAx>
      <c:valAx>
        <c:axId val="268409088"/>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8407552"/>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客户需求评审缺陷密度的控制图</a:t>
            </a:r>
            <a:endParaRPr lang="en-US" altLang="zh-CN"/>
          </a:p>
        </c:rich>
      </c:tx>
      <c:overlay val="0"/>
    </c:title>
    <c:autoTitleDeleted val="0"/>
    <c:plotArea>
      <c:layout/>
      <c:lineChart>
        <c:grouping val="standard"/>
        <c:varyColors val="0"/>
        <c:ser>
          <c:idx val="0"/>
          <c:order val="0"/>
          <c:tx>
            <c:strRef>
              <c:f>过程产出缺陷度量!$N$7</c:f>
              <c:strCache>
                <c:ptCount val="1"/>
                <c:pt idx="0">
                  <c:v>LOL</c:v>
                </c:pt>
              </c:strCache>
            </c:strRef>
          </c:tx>
          <c:cat>
            <c:strRef>
              <c:f>[0]!客户需求评审次数</c:f>
              <c:strCache>
                <c:ptCount val="1"/>
                <c:pt idx="0">
                  <c:v>第1次评审</c:v>
                </c:pt>
              </c:strCache>
            </c:strRef>
          </c:cat>
          <c:val>
            <c:numRef>
              <c:f>[0]!客户需求评审缺陷密度的下限</c:f>
              <c:numCache>
                <c:formatCode>0.0000_ </c:formatCode>
                <c:ptCount val="1"/>
                <c:pt idx="0">
                  <c:v>0</c:v>
                </c:pt>
              </c:numCache>
            </c:numRef>
          </c:val>
          <c:smooth val="0"/>
          <c:extLst>
            <c:ext xmlns:c16="http://schemas.microsoft.com/office/drawing/2014/chart" uri="{C3380CC4-5D6E-409C-BE32-E72D297353CC}">
              <c16:uniqueId val="{00000000-926F-4962-A7E0-F1A51E267841}"/>
            </c:ext>
          </c:extLst>
        </c:ser>
        <c:ser>
          <c:idx val="1"/>
          <c:order val="1"/>
          <c:tx>
            <c:strRef>
              <c:f>过程产出缺陷度量!$O$7</c:f>
              <c:strCache>
                <c:ptCount val="1"/>
                <c:pt idx="0">
                  <c:v>OL</c:v>
                </c:pt>
              </c:strCache>
            </c:strRef>
          </c:tx>
          <c:cat>
            <c:strRef>
              <c:f>[0]!客户需求评审次数</c:f>
              <c:strCache>
                <c:ptCount val="1"/>
                <c:pt idx="0">
                  <c:v>第1次评审</c:v>
                </c:pt>
              </c:strCache>
            </c:strRef>
          </c:cat>
          <c:val>
            <c:numRef>
              <c:f>[0]!客户需求评审缺陷密度的均值</c:f>
              <c:numCache>
                <c:formatCode>0.0000_ </c:formatCode>
                <c:ptCount val="1"/>
                <c:pt idx="0">
                  <c:v>0.21110000000000001</c:v>
                </c:pt>
              </c:numCache>
            </c:numRef>
          </c:val>
          <c:smooth val="0"/>
          <c:extLst>
            <c:ext xmlns:c16="http://schemas.microsoft.com/office/drawing/2014/chart" uri="{C3380CC4-5D6E-409C-BE32-E72D297353CC}">
              <c16:uniqueId val="{00000001-926F-4962-A7E0-F1A51E267841}"/>
            </c:ext>
          </c:extLst>
        </c:ser>
        <c:ser>
          <c:idx val="2"/>
          <c:order val="2"/>
          <c:tx>
            <c:strRef>
              <c:f>过程产出缺陷度量!$P$7</c:f>
              <c:strCache>
                <c:ptCount val="1"/>
                <c:pt idx="0">
                  <c:v>UOL</c:v>
                </c:pt>
              </c:strCache>
            </c:strRef>
          </c:tx>
          <c:cat>
            <c:strRef>
              <c:f>[0]!客户需求评审次数</c:f>
              <c:strCache>
                <c:ptCount val="1"/>
                <c:pt idx="0">
                  <c:v>第1次评审</c:v>
                </c:pt>
              </c:strCache>
            </c:strRef>
          </c:cat>
          <c:val>
            <c:numRef>
              <c:f>[0]!客户需求评审缺陷密度的上限</c:f>
              <c:numCache>
                <c:formatCode>0.0000_ </c:formatCode>
                <c:ptCount val="1"/>
                <c:pt idx="0">
                  <c:v>0.627</c:v>
                </c:pt>
              </c:numCache>
            </c:numRef>
          </c:val>
          <c:smooth val="0"/>
          <c:extLst>
            <c:ext xmlns:c16="http://schemas.microsoft.com/office/drawing/2014/chart" uri="{C3380CC4-5D6E-409C-BE32-E72D297353CC}">
              <c16:uniqueId val="{00000002-926F-4962-A7E0-F1A51E267841}"/>
            </c:ext>
          </c:extLst>
        </c:ser>
        <c:ser>
          <c:idx val="3"/>
          <c:order val="3"/>
          <c:tx>
            <c:v>项目数据</c:v>
          </c:tx>
          <c:cat>
            <c:strRef>
              <c:f>[0]!客户需求评审次数</c:f>
              <c:strCache>
                <c:ptCount val="1"/>
                <c:pt idx="0">
                  <c:v>第1次评审</c:v>
                </c:pt>
              </c:strCache>
            </c:strRef>
          </c:cat>
          <c:val>
            <c:numRef>
              <c:f>[0]!客户需求评审缺陷密度</c:f>
              <c:numCache>
                <c:formatCode>0.000_ </c:formatCode>
                <c:ptCount val="1"/>
                <c:pt idx="0">
                  <c:v>8.8235294117647065E-2</c:v>
                </c:pt>
              </c:numCache>
            </c:numRef>
          </c:val>
          <c:smooth val="0"/>
          <c:extLst>
            <c:ext xmlns:c16="http://schemas.microsoft.com/office/drawing/2014/chart" uri="{C3380CC4-5D6E-409C-BE32-E72D297353CC}">
              <c16:uniqueId val="{00000003-926F-4962-A7E0-F1A51E267841}"/>
            </c:ext>
          </c:extLst>
        </c:ser>
        <c:dLbls>
          <c:showLegendKey val="0"/>
          <c:showVal val="0"/>
          <c:showCatName val="0"/>
          <c:showSerName val="0"/>
          <c:showPercent val="0"/>
          <c:showBubbleSize val="0"/>
        </c:dLbls>
        <c:marker val="1"/>
        <c:smooth val="0"/>
        <c:axId val="273679488"/>
        <c:axId val="273681024"/>
      </c:lineChart>
      <c:catAx>
        <c:axId val="273679488"/>
        <c:scaling>
          <c:orientation val="minMax"/>
        </c:scaling>
        <c:delete val="0"/>
        <c:axPos val="b"/>
        <c:numFmt formatCode="General" sourceLinked="0"/>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73681024"/>
        <c:crosses val="autoZero"/>
        <c:auto val="1"/>
        <c:lblAlgn val="ctr"/>
        <c:lblOffset val="100"/>
        <c:noMultiLvlLbl val="0"/>
      </c:catAx>
      <c:valAx>
        <c:axId val="273681024"/>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73679488"/>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需求规格评审缺陷密度的控制图</a:t>
            </a:r>
            <a:endParaRPr lang="en-US" altLang="zh-CN"/>
          </a:p>
        </c:rich>
      </c:tx>
      <c:overlay val="0"/>
    </c:title>
    <c:autoTitleDeleted val="0"/>
    <c:plotArea>
      <c:layout/>
      <c:lineChart>
        <c:grouping val="standard"/>
        <c:varyColors val="0"/>
        <c:ser>
          <c:idx val="0"/>
          <c:order val="0"/>
          <c:tx>
            <c:strRef>
              <c:f>过程产出缺陷度量!$N$29</c:f>
              <c:strCache>
                <c:ptCount val="1"/>
                <c:pt idx="0">
                  <c:v>LOL</c:v>
                </c:pt>
              </c:strCache>
            </c:strRef>
          </c:tx>
          <c:cat>
            <c:strRef>
              <c:f>[0]!需求规格评审次数于画图</c:f>
              <c:strCache>
                <c:ptCount val="4"/>
                <c:pt idx="0">
                  <c:v>第1次评审</c:v>
                </c:pt>
                <c:pt idx="1">
                  <c:v>第2次评审</c:v>
                </c:pt>
                <c:pt idx="2">
                  <c:v>第3次评审</c:v>
                </c:pt>
                <c:pt idx="3">
                  <c:v>第4次评审</c:v>
                </c:pt>
              </c:strCache>
            </c:strRef>
          </c:cat>
          <c:val>
            <c:numRef>
              <c:f>[0]!需求规格评审缺陷密度的下限于画图</c:f>
              <c:numCache>
                <c:formatCode>0.0000_ </c:formatCode>
                <c:ptCount val="4"/>
                <c:pt idx="0">
                  <c:v>0</c:v>
                </c:pt>
                <c:pt idx="1">
                  <c:v>0</c:v>
                </c:pt>
                <c:pt idx="2">
                  <c:v>0</c:v>
                </c:pt>
                <c:pt idx="3">
                  <c:v>0</c:v>
                </c:pt>
              </c:numCache>
            </c:numRef>
          </c:val>
          <c:smooth val="0"/>
          <c:extLst>
            <c:ext xmlns:c16="http://schemas.microsoft.com/office/drawing/2014/chart" uri="{C3380CC4-5D6E-409C-BE32-E72D297353CC}">
              <c16:uniqueId val="{00000000-FD9B-4A06-9AA7-9E73BC25D8CB}"/>
            </c:ext>
          </c:extLst>
        </c:ser>
        <c:ser>
          <c:idx val="1"/>
          <c:order val="1"/>
          <c:tx>
            <c:strRef>
              <c:f>过程产出缺陷度量!$O$29</c:f>
              <c:strCache>
                <c:ptCount val="1"/>
                <c:pt idx="0">
                  <c:v>OL</c:v>
                </c:pt>
              </c:strCache>
            </c:strRef>
          </c:tx>
          <c:cat>
            <c:strRef>
              <c:f>[0]!需求规格评审次数于画图</c:f>
              <c:strCache>
                <c:ptCount val="4"/>
                <c:pt idx="0">
                  <c:v>第1次评审</c:v>
                </c:pt>
                <c:pt idx="1">
                  <c:v>第2次评审</c:v>
                </c:pt>
                <c:pt idx="2">
                  <c:v>第3次评审</c:v>
                </c:pt>
                <c:pt idx="3">
                  <c:v>第4次评审</c:v>
                </c:pt>
              </c:strCache>
            </c:strRef>
          </c:cat>
          <c:val>
            <c:numRef>
              <c:f>[0]!需求规格评审缺陷密度的均值于画图</c:f>
              <c:numCache>
                <c:formatCode>0.0000_ </c:formatCode>
                <c:ptCount val="4"/>
                <c:pt idx="0">
                  <c:v>7.5399999999999995E-2</c:v>
                </c:pt>
                <c:pt idx="1">
                  <c:v>7.5399999999999995E-2</c:v>
                </c:pt>
                <c:pt idx="2">
                  <c:v>7.5399999999999995E-2</c:v>
                </c:pt>
                <c:pt idx="3">
                  <c:v>7.5399999999999995E-2</c:v>
                </c:pt>
              </c:numCache>
            </c:numRef>
          </c:val>
          <c:smooth val="0"/>
          <c:extLst>
            <c:ext xmlns:c16="http://schemas.microsoft.com/office/drawing/2014/chart" uri="{C3380CC4-5D6E-409C-BE32-E72D297353CC}">
              <c16:uniqueId val="{00000001-FD9B-4A06-9AA7-9E73BC25D8CB}"/>
            </c:ext>
          </c:extLst>
        </c:ser>
        <c:ser>
          <c:idx val="2"/>
          <c:order val="2"/>
          <c:tx>
            <c:strRef>
              <c:f>过程产出缺陷度量!$P$29</c:f>
              <c:strCache>
                <c:ptCount val="1"/>
                <c:pt idx="0">
                  <c:v>UOL</c:v>
                </c:pt>
              </c:strCache>
            </c:strRef>
          </c:tx>
          <c:cat>
            <c:strRef>
              <c:f>[0]!需求规格评审次数于画图</c:f>
              <c:strCache>
                <c:ptCount val="4"/>
                <c:pt idx="0">
                  <c:v>第1次评审</c:v>
                </c:pt>
                <c:pt idx="1">
                  <c:v>第2次评审</c:v>
                </c:pt>
                <c:pt idx="2">
                  <c:v>第3次评审</c:v>
                </c:pt>
                <c:pt idx="3">
                  <c:v>第4次评审</c:v>
                </c:pt>
              </c:strCache>
            </c:strRef>
          </c:cat>
          <c:val>
            <c:numRef>
              <c:f>[0]!需求规格评审缺陷密度的上限于画图</c:f>
              <c:numCache>
                <c:formatCode>0.0000_ </c:formatCode>
                <c:ptCount val="4"/>
                <c:pt idx="0">
                  <c:v>0.2273</c:v>
                </c:pt>
                <c:pt idx="1">
                  <c:v>0.2273</c:v>
                </c:pt>
                <c:pt idx="2">
                  <c:v>0.2273</c:v>
                </c:pt>
                <c:pt idx="3">
                  <c:v>0.2273</c:v>
                </c:pt>
              </c:numCache>
            </c:numRef>
          </c:val>
          <c:smooth val="0"/>
          <c:extLst>
            <c:ext xmlns:c16="http://schemas.microsoft.com/office/drawing/2014/chart" uri="{C3380CC4-5D6E-409C-BE32-E72D297353CC}">
              <c16:uniqueId val="{00000002-FD9B-4A06-9AA7-9E73BC25D8CB}"/>
            </c:ext>
          </c:extLst>
        </c:ser>
        <c:ser>
          <c:idx val="3"/>
          <c:order val="3"/>
          <c:tx>
            <c:v>项目数据</c:v>
          </c:tx>
          <c:cat>
            <c:strRef>
              <c:f>[0]!需求规格评审次数于画图</c:f>
              <c:strCache>
                <c:ptCount val="4"/>
                <c:pt idx="0">
                  <c:v>第1次评审</c:v>
                </c:pt>
                <c:pt idx="1">
                  <c:v>第2次评审</c:v>
                </c:pt>
                <c:pt idx="2">
                  <c:v>第3次评审</c:v>
                </c:pt>
                <c:pt idx="3">
                  <c:v>第4次评审</c:v>
                </c:pt>
              </c:strCache>
            </c:strRef>
          </c:cat>
          <c:val>
            <c:numRef>
              <c:f>[0]!需求规格评审缺陷密度于画图</c:f>
              <c:numCache>
                <c:formatCode>0.000_ </c:formatCode>
                <c:ptCount val="4"/>
                <c:pt idx="0">
                  <c:v>0</c:v>
                </c:pt>
                <c:pt idx="1">
                  <c:v>0</c:v>
                </c:pt>
                <c:pt idx="2">
                  <c:v>0</c:v>
                </c:pt>
                <c:pt idx="3">
                  <c:v>0</c:v>
                </c:pt>
              </c:numCache>
            </c:numRef>
          </c:val>
          <c:smooth val="0"/>
          <c:extLst>
            <c:ext xmlns:c16="http://schemas.microsoft.com/office/drawing/2014/chart" uri="{C3380CC4-5D6E-409C-BE32-E72D297353CC}">
              <c16:uniqueId val="{00000003-FD9B-4A06-9AA7-9E73BC25D8CB}"/>
            </c:ext>
          </c:extLst>
        </c:ser>
        <c:dLbls>
          <c:showLegendKey val="0"/>
          <c:showVal val="0"/>
          <c:showCatName val="0"/>
          <c:showSerName val="0"/>
          <c:showPercent val="0"/>
          <c:showBubbleSize val="0"/>
        </c:dLbls>
        <c:marker val="1"/>
        <c:smooth val="0"/>
        <c:axId val="273724544"/>
        <c:axId val="273726080"/>
      </c:lineChart>
      <c:catAx>
        <c:axId val="273724544"/>
        <c:scaling>
          <c:orientation val="minMax"/>
        </c:scaling>
        <c:delete val="0"/>
        <c:axPos val="b"/>
        <c:numFmt formatCode="General" sourceLinked="0"/>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73726080"/>
        <c:crosses val="autoZero"/>
        <c:auto val="1"/>
        <c:lblAlgn val="ctr"/>
        <c:lblOffset val="100"/>
        <c:noMultiLvlLbl val="0"/>
      </c:catAx>
      <c:valAx>
        <c:axId val="273726080"/>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73724544"/>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设计评审缺陷密度的控制图</a:t>
            </a:r>
            <a:endParaRPr lang="en-US" altLang="zh-CN"/>
          </a:p>
        </c:rich>
      </c:tx>
      <c:overlay val="0"/>
    </c:title>
    <c:autoTitleDeleted val="0"/>
    <c:plotArea>
      <c:layout/>
      <c:lineChart>
        <c:grouping val="standard"/>
        <c:varyColors val="0"/>
        <c:ser>
          <c:idx val="0"/>
          <c:order val="0"/>
          <c:tx>
            <c:strRef>
              <c:f>过程产出缺陷度量!$N$56</c:f>
              <c:strCache>
                <c:ptCount val="1"/>
                <c:pt idx="0">
                  <c:v>LOL</c:v>
                </c:pt>
              </c:strCache>
            </c:strRef>
          </c:tx>
          <c:cat>
            <c:strRef>
              <c:f>[0]!设计评审次数于画图</c:f>
              <c:strCache>
                <c:ptCount val="1"/>
                <c:pt idx="0">
                  <c:v>第1次评审</c:v>
                </c:pt>
              </c:strCache>
            </c:strRef>
          </c:cat>
          <c:val>
            <c:numRef>
              <c:f>[0]!设计评审缺陷密度的下限于画图</c:f>
              <c:numCache>
                <c:formatCode>0.0000_ </c:formatCode>
                <c:ptCount val="1"/>
                <c:pt idx="0">
                  <c:v>0</c:v>
                </c:pt>
              </c:numCache>
            </c:numRef>
          </c:val>
          <c:smooth val="0"/>
          <c:extLst>
            <c:ext xmlns:c16="http://schemas.microsoft.com/office/drawing/2014/chart" uri="{C3380CC4-5D6E-409C-BE32-E72D297353CC}">
              <c16:uniqueId val="{00000000-4BEA-4EB5-8AC5-E3629E362859}"/>
            </c:ext>
          </c:extLst>
        </c:ser>
        <c:ser>
          <c:idx val="1"/>
          <c:order val="1"/>
          <c:tx>
            <c:strRef>
              <c:f>过程产出缺陷度量!$O$56</c:f>
              <c:strCache>
                <c:ptCount val="1"/>
                <c:pt idx="0">
                  <c:v>OL</c:v>
                </c:pt>
              </c:strCache>
            </c:strRef>
          </c:tx>
          <c:cat>
            <c:strRef>
              <c:f>[0]!设计评审次数于画图</c:f>
              <c:strCache>
                <c:ptCount val="1"/>
                <c:pt idx="0">
                  <c:v>第1次评审</c:v>
                </c:pt>
              </c:strCache>
            </c:strRef>
          </c:cat>
          <c:val>
            <c:numRef>
              <c:f>[0]!设计评审缺陷密度的均值于画图</c:f>
              <c:numCache>
                <c:formatCode>0.0000_ </c:formatCode>
                <c:ptCount val="1"/>
                <c:pt idx="0">
                  <c:v>8.3400000000000002E-2</c:v>
                </c:pt>
              </c:numCache>
            </c:numRef>
          </c:val>
          <c:smooth val="0"/>
          <c:extLst>
            <c:ext xmlns:c16="http://schemas.microsoft.com/office/drawing/2014/chart" uri="{C3380CC4-5D6E-409C-BE32-E72D297353CC}">
              <c16:uniqueId val="{00000001-4BEA-4EB5-8AC5-E3629E362859}"/>
            </c:ext>
          </c:extLst>
        </c:ser>
        <c:ser>
          <c:idx val="2"/>
          <c:order val="2"/>
          <c:tx>
            <c:strRef>
              <c:f>过程产出缺陷度量!$P$56</c:f>
              <c:strCache>
                <c:ptCount val="1"/>
                <c:pt idx="0">
                  <c:v>UOL</c:v>
                </c:pt>
              </c:strCache>
            </c:strRef>
          </c:tx>
          <c:cat>
            <c:strRef>
              <c:f>[0]!设计评审次数于画图</c:f>
              <c:strCache>
                <c:ptCount val="1"/>
                <c:pt idx="0">
                  <c:v>第1次评审</c:v>
                </c:pt>
              </c:strCache>
            </c:strRef>
          </c:cat>
          <c:val>
            <c:numRef>
              <c:f>[0]!设计评审缺陷密度的上限于画图</c:f>
              <c:numCache>
                <c:formatCode>0.0000_ </c:formatCode>
                <c:ptCount val="1"/>
                <c:pt idx="0">
                  <c:v>0.22040000000000001</c:v>
                </c:pt>
              </c:numCache>
            </c:numRef>
          </c:val>
          <c:smooth val="0"/>
          <c:extLst>
            <c:ext xmlns:c16="http://schemas.microsoft.com/office/drawing/2014/chart" uri="{C3380CC4-5D6E-409C-BE32-E72D297353CC}">
              <c16:uniqueId val="{00000002-4BEA-4EB5-8AC5-E3629E362859}"/>
            </c:ext>
          </c:extLst>
        </c:ser>
        <c:ser>
          <c:idx val="3"/>
          <c:order val="3"/>
          <c:tx>
            <c:v>项目数据</c:v>
          </c:tx>
          <c:cat>
            <c:strRef>
              <c:f>[0]!设计评审次数于画图</c:f>
              <c:strCache>
                <c:ptCount val="1"/>
                <c:pt idx="0">
                  <c:v>第1次评审</c:v>
                </c:pt>
              </c:strCache>
            </c:strRef>
          </c:cat>
          <c:val>
            <c:numRef>
              <c:f>[0]!设计评审缺陷密度于画图</c:f>
              <c:numCache>
                <c:formatCode>0.000_ </c:formatCode>
                <c:ptCount val="1"/>
                <c:pt idx="0">
                  <c:v>0.15789473684210525</c:v>
                </c:pt>
              </c:numCache>
            </c:numRef>
          </c:val>
          <c:smooth val="0"/>
          <c:extLst>
            <c:ext xmlns:c16="http://schemas.microsoft.com/office/drawing/2014/chart" uri="{C3380CC4-5D6E-409C-BE32-E72D297353CC}">
              <c16:uniqueId val="{00000003-4BEA-4EB5-8AC5-E3629E362859}"/>
            </c:ext>
          </c:extLst>
        </c:ser>
        <c:dLbls>
          <c:showLegendKey val="0"/>
          <c:showVal val="0"/>
          <c:showCatName val="0"/>
          <c:showSerName val="0"/>
          <c:showPercent val="0"/>
          <c:showBubbleSize val="0"/>
        </c:dLbls>
        <c:marker val="1"/>
        <c:smooth val="0"/>
        <c:axId val="273843328"/>
        <c:axId val="273844864"/>
      </c:lineChart>
      <c:catAx>
        <c:axId val="273843328"/>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73844864"/>
        <c:crosses val="autoZero"/>
        <c:auto val="1"/>
        <c:lblAlgn val="ctr"/>
        <c:lblOffset val="100"/>
        <c:noMultiLvlLbl val="0"/>
      </c:catAx>
      <c:valAx>
        <c:axId val="273844864"/>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73843328"/>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测试用例评审缺陷密度的控制图</a:t>
            </a:r>
            <a:endParaRPr lang="en-US" altLang="zh-CN"/>
          </a:p>
        </c:rich>
      </c:tx>
      <c:overlay val="0"/>
    </c:title>
    <c:autoTitleDeleted val="0"/>
    <c:plotArea>
      <c:layout/>
      <c:lineChart>
        <c:grouping val="standard"/>
        <c:varyColors val="0"/>
        <c:ser>
          <c:idx val="0"/>
          <c:order val="0"/>
          <c:tx>
            <c:strRef>
              <c:f>过程产出缺陷度量!$N$81</c:f>
              <c:strCache>
                <c:ptCount val="1"/>
                <c:pt idx="0">
                  <c:v>LOL</c:v>
                </c:pt>
              </c:strCache>
            </c:strRef>
          </c:tx>
          <c:cat>
            <c:strRef>
              <c:f>[0]!测试用例评审次数于画图</c:f>
              <c:strCache>
                <c:ptCount val="1"/>
                <c:pt idx="0">
                  <c:v>第1次评审</c:v>
                </c:pt>
              </c:strCache>
            </c:strRef>
          </c:cat>
          <c:val>
            <c:numRef>
              <c:f>[0]!测试用例评审缺陷密度的下限于画图</c:f>
              <c:numCache>
                <c:formatCode>0.0000_ </c:formatCode>
                <c:ptCount val="1"/>
                <c:pt idx="0">
                  <c:v>8.0000000000000004E-4</c:v>
                </c:pt>
              </c:numCache>
            </c:numRef>
          </c:val>
          <c:smooth val="0"/>
          <c:extLst>
            <c:ext xmlns:c16="http://schemas.microsoft.com/office/drawing/2014/chart" uri="{C3380CC4-5D6E-409C-BE32-E72D297353CC}">
              <c16:uniqueId val="{00000000-FA93-4C70-9DA7-36B67149CCDD}"/>
            </c:ext>
          </c:extLst>
        </c:ser>
        <c:ser>
          <c:idx val="1"/>
          <c:order val="1"/>
          <c:tx>
            <c:strRef>
              <c:f>过程产出缺陷度量!$O$81</c:f>
              <c:strCache>
                <c:ptCount val="1"/>
                <c:pt idx="0">
                  <c:v>OL</c:v>
                </c:pt>
              </c:strCache>
            </c:strRef>
          </c:tx>
          <c:cat>
            <c:strRef>
              <c:f>[0]!测试用例评审次数于画图</c:f>
              <c:strCache>
                <c:ptCount val="1"/>
                <c:pt idx="0">
                  <c:v>第1次评审</c:v>
                </c:pt>
              </c:strCache>
            </c:strRef>
          </c:cat>
          <c:val>
            <c:numRef>
              <c:f>[0]!测试用例评审缺陷密度的均值于画图</c:f>
              <c:numCache>
                <c:formatCode>0.0000_ </c:formatCode>
                <c:ptCount val="1"/>
                <c:pt idx="0">
                  <c:v>1.0999999999999999E-2</c:v>
                </c:pt>
              </c:numCache>
            </c:numRef>
          </c:val>
          <c:smooth val="0"/>
          <c:extLst>
            <c:ext xmlns:c16="http://schemas.microsoft.com/office/drawing/2014/chart" uri="{C3380CC4-5D6E-409C-BE32-E72D297353CC}">
              <c16:uniqueId val="{00000001-FA93-4C70-9DA7-36B67149CCDD}"/>
            </c:ext>
          </c:extLst>
        </c:ser>
        <c:ser>
          <c:idx val="2"/>
          <c:order val="2"/>
          <c:tx>
            <c:strRef>
              <c:f>过程产出缺陷度量!$P$81</c:f>
              <c:strCache>
                <c:ptCount val="1"/>
                <c:pt idx="0">
                  <c:v>UOL</c:v>
                </c:pt>
              </c:strCache>
            </c:strRef>
          </c:tx>
          <c:cat>
            <c:strRef>
              <c:f>[0]!测试用例评审次数于画图</c:f>
              <c:strCache>
                <c:ptCount val="1"/>
                <c:pt idx="0">
                  <c:v>第1次评审</c:v>
                </c:pt>
              </c:strCache>
            </c:strRef>
          </c:cat>
          <c:val>
            <c:numRef>
              <c:f>[0]!测试用例评审缺陷密度的上限于画图</c:f>
              <c:numCache>
                <c:formatCode>0.0000_ </c:formatCode>
                <c:ptCount val="1"/>
                <c:pt idx="0">
                  <c:v>2.12E-2</c:v>
                </c:pt>
              </c:numCache>
            </c:numRef>
          </c:val>
          <c:smooth val="0"/>
          <c:extLst>
            <c:ext xmlns:c16="http://schemas.microsoft.com/office/drawing/2014/chart" uri="{C3380CC4-5D6E-409C-BE32-E72D297353CC}">
              <c16:uniqueId val="{00000002-FA93-4C70-9DA7-36B67149CCDD}"/>
            </c:ext>
          </c:extLst>
        </c:ser>
        <c:ser>
          <c:idx val="3"/>
          <c:order val="3"/>
          <c:tx>
            <c:v>项目数据</c:v>
          </c:tx>
          <c:cat>
            <c:strRef>
              <c:f>[0]!测试用例评审次数于画图</c:f>
              <c:strCache>
                <c:ptCount val="1"/>
                <c:pt idx="0">
                  <c:v>第1次评审</c:v>
                </c:pt>
              </c:strCache>
            </c:strRef>
          </c:cat>
          <c:val>
            <c:numRef>
              <c:f>[0]!测试用例评审缺陷密度于画图</c:f>
              <c:numCache>
                <c:formatCode>0.000_ </c:formatCode>
                <c:ptCount val="1"/>
                <c:pt idx="0">
                  <c:v>6.1538461538461538E-3</c:v>
                </c:pt>
              </c:numCache>
            </c:numRef>
          </c:val>
          <c:smooth val="0"/>
          <c:extLst>
            <c:ext xmlns:c16="http://schemas.microsoft.com/office/drawing/2014/chart" uri="{C3380CC4-5D6E-409C-BE32-E72D297353CC}">
              <c16:uniqueId val="{00000003-FA93-4C70-9DA7-36B67149CCDD}"/>
            </c:ext>
          </c:extLst>
        </c:ser>
        <c:dLbls>
          <c:showLegendKey val="0"/>
          <c:showVal val="0"/>
          <c:showCatName val="0"/>
          <c:showSerName val="0"/>
          <c:showPercent val="0"/>
          <c:showBubbleSize val="0"/>
        </c:dLbls>
        <c:marker val="1"/>
        <c:smooth val="0"/>
        <c:axId val="273859712"/>
        <c:axId val="273861248"/>
      </c:lineChart>
      <c:catAx>
        <c:axId val="273859712"/>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73861248"/>
        <c:crosses val="autoZero"/>
        <c:auto val="1"/>
        <c:lblAlgn val="ctr"/>
        <c:lblOffset val="100"/>
        <c:noMultiLvlLbl val="0"/>
      </c:catAx>
      <c:valAx>
        <c:axId val="273861248"/>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73859712"/>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代码走查缺陷密度的控制图</a:t>
            </a:r>
            <a:endParaRPr lang="en-US" altLang="zh-CN"/>
          </a:p>
        </c:rich>
      </c:tx>
      <c:overlay val="0"/>
    </c:title>
    <c:autoTitleDeleted val="0"/>
    <c:plotArea>
      <c:layout/>
      <c:lineChart>
        <c:grouping val="standard"/>
        <c:varyColors val="0"/>
        <c:ser>
          <c:idx val="0"/>
          <c:order val="0"/>
          <c:tx>
            <c:strRef>
              <c:f>过程产出缺陷度量!$N$104</c:f>
              <c:strCache>
                <c:ptCount val="1"/>
                <c:pt idx="0">
                  <c:v>LOL</c:v>
                </c:pt>
              </c:strCache>
            </c:strRef>
          </c:tx>
          <c:cat>
            <c:strRef>
              <c:f>[0]!代码走查次数于画图</c:f>
              <c:strCache>
                <c:ptCount val="1"/>
                <c:pt idx="0">
                  <c:v>第1次走查</c:v>
                </c:pt>
              </c:strCache>
            </c:strRef>
          </c:cat>
          <c:val>
            <c:numRef>
              <c:f>[0]!代码走查缺陷密度的下限于画图</c:f>
              <c:numCache>
                <c:formatCode>0.0000_ </c:formatCode>
                <c:ptCount val="1"/>
                <c:pt idx="0">
                  <c:v>0</c:v>
                </c:pt>
              </c:numCache>
            </c:numRef>
          </c:val>
          <c:smooth val="0"/>
          <c:extLst>
            <c:ext xmlns:c16="http://schemas.microsoft.com/office/drawing/2014/chart" uri="{C3380CC4-5D6E-409C-BE32-E72D297353CC}">
              <c16:uniqueId val="{00000000-43E3-4D63-B725-223738B22DDC}"/>
            </c:ext>
          </c:extLst>
        </c:ser>
        <c:ser>
          <c:idx val="1"/>
          <c:order val="1"/>
          <c:tx>
            <c:strRef>
              <c:f>过程产出缺陷度量!$O$104</c:f>
              <c:strCache>
                <c:ptCount val="1"/>
                <c:pt idx="0">
                  <c:v>OL</c:v>
                </c:pt>
              </c:strCache>
            </c:strRef>
          </c:tx>
          <c:cat>
            <c:strRef>
              <c:f>[0]!代码走查次数于画图</c:f>
              <c:strCache>
                <c:ptCount val="1"/>
                <c:pt idx="0">
                  <c:v>第1次走查</c:v>
                </c:pt>
              </c:strCache>
            </c:strRef>
          </c:cat>
          <c:val>
            <c:numRef>
              <c:f>[0]!代码走查缺陷密度的均值于画图</c:f>
              <c:numCache>
                <c:formatCode>0.0000_ </c:formatCode>
                <c:ptCount val="1"/>
                <c:pt idx="0">
                  <c:v>5.0599999999999999E-2</c:v>
                </c:pt>
              </c:numCache>
            </c:numRef>
          </c:val>
          <c:smooth val="0"/>
          <c:extLst>
            <c:ext xmlns:c16="http://schemas.microsoft.com/office/drawing/2014/chart" uri="{C3380CC4-5D6E-409C-BE32-E72D297353CC}">
              <c16:uniqueId val="{00000001-43E3-4D63-B725-223738B22DDC}"/>
            </c:ext>
          </c:extLst>
        </c:ser>
        <c:ser>
          <c:idx val="2"/>
          <c:order val="2"/>
          <c:tx>
            <c:strRef>
              <c:f>过程产出缺陷度量!$P$104</c:f>
              <c:strCache>
                <c:ptCount val="1"/>
                <c:pt idx="0">
                  <c:v>UOL</c:v>
                </c:pt>
              </c:strCache>
            </c:strRef>
          </c:tx>
          <c:cat>
            <c:strRef>
              <c:f>[0]!代码走查次数于画图</c:f>
              <c:strCache>
                <c:ptCount val="1"/>
                <c:pt idx="0">
                  <c:v>第1次走查</c:v>
                </c:pt>
              </c:strCache>
            </c:strRef>
          </c:cat>
          <c:val>
            <c:numRef>
              <c:f>[0]!代码走查缺陷密度的上限于画图</c:f>
              <c:numCache>
                <c:formatCode>0.0000_ </c:formatCode>
                <c:ptCount val="1"/>
                <c:pt idx="0">
                  <c:v>0.15440000000000001</c:v>
                </c:pt>
              </c:numCache>
            </c:numRef>
          </c:val>
          <c:smooth val="0"/>
          <c:extLst>
            <c:ext xmlns:c16="http://schemas.microsoft.com/office/drawing/2014/chart" uri="{C3380CC4-5D6E-409C-BE32-E72D297353CC}">
              <c16:uniqueId val="{00000002-43E3-4D63-B725-223738B22DDC}"/>
            </c:ext>
          </c:extLst>
        </c:ser>
        <c:ser>
          <c:idx val="3"/>
          <c:order val="3"/>
          <c:tx>
            <c:v>项目数据</c:v>
          </c:tx>
          <c:cat>
            <c:strRef>
              <c:f>[0]!代码走查次数于画图</c:f>
              <c:strCache>
                <c:ptCount val="1"/>
                <c:pt idx="0">
                  <c:v>第1次走查</c:v>
                </c:pt>
              </c:strCache>
            </c:strRef>
          </c:cat>
          <c:val>
            <c:numRef>
              <c:f>[0]!代码走查缺陷密度于画图</c:f>
              <c:numCache>
                <c:formatCode>0.000_ </c:formatCode>
                <c:ptCount val="1"/>
                <c:pt idx="0">
                  <c:v>5.0847457627118647E-2</c:v>
                </c:pt>
              </c:numCache>
            </c:numRef>
          </c:val>
          <c:smooth val="0"/>
          <c:extLst>
            <c:ext xmlns:c16="http://schemas.microsoft.com/office/drawing/2014/chart" uri="{C3380CC4-5D6E-409C-BE32-E72D297353CC}">
              <c16:uniqueId val="{00000003-43E3-4D63-B725-223738B22DDC}"/>
            </c:ext>
          </c:extLst>
        </c:ser>
        <c:dLbls>
          <c:showLegendKey val="0"/>
          <c:showVal val="0"/>
          <c:showCatName val="0"/>
          <c:showSerName val="0"/>
          <c:showPercent val="0"/>
          <c:showBubbleSize val="0"/>
        </c:dLbls>
        <c:marker val="1"/>
        <c:smooth val="0"/>
        <c:axId val="273912576"/>
        <c:axId val="273914112"/>
      </c:lineChart>
      <c:catAx>
        <c:axId val="273912576"/>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73914112"/>
        <c:crosses val="autoZero"/>
        <c:auto val="1"/>
        <c:lblAlgn val="ctr"/>
        <c:lblOffset val="100"/>
        <c:noMultiLvlLbl val="0"/>
      </c:catAx>
      <c:valAx>
        <c:axId val="273914112"/>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73912576"/>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测试用例覆盖密度控制图</a:t>
            </a:r>
            <a:endParaRPr lang="en-US" altLang="zh-CN"/>
          </a:p>
        </c:rich>
      </c:tx>
      <c:overlay val="0"/>
    </c:title>
    <c:autoTitleDeleted val="0"/>
    <c:plotArea>
      <c:layout/>
      <c:lineChart>
        <c:grouping val="standard"/>
        <c:varyColors val="0"/>
        <c:ser>
          <c:idx val="0"/>
          <c:order val="0"/>
          <c:tx>
            <c:v>项目数据</c:v>
          </c:tx>
          <c:cat>
            <c:strRef>
              <c:f>[9]过程产出缺陷度量!$A$153</c:f>
              <c:strCache>
                <c:ptCount val="1"/>
                <c:pt idx="0">
                  <c:v>迭代1</c:v>
                </c:pt>
              </c:strCache>
            </c:strRef>
          </c:cat>
          <c:val>
            <c:numRef>
              <c:f>过程产出缺陷度量!$E$396</c:f>
              <c:numCache>
                <c:formatCode>0.000_ </c:formatCode>
                <c:ptCount val="1"/>
                <c:pt idx="0">
                  <c:v>5.5423728813559325</c:v>
                </c:pt>
              </c:numCache>
            </c:numRef>
          </c:val>
          <c:smooth val="0"/>
          <c:extLst>
            <c:ext xmlns:c16="http://schemas.microsoft.com/office/drawing/2014/chart" uri="{C3380CC4-5D6E-409C-BE32-E72D297353CC}">
              <c16:uniqueId val="{00000000-9DEE-4FF9-89ED-84554224A179}"/>
            </c:ext>
          </c:extLst>
        </c:ser>
        <c:ser>
          <c:idx val="1"/>
          <c:order val="1"/>
          <c:tx>
            <c:strRef>
              <c:f>[9]过程产出缺陷度量!$F$152</c:f>
              <c:strCache>
                <c:ptCount val="1"/>
                <c:pt idx="0">
                  <c:v>LOL</c:v>
                </c:pt>
              </c:strCache>
            </c:strRef>
          </c:tx>
          <c:cat>
            <c:strRef>
              <c:f>[9]过程产出缺陷度量!$A$153</c:f>
              <c:strCache>
                <c:ptCount val="1"/>
                <c:pt idx="0">
                  <c:v>迭代1</c:v>
                </c:pt>
              </c:strCache>
            </c:strRef>
          </c:cat>
          <c:val>
            <c:numRef>
              <c:f>[9]过程产出缺陷度量!$F$153</c:f>
              <c:numCache>
                <c:formatCode>General</c:formatCode>
                <c:ptCount val="1"/>
                <c:pt idx="0">
                  <c:v>0</c:v>
                </c:pt>
              </c:numCache>
            </c:numRef>
          </c:val>
          <c:smooth val="0"/>
          <c:extLst>
            <c:ext xmlns:c16="http://schemas.microsoft.com/office/drawing/2014/chart" uri="{C3380CC4-5D6E-409C-BE32-E72D297353CC}">
              <c16:uniqueId val="{00000001-9DEE-4FF9-89ED-84554224A179}"/>
            </c:ext>
          </c:extLst>
        </c:ser>
        <c:ser>
          <c:idx val="2"/>
          <c:order val="2"/>
          <c:tx>
            <c:strRef>
              <c:f>[9]过程产出缺陷度量!$G$152</c:f>
              <c:strCache>
                <c:ptCount val="1"/>
                <c:pt idx="0">
                  <c:v>OL</c:v>
                </c:pt>
              </c:strCache>
            </c:strRef>
          </c:tx>
          <c:cat>
            <c:strRef>
              <c:f>[9]过程产出缺陷度量!$A$153</c:f>
              <c:strCache>
                <c:ptCount val="1"/>
                <c:pt idx="0">
                  <c:v>迭代1</c:v>
                </c:pt>
              </c:strCache>
            </c:strRef>
          </c:cat>
          <c:val>
            <c:numRef>
              <c:f>[9]过程产出缺陷度量!$G$153</c:f>
              <c:numCache>
                <c:formatCode>General</c:formatCode>
                <c:ptCount val="1"/>
                <c:pt idx="0">
                  <c:v>7.7510000000000003</c:v>
                </c:pt>
              </c:numCache>
            </c:numRef>
          </c:val>
          <c:smooth val="0"/>
          <c:extLst>
            <c:ext xmlns:c16="http://schemas.microsoft.com/office/drawing/2014/chart" uri="{C3380CC4-5D6E-409C-BE32-E72D297353CC}">
              <c16:uniqueId val="{00000002-9DEE-4FF9-89ED-84554224A179}"/>
            </c:ext>
          </c:extLst>
        </c:ser>
        <c:ser>
          <c:idx val="3"/>
          <c:order val="3"/>
          <c:tx>
            <c:strRef>
              <c:f>[9]过程产出缺陷度量!$H$152</c:f>
              <c:strCache>
                <c:ptCount val="1"/>
                <c:pt idx="0">
                  <c:v>UOL</c:v>
                </c:pt>
              </c:strCache>
            </c:strRef>
          </c:tx>
          <c:cat>
            <c:strRef>
              <c:f>[9]过程产出缺陷度量!$A$153</c:f>
              <c:strCache>
                <c:ptCount val="1"/>
                <c:pt idx="0">
                  <c:v>迭代1</c:v>
                </c:pt>
              </c:strCache>
            </c:strRef>
          </c:cat>
          <c:val>
            <c:numRef>
              <c:f>[9]过程产出缺陷度量!$H$153</c:f>
              <c:numCache>
                <c:formatCode>General</c:formatCode>
                <c:ptCount val="1"/>
                <c:pt idx="0">
                  <c:v>21.382999999999999</c:v>
                </c:pt>
              </c:numCache>
            </c:numRef>
          </c:val>
          <c:smooth val="0"/>
          <c:extLst>
            <c:ext xmlns:c16="http://schemas.microsoft.com/office/drawing/2014/chart" uri="{C3380CC4-5D6E-409C-BE32-E72D297353CC}">
              <c16:uniqueId val="{00000003-9DEE-4FF9-89ED-84554224A179}"/>
            </c:ext>
          </c:extLst>
        </c:ser>
        <c:dLbls>
          <c:showLegendKey val="0"/>
          <c:showVal val="0"/>
          <c:showCatName val="0"/>
          <c:showSerName val="0"/>
          <c:showPercent val="0"/>
          <c:showBubbleSize val="0"/>
        </c:dLbls>
        <c:marker val="1"/>
        <c:smooth val="0"/>
        <c:axId val="452096384"/>
        <c:axId val="452097920"/>
      </c:lineChart>
      <c:catAx>
        <c:axId val="452096384"/>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452097920"/>
        <c:crosses val="autoZero"/>
        <c:auto val="1"/>
        <c:lblAlgn val="ctr"/>
        <c:lblOffset val="100"/>
        <c:noMultiLvlLbl val="0"/>
      </c:catAx>
      <c:valAx>
        <c:axId val="452097920"/>
        <c:scaling>
          <c:orientation val="minMax"/>
        </c:scaling>
        <c:delete val="0"/>
        <c:axPos val="l"/>
        <c:majorGridlines/>
        <c:numFmt formatCode="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452096384"/>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sz="1200"/>
              <a:t>缺陷来源</a:t>
            </a:r>
          </a:p>
        </c:rich>
      </c:tx>
      <c:overlay val="0"/>
    </c:title>
    <c:autoTitleDeleted val="0"/>
    <c:plotArea>
      <c:layout/>
      <c:barChart>
        <c:barDir val="col"/>
        <c:grouping val="clustered"/>
        <c:varyColors val="1"/>
        <c:ser>
          <c:idx val="0"/>
          <c:order val="0"/>
          <c:invertIfNegative val="1"/>
          <c:dPt>
            <c:idx val="0"/>
            <c:invertIfNegative val="1"/>
            <c:bubble3D val="0"/>
            <c:extLst>
              <c:ext xmlns:c16="http://schemas.microsoft.com/office/drawing/2014/chart" uri="{C3380CC4-5D6E-409C-BE32-E72D297353CC}">
                <c16:uniqueId val="{00000000-97B1-414D-BB25-F46936560F6C}"/>
              </c:ext>
            </c:extLst>
          </c:dPt>
          <c:dPt>
            <c:idx val="1"/>
            <c:invertIfNegative val="1"/>
            <c:bubble3D val="0"/>
            <c:extLst>
              <c:ext xmlns:c16="http://schemas.microsoft.com/office/drawing/2014/chart" uri="{C3380CC4-5D6E-409C-BE32-E72D297353CC}">
                <c16:uniqueId val="{00000001-97B1-414D-BB25-F46936560F6C}"/>
              </c:ext>
            </c:extLst>
          </c:dPt>
          <c:dPt>
            <c:idx val="2"/>
            <c:invertIfNegative val="1"/>
            <c:bubble3D val="0"/>
            <c:extLst>
              <c:ext xmlns:c16="http://schemas.microsoft.com/office/drawing/2014/chart" uri="{C3380CC4-5D6E-409C-BE32-E72D297353CC}">
                <c16:uniqueId val="{00000002-97B1-414D-BB25-F46936560F6C}"/>
              </c:ext>
            </c:extLst>
          </c:dPt>
          <c:dPt>
            <c:idx val="3"/>
            <c:invertIfNegative val="1"/>
            <c:bubble3D val="0"/>
            <c:extLst>
              <c:ext xmlns:c16="http://schemas.microsoft.com/office/drawing/2014/chart" uri="{C3380CC4-5D6E-409C-BE32-E72D297353CC}">
                <c16:uniqueId val="{00000003-97B1-414D-BB25-F46936560F6C}"/>
              </c:ext>
            </c:extLst>
          </c:dPt>
          <c:cat>
            <c:strRef>
              <c:f>测试及验收缺陷度量!$B$45:$B$48</c:f>
              <c:strCache>
                <c:ptCount val="2"/>
                <c:pt idx="0">
                  <c:v>需求阶段</c:v>
                </c:pt>
                <c:pt idx="1">
                  <c:v>编码阶段</c:v>
                </c:pt>
              </c:strCache>
            </c:strRef>
          </c:cat>
          <c:val>
            <c:numRef>
              <c:f>测试及验收缺陷度量!$C$45:$C$48</c:f>
              <c:numCache>
                <c:formatCode>General</c:formatCode>
                <c:ptCount val="4"/>
                <c:pt idx="0">
                  <c:v>4</c:v>
                </c:pt>
                <c:pt idx="1">
                  <c:v>13</c:v>
                </c:pt>
              </c:numCache>
            </c:numRef>
          </c:val>
          <c:extLst>
            <c:ext xmlns:c16="http://schemas.microsoft.com/office/drawing/2014/chart" uri="{C3380CC4-5D6E-409C-BE32-E72D297353CC}">
              <c16:uniqueId val="{00000004-97B1-414D-BB25-F46936560F6C}"/>
            </c:ext>
          </c:extLst>
        </c:ser>
        <c:dLbls>
          <c:showLegendKey val="0"/>
          <c:showVal val="0"/>
          <c:showCatName val="0"/>
          <c:showSerName val="0"/>
          <c:showPercent val="0"/>
          <c:showBubbleSize val="0"/>
        </c:dLbls>
        <c:gapWidth val="150"/>
        <c:axId val="274038784"/>
        <c:axId val="274040320"/>
      </c:barChart>
      <c:catAx>
        <c:axId val="274038784"/>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74040320"/>
        <c:crosses val="autoZero"/>
        <c:auto val="1"/>
        <c:lblAlgn val="ctr"/>
        <c:lblOffset val="100"/>
        <c:noMultiLvlLbl val="0"/>
      </c:catAx>
      <c:valAx>
        <c:axId val="274040320"/>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74038784"/>
        <c:crosses val="autoZero"/>
        <c:crossBetween val="between"/>
      </c:valAx>
    </c:plotArea>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0" vertOverflow="ellipsis" vert="horz" wrap="square" anchor="ctr" anchorCtr="1"/>
          <a:lstStyle/>
          <a:p>
            <a:pPr>
              <a:defRPr lang="zh-CN" sz="1200" b="1" i="0" u="none" strike="noStrike" kern="1200" baseline="0">
                <a:solidFill>
                  <a:schemeClr val="tx1"/>
                </a:solidFill>
                <a:latin typeface="+mn-lt"/>
                <a:ea typeface="+mn-ea"/>
                <a:cs typeface="+mn-cs"/>
              </a:defRPr>
            </a:pPr>
            <a:r>
              <a:rPr lang="zh-CN" altLang="en-US" sz="1200"/>
              <a:t>缺陷位置</a:t>
            </a:r>
          </a:p>
        </c:rich>
      </c:tx>
      <c:overlay val="0"/>
    </c:title>
    <c:autoTitleDeleted val="0"/>
    <c:plotArea>
      <c:layout/>
      <c:barChart>
        <c:barDir val="col"/>
        <c:grouping val="clustered"/>
        <c:varyColors val="1"/>
        <c:ser>
          <c:idx val="0"/>
          <c:order val="0"/>
          <c:invertIfNegative val="1"/>
          <c:dPt>
            <c:idx val="0"/>
            <c:invertIfNegative val="1"/>
            <c:bubble3D val="0"/>
            <c:extLst>
              <c:ext xmlns:c16="http://schemas.microsoft.com/office/drawing/2014/chart" uri="{C3380CC4-5D6E-409C-BE32-E72D297353CC}">
                <c16:uniqueId val="{00000000-3B70-444D-B0C0-16614237D99B}"/>
              </c:ext>
            </c:extLst>
          </c:dPt>
          <c:dPt>
            <c:idx val="1"/>
            <c:invertIfNegative val="1"/>
            <c:bubble3D val="0"/>
            <c:extLst>
              <c:ext xmlns:c16="http://schemas.microsoft.com/office/drawing/2014/chart" uri="{C3380CC4-5D6E-409C-BE32-E72D297353CC}">
                <c16:uniqueId val="{00000001-3B70-444D-B0C0-16614237D99B}"/>
              </c:ext>
            </c:extLst>
          </c:dPt>
          <c:dPt>
            <c:idx val="2"/>
            <c:invertIfNegative val="1"/>
            <c:bubble3D val="0"/>
            <c:extLst>
              <c:ext xmlns:c16="http://schemas.microsoft.com/office/drawing/2014/chart" uri="{C3380CC4-5D6E-409C-BE32-E72D297353CC}">
                <c16:uniqueId val="{00000002-3B70-444D-B0C0-16614237D99B}"/>
              </c:ext>
            </c:extLst>
          </c:dPt>
          <c:dPt>
            <c:idx val="3"/>
            <c:invertIfNegative val="1"/>
            <c:bubble3D val="0"/>
            <c:extLst>
              <c:ext xmlns:c16="http://schemas.microsoft.com/office/drawing/2014/chart" uri="{C3380CC4-5D6E-409C-BE32-E72D297353CC}">
                <c16:uniqueId val="{00000003-3B70-444D-B0C0-16614237D99B}"/>
              </c:ext>
            </c:extLst>
          </c:dPt>
          <c:dPt>
            <c:idx val="4"/>
            <c:invertIfNegative val="1"/>
            <c:bubble3D val="0"/>
            <c:extLst>
              <c:ext xmlns:c16="http://schemas.microsoft.com/office/drawing/2014/chart" uri="{C3380CC4-5D6E-409C-BE32-E72D297353CC}">
                <c16:uniqueId val="{00000004-3B70-444D-B0C0-16614237D99B}"/>
              </c:ext>
            </c:extLst>
          </c:dPt>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测试及验收缺陷度量!$B$55:$B$59</c:f>
              <c:strCache>
                <c:ptCount val="2"/>
                <c:pt idx="0">
                  <c:v>前端</c:v>
                </c:pt>
                <c:pt idx="1">
                  <c:v>后台</c:v>
                </c:pt>
              </c:strCache>
            </c:strRef>
          </c:cat>
          <c:val>
            <c:numRef>
              <c:f>测试及验收缺陷度量!$C$55:$C$59</c:f>
              <c:numCache>
                <c:formatCode>General</c:formatCode>
                <c:ptCount val="5"/>
                <c:pt idx="0">
                  <c:v>10</c:v>
                </c:pt>
                <c:pt idx="1">
                  <c:v>7</c:v>
                </c:pt>
              </c:numCache>
            </c:numRef>
          </c:val>
          <c:extLst>
            <c:ext xmlns:c16="http://schemas.microsoft.com/office/drawing/2014/chart" uri="{C3380CC4-5D6E-409C-BE32-E72D297353CC}">
              <c16:uniqueId val="{00000005-3B70-444D-B0C0-16614237D99B}"/>
            </c:ext>
          </c:extLst>
        </c:ser>
        <c:dLbls>
          <c:showLegendKey val="0"/>
          <c:showVal val="0"/>
          <c:showCatName val="0"/>
          <c:showSerName val="0"/>
          <c:showPercent val="0"/>
          <c:showBubbleSize val="0"/>
        </c:dLbls>
        <c:gapWidth val="150"/>
        <c:axId val="266229248"/>
        <c:axId val="266230784"/>
      </c:barChart>
      <c:catAx>
        <c:axId val="266229248"/>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6230784"/>
        <c:crosses val="autoZero"/>
        <c:auto val="1"/>
        <c:lblAlgn val="ctr"/>
        <c:lblOffset val="100"/>
        <c:noMultiLvlLbl val="0"/>
      </c:catAx>
      <c:valAx>
        <c:axId val="266230784"/>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6229248"/>
        <c:crosses val="autoZero"/>
        <c:crossBetween val="between"/>
      </c:valAx>
    </c:plotArea>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sz="1200"/>
              <a:t>缺陷类型</a:t>
            </a:r>
          </a:p>
        </c:rich>
      </c:tx>
      <c:overlay val="0"/>
    </c:title>
    <c:autoTitleDeleted val="0"/>
    <c:plotArea>
      <c:layout/>
      <c:barChart>
        <c:barDir val="col"/>
        <c:grouping val="clustered"/>
        <c:varyColors val="1"/>
        <c:ser>
          <c:idx val="0"/>
          <c:order val="0"/>
          <c:invertIfNegative val="1"/>
          <c:dPt>
            <c:idx val="0"/>
            <c:invertIfNegative val="1"/>
            <c:bubble3D val="0"/>
            <c:extLst>
              <c:ext xmlns:c16="http://schemas.microsoft.com/office/drawing/2014/chart" uri="{C3380CC4-5D6E-409C-BE32-E72D297353CC}">
                <c16:uniqueId val="{00000000-4531-4BF6-8723-CAA85D3A335E}"/>
              </c:ext>
            </c:extLst>
          </c:dPt>
          <c:dPt>
            <c:idx val="1"/>
            <c:invertIfNegative val="1"/>
            <c:bubble3D val="0"/>
            <c:extLst>
              <c:ext xmlns:c16="http://schemas.microsoft.com/office/drawing/2014/chart" uri="{C3380CC4-5D6E-409C-BE32-E72D297353CC}">
                <c16:uniqueId val="{00000001-4531-4BF6-8723-CAA85D3A335E}"/>
              </c:ext>
            </c:extLst>
          </c:dPt>
          <c:dPt>
            <c:idx val="2"/>
            <c:invertIfNegative val="1"/>
            <c:bubble3D val="0"/>
            <c:extLst>
              <c:ext xmlns:c16="http://schemas.microsoft.com/office/drawing/2014/chart" uri="{C3380CC4-5D6E-409C-BE32-E72D297353CC}">
                <c16:uniqueId val="{00000002-4531-4BF6-8723-CAA85D3A335E}"/>
              </c:ext>
            </c:extLst>
          </c:dPt>
          <c:dPt>
            <c:idx val="3"/>
            <c:invertIfNegative val="1"/>
            <c:bubble3D val="0"/>
            <c:extLst>
              <c:ext xmlns:c16="http://schemas.microsoft.com/office/drawing/2014/chart" uri="{C3380CC4-5D6E-409C-BE32-E72D297353CC}">
                <c16:uniqueId val="{00000003-4531-4BF6-8723-CAA85D3A335E}"/>
              </c:ext>
            </c:extLst>
          </c:dPt>
          <c:dPt>
            <c:idx val="4"/>
            <c:invertIfNegative val="1"/>
            <c:bubble3D val="0"/>
            <c:extLst>
              <c:ext xmlns:c16="http://schemas.microsoft.com/office/drawing/2014/chart" uri="{C3380CC4-5D6E-409C-BE32-E72D297353CC}">
                <c16:uniqueId val="{00000004-4531-4BF6-8723-CAA85D3A335E}"/>
              </c:ext>
            </c:extLst>
          </c:dPt>
          <c:dPt>
            <c:idx val="5"/>
            <c:invertIfNegative val="1"/>
            <c:bubble3D val="0"/>
            <c:extLst>
              <c:ext xmlns:c16="http://schemas.microsoft.com/office/drawing/2014/chart" uri="{C3380CC4-5D6E-409C-BE32-E72D297353CC}">
                <c16:uniqueId val="{00000005-4531-4BF6-8723-CAA85D3A335E}"/>
              </c:ext>
            </c:extLst>
          </c:dPt>
          <c:dPt>
            <c:idx val="6"/>
            <c:invertIfNegative val="1"/>
            <c:bubble3D val="0"/>
            <c:extLst>
              <c:ext xmlns:c16="http://schemas.microsoft.com/office/drawing/2014/chart" uri="{C3380CC4-5D6E-409C-BE32-E72D297353CC}">
                <c16:uniqueId val="{00000006-4531-4BF6-8723-CAA85D3A335E}"/>
              </c:ext>
            </c:extLst>
          </c:dPt>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测试及验收缺陷度量!$B$67:$B$73</c:f>
              <c:strCache>
                <c:ptCount val="3"/>
                <c:pt idx="0">
                  <c:v>前端问题</c:v>
                </c:pt>
                <c:pt idx="1">
                  <c:v>功能性错误</c:v>
                </c:pt>
                <c:pt idx="2">
                  <c:v>UI问题</c:v>
                </c:pt>
              </c:strCache>
            </c:strRef>
          </c:cat>
          <c:val>
            <c:numRef>
              <c:f>测试及验收缺陷度量!$C$67:$C$73</c:f>
              <c:numCache>
                <c:formatCode>General</c:formatCode>
                <c:ptCount val="7"/>
                <c:pt idx="0">
                  <c:v>10</c:v>
                </c:pt>
                <c:pt idx="1">
                  <c:v>5</c:v>
                </c:pt>
                <c:pt idx="2">
                  <c:v>2</c:v>
                </c:pt>
              </c:numCache>
            </c:numRef>
          </c:val>
          <c:extLst>
            <c:ext xmlns:c16="http://schemas.microsoft.com/office/drawing/2014/chart" uri="{C3380CC4-5D6E-409C-BE32-E72D297353CC}">
              <c16:uniqueId val="{00000007-4531-4BF6-8723-CAA85D3A335E}"/>
            </c:ext>
          </c:extLst>
        </c:ser>
        <c:dLbls>
          <c:showLegendKey val="0"/>
          <c:showVal val="0"/>
          <c:showCatName val="0"/>
          <c:showSerName val="0"/>
          <c:showPercent val="0"/>
          <c:showBubbleSize val="0"/>
        </c:dLbls>
        <c:gapWidth val="150"/>
        <c:axId val="266259456"/>
        <c:axId val="267780864"/>
      </c:barChart>
      <c:catAx>
        <c:axId val="266259456"/>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7780864"/>
        <c:crosses val="autoZero"/>
        <c:auto val="1"/>
        <c:lblAlgn val="ctr"/>
        <c:lblOffset val="100"/>
        <c:noMultiLvlLbl val="0"/>
      </c:catAx>
      <c:valAx>
        <c:axId val="267780864"/>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6259456"/>
        <c:crosses val="autoZero"/>
        <c:crossBetween val="between"/>
      </c:valAx>
      <c:spPr>
        <a:noFill/>
        <a:ln w="25400">
          <a:noFill/>
        </a:ln>
      </c:spPr>
    </c:plotArea>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测试加权缺陷密度的控制图</a:t>
            </a:r>
            <a:endParaRPr lang="en-US" altLang="zh-CN"/>
          </a:p>
        </c:rich>
      </c:tx>
      <c:overlay val="0"/>
    </c:title>
    <c:autoTitleDeleted val="0"/>
    <c:plotArea>
      <c:layout/>
      <c:lineChart>
        <c:grouping val="standard"/>
        <c:varyColors val="0"/>
        <c:ser>
          <c:idx val="0"/>
          <c:order val="0"/>
          <c:tx>
            <c:strRef>
              <c:f>测试及验收缺陷度量!$L$10</c:f>
              <c:strCache>
                <c:ptCount val="1"/>
                <c:pt idx="0">
                  <c:v>LOL</c:v>
                </c:pt>
              </c:strCache>
            </c:strRef>
          </c:tx>
          <c:cat>
            <c:strRef>
              <c:f>[0]!测试轮次于画图</c:f>
              <c:strCache>
                <c:ptCount val="3"/>
                <c:pt idx="0">
                  <c:v>测试第1轮</c:v>
                </c:pt>
                <c:pt idx="1">
                  <c:v>测试第2轮</c:v>
                </c:pt>
                <c:pt idx="2">
                  <c:v>测试第3轮</c:v>
                </c:pt>
              </c:strCache>
            </c:strRef>
          </c:cat>
          <c:val>
            <c:numRef>
              <c:f>[0]!测试加权缺陷密度的下限于画图</c:f>
              <c:numCache>
                <c:formatCode>0.0000_ </c:formatCode>
                <c:ptCount val="3"/>
                <c:pt idx="0">
                  <c:v>2.0000000000000001E-4</c:v>
                </c:pt>
                <c:pt idx="1">
                  <c:v>2.0000000000000001E-4</c:v>
                </c:pt>
                <c:pt idx="2">
                  <c:v>2.0000000000000001E-4</c:v>
                </c:pt>
              </c:numCache>
            </c:numRef>
          </c:val>
          <c:smooth val="0"/>
          <c:extLst>
            <c:ext xmlns:c16="http://schemas.microsoft.com/office/drawing/2014/chart" uri="{C3380CC4-5D6E-409C-BE32-E72D297353CC}">
              <c16:uniqueId val="{00000000-7E63-4B76-9139-8A60A8884B77}"/>
            </c:ext>
          </c:extLst>
        </c:ser>
        <c:ser>
          <c:idx val="1"/>
          <c:order val="1"/>
          <c:tx>
            <c:strRef>
              <c:f>测试及验收缺陷度量!$M$10</c:f>
              <c:strCache>
                <c:ptCount val="1"/>
                <c:pt idx="0">
                  <c:v>OL</c:v>
                </c:pt>
              </c:strCache>
            </c:strRef>
          </c:tx>
          <c:cat>
            <c:strRef>
              <c:f>[0]!测试轮次于画图</c:f>
              <c:strCache>
                <c:ptCount val="3"/>
                <c:pt idx="0">
                  <c:v>测试第1轮</c:v>
                </c:pt>
                <c:pt idx="1">
                  <c:v>测试第2轮</c:v>
                </c:pt>
                <c:pt idx="2">
                  <c:v>测试第3轮</c:v>
                </c:pt>
              </c:strCache>
            </c:strRef>
          </c:cat>
          <c:val>
            <c:numRef>
              <c:f>[0]!测试加权缺陷密度的均值于画图</c:f>
              <c:numCache>
                <c:formatCode>0.0000_ </c:formatCode>
                <c:ptCount val="3"/>
                <c:pt idx="0">
                  <c:v>0.2</c:v>
                </c:pt>
                <c:pt idx="1">
                  <c:v>0.2</c:v>
                </c:pt>
                <c:pt idx="2">
                  <c:v>0.2</c:v>
                </c:pt>
              </c:numCache>
            </c:numRef>
          </c:val>
          <c:smooth val="0"/>
          <c:extLst>
            <c:ext xmlns:c16="http://schemas.microsoft.com/office/drawing/2014/chart" uri="{C3380CC4-5D6E-409C-BE32-E72D297353CC}">
              <c16:uniqueId val="{00000001-7E63-4B76-9139-8A60A8884B77}"/>
            </c:ext>
          </c:extLst>
        </c:ser>
        <c:ser>
          <c:idx val="2"/>
          <c:order val="2"/>
          <c:tx>
            <c:strRef>
              <c:f>测试及验收缺陷度量!$N$10</c:f>
              <c:strCache>
                <c:ptCount val="1"/>
                <c:pt idx="0">
                  <c:v>UOL</c:v>
                </c:pt>
              </c:strCache>
            </c:strRef>
          </c:tx>
          <c:cat>
            <c:strRef>
              <c:f>[0]!测试轮次于画图</c:f>
              <c:strCache>
                <c:ptCount val="3"/>
                <c:pt idx="0">
                  <c:v>测试第1轮</c:v>
                </c:pt>
                <c:pt idx="1">
                  <c:v>测试第2轮</c:v>
                </c:pt>
                <c:pt idx="2">
                  <c:v>测试第3轮</c:v>
                </c:pt>
              </c:strCache>
            </c:strRef>
          </c:cat>
          <c:val>
            <c:numRef>
              <c:f>[0]!测试加权缺陷密度的上限于画图</c:f>
              <c:numCache>
                <c:formatCode>0.0000_ </c:formatCode>
                <c:ptCount val="3"/>
                <c:pt idx="0">
                  <c:v>0.39979999999999999</c:v>
                </c:pt>
                <c:pt idx="1">
                  <c:v>0.39979999999999999</c:v>
                </c:pt>
                <c:pt idx="2">
                  <c:v>0.39979999999999999</c:v>
                </c:pt>
              </c:numCache>
            </c:numRef>
          </c:val>
          <c:smooth val="0"/>
          <c:extLst>
            <c:ext xmlns:c16="http://schemas.microsoft.com/office/drawing/2014/chart" uri="{C3380CC4-5D6E-409C-BE32-E72D297353CC}">
              <c16:uniqueId val="{00000002-7E63-4B76-9139-8A60A8884B77}"/>
            </c:ext>
          </c:extLst>
        </c:ser>
        <c:ser>
          <c:idx val="3"/>
          <c:order val="3"/>
          <c:tx>
            <c:v>项目数据</c:v>
          </c:tx>
          <c:cat>
            <c:strRef>
              <c:f>[0]!测试轮次于画图</c:f>
              <c:strCache>
                <c:ptCount val="3"/>
                <c:pt idx="0">
                  <c:v>测试第1轮</c:v>
                </c:pt>
                <c:pt idx="1">
                  <c:v>测试第2轮</c:v>
                </c:pt>
                <c:pt idx="2">
                  <c:v>测试第3轮</c:v>
                </c:pt>
              </c:strCache>
            </c:strRef>
          </c:cat>
          <c:val>
            <c:numRef>
              <c:f>[0]!测试加权缺陷密度于画图</c:f>
              <c:numCache>
                <c:formatCode>0.000_);[Red]\(0.000\)</c:formatCode>
                <c:ptCount val="3"/>
                <c:pt idx="0">
                  <c:v>4.4067796610169491E-2</c:v>
                </c:pt>
                <c:pt idx="1">
                  <c:v>1.1864406779661017E-2</c:v>
                </c:pt>
                <c:pt idx="2">
                  <c:v>0</c:v>
                </c:pt>
              </c:numCache>
            </c:numRef>
          </c:val>
          <c:smooth val="0"/>
          <c:extLst>
            <c:ext xmlns:c16="http://schemas.microsoft.com/office/drawing/2014/chart" uri="{C3380CC4-5D6E-409C-BE32-E72D297353CC}">
              <c16:uniqueId val="{00000003-7E63-4B76-9139-8A60A8884B77}"/>
            </c:ext>
          </c:extLst>
        </c:ser>
        <c:dLbls>
          <c:showLegendKey val="0"/>
          <c:showVal val="0"/>
          <c:showCatName val="0"/>
          <c:showSerName val="0"/>
          <c:showPercent val="0"/>
          <c:showBubbleSize val="0"/>
        </c:dLbls>
        <c:marker val="1"/>
        <c:smooth val="0"/>
        <c:axId val="267815552"/>
        <c:axId val="267817344"/>
      </c:lineChart>
      <c:catAx>
        <c:axId val="267815552"/>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7817344"/>
        <c:crosses val="autoZero"/>
        <c:auto val="1"/>
        <c:lblAlgn val="ctr"/>
        <c:lblOffset val="100"/>
        <c:noMultiLvlLbl val="0"/>
      </c:catAx>
      <c:valAx>
        <c:axId val="267817344"/>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7815552"/>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sz="1200"/>
              <a:t>缺陷来源</a:t>
            </a:r>
          </a:p>
        </c:rich>
      </c:tx>
      <c:overlay val="0"/>
    </c:title>
    <c:autoTitleDeleted val="0"/>
    <c:plotArea>
      <c:layout>
        <c:manualLayout>
          <c:layoutTarget val="inner"/>
          <c:xMode val="edge"/>
          <c:yMode val="edge"/>
          <c:x val="5.51440329218107E-2"/>
          <c:y val="0.17892156862745101"/>
          <c:w val="0.876131687242798"/>
          <c:h val="0.75514705882352895"/>
        </c:manualLayout>
      </c:layout>
      <c:barChart>
        <c:barDir val="col"/>
        <c:grouping val="clustered"/>
        <c:varyColors val="1"/>
        <c:ser>
          <c:idx val="1"/>
          <c:order val="0"/>
          <c:tx>
            <c:strRef>
              <c:f>测试及验收缺陷度量!$C$126</c:f>
              <c:strCache>
                <c:ptCount val="1"/>
                <c:pt idx="0">
                  <c:v>数量</c:v>
                </c:pt>
              </c:strCache>
            </c:strRef>
          </c:tx>
          <c:invertIfNegative val="0"/>
          <c:dPt>
            <c:idx val="0"/>
            <c:invertIfNegative val="0"/>
            <c:bubble3D val="0"/>
            <c:extLst>
              <c:ext xmlns:c16="http://schemas.microsoft.com/office/drawing/2014/chart" uri="{C3380CC4-5D6E-409C-BE32-E72D297353CC}">
                <c16:uniqueId val="{00000000-7DCA-4C0A-95A6-AE7C659FC6AF}"/>
              </c:ext>
            </c:extLst>
          </c:dPt>
          <c:dPt>
            <c:idx val="1"/>
            <c:invertIfNegative val="0"/>
            <c:bubble3D val="0"/>
            <c:extLst>
              <c:ext xmlns:c16="http://schemas.microsoft.com/office/drawing/2014/chart" uri="{C3380CC4-5D6E-409C-BE32-E72D297353CC}">
                <c16:uniqueId val="{00000001-7DCA-4C0A-95A6-AE7C659FC6AF}"/>
              </c:ext>
            </c:extLst>
          </c:dPt>
          <c:dPt>
            <c:idx val="2"/>
            <c:invertIfNegative val="0"/>
            <c:bubble3D val="0"/>
            <c:extLst>
              <c:ext xmlns:c16="http://schemas.microsoft.com/office/drawing/2014/chart" uri="{C3380CC4-5D6E-409C-BE32-E72D297353CC}">
                <c16:uniqueId val="{00000002-7DCA-4C0A-95A6-AE7C659FC6AF}"/>
              </c:ext>
            </c:extLst>
          </c:dPt>
          <c:dPt>
            <c:idx val="3"/>
            <c:invertIfNegative val="0"/>
            <c:bubble3D val="0"/>
            <c:extLst>
              <c:ext xmlns:c16="http://schemas.microsoft.com/office/drawing/2014/chart" uri="{C3380CC4-5D6E-409C-BE32-E72D297353CC}">
                <c16:uniqueId val="{00000003-7DCA-4C0A-95A6-AE7C659FC6AF}"/>
              </c:ext>
            </c:extLst>
          </c:dPt>
          <c:cat>
            <c:strRef>
              <c:f>测试及验收缺陷度量!$B$127:$B$130</c:f>
              <c:strCache>
                <c:ptCount val="4"/>
                <c:pt idx="0">
                  <c:v>jg </c:v>
                </c:pt>
                <c:pt idx="1">
                  <c:v>jhjh </c:v>
                </c:pt>
                <c:pt idx="2">
                  <c:v>jhjhj</c:v>
                </c:pt>
                <c:pt idx="3">
                  <c:v>dfgjlkj</c:v>
                </c:pt>
              </c:strCache>
            </c:strRef>
          </c:cat>
          <c:val>
            <c:numRef>
              <c:f>测试及验收缺陷度量!$C$127:$C$130</c:f>
              <c:numCache>
                <c:formatCode>General</c:formatCode>
                <c:ptCount val="4"/>
              </c:numCache>
            </c:numRef>
          </c:val>
          <c:extLst>
            <c:ext xmlns:c16="http://schemas.microsoft.com/office/drawing/2014/chart" uri="{C3380CC4-5D6E-409C-BE32-E72D297353CC}">
              <c16:uniqueId val="{00000004-7DCA-4C0A-95A6-AE7C659FC6AF}"/>
            </c:ext>
          </c:extLst>
        </c:ser>
        <c:dLbls>
          <c:showLegendKey val="0"/>
          <c:showVal val="0"/>
          <c:showCatName val="0"/>
          <c:showSerName val="0"/>
          <c:showPercent val="0"/>
          <c:showBubbleSize val="0"/>
        </c:dLbls>
        <c:gapWidth val="150"/>
        <c:axId val="274797312"/>
        <c:axId val="274798848"/>
      </c:barChart>
      <c:catAx>
        <c:axId val="274797312"/>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74798848"/>
        <c:crosses val="autoZero"/>
        <c:auto val="1"/>
        <c:lblAlgn val="ctr"/>
        <c:lblOffset val="100"/>
        <c:noMultiLvlLbl val="0"/>
      </c:catAx>
      <c:valAx>
        <c:axId val="274798848"/>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74797312"/>
        <c:crosses val="autoZero"/>
        <c:crossBetween val="between"/>
      </c:valAx>
    </c:plotArea>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0" vertOverflow="ellipsis" vert="horz" wrap="square" anchor="ctr" anchorCtr="1"/>
          <a:lstStyle/>
          <a:p>
            <a:pPr>
              <a:defRPr lang="zh-CN" sz="1200" b="1" i="0" u="none" strike="noStrike" kern="1200" baseline="0">
                <a:solidFill>
                  <a:schemeClr val="tx1"/>
                </a:solidFill>
                <a:latin typeface="+mn-lt"/>
                <a:ea typeface="+mn-ea"/>
                <a:cs typeface="+mn-cs"/>
              </a:defRPr>
            </a:pPr>
            <a:r>
              <a:rPr lang="zh-CN" altLang="en-US" sz="1200"/>
              <a:t>缺陷位置</a:t>
            </a:r>
          </a:p>
        </c:rich>
      </c:tx>
      <c:overlay val="0"/>
    </c:title>
    <c:autoTitleDeleted val="0"/>
    <c:plotArea>
      <c:layout/>
      <c:barChart>
        <c:barDir val="col"/>
        <c:grouping val="clustered"/>
        <c:varyColors val="1"/>
        <c:ser>
          <c:idx val="1"/>
          <c:order val="0"/>
          <c:tx>
            <c:strRef>
              <c:f>测试及验收缺陷度量!$C$136</c:f>
              <c:strCache>
                <c:ptCount val="1"/>
                <c:pt idx="0">
                  <c:v>数量</c:v>
                </c:pt>
              </c:strCache>
            </c:strRef>
          </c:tx>
          <c:invertIfNegative val="0"/>
          <c:dPt>
            <c:idx val="0"/>
            <c:invertIfNegative val="0"/>
            <c:bubble3D val="0"/>
            <c:extLst>
              <c:ext xmlns:c16="http://schemas.microsoft.com/office/drawing/2014/chart" uri="{C3380CC4-5D6E-409C-BE32-E72D297353CC}">
                <c16:uniqueId val="{00000000-6751-432E-B3AE-AF58F9CC45F2}"/>
              </c:ext>
            </c:extLst>
          </c:dPt>
          <c:dPt>
            <c:idx val="1"/>
            <c:invertIfNegative val="0"/>
            <c:bubble3D val="0"/>
            <c:extLst>
              <c:ext xmlns:c16="http://schemas.microsoft.com/office/drawing/2014/chart" uri="{C3380CC4-5D6E-409C-BE32-E72D297353CC}">
                <c16:uniqueId val="{00000001-6751-432E-B3AE-AF58F9CC45F2}"/>
              </c:ext>
            </c:extLst>
          </c:dPt>
          <c:dPt>
            <c:idx val="2"/>
            <c:invertIfNegative val="0"/>
            <c:bubble3D val="0"/>
            <c:extLst>
              <c:ext xmlns:c16="http://schemas.microsoft.com/office/drawing/2014/chart" uri="{C3380CC4-5D6E-409C-BE32-E72D297353CC}">
                <c16:uniqueId val="{00000002-6751-432E-B3AE-AF58F9CC45F2}"/>
              </c:ext>
            </c:extLst>
          </c:dPt>
          <c:dPt>
            <c:idx val="3"/>
            <c:invertIfNegative val="0"/>
            <c:bubble3D val="0"/>
            <c:extLst>
              <c:ext xmlns:c16="http://schemas.microsoft.com/office/drawing/2014/chart" uri="{C3380CC4-5D6E-409C-BE32-E72D297353CC}">
                <c16:uniqueId val="{00000003-6751-432E-B3AE-AF58F9CC45F2}"/>
              </c:ext>
            </c:extLst>
          </c:dPt>
          <c:dPt>
            <c:idx val="4"/>
            <c:invertIfNegative val="0"/>
            <c:bubble3D val="0"/>
            <c:extLst>
              <c:ext xmlns:c16="http://schemas.microsoft.com/office/drawing/2014/chart" uri="{C3380CC4-5D6E-409C-BE32-E72D297353CC}">
                <c16:uniqueId val="{00000004-6751-432E-B3AE-AF58F9CC45F2}"/>
              </c:ext>
            </c:extLst>
          </c:dPt>
          <c:cat>
            <c:numRef>
              <c:f>测试及验收缺陷度量!$B$137:$B$141</c:f>
              <c:numCache>
                <c:formatCode>General</c:formatCode>
                <c:ptCount val="5"/>
              </c:numCache>
            </c:numRef>
          </c:cat>
          <c:val>
            <c:numRef>
              <c:f>测试及验收缺陷度量!$C$137:$C$141</c:f>
              <c:numCache>
                <c:formatCode>General</c:formatCode>
                <c:ptCount val="5"/>
              </c:numCache>
            </c:numRef>
          </c:val>
          <c:extLst>
            <c:ext xmlns:c16="http://schemas.microsoft.com/office/drawing/2014/chart" uri="{C3380CC4-5D6E-409C-BE32-E72D297353CC}">
              <c16:uniqueId val="{00000005-6751-432E-B3AE-AF58F9CC45F2}"/>
            </c:ext>
          </c:extLst>
        </c:ser>
        <c:dLbls>
          <c:showLegendKey val="0"/>
          <c:showVal val="0"/>
          <c:showCatName val="0"/>
          <c:showSerName val="0"/>
          <c:showPercent val="0"/>
          <c:showBubbleSize val="0"/>
        </c:dLbls>
        <c:gapWidth val="150"/>
        <c:axId val="274818944"/>
        <c:axId val="274820480"/>
      </c:barChart>
      <c:catAx>
        <c:axId val="274818944"/>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74820480"/>
        <c:crosses val="autoZero"/>
        <c:auto val="1"/>
        <c:lblAlgn val="ctr"/>
        <c:lblOffset val="100"/>
        <c:noMultiLvlLbl val="0"/>
      </c:catAx>
      <c:valAx>
        <c:axId val="274820480"/>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74818944"/>
        <c:crosses val="autoZero"/>
        <c:crossBetween val="between"/>
      </c:valAx>
    </c:plotArea>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sz="1200"/>
              <a:t>缺陷类型</a:t>
            </a:r>
          </a:p>
        </c:rich>
      </c:tx>
      <c:overlay val="0"/>
    </c:title>
    <c:autoTitleDeleted val="0"/>
    <c:plotArea>
      <c:layout/>
      <c:barChart>
        <c:barDir val="col"/>
        <c:grouping val="clustered"/>
        <c:varyColors val="1"/>
        <c:ser>
          <c:idx val="1"/>
          <c:order val="0"/>
          <c:tx>
            <c:strRef>
              <c:f>测试及验收缺陷度量!$C$148</c:f>
              <c:strCache>
                <c:ptCount val="1"/>
                <c:pt idx="0">
                  <c:v>数量</c:v>
                </c:pt>
              </c:strCache>
            </c:strRef>
          </c:tx>
          <c:invertIfNegative val="0"/>
          <c:dPt>
            <c:idx val="0"/>
            <c:invertIfNegative val="0"/>
            <c:bubble3D val="0"/>
            <c:extLst>
              <c:ext xmlns:c16="http://schemas.microsoft.com/office/drawing/2014/chart" uri="{C3380CC4-5D6E-409C-BE32-E72D297353CC}">
                <c16:uniqueId val="{00000000-6F07-4678-BE42-BF2DB37D53E5}"/>
              </c:ext>
            </c:extLst>
          </c:dPt>
          <c:dPt>
            <c:idx val="1"/>
            <c:invertIfNegative val="0"/>
            <c:bubble3D val="0"/>
            <c:extLst>
              <c:ext xmlns:c16="http://schemas.microsoft.com/office/drawing/2014/chart" uri="{C3380CC4-5D6E-409C-BE32-E72D297353CC}">
                <c16:uniqueId val="{00000001-6F07-4678-BE42-BF2DB37D53E5}"/>
              </c:ext>
            </c:extLst>
          </c:dPt>
          <c:dPt>
            <c:idx val="2"/>
            <c:invertIfNegative val="0"/>
            <c:bubble3D val="0"/>
            <c:extLst>
              <c:ext xmlns:c16="http://schemas.microsoft.com/office/drawing/2014/chart" uri="{C3380CC4-5D6E-409C-BE32-E72D297353CC}">
                <c16:uniqueId val="{00000002-6F07-4678-BE42-BF2DB37D53E5}"/>
              </c:ext>
            </c:extLst>
          </c:dPt>
          <c:dPt>
            <c:idx val="3"/>
            <c:invertIfNegative val="0"/>
            <c:bubble3D val="0"/>
            <c:extLst>
              <c:ext xmlns:c16="http://schemas.microsoft.com/office/drawing/2014/chart" uri="{C3380CC4-5D6E-409C-BE32-E72D297353CC}">
                <c16:uniqueId val="{00000003-6F07-4678-BE42-BF2DB37D53E5}"/>
              </c:ext>
            </c:extLst>
          </c:dPt>
          <c:dPt>
            <c:idx val="4"/>
            <c:invertIfNegative val="0"/>
            <c:bubble3D val="0"/>
            <c:extLst>
              <c:ext xmlns:c16="http://schemas.microsoft.com/office/drawing/2014/chart" uri="{C3380CC4-5D6E-409C-BE32-E72D297353CC}">
                <c16:uniqueId val="{00000004-6F07-4678-BE42-BF2DB37D53E5}"/>
              </c:ext>
            </c:extLst>
          </c:dPt>
          <c:dPt>
            <c:idx val="5"/>
            <c:invertIfNegative val="0"/>
            <c:bubble3D val="0"/>
            <c:extLst>
              <c:ext xmlns:c16="http://schemas.microsoft.com/office/drawing/2014/chart" uri="{C3380CC4-5D6E-409C-BE32-E72D297353CC}">
                <c16:uniqueId val="{00000005-6F07-4678-BE42-BF2DB37D53E5}"/>
              </c:ext>
            </c:extLst>
          </c:dPt>
          <c:dPt>
            <c:idx val="6"/>
            <c:invertIfNegative val="0"/>
            <c:bubble3D val="0"/>
            <c:extLst>
              <c:ext xmlns:c16="http://schemas.microsoft.com/office/drawing/2014/chart" uri="{C3380CC4-5D6E-409C-BE32-E72D297353CC}">
                <c16:uniqueId val="{00000006-6F07-4678-BE42-BF2DB37D53E5}"/>
              </c:ext>
            </c:extLst>
          </c:dPt>
          <c:cat>
            <c:numRef>
              <c:f>测试及验收缺陷度量!$B$149:$B$155</c:f>
              <c:numCache>
                <c:formatCode>General</c:formatCode>
                <c:ptCount val="7"/>
              </c:numCache>
            </c:numRef>
          </c:cat>
          <c:val>
            <c:numRef>
              <c:f>测试及验收缺陷度量!$C$149:$C$155</c:f>
              <c:numCache>
                <c:formatCode>General</c:formatCode>
                <c:ptCount val="7"/>
              </c:numCache>
            </c:numRef>
          </c:val>
          <c:extLst>
            <c:ext xmlns:c16="http://schemas.microsoft.com/office/drawing/2014/chart" uri="{C3380CC4-5D6E-409C-BE32-E72D297353CC}">
              <c16:uniqueId val="{00000007-6F07-4678-BE42-BF2DB37D53E5}"/>
            </c:ext>
          </c:extLst>
        </c:ser>
        <c:dLbls>
          <c:showLegendKey val="0"/>
          <c:showVal val="0"/>
          <c:showCatName val="0"/>
          <c:showSerName val="0"/>
          <c:showPercent val="0"/>
          <c:showBubbleSize val="0"/>
        </c:dLbls>
        <c:gapWidth val="150"/>
        <c:axId val="274848768"/>
        <c:axId val="274866944"/>
      </c:barChart>
      <c:catAx>
        <c:axId val="274848768"/>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74866944"/>
        <c:crosses val="autoZero"/>
        <c:auto val="1"/>
        <c:lblAlgn val="ctr"/>
        <c:lblOffset val="100"/>
        <c:noMultiLvlLbl val="0"/>
      </c:catAx>
      <c:valAx>
        <c:axId val="274866944"/>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74848768"/>
        <c:crosses val="autoZero"/>
        <c:crossBetween val="between"/>
      </c:valAx>
      <c:spPr>
        <a:noFill/>
        <a:ln w="25400">
          <a:noFill/>
        </a:ln>
      </c:spPr>
    </c:plotArea>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测试加权缺陷密度的控制图</a:t>
            </a:r>
            <a:endParaRPr lang="en-US" altLang="zh-CN"/>
          </a:p>
        </c:rich>
      </c:tx>
      <c:overlay val="0"/>
    </c:title>
    <c:autoTitleDeleted val="0"/>
    <c:plotArea>
      <c:layout/>
      <c:lineChart>
        <c:grouping val="standard"/>
        <c:varyColors val="0"/>
        <c:ser>
          <c:idx val="0"/>
          <c:order val="0"/>
          <c:tx>
            <c:strRef>
              <c:f>测试及验收缺陷度量!$L$10</c:f>
              <c:strCache>
                <c:ptCount val="1"/>
                <c:pt idx="0">
                  <c:v>LOL</c:v>
                </c:pt>
              </c:strCache>
            </c:strRef>
          </c:tx>
          <c:cat>
            <c:strRef>
              <c:f>[0]!测试轮次于画图</c:f>
              <c:strCache>
                <c:ptCount val="3"/>
                <c:pt idx="0">
                  <c:v>测试第1轮</c:v>
                </c:pt>
                <c:pt idx="1">
                  <c:v>测试第2轮</c:v>
                </c:pt>
                <c:pt idx="2">
                  <c:v>测试第3轮</c:v>
                </c:pt>
              </c:strCache>
            </c:strRef>
          </c:cat>
          <c:val>
            <c:numRef>
              <c:f>[0]!测试加权缺陷密度的下限于画图</c:f>
              <c:numCache>
                <c:formatCode>0.0000_ </c:formatCode>
                <c:ptCount val="3"/>
                <c:pt idx="0">
                  <c:v>2.0000000000000001E-4</c:v>
                </c:pt>
                <c:pt idx="1">
                  <c:v>2.0000000000000001E-4</c:v>
                </c:pt>
                <c:pt idx="2">
                  <c:v>2.0000000000000001E-4</c:v>
                </c:pt>
              </c:numCache>
            </c:numRef>
          </c:val>
          <c:smooth val="0"/>
          <c:extLst>
            <c:ext xmlns:c16="http://schemas.microsoft.com/office/drawing/2014/chart" uri="{C3380CC4-5D6E-409C-BE32-E72D297353CC}">
              <c16:uniqueId val="{00000000-123F-4D2C-BDC2-8642108FAC63}"/>
            </c:ext>
          </c:extLst>
        </c:ser>
        <c:ser>
          <c:idx val="1"/>
          <c:order val="1"/>
          <c:tx>
            <c:strRef>
              <c:f>测试及验收缺陷度量!$M$10</c:f>
              <c:strCache>
                <c:ptCount val="1"/>
                <c:pt idx="0">
                  <c:v>OL</c:v>
                </c:pt>
              </c:strCache>
            </c:strRef>
          </c:tx>
          <c:cat>
            <c:strRef>
              <c:f>[0]!测试轮次于画图</c:f>
              <c:strCache>
                <c:ptCount val="3"/>
                <c:pt idx="0">
                  <c:v>测试第1轮</c:v>
                </c:pt>
                <c:pt idx="1">
                  <c:v>测试第2轮</c:v>
                </c:pt>
                <c:pt idx="2">
                  <c:v>测试第3轮</c:v>
                </c:pt>
              </c:strCache>
            </c:strRef>
          </c:cat>
          <c:val>
            <c:numRef>
              <c:f>[0]!测试加权缺陷密度的均值于画图</c:f>
              <c:numCache>
                <c:formatCode>0.0000_ </c:formatCode>
                <c:ptCount val="3"/>
                <c:pt idx="0">
                  <c:v>0.2</c:v>
                </c:pt>
                <c:pt idx="1">
                  <c:v>0.2</c:v>
                </c:pt>
                <c:pt idx="2">
                  <c:v>0.2</c:v>
                </c:pt>
              </c:numCache>
            </c:numRef>
          </c:val>
          <c:smooth val="0"/>
          <c:extLst>
            <c:ext xmlns:c16="http://schemas.microsoft.com/office/drawing/2014/chart" uri="{C3380CC4-5D6E-409C-BE32-E72D297353CC}">
              <c16:uniqueId val="{00000001-123F-4D2C-BDC2-8642108FAC63}"/>
            </c:ext>
          </c:extLst>
        </c:ser>
        <c:ser>
          <c:idx val="2"/>
          <c:order val="2"/>
          <c:tx>
            <c:strRef>
              <c:f>测试及验收缺陷度量!$N$10</c:f>
              <c:strCache>
                <c:ptCount val="1"/>
                <c:pt idx="0">
                  <c:v>UOL</c:v>
                </c:pt>
              </c:strCache>
            </c:strRef>
          </c:tx>
          <c:cat>
            <c:strRef>
              <c:f>[0]!测试轮次于画图</c:f>
              <c:strCache>
                <c:ptCount val="3"/>
                <c:pt idx="0">
                  <c:v>测试第1轮</c:v>
                </c:pt>
                <c:pt idx="1">
                  <c:v>测试第2轮</c:v>
                </c:pt>
                <c:pt idx="2">
                  <c:v>测试第3轮</c:v>
                </c:pt>
              </c:strCache>
            </c:strRef>
          </c:cat>
          <c:val>
            <c:numRef>
              <c:f>[0]!测试加权缺陷密度的上限于画图</c:f>
              <c:numCache>
                <c:formatCode>0.0000_ </c:formatCode>
                <c:ptCount val="3"/>
                <c:pt idx="0">
                  <c:v>0.39979999999999999</c:v>
                </c:pt>
                <c:pt idx="1">
                  <c:v>0.39979999999999999</c:v>
                </c:pt>
                <c:pt idx="2">
                  <c:v>0.39979999999999999</c:v>
                </c:pt>
              </c:numCache>
            </c:numRef>
          </c:val>
          <c:smooth val="0"/>
          <c:extLst>
            <c:ext xmlns:c16="http://schemas.microsoft.com/office/drawing/2014/chart" uri="{C3380CC4-5D6E-409C-BE32-E72D297353CC}">
              <c16:uniqueId val="{00000002-123F-4D2C-BDC2-8642108FAC63}"/>
            </c:ext>
          </c:extLst>
        </c:ser>
        <c:ser>
          <c:idx val="3"/>
          <c:order val="3"/>
          <c:tx>
            <c:v>项目数据</c:v>
          </c:tx>
          <c:cat>
            <c:strRef>
              <c:f>[0]!测试轮次于画图</c:f>
              <c:strCache>
                <c:ptCount val="3"/>
                <c:pt idx="0">
                  <c:v>测试第1轮</c:v>
                </c:pt>
                <c:pt idx="1">
                  <c:v>测试第2轮</c:v>
                </c:pt>
                <c:pt idx="2">
                  <c:v>测试第3轮</c:v>
                </c:pt>
              </c:strCache>
            </c:strRef>
          </c:cat>
          <c:val>
            <c:numRef>
              <c:f>测试及验收缺陷度量!$K$92:$K$95</c:f>
              <c:numCache>
                <c:formatCode>0.000_);[Red]\(0.000\)</c:formatCode>
                <c:ptCount val="4"/>
                <c:pt idx="0">
                  <c:v>0</c:v>
                </c:pt>
                <c:pt idx="1">
                  <c:v>0</c:v>
                </c:pt>
                <c:pt idx="2">
                  <c:v>0</c:v>
                </c:pt>
                <c:pt idx="3">
                  <c:v>0</c:v>
                </c:pt>
              </c:numCache>
            </c:numRef>
          </c:val>
          <c:smooth val="0"/>
          <c:extLst>
            <c:ext xmlns:c16="http://schemas.microsoft.com/office/drawing/2014/chart" uri="{C3380CC4-5D6E-409C-BE32-E72D297353CC}">
              <c16:uniqueId val="{00000003-123F-4D2C-BDC2-8642108FAC63}"/>
            </c:ext>
          </c:extLst>
        </c:ser>
        <c:dLbls>
          <c:showLegendKey val="0"/>
          <c:showVal val="0"/>
          <c:showCatName val="0"/>
          <c:showSerName val="0"/>
          <c:showPercent val="0"/>
          <c:showBubbleSize val="0"/>
        </c:dLbls>
        <c:marker val="1"/>
        <c:smooth val="0"/>
        <c:axId val="274909824"/>
        <c:axId val="274919808"/>
      </c:lineChart>
      <c:catAx>
        <c:axId val="274909824"/>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74919808"/>
        <c:crosses val="autoZero"/>
        <c:auto val="1"/>
        <c:lblAlgn val="ctr"/>
        <c:lblOffset val="100"/>
        <c:noMultiLvlLbl val="0"/>
      </c:catAx>
      <c:valAx>
        <c:axId val="274919808"/>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74909824"/>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sz="1200"/>
              <a:t>缺陷来源</a:t>
            </a:r>
          </a:p>
        </c:rich>
      </c:tx>
      <c:overlay val="0"/>
    </c:title>
    <c:autoTitleDeleted val="0"/>
    <c:plotArea>
      <c:layout/>
      <c:barChart>
        <c:barDir val="col"/>
        <c:grouping val="clustered"/>
        <c:varyColors val="1"/>
        <c:ser>
          <c:idx val="1"/>
          <c:order val="0"/>
          <c:tx>
            <c:strRef>
              <c:f>测试及验收缺陷度量!$C$208</c:f>
              <c:strCache>
                <c:ptCount val="1"/>
                <c:pt idx="0">
                  <c:v>数量</c:v>
                </c:pt>
              </c:strCache>
            </c:strRef>
          </c:tx>
          <c:invertIfNegative val="0"/>
          <c:dPt>
            <c:idx val="0"/>
            <c:invertIfNegative val="0"/>
            <c:bubble3D val="0"/>
            <c:extLst>
              <c:ext xmlns:c16="http://schemas.microsoft.com/office/drawing/2014/chart" uri="{C3380CC4-5D6E-409C-BE32-E72D297353CC}">
                <c16:uniqueId val="{00000000-3CB0-4391-BC10-5436A71928DC}"/>
              </c:ext>
            </c:extLst>
          </c:dPt>
          <c:dPt>
            <c:idx val="1"/>
            <c:invertIfNegative val="0"/>
            <c:bubble3D val="0"/>
            <c:extLst>
              <c:ext xmlns:c16="http://schemas.microsoft.com/office/drawing/2014/chart" uri="{C3380CC4-5D6E-409C-BE32-E72D297353CC}">
                <c16:uniqueId val="{00000001-3CB0-4391-BC10-5436A71928DC}"/>
              </c:ext>
            </c:extLst>
          </c:dPt>
          <c:dPt>
            <c:idx val="2"/>
            <c:invertIfNegative val="0"/>
            <c:bubble3D val="0"/>
            <c:extLst>
              <c:ext xmlns:c16="http://schemas.microsoft.com/office/drawing/2014/chart" uri="{C3380CC4-5D6E-409C-BE32-E72D297353CC}">
                <c16:uniqueId val="{00000002-3CB0-4391-BC10-5436A71928DC}"/>
              </c:ext>
            </c:extLst>
          </c:dPt>
          <c:dPt>
            <c:idx val="3"/>
            <c:invertIfNegative val="0"/>
            <c:bubble3D val="0"/>
            <c:extLst>
              <c:ext xmlns:c16="http://schemas.microsoft.com/office/drawing/2014/chart" uri="{C3380CC4-5D6E-409C-BE32-E72D297353CC}">
                <c16:uniqueId val="{00000003-3CB0-4391-BC10-5436A71928DC}"/>
              </c:ext>
            </c:extLst>
          </c:dPt>
          <c:cat>
            <c:strRef>
              <c:f>测试及验收缺陷度量!$B$209:$B$212</c:f>
              <c:strCache>
                <c:ptCount val="4"/>
                <c:pt idx="0">
                  <c:v>需求阶段</c:v>
                </c:pt>
                <c:pt idx="1">
                  <c:v>设计阶段</c:v>
                </c:pt>
                <c:pt idx="2">
                  <c:v>编码阶段</c:v>
                </c:pt>
                <c:pt idx="3">
                  <c:v>测试阶段</c:v>
                </c:pt>
              </c:strCache>
            </c:strRef>
          </c:cat>
          <c:val>
            <c:numRef>
              <c:f>测试及验收缺陷度量!$C$209:$C$212</c:f>
              <c:numCache>
                <c:formatCode>General</c:formatCode>
                <c:ptCount val="4"/>
                <c:pt idx="0">
                  <c:v>4</c:v>
                </c:pt>
                <c:pt idx="1">
                  <c:v>1</c:v>
                </c:pt>
                <c:pt idx="2">
                  <c:v>7</c:v>
                </c:pt>
                <c:pt idx="3">
                  <c:v>6</c:v>
                </c:pt>
              </c:numCache>
            </c:numRef>
          </c:val>
          <c:extLst>
            <c:ext xmlns:c16="http://schemas.microsoft.com/office/drawing/2014/chart" uri="{C3380CC4-5D6E-409C-BE32-E72D297353CC}">
              <c16:uniqueId val="{00000004-3CB0-4391-BC10-5436A71928DC}"/>
            </c:ext>
          </c:extLst>
        </c:ser>
        <c:dLbls>
          <c:showLegendKey val="0"/>
          <c:showVal val="0"/>
          <c:showCatName val="0"/>
          <c:showSerName val="0"/>
          <c:showPercent val="0"/>
          <c:showBubbleSize val="0"/>
        </c:dLbls>
        <c:gapWidth val="150"/>
        <c:axId val="274551168"/>
        <c:axId val="274552704"/>
      </c:barChart>
      <c:catAx>
        <c:axId val="274551168"/>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74552704"/>
        <c:crosses val="autoZero"/>
        <c:auto val="1"/>
        <c:lblAlgn val="ctr"/>
        <c:lblOffset val="100"/>
        <c:noMultiLvlLbl val="0"/>
      </c:catAx>
      <c:valAx>
        <c:axId val="274552704"/>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74551168"/>
        <c:crosses val="autoZero"/>
        <c:crossBetween val="between"/>
      </c:valAx>
    </c:plotArea>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0" vertOverflow="ellipsis" vert="horz" wrap="square" anchor="ctr" anchorCtr="1"/>
          <a:lstStyle/>
          <a:p>
            <a:pPr>
              <a:defRPr lang="zh-CN" sz="1200" b="1" i="0" u="none" strike="noStrike" kern="1200" baseline="0">
                <a:solidFill>
                  <a:schemeClr val="tx1"/>
                </a:solidFill>
                <a:latin typeface="+mn-lt"/>
                <a:ea typeface="+mn-ea"/>
                <a:cs typeface="+mn-cs"/>
              </a:defRPr>
            </a:pPr>
            <a:r>
              <a:rPr lang="zh-CN" altLang="en-US" sz="1200"/>
              <a:t>缺陷位置</a:t>
            </a:r>
          </a:p>
        </c:rich>
      </c:tx>
      <c:overlay val="0"/>
    </c:title>
    <c:autoTitleDeleted val="0"/>
    <c:plotArea>
      <c:layout/>
      <c:barChart>
        <c:barDir val="col"/>
        <c:grouping val="clustered"/>
        <c:varyColors val="1"/>
        <c:ser>
          <c:idx val="1"/>
          <c:order val="0"/>
          <c:tx>
            <c:strRef>
              <c:f>测试及验收缺陷度量!$C$218</c:f>
              <c:strCache>
                <c:ptCount val="1"/>
                <c:pt idx="0">
                  <c:v>数量</c:v>
                </c:pt>
              </c:strCache>
            </c:strRef>
          </c:tx>
          <c:invertIfNegative val="0"/>
          <c:dPt>
            <c:idx val="0"/>
            <c:invertIfNegative val="0"/>
            <c:bubble3D val="0"/>
            <c:extLst>
              <c:ext xmlns:c16="http://schemas.microsoft.com/office/drawing/2014/chart" uri="{C3380CC4-5D6E-409C-BE32-E72D297353CC}">
                <c16:uniqueId val="{00000000-800A-415C-B9A3-803D56E6AC35}"/>
              </c:ext>
            </c:extLst>
          </c:dPt>
          <c:dPt>
            <c:idx val="1"/>
            <c:invertIfNegative val="0"/>
            <c:bubble3D val="0"/>
            <c:extLst>
              <c:ext xmlns:c16="http://schemas.microsoft.com/office/drawing/2014/chart" uri="{C3380CC4-5D6E-409C-BE32-E72D297353CC}">
                <c16:uniqueId val="{00000001-800A-415C-B9A3-803D56E6AC35}"/>
              </c:ext>
            </c:extLst>
          </c:dPt>
          <c:dPt>
            <c:idx val="2"/>
            <c:invertIfNegative val="0"/>
            <c:bubble3D val="0"/>
            <c:extLst>
              <c:ext xmlns:c16="http://schemas.microsoft.com/office/drawing/2014/chart" uri="{C3380CC4-5D6E-409C-BE32-E72D297353CC}">
                <c16:uniqueId val="{00000002-800A-415C-B9A3-803D56E6AC35}"/>
              </c:ext>
            </c:extLst>
          </c:dPt>
          <c:dPt>
            <c:idx val="3"/>
            <c:invertIfNegative val="0"/>
            <c:bubble3D val="0"/>
            <c:extLst>
              <c:ext xmlns:c16="http://schemas.microsoft.com/office/drawing/2014/chart" uri="{C3380CC4-5D6E-409C-BE32-E72D297353CC}">
                <c16:uniqueId val="{00000003-800A-415C-B9A3-803D56E6AC35}"/>
              </c:ext>
            </c:extLst>
          </c:dPt>
          <c:dPt>
            <c:idx val="4"/>
            <c:invertIfNegative val="0"/>
            <c:bubble3D val="0"/>
            <c:extLst>
              <c:ext xmlns:c16="http://schemas.microsoft.com/office/drawing/2014/chart" uri="{C3380CC4-5D6E-409C-BE32-E72D297353CC}">
                <c16:uniqueId val="{00000004-800A-415C-B9A3-803D56E6AC35}"/>
              </c:ext>
            </c:extLst>
          </c:dPt>
          <c:cat>
            <c:numRef>
              <c:f>测试及验收缺陷度量!$B$219:$B$223</c:f>
              <c:numCache>
                <c:formatCode>General</c:formatCode>
                <c:ptCount val="5"/>
              </c:numCache>
            </c:numRef>
          </c:cat>
          <c:val>
            <c:numRef>
              <c:f>测试及验收缺陷度量!$C$219:$C$223</c:f>
              <c:numCache>
                <c:formatCode>General</c:formatCode>
                <c:ptCount val="5"/>
              </c:numCache>
            </c:numRef>
          </c:val>
          <c:extLst>
            <c:ext xmlns:c16="http://schemas.microsoft.com/office/drawing/2014/chart" uri="{C3380CC4-5D6E-409C-BE32-E72D297353CC}">
              <c16:uniqueId val="{00000005-800A-415C-B9A3-803D56E6AC35}"/>
            </c:ext>
          </c:extLst>
        </c:ser>
        <c:dLbls>
          <c:showLegendKey val="0"/>
          <c:showVal val="0"/>
          <c:showCatName val="0"/>
          <c:showSerName val="0"/>
          <c:showPercent val="0"/>
          <c:showBubbleSize val="0"/>
        </c:dLbls>
        <c:gapWidth val="150"/>
        <c:axId val="274585088"/>
        <c:axId val="274586624"/>
      </c:barChart>
      <c:catAx>
        <c:axId val="274585088"/>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74586624"/>
        <c:crosses val="autoZero"/>
        <c:auto val="1"/>
        <c:lblAlgn val="ctr"/>
        <c:lblOffset val="100"/>
        <c:noMultiLvlLbl val="0"/>
      </c:catAx>
      <c:valAx>
        <c:axId val="274586624"/>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74585088"/>
        <c:crosses val="autoZero"/>
        <c:crossBetween val="between"/>
      </c:valAx>
    </c:plotArea>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sz="1200"/>
              <a:t>缺陷类型</a:t>
            </a:r>
          </a:p>
        </c:rich>
      </c:tx>
      <c:overlay val="0"/>
    </c:title>
    <c:autoTitleDeleted val="0"/>
    <c:plotArea>
      <c:layout/>
      <c:barChart>
        <c:barDir val="col"/>
        <c:grouping val="clustered"/>
        <c:varyColors val="1"/>
        <c:ser>
          <c:idx val="0"/>
          <c:order val="0"/>
          <c:tx>
            <c:strRef>
              <c:f>测试及验收缺陷度量!$C$230</c:f>
              <c:strCache>
                <c:ptCount val="1"/>
                <c:pt idx="0">
                  <c:v>数量</c:v>
                </c:pt>
              </c:strCache>
            </c:strRef>
          </c:tx>
          <c:invertIfNegative val="1"/>
          <c:dPt>
            <c:idx val="0"/>
            <c:invertIfNegative val="1"/>
            <c:bubble3D val="0"/>
            <c:extLst>
              <c:ext xmlns:c16="http://schemas.microsoft.com/office/drawing/2014/chart" uri="{C3380CC4-5D6E-409C-BE32-E72D297353CC}">
                <c16:uniqueId val="{00000000-2280-4A97-9A14-486804AB1362}"/>
              </c:ext>
            </c:extLst>
          </c:dPt>
          <c:dPt>
            <c:idx val="1"/>
            <c:invertIfNegative val="1"/>
            <c:bubble3D val="0"/>
            <c:extLst>
              <c:ext xmlns:c16="http://schemas.microsoft.com/office/drawing/2014/chart" uri="{C3380CC4-5D6E-409C-BE32-E72D297353CC}">
                <c16:uniqueId val="{00000001-2280-4A97-9A14-486804AB1362}"/>
              </c:ext>
            </c:extLst>
          </c:dPt>
          <c:dPt>
            <c:idx val="2"/>
            <c:invertIfNegative val="1"/>
            <c:bubble3D val="0"/>
            <c:extLst>
              <c:ext xmlns:c16="http://schemas.microsoft.com/office/drawing/2014/chart" uri="{C3380CC4-5D6E-409C-BE32-E72D297353CC}">
                <c16:uniqueId val="{00000002-2280-4A97-9A14-486804AB1362}"/>
              </c:ext>
            </c:extLst>
          </c:dPt>
          <c:dPt>
            <c:idx val="3"/>
            <c:invertIfNegative val="1"/>
            <c:bubble3D val="0"/>
            <c:extLst>
              <c:ext xmlns:c16="http://schemas.microsoft.com/office/drawing/2014/chart" uri="{C3380CC4-5D6E-409C-BE32-E72D297353CC}">
                <c16:uniqueId val="{00000003-2280-4A97-9A14-486804AB1362}"/>
              </c:ext>
            </c:extLst>
          </c:dPt>
          <c:dPt>
            <c:idx val="4"/>
            <c:invertIfNegative val="1"/>
            <c:bubble3D val="0"/>
            <c:extLst>
              <c:ext xmlns:c16="http://schemas.microsoft.com/office/drawing/2014/chart" uri="{C3380CC4-5D6E-409C-BE32-E72D297353CC}">
                <c16:uniqueId val="{00000004-2280-4A97-9A14-486804AB1362}"/>
              </c:ext>
            </c:extLst>
          </c:dPt>
          <c:dPt>
            <c:idx val="5"/>
            <c:invertIfNegative val="1"/>
            <c:bubble3D val="0"/>
            <c:extLst>
              <c:ext xmlns:c16="http://schemas.microsoft.com/office/drawing/2014/chart" uri="{C3380CC4-5D6E-409C-BE32-E72D297353CC}">
                <c16:uniqueId val="{00000005-2280-4A97-9A14-486804AB1362}"/>
              </c:ext>
            </c:extLst>
          </c:dPt>
          <c:dPt>
            <c:idx val="6"/>
            <c:invertIfNegative val="1"/>
            <c:bubble3D val="0"/>
            <c:extLst>
              <c:ext xmlns:c16="http://schemas.microsoft.com/office/drawing/2014/chart" uri="{C3380CC4-5D6E-409C-BE32-E72D297353CC}">
                <c16:uniqueId val="{00000006-2280-4A97-9A14-486804AB1362}"/>
              </c:ext>
            </c:extLst>
          </c:dPt>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测试及验收缺陷度量!$B$231:$B$237</c:f>
              <c:numCache>
                <c:formatCode>General</c:formatCode>
                <c:ptCount val="7"/>
              </c:numCache>
            </c:numRef>
          </c:cat>
          <c:val>
            <c:numRef>
              <c:f>测试及验收缺陷度量!$C$231:$C$237</c:f>
              <c:numCache>
                <c:formatCode>General</c:formatCode>
                <c:ptCount val="7"/>
              </c:numCache>
            </c:numRef>
          </c:val>
          <c:extLst>
            <c:ext xmlns:c16="http://schemas.microsoft.com/office/drawing/2014/chart" uri="{C3380CC4-5D6E-409C-BE32-E72D297353CC}">
              <c16:uniqueId val="{00000007-2280-4A97-9A14-486804AB1362}"/>
            </c:ext>
          </c:extLst>
        </c:ser>
        <c:dLbls>
          <c:showLegendKey val="0"/>
          <c:showVal val="0"/>
          <c:showCatName val="0"/>
          <c:showSerName val="0"/>
          <c:showPercent val="0"/>
          <c:showBubbleSize val="0"/>
        </c:dLbls>
        <c:gapWidth val="150"/>
        <c:axId val="274598912"/>
        <c:axId val="274617088"/>
      </c:barChart>
      <c:catAx>
        <c:axId val="274598912"/>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74617088"/>
        <c:crosses val="autoZero"/>
        <c:auto val="1"/>
        <c:lblAlgn val="ctr"/>
        <c:lblOffset val="100"/>
        <c:noMultiLvlLbl val="0"/>
      </c:catAx>
      <c:valAx>
        <c:axId val="274617088"/>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74598912"/>
        <c:crosses val="autoZero"/>
        <c:crossBetween val="between"/>
      </c:valAx>
      <c:spPr>
        <a:noFill/>
        <a:ln w="25400">
          <a:noFill/>
        </a:ln>
      </c:spPr>
    </c:plotArea>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测试加权缺陷密度的控制图</a:t>
            </a:r>
            <a:endParaRPr lang="en-US" altLang="zh-CN"/>
          </a:p>
        </c:rich>
      </c:tx>
      <c:overlay val="0"/>
    </c:title>
    <c:autoTitleDeleted val="0"/>
    <c:plotArea>
      <c:layout/>
      <c:lineChart>
        <c:grouping val="standard"/>
        <c:varyColors val="0"/>
        <c:ser>
          <c:idx val="0"/>
          <c:order val="0"/>
          <c:tx>
            <c:strRef>
              <c:f>测试及验收缺陷度量!$L$10</c:f>
              <c:strCache>
                <c:ptCount val="1"/>
                <c:pt idx="0">
                  <c:v>LOL</c:v>
                </c:pt>
              </c:strCache>
            </c:strRef>
          </c:tx>
          <c:cat>
            <c:strRef>
              <c:f>[0]!测试轮次于画图</c:f>
              <c:strCache>
                <c:ptCount val="3"/>
                <c:pt idx="0">
                  <c:v>测试第1轮</c:v>
                </c:pt>
                <c:pt idx="1">
                  <c:v>测试第2轮</c:v>
                </c:pt>
                <c:pt idx="2">
                  <c:v>测试第3轮</c:v>
                </c:pt>
              </c:strCache>
            </c:strRef>
          </c:cat>
          <c:val>
            <c:numRef>
              <c:f>[0]!测试加权缺陷密度的下限于画图</c:f>
              <c:numCache>
                <c:formatCode>0.0000_ </c:formatCode>
                <c:ptCount val="3"/>
                <c:pt idx="0">
                  <c:v>2.0000000000000001E-4</c:v>
                </c:pt>
                <c:pt idx="1">
                  <c:v>2.0000000000000001E-4</c:v>
                </c:pt>
                <c:pt idx="2">
                  <c:v>2.0000000000000001E-4</c:v>
                </c:pt>
              </c:numCache>
            </c:numRef>
          </c:val>
          <c:smooth val="0"/>
          <c:extLst>
            <c:ext xmlns:c16="http://schemas.microsoft.com/office/drawing/2014/chart" uri="{C3380CC4-5D6E-409C-BE32-E72D297353CC}">
              <c16:uniqueId val="{00000000-52E5-434A-8997-30A6E10ABB21}"/>
            </c:ext>
          </c:extLst>
        </c:ser>
        <c:ser>
          <c:idx val="1"/>
          <c:order val="1"/>
          <c:tx>
            <c:strRef>
              <c:f>测试及验收缺陷度量!$M$10</c:f>
              <c:strCache>
                <c:ptCount val="1"/>
                <c:pt idx="0">
                  <c:v>OL</c:v>
                </c:pt>
              </c:strCache>
            </c:strRef>
          </c:tx>
          <c:cat>
            <c:strRef>
              <c:f>[0]!测试轮次于画图</c:f>
              <c:strCache>
                <c:ptCount val="3"/>
                <c:pt idx="0">
                  <c:v>测试第1轮</c:v>
                </c:pt>
                <c:pt idx="1">
                  <c:v>测试第2轮</c:v>
                </c:pt>
                <c:pt idx="2">
                  <c:v>测试第3轮</c:v>
                </c:pt>
              </c:strCache>
            </c:strRef>
          </c:cat>
          <c:val>
            <c:numRef>
              <c:f>[0]!测试加权缺陷密度的均值于画图</c:f>
              <c:numCache>
                <c:formatCode>0.0000_ </c:formatCode>
                <c:ptCount val="3"/>
                <c:pt idx="0">
                  <c:v>0.2</c:v>
                </c:pt>
                <c:pt idx="1">
                  <c:v>0.2</c:v>
                </c:pt>
                <c:pt idx="2">
                  <c:v>0.2</c:v>
                </c:pt>
              </c:numCache>
            </c:numRef>
          </c:val>
          <c:smooth val="0"/>
          <c:extLst>
            <c:ext xmlns:c16="http://schemas.microsoft.com/office/drawing/2014/chart" uri="{C3380CC4-5D6E-409C-BE32-E72D297353CC}">
              <c16:uniqueId val="{00000001-52E5-434A-8997-30A6E10ABB21}"/>
            </c:ext>
          </c:extLst>
        </c:ser>
        <c:ser>
          <c:idx val="2"/>
          <c:order val="2"/>
          <c:tx>
            <c:strRef>
              <c:f>测试及验收缺陷度量!$N$10</c:f>
              <c:strCache>
                <c:ptCount val="1"/>
                <c:pt idx="0">
                  <c:v>UOL</c:v>
                </c:pt>
              </c:strCache>
            </c:strRef>
          </c:tx>
          <c:cat>
            <c:strRef>
              <c:f>[0]!测试轮次于画图</c:f>
              <c:strCache>
                <c:ptCount val="3"/>
                <c:pt idx="0">
                  <c:v>测试第1轮</c:v>
                </c:pt>
                <c:pt idx="1">
                  <c:v>测试第2轮</c:v>
                </c:pt>
                <c:pt idx="2">
                  <c:v>测试第3轮</c:v>
                </c:pt>
              </c:strCache>
            </c:strRef>
          </c:cat>
          <c:val>
            <c:numRef>
              <c:f>[0]!测试加权缺陷密度的上限于画图</c:f>
              <c:numCache>
                <c:formatCode>0.0000_ </c:formatCode>
                <c:ptCount val="3"/>
                <c:pt idx="0">
                  <c:v>0.39979999999999999</c:v>
                </c:pt>
                <c:pt idx="1">
                  <c:v>0.39979999999999999</c:v>
                </c:pt>
                <c:pt idx="2">
                  <c:v>0.39979999999999999</c:v>
                </c:pt>
              </c:numCache>
            </c:numRef>
          </c:val>
          <c:smooth val="0"/>
          <c:extLst>
            <c:ext xmlns:c16="http://schemas.microsoft.com/office/drawing/2014/chart" uri="{C3380CC4-5D6E-409C-BE32-E72D297353CC}">
              <c16:uniqueId val="{00000002-52E5-434A-8997-30A6E10ABB21}"/>
            </c:ext>
          </c:extLst>
        </c:ser>
        <c:ser>
          <c:idx val="3"/>
          <c:order val="3"/>
          <c:tx>
            <c:v>项目数据</c:v>
          </c:tx>
          <c:cat>
            <c:strRef>
              <c:f>[0]!测试轮次于画图</c:f>
              <c:strCache>
                <c:ptCount val="3"/>
                <c:pt idx="0">
                  <c:v>测试第1轮</c:v>
                </c:pt>
                <c:pt idx="1">
                  <c:v>测试第2轮</c:v>
                </c:pt>
                <c:pt idx="2">
                  <c:v>测试第3轮</c:v>
                </c:pt>
              </c:strCache>
            </c:strRef>
          </c:cat>
          <c:val>
            <c:numRef>
              <c:f>测试及验收缺陷度量!$K$174:$K$177</c:f>
              <c:numCache>
                <c:formatCode>0.000_);[Red]\(0.000\)</c:formatCode>
                <c:ptCount val="4"/>
                <c:pt idx="0">
                  <c:v>1.7600000000000002</c:v>
                </c:pt>
                <c:pt idx="1">
                  <c:v>0</c:v>
                </c:pt>
                <c:pt idx="2">
                  <c:v>0</c:v>
                </c:pt>
                <c:pt idx="3">
                  <c:v>0</c:v>
                </c:pt>
              </c:numCache>
            </c:numRef>
          </c:val>
          <c:smooth val="0"/>
          <c:extLst>
            <c:ext xmlns:c16="http://schemas.microsoft.com/office/drawing/2014/chart" uri="{C3380CC4-5D6E-409C-BE32-E72D297353CC}">
              <c16:uniqueId val="{00000003-52E5-434A-8997-30A6E10ABB21}"/>
            </c:ext>
          </c:extLst>
        </c:ser>
        <c:dLbls>
          <c:showLegendKey val="0"/>
          <c:showVal val="0"/>
          <c:showCatName val="0"/>
          <c:showSerName val="0"/>
          <c:showPercent val="0"/>
          <c:showBubbleSize val="0"/>
        </c:dLbls>
        <c:marker val="1"/>
        <c:smooth val="0"/>
        <c:axId val="274647680"/>
        <c:axId val="274653568"/>
      </c:lineChart>
      <c:catAx>
        <c:axId val="274647680"/>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74653568"/>
        <c:crosses val="autoZero"/>
        <c:auto val="1"/>
        <c:lblAlgn val="ctr"/>
        <c:lblOffset val="100"/>
        <c:noMultiLvlLbl val="0"/>
      </c:catAx>
      <c:valAx>
        <c:axId val="274653568"/>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74647680"/>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各阶段资源到位率</a:t>
            </a:r>
          </a:p>
        </c:rich>
      </c:tx>
      <c:overlay val="0"/>
    </c:title>
    <c:autoTitleDeleted val="0"/>
    <c:plotArea>
      <c:layout/>
      <c:barChart>
        <c:barDir val="col"/>
        <c:grouping val="clustered"/>
        <c:varyColors val="0"/>
        <c:ser>
          <c:idx val="0"/>
          <c:order val="0"/>
          <c:tx>
            <c:v>计划</c:v>
          </c:tx>
          <c:invertIfNegative val="0"/>
          <c:dPt>
            <c:idx val="1"/>
            <c:invertIfNegative val="0"/>
            <c:bubble3D val="0"/>
            <c:extLst>
              <c:ext xmlns:c16="http://schemas.microsoft.com/office/drawing/2014/chart" uri="{C3380CC4-5D6E-409C-BE32-E72D297353CC}">
                <c16:uniqueId val="{00000000-C5E4-4325-8C7C-809618A227A5}"/>
              </c:ext>
            </c:extLst>
          </c:dPt>
          <c:cat>
            <c:strRef>
              <c:f>人员统计!$A$37:$A$53</c:f>
              <c:strCache>
                <c:ptCount val="17"/>
                <c:pt idx="0">
                  <c:v>产品立项阶段</c:v>
                </c:pt>
                <c:pt idx="1">
                  <c:v>迭代一</c:v>
                </c:pt>
                <c:pt idx="2">
                  <c:v>迭代一需求</c:v>
                </c:pt>
                <c:pt idx="3">
                  <c:v>迭代一设计</c:v>
                </c:pt>
                <c:pt idx="4">
                  <c:v>迭代一开发</c:v>
                </c:pt>
                <c:pt idx="5">
                  <c:v>迭代一测试</c:v>
                </c:pt>
                <c:pt idx="6">
                  <c:v>迭代二</c:v>
                </c:pt>
                <c:pt idx="7">
                  <c:v>迭代二需求</c:v>
                </c:pt>
                <c:pt idx="8">
                  <c:v>迭代二设计</c:v>
                </c:pt>
                <c:pt idx="9">
                  <c:v>迭代二开发</c:v>
                </c:pt>
                <c:pt idx="10">
                  <c:v>迭代二测试</c:v>
                </c:pt>
                <c:pt idx="11">
                  <c:v>迭代三</c:v>
                </c:pt>
                <c:pt idx="12">
                  <c:v>迭代三需求</c:v>
                </c:pt>
                <c:pt idx="13">
                  <c:v>迭代三设计</c:v>
                </c:pt>
                <c:pt idx="14">
                  <c:v>迭代三开发</c:v>
                </c:pt>
                <c:pt idx="15">
                  <c:v>迭代三测试</c:v>
                </c:pt>
                <c:pt idx="16">
                  <c:v>系统集成与验收结项阶段</c:v>
                </c:pt>
              </c:strCache>
            </c:strRef>
          </c:cat>
          <c:val>
            <c:numRef>
              <c:f>人员统计!$B$37:$B$53</c:f>
              <c:numCache>
                <c:formatCode>General</c:formatCode>
                <c:ptCount val="17"/>
                <c:pt idx="0">
                  <c:v>13</c:v>
                </c:pt>
                <c:pt idx="1">
                  <c:v>13</c:v>
                </c:pt>
                <c:pt idx="2">
                  <c:v>13</c:v>
                </c:pt>
                <c:pt idx="3">
                  <c:v>13</c:v>
                </c:pt>
                <c:pt idx="4">
                  <c:v>13</c:v>
                </c:pt>
              </c:numCache>
            </c:numRef>
          </c:val>
          <c:extLst>
            <c:ext xmlns:c16="http://schemas.microsoft.com/office/drawing/2014/chart" uri="{C3380CC4-5D6E-409C-BE32-E72D297353CC}">
              <c16:uniqueId val="{00000001-C5E4-4325-8C7C-809618A227A5}"/>
            </c:ext>
          </c:extLst>
        </c:ser>
        <c:ser>
          <c:idx val="1"/>
          <c:order val="1"/>
          <c:tx>
            <c:v>实际</c:v>
          </c:tx>
          <c:invertIfNegative val="0"/>
          <c:cat>
            <c:strRef>
              <c:f>人员统计!$A$37:$A$53</c:f>
              <c:strCache>
                <c:ptCount val="17"/>
                <c:pt idx="0">
                  <c:v>产品立项阶段</c:v>
                </c:pt>
                <c:pt idx="1">
                  <c:v>迭代一</c:v>
                </c:pt>
                <c:pt idx="2">
                  <c:v>迭代一需求</c:v>
                </c:pt>
                <c:pt idx="3">
                  <c:v>迭代一设计</c:v>
                </c:pt>
                <c:pt idx="4">
                  <c:v>迭代一开发</c:v>
                </c:pt>
                <c:pt idx="5">
                  <c:v>迭代一测试</c:v>
                </c:pt>
                <c:pt idx="6">
                  <c:v>迭代二</c:v>
                </c:pt>
                <c:pt idx="7">
                  <c:v>迭代二需求</c:v>
                </c:pt>
                <c:pt idx="8">
                  <c:v>迭代二设计</c:v>
                </c:pt>
                <c:pt idx="9">
                  <c:v>迭代二开发</c:v>
                </c:pt>
                <c:pt idx="10">
                  <c:v>迭代二测试</c:v>
                </c:pt>
                <c:pt idx="11">
                  <c:v>迭代三</c:v>
                </c:pt>
                <c:pt idx="12">
                  <c:v>迭代三需求</c:v>
                </c:pt>
                <c:pt idx="13">
                  <c:v>迭代三设计</c:v>
                </c:pt>
                <c:pt idx="14">
                  <c:v>迭代三开发</c:v>
                </c:pt>
                <c:pt idx="15">
                  <c:v>迭代三测试</c:v>
                </c:pt>
                <c:pt idx="16">
                  <c:v>系统集成与验收结项阶段</c:v>
                </c:pt>
              </c:strCache>
            </c:strRef>
          </c:cat>
          <c:val>
            <c:numRef>
              <c:f>人员统计!$C$37:$C$53</c:f>
              <c:numCache>
                <c:formatCode>General</c:formatCode>
                <c:ptCount val="17"/>
                <c:pt idx="0">
                  <c:v>13</c:v>
                </c:pt>
                <c:pt idx="1">
                  <c:v>13</c:v>
                </c:pt>
                <c:pt idx="2">
                  <c:v>13</c:v>
                </c:pt>
                <c:pt idx="3">
                  <c:v>13</c:v>
                </c:pt>
                <c:pt idx="4">
                  <c:v>13</c:v>
                </c:pt>
              </c:numCache>
            </c:numRef>
          </c:val>
          <c:extLst>
            <c:ext xmlns:c16="http://schemas.microsoft.com/office/drawing/2014/chart" uri="{C3380CC4-5D6E-409C-BE32-E72D297353CC}">
              <c16:uniqueId val="{00000002-C5E4-4325-8C7C-809618A227A5}"/>
            </c:ext>
          </c:extLst>
        </c:ser>
        <c:dLbls>
          <c:showLegendKey val="0"/>
          <c:showVal val="0"/>
          <c:showCatName val="0"/>
          <c:showSerName val="0"/>
          <c:showPercent val="0"/>
          <c:showBubbleSize val="0"/>
        </c:dLbls>
        <c:gapWidth val="150"/>
        <c:axId val="274790656"/>
        <c:axId val="274341888"/>
      </c:barChart>
      <c:catAx>
        <c:axId val="274790656"/>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74341888"/>
        <c:crosses val="autoZero"/>
        <c:auto val="1"/>
        <c:lblAlgn val="ctr"/>
        <c:lblOffset val="100"/>
        <c:noMultiLvlLbl val="0"/>
      </c:catAx>
      <c:valAx>
        <c:axId val="274341888"/>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74790656"/>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各阶段人员变动率</a:t>
            </a:r>
          </a:p>
        </c:rich>
      </c:tx>
      <c:overlay val="0"/>
    </c:title>
    <c:autoTitleDeleted val="0"/>
    <c:plotArea>
      <c:layout/>
      <c:lineChart>
        <c:grouping val="standard"/>
        <c:varyColors val="0"/>
        <c:ser>
          <c:idx val="0"/>
          <c:order val="0"/>
          <c:tx>
            <c:v>变动率</c:v>
          </c:tx>
          <c:marker>
            <c:symbol val="none"/>
          </c:marker>
          <c:cat>
            <c:strRef>
              <c:f>人员统计!$J$60:$J$76</c:f>
              <c:strCache>
                <c:ptCount val="17"/>
                <c:pt idx="0">
                  <c:v>产品立项阶段</c:v>
                </c:pt>
                <c:pt idx="1">
                  <c:v>迭代一</c:v>
                </c:pt>
                <c:pt idx="2">
                  <c:v>迭代三开发</c:v>
                </c:pt>
                <c:pt idx="15">
                  <c:v>迭代三测试</c:v>
                </c:pt>
                <c:pt idx="16">
                  <c:v>系统集成与验收结项阶段</c:v>
                </c:pt>
              </c:strCache>
            </c:strRef>
          </c:cat>
          <c:val>
            <c:numRef>
              <c:f>人员统计!$K$53:$K$57</c:f>
              <c:numCache>
                <c:formatCode>0.00_ </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0-9AF2-4F3D-BBD0-C1A32825EAF6}"/>
            </c:ext>
          </c:extLst>
        </c:ser>
        <c:dLbls>
          <c:showLegendKey val="0"/>
          <c:showVal val="0"/>
          <c:showCatName val="0"/>
          <c:showSerName val="0"/>
          <c:showPercent val="0"/>
          <c:showBubbleSize val="0"/>
        </c:dLbls>
        <c:smooth val="0"/>
        <c:axId val="274366464"/>
        <c:axId val="274368000"/>
      </c:lineChart>
      <c:catAx>
        <c:axId val="274366464"/>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74368000"/>
        <c:crosses val="autoZero"/>
        <c:auto val="1"/>
        <c:lblAlgn val="ctr"/>
        <c:lblOffset val="100"/>
        <c:noMultiLvlLbl val="0"/>
      </c:catAx>
      <c:valAx>
        <c:axId val="274368000"/>
        <c:scaling>
          <c:orientation val="minMax"/>
        </c:scaling>
        <c:delete val="0"/>
        <c:axPos val="l"/>
        <c:majorGridlines/>
        <c:title>
          <c:overlay val="0"/>
          <c:txPr>
            <a:bodyPr rot="-5400000" spcFirstLastPara="0" vertOverflow="ellipsis" vert="horz" wrap="square" anchor="ctr" anchorCtr="1"/>
            <a:lstStyle/>
            <a:p>
              <a:pPr>
                <a:defRPr lang="zh-CN" sz="1000" b="1" i="0" u="none" strike="noStrike" kern="1200" baseline="0">
                  <a:solidFill>
                    <a:schemeClr val="tx1"/>
                  </a:solidFill>
                  <a:latin typeface="+mn-lt"/>
                  <a:ea typeface="+mn-ea"/>
                  <a:cs typeface="+mn-cs"/>
                </a:defRPr>
              </a:pPr>
              <a:endParaRPr lang="zh-CN"/>
            </a:p>
          </c:txPr>
        </c:title>
        <c:numFmt formatCode="0.0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74366464"/>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各角色技能系数</a:t>
            </a:r>
          </a:p>
        </c:rich>
      </c:tx>
      <c:overlay val="0"/>
    </c:title>
    <c:autoTitleDeleted val="0"/>
    <c:plotArea>
      <c:layout/>
      <c:barChart>
        <c:barDir val="col"/>
        <c:grouping val="clustered"/>
        <c:varyColors val="1"/>
        <c:ser>
          <c:idx val="0"/>
          <c:order val="0"/>
          <c:invertIfNegative val="1"/>
          <c:dPt>
            <c:idx val="0"/>
            <c:invertIfNegative val="1"/>
            <c:bubble3D val="0"/>
            <c:extLst>
              <c:ext xmlns:c16="http://schemas.microsoft.com/office/drawing/2014/chart" uri="{C3380CC4-5D6E-409C-BE32-E72D297353CC}">
                <c16:uniqueId val="{00000000-7ED5-47AA-8B7A-66F776D85A78}"/>
              </c:ext>
            </c:extLst>
          </c:dPt>
          <c:dPt>
            <c:idx val="1"/>
            <c:invertIfNegative val="1"/>
            <c:bubble3D val="0"/>
            <c:extLst>
              <c:ext xmlns:c16="http://schemas.microsoft.com/office/drawing/2014/chart" uri="{C3380CC4-5D6E-409C-BE32-E72D297353CC}">
                <c16:uniqueId val="{00000001-7ED5-47AA-8B7A-66F776D85A78}"/>
              </c:ext>
            </c:extLst>
          </c:dPt>
          <c:dPt>
            <c:idx val="2"/>
            <c:invertIfNegative val="1"/>
            <c:bubble3D val="0"/>
            <c:extLst>
              <c:ext xmlns:c16="http://schemas.microsoft.com/office/drawing/2014/chart" uri="{C3380CC4-5D6E-409C-BE32-E72D297353CC}">
                <c16:uniqueId val="{00000002-7ED5-47AA-8B7A-66F776D85A78}"/>
              </c:ext>
            </c:extLst>
          </c:dPt>
          <c:dPt>
            <c:idx val="3"/>
            <c:invertIfNegative val="1"/>
            <c:bubble3D val="0"/>
            <c:extLst>
              <c:ext xmlns:c16="http://schemas.microsoft.com/office/drawing/2014/chart" uri="{C3380CC4-5D6E-409C-BE32-E72D297353CC}">
                <c16:uniqueId val="{00000003-7ED5-47AA-8B7A-66F776D85A78}"/>
              </c:ext>
            </c:extLst>
          </c:dPt>
          <c:dPt>
            <c:idx val="4"/>
            <c:invertIfNegative val="1"/>
            <c:bubble3D val="0"/>
            <c:extLst>
              <c:ext xmlns:c16="http://schemas.microsoft.com/office/drawing/2014/chart" uri="{C3380CC4-5D6E-409C-BE32-E72D297353CC}">
                <c16:uniqueId val="{00000004-7ED5-47AA-8B7A-66F776D85A78}"/>
              </c:ext>
            </c:extLst>
          </c:dPt>
          <c:dPt>
            <c:idx val="5"/>
            <c:invertIfNegative val="1"/>
            <c:bubble3D val="0"/>
            <c:extLst>
              <c:ext xmlns:c16="http://schemas.microsoft.com/office/drawing/2014/chart" uri="{C3380CC4-5D6E-409C-BE32-E72D297353CC}">
                <c16:uniqueId val="{00000005-7ED5-47AA-8B7A-66F776D85A78}"/>
              </c:ext>
            </c:extLst>
          </c:dPt>
          <c:dPt>
            <c:idx val="6"/>
            <c:invertIfNegative val="1"/>
            <c:bubble3D val="0"/>
            <c:extLst>
              <c:ext xmlns:c16="http://schemas.microsoft.com/office/drawing/2014/chart" uri="{C3380CC4-5D6E-409C-BE32-E72D297353CC}">
                <c16:uniqueId val="{00000006-7ED5-47AA-8B7A-66F776D85A78}"/>
              </c:ext>
            </c:extLst>
          </c:dPt>
          <c:dPt>
            <c:idx val="7"/>
            <c:invertIfNegative val="1"/>
            <c:bubble3D val="0"/>
            <c:extLst>
              <c:ext xmlns:c16="http://schemas.microsoft.com/office/drawing/2014/chart" uri="{C3380CC4-5D6E-409C-BE32-E72D297353CC}">
                <c16:uniqueId val="{00000007-7ED5-47AA-8B7A-66F776D85A78}"/>
              </c:ext>
            </c:extLst>
          </c:dPt>
          <c:dPt>
            <c:idx val="8"/>
            <c:invertIfNegative val="1"/>
            <c:bubble3D val="0"/>
            <c:extLst>
              <c:ext xmlns:c16="http://schemas.microsoft.com/office/drawing/2014/chart" uri="{C3380CC4-5D6E-409C-BE32-E72D297353CC}">
                <c16:uniqueId val="{00000008-7ED5-47AA-8B7A-66F776D85A78}"/>
              </c:ext>
            </c:extLst>
          </c:dPt>
          <c:dLbls>
            <c:numFmt formatCode="#,##0.00_);[Red]\(#,##0.0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人员统计!$B$29:$J$29</c:f>
              <c:strCache>
                <c:ptCount val="9"/>
                <c:pt idx="0">
                  <c:v>项目经理</c:v>
                </c:pt>
                <c:pt idx="1">
                  <c:v>策划团队</c:v>
                </c:pt>
                <c:pt idx="2">
                  <c:v>需求分析</c:v>
                </c:pt>
                <c:pt idx="3">
                  <c:v>开发团队</c:v>
                </c:pt>
                <c:pt idx="4">
                  <c:v>测试团队</c:v>
                </c:pt>
                <c:pt idx="5">
                  <c:v>UI及美工团队</c:v>
                </c:pt>
                <c:pt idx="6">
                  <c:v>架构师团队</c:v>
                </c:pt>
                <c:pt idx="7">
                  <c:v>质量保证工程师</c:v>
                </c:pt>
                <c:pt idx="8">
                  <c:v>配置管理工程师</c:v>
                </c:pt>
              </c:strCache>
            </c:strRef>
          </c:cat>
          <c:val>
            <c:numRef>
              <c:f>人员统计!$B$30:$J$30</c:f>
              <c:numCache>
                <c:formatCode>0.00_);[Red]\(0.00\)</c:formatCode>
                <c:ptCount val="9"/>
                <c:pt idx="0">
                  <c:v>1.25</c:v>
                </c:pt>
                <c:pt idx="1">
                  <c:v>0</c:v>
                </c:pt>
                <c:pt idx="2">
                  <c:v>0</c:v>
                </c:pt>
                <c:pt idx="3">
                  <c:v>1.25</c:v>
                </c:pt>
                <c:pt idx="4">
                  <c:v>1.6</c:v>
                </c:pt>
                <c:pt idx="5">
                  <c:v>1.25</c:v>
                </c:pt>
                <c:pt idx="6">
                  <c:v>0</c:v>
                </c:pt>
                <c:pt idx="7">
                  <c:v>1.25</c:v>
                </c:pt>
                <c:pt idx="8">
                  <c:v>1</c:v>
                </c:pt>
              </c:numCache>
            </c:numRef>
          </c:val>
          <c:extLst>
            <c:ext xmlns:c16="http://schemas.microsoft.com/office/drawing/2014/chart" uri="{C3380CC4-5D6E-409C-BE32-E72D297353CC}">
              <c16:uniqueId val="{00000009-7ED5-47AA-8B7A-66F776D85A78}"/>
            </c:ext>
          </c:extLst>
        </c:ser>
        <c:dLbls>
          <c:showLegendKey val="0"/>
          <c:showVal val="0"/>
          <c:showCatName val="0"/>
          <c:showSerName val="0"/>
          <c:showPercent val="0"/>
          <c:showBubbleSize val="0"/>
        </c:dLbls>
        <c:gapWidth val="150"/>
        <c:axId val="274393344"/>
        <c:axId val="274407424"/>
      </c:barChart>
      <c:catAx>
        <c:axId val="274393344"/>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74407424"/>
        <c:crosses val="autoZero"/>
        <c:auto val="1"/>
        <c:lblAlgn val="ctr"/>
        <c:lblOffset val="100"/>
        <c:noMultiLvlLbl val="0"/>
      </c:catAx>
      <c:valAx>
        <c:axId val="274407424"/>
        <c:scaling>
          <c:orientation val="minMax"/>
        </c:scaling>
        <c:delete val="0"/>
        <c:axPos val="l"/>
        <c:majorGridlines/>
        <c:numFmt formatCode="0.00_);[Red]\(0.00\)"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74393344"/>
        <c:crosses val="autoZero"/>
        <c:crossBetween val="between"/>
      </c:valAx>
    </c:plotArea>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050" b="1" i="0" u="none" strike="noStrike" kern="1200" baseline="0">
                <a:solidFill>
                  <a:schemeClr val="tx2"/>
                </a:solidFill>
                <a:latin typeface="宋体" panose="02010600030101010101" pitchFamily="7" charset="-122"/>
                <a:ea typeface="宋体" panose="02010600030101010101" pitchFamily="7" charset="-122"/>
                <a:cs typeface="宋体" panose="02010600030101010101" pitchFamily="7" charset="-122"/>
              </a:defRPr>
            </a:pPr>
            <a:r>
              <a:rPr lang="zh-CN" altLang="en-US" sz="1400" b="1">
                <a:solidFill>
                  <a:schemeClr val="bg1"/>
                </a:solidFill>
                <a:latin typeface="微软雅黑" panose="020B0503020204020204" pitchFamily="34" charset="-122"/>
                <a:ea typeface="微软雅黑" panose="020B0503020204020204" pitchFamily="34" charset="-122"/>
              </a:rPr>
              <a:t>集成测试缺陷密度控制图</a:t>
            </a:r>
          </a:p>
        </c:rich>
      </c:tx>
      <c:layout>
        <c:manualLayout>
          <c:xMode val="edge"/>
          <c:yMode val="edge"/>
          <c:x val="0.310611865006236"/>
          <c:y val="3.3063808200445501E-2"/>
        </c:manualLayout>
      </c:layout>
      <c:overlay val="0"/>
      <c:spPr>
        <a:noFill/>
        <a:ln w="25400">
          <a:noFill/>
        </a:ln>
      </c:spPr>
    </c:title>
    <c:autoTitleDeleted val="0"/>
    <c:plotArea>
      <c:layout>
        <c:manualLayout>
          <c:layoutTarget val="inner"/>
          <c:xMode val="edge"/>
          <c:yMode val="edge"/>
          <c:x val="0.100709254733646"/>
          <c:y val="0.272059556111655"/>
          <c:w val="0.76312083164368505"/>
          <c:h val="0.56250151466328702"/>
        </c:manualLayout>
      </c:layout>
      <c:lineChart>
        <c:grouping val="standard"/>
        <c:varyColors val="0"/>
        <c:ser>
          <c:idx val="0"/>
          <c:order val="0"/>
          <c:tx>
            <c:v>UOL</c:v>
          </c:tx>
          <c:spPr>
            <a:ln w="25400" cap="rnd" cmpd="sng" algn="ctr">
              <a:solidFill>
                <a:srgbClr val="FFFF00"/>
              </a:solidFill>
              <a:prstDash val="solid"/>
              <a:round/>
            </a:ln>
          </c:spPr>
          <c:marker>
            <c:symbol val="none"/>
          </c:marker>
          <c:cat>
            <c:numRef>
              <c:f>[10]质量!$E$85:$P$85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cat>
          <c:val>
            <c:numRef>
              <c:f>[10]质量!$E$90:$I$90</c:f>
              <c:numCache>
                <c:formatCode>General</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0-455E-4C37-9C2E-CF466D4D464F}"/>
            </c:ext>
          </c:extLst>
        </c:ser>
        <c:ser>
          <c:idx val="1"/>
          <c:order val="1"/>
          <c:tx>
            <c:v>OL</c:v>
          </c:tx>
          <c:spPr>
            <a:ln w="25400" cap="rnd" cmpd="sng" algn="ctr">
              <a:solidFill>
                <a:srgbClr val="FFC000"/>
              </a:solidFill>
              <a:prstDash val="solid"/>
              <a:round/>
            </a:ln>
          </c:spPr>
          <c:marker>
            <c:symbol val="none"/>
          </c:marker>
          <c:cat>
            <c:numRef>
              <c:f>[10]质量!$E$85:$P$85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cat>
          <c:val>
            <c:numRef>
              <c:f>[10]质量!$E$91:$I$91</c:f>
              <c:numCache>
                <c:formatCode>General</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1-455E-4C37-9C2E-CF466D4D464F}"/>
            </c:ext>
          </c:extLst>
        </c:ser>
        <c:ser>
          <c:idx val="2"/>
          <c:order val="2"/>
          <c:tx>
            <c:v>LOL</c:v>
          </c:tx>
          <c:spPr>
            <a:ln w="25400" cap="rnd" cmpd="sng" algn="ctr">
              <a:solidFill>
                <a:srgbClr val="FFFF00"/>
              </a:solidFill>
              <a:prstDash val="solid"/>
              <a:round/>
            </a:ln>
          </c:spPr>
          <c:marker>
            <c:symbol val="none"/>
          </c:marker>
          <c:cat>
            <c:numRef>
              <c:f>[10]质量!$E$85:$P$85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cat>
          <c:val>
            <c:numRef>
              <c:f>[10]质量!$E$92:$I$92</c:f>
              <c:numCache>
                <c:formatCode>General</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2-455E-4C37-9C2E-CF466D4D464F}"/>
            </c:ext>
          </c:extLst>
        </c:ser>
        <c:ser>
          <c:idx val="3"/>
          <c:order val="3"/>
          <c:tx>
            <c:v>项目数据</c:v>
          </c:tx>
          <c:spPr>
            <a:ln w="25400" cap="rnd" cmpd="sng" algn="ctr">
              <a:solidFill>
                <a:srgbClr val="FF0000"/>
              </a:solidFill>
              <a:prstDash val="solid"/>
              <a:round/>
            </a:ln>
          </c:spPr>
          <c:marker>
            <c:symbol val="triangle"/>
            <c:size val="3"/>
            <c:spPr>
              <a:solidFill>
                <a:srgbClr val="0000FF"/>
              </a:solidFill>
              <a:ln w="9525" cap="flat" cmpd="sng" algn="ctr">
                <a:solidFill>
                  <a:srgbClr val="0000FF"/>
                </a:solidFill>
                <a:prstDash val="solid"/>
                <a:round/>
              </a:ln>
            </c:spPr>
          </c:marker>
          <c:cat>
            <c:numRef>
              <c:f>[10]质量!$E$85:$P$85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cat>
          <c:val>
            <c:numRef>
              <c:f>[10]质量!$E$88:$I$88</c:f>
              <c:numCache>
                <c:formatCode>General</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3-455E-4C37-9C2E-CF466D4D464F}"/>
            </c:ext>
          </c:extLst>
        </c:ser>
        <c:dLbls>
          <c:showLegendKey val="0"/>
          <c:showVal val="0"/>
          <c:showCatName val="0"/>
          <c:showSerName val="0"/>
          <c:showPercent val="0"/>
          <c:showBubbleSize val="0"/>
        </c:dLbls>
        <c:smooth val="0"/>
        <c:axId val="274967552"/>
        <c:axId val="274969728"/>
      </c:lineChart>
      <c:catAx>
        <c:axId val="274967552"/>
        <c:scaling>
          <c:orientation val="minMax"/>
        </c:scaling>
        <c:delete val="0"/>
        <c:axPos val="b"/>
        <c:numFmt formatCode="General" sourceLinked="1"/>
        <c:majorTickMark val="in"/>
        <c:minorTickMark val="none"/>
        <c:tickLblPos val="nextTo"/>
        <c:spPr>
          <a:ln w="3175" cap="flat" cmpd="sng" algn="ctr">
            <a:solidFill>
              <a:srgbClr val="000000"/>
            </a:solidFill>
            <a:prstDash val="solid"/>
            <a:round/>
          </a:ln>
        </c:spPr>
        <c:txPr>
          <a:bodyPr rot="0" spcFirstLastPara="0" vertOverflow="ellipsis" vert="horz" wrap="square" anchor="ctr" anchorCtr="1"/>
          <a:lstStyle/>
          <a:p>
            <a:pPr>
              <a:defRPr lang="zh-CN" sz="925" b="0" i="0" u="none" strike="noStrike" kern="1200" baseline="0">
                <a:solidFill>
                  <a:srgbClr val="000000"/>
                </a:solidFill>
                <a:latin typeface="宋体" panose="02010600030101010101" pitchFamily="7" charset="-122"/>
                <a:ea typeface="宋体" panose="02010600030101010101" pitchFamily="7" charset="-122"/>
                <a:cs typeface="宋体" panose="02010600030101010101" pitchFamily="7" charset="-122"/>
              </a:defRPr>
            </a:pPr>
            <a:endParaRPr lang="zh-CN"/>
          </a:p>
        </c:txPr>
        <c:crossAx val="274969728"/>
        <c:crossesAt val="-0.15"/>
        <c:auto val="1"/>
        <c:lblAlgn val="ctr"/>
        <c:lblOffset val="100"/>
        <c:tickLblSkip val="1"/>
        <c:noMultiLvlLbl val="0"/>
      </c:catAx>
      <c:valAx>
        <c:axId val="274969728"/>
        <c:scaling>
          <c:orientation val="minMax"/>
        </c:scaling>
        <c:delete val="0"/>
        <c:axPos val="l"/>
        <c:majorGridlines>
          <c:spPr>
            <a:ln w="3175" cap="flat" cmpd="sng" algn="ctr">
              <a:solidFill>
                <a:srgbClr val="000000"/>
              </a:solidFill>
              <a:prstDash val="solid"/>
              <a:round/>
            </a:ln>
          </c:spPr>
        </c:majorGridlines>
        <c:numFmt formatCode="General" sourceLinked="1"/>
        <c:majorTickMark val="in"/>
        <c:minorTickMark val="none"/>
        <c:tickLblPos val="nextTo"/>
        <c:spPr>
          <a:ln w="3175" cap="flat" cmpd="sng" algn="ctr">
            <a:solidFill>
              <a:srgbClr val="000000"/>
            </a:solidFill>
            <a:prstDash val="solid"/>
            <a:round/>
          </a:ln>
        </c:spPr>
        <c:txPr>
          <a:bodyPr rot="0" spcFirstLastPara="0" vertOverflow="ellipsis" vert="horz" wrap="square" anchor="ctr" anchorCtr="1"/>
          <a:lstStyle/>
          <a:p>
            <a:pPr>
              <a:defRPr lang="zh-CN" sz="925" b="0" i="0" u="none" strike="noStrike" kern="1200" baseline="0">
                <a:solidFill>
                  <a:srgbClr val="000000"/>
                </a:solidFill>
                <a:latin typeface="宋体" panose="02010600030101010101" pitchFamily="7" charset="-122"/>
                <a:ea typeface="宋体" panose="02010600030101010101" pitchFamily="7" charset="-122"/>
                <a:cs typeface="宋体" panose="02010600030101010101" pitchFamily="7" charset="-122"/>
              </a:defRPr>
            </a:pPr>
            <a:endParaRPr lang="zh-CN"/>
          </a:p>
        </c:txPr>
        <c:crossAx val="274967552"/>
        <c:crosses val="autoZero"/>
        <c:crossBetween val="between"/>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chemeClr val="accent1"/>
          </a:solidFill>
          <a:prstDash val="solid"/>
        </a:ln>
        <a:effectLst>
          <a:glow rad="101600">
            <a:schemeClr val="accent1">
              <a:satMod val="175000"/>
              <a:alpha val="32000"/>
            </a:schemeClr>
          </a:glow>
          <a:outerShdw blurRad="50800" dist="38100" dir="2700000" algn="tl" rotWithShape="0">
            <a:schemeClr val="accent1">
              <a:alpha val="40000"/>
            </a:schemeClr>
          </a:outerShdw>
          <a:softEdge rad="12700"/>
        </a:effectLst>
        <a:scene3d>
          <a:camera prst="orthographicFront"/>
          <a:lightRig rig="threePt" dir="t"/>
        </a:scene3d>
        <a:sp3d/>
      </c:spPr>
    </c:plotArea>
    <c:legend>
      <c:legendPos val="r"/>
      <c:layout>
        <c:manualLayout>
          <c:xMode val="edge"/>
          <c:yMode val="edge"/>
          <c:x val="0.86241171981161902"/>
          <c:y val="0.30882463221509099"/>
          <c:w val="0.123404255319149"/>
          <c:h val="0.481618915282648"/>
        </c:manualLayout>
      </c:layout>
      <c:overlay val="0"/>
      <c:spPr>
        <a:noFill/>
        <a:ln w="25400">
          <a:noFill/>
        </a:ln>
      </c:spPr>
      <c:txPr>
        <a:bodyPr rot="0" spcFirstLastPara="0" vertOverflow="ellipsis" vert="horz" wrap="square" anchor="ctr" anchorCtr="1"/>
        <a:lstStyle/>
        <a:p>
          <a:pPr>
            <a:defRPr lang="zh-CN" sz="850" b="0" i="0" u="none" strike="noStrike" kern="1200" baseline="0">
              <a:solidFill>
                <a:srgbClr val="000000"/>
              </a:solidFill>
              <a:latin typeface="宋体" panose="02010600030101010101" pitchFamily="7" charset="-122"/>
              <a:ea typeface="宋体" panose="02010600030101010101" pitchFamily="7" charset="-122"/>
              <a:cs typeface="宋体" panose="02010600030101010101" pitchFamily="7" charset="-122"/>
            </a:defRPr>
          </a:pPr>
          <a:endParaRPr lang="zh-CN"/>
        </a:p>
      </c:txPr>
    </c:legend>
    <c:plotVisOnly val="1"/>
    <c:dispBlanksAs val="gap"/>
    <c:showDLblsOverMax val="0"/>
  </c:chart>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3175" cap="flat" cmpd="dbl" algn="ctr">
      <a:noFill/>
      <a:prstDash val="solid"/>
      <a:round/>
    </a:ln>
    <a:effectLst>
      <a:outerShdw blurRad="50800" dist="38100" dir="2700000" algn="tl" rotWithShape="0">
        <a:prstClr val="black">
          <a:alpha val="40000"/>
        </a:prstClr>
      </a:outerShdw>
    </a:effectLst>
  </c:spPr>
  <c:txPr>
    <a:bodyPr/>
    <a:lstStyle/>
    <a:p>
      <a:pPr>
        <a:defRPr lang="zh-CN" sz="925" b="0" i="0" u="none" strike="noStrike" baseline="0">
          <a:solidFill>
            <a:srgbClr val="000000"/>
          </a:solidFill>
          <a:latin typeface="宋体" panose="02010600030101010101" pitchFamily="7" charset="-122"/>
          <a:ea typeface="宋体" panose="02010600030101010101" pitchFamily="7" charset="-122"/>
          <a:cs typeface="宋体" panose="02010600030101010101" pitchFamily="7" charset="-122"/>
        </a:defRPr>
      </a:pPr>
      <a:endParaRPr lang="zh-CN"/>
    </a:p>
  </c:txPr>
  <c:printSettings>
    <c:headerFooter/>
    <c:pageMargins b="0.75" l="0.7" r="0.7" t="0.75" header="0.3" footer="0.3"/>
    <c:pageSetup/>
  </c:printSettings>
</c:chartSpace>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file>

<file path=xl/ctrlProps/ctrlProp11.xml><?xml version="1.0" encoding="utf-8"?>
<formControlPr xmlns="http://schemas.microsoft.com/office/spreadsheetml/2009/9/main" objectType="Button"/>
</file>

<file path=xl/ctrlProps/ctrlProp12.xml><?xml version="1.0" encoding="utf-8"?>
<formControlPr xmlns="http://schemas.microsoft.com/office/spreadsheetml/2009/9/main" objectType="Button"/>
</file>

<file path=xl/ctrlProps/ctrlProp13.xml><?xml version="1.0" encoding="utf-8"?>
<formControlPr xmlns="http://schemas.microsoft.com/office/spreadsheetml/2009/9/main" objectType="Button"/>
</file>

<file path=xl/ctrlProps/ctrlProp14.xml><?xml version="1.0" encoding="utf-8"?>
<formControlPr xmlns="http://schemas.microsoft.com/office/spreadsheetml/2009/9/main" objectType="Button"/>
</file>

<file path=xl/ctrlProps/ctrlProp15.xml><?xml version="1.0" encoding="utf-8"?>
<formControlPr xmlns="http://schemas.microsoft.com/office/spreadsheetml/2009/9/main" objectType="Button"/>
</file>

<file path=xl/ctrlProps/ctrlProp16.xml><?xml version="1.0" encoding="utf-8"?>
<formControlPr xmlns="http://schemas.microsoft.com/office/spreadsheetml/2009/9/main" objectType="Button"/>
</file>

<file path=xl/ctrlProps/ctrlProp17.xml><?xml version="1.0" encoding="utf-8"?>
<formControlPr xmlns="http://schemas.microsoft.com/office/spreadsheetml/2009/9/main" objectType="Button"/>
</file>

<file path=xl/ctrlProps/ctrlProp18.xml><?xml version="1.0" encoding="utf-8"?>
<formControlPr xmlns="http://schemas.microsoft.com/office/spreadsheetml/2009/9/main" objectType="Button"/>
</file>

<file path=xl/ctrlProps/ctrlProp19.xml><?xml version="1.0" encoding="utf-8"?>
<formControlPr xmlns="http://schemas.microsoft.com/office/spreadsheetml/2009/9/main" objectType="Button"/>
</file>

<file path=xl/ctrlProps/ctrlProp20.xml><?xml version="1.0" encoding="utf-8"?>
<formControlPr xmlns="http://schemas.microsoft.com/office/spreadsheetml/2009/9/main" objectType="Button"/>
</file>

<file path=xl/ctrlProps/ctrlProp21.xml><?xml version="1.0" encoding="utf-8"?>
<formControlPr xmlns="http://schemas.microsoft.com/office/spreadsheetml/2009/9/main" objectType="Button"/>
</file>

<file path=xl/ctrlProps/ctrlProp22.xml><?xml version="1.0" encoding="utf-8"?>
<formControlPr xmlns="http://schemas.microsoft.com/office/spreadsheetml/2009/9/main" objectType="Button"/>
</file>

<file path=xl/ctrlProps/ctrlProp23.xml><?xml version="1.0" encoding="utf-8"?>
<formControlPr xmlns="http://schemas.microsoft.com/office/spreadsheetml/2009/9/main" objectType="Button"/>
</file>

<file path=xl/ctrlProps/ctrlProp24.xml><?xml version="1.0" encoding="utf-8"?>
<formControlPr xmlns="http://schemas.microsoft.com/office/spreadsheetml/2009/9/main" objectType="Button"/>
</file>

<file path=xl/ctrlProps/ctrlProp25.xml><?xml version="1.0" encoding="utf-8"?>
<formControlPr xmlns="http://schemas.microsoft.com/office/spreadsheetml/2009/9/main" objectType="Button"/>
</file>

<file path=xl/ctrlProps/ctrlProp26.xml><?xml version="1.0" encoding="utf-8"?>
<formControlPr xmlns="http://schemas.microsoft.com/office/spreadsheetml/2009/9/main" objectType="Button"/>
</file>

<file path=xl/ctrlProps/ctrlProp27.xml><?xml version="1.0" encoding="utf-8"?>
<formControlPr xmlns="http://schemas.microsoft.com/office/spreadsheetml/2009/9/main" objectType="Button"/>
</file>

<file path=xl/ctrlProps/ctrlProp28.xml><?xml version="1.0" encoding="utf-8"?>
<formControlPr xmlns="http://schemas.microsoft.com/office/spreadsheetml/2009/9/main" objectType="Button"/>
</file>

<file path=xl/ctrlProps/ctrlProp29.xml><?xml version="1.0" encoding="utf-8"?>
<formControlPr xmlns="http://schemas.microsoft.com/office/spreadsheetml/2009/9/main" objectType="Button"/>
</file>

<file path=xl/ctrlProps/ctrlProp30.xml><?xml version="1.0" encoding="utf-8"?>
<formControlPr xmlns="http://schemas.microsoft.com/office/spreadsheetml/2009/9/main" objectType="Button"/>
</file>

<file path=xl/ctrlProps/ctrlProp31.xml><?xml version="1.0" encoding="utf-8"?>
<formControlPr xmlns="http://schemas.microsoft.com/office/spreadsheetml/2009/9/main" objectType="Button"/>
</file>

<file path=xl/ctrlProps/ctrlProp32.xml><?xml version="1.0" encoding="utf-8"?>
<formControlPr xmlns="http://schemas.microsoft.com/office/spreadsheetml/2009/9/main" objectType="Button"/>
</file>

<file path=xl/ctrlProps/ctrlProp33.xml><?xml version="1.0" encoding="utf-8"?>
<formControlPr xmlns="http://schemas.microsoft.com/office/spreadsheetml/2009/9/main" objectType="Button"/>
</file>

<file path=xl/ctrlProps/ctrlProp34.xml><?xml version="1.0" encoding="utf-8"?>
<formControlPr xmlns="http://schemas.microsoft.com/office/spreadsheetml/2009/9/main" objectType="Button"/>
</file>

<file path=xl/ctrlProps/ctrlProp35.xml><?xml version="1.0" encoding="utf-8"?>
<formControlPr xmlns="http://schemas.microsoft.com/office/spreadsheetml/2009/9/main" objectType="Button"/>
</file>

<file path=xl/ctrlProps/ctrlProp36.xml><?xml version="1.0" encoding="utf-8"?>
<formControlPr xmlns="http://schemas.microsoft.com/office/spreadsheetml/2009/9/main" objectType="Button"/>
</file>

<file path=xl/ctrlProps/ctrlProp37.xml><?xml version="1.0" encoding="utf-8"?>
<formControlPr xmlns="http://schemas.microsoft.com/office/spreadsheetml/2009/9/main" objectType="Button"/>
</file>

<file path=xl/ctrlProps/ctrlProp38.xml><?xml version="1.0" encoding="utf-8"?>
<formControlPr xmlns="http://schemas.microsoft.com/office/spreadsheetml/2009/9/main" objectType="Button"/>
</file>

<file path=xl/ctrlProps/ctrlProp39.xml><?xml version="1.0" encoding="utf-8"?>
<formControlPr xmlns="http://schemas.microsoft.com/office/spreadsheetml/2009/9/main" objectType="Button"/>
</file>

<file path=xl/ctrlProps/ctrlProp40.xml><?xml version="1.0" encoding="utf-8"?>
<formControlPr xmlns="http://schemas.microsoft.com/office/spreadsheetml/2009/9/main" objectType="Button"/>
</file>

<file path=xl/ctrlProps/ctrlProp41.xml><?xml version="1.0" encoding="utf-8"?>
<formControlPr xmlns="http://schemas.microsoft.com/office/spreadsheetml/2009/9/main" objectType="Button"/>
</file>

<file path=xl/ctrlProps/ctrlProp42.xml><?xml version="1.0" encoding="utf-8"?>
<formControlPr xmlns="http://schemas.microsoft.com/office/spreadsheetml/2009/9/main" objectType="Button"/>
</file>

<file path=xl/ctrlProps/ctrlProp43.xml><?xml version="1.0" encoding="utf-8"?>
<formControlPr xmlns="http://schemas.microsoft.com/office/spreadsheetml/2009/9/main" objectType="Button"/>
</file>

<file path=xl/ctrlProps/ctrlProp44.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chart" Target="../charts/chart9.xml"/><Relationship Id="rId7" Type="http://schemas.openxmlformats.org/officeDocument/2006/relationships/chart" Target="../charts/chart13.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5" Type="http://schemas.openxmlformats.org/officeDocument/2006/relationships/chart" Target="../charts/chart19.xml"/><Relationship Id="rId4" Type="http://schemas.openxmlformats.org/officeDocument/2006/relationships/chart" Target="../charts/chart18.xml"/></Relationships>
</file>

<file path=xl/drawings/_rels/drawing7.xml.rels><?xml version="1.0" encoding="UTF-8" standalone="yes"?>
<Relationships xmlns="http://schemas.openxmlformats.org/package/2006/relationships"><Relationship Id="rId8" Type="http://schemas.openxmlformats.org/officeDocument/2006/relationships/chart" Target="../charts/chart27.xml"/><Relationship Id="rId13" Type="http://schemas.openxmlformats.org/officeDocument/2006/relationships/chart" Target="../charts/chart32.xml"/><Relationship Id="rId3" Type="http://schemas.openxmlformats.org/officeDocument/2006/relationships/chart" Target="../charts/chart22.xml"/><Relationship Id="rId7" Type="http://schemas.openxmlformats.org/officeDocument/2006/relationships/chart" Target="../charts/chart26.xml"/><Relationship Id="rId12" Type="http://schemas.openxmlformats.org/officeDocument/2006/relationships/chart" Target="../charts/chart31.xml"/><Relationship Id="rId2" Type="http://schemas.openxmlformats.org/officeDocument/2006/relationships/chart" Target="../charts/chart21.xml"/><Relationship Id="rId16" Type="http://schemas.openxmlformats.org/officeDocument/2006/relationships/chart" Target="../charts/chart35.xml"/><Relationship Id="rId1" Type="http://schemas.openxmlformats.org/officeDocument/2006/relationships/chart" Target="../charts/chart20.xml"/><Relationship Id="rId6" Type="http://schemas.openxmlformats.org/officeDocument/2006/relationships/chart" Target="../charts/chart25.xml"/><Relationship Id="rId11" Type="http://schemas.openxmlformats.org/officeDocument/2006/relationships/chart" Target="../charts/chart30.xml"/><Relationship Id="rId5" Type="http://schemas.openxmlformats.org/officeDocument/2006/relationships/chart" Target="../charts/chart24.xml"/><Relationship Id="rId15" Type="http://schemas.openxmlformats.org/officeDocument/2006/relationships/chart" Target="../charts/chart34.xml"/><Relationship Id="rId10" Type="http://schemas.openxmlformats.org/officeDocument/2006/relationships/chart" Target="../charts/chart29.xml"/><Relationship Id="rId4" Type="http://schemas.openxmlformats.org/officeDocument/2006/relationships/chart" Target="../charts/chart23.xml"/><Relationship Id="rId9" Type="http://schemas.openxmlformats.org/officeDocument/2006/relationships/chart" Target="../charts/chart28.xml"/><Relationship Id="rId1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8" Type="http://schemas.openxmlformats.org/officeDocument/2006/relationships/chart" Target="../charts/chart40.xml"/><Relationship Id="rId13" Type="http://schemas.openxmlformats.org/officeDocument/2006/relationships/chart" Target="../charts/chart45.xml"/><Relationship Id="rId3" Type="http://schemas.openxmlformats.org/officeDocument/2006/relationships/chart" Target="../charts/chart38.xml"/><Relationship Id="rId7" Type="http://schemas.openxmlformats.org/officeDocument/2006/relationships/image" Target="../media/image8.png"/><Relationship Id="rId12" Type="http://schemas.openxmlformats.org/officeDocument/2006/relationships/chart" Target="../charts/chart44.xml"/><Relationship Id="rId2" Type="http://schemas.openxmlformats.org/officeDocument/2006/relationships/chart" Target="../charts/chart37.xml"/><Relationship Id="rId1" Type="http://schemas.openxmlformats.org/officeDocument/2006/relationships/chart" Target="../charts/chart36.xml"/><Relationship Id="rId6" Type="http://schemas.openxmlformats.org/officeDocument/2006/relationships/image" Target="../media/image7.png"/><Relationship Id="rId11" Type="http://schemas.openxmlformats.org/officeDocument/2006/relationships/chart" Target="../charts/chart43.xml"/><Relationship Id="rId5" Type="http://schemas.openxmlformats.org/officeDocument/2006/relationships/image" Target="../media/image6.png"/><Relationship Id="rId15" Type="http://schemas.openxmlformats.org/officeDocument/2006/relationships/chart" Target="../charts/chart47.xml"/><Relationship Id="rId10" Type="http://schemas.openxmlformats.org/officeDocument/2006/relationships/chart" Target="../charts/chart42.xml"/><Relationship Id="rId4" Type="http://schemas.openxmlformats.org/officeDocument/2006/relationships/chart" Target="../charts/chart39.xml"/><Relationship Id="rId9" Type="http://schemas.openxmlformats.org/officeDocument/2006/relationships/chart" Target="../charts/chart41.xml"/><Relationship Id="rId14" Type="http://schemas.openxmlformats.org/officeDocument/2006/relationships/chart" Target="../charts/chart46.xml"/></Relationships>
</file>

<file path=xl/drawings/_rels/drawing9.xml.rels><?xml version="1.0" encoding="UTF-8" standalone="yes"?>
<Relationships xmlns="http://schemas.openxmlformats.org/package/2006/relationships"><Relationship Id="rId3" Type="http://schemas.openxmlformats.org/officeDocument/2006/relationships/chart" Target="../charts/chart50.xml"/><Relationship Id="rId2" Type="http://schemas.openxmlformats.org/officeDocument/2006/relationships/chart" Target="../charts/chart49.xml"/><Relationship Id="rId1" Type="http://schemas.openxmlformats.org/officeDocument/2006/relationships/chart" Target="../charts/chart48.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image" Target="../media/image10.png"/><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285750</xdr:colOff>
      <xdr:row>3</xdr:row>
      <xdr:rowOff>57150</xdr:rowOff>
    </xdr:to>
    <xdr:pic>
      <xdr:nvPicPr>
        <xdr:cNvPr id="3" name="图片 2" descr="国泰安新标志（彩色）">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1819" b="25455"/>
        <a:stretch>
          <a:fillRect/>
        </a:stretch>
      </xdr:blipFill>
      <xdr:spPr>
        <a:xfrm>
          <a:off x="0" y="0"/>
          <a:ext cx="1476375" cy="55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295275</xdr:colOff>
          <xdr:row>25</xdr:row>
          <xdr:rowOff>85725</xdr:rowOff>
        </xdr:from>
        <xdr:to>
          <xdr:col>3</xdr:col>
          <xdr:colOff>942975</xdr:colOff>
          <xdr:row>26</xdr:row>
          <xdr:rowOff>161925</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0200-0000010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800" b="0" i="0" u="none" strike="noStrike" baseline="0">
                  <a:solidFill>
                    <a:srgbClr val="000000"/>
                  </a:solidFill>
                  <a:latin typeface="宋体"/>
                  <a:ea typeface="宋体"/>
                </a:rPr>
                <a:t>启用自带的单元格操作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27</xdr:row>
          <xdr:rowOff>66675</xdr:rowOff>
        </xdr:from>
        <xdr:to>
          <xdr:col>3</xdr:col>
          <xdr:colOff>942975</xdr:colOff>
          <xdr:row>28</xdr:row>
          <xdr:rowOff>142875</xdr:rowOff>
        </xdr:to>
        <xdr:sp macro="" textlink="">
          <xdr:nvSpPr>
            <xdr:cNvPr id="66562" name="Button 2" hidden="1">
              <a:extLst>
                <a:ext uri="{63B3BB69-23CF-44E3-9099-C40C66FF867C}">
                  <a14:compatExt spid="_x0000_s66562"/>
                </a:ext>
                <a:ext uri="{FF2B5EF4-FFF2-40B4-BE49-F238E27FC236}">
                  <a16:creationId xmlns:a16="http://schemas.microsoft.com/office/drawing/2014/main" id="{00000000-0008-0000-0200-0000020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800" b="0" i="0" u="none" strike="noStrike" baseline="0">
                  <a:solidFill>
                    <a:srgbClr val="000000"/>
                  </a:solidFill>
                  <a:latin typeface="宋体"/>
                  <a:ea typeface="宋体"/>
                </a:rPr>
                <a:t>禁止自带的单元格操作</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21</xdr:col>
      <xdr:colOff>38100</xdr:colOff>
      <xdr:row>0</xdr:row>
      <xdr:rowOff>57150</xdr:rowOff>
    </xdr:from>
    <xdr:to>
      <xdr:col>39</xdr:col>
      <xdr:colOff>265129</xdr:colOff>
      <xdr:row>3</xdr:row>
      <xdr:rowOff>257023</xdr:rowOff>
    </xdr:to>
    <xdr:pic>
      <xdr:nvPicPr>
        <xdr:cNvPr id="2" name="图片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16773525" y="57150"/>
          <a:ext cx="12571095" cy="1221105"/>
        </a:xfrm>
        <a:prstGeom prst="rect">
          <a:avLst/>
        </a:prstGeom>
      </xdr:spPr>
    </xdr:pic>
    <xdr:clientData/>
  </xdr:twoCellAnchor>
  <xdr:twoCellAnchor editAs="oneCell">
    <xdr:from>
      <xdr:col>21</xdr:col>
      <xdr:colOff>47625</xdr:colOff>
      <xdr:row>3</xdr:row>
      <xdr:rowOff>685800</xdr:rowOff>
    </xdr:from>
    <xdr:to>
      <xdr:col>39</xdr:col>
      <xdr:colOff>236559</xdr:colOff>
      <xdr:row>5</xdr:row>
      <xdr:rowOff>237969</xdr:rowOff>
    </xdr:to>
    <xdr:pic>
      <xdr:nvPicPr>
        <xdr:cNvPr id="3" name="图片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16783050" y="1707515"/>
          <a:ext cx="12532995" cy="1399540"/>
        </a:xfrm>
        <a:prstGeom prst="rect">
          <a:avLst/>
        </a:prstGeom>
      </xdr:spPr>
    </xdr:pic>
    <xdr:clientData/>
  </xdr:twoCellAnchor>
  <xdr:twoCellAnchor editAs="oneCell">
    <xdr:from>
      <xdr:col>21</xdr:col>
      <xdr:colOff>66675</xdr:colOff>
      <xdr:row>5</xdr:row>
      <xdr:rowOff>542925</xdr:rowOff>
    </xdr:from>
    <xdr:to>
      <xdr:col>36</xdr:col>
      <xdr:colOff>151104</xdr:colOff>
      <xdr:row>8</xdr:row>
      <xdr:rowOff>9391</xdr:rowOff>
    </xdr:to>
    <xdr:pic>
      <xdr:nvPicPr>
        <xdr:cNvPr id="4" name="图片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16802100" y="3412490"/>
          <a:ext cx="10370820" cy="107569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10</xdr:col>
      <xdr:colOff>809625</xdr:colOff>
      <xdr:row>22</xdr:row>
      <xdr:rowOff>104775</xdr:rowOff>
    </xdr:from>
    <xdr:to>
      <xdr:col>18</xdr:col>
      <xdr:colOff>9525</xdr:colOff>
      <xdr:row>32</xdr:row>
      <xdr:rowOff>133350</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809625</xdr:colOff>
      <xdr:row>47</xdr:row>
      <xdr:rowOff>104775</xdr:rowOff>
    </xdr:from>
    <xdr:to>
      <xdr:col>18</xdr:col>
      <xdr:colOff>9525</xdr:colOff>
      <xdr:row>57</xdr:row>
      <xdr:rowOff>133350</xdr:rowOff>
    </xdr:to>
    <xdr:graphicFrame macro="">
      <xdr:nvGraphicFramePr>
        <xdr:cNvPr id="7" name="图表 6">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800100</xdr:colOff>
      <xdr:row>62</xdr:row>
      <xdr:rowOff>95250</xdr:rowOff>
    </xdr:from>
    <xdr:to>
      <xdr:col>18</xdr:col>
      <xdr:colOff>19050</xdr:colOff>
      <xdr:row>72</xdr:row>
      <xdr:rowOff>9525</xdr:rowOff>
    </xdr:to>
    <xdr:graphicFrame macro="">
      <xdr:nvGraphicFramePr>
        <xdr:cNvPr id="8" name="图表 7">
          <a:extLst>
            <a:ext uri="{FF2B5EF4-FFF2-40B4-BE49-F238E27FC236}">
              <a16:creationId xmlns:a16="http://schemas.microsoft.com/office/drawing/2014/main" id="{00000000-0008-0000-0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809625</xdr:colOff>
      <xdr:row>73</xdr:row>
      <xdr:rowOff>104775</xdr:rowOff>
    </xdr:from>
    <xdr:to>
      <xdr:col>18</xdr:col>
      <xdr:colOff>9525</xdr:colOff>
      <xdr:row>83</xdr:row>
      <xdr:rowOff>133350</xdr:rowOff>
    </xdr:to>
    <xdr:graphicFrame macro="">
      <xdr:nvGraphicFramePr>
        <xdr:cNvPr id="9" name="图表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0</xdr:colOff>
      <xdr:row>11</xdr:row>
      <xdr:rowOff>123825</xdr:rowOff>
    </xdr:from>
    <xdr:to>
      <xdr:col>18</xdr:col>
      <xdr:colOff>57150</xdr:colOff>
      <xdr:row>21</xdr:row>
      <xdr:rowOff>76200</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800100</xdr:colOff>
      <xdr:row>37</xdr:row>
      <xdr:rowOff>47625</xdr:rowOff>
    </xdr:from>
    <xdr:to>
      <xdr:col>18</xdr:col>
      <xdr:colOff>0</xdr:colOff>
      <xdr:row>47</xdr:row>
      <xdr:rowOff>0</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152400</xdr:colOff>
      <xdr:row>26</xdr:row>
      <xdr:rowOff>99695</xdr:rowOff>
    </xdr:from>
    <xdr:to>
      <xdr:col>12</xdr:col>
      <xdr:colOff>514350</xdr:colOff>
      <xdr:row>45</xdr:row>
      <xdr:rowOff>18733</xdr:rowOff>
    </xdr:to>
    <xdr:graphicFrame macro="">
      <xdr:nvGraphicFramePr>
        <xdr:cNvPr id="5" name="图表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152400</xdr:colOff>
      <xdr:row>67</xdr:row>
      <xdr:rowOff>90487</xdr:rowOff>
    </xdr:from>
    <xdr:to>
      <xdr:col>12</xdr:col>
      <xdr:colOff>514350</xdr:colOff>
      <xdr:row>86</xdr:row>
      <xdr:rowOff>9525</xdr:rowOff>
    </xdr:to>
    <xdr:graphicFrame macro="">
      <xdr:nvGraphicFramePr>
        <xdr:cNvPr id="7" name="图表 6">
          <a:extLst>
            <a:ext uri="{FF2B5EF4-FFF2-40B4-BE49-F238E27FC236}">
              <a16:creationId xmlns:a16="http://schemas.microsoft.com/office/drawing/2014/main" id="{00000000-0008-0000-0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1162050</xdr:colOff>
      <xdr:row>114</xdr:row>
      <xdr:rowOff>133350</xdr:rowOff>
    </xdr:from>
    <xdr:to>
      <xdr:col>20</xdr:col>
      <xdr:colOff>676275</xdr:colOff>
      <xdr:row>134</xdr:row>
      <xdr:rowOff>85725</xdr:rowOff>
    </xdr:to>
    <xdr:graphicFrame macro="">
      <xdr:nvGraphicFramePr>
        <xdr:cNvPr id="2" name="图表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152400</xdr:colOff>
      <xdr:row>112</xdr:row>
      <xdr:rowOff>90487</xdr:rowOff>
    </xdr:from>
    <xdr:to>
      <xdr:col>12</xdr:col>
      <xdr:colOff>514350</xdr:colOff>
      <xdr:row>131</xdr:row>
      <xdr:rowOff>9525</xdr:rowOff>
    </xdr:to>
    <xdr:graphicFrame macro="">
      <xdr:nvGraphicFramePr>
        <xdr:cNvPr id="3" name="图表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1162050</xdr:colOff>
      <xdr:row>159</xdr:row>
      <xdr:rowOff>133350</xdr:rowOff>
    </xdr:from>
    <xdr:to>
      <xdr:col>20</xdr:col>
      <xdr:colOff>676275</xdr:colOff>
      <xdr:row>179</xdr:row>
      <xdr:rowOff>85725</xdr:rowOff>
    </xdr:to>
    <xdr:graphicFrame macro="">
      <xdr:nvGraphicFramePr>
        <xdr:cNvPr id="8" name="图表 7">
          <a:extLst>
            <a:ext uri="{FF2B5EF4-FFF2-40B4-BE49-F238E27FC236}">
              <a16:creationId xmlns:a16="http://schemas.microsoft.com/office/drawing/2014/main" id="{00000000-0008-0000-0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152400</xdr:colOff>
      <xdr:row>157</xdr:row>
      <xdr:rowOff>90487</xdr:rowOff>
    </xdr:from>
    <xdr:to>
      <xdr:col>12</xdr:col>
      <xdr:colOff>514350</xdr:colOff>
      <xdr:row>176</xdr:row>
      <xdr:rowOff>9525</xdr:rowOff>
    </xdr:to>
    <xdr:graphicFrame macro="">
      <xdr:nvGraphicFramePr>
        <xdr:cNvPr id="9" name="图表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13</xdr:col>
      <xdr:colOff>790576</xdr:colOff>
      <xdr:row>20</xdr:row>
      <xdr:rowOff>209550</xdr:rowOff>
    </xdr:from>
    <xdr:to>
      <xdr:col>21</xdr:col>
      <xdr:colOff>390526</xdr:colOff>
      <xdr:row>38</xdr:row>
      <xdr:rowOff>85725</xdr:rowOff>
    </xdr:to>
    <xdr:graphicFrame macro="">
      <xdr:nvGraphicFramePr>
        <xdr:cNvPr id="11" name="图表 10">
          <a:extLst>
            <a:ext uri="{FF2B5EF4-FFF2-40B4-BE49-F238E27FC236}">
              <a16:creationId xmlns:a16="http://schemas.microsoft.com/office/drawing/2014/main" id="{00000000-0008-0000-0B00-00000B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13</xdr:col>
      <xdr:colOff>638175</xdr:colOff>
      <xdr:row>67</xdr:row>
      <xdr:rowOff>76200</xdr:rowOff>
    </xdr:from>
    <xdr:to>
      <xdr:col>21</xdr:col>
      <xdr:colOff>238125</xdr:colOff>
      <xdr:row>86</xdr:row>
      <xdr:rowOff>85725</xdr:rowOff>
    </xdr:to>
    <xdr:graphicFrame macro="">
      <xdr:nvGraphicFramePr>
        <xdr:cNvPr id="12" name="图表 11">
          <a:extLst>
            <a:ext uri="{FF2B5EF4-FFF2-40B4-BE49-F238E27FC236}">
              <a16:creationId xmlns:a16="http://schemas.microsoft.com/office/drawing/2014/main" id="{00000000-0008-0000-0B00-00000C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6</xdr:col>
      <xdr:colOff>142875</xdr:colOff>
      <xdr:row>49</xdr:row>
      <xdr:rowOff>180975</xdr:rowOff>
    </xdr:from>
    <xdr:to>
      <xdr:col>11</xdr:col>
      <xdr:colOff>428625</xdr:colOff>
      <xdr:row>64</xdr:row>
      <xdr:rowOff>47625</xdr:rowOff>
    </xdr:to>
    <xdr:graphicFrame macro="">
      <xdr:nvGraphicFramePr>
        <xdr:cNvPr id="2" name="图表 2">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285751</xdr:colOff>
      <xdr:row>28</xdr:row>
      <xdr:rowOff>133350</xdr:rowOff>
    </xdr:from>
    <xdr:to>
      <xdr:col>6</xdr:col>
      <xdr:colOff>895351</xdr:colOff>
      <xdr:row>41</xdr:row>
      <xdr:rowOff>142875</xdr:rowOff>
    </xdr:to>
    <xdr:graphicFrame macro="">
      <xdr:nvGraphicFramePr>
        <xdr:cNvPr id="3" name="图表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7</xdr:col>
          <xdr:colOff>9525</xdr:colOff>
          <xdr:row>28</xdr:row>
          <xdr:rowOff>171450</xdr:rowOff>
        </xdr:from>
        <xdr:to>
          <xdr:col>7</xdr:col>
          <xdr:colOff>676275</xdr:colOff>
          <xdr:row>30</xdr:row>
          <xdr:rowOff>133350</xdr:rowOff>
        </xdr:to>
        <xdr:sp macro="" textlink="">
          <xdr:nvSpPr>
            <xdr:cNvPr id="58371" name="Button 3" hidden="1">
              <a:extLst>
                <a:ext uri="{63B3BB69-23CF-44E3-9099-C40C66FF867C}">
                  <a14:compatExt spid="_x0000_s58371"/>
                </a:ext>
                <a:ext uri="{FF2B5EF4-FFF2-40B4-BE49-F238E27FC236}">
                  <a16:creationId xmlns:a16="http://schemas.microsoft.com/office/drawing/2014/main" id="{00000000-0008-0000-0D00-000003E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增加周次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31</xdr:row>
          <xdr:rowOff>28575</xdr:rowOff>
        </xdr:from>
        <xdr:to>
          <xdr:col>7</xdr:col>
          <xdr:colOff>685800</xdr:colOff>
          <xdr:row>32</xdr:row>
          <xdr:rowOff>171450</xdr:rowOff>
        </xdr:to>
        <xdr:sp macro="" textlink="">
          <xdr:nvSpPr>
            <xdr:cNvPr id="58372" name="Button 4" hidden="1">
              <a:extLst>
                <a:ext uri="{63B3BB69-23CF-44E3-9099-C40C66FF867C}">
                  <a14:compatExt spid="_x0000_s58372"/>
                </a:ext>
                <a:ext uri="{FF2B5EF4-FFF2-40B4-BE49-F238E27FC236}">
                  <a16:creationId xmlns:a16="http://schemas.microsoft.com/office/drawing/2014/main" id="{00000000-0008-0000-0D00-000004E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删除周次</a:t>
              </a:r>
            </a:p>
          </xdr:txBody>
        </xdr:sp>
        <xdr:clientData fPrintsWithSheet="0"/>
      </xdr:twoCellAnchor>
    </mc:Choice>
    <mc:Fallback/>
  </mc:AlternateContent>
  <xdr:twoCellAnchor editAs="oneCell">
    <xdr:from>
      <xdr:col>11</xdr:col>
      <xdr:colOff>428625</xdr:colOff>
      <xdr:row>3</xdr:row>
      <xdr:rowOff>142875</xdr:rowOff>
    </xdr:from>
    <xdr:to>
      <xdr:col>21</xdr:col>
      <xdr:colOff>114300</xdr:colOff>
      <xdr:row>19</xdr:row>
      <xdr:rowOff>57150</xdr:rowOff>
    </xdr:to>
    <xdr:graphicFrame macro="">
      <xdr:nvGraphicFramePr>
        <xdr:cNvPr id="6" name="图表 5">
          <a:extLst>
            <a:ext uri="{FF2B5EF4-FFF2-40B4-BE49-F238E27FC236}">
              <a16:creationId xmlns:a16="http://schemas.microsoft.com/office/drawing/2014/main" id="{00000000-0008-0000-0D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11</xdr:col>
      <xdr:colOff>400050</xdr:colOff>
      <xdr:row>20</xdr:row>
      <xdr:rowOff>66675</xdr:rowOff>
    </xdr:from>
    <xdr:to>
      <xdr:col>21</xdr:col>
      <xdr:colOff>85725</xdr:colOff>
      <xdr:row>36</xdr:row>
      <xdr:rowOff>114300</xdr:rowOff>
    </xdr:to>
    <xdr:graphicFrame macro="">
      <xdr:nvGraphicFramePr>
        <xdr:cNvPr id="7" name="图表 6">
          <a:extLst>
            <a:ext uri="{FF2B5EF4-FFF2-40B4-BE49-F238E27FC236}">
              <a16:creationId xmlns:a16="http://schemas.microsoft.com/office/drawing/2014/main" id="{00000000-0008-0000-0D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11</xdr:col>
      <xdr:colOff>390525</xdr:colOff>
      <xdr:row>38</xdr:row>
      <xdr:rowOff>85725</xdr:rowOff>
    </xdr:from>
    <xdr:to>
      <xdr:col>21</xdr:col>
      <xdr:colOff>76200</xdr:colOff>
      <xdr:row>58</xdr:row>
      <xdr:rowOff>57150</xdr:rowOff>
    </xdr:to>
    <xdr:graphicFrame macro="">
      <xdr:nvGraphicFramePr>
        <xdr:cNvPr id="8" name="图表 7">
          <a:extLst>
            <a:ext uri="{FF2B5EF4-FFF2-40B4-BE49-F238E27FC236}">
              <a16:creationId xmlns:a16="http://schemas.microsoft.com/office/drawing/2014/main" id="{00000000-0008-0000-0D00-000008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10</xdr:row>
          <xdr:rowOff>104775</xdr:rowOff>
        </xdr:from>
        <xdr:to>
          <xdr:col>1</xdr:col>
          <xdr:colOff>266700</xdr:colOff>
          <xdr:row>12</xdr:row>
          <xdr:rowOff>19050</xdr:rowOff>
        </xdr:to>
        <xdr:sp macro="" textlink="">
          <xdr:nvSpPr>
            <xdr:cNvPr id="62466" name="Button 2" hidden="1">
              <a:extLst>
                <a:ext uri="{63B3BB69-23CF-44E3-9099-C40C66FF867C}">
                  <a14:compatExt spid="_x0000_s62466"/>
                </a:ext>
                <a:ext uri="{FF2B5EF4-FFF2-40B4-BE49-F238E27FC236}">
                  <a16:creationId xmlns:a16="http://schemas.microsoft.com/office/drawing/2014/main" id="{00000000-0008-0000-0E00-000002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twoCellAnchor>
    </mc:Choice>
    <mc:Fallback/>
  </mc:AlternateContent>
  <xdr:twoCellAnchor editAs="oneCell">
    <xdr:from>
      <xdr:col>1</xdr:col>
      <xdr:colOff>619125</xdr:colOff>
      <xdr:row>10</xdr:row>
      <xdr:rowOff>95250</xdr:rowOff>
    </xdr:from>
    <xdr:to>
      <xdr:col>11</xdr:col>
      <xdr:colOff>142875</xdr:colOff>
      <xdr:row>24</xdr:row>
      <xdr:rowOff>123825</xdr:rowOff>
    </xdr:to>
    <xdr:graphicFrame macro="">
      <xdr:nvGraphicFramePr>
        <xdr:cNvPr id="3" name="图表 2">
          <a:extLst>
            <a:ext uri="{FF2B5EF4-FFF2-40B4-BE49-F238E27FC236}">
              <a16:creationId xmlns:a16="http://schemas.microsoft.com/office/drawing/2014/main" id="{00000000-0008-0000-0E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95250</xdr:colOff>
          <xdr:row>36</xdr:row>
          <xdr:rowOff>47625</xdr:rowOff>
        </xdr:from>
        <xdr:to>
          <xdr:col>1</xdr:col>
          <xdr:colOff>257175</xdr:colOff>
          <xdr:row>37</xdr:row>
          <xdr:rowOff>142875</xdr:rowOff>
        </xdr:to>
        <xdr:sp macro="" textlink="">
          <xdr:nvSpPr>
            <xdr:cNvPr id="62468" name="Button 4" hidden="1">
              <a:extLst>
                <a:ext uri="{63B3BB69-23CF-44E3-9099-C40C66FF867C}">
                  <a14:compatExt spid="_x0000_s62468"/>
                </a:ext>
                <a:ext uri="{FF2B5EF4-FFF2-40B4-BE49-F238E27FC236}">
                  <a16:creationId xmlns:a16="http://schemas.microsoft.com/office/drawing/2014/main" id="{00000000-0008-0000-0E00-000004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twoCellAnchor>
    </mc:Choice>
    <mc:Fallback/>
  </mc:AlternateContent>
  <xdr:twoCellAnchor editAs="oneCell">
    <xdr:from>
      <xdr:col>1</xdr:col>
      <xdr:colOff>552450</xdr:colOff>
      <xdr:row>35</xdr:row>
      <xdr:rowOff>85725</xdr:rowOff>
    </xdr:from>
    <xdr:to>
      <xdr:col>11</xdr:col>
      <xdr:colOff>133350</xdr:colOff>
      <xdr:row>51</xdr:row>
      <xdr:rowOff>57150</xdr:rowOff>
    </xdr:to>
    <xdr:graphicFrame macro="">
      <xdr:nvGraphicFramePr>
        <xdr:cNvPr id="5" name="图表 4">
          <a:extLst>
            <a:ext uri="{FF2B5EF4-FFF2-40B4-BE49-F238E27FC236}">
              <a16:creationId xmlns:a16="http://schemas.microsoft.com/office/drawing/2014/main" id="{00000000-0008-0000-0E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85725</xdr:colOff>
          <xdr:row>59</xdr:row>
          <xdr:rowOff>104775</xdr:rowOff>
        </xdr:from>
        <xdr:to>
          <xdr:col>1</xdr:col>
          <xdr:colOff>238125</xdr:colOff>
          <xdr:row>61</xdr:row>
          <xdr:rowOff>57150</xdr:rowOff>
        </xdr:to>
        <xdr:sp macro="" textlink="">
          <xdr:nvSpPr>
            <xdr:cNvPr id="62469" name="Button 5" hidden="1">
              <a:extLst>
                <a:ext uri="{63B3BB69-23CF-44E3-9099-C40C66FF867C}">
                  <a14:compatExt spid="_x0000_s62469"/>
                </a:ext>
                <a:ext uri="{FF2B5EF4-FFF2-40B4-BE49-F238E27FC236}">
                  <a16:creationId xmlns:a16="http://schemas.microsoft.com/office/drawing/2014/main" id="{00000000-0008-0000-0E00-000005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twoCellAnchor>
    </mc:Choice>
    <mc:Fallback/>
  </mc:AlternateContent>
  <xdr:twoCellAnchor editAs="oneCell">
    <xdr:from>
      <xdr:col>1</xdr:col>
      <xdr:colOff>390525</xdr:colOff>
      <xdr:row>59</xdr:row>
      <xdr:rowOff>66675</xdr:rowOff>
    </xdr:from>
    <xdr:to>
      <xdr:col>11</xdr:col>
      <xdr:colOff>28575</xdr:colOff>
      <xdr:row>76</xdr:row>
      <xdr:rowOff>66675</xdr:rowOff>
    </xdr:to>
    <xdr:graphicFrame macro="">
      <xdr:nvGraphicFramePr>
        <xdr:cNvPr id="7" name="图表 6">
          <a:extLst>
            <a:ext uri="{FF2B5EF4-FFF2-40B4-BE49-F238E27FC236}">
              <a16:creationId xmlns:a16="http://schemas.microsoft.com/office/drawing/2014/main" id="{00000000-0008-0000-0E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104775</xdr:colOff>
          <xdr:row>84</xdr:row>
          <xdr:rowOff>76200</xdr:rowOff>
        </xdr:from>
        <xdr:to>
          <xdr:col>1</xdr:col>
          <xdr:colOff>295275</xdr:colOff>
          <xdr:row>86</xdr:row>
          <xdr:rowOff>19050</xdr:rowOff>
        </xdr:to>
        <xdr:sp macro="" textlink="">
          <xdr:nvSpPr>
            <xdr:cNvPr id="62472" name="Button 8" hidden="1">
              <a:extLst>
                <a:ext uri="{63B3BB69-23CF-44E3-9099-C40C66FF867C}">
                  <a14:compatExt spid="_x0000_s62472"/>
                </a:ext>
                <a:ext uri="{FF2B5EF4-FFF2-40B4-BE49-F238E27FC236}">
                  <a16:creationId xmlns:a16="http://schemas.microsoft.com/office/drawing/2014/main" id="{00000000-0008-0000-0E00-000008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twoCellAnchor>
    </mc:Choice>
    <mc:Fallback/>
  </mc:AlternateContent>
  <xdr:twoCellAnchor editAs="oneCell">
    <xdr:from>
      <xdr:col>1</xdr:col>
      <xdr:colOff>361950</xdr:colOff>
      <xdr:row>84</xdr:row>
      <xdr:rowOff>57150</xdr:rowOff>
    </xdr:from>
    <xdr:to>
      <xdr:col>11</xdr:col>
      <xdr:colOff>0</xdr:colOff>
      <xdr:row>99</xdr:row>
      <xdr:rowOff>142875</xdr:rowOff>
    </xdr:to>
    <xdr:graphicFrame macro="">
      <xdr:nvGraphicFramePr>
        <xdr:cNvPr id="12" name="图表 11">
          <a:extLst>
            <a:ext uri="{FF2B5EF4-FFF2-40B4-BE49-F238E27FC236}">
              <a16:creationId xmlns:a16="http://schemas.microsoft.com/office/drawing/2014/main" id="{00000000-0008-0000-0E00-00000C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200025</xdr:colOff>
          <xdr:row>107</xdr:row>
          <xdr:rowOff>85725</xdr:rowOff>
        </xdr:from>
        <xdr:to>
          <xdr:col>1</xdr:col>
          <xdr:colOff>342900</xdr:colOff>
          <xdr:row>109</xdr:row>
          <xdr:rowOff>19050</xdr:rowOff>
        </xdr:to>
        <xdr:sp macro="" textlink="">
          <xdr:nvSpPr>
            <xdr:cNvPr id="62473" name="Button 9" hidden="1">
              <a:extLst>
                <a:ext uri="{63B3BB69-23CF-44E3-9099-C40C66FF867C}">
                  <a14:compatExt spid="_x0000_s62473"/>
                </a:ext>
                <a:ext uri="{FF2B5EF4-FFF2-40B4-BE49-F238E27FC236}">
                  <a16:creationId xmlns:a16="http://schemas.microsoft.com/office/drawing/2014/main" id="{00000000-0008-0000-0E00-000009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增加走查次数</a:t>
              </a:r>
            </a:p>
          </xdr:txBody>
        </xdr:sp>
        <xdr:clientData fPrintsWithSheet="0"/>
      </xdr:twoCellAnchor>
    </mc:Choice>
    <mc:Fallback/>
  </mc:AlternateContent>
  <xdr:twoCellAnchor editAs="oneCell">
    <xdr:from>
      <xdr:col>1</xdr:col>
      <xdr:colOff>438150</xdr:colOff>
      <xdr:row>107</xdr:row>
      <xdr:rowOff>57150</xdr:rowOff>
    </xdr:from>
    <xdr:to>
      <xdr:col>11</xdr:col>
      <xdr:colOff>76200</xdr:colOff>
      <xdr:row>123</xdr:row>
      <xdr:rowOff>142875</xdr:rowOff>
    </xdr:to>
    <xdr:graphicFrame macro="">
      <xdr:nvGraphicFramePr>
        <xdr:cNvPr id="11" name="图表 10">
          <a:extLst>
            <a:ext uri="{FF2B5EF4-FFF2-40B4-BE49-F238E27FC236}">
              <a16:creationId xmlns:a16="http://schemas.microsoft.com/office/drawing/2014/main" id="{00000000-0008-0000-0E00-00000B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114300</xdr:colOff>
          <xdr:row>12</xdr:row>
          <xdr:rowOff>85725</xdr:rowOff>
        </xdr:from>
        <xdr:to>
          <xdr:col>1</xdr:col>
          <xdr:colOff>266700</xdr:colOff>
          <xdr:row>14</xdr:row>
          <xdr:rowOff>0</xdr:rowOff>
        </xdr:to>
        <xdr:sp macro="" textlink="">
          <xdr:nvSpPr>
            <xdr:cNvPr id="62474" name="Button 10" hidden="1">
              <a:extLst>
                <a:ext uri="{63B3BB69-23CF-44E3-9099-C40C66FF867C}">
                  <a14:compatExt spid="_x0000_s62474"/>
                </a:ext>
                <a:ext uri="{FF2B5EF4-FFF2-40B4-BE49-F238E27FC236}">
                  <a16:creationId xmlns:a16="http://schemas.microsoft.com/office/drawing/2014/main" id="{00000000-0008-0000-0E00-00000A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twoCellAnchor>
    </mc:Choice>
    <mc:Fallback/>
  </mc:AlternateContent>
  <xdr:twoCellAnchor>
    <xdr:from>
      <xdr:col>13</xdr:col>
      <xdr:colOff>0</xdr:colOff>
      <xdr:row>13</xdr:row>
      <xdr:rowOff>19050</xdr:rowOff>
    </xdr:from>
    <xdr:to>
      <xdr:col>16</xdr:col>
      <xdr:colOff>628650</xdr:colOff>
      <xdr:row>18</xdr:row>
      <xdr:rowOff>38100</xdr:rowOff>
    </xdr:to>
    <xdr:sp macro="" textlink="">
      <xdr:nvSpPr>
        <xdr:cNvPr id="2" name="文本框 1">
          <a:extLst>
            <a:ext uri="{FF2B5EF4-FFF2-40B4-BE49-F238E27FC236}">
              <a16:creationId xmlns:a16="http://schemas.microsoft.com/office/drawing/2014/main" id="{00000000-0008-0000-0E00-000002000000}"/>
            </a:ext>
          </a:extLst>
        </xdr:cNvPr>
        <xdr:cNvSpPr txBox="1">
          <a:spLocks noChangeAspect="1"/>
        </xdr:cNvSpPr>
      </xdr:nvSpPr>
      <xdr:spPr>
        <a:xfrm>
          <a:off x="9163050" y="2800350"/>
          <a:ext cx="2686050" cy="781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p>
      </xdr:txBody>
    </xdr:sp>
    <xdr:clientData/>
  </xdr:twoCellAnchor>
  <xdr:twoCellAnchor editAs="oneCell">
    <xdr:from>
      <xdr:col>11</xdr:col>
      <xdr:colOff>762000</xdr:colOff>
      <xdr:row>38</xdr:row>
      <xdr:rowOff>38100</xdr:rowOff>
    </xdr:from>
    <xdr:to>
      <xdr:col>15</xdr:col>
      <xdr:colOff>438150</xdr:colOff>
      <xdr:row>44</xdr:row>
      <xdr:rowOff>0</xdr:rowOff>
    </xdr:to>
    <xdr:sp macro="" textlink="">
      <xdr:nvSpPr>
        <xdr:cNvPr id="15" name="文本框 14">
          <a:extLst>
            <a:ext uri="{FF2B5EF4-FFF2-40B4-BE49-F238E27FC236}">
              <a16:creationId xmlns:a16="http://schemas.microsoft.com/office/drawing/2014/main" id="{00000000-0008-0000-0E00-00000F000000}"/>
            </a:ext>
          </a:extLst>
        </xdr:cNvPr>
        <xdr:cNvSpPr txBox="1">
          <a:spLocks noChangeAspect="1"/>
        </xdr:cNvSpPr>
      </xdr:nvSpPr>
      <xdr:spPr>
        <a:xfrm>
          <a:off x="8286750" y="7096125"/>
          <a:ext cx="2686050" cy="952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latin typeface="+mn-ea"/>
              <a:ea typeface="+mn-ea"/>
            </a:rPr>
            <a:t>请勿对“第</a:t>
          </a:r>
          <a:r>
            <a:rPr lang="en-US" altLang="zh-CN" sz="800">
              <a:solidFill>
                <a:srgbClr val="FF0000"/>
              </a:solidFill>
              <a:latin typeface="+mn-ea"/>
              <a:ea typeface="+mn-ea"/>
            </a:rPr>
            <a:t>N</a:t>
          </a:r>
          <a:r>
            <a:rPr lang="zh-CN" altLang="en-US" sz="800">
              <a:solidFill>
                <a:srgbClr val="FF0000"/>
              </a:solidFill>
              <a:latin typeface="+mn-ea"/>
              <a:ea typeface="+mn-ea"/>
            </a:rPr>
            <a:t>次评审”行进行删除或者填写，以免造成不必要的错误</a:t>
          </a:r>
        </a:p>
      </xdr:txBody>
    </xdr:sp>
    <xdr:clientData/>
  </xdr:twoCellAnchor>
  <mc:AlternateContent xmlns:mc="http://schemas.openxmlformats.org/markup-compatibility/2006">
    <mc:Choice xmlns:a14="http://schemas.microsoft.com/office/drawing/2010/main" Requires="a14">
      <xdr:twoCellAnchor editAs="oneCell">
        <xdr:from>
          <xdr:col>0</xdr:col>
          <xdr:colOff>85725</xdr:colOff>
          <xdr:row>38</xdr:row>
          <xdr:rowOff>76200</xdr:rowOff>
        </xdr:from>
        <xdr:to>
          <xdr:col>1</xdr:col>
          <xdr:colOff>247650</xdr:colOff>
          <xdr:row>40</xdr:row>
          <xdr:rowOff>28575</xdr:rowOff>
        </xdr:to>
        <xdr:sp macro="" textlink="">
          <xdr:nvSpPr>
            <xdr:cNvPr id="62475" name="Button 11" hidden="1">
              <a:extLst>
                <a:ext uri="{63B3BB69-23CF-44E3-9099-C40C66FF867C}">
                  <a14:compatExt spid="_x0000_s62475"/>
                </a:ext>
                <a:ext uri="{FF2B5EF4-FFF2-40B4-BE49-F238E27FC236}">
                  <a16:creationId xmlns:a16="http://schemas.microsoft.com/office/drawing/2014/main" id="{00000000-0008-0000-0E00-00000B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twoCellAnchor>
    </mc:Choice>
    <mc:Fallback/>
  </mc:AlternateContent>
  <xdr:twoCellAnchor editAs="oneCell">
    <xdr:from>
      <xdr:col>11</xdr:col>
      <xdr:colOff>657225</xdr:colOff>
      <xdr:row>64</xdr:row>
      <xdr:rowOff>76200</xdr:rowOff>
    </xdr:from>
    <xdr:to>
      <xdr:col>15</xdr:col>
      <xdr:colOff>333375</xdr:colOff>
      <xdr:row>70</xdr:row>
      <xdr:rowOff>95250</xdr:rowOff>
    </xdr:to>
    <xdr:sp macro="" textlink="">
      <xdr:nvSpPr>
        <xdr:cNvPr id="16" name="文本框 15">
          <a:extLst>
            <a:ext uri="{FF2B5EF4-FFF2-40B4-BE49-F238E27FC236}">
              <a16:creationId xmlns:a16="http://schemas.microsoft.com/office/drawing/2014/main" id="{00000000-0008-0000-0E00-000010000000}"/>
            </a:ext>
          </a:extLst>
        </xdr:cNvPr>
        <xdr:cNvSpPr txBox="1">
          <a:spLocks noChangeAspect="1"/>
        </xdr:cNvSpPr>
      </xdr:nvSpPr>
      <xdr:spPr>
        <a:xfrm>
          <a:off x="8181975" y="11572875"/>
          <a:ext cx="2686050" cy="933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p>
      </xdr:txBody>
    </xdr:sp>
    <xdr:clientData/>
  </xdr:twoCellAnchor>
  <mc:AlternateContent xmlns:mc="http://schemas.openxmlformats.org/markup-compatibility/2006">
    <mc:Choice xmlns:a14="http://schemas.microsoft.com/office/drawing/2010/main" Requires="a14">
      <xdr:twoCellAnchor editAs="oneCell">
        <xdr:from>
          <xdr:col>0</xdr:col>
          <xdr:colOff>85725</xdr:colOff>
          <xdr:row>61</xdr:row>
          <xdr:rowOff>114300</xdr:rowOff>
        </xdr:from>
        <xdr:to>
          <xdr:col>1</xdr:col>
          <xdr:colOff>247650</xdr:colOff>
          <xdr:row>63</xdr:row>
          <xdr:rowOff>66675</xdr:rowOff>
        </xdr:to>
        <xdr:sp macro="" textlink="">
          <xdr:nvSpPr>
            <xdr:cNvPr id="62476" name="Button 12" hidden="1">
              <a:extLst>
                <a:ext uri="{63B3BB69-23CF-44E3-9099-C40C66FF867C}">
                  <a14:compatExt spid="_x0000_s62476"/>
                </a:ext>
                <a:ext uri="{FF2B5EF4-FFF2-40B4-BE49-F238E27FC236}">
                  <a16:creationId xmlns:a16="http://schemas.microsoft.com/office/drawing/2014/main" id="{00000000-0008-0000-0E00-00000C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twoCellAnchor>
    </mc:Choice>
    <mc:Fallback/>
  </mc:AlternateContent>
  <xdr:twoCellAnchor editAs="oneCell">
    <xdr:from>
      <xdr:col>11</xdr:col>
      <xdr:colOff>638175</xdr:colOff>
      <xdr:row>88</xdr:row>
      <xdr:rowOff>28574</xdr:rowOff>
    </xdr:from>
    <xdr:to>
      <xdr:col>15</xdr:col>
      <xdr:colOff>314325</xdr:colOff>
      <xdr:row>94</xdr:row>
      <xdr:rowOff>95249</xdr:rowOff>
    </xdr:to>
    <xdr:sp macro="" textlink="">
      <xdr:nvSpPr>
        <xdr:cNvPr id="18" name="文本框 17">
          <a:extLst>
            <a:ext uri="{FF2B5EF4-FFF2-40B4-BE49-F238E27FC236}">
              <a16:creationId xmlns:a16="http://schemas.microsoft.com/office/drawing/2014/main" id="{00000000-0008-0000-0E00-000012000000}"/>
            </a:ext>
          </a:extLst>
        </xdr:cNvPr>
        <xdr:cNvSpPr txBox="1">
          <a:spLocks noChangeAspect="1"/>
        </xdr:cNvSpPr>
      </xdr:nvSpPr>
      <xdr:spPr>
        <a:xfrm>
          <a:off x="8162925" y="15613380"/>
          <a:ext cx="2686050" cy="981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p>
      </xdr:txBody>
    </xdr:sp>
    <xdr:clientData/>
  </xdr:twoCellAnchor>
  <mc:AlternateContent xmlns:mc="http://schemas.openxmlformats.org/markup-compatibility/2006">
    <mc:Choice xmlns:a14="http://schemas.microsoft.com/office/drawing/2010/main" Requires="a14">
      <xdr:twoCellAnchor editAs="oneCell">
        <xdr:from>
          <xdr:col>0</xdr:col>
          <xdr:colOff>114300</xdr:colOff>
          <xdr:row>86</xdr:row>
          <xdr:rowOff>142875</xdr:rowOff>
        </xdr:from>
        <xdr:to>
          <xdr:col>1</xdr:col>
          <xdr:colOff>276225</xdr:colOff>
          <xdr:row>88</xdr:row>
          <xdr:rowOff>95250</xdr:rowOff>
        </xdr:to>
        <xdr:sp macro="" textlink="">
          <xdr:nvSpPr>
            <xdr:cNvPr id="62477" name="Button 13" hidden="1">
              <a:extLst>
                <a:ext uri="{63B3BB69-23CF-44E3-9099-C40C66FF867C}">
                  <a14:compatExt spid="_x0000_s62477"/>
                </a:ext>
                <a:ext uri="{FF2B5EF4-FFF2-40B4-BE49-F238E27FC236}">
                  <a16:creationId xmlns:a16="http://schemas.microsoft.com/office/drawing/2014/main" id="{00000000-0008-0000-0E00-00000D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180975</xdr:colOff>
          <xdr:row>109</xdr:row>
          <xdr:rowOff>104775</xdr:rowOff>
        </xdr:from>
        <xdr:to>
          <xdr:col>1</xdr:col>
          <xdr:colOff>342900</xdr:colOff>
          <xdr:row>111</xdr:row>
          <xdr:rowOff>57150</xdr:rowOff>
        </xdr:to>
        <xdr:sp macro="" textlink="">
          <xdr:nvSpPr>
            <xdr:cNvPr id="62479" name="Button 15" hidden="1">
              <a:extLst>
                <a:ext uri="{63B3BB69-23CF-44E3-9099-C40C66FF867C}">
                  <a14:compatExt spid="_x0000_s62479"/>
                </a:ext>
                <a:ext uri="{FF2B5EF4-FFF2-40B4-BE49-F238E27FC236}">
                  <a16:creationId xmlns:a16="http://schemas.microsoft.com/office/drawing/2014/main" id="{00000000-0008-0000-0E00-00000F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删除走查次数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136</xdr:row>
          <xdr:rowOff>104775</xdr:rowOff>
        </xdr:from>
        <xdr:to>
          <xdr:col>1</xdr:col>
          <xdr:colOff>266700</xdr:colOff>
          <xdr:row>138</xdr:row>
          <xdr:rowOff>19050</xdr:rowOff>
        </xdr:to>
        <xdr:sp macro="" textlink="">
          <xdr:nvSpPr>
            <xdr:cNvPr id="62489" name="Button 25" hidden="1">
              <a:extLst>
                <a:ext uri="{63B3BB69-23CF-44E3-9099-C40C66FF867C}">
                  <a14:compatExt spid="_x0000_s62489"/>
                </a:ext>
                <a:ext uri="{FF2B5EF4-FFF2-40B4-BE49-F238E27FC236}">
                  <a16:creationId xmlns:a16="http://schemas.microsoft.com/office/drawing/2014/main" id="{00000000-0008-0000-0E00-000019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twoCellAnchor>
    </mc:Choice>
    <mc:Fallback/>
  </mc:AlternateContent>
  <xdr:twoCellAnchor editAs="oneCell">
    <xdr:from>
      <xdr:col>1</xdr:col>
      <xdr:colOff>619125</xdr:colOff>
      <xdr:row>136</xdr:row>
      <xdr:rowOff>95250</xdr:rowOff>
    </xdr:from>
    <xdr:to>
      <xdr:col>11</xdr:col>
      <xdr:colOff>142875</xdr:colOff>
      <xdr:row>150</xdr:row>
      <xdr:rowOff>123825</xdr:rowOff>
    </xdr:to>
    <xdr:graphicFrame macro="">
      <xdr:nvGraphicFramePr>
        <xdr:cNvPr id="6" name="图表 5">
          <a:extLst>
            <a:ext uri="{FF2B5EF4-FFF2-40B4-BE49-F238E27FC236}">
              <a16:creationId xmlns:a16="http://schemas.microsoft.com/office/drawing/2014/main" id="{00000000-0008-0000-0E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95250</xdr:colOff>
          <xdr:row>161</xdr:row>
          <xdr:rowOff>47625</xdr:rowOff>
        </xdr:from>
        <xdr:to>
          <xdr:col>1</xdr:col>
          <xdr:colOff>257175</xdr:colOff>
          <xdr:row>162</xdr:row>
          <xdr:rowOff>142875</xdr:rowOff>
        </xdr:to>
        <xdr:sp macro="" textlink="">
          <xdr:nvSpPr>
            <xdr:cNvPr id="62490" name="Button 26" hidden="1">
              <a:extLst>
                <a:ext uri="{63B3BB69-23CF-44E3-9099-C40C66FF867C}">
                  <a14:compatExt spid="_x0000_s62490"/>
                </a:ext>
                <a:ext uri="{FF2B5EF4-FFF2-40B4-BE49-F238E27FC236}">
                  <a16:creationId xmlns:a16="http://schemas.microsoft.com/office/drawing/2014/main" id="{00000000-0008-0000-0E00-00001A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twoCellAnchor>
    </mc:Choice>
    <mc:Fallback/>
  </mc:AlternateContent>
  <xdr:twoCellAnchor editAs="oneCell">
    <xdr:from>
      <xdr:col>1</xdr:col>
      <xdr:colOff>552450</xdr:colOff>
      <xdr:row>160</xdr:row>
      <xdr:rowOff>85725</xdr:rowOff>
    </xdr:from>
    <xdr:to>
      <xdr:col>11</xdr:col>
      <xdr:colOff>133350</xdr:colOff>
      <xdr:row>176</xdr:row>
      <xdr:rowOff>57150</xdr:rowOff>
    </xdr:to>
    <xdr:graphicFrame macro="">
      <xdr:nvGraphicFramePr>
        <xdr:cNvPr id="9" name="图表 8">
          <a:extLst>
            <a:ext uri="{FF2B5EF4-FFF2-40B4-BE49-F238E27FC236}">
              <a16:creationId xmlns:a16="http://schemas.microsoft.com/office/drawing/2014/main" id="{00000000-0008-0000-0E00-000009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85725</xdr:colOff>
          <xdr:row>186</xdr:row>
          <xdr:rowOff>104775</xdr:rowOff>
        </xdr:from>
        <xdr:to>
          <xdr:col>1</xdr:col>
          <xdr:colOff>238125</xdr:colOff>
          <xdr:row>188</xdr:row>
          <xdr:rowOff>57150</xdr:rowOff>
        </xdr:to>
        <xdr:sp macro="" textlink="">
          <xdr:nvSpPr>
            <xdr:cNvPr id="62491" name="Button 27" hidden="1">
              <a:extLst>
                <a:ext uri="{63B3BB69-23CF-44E3-9099-C40C66FF867C}">
                  <a14:compatExt spid="_x0000_s62491"/>
                </a:ext>
                <a:ext uri="{FF2B5EF4-FFF2-40B4-BE49-F238E27FC236}">
                  <a16:creationId xmlns:a16="http://schemas.microsoft.com/office/drawing/2014/main" id="{00000000-0008-0000-0E00-00001B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twoCellAnchor>
    </mc:Choice>
    <mc:Fallback/>
  </mc:AlternateContent>
  <xdr:twoCellAnchor editAs="oneCell">
    <xdr:from>
      <xdr:col>1</xdr:col>
      <xdr:colOff>390525</xdr:colOff>
      <xdr:row>186</xdr:row>
      <xdr:rowOff>66675</xdr:rowOff>
    </xdr:from>
    <xdr:to>
      <xdr:col>11</xdr:col>
      <xdr:colOff>28575</xdr:colOff>
      <xdr:row>203</xdr:row>
      <xdr:rowOff>66675</xdr:rowOff>
    </xdr:to>
    <xdr:graphicFrame macro="">
      <xdr:nvGraphicFramePr>
        <xdr:cNvPr id="13" name="图表 12">
          <a:extLst>
            <a:ext uri="{FF2B5EF4-FFF2-40B4-BE49-F238E27FC236}">
              <a16:creationId xmlns:a16="http://schemas.microsoft.com/office/drawing/2014/main" id="{00000000-0008-0000-0E00-00000D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104775</xdr:colOff>
          <xdr:row>213</xdr:row>
          <xdr:rowOff>76200</xdr:rowOff>
        </xdr:from>
        <xdr:to>
          <xdr:col>1</xdr:col>
          <xdr:colOff>295275</xdr:colOff>
          <xdr:row>215</xdr:row>
          <xdr:rowOff>19050</xdr:rowOff>
        </xdr:to>
        <xdr:sp macro="" textlink="">
          <xdr:nvSpPr>
            <xdr:cNvPr id="62492" name="Button 28" hidden="1">
              <a:extLst>
                <a:ext uri="{63B3BB69-23CF-44E3-9099-C40C66FF867C}">
                  <a14:compatExt spid="_x0000_s62492"/>
                </a:ext>
                <a:ext uri="{FF2B5EF4-FFF2-40B4-BE49-F238E27FC236}">
                  <a16:creationId xmlns:a16="http://schemas.microsoft.com/office/drawing/2014/main" id="{00000000-0008-0000-0E00-00001C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twoCellAnchor>
    </mc:Choice>
    <mc:Fallback/>
  </mc:AlternateContent>
  <xdr:twoCellAnchor editAs="oneCell">
    <xdr:from>
      <xdr:col>1</xdr:col>
      <xdr:colOff>361950</xdr:colOff>
      <xdr:row>213</xdr:row>
      <xdr:rowOff>57150</xdr:rowOff>
    </xdr:from>
    <xdr:to>
      <xdr:col>11</xdr:col>
      <xdr:colOff>0</xdr:colOff>
      <xdr:row>228</xdr:row>
      <xdr:rowOff>142875</xdr:rowOff>
    </xdr:to>
    <xdr:graphicFrame macro="">
      <xdr:nvGraphicFramePr>
        <xdr:cNvPr id="17" name="图表 16">
          <a:extLst>
            <a:ext uri="{FF2B5EF4-FFF2-40B4-BE49-F238E27FC236}">
              <a16:creationId xmlns:a16="http://schemas.microsoft.com/office/drawing/2014/main" id="{00000000-0008-0000-0E00-000011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200025</xdr:colOff>
          <xdr:row>239</xdr:row>
          <xdr:rowOff>85725</xdr:rowOff>
        </xdr:from>
        <xdr:to>
          <xdr:col>1</xdr:col>
          <xdr:colOff>342900</xdr:colOff>
          <xdr:row>241</xdr:row>
          <xdr:rowOff>19050</xdr:rowOff>
        </xdr:to>
        <xdr:sp macro="" textlink="">
          <xdr:nvSpPr>
            <xdr:cNvPr id="62493" name="Button 29" hidden="1">
              <a:extLst>
                <a:ext uri="{63B3BB69-23CF-44E3-9099-C40C66FF867C}">
                  <a14:compatExt spid="_x0000_s62493"/>
                </a:ext>
                <a:ext uri="{FF2B5EF4-FFF2-40B4-BE49-F238E27FC236}">
                  <a16:creationId xmlns:a16="http://schemas.microsoft.com/office/drawing/2014/main" id="{00000000-0008-0000-0E00-00001D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增加走查次数</a:t>
              </a:r>
            </a:p>
          </xdr:txBody>
        </xdr:sp>
        <xdr:clientData fPrintsWithSheet="0"/>
      </xdr:twoCellAnchor>
    </mc:Choice>
    <mc:Fallback/>
  </mc:AlternateContent>
  <xdr:twoCellAnchor editAs="oneCell">
    <xdr:from>
      <xdr:col>1</xdr:col>
      <xdr:colOff>438150</xdr:colOff>
      <xdr:row>239</xdr:row>
      <xdr:rowOff>57150</xdr:rowOff>
    </xdr:from>
    <xdr:to>
      <xdr:col>11</xdr:col>
      <xdr:colOff>76200</xdr:colOff>
      <xdr:row>255</xdr:row>
      <xdr:rowOff>142875</xdr:rowOff>
    </xdr:to>
    <xdr:graphicFrame macro="">
      <xdr:nvGraphicFramePr>
        <xdr:cNvPr id="20" name="图表 19">
          <a:extLst>
            <a:ext uri="{FF2B5EF4-FFF2-40B4-BE49-F238E27FC236}">
              <a16:creationId xmlns:a16="http://schemas.microsoft.com/office/drawing/2014/main" id="{00000000-0008-0000-0E00-00001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114300</xdr:colOff>
          <xdr:row>138</xdr:row>
          <xdr:rowOff>85725</xdr:rowOff>
        </xdr:from>
        <xdr:to>
          <xdr:col>1</xdr:col>
          <xdr:colOff>266700</xdr:colOff>
          <xdr:row>140</xdr:row>
          <xdr:rowOff>0</xdr:rowOff>
        </xdr:to>
        <xdr:sp macro="" textlink="">
          <xdr:nvSpPr>
            <xdr:cNvPr id="62494" name="Button 30" hidden="1">
              <a:extLst>
                <a:ext uri="{63B3BB69-23CF-44E3-9099-C40C66FF867C}">
                  <a14:compatExt spid="_x0000_s62494"/>
                </a:ext>
                <a:ext uri="{FF2B5EF4-FFF2-40B4-BE49-F238E27FC236}">
                  <a16:creationId xmlns:a16="http://schemas.microsoft.com/office/drawing/2014/main" id="{00000000-0008-0000-0E00-00001E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twoCellAnchor>
    </mc:Choice>
    <mc:Fallback/>
  </mc:AlternateContent>
  <xdr:twoCellAnchor>
    <xdr:from>
      <xdr:col>13</xdr:col>
      <xdr:colOff>0</xdr:colOff>
      <xdr:row>139</xdr:row>
      <xdr:rowOff>19050</xdr:rowOff>
    </xdr:from>
    <xdr:to>
      <xdr:col>16</xdr:col>
      <xdr:colOff>628650</xdr:colOff>
      <xdr:row>144</xdr:row>
      <xdr:rowOff>38100</xdr:rowOff>
    </xdr:to>
    <xdr:sp macro="" textlink="">
      <xdr:nvSpPr>
        <xdr:cNvPr id="22" name="文本框 21">
          <a:extLst>
            <a:ext uri="{FF2B5EF4-FFF2-40B4-BE49-F238E27FC236}">
              <a16:creationId xmlns:a16="http://schemas.microsoft.com/office/drawing/2014/main" id="{00000000-0008-0000-0E00-000016000000}"/>
            </a:ext>
          </a:extLst>
        </xdr:cNvPr>
        <xdr:cNvSpPr txBox="1">
          <a:spLocks noChangeAspect="1"/>
        </xdr:cNvSpPr>
      </xdr:nvSpPr>
      <xdr:spPr>
        <a:xfrm>
          <a:off x="9163050" y="24434165"/>
          <a:ext cx="2686050" cy="781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p>
      </xdr:txBody>
    </xdr:sp>
    <xdr:clientData/>
  </xdr:twoCellAnchor>
  <xdr:twoCellAnchor editAs="oneCell">
    <xdr:from>
      <xdr:col>11</xdr:col>
      <xdr:colOff>762000</xdr:colOff>
      <xdr:row>163</xdr:row>
      <xdr:rowOff>38100</xdr:rowOff>
    </xdr:from>
    <xdr:to>
      <xdr:col>15</xdr:col>
      <xdr:colOff>438150</xdr:colOff>
      <xdr:row>169</xdr:row>
      <xdr:rowOff>0</xdr:rowOff>
    </xdr:to>
    <xdr:sp macro="" textlink="">
      <xdr:nvSpPr>
        <xdr:cNvPr id="23" name="文本框 22">
          <a:extLst>
            <a:ext uri="{FF2B5EF4-FFF2-40B4-BE49-F238E27FC236}">
              <a16:creationId xmlns:a16="http://schemas.microsoft.com/office/drawing/2014/main" id="{00000000-0008-0000-0E00-000017000000}"/>
            </a:ext>
          </a:extLst>
        </xdr:cNvPr>
        <xdr:cNvSpPr txBox="1">
          <a:spLocks noChangeAspect="1"/>
        </xdr:cNvSpPr>
      </xdr:nvSpPr>
      <xdr:spPr>
        <a:xfrm>
          <a:off x="8286750" y="28577540"/>
          <a:ext cx="2686050" cy="952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latin typeface="+mn-ea"/>
              <a:ea typeface="+mn-ea"/>
            </a:rPr>
            <a:t>请勿对“第</a:t>
          </a:r>
          <a:r>
            <a:rPr lang="en-US" altLang="zh-CN" sz="800">
              <a:solidFill>
                <a:srgbClr val="FF0000"/>
              </a:solidFill>
              <a:latin typeface="+mn-ea"/>
              <a:ea typeface="+mn-ea"/>
            </a:rPr>
            <a:t>N</a:t>
          </a:r>
          <a:r>
            <a:rPr lang="zh-CN" altLang="en-US" sz="800">
              <a:solidFill>
                <a:srgbClr val="FF0000"/>
              </a:solidFill>
              <a:latin typeface="+mn-ea"/>
              <a:ea typeface="+mn-ea"/>
            </a:rPr>
            <a:t>次评审”行进行删除或者填写，以免造成不必要的错误</a:t>
          </a:r>
        </a:p>
      </xdr:txBody>
    </xdr:sp>
    <xdr:clientData/>
  </xdr:twoCellAnchor>
  <mc:AlternateContent xmlns:mc="http://schemas.openxmlformats.org/markup-compatibility/2006">
    <mc:Choice xmlns:a14="http://schemas.microsoft.com/office/drawing/2010/main" Requires="a14">
      <xdr:twoCellAnchor editAs="oneCell">
        <xdr:from>
          <xdr:col>0</xdr:col>
          <xdr:colOff>85725</xdr:colOff>
          <xdr:row>163</xdr:row>
          <xdr:rowOff>76200</xdr:rowOff>
        </xdr:from>
        <xdr:to>
          <xdr:col>1</xdr:col>
          <xdr:colOff>247650</xdr:colOff>
          <xdr:row>165</xdr:row>
          <xdr:rowOff>28575</xdr:rowOff>
        </xdr:to>
        <xdr:sp macro="" textlink="">
          <xdr:nvSpPr>
            <xdr:cNvPr id="62495" name="Button 31" hidden="1">
              <a:extLst>
                <a:ext uri="{63B3BB69-23CF-44E3-9099-C40C66FF867C}">
                  <a14:compatExt spid="_x0000_s62495"/>
                </a:ext>
                <a:ext uri="{FF2B5EF4-FFF2-40B4-BE49-F238E27FC236}">
                  <a16:creationId xmlns:a16="http://schemas.microsoft.com/office/drawing/2014/main" id="{00000000-0008-0000-0E00-00001F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twoCellAnchor>
    </mc:Choice>
    <mc:Fallback/>
  </mc:AlternateContent>
  <xdr:twoCellAnchor editAs="oneCell">
    <xdr:from>
      <xdr:col>11</xdr:col>
      <xdr:colOff>657225</xdr:colOff>
      <xdr:row>191</xdr:row>
      <xdr:rowOff>76200</xdr:rowOff>
    </xdr:from>
    <xdr:to>
      <xdr:col>15</xdr:col>
      <xdr:colOff>333375</xdr:colOff>
      <xdr:row>197</xdr:row>
      <xdr:rowOff>95250</xdr:rowOff>
    </xdr:to>
    <xdr:sp macro="" textlink="">
      <xdr:nvSpPr>
        <xdr:cNvPr id="25" name="文本框 24">
          <a:extLst>
            <a:ext uri="{FF2B5EF4-FFF2-40B4-BE49-F238E27FC236}">
              <a16:creationId xmlns:a16="http://schemas.microsoft.com/office/drawing/2014/main" id="{00000000-0008-0000-0E00-000019000000}"/>
            </a:ext>
          </a:extLst>
        </xdr:cNvPr>
        <xdr:cNvSpPr txBox="1">
          <a:spLocks noChangeAspect="1"/>
        </xdr:cNvSpPr>
      </xdr:nvSpPr>
      <xdr:spPr>
        <a:xfrm>
          <a:off x="8181975" y="33359090"/>
          <a:ext cx="2686050" cy="933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p>
      </xdr:txBody>
    </xdr:sp>
    <xdr:clientData/>
  </xdr:twoCellAnchor>
  <mc:AlternateContent xmlns:mc="http://schemas.openxmlformats.org/markup-compatibility/2006">
    <mc:Choice xmlns:a14="http://schemas.microsoft.com/office/drawing/2010/main" Requires="a14">
      <xdr:twoCellAnchor editAs="oneCell">
        <xdr:from>
          <xdr:col>0</xdr:col>
          <xdr:colOff>85725</xdr:colOff>
          <xdr:row>188</xdr:row>
          <xdr:rowOff>114300</xdr:rowOff>
        </xdr:from>
        <xdr:to>
          <xdr:col>1</xdr:col>
          <xdr:colOff>247650</xdr:colOff>
          <xdr:row>190</xdr:row>
          <xdr:rowOff>66675</xdr:rowOff>
        </xdr:to>
        <xdr:sp macro="" textlink="">
          <xdr:nvSpPr>
            <xdr:cNvPr id="62496" name="Button 32" hidden="1">
              <a:extLst>
                <a:ext uri="{63B3BB69-23CF-44E3-9099-C40C66FF867C}">
                  <a14:compatExt spid="_x0000_s62496"/>
                </a:ext>
                <a:ext uri="{FF2B5EF4-FFF2-40B4-BE49-F238E27FC236}">
                  <a16:creationId xmlns:a16="http://schemas.microsoft.com/office/drawing/2014/main" id="{00000000-0008-0000-0E00-000020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twoCellAnchor>
    </mc:Choice>
    <mc:Fallback/>
  </mc:AlternateContent>
  <xdr:twoCellAnchor editAs="oneCell">
    <xdr:from>
      <xdr:col>11</xdr:col>
      <xdr:colOff>638175</xdr:colOff>
      <xdr:row>217</xdr:row>
      <xdr:rowOff>28574</xdr:rowOff>
    </xdr:from>
    <xdr:to>
      <xdr:col>15</xdr:col>
      <xdr:colOff>314325</xdr:colOff>
      <xdr:row>223</xdr:row>
      <xdr:rowOff>95249</xdr:rowOff>
    </xdr:to>
    <xdr:sp macro="" textlink="">
      <xdr:nvSpPr>
        <xdr:cNvPr id="27" name="文本框 26">
          <a:extLst>
            <a:ext uri="{FF2B5EF4-FFF2-40B4-BE49-F238E27FC236}">
              <a16:creationId xmlns:a16="http://schemas.microsoft.com/office/drawing/2014/main" id="{00000000-0008-0000-0E00-00001B000000}"/>
            </a:ext>
          </a:extLst>
        </xdr:cNvPr>
        <xdr:cNvSpPr txBox="1">
          <a:spLocks noChangeAspect="1"/>
        </xdr:cNvSpPr>
      </xdr:nvSpPr>
      <xdr:spPr>
        <a:xfrm>
          <a:off x="8162925" y="37704395"/>
          <a:ext cx="2686050" cy="981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p>
      </xdr:txBody>
    </xdr:sp>
    <xdr:clientData/>
  </xdr:twoCellAnchor>
  <mc:AlternateContent xmlns:mc="http://schemas.openxmlformats.org/markup-compatibility/2006">
    <mc:Choice xmlns:a14="http://schemas.microsoft.com/office/drawing/2010/main" Requires="a14">
      <xdr:twoCellAnchor editAs="oneCell">
        <xdr:from>
          <xdr:col>0</xdr:col>
          <xdr:colOff>114300</xdr:colOff>
          <xdr:row>215</xdr:row>
          <xdr:rowOff>142875</xdr:rowOff>
        </xdr:from>
        <xdr:to>
          <xdr:col>1</xdr:col>
          <xdr:colOff>276225</xdr:colOff>
          <xdr:row>217</xdr:row>
          <xdr:rowOff>95250</xdr:rowOff>
        </xdr:to>
        <xdr:sp macro="" textlink="">
          <xdr:nvSpPr>
            <xdr:cNvPr id="62497" name="Button 33" hidden="1">
              <a:extLst>
                <a:ext uri="{63B3BB69-23CF-44E3-9099-C40C66FF867C}">
                  <a14:compatExt spid="_x0000_s62497"/>
                </a:ext>
                <a:ext uri="{FF2B5EF4-FFF2-40B4-BE49-F238E27FC236}">
                  <a16:creationId xmlns:a16="http://schemas.microsoft.com/office/drawing/2014/main" id="{00000000-0008-0000-0E00-000021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180975</xdr:colOff>
          <xdr:row>241</xdr:row>
          <xdr:rowOff>104775</xdr:rowOff>
        </xdr:from>
        <xdr:to>
          <xdr:col>1</xdr:col>
          <xdr:colOff>342900</xdr:colOff>
          <xdr:row>243</xdr:row>
          <xdr:rowOff>57150</xdr:rowOff>
        </xdr:to>
        <xdr:sp macro="" textlink="">
          <xdr:nvSpPr>
            <xdr:cNvPr id="62498" name="Button 34" hidden="1">
              <a:extLst>
                <a:ext uri="{63B3BB69-23CF-44E3-9099-C40C66FF867C}">
                  <a14:compatExt spid="_x0000_s62498"/>
                </a:ext>
                <a:ext uri="{FF2B5EF4-FFF2-40B4-BE49-F238E27FC236}">
                  <a16:creationId xmlns:a16="http://schemas.microsoft.com/office/drawing/2014/main" id="{00000000-0008-0000-0E00-000022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删除走查次数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268</xdr:row>
          <xdr:rowOff>104775</xdr:rowOff>
        </xdr:from>
        <xdr:to>
          <xdr:col>1</xdr:col>
          <xdr:colOff>266700</xdr:colOff>
          <xdr:row>270</xdr:row>
          <xdr:rowOff>19050</xdr:rowOff>
        </xdr:to>
        <xdr:sp macro="" textlink="">
          <xdr:nvSpPr>
            <xdr:cNvPr id="62507" name="Button 43" hidden="1">
              <a:extLst>
                <a:ext uri="{63B3BB69-23CF-44E3-9099-C40C66FF867C}">
                  <a14:compatExt spid="_x0000_s62507"/>
                </a:ext>
                <a:ext uri="{FF2B5EF4-FFF2-40B4-BE49-F238E27FC236}">
                  <a16:creationId xmlns:a16="http://schemas.microsoft.com/office/drawing/2014/main" id="{00000000-0008-0000-0E00-00002B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twoCellAnchor>
    </mc:Choice>
    <mc:Fallback/>
  </mc:AlternateContent>
  <xdr:twoCellAnchor editAs="oneCell">
    <xdr:from>
      <xdr:col>1</xdr:col>
      <xdr:colOff>619125</xdr:colOff>
      <xdr:row>268</xdr:row>
      <xdr:rowOff>95250</xdr:rowOff>
    </xdr:from>
    <xdr:to>
      <xdr:col>11</xdr:col>
      <xdr:colOff>142875</xdr:colOff>
      <xdr:row>282</xdr:row>
      <xdr:rowOff>123825</xdr:rowOff>
    </xdr:to>
    <xdr:graphicFrame macro="">
      <xdr:nvGraphicFramePr>
        <xdr:cNvPr id="8" name="图表 7">
          <a:extLst>
            <a:ext uri="{FF2B5EF4-FFF2-40B4-BE49-F238E27FC236}">
              <a16:creationId xmlns:a16="http://schemas.microsoft.com/office/drawing/2014/main" id="{00000000-0008-0000-0E00-000008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95250</xdr:colOff>
          <xdr:row>293</xdr:row>
          <xdr:rowOff>47625</xdr:rowOff>
        </xdr:from>
        <xdr:to>
          <xdr:col>1</xdr:col>
          <xdr:colOff>257175</xdr:colOff>
          <xdr:row>294</xdr:row>
          <xdr:rowOff>142875</xdr:rowOff>
        </xdr:to>
        <xdr:sp macro="" textlink="">
          <xdr:nvSpPr>
            <xdr:cNvPr id="62508" name="Button 44" hidden="1">
              <a:extLst>
                <a:ext uri="{63B3BB69-23CF-44E3-9099-C40C66FF867C}">
                  <a14:compatExt spid="_x0000_s62508"/>
                </a:ext>
                <a:ext uri="{FF2B5EF4-FFF2-40B4-BE49-F238E27FC236}">
                  <a16:creationId xmlns:a16="http://schemas.microsoft.com/office/drawing/2014/main" id="{00000000-0008-0000-0E00-00002C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twoCellAnchor>
    </mc:Choice>
    <mc:Fallback/>
  </mc:AlternateContent>
  <xdr:twoCellAnchor editAs="oneCell">
    <xdr:from>
      <xdr:col>1</xdr:col>
      <xdr:colOff>552450</xdr:colOff>
      <xdr:row>292</xdr:row>
      <xdr:rowOff>85725</xdr:rowOff>
    </xdr:from>
    <xdr:to>
      <xdr:col>11</xdr:col>
      <xdr:colOff>133350</xdr:colOff>
      <xdr:row>308</xdr:row>
      <xdr:rowOff>57150</xdr:rowOff>
    </xdr:to>
    <xdr:graphicFrame macro="">
      <xdr:nvGraphicFramePr>
        <xdr:cNvPr id="14" name="图表 13">
          <a:extLst>
            <a:ext uri="{FF2B5EF4-FFF2-40B4-BE49-F238E27FC236}">
              <a16:creationId xmlns:a16="http://schemas.microsoft.com/office/drawing/2014/main" id="{00000000-0008-0000-0E00-00000E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85725</xdr:colOff>
          <xdr:row>318</xdr:row>
          <xdr:rowOff>104775</xdr:rowOff>
        </xdr:from>
        <xdr:to>
          <xdr:col>1</xdr:col>
          <xdr:colOff>238125</xdr:colOff>
          <xdr:row>320</xdr:row>
          <xdr:rowOff>57150</xdr:rowOff>
        </xdr:to>
        <xdr:sp macro="" textlink="">
          <xdr:nvSpPr>
            <xdr:cNvPr id="62509" name="Button 45" hidden="1">
              <a:extLst>
                <a:ext uri="{63B3BB69-23CF-44E3-9099-C40C66FF867C}">
                  <a14:compatExt spid="_x0000_s62509"/>
                </a:ext>
                <a:ext uri="{FF2B5EF4-FFF2-40B4-BE49-F238E27FC236}">
                  <a16:creationId xmlns:a16="http://schemas.microsoft.com/office/drawing/2014/main" id="{00000000-0008-0000-0E00-00002D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twoCellAnchor>
    </mc:Choice>
    <mc:Fallback/>
  </mc:AlternateContent>
  <xdr:twoCellAnchor editAs="oneCell">
    <xdr:from>
      <xdr:col>1</xdr:col>
      <xdr:colOff>390525</xdr:colOff>
      <xdr:row>318</xdr:row>
      <xdr:rowOff>66675</xdr:rowOff>
    </xdr:from>
    <xdr:to>
      <xdr:col>11</xdr:col>
      <xdr:colOff>28575</xdr:colOff>
      <xdr:row>335</xdr:row>
      <xdr:rowOff>66675</xdr:rowOff>
    </xdr:to>
    <xdr:graphicFrame macro="">
      <xdr:nvGraphicFramePr>
        <xdr:cNvPr id="21" name="图表 20">
          <a:extLst>
            <a:ext uri="{FF2B5EF4-FFF2-40B4-BE49-F238E27FC236}">
              <a16:creationId xmlns:a16="http://schemas.microsoft.com/office/drawing/2014/main" id="{00000000-0008-0000-0E00-00001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104775</xdr:colOff>
          <xdr:row>345</xdr:row>
          <xdr:rowOff>76200</xdr:rowOff>
        </xdr:from>
        <xdr:to>
          <xdr:col>1</xdr:col>
          <xdr:colOff>295275</xdr:colOff>
          <xdr:row>347</xdr:row>
          <xdr:rowOff>19050</xdr:rowOff>
        </xdr:to>
        <xdr:sp macro="" textlink="">
          <xdr:nvSpPr>
            <xdr:cNvPr id="62510" name="Button 46" hidden="1">
              <a:extLst>
                <a:ext uri="{63B3BB69-23CF-44E3-9099-C40C66FF867C}">
                  <a14:compatExt spid="_x0000_s62510"/>
                </a:ext>
                <a:ext uri="{FF2B5EF4-FFF2-40B4-BE49-F238E27FC236}">
                  <a16:creationId xmlns:a16="http://schemas.microsoft.com/office/drawing/2014/main" id="{00000000-0008-0000-0E00-00002E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twoCellAnchor>
    </mc:Choice>
    <mc:Fallback/>
  </mc:AlternateContent>
  <xdr:twoCellAnchor editAs="oneCell">
    <xdr:from>
      <xdr:col>1</xdr:col>
      <xdr:colOff>361950</xdr:colOff>
      <xdr:row>345</xdr:row>
      <xdr:rowOff>57150</xdr:rowOff>
    </xdr:from>
    <xdr:to>
      <xdr:col>11</xdr:col>
      <xdr:colOff>0</xdr:colOff>
      <xdr:row>360</xdr:row>
      <xdr:rowOff>142875</xdr:rowOff>
    </xdr:to>
    <xdr:graphicFrame macro="">
      <xdr:nvGraphicFramePr>
        <xdr:cNvPr id="26" name="图表 25">
          <a:extLst>
            <a:ext uri="{FF2B5EF4-FFF2-40B4-BE49-F238E27FC236}">
              <a16:creationId xmlns:a16="http://schemas.microsoft.com/office/drawing/2014/main" id="{00000000-0008-0000-0E00-00001A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200025</xdr:colOff>
          <xdr:row>371</xdr:row>
          <xdr:rowOff>85725</xdr:rowOff>
        </xdr:from>
        <xdr:to>
          <xdr:col>1</xdr:col>
          <xdr:colOff>342900</xdr:colOff>
          <xdr:row>373</xdr:row>
          <xdr:rowOff>19050</xdr:rowOff>
        </xdr:to>
        <xdr:sp macro="" textlink="">
          <xdr:nvSpPr>
            <xdr:cNvPr id="62511" name="Button 47" hidden="1">
              <a:extLst>
                <a:ext uri="{63B3BB69-23CF-44E3-9099-C40C66FF867C}">
                  <a14:compatExt spid="_x0000_s62511"/>
                </a:ext>
                <a:ext uri="{FF2B5EF4-FFF2-40B4-BE49-F238E27FC236}">
                  <a16:creationId xmlns:a16="http://schemas.microsoft.com/office/drawing/2014/main" id="{00000000-0008-0000-0E00-00002F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增加走查次数</a:t>
              </a:r>
            </a:p>
          </xdr:txBody>
        </xdr:sp>
        <xdr:clientData fPrintsWithSheet="0"/>
      </xdr:twoCellAnchor>
    </mc:Choice>
    <mc:Fallback/>
  </mc:AlternateContent>
  <xdr:twoCellAnchor editAs="oneCell">
    <xdr:from>
      <xdr:col>1</xdr:col>
      <xdr:colOff>438150</xdr:colOff>
      <xdr:row>371</xdr:row>
      <xdr:rowOff>57150</xdr:rowOff>
    </xdr:from>
    <xdr:to>
      <xdr:col>11</xdr:col>
      <xdr:colOff>76200</xdr:colOff>
      <xdr:row>387</xdr:row>
      <xdr:rowOff>142875</xdr:rowOff>
    </xdr:to>
    <xdr:graphicFrame macro="">
      <xdr:nvGraphicFramePr>
        <xdr:cNvPr id="29" name="图表 28">
          <a:extLst>
            <a:ext uri="{FF2B5EF4-FFF2-40B4-BE49-F238E27FC236}">
              <a16:creationId xmlns:a16="http://schemas.microsoft.com/office/drawing/2014/main" id="{00000000-0008-0000-0E00-00001D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114300</xdr:colOff>
          <xdr:row>270</xdr:row>
          <xdr:rowOff>85725</xdr:rowOff>
        </xdr:from>
        <xdr:to>
          <xdr:col>1</xdr:col>
          <xdr:colOff>266700</xdr:colOff>
          <xdr:row>272</xdr:row>
          <xdr:rowOff>0</xdr:rowOff>
        </xdr:to>
        <xdr:sp macro="" textlink="">
          <xdr:nvSpPr>
            <xdr:cNvPr id="62512" name="Button 48" hidden="1">
              <a:extLst>
                <a:ext uri="{63B3BB69-23CF-44E3-9099-C40C66FF867C}">
                  <a14:compatExt spid="_x0000_s62512"/>
                </a:ext>
                <a:ext uri="{FF2B5EF4-FFF2-40B4-BE49-F238E27FC236}">
                  <a16:creationId xmlns:a16="http://schemas.microsoft.com/office/drawing/2014/main" id="{00000000-0008-0000-0E00-000030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twoCellAnchor>
    </mc:Choice>
    <mc:Fallback/>
  </mc:AlternateContent>
  <xdr:twoCellAnchor>
    <xdr:from>
      <xdr:col>13</xdr:col>
      <xdr:colOff>0</xdr:colOff>
      <xdr:row>271</xdr:row>
      <xdr:rowOff>19050</xdr:rowOff>
    </xdr:from>
    <xdr:to>
      <xdr:col>16</xdr:col>
      <xdr:colOff>628650</xdr:colOff>
      <xdr:row>276</xdr:row>
      <xdr:rowOff>38100</xdr:rowOff>
    </xdr:to>
    <xdr:sp macro="" textlink="">
      <xdr:nvSpPr>
        <xdr:cNvPr id="31" name="文本框 30">
          <a:extLst>
            <a:ext uri="{FF2B5EF4-FFF2-40B4-BE49-F238E27FC236}">
              <a16:creationId xmlns:a16="http://schemas.microsoft.com/office/drawing/2014/main" id="{00000000-0008-0000-0E00-00001F000000}"/>
            </a:ext>
          </a:extLst>
        </xdr:cNvPr>
        <xdr:cNvSpPr txBox="1">
          <a:spLocks noChangeAspect="1"/>
        </xdr:cNvSpPr>
      </xdr:nvSpPr>
      <xdr:spPr>
        <a:xfrm>
          <a:off x="9163050" y="46982380"/>
          <a:ext cx="2686050" cy="781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p>
      </xdr:txBody>
    </xdr:sp>
    <xdr:clientData/>
  </xdr:twoCellAnchor>
  <xdr:twoCellAnchor editAs="oneCell">
    <xdr:from>
      <xdr:col>11</xdr:col>
      <xdr:colOff>762000</xdr:colOff>
      <xdr:row>295</xdr:row>
      <xdr:rowOff>38100</xdr:rowOff>
    </xdr:from>
    <xdr:to>
      <xdr:col>15</xdr:col>
      <xdr:colOff>438150</xdr:colOff>
      <xdr:row>301</xdr:row>
      <xdr:rowOff>0</xdr:rowOff>
    </xdr:to>
    <xdr:sp macro="" textlink="">
      <xdr:nvSpPr>
        <xdr:cNvPr id="32" name="文本框 31">
          <a:extLst>
            <a:ext uri="{FF2B5EF4-FFF2-40B4-BE49-F238E27FC236}">
              <a16:creationId xmlns:a16="http://schemas.microsoft.com/office/drawing/2014/main" id="{00000000-0008-0000-0E00-000020000000}"/>
            </a:ext>
          </a:extLst>
        </xdr:cNvPr>
        <xdr:cNvSpPr txBox="1">
          <a:spLocks noChangeAspect="1"/>
        </xdr:cNvSpPr>
      </xdr:nvSpPr>
      <xdr:spPr>
        <a:xfrm>
          <a:off x="8286750" y="51125755"/>
          <a:ext cx="2686050" cy="952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latin typeface="+mn-ea"/>
              <a:ea typeface="+mn-ea"/>
            </a:rPr>
            <a:t>请勿对“第</a:t>
          </a:r>
          <a:r>
            <a:rPr lang="en-US" altLang="zh-CN" sz="800">
              <a:solidFill>
                <a:srgbClr val="FF0000"/>
              </a:solidFill>
              <a:latin typeface="+mn-ea"/>
              <a:ea typeface="+mn-ea"/>
            </a:rPr>
            <a:t>N</a:t>
          </a:r>
          <a:r>
            <a:rPr lang="zh-CN" altLang="en-US" sz="800">
              <a:solidFill>
                <a:srgbClr val="FF0000"/>
              </a:solidFill>
              <a:latin typeface="+mn-ea"/>
              <a:ea typeface="+mn-ea"/>
            </a:rPr>
            <a:t>次评审”行进行删除或者填写，以免造成不必要的错误</a:t>
          </a:r>
        </a:p>
      </xdr:txBody>
    </xdr:sp>
    <xdr:clientData/>
  </xdr:twoCellAnchor>
  <mc:AlternateContent xmlns:mc="http://schemas.openxmlformats.org/markup-compatibility/2006">
    <mc:Choice xmlns:a14="http://schemas.microsoft.com/office/drawing/2010/main" Requires="a14">
      <xdr:twoCellAnchor editAs="oneCell">
        <xdr:from>
          <xdr:col>0</xdr:col>
          <xdr:colOff>85725</xdr:colOff>
          <xdr:row>295</xdr:row>
          <xdr:rowOff>76200</xdr:rowOff>
        </xdr:from>
        <xdr:to>
          <xdr:col>1</xdr:col>
          <xdr:colOff>247650</xdr:colOff>
          <xdr:row>297</xdr:row>
          <xdr:rowOff>28575</xdr:rowOff>
        </xdr:to>
        <xdr:sp macro="" textlink="">
          <xdr:nvSpPr>
            <xdr:cNvPr id="62513" name="Button 49" hidden="1">
              <a:extLst>
                <a:ext uri="{63B3BB69-23CF-44E3-9099-C40C66FF867C}">
                  <a14:compatExt spid="_x0000_s62513"/>
                </a:ext>
                <a:ext uri="{FF2B5EF4-FFF2-40B4-BE49-F238E27FC236}">
                  <a16:creationId xmlns:a16="http://schemas.microsoft.com/office/drawing/2014/main" id="{00000000-0008-0000-0E00-000031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twoCellAnchor>
    </mc:Choice>
    <mc:Fallback/>
  </mc:AlternateContent>
  <xdr:twoCellAnchor editAs="oneCell">
    <xdr:from>
      <xdr:col>11</xdr:col>
      <xdr:colOff>657225</xdr:colOff>
      <xdr:row>323</xdr:row>
      <xdr:rowOff>76200</xdr:rowOff>
    </xdr:from>
    <xdr:to>
      <xdr:col>15</xdr:col>
      <xdr:colOff>333375</xdr:colOff>
      <xdr:row>329</xdr:row>
      <xdr:rowOff>95250</xdr:rowOff>
    </xdr:to>
    <xdr:sp macro="" textlink="">
      <xdr:nvSpPr>
        <xdr:cNvPr id="34" name="文本框 33">
          <a:extLst>
            <a:ext uri="{FF2B5EF4-FFF2-40B4-BE49-F238E27FC236}">
              <a16:creationId xmlns:a16="http://schemas.microsoft.com/office/drawing/2014/main" id="{00000000-0008-0000-0E00-000022000000}"/>
            </a:ext>
          </a:extLst>
        </xdr:cNvPr>
        <xdr:cNvSpPr txBox="1">
          <a:spLocks noChangeAspect="1"/>
        </xdr:cNvSpPr>
      </xdr:nvSpPr>
      <xdr:spPr>
        <a:xfrm>
          <a:off x="8181975" y="55907305"/>
          <a:ext cx="2686050" cy="933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p>
      </xdr:txBody>
    </xdr:sp>
    <xdr:clientData/>
  </xdr:twoCellAnchor>
  <mc:AlternateContent xmlns:mc="http://schemas.openxmlformats.org/markup-compatibility/2006">
    <mc:Choice xmlns:a14="http://schemas.microsoft.com/office/drawing/2010/main" Requires="a14">
      <xdr:twoCellAnchor editAs="oneCell">
        <xdr:from>
          <xdr:col>0</xdr:col>
          <xdr:colOff>85725</xdr:colOff>
          <xdr:row>320</xdr:row>
          <xdr:rowOff>114300</xdr:rowOff>
        </xdr:from>
        <xdr:to>
          <xdr:col>1</xdr:col>
          <xdr:colOff>247650</xdr:colOff>
          <xdr:row>322</xdr:row>
          <xdr:rowOff>66675</xdr:rowOff>
        </xdr:to>
        <xdr:sp macro="" textlink="">
          <xdr:nvSpPr>
            <xdr:cNvPr id="62514" name="Button 50" hidden="1">
              <a:extLst>
                <a:ext uri="{63B3BB69-23CF-44E3-9099-C40C66FF867C}">
                  <a14:compatExt spid="_x0000_s62514"/>
                </a:ext>
                <a:ext uri="{FF2B5EF4-FFF2-40B4-BE49-F238E27FC236}">
                  <a16:creationId xmlns:a16="http://schemas.microsoft.com/office/drawing/2014/main" id="{00000000-0008-0000-0E00-000032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twoCellAnchor>
    </mc:Choice>
    <mc:Fallback/>
  </mc:AlternateContent>
  <xdr:twoCellAnchor editAs="oneCell">
    <xdr:from>
      <xdr:col>11</xdr:col>
      <xdr:colOff>638175</xdr:colOff>
      <xdr:row>349</xdr:row>
      <xdr:rowOff>28574</xdr:rowOff>
    </xdr:from>
    <xdr:to>
      <xdr:col>15</xdr:col>
      <xdr:colOff>314325</xdr:colOff>
      <xdr:row>355</xdr:row>
      <xdr:rowOff>95249</xdr:rowOff>
    </xdr:to>
    <xdr:sp macro="" textlink="">
      <xdr:nvSpPr>
        <xdr:cNvPr id="36" name="文本框 35">
          <a:extLst>
            <a:ext uri="{FF2B5EF4-FFF2-40B4-BE49-F238E27FC236}">
              <a16:creationId xmlns:a16="http://schemas.microsoft.com/office/drawing/2014/main" id="{00000000-0008-0000-0E00-000024000000}"/>
            </a:ext>
          </a:extLst>
        </xdr:cNvPr>
        <xdr:cNvSpPr txBox="1">
          <a:spLocks noChangeAspect="1"/>
        </xdr:cNvSpPr>
      </xdr:nvSpPr>
      <xdr:spPr>
        <a:xfrm>
          <a:off x="8162925" y="60252610"/>
          <a:ext cx="2686050" cy="981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p>
      </xdr:txBody>
    </xdr:sp>
    <xdr:clientData/>
  </xdr:twoCellAnchor>
  <mc:AlternateContent xmlns:mc="http://schemas.openxmlformats.org/markup-compatibility/2006">
    <mc:Choice xmlns:a14="http://schemas.microsoft.com/office/drawing/2010/main" Requires="a14">
      <xdr:twoCellAnchor editAs="oneCell">
        <xdr:from>
          <xdr:col>0</xdr:col>
          <xdr:colOff>114300</xdr:colOff>
          <xdr:row>347</xdr:row>
          <xdr:rowOff>142875</xdr:rowOff>
        </xdr:from>
        <xdr:to>
          <xdr:col>1</xdr:col>
          <xdr:colOff>276225</xdr:colOff>
          <xdr:row>349</xdr:row>
          <xdr:rowOff>95250</xdr:rowOff>
        </xdr:to>
        <xdr:sp macro="" textlink="">
          <xdr:nvSpPr>
            <xdr:cNvPr id="62515" name="Button 51" hidden="1">
              <a:extLst>
                <a:ext uri="{63B3BB69-23CF-44E3-9099-C40C66FF867C}">
                  <a14:compatExt spid="_x0000_s62515"/>
                </a:ext>
                <a:ext uri="{FF2B5EF4-FFF2-40B4-BE49-F238E27FC236}">
                  <a16:creationId xmlns:a16="http://schemas.microsoft.com/office/drawing/2014/main" id="{00000000-0008-0000-0E00-000033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180975</xdr:colOff>
          <xdr:row>373</xdr:row>
          <xdr:rowOff>104775</xdr:rowOff>
        </xdr:from>
        <xdr:to>
          <xdr:col>1</xdr:col>
          <xdr:colOff>342900</xdr:colOff>
          <xdr:row>375</xdr:row>
          <xdr:rowOff>57150</xdr:rowOff>
        </xdr:to>
        <xdr:sp macro="" textlink="">
          <xdr:nvSpPr>
            <xdr:cNvPr id="62516" name="Button 52" hidden="1">
              <a:extLst>
                <a:ext uri="{63B3BB69-23CF-44E3-9099-C40C66FF867C}">
                  <a14:compatExt spid="_x0000_s62516"/>
                </a:ext>
                <a:ext uri="{FF2B5EF4-FFF2-40B4-BE49-F238E27FC236}">
                  <a16:creationId xmlns:a16="http://schemas.microsoft.com/office/drawing/2014/main" id="{00000000-0008-0000-0E00-000034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删除走查次数</a:t>
              </a:r>
            </a:p>
          </xdr:txBody>
        </xdr:sp>
        <xdr:clientData fPrintsWithSheet="0"/>
      </xdr:twoCellAnchor>
    </mc:Choice>
    <mc:Fallback/>
  </mc:AlternateContent>
  <xdr:oneCellAnchor>
    <xdr:from>
      <xdr:col>1</xdr:col>
      <xdr:colOff>0</xdr:colOff>
      <xdr:row>400</xdr:row>
      <xdr:rowOff>0</xdr:rowOff>
    </xdr:from>
    <xdr:ext cx="6410325" cy="2524125"/>
    <xdr:graphicFrame macro="">
      <xdr:nvGraphicFramePr>
        <xdr:cNvPr id="59" name="图表 58">
          <a:extLst>
            <a:ext uri="{FF2B5EF4-FFF2-40B4-BE49-F238E27FC236}">
              <a16:creationId xmlns:a16="http://schemas.microsoft.com/office/drawing/2014/main" id="{00000000-0008-0000-0E00-00003B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85725</xdr:colOff>
          <xdr:row>20</xdr:row>
          <xdr:rowOff>28575</xdr:rowOff>
        </xdr:from>
        <xdr:to>
          <xdr:col>1</xdr:col>
          <xdr:colOff>66675</xdr:colOff>
          <xdr:row>21</xdr:row>
          <xdr:rowOff>133350</xdr:rowOff>
        </xdr:to>
        <xdr:sp macro="" textlink="">
          <xdr:nvSpPr>
            <xdr:cNvPr id="63492" name="Button 4" hidden="1">
              <a:extLst>
                <a:ext uri="{63B3BB69-23CF-44E3-9099-C40C66FF867C}">
                  <a14:compatExt spid="_x0000_s63492"/>
                </a:ext>
                <a:ext uri="{FF2B5EF4-FFF2-40B4-BE49-F238E27FC236}">
                  <a16:creationId xmlns:a16="http://schemas.microsoft.com/office/drawing/2014/main" id="{00000000-0008-0000-0F00-000004F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删除测试轮次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18</xdr:row>
          <xdr:rowOff>28575</xdr:rowOff>
        </xdr:from>
        <xdr:to>
          <xdr:col>1</xdr:col>
          <xdr:colOff>76200</xdr:colOff>
          <xdr:row>19</xdr:row>
          <xdr:rowOff>47625</xdr:rowOff>
        </xdr:to>
        <xdr:sp macro="" textlink="">
          <xdr:nvSpPr>
            <xdr:cNvPr id="63491" name="Button 3" hidden="1">
              <a:extLst>
                <a:ext uri="{63B3BB69-23CF-44E3-9099-C40C66FF867C}">
                  <a14:compatExt spid="_x0000_s63491"/>
                </a:ext>
                <a:ext uri="{FF2B5EF4-FFF2-40B4-BE49-F238E27FC236}">
                  <a16:creationId xmlns:a16="http://schemas.microsoft.com/office/drawing/2014/main" id="{00000000-0008-0000-0F00-000003F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增加测试轮次</a:t>
              </a:r>
            </a:p>
          </xdr:txBody>
        </xdr:sp>
        <xdr:clientData fPrintsWithSheet="0"/>
      </xdr:twoCellAnchor>
    </mc:Choice>
    <mc:Fallback/>
  </mc:AlternateContent>
  <xdr:twoCellAnchor>
    <xdr:from>
      <xdr:col>5</xdr:col>
      <xdr:colOff>742950</xdr:colOff>
      <xdr:row>40</xdr:row>
      <xdr:rowOff>0</xdr:rowOff>
    </xdr:from>
    <xdr:to>
      <xdr:col>14</xdr:col>
      <xdr:colOff>0</xdr:colOff>
      <xdr:row>49</xdr:row>
      <xdr:rowOff>152400</xdr:rowOff>
    </xdr:to>
    <xdr:graphicFrame macro="">
      <xdr:nvGraphicFramePr>
        <xdr:cNvPr id="2" name="图表 2">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771525</xdr:colOff>
      <xdr:row>51</xdr:row>
      <xdr:rowOff>152400</xdr:rowOff>
    </xdr:from>
    <xdr:to>
      <xdr:col>13</xdr:col>
      <xdr:colOff>676275</xdr:colOff>
      <xdr:row>61</xdr:row>
      <xdr:rowOff>28575</xdr:rowOff>
    </xdr:to>
    <xdr:graphicFrame macro="">
      <xdr:nvGraphicFramePr>
        <xdr:cNvPr id="3" name="图表 3">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247650</xdr:colOff>
      <xdr:row>64</xdr:row>
      <xdr:rowOff>38100</xdr:rowOff>
    </xdr:from>
    <xdr:to>
      <xdr:col>14</xdr:col>
      <xdr:colOff>485775</xdr:colOff>
      <xdr:row>80</xdr:row>
      <xdr:rowOff>142875</xdr:rowOff>
    </xdr:to>
    <xdr:graphicFrame macro="">
      <xdr:nvGraphicFramePr>
        <xdr:cNvPr id="4" name="图表 4">
          <a:extLst>
            <a:ext uri="{FF2B5EF4-FFF2-40B4-BE49-F238E27FC236}">
              <a16:creationId xmlns:a16="http://schemas.microsoft.com/office/drawing/2014/main" id="{00000000-0008-0000-0F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152400</xdr:colOff>
      <xdr:row>17</xdr:row>
      <xdr:rowOff>85725</xdr:rowOff>
    </xdr:from>
    <xdr:to>
      <xdr:col>9</xdr:col>
      <xdr:colOff>66675</xdr:colOff>
      <xdr:row>27</xdr:row>
      <xdr:rowOff>209550</xdr:rowOff>
    </xdr:to>
    <xdr:graphicFrame macro="">
      <xdr:nvGraphicFramePr>
        <xdr:cNvPr id="7" name="图表 6">
          <a:extLst>
            <a:ext uri="{FF2B5EF4-FFF2-40B4-BE49-F238E27FC236}">
              <a16:creationId xmlns:a16="http://schemas.microsoft.com/office/drawing/2014/main" id="{00000000-0008-0000-0F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0</xdr:colOff>
      <xdr:row>63</xdr:row>
      <xdr:rowOff>0</xdr:rowOff>
    </xdr:from>
    <xdr:to>
      <xdr:col>4</xdr:col>
      <xdr:colOff>838200</xdr:colOff>
      <xdr:row>64</xdr:row>
      <xdr:rowOff>95250</xdr:rowOff>
    </xdr:to>
    <xdr:pic>
      <xdr:nvPicPr>
        <xdr:cNvPr id="5" name="图片 4">
          <a:extLst>
            <a:ext uri="{FF2B5EF4-FFF2-40B4-BE49-F238E27FC236}">
              <a16:creationId xmlns:a16="http://schemas.microsoft.com/office/drawing/2014/main" id="{00000000-0008-0000-0F00-000005000000}"/>
            </a:ext>
          </a:extLst>
        </xdr:cNvPr>
        <xdr:cNvPicPr>
          <a:picLocks noChangeAspect="1"/>
        </xdr:cNvPicPr>
      </xdr:nvPicPr>
      <xdr:blipFill>
        <a:blip xmlns:r="http://schemas.openxmlformats.org/officeDocument/2006/relationships" r:embed="rId5"/>
        <a:stretch>
          <a:fillRect/>
        </a:stretch>
      </xdr:blipFill>
      <xdr:spPr>
        <a:xfrm>
          <a:off x="1876425" y="13865860"/>
          <a:ext cx="2524125" cy="247650"/>
        </a:xfrm>
        <a:prstGeom prst="rect">
          <a:avLst/>
        </a:prstGeom>
        <a:noFill/>
        <a:ln w="9525">
          <a:noFill/>
        </a:ln>
      </xdr:spPr>
    </xdr:pic>
    <xdr:clientData/>
  </xdr:twoCellAnchor>
  <xdr:twoCellAnchor>
    <xdr:from>
      <xdr:col>2</xdr:col>
      <xdr:colOff>0</xdr:colOff>
      <xdr:row>41</xdr:row>
      <xdr:rowOff>0</xdr:rowOff>
    </xdr:from>
    <xdr:to>
      <xdr:col>5</xdr:col>
      <xdr:colOff>313690</xdr:colOff>
      <xdr:row>42</xdr:row>
      <xdr:rowOff>106680</xdr:rowOff>
    </xdr:to>
    <xdr:pic>
      <xdr:nvPicPr>
        <xdr:cNvPr id="8" name="图片 7">
          <a:extLst>
            <a:ext uri="{FF2B5EF4-FFF2-40B4-BE49-F238E27FC236}">
              <a16:creationId xmlns:a16="http://schemas.microsoft.com/office/drawing/2014/main" id="{00000000-0008-0000-0F00-000008000000}"/>
            </a:ext>
          </a:extLst>
        </xdr:cNvPr>
        <xdr:cNvPicPr>
          <a:picLocks noChangeAspect="1"/>
        </xdr:cNvPicPr>
      </xdr:nvPicPr>
      <xdr:blipFill>
        <a:blip xmlns:r="http://schemas.openxmlformats.org/officeDocument/2006/relationships" r:embed="rId6"/>
        <a:stretch>
          <a:fillRect/>
        </a:stretch>
      </xdr:blipFill>
      <xdr:spPr>
        <a:xfrm>
          <a:off x="1876425" y="9251950"/>
          <a:ext cx="2866390" cy="400050"/>
        </a:xfrm>
        <a:prstGeom prst="rect">
          <a:avLst/>
        </a:prstGeom>
        <a:noFill/>
        <a:ln w="9525">
          <a:noFill/>
        </a:ln>
      </xdr:spPr>
    </xdr:pic>
    <xdr:clientData/>
  </xdr:twoCellAnchor>
  <xdr:twoCellAnchor>
    <xdr:from>
      <xdr:col>2</xdr:col>
      <xdr:colOff>38100</xdr:colOff>
      <xdr:row>48</xdr:row>
      <xdr:rowOff>247650</xdr:rowOff>
    </xdr:from>
    <xdr:to>
      <xdr:col>5</xdr:col>
      <xdr:colOff>132715</xdr:colOff>
      <xdr:row>50</xdr:row>
      <xdr:rowOff>125730</xdr:rowOff>
    </xdr:to>
    <xdr:pic>
      <xdr:nvPicPr>
        <xdr:cNvPr id="9" name="图片 8">
          <a:extLst>
            <a:ext uri="{FF2B5EF4-FFF2-40B4-BE49-F238E27FC236}">
              <a16:creationId xmlns:a16="http://schemas.microsoft.com/office/drawing/2014/main" id="{00000000-0008-0000-0F00-000009000000}"/>
            </a:ext>
          </a:extLst>
        </xdr:cNvPr>
        <xdr:cNvPicPr>
          <a:picLocks noChangeAspect="1"/>
        </xdr:cNvPicPr>
      </xdr:nvPicPr>
      <xdr:blipFill>
        <a:blip xmlns:r="http://schemas.openxmlformats.org/officeDocument/2006/relationships" r:embed="rId7"/>
        <a:stretch>
          <a:fillRect/>
        </a:stretch>
      </xdr:blipFill>
      <xdr:spPr>
        <a:xfrm>
          <a:off x="1914525" y="11553190"/>
          <a:ext cx="2647315" cy="323850"/>
        </a:xfrm>
        <a:prstGeom prst="rect">
          <a:avLst/>
        </a:prstGeom>
        <a:noFill/>
        <a:ln w="9525">
          <a:noFill/>
        </a:ln>
      </xdr:spPr>
    </xdr:pic>
    <xdr:clientData/>
  </xdr:twoCellAnchor>
  <mc:AlternateContent xmlns:mc="http://schemas.openxmlformats.org/markup-compatibility/2006">
    <mc:Choice xmlns:a14="http://schemas.microsoft.com/office/drawing/2010/main" Requires="a14">
      <xdr:twoCellAnchor editAs="oneCell">
        <xdr:from>
          <xdr:col>0</xdr:col>
          <xdr:colOff>85725</xdr:colOff>
          <xdr:row>102</xdr:row>
          <xdr:rowOff>28575</xdr:rowOff>
        </xdr:from>
        <xdr:to>
          <xdr:col>1</xdr:col>
          <xdr:colOff>66675</xdr:colOff>
          <xdr:row>103</xdr:row>
          <xdr:rowOff>133350</xdr:rowOff>
        </xdr:to>
        <xdr:sp macro="" textlink="">
          <xdr:nvSpPr>
            <xdr:cNvPr id="63496" name="Button 8" hidden="1">
              <a:extLst>
                <a:ext uri="{63B3BB69-23CF-44E3-9099-C40C66FF867C}">
                  <a14:compatExt spid="_x0000_s63496"/>
                </a:ext>
                <a:ext uri="{FF2B5EF4-FFF2-40B4-BE49-F238E27FC236}">
                  <a16:creationId xmlns:a16="http://schemas.microsoft.com/office/drawing/2014/main" id="{00000000-0008-0000-0F00-000008F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删除测试轮次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100</xdr:row>
          <xdr:rowOff>28575</xdr:rowOff>
        </xdr:from>
        <xdr:to>
          <xdr:col>1</xdr:col>
          <xdr:colOff>76200</xdr:colOff>
          <xdr:row>101</xdr:row>
          <xdr:rowOff>47625</xdr:rowOff>
        </xdr:to>
        <xdr:sp macro="" textlink="">
          <xdr:nvSpPr>
            <xdr:cNvPr id="63497" name="Button 9" hidden="1">
              <a:extLst>
                <a:ext uri="{63B3BB69-23CF-44E3-9099-C40C66FF867C}">
                  <a14:compatExt spid="_x0000_s63497"/>
                </a:ext>
                <a:ext uri="{FF2B5EF4-FFF2-40B4-BE49-F238E27FC236}">
                  <a16:creationId xmlns:a16="http://schemas.microsoft.com/office/drawing/2014/main" id="{00000000-0008-0000-0F00-000009F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增加测试轮次</a:t>
              </a:r>
            </a:p>
          </xdr:txBody>
        </xdr:sp>
        <xdr:clientData fPrintsWithSheet="0"/>
      </xdr:twoCellAnchor>
    </mc:Choice>
    <mc:Fallback/>
  </mc:AlternateContent>
  <xdr:twoCellAnchor>
    <xdr:from>
      <xdr:col>5</xdr:col>
      <xdr:colOff>714375</xdr:colOff>
      <xdr:row>122</xdr:row>
      <xdr:rowOff>0</xdr:rowOff>
    </xdr:from>
    <xdr:to>
      <xdr:col>13</xdr:col>
      <xdr:colOff>704850</xdr:colOff>
      <xdr:row>132</xdr:row>
      <xdr:rowOff>0</xdr:rowOff>
    </xdr:to>
    <xdr:graphicFrame macro="">
      <xdr:nvGraphicFramePr>
        <xdr:cNvPr id="12" name="图表 2">
          <a:extLst>
            <a:ext uri="{FF2B5EF4-FFF2-40B4-BE49-F238E27FC236}">
              <a16:creationId xmlns:a16="http://schemas.microsoft.com/office/drawing/2014/main" id="{00000000-0008-0000-0F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771525</xdr:colOff>
      <xdr:row>133</xdr:row>
      <xdr:rowOff>152400</xdr:rowOff>
    </xdr:from>
    <xdr:to>
      <xdr:col>13</xdr:col>
      <xdr:colOff>676275</xdr:colOff>
      <xdr:row>143</xdr:row>
      <xdr:rowOff>28575</xdr:rowOff>
    </xdr:to>
    <xdr:graphicFrame macro="">
      <xdr:nvGraphicFramePr>
        <xdr:cNvPr id="13" name="图表 3">
          <a:extLst>
            <a:ext uri="{FF2B5EF4-FFF2-40B4-BE49-F238E27FC236}">
              <a16:creationId xmlns:a16="http://schemas.microsoft.com/office/drawing/2014/main" id="{00000000-0008-0000-0F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247650</xdr:colOff>
      <xdr:row>146</xdr:row>
      <xdr:rowOff>38100</xdr:rowOff>
    </xdr:from>
    <xdr:to>
      <xdr:col>14</xdr:col>
      <xdr:colOff>485775</xdr:colOff>
      <xdr:row>162</xdr:row>
      <xdr:rowOff>142875</xdr:rowOff>
    </xdr:to>
    <xdr:graphicFrame macro="">
      <xdr:nvGraphicFramePr>
        <xdr:cNvPr id="14" name="图表 4">
          <a:extLst>
            <a:ext uri="{FF2B5EF4-FFF2-40B4-BE49-F238E27FC236}">
              <a16:creationId xmlns:a16="http://schemas.microsoft.com/office/drawing/2014/main" id="{00000000-0008-0000-0F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1</xdr:col>
      <xdr:colOff>152400</xdr:colOff>
      <xdr:row>99</xdr:row>
      <xdr:rowOff>85725</xdr:rowOff>
    </xdr:from>
    <xdr:to>
      <xdr:col>9</xdr:col>
      <xdr:colOff>66675</xdr:colOff>
      <xdr:row>109</xdr:row>
      <xdr:rowOff>209550</xdr:rowOff>
    </xdr:to>
    <xdr:graphicFrame macro="">
      <xdr:nvGraphicFramePr>
        <xdr:cNvPr id="15" name="图表 14">
          <a:extLst>
            <a:ext uri="{FF2B5EF4-FFF2-40B4-BE49-F238E27FC236}">
              <a16:creationId xmlns:a16="http://schemas.microsoft.com/office/drawing/2014/main" id="{00000000-0008-0000-0F00-00000F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0</xdr:colOff>
      <xdr:row>145</xdr:row>
      <xdr:rowOff>0</xdr:rowOff>
    </xdr:from>
    <xdr:to>
      <xdr:col>4</xdr:col>
      <xdr:colOff>838200</xdr:colOff>
      <xdr:row>146</xdr:row>
      <xdr:rowOff>95250</xdr:rowOff>
    </xdr:to>
    <xdr:pic>
      <xdr:nvPicPr>
        <xdr:cNvPr id="16" name="图片 15">
          <a:extLst>
            <a:ext uri="{FF2B5EF4-FFF2-40B4-BE49-F238E27FC236}">
              <a16:creationId xmlns:a16="http://schemas.microsoft.com/office/drawing/2014/main" id="{00000000-0008-0000-0F00-000010000000}"/>
            </a:ext>
          </a:extLst>
        </xdr:cNvPr>
        <xdr:cNvPicPr>
          <a:picLocks noChangeAspect="1"/>
        </xdr:cNvPicPr>
      </xdr:nvPicPr>
      <xdr:blipFill>
        <a:blip xmlns:r="http://schemas.openxmlformats.org/officeDocument/2006/relationships" r:embed="rId5"/>
        <a:stretch>
          <a:fillRect/>
        </a:stretch>
      </xdr:blipFill>
      <xdr:spPr>
        <a:xfrm>
          <a:off x="1876425" y="30751145"/>
          <a:ext cx="2524125" cy="247650"/>
        </a:xfrm>
        <a:prstGeom prst="rect">
          <a:avLst/>
        </a:prstGeom>
        <a:noFill/>
        <a:ln w="9525">
          <a:noFill/>
        </a:ln>
      </xdr:spPr>
    </xdr:pic>
    <xdr:clientData/>
  </xdr:twoCellAnchor>
  <xdr:twoCellAnchor>
    <xdr:from>
      <xdr:col>2</xdr:col>
      <xdr:colOff>0</xdr:colOff>
      <xdr:row>123</xdr:row>
      <xdr:rowOff>0</xdr:rowOff>
    </xdr:from>
    <xdr:to>
      <xdr:col>5</xdr:col>
      <xdr:colOff>313690</xdr:colOff>
      <xdr:row>124</xdr:row>
      <xdr:rowOff>106680</xdr:rowOff>
    </xdr:to>
    <xdr:pic>
      <xdr:nvPicPr>
        <xdr:cNvPr id="17" name="图片 16">
          <a:extLst>
            <a:ext uri="{FF2B5EF4-FFF2-40B4-BE49-F238E27FC236}">
              <a16:creationId xmlns:a16="http://schemas.microsoft.com/office/drawing/2014/main" id="{00000000-0008-0000-0F00-000011000000}"/>
            </a:ext>
          </a:extLst>
        </xdr:cNvPr>
        <xdr:cNvPicPr>
          <a:picLocks noChangeAspect="1"/>
        </xdr:cNvPicPr>
      </xdr:nvPicPr>
      <xdr:blipFill>
        <a:blip xmlns:r="http://schemas.openxmlformats.org/officeDocument/2006/relationships" r:embed="rId6"/>
        <a:stretch>
          <a:fillRect/>
        </a:stretch>
      </xdr:blipFill>
      <xdr:spPr>
        <a:xfrm>
          <a:off x="1876425" y="26137235"/>
          <a:ext cx="2866390" cy="400050"/>
        </a:xfrm>
        <a:prstGeom prst="rect">
          <a:avLst/>
        </a:prstGeom>
        <a:noFill/>
        <a:ln w="9525">
          <a:noFill/>
        </a:ln>
      </xdr:spPr>
    </xdr:pic>
    <xdr:clientData/>
  </xdr:twoCellAnchor>
  <xdr:twoCellAnchor>
    <xdr:from>
      <xdr:col>2</xdr:col>
      <xdr:colOff>38100</xdr:colOff>
      <xdr:row>130</xdr:row>
      <xdr:rowOff>247650</xdr:rowOff>
    </xdr:from>
    <xdr:to>
      <xdr:col>5</xdr:col>
      <xdr:colOff>132715</xdr:colOff>
      <xdr:row>132</xdr:row>
      <xdr:rowOff>125730</xdr:rowOff>
    </xdr:to>
    <xdr:pic>
      <xdr:nvPicPr>
        <xdr:cNvPr id="18" name="图片 17">
          <a:extLst>
            <a:ext uri="{FF2B5EF4-FFF2-40B4-BE49-F238E27FC236}">
              <a16:creationId xmlns:a16="http://schemas.microsoft.com/office/drawing/2014/main" id="{00000000-0008-0000-0F00-000012000000}"/>
            </a:ext>
          </a:extLst>
        </xdr:cNvPr>
        <xdr:cNvPicPr>
          <a:picLocks noChangeAspect="1"/>
        </xdr:cNvPicPr>
      </xdr:nvPicPr>
      <xdr:blipFill>
        <a:blip xmlns:r="http://schemas.openxmlformats.org/officeDocument/2006/relationships" r:embed="rId7"/>
        <a:stretch>
          <a:fillRect/>
        </a:stretch>
      </xdr:blipFill>
      <xdr:spPr>
        <a:xfrm>
          <a:off x="1914525" y="28438475"/>
          <a:ext cx="2647315" cy="323850"/>
        </a:xfrm>
        <a:prstGeom prst="rect">
          <a:avLst/>
        </a:prstGeom>
        <a:noFill/>
        <a:ln w="9525">
          <a:noFill/>
        </a:ln>
      </xdr:spPr>
    </xdr:pic>
    <xdr:clientData/>
  </xdr:twoCellAnchor>
  <mc:AlternateContent xmlns:mc="http://schemas.openxmlformats.org/markup-compatibility/2006">
    <mc:Choice xmlns:a14="http://schemas.microsoft.com/office/drawing/2010/main" Requires="a14">
      <xdr:twoCellAnchor editAs="oneCell">
        <xdr:from>
          <xdr:col>0</xdr:col>
          <xdr:colOff>85725</xdr:colOff>
          <xdr:row>184</xdr:row>
          <xdr:rowOff>28575</xdr:rowOff>
        </xdr:from>
        <xdr:to>
          <xdr:col>1</xdr:col>
          <xdr:colOff>66675</xdr:colOff>
          <xdr:row>185</xdr:row>
          <xdr:rowOff>133350</xdr:rowOff>
        </xdr:to>
        <xdr:sp macro="" textlink="">
          <xdr:nvSpPr>
            <xdr:cNvPr id="63501" name="Button 13" hidden="1">
              <a:extLst>
                <a:ext uri="{63B3BB69-23CF-44E3-9099-C40C66FF867C}">
                  <a14:compatExt spid="_x0000_s63501"/>
                </a:ext>
                <a:ext uri="{FF2B5EF4-FFF2-40B4-BE49-F238E27FC236}">
                  <a16:creationId xmlns:a16="http://schemas.microsoft.com/office/drawing/2014/main" id="{00000000-0008-0000-0F00-00000DF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删除测试轮次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182</xdr:row>
          <xdr:rowOff>28575</xdr:rowOff>
        </xdr:from>
        <xdr:to>
          <xdr:col>1</xdr:col>
          <xdr:colOff>76200</xdr:colOff>
          <xdr:row>183</xdr:row>
          <xdr:rowOff>47625</xdr:rowOff>
        </xdr:to>
        <xdr:sp macro="" textlink="">
          <xdr:nvSpPr>
            <xdr:cNvPr id="63502" name="Button 14" hidden="1">
              <a:extLst>
                <a:ext uri="{63B3BB69-23CF-44E3-9099-C40C66FF867C}">
                  <a14:compatExt spid="_x0000_s63502"/>
                </a:ext>
                <a:ext uri="{FF2B5EF4-FFF2-40B4-BE49-F238E27FC236}">
                  <a16:creationId xmlns:a16="http://schemas.microsoft.com/office/drawing/2014/main" id="{00000000-0008-0000-0F00-00000EF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增加测试轮次</a:t>
              </a:r>
            </a:p>
          </xdr:txBody>
        </xdr:sp>
        <xdr:clientData fPrintsWithSheet="0"/>
      </xdr:twoCellAnchor>
    </mc:Choice>
    <mc:Fallback/>
  </mc:AlternateContent>
  <xdr:twoCellAnchor>
    <xdr:from>
      <xdr:col>5</xdr:col>
      <xdr:colOff>742950</xdr:colOff>
      <xdr:row>204</xdr:row>
      <xdr:rowOff>0</xdr:rowOff>
    </xdr:from>
    <xdr:to>
      <xdr:col>14</xdr:col>
      <xdr:colOff>0</xdr:colOff>
      <xdr:row>213</xdr:row>
      <xdr:rowOff>152400</xdr:rowOff>
    </xdr:to>
    <xdr:graphicFrame macro="">
      <xdr:nvGraphicFramePr>
        <xdr:cNvPr id="19" name="图表 2">
          <a:extLst>
            <a:ext uri="{FF2B5EF4-FFF2-40B4-BE49-F238E27FC236}">
              <a16:creationId xmlns:a16="http://schemas.microsoft.com/office/drawing/2014/main" id="{00000000-0008-0000-0F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xdr:col>
      <xdr:colOff>771525</xdr:colOff>
      <xdr:row>216</xdr:row>
      <xdr:rowOff>0</xdr:rowOff>
    </xdr:from>
    <xdr:to>
      <xdr:col>13</xdr:col>
      <xdr:colOff>676275</xdr:colOff>
      <xdr:row>226</xdr:row>
      <xdr:rowOff>151765</xdr:rowOff>
    </xdr:to>
    <xdr:graphicFrame macro="">
      <xdr:nvGraphicFramePr>
        <xdr:cNvPr id="20" name="图表 3">
          <a:extLst>
            <a:ext uri="{FF2B5EF4-FFF2-40B4-BE49-F238E27FC236}">
              <a16:creationId xmlns:a16="http://schemas.microsoft.com/office/drawing/2014/main" id="{00000000-0008-0000-0F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247650</xdr:colOff>
      <xdr:row>228</xdr:row>
      <xdr:rowOff>38100</xdr:rowOff>
    </xdr:from>
    <xdr:to>
      <xdr:col>14</xdr:col>
      <xdr:colOff>485775</xdr:colOff>
      <xdr:row>244</xdr:row>
      <xdr:rowOff>142875</xdr:rowOff>
    </xdr:to>
    <xdr:graphicFrame macro="">
      <xdr:nvGraphicFramePr>
        <xdr:cNvPr id="21" name="图表 4">
          <a:extLst>
            <a:ext uri="{FF2B5EF4-FFF2-40B4-BE49-F238E27FC236}">
              <a16:creationId xmlns:a16="http://schemas.microsoft.com/office/drawing/2014/main" id="{00000000-0008-0000-0F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1</xdr:col>
      <xdr:colOff>152400</xdr:colOff>
      <xdr:row>181</xdr:row>
      <xdr:rowOff>85725</xdr:rowOff>
    </xdr:from>
    <xdr:to>
      <xdr:col>9</xdr:col>
      <xdr:colOff>66675</xdr:colOff>
      <xdr:row>191</xdr:row>
      <xdr:rowOff>209550</xdr:rowOff>
    </xdr:to>
    <xdr:graphicFrame macro="">
      <xdr:nvGraphicFramePr>
        <xdr:cNvPr id="22" name="图表 21">
          <a:extLst>
            <a:ext uri="{FF2B5EF4-FFF2-40B4-BE49-F238E27FC236}">
              <a16:creationId xmlns:a16="http://schemas.microsoft.com/office/drawing/2014/main" id="{00000000-0008-0000-0F00-00001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0</xdr:colOff>
      <xdr:row>227</xdr:row>
      <xdr:rowOff>0</xdr:rowOff>
    </xdr:from>
    <xdr:to>
      <xdr:col>4</xdr:col>
      <xdr:colOff>838200</xdr:colOff>
      <xdr:row>228</xdr:row>
      <xdr:rowOff>95250</xdr:rowOff>
    </xdr:to>
    <xdr:pic>
      <xdr:nvPicPr>
        <xdr:cNvPr id="23" name="图片 22">
          <a:extLst>
            <a:ext uri="{FF2B5EF4-FFF2-40B4-BE49-F238E27FC236}">
              <a16:creationId xmlns:a16="http://schemas.microsoft.com/office/drawing/2014/main" id="{00000000-0008-0000-0F00-000017000000}"/>
            </a:ext>
          </a:extLst>
        </xdr:cNvPr>
        <xdr:cNvPicPr>
          <a:picLocks noChangeAspect="1"/>
        </xdr:cNvPicPr>
      </xdr:nvPicPr>
      <xdr:blipFill>
        <a:blip xmlns:r="http://schemas.openxmlformats.org/officeDocument/2006/relationships" r:embed="rId5"/>
        <a:stretch>
          <a:fillRect/>
        </a:stretch>
      </xdr:blipFill>
      <xdr:spPr>
        <a:xfrm>
          <a:off x="1876425" y="47636430"/>
          <a:ext cx="2524125" cy="247650"/>
        </a:xfrm>
        <a:prstGeom prst="rect">
          <a:avLst/>
        </a:prstGeom>
        <a:noFill/>
        <a:ln w="9525">
          <a:noFill/>
        </a:ln>
      </xdr:spPr>
    </xdr:pic>
    <xdr:clientData/>
  </xdr:twoCellAnchor>
  <xdr:twoCellAnchor>
    <xdr:from>
      <xdr:col>2</xdr:col>
      <xdr:colOff>0</xdr:colOff>
      <xdr:row>205</xdr:row>
      <xdr:rowOff>0</xdr:rowOff>
    </xdr:from>
    <xdr:to>
      <xdr:col>5</xdr:col>
      <xdr:colOff>313690</xdr:colOff>
      <xdr:row>206</xdr:row>
      <xdr:rowOff>106680</xdr:rowOff>
    </xdr:to>
    <xdr:pic>
      <xdr:nvPicPr>
        <xdr:cNvPr id="24" name="图片 23">
          <a:extLst>
            <a:ext uri="{FF2B5EF4-FFF2-40B4-BE49-F238E27FC236}">
              <a16:creationId xmlns:a16="http://schemas.microsoft.com/office/drawing/2014/main" id="{00000000-0008-0000-0F00-000018000000}"/>
            </a:ext>
          </a:extLst>
        </xdr:cNvPr>
        <xdr:cNvPicPr>
          <a:picLocks noChangeAspect="1"/>
        </xdr:cNvPicPr>
      </xdr:nvPicPr>
      <xdr:blipFill>
        <a:blip xmlns:r="http://schemas.openxmlformats.org/officeDocument/2006/relationships" r:embed="rId6"/>
        <a:stretch>
          <a:fillRect/>
        </a:stretch>
      </xdr:blipFill>
      <xdr:spPr>
        <a:xfrm>
          <a:off x="1876425" y="43022520"/>
          <a:ext cx="2866390" cy="400050"/>
        </a:xfrm>
        <a:prstGeom prst="rect">
          <a:avLst/>
        </a:prstGeom>
        <a:noFill/>
        <a:ln w="9525">
          <a:noFill/>
        </a:ln>
      </xdr:spPr>
    </xdr:pic>
    <xdr:clientData/>
  </xdr:twoCellAnchor>
  <xdr:twoCellAnchor>
    <xdr:from>
      <xdr:col>2</xdr:col>
      <xdr:colOff>38100</xdr:colOff>
      <xdr:row>212</xdr:row>
      <xdr:rowOff>247650</xdr:rowOff>
    </xdr:from>
    <xdr:to>
      <xdr:col>5</xdr:col>
      <xdr:colOff>132715</xdr:colOff>
      <xdr:row>214</xdr:row>
      <xdr:rowOff>125730</xdr:rowOff>
    </xdr:to>
    <xdr:pic>
      <xdr:nvPicPr>
        <xdr:cNvPr id="25" name="图片 24">
          <a:extLst>
            <a:ext uri="{FF2B5EF4-FFF2-40B4-BE49-F238E27FC236}">
              <a16:creationId xmlns:a16="http://schemas.microsoft.com/office/drawing/2014/main" id="{00000000-0008-0000-0F00-000019000000}"/>
            </a:ext>
          </a:extLst>
        </xdr:cNvPr>
        <xdr:cNvPicPr>
          <a:picLocks noChangeAspect="1"/>
        </xdr:cNvPicPr>
      </xdr:nvPicPr>
      <xdr:blipFill>
        <a:blip xmlns:r="http://schemas.openxmlformats.org/officeDocument/2006/relationships" r:embed="rId7"/>
        <a:stretch>
          <a:fillRect/>
        </a:stretch>
      </xdr:blipFill>
      <xdr:spPr>
        <a:xfrm>
          <a:off x="1914525" y="45323760"/>
          <a:ext cx="2647315" cy="323850"/>
        </a:xfrm>
        <a:prstGeom prst="rect">
          <a:avLst/>
        </a:prstGeom>
        <a:noFill/>
        <a:ln w="9525">
          <a:noFill/>
        </a:ln>
      </xdr:spPr>
    </xdr:pic>
    <xdr:clientData/>
  </xdr:twoCellAnchor>
</xdr:wsDr>
</file>

<file path=xl/drawings/drawing9.xml><?xml version="1.0" encoding="utf-8"?>
<xdr:wsDr xmlns:xdr="http://schemas.openxmlformats.org/drawingml/2006/spreadsheetDrawing" xmlns:a="http://schemas.openxmlformats.org/drawingml/2006/main">
  <xdr:twoCellAnchor>
    <xdr:from>
      <xdr:col>5</xdr:col>
      <xdr:colOff>171450</xdr:colOff>
      <xdr:row>32</xdr:row>
      <xdr:rowOff>9525</xdr:rowOff>
    </xdr:from>
    <xdr:to>
      <xdr:col>8</xdr:col>
      <xdr:colOff>609600</xdr:colOff>
      <xdr:row>56</xdr:row>
      <xdr:rowOff>19050</xdr:rowOff>
    </xdr:to>
    <xdr:graphicFrame macro="">
      <xdr:nvGraphicFramePr>
        <xdr:cNvPr id="2" name="图表 4">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704850</xdr:colOff>
      <xdr:row>52</xdr:row>
      <xdr:rowOff>66675</xdr:rowOff>
    </xdr:from>
    <xdr:to>
      <xdr:col>14</xdr:col>
      <xdr:colOff>257175</xdr:colOff>
      <xdr:row>77</xdr:row>
      <xdr:rowOff>38100</xdr:rowOff>
    </xdr:to>
    <xdr:graphicFrame macro="">
      <xdr:nvGraphicFramePr>
        <xdr:cNvPr id="3" name="图表 6">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352425</xdr:colOff>
      <xdr:row>22</xdr:row>
      <xdr:rowOff>76200</xdr:rowOff>
    </xdr:from>
    <xdr:to>
      <xdr:col>16</xdr:col>
      <xdr:colOff>228600</xdr:colOff>
      <xdr:row>51</xdr:row>
      <xdr:rowOff>104775</xdr:rowOff>
    </xdr:to>
    <xdr:graphicFrame macro="">
      <xdr:nvGraphicFramePr>
        <xdr:cNvPr id="5" name="图表 11">
          <a:extLst>
            <a:ext uri="{FF2B5EF4-FFF2-40B4-BE49-F238E27FC236}">
              <a16:creationId xmlns:a16="http://schemas.microsoft.com/office/drawing/2014/main" id="{00000000-0008-0000-1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38100</xdr:colOff>
          <xdr:row>22</xdr:row>
          <xdr:rowOff>47625</xdr:rowOff>
        </xdr:from>
        <xdr:to>
          <xdr:col>0</xdr:col>
          <xdr:colOff>685800</xdr:colOff>
          <xdr:row>23</xdr:row>
          <xdr:rowOff>57150</xdr:rowOff>
        </xdr:to>
        <xdr:sp macro="" textlink="">
          <xdr:nvSpPr>
            <xdr:cNvPr id="41989" name="Button 5" hidden="1">
              <a:extLst>
                <a:ext uri="{63B3BB69-23CF-44E3-9099-C40C66FF867C}">
                  <a14:compatExt spid="_x0000_s41989"/>
                </a:ext>
                <a:ext uri="{FF2B5EF4-FFF2-40B4-BE49-F238E27FC236}">
                  <a16:creationId xmlns:a16="http://schemas.microsoft.com/office/drawing/2014/main" id="{00000000-0008-0000-1000-000005A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新增成员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742950</xdr:colOff>
          <xdr:row>22</xdr:row>
          <xdr:rowOff>47625</xdr:rowOff>
        </xdr:from>
        <xdr:to>
          <xdr:col>0</xdr:col>
          <xdr:colOff>1390650</xdr:colOff>
          <xdr:row>23</xdr:row>
          <xdr:rowOff>57150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1000-000008A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删除成员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xdr:row>
          <xdr:rowOff>85725</xdr:rowOff>
        </xdr:from>
        <xdr:to>
          <xdr:col>13</xdr:col>
          <xdr:colOff>104775</xdr:colOff>
          <xdr:row>8</xdr:row>
          <xdr:rowOff>171450</xdr:rowOff>
        </xdr:to>
        <xdr:sp macro="" textlink="">
          <xdr:nvSpPr>
            <xdr:cNvPr id="42008" name="Button 24" hidden="1">
              <a:extLst>
                <a:ext uri="{63B3BB69-23CF-44E3-9099-C40C66FF867C}">
                  <a14:compatExt spid="_x0000_s42008"/>
                </a:ext>
                <a:ext uri="{FF2B5EF4-FFF2-40B4-BE49-F238E27FC236}">
                  <a16:creationId xmlns:a16="http://schemas.microsoft.com/office/drawing/2014/main" id="{00000000-0008-0000-1000-000018A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增加周次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xdr:row>
          <xdr:rowOff>76200</xdr:rowOff>
        </xdr:from>
        <xdr:to>
          <xdr:col>13</xdr:col>
          <xdr:colOff>114300</xdr:colOff>
          <xdr:row>10</xdr:row>
          <xdr:rowOff>152400</xdr:rowOff>
        </xdr:to>
        <xdr:sp macro="" textlink="">
          <xdr:nvSpPr>
            <xdr:cNvPr id="42014" name="Button 30" hidden="1">
              <a:extLst>
                <a:ext uri="{63B3BB69-23CF-44E3-9099-C40C66FF867C}">
                  <a14:compatExt spid="_x0000_s42014"/>
                </a:ext>
                <a:ext uri="{FF2B5EF4-FFF2-40B4-BE49-F238E27FC236}">
                  <a16:creationId xmlns:a16="http://schemas.microsoft.com/office/drawing/2014/main" id="{00000000-0008-0000-1000-00001EA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删除周次</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438150</xdr:colOff>
      <xdr:row>47</xdr:row>
      <xdr:rowOff>200025</xdr:rowOff>
    </xdr:from>
    <xdr:to>
      <xdr:col>10</xdr:col>
      <xdr:colOff>190500</xdr:colOff>
      <xdr:row>72</xdr:row>
      <xdr:rowOff>123825</xdr:rowOff>
    </xdr:to>
    <xdr:pic>
      <xdr:nvPicPr>
        <xdr:cNvPr id="2" name="Picture 962">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a:xfrm>
          <a:off x="438150" y="10496550"/>
          <a:ext cx="7667625"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0</xdr:col>
      <xdr:colOff>542925</xdr:colOff>
      <xdr:row>84</xdr:row>
      <xdr:rowOff>57150</xdr:rowOff>
    </xdr:from>
    <xdr:to>
      <xdr:col>9</xdr:col>
      <xdr:colOff>47625</xdr:colOff>
      <xdr:row>102</xdr:row>
      <xdr:rowOff>123825</xdr:rowOff>
    </xdr:to>
    <xdr:pic>
      <xdr:nvPicPr>
        <xdr:cNvPr id="3" name="Picture 1017">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a:xfrm>
          <a:off x="542925" y="18192750"/>
          <a:ext cx="6734175" cy="383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1</xdr:col>
      <xdr:colOff>0</xdr:colOff>
      <xdr:row>17</xdr:row>
      <xdr:rowOff>66675</xdr:rowOff>
    </xdr:from>
    <xdr:to>
      <xdr:col>7</xdr:col>
      <xdr:colOff>361950</xdr:colOff>
      <xdr:row>28</xdr:row>
      <xdr:rowOff>28575</xdr:rowOff>
    </xdr:to>
    <xdr:graphicFrame macro="">
      <xdr:nvGraphicFramePr>
        <xdr:cNvPr id="4" name="Chart 5">
          <a:extLst>
            <a:ext uri="{FF2B5EF4-FFF2-40B4-BE49-F238E27FC236}">
              <a16:creationId xmlns:a16="http://schemas.microsoft.com/office/drawing/2014/main" id="{00000000-0008-0000-1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195.118\&#36719;&#20214;&#24320;&#21457;&#36807;&#31243;&#20307;&#31995;&#65288;CMMI%20L5&#65289;&#25991;&#26723;&#24211;\&#32452;&#32455;&#30456;&#20851;&#30340;&#36807;&#31243;\6&#32452;&#32455;&#24230;&#37327;&#19982;&#20998;&#26512;&#36807;&#31243;\&#24180;&#24230;&#32452;&#32455;&#24230;&#37327;&#35745;&#21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92.168.195.118\&#30000;&#25991;&#35878;&#36164;&#26009;\My%20Work\Shenzhen\Shenzhen%20SZSE\&#31532;&#20108;&#36718;&#25913;&#36827;\ODC.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92.168.195.118\Documents%20and%20Settings\km11\Desktop\Book7.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192.168.195.118\&#30000;&#25991;&#35878;&#36164;&#26009;\My%20Work\Shanghai\Shanghai%20Newegg\&#22235;&#32423;\03%20Process%20Definition\L4\20081211\CDMIS%20PPB\CDMIS&#38656;&#27714;&#35780;&#23457;&#32570;&#38519;&#23494;&#24230;PPB_200812.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192.168.195.118\&#30000;&#25991;&#35878;&#36164;&#26009;\My%20Work\Shenzhen\Shenzhen%20SZSE\&#31532;&#20108;&#36718;&#25913;&#36827;\&#36719;&#20214;&#27979;&#35797;&#35745;&#21010;&#27169;&#26495;(20100315).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192.168.195.118\Documents%20and%20Settings\bc31\Local%20Settings\Temp\TFSTemp\v833A.tmp\1312791\&#35780;&#23457;&#31649;&#29702;&#34920;&#21333;(C132934).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Server\TQM1.1\VSS_20050517\02_ProjectProduction\04_Coding\03_TQM_Templet\04_OrganizationSupport\01_&#34892;&#25919;&#31649;&#29702;\01_&#25991;&#20214;&#31649;&#29702;\&#25991;&#20214;&#32534;&#20889;&#35268;&#33539;.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192.168.195.118\jsmstcpro\CMMI%20Project%20Management\04_&#20020;&#26102;&#30446;&#24405;\wy\&#36827;&#24230;&#31649;&#29702;&#34920;.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Users/junhui.gong1/Desktop/&#26426;&#26800;&#22522;&#30784;/&#21442;&#32771;&#22270;.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39033;&#30446;/2018/&#26426;&#26800;&#22522;&#30784;V1.2/&#25991;&#26723;/&#22269;&#27888;&#23433;&#26426;&#26800;&#22522;&#30784;VR&#26234;&#24935;&#35838;&#22530;&#36719;&#20214;V1.2_&#39033;&#30446;&#24230;&#37327;&#349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封面 "/>
      <sheetName val="文档修改控制页"/>
      <sheetName val="目录"/>
      <sheetName val="填表说明"/>
      <sheetName val="组织度量目标值"/>
      <sheetName val="组织度量指标与度量项描述"/>
      <sheetName val="建立组织PCB及过程模型"/>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文档信息"/>
      <sheetName val="每日测试活动情况"/>
      <sheetName val="每日问题风险情况"/>
      <sheetName val="每日缺陷统计与分析"/>
      <sheetName val="基础配置表"/>
      <sheetName val="ODC配置表"/>
      <sheetName val="ODC中文配置表"/>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VSTS_ValidationWS_1"/>
    </sheetNames>
    <sheetDataSet>
      <sheetData sheetId="0" refreshError="1"/>
      <sheetData sheetId="1" refreshError="1"/>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指导说明"/>
      <sheetName val="修订记录"/>
      <sheetName val="5-假设检验"/>
      <sheetName val="4-控制图分析 (2)"/>
      <sheetName val="4-控制图分析 (1)"/>
      <sheetName val="3-正态检验"/>
      <sheetName val="2-数据检查"/>
      <sheetName val="1-原始数据"/>
      <sheetName val="0-累积不可用数据"/>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文档信息"/>
      <sheetName val="项目概述"/>
      <sheetName val="测试范围"/>
      <sheetName val="测试里程碑"/>
      <sheetName val="风险分析与规避"/>
      <sheetName val="资源进度计划"/>
      <sheetName val="资源附表"/>
      <sheetName val="资源投入估算"/>
      <sheetName val="SIT&amp;UAT详细计划"/>
      <sheetName val="测试方法"/>
      <sheetName val="测试组织与策略"/>
      <sheetName val="规约"/>
      <sheetName val="测试估算"/>
      <sheetName val="变更差异"/>
      <sheetName val="质量度量标准"/>
      <sheetName val="测试角色职责表"/>
      <sheetName val="参考及交付文献"/>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指导说明"/>
      <sheetName val="修改记录"/>
      <sheetName val="评审记录表"/>
    </sheetNames>
    <sheetDataSet>
      <sheetData sheetId="0" refreshError="1"/>
      <sheetData sheetId="1" refreshError="1"/>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发行控制"/>
      <sheetName val="使用指南"/>
      <sheetName val="文件编写导则"/>
      <sheetName val="附录1"/>
      <sheetName val="附录2"/>
    </sheetNames>
    <sheetDataSet>
      <sheetData sheetId="0" refreshError="1"/>
      <sheetData sheetId="1" refreshError="1"/>
      <sheetData sheetId="2" refreshError="1"/>
      <sheetData sheetId="3" refreshError="1"/>
      <sheetData sheetId="4"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目录"/>
      <sheetName val="总体计划"/>
      <sheetName val="人员计划"/>
      <sheetName val="培训计划"/>
      <sheetName val="进度计划"/>
    </sheetNames>
    <sheetDataSet>
      <sheetData sheetId="0" refreshError="1"/>
      <sheetData sheetId="1" refreshError="1"/>
      <sheetData sheetId="2" refreshError="1"/>
      <sheetData sheetId="3" refreshError="1"/>
      <sheetData sheetId="4"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过程产出缺陷度量"/>
    </sheetNames>
    <sheetDataSet>
      <sheetData sheetId="0">
        <row r="152">
          <cell r="F152" t="str">
            <v>LOL</v>
          </cell>
          <cell r="G152" t="str">
            <v>OL</v>
          </cell>
          <cell r="H152" t="str">
            <v>UOL</v>
          </cell>
        </row>
        <row r="153">
          <cell r="A153" t="str">
            <v>迭代1</v>
          </cell>
          <cell r="F153">
            <v>0</v>
          </cell>
          <cell r="G153">
            <v>7.7510000000000003</v>
          </cell>
          <cell r="H153">
            <v>21.382999999999999</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B_DATA_"/>
      <sheetName val="报告封面"/>
      <sheetName val="目录"/>
      <sheetName val="填写说明"/>
      <sheetName val="项目属性"/>
      <sheetName val="项目度量分析计划"/>
      <sheetName val="预测-结果"/>
      <sheetName val="预测-指导"/>
      <sheetName val="总模型"/>
      <sheetName val="迭代模型"/>
      <sheetName val="需求"/>
      <sheetName val="工作量分布"/>
      <sheetName val="规模"/>
      <sheetName val="项目进度"/>
      <sheetName val="过程产出缺陷度量"/>
      <sheetName val="测试及验收缺陷度量"/>
      <sheetName val="人员统计"/>
      <sheetName val="人员基本信息"/>
      <sheetName val="根因分析"/>
      <sheetName val="模型数据检查"/>
      <sheetName val="附录-节假日"/>
      <sheetName val="质量"/>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4">
          <cell r="C4" t="str">
            <v>叶苏莲</v>
          </cell>
          <cell r="J4" t="str">
            <v>N/A</v>
          </cell>
        </row>
        <row r="5">
          <cell r="C5" t="str">
            <v>赵俊</v>
          </cell>
          <cell r="J5" t="str">
            <v>N/A</v>
          </cell>
        </row>
        <row r="6">
          <cell r="C6" t="str">
            <v>吴可帆</v>
          </cell>
          <cell r="J6" t="str">
            <v>N/A</v>
          </cell>
        </row>
        <row r="7">
          <cell r="C7" t="str">
            <v>吴赛清</v>
          </cell>
        </row>
        <row r="8">
          <cell r="C8" t="str">
            <v>李婷</v>
          </cell>
        </row>
        <row r="9">
          <cell r="C9" t="str">
            <v>周小军</v>
          </cell>
        </row>
        <row r="10">
          <cell r="C10" t="str">
            <v>吴佳红</v>
          </cell>
        </row>
        <row r="11">
          <cell r="C11" t="str">
            <v>张涵</v>
          </cell>
        </row>
        <row r="12">
          <cell r="C12" t="str">
            <v>司乾义</v>
          </cell>
        </row>
        <row r="13">
          <cell r="C13" t="str">
            <v>刘艳玲</v>
          </cell>
        </row>
        <row r="14">
          <cell r="C14" t="str">
            <v>严晓婷</v>
          </cell>
        </row>
        <row r="15">
          <cell r="C15" t="str">
            <v>陈都</v>
          </cell>
        </row>
        <row r="16">
          <cell r="C16" t="str">
            <v>骆宣霏</v>
          </cell>
        </row>
      </sheetData>
      <sheetData sheetId="18"/>
      <sheetData sheetId="19"/>
      <sheetData sheetId="20"/>
      <sheetData sheetId="21"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9.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10.vml"/><Relationship Id="rId1" Type="http://schemas.openxmlformats.org/officeDocument/2006/relationships/drawing" Target="../drawings/drawing6.xml"/><Relationship Id="rId5" Type="http://schemas.openxmlformats.org/officeDocument/2006/relationships/comments" Target="../comments9.xml"/><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18" Type="http://schemas.openxmlformats.org/officeDocument/2006/relationships/ctrlProp" Target="../ctrlProps/ctrlProp20.xml"/><Relationship Id="rId26" Type="http://schemas.openxmlformats.org/officeDocument/2006/relationships/ctrlProp" Target="../ctrlProps/ctrlProp28.xml"/><Relationship Id="rId3" Type="http://schemas.openxmlformats.org/officeDocument/2006/relationships/ctrlProp" Target="../ctrlProps/ctrlProp5.xml"/><Relationship Id="rId21" Type="http://schemas.openxmlformats.org/officeDocument/2006/relationships/ctrlProp" Target="../ctrlProps/ctrlProp23.xml"/><Relationship Id="rId7" Type="http://schemas.openxmlformats.org/officeDocument/2006/relationships/ctrlProp" Target="../ctrlProps/ctrlProp9.xml"/><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33" Type="http://schemas.openxmlformats.org/officeDocument/2006/relationships/comments" Target="../comments10.xml"/><Relationship Id="rId2" Type="http://schemas.openxmlformats.org/officeDocument/2006/relationships/vmlDrawing" Target="../drawings/vmlDrawing11.vml"/><Relationship Id="rId16" Type="http://schemas.openxmlformats.org/officeDocument/2006/relationships/ctrlProp" Target="../ctrlProps/ctrlProp18.xml"/><Relationship Id="rId20" Type="http://schemas.openxmlformats.org/officeDocument/2006/relationships/ctrlProp" Target="../ctrlProps/ctrlProp22.xml"/><Relationship Id="rId29" Type="http://schemas.openxmlformats.org/officeDocument/2006/relationships/ctrlProp" Target="../ctrlProps/ctrlProp31.xml"/><Relationship Id="rId1" Type="http://schemas.openxmlformats.org/officeDocument/2006/relationships/drawing" Target="../drawings/drawing7.xml"/><Relationship Id="rId6" Type="http://schemas.openxmlformats.org/officeDocument/2006/relationships/ctrlProp" Target="../ctrlProps/ctrlProp8.xml"/><Relationship Id="rId11" Type="http://schemas.openxmlformats.org/officeDocument/2006/relationships/ctrlProp" Target="../ctrlProps/ctrlProp13.xml"/><Relationship Id="rId24" Type="http://schemas.openxmlformats.org/officeDocument/2006/relationships/ctrlProp" Target="../ctrlProps/ctrlProp26.xml"/><Relationship Id="rId32" Type="http://schemas.openxmlformats.org/officeDocument/2006/relationships/ctrlProp" Target="../ctrlProps/ctrlProp34.xml"/><Relationship Id="rId5" Type="http://schemas.openxmlformats.org/officeDocument/2006/relationships/ctrlProp" Target="../ctrlProps/ctrlProp7.xml"/><Relationship Id="rId15" Type="http://schemas.openxmlformats.org/officeDocument/2006/relationships/ctrlProp" Target="../ctrlProps/ctrlProp17.xml"/><Relationship Id="rId23" Type="http://schemas.openxmlformats.org/officeDocument/2006/relationships/ctrlProp" Target="../ctrlProps/ctrlProp25.xml"/><Relationship Id="rId28" Type="http://schemas.openxmlformats.org/officeDocument/2006/relationships/ctrlProp" Target="../ctrlProps/ctrlProp30.xml"/><Relationship Id="rId10" Type="http://schemas.openxmlformats.org/officeDocument/2006/relationships/ctrlProp" Target="../ctrlProps/ctrlProp12.xml"/><Relationship Id="rId19" Type="http://schemas.openxmlformats.org/officeDocument/2006/relationships/ctrlProp" Target="../ctrlProps/ctrlProp21.xml"/><Relationship Id="rId31" Type="http://schemas.openxmlformats.org/officeDocument/2006/relationships/ctrlProp" Target="../ctrlProps/ctrlProp33.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 Id="rId22" Type="http://schemas.openxmlformats.org/officeDocument/2006/relationships/ctrlProp" Target="../ctrlProps/ctrlProp24.xml"/><Relationship Id="rId27" Type="http://schemas.openxmlformats.org/officeDocument/2006/relationships/ctrlProp" Target="../ctrlProps/ctrlProp29.xml"/><Relationship Id="rId30" Type="http://schemas.openxmlformats.org/officeDocument/2006/relationships/ctrlProp" Target="../ctrlProps/ctrlProp32.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40.xml"/><Relationship Id="rId3" Type="http://schemas.openxmlformats.org/officeDocument/2006/relationships/ctrlProp" Target="../ctrlProps/ctrlProp35.xml"/><Relationship Id="rId7" Type="http://schemas.openxmlformats.org/officeDocument/2006/relationships/ctrlProp" Target="../ctrlProps/ctrlProp39.xml"/><Relationship Id="rId2" Type="http://schemas.openxmlformats.org/officeDocument/2006/relationships/vmlDrawing" Target="../drawings/vmlDrawing12.vml"/><Relationship Id="rId1" Type="http://schemas.openxmlformats.org/officeDocument/2006/relationships/drawing" Target="../drawings/drawing8.xml"/><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 Id="rId9" Type="http://schemas.openxmlformats.org/officeDocument/2006/relationships/comments" Target="../comments11.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41.xml"/><Relationship Id="rId7"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drawing" Target="../drawings/drawing9.xml"/><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10007"/>
  <sheetViews>
    <sheetView workbookViewId="0"/>
  </sheetViews>
  <sheetFormatPr defaultColWidth="9" defaultRowHeight="13.5"/>
  <cols>
    <col min="1" max="10" width="36.625" customWidth="1"/>
  </cols>
  <sheetData>
    <row r="1" spans="1:16">
      <c r="A1" s="687" t="s">
        <v>0</v>
      </c>
    </row>
    <row r="2" spans="1:16">
      <c r="P2">
        <f ca="1">_xll.CB.RecalcCounterFN()</f>
        <v>0</v>
      </c>
    </row>
    <row r="3" spans="1:16">
      <c r="A3" t="s">
        <v>1</v>
      </c>
      <c r="B3" t="s">
        <v>2</v>
      </c>
      <c r="C3">
        <v>0</v>
      </c>
    </row>
    <row r="4" spans="1:16">
      <c r="A4" t="s">
        <v>3</v>
      </c>
    </row>
    <row r="5" spans="1:16">
      <c r="A5" t="s">
        <v>4</v>
      </c>
    </row>
    <row r="7" spans="1:16">
      <c r="A7" s="687" t="s">
        <v>5</v>
      </c>
      <c r="B7" t="s">
        <v>6</v>
      </c>
    </row>
    <row r="8" spans="1:16">
      <c r="B8">
        <v>5</v>
      </c>
    </row>
    <row r="10" spans="1:16">
      <c r="A10" t="s">
        <v>7</v>
      </c>
    </row>
    <row r="11" spans="1:16">
      <c r="A11" t="e">
        <f>CB_DATA_!#REF!</f>
        <v>#REF!</v>
      </c>
      <c r="D11" t="e">
        <f>迭代模型!#REF!</f>
        <v>#REF!</v>
      </c>
      <c r="E11" t="e">
        <f>总模型!#REF!</f>
        <v>#REF!</v>
      </c>
    </row>
    <row r="13" spans="1:16">
      <c r="A13" t="s">
        <v>8</v>
      </c>
    </row>
    <row r="14" spans="1:16">
      <c r="A14" t="s">
        <v>9</v>
      </c>
      <c r="D14" s="688" t="s">
        <v>10</v>
      </c>
      <c r="E14" s="688" t="s">
        <v>11</v>
      </c>
    </row>
    <row r="16" spans="1:16">
      <c r="A16" t="s">
        <v>12</v>
      </c>
    </row>
    <row r="17" spans="1:5">
      <c r="D17">
        <v>0</v>
      </c>
      <c r="E17">
        <v>0</v>
      </c>
    </row>
    <row r="19" spans="1:5">
      <c r="A19" t="s">
        <v>13</v>
      </c>
    </row>
    <row r="20" spans="1:5">
      <c r="A20">
        <v>31</v>
      </c>
      <c r="D20">
        <v>34</v>
      </c>
      <c r="E20">
        <v>34</v>
      </c>
    </row>
    <row r="25" spans="1:5">
      <c r="A25" s="687" t="s">
        <v>14</v>
      </c>
    </row>
    <row r="26" spans="1:5">
      <c r="A26" s="688" t="s">
        <v>15</v>
      </c>
      <c r="D26" s="688" t="s">
        <v>16</v>
      </c>
      <c r="E26" s="688" t="s">
        <v>16</v>
      </c>
    </row>
    <row r="27" spans="1:5">
      <c r="A27" t="s">
        <v>17</v>
      </c>
      <c r="D27" t="s">
        <v>18</v>
      </c>
      <c r="E27" t="s">
        <v>19</v>
      </c>
    </row>
    <row r="28" spans="1:5">
      <c r="A28" s="688" t="s">
        <v>20</v>
      </c>
      <c r="D28" s="688" t="s">
        <v>20</v>
      </c>
      <c r="E28" s="688" t="s">
        <v>20</v>
      </c>
    </row>
    <row r="29" spans="1:5">
      <c r="A29" s="688" t="s">
        <v>21</v>
      </c>
      <c r="D29" s="688" t="s">
        <v>15</v>
      </c>
      <c r="E29" s="688" t="s">
        <v>15</v>
      </c>
    </row>
    <row r="30" spans="1:5">
      <c r="A30" t="s">
        <v>22</v>
      </c>
      <c r="D30" t="s">
        <v>23</v>
      </c>
      <c r="E30" t="s">
        <v>23</v>
      </c>
    </row>
    <row r="31" spans="1:5">
      <c r="A31" s="688" t="s">
        <v>24</v>
      </c>
      <c r="D31" s="688" t="s">
        <v>20</v>
      </c>
      <c r="E31" s="688" t="s">
        <v>20</v>
      </c>
    </row>
    <row r="32" spans="1:5">
      <c r="D32" s="688" t="s">
        <v>25</v>
      </c>
      <c r="E32" s="688" t="s">
        <v>25</v>
      </c>
    </row>
    <row r="33" spans="4:5">
      <c r="D33" t="s">
        <v>26</v>
      </c>
      <c r="E33" t="s">
        <v>27</v>
      </c>
    </row>
    <row r="34" spans="4:5">
      <c r="D34" s="688" t="s">
        <v>20</v>
      </c>
      <c r="E34" s="688" t="s">
        <v>20</v>
      </c>
    </row>
    <row r="10000" spans="1:1">
      <c r="A10000" t="s">
        <v>28</v>
      </c>
    </row>
    <row r="10001" spans="1:1">
      <c r="A10001" t="b">
        <f>"{0.CERTAINTY(0.4,0.6)}"&gt;=0.9</f>
        <v>1</v>
      </c>
    </row>
    <row r="10002" spans="1:1">
      <c r="A10002" t="b">
        <f>"{0.CERTAINTY(0.2718,0.67)}"&gt;=0.9</f>
        <v>1</v>
      </c>
    </row>
    <row r="10003" spans="1:1">
      <c r="A10003" t="b">
        <f>"{0.CERTAINTY(0,0.054)}"&gt;=0.9</f>
        <v>1</v>
      </c>
    </row>
    <row r="10007" spans="1:1">
      <c r="A10007" t="str">
        <f>"{0.CERTAINTY(-1.11E+307,0.396)}"</f>
        <v>{0.CERTAINTY(-1.11E+307,0.396)}</v>
      </c>
    </row>
  </sheetData>
  <phoneticPr fontId="150" type="noConversion"/>
  <pageMargins left="0.69930555555555596" right="0.69930555555555596"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22"/>
  <sheetViews>
    <sheetView showGridLines="0" topLeftCell="A10" workbookViewId="0">
      <selection activeCell="N13" sqref="N13"/>
    </sheetView>
  </sheetViews>
  <sheetFormatPr defaultColWidth="9" defaultRowHeight="12"/>
  <cols>
    <col min="1" max="1" width="15.625" style="57" customWidth="1"/>
    <col min="2" max="2" width="14.25" style="57" customWidth="1"/>
    <col min="3" max="3" width="11.625" style="57" customWidth="1"/>
    <col min="4" max="5" width="9" style="57"/>
    <col min="6" max="6" width="26.375" style="57" customWidth="1"/>
    <col min="7" max="256" width="9" style="57"/>
    <col min="257" max="257" width="15.625" style="57" customWidth="1"/>
    <col min="258" max="258" width="14.25" style="57" customWidth="1"/>
    <col min="259" max="259" width="11.625" style="57" customWidth="1"/>
    <col min="260" max="261" width="9" style="57"/>
    <col min="262" max="262" width="26.375" style="57" customWidth="1"/>
    <col min="263" max="512" width="9" style="57"/>
    <col min="513" max="513" width="15.625" style="57" customWidth="1"/>
    <col min="514" max="514" width="14.25" style="57" customWidth="1"/>
    <col min="515" max="515" width="11.625" style="57" customWidth="1"/>
    <col min="516" max="517" width="9" style="57"/>
    <col min="518" max="518" width="26.375" style="57" customWidth="1"/>
    <col min="519" max="768" width="9" style="57"/>
    <col min="769" max="769" width="15.625" style="57" customWidth="1"/>
    <col min="770" max="770" width="14.25" style="57" customWidth="1"/>
    <col min="771" max="771" width="11.625" style="57" customWidth="1"/>
    <col min="772" max="773" width="9" style="57"/>
    <col min="774" max="774" width="26.375" style="57" customWidth="1"/>
    <col min="775" max="1024" width="9" style="57"/>
    <col min="1025" max="1025" width="15.625" style="57" customWidth="1"/>
    <col min="1026" max="1026" width="14.25" style="57" customWidth="1"/>
    <col min="1027" max="1027" width="11.625" style="57" customWidth="1"/>
    <col min="1028" max="1029" width="9" style="57"/>
    <col min="1030" max="1030" width="26.375" style="57" customWidth="1"/>
    <col min="1031" max="1280" width="9" style="57"/>
    <col min="1281" max="1281" width="15.625" style="57" customWidth="1"/>
    <col min="1282" max="1282" width="14.25" style="57" customWidth="1"/>
    <col min="1283" max="1283" width="11.625" style="57" customWidth="1"/>
    <col min="1284" max="1285" width="9" style="57"/>
    <col min="1286" max="1286" width="26.375" style="57" customWidth="1"/>
    <col min="1287" max="1536" width="9" style="57"/>
    <col min="1537" max="1537" width="15.625" style="57" customWidth="1"/>
    <col min="1538" max="1538" width="14.25" style="57" customWidth="1"/>
    <col min="1539" max="1539" width="11.625" style="57" customWidth="1"/>
    <col min="1540" max="1541" width="9" style="57"/>
    <col min="1542" max="1542" width="26.375" style="57" customWidth="1"/>
    <col min="1543" max="1792" width="9" style="57"/>
    <col min="1793" max="1793" width="15.625" style="57" customWidth="1"/>
    <col min="1794" max="1794" width="14.25" style="57" customWidth="1"/>
    <col min="1795" max="1795" width="11.625" style="57" customWidth="1"/>
    <col min="1796" max="1797" width="9" style="57"/>
    <col min="1798" max="1798" width="26.375" style="57" customWidth="1"/>
    <col min="1799" max="2048" width="9" style="57"/>
    <col min="2049" max="2049" width="15.625" style="57" customWidth="1"/>
    <col min="2050" max="2050" width="14.25" style="57" customWidth="1"/>
    <col min="2051" max="2051" width="11.625" style="57" customWidth="1"/>
    <col min="2052" max="2053" width="9" style="57"/>
    <col min="2054" max="2054" width="26.375" style="57" customWidth="1"/>
    <col min="2055" max="2304" width="9" style="57"/>
    <col min="2305" max="2305" width="15.625" style="57" customWidth="1"/>
    <col min="2306" max="2306" width="14.25" style="57" customWidth="1"/>
    <col min="2307" max="2307" width="11.625" style="57" customWidth="1"/>
    <col min="2308" max="2309" width="9" style="57"/>
    <col min="2310" max="2310" width="26.375" style="57" customWidth="1"/>
    <col min="2311" max="2560" width="9" style="57"/>
    <col min="2561" max="2561" width="15.625" style="57" customWidth="1"/>
    <col min="2562" max="2562" width="14.25" style="57" customWidth="1"/>
    <col min="2563" max="2563" width="11.625" style="57" customWidth="1"/>
    <col min="2564" max="2565" width="9" style="57"/>
    <col min="2566" max="2566" width="26.375" style="57" customWidth="1"/>
    <col min="2567" max="2816" width="9" style="57"/>
    <col min="2817" max="2817" width="15.625" style="57" customWidth="1"/>
    <col min="2818" max="2818" width="14.25" style="57" customWidth="1"/>
    <col min="2819" max="2819" width="11.625" style="57" customWidth="1"/>
    <col min="2820" max="2821" width="9" style="57"/>
    <col min="2822" max="2822" width="26.375" style="57" customWidth="1"/>
    <col min="2823" max="3072" width="9" style="57"/>
    <col min="3073" max="3073" width="15.625" style="57" customWidth="1"/>
    <col min="3074" max="3074" width="14.25" style="57" customWidth="1"/>
    <col min="3075" max="3075" width="11.625" style="57" customWidth="1"/>
    <col min="3076" max="3077" width="9" style="57"/>
    <col min="3078" max="3078" width="26.375" style="57" customWidth="1"/>
    <col min="3079" max="3328" width="9" style="57"/>
    <col min="3329" max="3329" width="15.625" style="57" customWidth="1"/>
    <col min="3330" max="3330" width="14.25" style="57" customWidth="1"/>
    <col min="3331" max="3331" width="11.625" style="57" customWidth="1"/>
    <col min="3332" max="3333" width="9" style="57"/>
    <col min="3334" max="3334" width="26.375" style="57" customWidth="1"/>
    <col min="3335" max="3584" width="9" style="57"/>
    <col min="3585" max="3585" width="15.625" style="57" customWidth="1"/>
    <col min="3586" max="3586" width="14.25" style="57" customWidth="1"/>
    <col min="3587" max="3587" width="11.625" style="57" customWidth="1"/>
    <col min="3588" max="3589" width="9" style="57"/>
    <col min="3590" max="3590" width="26.375" style="57" customWidth="1"/>
    <col min="3591" max="3840" width="9" style="57"/>
    <col min="3841" max="3841" width="15.625" style="57" customWidth="1"/>
    <col min="3842" max="3842" width="14.25" style="57" customWidth="1"/>
    <col min="3843" max="3843" width="11.625" style="57" customWidth="1"/>
    <col min="3844" max="3845" width="9" style="57"/>
    <col min="3846" max="3846" width="26.375" style="57" customWidth="1"/>
    <col min="3847" max="4096" width="9" style="57"/>
    <col min="4097" max="4097" width="15.625" style="57" customWidth="1"/>
    <col min="4098" max="4098" width="14.25" style="57" customWidth="1"/>
    <col min="4099" max="4099" width="11.625" style="57" customWidth="1"/>
    <col min="4100" max="4101" width="9" style="57"/>
    <col min="4102" max="4102" width="26.375" style="57" customWidth="1"/>
    <col min="4103" max="4352" width="9" style="57"/>
    <col min="4353" max="4353" width="15.625" style="57" customWidth="1"/>
    <col min="4354" max="4354" width="14.25" style="57" customWidth="1"/>
    <col min="4355" max="4355" width="11.625" style="57" customWidth="1"/>
    <col min="4356" max="4357" width="9" style="57"/>
    <col min="4358" max="4358" width="26.375" style="57" customWidth="1"/>
    <col min="4359" max="4608" width="9" style="57"/>
    <col min="4609" max="4609" width="15.625" style="57" customWidth="1"/>
    <col min="4610" max="4610" width="14.25" style="57" customWidth="1"/>
    <col min="4611" max="4611" width="11.625" style="57" customWidth="1"/>
    <col min="4612" max="4613" width="9" style="57"/>
    <col min="4614" max="4614" width="26.375" style="57" customWidth="1"/>
    <col min="4615" max="4864" width="9" style="57"/>
    <col min="4865" max="4865" width="15.625" style="57" customWidth="1"/>
    <col min="4866" max="4866" width="14.25" style="57" customWidth="1"/>
    <col min="4867" max="4867" width="11.625" style="57" customWidth="1"/>
    <col min="4868" max="4869" width="9" style="57"/>
    <col min="4870" max="4870" width="26.375" style="57" customWidth="1"/>
    <col min="4871" max="5120" width="9" style="57"/>
    <col min="5121" max="5121" width="15.625" style="57" customWidth="1"/>
    <col min="5122" max="5122" width="14.25" style="57" customWidth="1"/>
    <col min="5123" max="5123" width="11.625" style="57" customWidth="1"/>
    <col min="5124" max="5125" width="9" style="57"/>
    <col min="5126" max="5126" width="26.375" style="57" customWidth="1"/>
    <col min="5127" max="5376" width="9" style="57"/>
    <col min="5377" max="5377" width="15.625" style="57" customWidth="1"/>
    <col min="5378" max="5378" width="14.25" style="57" customWidth="1"/>
    <col min="5379" max="5379" width="11.625" style="57" customWidth="1"/>
    <col min="5380" max="5381" width="9" style="57"/>
    <col min="5382" max="5382" width="26.375" style="57" customWidth="1"/>
    <col min="5383" max="5632" width="9" style="57"/>
    <col min="5633" max="5633" width="15.625" style="57" customWidth="1"/>
    <col min="5634" max="5634" width="14.25" style="57" customWidth="1"/>
    <col min="5635" max="5635" width="11.625" style="57" customWidth="1"/>
    <col min="5636" max="5637" width="9" style="57"/>
    <col min="5638" max="5638" width="26.375" style="57" customWidth="1"/>
    <col min="5639" max="5888" width="9" style="57"/>
    <col min="5889" max="5889" width="15.625" style="57" customWidth="1"/>
    <col min="5890" max="5890" width="14.25" style="57" customWidth="1"/>
    <col min="5891" max="5891" width="11.625" style="57" customWidth="1"/>
    <col min="5892" max="5893" width="9" style="57"/>
    <col min="5894" max="5894" width="26.375" style="57" customWidth="1"/>
    <col min="5895" max="6144" width="9" style="57"/>
    <col min="6145" max="6145" width="15.625" style="57" customWidth="1"/>
    <col min="6146" max="6146" width="14.25" style="57" customWidth="1"/>
    <col min="6147" max="6147" width="11.625" style="57" customWidth="1"/>
    <col min="6148" max="6149" width="9" style="57"/>
    <col min="6150" max="6150" width="26.375" style="57" customWidth="1"/>
    <col min="6151" max="6400" width="9" style="57"/>
    <col min="6401" max="6401" width="15.625" style="57" customWidth="1"/>
    <col min="6402" max="6402" width="14.25" style="57" customWidth="1"/>
    <col min="6403" max="6403" width="11.625" style="57" customWidth="1"/>
    <col min="6404" max="6405" width="9" style="57"/>
    <col min="6406" max="6406" width="26.375" style="57" customWidth="1"/>
    <col min="6407" max="6656" width="9" style="57"/>
    <col min="6657" max="6657" width="15.625" style="57" customWidth="1"/>
    <col min="6658" max="6658" width="14.25" style="57" customWidth="1"/>
    <col min="6659" max="6659" width="11.625" style="57" customWidth="1"/>
    <col min="6660" max="6661" width="9" style="57"/>
    <col min="6662" max="6662" width="26.375" style="57" customWidth="1"/>
    <col min="6663" max="6912" width="9" style="57"/>
    <col min="6913" max="6913" width="15.625" style="57" customWidth="1"/>
    <col min="6914" max="6914" width="14.25" style="57" customWidth="1"/>
    <col min="6915" max="6915" width="11.625" style="57" customWidth="1"/>
    <col min="6916" max="6917" width="9" style="57"/>
    <col min="6918" max="6918" width="26.375" style="57" customWidth="1"/>
    <col min="6919" max="7168" width="9" style="57"/>
    <col min="7169" max="7169" width="15.625" style="57" customWidth="1"/>
    <col min="7170" max="7170" width="14.25" style="57" customWidth="1"/>
    <col min="7171" max="7171" width="11.625" style="57" customWidth="1"/>
    <col min="7172" max="7173" width="9" style="57"/>
    <col min="7174" max="7174" width="26.375" style="57" customWidth="1"/>
    <col min="7175" max="7424" width="9" style="57"/>
    <col min="7425" max="7425" width="15.625" style="57" customWidth="1"/>
    <col min="7426" max="7426" width="14.25" style="57" customWidth="1"/>
    <col min="7427" max="7427" width="11.625" style="57" customWidth="1"/>
    <col min="7428" max="7429" width="9" style="57"/>
    <col min="7430" max="7430" width="26.375" style="57" customWidth="1"/>
    <col min="7431" max="7680" width="9" style="57"/>
    <col min="7681" max="7681" width="15.625" style="57" customWidth="1"/>
    <col min="7682" max="7682" width="14.25" style="57" customWidth="1"/>
    <col min="7683" max="7683" width="11.625" style="57" customWidth="1"/>
    <col min="7684" max="7685" width="9" style="57"/>
    <col min="7686" max="7686" width="26.375" style="57" customWidth="1"/>
    <col min="7687" max="7936" width="9" style="57"/>
    <col min="7937" max="7937" width="15.625" style="57" customWidth="1"/>
    <col min="7938" max="7938" width="14.25" style="57" customWidth="1"/>
    <col min="7939" max="7939" width="11.625" style="57" customWidth="1"/>
    <col min="7940" max="7941" width="9" style="57"/>
    <col min="7942" max="7942" width="26.375" style="57" customWidth="1"/>
    <col min="7943" max="8192" width="9" style="57"/>
    <col min="8193" max="8193" width="15.625" style="57" customWidth="1"/>
    <col min="8194" max="8194" width="14.25" style="57" customWidth="1"/>
    <col min="8195" max="8195" width="11.625" style="57" customWidth="1"/>
    <col min="8196" max="8197" width="9" style="57"/>
    <col min="8198" max="8198" width="26.375" style="57" customWidth="1"/>
    <col min="8199" max="8448" width="9" style="57"/>
    <col min="8449" max="8449" width="15.625" style="57" customWidth="1"/>
    <col min="8450" max="8450" width="14.25" style="57" customWidth="1"/>
    <col min="8451" max="8451" width="11.625" style="57" customWidth="1"/>
    <col min="8452" max="8453" width="9" style="57"/>
    <col min="8454" max="8454" width="26.375" style="57" customWidth="1"/>
    <col min="8455" max="8704" width="9" style="57"/>
    <col min="8705" max="8705" width="15.625" style="57" customWidth="1"/>
    <col min="8706" max="8706" width="14.25" style="57" customWidth="1"/>
    <col min="8707" max="8707" width="11.625" style="57" customWidth="1"/>
    <col min="8708" max="8709" width="9" style="57"/>
    <col min="8710" max="8710" width="26.375" style="57" customWidth="1"/>
    <col min="8711" max="8960" width="9" style="57"/>
    <col min="8961" max="8961" width="15.625" style="57" customWidth="1"/>
    <col min="8962" max="8962" width="14.25" style="57" customWidth="1"/>
    <col min="8963" max="8963" width="11.625" style="57" customWidth="1"/>
    <col min="8964" max="8965" width="9" style="57"/>
    <col min="8966" max="8966" width="26.375" style="57" customWidth="1"/>
    <col min="8967" max="9216" width="9" style="57"/>
    <col min="9217" max="9217" width="15.625" style="57" customWidth="1"/>
    <col min="9218" max="9218" width="14.25" style="57" customWidth="1"/>
    <col min="9219" max="9219" width="11.625" style="57" customWidth="1"/>
    <col min="9220" max="9221" width="9" style="57"/>
    <col min="9222" max="9222" width="26.375" style="57" customWidth="1"/>
    <col min="9223" max="9472" width="9" style="57"/>
    <col min="9473" max="9473" width="15.625" style="57" customWidth="1"/>
    <col min="9474" max="9474" width="14.25" style="57" customWidth="1"/>
    <col min="9475" max="9475" width="11.625" style="57" customWidth="1"/>
    <col min="9476" max="9477" width="9" style="57"/>
    <col min="9478" max="9478" width="26.375" style="57" customWidth="1"/>
    <col min="9479" max="9728" width="9" style="57"/>
    <col min="9729" max="9729" width="15.625" style="57" customWidth="1"/>
    <col min="9730" max="9730" width="14.25" style="57" customWidth="1"/>
    <col min="9731" max="9731" width="11.625" style="57" customWidth="1"/>
    <col min="9732" max="9733" width="9" style="57"/>
    <col min="9734" max="9734" width="26.375" style="57" customWidth="1"/>
    <col min="9735" max="9984" width="9" style="57"/>
    <col min="9985" max="9985" width="15.625" style="57" customWidth="1"/>
    <col min="9986" max="9986" width="14.25" style="57" customWidth="1"/>
    <col min="9987" max="9987" width="11.625" style="57" customWidth="1"/>
    <col min="9988" max="9989" width="9" style="57"/>
    <col min="9990" max="9990" width="26.375" style="57" customWidth="1"/>
    <col min="9991" max="10240" width="9" style="57"/>
    <col min="10241" max="10241" width="15.625" style="57" customWidth="1"/>
    <col min="10242" max="10242" width="14.25" style="57" customWidth="1"/>
    <col min="10243" max="10243" width="11.625" style="57" customWidth="1"/>
    <col min="10244" max="10245" width="9" style="57"/>
    <col min="10246" max="10246" width="26.375" style="57" customWidth="1"/>
    <col min="10247" max="10496" width="9" style="57"/>
    <col min="10497" max="10497" width="15.625" style="57" customWidth="1"/>
    <col min="10498" max="10498" width="14.25" style="57" customWidth="1"/>
    <col min="10499" max="10499" width="11.625" style="57" customWidth="1"/>
    <col min="10500" max="10501" width="9" style="57"/>
    <col min="10502" max="10502" width="26.375" style="57" customWidth="1"/>
    <col min="10503" max="10752" width="9" style="57"/>
    <col min="10753" max="10753" width="15.625" style="57" customWidth="1"/>
    <col min="10754" max="10754" width="14.25" style="57" customWidth="1"/>
    <col min="10755" max="10755" width="11.625" style="57" customWidth="1"/>
    <col min="10756" max="10757" width="9" style="57"/>
    <col min="10758" max="10758" width="26.375" style="57" customWidth="1"/>
    <col min="10759" max="11008" width="9" style="57"/>
    <col min="11009" max="11009" width="15.625" style="57" customWidth="1"/>
    <col min="11010" max="11010" width="14.25" style="57" customWidth="1"/>
    <col min="11011" max="11011" width="11.625" style="57" customWidth="1"/>
    <col min="11012" max="11013" width="9" style="57"/>
    <col min="11014" max="11014" width="26.375" style="57" customWidth="1"/>
    <col min="11015" max="11264" width="9" style="57"/>
    <col min="11265" max="11265" width="15.625" style="57" customWidth="1"/>
    <col min="11266" max="11266" width="14.25" style="57" customWidth="1"/>
    <col min="11267" max="11267" width="11.625" style="57" customWidth="1"/>
    <col min="11268" max="11269" width="9" style="57"/>
    <col min="11270" max="11270" width="26.375" style="57" customWidth="1"/>
    <col min="11271" max="11520" width="9" style="57"/>
    <col min="11521" max="11521" width="15.625" style="57" customWidth="1"/>
    <col min="11522" max="11522" width="14.25" style="57" customWidth="1"/>
    <col min="11523" max="11523" width="11.625" style="57" customWidth="1"/>
    <col min="11524" max="11525" width="9" style="57"/>
    <col min="11526" max="11526" width="26.375" style="57" customWidth="1"/>
    <col min="11527" max="11776" width="9" style="57"/>
    <col min="11777" max="11777" width="15.625" style="57" customWidth="1"/>
    <col min="11778" max="11778" width="14.25" style="57" customWidth="1"/>
    <col min="11779" max="11779" width="11.625" style="57" customWidth="1"/>
    <col min="11780" max="11781" width="9" style="57"/>
    <col min="11782" max="11782" width="26.375" style="57" customWidth="1"/>
    <col min="11783" max="12032" width="9" style="57"/>
    <col min="12033" max="12033" width="15.625" style="57" customWidth="1"/>
    <col min="12034" max="12034" width="14.25" style="57" customWidth="1"/>
    <col min="12035" max="12035" width="11.625" style="57" customWidth="1"/>
    <col min="12036" max="12037" width="9" style="57"/>
    <col min="12038" max="12038" width="26.375" style="57" customWidth="1"/>
    <col min="12039" max="12288" width="9" style="57"/>
    <col min="12289" max="12289" width="15.625" style="57" customWidth="1"/>
    <col min="12290" max="12290" width="14.25" style="57" customWidth="1"/>
    <col min="12291" max="12291" width="11.625" style="57" customWidth="1"/>
    <col min="12292" max="12293" width="9" style="57"/>
    <col min="12294" max="12294" width="26.375" style="57" customWidth="1"/>
    <col min="12295" max="12544" width="9" style="57"/>
    <col min="12545" max="12545" width="15.625" style="57" customWidth="1"/>
    <col min="12546" max="12546" width="14.25" style="57" customWidth="1"/>
    <col min="12547" max="12547" width="11.625" style="57" customWidth="1"/>
    <col min="12548" max="12549" width="9" style="57"/>
    <col min="12550" max="12550" width="26.375" style="57" customWidth="1"/>
    <col min="12551" max="12800" width="9" style="57"/>
    <col min="12801" max="12801" width="15.625" style="57" customWidth="1"/>
    <col min="12802" max="12802" width="14.25" style="57" customWidth="1"/>
    <col min="12803" max="12803" width="11.625" style="57" customWidth="1"/>
    <col min="12804" max="12805" width="9" style="57"/>
    <col min="12806" max="12806" width="26.375" style="57" customWidth="1"/>
    <col min="12807" max="13056" width="9" style="57"/>
    <col min="13057" max="13057" width="15.625" style="57" customWidth="1"/>
    <col min="13058" max="13058" width="14.25" style="57" customWidth="1"/>
    <col min="13059" max="13059" width="11.625" style="57" customWidth="1"/>
    <col min="13060" max="13061" width="9" style="57"/>
    <col min="13062" max="13062" width="26.375" style="57" customWidth="1"/>
    <col min="13063" max="13312" width="9" style="57"/>
    <col min="13313" max="13313" width="15.625" style="57" customWidth="1"/>
    <col min="13314" max="13314" width="14.25" style="57" customWidth="1"/>
    <col min="13315" max="13315" width="11.625" style="57" customWidth="1"/>
    <col min="13316" max="13317" width="9" style="57"/>
    <col min="13318" max="13318" width="26.375" style="57" customWidth="1"/>
    <col min="13319" max="13568" width="9" style="57"/>
    <col min="13569" max="13569" width="15.625" style="57" customWidth="1"/>
    <col min="13570" max="13570" width="14.25" style="57" customWidth="1"/>
    <col min="13571" max="13571" width="11.625" style="57" customWidth="1"/>
    <col min="13572" max="13573" width="9" style="57"/>
    <col min="13574" max="13574" width="26.375" style="57" customWidth="1"/>
    <col min="13575" max="13824" width="9" style="57"/>
    <col min="13825" max="13825" width="15.625" style="57" customWidth="1"/>
    <col min="13826" max="13826" width="14.25" style="57" customWidth="1"/>
    <col min="13827" max="13827" width="11.625" style="57" customWidth="1"/>
    <col min="13828" max="13829" width="9" style="57"/>
    <col min="13830" max="13830" width="26.375" style="57" customWidth="1"/>
    <col min="13831" max="14080" width="9" style="57"/>
    <col min="14081" max="14081" width="15.625" style="57" customWidth="1"/>
    <col min="14082" max="14082" width="14.25" style="57" customWidth="1"/>
    <col min="14083" max="14083" width="11.625" style="57" customWidth="1"/>
    <col min="14084" max="14085" width="9" style="57"/>
    <col min="14086" max="14086" width="26.375" style="57" customWidth="1"/>
    <col min="14087" max="14336" width="9" style="57"/>
    <col min="14337" max="14337" width="15.625" style="57" customWidth="1"/>
    <col min="14338" max="14338" width="14.25" style="57" customWidth="1"/>
    <col min="14339" max="14339" width="11.625" style="57" customWidth="1"/>
    <col min="14340" max="14341" width="9" style="57"/>
    <col min="14342" max="14342" width="26.375" style="57" customWidth="1"/>
    <col min="14343" max="14592" width="9" style="57"/>
    <col min="14593" max="14593" width="15.625" style="57" customWidth="1"/>
    <col min="14594" max="14594" width="14.25" style="57" customWidth="1"/>
    <col min="14595" max="14595" width="11.625" style="57" customWidth="1"/>
    <col min="14596" max="14597" width="9" style="57"/>
    <col min="14598" max="14598" width="26.375" style="57" customWidth="1"/>
    <col min="14599" max="14848" width="9" style="57"/>
    <col min="14849" max="14849" width="15.625" style="57" customWidth="1"/>
    <col min="14850" max="14850" width="14.25" style="57" customWidth="1"/>
    <col min="14851" max="14851" width="11.625" style="57" customWidth="1"/>
    <col min="14852" max="14853" width="9" style="57"/>
    <col min="14854" max="14854" width="26.375" style="57" customWidth="1"/>
    <col min="14855" max="15104" width="9" style="57"/>
    <col min="15105" max="15105" width="15.625" style="57" customWidth="1"/>
    <col min="15106" max="15106" width="14.25" style="57" customWidth="1"/>
    <col min="15107" max="15107" width="11.625" style="57" customWidth="1"/>
    <col min="15108" max="15109" width="9" style="57"/>
    <col min="15110" max="15110" width="26.375" style="57" customWidth="1"/>
    <col min="15111" max="15360" width="9" style="57"/>
    <col min="15361" max="15361" width="15.625" style="57" customWidth="1"/>
    <col min="15362" max="15362" width="14.25" style="57" customWidth="1"/>
    <col min="15363" max="15363" width="11.625" style="57" customWidth="1"/>
    <col min="15364" max="15365" width="9" style="57"/>
    <col min="15366" max="15366" width="26.375" style="57" customWidth="1"/>
    <col min="15367" max="15616" width="9" style="57"/>
    <col min="15617" max="15617" width="15.625" style="57" customWidth="1"/>
    <col min="15618" max="15618" width="14.25" style="57" customWidth="1"/>
    <col min="15619" max="15619" width="11.625" style="57" customWidth="1"/>
    <col min="15620" max="15621" width="9" style="57"/>
    <col min="15622" max="15622" width="26.375" style="57" customWidth="1"/>
    <col min="15623" max="15872" width="9" style="57"/>
    <col min="15873" max="15873" width="15.625" style="57" customWidth="1"/>
    <col min="15874" max="15874" width="14.25" style="57" customWidth="1"/>
    <col min="15875" max="15875" width="11.625" style="57" customWidth="1"/>
    <col min="15876" max="15877" width="9" style="57"/>
    <col min="15878" max="15878" width="26.375" style="57" customWidth="1"/>
    <col min="15879" max="16128" width="9" style="57"/>
    <col min="16129" max="16129" width="15.625" style="57" customWidth="1"/>
    <col min="16130" max="16130" width="14.25" style="57" customWidth="1"/>
    <col min="16131" max="16131" width="11.625" style="57" customWidth="1"/>
    <col min="16132" max="16133" width="9" style="57"/>
    <col min="16134" max="16134" width="26.375" style="57" customWidth="1"/>
    <col min="16135" max="16384" width="9" style="57"/>
  </cols>
  <sheetData>
    <row r="1" spans="1:6">
      <c r="A1" s="720" t="s">
        <v>29</v>
      </c>
      <c r="B1" s="720"/>
      <c r="C1" s="720"/>
      <c r="D1" s="720"/>
      <c r="E1" s="720"/>
      <c r="F1" s="720"/>
    </row>
    <row r="2" spans="1:6">
      <c r="A2" s="720"/>
      <c r="B2" s="720"/>
      <c r="C2" s="720"/>
      <c r="D2" s="720"/>
      <c r="E2" s="720"/>
      <c r="F2" s="720"/>
    </row>
    <row r="3" spans="1:6" ht="15" customHeight="1">
      <c r="A3" s="672"/>
      <c r="B3" s="672"/>
      <c r="C3" s="672"/>
      <c r="D3" s="672"/>
      <c r="E3" s="672"/>
      <c r="F3" s="672"/>
    </row>
    <row r="4" spans="1:6">
      <c r="A4" s="174"/>
      <c r="B4" s="721" t="s">
        <v>30</v>
      </c>
      <c r="C4" s="721"/>
      <c r="D4" s="721"/>
      <c r="E4" s="721"/>
      <c r="F4" s="721"/>
    </row>
    <row r="5" spans="1:6" ht="13.5">
      <c r="A5" s="174"/>
      <c r="B5" s="673" t="s">
        <v>31</v>
      </c>
      <c r="C5" s="673" t="s">
        <v>32</v>
      </c>
      <c r="D5" s="674" t="s">
        <v>33</v>
      </c>
      <c r="E5" s="673" t="s">
        <v>34</v>
      </c>
      <c r="F5" s="673" t="s">
        <v>35</v>
      </c>
    </row>
    <row r="6" spans="1:6" ht="12.75" customHeight="1">
      <c r="A6" s="174"/>
      <c r="B6" s="675" t="s">
        <v>36</v>
      </c>
      <c r="C6" s="676">
        <v>40784</v>
      </c>
      <c r="D6" s="677" t="s">
        <v>37</v>
      </c>
      <c r="E6" s="677" t="s">
        <v>38</v>
      </c>
      <c r="F6" s="677" t="s">
        <v>39</v>
      </c>
    </row>
    <row r="7" spans="1:6" ht="12.75" customHeight="1">
      <c r="A7" s="174"/>
      <c r="B7" s="376" t="s">
        <v>40</v>
      </c>
      <c r="C7" s="678">
        <v>40886</v>
      </c>
      <c r="D7" s="677" t="s">
        <v>41</v>
      </c>
      <c r="E7" s="677" t="s">
        <v>42</v>
      </c>
      <c r="F7" s="677" t="s">
        <v>43</v>
      </c>
    </row>
    <row r="8" spans="1:6" ht="27.75" customHeight="1">
      <c r="A8" s="174"/>
      <c r="B8" s="677" t="s">
        <v>44</v>
      </c>
      <c r="C8" s="678">
        <v>41501</v>
      </c>
      <c r="D8" s="677" t="s">
        <v>41</v>
      </c>
      <c r="E8" s="677" t="s">
        <v>42</v>
      </c>
      <c r="F8" s="679" t="s">
        <v>45</v>
      </c>
    </row>
    <row r="9" spans="1:6" ht="18.75" customHeight="1">
      <c r="A9" s="174"/>
      <c r="B9" s="677" t="s">
        <v>46</v>
      </c>
      <c r="C9" s="678">
        <v>41978</v>
      </c>
      <c r="D9" s="677" t="s">
        <v>41</v>
      </c>
      <c r="E9" s="677" t="s">
        <v>42</v>
      </c>
      <c r="F9" s="679" t="s">
        <v>47</v>
      </c>
    </row>
    <row r="10" spans="1:6" ht="21" customHeight="1">
      <c r="A10" s="174"/>
      <c r="B10" s="677" t="s">
        <v>48</v>
      </c>
      <c r="C10" s="678">
        <v>42124</v>
      </c>
      <c r="D10" s="677" t="s">
        <v>41</v>
      </c>
      <c r="E10" s="677" t="s">
        <v>42</v>
      </c>
      <c r="F10" s="679" t="s">
        <v>49</v>
      </c>
    </row>
    <row r="11" spans="1:6" ht="21" customHeight="1">
      <c r="A11" s="174"/>
      <c r="B11" s="677" t="s">
        <v>50</v>
      </c>
      <c r="C11" s="678">
        <v>43075</v>
      </c>
      <c r="D11" s="677" t="s">
        <v>41</v>
      </c>
      <c r="E11" s="677" t="s">
        <v>51</v>
      </c>
      <c r="F11" s="679" t="s">
        <v>52</v>
      </c>
    </row>
    <row r="12" spans="1:6">
      <c r="A12" s="174"/>
      <c r="B12" s="174"/>
      <c r="C12" s="174"/>
      <c r="D12" s="174"/>
      <c r="E12" s="174"/>
      <c r="F12" s="174"/>
    </row>
    <row r="13" spans="1:6" ht="68.25" customHeight="1">
      <c r="A13" s="717" t="s">
        <v>53</v>
      </c>
      <c r="B13" s="680" t="s">
        <v>54</v>
      </c>
      <c r="C13" s="722" t="s">
        <v>55</v>
      </c>
      <c r="D13" s="723"/>
      <c r="E13" s="723"/>
      <c r="F13" s="723"/>
    </row>
    <row r="14" spans="1:6" ht="68.25" customHeight="1">
      <c r="A14" s="718"/>
      <c r="B14" s="680" t="s">
        <v>56</v>
      </c>
      <c r="C14" s="723" t="s">
        <v>57</v>
      </c>
      <c r="D14" s="723"/>
      <c r="E14" s="723"/>
      <c r="F14" s="723"/>
    </row>
    <row r="15" spans="1:6" ht="68.25" customHeight="1">
      <c r="A15" s="718"/>
      <c r="B15" s="680" t="s">
        <v>58</v>
      </c>
      <c r="C15" s="723" t="s">
        <v>59</v>
      </c>
      <c r="D15" s="723"/>
      <c r="E15" s="723"/>
      <c r="F15" s="723"/>
    </row>
    <row r="16" spans="1:6" ht="68.25" customHeight="1">
      <c r="A16" s="719"/>
      <c r="B16" s="680" t="s">
        <v>60</v>
      </c>
      <c r="C16" s="723" t="s">
        <v>61</v>
      </c>
      <c r="D16" s="723"/>
      <c r="E16" s="723"/>
      <c r="F16" s="723"/>
    </row>
    <row r="17" spans="1:1" ht="14.25">
      <c r="A17" s="681"/>
    </row>
    <row r="18" spans="1:1" ht="14.25">
      <c r="A18" s="682"/>
    </row>
    <row r="19" spans="1:1" ht="14.25">
      <c r="A19" s="683" t="s">
        <v>62</v>
      </c>
    </row>
    <row r="20" spans="1:1">
      <c r="A20" s="684"/>
    </row>
    <row r="21" spans="1:1" ht="14.25">
      <c r="A21" s="685"/>
    </row>
    <row r="22" spans="1:1" ht="14.25">
      <c r="A22" s="686"/>
    </row>
  </sheetData>
  <mergeCells count="7">
    <mergeCell ref="A13:A16"/>
    <mergeCell ref="A1:F2"/>
    <mergeCell ref="B4:F4"/>
    <mergeCell ref="C13:F13"/>
    <mergeCell ref="C14:F14"/>
    <mergeCell ref="C15:F15"/>
    <mergeCell ref="C16:F16"/>
  </mergeCells>
  <phoneticPr fontId="150" type="noConversion"/>
  <pageMargins left="0.75" right="0.75" top="1" bottom="1" header="0.5" footer="0.5"/>
  <pageSetup paperSize="9" orientation="portrait"/>
  <headerFooter alignWithMargins="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29"/>
  <sheetViews>
    <sheetView workbookViewId="0">
      <selection activeCell="I24" sqref="I24"/>
    </sheetView>
  </sheetViews>
  <sheetFormatPr defaultColWidth="9" defaultRowHeight="16.5"/>
  <cols>
    <col min="1" max="2" width="9" style="645" customWidth="1"/>
    <col min="3" max="3" width="6.625" style="645" customWidth="1"/>
    <col min="4" max="4" width="16.5" style="645" customWidth="1"/>
    <col min="5" max="5" width="10.875" style="646" customWidth="1"/>
    <col min="6" max="6" width="10.375" style="645" customWidth="1"/>
    <col min="7" max="7" width="9" style="645" customWidth="1"/>
    <col min="8" max="8" width="10" style="645" customWidth="1"/>
    <col min="9" max="253" width="9" style="645"/>
    <col min="254" max="255" width="9" style="645" customWidth="1"/>
    <col min="256" max="256" width="6.625" style="645" customWidth="1"/>
    <col min="257" max="257" width="16.5" style="645" customWidth="1"/>
    <col min="258" max="258" width="10.875" style="645" customWidth="1"/>
    <col min="259" max="259" width="9" style="645" customWidth="1"/>
    <col min="260" max="260" width="9.75" style="645" customWidth="1"/>
    <col min="261" max="262" width="9" style="645" customWidth="1"/>
    <col min="263" max="263" width="6.125" style="645" customWidth="1"/>
    <col min="264" max="264" width="10" style="645" customWidth="1"/>
    <col min="265" max="509" width="9" style="645"/>
    <col min="510" max="511" width="9" style="645" customWidth="1"/>
    <col min="512" max="512" width="6.625" style="645" customWidth="1"/>
    <col min="513" max="513" width="16.5" style="645" customWidth="1"/>
    <col min="514" max="514" width="10.875" style="645" customWidth="1"/>
    <col min="515" max="515" width="9" style="645" customWidth="1"/>
    <col min="516" max="516" width="9.75" style="645" customWidth="1"/>
    <col min="517" max="518" width="9" style="645" customWidth="1"/>
    <col min="519" max="519" width="6.125" style="645" customWidth="1"/>
    <col min="520" max="520" width="10" style="645" customWidth="1"/>
    <col min="521" max="765" width="9" style="645"/>
    <col min="766" max="767" width="9" style="645" customWidth="1"/>
    <col min="768" max="768" width="6.625" style="645" customWidth="1"/>
    <col min="769" max="769" width="16.5" style="645" customWidth="1"/>
    <col min="770" max="770" width="10.875" style="645" customWidth="1"/>
    <col min="771" max="771" width="9" style="645" customWidth="1"/>
    <col min="772" max="772" width="9.75" style="645" customWidth="1"/>
    <col min="773" max="774" width="9" style="645" customWidth="1"/>
    <col min="775" max="775" width="6.125" style="645" customWidth="1"/>
    <col min="776" max="776" width="10" style="645" customWidth="1"/>
    <col min="777" max="1021" width="9" style="645"/>
    <col min="1022" max="1023" width="9" style="645" customWidth="1"/>
    <col min="1024" max="1024" width="6.625" style="645" customWidth="1"/>
    <col min="1025" max="1025" width="16.5" style="645" customWidth="1"/>
    <col min="1026" max="1026" width="10.875" style="645" customWidth="1"/>
    <col min="1027" max="1027" width="9" style="645" customWidth="1"/>
    <col min="1028" max="1028" width="9.75" style="645" customWidth="1"/>
    <col min="1029" max="1030" width="9" style="645" customWidth="1"/>
    <col min="1031" max="1031" width="6.125" style="645" customWidth="1"/>
    <col min="1032" max="1032" width="10" style="645" customWidth="1"/>
    <col min="1033" max="1277" width="9" style="645"/>
    <col min="1278" max="1279" width="9" style="645" customWidth="1"/>
    <col min="1280" max="1280" width="6.625" style="645" customWidth="1"/>
    <col min="1281" max="1281" width="16.5" style="645" customWidth="1"/>
    <col min="1282" max="1282" width="10.875" style="645" customWidth="1"/>
    <col min="1283" max="1283" width="9" style="645" customWidth="1"/>
    <col min="1284" max="1284" width="9.75" style="645" customWidth="1"/>
    <col min="1285" max="1286" width="9" style="645" customWidth="1"/>
    <col min="1287" max="1287" width="6.125" style="645" customWidth="1"/>
    <col min="1288" max="1288" width="10" style="645" customWidth="1"/>
    <col min="1289" max="1533" width="9" style="645"/>
    <col min="1534" max="1535" width="9" style="645" customWidth="1"/>
    <col min="1536" max="1536" width="6.625" style="645" customWidth="1"/>
    <col min="1537" max="1537" width="16.5" style="645" customWidth="1"/>
    <col min="1538" max="1538" width="10.875" style="645" customWidth="1"/>
    <col min="1539" max="1539" width="9" style="645" customWidth="1"/>
    <col min="1540" max="1540" width="9.75" style="645" customWidth="1"/>
    <col min="1541" max="1542" width="9" style="645" customWidth="1"/>
    <col min="1543" max="1543" width="6.125" style="645" customWidth="1"/>
    <col min="1544" max="1544" width="10" style="645" customWidth="1"/>
    <col min="1545" max="1789" width="9" style="645"/>
    <col min="1790" max="1791" width="9" style="645" customWidth="1"/>
    <col min="1792" max="1792" width="6.625" style="645" customWidth="1"/>
    <col min="1793" max="1793" width="16.5" style="645" customWidth="1"/>
    <col min="1794" max="1794" width="10.875" style="645" customWidth="1"/>
    <col min="1795" max="1795" width="9" style="645" customWidth="1"/>
    <col min="1796" max="1796" width="9.75" style="645" customWidth="1"/>
    <col min="1797" max="1798" width="9" style="645" customWidth="1"/>
    <col min="1799" max="1799" width="6.125" style="645" customWidth="1"/>
    <col min="1800" max="1800" width="10" style="645" customWidth="1"/>
    <col min="1801" max="2045" width="9" style="645"/>
    <col min="2046" max="2047" width="9" style="645" customWidth="1"/>
    <col min="2048" max="2048" width="6.625" style="645" customWidth="1"/>
    <col min="2049" max="2049" width="16.5" style="645" customWidth="1"/>
    <col min="2050" max="2050" width="10.875" style="645" customWidth="1"/>
    <col min="2051" max="2051" width="9" style="645" customWidth="1"/>
    <col min="2052" max="2052" width="9.75" style="645" customWidth="1"/>
    <col min="2053" max="2054" width="9" style="645" customWidth="1"/>
    <col min="2055" max="2055" width="6.125" style="645" customWidth="1"/>
    <col min="2056" max="2056" width="10" style="645" customWidth="1"/>
    <col min="2057" max="2301" width="9" style="645"/>
    <col min="2302" max="2303" width="9" style="645" customWidth="1"/>
    <col min="2304" max="2304" width="6.625" style="645" customWidth="1"/>
    <col min="2305" max="2305" width="16.5" style="645" customWidth="1"/>
    <col min="2306" max="2306" width="10.875" style="645" customWidth="1"/>
    <col min="2307" max="2307" width="9" style="645" customWidth="1"/>
    <col min="2308" max="2308" width="9.75" style="645" customWidth="1"/>
    <col min="2309" max="2310" width="9" style="645" customWidth="1"/>
    <col min="2311" max="2311" width="6.125" style="645" customWidth="1"/>
    <col min="2312" max="2312" width="10" style="645" customWidth="1"/>
    <col min="2313" max="2557" width="9" style="645"/>
    <col min="2558" max="2559" width="9" style="645" customWidth="1"/>
    <col min="2560" max="2560" width="6.625" style="645" customWidth="1"/>
    <col min="2561" max="2561" width="16.5" style="645" customWidth="1"/>
    <col min="2562" max="2562" width="10.875" style="645" customWidth="1"/>
    <col min="2563" max="2563" width="9" style="645" customWidth="1"/>
    <col min="2564" max="2564" width="9.75" style="645" customWidth="1"/>
    <col min="2565" max="2566" width="9" style="645" customWidth="1"/>
    <col min="2567" max="2567" width="6.125" style="645" customWidth="1"/>
    <col min="2568" max="2568" width="10" style="645" customWidth="1"/>
    <col min="2569" max="2813" width="9" style="645"/>
    <col min="2814" max="2815" width="9" style="645" customWidth="1"/>
    <col min="2816" max="2816" width="6.625" style="645" customWidth="1"/>
    <col min="2817" max="2817" width="16.5" style="645" customWidth="1"/>
    <col min="2818" max="2818" width="10.875" style="645" customWidth="1"/>
    <col min="2819" max="2819" width="9" style="645" customWidth="1"/>
    <col min="2820" max="2820" width="9.75" style="645" customWidth="1"/>
    <col min="2821" max="2822" width="9" style="645" customWidth="1"/>
    <col min="2823" max="2823" width="6.125" style="645" customWidth="1"/>
    <col min="2824" max="2824" width="10" style="645" customWidth="1"/>
    <col min="2825" max="3069" width="9" style="645"/>
    <col min="3070" max="3071" width="9" style="645" customWidth="1"/>
    <col min="3072" max="3072" width="6.625" style="645" customWidth="1"/>
    <col min="3073" max="3073" width="16.5" style="645" customWidth="1"/>
    <col min="3074" max="3074" width="10.875" style="645" customWidth="1"/>
    <col min="3075" max="3075" width="9" style="645" customWidth="1"/>
    <col min="3076" max="3076" width="9.75" style="645" customWidth="1"/>
    <col min="3077" max="3078" width="9" style="645" customWidth="1"/>
    <col min="3079" max="3079" width="6.125" style="645" customWidth="1"/>
    <col min="3080" max="3080" width="10" style="645" customWidth="1"/>
    <col min="3081" max="3325" width="9" style="645"/>
    <col min="3326" max="3327" width="9" style="645" customWidth="1"/>
    <col min="3328" max="3328" width="6.625" style="645" customWidth="1"/>
    <col min="3329" max="3329" width="16.5" style="645" customWidth="1"/>
    <col min="3330" max="3330" width="10.875" style="645" customWidth="1"/>
    <col min="3331" max="3331" width="9" style="645" customWidth="1"/>
    <col min="3332" max="3332" width="9.75" style="645" customWidth="1"/>
    <col min="3333" max="3334" width="9" style="645" customWidth="1"/>
    <col min="3335" max="3335" width="6.125" style="645" customWidth="1"/>
    <col min="3336" max="3336" width="10" style="645" customWidth="1"/>
    <col min="3337" max="3581" width="9" style="645"/>
    <col min="3582" max="3583" width="9" style="645" customWidth="1"/>
    <col min="3584" max="3584" width="6.625" style="645" customWidth="1"/>
    <col min="3585" max="3585" width="16.5" style="645" customWidth="1"/>
    <col min="3586" max="3586" width="10.875" style="645" customWidth="1"/>
    <col min="3587" max="3587" width="9" style="645" customWidth="1"/>
    <col min="3588" max="3588" width="9.75" style="645" customWidth="1"/>
    <col min="3589" max="3590" width="9" style="645" customWidth="1"/>
    <col min="3591" max="3591" width="6.125" style="645" customWidth="1"/>
    <col min="3592" max="3592" width="10" style="645" customWidth="1"/>
    <col min="3593" max="3837" width="9" style="645"/>
    <col min="3838" max="3839" width="9" style="645" customWidth="1"/>
    <col min="3840" max="3840" width="6.625" style="645" customWidth="1"/>
    <col min="3841" max="3841" width="16.5" style="645" customWidth="1"/>
    <col min="3842" max="3842" width="10.875" style="645" customWidth="1"/>
    <col min="3843" max="3843" width="9" style="645" customWidth="1"/>
    <col min="3844" max="3844" width="9.75" style="645" customWidth="1"/>
    <col min="3845" max="3846" width="9" style="645" customWidth="1"/>
    <col min="3847" max="3847" width="6.125" style="645" customWidth="1"/>
    <col min="3848" max="3848" width="10" style="645" customWidth="1"/>
    <col min="3849" max="4093" width="9" style="645"/>
    <col min="4094" max="4095" width="9" style="645" customWidth="1"/>
    <col min="4096" max="4096" width="6.625" style="645" customWidth="1"/>
    <col min="4097" max="4097" width="16.5" style="645" customWidth="1"/>
    <col min="4098" max="4098" width="10.875" style="645" customWidth="1"/>
    <col min="4099" max="4099" width="9" style="645" customWidth="1"/>
    <col min="4100" max="4100" width="9.75" style="645" customWidth="1"/>
    <col min="4101" max="4102" width="9" style="645" customWidth="1"/>
    <col min="4103" max="4103" width="6.125" style="645" customWidth="1"/>
    <col min="4104" max="4104" width="10" style="645" customWidth="1"/>
    <col min="4105" max="4349" width="9" style="645"/>
    <col min="4350" max="4351" width="9" style="645" customWidth="1"/>
    <col min="4352" max="4352" width="6.625" style="645" customWidth="1"/>
    <col min="4353" max="4353" width="16.5" style="645" customWidth="1"/>
    <col min="4354" max="4354" width="10.875" style="645" customWidth="1"/>
    <col min="4355" max="4355" width="9" style="645" customWidth="1"/>
    <col min="4356" max="4356" width="9.75" style="645" customWidth="1"/>
    <col min="4357" max="4358" width="9" style="645" customWidth="1"/>
    <col min="4359" max="4359" width="6.125" style="645" customWidth="1"/>
    <col min="4360" max="4360" width="10" style="645" customWidth="1"/>
    <col min="4361" max="4605" width="9" style="645"/>
    <col min="4606" max="4607" width="9" style="645" customWidth="1"/>
    <col min="4608" max="4608" width="6.625" style="645" customWidth="1"/>
    <col min="4609" max="4609" width="16.5" style="645" customWidth="1"/>
    <col min="4610" max="4610" width="10.875" style="645" customWidth="1"/>
    <col min="4611" max="4611" width="9" style="645" customWidth="1"/>
    <col min="4612" max="4612" width="9.75" style="645" customWidth="1"/>
    <col min="4613" max="4614" width="9" style="645" customWidth="1"/>
    <col min="4615" max="4615" width="6.125" style="645" customWidth="1"/>
    <col min="4616" max="4616" width="10" style="645" customWidth="1"/>
    <col min="4617" max="4861" width="9" style="645"/>
    <col min="4862" max="4863" width="9" style="645" customWidth="1"/>
    <col min="4864" max="4864" width="6.625" style="645" customWidth="1"/>
    <col min="4865" max="4865" width="16.5" style="645" customWidth="1"/>
    <col min="4866" max="4866" width="10.875" style="645" customWidth="1"/>
    <col min="4867" max="4867" width="9" style="645" customWidth="1"/>
    <col min="4868" max="4868" width="9.75" style="645" customWidth="1"/>
    <col min="4869" max="4870" width="9" style="645" customWidth="1"/>
    <col min="4871" max="4871" width="6.125" style="645" customWidth="1"/>
    <col min="4872" max="4872" width="10" style="645" customWidth="1"/>
    <col min="4873" max="5117" width="9" style="645"/>
    <col min="5118" max="5119" width="9" style="645" customWidth="1"/>
    <col min="5120" max="5120" width="6.625" style="645" customWidth="1"/>
    <col min="5121" max="5121" width="16.5" style="645" customWidth="1"/>
    <col min="5122" max="5122" width="10.875" style="645" customWidth="1"/>
    <col min="5123" max="5123" width="9" style="645" customWidth="1"/>
    <col min="5124" max="5124" width="9.75" style="645" customWidth="1"/>
    <col min="5125" max="5126" width="9" style="645" customWidth="1"/>
    <col min="5127" max="5127" width="6.125" style="645" customWidth="1"/>
    <col min="5128" max="5128" width="10" style="645" customWidth="1"/>
    <col min="5129" max="5373" width="9" style="645"/>
    <col min="5374" max="5375" width="9" style="645" customWidth="1"/>
    <col min="5376" max="5376" width="6.625" style="645" customWidth="1"/>
    <col min="5377" max="5377" width="16.5" style="645" customWidth="1"/>
    <col min="5378" max="5378" width="10.875" style="645" customWidth="1"/>
    <col min="5379" max="5379" width="9" style="645" customWidth="1"/>
    <col min="5380" max="5380" width="9.75" style="645" customWidth="1"/>
    <col min="5381" max="5382" width="9" style="645" customWidth="1"/>
    <col min="5383" max="5383" width="6.125" style="645" customWidth="1"/>
    <col min="5384" max="5384" width="10" style="645" customWidth="1"/>
    <col min="5385" max="5629" width="9" style="645"/>
    <col min="5630" max="5631" width="9" style="645" customWidth="1"/>
    <col min="5632" max="5632" width="6.625" style="645" customWidth="1"/>
    <col min="5633" max="5633" width="16.5" style="645" customWidth="1"/>
    <col min="5634" max="5634" width="10.875" style="645" customWidth="1"/>
    <col min="5635" max="5635" width="9" style="645" customWidth="1"/>
    <col min="5636" max="5636" width="9.75" style="645" customWidth="1"/>
    <col min="5637" max="5638" width="9" style="645" customWidth="1"/>
    <col min="5639" max="5639" width="6.125" style="645" customWidth="1"/>
    <col min="5640" max="5640" width="10" style="645" customWidth="1"/>
    <col min="5641" max="5885" width="9" style="645"/>
    <col min="5886" max="5887" width="9" style="645" customWidth="1"/>
    <col min="5888" max="5888" width="6.625" style="645" customWidth="1"/>
    <col min="5889" max="5889" width="16.5" style="645" customWidth="1"/>
    <col min="5890" max="5890" width="10.875" style="645" customWidth="1"/>
    <col min="5891" max="5891" width="9" style="645" customWidth="1"/>
    <col min="5892" max="5892" width="9.75" style="645" customWidth="1"/>
    <col min="5893" max="5894" width="9" style="645" customWidth="1"/>
    <col min="5895" max="5895" width="6.125" style="645" customWidth="1"/>
    <col min="5896" max="5896" width="10" style="645" customWidth="1"/>
    <col min="5897" max="6141" width="9" style="645"/>
    <col min="6142" max="6143" width="9" style="645" customWidth="1"/>
    <col min="6144" max="6144" width="6.625" style="645" customWidth="1"/>
    <col min="6145" max="6145" width="16.5" style="645" customWidth="1"/>
    <col min="6146" max="6146" width="10.875" style="645" customWidth="1"/>
    <col min="6147" max="6147" width="9" style="645" customWidth="1"/>
    <col min="6148" max="6148" width="9.75" style="645" customWidth="1"/>
    <col min="6149" max="6150" width="9" style="645" customWidth="1"/>
    <col min="6151" max="6151" width="6.125" style="645" customWidth="1"/>
    <col min="6152" max="6152" width="10" style="645" customWidth="1"/>
    <col min="6153" max="6397" width="9" style="645"/>
    <col min="6398" max="6399" width="9" style="645" customWidth="1"/>
    <col min="6400" max="6400" width="6.625" style="645" customWidth="1"/>
    <col min="6401" max="6401" width="16.5" style="645" customWidth="1"/>
    <col min="6402" max="6402" width="10.875" style="645" customWidth="1"/>
    <col min="6403" max="6403" width="9" style="645" customWidth="1"/>
    <col min="6404" max="6404" width="9.75" style="645" customWidth="1"/>
    <col min="6405" max="6406" width="9" style="645" customWidth="1"/>
    <col min="6407" max="6407" width="6.125" style="645" customWidth="1"/>
    <col min="6408" max="6408" width="10" style="645" customWidth="1"/>
    <col min="6409" max="6653" width="9" style="645"/>
    <col min="6654" max="6655" width="9" style="645" customWidth="1"/>
    <col min="6656" max="6656" width="6.625" style="645" customWidth="1"/>
    <col min="6657" max="6657" width="16.5" style="645" customWidth="1"/>
    <col min="6658" max="6658" width="10.875" style="645" customWidth="1"/>
    <col min="6659" max="6659" width="9" style="645" customWidth="1"/>
    <col min="6660" max="6660" width="9.75" style="645" customWidth="1"/>
    <col min="6661" max="6662" width="9" style="645" customWidth="1"/>
    <col min="6663" max="6663" width="6.125" style="645" customWidth="1"/>
    <col min="6664" max="6664" width="10" style="645" customWidth="1"/>
    <col min="6665" max="6909" width="9" style="645"/>
    <col min="6910" max="6911" width="9" style="645" customWidth="1"/>
    <col min="6912" max="6912" width="6.625" style="645" customWidth="1"/>
    <col min="6913" max="6913" width="16.5" style="645" customWidth="1"/>
    <col min="6914" max="6914" width="10.875" style="645" customWidth="1"/>
    <col min="6915" max="6915" width="9" style="645" customWidth="1"/>
    <col min="6916" max="6916" width="9.75" style="645" customWidth="1"/>
    <col min="6917" max="6918" width="9" style="645" customWidth="1"/>
    <col min="6919" max="6919" width="6.125" style="645" customWidth="1"/>
    <col min="6920" max="6920" width="10" style="645" customWidth="1"/>
    <col min="6921" max="7165" width="9" style="645"/>
    <col min="7166" max="7167" width="9" style="645" customWidth="1"/>
    <col min="7168" max="7168" width="6.625" style="645" customWidth="1"/>
    <col min="7169" max="7169" width="16.5" style="645" customWidth="1"/>
    <col min="7170" max="7170" width="10.875" style="645" customWidth="1"/>
    <col min="7171" max="7171" width="9" style="645" customWidth="1"/>
    <col min="7172" max="7172" width="9.75" style="645" customWidth="1"/>
    <col min="7173" max="7174" width="9" style="645" customWidth="1"/>
    <col min="7175" max="7175" width="6.125" style="645" customWidth="1"/>
    <col min="7176" max="7176" width="10" style="645" customWidth="1"/>
    <col min="7177" max="7421" width="9" style="645"/>
    <col min="7422" max="7423" width="9" style="645" customWidth="1"/>
    <col min="7424" max="7424" width="6.625" style="645" customWidth="1"/>
    <col min="7425" max="7425" width="16.5" style="645" customWidth="1"/>
    <col min="7426" max="7426" width="10.875" style="645" customWidth="1"/>
    <col min="7427" max="7427" width="9" style="645" customWidth="1"/>
    <col min="7428" max="7428" width="9.75" style="645" customWidth="1"/>
    <col min="7429" max="7430" width="9" style="645" customWidth="1"/>
    <col min="7431" max="7431" width="6.125" style="645" customWidth="1"/>
    <col min="7432" max="7432" width="10" style="645" customWidth="1"/>
    <col min="7433" max="7677" width="9" style="645"/>
    <col min="7678" max="7679" width="9" style="645" customWidth="1"/>
    <col min="7680" max="7680" width="6.625" style="645" customWidth="1"/>
    <col min="7681" max="7681" width="16.5" style="645" customWidth="1"/>
    <col min="7682" max="7682" width="10.875" style="645" customWidth="1"/>
    <col min="7683" max="7683" width="9" style="645" customWidth="1"/>
    <col min="7684" max="7684" width="9.75" style="645" customWidth="1"/>
    <col min="7685" max="7686" width="9" style="645" customWidth="1"/>
    <col min="7687" max="7687" width="6.125" style="645" customWidth="1"/>
    <col min="7688" max="7688" width="10" style="645" customWidth="1"/>
    <col min="7689" max="7933" width="9" style="645"/>
    <col min="7934" max="7935" width="9" style="645" customWidth="1"/>
    <col min="7936" max="7936" width="6.625" style="645" customWidth="1"/>
    <col min="7937" max="7937" width="16.5" style="645" customWidth="1"/>
    <col min="7938" max="7938" width="10.875" style="645" customWidth="1"/>
    <col min="7939" max="7939" width="9" style="645" customWidth="1"/>
    <col min="7940" max="7940" width="9.75" style="645" customWidth="1"/>
    <col min="7941" max="7942" width="9" style="645" customWidth="1"/>
    <col min="7943" max="7943" width="6.125" style="645" customWidth="1"/>
    <col min="7944" max="7944" width="10" style="645" customWidth="1"/>
    <col min="7945" max="8189" width="9" style="645"/>
    <col min="8190" max="8191" width="9" style="645" customWidth="1"/>
    <col min="8192" max="8192" width="6.625" style="645" customWidth="1"/>
    <col min="8193" max="8193" width="16.5" style="645" customWidth="1"/>
    <col min="8194" max="8194" width="10.875" style="645" customWidth="1"/>
    <col min="8195" max="8195" width="9" style="645" customWidth="1"/>
    <col min="8196" max="8196" width="9.75" style="645" customWidth="1"/>
    <col min="8197" max="8198" width="9" style="645" customWidth="1"/>
    <col min="8199" max="8199" width="6.125" style="645" customWidth="1"/>
    <col min="8200" max="8200" width="10" style="645" customWidth="1"/>
    <col min="8201" max="8445" width="9" style="645"/>
    <col min="8446" max="8447" width="9" style="645" customWidth="1"/>
    <col min="8448" max="8448" width="6.625" style="645" customWidth="1"/>
    <col min="8449" max="8449" width="16.5" style="645" customWidth="1"/>
    <col min="8450" max="8450" width="10.875" style="645" customWidth="1"/>
    <col min="8451" max="8451" width="9" style="645" customWidth="1"/>
    <col min="8452" max="8452" width="9.75" style="645" customWidth="1"/>
    <col min="8453" max="8454" width="9" style="645" customWidth="1"/>
    <col min="8455" max="8455" width="6.125" style="645" customWidth="1"/>
    <col min="8456" max="8456" width="10" style="645" customWidth="1"/>
    <col min="8457" max="8701" width="9" style="645"/>
    <col min="8702" max="8703" width="9" style="645" customWidth="1"/>
    <col min="8704" max="8704" width="6.625" style="645" customWidth="1"/>
    <col min="8705" max="8705" width="16.5" style="645" customWidth="1"/>
    <col min="8706" max="8706" width="10.875" style="645" customWidth="1"/>
    <col min="8707" max="8707" width="9" style="645" customWidth="1"/>
    <col min="8708" max="8708" width="9.75" style="645" customWidth="1"/>
    <col min="8709" max="8710" width="9" style="645" customWidth="1"/>
    <col min="8711" max="8711" width="6.125" style="645" customWidth="1"/>
    <col min="8712" max="8712" width="10" style="645" customWidth="1"/>
    <col min="8713" max="8957" width="9" style="645"/>
    <col min="8958" max="8959" width="9" style="645" customWidth="1"/>
    <col min="8960" max="8960" width="6.625" style="645" customWidth="1"/>
    <col min="8961" max="8961" width="16.5" style="645" customWidth="1"/>
    <col min="8962" max="8962" width="10.875" style="645" customWidth="1"/>
    <col min="8963" max="8963" width="9" style="645" customWidth="1"/>
    <col min="8964" max="8964" width="9.75" style="645" customWidth="1"/>
    <col min="8965" max="8966" width="9" style="645" customWidth="1"/>
    <col min="8967" max="8967" width="6.125" style="645" customWidth="1"/>
    <col min="8968" max="8968" width="10" style="645" customWidth="1"/>
    <col min="8969" max="9213" width="9" style="645"/>
    <col min="9214" max="9215" width="9" style="645" customWidth="1"/>
    <col min="9216" max="9216" width="6.625" style="645" customWidth="1"/>
    <col min="9217" max="9217" width="16.5" style="645" customWidth="1"/>
    <col min="9218" max="9218" width="10.875" style="645" customWidth="1"/>
    <col min="9219" max="9219" width="9" style="645" customWidth="1"/>
    <col min="9220" max="9220" width="9.75" style="645" customWidth="1"/>
    <col min="9221" max="9222" width="9" style="645" customWidth="1"/>
    <col min="9223" max="9223" width="6.125" style="645" customWidth="1"/>
    <col min="9224" max="9224" width="10" style="645" customWidth="1"/>
    <col min="9225" max="9469" width="9" style="645"/>
    <col min="9470" max="9471" width="9" style="645" customWidth="1"/>
    <col min="9472" max="9472" width="6.625" style="645" customWidth="1"/>
    <col min="9473" max="9473" width="16.5" style="645" customWidth="1"/>
    <col min="9474" max="9474" width="10.875" style="645" customWidth="1"/>
    <col min="9475" max="9475" width="9" style="645" customWidth="1"/>
    <col min="9476" max="9476" width="9.75" style="645" customWidth="1"/>
    <col min="9477" max="9478" width="9" style="645" customWidth="1"/>
    <col min="9479" max="9479" width="6.125" style="645" customWidth="1"/>
    <col min="9480" max="9480" width="10" style="645" customWidth="1"/>
    <col min="9481" max="9725" width="9" style="645"/>
    <col min="9726" max="9727" width="9" style="645" customWidth="1"/>
    <col min="9728" max="9728" width="6.625" style="645" customWidth="1"/>
    <col min="9729" max="9729" width="16.5" style="645" customWidth="1"/>
    <col min="9730" max="9730" width="10.875" style="645" customWidth="1"/>
    <col min="9731" max="9731" width="9" style="645" customWidth="1"/>
    <col min="9732" max="9732" width="9.75" style="645" customWidth="1"/>
    <col min="9733" max="9734" width="9" style="645" customWidth="1"/>
    <col min="9735" max="9735" width="6.125" style="645" customWidth="1"/>
    <col min="9736" max="9736" width="10" style="645" customWidth="1"/>
    <col min="9737" max="9981" width="9" style="645"/>
    <col min="9982" max="9983" width="9" style="645" customWidth="1"/>
    <col min="9984" max="9984" width="6.625" style="645" customWidth="1"/>
    <col min="9985" max="9985" width="16.5" style="645" customWidth="1"/>
    <col min="9986" max="9986" width="10.875" style="645" customWidth="1"/>
    <col min="9987" max="9987" width="9" style="645" customWidth="1"/>
    <col min="9988" max="9988" width="9.75" style="645" customWidth="1"/>
    <col min="9989" max="9990" width="9" style="645" customWidth="1"/>
    <col min="9991" max="9991" width="6.125" style="645" customWidth="1"/>
    <col min="9992" max="9992" width="10" style="645" customWidth="1"/>
    <col min="9993" max="10237" width="9" style="645"/>
    <col min="10238" max="10239" width="9" style="645" customWidth="1"/>
    <col min="10240" max="10240" width="6.625" style="645" customWidth="1"/>
    <col min="10241" max="10241" width="16.5" style="645" customWidth="1"/>
    <col min="10242" max="10242" width="10.875" style="645" customWidth="1"/>
    <col min="10243" max="10243" width="9" style="645" customWidth="1"/>
    <col min="10244" max="10244" width="9.75" style="645" customWidth="1"/>
    <col min="10245" max="10246" width="9" style="645" customWidth="1"/>
    <col min="10247" max="10247" width="6.125" style="645" customWidth="1"/>
    <col min="10248" max="10248" width="10" style="645" customWidth="1"/>
    <col min="10249" max="10493" width="9" style="645"/>
    <col min="10494" max="10495" width="9" style="645" customWidth="1"/>
    <col min="10496" max="10496" width="6.625" style="645" customWidth="1"/>
    <col min="10497" max="10497" width="16.5" style="645" customWidth="1"/>
    <col min="10498" max="10498" width="10.875" style="645" customWidth="1"/>
    <col min="10499" max="10499" width="9" style="645" customWidth="1"/>
    <col min="10500" max="10500" width="9.75" style="645" customWidth="1"/>
    <col min="10501" max="10502" width="9" style="645" customWidth="1"/>
    <col min="10503" max="10503" width="6.125" style="645" customWidth="1"/>
    <col min="10504" max="10504" width="10" style="645" customWidth="1"/>
    <col min="10505" max="10749" width="9" style="645"/>
    <col min="10750" max="10751" width="9" style="645" customWidth="1"/>
    <col min="10752" max="10752" width="6.625" style="645" customWidth="1"/>
    <col min="10753" max="10753" width="16.5" style="645" customWidth="1"/>
    <col min="10754" max="10754" width="10.875" style="645" customWidth="1"/>
    <col min="10755" max="10755" width="9" style="645" customWidth="1"/>
    <col min="10756" max="10756" width="9.75" style="645" customWidth="1"/>
    <col min="10757" max="10758" width="9" style="645" customWidth="1"/>
    <col min="10759" max="10759" width="6.125" style="645" customWidth="1"/>
    <col min="10760" max="10760" width="10" style="645" customWidth="1"/>
    <col min="10761" max="11005" width="9" style="645"/>
    <col min="11006" max="11007" width="9" style="645" customWidth="1"/>
    <col min="11008" max="11008" width="6.625" style="645" customWidth="1"/>
    <col min="11009" max="11009" width="16.5" style="645" customWidth="1"/>
    <col min="11010" max="11010" width="10.875" style="645" customWidth="1"/>
    <col min="11011" max="11011" width="9" style="645" customWidth="1"/>
    <col min="11012" max="11012" width="9.75" style="645" customWidth="1"/>
    <col min="11013" max="11014" width="9" style="645" customWidth="1"/>
    <col min="11015" max="11015" width="6.125" style="645" customWidth="1"/>
    <col min="11016" max="11016" width="10" style="645" customWidth="1"/>
    <col min="11017" max="11261" width="9" style="645"/>
    <col min="11262" max="11263" width="9" style="645" customWidth="1"/>
    <col min="11264" max="11264" width="6.625" style="645" customWidth="1"/>
    <col min="11265" max="11265" width="16.5" style="645" customWidth="1"/>
    <col min="11266" max="11266" width="10.875" style="645" customWidth="1"/>
    <col min="11267" max="11267" width="9" style="645" customWidth="1"/>
    <col min="11268" max="11268" width="9.75" style="645" customWidth="1"/>
    <col min="11269" max="11270" width="9" style="645" customWidth="1"/>
    <col min="11271" max="11271" width="6.125" style="645" customWidth="1"/>
    <col min="11272" max="11272" width="10" style="645" customWidth="1"/>
    <col min="11273" max="11517" width="9" style="645"/>
    <col min="11518" max="11519" width="9" style="645" customWidth="1"/>
    <col min="11520" max="11520" width="6.625" style="645" customWidth="1"/>
    <col min="11521" max="11521" width="16.5" style="645" customWidth="1"/>
    <col min="11522" max="11522" width="10.875" style="645" customWidth="1"/>
    <col min="11523" max="11523" width="9" style="645" customWidth="1"/>
    <col min="11524" max="11524" width="9.75" style="645" customWidth="1"/>
    <col min="11525" max="11526" width="9" style="645" customWidth="1"/>
    <col min="11527" max="11527" width="6.125" style="645" customWidth="1"/>
    <col min="11528" max="11528" width="10" style="645" customWidth="1"/>
    <col min="11529" max="11773" width="9" style="645"/>
    <col min="11774" max="11775" width="9" style="645" customWidth="1"/>
    <col min="11776" max="11776" width="6.625" style="645" customWidth="1"/>
    <col min="11777" max="11777" width="16.5" style="645" customWidth="1"/>
    <col min="11778" max="11778" width="10.875" style="645" customWidth="1"/>
    <col min="11779" max="11779" width="9" style="645" customWidth="1"/>
    <col min="11780" max="11780" width="9.75" style="645" customWidth="1"/>
    <col min="11781" max="11782" width="9" style="645" customWidth="1"/>
    <col min="11783" max="11783" width="6.125" style="645" customWidth="1"/>
    <col min="11784" max="11784" width="10" style="645" customWidth="1"/>
    <col min="11785" max="12029" width="9" style="645"/>
    <col min="12030" max="12031" width="9" style="645" customWidth="1"/>
    <col min="12032" max="12032" width="6.625" style="645" customWidth="1"/>
    <col min="12033" max="12033" width="16.5" style="645" customWidth="1"/>
    <col min="12034" max="12034" width="10.875" style="645" customWidth="1"/>
    <col min="12035" max="12035" width="9" style="645" customWidth="1"/>
    <col min="12036" max="12036" width="9.75" style="645" customWidth="1"/>
    <col min="12037" max="12038" width="9" style="645" customWidth="1"/>
    <col min="12039" max="12039" width="6.125" style="645" customWidth="1"/>
    <col min="12040" max="12040" width="10" style="645" customWidth="1"/>
    <col min="12041" max="12285" width="9" style="645"/>
    <col min="12286" max="12287" width="9" style="645" customWidth="1"/>
    <col min="12288" max="12288" width="6.625" style="645" customWidth="1"/>
    <col min="12289" max="12289" width="16.5" style="645" customWidth="1"/>
    <col min="12290" max="12290" width="10.875" style="645" customWidth="1"/>
    <col min="12291" max="12291" width="9" style="645" customWidth="1"/>
    <col min="12292" max="12292" width="9.75" style="645" customWidth="1"/>
    <col min="12293" max="12294" width="9" style="645" customWidth="1"/>
    <col min="12295" max="12295" width="6.125" style="645" customWidth="1"/>
    <col min="12296" max="12296" width="10" style="645" customWidth="1"/>
    <col min="12297" max="12541" width="9" style="645"/>
    <col min="12542" max="12543" width="9" style="645" customWidth="1"/>
    <col min="12544" max="12544" width="6.625" style="645" customWidth="1"/>
    <col min="12545" max="12545" width="16.5" style="645" customWidth="1"/>
    <col min="12546" max="12546" width="10.875" style="645" customWidth="1"/>
    <col min="12547" max="12547" width="9" style="645" customWidth="1"/>
    <col min="12548" max="12548" width="9.75" style="645" customWidth="1"/>
    <col min="12549" max="12550" width="9" style="645" customWidth="1"/>
    <col min="12551" max="12551" width="6.125" style="645" customWidth="1"/>
    <col min="12552" max="12552" width="10" style="645" customWidth="1"/>
    <col min="12553" max="12797" width="9" style="645"/>
    <col min="12798" max="12799" width="9" style="645" customWidth="1"/>
    <col min="12800" max="12800" width="6.625" style="645" customWidth="1"/>
    <col min="12801" max="12801" width="16.5" style="645" customWidth="1"/>
    <col min="12802" max="12802" width="10.875" style="645" customWidth="1"/>
    <col min="12803" max="12803" width="9" style="645" customWidth="1"/>
    <col min="12804" max="12804" width="9.75" style="645" customWidth="1"/>
    <col min="12805" max="12806" width="9" style="645" customWidth="1"/>
    <col min="12807" max="12807" width="6.125" style="645" customWidth="1"/>
    <col min="12808" max="12808" width="10" style="645" customWidth="1"/>
    <col min="12809" max="13053" width="9" style="645"/>
    <col min="13054" max="13055" width="9" style="645" customWidth="1"/>
    <col min="13056" max="13056" width="6.625" style="645" customWidth="1"/>
    <col min="13057" max="13057" width="16.5" style="645" customWidth="1"/>
    <col min="13058" max="13058" width="10.875" style="645" customWidth="1"/>
    <col min="13059" max="13059" width="9" style="645" customWidth="1"/>
    <col min="13060" max="13060" width="9.75" style="645" customWidth="1"/>
    <col min="13061" max="13062" width="9" style="645" customWidth="1"/>
    <col min="13063" max="13063" width="6.125" style="645" customWidth="1"/>
    <col min="13064" max="13064" width="10" style="645" customWidth="1"/>
    <col min="13065" max="13309" width="9" style="645"/>
    <col min="13310" max="13311" width="9" style="645" customWidth="1"/>
    <col min="13312" max="13312" width="6.625" style="645" customWidth="1"/>
    <col min="13313" max="13313" width="16.5" style="645" customWidth="1"/>
    <col min="13314" max="13314" width="10.875" style="645" customWidth="1"/>
    <col min="13315" max="13315" width="9" style="645" customWidth="1"/>
    <col min="13316" max="13316" width="9.75" style="645" customWidth="1"/>
    <col min="13317" max="13318" width="9" style="645" customWidth="1"/>
    <col min="13319" max="13319" width="6.125" style="645" customWidth="1"/>
    <col min="13320" max="13320" width="10" style="645" customWidth="1"/>
    <col min="13321" max="13565" width="9" style="645"/>
    <col min="13566" max="13567" width="9" style="645" customWidth="1"/>
    <col min="13568" max="13568" width="6.625" style="645" customWidth="1"/>
    <col min="13569" max="13569" width="16.5" style="645" customWidth="1"/>
    <col min="13570" max="13570" width="10.875" style="645" customWidth="1"/>
    <col min="13571" max="13571" width="9" style="645" customWidth="1"/>
    <col min="13572" max="13572" width="9.75" style="645" customWidth="1"/>
    <col min="13573" max="13574" width="9" style="645" customWidth="1"/>
    <col min="13575" max="13575" width="6.125" style="645" customWidth="1"/>
    <col min="13576" max="13576" width="10" style="645" customWidth="1"/>
    <col min="13577" max="13821" width="9" style="645"/>
    <col min="13822" max="13823" width="9" style="645" customWidth="1"/>
    <col min="13824" max="13824" width="6.625" style="645" customWidth="1"/>
    <col min="13825" max="13825" width="16.5" style="645" customWidth="1"/>
    <col min="13826" max="13826" width="10.875" style="645" customWidth="1"/>
    <col min="13827" max="13827" width="9" style="645" customWidth="1"/>
    <col min="13828" max="13828" width="9.75" style="645" customWidth="1"/>
    <col min="13829" max="13830" width="9" style="645" customWidth="1"/>
    <col min="13831" max="13831" width="6.125" style="645" customWidth="1"/>
    <col min="13832" max="13832" width="10" style="645" customWidth="1"/>
    <col min="13833" max="14077" width="9" style="645"/>
    <col min="14078" max="14079" width="9" style="645" customWidth="1"/>
    <col min="14080" max="14080" width="6.625" style="645" customWidth="1"/>
    <col min="14081" max="14081" width="16.5" style="645" customWidth="1"/>
    <col min="14082" max="14082" width="10.875" style="645" customWidth="1"/>
    <col min="14083" max="14083" width="9" style="645" customWidth="1"/>
    <col min="14084" max="14084" width="9.75" style="645" customWidth="1"/>
    <col min="14085" max="14086" width="9" style="645" customWidth="1"/>
    <col min="14087" max="14087" width="6.125" style="645" customWidth="1"/>
    <col min="14088" max="14088" width="10" style="645" customWidth="1"/>
    <col min="14089" max="14333" width="9" style="645"/>
    <col min="14334" max="14335" width="9" style="645" customWidth="1"/>
    <col min="14336" max="14336" width="6.625" style="645" customWidth="1"/>
    <col min="14337" max="14337" width="16.5" style="645" customWidth="1"/>
    <col min="14338" max="14338" width="10.875" style="645" customWidth="1"/>
    <col min="14339" max="14339" width="9" style="645" customWidth="1"/>
    <col min="14340" max="14340" width="9.75" style="645" customWidth="1"/>
    <col min="14341" max="14342" width="9" style="645" customWidth="1"/>
    <col min="14343" max="14343" width="6.125" style="645" customWidth="1"/>
    <col min="14344" max="14344" width="10" style="645" customWidth="1"/>
    <col min="14345" max="14589" width="9" style="645"/>
    <col min="14590" max="14591" width="9" style="645" customWidth="1"/>
    <col min="14592" max="14592" width="6.625" style="645" customWidth="1"/>
    <col min="14593" max="14593" width="16.5" style="645" customWidth="1"/>
    <col min="14594" max="14594" width="10.875" style="645" customWidth="1"/>
    <col min="14595" max="14595" width="9" style="645" customWidth="1"/>
    <col min="14596" max="14596" width="9.75" style="645" customWidth="1"/>
    <col min="14597" max="14598" width="9" style="645" customWidth="1"/>
    <col min="14599" max="14599" width="6.125" style="645" customWidth="1"/>
    <col min="14600" max="14600" width="10" style="645" customWidth="1"/>
    <col min="14601" max="14845" width="9" style="645"/>
    <col min="14846" max="14847" width="9" style="645" customWidth="1"/>
    <col min="14848" max="14848" width="6.625" style="645" customWidth="1"/>
    <col min="14849" max="14849" width="16.5" style="645" customWidth="1"/>
    <col min="14850" max="14850" width="10.875" style="645" customWidth="1"/>
    <col min="14851" max="14851" width="9" style="645" customWidth="1"/>
    <col min="14852" max="14852" width="9.75" style="645" customWidth="1"/>
    <col min="14853" max="14854" width="9" style="645" customWidth="1"/>
    <col min="14855" max="14855" width="6.125" style="645" customWidth="1"/>
    <col min="14856" max="14856" width="10" style="645" customWidth="1"/>
    <col min="14857" max="15101" width="9" style="645"/>
    <col min="15102" max="15103" width="9" style="645" customWidth="1"/>
    <col min="15104" max="15104" width="6.625" style="645" customWidth="1"/>
    <col min="15105" max="15105" width="16.5" style="645" customWidth="1"/>
    <col min="15106" max="15106" width="10.875" style="645" customWidth="1"/>
    <col min="15107" max="15107" width="9" style="645" customWidth="1"/>
    <col min="15108" max="15108" width="9.75" style="645" customWidth="1"/>
    <col min="15109" max="15110" width="9" style="645" customWidth="1"/>
    <col min="15111" max="15111" width="6.125" style="645" customWidth="1"/>
    <col min="15112" max="15112" width="10" style="645" customWidth="1"/>
    <col min="15113" max="15357" width="9" style="645"/>
    <col min="15358" max="15359" width="9" style="645" customWidth="1"/>
    <col min="15360" max="15360" width="6.625" style="645" customWidth="1"/>
    <col min="15361" max="15361" width="16.5" style="645" customWidth="1"/>
    <col min="15362" max="15362" width="10.875" style="645" customWidth="1"/>
    <col min="15363" max="15363" width="9" style="645" customWidth="1"/>
    <col min="15364" max="15364" width="9.75" style="645" customWidth="1"/>
    <col min="15365" max="15366" width="9" style="645" customWidth="1"/>
    <col min="15367" max="15367" width="6.125" style="645" customWidth="1"/>
    <col min="15368" max="15368" width="10" style="645" customWidth="1"/>
    <col min="15369" max="15613" width="9" style="645"/>
    <col min="15614" max="15615" width="9" style="645" customWidth="1"/>
    <col min="15616" max="15616" width="6.625" style="645" customWidth="1"/>
    <col min="15617" max="15617" width="16.5" style="645" customWidth="1"/>
    <col min="15618" max="15618" width="10.875" style="645" customWidth="1"/>
    <col min="15619" max="15619" width="9" style="645" customWidth="1"/>
    <col min="15620" max="15620" width="9.75" style="645" customWidth="1"/>
    <col min="15621" max="15622" width="9" style="645" customWidth="1"/>
    <col min="15623" max="15623" width="6.125" style="645" customWidth="1"/>
    <col min="15624" max="15624" width="10" style="645" customWidth="1"/>
    <col min="15625" max="15869" width="9" style="645"/>
    <col min="15870" max="15871" width="9" style="645" customWidth="1"/>
    <col min="15872" max="15872" width="6.625" style="645" customWidth="1"/>
    <col min="15873" max="15873" width="16.5" style="645" customWidth="1"/>
    <col min="15874" max="15874" width="10.875" style="645" customWidth="1"/>
    <col min="15875" max="15875" width="9" style="645" customWidth="1"/>
    <col min="15876" max="15876" width="9.75" style="645" customWidth="1"/>
    <col min="15877" max="15878" width="9" style="645" customWidth="1"/>
    <col min="15879" max="15879" width="6.125" style="645" customWidth="1"/>
    <col min="15880" max="15880" width="10" style="645" customWidth="1"/>
    <col min="15881" max="16125" width="9" style="645"/>
    <col min="16126" max="16127" width="9" style="645" customWidth="1"/>
    <col min="16128" max="16128" width="6.625" style="645" customWidth="1"/>
    <col min="16129" max="16129" width="16.5" style="645" customWidth="1"/>
    <col min="16130" max="16130" width="10.875" style="645" customWidth="1"/>
    <col min="16131" max="16131" width="9" style="645" customWidth="1"/>
    <col min="16132" max="16132" width="9.75" style="645" customWidth="1"/>
    <col min="16133" max="16134" width="9" style="645" customWidth="1"/>
    <col min="16135" max="16135" width="6.125" style="645" customWidth="1"/>
    <col min="16136" max="16136" width="10" style="645" customWidth="1"/>
    <col min="16137" max="16384" width="9" style="645"/>
  </cols>
  <sheetData>
    <row r="1" spans="1:9">
      <c r="I1" s="645">
        <v>6</v>
      </c>
    </row>
    <row r="3" spans="1:9">
      <c r="A3" s="647"/>
      <c r="B3" s="648"/>
      <c r="C3" s="648"/>
      <c r="D3" s="648"/>
      <c r="E3" s="649"/>
      <c r="F3" s="650"/>
      <c r="G3" s="651"/>
    </row>
    <row r="4" spans="1:9" s="644" customFormat="1" ht="20.25">
      <c r="A4" s="652"/>
      <c r="B4" s="724" t="s">
        <v>63</v>
      </c>
      <c r="C4" s="724"/>
      <c r="D4" s="724"/>
      <c r="E4" s="724"/>
      <c r="F4" s="653"/>
    </row>
    <row r="5" spans="1:9" ht="17.25" customHeight="1">
      <c r="A5" s="652"/>
      <c r="B5" s="654"/>
      <c r="C5" s="654"/>
      <c r="D5" s="654"/>
      <c r="E5" s="655"/>
      <c r="F5" s="653"/>
    </row>
    <row r="6" spans="1:9" ht="19.5">
      <c r="A6" s="652"/>
      <c r="B6" s="654"/>
      <c r="C6" s="654" t="s">
        <v>64</v>
      </c>
      <c r="D6" s="654" t="s">
        <v>65</v>
      </c>
      <c r="E6" s="655"/>
      <c r="F6" s="653"/>
    </row>
    <row r="7" spans="1:9" ht="19.5">
      <c r="A7" s="652"/>
      <c r="B7" s="654"/>
      <c r="C7" s="654">
        <v>1</v>
      </c>
      <c r="D7" s="656" t="s">
        <v>66</v>
      </c>
      <c r="E7" s="655"/>
      <c r="F7" s="653"/>
    </row>
    <row r="8" spans="1:9" ht="19.5">
      <c r="A8" s="652"/>
      <c r="B8" s="654"/>
      <c r="C8" s="654">
        <v>2</v>
      </c>
      <c r="D8" s="657" t="s">
        <v>67</v>
      </c>
      <c r="E8" s="655"/>
      <c r="F8" s="653"/>
    </row>
    <row r="9" spans="1:9" ht="19.5">
      <c r="A9" s="652"/>
      <c r="B9" s="654"/>
      <c r="C9" s="654">
        <v>3</v>
      </c>
      <c r="D9" s="656" t="s">
        <v>68</v>
      </c>
      <c r="E9" s="655"/>
      <c r="F9" s="653"/>
    </row>
    <row r="10" spans="1:9" ht="19.5">
      <c r="A10" s="652"/>
      <c r="B10" s="654"/>
      <c r="C10" s="654">
        <v>4</v>
      </c>
      <c r="D10" s="656" t="s">
        <v>69</v>
      </c>
      <c r="E10" s="655"/>
      <c r="F10" s="653"/>
    </row>
    <row r="11" spans="1:9" ht="19.5">
      <c r="A11" s="652"/>
      <c r="B11" s="654"/>
      <c r="C11" s="654">
        <v>5</v>
      </c>
      <c r="D11" s="656" t="s">
        <v>70</v>
      </c>
      <c r="E11" s="655"/>
      <c r="F11" s="653"/>
    </row>
    <row r="12" spans="1:9" ht="19.5">
      <c r="A12" s="652"/>
      <c r="B12" s="654"/>
      <c r="C12" s="654">
        <v>6</v>
      </c>
      <c r="D12" s="656" t="s">
        <v>71</v>
      </c>
      <c r="E12" s="655"/>
      <c r="F12" s="653"/>
    </row>
    <row r="13" spans="1:9" ht="19.5">
      <c r="A13" s="652"/>
      <c r="B13" s="654"/>
      <c r="C13" s="654">
        <v>7</v>
      </c>
      <c r="D13" s="658" t="s">
        <v>72</v>
      </c>
      <c r="E13" s="659"/>
      <c r="F13" s="653"/>
    </row>
    <row r="14" spans="1:9" ht="19.5">
      <c r="A14" s="652"/>
      <c r="B14" s="654"/>
      <c r="C14" s="654">
        <v>8</v>
      </c>
      <c r="D14" s="657" t="s">
        <v>73</v>
      </c>
      <c r="E14" s="659"/>
      <c r="F14" s="653"/>
    </row>
    <row r="15" spans="1:9" ht="19.5">
      <c r="A15" s="652"/>
      <c r="B15" s="654"/>
      <c r="C15" s="654">
        <v>9</v>
      </c>
      <c r="D15" s="657" t="s">
        <v>74</v>
      </c>
      <c r="E15" s="659"/>
      <c r="F15" s="653"/>
    </row>
    <row r="16" spans="1:9" ht="19.5">
      <c r="A16" s="652"/>
      <c r="B16" s="654"/>
      <c r="C16" s="654">
        <v>10</v>
      </c>
      <c r="D16" s="656" t="s">
        <v>75</v>
      </c>
      <c r="E16" s="659"/>
      <c r="F16" s="653"/>
    </row>
    <row r="17" spans="1:6" ht="19.5">
      <c r="A17" s="652"/>
      <c r="B17" s="654"/>
      <c r="C17" s="654">
        <v>11</v>
      </c>
      <c r="D17" s="657" t="s">
        <v>76</v>
      </c>
      <c r="E17" s="659"/>
      <c r="F17" s="653"/>
    </row>
    <row r="18" spans="1:6" ht="14.25">
      <c r="A18" s="652"/>
      <c r="B18" s="654"/>
      <c r="C18" s="654">
        <v>12</v>
      </c>
      <c r="D18" s="658" t="s">
        <v>77</v>
      </c>
      <c r="E18" s="645"/>
      <c r="F18" s="653"/>
    </row>
    <row r="19" spans="1:6" ht="14.25">
      <c r="A19" s="652"/>
      <c r="B19" s="654"/>
      <c r="C19" s="654">
        <v>13</v>
      </c>
      <c r="D19" s="660" t="s">
        <v>78</v>
      </c>
      <c r="E19" s="645"/>
      <c r="F19" s="653"/>
    </row>
    <row r="20" spans="1:6" ht="19.5">
      <c r="A20" s="652"/>
      <c r="B20" s="654"/>
      <c r="C20" s="654">
        <v>14</v>
      </c>
      <c r="D20" s="658" t="s">
        <v>79</v>
      </c>
      <c r="E20" s="655"/>
      <c r="F20" s="653"/>
    </row>
    <row r="21" spans="1:6" ht="17.25">
      <c r="A21" s="644"/>
      <c r="B21" s="644"/>
      <c r="C21" s="654">
        <v>15</v>
      </c>
      <c r="D21" s="656" t="s">
        <v>80</v>
      </c>
      <c r="E21" s="661"/>
      <c r="F21" s="662"/>
    </row>
    <row r="22" spans="1:6">
      <c r="A22" s="663"/>
      <c r="B22" s="644"/>
      <c r="C22" s="644"/>
      <c r="E22" s="661"/>
      <c r="F22" s="662"/>
    </row>
    <row r="23" spans="1:6">
      <c r="A23" s="664"/>
      <c r="B23" s="664"/>
      <c r="C23" s="664"/>
      <c r="D23" s="664"/>
      <c r="E23" s="665"/>
      <c r="F23" s="666"/>
    </row>
    <row r="24" spans="1:6">
      <c r="A24" s="644"/>
      <c r="B24" s="644"/>
      <c r="C24" s="644"/>
      <c r="D24" s="644"/>
      <c r="E24" s="661"/>
      <c r="F24" s="644"/>
    </row>
    <row r="25" spans="1:6" s="644" customFormat="1">
      <c r="E25" s="661"/>
    </row>
    <row r="26" spans="1:6">
      <c r="A26" s="725" t="s">
        <v>81</v>
      </c>
      <c r="B26" s="726"/>
      <c r="C26" s="667"/>
      <c r="D26" s="667"/>
      <c r="E26" s="668"/>
      <c r="F26" s="669"/>
    </row>
    <row r="27" spans="1:6">
      <c r="A27" s="727"/>
      <c r="B27" s="728"/>
      <c r="C27" s="644"/>
      <c r="D27" s="670">
        <v>496178</v>
      </c>
      <c r="E27" s="661"/>
      <c r="F27" s="671"/>
    </row>
    <row r="28" spans="1:6">
      <c r="A28" s="727"/>
      <c r="B28" s="728"/>
      <c r="C28" s="644"/>
      <c r="D28" s="670" t="s">
        <v>82</v>
      </c>
      <c r="E28" s="661"/>
      <c r="F28" s="671"/>
    </row>
    <row r="29" spans="1:6">
      <c r="A29" s="729"/>
      <c r="B29" s="730"/>
      <c r="C29" s="664"/>
      <c r="D29" s="664"/>
      <c r="E29" s="665"/>
      <c r="F29" s="666"/>
    </row>
  </sheetData>
  <mergeCells count="2">
    <mergeCell ref="B4:E4"/>
    <mergeCell ref="A26:B29"/>
  </mergeCells>
  <phoneticPr fontId="150" type="noConversion"/>
  <hyperlinks>
    <hyperlink ref="D14" location="工作量分布!A1" display="工作量分布" xr:uid="{00000000-0004-0000-0200-000000000000}"/>
    <hyperlink ref="D16" location="项目进度!A1" display="进度" xr:uid="{00000000-0004-0000-0200-000001000000}"/>
    <hyperlink ref="D8" location="项目属性!A1" display="项目属性" xr:uid="{00000000-0004-0000-0200-000002000000}"/>
    <hyperlink ref="D17" location="缺陷度量!A1" display="过程产出缺陷度量" xr:uid="{00000000-0004-0000-0200-000003000000}"/>
    <hyperlink ref="D15" location="规模!A1" display="规模" xr:uid="{00000000-0004-0000-0200-000004000000}"/>
    <hyperlink ref="D19" location="人员统计!A1" display="人员统计" xr:uid="{00000000-0004-0000-0200-000005000000}"/>
    <hyperlink ref="D13" location="需求!A1" display="需求" xr:uid="{00000000-0004-0000-0200-000006000000}"/>
    <hyperlink ref="D21" location="模型数据检查!A1" display="模型检验" xr:uid="{00000000-0004-0000-0200-000007000000}"/>
    <hyperlink ref="D7" location="填写说明!A1" display="填写说明" xr:uid="{00000000-0004-0000-0200-000008000000}"/>
    <hyperlink ref="D9" location="项目度量分析计划!A1" display="项目度量分析计划" xr:uid="{00000000-0004-0000-0200-000009000000}"/>
    <hyperlink ref="D10" location="模型!A1" display="模型" xr:uid="{00000000-0004-0000-0200-00000A000000}"/>
    <hyperlink ref="D11" location="'预测-结果'!A1" display="预测-结果" xr:uid="{00000000-0004-0000-0200-00000B000000}"/>
    <hyperlink ref="D12" location="'预测-指导'!A1" display="预测-指导" xr:uid="{00000000-0004-0000-0200-00000C000000}"/>
    <hyperlink ref="D18" location="测试及验收缺陷度量!A1" display="测试及验收缺陷度量" xr:uid="{00000000-0004-0000-0200-00000D000000}"/>
    <hyperlink ref="D20" location="根因分析!A1" display="根因分析" xr:uid="{00000000-0004-0000-0200-00000E000000}"/>
  </hyperlinks>
  <pageMargins left="0.75" right="0.75" top="1" bottom="1" header="0.5" footer="0.5"/>
  <pageSetup paperSize="9"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Pict="0" macro="[0]!ye">
                <anchor moveWithCells="1">
                  <from>
                    <xdr:col>2</xdr:col>
                    <xdr:colOff>295275</xdr:colOff>
                    <xdr:row>25</xdr:row>
                    <xdr:rowOff>85725</xdr:rowOff>
                  </from>
                  <to>
                    <xdr:col>3</xdr:col>
                    <xdr:colOff>942975</xdr:colOff>
                    <xdr:row>26</xdr:row>
                    <xdr:rowOff>161925</xdr:rowOff>
                  </to>
                </anchor>
              </controlPr>
            </control>
          </mc:Choice>
        </mc:AlternateContent>
        <mc:AlternateContent xmlns:mc="http://schemas.openxmlformats.org/markup-compatibility/2006">
          <mc:Choice Requires="x14">
            <control shapeId="66562" r:id="rId4" name="Button 2">
              <controlPr defaultSize="0" print="0" autoPict="0" macro="[0]!MarcoHide">
                <anchor moveWithCells="1">
                  <from>
                    <xdr:col>2</xdr:col>
                    <xdr:colOff>295275</xdr:colOff>
                    <xdr:row>27</xdr:row>
                    <xdr:rowOff>66675</xdr:rowOff>
                  </from>
                  <to>
                    <xdr:col>3</xdr:col>
                    <xdr:colOff>942975</xdr:colOff>
                    <xdr:row>28</xdr:row>
                    <xdr:rowOff>142875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B0F0"/>
  </sheetPr>
  <dimension ref="A1:I16"/>
  <sheetViews>
    <sheetView topLeftCell="A7" workbookViewId="0">
      <selection activeCell="D36" sqref="D36"/>
    </sheetView>
  </sheetViews>
  <sheetFormatPr defaultColWidth="9" defaultRowHeight="13.5"/>
  <sheetData>
    <row r="1" spans="1:9" ht="14.25">
      <c r="A1" s="736" t="s">
        <v>66</v>
      </c>
      <c r="B1" s="737"/>
      <c r="C1" s="737"/>
      <c r="D1" s="737"/>
      <c r="E1" s="737"/>
      <c r="F1" s="737"/>
      <c r="G1" s="737"/>
      <c r="H1" s="737"/>
      <c r="I1" s="737"/>
    </row>
    <row r="2" spans="1:9">
      <c r="A2" s="734" t="s">
        <v>83</v>
      </c>
      <c r="B2" s="735"/>
      <c r="C2" s="735"/>
      <c r="D2" s="735"/>
      <c r="E2" s="735"/>
      <c r="F2" s="735"/>
      <c r="G2" s="735"/>
      <c r="H2" s="735"/>
      <c r="I2" s="735"/>
    </row>
    <row r="3" spans="1:9">
      <c r="A3" s="735"/>
      <c r="B3" s="735"/>
      <c r="C3" s="735"/>
      <c r="D3" s="735"/>
      <c r="E3" s="735"/>
      <c r="F3" s="735"/>
      <c r="G3" s="735"/>
      <c r="H3" s="735"/>
      <c r="I3" s="735"/>
    </row>
    <row r="4" spans="1:9">
      <c r="A4" s="735"/>
      <c r="B4" s="735"/>
      <c r="C4" s="735"/>
      <c r="D4" s="735"/>
      <c r="E4" s="735"/>
      <c r="F4" s="735"/>
      <c r="G4" s="735"/>
      <c r="H4" s="735"/>
      <c r="I4" s="735"/>
    </row>
    <row r="5" spans="1:9">
      <c r="A5" s="735"/>
      <c r="B5" s="735"/>
      <c r="C5" s="735"/>
      <c r="D5" s="735"/>
      <c r="E5" s="735"/>
      <c r="F5" s="735"/>
      <c r="G5" s="735"/>
      <c r="H5" s="735"/>
      <c r="I5" s="735"/>
    </row>
    <row r="6" spans="1:9">
      <c r="A6" s="735"/>
      <c r="B6" s="735"/>
      <c r="C6" s="735"/>
      <c r="D6" s="735"/>
      <c r="E6" s="735"/>
      <c r="F6" s="735"/>
      <c r="G6" s="735"/>
      <c r="H6" s="735"/>
      <c r="I6" s="735"/>
    </row>
    <row r="7" spans="1:9">
      <c r="A7" s="735"/>
      <c r="B7" s="735"/>
      <c r="C7" s="735"/>
      <c r="D7" s="735"/>
      <c r="E7" s="735"/>
      <c r="F7" s="735"/>
      <c r="G7" s="735"/>
      <c r="H7" s="735"/>
      <c r="I7" s="735"/>
    </row>
    <row r="8" spans="1:9">
      <c r="A8" s="735"/>
      <c r="B8" s="735"/>
      <c r="C8" s="735"/>
      <c r="D8" s="735"/>
      <c r="E8" s="735"/>
      <c r="F8" s="735"/>
      <c r="G8" s="735"/>
      <c r="H8" s="735"/>
      <c r="I8" s="735"/>
    </row>
    <row r="9" spans="1:9">
      <c r="A9" s="735"/>
      <c r="B9" s="735"/>
      <c r="C9" s="735"/>
      <c r="D9" s="735"/>
      <c r="E9" s="735"/>
      <c r="F9" s="735"/>
      <c r="G9" s="735"/>
      <c r="H9" s="735"/>
      <c r="I9" s="735"/>
    </row>
    <row r="10" spans="1:9" ht="14.25">
      <c r="A10" s="736" t="s">
        <v>84</v>
      </c>
      <c r="B10" s="737"/>
      <c r="C10" s="737"/>
      <c r="D10" s="737"/>
      <c r="E10" s="737"/>
      <c r="F10" s="737"/>
      <c r="G10" s="737"/>
      <c r="H10" s="737"/>
      <c r="I10" s="737"/>
    </row>
    <row r="11" spans="1:9">
      <c r="A11" s="638" t="s">
        <v>85</v>
      </c>
      <c r="B11" s="638" t="s">
        <v>86</v>
      </c>
      <c r="C11" s="738" t="s">
        <v>87</v>
      </c>
      <c r="D11" s="739"/>
      <c r="E11" s="739"/>
      <c r="F11" s="739"/>
      <c r="G11" s="739"/>
      <c r="H11" s="739"/>
      <c r="I11" s="740"/>
    </row>
    <row r="12" spans="1:9" ht="14.25">
      <c r="A12" s="639">
        <v>1</v>
      </c>
      <c r="B12" s="640" t="s">
        <v>88</v>
      </c>
      <c r="C12" s="731" t="s">
        <v>89</v>
      </c>
      <c r="D12" s="732"/>
      <c r="E12" s="732"/>
      <c r="F12" s="732"/>
      <c r="G12" s="732"/>
      <c r="H12" s="732"/>
      <c r="I12" s="733"/>
    </row>
    <row r="13" spans="1:9" ht="14.25">
      <c r="A13" s="637">
        <v>2</v>
      </c>
      <c r="B13" s="641" t="s">
        <v>90</v>
      </c>
      <c r="C13" s="731" t="s">
        <v>91</v>
      </c>
      <c r="D13" s="732"/>
      <c r="E13" s="732"/>
      <c r="F13" s="732"/>
      <c r="G13" s="732"/>
      <c r="H13" s="732"/>
      <c r="I13" s="733"/>
    </row>
    <row r="14" spans="1:9" ht="14.25">
      <c r="A14" s="637">
        <v>3</v>
      </c>
      <c r="B14" s="638" t="s">
        <v>92</v>
      </c>
      <c r="C14" s="731" t="s">
        <v>93</v>
      </c>
      <c r="D14" s="732"/>
      <c r="E14" s="732"/>
      <c r="F14" s="732"/>
      <c r="G14" s="732"/>
      <c r="H14" s="732"/>
      <c r="I14" s="733"/>
    </row>
    <row r="15" spans="1:9" ht="14.25">
      <c r="A15" s="637">
        <v>4</v>
      </c>
      <c r="B15" s="642" t="s">
        <v>94</v>
      </c>
      <c r="C15" s="731" t="s">
        <v>95</v>
      </c>
      <c r="D15" s="732"/>
      <c r="E15" s="732"/>
      <c r="F15" s="732"/>
      <c r="G15" s="732"/>
      <c r="H15" s="732"/>
      <c r="I15" s="733"/>
    </row>
    <row r="16" spans="1:9" ht="14.25">
      <c r="A16" s="637">
        <v>5</v>
      </c>
      <c r="B16" s="643" t="s">
        <v>96</v>
      </c>
      <c r="C16" s="731" t="s">
        <v>97</v>
      </c>
      <c r="D16" s="732"/>
      <c r="E16" s="732"/>
      <c r="F16" s="732"/>
      <c r="G16" s="732"/>
      <c r="H16" s="732"/>
      <c r="I16" s="733"/>
    </row>
  </sheetData>
  <mergeCells count="10">
    <mergeCell ref="A1:I1"/>
    <mergeCell ref="A9:I9"/>
    <mergeCell ref="A10:I10"/>
    <mergeCell ref="C11:I11"/>
    <mergeCell ref="C12:I12"/>
    <mergeCell ref="C13:I13"/>
    <mergeCell ref="C14:I14"/>
    <mergeCell ref="C15:I15"/>
    <mergeCell ref="C16:I16"/>
    <mergeCell ref="A2:I8"/>
  </mergeCells>
  <phoneticPr fontId="150" type="noConversion"/>
  <pageMargins left="0.69930555555555596" right="0.69930555555555596"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B0F0"/>
  </sheetPr>
  <dimension ref="A1:B21"/>
  <sheetViews>
    <sheetView showGridLines="0" topLeftCell="A7" workbookViewId="0">
      <selection activeCell="B24" sqref="B24"/>
    </sheetView>
  </sheetViews>
  <sheetFormatPr defaultColWidth="9" defaultRowHeight="12"/>
  <cols>
    <col min="1" max="1" width="16.25" style="57" customWidth="1"/>
    <col min="2" max="2" width="56.5" style="57" customWidth="1"/>
    <col min="3" max="256" width="9" style="57"/>
    <col min="257" max="257" width="16.25" style="57" customWidth="1"/>
    <col min="258" max="258" width="56.5" style="57" customWidth="1"/>
    <col min="259" max="512" width="9" style="57"/>
    <col min="513" max="513" width="16.25" style="57" customWidth="1"/>
    <col min="514" max="514" width="56.5" style="57" customWidth="1"/>
    <col min="515" max="768" width="9" style="57"/>
    <col min="769" max="769" width="16.25" style="57" customWidth="1"/>
    <col min="770" max="770" width="56.5" style="57" customWidth="1"/>
    <col min="771" max="1024" width="9" style="57"/>
    <col min="1025" max="1025" width="16.25" style="57" customWidth="1"/>
    <col min="1026" max="1026" width="56.5" style="57" customWidth="1"/>
    <col min="1027" max="1280" width="9" style="57"/>
    <col min="1281" max="1281" width="16.25" style="57" customWidth="1"/>
    <col min="1282" max="1282" width="56.5" style="57" customWidth="1"/>
    <col min="1283" max="1536" width="9" style="57"/>
    <col min="1537" max="1537" width="16.25" style="57" customWidth="1"/>
    <col min="1538" max="1538" width="56.5" style="57" customWidth="1"/>
    <col min="1539" max="1792" width="9" style="57"/>
    <col min="1793" max="1793" width="16.25" style="57" customWidth="1"/>
    <col min="1794" max="1794" width="56.5" style="57" customWidth="1"/>
    <col min="1795" max="2048" width="9" style="57"/>
    <col min="2049" max="2049" width="16.25" style="57" customWidth="1"/>
    <col min="2050" max="2050" width="56.5" style="57" customWidth="1"/>
    <col min="2051" max="2304" width="9" style="57"/>
    <col min="2305" max="2305" width="16.25" style="57" customWidth="1"/>
    <col min="2306" max="2306" width="56.5" style="57" customWidth="1"/>
    <col min="2307" max="2560" width="9" style="57"/>
    <col min="2561" max="2561" width="16.25" style="57" customWidth="1"/>
    <col min="2562" max="2562" width="56.5" style="57" customWidth="1"/>
    <col min="2563" max="2816" width="9" style="57"/>
    <col min="2817" max="2817" width="16.25" style="57" customWidth="1"/>
    <col min="2818" max="2818" width="56.5" style="57" customWidth="1"/>
    <col min="2819" max="3072" width="9" style="57"/>
    <col min="3073" max="3073" width="16.25" style="57" customWidth="1"/>
    <col min="3074" max="3074" width="56.5" style="57" customWidth="1"/>
    <col min="3075" max="3328" width="9" style="57"/>
    <col min="3329" max="3329" width="16.25" style="57" customWidth="1"/>
    <col min="3330" max="3330" width="56.5" style="57" customWidth="1"/>
    <col min="3331" max="3584" width="9" style="57"/>
    <col min="3585" max="3585" width="16.25" style="57" customWidth="1"/>
    <col min="3586" max="3586" width="56.5" style="57" customWidth="1"/>
    <col min="3587" max="3840" width="9" style="57"/>
    <col min="3841" max="3841" width="16.25" style="57" customWidth="1"/>
    <col min="3842" max="3842" width="56.5" style="57" customWidth="1"/>
    <col min="3843" max="4096" width="9" style="57"/>
    <col min="4097" max="4097" width="16.25" style="57" customWidth="1"/>
    <col min="4098" max="4098" width="56.5" style="57" customWidth="1"/>
    <col min="4099" max="4352" width="9" style="57"/>
    <col min="4353" max="4353" width="16.25" style="57" customWidth="1"/>
    <col min="4354" max="4354" width="56.5" style="57" customWidth="1"/>
    <col min="4355" max="4608" width="9" style="57"/>
    <col min="4609" max="4609" width="16.25" style="57" customWidth="1"/>
    <col min="4610" max="4610" width="56.5" style="57" customWidth="1"/>
    <col min="4611" max="4864" width="9" style="57"/>
    <col min="4865" max="4865" width="16.25" style="57" customWidth="1"/>
    <col min="4866" max="4866" width="56.5" style="57" customWidth="1"/>
    <col min="4867" max="5120" width="9" style="57"/>
    <col min="5121" max="5121" width="16.25" style="57" customWidth="1"/>
    <col min="5122" max="5122" width="56.5" style="57" customWidth="1"/>
    <col min="5123" max="5376" width="9" style="57"/>
    <col min="5377" max="5377" width="16.25" style="57" customWidth="1"/>
    <col min="5378" max="5378" width="56.5" style="57" customWidth="1"/>
    <col min="5379" max="5632" width="9" style="57"/>
    <col min="5633" max="5633" width="16.25" style="57" customWidth="1"/>
    <col min="5634" max="5634" width="56.5" style="57" customWidth="1"/>
    <col min="5635" max="5888" width="9" style="57"/>
    <col min="5889" max="5889" width="16.25" style="57" customWidth="1"/>
    <col min="5890" max="5890" width="56.5" style="57" customWidth="1"/>
    <col min="5891" max="6144" width="9" style="57"/>
    <col min="6145" max="6145" width="16.25" style="57" customWidth="1"/>
    <col min="6146" max="6146" width="56.5" style="57" customWidth="1"/>
    <col min="6147" max="6400" width="9" style="57"/>
    <col min="6401" max="6401" width="16.25" style="57" customWidth="1"/>
    <col min="6402" max="6402" width="56.5" style="57" customWidth="1"/>
    <col min="6403" max="6656" width="9" style="57"/>
    <col min="6657" max="6657" width="16.25" style="57" customWidth="1"/>
    <col min="6658" max="6658" width="56.5" style="57" customWidth="1"/>
    <col min="6659" max="6912" width="9" style="57"/>
    <col min="6913" max="6913" width="16.25" style="57" customWidth="1"/>
    <col min="6914" max="6914" width="56.5" style="57" customWidth="1"/>
    <col min="6915" max="7168" width="9" style="57"/>
    <col min="7169" max="7169" width="16.25" style="57" customWidth="1"/>
    <col min="7170" max="7170" width="56.5" style="57" customWidth="1"/>
    <col min="7171" max="7424" width="9" style="57"/>
    <col min="7425" max="7425" width="16.25" style="57" customWidth="1"/>
    <col min="7426" max="7426" width="56.5" style="57" customWidth="1"/>
    <col min="7427" max="7680" width="9" style="57"/>
    <col min="7681" max="7681" width="16.25" style="57" customWidth="1"/>
    <col min="7682" max="7682" width="56.5" style="57" customWidth="1"/>
    <col min="7683" max="7936" width="9" style="57"/>
    <col min="7937" max="7937" width="16.25" style="57" customWidth="1"/>
    <col min="7938" max="7938" width="56.5" style="57" customWidth="1"/>
    <col min="7939" max="8192" width="9" style="57"/>
    <col min="8193" max="8193" width="16.25" style="57" customWidth="1"/>
    <col min="8194" max="8194" width="56.5" style="57" customWidth="1"/>
    <col min="8195" max="8448" width="9" style="57"/>
    <col min="8449" max="8449" width="16.25" style="57" customWidth="1"/>
    <col min="8450" max="8450" width="56.5" style="57" customWidth="1"/>
    <col min="8451" max="8704" width="9" style="57"/>
    <col min="8705" max="8705" width="16.25" style="57" customWidth="1"/>
    <col min="8706" max="8706" width="56.5" style="57" customWidth="1"/>
    <col min="8707" max="8960" width="9" style="57"/>
    <col min="8961" max="8961" width="16.25" style="57" customWidth="1"/>
    <col min="8962" max="8962" width="56.5" style="57" customWidth="1"/>
    <col min="8963" max="9216" width="9" style="57"/>
    <col min="9217" max="9217" width="16.25" style="57" customWidth="1"/>
    <col min="9218" max="9218" width="56.5" style="57" customWidth="1"/>
    <col min="9219" max="9472" width="9" style="57"/>
    <col min="9473" max="9473" width="16.25" style="57" customWidth="1"/>
    <col min="9474" max="9474" width="56.5" style="57" customWidth="1"/>
    <col min="9475" max="9728" width="9" style="57"/>
    <col min="9729" max="9729" width="16.25" style="57" customWidth="1"/>
    <col min="9730" max="9730" width="56.5" style="57" customWidth="1"/>
    <col min="9731" max="9984" width="9" style="57"/>
    <col min="9985" max="9985" width="16.25" style="57" customWidth="1"/>
    <col min="9986" max="9986" width="56.5" style="57" customWidth="1"/>
    <col min="9987" max="10240" width="9" style="57"/>
    <col min="10241" max="10241" width="16.25" style="57" customWidth="1"/>
    <col min="10242" max="10242" width="56.5" style="57" customWidth="1"/>
    <col min="10243" max="10496" width="9" style="57"/>
    <col min="10497" max="10497" width="16.25" style="57" customWidth="1"/>
    <col min="10498" max="10498" width="56.5" style="57" customWidth="1"/>
    <col min="10499" max="10752" width="9" style="57"/>
    <col min="10753" max="10753" width="16.25" style="57" customWidth="1"/>
    <col min="10754" max="10754" width="56.5" style="57" customWidth="1"/>
    <col min="10755" max="11008" width="9" style="57"/>
    <col min="11009" max="11009" width="16.25" style="57" customWidth="1"/>
    <col min="11010" max="11010" width="56.5" style="57" customWidth="1"/>
    <col min="11011" max="11264" width="9" style="57"/>
    <col min="11265" max="11265" width="16.25" style="57" customWidth="1"/>
    <col min="11266" max="11266" width="56.5" style="57" customWidth="1"/>
    <col min="11267" max="11520" width="9" style="57"/>
    <col min="11521" max="11521" width="16.25" style="57" customWidth="1"/>
    <col min="11522" max="11522" width="56.5" style="57" customWidth="1"/>
    <col min="11523" max="11776" width="9" style="57"/>
    <col min="11777" max="11777" width="16.25" style="57" customWidth="1"/>
    <col min="11778" max="11778" width="56.5" style="57" customWidth="1"/>
    <col min="11779" max="12032" width="9" style="57"/>
    <col min="12033" max="12033" width="16.25" style="57" customWidth="1"/>
    <col min="12034" max="12034" width="56.5" style="57" customWidth="1"/>
    <col min="12035" max="12288" width="9" style="57"/>
    <col min="12289" max="12289" width="16.25" style="57" customWidth="1"/>
    <col min="12290" max="12290" width="56.5" style="57" customWidth="1"/>
    <col min="12291" max="12544" width="9" style="57"/>
    <col min="12545" max="12545" width="16.25" style="57" customWidth="1"/>
    <col min="12546" max="12546" width="56.5" style="57" customWidth="1"/>
    <col min="12547" max="12800" width="9" style="57"/>
    <col min="12801" max="12801" width="16.25" style="57" customWidth="1"/>
    <col min="12802" max="12802" width="56.5" style="57" customWidth="1"/>
    <col min="12803" max="13056" width="9" style="57"/>
    <col min="13057" max="13057" width="16.25" style="57" customWidth="1"/>
    <col min="13058" max="13058" width="56.5" style="57" customWidth="1"/>
    <col min="13059" max="13312" width="9" style="57"/>
    <col min="13313" max="13313" width="16.25" style="57" customWidth="1"/>
    <col min="13314" max="13314" width="56.5" style="57" customWidth="1"/>
    <col min="13315" max="13568" width="9" style="57"/>
    <col min="13569" max="13569" width="16.25" style="57" customWidth="1"/>
    <col min="13570" max="13570" width="56.5" style="57" customWidth="1"/>
    <col min="13571" max="13824" width="9" style="57"/>
    <col min="13825" max="13825" width="16.25" style="57" customWidth="1"/>
    <col min="13826" max="13826" width="56.5" style="57" customWidth="1"/>
    <col min="13827" max="14080" width="9" style="57"/>
    <col min="14081" max="14081" width="16.25" style="57" customWidth="1"/>
    <col min="14082" max="14082" width="56.5" style="57" customWidth="1"/>
    <col min="14083" max="14336" width="9" style="57"/>
    <col min="14337" max="14337" width="16.25" style="57" customWidth="1"/>
    <col min="14338" max="14338" width="56.5" style="57" customWidth="1"/>
    <col min="14339" max="14592" width="9" style="57"/>
    <col min="14593" max="14593" width="16.25" style="57" customWidth="1"/>
    <col min="14594" max="14594" width="56.5" style="57" customWidth="1"/>
    <col min="14595" max="14848" width="9" style="57"/>
    <col min="14849" max="14849" width="16.25" style="57" customWidth="1"/>
    <col min="14850" max="14850" width="56.5" style="57" customWidth="1"/>
    <col min="14851" max="15104" width="9" style="57"/>
    <col min="15105" max="15105" width="16.25" style="57" customWidth="1"/>
    <col min="15106" max="15106" width="56.5" style="57" customWidth="1"/>
    <col min="15107" max="15360" width="9" style="57"/>
    <col min="15361" max="15361" width="16.25" style="57" customWidth="1"/>
    <col min="15362" max="15362" width="56.5" style="57" customWidth="1"/>
    <col min="15363" max="15616" width="9" style="57"/>
    <col min="15617" max="15617" width="16.25" style="57" customWidth="1"/>
    <col min="15618" max="15618" width="56.5" style="57" customWidth="1"/>
    <col min="15619" max="15872" width="9" style="57"/>
    <col min="15873" max="15873" width="16.25" style="57" customWidth="1"/>
    <col min="15874" max="15874" width="56.5" style="57" customWidth="1"/>
    <col min="15875" max="16128" width="9" style="57"/>
    <col min="16129" max="16129" width="16.25" style="57" customWidth="1"/>
    <col min="16130" max="16130" width="56.5" style="57" customWidth="1"/>
    <col min="16131" max="16384" width="9" style="57"/>
  </cols>
  <sheetData>
    <row r="1" spans="1:2" ht="24.75" customHeight="1">
      <c r="A1" s="741" t="s">
        <v>67</v>
      </c>
      <c r="B1" s="741"/>
    </row>
    <row r="2" spans="1:2" ht="18" customHeight="1">
      <c r="A2" s="631" t="s">
        <v>98</v>
      </c>
      <c r="B2" s="632" t="s">
        <v>99</v>
      </c>
    </row>
    <row r="3" spans="1:2" ht="18" customHeight="1">
      <c r="A3" s="633" t="s">
        <v>100</v>
      </c>
      <c r="B3" s="632" t="s">
        <v>101</v>
      </c>
    </row>
    <row r="4" spans="1:2" ht="18" customHeight="1">
      <c r="A4" s="633" t="s">
        <v>102</v>
      </c>
      <c r="B4" s="632" t="s">
        <v>103</v>
      </c>
    </row>
    <row r="5" spans="1:2" ht="18" customHeight="1">
      <c r="A5" s="631" t="s">
        <v>104</v>
      </c>
      <c r="B5" s="632" t="s">
        <v>105</v>
      </c>
    </row>
    <row r="6" spans="1:2" ht="18" customHeight="1">
      <c r="A6" s="631" t="s">
        <v>106</v>
      </c>
      <c r="B6" s="632" t="s">
        <v>107</v>
      </c>
    </row>
    <row r="7" spans="1:2" ht="18" customHeight="1">
      <c r="A7" s="631" t="s">
        <v>108</v>
      </c>
      <c r="B7" s="632" t="s">
        <v>109</v>
      </c>
    </row>
    <row r="8" spans="1:2" ht="18" customHeight="1">
      <c r="A8" s="631" t="s">
        <v>110</v>
      </c>
      <c r="B8" s="632" t="s">
        <v>111</v>
      </c>
    </row>
    <row r="9" spans="1:2" ht="18" customHeight="1">
      <c r="A9" s="631" t="s">
        <v>112</v>
      </c>
      <c r="B9" s="632" t="s">
        <v>113</v>
      </c>
    </row>
    <row r="10" spans="1:2" ht="18" customHeight="1">
      <c r="A10" s="631" t="s">
        <v>114</v>
      </c>
      <c r="B10" s="632" t="s">
        <v>115</v>
      </c>
    </row>
    <row r="11" spans="1:2" ht="18" customHeight="1">
      <c r="A11" s="631" t="s">
        <v>116</v>
      </c>
      <c r="B11" s="632" t="s">
        <v>117</v>
      </c>
    </row>
    <row r="12" spans="1:2" ht="18" customHeight="1">
      <c r="A12" s="631" t="s">
        <v>118</v>
      </c>
      <c r="B12" s="632" t="s">
        <v>119</v>
      </c>
    </row>
    <row r="13" spans="1:2" ht="18" customHeight="1">
      <c r="A13" s="631" t="s">
        <v>120</v>
      </c>
      <c r="B13" s="632" t="s">
        <v>121</v>
      </c>
    </row>
    <row r="14" spans="1:2" ht="18" customHeight="1">
      <c r="A14" s="631" t="s">
        <v>122</v>
      </c>
      <c r="B14" s="632">
        <v>13</v>
      </c>
    </row>
    <row r="15" spans="1:2" ht="22.5" customHeight="1">
      <c r="A15" s="631" t="s">
        <v>123</v>
      </c>
      <c r="B15" s="634" t="s">
        <v>124</v>
      </c>
    </row>
    <row r="16" spans="1:2" ht="18" customHeight="1">
      <c r="A16" s="631" t="s">
        <v>125</v>
      </c>
      <c r="B16" s="632" t="s">
        <v>121</v>
      </c>
    </row>
    <row r="17" spans="1:2" ht="18" customHeight="1">
      <c r="A17" s="631" t="s">
        <v>126</v>
      </c>
      <c r="B17" s="635">
        <v>43398</v>
      </c>
    </row>
    <row r="18" spans="1:2" ht="18" customHeight="1">
      <c r="A18" s="631" t="s">
        <v>127</v>
      </c>
      <c r="B18" s="635">
        <v>43404</v>
      </c>
    </row>
    <row r="21" spans="1:2">
      <c r="A21" s="636" t="s">
        <v>128</v>
      </c>
    </row>
  </sheetData>
  <mergeCells count="1">
    <mergeCell ref="A1:B1"/>
  </mergeCells>
  <phoneticPr fontId="150" type="noConversion"/>
  <dataValidations count="3">
    <dataValidation type="list" allowBlank="1" showInputMessage="1" showErrorMessage="1" sqref="B3 IX3 ST3 ACP3 AML3 AWH3 BGD3 BPZ3 BZV3 CJR3 CTN3 DDJ3 DNF3 DXB3 EGX3 EQT3 FAP3 FKL3 FUH3 GED3 GNZ3 GXV3 HHR3 HRN3 IBJ3 ILF3 IVB3 JEX3 JOT3 JYP3 KIL3 KSH3 LCD3 LLZ3 LVV3 MFR3 MPN3 MZJ3 NJF3 NTB3 OCX3 OMT3 OWP3 PGL3 PQH3 QAD3 QJZ3 QTV3 RDR3 RNN3 RXJ3 SHF3 SRB3 TAX3 TKT3 TUP3 UEL3 UOH3 UYD3 VHZ3 VRV3 WBR3 WLN3 WVJ3 B65539 IX65539 ST65539 ACP65539 AML65539 AWH65539 BGD65539 BPZ65539 BZV65539 CJR65539 CTN65539 DDJ65539 DNF65539 DXB65539 EGX65539 EQT65539 FAP65539 FKL65539 FUH65539 GED65539 GNZ65539 GXV65539 HHR65539 HRN65539 IBJ65539 ILF65539 IVB65539 JEX65539 JOT65539 JYP65539 KIL65539 KSH65539 LCD65539 LLZ65539 LVV65539 MFR65539 MPN65539 MZJ65539 NJF65539 NTB65539 OCX65539 OMT65539 OWP65539 PGL65539 PQH65539 QAD65539 QJZ65539 QTV65539 RDR65539 RNN65539 RXJ65539 SHF65539 SRB65539 TAX65539 TKT65539 TUP65539 UEL65539 UOH65539 UYD65539 VHZ65539 VRV65539 WBR65539 WLN65539 WVJ65539 B131075 IX131075 ST131075 ACP131075 AML131075 AWH131075 BGD131075 BPZ131075 BZV131075 CJR131075 CTN131075 DDJ131075 DNF131075 DXB131075 EGX131075 EQT131075 FAP131075 FKL131075 FUH131075 GED131075 GNZ131075 GXV131075 HHR131075 HRN131075 IBJ131075 ILF131075 IVB131075 JEX131075 JOT131075 JYP131075 KIL131075 KSH131075 LCD131075 LLZ131075 LVV131075 MFR131075 MPN131075 MZJ131075 NJF131075 NTB131075 OCX131075 OMT131075 OWP131075 PGL131075 PQH131075 QAD131075 QJZ131075 QTV131075 RDR131075 RNN131075 RXJ131075 SHF131075 SRB131075 TAX131075 TKT131075 TUP131075 UEL131075 UOH131075 UYD131075 VHZ131075 VRV131075 WBR131075 WLN131075 WVJ131075 B196611 IX196611 ST196611 ACP196611 AML196611 AWH196611 BGD196611 BPZ196611 BZV196611 CJR196611 CTN196611 DDJ196611 DNF196611 DXB196611 EGX196611 EQT196611 FAP196611 FKL196611 FUH196611 GED196611 GNZ196611 GXV196611 HHR196611 HRN196611 IBJ196611 ILF196611 IVB196611 JEX196611 JOT196611 JYP196611 KIL196611 KSH196611 LCD196611 LLZ196611 LVV196611 MFR196611 MPN196611 MZJ196611 NJF196611 NTB196611 OCX196611 OMT196611 OWP196611 PGL196611 PQH196611 QAD196611 QJZ196611 QTV196611 RDR196611 RNN196611 RXJ196611 SHF196611 SRB196611 TAX196611 TKT196611 TUP196611 UEL196611 UOH196611 UYD196611 VHZ196611 VRV196611 WBR196611 WLN196611 WVJ196611 B262147 IX262147 ST262147 ACP262147 AML262147 AWH262147 BGD262147 BPZ262147 BZV262147 CJR262147 CTN262147 DDJ262147 DNF262147 DXB262147 EGX262147 EQT262147 FAP262147 FKL262147 FUH262147 GED262147 GNZ262147 GXV262147 HHR262147 HRN262147 IBJ262147 ILF262147 IVB262147 JEX262147 JOT262147 JYP262147 KIL262147 KSH262147 LCD262147 LLZ262147 LVV262147 MFR262147 MPN262147 MZJ262147 NJF262147 NTB262147 OCX262147 OMT262147 OWP262147 PGL262147 PQH262147 QAD262147 QJZ262147 QTV262147 RDR262147 RNN262147 RXJ262147 SHF262147 SRB262147 TAX262147 TKT262147 TUP262147 UEL262147 UOH262147 UYD262147 VHZ262147 VRV262147 WBR262147 WLN262147 WVJ262147 B327683 IX327683 ST327683 ACP327683 AML327683 AWH327683 BGD327683 BPZ327683 BZV327683 CJR327683 CTN327683 DDJ327683 DNF327683 DXB327683 EGX327683 EQT327683 FAP327683 FKL327683 FUH327683 GED327683 GNZ327683 GXV327683 HHR327683 HRN327683 IBJ327683 ILF327683 IVB327683 JEX327683 JOT327683 JYP327683 KIL327683 KSH327683 LCD327683 LLZ327683 LVV327683 MFR327683 MPN327683 MZJ327683 NJF327683 NTB327683 OCX327683 OMT327683 OWP327683 PGL327683 PQH327683 QAD327683 QJZ327683 QTV327683 RDR327683 RNN327683 RXJ327683 SHF327683 SRB327683 TAX327683 TKT327683 TUP327683 UEL327683 UOH327683 UYD327683 VHZ327683 VRV327683 WBR327683 WLN327683 WVJ327683 B393219 IX393219 ST393219 ACP393219 AML393219 AWH393219 BGD393219 BPZ393219 BZV393219 CJR393219 CTN393219 DDJ393219 DNF393219 DXB393219 EGX393219 EQT393219 FAP393219 FKL393219 FUH393219 GED393219 GNZ393219 GXV393219 HHR393219 HRN393219 IBJ393219 ILF393219 IVB393219 JEX393219 JOT393219 JYP393219 KIL393219 KSH393219 LCD393219 LLZ393219 LVV393219 MFR393219 MPN393219 MZJ393219 NJF393219 NTB393219 OCX393219 OMT393219 OWP393219 PGL393219 PQH393219 QAD393219 QJZ393219 QTV393219 RDR393219 RNN393219 RXJ393219 SHF393219 SRB393219 TAX393219 TKT393219 TUP393219 UEL393219 UOH393219 UYD393219 VHZ393219 VRV393219 WBR393219 WLN393219 WVJ393219 B458755 IX458755 ST458755 ACP458755 AML458755 AWH458755 BGD458755 BPZ458755 BZV458755 CJR458755 CTN458755 DDJ458755 DNF458755 DXB458755 EGX458755 EQT458755 FAP458755 FKL458755 FUH458755 GED458755 GNZ458755 GXV458755 HHR458755 HRN458755 IBJ458755 ILF458755 IVB458755 JEX458755 JOT458755 JYP458755 KIL458755 KSH458755 LCD458755 LLZ458755 LVV458755 MFR458755 MPN458755 MZJ458755 NJF458755 NTB458755 OCX458755 OMT458755 OWP458755 PGL458755 PQH458755 QAD458755 QJZ458755 QTV458755 RDR458755 RNN458755 RXJ458755 SHF458755 SRB458755 TAX458755 TKT458755 TUP458755 UEL458755 UOH458755 UYD458755 VHZ458755 VRV458755 WBR458755 WLN458755 WVJ458755 B524291 IX524291 ST524291 ACP524291 AML524291 AWH524291 BGD524291 BPZ524291 BZV524291 CJR524291 CTN524291 DDJ524291 DNF524291 DXB524291 EGX524291 EQT524291 FAP524291 FKL524291 FUH524291 GED524291 GNZ524291 GXV524291 HHR524291 HRN524291 IBJ524291 ILF524291 IVB524291 JEX524291 JOT524291 JYP524291 KIL524291 KSH524291 LCD524291 LLZ524291 LVV524291 MFR524291 MPN524291 MZJ524291 NJF524291 NTB524291 OCX524291 OMT524291 OWP524291 PGL524291 PQH524291 QAD524291 QJZ524291 QTV524291 RDR524291 RNN524291 RXJ524291 SHF524291 SRB524291 TAX524291 TKT524291 TUP524291 UEL524291 UOH524291 UYD524291 VHZ524291 VRV524291 WBR524291 WLN524291 WVJ524291 B589827 IX589827 ST589827 ACP589827 AML589827 AWH589827 BGD589827 BPZ589827 BZV589827 CJR589827 CTN589827 DDJ589827 DNF589827 DXB589827 EGX589827 EQT589827 FAP589827 FKL589827 FUH589827 GED589827 GNZ589827 GXV589827 HHR589827 HRN589827 IBJ589827 ILF589827 IVB589827 JEX589827 JOT589827 JYP589827 KIL589827 KSH589827 LCD589827 LLZ589827 LVV589827 MFR589827 MPN589827 MZJ589827 NJF589827 NTB589827 OCX589827 OMT589827 OWP589827 PGL589827 PQH589827 QAD589827 QJZ589827 QTV589827 RDR589827 RNN589827 RXJ589827 SHF589827 SRB589827 TAX589827 TKT589827 TUP589827 UEL589827 UOH589827 UYD589827 VHZ589827 VRV589827 WBR589827 WLN589827 WVJ589827 B655363 IX655363 ST655363 ACP655363 AML655363 AWH655363 BGD655363 BPZ655363 BZV655363 CJR655363 CTN655363 DDJ655363 DNF655363 DXB655363 EGX655363 EQT655363 FAP655363 FKL655363 FUH655363 GED655363 GNZ655363 GXV655363 HHR655363 HRN655363 IBJ655363 ILF655363 IVB655363 JEX655363 JOT655363 JYP655363 KIL655363 KSH655363 LCD655363 LLZ655363 LVV655363 MFR655363 MPN655363 MZJ655363 NJF655363 NTB655363 OCX655363 OMT655363 OWP655363 PGL655363 PQH655363 QAD655363 QJZ655363 QTV655363 RDR655363 RNN655363 RXJ655363 SHF655363 SRB655363 TAX655363 TKT655363 TUP655363 UEL655363 UOH655363 UYD655363 VHZ655363 VRV655363 WBR655363 WLN655363 WVJ655363 B720899 IX720899 ST720899 ACP720899 AML720899 AWH720899 BGD720899 BPZ720899 BZV720899 CJR720899 CTN720899 DDJ720899 DNF720899 DXB720899 EGX720899 EQT720899 FAP720899 FKL720899 FUH720899 GED720899 GNZ720899 GXV720899 HHR720899 HRN720899 IBJ720899 ILF720899 IVB720899 JEX720899 JOT720899 JYP720899 KIL720899 KSH720899 LCD720899 LLZ720899 LVV720899 MFR720899 MPN720899 MZJ720899 NJF720899 NTB720899 OCX720899 OMT720899 OWP720899 PGL720899 PQH720899 QAD720899 QJZ720899 QTV720899 RDR720899 RNN720899 RXJ720899 SHF720899 SRB720899 TAX720899 TKT720899 TUP720899 UEL720899 UOH720899 UYD720899 VHZ720899 VRV720899 WBR720899 WLN720899 WVJ720899 B786435 IX786435 ST786435 ACP786435 AML786435 AWH786435 BGD786435 BPZ786435 BZV786435 CJR786435 CTN786435 DDJ786435 DNF786435 DXB786435 EGX786435 EQT786435 FAP786435 FKL786435 FUH786435 GED786435 GNZ786435 GXV786435 HHR786435 HRN786435 IBJ786435 ILF786435 IVB786435 JEX786435 JOT786435 JYP786435 KIL786435 KSH786435 LCD786435 LLZ786435 LVV786435 MFR786435 MPN786435 MZJ786435 NJF786435 NTB786435 OCX786435 OMT786435 OWP786435 PGL786435 PQH786435 QAD786435 QJZ786435 QTV786435 RDR786435 RNN786435 RXJ786435 SHF786435 SRB786435 TAX786435 TKT786435 TUP786435 UEL786435 UOH786435 UYD786435 VHZ786435 VRV786435 WBR786435 WLN786435 WVJ786435 B851971 IX851971 ST851971 ACP851971 AML851971 AWH851971 BGD851971 BPZ851971 BZV851971 CJR851971 CTN851971 DDJ851971 DNF851971 DXB851971 EGX851971 EQT851971 FAP851971 FKL851971 FUH851971 GED851971 GNZ851971 GXV851971 HHR851971 HRN851971 IBJ851971 ILF851971 IVB851971 JEX851971 JOT851971 JYP851971 KIL851971 KSH851971 LCD851971 LLZ851971 LVV851971 MFR851971 MPN851971 MZJ851971 NJF851971 NTB851971 OCX851971 OMT851971 OWP851971 PGL851971 PQH851971 QAD851971 QJZ851971 QTV851971 RDR851971 RNN851971 RXJ851971 SHF851971 SRB851971 TAX851971 TKT851971 TUP851971 UEL851971 UOH851971 UYD851971 VHZ851971 VRV851971 WBR851971 WLN851971 WVJ851971 B917507 IX917507 ST917507 ACP917507 AML917507 AWH917507 BGD917507 BPZ917507 BZV917507 CJR917507 CTN917507 DDJ917507 DNF917507 DXB917507 EGX917507 EQT917507 FAP917507 FKL917507 FUH917507 GED917507 GNZ917507 GXV917507 HHR917507 HRN917507 IBJ917507 ILF917507 IVB917507 JEX917507 JOT917507 JYP917507 KIL917507 KSH917507 LCD917507 LLZ917507 LVV917507 MFR917507 MPN917507 MZJ917507 NJF917507 NTB917507 OCX917507 OMT917507 OWP917507 PGL917507 PQH917507 QAD917507 QJZ917507 QTV917507 RDR917507 RNN917507 RXJ917507 SHF917507 SRB917507 TAX917507 TKT917507 TUP917507 UEL917507 UOH917507 UYD917507 VHZ917507 VRV917507 WBR917507 WLN917507 WVJ917507 B983043 IX983043 ST983043 ACP983043 AML983043 AWH983043 BGD983043 BPZ983043 BZV983043 CJR983043 CTN983043 DDJ983043 DNF983043 DXB983043 EGX983043 EQT983043 FAP983043 FKL983043 FUH983043 GED983043 GNZ983043 GXV983043 HHR983043 HRN983043 IBJ983043 ILF983043 IVB983043 JEX983043 JOT983043 JYP983043 KIL983043 KSH983043 LCD983043 LLZ983043 LVV983043 MFR983043 MPN983043 MZJ983043 NJF983043 NTB983043 OCX983043 OMT983043 OWP983043 PGL983043 PQH983043 QAD983043 QJZ983043 QTV983043 RDR983043 RNN983043 RXJ983043 SHF983043 SRB983043 TAX983043 TKT983043 TUP983043 UEL983043 UOH983043 UYD983043 VHZ983043 VRV983043 WBR983043 WLN983043 WVJ983043" xr:uid="{00000000-0002-0000-0400-000000000000}">
      <formula1>"瀑布开发模型,迭代开发模型"</formula1>
    </dataValidation>
    <dataValidation type="list" allowBlank="1" showInputMessage="1" showErrorMessage="1" sqref="B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B65542 IX65542 ST65542 ACP65542 AML65542 AWH65542 BGD65542 BPZ65542 BZV65542 CJR65542 CTN65542 DDJ65542 DNF65542 DXB65542 EGX65542 EQT65542 FAP65542 FKL65542 FUH65542 GED65542 GNZ65542 GXV65542 HHR65542 HRN65542 IBJ65542 ILF65542 IVB65542 JEX65542 JOT65542 JYP65542 KIL65542 KSH65542 LCD65542 LLZ65542 LVV65542 MFR65542 MPN65542 MZJ65542 NJF65542 NTB65542 OCX65542 OMT65542 OWP65542 PGL65542 PQH65542 QAD65542 QJZ65542 QTV65542 RDR65542 RNN65542 RXJ65542 SHF65542 SRB65542 TAX65542 TKT65542 TUP65542 UEL65542 UOH65542 UYD65542 VHZ65542 VRV65542 WBR65542 WLN65542 WVJ65542 B131078 IX131078 ST131078 ACP131078 AML131078 AWH131078 BGD131078 BPZ131078 BZV131078 CJR131078 CTN131078 DDJ131078 DNF131078 DXB131078 EGX131078 EQT131078 FAP131078 FKL131078 FUH131078 GED131078 GNZ131078 GXV131078 HHR131078 HRN131078 IBJ131078 ILF131078 IVB131078 JEX131078 JOT131078 JYP131078 KIL131078 KSH131078 LCD131078 LLZ131078 LVV131078 MFR131078 MPN131078 MZJ131078 NJF131078 NTB131078 OCX131078 OMT131078 OWP131078 PGL131078 PQH131078 QAD131078 QJZ131078 QTV131078 RDR131078 RNN131078 RXJ131078 SHF131078 SRB131078 TAX131078 TKT131078 TUP131078 UEL131078 UOH131078 UYD131078 VHZ131078 VRV131078 WBR131078 WLN131078 WVJ131078 B196614 IX196614 ST196614 ACP196614 AML196614 AWH196614 BGD196614 BPZ196614 BZV196614 CJR196614 CTN196614 DDJ196614 DNF196614 DXB196614 EGX196614 EQT196614 FAP196614 FKL196614 FUH196614 GED196614 GNZ196614 GXV196614 HHR196614 HRN196614 IBJ196614 ILF196614 IVB196614 JEX196614 JOT196614 JYP196614 KIL196614 KSH196614 LCD196614 LLZ196614 LVV196614 MFR196614 MPN196614 MZJ196614 NJF196614 NTB196614 OCX196614 OMT196614 OWP196614 PGL196614 PQH196614 QAD196614 QJZ196614 QTV196614 RDR196614 RNN196614 RXJ196614 SHF196614 SRB196614 TAX196614 TKT196614 TUP196614 UEL196614 UOH196614 UYD196614 VHZ196614 VRV196614 WBR196614 WLN196614 WVJ196614 B262150 IX262150 ST262150 ACP262150 AML262150 AWH262150 BGD262150 BPZ262150 BZV262150 CJR262150 CTN262150 DDJ262150 DNF262150 DXB262150 EGX262150 EQT262150 FAP262150 FKL262150 FUH262150 GED262150 GNZ262150 GXV262150 HHR262150 HRN262150 IBJ262150 ILF262150 IVB262150 JEX262150 JOT262150 JYP262150 KIL262150 KSH262150 LCD262150 LLZ262150 LVV262150 MFR262150 MPN262150 MZJ262150 NJF262150 NTB262150 OCX262150 OMT262150 OWP262150 PGL262150 PQH262150 QAD262150 QJZ262150 QTV262150 RDR262150 RNN262150 RXJ262150 SHF262150 SRB262150 TAX262150 TKT262150 TUP262150 UEL262150 UOH262150 UYD262150 VHZ262150 VRV262150 WBR262150 WLN262150 WVJ262150 B327686 IX327686 ST327686 ACP327686 AML327686 AWH327686 BGD327686 BPZ327686 BZV327686 CJR327686 CTN327686 DDJ327686 DNF327686 DXB327686 EGX327686 EQT327686 FAP327686 FKL327686 FUH327686 GED327686 GNZ327686 GXV327686 HHR327686 HRN327686 IBJ327686 ILF327686 IVB327686 JEX327686 JOT327686 JYP327686 KIL327686 KSH327686 LCD327686 LLZ327686 LVV327686 MFR327686 MPN327686 MZJ327686 NJF327686 NTB327686 OCX327686 OMT327686 OWP327686 PGL327686 PQH327686 QAD327686 QJZ327686 QTV327686 RDR327686 RNN327686 RXJ327686 SHF327686 SRB327686 TAX327686 TKT327686 TUP327686 UEL327686 UOH327686 UYD327686 VHZ327686 VRV327686 WBR327686 WLN327686 WVJ327686 B393222 IX393222 ST393222 ACP393222 AML393222 AWH393222 BGD393222 BPZ393222 BZV393222 CJR393222 CTN393222 DDJ393222 DNF393222 DXB393222 EGX393222 EQT393222 FAP393222 FKL393222 FUH393222 GED393222 GNZ393222 GXV393222 HHR393222 HRN393222 IBJ393222 ILF393222 IVB393222 JEX393222 JOT393222 JYP393222 KIL393222 KSH393222 LCD393222 LLZ393222 LVV393222 MFR393222 MPN393222 MZJ393222 NJF393222 NTB393222 OCX393222 OMT393222 OWP393222 PGL393222 PQH393222 QAD393222 QJZ393222 QTV393222 RDR393222 RNN393222 RXJ393222 SHF393222 SRB393222 TAX393222 TKT393222 TUP393222 UEL393222 UOH393222 UYD393222 VHZ393222 VRV393222 WBR393222 WLN393222 WVJ393222 B458758 IX458758 ST458758 ACP458758 AML458758 AWH458758 BGD458758 BPZ458758 BZV458758 CJR458758 CTN458758 DDJ458758 DNF458758 DXB458758 EGX458758 EQT458758 FAP458758 FKL458758 FUH458758 GED458758 GNZ458758 GXV458758 HHR458758 HRN458758 IBJ458758 ILF458758 IVB458758 JEX458758 JOT458758 JYP458758 KIL458758 KSH458758 LCD458758 LLZ458758 LVV458758 MFR458758 MPN458758 MZJ458758 NJF458758 NTB458758 OCX458758 OMT458758 OWP458758 PGL458758 PQH458758 QAD458758 QJZ458758 QTV458758 RDR458758 RNN458758 RXJ458758 SHF458758 SRB458758 TAX458758 TKT458758 TUP458758 UEL458758 UOH458758 UYD458758 VHZ458758 VRV458758 WBR458758 WLN458758 WVJ458758 B524294 IX524294 ST524294 ACP524294 AML524294 AWH524294 BGD524294 BPZ524294 BZV524294 CJR524294 CTN524294 DDJ524294 DNF524294 DXB524294 EGX524294 EQT524294 FAP524294 FKL524294 FUH524294 GED524294 GNZ524294 GXV524294 HHR524294 HRN524294 IBJ524294 ILF524294 IVB524294 JEX524294 JOT524294 JYP524294 KIL524294 KSH524294 LCD524294 LLZ524294 LVV524294 MFR524294 MPN524294 MZJ524294 NJF524294 NTB524294 OCX524294 OMT524294 OWP524294 PGL524294 PQH524294 QAD524294 QJZ524294 QTV524294 RDR524294 RNN524294 RXJ524294 SHF524294 SRB524294 TAX524294 TKT524294 TUP524294 UEL524294 UOH524294 UYD524294 VHZ524294 VRV524294 WBR524294 WLN524294 WVJ524294 B589830 IX589830 ST589830 ACP589830 AML589830 AWH589830 BGD589830 BPZ589830 BZV589830 CJR589830 CTN589830 DDJ589830 DNF589830 DXB589830 EGX589830 EQT589830 FAP589830 FKL589830 FUH589830 GED589830 GNZ589830 GXV589830 HHR589830 HRN589830 IBJ589830 ILF589830 IVB589830 JEX589830 JOT589830 JYP589830 KIL589830 KSH589830 LCD589830 LLZ589830 LVV589830 MFR589830 MPN589830 MZJ589830 NJF589830 NTB589830 OCX589830 OMT589830 OWP589830 PGL589830 PQH589830 QAD589830 QJZ589830 QTV589830 RDR589830 RNN589830 RXJ589830 SHF589830 SRB589830 TAX589830 TKT589830 TUP589830 UEL589830 UOH589830 UYD589830 VHZ589830 VRV589830 WBR589830 WLN589830 WVJ589830 B655366 IX655366 ST655366 ACP655366 AML655366 AWH655366 BGD655366 BPZ655366 BZV655366 CJR655366 CTN655366 DDJ655366 DNF655366 DXB655366 EGX655366 EQT655366 FAP655366 FKL655366 FUH655366 GED655366 GNZ655366 GXV655366 HHR655366 HRN655366 IBJ655366 ILF655366 IVB655366 JEX655366 JOT655366 JYP655366 KIL655366 KSH655366 LCD655366 LLZ655366 LVV655366 MFR655366 MPN655366 MZJ655366 NJF655366 NTB655366 OCX655366 OMT655366 OWP655366 PGL655366 PQH655366 QAD655366 QJZ655366 QTV655366 RDR655366 RNN655366 RXJ655366 SHF655366 SRB655366 TAX655366 TKT655366 TUP655366 UEL655366 UOH655366 UYD655366 VHZ655366 VRV655366 WBR655366 WLN655366 WVJ655366 B720902 IX720902 ST720902 ACP720902 AML720902 AWH720902 BGD720902 BPZ720902 BZV720902 CJR720902 CTN720902 DDJ720902 DNF720902 DXB720902 EGX720902 EQT720902 FAP720902 FKL720902 FUH720902 GED720902 GNZ720902 GXV720902 HHR720902 HRN720902 IBJ720902 ILF720902 IVB720902 JEX720902 JOT720902 JYP720902 KIL720902 KSH720902 LCD720902 LLZ720902 LVV720902 MFR720902 MPN720902 MZJ720902 NJF720902 NTB720902 OCX720902 OMT720902 OWP720902 PGL720902 PQH720902 QAD720902 QJZ720902 QTV720902 RDR720902 RNN720902 RXJ720902 SHF720902 SRB720902 TAX720902 TKT720902 TUP720902 UEL720902 UOH720902 UYD720902 VHZ720902 VRV720902 WBR720902 WLN720902 WVJ720902 B786438 IX786438 ST786438 ACP786438 AML786438 AWH786438 BGD786438 BPZ786438 BZV786438 CJR786438 CTN786438 DDJ786438 DNF786438 DXB786438 EGX786438 EQT786438 FAP786438 FKL786438 FUH786438 GED786438 GNZ786438 GXV786438 HHR786438 HRN786438 IBJ786438 ILF786438 IVB786438 JEX786438 JOT786438 JYP786438 KIL786438 KSH786438 LCD786438 LLZ786438 LVV786438 MFR786438 MPN786438 MZJ786438 NJF786438 NTB786438 OCX786438 OMT786438 OWP786438 PGL786438 PQH786438 QAD786438 QJZ786438 QTV786438 RDR786438 RNN786438 RXJ786438 SHF786438 SRB786438 TAX786438 TKT786438 TUP786438 UEL786438 UOH786438 UYD786438 VHZ786438 VRV786438 WBR786438 WLN786438 WVJ786438 B851974 IX851974 ST851974 ACP851974 AML851974 AWH851974 BGD851974 BPZ851974 BZV851974 CJR851974 CTN851974 DDJ851974 DNF851974 DXB851974 EGX851974 EQT851974 FAP851974 FKL851974 FUH851974 GED851974 GNZ851974 GXV851974 HHR851974 HRN851974 IBJ851974 ILF851974 IVB851974 JEX851974 JOT851974 JYP851974 KIL851974 KSH851974 LCD851974 LLZ851974 LVV851974 MFR851974 MPN851974 MZJ851974 NJF851974 NTB851974 OCX851974 OMT851974 OWP851974 PGL851974 PQH851974 QAD851974 QJZ851974 QTV851974 RDR851974 RNN851974 RXJ851974 SHF851974 SRB851974 TAX851974 TKT851974 TUP851974 UEL851974 UOH851974 UYD851974 VHZ851974 VRV851974 WBR851974 WLN851974 WVJ851974 B917510 IX917510 ST917510 ACP917510 AML917510 AWH917510 BGD917510 BPZ917510 BZV917510 CJR917510 CTN917510 DDJ917510 DNF917510 DXB917510 EGX917510 EQT917510 FAP917510 FKL917510 FUH917510 GED917510 GNZ917510 GXV917510 HHR917510 HRN917510 IBJ917510 ILF917510 IVB917510 JEX917510 JOT917510 JYP917510 KIL917510 KSH917510 LCD917510 LLZ917510 LVV917510 MFR917510 MPN917510 MZJ917510 NJF917510 NTB917510 OCX917510 OMT917510 OWP917510 PGL917510 PQH917510 QAD917510 QJZ917510 QTV917510 RDR917510 RNN917510 RXJ917510 SHF917510 SRB917510 TAX917510 TKT917510 TUP917510 UEL917510 UOH917510 UYD917510 VHZ917510 VRV917510 WBR917510 WLN917510 WVJ917510 B983046 IX983046 ST983046 ACP983046 AML983046 AWH983046 BGD983046 BPZ983046 BZV983046 CJR983046 CTN983046 DDJ983046 DNF983046 DXB983046 EGX983046 EQT983046 FAP983046 FKL983046 FUH983046 GED983046 GNZ983046 GXV983046 HHR983046 HRN983046 IBJ983046 ILF983046 IVB983046 JEX983046 JOT983046 JYP983046 KIL983046 KSH983046 LCD983046 LLZ983046 LVV983046 MFR983046 MPN983046 MZJ983046 NJF983046 NTB983046 OCX983046 OMT983046 OWP983046 PGL983046 PQH983046 QAD983046 QJZ983046 QTV983046 RDR983046 RNN983046 RXJ983046 SHF983046 SRB983046 TAX983046 TKT983046 TUP983046 UEL983046 UOH983046 UYD983046 VHZ983046 VRV983046 WBR983046 WLN983046 WVJ983046" xr:uid="{00000000-0002-0000-0400-000001000000}">
      <formula1>"大型,普通,微型"</formula1>
    </dataValidation>
    <dataValidation type="list" allowBlank="1" showInputMessage="1" showErrorMessage="1" sqref="B9 IX9 ST9 ACP9 AML9 AWH9 BGD9 BPZ9 BZV9 CJR9 CTN9 DDJ9 DNF9 DXB9 EGX9 EQT9 FAP9 FKL9 FUH9 GED9 GNZ9 GXV9 HHR9 HRN9 IBJ9 ILF9 IVB9 JEX9 JOT9 JYP9 KIL9 KSH9 LCD9 LLZ9 LVV9 MFR9 MPN9 MZJ9 NJF9 NTB9 OCX9 OMT9 OWP9 PGL9 PQH9 QAD9 QJZ9 QTV9 RDR9 RNN9 RXJ9 SHF9 SRB9 TAX9 TKT9 TUP9 UEL9 UOH9 UYD9 VHZ9 VRV9 WBR9 WLN9 WVJ9 B65545 IX65545 ST65545 ACP65545 AML65545 AWH65545 BGD65545 BPZ65545 BZV65545 CJR65545 CTN65545 DDJ65545 DNF65545 DXB65545 EGX65545 EQT65545 FAP65545 FKL65545 FUH65545 GED65545 GNZ65545 GXV65545 HHR65545 HRN65545 IBJ65545 ILF65545 IVB65545 JEX65545 JOT65545 JYP65545 KIL65545 KSH65545 LCD65545 LLZ65545 LVV65545 MFR65545 MPN65545 MZJ65545 NJF65545 NTB65545 OCX65545 OMT65545 OWP65545 PGL65545 PQH65545 QAD65545 QJZ65545 QTV65545 RDR65545 RNN65545 RXJ65545 SHF65545 SRB65545 TAX65545 TKT65545 TUP65545 UEL65545 UOH65545 UYD65545 VHZ65545 VRV65545 WBR65545 WLN65545 WVJ65545 B131081 IX131081 ST131081 ACP131081 AML131081 AWH131081 BGD131081 BPZ131081 BZV131081 CJR131081 CTN131081 DDJ131081 DNF131081 DXB131081 EGX131081 EQT131081 FAP131081 FKL131081 FUH131081 GED131081 GNZ131081 GXV131081 HHR131081 HRN131081 IBJ131081 ILF131081 IVB131081 JEX131081 JOT131081 JYP131081 KIL131081 KSH131081 LCD131081 LLZ131081 LVV131081 MFR131081 MPN131081 MZJ131081 NJF131081 NTB131081 OCX131081 OMT131081 OWP131081 PGL131081 PQH131081 QAD131081 QJZ131081 QTV131081 RDR131081 RNN131081 RXJ131081 SHF131081 SRB131081 TAX131081 TKT131081 TUP131081 UEL131081 UOH131081 UYD131081 VHZ131081 VRV131081 WBR131081 WLN131081 WVJ131081 B196617 IX196617 ST196617 ACP196617 AML196617 AWH196617 BGD196617 BPZ196617 BZV196617 CJR196617 CTN196617 DDJ196617 DNF196617 DXB196617 EGX196617 EQT196617 FAP196617 FKL196617 FUH196617 GED196617 GNZ196617 GXV196617 HHR196617 HRN196617 IBJ196617 ILF196617 IVB196617 JEX196617 JOT196617 JYP196617 KIL196617 KSH196617 LCD196617 LLZ196617 LVV196617 MFR196617 MPN196617 MZJ196617 NJF196617 NTB196617 OCX196617 OMT196617 OWP196617 PGL196617 PQH196617 QAD196617 QJZ196617 QTV196617 RDR196617 RNN196617 RXJ196617 SHF196617 SRB196617 TAX196617 TKT196617 TUP196617 UEL196617 UOH196617 UYD196617 VHZ196617 VRV196617 WBR196617 WLN196617 WVJ196617 B262153 IX262153 ST262153 ACP262153 AML262153 AWH262153 BGD262153 BPZ262153 BZV262153 CJR262153 CTN262153 DDJ262153 DNF262153 DXB262153 EGX262153 EQT262153 FAP262153 FKL262153 FUH262153 GED262153 GNZ262153 GXV262153 HHR262153 HRN262153 IBJ262153 ILF262153 IVB262153 JEX262153 JOT262153 JYP262153 KIL262153 KSH262153 LCD262153 LLZ262153 LVV262153 MFR262153 MPN262153 MZJ262153 NJF262153 NTB262153 OCX262153 OMT262153 OWP262153 PGL262153 PQH262153 QAD262153 QJZ262153 QTV262153 RDR262153 RNN262153 RXJ262153 SHF262153 SRB262153 TAX262153 TKT262153 TUP262153 UEL262153 UOH262153 UYD262153 VHZ262153 VRV262153 WBR262153 WLN262153 WVJ262153 B327689 IX327689 ST327689 ACP327689 AML327689 AWH327689 BGD327689 BPZ327689 BZV327689 CJR327689 CTN327689 DDJ327689 DNF327689 DXB327689 EGX327689 EQT327689 FAP327689 FKL327689 FUH327689 GED327689 GNZ327689 GXV327689 HHR327689 HRN327689 IBJ327689 ILF327689 IVB327689 JEX327689 JOT327689 JYP327689 KIL327689 KSH327689 LCD327689 LLZ327689 LVV327689 MFR327689 MPN327689 MZJ327689 NJF327689 NTB327689 OCX327689 OMT327689 OWP327689 PGL327689 PQH327689 QAD327689 QJZ327689 QTV327689 RDR327689 RNN327689 RXJ327689 SHF327689 SRB327689 TAX327689 TKT327689 TUP327689 UEL327689 UOH327689 UYD327689 VHZ327689 VRV327689 WBR327689 WLN327689 WVJ327689 B393225 IX393225 ST393225 ACP393225 AML393225 AWH393225 BGD393225 BPZ393225 BZV393225 CJR393225 CTN393225 DDJ393225 DNF393225 DXB393225 EGX393225 EQT393225 FAP393225 FKL393225 FUH393225 GED393225 GNZ393225 GXV393225 HHR393225 HRN393225 IBJ393225 ILF393225 IVB393225 JEX393225 JOT393225 JYP393225 KIL393225 KSH393225 LCD393225 LLZ393225 LVV393225 MFR393225 MPN393225 MZJ393225 NJF393225 NTB393225 OCX393225 OMT393225 OWP393225 PGL393225 PQH393225 QAD393225 QJZ393225 QTV393225 RDR393225 RNN393225 RXJ393225 SHF393225 SRB393225 TAX393225 TKT393225 TUP393225 UEL393225 UOH393225 UYD393225 VHZ393225 VRV393225 WBR393225 WLN393225 WVJ393225 B458761 IX458761 ST458761 ACP458761 AML458761 AWH458761 BGD458761 BPZ458761 BZV458761 CJR458761 CTN458761 DDJ458761 DNF458761 DXB458761 EGX458761 EQT458761 FAP458761 FKL458761 FUH458761 GED458761 GNZ458761 GXV458761 HHR458761 HRN458761 IBJ458761 ILF458761 IVB458761 JEX458761 JOT458761 JYP458761 KIL458761 KSH458761 LCD458761 LLZ458761 LVV458761 MFR458761 MPN458761 MZJ458761 NJF458761 NTB458761 OCX458761 OMT458761 OWP458761 PGL458761 PQH458761 QAD458761 QJZ458761 QTV458761 RDR458761 RNN458761 RXJ458761 SHF458761 SRB458761 TAX458761 TKT458761 TUP458761 UEL458761 UOH458761 UYD458761 VHZ458761 VRV458761 WBR458761 WLN458761 WVJ458761 B524297 IX524297 ST524297 ACP524297 AML524297 AWH524297 BGD524297 BPZ524297 BZV524297 CJR524297 CTN524297 DDJ524297 DNF524297 DXB524297 EGX524297 EQT524297 FAP524297 FKL524297 FUH524297 GED524297 GNZ524297 GXV524297 HHR524297 HRN524297 IBJ524297 ILF524297 IVB524297 JEX524297 JOT524297 JYP524297 KIL524297 KSH524297 LCD524297 LLZ524297 LVV524297 MFR524297 MPN524297 MZJ524297 NJF524297 NTB524297 OCX524297 OMT524297 OWP524297 PGL524297 PQH524297 QAD524297 QJZ524297 QTV524297 RDR524297 RNN524297 RXJ524297 SHF524297 SRB524297 TAX524297 TKT524297 TUP524297 UEL524297 UOH524297 UYD524297 VHZ524297 VRV524297 WBR524297 WLN524297 WVJ524297 B589833 IX589833 ST589833 ACP589833 AML589833 AWH589833 BGD589833 BPZ589833 BZV589833 CJR589833 CTN589833 DDJ589833 DNF589833 DXB589833 EGX589833 EQT589833 FAP589833 FKL589833 FUH589833 GED589833 GNZ589833 GXV589833 HHR589833 HRN589833 IBJ589833 ILF589833 IVB589833 JEX589833 JOT589833 JYP589833 KIL589833 KSH589833 LCD589833 LLZ589833 LVV589833 MFR589833 MPN589833 MZJ589833 NJF589833 NTB589833 OCX589833 OMT589833 OWP589833 PGL589833 PQH589833 QAD589833 QJZ589833 QTV589833 RDR589833 RNN589833 RXJ589833 SHF589833 SRB589833 TAX589833 TKT589833 TUP589833 UEL589833 UOH589833 UYD589833 VHZ589833 VRV589833 WBR589833 WLN589833 WVJ589833 B655369 IX655369 ST655369 ACP655369 AML655369 AWH655369 BGD655369 BPZ655369 BZV655369 CJR655369 CTN655369 DDJ655369 DNF655369 DXB655369 EGX655369 EQT655369 FAP655369 FKL655369 FUH655369 GED655369 GNZ655369 GXV655369 HHR655369 HRN655369 IBJ655369 ILF655369 IVB655369 JEX655369 JOT655369 JYP655369 KIL655369 KSH655369 LCD655369 LLZ655369 LVV655369 MFR655369 MPN655369 MZJ655369 NJF655369 NTB655369 OCX655369 OMT655369 OWP655369 PGL655369 PQH655369 QAD655369 QJZ655369 QTV655369 RDR655369 RNN655369 RXJ655369 SHF655369 SRB655369 TAX655369 TKT655369 TUP655369 UEL655369 UOH655369 UYD655369 VHZ655369 VRV655369 WBR655369 WLN655369 WVJ655369 B720905 IX720905 ST720905 ACP720905 AML720905 AWH720905 BGD720905 BPZ720905 BZV720905 CJR720905 CTN720905 DDJ720905 DNF720905 DXB720905 EGX720905 EQT720905 FAP720905 FKL720905 FUH720905 GED720905 GNZ720905 GXV720905 HHR720905 HRN720905 IBJ720905 ILF720905 IVB720905 JEX720905 JOT720905 JYP720905 KIL720905 KSH720905 LCD720905 LLZ720905 LVV720905 MFR720905 MPN720905 MZJ720905 NJF720905 NTB720905 OCX720905 OMT720905 OWP720905 PGL720905 PQH720905 QAD720905 QJZ720905 QTV720905 RDR720905 RNN720905 RXJ720905 SHF720905 SRB720905 TAX720905 TKT720905 TUP720905 UEL720905 UOH720905 UYD720905 VHZ720905 VRV720905 WBR720905 WLN720905 WVJ720905 B786441 IX786441 ST786441 ACP786441 AML786441 AWH786441 BGD786441 BPZ786441 BZV786441 CJR786441 CTN786441 DDJ786441 DNF786441 DXB786441 EGX786441 EQT786441 FAP786441 FKL786441 FUH786441 GED786441 GNZ786441 GXV786441 HHR786441 HRN786441 IBJ786441 ILF786441 IVB786441 JEX786441 JOT786441 JYP786441 KIL786441 KSH786441 LCD786441 LLZ786441 LVV786441 MFR786441 MPN786441 MZJ786441 NJF786441 NTB786441 OCX786441 OMT786441 OWP786441 PGL786441 PQH786441 QAD786441 QJZ786441 QTV786441 RDR786441 RNN786441 RXJ786441 SHF786441 SRB786441 TAX786441 TKT786441 TUP786441 UEL786441 UOH786441 UYD786441 VHZ786441 VRV786441 WBR786441 WLN786441 WVJ786441 B851977 IX851977 ST851977 ACP851977 AML851977 AWH851977 BGD851977 BPZ851977 BZV851977 CJR851977 CTN851977 DDJ851977 DNF851977 DXB851977 EGX851977 EQT851977 FAP851977 FKL851977 FUH851977 GED851977 GNZ851977 GXV851977 HHR851977 HRN851977 IBJ851977 ILF851977 IVB851977 JEX851977 JOT851977 JYP851977 KIL851977 KSH851977 LCD851977 LLZ851977 LVV851977 MFR851977 MPN851977 MZJ851977 NJF851977 NTB851977 OCX851977 OMT851977 OWP851977 PGL851977 PQH851977 QAD851977 QJZ851977 QTV851977 RDR851977 RNN851977 RXJ851977 SHF851977 SRB851977 TAX851977 TKT851977 TUP851977 UEL851977 UOH851977 UYD851977 VHZ851977 VRV851977 WBR851977 WLN851977 WVJ851977 B917513 IX917513 ST917513 ACP917513 AML917513 AWH917513 BGD917513 BPZ917513 BZV917513 CJR917513 CTN917513 DDJ917513 DNF917513 DXB917513 EGX917513 EQT917513 FAP917513 FKL917513 FUH917513 GED917513 GNZ917513 GXV917513 HHR917513 HRN917513 IBJ917513 ILF917513 IVB917513 JEX917513 JOT917513 JYP917513 KIL917513 KSH917513 LCD917513 LLZ917513 LVV917513 MFR917513 MPN917513 MZJ917513 NJF917513 NTB917513 OCX917513 OMT917513 OWP917513 PGL917513 PQH917513 QAD917513 QJZ917513 QTV917513 RDR917513 RNN917513 RXJ917513 SHF917513 SRB917513 TAX917513 TKT917513 TUP917513 UEL917513 UOH917513 UYD917513 VHZ917513 VRV917513 WBR917513 WLN917513 WVJ917513 B983049 IX983049 ST983049 ACP983049 AML983049 AWH983049 BGD983049 BPZ983049 BZV983049 CJR983049 CTN983049 DDJ983049 DNF983049 DXB983049 EGX983049 EQT983049 FAP983049 FKL983049 FUH983049 GED983049 GNZ983049 GXV983049 HHR983049 HRN983049 IBJ983049 ILF983049 IVB983049 JEX983049 JOT983049 JYP983049 KIL983049 KSH983049 LCD983049 LLZ983049 LVV983049 MFR983049 MPN983049 MZJ983049 NJF983049 NTB983049 OCX983049 OMT983049 OWP983049 PGL983049 PQH983049 QAD983049 QJZ983049 QTV983049 RDR983049 RNN983049 RXJ983049 SHF983049 SRB983049 TAX983049 TKT983049 TUP983049 UEL983049 UOH983049 UYD983049 VHZ983049 VRV983049 WBR983049 WLN983049 WVJ983049" xr:uid="{00000000-0002-0000-0400-000002000000}">
      <formula1>"OA,网站,管理系统,其他,"</formula1>
    </dataValidation>
  </dataValidations>
  <pageMargins left="0.69930555555555596" right="0.69930555555555596" top="0.75" bottom="0.75" header="0.3" footer="0.3"/>
  <pageSetup paperSize="9" orientation="portrait"/>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M113"/>
  <sheetViews>
    <sheetView topLeftCell="A82" workbookViewId="0">
      <selection activeCell="E23" sqref="E23"/>
    </sheetView>
  </sheetViews>
  <sheetFormatPr defaultColWidth="9" defaultRowHeight="14.25" outlineLevelRow="1"/>
  <cols>
    <col min="1" max="1" width="1.25" style="589" customWidth="1"/>
    <col min="2" max="2" width="5.875" style="589" customWidth="1"/>
    <col min="3" max="3" width="34.625" style="589" customWidth="1"/>
    <col min="4" max="4" width="15.25" style="589" customWidth="1"/>
    <col min="5" max="5" width="14.5" style="590" customWidth="1"/>
    <col min="6" max="6" width="8.375" style="590" customWidth="1"/>
    <col min="7" max="7" width="12.125" style="591" customWidth="1"/>
    <col min="8" max="8" width="38.375" style="592" customWidth="1"/>
    <col min="9" max="9" width="11.375" style="589" customWidth="1"/>
    <col min="10" max="10" width="13.125" style="589" customWidth="1"/>
    <col min="11" max="11" width="29.5" style="589" customWidth="1"/>
    <col min="12" max="12" width="13" style="589" customWidth="1"/>
    <col min="13" max="256" width="9" style="589"/>
    <col min="257" max="257" width="1.25" style="589" customWidth="1"/>
    <col min="258" max="258" width="5.875" style="589" customWidth="1"/>
    <col min="259" max="259" width="28.5" style="589" customWidth="1"/>
    <col min="260" max="260" width="15.25" style="589" customWidth="1"/>
    <col min="261" max="261" width="11.5" style="589" customWidth="1"/>
    <col min="262" max="262" width="12" style="589" customWidth="1"/>
    <col min="263" max="263" width="12.125" style="589" customWidth="1"/>
    <col min="264" max="264" width="19.375" style="589" customWidth="1"/>
    <col min="265" max="265" width="11.375" style="589" customWidth="1"/>
    <col min="266" max="266" width="13.125" style="589" customWidth="1"/>
    <col min="267" max="267" width="29.5" style="589" customWidth="1"/>
    <col min="268" max="268" width="13" style="589" customWidth="1"/>
    <col min="269" max="512" width="9" style="589"/>
    <col min="513" max="513" width="1.25" style="589" customWidth="1"/>
    <col min="514" max="514" width="5.875" style="589" customWidth="1"/>
    <col min="515" max="515" width="28.5" style="589" customWidth="1"/>
    <col min="516" max="516" width="15.25" style="589" customWidth="1"/>
    <col min="517" max="517" width="11.5" style="589" customWidth="1"/>
    <col min="518" max="518" width="12" style="589" customWidth="1"/>
    <col min="519" max="519" width="12.125" style="589" customWidth="1"/>
    <col min="520" max="520" width="19.375" style="589" customWidth="1"/>
    <col min="521" max="521" width="11.375" style="589" customWidth="1"/>
    <col min="522" max="522" width="13.125" style="589" customWidth="1"/>
    <col min="523" max="523" width="29.5" style="589" customWidth="1"/>
    <col min="524" max="524" width="13" style="589" customWidth="1"/>
    <col min="525" max="768" width="9" style="589"/>
    <col min="769" max="769" width="1.25" style="589" customWidth="1"/>
    <col min="770" max="770" width="5.875" style="589" customWidth="1"/>
    <col min="771" max="771" width="28.5" style="589" customWidth="1"/>
    <col min="772" max="772" width="15.25" style="589" customWidth="1"/>
    <col min="773" max="773" width="11.5" style="589" customWidth="1"/>
    <col min="774" max="774" width="12" style="589" customWidth="1"/>
    <col min="775" max="775" width="12.125" style="589" customWidth="1"/>
    <col min="776" max="776" width="19.375" style="589" customWidth="1"/>
    <col min="777" max="777" width="11.375" style="589" customWidth="1"/>
    <col min="778" max="778" width="13.125" style="589" customWidth="1"/>
    <col min="779" max="779" width="29.5" style="589" customWidth="1"/>
    <col min="780" max="780" width="13" style="589" customWidth="1"/>
    <col min="781" max="1024" width="9" style="589"/>
    <col min="1025" max="1025" width="1.25" style="589" customWidth="1"/>
    <col min="1026" max="1026" width="5.875" style="589" customWidth="1"/>
    <col min="1027" max="1027" width="28.5" style="589" customWidth="1"/>
    <col min="1028" max="1028" width="15.25" style="589" customWidth="1"/>
    <col min="1029" max="1029" width="11.5" style="589" customWidth="1"/>
    <col min="1030" max="1030" width="12" style="589" customWidth="1"/>
    <col min="1031" max="1031" width="12.125" style="589" customWidth="1"/>
    <col min="1032" max="1032" width="19.375" style="589" customWidth="1"/>
    <col min="1033" max="1033" width="11.375" style="589" customWidth="1"/>
    <col min="1034" max="1034" width="13.125" style="589" customWidth="1"/>
    <col min="1035" max="1035" width="29.5" style="589" customWidth="1"/>
    <col min="1036" max="1036" width="13" style="589" customWidth="1"/>
    <col min="1037" max="1280" width="9" style="589"/>
    <col min="1281" max="1281" width="1.25" style="589" customWidth="1"/>
    <col min="1282" max="1282" width="5.875" style="589" customWidth="1"/>
    <col min="1283" max="1283" width="28.5" style="589" customWidth="1"/>
    <col min="1284" max="1284" width="15.25" style="589" customWidth="1"/>
    <col min="1285" max="1285" width="11.5" style="589" customWidth="1"/>
    <col min="1286" max="1286" width="12" style="589" customWidth="1"/>
    <col min="1287" max="1287" width="12.125" style="589" customWidth="1"/>
    <col min="1288" max="1288" width="19.375" style="589" customWidth="1"/>
    <col min="1289" max="1289" width="11.375" style="589" customWidth="1"/>
    <col min="1290" max="1290" width="13.125" style="589" customWidth="1"/>
    <col min="1291" max="1291" width="29.5" style="589" customWidth="1"/>
    <col min="1292" max="1292" width="13" style="589" customWidth="1"/>
    <col min="1293" max="1536" width="9" style="589"/>
    <col min="1537" max="1537" width="1.25" style="589" customWidth="1"/>
    <col min="1538" max="1538" width="5.875" style="589" customWidth="1"/>
    <col min="1539" max="1539" width="28.5" style="589" customWidth="1"/>
    <col min="1540" max="1540" width="15.25" style="589" customWidth="1"/>
    <col min="1541" max="1541" width="11.5" style="589" customWidth="1"/>
    <col min="1542" max="1542" width="12" style="589" customWidth="1"/>
    <col min="1543" max="1543" width="12.125" style="589" customWidth="1"/>
    <col min="1544" max="1544" width="19.375" style="589" customWidth="1"/>
    <col min="1545" max="1545" width="11.375" style="589" customWidth="1"/>
    <col min="1546" max="1546" width="13.125" style="589" customWidth="1"/>
    <col min="1547" max="1547" width="29.5" style="589" customWidth="1"/>
    <col min="1548" max="1548" width="13" style="589" customWidth="1"/>
    <col min="1549" max="1792" width="9" style="589"/>
    <col min="1793" max="1793" width="1.25" style="589" customWidth="1"/>
    <col min="1794" max="1794" width="5.875" style="589" customWidth="1"/>
    <col min="1795" max="1795" width="28.5" style="589" customWidth="1"/>
    <col min="1796" max="1796" width="15.25" style="589" customWidth="1"/>
    <col min="1797" max="1797" width="11.5" style="589" customWidth="1"/>
    <col min="1798" max="1798" width="12" style="589" customWidth="1"/>
    <col min="1799" max="1799" width="12.125" style="589" customWidth="1"/>
    <col min="1800" max="1800" width="19.375" style="589" customWidth="1"/>
    <col min="1801" max="1801" width="11.375" style="589" customWidth="1"/>
    <col min="1802" max="1802" width="13.125" style="589" customWidth="1"/>
    <col min="1803" max="1803" width="29.5" style="589" customWidth="1"/>
    <col min="1804" max="1804" width="13" style="589" customWidth="1"/>
    <col min="1805" max="2048" width="9" style="589"/>
    <col min="2049" max="2049" width="1.25" style="589" customWidth="1"/>
    <col min="2050" max="2050" width="5.875" style="589" customWidth="1"/>
    <col min="2051" max="2051" width="28.5" style="589" customWidth="1"/>
    <col min="2052" max="2052" width="15.25" style="589" customWidth="1"/>
    <col min="2053" max="2053" width="11.5" style="589" customWidth="1"/>
    <col min="2054" max="2054" width="12" style="589" customWidth="1"/>
    <col min="2055" max="2055" width="12.125" style="589" customWidth="1"/>
    <col min="2056" max="2056" width="19.375" style="589" customWidth="1"/>
    <col min="2057" max="2057" width="11.375" style="589" customWidth="1"/>
    <col min="2058" max="2058" width="13.125" style="589" customWidth="1"/>
    <col min="2059" max="2059" width="29.5" style="589" customWidth="1"/>
    <col min="2060" max="2060" width="13" style="589" customWidth="1"/>
    <col min="2061" max="2304" width="9" style="589"/>
    <col min="2305" max="2305" width="1.25" style="589" customWidth="1"/>
    <col min="2306" max="2306" width="5.875" style="589" customWidth="1"/>
    <col min="2307" max="2307" width="28.5" style="589" customWidth="1"/>
    <col min="2308" max="2308" width="15.25" style="589" customWidth="1"/>
    <col min="2309" max="2309" width="11.5" style="589" customWidth="1"/>
    <col min="2310" max="2310" width="12" style="589" customWidth="1"/>
    <col min="2311" max="2311" width="12.125" style="589" customWidth="1"/>
    <col min="2312" max="2312" width="19.375" style="589" customWidth="1"/>
    <col min="2313" max="2313" width="11.375" style="589" customWidth="1"/>
    <col min="2314" max="2314" width="13.125" style="589" customWidth="1"/>
    <col min="2315" max="2315" width="29.5" style="589" customWidth="1"/>
    <col min="2316" max="2316" width="13" style="589" customWidth="1"/>
    <col min="2317" max="2560" width="9" style="589"/>
    <col min="2561" max="2561" width="1.25" style="589" customWidth="1"/>
    <col min="2562" max="2562" width="5.875" style="589" customWidth="1"/>
    <col min="2563" max="2563" width="28.5" style="589" customWidth="1"/>
    <col min="2564" max="2564" width="15.25" style="589" customWidth="1"/>
    <col min="2565" max="2565" width="11.5" style="589" customWidth="1"/>
    <col min="2566" max="2566" width="12" style="589" customWidth="1"/>
    <col min="2567" max="2567" width="12.125" style="589" customWidth="1"/>
    <col min="2568" max="2568" width="19.375" style="589" customWidth="1"/>
    <col min="2569" max="2569" width="11.375" style="589" customWidth="1"/>
    <col min="2570" max="2570" width="13.125" style="589" customWidth="1"/>
    <col min="2571" max="2571" width="29.5" style="589" customWidth="1"/>
    <col min="2572" max="2572" width="13" style="589" customWidth="1"/>
    <col min="2573" max="2816" width="9" style="589"/>
    <col min="2817" max="2817" width="1.25" style="589" customWidth="1"/>
    <col min="2818" max="2818" width="5.875" style="589" customWidth="1"/>
    <col min="2819" max="2819" width="28.5" style="589" customWidth="1"/>
    <col min="2820" max="2820" width="15.25" style="589" customWidth="1"/>
    <col min="2821" max="2821" width="11.5" style="589" customWidth="1"/>
    <col min="2822" max="2822" width="12" style="589" customWidth="1"/>
    <col min="2823" max="2823" width="12.125" style="589" customWidth="1"/>
    <col min="2824" max="2824" width="19.375" style="589" customWidth="1"/>
    <col min="2825" max="2825" width="11.375" style="589" customWidth="1"/>
    <col min="2826" max="2826" width="13.125" style="589" customWidth="1"/>
    <col min="2827" max="2827" width="29.5" style="589" customWidth="1"/>
    <col min="2828" max="2828" width="13" style="589" customWidth="1"/>
    <col min="2829" max="3072" width="9" style="589"/>
    <col min="3073" max="3073" width="1.25" style="589" customWidth="1"/>
    <col min="3074" max="3074" width="5.875" style="589" customWidth="1"/>
    <col min="3075" max="3075" width="28.5" style="589" customWidth="1"/>
    <col min="3076" max="3076" width="15.25" style="589" customWidth="1"/>
    <col min="3077" max="3077" width="11.5" style="589" customWidth="1"/>
    <col min="3078" max="3078" width="12" style="589" customWidth="1"/>
    <col min="3079" max="3079" width="12.125" style="589" customWidth="1"/>
    <col min="3080" max="3080" width="19.375" style="589" customWidth="1"/>
    <col min="3081" max="3081" width="11.375" style="589" customWidth="1"/>
    <col min="3082" max="3082" width="13.125" style="589" customWidth="1"/>
    <col min="3083" max="3083" width="29.5" style="589" customWidth="1"/>
    <col min="3084" max="3084" width="13" style="589" customWidth="1"/>
    <col min="3085" max="3328" width="9" style="589"/>
    <col min="3329" max="3329" width="1.25" style="589" customWidth="1"/>
    <col min="3330" max="3330" width="5.875" style="589" customWidth="1"/>
    <col min="3331" max="3331" width="28.5" style="589" customWidth="1"/>
    <col min="3332" max="3332" width="15.25" style="589" customWidth="1"/>
    <col min="3333" max="3333" width="11.5" style="589" customWidth="1"/>
    <col min="3334" max="3334" width="12" style="589" customWidth="1"/>
    <col min="3335" max="3335" width="12.125" style="589" customWidth="1"/>
    <col min="3336" max="3336" width="19.375" style="589" customWidth="1"/>
    <col min="3337" max="3337" width="11.375" style="589" customWidth="1"/>
    <col min="3338" max="3338" width="13.125" style="589" customWidth="1"/>
    <col min="3339" max="3339" width="29.5" style="589" customWidth="1"/>
    <col min="3340" max="3340" width="13" style="589" customWidth="1"/>
    <col min="3341" max="3584" width="9" style="589"/>
    <col min="3585" max="3585" width="1.25" style="589" customWidth="1"/>
    <col min="3586" max="3586" width="5.875" style="589" customWidth="1"/>
    <col min="3587" max="3587" width="28.5" style="589" customWidth="1"/>
    <col min="3588" max="3588" width="15.25" style="589" customWidth="1"/>
    <col min="3589" max="3589" width="11.5" style="589" customWidth="1"/>
    <col min="3590" max="3590" width="12" style="589" customWidth="1"/>
    <col min="3591" max="3591" width="12.125" style="589" customWidth="1"/>
    <col min="3592" max="3592" width="19.375" style="589" customWidth="1"/>
    <col min="3593" max="3593" width="11.375" style="589" customWidth="1"/>
    <col min="3594" max="3594" width="13.125" style="589" customWidth="1"/>
    <col min="3595" max="3595" width="29.5" style="589" customWidth="1"/>
    <col min="3596" max="3596" width="13" style="589" customWidth="1"/>
    <col min="3597" max="3840" width="9" style="589"/>
    <col min="3841" max="3841" width="1.25" style="589" customWidth="1"/>
    <col min="3842" max="3842" width="5.875" style="589" customWidth="1"/>
    <col min="3843" max="3843" width="28.5" style="589" customWidth="1"/>
    <col min="3844" max="3844" width="15.25" style="589" customWidth="1"/>
    <col min="3845" max="3845" width="11.5" style="589" customWidth="1"/>
    <col min="3846" max="3846" width="12" style="589" customWidth="1"/>
    <col min="3847" max="3847" width="12.125" style="589" customWidth="1"/>
    <col min="3848" max="3848" width="19.375" style="589" customWidth="1"/>
    <col min="3849" max="3849" width="11.375" style="589" customWidth="1"/>
    <col min="3850" max="3850" width="13.125" style="589" customWidth="1"/>
    <col min="3851" max="3851" width="29.5" style="589" customWidth="1"/>
    <col min="3852" max="3852" width="13" style="589" customWidth="1"/>
    <col min="3853" max="4096" width="9" style="589"/>
    <col min="4097" max="4097" width="1.25" style="589" customWidth="1"/>
    <col min="4098" max="4098" width="5.875" style="589" customWidth="1"/>
    <col min="4099" max="4099" width="28.5" style="589" customWidth="1"/>
    <col min="4100" max="4100" width="15.25" style="589" customWidth="1"/>
    <col min="4101" max="4101" width="11.5" style="589" customWidth="1"/>
    <col min="4102" max="4102" width="12" style="589" customWidth="1"/>
    <col min="4103" max="4103" width="12.125" style="589" customWidth="1"/>
    <col min="4104" max="4104" width="19.375" style="589" customWidth="1"/>
    <col min="4105" max="4105" width="11.375" style="589" customWidth="1"/>
    <col min="4106" max="4106" width="13.125" style="589" customWidth="1"/>
    <col min="4107" max="4107" width="29.5" style="589" customWidth="1"/>
    <col min="4108" max="4108" width="13" style="589" customWidth="1"/>
    <col min="4109" max="4352" width="9" style="589"/>
    <col min="4353" max="4353" width="1.25" style="589" customWidth="1"/>
    <col min="4354" max="4354" width="5.875" style="589" customWidth="1"/>
    <col min="4355" max="4355" width="28.5" style="589" customWidth="1"/>
    <col min="4356" max="4356" width="15.25" style="589" customWidth="1"/>
    <col min="4357" max="4357" width="11.5" style="589" customWidth="1"/>
    <col min="4358" max="4358" width="12" style="589" customWidth="1"/>
    <col min="4359" max="4359" width="12.125" style="589" customWidth="1"/>
    <col min="4360" max="4360" width="19.375" style="589" customWidth="1"/>
    <col min="4361" max="4361" width="11.375" style="589" customWidth="1"/>
    <col min="4362" max="4362" width="13.125" style="589" customWidth="1"/>
    <col min="4363" max="4363" width="29.5" style="589" customWidth="1"/>
    <col min="4364" max="4364" width="13" style="589" customWidth="1"/>
    <col min="4365" max="4608" width="9" style="589"/>
    <col min="4609" max="4609" width="1.25" style="589" customWidth="1"/>
    <col min="4610" max="4610" width="5.875" style="589" customWidth="1"/>
    <col min="4611" max="4611" width="28.5" style="589" customWidth="1"/>
    <col min="4612" max="4612" width="15.25" style="589" customWidth="1"/>
    <col min="4613" max="4613" width="11.5" style="589" customWidth="1"/>
    <col min="4614" max="4614" width="12" style="589" customWidth="1"/>
    <col min="4615" max="4615" width="12.125" style="589" customWidth="1"/>
    <col min="4616" max="4616" width="19.375" style="589" customWidth="1"/>
    <col min="4617" max="4617" width="11.375" style="589" customWidth="1"/>
    <col min="4618" max="4618" width="13.125" style="589" customWidth="1"/>
    <col min="4619" max="4619" width="29.5" style="589" customWidth="1"/>
    <col min="4620" max="4620" width="13" style="589" customWidth="1"/>
    <col min="4621" max="4864" width="9" style="589"/>
    <col min="4865" max="4865" width="1.25" style="589" customWidth="1"/>
    <col min="4866" max="4866" width="5.875" style="589" customWidth="1"/>
    <col min="4867" max="4867" width="28.5" style="589" customWidth="1"/>
    <col min="4868" max="4868" width="15.25" style="589" customWidth="1"/>
    <col min="4869" max="4869" width="11.5" style="589" customWidth="1"/>
    <col min="4870" max="4870" width="12" style="589" customWidth="1"/>
    <col min="4871" max="4871" width="12.125" style="589" customWidth="1"/>
    <col min="4872" max="4872" width="19.375" style="589" customWidth="1"/>
    <col min="4873" max="4873" width="11.375" style="589" customWidth="1"/>
    <col min="4874" max="4874" width="13.125" style="589" customWidth="1"/>
    <col min="4875" max="4875" width="29.5" style="589" customWidth="1"/>
    <col min="4876" max="4876" width="13" style="589" customWidth="1"/>
    <col min="4877" max="5120" width="9" style="589"/>
    <col min="5121" max="5121" width="1.25" style="589" customWidth="1"/>
    <col min="5122" max="5122" width="5.875" style="589" customWidth="1"/>
    <col min="5123" max="5123" width="28.5" style="589" customWidth="1"/>
    <col min="5124" max="5124" width="15.25" style="589" customWidth="1"/>
    <col min="5125" max="5125" width="11.5" style="589" customWidth="1"/>
    <col min="5126" max="5126" width="12" style="589" customWidth="1"/>
    <col min="5127" max="5127" width="12.125" style="589" customWidth="1"/>
    <col min="5128" max="5128" width="19.375" style="589" customWidth="1"/>
    <col min="5129" max="5129" width="11.375" style="589" customWidth="1"/>
    <col min="5130" max="5130" width="13.125" style="589" customWidth="1"/>
    <col min="5131" max="5131" width="29.5" style="589" customWidth="1"/>
    <col min="5132" max="5132" width="13" style="589" customWidth="1"/>
    <col min="5133" max="5376" width="9" style="589"/>
    <col min="5377" max="5377" width="1.25" style="589" customWidth="1"/>
    <col min="5378" max="5378" width="5.875" style="589" customWidth="1"/>
    <col min="5379" max="5379" width="28.5" style="589" customWidth="1"/>
    <col min="5380" max="5380" width="15.25" style="589" customWidth="1"/>
    <col min="5381" max="5381" width="11.5" style="589" customWidth="1"/>
    <col min="5382" max="5382" width="12" style="589" customWidth="1"/>
    <col min="5383" max="5383" width="12.125" style="589" customWidth="1"/>
    <col min="5384" max="5384" width="19.375" style="589" customWidth="1"/>
    <col min="5385" max="5385" width="11.375" style="589" customWidth="1"/>
    <col min="5386" max="5386" width="13.125" style="589" customWidth="1"/>
    <col min="5387" max="5387" width="29.5" style="589" customWidth="1"/>
    <col min="5388" max="5388" width="13" style="589" customWidth="1"/>
    <col min="5389" max="5632" width="9" style="589"/>
    <col min="5633" max="5633" width="1.25" style="589" customWidth="1"/>
    <col min="5634" max="5634" width="5.875" style="589" customWidth="1"/>
    <col min="5635" max="5635" width="28.5" style="589" customWidth="1"/>
    <col min="5636" max="5636" width="15.25" style="589" customWidth="1"/>
    <col min="5637" max="5637" width="11.5" style="589" customWidth="1"/>
    <col min="5638" max="5638" width="12" style="589" customWidth="1"/>
    <col min="5639" max="5639" width="12.125" style="589" customWidth="1"/>
    <col min="5640" max="5640" width="19.375" style="589" customWidth="1"/>
    <col min="5641" max="5641" width="11.375" style="589" customWidth="1"/>
    <col min="5642" max="5642" width="13.125" style="589" customWidth="1"/>
    <col min="5643" max="5643" width="29.5" style="589" customWidth="1"/>
    <col min="5644" max="5644" width="13" style="589" customWidth="1"/>
    <col min="5645" max="5888" width="9" style="589"/>
    <col min="5889" max="5889" width="1.25" style="589" customWidth="1"/>
    <col min="5890" max="5890" width="5.875" style="589" customWidth="1"/>
    <col min="5891" max="5891" width="28.5" style="589" customWidth="1"/>
    <col min="5892" max="5892" width="15.25" style="589" customWidth="1"/>
    <col min="5893" max="5893" width="11.5" style="589" customWidth="1"/>
    <col min="5894" max="5894" width="12" style="589" customWidth="1"/>
    <col min="5895" max="5895" width="12.125" style="589" customWidth="1"/>
    <col min="5896" max="5896" width="19.375" style="589" customWidth="1"/>
    <col min="5897" max="5897" width="11.375" style="589" customWidth="1"/>
    <col min="5898" max="5898" width="13.125" style="589" customWidth="1"/>
    <col min="5899" max="5899" width="29.5" style="589" customWidth="1"/>
    <col min="5900" max="5900" width="13" style="589" customWidth="1"/>
    <col min="5901" max="6144" width="9" style="589"/>
    <col min="6145" max="6145" width="1.25" style="589" customWidth="1"/>
    <col min="6146" max="6146" width="5.875" style="589" customWidth="1"/>
    <col min="6147" max="6147" width="28.5" style="589" customWidth="1"/>
    <col min="6148" max="6148" width="15.25" style="589" customWidth="1"/>
    <col min="6149" max="6149" width="11.5" style="589" customWidth="1"/>
    <col min="6150" max="6150" width="12" style="589" customWidth="1"/>
    <col min="6151" max="6151" width="12.125" style="589" customWidth="1"/>
    <col min="6152" max="6152" width="19.375" style="589" customWidth="1"/>
    <col min="6153" max="6153" width="11.375" style="589" customWidth="1"/>
    <col min="6154" max="6154" width="13.125" style="589" customWidth="1"/>
    <col min="6155" max="6155" width="29.5" style="589" customWidth="1"/>
    <col min="6156" max="6156" width="13" style="589" customWidth="1"/>
    <col min="6157" max="6400" width="9" style="589"/>
    <col min="6401" max="6401" width="1.25" style="589" customWidth="1"/>
    <col min="6402" max="6402" width="5.875" style="589" customWidth="1"/>
    <col min="6403" max="6403" width="28.5" style="589" customWidth="1"/>
    <col min="6404" max="6404" width="15.25" style="589" customWidth="1"/>
    <col min="6405" max="6405" width="11.5" style="589" customWidth="1"/>
    <col min="6406" max="6406" width="12" style="589" customWidth="1"/>
    <col min="6407" max="6407" width="12.125" style="589" customWidth="1"/>
    <col min="6408" max="6408" width="19.375" style="589" customWidth="1"/>
    <col min="6409" max="6409" width="11.375" style="589" customWidth="1"/>
    <col min="6410" max="6410" width="13.125" style="589" customWidth="1"/>
    <col min="6411" max="6411" width="29.5" style="589" customWidth="1"/>
    <col min="6412" max="6412" width="13" style="589" customWidth="1"/>
    <col min="6413" max="6656" width="9" style="589"/>
    <col min="6657" max="6657" width="1.25" style="589" customWidth="1"/>
    <col min="6658" max="6658" width="5.875" style="589" customWidth="1"/>
    <col min="6659" max="6659" width="28.5" style="589" customWidth="1"/>
    <col min="6660" max="6660" width="15.25" style="589" customWidth="1"/>
    <col min="6661" max="6661" width="11.5" style="589" customWidth="1"/>
    <col min="6662" max="6662" width="12" style="589" customWidth="1"/>
    <col min="6663" max="6663" width="12.125" style="589" customWidth="1"/>
    <col min="6664" max="6664" width="19.375" style="589" customWidth="1"/>
    <col min="6665" max="6665" width="11.375" style="589" customWidth="1"/>
    <col min="6666" max="6666" width="13.125" style="589" customWidth="1"/>
    <col min="6667" max="6667" width="29.5" style="589" customWidth="1"/>
    <col min="6668" max="6668" width="13" style="589" customWidth="1"/>
    <col min="6669" max="6912" width="9" style="589"/>
    <col min="6913" max="6913" width="1.25" style="589" customWidth="1"/>
    <col min="6914" max="6914" width="5.875" style="589" customWidth="1"/>
    <col min="6915" max="6915" width="28.5" style="589" customWidth="1"/>
    <col min="6916" max="6916" width="15.25" style="589" customWidth="1"/>
    <col min="6917" max="6917" width="11.5" style="589" customWidth="1"/>
    <col min="6918" max="6918" width="12" style="589" customWidth="1"/>
    <col min="6919" max="6919" width="12.125" style="589" customWidth="1"/>
    <col min="6920" max="6920" width="19.375" style="589" customWidth="1"/>
    <col min="6921" max="6921" width="11.375" style="589" customWidth="1"/>
    <col min="6922" max="6922" width="13.125" style="589" customWidth="1"/>
    <col min="6923" max="6923" width="29.5" style="589" customWidth="1"/>
    <col min="6924" max="6924" width="13" style="589" customWidth="1"/>
    <col min="6925" max="7168" width="9" style="589"/>
    <col min="7169" max="7169" width="1.25" style="589" customWidth="1"/>
    <col min="7170" max="7170" width="5.875" style="589" customWidth="1"/>
    <col min="7171" max="7171" width="28.5" style="589" customWidth="1"/>
    <col min="7172" max="7172" width="15.25" style="589" customWidth="1"/>
    <col min="7173" max="7173" width="11.5" style="589" customWidth="1"/>
    <col min="7174" max="7174" width="12" style="589" customWidth="1"/>
    <col min="7175" max="7175" width="12.125" style="589" customWidth="1"/>
    <col min="7176" max="7176" width="19.375" style="589" customWidth="1"/>
    <col min="7177" max="7177" width="11.375" style="589" customWidth="1"/>
    <col min="7178" max="7178" width="13.125" style="589" customWidth="1"/>
    <col min="7179" max="7179" width="29.5" style="589" customWidth="1"/>
    <col min="7180" max="7180" width="13" style="589" customWidth="1"/>
    <col min="7181" max="7424" width="9" style="589"/>
    <col min="7425" max="7425" width="1.25" style="589" customWidth="1"/>
    <col min="7426" max="7426" width="5.875" style="589" customWidth="1"/>
    <col min="7427" max="7427" width="28.5" style="589" customWidth="1"/>
    <col min="7428" max="7428" width="15.25" style="589" customWidth="1"/>
    <col min="7429" max="7429" width="11.5" style="589" customWidth="1"/>
    <col min="7430" max="7430" width="12" style="589" customWidth="1"/>
    <col min="7431" max="7431" width="12.125" style="589" customWidth="1"/>
    <col min="7432" max="7432" width="19.375" style="589" customWidth="1"/>
    <col min="7433" max="7433" width="11.375" style="589" customWidth="1"/>
    <col min="7434" max="7434" width="13.125" style="589" customWidth="1"/>
    <col min="7435" max="7435" width="29.5" style="589" customWidth="1"/>
    <col min="7436" max="7436" width="13" style="589" customWidth="1"/>
    <col min="7437" max="7680" width="9" style="589"/>
    <col min="7681" max="7681" width="1.25" style="589" customWidth="1"/>
    <col min="7682" max="7682" width="5.875" style="589" customWidth="1"/>
    <col min="7683" max="7683" width="28.5" style="589" customWidth="1"/>
    <col min="7684" max="7684" width="15.25" style="589" customWidth="1"/>
    <col min="7685" max="7685" width="11.5" style="589" customWidth="1"/>
    <col min="7686" max="7686" width="12" style="589" customWidth="1"/>
    <col min="7687" max="7687" width="12.125" style="589" customWidth="1"/>
    <col min="7688" max="7688" width="19.375" style="589" customWidth="1"/>
    <col min="7689" max="7689" width="11.375" style="589" customWidth="1"/>
    <col min="7690" max="7690" width="13.125" style="589" customWidth="1"/>
    <col min="7691" max="7691" width="29.5" style="589" customWidth="1"/>
    <col min="7692" max="7692" width="13" style="589" customWidth="1"/>
    <col min="7693" max="7936" width="9" style="589"/>
    <col min="7937" max="7937" width="1.25" style="589" customWidth="1"/>
    <col min="7938" max="7938" width="5.875" style="589" customWidth="1"/>
    <col min="7939" max="7939" width="28.5" style="589" customWidth="1"/>
    <col min="7940" max="7940" width="15.25" style="589" customWidth="1"/>
    <col min="7941" max="7941" width="11.5" style="589" customWidth="1"/>
    <col min="7942" max="7942" width="12" style="589" customWidth="1"/>
    <col min="7943" max="7943" width="12.125" style="589" customWidth="1"/>
    <col min="7944" max="7944" width="19.375" style="589" customWidth="1"/>
    <col min="7945" max="7945" width="11.375" style="589" customWidth="1"/>
    <col min="7946" max="7946" width="13.125" style="589" customWidth="1"/>
    <col min="7947" max="7947" width="29.5" style="589" customWidth="1"/>
    <col min="7948" max="7948" width="13" style="589" customWidth="1"/>
    <col min="7949" max="8192" width="9" style="589"/>
    <col min="8193" max="8193" width="1.25" style="589" customWidth="1"/>
    <col min="8194" max="8194" width="5.875" style="589" customWidth="1"/>
    <col min="8195" max="8195" width="28.5" style="589" customWidth="1"/>
    <col min="8196" max="8196" width="15.25" style="589" customWidth="1"/>
    <col min="8197" max="8197" width="11.5" style="589" customWidth="1"/>
    <col min="8198" max="8198" width="12" style="589" customWidth="1"/>
    <col min="8199" max="8199" width="12.125" style="589" customWidth="1"/>
    <col min="8200" max="8200" width="19.375" style="589" customWidth="1"/>
    <col min="8201" max="8201" width="11.375" style="589" customWidth="1"/>
    <col min="8202" max="8202" width="13.125" style="589" customWidth="1"/>
    <col min="8203" max="8203" width="29.5" style="589" customWidth="1"/>
    <col min="8204" max="8204" width="13" style="589" customWidth="1"/>
    <col min="8205" max="8448" width="9" style="589"/>
    <col min="8449" max="8449" width="1.25" style="589" customWidth="1"/>
    <col min="8450" max="8450" width="5.875" style="589" customWidth="1"/>
    <col min="8451" max="8451" width="28.5" style="589" customWidth="1"/>
    <col min="8452" max="8452" width="15.25" style="589" customWidth="1"/>
    <col min="8453" max="8453" width="11.5" style="589" customWidth="1"/>
    <col min="8454" max="8454" width="12" style="589" customWidth="1"/>
    <col min="8455" max="8455" width="12.125" style="589" customWidth="1"/>
    <col min="8456" max="8456" width="19.375" style="589" customWidth="1"/>
    <col min="8457" max="8457" width="11.375" style="589" customWidth="1"/>
    <col min="8458" max="8458" width="13.125" style="589" customWidth="1"/>
    <col min="8459" max="8459" width="29.5" style="589" customWidth="1"/>
    <col min="8460" max="8460" width="13" style="589" customWidth="1"/>
    <col min="8461" max="8704" width="9" style="589"/>
    <col min="8705" max="8705" width="1.25" style="589" customWidth="1"/>
    <col min="8706" max="8706" width="5.875" style="589" customWidth="1"/>
    <col min="8707" max="8707" width="28.5" style="589" customWidth="1"/>
    <col min="8708" max="8708" width="15.25" style="589" customWidth="1"/>
    <col min="8709" max="8709" width="11.5" style="589" customWidth="1"/>
    <col min="8710" max="8710" width="12" style="589" customWidth="1"/>
    <col min="8711" max="8711" width="12.125" style="589" customWidth="1"/>
    <col min="8712" max="8712" width="19.375" style="589" customWidth="1"/>
    <col min="8713" max="8713" width="11.375" style="589" customWidth="1"/>
    <col min="8714" max="8714" width="13.125" style="589" customWidth="1"/>
    <col min="8715" max="8715" width="29.5" style="589" customWidth="1"/>
    <col min="8716" max="8716" width="13" style="589" customWidth="1"/>
    <col min="8717" max="8960" width="9" style="589"/>
    <col min="8961" max="8961" width="1.25" style="589" customWidth="1"/>
    <col min="8962" max="8962" width="5.875" style="589" customWidth="1"/>
    <col min="8963" max="8963" width="28.5" style="589" customWidth="1"/>
    <col min="8964" max="8964" width="15.25" style="589" customWidth="1"/>
    <col min="8965" max="8965" width="11.5" style="589" customWidth="1"/>
    <col min="8966" max="8966" width="12" style="589" customWidth="1"/>
    <col min="8967" max="8967" width="12.125" style="589" customWidth="1"/>
    <col min="8968" max="8968" width="19.375" style="589" customWidth="1"/>
    <col min="8969" max="8969" width="11.375" style="589" customWidth="1"/>
    <col min="8970" max="8970" width="13.125" style="589" customWidth="1"/>
    <col min="8971" max="8971" width="29.5" style="589" customWidth="1"/>
    <col min="8972" max="8972" width="13" style="589" customWidth="1"/>
    <col min="8973" max="9216" width="9" style="589"/>
    <col min="9217" max="9217" width="1.25" style="589" customWidth="1"/>
    <col min="9218" max="9218" width="5.875" style="589" customWidth="1"/>
    <col min="9219" max="9219" width="28.5" style="589" customWidth="1"/>
    <col min="9220" max="9220" width="15.25" style="589" customWidth="1"/>
    <col min="9221" max="9221" width="11.5" style="589" customWidth="1"/>
    <col min="9222" max="9222" width="12" style="589" customWidth="1"/>
    <col min="9223" max="9223" width="12.125" style="589" customWidth="1"/>
    <col min="9224" max="9224" width="19.375" style="589" customWidth="1"/>
    <col min="9225" max="9225" width="11.375" style="589" customWidth="1"/>
    <col min="9226" max="9226" width="13.125" style="589" customWidth="1"/>
    <col min="9227" max="9227" width="29.5" style="589" customWidth="1"/>
    <col min="9228" max="9228" width="13" style="589" customWidth="1"/>
    <col min="9229" max="9472" width="9" style="589"/>
    <col min="9473" max="9473" width="1.25" style="589" customWidth="1"/>
    <col min="9474" max="9474" width="5.875" style="589" customWidth="1"/>
    <col min="9475" max="9475" width="28.5" style="589" customWidth="1"/>
    <col min="9476" max="9476" width="15.25" style="589" customWidth="1"/>
    <col min="9477" max="9477" width="11.5" style="589" customWidth="1"/>
    <col min="9478" max="9478" width="12" style="589" customWidth="1"/>
    <col min="9479" max="9479" width="12.125" style="589" customWidth="1"/>
    <col min="9480" max="9480" width="19.375" style="589" customWidth="1"/>
    <col min="9481" max="9481" width="11.375" style="589" customWidth="1"/>
    <col min="9482" max="9482" width="13.125" style="589" customWidth="1"/>
    <col min="9483" max="9483" width="29.5" style="589" customWidth="1"/>
    <col min="9484" max="9484" width="13" style="589" customWidth="1"/>
    <col min="9485" max="9728" width="9" style="589"/>
    <col min="9729" max="9729" width="1.25" style="589" customWidth="1"/>
    <col min="9730" max="9730" width="5.875" style="589" customWidth="1"/>
    <col min="9731" max="9731" width="28.5" style="589" customWidth="1"/>
    <col min="9732" max="9732" width="15.25" style="589" customWidth="1"/>
    <col min="9733" max="9733" width="11.5" style="589" customWidth="1"/>
    <col min="9734" max="9734" width="12" style="589" customWidth="1"/>
    <col min="9735" max="9735" width="12.125" style="589" customWidth="1"/>
    <col min="9736" max="9736" width="19.375" style="589" customWidth="1"/>
    <col min="9737" max="9737" width="11.375" style="589" customWidth="1"/>
    <col min="9738" max="9738" width="13.125" style="589" customWidth="1"/>
    <col min="9739" max="9739" width="29.5" style="589" customWidth="1"/>
    <col min="9740" max="9740" width="13" style="589" customWidth="1"/>
    <col min="9741" max="9984" width="9" style="589"/>
    <col min="9985" max="9985" width="1.25" style="589" customWidth="1"/>
    <col min="9986" max="9986" width="5.875" style="589" customWidth="1"/>
    <col min="9987" max="9987" width="28.5" style="589" customWidth="1"/>
    <col min="9988" max="9988" width="15.25" style="589" customWidth="1"/>
    <col min="9989" max="9989" width="11.5" style="589" customWidth="1"/>
    <col min="9990" max="9990" width="12" style="589" customWidth="1"/>
    <col min="9991" max="9991" width="12.125" style="589" customWidth="1"/>
    <col min="9992" max="9992" width="19.375" style="589" customWidth="1"/>
    <col min="9993" max="9993" width="11.375" style="589" customWidth="1"/>
    <col min="9994" max="9994" width="13.125" style="589" customWidth="1"/>
    <col min="9995" max="9995" width="29.5" style="589" customWidth="1"/>
    <col min="9996" max="9996" width="13" style="589" customWidth="1"/>
    <col min="9997" max="10240" width="9" style="589"/>
    <col min="10241" max="10241" width="1.25" style="589" customWidth="1"/>
    <col min="10242" max="10242" width="5.875" style="589" customWidth="1"/>
    <col min="10243" max="10243" width="28.5" style="589" customWidth="1"/>
    <col min="10244" max="10244" width="15.25" style="589" customWidth="1"/>
    <col min="10245" max="10245" width="11.5" style="589" customWidth="1"/>
    <col min="10246" max="10246" width="12" style="589" customWidth="1"/>
    <col min="10247" max="10247" width="12.125" style="589" customWidth="1"/>
    <col min="10248" max="10248" width="19.375" style="589" customWidth="1"/>
    <col min="10249" max="10249" width="11.375" style="589" customWidth="1"/>
    <col min="10250" max="10250" width="13.125" style="589" customWidth="1"/>
    <col min="10251" max="10251" width="29.5" style="589" customWidth="1"/>
    <col min="10252" max="10252" width="13" style="589" customWidth="1"/>
    <col min="10253" max="10496" width="9" style="589"/>
    <col min="10497" max="10497" width="1.25" style="589" customWidth="1"/>
    <col min="10498" max="10498" width="5.875" style="589" customWidth="1"/>
    <col min="10499" max="10499" width="28.5" style="589" customWidth="1"/>
    <col min="10500" max="10500" width="15.25" style="589" customWidth="1"/>
    <col min="10501" max="10501" width="11.5" style="589" customWidth="1"/>
    <col min="10502" max="10502" width="12" style="589" customWidth="1"/>
    <col min="10503" max="10503" width="12.125" style="589" customWidth="1"/>
    <col min="10504" max="10504" width="19.375" style="589" customWidth="1"/>
    <col min="10505" max="10505" width="11.375" style="589" customWidth="1"/>
    <col min="10506" max="10506" width="13.125" style="589" customWidth="1"/>
    <col min="10507" max="10507" width="29.5" style="589" customWidth="1"/>
    <col min="10508" max="10508" width="13" style="589" customWidth="1"/>
    <col min="10509" max="10752" width="9" style="589"/>
    <col min="10753" max="10753" width="1.25" style="589" customWidth="1"/>
    <col min="10754" max="10754" width="5.875" style="589" customWidth="1"/>
    <col min="10755" max="10755" width="28.5" style="589" customWidth="1"/>
    <col min="10756" max="10756" width="15.25" style="589" customWidth="1"/>
    <col min="10757" max="10757" width="11.5" style="589" customWidth="1"/>
    <col min="10758" max="10758" width="12" style="589" customWidth="1"/>
    <col min="10759" max="10759" width="12.125" style="589" customWidth="1"/>
    <col min="10760" max="10760" width="19.375" style="589" customWidth="1"/>
    <col min="10761" max="10761" width="11.375" style="589" customWidth="1"/>
    <col min="10762" max="10762" width="13.125" style="589" customWidth="1"/>
    <col min="10763" max="10763" width="29.5" style="589" customWidth="1"/>
    <col min="10764" max="10764" width="13" style="589" customWidth="1"/>
    <col min="10765" max="11008" width="9" style="589"/>
    <col min="11009" max="11009" width="1.25" style="589" customWidth="1"/>
    <col min="11010" max="11010" width="5.875" style="589" customWidth="1"/>
    <col min="11011" max="11011" width="28.5" style="589" customWidth="1"/>
    <col min="11012" max="11012" width="15.25" style="589" customWidth="1"/>
    <col min="11013" max="11013" width="11.5" style="589" customWidth="1"/>
    <col min="11014" max="11014" width="12" style="589" customWidth="1"/>
    <col min="11015" max="11015" width="12.125" style="589" customWidth="1"/>
    <col min="11016" max="11016" width="19.375" style="589" customWidth="1"/>
    <col min="11017" max="11017" width="11.375" style="589" customWidth="1"/>
    <col min="11018" max="11018" width="13.125" style="589" customWidth="1"/>
    <col min="11019" max="11019" width="29.5" style="589" customWidth="1"/>
    <col min="11020" max="11020" width="13" style="589" customWidth="1"/>
    <col min="11021" max="11264" width="9" style="589"/>
    <col min="11265" max="11265" width="1.25" style="589" customWidth="1"/>
    <col min="11266" max="11266" width="5.875" style="589" customWidth="1"/>
    <col min="11267" max="11267" width="28.5" style="589" customWidth="1"/>
    <col min="11268" max="11268" width="15.25" style="589" customWidth="1"/>
    <col min="11269" max="11269" width="11.5" style="589" customWidth="1"/>
    <col min="11270" max="11270" width="12" style="589" customWidth="1"/>
    <col min="11271" max="11271" width="12.125" style="589" customWidth="1"/>
    <col min="11272" max="11272" width="19.375" style="589" customWidth="1"/>
    <col min="11273" max="11273" width="11.375" style="589" customWidth="1"/>
    <col min="11274" max="11274" width="13.125" style="589" customWidth="1"/>
    <col min="11275" max="11275" width="29.5" style="589" customWidth="1"/>
    <col min="11276" max="11276" width="13" style="589" customWidth="1"/>
    <col min="11277" max="11520" width="9" style="589"/>
    <col min="11521" max="11521" width="1.25" style="589" customWidth="1"/>
    <col min="11522" max="11522" width="5.875" style="589" customWidth="1"/>
    <col min="11523" max="11523" width="28.5" style="589" customWidth="1"/>
    <col min="11524" max="11524" width="15.25" style="589" customWidth="1"/>
    <col min="11525" max="11525" width="11.5" style="589" customWidth="1"/>
    <col min="11526" max="11526" width="12" style="589" customWidth="1"/>
    <col min="11527" max="11527" width="12.125" style="589" customWidth="1"/>
    <col min="11528" max="11528" width="19.375" style="589" customWidth="1"/>
    <col min="11529" max="11529" width="11.375" style="589" customWidth="1"/>
    <col min="11530" max="11530" width="13.125" style="589" customWidth="1"/>
    <col min="11531" max="11531" width="29.5" style="589" customWidth="1"/>
    <col min="11532" max="11532" width="13" style="589" customWidth="1"/>
    <col min="11533" max="11776" width="9" style="589"/>
    <col min="11777" max="11777" width="1.25" style="589" customWidth="1"/>
    <col min="11778" max="11778" width="5.875" style="589" customWidth="1"/>
    <col min="11779" max="11779" width="28.5" style="589" customWidth="1"/>
    <col min="11780" max="11780" width="15.25" style="589" customWidth="1"/>
    <col min="11781" max="11781" width="11.5" style="589" customWidth="1"/>
    <col min="11782" max="11782" width="12" style="589" customWidth="1"/>
    <col min="11783" max="11783" width="12.125" style="589" customWidth="1"/>
    <col min="11784" max="11784" width="19.375" style="589" customWidth="1"/>
    <col min="11785" max="11785" width="11.375" style="589" customWidth="1"/>
    <col min="11786" max="11786" width="13.125" style="589" customWidth="1"/>
    <col min="11787" max="11787" width="29.5" style="589" customWidth="1"/>
    <col min="11788" max="11788" width="13" style="589" customWidth="1"/>
    <col min="11789" max="12032" width="9" style="589"/>
    <col min="12033" max="12033" width="1.25" style="589" customWidth="1"/>
    <col min="12034" max="12034" width="5.875" style="589" customWidth="1"/>
    <col min="12035" max="12035" width="28.5" style="589" customWidth="1"/>
    <col min="12036" max="12036" width="15.25" style="589" customWidth="1"/>
    <col min="12037" max="12037" width="11.5" style="589" customWidth="1"/>
    <col min="12038" max="12038" width="12" style="589" customWidth="1"/>
    <col min="12039" max="12039" width="12.125" style="589" customWidth="1"/>
    <col min="12040" max="12040" width="19.375" style="589" customWidth="1"/>
    <col min="12041" max="12041" width="11.375" style="589" customWidth="1"/>
    <col min="12042" max="12042" width="13.125" style="589" customWidth="1"/>
    <col min="12043" max="12043" width="29.5" style="589" customWidth="1"/>
    <col min="12044" max="12044" width="13" style="589" customWidth="1"/>
    <col min="12045" max="12288" width="9" style="589"/>
    <col min="12289" max="12289" width="1.25" style="589" customWidth="1"/>
    <col min="12290" max="12290" width="5.875" style="589" customWidth="1"/>
    <col min="12291" max="12291" width="28.5" style="589" customWidth="1"/>
    <col min="12292" max="12292" width="15.25" style="589" customWidth="1"/>
    <col min="12293" max="12293" width="11.5" style="589" customWidth="1"/>
    <col min="12294" max="12294" width="12" style="589" customWidth="1"/>
    <col min="12295" max="12295" width="12.125" style="589" customWidth="1"/>
    <col min="12296" max="12296" width="19.375" style="589" customWidth="1"/>
    <col min="12297" max="12297" width="11.375" style="589" customWidth="1"/>
    <col min="12298" max="12298" width="13.125" style="589" customWidth="1"/>
    <col min="12299" max="12299" width="29.5" style="589" customWidth="1"/>
    <col min="12300" max="12300" width="13" style="589" customWidth="1"/>
    <col min="12301" max="12544" width="9" style="589"/>
    <col min="12545" max="12545" width="1.25" style="589" customWidth="1"/>
    <col min="12546" max="12546" width="5.875" style="589" customWidth="1"/>
    <col min="12547" max="12547" width="28.5" style="589" customWidth="1"/>
    <col min="12548" max="12548" width="15.25" style="589" customWidth="1"/>
    <col min="12549" max="12549" width="11.5" style="589" customWidth="1"/>
    <col min="12550" max="12550" width="12" style="589" customWidth="1"/>
    <col min="12551" max="12551" width="12.125" style="589" customWidth="1"/>
    <col min="12552" max="12552" width="19.375" style="589" customWidth="1"/>
    <col min="12553" max="12553" width="11.375" style="589" customWidth="1"/>
    <col min="12554" max="12554" width="13.125" style="589" customWidth="1"/>
    <col min="12555" max="12555" width="29.5" style="589" customWidth="1"/>
    <col min="12556" max="12556" width="13" style="589" customWidth="1"/>
    <col min="12557" max="12800" width="9" style="589"/>
    <col min="12801" max="12801" width="1.25" style="589" customWidth="1"/>
    <col min="12802" max="12802" width="5.875" style="589" customWidth="1"/>
    <col min="12803" max="12803" width="28.5" style="589" customWidth="1"/>
    <col min="12804" max="12804" width="15.25" style="589" customWidth="1"/>
    <col min="12805" max="12805" width="11.5" style="589" customWidth="1"/>
    <col min="12806" max="12806" width="12" style="589" customWidth="1"/>
    <col min="12807" max="12807" width="12.125" style="589" customWidth="1"/>
    <col min="12808" max="12808" width="19.375" style="589" customWidth="1"/>
    <col min="12809" max="12809" width="11.375" style="589" customWidth="1"/>
    <col min="12810" max="12810" width="13.125" style="589" customWidth="1"/>
    <col min="12811" max="12811" width="29.5" style="589" customWidth="1"/>
    <col min="12812" max="12812" width="13" style="589" customWidth="1"/>
    <col min="12813" max="13056" width="9" style="589"/>
    <col min="13057" max="13057" width="1.25" style="589" customWidth="1"/>
    <col min="13058" max="13058" width="5.875" style="589" customWidth="1"/>
    <col min="13059" max="13059" width="28.5" style="589" customWidth="1"/>
    <col min="13060" max="13060" width="15.25" style="589" customWidth="1"/>
    <col min="13061" max="13061" width="11.5" style="589" customWidth="1"/>
    <col min="13062" max="13062" width="12" style="589" customWidth="1"/>
    <col min="13063" max="13063" width="12.125" style="589" customWidth="1"/>
    <col min="13064" max="13064" width="19.375" style="589" customWidth="1"/>
    <col min="13065" max="13065" width="11.375" style="589" customWidth="1"/>
    <col min="13066" max="13066" width="13.125" style="589" customWidth="1"/>
    <col min="13067" max="13067" width="29.5" style="589" customWidth="1"/>
    <col min="13068" max="13068" width="13" style="589" customWidth="1"/>
    <col min="13069" max="13312" width="9" style="589"/>
    <col min="13313" max="13313" width="1.25" style="589" customWidth="1"/>
    <col min="13314" max="13314" width="5.875" style="589" customWidth="1"/>
    <col min="13315" max="13315" width="28.5" style="589" customWidth="1"/>
    <col min="13316" max="13316" width="15.25" style="589" customWidth="1"/>
    <col min="13317" max="13317" width="11.5" style="589" customWidth="1"/>
    <col min="13318" max="13318" width="12" style="589" customWidth="1"/>
    <col min="13319" max="13319" width="12.125" style="589" customWidth="1"/>
    <col min="13320" max="13320" width="19.375" style="589" customWidth="1"/>
    <col min="13321" max="13321" width="11.375" style="589" customWidth="1"/>
    <col min="13322" max="13322" width="13.125" style="589" customWidth="1"/>
    <col min="13323" max="13323" width="29.5" style="589" customWidth="1"/>
    <col min="13324" max="13324" width="13" style="589" customWidth="1"/>
    <col min="13325" max="13568" width="9" style="589"/>
    <col min="13569" max="13569" width="1.25" style="589" customWidth="1"/>
    <col min="13570" max="13570" width="5.875" style="589" customWidth="1"/>
    <col min="13571" max="13571" width="28.5" style="589" customWidth="1"/>
    <col min="13572" max="13572" width="15.25" style="589" customWidth="1"/>
    <col min="13573" max="13573" width="11.5" style="589" customWidth="1"/>
    <col min="13574" max="13574" width="12" style="589" customWidth="1"/>
    <col min="13575" max="13575" width="12.125" style="589" customWidth="1"/>
    <col min="13576" max="13576" width="19.375" style="589" customWidth="1"/>
    <col min="13577" max="13577" width="11.375" style="589" customWidth="1"/>
    <col min="13578" max="13578" width="13.125" style="589" customWidth="1"/>
    <col min="13579" max="13579" width="29.5" style="589" customWidth="1"/>
    <col min="13580" max="13580" width="13" style="589" customWidth="1"/>
    <col min="13581" max="13824" width="9" style="589"/>
    <col min="13825" max="13825" width="1.25" style="589" customWidth="1"/>
    <col min="13826" max="13826" width="5.875" style="589" customWidth="1"/>
    <col min="13827" max="13827" width="28.5" style="589" customWidth="1"/>
    <col min="13828" max="13828" width="15.25" style="589" customWidth="1"/>
    <col min="13829" max="13829" width="11.5" style="589" customWidth="1"/>
    <col min="13830" max="13830" width="12" style="589" customWidth="1"/>
    <col min="13831" max="13831" width="12.125" style="589" customWidth="1"/>
    <col min="13832" max="13832" width="19.375" style="589" customWidth="1"/>
    <col min="13833" max="13833" width="11.375" style="589" customWidth="1"/>
    <col min="13834" max="13834" width="13.125" style="589" customWidth="1"/>
    <col min="13835" max="13835" width="29.5" style="589" customWidth="1"/>
    <col min="13836" max="13836" width="13" style="589" customWidth="1"/>
    <col min="13837" max="14080" width="9" style="589"/>
    <col min="14081" max="14081" width="1.25" style="589" customWidth="1"/>
    <col min="14082" max="14082" width="5.875" style="589" customWidth="1"/>
    <col min="14083" max="14083" width="28.5" style="589" customWidth="1"/>
    <col min="14084" max="14084" width="15.25" style="589" customWidth="1"/>
    <col min="14085" max="14085" width="11.5" style="589" customWidth="1"/>
    <col min="14086" max="14086" width="12" style="589" customWidth="1"/>
    <col min="14087" max="14087" width="12.125" style="589" customWidth="1"/>
    <col min="14088" max="14088" width="19.375" style="589" customWidth="1"/>
    <col min="14089" max="14089" width="11.375" style="589" customWidth="1"/>
    <col min="14090" max="14090" width="13.125" style="589" customWidth="1"/>
    <col min="14091" max="14091" width="29.5" style="589" customWidth="1"/>
    <col min="14092" max="14092" width="13" style="589" customWidth="1"/>
    <col min="14093" max="14336" width="9" style="589"/>
    <col min="14337" max="14337" width="1.25" style="589" customWidth="1"/>
    <col min="14338" max="14338" width="5.875" style="589" customWidth="1"/>
    <col min="14339" max="14339" width="28.5" style="589" customWidth="1"/>
    <col min="14340" max="14340" width="15.25" style="589" customWidth="1"/>
    <col min="14341" max="14341" width="11.5" style="589" customWidth="1"/>
    <col min="14342" max="14342" width="12" style="589" customWidth="1"/>
    <col min="14343" max="14343" width="12.125" style="589" customWidth="1"/>
    <col min="14344" max="14344" width="19.375" style="589" customWidth="1"/>
    <col min="14345" max="14345" width="11.375" style="589" customWidth="1"/>
    <col min="14346" max="14346" width="13.125" style="589" customWidth="1"/>
    <col min="14347" max="14347" width="29.5" style="589" customWidth="1"/>
    <col min="14348" max="14348" width="13" style="589" customWidth="1"/>
    <col min="14349" max="14592" width="9" style="589"/>
    <col min="14593" max="14593" width="1.25" style="589" customWidth="1"/>
    <col min="14594" max="14594" width="5.875" style="589" customWidth="1"/>
    <col min="14595" max="14595" width="28.5" style="589" customWidth="1"/>
    <col min="14596" max="14596" width="15.25" style="589" customWidth="1"/>
    <col min="14597" max="14597" width="11.5" style="589" customWidth="1"/>
    <col min="14598" max="14598" width="12" style="589" customWidth="1"/>
    <col min="14599" max="14599" width="12.125" style="589" customWidth="1"/>
    <col min="14600" max="14600" width="19.375" style="589" customWidth="1"/>
    <col min="14601" max="14601" width="11.375" style="589" customWidth="1"/>
    <col min="14602" max="14602" width="13.125" style="589" customWidth="1"/>
    <col min="14603" max="14603" width="29.5" style="589" customWidth="1"/>
    <col min="14604" max="14604" width="13" style="589" customWidth="1"/>
    <col min="14605" max="14848" width="9" style="589"/>
    <col min="14849" max="14849" width="1.25" style="589" customWidth="1"/>
    <col min="14850" max="14850" width="5.875" style="589" customWidth="1"/>
    <col min="14851" max="14851" width="28.5" style="589" customWidth="1"/>
    <col min="14852" max="14852" width="15.25" style="589" customWidth="1"/>
    <col min="14853" max="14853" width="11.5" style="589" customWidth="1"/>
    <col min="14854" max="14854" width="12" style="589" customWidth="1"/>
    <col min="14855" max="14855" width="12.125" style="589" customWidth="1"/>
    <col min="14856" max="14856" width="19.375" style="589" customWidth="1"/>
    <col min="14857" max="14857" width="11.375" style="589" customWidth="1"/>
    <col min="14858" max="14858" width="13.125" style="589" customWidth="1"/>
    <col min="14859" max="14859" width="29.5" style="589" customWidth="1"/>
    <col min="14860" max="14860" width="13" style="589" customWidth="1"/>
    <col min="14861" max="15104" width="9" style="589"/>
    <col min="15105" max="15105" width="1.25" style="589" customWidth="1"/>
    <col min="15106" max="15106" width="5.875" style="589" customWidth="1"/>
    <col min="15107" max="15107" width="28.5" style="589" customWidth="1"/>
    <col min="15108" max="15108" width="15.25" style="589" customWidth="1"/>
    <col min="15109" max="15109" width="11.5" style="589" customWidth="1"/>
    <col min="15110" max="15110" width="12" style="589" customWidth="1"/>
    <col min="15111" max="15111" width="12.125" style="589" customWidth="1"/>
    <col min="15112" max="15112" width="19.375" style="589" customWidth="1"/>
    <col min="15113" max="15113" width="11.375" style="589" customWidth="1"/>
    <col min="15114" max="15114" width="13.125" style="589" customWidth="1"/>
    <col min="15115" max="15115" width="29.5" style="589" customWidth="1"/>
    <col min="15116" max="15116" width="13" style="589" customWidth="1"/>
    <col min="15117" max="15360" width="9" style="589"/>
    <col min="15361" max="15361" width="1.25" style="589" customWidth="1"/>
    <col min="15362" max="15362" width="5.875" style="589" customWidth="1"/>
    <col min="15363" max="15363" width="28.5" style="589" customWidth="1"/>
    <col min="15364" max="15364" width="15.25" style="589" customWidth="1"/>
    <col min="15365" max="15365" width="11.5" style="589" customWidth="1"/>
    <col min="15366" max="15366" width="12" style="589" customWidth="1"/>
    <col min="15367" max="15367" width="12.125" style="589" customWidth="1"/>
    <col min="15368" max="15368" width="19.375" style="589" customWidth="1"/>
    <col min="15369" max="15369" width="11.375" style="589" customWidth="1"/>
    <col min="15370" max="15370" width="13.125" style="589" customWidth="1"/>
    <col min="15371" max="15371" width="29.5" style="589" customWidth="1"/>
    <col min="15372" max="15372" width="13" style="589" customWidth="1"/>
    <col min="15373" max="15616" width="9" style="589"/>
    <col min="15617" max="15617" width="1.25" style="589" customWidth="1"/>
    <col min="15618" max="15618" width="5.875" style="589" customWidth="1"/>
    <col min="15619" max="15619" width="28.5" style="589" customWidth="1"/>
    <col min="15620" max="15620" width="15.25" style="589" customWidth="1"/>
    <col min="15621" max="15621" width="11.5" style="589" customWidth="1"/>
    <col min="15622" max="15622" width="12" style="589" customWidth="1"/>
    <col min="15623" max="15623" width="12.125" style="589" customWidth="1"/>
    <col min="15624" max="15624" width="19.375" style="589" customWidth="1"/>
    <col min="15625" max="15625" width="11.375" style="589" customWidth="1"/>
    <col min="15626" max="15626" width="13.125" style="589" customWidth="1"/>
    <col min="15627" max="15627" width="29.5" style="589" customWidth="1"/>
    <col min="15628" max="15628" width="13" style="589" customWidth="1"/>
    <col min="15629" max="15872" width="9" style="589"/>
    <col min="15873" max="15873" width="1.25" style="589" customWidth="1"/>
    <col min="15874" max="15874" width="5.875" style="589" customWidth="1"/>
    <col min="15875" max="15875" width="28.5" style="589" customWidth="1"/>
    <col min="15876" max="15876" width="15.25" style="589" customWidth="1"/>
    <col min="15877" max="15877" width="11.5" style="589" customWidth="1"/>
    <col min="15878" max="15878" width="12" style="589" customWidth="1"/>
    <col min="15879" max="15879" width="12.125" style="589" customWidth="1"/>
    <col min="15880" max="15880" width="19.375" style="589" customWidth="1"/>
    <col min="15881" max="15881" width="11.375" style="589" customWidth="1"/>
    <col min="15882" max="15882" width="13.125" style="589" customWidth="1"/>
    <col min="15883" max="15883" width="29.5" style="589" customWidth="1"/>
    <col min="15884" max="15884" width="13" style="589" customWidth="1"/>
    <col min="15885" max="16128" width="9" style="589"/>
    <col min="16129" max="16129" width="1.25" style="589" customWidth="1"/>
    <col min="16130" max="16130" width="5.875" style="589" customWidth="1"/>
    <col min="16131" max="16131" width="28.5" style="589" customWidth="1"/>
    <col min="16132" max="16132" width="15.25" style="589" customWidth="1"/>
    <col min="16133" max="16133" width="11.5" style="589" customWidth="1"/>
    <col min="16134" max="16134" width="12" style="589" customWidth="1"/>
    <col min="16135" max="16135" width="12.125" style="589" customWidth="1"/>
    <col min="16136" max="16136" width="19.375" style="589" customWidth="1"/>
    <col min="16137" max="16137" width="11.375" style="589" customWidth="1"/>
    <col min="16138" max="16138" width="13.125" style="589" customWidth="1"/>
    <col min="16139" max="16139" width="29.5" style="589" customWidth="1"/>
    <col min="16140" max="16140" width="13" style="589" customWidth="1"/>
    <col min="16141" max="16384" width="9" style="589"/>
  </cols>
  <sheetData>
    <row r="1" spans="1:13" ht="36.75">
      <c r="B1" s="786" t="s">
        <v>129</v>
      </c>
      <c r="C1" s="786"/>
      <c r="D1" s="786"/>
      <c r="E1" s="786"/>
      <c r="F1" s="786"/>
      <c r="G1" s="786"/>
      <c r="H1" s="786"/>
      <c r="I1" s="786"/>
      <c r="J1" s="786"/>
      <c r="K1" s="786"/>
      <c r="L1" s="786"/>
      <c r="M1" s="786"/>
    </row>
    <row r="2" spans="1:13" s="588" customFormat="1" ht="21" customHeight="1">
      <c r="A2" s="593"/>
      <c r="B2" s="787" t="s">
        <v>130</v>
      </c>
      <c r="C2" s="788"/>
      <c r="D2" s="788"/>
      <c r="E2" s="788"/>
      <c r="F2" s="594" t="s">
        <v>131</v>
      </c>
      <c r="G2" s="788" t="s">
        <v>132</v>
      </c>
      <c r="H2" s="789"/>
      <c r="I2" s="790" t="s">
        <v>133</v>
      </c>
      <c r="J2" s="791"/>
      <c r="K2" s="614" t="s">
        <v>134</v>
      </c>
    </row>
    <row r="3" spans="1:13" s="588" customFormat="1" ht="17.25" outlineLevel="1">
      <c r="A3" s="593"/>
      <c r="B3" s="595">
        <v>1</v>
      </c>
      <c r="C3" s="596" t="s">
        <v>135</v>
      </c>
      <c r="D3" s="782" t="s">
        <v>136</v>
      </c>
      <c r="E3" s="782"/>
      <c r="F3" s="597" t="s">
        <v>137</v>
      </c>
      <c r="G3" s="774" t="s">
        <v>138</v>
      </c>
      <c r="H3" s="774"/>
      <c r="I3" s="771">
        <v>26</v>
      </c>
      <c r="J3" s="771"/>
      <c r="K3" s="615" t="s">
        <v>139</v>
      </c>
      <c r="L3" s="616"/>
    </row>
    <row r="4" spans="1:13" s="588" customFormat="1" ht="33" customHeight="1" outlineLevel="1">
      <c r="A4" s="593"/>
      <c r="B4" s="595">
        <v>2</v>
      </c>
      <c r="C4" s="596" t="s">
        <v>140</v>
      </c>
      <c r="D4" s="792" t="s">
        <v>141</v>
      </c>
      <c r="E4" s="793"/>
      <c r="F4" s="597" t="s">
        <v>137</v>
      </c>
      <c r="G4" s="769" t="s">
        <v>142</v>
      </c>
      <c r="H4" s="770"/>
      <c r="I4" s="771">
        <v>0.44069999999999998</v>
      </c>
      <c r="J4" s="771"/>
      <c r="K4" s="615" t="s">
        <v>139</v>
      </c>
      <c r="L4" s="616"/>
    </row>
    <row r="5" spans="1:13" s="588" customFormat="1" ht="17.25" outlineLevel="1">
      <c r="A5" s="593"/>
      <c r="B5" s="595">
        <v>3</v>
      </c>
      <c r="C5" s="598" t="s">
        <v>143</v>
      </c>
      <c r="D5" s="781" t="s">
        <v>144</v>
      </c>
      <c r="E5" s="781"/>
      <c r="F5" s="597" t="s">
        <v>137</v>
      </c>
      <c r="G5" s="774"/>
      <c r="H5" s="774"/>
      <c r="I5" s="771">
        <v>154</v>
      </c>
      <c r="J5" s="771"/>
      <c r="K5" s="615" t="s">
        <v>139</v>
      </c>
      <c r="L5" s="616"/>
    </row>
    <row r="6" spans="1:13" s="588" customFormat="1" ht="17.25" outlineLevel="1">
      <c r="A6" s="593"/>
      <c r="B6" s="595">
        <v>4</v>
      </c>
      <c r="C6" s="598" t="s">
        <v>145</v>
      </c>
      <c r="D6" s="782">
        <v>171.7</v>
      </c>
      <c r="E6" s="782"/>
      <c r="F6" s="597" t="s">
        <v>137</v>
      </c>
      <c r="G6" s="774"/>
      <c r="H6" s="774"/>
      <c r="I6" s="771"/>
      <c r="J6" s="771"/>
      <c r="K6" s="615"/>
      <c r="L6" s="616"/>
    </row>
    <row r="7" spans="1:13" s="588" customFormat="1" ht="17.25" outlineLevel="1">
      <c r="A7" s="593"/>
      <c r="B7" s="595">
        <v>5</v>
      </c>
      <c r="C7" s="598" t="s">
        <v>146</v>
      </c>
      <c r="D7" s="783" t="s">
        <v>147</v>
      </c>
      <c r="E7" s="773"/>
      <c r="F7" s="597" t="s">
        <v>148</v>
      </c>
      <c r="G7" s="784" t="s">
        <v>149</v>
      </c>
      <c r="H7" s="785"/>
      <c r="I7" s="771">
        <v>-0.1031</v>
      </c>
      <c r="J7" s="771"/>
      <c r="K7" s="615" t="s">
        <v>139</v>
      </c>
      <c r="L7" s="616"/>
    </row>
    <row r="8" spans="1:13" s="588" customFormat="1" ht="31.5" customHeight="1" outlineLevel="1">
      <c r="A8" s="593"/>
      <c r="B8" s="595">
        <v>6</v>
      </c>
      <c r="C8" s="598" t="s">
        <v>150</v>
      </c>
      <c r="D8" s="767" t="s">
        <v>151</v>
      </c>
      <c r="E8" s="768"/>
      <c r="F8" s="597" t="s">
        <v>137</v>
      </c>
      <c r="G8" s="769" t="s">
        <v>152</v>
      </c>
      <c r="H8" s="770"/>
      <c r="I8" s="771">
        <v>0.3831</v>
      </c>
      <c r="J8" s="771"/>
      <c r="K8" s="615" t="s">
        <v>139</v>
      </c>
      <c r="L8" s="616"/>
    </row>
    <row r="9" spans="1:13" s="588" customFormat="1" ht="17.25" outlineLevel="1">
      <c r="A9" s="593"/>
      <c r="B9" s="595">
        <v>7</v>
      </c>
      <c r="C9" s="598" t="s">
        <v>153</v>
      </c>
      <c r="D9" s="772" t="s">
        <v>154</v>
      </c>
      <c r="E9" s="773"/>
      <c r="F9" s="597" t="s">
        <v>155</v>
      </c>
      <c r="G9" s="774" t="s">
        <v>156</v>
      </c>
      <c r="H9" s="774"/>
      <c r="I9" s="771">
        <v>0</v>
      </c>
      <c r="J9" s="771"/>
      <c r="K9" s="615" t="s">
        <v>139</v>
      </c>
      <c r="L9" s="616"/>
    </row>
    <row r="10" spans="1:13" s="588" customFormat="1" ht="17.25" outlineLevel="1">
      <c r="A10" s="593"/>
      <c r="B10" s="599"/>
      <c r="C10" s="596"/>
      <c r="D10" s="600"/>
      <c r="E10" s="601"/>
      <c r="F10" s="602"/>
      <c r="G10" s="603"/>
      <c r="H10" s="603"/>
      <c r="I10" s="617"/>
      <c r="J10" s="618"/>
      <c r="K10" s="619"/>
    </row>
    <row r="11" spans="1:13" s="588" customFormat="1" ht="17.25">
      <c r="A11" s="593"/>
      <c r="B11" s="748" t="s">
        <v>157</v>
      </c>
      <c r="C11" s="775" t="s">
        <v>158</v>
      </c>
      <c r="D11" s="776"/>
      <c r="E11" s="776"/>
      <c r="F11" s="776"/>
      <c r="G11" s="776"/>
      <c r="H11" s="776"/>
      <c r="I11" s="776"/>
      <c r="J11" s="777"/>
    </row>
    <row r="12" spans="1:13" s="588" customFormat="1" ht="17.25">
      <c r="A12" s="593"/>
      <c r="B12" s="749"/>
      <c r="C12" s="778" t="s">
        <v>159</v>
      </c>
      <c r="D12" s="779"/>
      <c r="E12" s="779"/>
      <c r="F12" s="779"/>
      <c r="G12" s="779"/>
      <c r="H12" s="779"/>
      <c r="I12" s="779"/>
      <c r="J12" s="780"/>
    </row>
    <row r="13" spans="1:13" s="588" customFormat="1" ht="17.25">
      <c r="A13" s="593"/>
      <c r="B13" s="750"/>
      <c r="C13" s="778" t="s">
        <v>160</v>
      </c>
      <c r="D13" s="779"/>
      <c r="E13" s="779"/>
      <c r="F13" s="779"/>
      <c r="G13" s="779"/>
      <c r="H13" s="779"/>
      <c r="I13" s="779"/>
      <c r="J13" s="780"/>
    </row>
    <row r="14" spans="1:13" ht="16.5" outlineLevel="1">
      <c r="B14" s="751" t="s">
        <v>161</v>
      </c>
      <c r="C14" s="752" t="s">
        <v>162</v>
      </c>
      <c r="D14" s="742" t="s">
        <v>130</v>
      </c>
      <c r="E14" s="742"/>
      <c r="F14" s="742"/>
      <c r="G14" s="742"/>
      <c r="H14" s="751" t="s">
        <v>163</v>
      </c>
      <c r="I14" s="751" t="s">
        <v>164</v>
      </c>
      <c r="J14" s="742" t="s">
        <v>165</v>
      </c>
      <c r="K14" s="742" t="s">
        <v>166</v>
      </c>
    </row>
    <row r="15" spans="1:13" ht="21" outlineLevel="1">
      <c r="B15" s="743"/>
      <c r="C15" s="753"/>
      <c r="D15" s="32" t="s">
        <v>167</v>
      </c>
      <c r="E15" s="32" t="s">
        <v>168</v>
      </c>
      <c r="F15" s="32" t="s">
        <v>169</v>
      </c>
      <c r="G15" s="606" t="s">
        <v>170</v>
      </c>
      <c r="H15" s="743"/>
      <c r="I15" s="743"/>
      <c r="J15" s="743"/>
      <c r="K15" s="743"/>
      <c r="L15" s="620"/>
      <c r="M15" s="621"/>
    </row>
    <row r="16" spans="1:13" ht="16.5" outlineLevel="1">
      <c r="B16" s="607">
        <v>1</v>
      </c>
      <c r="C16" s="198" t="s">
        <v>171</v>
      </c>
      <c r="D16" s="214">
        <v>-0.65</v>
      </c>
      <c r="E16" s="214">
        <v>0.01</v>
      </c>
      <c r="F16" s="214">
        <v>0.67</v>
      </c>
      <c r="G16" s="214">
        <v>0.22</v>
      </c>
      <c r="H16" s="214" t="s">
        <v>172</v>
      </c>
      <c r="I16" s="214" t="s">
        <v>173</v>
      </c>
      <c r="J16" s="214" t="s">
        <v>174</v>
      </c>
      <c r="K16" s="214" t="s">
        <v>175</v>
      </c>
    </row>
    <row r="17" spans="2:11" ht="16.5" outlineLevel="1">
      <c r="B17" s="607">
        <v>2</v>
      </c>
      <c r="C17" s="608" t="s">
        <v>176</v>
      </c>
      <c r="D17" s="609">
        <v>2E-3</v>
      </c>
      <c r="E17" s="609">
        <v>0.05</v>
      </c>
      <c r="F17" s="609">
        <v>9.8000000000000004E-2</v>
      </c>
      <c r="G17" s="609">
        <v>1.6E-2</v>
      </c>
      <c r="H17" s="609" t="s">
        <v>177</v>
      </c>
      <c r="I17" s="214" t="s">
        <v>173</v>
      </c>
      <c r="J17" s="609" t="s">
        <v>174</v>
      </c>
      <c r="K17" s="609" t="s">
        <v>178</v>
      </c>
    </row>
    <row r="18" spans="2:11" ht="16.5" outlineLevel="1">
      <c r="B18" s="607">
        <v>3</v>
      </c>
      <c r="C18" s="198" t="s">
        <v>179</v>
      </c>
      <c r="D18" s="214">
        <v>0</v>
      </c>
      <c r="E18" s="214">
        <v>4.8000000000000001E-2</v>
      </c>
      <c r="F18" s="214">
        <v>9.6000000000000002E-2</v>
      </c>
      <c r="G18" s="214">
        <v>1.6E-2</v>
      </c>
      <c r="H18" s="214" t="s">
        <v>177</v>
      </c>
      <c r="I18" s="214" t="s">
        <v>173</v>
      </c>
      <c r="J18" s="214" t="s">
        <v>174</v>
      </c>
      <c r="K18" s="214" t="s">
        <v>178</v>
      </c>
    </row>
    <row r="19" spans="2:11" ht="16.5" outlineLevel="1">
      <c r="B19" s="607">
        <v>4</v>
      </c>
      <c r="C19" s="608" t="s">
        <v>180</v>
      </c>
      <c r="D19" s="609">
        <v>4.1000000000000003E-3</v>
      </c>
      <c r="E19" s="609">
        <v>3.4099999999999998E-2</v>
      </c>
      <c r="F19" s="609">
        <v>6.4100000000000004E-2</v>
      </c>
      <c r="G19" s="609">
        <v>0.01</v>
      </c>
      <c r="H19" s="609" t="s">
        <v>177</v>
      </c>
      <c r="I19" s="214" t="s">
        <v>173</v>
      </c>
      <c r="J19" s="609" t="s">
        <v>174</v>
      </c>
      <c r="K19" s="609" t="s">
        <v>178</v>
      </c>
    </row>
    <row r="20" spans="2:11" ht="16.5">
      <c r="B20" s="607">
        <v>5</v>
      </c>
      <c r="C20" s="198" t="s">
        <v>181</v>
      </c>
      <c r="D20" s="214">
        <v>8.2900000000000001E-2</v>
      </c>
      <c r="E20" s="214">
        <v>0.20499999999999999</v>
      </c>
      <c r="F20" s="214">
        <v>0.3271</v>
      </c>
      <c r="G20" s="214">
        <v>4.07E-2</v>
      </c>
      <c r="H20" s="214" t="s">
        <v>182</v>
      </c>
      <c r="I20" s="214" t="s">
        <v>173</v>
      </c>
      <c r="J20" s="214" t="s">
        <v>174</v>
      </c>
      <c r="K20" s="214" t="s">
        <v>178</v>
      </c>
    </row>
    <row r="21" spans="2:11" ht="16.5">
      <c r="B21" s="607">
        <v>6</v>
      </c>
      <c r="C21" s="608" t="s">
        <v>183</v>
      </c>
      <c r="D21" s="609">
        <v>4.0000000000000001E-3</v>
      </c>
      <c r="E21" s="609">
        <v>0.193</v>
      </c>
      <c r="F21" s="609">
        <v>0.38200000000000001</v>
      </c>
      <c r="G21" s="609">
        <v>6.3E-2</v>
      </c>
      <c r="H21" s="609" t="s">
        <v>182</v>
      </c>
      <c r="I21" s="214" t="s">
        <v>173</v>
      </c>
      <c r="J21" s="609" t="s">
        <v>174</v>
      </c>
      <c r="K21" s="609" t="s">
        <v>178</v>
      </c>
    </row>
    <row r="22" spans="2:11" ht="16.5">
      <c r="B22" s="607">
        <v>7</v>
      </c>
      <c r="C22" s="198" t="s">
        <v>184</v>
      </c>
      <c r="D22" s="214">
        <v>1.2E-2</v>
      </c>
      <c r="E22" s="214">
        <v>0.13200000000000001</v>
      </c>
      <c r="F22" s="214">
        <v>0.252</v>
      </c>
      <c r="G22" s="214">
        <v>0.04</v>
      </c>
      <c r="H22" s="214" t="s">
        <v>182</v>
      </c>
      <c r="I22" s="214" t="s">
        <v>173</v>
      </c>
      <c r="J22" s="214" t="s">
        <v>174</v>
      </c>
      <c r="K22" s="214" t="s">
        <v>178</v>
      </c>
    </row>
    <row r="23" spans="2:11" ht="16.5">
      <c r="B23" s="607">
        <v>8</v>
      </c>
      <c r="C23" s="608" t="s">
        <v>185</v>
      </c>
      <c r="D23" s="609">
        <v>-0.59399999999999997</v>
      </c>
      <c r="E23" s="609">
        <v>6.0000000000000001E-3</v>
      </c>
      <c r="F23" s="609">
        <v>0.60599999999999998</v>
      </c>
      <c r="G23" s="609">
        <v>0.2</v>
      </c>
      <c r="H23" s="609" t="s">
        <v>172</v>
      </c>
      <c r="I23" s="214" t="s">
        <v>173</v>
      </c>
      <c r="J23" s="609" t="s">
        <v>174</v>
      </c>
      <c r="K23" s="609" t="s">
        <v>178</v>
      </c>
    </row>
    <row r="24" spans="2:11" ht="16.5">
      <c r="B24" s="607">
        <v>9</v>
      </c>
      <c r="C24" s="198" t="s">
        <v>186</v>
      </c>
      <c r="D24" s="214">
        <v>-0.9</v>
      </c>
      <c r="E24" s="214">
        <v>0</v>
      </c>
      <c r="F24" s="214">
        <v>0.9</v>
      </c>
      <c r="G24" s="214">
        <v>0.39979999999999999</v>
      </c>
      <c r="H24" s="609" t="s">
        <v>172</v>
      </c>
      <c r="I24" s="214" t="s">
        <v>173</v>
      </c>
      <c r="J24" s="214" t="s">
        <v>174</v>
      </c>
      <c r="K24" s="214" t="s">
        <v>178</v>
      </c>
    </row>
    <row r="25" spans="2:11" ht="16.5">
      <c r="B25" s="607">
        <v>10</v>
      </c>
      <c r="C25" s="608" t="s">
        <v>187</v>
      </c>
      <c r="D25" s="609">
        <v>-0.9</v>
      </c>
      <c r="E25" s="609">
        <v>0</v>
      </c>
      <c r="F25" s="609">
        <v>0.9</v>
      </c>
      <c r="G25" s="609">
        <v>0.3</v>
      </c>
      <c r="H25" s="609" t="s">
        <v>172</v>
      </c>
      <c r="I25" s="214" t="s">
        <v>173</v>
      </c>
      <c r="J25" s="214" t="s">
        <v>174</v>
      </c>
      <c r="K25" s="609" t="s">
        <v>178</v>
      </c>
    </row>
    <row r="26" spans="2:11" ht="16.5">
      <c r="B26" s="607">
        <v>11</v>
      </c>
      <c r="C26" s="198" t="s">
        <v>188</v>
      </c>
      <c r="D26" s="214">
        <v>-0.42680000000000001</v>
      </c>
      <c r="E26" s="214">
        <v>-5.0599999999999999E-2</v>
      </c>
      <c r="F26" s="214">
        <v>0.32550000000000001</v>
      </c>
      <c r="G26" s="214">
        <v>0.12540000000000001</v>
      </c>
      <c r="H26" s="214" t="s">
        <v>172</v>
      </c>
      <c r="I26" s="214" t="s">
        <v>173</v>
      </c>
      <c r="J26" s="214" t="s">
        <v>174</v>
      </c>
      <c r="K26" s="214" t="s">
        <v>189</v>
      </c>
    </row>
    <row r="27" spans="2:11" ht="16.5">
      <c r="B27" s="607">
        <v>12</v>
      </c>
      <c r="C27" s="608" t="s">
        <v>190</v>
      </c>
      <c r="D27" s="609">
        <v>-0.8266</v>
      </c>
      <c r="E27" s="609">
        <v>-7.5999999999999998E-2</v>
      </c>
      <c r="F27" s="609">
        <v>0.67459999999999998</v>
      </c>
      <c r="G27" s="609">
        <v>0.25019999999999998</v>
      </c>
      <c r="H27" s="609" t="s">
        <v>172</v>
      </c>
      <c r="I27" s="214" t="s">
        <v>173</v>
      </c>
      <c r="J27" s="609" t="s">
        <v>174</v>
      </c>
      <c r="K27" s="609" t="s">
        <v>189</v>
      </c>
    </row>
    <row r="28" spans="2:11" ht="16.5">
      <c r="B28" s="607">
        <v>13</v>
      </c>
      <c r="C28" s="198" t="s">
        <v>191</v>
      </c>
      <c r="D28" s="214">
        <v>-0.90529999999999999</v>
      </c>
      <c r="E28" s="214">
        <v>-9.3600000000000003E-2</v>
      </c>
      <c r="F28" s="214">
        <v>0.71809999999999996</v>
      </c>
      <c r="G28" s="214">
        <v>0.27060000000000001</v>
      </c>
      <c r="H28" s="214" t="s">
        <v>172</v>
      </c>
      <c r="I28" s="214" t="s">
        <v>173</v>
      </c>
      <c r="J28" s="214" t="s">
        <v>174</v>
      </c>
      <c r="K28" s="214" t="s">
        <v>189</v>
      </c>
    </row>
    <row r="29" spans="2:11" ht="16.5">
      <c r="B29" s="607">
        <v>14</v>
      </c>
      <c r="C29" s="608" t="s">
        <v>192</v>
      </c>
      <c r="D29" s="609">
        <v>2.0000000000000001E-4</v>
      </c>
      <c r="E29" s="609">
        <v>0.26900000000000002</v>
      </c>
      <c r="F29" s="609">
        <v>0.53779999999999994</v>
      </c>
      <c r="G29" s="609">
        <v>8.9599999999999999E-2</v>
      </c>
      <c r="H29" s="609" t="s">
        <v>177</v>
      </c>
      <c r="I29" s="214" t="s">
        <v>173</v>
      </c>
      <c r="J29" s="609" t="s">
        <v>174</v>
      </c>
      <c r="K29" s="609" t="s">
        <v>193</v>
      </c>
    </row>
    <row r="30" spans="2:11" ht="16.5">
      <c r="B30" s="607">
        <v>15</v>
      </c>
      <c r="C30" s="198" t="s">
        <v>194</v>
      </c>
      <c r="D30" s="214">
        <v>0</v>
      </c>
      <c r="E30" s="214">
        <v>0.21870000000000001</v>
      </c>
      <c r="F30" s="214">
        <v>0.43740000000000001</v>
      </c>
      <c r="G30" s="214">
        <v>7.2900000000000006E-2</v>
      </c>
      <c r="H30" s="214" t="s">
        <v>177</v>
      </c>
      <c r="I30" s="214" t="s">
        <v>173</v>
      </c>
      <c r="J30" s="214" t="s">
        <v>174</v>
      </c>
      <c r="K30" s="214" t="s">
        <v>193</v>
      </c>
    </row>
    <row r="31" spans="2:11" ht="16.5">
      <c r="B31" s="607">
        <v>16</v>
      </c>
      <c r="C31" s="608" t="s">
        <v>195</v>
      </c>
      <c r="D31" s="609">
        <v>0.1326</v>
      </c>
      <c r="E31" s="609">
        <v>0.93</v>
      </c>
      <c r="F31" s="609">
        <v>1.7274</v>
      </c>
      <c r="G31" s="609">
        <v>0.26579999999999998</v>
      </c>
      <c r="H31" s="609" t="s">
        <v>182</v>
      </c>
      <c r="I31" s="214" t="s">
        <v>173</v>
      </c>
      <c r="J31" s="609" t="s">
        <v>174</v>
      </c>
      <c r="K31" s="609" t="s">
        <v>193</v>
      </c>
    </row>
    <row r="32" spans="2:11" ht="16.5">
      <c r="B32" s="607">
        <v>17</v>
      </c>
      <c r="C32" s="198" t="s">
        <v>196</v>
      </c>
      <c r="D32" s="214">
        <v>8.2000000000000007E-3</v>
      </c>
      <c r="E32" s="214">
        <v>0.92110000000000003</v>
      </c>
      <c r="F32" s="214">
        <v>1.8340000000000001</v>
      </c>
      <c r="G32" s="214">
        <v>0.30430000000000001</v>
      </c>
      <c r="H32" s="214" t="s">
        <v>182</v>
      </c>
      <c r="I32" s="214" t="s">
        <v>173</v>
      </c>
      <c r="J32" s="214" t="s">
        <v>174</v>
      </c>
      <c r="K32" s="214" t="s">
        <v>193</v>
      </c>
    </row>
    <row r="33" spans="2:11" ht="16.5">
      <c r="B33" s="607">
        <v>18</v>
      </c>
      <c r="C33" s="608" t="s">
        <v>197</v>
      </c>
      <c r="D33" s="609">
        <v>-0.63</v>
      </c>
      <c r="E33" s="609">
        <v>0</v>
      </c>
      <c r="F33" s="609">
        <v>0.63</v>
      </c>
      <c r="G33" s="609">
        <v>0.21</v>
      </c>
      <c r="H33" s="609" t="s">
        <v>172</v>
      </c>
      <c r="I33" s="214" t="s">
        <v>173</v>
      </c>
      <c r="J33" s="214" t="s">
        <v>174</v>
      </c>
      <c r="K33" s="609" t="s">
        <v>193</v>
      </c>
    </row>
    <row r="34" spans="2:11" ht="16.5">
      <c r="B34" s="607">
        <v>19</v>
      </c>
      <c r="C34" s="198" t="s">
        <v>198</v>
      </c>
      <c r="D34" s="214">
        <v>-0.75</v>
      </c>
      <c r="E34" s="214">
        <v>0</v>
      </c>
      <c r="F34" s="214">
        <v>0.75</v>
      </c>
      <c r="G34" s="214">
        <v>0.25</v>
      </c>
      <c r="H34" s="214" t="s">
        <v>172</v>
      </c>
      <c r="I34" s="214" t="s">
        <v>173</v>
      </c>
      <c r="J34" s="214" t="s">
        <v>174</v>
      </c>
      <c r="K34" s="214" t="s">
        <v>193</v>
      </c>
    </row>
    <row r="35" spans="2:11" ht="16.5">
      <c r="B35" s="607">
        <v>20</v>
      </c>
      <c r="C35" s="608" t="s">
        <v>199</v>
      </c>
      <c r="D35" s="609">
        <v>8.0000000000000004E-4</v>
      </c>
      <c r="E35" s="609">
        <v>1.0999999999999999E-2</v>
      </c>
      <c r="F35" s="609">
        <v>2.12E-2</v>
      </c>
      <c r="G35" s="609">
        <v>3.3999999999999998E-3</v>
      </c>
      <c r="H35" s="609" t="s">
        <v>200</v>
      </c>
      <c r="I35" s="214" t="s">
        <v>173</v>
      </c>
      <c r="J35" s="609" t="s">
        <v>174</v>
      </c>
      <c r="K35" s="609" t="s">
        <v>201</v>
      </c>
    </row>
    <row r="36" spans="2:11" ht="16.5">
      <c r="B36" s="607">
        <v>21</v>
      </c>
      <c r="C36" s="198" t="s">
        <v>202</v>
      </c>
      <c r="D36" s="214">
        <v>2.9999999999999997E-4</v>
      </c>
      <c r="E36" s="214">
        <v>0.2412</v>
      </c>
      <c r="F36" s="214">
        <v>0.48209999999999997</v>
      </c>
      <c r="G36" s="214">
        <v>8.0299999999999996E-2</v>
      </c>
      <c r="H36" s="214" t="s">
        <v>177</v>
      </c>
      <c r="I36" s="214" t="s">
        <v>173</v>
      </c>
      <c r="J36" s="214" t="s">
        <v>174</v>
      </c>
      <c r="K36" s="214" t="s">
        <v>203</v>
      </c>
    </row>
    <row r="37" spans="2:11" ht="16.5">
      <c r="B37" s="607">
        <v>22</v>
      </c>
      <c r="C37" s="608" t="s">
        <v>204</v>
      </c>
      <c r="D37" s="609">
        <v>8.9999999999999998E-4</v>
      </c>
      <c r="E37" s="609">
        <v>0.2019</v>
      </c>
      <c r="F37" s="609">
        <v>0.40289999999999998</v>
      </c>
      <c r="G37" s="609">
        <v>6.7000000000000004E-2</v>
      </c>
      <c r="H37" s="609" t="s">
        <v>177</v>
      </c>
      <c r="I37" s="214" t="s">
        <v>173</v>
      </c>
      <c r="J37" s="609" t="s">
        <v>174</v>
      </c>
      <c r="K37" s="609" t="s">
        <v>203</v>
      </c>
    </row>
    <row r="38" spans="2:11" ht="16.5">
      <c r="B38" s="607">
        <v>23</v>
      </c>
      <c r="C38" s="198" t="s">
        <v>205</v>
      </c>
      <c r="D38" s="214">
        <v>0</v>
      </c>
      <c r="E38" s="214">
        <v>0.75</v>
      </c>
      <c r="F38" s="214">
        <v>1.5</v>
      </c>
      <c r="G38" s="214">
        <v>0.25</v>
      </c>
      <c r="H38" s="214" t="s">
        <v>182</v>
      </c>
      <c r="I38" s="214" t="s">
        <v>173</v>
      </c>
      <c r="J38" s="214" t="s">
        <v>174</v>
      </c>
      <c r="K38" s="214" t="s">
        <v>203</v>
      </c>
    </row>
    <row r="39" spans="2:11" ht="16.5">
      <c r="B39" s="607">
        <v>24</v>
      </c>
      <c r="C39" s="608" t="s">
        <v>206</v>
      </c>
      <c r="D39" s="609">
        <v>4.0000000000000001E-3</v>
      </c>
      <c r="E39" s="609">
        <v>0.748</v>
      </c>
      <c r="F39" s="609">
        <v>1.492</v>
      </c>
      <c r="G39" s="609">
        <v>0.248</v>
      </c>
      <c r="H39" s="609" t="s">
        <v>182</v>
      </c>
      <c r="I39" s="214" t="s">
        <v>173</v>
      </c>
      <c r="J39" s="609" t="s">
        <v>174</v>
      </c>
      <c r="K39" s="609" t="s">
        <v>203</v>
      </c>
    </row>
    <row r="40" spans="2:11" ht="16.5">
      <c r="B40" s="607">
        <v>25</v>
      </c>
      <c r="C40" s="198" t="s">
        <v>207</v>
      </c>
      <c r="D40" s="214">
        <v>-0.48749999999999999</v>
      </c>
      <c r="E40" s="214">
        <v>0.33</v>
      </c>
      <c r="F40" s="214">
        <v>1.1475</v>
      </c>
      <c r="G40" s="214">
        <v>0.27250000000000002</v>
      </c>
      <c r="H40" s="214" t="s">
        <v>172</v>
      </c>
      <c r="I40" s="214" t="s">
        <v>173</v>
      </c>
      <c r="J40" s="214" t="s">
        <v>174</v>
      </c>
      <c r="K40" s="214" t="s">
        <v>203</v>
      </c>
    </row>
    <row r="41" spans="2:11" ht="16.5">
      <c r="B41" s="607">
        <v>26</v>
      </c>
      <c r="C41" s="608" t="s">
        <v>208</v>
      </c>
      <c r="D41" s="609">
        <v>-0.84789999999999999</v>
      </c>
      <c r="E41" s="609">
        <v>0.25</v>
      </c>
      <c r="F41" s="609">
        <v>1.3479000000000001</v>
      </c>
      <c r="G41" s="609">
        <v>0.36599999999999999</v>
      </c>
      <c r="H41" s="609" t="s">
        <v>172</v>
      </c>
      <c r="I41" s="214" t="s">
        <v>173</v>
      </c>
      <c r="J41" s="609" t="s">
        <v>174</v>
      </c>
      <c r="K41" s="609" t="s">
        <v>203</v>
      </c>
    </row>
    <row r="42" spans="2:11" ht="16.5">
      <c r="B42" s="607">
        <v>27</v>
      </c>
      <c r="C42" s="198" t="s">
        <v>209</v>
      </c>
      <c r="D42" s="214">
        <v>0</v>
      </c>
      <c r="E42" s="214">
        <v>0.36</v>
      </c>
      <c r="F42" s="214">
        <v>0.72</v>
      </c>
      <c r="G42" s="214">
        <v>0.12</v>
      </c>
      <c r="H42" s="214" t="s">
        <v>200</v>
      </c>
      <c r="I42" s="214" t="s">
        <v>173</v>
      </c>
      <c r="J42" s="214" t="s">
        <v>174</v>
      </c>
      <c r="K42" s="214" t="s">
        <v>203</v>
      </c>
    </row>
    <row r="43" spans="2:11" ht="16.5">
      <c r="B43" s="607">
        <v>28</v>
      </c>
      <c r="C43" s="608" t="s">
        <v>210</v>
      </c>
      <c r="D43" s="609">
        <v>0</v>
      </c>
      <c r="E43" s="609">
        <v>1.2</v>
      </c>
      <c r="F43" s="609">
        <v>2.4</v>
      </c>
      <c r="G43" s="609">
        <v>0.4</v>
      </c>
      <c r="H43" s="609" t="s">
        <v>200</v>
      </c>
      <c r="I43" s="214" t="s">
        <v>173</v>
      </c>
      <c r="J43" s="609" t="s">
        <v>174</v>
      </c>
      <c r="K43" s="609" t="s">
        <v>203</v>
      </c>
    </row>
    <row r="44" spans="2:11" ht="16.5">
      <c r="B44" s="607">
        <v>29</v>
      </c>
      <c r="C44" s="198" t="s">
        <v>211</v>
      </c>
      <c r="D44" s="214">
        <v>2.0000000000000001E-4</v>
      </c>
      <c r="E44" s="214">
        <v>0.2</v>
      </c>
      <c r="F44" s="214">
        <v>0.39979999999999999</v>
      </c>
      <c r="G44" s="214">
        <v>6.6600000000000006E-2</v>
      </c>
      <c r="H44" s="214" t="s">
        <v>200</v>
      </c>
      <c r="I44" s="214" t="s">
        <v>173</v>
      </c>
      <c r="J44" s="214" t="s">
        <v>174</v>
      </c>
      <c r="K44" s="214" t="s">
        <v>203</v>
      </c>
    </row>
    <row r="45" spans="2:11" ht="16.5">
      <c r="B45" s="607">
        <v>30</v>
      </c>
      <c r="C45" s="608" t="s">
        <v>212</v>
      </c>
      <c r="D45" s="609">
        <v>2E-3</v>
      </c>
      <c r="E45" s="609">
        <v>0.92</v>
      </c>
      <c r="F45" s="609">
        <v>1.8380000000000001</v>
      </c>
      <c r="G45" s="609">
        <v>0.30599999999999999</v>
      </c>
      <c r="H45" s="609" t="s">
        <v>200</v>
      </c>
      <c r="I45" s="214" t="s">
        <v>173</v>
      </c>
      <c r="J45" s="609" t="s">
        <v>174</v>
      </c>
      <c r="K45" s="609" t="s">
        <v>203</v>
      </c>
    </row>
    <row r="46" spans="2:11" ht="16.5">
      <c r="B46" s="607">
        <v>31</v>
      </c>
      <c r="C46" s="198" t="s">
        <v>213</v>
      </c>
      <c r="D46" s="214">
        <v>-0.93269999999999997</v>
      </c>
      <c r="E46" s="214">
        <v>-0.22900000000000001</v>
      </c>
      <c r="F46" s="214">
        <v>0.4748</v>
      </c>
      <c r="G46" s="214">
        <v>0.2346</v>
      </c>
      <c r="H46" s="214" t="s">
        <v>172</v>
      </c>
      <c r="I46" s="214" t="s">
        <v>173</v>
      </c>
      <c r="J46" s="214" t="s">
        <v>174</v>
      </c>
      <c r="K46" s="214" t="s">
        <v>214</v>
      </c>
    </row>
    <row r="47" spans="2:11" ht="16.5">
      <c r="B47" s="607">
        <v>32</v>
      </c>
      <c r="C47" s="608" t="s">
        <v>215</v>
      </c>
      <c r="D47" s="609">
        <v>0</v>
      </c>
      <c r="E47" s="609">
        <v>2.7E-2</v>
      </c>
      <c r="F47" s="609">
        <v>5.3999999999999999E-2</v>
      </c>
      <c r="G47" s="609">
        <v>8.9999999999999993E-3</v>
      </c>
      <c r="H47" s="609" t="s">
        <v>172</v>
      </c>
      <c r="I47" s="609" t="s">
        <v>173</v>
      </c>
      <c r="J47" s="609" t="s">
        <v>174</v>
      </c>
      <c r="K47" s="609" t="s">
        <v>214</v>
      </c>
    </row>
    <row r="48" spans="2:11" ht="16.5">
      <c r="B48" s="607">
        <v>33</v>
      </c>
      <c r="C48" s="198" t="s">
        <v>216</v>
      </c>
      <c r="D48" s="214">
        <v>-0.31059999999999999</v>
      </c>
      <c r="E48" s="214">
        <v>0.12620000000000001</v>
      </c>
      <c r="F48" s="214">
        <v>0.56299999999999994</v>
      </c>
      <c r="G48" s="214">
        <v>0.14560000000000001</v>
      </c>
      <c r="H48" s="214" t="s">
        <v>172</v>
      </c>
      <c r="I48" s="214" t="s">
        <v>173</v>
      </c>
      <c r="J48" s="214" t="s">
        <v>174</v>
      </c>
      <c r="K48" s="214" t="s">
        <v>217</v>
      </c>
    </row>
    <row r="49" spans="2:11" ht="16.5">
      <c r="B49" s="607">
        <v>34</v>
      </c>
      <c r="C49" s="608" t="s">
        <v>218</v>
      </c>
      <c r="D49" s="609">
        <v>-0.38769999999999999</v>
      </c>
      <c r="E49" s="609">
        <v>4.4999999999999997E-3</v>
      </c>
      <c r="F49" s="609">
        <v>0.3967</v>
      </c>
      <c r="G49" s="609">
        <v>0.13070000000000001</v>
      </c>
      <c r="H49" s="609" t="s">
        <v>172</v>
      </c>
      <c r="I49" s="609" t="s">
        <v>173</v>
      </c>
      <c r="J49" s="609" t="s">
        <v>174</v>
      </c>
      <c r="K49" s="609" t="s">
        <v>217</v>
      </c>
    </row>
    <row r="50" spans="2:11" ht="16.5">
      <c r="B50" s="607">
        <v>35</v>
      </c>
      <c r="C50" s="198" t="s">
        <v>219</v>
      </c>
      <c r="D50" s="214">
        <v>3.5099999999999999E-2</v>
      </c>
      <c r="E50" s="214">
        <v>0.27179999999999999</v>
      </c>
      <c r="F50" s="214">
        <v>0.50849999999999995</v>
      </c>
      <c r="G50" s="214">
        <v>7.8899999999999998E-2</v>
      </c>
      <c r="H50" s="214" t="s">
        <v>177</v>
      </c>
      <c r="I50" s="214" t="s">
        <v>173</v>
      </c>
      <c r="J50" s="214" t="s">
        <v>174</v>
      </c>
      <c r="K50" s="214" t="s">
        <v>217</v>
      </c>
    </row>
    <row r="51" spans="2:11" ht="16.5">
      <c r="B51" s="607">
        <v>36</v>
      </c>
      <c r="C51" s="608" t="s">
        <v>220</v>
      </c>
      <c r="D51" s="609">
        <v>0</v>
      </c>
      <c r="E51" s="609">
        <v>0.86399999999999999</v>
      </c>
      <c r="F51" s="609">
        <v>1.8532</v>
      </c>
      <c r="G51" s="609">
        <v>0.32969999999999999</v>
      </c>
      <c r="H51" s="609" t="s">
        <v>177</v>
      </c>
      <c r="I51" s="609" t="s">
        <v>173</v>
      </c>
      <c r="J51" s="609" t="s">
        <v>174</v>
      </c>
      <c r="K51" s="609" t="s">
        <v>217</v>
      </c>
    </row>
    <row r="52" spans="2:11" ht="16.5">
      <c r="B52" s="607">
        <v>37</v>
      </c>
      <c r="C52" s="198" t="s">
        <v>221</v>
      </c>
      <c r="D52" s="214">
        <v>0</v>
      </c>
      <c r="E52" s="214">
        <v>0.46639999999999998</v>
      </c>
      <c r="F52" s="214">
        <v>1.1807000000000001</v>
      </c>
      <c r="G52" s="214">
        <v>0.23810000000000001</v>
      </c>
      <c r="H52" s="214" t="s">
        <v>177</v>
      </c>
      <c r="I52" s="214" t="s">
        <v>173</v>
      </c>
      <c r="J52" s="214" t="s">
        <v>174</v>
      </c>
      <c r="K52" s="214" t="s">
        <v>217</v>
      </c>
    </row>
    <row r="53" spans="2:11" ht="16.5">
      <c r="B53" s="607">
        <v>38</v>
      </c>
      <c r="C53" s="608" t="s">
        <v>222</v>
      </c>
      <c r="D53" s="609">
        <v>0.48520000000000002</v>
      </c>
      <c r="E53" s="609">
        <v>0.66900000000000004</v>
      </c>
      <c r="F53" s="609">
        <v>0.85270000000000001</v>
      </c>
      <c r="G53" s="609">
        <v>6.1199999999999997E-2</v>
      </c>
      <c r="H53" s="609" t="s">
        <v>182</v>
      </c>
      <c r="I53" s="609" t="s">
        <v>173</v>
      </c>
      <c r="J53" s="609" t="s">
        <v>174</v>
      </c>
      <c r="K53" s="609" t="s">
        <v>217</v>
      </c>
    </row>
    <row r="54" spans="2:11" ht="16.5">
      <c r="B54" s="607">
        <v>39</v>
      </c>
      <c r="C54" s="198" t="s">
        <v>223</v>
      </c>
      <c r="D54" s="214">
        <v>0.29799999999999999</v>
      </c>
      <c r="E54" s="214">
        <v>0.48199999999999998</v>
      </c>
      <c r="F54" s="214">
        <v>0.66610000000000003</v>
      </c>
      <c r="G54" s="214">
        <v>6.1400000000000003E-2</v>
      </c>
      <c r="H54" s="214" t="s">
        <v>182</v>
      </c>
      <c r="I54" s="214" t="s">
        <v>173</v>
      </c>
      <c r="J54" s="214" t="s">
        <v>174</v>
      </c>
      <c r="K54" s="214" t="s">
        <v>217</v>
      </c>
    </row>
    <row r="55" spans="2:11" ht="16.5">
      <c r="B55" s="607">
        <v>40</v>
      </c>
      <c r="C55" s="608" t="s">
        <v>224</v>
      </c>
      <c r="D55" s="609">
        <v>0</v>
      </c>
      <c r="E55" s="609">
        <v>9.8689999999999998</v>
      </c>
      <c r="F55" s="609">
        <v>21.175999999999998</v>
      </c>
      <c r="G55" s="609">
        <v>3.2890000000000001</v>
      </c>
      <c r="H55" s="609" t="s">
        <v>225</v>
      </c>
      <c r="I55" s="609" t="s">
        <v>173</v>
      </c>
      <c r="J55" s="609" t="s">
        <v>174</v>
      </c>
      <c r="K55" s="609" t="s">
        <v>201</v>
      </c>
    </row>
    <row r="56" spans="2:11" ht="16.5">
      <c r="B56" s="607">
        <v>41</v>
      </c>
      <c r="C56" s="198" t="s">
        <v>226</v>
      </c>
      <c r="D56" s="214">
        <v>0</v>
      </c>
      <c r="E56" s="214">
        <v>7.5030000000000001</v>
      </c>
      <c r="F56" s="214">
        <v>16.0824</v>
      </c>
      <c r="G56" s="214">
        <v>2.5009999999999999</v>
      </c>
      <c r="H56" s="214" t="s">
        <v>225</v>
      </c>
      <c r="I56" s="214" t="s">
        <v>173</v>
      </c>
      <c r="J56" s="214" t="s">
        <v>174</v>
      </c>
      <c r="K56" s="214" t="s">
        <v>201</v>
      </c>
    </row>
    <row r="57" spans="2:11" ht="16.5">
      <c r="B57" s="607">
        <v>42</v>
      </c>
      <c r="C57" s="198" t="s">
        <v>227</v>
      </c>
      <c r="D57" s="214">
        <v>0</v>
      </c>
      <c r="E57" s="214">
        <v>7.7510000000000003</v>
      </c>
      <c r="F57" s="214">
        <v>21.382999999999999</v>
      </c>
      <c r="G57" s="214">
        <v>2.5836000000000001</v>
      </c>
      <c r="H57" s="214" t="s">
        <v>225</v>
      </c>
      <c r="I57" s="214" t="s">
        <v>173</v>
      </c>
      <c r="J57" s="214" t="s">
        <v>174</v>
      </c>
      <c r="K57" s="214" t="s">
        <v>201</v>
      </c>
    </row>
    <row r="58" spans="2:11" ht="16.5">
      <c r="B58" s="607">
        <v>43</v>
      </c>
      <c r="C58" s="198" t="s">
        <v>228</v>
      </c>
      <c r="D58" s="214">
        <v>0</v>
      </c>
      <c r="E58" s="214">
        <v>4.3840000000000003</v>
      </c>
      <c r="F58" s="214">
        <v>10.7986</v>
      </c>
      <c r="G58" s="214">
        <v>1.4613</v>
      </c>
      <c r="H58" s="214" t="s">
        <v>225</v>
      </c>
      <c r="I58" s="214" t="s">
        <v>173</v>
      </c>
      <c r="J58" s="214" t="s">
        <v>174</v>
      </c>
      <c r="K58" s="214" t="s">
        <v>201</v>
      </c>
    </row>
    <row r="59" spans="2:11" ht="16.5">
      <c r="B59" s="607">
        <v>44</v>
      </c>
      <c r="C59" s="198" t="s">
        <v>229</v>
      </c>
      <c r="D59" s="214">
        <v>0</v>
      </c>
      <c r="E59" s="214">
        <v>5.0599999999999999E-2</v>
      </c>
      <c r="F59" s="214">
        <v>0.15440000000000001</v>
      </c>
      <c r="G59" s="214">
        <v>3.4599999999999999E-2</v>
      </c>
      <c r="H59" s="214" t="s">
        <v>200</v>
      </c>
      <c r="I59" s="214" t="s">
        <v>173</v>
      </c>
      <c r="J59" s="214" t="s">
        <v>174</v>
      </c>
      <c r="K59" s="214" t="s">
        <v>230</v>
      </c>
    </row>
    <row r="60" spans="2:11" ht="16.5">
      <c r="B60" s="607">
        <v>45</v>
      </c>
      <c r="C60" s="198" t="s">
        <v>231</v>
      </c>
      <c r="D60" s="214">
        <v>0</v>
      </c>
      <c r="E60" s="214">
        <v>2.3599999999999999E-2</v>
      </c>
      <c r="F60" s="214">
        <v>5.6800000000000003E-2</v>
      </c>
      <c r="G60" s="214">
        <v>1.11E-2</v>
      </c>
      <c r="H60" s="214" t="s">
        <v>177</v>
      </c>
      <c r="I60" s="214" t="s">
        <v>173</v>
      </c>
      <c r="J60" s="214" t="s">
        <v>232</v>
      </c>
      <c r="K60" s="214" t="s">
        <v>214</v>
      </c>
    </row>
    <row r="61" spans="2:11" ht="16.5">
      <c r="B61" s="607">
        <v>46</v>
      </c>
      <c r="C61" s="608" t="s">
        <v>233</v>
      </c>
      <c r="D61" s="609">
        <v>0</v>
      </c>
      <c r="E61" s="609">
        <v>2.53E-2</v>
      </c>
      <c r="F61" s="609">
        <v>7.8399999999999997E-2</v>
      </c>
      <c r="G61" s="609">
        <v>1.77E-2</v>
      </c>
      <c r="H61" s="609" t="s">
        <v>182</v>
      </c>
      <c r="I61" s="609" t="s">
        <v>173</v>
      </c>
      <c r="J61" s="609" t="s">
        <v>174</v>
      </c>
      <c r="K61" s="609" t="s">
        <v>214</v>
      </c>
    </row>
    <row r="62" spans="2:11" ht="16.5">
      <c r="B62" s="607">
        <v>47</v>
      </c>
      <c r="C62" s="198" t="s">
        <v>234</v>
      </c>
      <c r="D62" s="214">
        <v>-0.94499999999999995</v>
      </c>
      <c r="E62" s="214">
        <v>-0.24099999999999999</v>
      </c>
      <c r="F62" s="214">
        <v>0.46300000000000002</v>
      </c>
      <c r="G62" s="214">
        <v>0.2346</v>
      </c>
      <c r="H62" s="214" t="s">
        <v>172</v>
      </c>
      <c r="I62" s="214" t="s">
        <v>173</v>
      </c>
      <c r="J62" s="214" t="s">
        <v>174</v>
      </c>
      <c r="K62" s="214" t="s">
        <v>214</v>
      </c>
    </row>
    <row r="63" spans="2:11" ht="16.5">
      <c r="B63" s="607"/>
      <c r="C63" s="198"/>
      <c r="D63" s="214"/>
      <c r="E63" s="214"/>
      <c r="F63" s="214"/>
      <c r="G63" s="214"/>
      <c r="H63" s="214"/>
      <c r="I63" s="214"/>
      <c r="J63" s="214"/>
      <c r="K63" s="214"/>
    </row>
    <row r="64" spans="2:11" ht="16.5">
      <c r="B64" s="610"/>
      <c r="C64" s="611"/>
      <c r="D64" s="610"/>
      <c r="E64" s="610"/>
      <c r="F64" s="610"/>
      <c r="G64" s="612"/>
      <c r="H64" s="613"/>
      <c r="I64" s="613"/>
      <c r="J64" s="613"/>
      <c r="K64" s="613"/>
    </row>
    <row r="65" spans="2:11" ht="33">
      <c r="B65" s="604" t="s">
        <v>161</v>
      </c>
      <c r="C65" s="604" t="s">
        <v>235</v>
      </c>
      <c r="D65" s="604" t="s">
        <v>163</v>
      </c>
      <c r="E65" s="604" t="s">
        <v>164</v>
      </c>
      <c r="F65" s="605" t="s">
        <v>165</v>
      </c>
      <c r="G65" s="765" t="s">
        <v>166</v>
      </c>
      <c r="H65" s="766"/>
      <c r="I65" s="765" t="s">
        <v>236</v>
      </c>
      <c r="J65" s="766"/>
      <c r="K65"/>
    </row>
    <row r="66" spans="2:11" ht="16.5">
      <c r="B66" s="622">
        <v>48</v>
      </c>
      <c r="C66" s="198" t="s">
        <v>237</v>
      </c>
      <c r="D66" s="214" t="s">
        <v>172</v>
      </c>
      <c r="E66" s="622" t="s">
        <v>238</v>
      </c>
      <c r="F66" s="622" t="s">
        <v>174</v>
      </c>
      <c r="G66" s="756" t="s">
        <v>239</v>
      </c>
      <c r="H66" s="757"/>
      <c r="I66" s="758" t="s">
        <v>240</v>
      </c>
      <c r="J66" s="759"/>
      <c r="K66"/>
    </row>
    <row r="67" spans="2:11" ht="16.5">
      <c r="B67" s="622">
        <v>49</v>
      </c>
      <c r="C67" s="609" t="s">
        <v>241</v>
      </c>
      <c r="D67" s="609" t="s">
        <v>172</v>
      </c>
      <c r="E67" s="623" t="s">
        <v>238</v>
      </c>
      <c r="F67" s="624" t="s">
        <v>174</v>
      </c>
      <c r="G67" s="760" t="s">
        <v>242</v>
      </c>
      <c r="H67" s="761"/>
      <c r="I67" s="746" t="s">
        <v>240</v>
      </c>
      <c r="J67" s="747"/>
      <c r="K67"/>
    </row>
    <row r="68" spans="2:11" ht="16.5">
      <c r="B68" s="622">
        <v>50</v>
      </c>
      <c r="C68" s="198" t="s">
        <v>243</v>
      </c>
      <c r="D68" s="214" t="s">
        <v>172</v>
      </c>
      <c r="E68" s="622" t="s">
        <v>238</v>
      </c>
      <c r="F68" s="622" t="s">
        <v>174</v>
      </c>
      <c r="G68" s="758" t="s">
        <v>244</v>
      </c>
      <c r="H68" s="759"/>
      <c r="I68" s="758" t="s">
        <v>240</v>
      </c>
      <c r="J68" s="759"/>
      <c r="K68"/>
    </row>
    <row r="69" spans="2:11" ht="16.5">
      <c r="B69" s="622">
        <v>51</v>
      </c>
      <c r="C69" s="608" t="s">
        <v>245</v>
      </c>
      <c r="D69" s="609" t="s">
        <v>172</v>
      </c>
      <c r="E69" s="624" t="s">
        <v>238</v>
      </c>
      <c r="F69" s="624" t="s">
        <v>174</v>
      </c>
      <c r="G69" s="760" t="s">
        <v>230</v>
      </c>
      <c r="H69" s="761"/>
      <c r="I69" s="763" t="s">
        <v>240</v>
      </c>
      <c r="J69" s="764"/>
      <c r="K69"/>
    </row>
    <row r="70" spans="2:11" ht="16.5">
      <c r="B70" s="622">
        <v>52</v>
      </c>
      <c r="C70" s="625" t="s">
        <v>246</v>
      </c>
      <c r="D70" s="625" t="s">
        <v>172</v>
      </c>
      <c r="E70" s="622" t="s">
        <v>238</v>
      </c>
      <c r="F70" s="622" t="s">
        <v>174</v>
      </c>
      <c r="G70" s="756" t="s">
        <v>201</v>
      </c>
      <c r="H70" s="757"/>
      <c r="I70" s="758" t="s">
        <v>240</v>
      </c>
      <c r="J70" s="759"/>
      <c r="K70"/>
    </row>
    <row r="71" spans="2:11" ht="16.5">
      <c r="B71" s="622">
        <v>53</v>
      </c>
      <c r="C71" s="608" t="s">
        <v>247</v>
      </c>
      <c r="D71" s="609" t="s">
        <v>172</v>
      </c>
      <c r="E71" s="626" t="s">
        <v>238</v>
      </c>
      <c r="F71" s="626" t="s">
        <v>174</v>
      </c>
      <c r="G71" s="760" t="s">
        <v>248</v>
      </c>
      <c r="H71" s="761"/>
      <c r="I71" s="762" t="s">
        <v>240</v>
      </c>
      <c r="J71" s="761"/>
      <c r="K71"/>
    </row>
    <row r="72" spans="2:11" ht="16.5">
      <c r="B72" s="622">
        <v>54</v>
      </c>
      <c r="C72" s="198" t="s">
        <v>249</v>
      </c>
      <c r="D72" s="625" t="s">
        <v>172</v>
      </c>
      <c r="E72" s="622" t="s">
        <v>238</v>
      </c>
      <c r="F72" s="622" t="s">
        <v>174</v>
      </c>
      <c r="G72" s="756" t="s">
        <v>250</v>
      </c>
      <c r="H72" s="757"/>
      <c r="I72" s="758" t="s">
        <v>240</v>
      </c>
      <c r="J72" s="759"/>
      <c r="K72"/>
    </row>
    <row r="73" spans="2:11" ht="16.5">
      <c r="B73" s="622">
        <v>55</v>
      </c>
      <c r="C73" s="608" t="s">
        <v>251</v>
      </c>
      <c r="D73" s="609" t="s">
        <v>172</v>
      </c>
      <c r="E73" s="626" t="s">
        <v>238</v>
      </c>
      <c r="F73" s="626" t="s">
        <v>174</v>
      </c>
      <c r="G73" s="760" t="s">
        <v>252</v>
      </c>
      <c r="H73" s="761"/>
      <c r="I73" s="762" t="s">
        <v>240</v>
      </c>
      <c r="J73" s="761"/>
      <c r="K73"/>
    </row>
    <row r="74" spans="2:11" ht="16.5">
      <c r="B74" s="622">
        <v>56</v>
      </c>
      <c r="C74" s="198" t="s">
        <v>253</v>
      </c>
      <c r="D74" s="625" t="s">
        <v>172</v>
      </c>
      <c r="E74" s="622" t="s">
        <v>238</v>
      </c>
      <c r="F74" s="622" t="s">
        <v>174</v>
      </c>
      <c r="G74" s="756" t="s">
        <v>252</v>
      </c>
      <c r="H74" s="757"/>
      <c r="I74" s="758" t="s">
        <v>240</v>
      </c>
      <c r="J74" s="759"/>
      <c r="K74"/>
    </row>
    <row r="75" spans="2:11" ht="16.5">
      <c r="B75" s="622">
        <v>57</v>
      </c>
      <c r="C75" s="608" t="s">
        <v>254</v>
      </c>
      <c r="D75" s="609" t="s">
        <v>172</v>
      </c>
      <c r="E75" s="626" t="s">
        <v>238</v>
      </c>
      <c r="F75" s="626" t="s">
        <v>174</v>
      </c>
      <c r="G75" s="760" t="s">
        <v>252</v>
      </c>
      <c r="H75" s="761"/>
      <c r="I75" s="762" t="s">
        <v>240</v>
      </c>
      <c r="J75" s="761"/>
      <c r="K75"/>
    </row>
    <row r="76" spans="2:11" ht="16.5">
      <c r="B76" s="622">
        <v>58</v>
      </c>
      <c r="C76" s="622" t="s">
        <v>255</v>
      </c>
      <c r="D76" s="625" t="s">
        <v>172</v>
      </c>
      <c r="E76" s="622" t="s">
        <v>238</v>
      </c>
      <c r="F76" s="622" t="s">
        <v>174</v>
      </c>
      <c r="G76" s="756" t="s">
        <v>248</v>
      </c>
      <c r="H76" s="757"/>
      <c r="I76" s="758" t="s">
        <v>240</v>
      </c>
      <c r="J76" s="759"/>
      <c r="K76"/>
    </row>
    <row r="77" spans="2:11" ht="16.5">
      <c r="B77" s="622">
        <v>59</v>
      </c>
      <c r="C77" s="608" t="s">
        <v>256</v>
      </c>
      <c r="D77" s="609" t="s">
        <v>172</v>
      </c>
      <c r="E77" s="626" t="s">
        <v>238</v>
      </c>
      <c r="F77" s="626" t="s">
        <v>174</v>
      </c>
      <c r="G77" s="760" t="s">
        <v>248</v>
      </c>
      <c r="H77" s="761"/>
      <c r="I77" s="746" t="s">
        <v>240</v>
      </c>
      <c r="J77" s="747"/>
      <c r="K77"/>
    </row>
    <row r="78" spans="2:11" ht="16.5">
      <c r="B78" s="622">
        <v>60</v>
      </c>
      <c r="C78" s="198" t="s">
        <v>257</v>
      </c>
      <c r="D78" s="214" t="s">
        <v>177</v>
      </c>
      <c r="E78" s="626" t="s">
        <v>238</v>
      </c>
      <c r="F78" s="626" t="s">
        <v>174</v>
      </c>
      <c r="G78" s="754" t="s">
        <v>189</v>
      </c>
      <c r="H78" s="755"/>
      <c r="I78" s="746" t="s">
        <v>240</v>
      </c>
      <c r="J78" s="747"/>
      <c r="K78" s="630"/>
    </row>
    <row r="79" spans="2:11" ht="16.5">
      <c r="B79" s="622">
        <v>61</v>
      </c>
      <c r="C79" s="608" t="s">
        <v>258</v>
      </c>
      <c r="D79" s="609" t="s">
        <v>177</v>
      </c>
      <c r="E79" s="626" t="s">
        <v>238</v>
      </c>
      <c r="F79" s="626" t="s">
        <v>174</v>
      </c>
      <c r="G79" s="754" t="s">
        <v>189</v>
      </c>
      <c r="H79" s="755"/>
      <c r="I79" s="746" t="s">
        <v>240</v>
      </c>
      <c r="J79" s="747"/>
      <c r="K79" s="630"/>
    </row>
    <row r="80" spans="2:11" ht="16.5">
      <c r="B80" s="622">
        <v>62</v>
      </c>
      <c r="C80" s="198" t="s">
        <v>259</v>
      </c>
      <c r="D80" s="214" t="s">
        <v>177</v>
      </c>
      <c r="E80" s="626" t="s">
        <v>238</v>
      </c>
      <c r="F80" s="626" t="s">
        <v>174</v>
      </c>
      <c r="G80" s="754" t="s">
        <v>189</v>
      </c>
      <c r="H80" s="755"/>
      <c r="I80" s="746" t="s">
        <v>240</v>
      </c>
      <c r="J80" s="747"/>
      <c r="K80" s="630"/>
    </row>
    <row r="81" spans="2:11" ht="16.5">
      <c r="B81" s="622">
        <v>63</v>
      </c>
      <c r="C81" s="608" t="s">
        <v>260</v>
      </c>
      <c r="D81" s="609" t="s">
        <v>182</v>
      </c>
      <c r="E81" s="626" t="s">
        <v>238</v>
      </c>
      <c r="F81" s="626" t="s">
        <v>174</v>
      </c>
      <c r="G81" s="754" t="s">
        <v>189</v>
      </c>
      <c r="H81" s="755"/>
      <c r="I81" s="746" t="s">
        <v>240</v>
      </c>
      <c r="J81" s="747"/>
      <c r="K81" s="630"/>
    </row>
    <row r="82" spans="2:11" ht="16.5">
      <c r="B82" s="622">
        <v>64</v>
      </c>
      <c r="C82" s="198" t="s">
        <v>261</v>
      </c>
      <c r="D82" s="609" t="s">
        <v>182</v>
      </c>
      <c r="E82" s="626" t="s">
        <v>238</v>
      </c>
      <c r="F82" s="626" t="s">
        <v>174</v>
      </c>
      <c r="G82" s="754" t="s">
        <v>189</v>
      </c>
      <c r="H82" s="755"/>
      <c r="I82" s="746" t="s">
        <v>240</v>
      </c>
      <c r="J82" s="747"/>
      <c r="K82" s="630"/>
    </row>
    <row r="83" spans="2:11" ht="16.5">
      <c r="B83" s="622">
        <v>65</v>
      </c>
      <c r="C83" s="608" t="s">
        <v>262</v>
      </c>
      <c r="D83" s="609" t="s">
        <v>182</v>
      </c>
      <c r="E83" s="626" t="s">
        <v>238</v>
      </c>
      <c r="F83" s="626" t="s">
        <v>174</v>
      </c>
      <c r="G83" s="754" t="s">
        <v>189</v>
      </c>
      <c r="H83" s="755"/>
      <c r="I83" s="746" t="s">
        <v>240</v>
      </c>
      <c r="J83" s="747"/>
      <c r="K83" s="630"/>
    </row>
    <row r="84" spans="2:11" ht="16.5">
      <c r="B84" s="622">
        <v>66</v>
      </c>
      <c r="C84" s="608" t="s">
        <v>263</v>
      </c>
      <c r="D84" s="609" t="s">
        <v>172</v>
      </c>
      <c r="E84" s="626" t="s">
        <v>238</v>
      </c>
      <c r="F84" s="626" t="s">
        <v>174</v>
      </c>
      <c r="G84" s="744" t="s">
        <v>217</v>
      </c>
      <c r="H84" s="745"/>
      <c r="I84" s="746" t="s">
        <v>240</v>
      </c>
      <c r="J84" s="747"/>
      <c r="K84" s="630"/>
    </row>
    <row r="85" spans="2:11" ht="16.5">
      <c r="B85" s="622">
        <v>67</v>
      </c>
      <c r="C85" s="198" t="s">
        <v>264</v>
      </c>
      <c r="D85" s="214" t="s">
        <v>172</v>
      </c>
      <c r="E85" s="626" t="s">
        <v>238</v>
      </c>
      <c r="F85" s="626" t="s">
        <v>174</v>
      </c>
      <c r="G85" s="744" t="s">
        <v>265</v>
      </c>
      <c r="H85" s="745"/>
      <c r="I85" s="746" t="s">
        <v>240</v>
      </c>
      <c r="J85" s="747"/>
      <c r="K85" s="630"/>
    </row>
    <row r="86" spans="2:11" ht="16.5">
      <c r="B86" s="622">
        <v>68</v>
      </c>
      <c r="C86" s="608" t="s">
        <v>266</v>
      </c>
      <c r="D86" s="609" t="s">
        <v>172</v>
      </c>
      <c r="E86" s="626" t="s">
        <v>238</v>
      </c>
      <c r="F86" s="626" t="s">
        <v>174</v>
      </c>
      <c r="G86" s="744" t="s">
        <v>267</v>
      </c>
      <c r="H86" s="745"/>
      <c r="I86" s="746" t="s">
        <v>240</v>
      </c>
      <c r="J86" s="747"/>
      <c r="K86" s="630"/>
    </row>
    <row r="87" spans="2:11" ht="16.5">
      <c r="B87" s="622">
        <v>69</v>
      </c>
      <c r="C87" s="198" t="s">
        <v>268</v>
      </c>
      <c r="D87" s="214" t="s">
        <v>172</v>
      </c>
      <c r="E87" s="626" t="s">
        <v>238</v>
      </c>
      <c r="F87" s="626" t="s">
        <v>174</v>
      </c>
      <c r="G87" s="744" t="s">
        <v>252</v>
      </c>
      <c r="H87" s="745"/>
      <c r="I87" s="746" t="s">
        <v>240</v>
      </c>
      <c r="J87" s="747"/>
      <c r="K87" s="630"/>
    </row>
    <row r="88" spans="2:11" ht="16.5">
      <c r="B88" s="622">
        <v>70</v>
      </c>
      <c r="C88" s="608" t="s">
        <v>269</v>
      </c>
      <c r="D88" s="609" t="s">
        <v>172</v>
      </c>
      <c r="E88" s="626" t="s">
        <v>238</v>
      </c>
      <c r="F88" s="626" t="s">
        <v>174</v>
      </c>
      <c r="G88" s="744" t="s">
        <v>252</v>
      </c>
      <c r="H88" s="745"/>
      <c r="I88" s="746" t="s">
        <v>240</v>
      </c>
      <c r="J88" s="747"/>
      <c r="K88" s="630"/>
    </row>
    <row r="89" spans="2:11" ht="16.5">
      <c r="B89" s="622">
        <v>71</v>
      </c>
      <c r="C89" s="198" t="s">
        <v>270</v>
      </c>
      <c r="D89" s="214" t="s">
        <v>172</v>
      </c>
      <c r="E89" s="626" t="s">
        <v>238</v>
      </c>
      <c r="F89" s="626" t="s">
        <v>174</v>
      </c>
      <c r="G89" s="744" t="s">
        <v>252</v>
      </c>
      <c r="H89" s="745"/>
      <c r="I89" s="746" t="s">
        <v>240</v>
      </c>
      <c r="J89" s="747"/>
      <c r="K89" s="630"/>
    </row>
    <row r="90" spans="2:11" ht="16.5">
      <c r="B90" s="622">
        <v>72</v>
      </c>
      <c r="C90" s="608" t="s">
        <v>271</v>
      </c>
      <c r="D90" s="609" t="s">
        <v>172</v>
      </c>
      <c r="E90" s="626" t="s">
        <v>238</v>
      </c>
      <c r="F90" s="626" t="s">
        <v>174</v>
      </c>
      <c r="G90" s="744" t="s">
        <v>272</v>
      </c>
      <c r="H90" s="745"/>
      <c r="I90" s="746" t="s">
        <v>240</v>
      </c>
      <c r="J90" s="747"/>
      <c r="K90" s="630"/>
    </row>
    <row r="91" spans="2:11" ht="16.5">
      <c r="B91" s="622">
        <v>73</v>
      </c>
      <c r="C91" s="198" t="s">
        <v>273</v>
      </c>
      <c r="D91" s="214" t="s">
        <v>172</v>
      </c>
      <c r="E91" s="626" t="s">
        <v>238</v>
      </c>
      <c r="F91" s="626" t="s">
        <v>174</v>
      </c>
      <c r="G91" s="744" t="s">
        <v>274</v>
      </c>
      <c r="H91" s="745"/>
      <c r="I91" s="746" t="s">
        <v>240</v>
      </c>
      <c r="J91" s="747"/>
      <c r="K91" s="630"/>
    </row>
    <row r="92" spans="2:11" ht="16.5">
      <c r="B92" s="622">
        <v>74</v>
      </c>
      <c r="C92" s="608" t="s">
        <v>275</v>
      </c>
      <c r="D92" s="609" t="s">
        <v>172</v>
      </c>
      <c r="E92" s="626" t="s">
        <v>238</v>
      </c>
      <c r="F92" s="626" t="s">
        <v>174</v>
      </c>
      <c r="G92" s="744" t="s">
        <v>274</v>
      </c>
      <c r="H92" s="745"/>
      <c r="I92" s="746" t="s">
        <v>240</v>
      </c>
      <c r="J92" s="747"/>
      <c r="K92" s="630"/>
    </row>
    <row r="93" spans="2:11" ht="16.5">
      <c r="B93" s="622">
        <v>75</v>
      </c>
      <c r="C93" s="198" t="s">
        <v>276</v>
      </c>
      <c r="D93" s="214" t="s">
        <v>172</v>
      </c>
      <c r="E93" s="626" t="s">
        <v>238</v>
      </c>
      <c r="F93" s="626" t="s">
        <v>174</v>
      </c>
      <c r="G93" s="744" t="s">
        <v>178</v>
      </c>
      <c r="H93" s="745"/>
      <c r="I93" s="746" t="s">
        <v>240</v>
      </c>
      <c r="J93" s="747"/>
      <c r="K93" s="630"/>
    </row>
    <row r="94" spans="2:11" ht="16.5">
      <c r="B94" s="622">
        <v>76</v>
      </c>
      <c r="C94" s="608" t="s">
        <v>277</v>
      </c>
      <c r="D94" s="609" t="s">
        <v>172</v>
      </c>
      <c r="E94" s="626" t="s">
        <v>238</v>
      </c>
      <c r="F94" s="626" t="s">
        <v>174</v>
      </c>
      <c r="G94" s="744" t="s">
        <v>178</v>
      </c>
      <c r="H94" s="745"/>
      <c r="I94" s="746" t="s">
        <v>240</v>
      </c>
      <c r="J94" s="747"/>
      <c r="K94" s="630"/>
    </row>
    <row r="95" spans="2:11" ht="16.5">
      <c r="B95" s="622">
        <v>77</v>
      </c>
      <c r="C95" s="198" t="s">
        <v>278</v>
      </c>
      <c r="D95" s="214" t="s">
        <v>172</v>
      </c>
      <c r="E95" s="626" t="s">
        <v>238</v>
      </c>
      <c r="F95" s="626" t="s">
        <v>174</v>
      </c>
      <c r="G95" s="744" t="s">
        <v>178</v>
      </c>
      <c r="H95" s="745"/>
      <c r="I95" s="746" t="s">
        <v>240</v>
      </c>
      <c r="J95" s="747"/>
      <c r="K95" s="630"/>
    </row>
    <row r="96" spans="2:11" ht="16.5">
      <c r="B96" s="622">
        <v>78</v>
      </c>
      <c r="C96" s="198" t="s">
        <v>279</v>
      </c>
      <c r="D96" s="214" t="s">
        <v>172</v>
      </c>
      <c r="E96" s="626" t="s">
        <v>238</v>
      </c>
      <c r="F96" s="626" t="s">
        <v>174</v>
      </c>
      <c r="G96" s="744" t="s">
        <v>189</v>
      </c>
      <c r="H96" s="745"/>
      <c r="I96" s="746" t="s">
        <v>240</v>
      </c>
      <c r="J96" s="747"/>
      <c r="K96" s="630"/>
    </row>
    <row r="97" spans="2:11" ht="16.5">
      <c r="B97" s="622">
        <v>79</v>
      </c>
      <c r="C97" s="608" t="s">
        <v>280</v>
      </c>
      <c r="D97" s="609" t="s">
        <v>172</v>
      </c>
      <c r="E97" s="626" t="s">
        <v>238</v>
      </c>
      <c r="F97" s="626" t="s">
        <v>174</v>
      </c>
      <c r="G97" s="744" t="s">
        <v>189</v>
      </c>
      <c r="H97" s="745"/>
      <c r="I97" s="746" t="s">
        <v>240</v>
      </c>
      <c r="J97" s="747"/>
      <c r="K97" s="630"/>
    </row>
    <row r="98" spans="2:11" ht="16.5">
      <c r="B98" s="622">
        <v>80</v>
      </c>
      <c r="C98" s="198" t="s">
        <v>281</v>
      </c>
      <c r="D98" s="214" t="s">
        <v>172</v>
      </c>
      <c r="E98" s="626" t="s">
        <v>238</v>
      </c>
      <c r="F98" s="626" t="s">
        <v>174</v>
      </c>
      <c r="G98" s="744" t="s">
        <v>189</v>
      </c>
      <c r="H98" s="745"/>
      <c r="I98" s="746" t="s">
        <v>240</v>
      </c>
      <c r="J98" s="747"/>
      <c r="K98" s="630"/>
    </row>
    <row r="99" spans="2:11" ht="16.5">
      <c r="B99" s="622">
        <v>81</v>
      </c>
      <c r="C99" s="608" t="s">
        <v>282</v>
      </c>
      <c r="D99" s="609" t="s">
        <v>172</v>
      </c>
      <c r="E99" s="626" t="s">
        <v>238</v>
      </c>
      <c r="F99" s="626" t="s">
        <v>174</v>
      </c>
      <c r="G99" s="744" t="s">
        <v>193</v>
      </c>
      <c r="H99" s="745"/>
      <c r="I99" s="746" t="s">
        <v>240</v>
      </c>
      <c r="J99" s="747"/>
      <c r="K99" s="630"/>
    </row>
    <row r="100" spans="2:11" ht="16.5">
      <c r="B100" s="622">
        <v>82</v>
      </c>
      <c r="C100" s="198" t="s">
        <v>283</v>
      </c>
      <c r="D100" s="214" t="s">
        <v>172</v>
      </c>
      <c r="E100" s="626" t="s">
        <v>238</v>
      </c>
      <c r="F100" s="626" t="s">
        <v>174</v>
      </c>
      <c r="G100" s="744" t="s">
        <v>193</v>
      </c>
      <c r="H100" s="745"/>
      <c r="I100" s="746" t="s">
        <v>240</v>
      </c>
      <c r="J100" s="747"/>
      <c r="K100" s="630"/>
    </row>
    <row r="101" spans="2:11" ht="16.5">
      <c r="B101" s="622">
        <v>83</v>
      </c>
      <c r="C101" s="608" t="s">
        <v>284</v>
      </c>
      <c r="D101" s="609" t="s">
        <v>172</v>
      </c>
      <c r="E101" s="626" t="s">
        <v>238</v>
      </c>
      <c r="F101" s="626" t="s">
        <v>174</v>
      </c>
      <c r="G101" s="744" t="s">
        <v>203</v>
      </c>
      <c r="H101" s="745"/>
      <c r="I101" s="746" t="s">
        <v>240</v>
      </c>
      <c r="J101" s="747"/>
      <c r="K101" s="630"/>
    </row>
    <row r="102" spans="2:11" ht="16.5">
      <c r="B102" s="622">
        <v>84</v>
      </c>
      <c r="C102" s="198" t="s">
        <v>285</v>
      </c>
      <c r="D102" s="214" t="s">
        <v>172</v>
      </c>
      <c r="E102" s="626" t="s">
        <v>238</v>
      </c>
      <c r="F102" s="626" t="s">
        <v>174</v>
      </c>
      <c r="G102" s="744" t="s">
        <v>203</v>
      </c>
      <c r="H102" s="745"/>
      <c r="I102" s="746" t="s">
        <v>240</v>
      </c>
      <c r="J102" s="747"/>
      <c r="K102" s="630"/>
    </row>
    <row r="103" spans="2:11" ht="16.5">
      <c r="B103" s="622">
        <v>85</v>
      </c>
      <c r="C103" s="608" t="s">
        <v>286</v>
      </c>
      <c r="D103" s="609" t="s">
        <v>172</v>
      </c>
      <c r="E103" s="626" t="s">
        <v>238</v>
      </c>
      <c r="F103" s="626" t="s">
        <v>174</v>
      </c>
      <c r="G103" s="744" t="s">
        <v>214</v>
      </c>
      <c r="H103" s="745"/>
      <c r="I103" s="746" t="s">
        <v>240</v>
      </c>
      <c r="J103" s="747"/>
      <c r="K103" s="630"/>
    </row>
    <row r="104" spans="2:11" ht="16.5">
      <c r="B104" s="622">
        <v>86</v>
      </c>
      <c r="C104" s="608" t="s">
        <v>287</v>
      </c>
      <c r="D104" s="609" t="s">
        <v>172</v>
      </c>
      <c r="E104" s="626" t="s">
        <v>238</v>
      </c>
      <c r="F104" s="626" t="s">
        <v>174</v>
      </c>
      <c r="G104" s="744" t="s">
        <v>288</v>
      </c>
      <c r="H104" s="745"/>
      <c r="I104" s="746" t="s">
        <v>240</v>
      </c>
      <c r="J104" s="747"/>
      <c r="K104" s="630"/>
    </row>
    <row r="105" spans="2:11" ht="16.5">
      <c r="B105" s="622">
        <v>87</v>
      </c>
      <c r="C105" s="608" t="s">
        <v>289</v>
      </c>
      <c r="D105" s="609" t="s">
        <v>200</v>
      </c>
      <c r="E105" s="626" t="s">
        <v>238</v>
      </c>
      <c r="F105" s="626" t="s">
        <v>174</v>
      </c>
      <c r="G105" s="744" t="s">
        <v>239</v>
      </c>
      <c r="H105" s="745"/>
      <c r="I105" s="746" t="s">
        <v>240</v>
      </c>
      <c r="J105" s="747"/>
      <c r="K105" s="630"/>
    </row>
    <row r="106" spans="2:11" ht="16.5">
      <c r="B106" s="622">
        <v>88</v>
      </c>
      <c r="C106" s="198" t="s">
        <v>290</v>
      </c>
      <c r="D106" s="214" t="s">
        <v>200</v>
      </c>
      <c r="E106" s="626" t="s">
        <v>238</v>
      </c>
      <c r="F106" s="626" t="s">
        <v>174</v>
      </c>
      <c r="G106" s="744" t="s">
        <v>242</v>
      </c>
      <c r="H106" s="745"/>
      <c r="I106" s="746" t="s">
        <v>240</v>
      </c>
      <c r="J106" s="747"/>
      <c r="K106" s="630"/>
    </row>
    <row r="107" spans="2:11" ht="16.5">
      <c r="B107" s="622">
        <v>89</v>
      </c>
      <c r="C107" s="608" t="s">
        <v>291</v>
      </c>
      <c r="D107" s="609" t="s">
        <v>200</v>
      </c>
      <c r="E107" s="626" t="s">
        <v>238</v>
      </c>
      <c r="F107" s="626" t="s">
        <v>174</v>
      </c>
      <c r="G107" s="744" t="s">
        <v>244</v>
      </c>
      <c r="H107" s="745"/>
      <c r="I107" s="746" t="s">
        <v>240</v>
      </c>
      <c r="J107" s="747"/>
      <c r="K107" s="630"/>
    </row>
    <row r="108" spans="2:11" ht="16.5">
      <c r="B108" s="622">
        <v>90</v>
      </c>
      <c r="C108" s="608" t="s">
        <v>292</v>
      </c>
      <c r="D108" s="609" t="s">
        <v>293</v>
      </c>
      <c r="E108" s="626" t="s">
        <v>238</v>
      </c>
      <c r="F108" s="626" t="s">
        <v>174</v>
      </c>
      <c r="G108" s="744" t="s">
        <v>288</v>
      </c>
      <c r="H108" s="745"/>
      <c r="I108" s="746" t="s">
        <v>240</v>
      </c>
      <c r="J108" s="747"/>
      <c r="K108" s="630"/>
    </row>
    <row r="109" spans="2:11" ht="16.5">
      <c r="B109" s="622">
        <v>91</v>
      </c>
      <c r="C109" s="198" t="s">
        <v>294</v>
      </c>
      <c r="D109" s="214" t="s">
        <v>293</v>
      </c>
      <c r="E109" s="626" t="s">
        <v>238</v>
      </c>
      <c r="F109" s="626" t="s">
        <v>174</v>
      </c>
      <c r="G109" s="744" t="s">
        <v>288</v>
      </c>
      <c r="H109" s="745"/>
      <c r="I109" s="746" t="s">
        <v>240</v>
      </c>
      <c r="J109" s="747"/>
      <c r="K109" s="630"/>
    </row>
    <row r="110" spans="2:11" ht="16.5">
      <c r="B110" s="622">
        <v>92</v>
      </c>
      <c r="C110" s="198" t="s">
        <v>295</v>
      </c>
      <c r="D110" s="214" t="s">
        <v>200</v>
      </c>
      <c r="E110" s="626" t="s">
        <v>238</v>
      </c>
      <c r="F110" s="626" t="s">
        <v>174</v>
      </c>
      <c r="G110" s="744" t="s">
        <v>214</v>
      </c>
      <c r="H110" s="745"/>
      <c r="I110" s="746" t="s">
        <v>240</v>
      </c>
      <c r="J110" s="747"/>
      <c r="K110" s="630"/>
    </row>
    <row r="111" spans="2:11" ht="16.5">
      <c r="B111" s="622">
        <v>93</v>
      </c>
      <c r="C111" s="608" t="s">
        <v>296</v>
      </c>
      <c r="D111" s="609" t="s">
        <v>200</v>
      </c>
      <c r="E111" s="626" t="s">
        <v>238</v>
      </c>
      <c r="F111" s="626" t="s">
        <v>174</v>
      </c>
      <c r="G111" s="744" t="s">
        <v>214</v>
      </c>
      <c r="H111" s="745"/>
      <c r="I111" s="746" t="s">
        <v>240</v>
      </c>
      <c r="J111" s="747"/>
      <c r="K111" s="630"/>
    </row>
    <row r="113" spans="2:4" ht="20.25">
      <c r="B113" s="627" t="s">
        <v>297</v>
      </c>
      <c r="C113" s="628"/>
      <c r="D113" s="629"/>
    </row>
  </sheetData>
  <mergeCells count="130">
    <mergeCell ref="B1:M1"/>
    <mergeCell ref="B2:E2"/>
    <mergeCell ref="G2:H2"/>
    <mergeCell ref="I2:J2"/>
    <mergeCell ref="D3:E3"/>
    <mergeCell ref="G3:H3"/>
    <mergeCell ref="I3:J3"/>
    <mergeCell ref="D4:E4"/>
    <mergeCell ref="G4:H4"/>
    <mergeCell ref="I4:J4"/>
    <mergeCell ref="D5:E5"/>
    <mergeCell ref="G5:H5"/>
    <mergeCell ref="I5:J5"/>
    <mergeCell ref="D6:E6"/>
    <mergeCell ref="G6:H6"/>
    <mergeCell ref="I6:J6"/>
    <mergeCell ref="D7:E7"/>
    <mergeCell ref="G7:H7"/>
    <mergeCell ref="I7:J7"/>
    <mergeCell ref="D8:E8"/>
    <mergeCell ref="G8:H8"/>
    <mergeCell ref="I8:J8"/>
    <mergeCell ref="D9:E9"/>
    <mergeCell ref="G9:H9"/>
    <mergeCell ref="I9:J9"/>
    <mergeCell ref="C11:J11"/>
    <mergeCell ref="C12:J12"/>
    <mergeCell ref="C13:J13"/>
    <mergeCell ref="D14:G14"/>
    <mergeCell ref="G65:H65"/>
    <mergeCell ref="I65:J65"/>
    <mergeCell ref="G66:H66"/>
    <mergeCell ref="I66:J66"/>
    <mergeCell ref="G67:H67"/>
    <mergeCell ref="I67:J67"/>
    <mergeCell ref="G68:H68"/>
    <mergeCell ref="I68:J68"/>
    <mergeCell ref="G69:H69"/>
    <mergeCell ref="I69:J69"/>
    <mergeCell ref="G70:H70"/>
    <mergeCell ref="I70:J70"/>
    <mergeCell ref="G71:H71"/>
    <mergeCell ref="I71:J71"/>
    <mergeCell ref="G72:H72"/>
    <mergeCell ref="I72:J72"/>
    <mergeCell ref="G73:H73"/>
    <mergeCell ref="I73:J73"/>
    <mergeCell ref="G74:H74"/>
    <mergeCell ref="I74:J74"/>
    <mergeCell ref="G75:H75"/>
    <mergeCell ref="I75:J75"/>
    <mergeCell ref="G76:H76"/>
    <mergeCell ref="I76:J76"/>
    <mergeCell ref="G77:H77"/>
    <mergeCell ref="I77:J77"/>
    <mergeCell ref="G78:H78"/>
    <mergeCell ref="I78:J78"/>
    <mergeCell ref="G79:H79"/>
    <mergeCell ref="I79:J79"/>
    <mergeCell ref="G80:H80"/>
    <mergeCell ref="I80:J80"/>
    <mergeCell ref="G81:H81"/>
    <mergeCell ref="I81:J81"/>
    <mergeCell ref="G82:H82"/>
    <mergeCell ref="I82:J82"/>
    <mergeCell ref="G83:H83"/>
    <mergeCell ref="I83:J83"/>
    <mergeCell ref="G84:H84"/>
    <mergeCell ref="I84:J84"/>
    <mergeCell ref="G85:H85"/>
    <mergeCell ref="I85:J85"/>
    <mergeCell ref="G86:H86"/>
    <mergeCell ref="I86:J86"/>
    <mergeCell ref="G87:H87"/>
    <mergeCell ref="I87:J87"/>
    <mergeCell ref="G88:H88"/>
    <mergeCell ref="I88:J88"/>
    <mergeCell ref="G89:H89"/>
    <mergeCell ref="I89:J89"/>
    <mergeCell ref="G90:H90"/>
    <mergeCell ref="I90:J90"/>
    <mergeCell ref="G91:H91"/>
    <mergeCell ref="I91:J91"/>
    <mergeCell ref="G92:H92"/>
    <mergeCell ref="I92:J92"/>
    <mergeCell ref="G93:H93"/>
    <mergeCell ref="I93:J93"/>
    <mergeCell ref="G94:H94"/>
    <mergeCell ref="I94:J94"/>
    <mergeCell ref="G95:H95"/>
    <mergeCell ref="I95:J95"/>
    <mergeCell ref="G96:H96"/>
    <mergeCell ref="I96:J96"/>
    <mergeCell ref="G97:H97"/>
    <mergeCell ref="I97:J97"/>
    <mergeCell ref="G98:H98"/>
    <mergeCell ref="I98:J98"/>
    <mergeCell ref="I99:J99"/>
    <mergeCell ref="G100:H100"/>
    <mergeCell ref="I100:J100"/>
    <mergeCell ref="G101:H101"/>
    <mergeCell ref="I101:J101"/>
    <mergeCell ref="G102:H102"/>
    <mergeCell ref="I102:J102"/>
    <mergeCell ref="G103:H103"/>
    <mergeCell ref="I103:J103"/>
    <mergeCell ref="K14:K15"/>
    <mergeCell ref="G109:H109"/>
    <mergeCell ref="I109:J109"/>
    <mergeCell ref="G110:H110"/>
    <mergeCell ref="I110:J110"/>
    <mergeCell ref="G111:H111"/>
    <mergeCell ref="I111:J111"/>
    <mergeCell ref="B11:B13"/>
    <mergeCell ref="B14:B15"/>
    <mergeCell ref="C14:C15"/>
    <mergeCell ref="H14:H15"/>
    <mergeCell ref="I14:I15"/>
    <mergeCell ref="J14:J15"/>
    <mergeCell ref="G104:H104"/>
    <mergeCell ref="I104:J104"/>
    <mergeCell ref="G105:H105"/>
    <mergeCell ref="I105:J105"/>
    <mergeCell ref="G106:H106"/>
    <mergeCell ref="I106:J106"/>
    <mergeCell ref="G107:H107"/>
    <mergeCell ref="I107:J107"/>
    <mergeCell ref="G108:H108"/>
    <mergeCell ref="I108:J108"/>
    <mergeCell ref="G99:H99"/>
  </mergeCells>
  <phoneticPr fontId="150" type="noConversion"/>
  <dataValidations count="5">
    <dataValidation type="list" allowBlank="1" showInputMessage="1" showErrorMessage="1" sqref="E65539 JA65539 SW65539 ACS65539 AMO65539 AWK65539 BGG65539 BQC65539 BZY65539 CJU65539 CTQ65539 DDM65539 DNI65539 DXE65539 EHA65539 EQW65539 FAS65539 FKO65539 FUK65539 GEG65539 GOC65539 GXY65539 HHU65539 HRQ65539 IBM65539 ILI65539 IVE65539 JFA65539 JOW65539 JYS65539 KIO65539 KSK65539 LCG65539 LMC65539 LVY65539 MFU65539 MPQ65539 MZM65539 NJI65539 NTE65539 ODA65539 OMW65539 OWS65539 PGO65539 PQK65539 QAG65539 QKC65539 QTY65539 RDU65539 RNQ65539 RXM65539 SHI65539 SRE65539 TBA65539 TKW65539 TUS65539 UEO65539 UOK65539 UYG65539 VIC65539 VRY65539 WBU65539 WLQ65539 WVM65539 E131075 JA131075 SW131075 ACS131075 AMO131075 AWK131075 BGG131075 BQC131075 BZY131075 CJU131075 CTQ131075 DDM131075 DNI131075 DXE131075 EHA131075 EQW131075 FAS131075 FKO131075 FUK131075 GEG131075 GOC131075 GXY131075 HHU131075 HRQ131075 IBM131075 ILI131075 IVE131075 JFA131075 JOW131075 JYS131075 KIO131075 KSK131075 LCG131075 LMC131075 LVY131075 MFU131075 MPQ131075 MZM131075 NJI131075 NTE131075 ODA131075 OMW131075 OWS131075 PGO131075 PQK131075 QAG131075 QKC131075 QTY131075 RDU131075 RNQ131075 RXM131075 SHI131075 SRE131075 TBA131075 TKW131075 TUS131075 UEO131075 UOK131075 UYG131075 VIC131075 VRY131075 WBU131075 WLQ131075 WVM131075 E196611 JA196611 SW196611 ACS196611 AMO196611 AWK196611 BGG196611 BQC196611 BZY196611 CJU196611 CTQ196611 DDM196611 DNI196611 DXE196611 EHA196611 EQW196611 FAS196611 FKO196611 FUK196611 GEG196611 GOC196611 GXY196611 HHU196611 HRQ196611 IBM196611 ILI196611 IVE196611 JFA196611 JOW196611 JYS196611 KIO196611 KSK196611 LCG196611 LMC196611 LVY196611 MFU196611 MPQ196611 MZM196611 NJI196611 NTE196611 ODA196611 OMW196611 OWS196611 PGO196611 PQK196611 QAG196611 QKC196611 QTY196611 RDU196611 RNQ196611 RXM196611 SHI196611 SRE196611 TBA196611 TKW196611 TUS196611 UEO196611 UOK196611 UYG196611 VIC196611 VRY196611 WBU196611 WLQ196611 WVM196611 E262147 JA262147 SW262147 ACS262147 AMO262147 AWK262147 BGG262147 BQC262147 BZY262147 CJU262147 CTQ262147 DDM262147 DNI262147 DXE262147 EHA262147 EQW262147 FAS262147 FKO262147 FUK262147 GEG262147 GOC262147 GXY262147 HHU262147 HRQ262147 IBM262147 ILI262147 IVE262147 JFA262147 JOW262147 JYS262147 KIO262147 KSK262147 LCG262147 LMC262147 LVY262147 MFU262147 MPQ262147 MZM262147 NJI262147 NTE262147 ODA262147 OMW262147 OWS262147 PGO262147 PQK262147 QAG262147 QKC262147 QTY262147 RDU262147 RNQ262147 RXM262147 SHI262147 SRE262147 TBA262147 TKW262147 TUS262147 UEO262147 UOK262147 UYG262147 VIC262147 VRY262147 WBU262147 WLQ262147 WVM262147 E327683 JA327683 SW327683 ACS327683 AMO327683 AWK327683 BGG327683 BQC327683 BZY327683 CJU327683 CTQ327683 DDM327683 DNI327683 DXE327683 EHA327683 EQW327683 FAS327683 FKO327683 FUK327683 GEG327683 GOC327683 GXY327683 HHU327683 HRQ327683 IBM327683 ILI327683 IVE327683 JFA327683 JOW327683 JYS327683 KIO327683 KSK327683 LCG327683 LMC327683 LVY327683 MFU327683 MPQ327683 MZM327683 NJI327683 NTE327683 ODA327683 OMW327683 OWS327683 PGO327683 PQK327683 QAG327683 QKC327683 QTY327683 RDU327683 RNQ327683 RXM327683 SHI327683 SRE327683 TBA327683 TKW327683 TUS327683 UEO327683 UOK327683 UYG327683 VIC327683 VRY327683 WBU327683 WLQ327683 WVM327683 E393219 JA393219 SW393219 ACS393219 AMO393219 AWK393219 BGG393219 BQC393219 BZY393219 CJU393219 CTQ393219 DDM393219 DNI393219 DXE393219 EHA393219 EQW393219 FAS393219 FKO393219 FUK393219 GEG393219 GOC393219 GXY393219 HHU393219 HRQ393219 IBM393219 ILI393219 IVE393219 JFA393219 JOW393219 JYS393219 KIO393219 KSK393219 LCG393219 LMC393219 LVY393219 MFU393219 MPQ393219 MZM393219 NJI393219 NTE393219 ODA393219 OMW393219 OWS393219 PGO393219 PQK393219 QAG393219 QKC393219 QTY393219 RDU393219 RNQ393219 RXM393219 SHI393219 SRE393219 TBA393219 TKW393219 TUS393219 UEO393219 UOK393219 UYG393219 VIC393219 VRY393219 WBU393219 WLQ393219 WVM393219 E458755 JA458755 SW458755 ACS458755 AMO458755 AWK458755 BGG458755 BQC458755 BZY458755 CJU458755 CTQ458755 DDM458755 DNI458755 DXE458755 EHA458755 EQW458755 FAS458755 FKO458755 FUK458755 GEG458755 GOC458755 GXY458755 HHU458755 HRQ458755 IBM458755 ILI458755 IVE458755 JFA458755 JOW458755 JYS458755 KIO458755 KSK458755 LCG458755 LMC458755 LVY458755 MFU458755 MPQ458755 MZM458755 NJI458755 NTE458755 ODA458755 OMW458755 OWS458755 PGO458755 PQK458755 QAG458755 QKC458755 QTY458755 RDU458755 RNQ458755 RXM458755 SHI458755 SRE458755 TBA458755 TKW458755 TUS458755 UEO458755 UOK458755 UYG458755 VIC458755 VRY458755 WBU458755 WLQ458755 WVM458755 E524291 JA524291 SW524291 ACS524291 AMO524291 AWK524291 BGG524291 BQC524291 BZY524291 CJU524291 CTQ524291 DDM524291 DNI524291 DXE524291 EHA524291 EQW524291 FAS524291 FKO524291 FUK524291 GEG524291 GOC524291 GXY524291 HHU524291 HRQ524291 IBM524291 ILI524291 IVE524291 JFA524291 JOW524291 JYS524291 KIO524291 KSK524291 LCG524291 LMC524291 LVY524291 MFU524291 MPQ524291 MZM524291 NJI524291 NTE524291 ODA524291 OMW524291 OWS524291 PGO524291 PQK524291 QAG524291 QKC524291 QTY524291 RDU524291 RNQ524291 RXM524291 SHI524291 SRE524291 TBA524291 TKW524291 TUS524291 UEO524291 UOK524291 UYG524291 VIC524291 VRY524291 WBU524291 WLQ524291 WVM524291 E589827 JA589827 SW589827 ACS589827 AMO589827 AWK589827 BGG589827 BQC589827 BZY589827 CJU589827 CTQ589827 DDM589827 DNI589827 DXE589827 EHA589827 EQW589827 FAS589827 FKO589827 FUK589827 GEG589827 GOC589827 GXY589827 HHU589827 HRQ589827 IBM589827 ILI589827 IVE589827 JFA589827 JOW589827 JYS589827 KIO589827 KSK589827 LCG589827 LMC589827 LVY589827 MFU589827 MPQ589827 MZM589827 NJI589827 NTE589827 ODA589827 OMW589827 OWS589827 PGO589827 PQK589827 QAG589827 QKC589827 QTY589827 RDU589827 RNQ589827 RXM589827 SHI589827 SRE589827 TBA589827 TKW589827 TUS589827 UEO589827 UOK589827 UYG589827 VIC589827 VRY589827 WBU589827 WLQ589827 WVM589827 E655363 JA655363 SW655363 ACS655363 AMO655363 AWK655363 BGG655363 BQC655363 BZY655363 CJU655363 CTQ655363 DDM655363 DNI655363 DXE655363 EHA655363 EQW655363 FAS655363 FKO655363 FUK655363 GEG655363 GOC655363 GXY655363 HHU655363 HRQ655363 IBM655363 ILI655363 IVE655363 JFA655363 JOW655363 JYS655363 KIO655363 KSK655363 LCG655363 LMC655363 LVY655363 MFU655363 MPQ655363 MZM655363 NJI655363 NTE655363 ODA655363 OMW655363 OWS655363 PGO655363 PQK655363 QAG655363 QKC655363 QTY655363 RDU655363 RNQ655363 RXM655363 SHI655363 SRE655363 TBA655363 TKW655363 TUS655363 UEO655363 UOK655363 UYG655363 VIC655363 VRY655363 WBU655363 WLQ655363 WVM655363 E720899 JA720899 SW720899 ACS720899 AMO720899 AWK720899 BGG720899 BQC720899 BZY720899 CJU720899 CTQ720899 DDM720899 DNI720899 DXE720899 EHA720899 EQW720899 FAS720899 FKO720899 FUK720899 GEG720899 GOC720899 GXY720899 HHU720899 HRQ720899 IBM720899 ILI720899 IVE720899 JFA720899 JOW720899 JYS720899 KIO720899 KSK720899 LCG720899 LMC720899 LVY720899 MFU720899 MPQ720899 MZM720899 NJI720899 NTE720899 ODA720899 OMW720899 OWS720899 PGO720899 PQK720899 QAG720899 QKC720899 QTY720899 RDU720899 RNQ720899 RXM720899 SHI720899 SRE720899 TBA720899 TKW720899 TUS720899 UEO720899 UOK720899 UYG720899 VIC720899 VRY720899 WBU720899 WLQ720899 WVM720899 E786435 JA786435 SW786435 ACS786435 AMO786435 AWK786435 BGG786435 BQC786435 BZY786435 CJU786435 CTQ786435 DDM786435 DNI786435 DXE786435 EHA786435 EQW786435 FAS786435 FKO786435 FUK786435 GEG786435 GOC786435 GXY786435 HHU786435 HRQ786435 IBM786435 ILI786435 IVE786435 JFA786435 JOW786435 JYS786435 KIO786435 KSK786435 LCG786435 LMC786435 LVY786435 MFU786435 MPQ786435 MZM786435 NJI786435 NTE786435 ODA786435 OMW786435 OWS786435 PGO786435 PQK786435 QAG786435 QKC786435 QTY786435 RDU786435 RNQ786435 RXM786435 SHI786435 SRE786435 TBA786435 TKW786435 TUS786435 UEO786435 UOK786435 UYG786435 VIC786435 VRY786435 WBU786435 WLQ786435 WVM786435 E851971 JA851971 SW851971 ACS851971 AMO851971 AWK851971 BGG851971 BQC851971 BZY851971 CJU851971 CTQ851971 DDM851971 DNI851971 DXE851971 EHA851971 EQW851971 FAS851971 FKO851971 FUK851971 GEG851971 GOC851971 GXY851971 HHU851971 HRQ851971 IBM851971 ILI851971 IVE851971 JFA851971 JOW851971 JYS851971 KIO851971 KSK851971 LCG851971 LMC851971 LVY851971 MFU851971 MPQ851971 MZM851971 NJI851971 NTE851971 ODA851971 OMW851971 OWS851971 PGO851971 PQK851971 QAG851971 QKC851971 QTY851971 RDU851971 RNQ851971 RXM851971 SHI851971 SRE851971 TBA851971 TKW851971 TUS851971 UEO851971 UOK851971 UYG851971 VIC851971 VRY851971 WBU851971 WLQ851971 WVM851971 E917507 JA917507 SW917507 ACS917507 AMO917507 AWK917507 BGG917507 BQC917507 BZY917507 CJU917507 CTQ917507 DDM917507 DNI917507 DXE917507 EHA917507 EQW917507 FAS917507 FKO917507 FUK917507 GEG917507 GOC917507 GXY917507 HHU917507 HRQ917507 IBM917507 ILI917507 IVE917507 JFA917507 JOW917507 JYS917507 KIO917507 KSK917507 LCG917507 LMC917507 LVY917507 MFU917507 MPQ917507 MZM917507 NJI917507 NTE917507 ODA917507 OMW917507 OWS917507 PGO917507 PQK917507 QAG917507 QKC917507 QTY917507 RDU917507 RNQ917507 RXM917507 SHI917507 SRE917507 TBA917507 TKW917507 TUS917507 UEO917507 UOK917507 UYG917507 VIC917507 VRY917507 WBU917507 WLQ917507 WVM917507 E983043 JA983043 SW983043 ACS983043 AMO983043 AWK983043 BGG983043 BQC983043 BZY983043 CJU983043 CTQ983043 DDM983043 DNI983043 DXE983043 EHA983043 EQW983043 FAS983043 FKO983043 FUK983043 GEG983043 GOC983043 GXY983043 HHU983043 HRQ983043 IBM983043 ILI983043 IVE983043 JFA983043 JOW983043 JYS983043 KIO983043 KSK983043 LCG983043 LMC983043 LVY983043 MFU983043 MPQ983043 MZM983043 NJI983043 NTE983043 ODA983043 OMW983043 OWS983043 PGO983043 PQK983043 QAG983043 QKC983043 QTY983043 RDU983043 RNQ983043 RXM983043 SHI983043 SRE983043 TBA983043 TKW983043 TUS983043 UEO983043 UOK983043 UYG983043 VIC983043 VRY983043 WBU983043 WLQ983043 WVM983043 E65541:E65544 E131077:E131080 E196613:E196616 E262149:E262152 E327685:E327688 E393221:E393224 E458757:E458760 E524293:E524296 E589829:E589832 E655365:E655368 E720901:E720904 E786437:E786440 E851973:E851976 E917509:E917512 E983045:E983048 I65470:I65492 I65494:I65538 I131006:I131028 I131030:I131074 I196542:I196564 I196566:I196610 I262078:I262100 I262102:I262146 I327614:I327636 I327638:I327682 I393150:I393172 I393174:I393218 I458686:I458708 I458710:I458754 I524222:I524244 I524246:I524290 I589758:I589780 I589782:I589826 I655294:I655316 I655318:I655362 I720830:I720852 I720854:I720898 I786366:I786388 I786390:I786434 I851902:I851924 I851926:I851970 I917438:I917460 I917462:I917506 I982974:I982996 I982998:I983042 JA65541:JA65544 JA131077:JA131080 JA196613:JA196616 JA262149:JA262152 JA327685:JA327688 JA393221:JA393224 JA458757:JA458760 JA524293:JA524296 JA589829:JA589832 JA655365:JA655368 JA720901:JA720904 JA786437:JA786440 JA851973:JA851976 JA917509:JA917512 JA983045:JA983048 JE65470:JE65492 JE65494:JE65538 JE131006:JE131028 JE131030:JE131074 JE196542:JE196564 JE196566:JE196610 JE262078:JE262100 JE262102:JE262146 JE327614:JE327636 JE327638:JE327682 JE393150:JE393172 JE393174:JE393218 JE458686:JE458708 JE458710:JE458754 JE524222:JE524244 JE524246:JE524290 JE589758:JE589780 JE589782:JE589826 JE655294:JE655316 JE655318:JE655362 JE720830:JE720852 JE720854:JE720898 JE786366:JE786388 JE786390:JE786434 JE851902:JE851924 JE851926:JE851970 JE917438:JE917460 JE917462:JE917506 JE982974:JE982996 JE982998:JE983042 SW65541:SW65544 SW131077:SW131080 SW196613:SW196616 SW262149:SW262152 SW327685:SW327688 SW393221:SW393224 SW458757:SW458760 SW524293:SW524296 SW589829:SW589832 SW655365:SW655368 SW720901:SW720904 SW786437:SW786440 SW851973:SW851976 SW917509:SW917512 SW983045:SW983048 TA65470:TA65492 TA65494:TA65538 TA131006:TA131028 TA131030:TA131074 TA196542:TA196564 TA196566:TA196610 TA262078:TA262100 TA262102:TA262146 TA327614:TA327636 TA327638:TA327682 TA393150:TA393172 TA393174:TA393218 TA458686:TA458708 TA458710:TA458754 TA524222:TA524244 TA524246:TA524290 TA589758:TA589780 TA589782:TA589826 TA655294:TA655316 TA655318:TA655362 TA720830:TA720852 TA720854:TA720898 TA786366:TA786388 TA786390:TA786434 TA851902:TA851924 TA851926:TA851970 TA917438:TA917460 TA917462:TA917506 TA982974:TA982996 TA982998:TA983042 ACS65541:ACS65544 ACS131077:ACS131080 ACS196613:ACS196616 ACS262149:ACS262152 ACS327685:ACS327688 ACS393221:ACS393224 ACS458757:ACS458760 ACS524293:ACS524296 ACS589829:ACS589832 ACS655365:ACS655368 ACS720901:ACS720904 ACS786437:ACS786440 ACS851973:ACS851976 ACS917509:ACS917512 ACS983045:ACS983048 ACW65470:ACW65492 ACW65494:ACW65538 ACW131006:ACW131028 ACW131030:ACW131074 ACW196542:ACW196564 ACW196566:ACW196610 ACW262078:ACW262100 ACW262102:ACW262146 ACW327614:ACW327636 ACW327638:ACW327682 ACW393150:ACW393172 ACW393174:ACW393218 ACW458686:ACW458708 ACW458710:ACW458754 ACW524222:ACW524244 ACW524246:ACW524290 ACW589758:ACW589780 ACW589782:ACW589826 ACW655294:ACW655316 ACW655318:ACW655362 ACW720830:ACW720852 ACW720854:ACW720898 ACW786366:ACW786388 ACW786390:ACW786434 ACW851902:ACW851924 ACW851926:ACW851970 ACW917438:ACW917460 ACW917462:ACW917506 ACW982974:ACW982996 ACW982998:ACW983042 AMO65541:AMO65544 AMO131077:AMO131080 AMO196613:AMO196616 AMO262149:AMO262152 AMO327685:AMO327688 AMO393221:AMO393224 AMO458757:AMO458760 AMO524293:AMO524296 AMO589829:AMO589832 AMO655365:AMO655368 AMO720901:AMO720904 AMO786437:AMO786440 AMO851973:AMO851976 AMO917509:AMO917512 AMO983045:AMO983048 AMS65470:AMS65492 AMS65494:AMS65538 AMS131006:AMS131028 AMS131030:AMS131074 AMS196542:AMS196564 AMS196566:AMS196610 AMS262078:AMS262100 AMS262102:AMS262146 AMS327614:AMS327636 AMS327638:AMS327682 AMS393150:AMS393172 AMS393174:AMS393218 AMS458686:AMS458708 AMS458710:AMS458754 AMS524222:AMS524244 AMS524246:AMS524290 AMS589758:AMS589780 AMS589782:AMS589826 AMS655294:AMS655316 AMS655318:AMS655362 AMS720830:AMS720852 AMS720854:AMS720898 AMS786366:AMS786388 AMS786390:AMS786434 AMS851902:AMS851924 AMS851926:AMS851970 AMS917438:AMS917460 AMS917462:AMS917506 AMS982974:AMS982996 AMS982998:AMS983042 AWK65541:AWK65544 AWK131077:AWK131080 AWK196613:AWK196616 AWK262149:AWK262152 AWK327685:AWK327688 AWK393221:AWK393224 AWK458757:AWK458760 AWK524293:AWK524296 AWK589829:AWK589832 AWK655365:AWK655368 AWK720901:AWK720904 AWK786437:AWK786440 AWK851973:AWK851976 AWK917509:AWK917512 AWK983045:AWK983048 AWO65470:AWO65492 AWO65494:AWO65538 AWO131006:AWO131028 AWO131030:AWO131074 AWO196542:AWO196564 AWO196566:AWO196610 AWO262078:AWO262100 AWO262102:AWO262146 AWO327614:AWO327636 AWO327638:AWO327682 AWO393150:AWO393172 AWO393174:AWO393218 AWO458686:AWO458708 AWO458710:AWO458754 AWO524222:AWO524244 AWO524246:AWO524290 AWO589758:AWO589780 AWO589782:AWO589826 AWO655294:AWO655316 AWO655318:AWO655362 AWO720830:AWO720852 AWO720854:AWO720898 AWO786366:AWO786388 AWO786390:AWO786434 AWO851902:AWO851924 AWO851926:AWO851970 AWO917438:AWO917460 AWO917462:AWO917506 AWO982974:AWO982996 AWO982998:AWO983042 BGG65541:BGG65544 BGG131077:BGG131080 BGG196613:BGG196616 BGG262149:BGG262152 BGG327685:BGG327688 BGG393221:BGG393224 BGG458757:BGG458760 BGG524293:BGG524296 BGG589829:BGG589832 BGG655365:BGG655368 BGG720901:BGG720904 BGG786437:BGG786440 BGG851973:BGG851976 BGG917509:BGG917512 BGG983045:BGG983048 BGK65470:BGK65492 BGK65494:BGK65538 BGK131006:BGK131028 BGK131030:BGK131074 BGK196542:BGK196564 BGK196566:BGK196610 BGK262078:BGK262100 BGK262102:BGK262146 BGK327614:BGK327636 BGK327638:BGK327682 BGK393150:BGK393172 BGK393174:BGK393218 BGK458686:BGK458708 BGK458710:BGK458754 BGK524222:BGK524244 BGK524246:BGK524290 BGK589758:BGK589780 BGK589782:BGK589826 BGK655294:BGK655316 BGK655318:BGK655362 BGK720830:BGK720852 BGK720854:BGK720898 BGK786366:BGK786388 BGK786390:BGK786434 BGK851902:BGK851924 BGK851926:BGK851970 BGK917438:BGK917460 BGK917462:BGK917506 BGK982974:BGK982996 BGK982998:BGK983042 BQC65541:BQC65544 BQC131077:BQC131080 BQC196613:BQC196616 BQC262149:BQC262152 BQC327685:BQC327688 BQC393221:BQC393224 BQC458757:BQC458760 BQC524293:BQC524296 BQC589829:BQC589832 BQC655365:BQC655368 BQC720901:BQC720904 BQC786437:BQC786440 BQC851973:BQC851976 BQC917509:BQC917512 BQC983045:BQC983048 BQG65470:BQG65492 BQG65494:BQG65538 BQG131006:BQG131028 BQG131030:BQG131074 BQG196542:BQG196564 BQG196566:BQG196610 BQG262078:BQG262100 BQG262102:BQG262146 BQG327614:BQG327636 BQG327638:BQG327682 BQG393150:BQG393172 BQG393174:BQG393218 BQG458686:BQG458708 BQG458710:BQG458754 BQG524222:BQG524244 BQG524246:BQG524290 BQG589758:BQG589780 BQG589782:BQG589826 BQG655294:BQG655316 BQG655318:BQG655362 BQG720830:BQG720852 BQG720854:BQG720898 BQG786366:BQG786388 BQG786390:BQG786434 BQG851902:BQG851924 BQG851926:BQG851970 BQG917438:BQG917460 BQG917462:BQG917506 BQG982974:BQG982996 BQG982998:BQG983042 BZY65541:BZY65544 BZY131077:BZY131080 BZY196613:BZY196616 BZY262149:BZY262152 BZY327685:BZY327688 BZY393221:BZY393224 BZY458757:BZY458760 BZY524293:BZY524296 BZY589829:BZY589832 BZY655365:BZY655368 BZY720901:BZY720904 BZY786437:BZY786440 BZY851973:BZY851976 BZY917509:BZY917512 BZY983045:BZY983048 CAC65470:CAC65492 CAC65494:CAC65538 CAC131006:CAC131028 CAC131030:CAC131074 CAC196542:CAC196564 CAC196566:CAC196610 CAC262078:CAC262100 CAC262102:CAC262146 CAC327614:CAC327636 CAC327638:CAC327682 CAC393150:CAC393172 CAC393174:CAC393218 CAC458686:CAC458708 CAC458710:CAC458754 CAC524222:CAC524244 CAC524246:CAC524290 CAC589758:CAC589780 CAC589782:CAC589826 CAC655294:CAC655316 CAC655318:CAC655362 CAC720830:CAC720852 CAC720854:CAC720898 CAC786366:CAC786388 CAC786390:CAC786434 CAC851902:CAC851924 CAC851926:CAC851970 CAC917438:CAC917460 CAC917462:CAC917506 CAC982974:CAC982996 CAC982998:CAC983042 CJU65541:CJU65544 CJU131077:CJU131080 CJU196613:CJU196616 CJU262149:CJU262152 CJU327685:CJU327688 CJU393221:CJU393224 CJU458757:CJU458760 CJU524293:CJU524296 CJU589829:CJU589832 CJU655365:CJU655368 CJU720901:CJU720904 CJU786437:CJU786440 CJU851973:CJU851976 CJU917509:CJU917512 CJU983045:CJU983048 CJY65470:CJY65492 CJY65494:CJY65538 CJY131006:CJY131028 CJY131030:CJY131074 CJY196542:CJY196564 CJY196566:CJY196610 CJY262078:CJY262100 CJY262102:CJY262146 CJY327614:CJY327636 CJY327638:CJY327682 CJY393150:CJY393172 CJY393174:CJY393218 CJY458686:CJY458708 CJY458710:CJY458754 CJY524222:CJY524244 CJY524246:CJY524290 CJY589758:CJY589780 CJY589782:CJY589826 CJY655294:CJY655316 CJY655318:CJY655362 CJY720830:CJY720852 CJY720854:CJY720898 CJY786366:CJY786388 CJY786390:CJY786434 CJY851902:CJY851924 CJY851926:CJY851970 CJY917438:CJY917460 CJY917462:CJY917506 CJY982974:CJY982996 CJY982998:CJY983042 CTQ65541:CTQ65544 CTQ131077:CTQ131080 CTQ196613:CTQ196616 CTQ262149:CTQ262152 CTQ327685:CTQ327688 CTQ393221:CTQ393224 CTQ458757:CTQ458760 CTQ524293:CTQ524296 CTQ589829:CTQ589832 CTQ655365:CTQ655368 CTQ720901:CTQ720904 CTQ786437:CTQ786440 CTQ851973:CTQ851976 CTQ917509:CTQ917512 CTQ983045:CTQ983048 CTU65470:CTU65492 CTU65494:CTU65538 CTU131006:CTU131028 CTU131030:CTU131074 CTU196542:CTU196564 CTU196566:CTU196610 CTU262078:CTU262100 CTU262102:CTU262146 CTU327614:CTU327636 CTU327638:CTU327682 CTU393150:CTU393172 CTU393174:CTU393218 CTU458686:CTU458708 CTU458710:CTU458754 CTU524222:CTU524244 CTU524246:CTU524290 CTU589758:CTU589780 CTU589782:CTU589826 CTU655294:CTU655316 CTU655318:CTU655362 CTU720830:CTU720852 CTU720854:CTU720898 CTU786366:CTU786388 CTU786390:CTU786434 CTU851902:CTU851924 CTU851926:CTU851970 CTU917438:CTU917460 CTU917462:CTU917506 CTU982974:CTU982996 CTU982998:CTU983042 DDM65541:DDM65544 DDM131077:DDM131080 DDM196613:DDM196616 DDM262149:DDM262152 DDM327685:DDM327688 DDM393221:DDM393224 DDM458757:DDM458760 DDM524293:DDM524296 DDM589829:DDM589832 DDM655365:DDM655368 DDM720901:DDM720904 DDM786437:DDM786440 DDM851973:DDM851976 DDM917509:DDM917512 DDM983045:DDM983048 DDQ65470:DDQ65492 DDQ65494:DDQ65538 DDQ131006:DDQ131028 DDQ131030:DDQ131074 DDQ196542:DDQ196564 DDQ196566:DDQ196610 DDQ262078:DDQ262100 DDQ262102:DDQ262146 DDQ327614:DDQ327636 DDQ327638:DDQ327682 DDQ393150:DDQ393172 DDQ393174:DDQ393218 DDQ458686:DDQ458708 DDQ458710:DDQ458754 DDQ524222:DDQ524244 DDQ524246:DDQ524290 DDQ589758:DDQ589780 DDQ589782:DDQ589826 DDQ655294:DDQ655316 DDQ655318:DDQ655362 DDQ720830:DDQ720852 DDQ720854:DDQ720898 DDQ786366:DDQ786388 DDQ786390:DDQ786434 DDQ851902:DDQ851924 DDQ851926:DDQ851970 DDQ917438:DDQ917460 DDQ917462:DDQ917506 DDQ982974:DDQ982996 DDQ982998:DDQ983042 DNI65541:DNI65544 DNI131077:DNI131080 DNI196613:DNI196616 DNI262149:DNI262152 DNI327685:DNI327688 DNI393221:DNI393224 DNI458757:DNI458760 DNI524293:DNI524296 DNI589829:DNI589832 DNI655365:DNI655368 DNI720901:DNI720904 DNI786437:DNI786440 DNI851973:DNI851976 DNI917509:DNI917512 DNI983045:DNI983048 DNM65470:DNM65492 DNM65494:DNM65538 DNM131006:DNM131028 DNM131030:DNM131074 DNM196542:DNM196564 DNM196566:DNM196610 DNM262078:DNM262100 DNM262102:DNM262146 DNM327614:DNM327636 DNM327638:DNM327682 DNM393150:DNM393172 DNM393174:DNM393218 DNM458686:DNM458708 DNM458710:DNM458754 DNM524222:DNM524244 DNM524246:DNM524290 DNM589758:DNM589780 DNM589782:DNM589826 DNM655294:DNM655316 DNM655318:DNM655362 DNM720830:DNM720852 DNM720854:DNM720898 DNM786366:DNM786388 DNM786390:DNM786434 DNM851902:DNM851924 DNM851926:DNM851970 DNM917438:DNM917460 DNM917462:DNM917506 DNM982974:DNM982996 DNM982998:DNM983042 DXE65541:DXE65544 DXE131077:DXE131080 DXE196613:DXE196616 DXE262149:DXE262152 DXE327685:DXE327688 DXE393221:DXE393224 DXE458757:DXE458760 DXE524293:DXE524296 DXE589829:DXE589832 DXE655365:DXE655368 DXE720901:DXE720904 DXE786437:DXE786440 DXE851973:DXE851976 DXE917509:DXE917512 DXE983045:DXE983048 DXI65470:DXI65492 DXI65494:DXI65538 DXI131006:DXI131028 DXI131030:DXI131074 DXI196542:DXI196564 DXI196566:DXI196610 DXI262078:DXI262100 DXI262102:DXI262146 DXI327614:DXI327636 DXI327638:DXI327682 DXI393150:DXI393172 DXI393174:DXI393218 DXI458686:DXI458708 DXI458710:DXI458754 DXI524222:DXI524244 DXI524246:DXI524290 DXI589758:DXI589780 DXI589782:DXI589826 DXI655294:DXI655316 DXI655318:DXI655362 DXI720830:DXI720852 DXI720854:DXI720898 DXI786366:DXI786388 DXI786390:DXI786434 DXI851902:DXI851924 DXI851926:DXI851970 DXI917438:DXI917460 DXI917462:DXI917506 DXI982974:DXI982996 DXI982998:DXI983042 EHA65541:EHA65544 EHA131077:EHA131080 EHA196613:EHA196616 EHA262149:EHA262152 EHA327685:EHA327688 EHA393221:EHA393224 EHA458757:EHA458760 EHA524293:EHA524296 EHA589829:EHA589832 EHA655365:EHA655368 EHA720901:EHA720904 EHA786437:EHA786440 EHA851973:EHA851976 EHA917509:EHA917512 EHA983045:EHA983048 EHE65470:EHE65492 EHE65494:EHE65538 EHE131006:EHE131028 EHE131030:EHE131074 EHE196542:EHE196564 EHE196566:EHE196610 EHE262078:EHE262100 EHE262102:EHE262146 EHE327614:EHE327636 EHE327638:EHE327682 EHE393150:EHE393172 EHE393174:EHE393218 EHE458686:EHE458708 EHE458710:EHE458754 EHE524222:EHE524244 EHE524246:EHE524290 EHE589758:EHE589780 EHE589782:EHE589826 EHE655294:EHE655316 EHE655318:EHE655362 EHE720830:EHE720852 EHE720854:EHE720898 EHE786366:EHE786388 EHE786390:EHE786434 EHE851902:EHE851924 EHE851926:EHE851970 EHE917438:EHE917460 EHE917462:EHE917506 EHE982974:EHE982996 EHE982998:EHE983042 EQW65541:EQW65544 EQW131077:EQW131080 EQW196613:EQW196616 EQW262149:EQW262152 EQW327685:EQW327688 EQW393221:EQW393224 EQW458757:EQW458760 EQW524293:EQW524296 EQW589829:EQW589832 EQW655365:EQW655368 EQW720901:EQW720904 EQW786437:EQW786440 EQW851973:EQW851976 EQW917509:EQW917512 EQW983045:EQW983048 ERA65470:ERA65492 ERA65494:ERA65538 ERA131006:ERA131028 ERA131030:ERA131074 ERA196542:ERA196564 ERA196566:ERA196610 ERA262078:ERA262100 ERA262102:ERA262146 ERA327614:ERA327636 ERA327638:ERA327682 ERA393150:ERA393172 ERA393174:ERA393218 ERA458686:ERA458708 ERA458710:ERA458754 ERA524222:ERA524244 ERA524246:ERA524290 ERA589758:ERA589780 ERA589782:ERA589826 ERA655294:ERA655316 ERA655318:ERA655362 ERA720830:ERA720852 ERA720854:ERA720898 ERA786366:ERA786388 ERA786390:ERA786434 ERA851902:ERA851924 ERA851926:ERA851970 ERA917438:ERA917460 ERA917462:ERA917506 ERA982974:ERA982996 ERA982998:ERA983042 FAS65541:FAS65544 FAS131077:FAS131080 FAS196613:FAS196616 FAS262149:FAS262152 FAS327685:FAS327688 FAS393221:FAS393224 FAS458757:FAS458760 FAS524293:FAS524296 FAS589829:FAS589832 FAS655365:FAS655368 FAS720901:FAS720904 FAS786437:FAS786440 FAS851973:FAS851976 FAS917509:FAS917512 FAS983045:FAS983048 FAW65470:FAW65492 FAW65494:FAW65538 FAW131006:FAW131028 FAW131030:FAW131074 FAW196542:FAW196564 FAW196566:FAW196610 FAW262078:FAW262100 FAW262102:FAW262146 FAW327614:FAW327636 FAW327638:FAW327682 FAW393150:FAW393172 FAW393174:FAW393218 FAW458686:FAW458708 FAW458710:FAW458754 FAW524222:FAW524244 FAW524246:FAW524290 FAW589758:FAW589780 FAW589782:FAW589826 FAW655294:FAW655316 FAW655318:FAW655362 FAW720830:FAW720852 FAW720854:FAW720898 FAW786366:FAW786388 FAW786390:FAW786434 FAW851902:FAW851924 FAW851926:FAW851970 FAW917438:FAW917460 FAW917462:FAW917506 FAW982974:FAW982996 FAW982998:FAW983042 FKO65541:FKO65544 FKO131077:FKO131080 FKO196613:FKO196616 FKO262149:FKO262152 FKO327685:FKO327688 FKO393221:FKO393224 FKO458757:FKO458760 FKO524293:FKO524296 FKO589829:FKO589832 FKO655365:FKO655368 FKO720901:FKO720904 FKO786437:FKO786440 FKO851973:FKO851976 FKO917509:FKO917512 FKO983045:FKO983048 FKS65470:FKS65492 FKS65494:FKS65538 FKS131006:FKS131028 FKS131030:FKS131074 FKS196542:FKS196564 FKS196566:FKS196610 FKS262078:FKS262100 FKS262102:FKS262146 FKS327614:FKS327636 FKS327638:FKS327682 FKS393150:FKS393172 FKS393174:FKS393218 FKS458686:FKS458708 FKS458710:FKS458754 FKS524222:FKS524244 FKS524246:FKS524290 FKS589758:FKS589780 FKS589782:FKS589826 FKS655294:FKS655316 FKS655318:FKS655362 FKS720830:FKS720852 FKS720854:FKS720898 FKS786366:FKS786388 FKS786390:FKS786434 FKS851902:FKS851924 FKS851926:FKS851970 FKS917438:FKS917460 FKS917462:FKS917506 FKS982974:FKS982996 FKS982998:FKS983042 FUK65541:FUK65544 FUK131077:FUK131080 FUK196613:FUK196616 FUK262149:FUK262152 FUK327685:FUK327688 FUK393221:FUK393224 FUK458757:FUK458760 FUK524293:FUK524296 FUK589829:FUK589832 FUK655365:FUK655368 FUK720901:FUK720904 FUK786437:FUK786440 FUK851973:FUK851976 FUK917509:FUK917512 FUK983045:FUK983048 FUO65470:FUO65492 FUO65494:FUO65538 FUO131006:FUO131028 FUO131030:FUO131074 FUO196542:FUO196564 FUO196566:FUO196610 FUO262078:FUO262100 FUO262102:FUO262146 FUO327614:FUO327636 FUO327638:FUO327682 FUO393150:FUO393172 FUO393174:FUO393218 FUO458686:FUO458708 FUO458710:FUO458754 FUO524222:FUO524244 FUO524246:FUO524290 FUO589758:FUO589780 FUO589782:FUO589826 FUO655294:FUO655316 FUO655318:FUO655362 FUO720830:FUO720852 FUO720854:FUO720898 FUO786366:FUO786388 FUO786390:FUO786434 FUO851902:FUO851924 FUO851926:FUO851970 FUO917438:FUO917460 FUO917462:FUO917506 FUO982974:FUO982996 FUO982998:FUO983042 GEG65541:GEG65544 GEG131077:GEG131080 GEG196613:GEG196616 GEG262149:GEG262152 GEG327685:GEG327688 GEG393221:GEG393224 GEG458757:GEG458760 GEG524293:GEG524296 GEG589829:GEG589832 GEG655365:GEG655368 GEG720901:GEG720904 GEG786437:GEG786440 GEG851973:GEG851976 GEG917509:GEG917512 GEG983045:GEG983048 GEK65470:GEK65492 GEK65494:GEK65538 GEK131006:GEK131028 GEK131030:GEK131074 GEK196542:GEK196564 GEK196566:GEK196610 GEK262078:GEK262100 GEK262102:GEK262146 GEK327614:GEK327636 GEK327638:GEK327682 GEK393150:GEK393172 GEK393174:GEK393218 GEK458686:GEK458708 GEK458710:GEK458754 GEK524222:GEK524244 GEK524246:GEK524290 GEK589758:GEK589780 GEK589782:GEK589826 GEK655294:GEK655316 GEK655318:GEK655362 GEK720830:GEK720852 GEK720854:GEK720898 GEK786366:GEK786388 GEK786390:GEK786434 GEK851902:GEK851924 GEK851926:GEK851970 GEK917438:GEK917460 GEK917462:GEK917506 GEK982974:GEK982996 GEK982998:GEK983042 GOC65541:GOC65544 GOC131077:GOC131080 GOC196613:GOC196616 GOC262149:GOC262152 GOC327685:GOC327688 GOC393221:GOC393224 GOC458757:GOC458760 GOC524293:GOC524296 GOC589829:GOC589832 GOC655365:GOC655368 GOC720901:GOC720904 GOC786437:GOC786440 GOC851973:GOC851976 GOC917509:GOC917512 GOC983045:GOC983048 GOG65470:GOG65492 GOG65494:GOG65538 GOG131006:GOG131028 GOG131030:GOG131074 GOG196542:GOG196564 GOG196566:GOG196610 GOG262078:GOG262100 GOG262102:GOG262146 GOG327614:GOG327636 GOG327638:GOG327682 GOG393150:GOG393172 GOG393174:GOG393218 GOG458686:GOG458708 GOG458710:GOG458754 GOG524222:GOG524244 GOG524246:GOG524290 GOG589758:GOG589780 GOG589782:GOG589826 GOG655294:GOG655316 GOG655318:GOG655362 GOG720830:GOG720852 GOG720854:GOG720898 GOG786366:GOG786388 GOG786390:GOG786434 GOG851902:GOG851924 GOG851926:GOG851970 GOG917438:GOG917460 GOG917462:GOG917506 GOG982974:GOG982996 GOG982998:GOG983042 GXY65541:GXY65544 GXY131077:GXY131080 GXY196613:GXY196616 GXY262149:GXY262152 GXY327685:GXY327688 GXY393221:GXY393224 GXY458757:GXY458760 GXY524293:GXY524296 GXY589829:GXY589832 GXY655365:GXY655368 GXY720901:GXY720904 GXY786437:GXY786440 GXY851973:GXY851976 GXY917509:GXY917512 GXY983045:GXY983048 GYC65470:GYC65492 GYC65494:GYC65538 GYC131006:GYC131028 GYC131030:GYC131074 GYC196542:GYC196564 GYC196566:GYC196610 GYC262078:GYC262100 GYC262102:GYC262146 GYC327614:GYC327636 GYC327638:GYC327682 GYC393150:GYC393172 GYC393174:GYC393218 GYC458686:GYC458708 GYC458710:GYC458754 GYC524222:GYC524244 GYC524246:GYC524290 GYC589758:GYC589780 GYC589782:GYC589826 GYC655294:GYC655316 GYC655318:GYC655362 GYC720830:GYC720852 GYC720854:GYC720898 GYC786366:GYC786388 GYC786390:GYC786434 GYC851902:GYC851924 GYC851926:GYC851970 GYC917438:GYC917460 GYC917462:GYC917506 GYC982974:GYC982996 GYC982998:GYC983042 HHU65541:HHU65544 HHU131077:HHU131080 HHU196613:HHU196616 HHU262149:HHU262152 HHU327685:HHU327688 HHU393221:HHU393224 HHU458757:HHU458760 HHU524293:HHU524296 HHU589829:HHU589832 HHU655365:HHU655368 HHU720901:HHU720904 HHU786437:HHU786440 HHU851973:HHU851976 HHU917509:HHU917512 HHU983045:HHU983048 HHY65470:HHY65492 HHY65494:HHY65538 HHY131006:HHY131028 HHY131030:HHY131074 HHY196542:HHY196564 HHY196566:HHY196610 HHY262078:HHY262100 HHY262102:HHY262146 HHY327614:HHY327636 HHY327638:HHY327682 HHY393150:HHY393172 HHY393174:HHY393218 HHY458686:HHY458708 HHY458710:HHY458754 HHY524222:HHY524244 HHY524246:HHY524290 HHY589758:HHY589780 HHY589782:HHY589826 HHY655294:HHY655316 HHY655318:HHY655362 HHY720830:HHY720852 HHY720854:HHY720898 HHY786366:HHY786388 HHY786390:HHY786434 HHY851902:HHY851924 HHY851926:HHY851970 HHY917438:HHY917460 HHY917462:HHY917506 HHY982974:HHY982996 HHY982998:HHY983042 HRQ65541:HRQ65544 HRQ131077:HRQ131080 HRQ196613:HRQ196616 HRQ262149:HRQ262152 HRQ327685:HRQ327688 HRQ393221:HRQ393224 HRQ458757:HRQ458760 HRQ524293:HRQ524296 HRQ589829:HRQ589832 HRQ655365:HRQ655368 HRQ720901:HRQ720904 HRQ786437:HRQ786440 HRQ851973:HRQ851976 HRQ917509:HRQ917512 HRQ983045:HRQ983048 HRU65470:HRU65492 HRU65494:HRU65538 HRU131006:HRU131028 HRU131030:HRU131074 HRU196542:HRU196564 HRU196566:HRU196610 HRU262078:HRU262100 HRU262102:HRU262146 HRU327614:HRU327636 HRU327638:HRU327682 HRU393150:HRU393172 HRU393174:HRU393218 HRU458686:HRU458708 HRU458710:HRU458754 HRU524222:HRU524244 HRU524246:HRU524290 HRU589758:HRU589780 HRU589782:HRU589826 HRU655294:HRU655316 HRU655318:HRU655362 HRU720830:HRU720852 HRU720854:HRU720898 HRU786366:HRU786388 HRU786390:HRU786434 HRU851902:HRU851924 HRU851926:HRU851970 HRU917438:HRU917460 HRU917462:HRU917506 HRU982974:HRU982996 HRU982998:HRU983042 IBM65541:IBM65544 IBM131077:IBM131080 IBM196613:IBM196616 IBM262149:IBM262152 IBM327685:IBM327688 IBM393221:IBM393224 IBM458757:IBM458760 IBM524293:IBM524296 IBM589829:IBM589832 IBM655365:IBM655368 IBM720901:IBM720904 IBM786437:IBM786440 IBM851973:IBM851976 IBM917509:IBM917512 IBM983045:IBM983048 IBQ65470:IBQ65492 IBQ65494:IBQ65538 IBQ131006:IBQ131028 IBQ131030:IBQ131074 IBQ196542:IBQ196564 IBQ196566:IBQ196610 IBQ262078:IBQ262100 IBQ262102:IBQ262146 IBQ327614:IBQ327636 IBQ327638:IBQ327682 IBQ393150:IBQ393172 IBQ393174:IBQ393218 IBQ458686:IBQ458708 IBQ458710:IBQ458754 IBQ524222:IBQ524244 IBQ524246:IBQ524290 IBQ589758:IBQ589780 IBQ589782:IBQ589826 IBQ655294:IBQ655316 IBQ655318:IBQ655362 IBQ720830:IBQ720852 IBQ720854:IBQ720898 IBQ786366:IBQ786388 IBQ786390:IBQ786434 IBQ851902:IBQ851924 IBQ851926:IBQ851970 IBQ917438:IBQ917460 IBQ917462:IBQ917506 IBQ982974:IBQ982996 IBQ982998:IBQ983042 ILI65541:ILI65544 ILI131077:ILI131080 ILI196613:ILI196616 ILI262149:ILI262152 ILI327685:ILI327688 ILI393221:ILI393224 ILI458757:ILI458760 ILI524293:ILI524296 ILI589829:ILI589832 ILI655365:ILI655368 ILI720901:ILI720904 ILI786437:ILI786440 ILI851973:ILI851976 ILI917509:ILI917512 ILI983045:ILI983048 ILM65470:ILM65492 ILM65494:ILM65538 ILM131006:ILM131028 ILM131030:ILM131074 ILM196542:ILM196564 ILM196566:ILM196610 ILM262078:ILM262100 ILM262102:ILM262146 ILM327614:ILM327636 ILM327638:ILM327682 ILM393150:ILM393172 ILM393174:ILM393218 ILM458686:ILM458708 ILM458710:ILM458754 ILM524222:ILM524244 ILM524246:ILM524290 ILM589758:ILM589780 ILM589782:ILM589826 ILM655294:ILM655316 ILM655318:ILM655362 ILM720830:ILM720852 ILM720854:ILM720898 ILM786366:ILM786388 ILM786390:ILM786434 ILM851902:ILM851924 ILM851926:ILM851970 ILM917438:ILM917460 ILM917462:ILM917506 ILM982974:ILM982996 ILM982998:ILM983042 IVE65541:IVE65544 IVE131077:IVE131080 IVE196613:IVE196616 IVE262149:IVE262152 IVE327685:IVE327688 IVE393221:IVE393224 IVE458757:IVE458760 IVE524293:IVE524296 IVE589829:IVE589832 IVE655365:IVE655368 IVE720901:IVE720904 IVE786437:IVE786440 IVE851973:IVE851976 IVE917509:IVE917512 IVE983045:IVE983048 IVI65470:IVI65492 IVI65494:IVI65538 IVI131006:IVI131028 IVI131030:IVI131074 IVI196542:IVI196564 IVI196566:IVI196610 IVI262078:IVI262100 IVI262102:IVI262146 IVI327614:IVI327636 IVI327638:IVI327682 IVI393150:IVI393172 IVI393174:IVI393218 IVI458686:IVI458708 IVI458710:IVI458754 IVI524222:IVI524244 IVI524246:IVI524290 IVI589758:IVI589780 IVI589782:IVI589826 IVI655294:IVI655316 IVI655318:IVI655362 IVI720830:IVI720852 IVI720854:IVI720898 IVI786366:IVI786388 IVI786390:IVI786434 IVI851902:IVI851924 IVI851926:IVI851970 IVI917438:IVI917460 IVI917462:IVI917506 IVI982974:IVI982996 IVI982998:IVI983042 JFA65541:JFA65544 JFA131077:JFA131080 JFA196613:JFA196616 JFA262149:JFA262152 JFA327685:JFA327688 JFA393221:JFA393224 JFA458757:JFA458760 JFA524293:JFA524296 JFA589829:JFA589832 JFA655365:JFA655368 JFA720901:JFA720904 JFA786437:JFA786440 JFA851973:JFA851976 JFA917509:JFA917512 JFA983045:JFA983048 JFE65470:JFE65492 JFE65494:JFE65538 JFE131006:JFE131028 JFE131030:JFE131074 JFE196542:JFE196564 JFE196566:JFE196610 JFE262078:JFE262100 JFE262102:JFE262146 JFE327614:JFE327636 JFE327638:JFE327682 JFE393150:JFE393172 JFE393174:JFE393218 JFE458686:JFE458708 JFE458710:JFE458754 JFE524222:JFE524244 JFE524246:JFE524290 JFE589758:JFE589780 JFE589782:JFE589826 JFE655294:JFE655316 JFE655318:JFE655362 JFE720830:JFE720852 JFE720854:JFE720898 JFE786366:JFE786388 JFE786390:JFE786434 JFE851902:JFE851924 JFE851926:JFE851970 JFE917438:JFE917460 JFE917462:JFE917506 JFE982974:JFE982996 JFE982998:JFE983042 JOW65541:JOW65544 JOW131077:JOW131080 JOW196613:JOW196616 JOW262149:JOW262152 JOW327685:JOW327688 JOW393221:JOW393224 JOW458757:JOW458760 JOW524293:JOW524296 JOW589829:JOW589832 JOW655365:JOW655368 JOW720901:JOW720904 JOW786437:JOW786440 JOW851973:JOW851976 JOW917509:JOW917512 JOW983045:JOW983048 JPA65470:JPA65492 JPA65494:JPA65538 JPA131006:JPA131028 JPA131030:JPA131074 JPA196542:JPA196564 JPA196566:JPA196610 JPA262078:JPA262100 JPA262102:JPA262146 JPA327614:JPA327636 JPA327638:JPA327682 JPA393150:JPA393172 JPA393174:JPA393218 JPA458686:JPA458708 JPA458710:JPA458754 JPA524222:JPA524244 JPA524246:JPA524290 JPA589758:JPA589780 JPA589782:JPA589826 JPA655294:JPA655316 JPA655318:JPA655362 JPA720830:JPA720852 JPA720854:JPA720898 JPA786366:JPA786388 JPA786390:JPA786434 JPA851902:JPA851924 JPA851926:JPA851970 JPA917438:JPA917460 JPA917462:JPA917506 JPA982974:JPA982996 JPA982998:JPA983042 JYS65541:JYS65544 JYS131077:JYS131080 JYS196613:JYS196616 JYS262149:JYS262152 JYS327685:JYS327688 JYS393221:JYS393224 JYS458757:JYS458760 JYS524293:JYS524296 JYS589829:JYS589832 JYS655365:JYS655368 JYS720901:JYS720904 JYS786437:JYS786440 JYS851973:JYS851976 JYS917509:JYS917512 JYS983045:JYS983048 JYW65470:JYW65492 JYW65494:JYW65538 JYW131006:JYW131028 JYW131030:JYW131074 JYW196542:JYW196564 JYW196566:JYW196610 JYW262078:JYW262100 JYW262102:JYW262146 JYW327614:JYW327636 JYW327638:JYW327682 JYW393150:JYW393172 JYW393174:JYW393218 JYW458686:JYW458708 JYW458710:JYW458754 JYW524222:JYW524244 JYW524246:JYW524290 JYW589758:JYW589780 JYW589782:JYW589826 JYW655294:JYW655316 JYW655318:JYW655362 JYW720830:JYW720852 JYW720854:JYW720898 JYW786366:JYW786388 JYW786390:JYW786434 JYW851902:JYW851924 JYW851926:JYW851970 JYW917438:JYW917460 JYW917462:JYW917506 JYW982974:JYW982996 JYW982998:JYW983042 KIO65541:KIO65544 KIO131077:KIO131080 KIO196613:KIO196616 KIO262149:KIO262152 KIO327685:KIO327688 KIO393221:KIO393224 KIO458757:KIO458760 KIO524293:KIO524296 KIO589829:KIO589832 KIO655365:KIO655368 KIO720901:KIO720904 KIO786437:KIO786440 KIO851973:KIO851976 KIO917509:KIO917512 KIO983045:KIO983048 KIS65470:KIS65492 KIS65494:KIS65538 KIS131006:KIS131028 KIS131030:KIS131074 KIS196542:KIS196564 KIS196566:KIS196610 KIS262078:KIS262100 KIS262102:KIS262146 KIS327614:KIS327636 KIS327638:KIS327682 KIS393150:KIS393172 KIS393174:KIS393218 KIS458686:KIS458708 KIS458710:KIS458754 KIS524222:KIS524244 KIS524246:KIS524290 KIS589758:KIS589780 KIS589782:KIS589826 KIS655294:KIS655316 KIS655318:KIS655362 KIS720830:KIS720852 KIS720854:KIS720898 KIS786366:KIS786388 KIS786390:KIS786434 KIS851902:KIS851924 KIS851926:KIS851970 KIS917438:KIS917460 KIS917462:KIS917506 KIS982974:KIS982996 KIS982998:KIS983042 KSK65541:KSK65544 KSK131077:KSK131080 KSK196613:KSK196616 KSK262149:KSK262152 KSK327685:KSK327688 KSK393221:KSK393224 KSK458757:KSK458760 KSK524293:KSK524296 KSK589829:KSK589832 KSK655365:KSK655368 KSK720901:KSK720904 KSK786437:KSK786440 KSK851973:KSK851976 KSK917509:KSK917512 KSK983045:KSK983048 KSO65470:KSO65492 KSO65494:KSO65538 KSO131006:KSO131028 KSO131030:KSO131074 KSO196542:KSO196564 KSO196566:KSO196610 KSO262078:KSO262100 KSO262102:KSO262146 KSO327614:KSO327636 KSO327638:KSO327682 KSO393150:KSO393172 KSO393174:KSO393218 KSO458686:KSO458708 KSO458710:KSO458754 KSO524222:KSO524244 KSO524246:KSO524290 KSO589758:KSO589780 KSO589782:KSO589826 KSO655294:KSO655316 KSO655318:KSO655362 KSO720830:KSO720852 KSO720854:KSO720898 KSO786366:KSO786388 KSO786390:KSO786434 KSO851902:KSO851924 KSO851926:KSO851970 KSO917438:KSO917460 KSO917462:KSO917506 KSO982974:KSO982996 KSO982998:KSO983042 LCG65541:LCG65544 LCG131077:LCG131080 LCG196613:LCG196616 LCG262149:LCG262152 LCG327685:LCG327688 LCG393221:LCG393224 LCG458757:LCG458760 LCG524293:LCG524296 LCG589829:LCG589832 LCG655365:LCG655368 LCG720901:LCG720904 LCG786437:LCG786440 LCG851973:LCG851976 LCG917509:LCG917512 LCG983045:LCG983048 LCK65470:LCK65492 LCK65494:LCK65538 LCK131006:LCK131028 LCK131030:LCK131074 LCK196542:LCK196564 LCK196566:LCK196610 LCK262078:LCK262100 LCK262102:LCK262146 LCK327614:LCK327636 LCK327638:LCK327682 LCK393150:LCK393172 LCK393174:LCK393218 LCK458686:LCK458708 LCK458710:LCK458754 LCK524222:LCK524244 LCK524246:LCK524290 LCK589758:LCK589780 LCK589782:LCK589826 LCK655294:LCK655316 LCK655318:LCK655362 LCK720830:LCK720852 LCK720854:LCK720898 LCK786366:LCK786388 LCK786390:LCK786434 LCK851902:LCK851924 LCK851926:LCK851970 LCK917438:LCK917460 LCK917462:LCK917506 LCK982974:LCK982996 LCK982998:LCK983042 LMC65541:LMC65544 LMC131077:LMC131080 LMC196613:LMC196616 LMC262149:LMC262152 LMC327685:LMC327688 LMC393221:LMC393224 LMC458757:LMC458760 LMC524293:LMC524296 LMC589829:LMC589832 LMC655365:LMC655368 LMC720901:LMC720904 LMC786437:LMC786440 LMC851973:LMC851976 LMC917509:LMC917512 LMC983045:LMC983048 LMG65470:LMG65492 LMG65494:LMG65538 LMG131006:LMG131028 LMG131030:LMG131074 LMG196542:LMG196564 LMG196566:LMG196610 LMG262078:LMG262100 LMG262102:LMG262146 LMG327614:LMG327636 LMG327638:LMG327682 LMG393150:LMG393172 LMG393174:LMG393218 LMG458686:LMG458708 LMG458710:LMG458754 LMG524222:LMG524244 LMG524246:LMG524290 LMG589758:LMG589780 LMG589782:LMG589826 LMG655294:LMG655316 LMG655318:LMG655362 LMG720830:LMG720852 LMG720854:LMG720898 LMG786366:LMG786388 LMG786390:LMG786434 LMG851902:LMG851924 LMG851926:LMG851970 LMG917438:LMG917460 LMG917462:LMG917506 LMG982974:LMG982996 LMG982998:LMG983042 LVY65541:LVY65544 LVY131077:LVY131080 LVY196613:LVY196616 LVY262149:LVY262152 LVY327685:LVY327688 LVY393221:LVY393224 LVY458757:LVY458760 LVY524293:LVY524296 LVY589829:LVY589832 LVY655365:LVY655368 LVY720901:LVY720904 LVY786437:LVY786440 LVY851973:LVY851976 LVY917509:LVY917512 LVY983045:LVY983048 LWC65470:LWC65492 LWC65494:LWC65538 LWC131006:LWC131028 LWC131030:LWC131074 LWC196542:LWC196564 LWC196566:LWC196610 LWC262078:LWC262100 LWC262102:LWC262146 LWC327614:LWC327636 LWC327638:LWC327682 LWC393150:LWC393172 LWC393174:LWC393218 LWC458686:LWC458708 LWC458710:LWC458754 LWC524222:LWC524244 LWC524246:LWC524290 LWC589758:LWC589780 LWC589782:LWC589826 LWC655294:LWC655316 LWC655318:LWC655362 LWC720830:LWC720852 LWC720854:LWC720898 LWC786366:LWC786388 LWC786390:LWC786434 LWC851902:LWC851924 LWC851926:LWC851970 LWC917438:LWC917460 LWC917462:LWC917506 LWC982974:LWC982996 LWC982998:LWC983042 MFU65541:MFU65544 MFU131077:MFU131080 MFU196613:MFU196616 MFU262149:MFU262152 MFU327685:MFU327688 MFU393221:MFU393224 MFU458757:MFU458760 MFU524293:MFU524296 MFU589829:MFU589832 MFU655365:MFU655368 MFU720901:MFU720904 MFU786437:MFU786440 MFU851973:MFU851976 MFU917509:MFU917512 MFU983045:MFU983048 MFY65470:MFY65492 MFY65494:MFY65538 MFY131006:MFY131028 MFY131030:MFY131074 MFY196542:MFY196564 MFY196566:MFY196610 MFY262078:MFY262100 MFY262102:MFY262146 MFY327614:MFY327636 MFY327638:MFY327682 MFY393150:MFY393172 MFY393174:MFY393218 MFY458686:MFY458708 MFY458710:MFY458754 MFY524222:MFY524244 MFY524246:MFY524290 MFY589758:MFY589780 MFY589782:MFY589826 MFY655294:MFY655316 MFY655318:MFY655362 MFY720830:MFY720852 MFY720854:MFY720898 MFY786366:MFY786388 MFY786390:MFY786434 MFY851902:MFY851924 MFY851926:MFY851970 MFY917438:MFY917460 MFY917462:MFY917506 MFY982974:MFY982996 MFY982998:MFY983042 MPQ65541:MPQ65544 MPQ131077:MPQ131080 MPQ196613:MPQ196616 MPQ262149:MPQ262152 MPQ327685:MPQ327688 MPQ393221:MPQ393224 MPQ458757:MPQ458760 MPQ524293:MPQ524296 MPQ589829:MPQ589832 MPQ655365:MPQ655368 MPQ720901:MPQ720904 MPQ786437:MPQ786440 MPQ851973:MPQ851976 MPQ917509:MPQ917512 MPQ983045:MPQ983048 MPU65470:MPU65492 MPU65494:MPU65538 MPU131006:MPU131028 MPU131030:MPU131074 MPU196542:MPU196564 MPU196566:MPU196610 MPU262078:MPU262100 MPU262102:MPU262146 MPU327614:MPU327636 MPU327638:MPU327682 MPU393150:MPU393172 MPU393174:MPU393218 MPU458686:MPU458708 MPU458710:MPU458754 MPU524222:MPU524244 MPU524246:MPU524290 MPU589758:MPU589780 MPU589782:MPU589826 MPU655294:MPU655316 MPU655318:MPU655362 MPU720830:MPU720852 MPU720854:MPU720898 MPU786366:MPU786388 MPU786390:MPU786434 MPU851902:MPU851924 MPU851926:MPU851970 MPU917438:MPU917460 MPU917462:MPU917506 MPU982974:MPU982996 MPU982998:MPU983042 MZM65541:MZM65544 MZM131077:MZM131080 MZM196613:MZM196616 MZM262149:MZM262152 MZM327685:MZM327688 MZM393221:MZM393224 MZM458757:MZM458760 MZM524293:MZM524296 MZM589829:MZM589832 MZM655365:MZM655368 MZM720901:MZM720904 MZM786437:MZM786440 MZM851973:MZM851976 MZM917509:MZM917512 MZM983045:MZM983048 MZQ65470:MZQ65492 MZQ65494:MZQ65538 MZQ131006:MZQ131028 MZQ131030:MZQ131074 MZQ196542:MZQ196564 MZQ196566:MZQ196610 MZQ262078:MZQ262100 MZQ262102:MZQ262146 MZQ327614:MZQ327636 MZQ327638:MZQ327682 MZQ393150:MZQ393172 MZQ393174:MZQ393218 MZQ458686:MZQ458708 MZQ458710:MZQ458754 MZQ524222:MZQ524244 MZQ524246:MZQ524290 MZQ589758:MZQ589780 MZQ589782:MZQ589826 MZQ655294:MZQ655316 MZQ655318:MZQ655362 MZQ720830:MZQ720852 MZQ720854:MZQ720898 MZQ786366:MZQ786388 MZQ786390:MZQ786434 MZQ851902:MZQ851924 MZQ851926:MZQ851970 MZQ917438:MZQ917460 MZQ917462:MZQ917506 MZQ982974:MZQ982996 MZQ982998:MZQ983042 NJI65541:NJI65544 NJI131077:NJI131080 NJI196613:NJI196616 NJI262149:NJI262152 NJI327685:NJI327688 NJI393221:NJI393224 NJI458757:NJI458760 NJI524293:NJI524296 NJI589829:NJI589832 NJI655365:NJI655368 NJI720901:NJI720904 NJI786437:NJI786440 NJI851973:NJI851976 NJI917509:NJI917512 NJI983045:NJI983048 NJM65470:NJM65492 NJM65494:NJM65538 NJM131006:NJM131028 NJM131030:NJM131074 NJM196542:NJM196564 NJM196566:NJM196610 NJM262078:NJM262100 NJM262102:NJM262146 NJM327614:NJM327636 NJM327638:NJM327682 NJM393150:NJM393172 NJM393174:NJM393218 NJM458686:NJM458708 NJM458710:NJM458754 NJM524222:NJM524244 NJM524246:NJM524290 NJM589758:NJM589780 NJM589782:NJM589826 NJM655294:NJM655316 NJM655318:NJM655362 NJM720830:NJM720852 NJM720854:NJM720898 NJM786366:NJM786388 NJM786390:NJM786434 NJM851902:NJM851924 NJM851926:NJM851970 NJM917438:NJM917460 NJM917462:NJM917506 NJM982974:NJM982996 NJM982998:NJM983042 NTE65541:NTE65544 NTE131077:NTE131080 NTE196613:NTE196616 NTE262149:NTE262152 NTE327685:NTE327688 NTE393221:NTE393224 NTE458757:NTE458760 NTE524293:NTE524296 NTE589829:NTE589832 NTE655365:NTE655368 NTE720901:NTE720904 NTE786437:NTE786440 NTE851973:NTE851976 NTE917509:NTE917512 NTE983045:NTE983048 NTI65470:NTI65492 NTI65494:NTI65538 NTI131006:NTI131028 NTI131030:NTI131074 NTI196542:NTI196564 NTI196566:NTI196610 NTI262078:NTI262100 NTI262102:NTI262146 NTI327614:NTI327636 NTI327638:NTI327682 NTI393150:NTI393172 NTI393174:NTI393218 NTI458686:NTI458708 NTI458710:NTI458754 NTI524222:NTI524244 NTI524246:NTI524290 NTI589758:NTI589780 NTI589782:NTI589826 NTI655294:NTI655316 NTI655318:NTI655362 NTI720830:NTI720852 NTI720854:NTI720898 NTI786366:NTI786388 NTI786390:NTI786434 NTI851902:NTI851924 NTI851926:NTI851970 NTI917438:NTI917460 NTI917462:NTI917506 NTI982974:NTI982996 NTI982998:NTI983042 ODA65541:ODA65544 ODA131077:ODA131080 ODA196613:ODA196616 ODA262149:ODA262152 ODA327685:ODA327688 ODA393221:ODA393224 ODA458757:ODA458760 ODA524293:ODA524296 ODA589829:ODA589832 ODA655365:ODA655368 ODA720901:ODA720904 ODA786437:ODA786440 ODA851973:ODA851976 ODA917509:ODA917512 ODA983045:ODA983048 ODE65470:ODE65492 ODE65494:ODE65538 ODE131006:ODE131028 ODE131030:ODE131074 ODE196542:ODE196564 ODE196566:ODE196610 ODE262078:ODE262100 ODE262102:ODE262146 ODE327614:ODE327636 ODE327638:ODE327682 ODE393150:ODE393172 ODE393174:ODE393218 ODE458686:ODE458708 ODE458710:ODE458754 ODE524222:ODE524244 ODE524246:ODE524290 ODE589758:ODE589780 ODE589782:ODE589826 ODE655294:ODE655316 ODE655318:ODE655362 ODE720830:ODE720852 ODE720854:ODE720898 ODE786366:ODE786388 ODE786390:ODE786434 ODE851902:ODE851924 ODE851926:ODE851970 ODE917438:ODE917460 ODE917462:ODE917506 ODE982974:ODE982996 ODE982998:ODE983042 OMW65541:OMW65544 OMW131077:OMW131080 OMW196613:OMW196616 OMW262149:OMW262152 OMW327685:OMW327688 OMW393221:OMW393224 OMW458757:OMW458760 OMW524293:OMW524296 OMW589829:OMW589832 OMW655365:OMW655368 OMW720901:OMW720904 OMW786437:OMW786440 OMW851973:OMW851976 OMW917509:OMW917512 OMW983045:OMW983048 ONA65470:ONA65492 ONA65494:ONA65538 ONA131006:ONA131028 ONA131030:ONA131074 ONA196542:ONA196564 ONA196566:ONA196610 ONA262078:ONA262100 ONA262102:ONA262146 ONA327614:ONA327636 ONA327638:ONA327682 ONA393150:ONA393172 ONA393174:ONA393218 ONA458686:ONA458708 ONA458710:ONA458754 ONA524222:ONA524244 ONA524246:ONA524290 ONA589758:ONA589780 ONA589782:ONA589826 ONA655294:ONA655316 ONA655318:ONA655362 ONA720830:ONA720852 ONA720854:ONA720898 ONA786366:ONA786388 ONA786390:ONA786434 ONA851902:ONA851924 ONA851926:ONA851970 ONA917438:ONA917460 ONA917462:ONA917506 ONA982974:ONA982996 ONA982998:ONA983042 OWS65541:OWS65544 OWS131077:OWS131080 OWS196613:OWS196616 OWS262149:OWS262152 OWS327685:OWS327688 OWS393221:OWS393224 OWS458757:OWS458760 OWS524293:OWS524296 OWS589829:OWS589832 OWS655365:OWS655368 OWS720901:OWS720904 OWS786437:OWS786440 OWS851973:OWS851976 OWS917509:OWS917512 OWS983045:OWS983048 OWW65470:OWW65492 OWW65494:OWW65538 OWW131006:OWW131028 OWW131030:OWW131074 OWW196542:OWW196564 OWW196566:OWW196610 OWW262078:OWW262100 OWW262102:OWW262146 OWW327614:OWW327636 OWW327638:OWW327682 OWW393150:OWW393172 OWW393174:OWW393218 OWW458686:OWW458708 OWW458710:OWW458754 OWW524222:OWW524244 OWW524246:OWW524290 OWW589758:OWW589780 OWW589782:OWW589826 OWW655294:OWW655316 OWW655318:OWW655362 OWW720830:OWW720852 OWW720854:OWW720898 OWW786366:OWW786388 OWW786390:OWW786434 OWW851902:OWW851924 OWW851926:OWW851970 OWW917438:OWW917460 OWW917462:OWW917506 OWW982974:OWW982996 OWW982998:OWW983042 PGO65541:PGO65544 PGO131077:PGO131080 PGO196613:PGO196616 PGO262149:PGO262152 PGO327685:PGO327688 PGO393221:PGO393224 PGO458757:PGO458760 PGO524293:PGO524296 PGO589829:PGO589832 PGO655365:PGO655368 PGO720901:PGO720904 PGO786437:PGO786440 PGO851973:PGO851976 PGO917509:PGO917512 PGO983045:PGO983048 PGS65470:PGS65492 PGS65494:PGS65538 PGS131006:PGS131028 PGS131030:PGS131074 PGS196542:PGS196564 PGS196566:PGS196610 PGS262078:PGS262100 PGS262102:PGS262146 PGS327614:PGS327636 PGS327638:PGS327682 PGS393150:PGS393172 PGS393174:PGS393218 PGS458686:PGS458708 PGS458710:PGS458754 PGS524222:PGS524244 PGS524246:PGS524290 PGS589758:PGS589780 PGS589782:PGS589826 PGS655294:PGS655316 PGS655318:PGS655362 PGS720830:PGS720852 PGS720854:PGS720898 PGS786366:PGS786388 PGS786390:PGS786434 PGS851902:PGS851924 PGS851926:PGS851970 PGS917438:PGS917460 PGS917462:PGS917506 PGS982974:PGS982996 PGS982998:PGS983042 PQK65541:PQK65544 PQK131077:PQK131080 PQK196613:PQK196616 PQK262149:PQK262152 PQK327685:PQK327688 PQK393221:PQK393224 PQK458757:PQK458760 PQK524293:PQK524296 PQK589829:PQK589832 PQK655365:PQK655368 PQK720901:PQK720904 PQK786437:PQK786440 PQK851973:PQK851976 PQK917509:PQK917512 PQK983045:PQK983048 PQO65470:PQO65492 PQO65494:PQO65538 PQO131006:PQO131028 PQO131030:PQO131074 PQO196542:PQO196564 PQO196566:PQO196610 PQO262078:PQO262100 PQO262102:PQO262146 PQO327614:PQO327636 PQO327638:PQO327682 PQO393150:PQO393172 PQO393174:PQO393218 PQO458686:PQO458708 PQO458710:PQO458754 PQO524222:PQO524244 PQO524246:PQO524290 PQO589758:PQO589780 PQO589782:PQO589826 PQO655294:PQO655316 PQO655318:PQO655362 PQO720830:PQO720852 PQO720854:PQO720898 PQO786366:PQO786388 PQO786390:PQO786434 PQO851902:PQO851924 PQO851926:PQO851970 PQO917438:PQO917460 PQO917462:PQO917506 PQO982974:PQO982996 PQO982998:PQO983042 QAG65541:QAG65544 QAG131077:QAG131080 QAG196613:QAG196616 QAG262149:QAG262152 QAG327685:QAG327688 QAG393221:QAG393224 QAG458757:QAG458760 QAG524293:QAG524296 QAG589829:QAG589832 QAG655365:QAG655368 QAG720901:QAG720904 QAG786437:QAG786440 QAG851973:QAG851976 QAG917509:QAG917512 QAG983045:QAG983048 QAK65470:QAK65492 QAK65494:QAK65538 QAK131006:QAK131028 QAK131030:QAK131074 QAK196542:QAK196564 QAK196566:QAK196610 QAK262078:QAK262100 QAK262102:QAK262146 QAK327614:QAK327636 QAK327638:QAK327682 QAK393150:QAK393172 QAK393174:QAK393218 QAK458686:QAK458708 QAK458710:QAK458754 QAK524222:QAK524244 QAK524246:QAK524290 QAK589758:QAK589780 QAK589782:QAK589826 QAK655294:QAK655316 QAK655318:QAK655362 QAK720830:QAK720852 QAK720854:QAK720898 QAK786366:QAK786388 QAK786390:QAK786434 QAK851902:QAK851924 QAK851926:QAK851970 QAK917438:QAK917460 QAK917462:QAK917506 QAK982974:QAK982996 QAK982998:QAK983042 QKC65541:QKC65544 QKC131077:QKC131080 QKC196613:QKC196616 QKC262149:QKC262152 QKC327685:QKC327688 QKC393221:QKC393224 QKC458757:QKC458760 QKC524293:QKC524296 QKC589829:QKC589832 QKC655365:QKC655368 QKC720901:QKC720904 QKC786437:QKC786440 QKC851973:QKC851976 QKC917509:QKC917512 QKC983045:QKC983048 QKG65470:QKG65492 QKG65494:QKG65538 QKG131006:QKG131028 QKG131030:QKG131074 QKG196542:QKG196564 QKG196566:QKG196610 QKG262078:QKG262100 QKG262102:QKG262146 QKG327614:QKG327636 QKG327638:QKG327682 QKG393150:QKG393172 QKG393174:QKG393218 QKG458686:QKG458708 QKG458710:QKG458754 QKG524222:QKG524244 QKG524246:QKG524290 QKG589758:QKG589780 QKG589782:QKG589826 QKG655294:QKG655316 QKG655318:QKG655362 QKG720830:QKG720852 QKG720854:QKG720898 QKG786366:QKG786388 QKG786390:QKG786434 QKG851902:QKG851924 QKG851926:QKG851970 QKG917438:QKG917460 QKG917462:QKG917506 QKG982974:QKG982996 QKG982998:QKG983042 QTY65541:QTY65544 QTY131077:QTY131080 QTY196613:QTY196616 QTY262149:QTY262152 QTY327685:QTY327688 QTY393221:QTY393224 QTY458757:QTY458760 QTY524293:QTY524296 QTY589829:QTY589832 QTY655365:QTY655368 QTY720901:QTY720904 QTY786437:QTY786440 QTY851973:QTY851976 QTY917509:QTY917512 QTY983045:QTY983048 QUC65470:QUC65492 QUC65494:QUC65538 QUC131006:QUC131028 QUC131030:QUC131074 QUC196542:QUC196564 QUC196566:QUC196610 QUC262078:QUC262100 QUC262102:QUC262146 QUC327614:QUC327636 QUC327638:QUC327682 QUC393150:QUC393172 QUC393174:QUC393218 QUC458686:QUC458708 QUC458710:QUC458754 QUC524222:QUC524244 QUC524246:QUC524290 QUC589758:QUC589780 QUC589782:QUC589826 QUC655294:QUC655316 QUC655318:QUC655362 QUC720830:QUC720852 QUC720854:QUC720898 QUC786366:QUC786388 QUC786390:QUC786434 QUC851902:QUC851924 QUC851926:QUC851970 QUC917438:QUC917460 QUC917462:QUC917506 QUC982974:QUC982996 QUC982998:QUC983042 RDU65541:RDU65544 RDU131077:RDU131080 RDU196613:RDU196616 RDU262149:RDU262152 RDU327685:RDU327688 RDU393221:RDU393224 RDU458757:RDU458760 RDU524293:RDU524296 RDU589829:RDU589832 RDU655365:RDU655368 RDU720901:RDU720904 RDU786437:RDU786440 RDU851973:RDU851976 RDU917509:RDU917512 RDU983045:RDU983048 RDY65470:RDY65492 RDY65494:RDY65538 RDY131006:RDY131028 RDY131030:RDY131074 RDY196542:RDY196564 RDY196566:RDY196610 RDY262078:RDY262100 RDY262102:RDY262146 RDY327614:RDY327636 RDY327638:RDY327682 RDY393150:RDY393172 RDY393174:RDY393218 RDY458686:RDY458708 RDY458710:RDY458754 RDY524222:RDY524244 RDY524246:RDY524290 RDY589758:RDY589780 RDY589782:RDY589826 RDY655294:RDY655316 RDY655318:RDY655362 RDY720830:RDY720852 RDY720854:RDY720898 RDY786366:RDY786388 RDY786390:RDY786434 RDY851902:RDY851924 RDY851926:RDY851970 RDY917438:RDY917460 RDY917462:RDY917506 RDY982974:RDY982996 RDY982998:RDY983042 RNQ65541:RNQ65544 RNQ131077:RNQ131080 RNQ196613:RNQ196616 RNQ262149:RNQ262152 RNQ327685:RNQ327688 RNQ393221:RNQ393224 RNQ458757:RNQ458760 RNQ524293:RNQ524296 RNQ589829:RNQ589832 RNQ655365:RNQ655368 RNQ720901:RNQ720904 RNQ786437:RNQ786440 RNQ851973:RNQ851976 RNQ917509:RNQ917512 RNQ983045:RNQ983048 RNU65470:RNU65492 RNU65494:RNU65538 RNU131006:RNU131028 RNU131030:RNU131074 RNU196542:RNU196564 RNU196566:RNU196610 RNU262078:RNU262100 RNU262102:RNU262146 RNU327614:RNU327636 RNU327638:RNU327682 RNU393150:RNU393172 RNU393174:RNU393218 RNU458686:RNU458708 RNU458710:RNU458754 RNU524222:RNU524244 RNU524246:RNU524290 RNU589758:RNU589780 RNU589782:RNU589826 RNU655294:RNU655316 RNU655318:RNU655362 RNU720830:RNU720852 RNU720854:RNU720898 RNU786366:RNU786388 RNU786390:RNU786434 RNU851902:RNU851924 RNU851926:RNU851970 RNU917438:RNU917460 RNU917462:RNU917506 RNU982974:RNU982996 RNU982998:RNU983042 RXM65541:RXM65544 RXM131077:RXM131080 RXM196613:RXM196616 RXM262149:RXM262152 RXM327685:RXM327688 RXM393221:RXM393224 RXM458757:RXM458760 RXM524293:RXM524296 RXM589829:RXM589832 RXM655365:RXM655368 RXM720901:RXM720904 RXM786437:RXM786440 RXM851973:RXM851976 RXM917509:RXM917512 RXM983045:RXM983048 RXQ65470:RXQ65492 RXQ65494:RXQ65538 RXQ131006:RXQ131028 RXQ131030:RXQ131074 RXQ196542:RXQ196564 RXQ196566:RXQ196610 RXQ262078:RXQ262100 RXQ262102:RXQ262146 RXQ327614:RXQ327636 RXQ327638:RXQ327682 RXQ393150:RXQ393172 RXQ393174:RXQ393218 RXQ458686:RXQ458708 RXQ458710:RXQ458754 RXQ524222:RXQ524244 RXQ524246:RXQ524290 RXQ589758:RXQ589780 RXQ589782:RXQ589826 RXQ655294:RXQ655316 RXQ655318:RXQ655362 RXQ720830:RXQ720852 RXQ720854:RXQ720898 RXQ786366:RXQ786388 RXQ786390:RXQ786434 RXQ851902:RXQ851924 RXQ851926:RXQ851970 RXQ917438:RXQ917460 RXQ917462:RXQ917506 RXQ982974:RXQ982996 RXQ982998:RXQ983042 SHI65541:SHI65544 SHI131077:SHI131080 SHI196613:SHI196616 SHI262149:SHI262152 SHI327685:SHI327688 SHI393221:SHI393224 SHI458757:SHI458760 SHI524293:SHI524296 SHI589829:SHI589832 SHI655365:SHI655368 SHI720901:SHI720904 SHI786437:SHI786440 SHI851973:SHI851976 SHI917509:SHI917512 SHI983045:SHI983048 SHM65470:SHM65492 SHM65494:SHM65538 SHM131006:SHM131028 SHM131030:SHM131074 SHM196542:SHM196564 SHM196566:SHM196610 SHM262078:SHM262100 SHM262102:SHM262146 SHM327614:SHM327636 SHM327638:SHM327682 SHM393150:SHM393172 SHM393174:SHM393218 SHM458686:SHM458708 SHM458710:SHM458754 SHM524222:SHM524244 SHM524246:SHM524290 SHM589758:SHM589780 SHM589782:SHM589826 SHM655294:SHM655316 SHM655318:SHM655362 SHM720830:SHM720852 SHM720854:SHM720898 SHM786366:SHM786388 SHM786390:SHM786434 SHM851902:SHM851924 SHM851926:SHM851970 SHM917438:SHM917460 SHM917462:SHM917506 SHM982974:SHM982996 SHM982998:SHM983042 SRE65541:SRE65544 SRE131077:SRE131080 SRE196613:SRE196616 SRE262149:SRE262152 SRE327685:SRE327688 SRE393221:SRE393224 SRE458757:SRE458760 SRE524293:SRE524296 SRE589829:SRE589832 SRE655365:SRE655368 SRE720901:SRE720904 SRE786437:SRE786440 SRE851973:SRE851976 SRE917509:SRE917512 SRE983045:SRE983048 SRI65470:SRI65492 SRI65494:SRI65538 SRI131006:SRI131028 SRI131030:SRI131074 SRI196542:SRI196564 SRI196566:SRI196610 SRI262078:SRI262100 SRI262102:SRI262146 SRI327614:SRI327636 SRI327638:SRI327682 SRI393150:SRI393172 SRI393174:SRI393218 SRI458686:SRI458708 SRI458710:SRI458754 SRI524222:SRI524244 SRI524246:SRI524290 SRI589758:SRI589780 SRI589782:SRI589826 SRI655294:SRI655316 SRI655318:SRI655362 SRI720830:SRI720852 SRI720854:SRI720898 SRI786366:SRI786388 SRI786390:SRI786434 SRI851902:SRI851924 SRI851926:SRI851970 SRI917438:SRI917460 SRI917462:SRI917506 SRI982974:SRI982996 SRI982998:SRI983042 TBA65541:TBA65544 TBA131077:TBA131080 TBA196613:TBA196616 TBA262149:TBA262152 TBA327685:TBA327688 TBA393221:TBA393224 TBA458757:TBA458760 TBA524293:TBA524296 TBA589829:TBA589832 TBA655365:TBA655368 TBA720901:TBA720904 TBA786437:TBA786440 TBA851973:TBA851976 TBA917509:TBA917512 TBA983045:TBA983048 TBE65470:TBE65492 TBE65494:TBE65538 TBE131006:TBE131028 TBE131030:TBE131074 TBE196542:TBE196564 TBE196566:TBE196610 TBE262078:TBE262100 TBE262102:TBE262146 TBE327614:TBE327636 TBE327638:TBE327682 TBE393150:TBE393172 TBE393174:TBE393218 TBE458686:TBE458708 TBE458710:TBE458754 TBE524222:TBE524244 TBE524246:TBE524290 TBE589758:TBE589780 TBE589782:TBE589826 TBE655294:TBE655316 TBE655318:TBE655362 TBE720830:TBE720852 TBE720854:TBE720898 TBE786366:TBE786388 TBE786390:TBE786434 TBE851902:TBE851924 TBE851926:TBE851970 TBE917438:TBE917460 TBE917462:TBE917506 TBE982974:TBE982996 TBE982998:TBE983042 TKW65541:TKW65544 TKW131077:TKW131080 TKW196613:TKW196616 TKW262149:TKW262152 TKW327685:TKW327688 TKW393221:TKW393224 TKW458757:TKW458760 TKW524293:TKW524296 TKW589829:TKW589832 TKW655365:TKW655368 TKW720901:TKW720904 TKW786437:TKW786440 TKW851973:TKW851976 TKW917509:TKW917512 TKW983045:TKW983048 TLA65470:TLA65492 TLA65494:TLA65538 TLA131006:TLA131028 TLA131030:TLA131074 TLA196542:TLA196564 TLA196566:TLA196610 TLA262078:TLA262100 TLA262102:TLA262146 TLA327614:TLA327636 TLA327638:TLA327682 TLA393150:TLA393172 TLA393174:TLA393218 TLA458686:TLA458708 TLA458710:TLA458754 TLA524222:TLA524244 TLA524246:TLA524290 TLA589758:TLA589780 TLA589782:TLA589826 TLA655294:TLA655316 TLA655318:TLA655362 TLA720830:TLA720852 TLA720854:TLA720898 TLA786366:TLA786388 TLA786390:TLA786434 TLA851902:TLA851924 TLA851926:TLA851970 TLA917438:TLA917460 TLA917462:TLA917506 TLA982974:TLA982996 TLA982998:TLA983042 TUS65541:TUS65544 TUS131077:TUS131080 TUS196613:TUS196616 TUS262149:TUS262152 TUS327685:TUS327688 TUS393221:TUS393224 TUS458757:TUS458760 TUS524293:TUS524296 TUS589829:TUS589832 TUS655365:TUS655368 TUS720901:TUS720904 TUS786437:TUS786440 TUS851973:TUS851976 TUS917509:TUS917512 TUS983045:TUS983048 TUW65470:TUW65492 TUW65494:TUW65538 TUW131006:TUW131028 TUW131030:TUW131074 TUW196542:TUW196564 TUW196566:TUW196610 TUW262078:TUW262100 TUW262102:TUW262146 TUW327614:TUW327636 TUW327638:TUW327682 TUW393150:TUW393172 TUW393174:TUW393218 TUW458686:TUW458708 TUW458710:TUW458754 TUW524222:TUW524244 TUW524246:TUW524290 TUW589758:TUW589780 TUW589782:TUW589826 TUW655294:TUW655316 TUW655318:TUW655362 TUW720830:TUW720852 TUW720854:TUW720898 TUW786366:TUW786388 TUW786390:TUW786434 TUW851902:TUW851924 TUW851926:TUW851970 TUW917438:TUW917460 TUW917462:TUW917506 TUW982974:TUW982996 TUW982998:TUW983042 UEO65541:UEO65544 UEO131077:UEO131080 UEO196613:UEO196616 UEO262149:UEO262152 UEO327685:UEO327688 UEO393221:UEO393224 UEO458757:UEO458760 UEO524293:UEO524296 UEO589829:UEO589832 UEO655365:UEO655368 UEO720901:UEO720904 UEO786437:UEO786440 UEO851973:UEO851976 UEO917509:UEO917512 UEO983045:UEO983048 UES65470:UES65492 UES65494:UES65538 UES131006:UES131028 UES131030:UES131074 UES196542:UES196564 UES196566:UES196610 UES262078:UES262100 UES262102:UES262146 UES327614:UES327636 UES327638:UES327682 UES393150:UES393172 UES393174:UES393218 UES458686:UES458708 UES458710:UES458754 UES524222:UES524244 UES524246:UES524290 UES589758:UES589780 UES589782:UES589826 UES655294:UES655316 UES655318:UES655362 UES720830:UES720852 UES720854:UES720898 UES786366:UES786388 UES786390:UES786434 UES851902:UES851924 UES851926:UES851970 UES917438:UES917460 UES917462:UES917506 UES982974:UES982996 UES982998:UES983042 UOK65541:UOK65544 UOK131077:UOK131080 UOK196613:UOK196616 UOK262149:UOK262152 UOK327685:UOK327688 UOK393221:UOK393224 UOK458757:UOK458760 UOK524293:UOK524296 UOK589829:UOK589832 UOK655365:UOK655368 UOK720901:UOK720904 UOK786437:UOK786440 UOK851973:UOK851976 UOK917509:UOK917512 UOK983045:UOK983048 UOO65470:UOO65492 UOO65494:UOO65538 UOO131006:UOO131028 UOO131030:UOO131074 UOO196542:UOO196564 UOO196566:UOO196610 UOO262078:UOO262100 UOO262102:UOO262146 UOO327614:UOO327636 UOO327638:UOO327682 UOO393150:UOO393172 UOO393174:UOO393218 UOO458686:UOO458708 UOO458710:UOO458754 UOO524222:UOO524244 UOO524246:UOO524290 UOO589758:UOO589780 UOO589782:UOO589826 UOO655294:UOO655316 UOO655318:UOO655362 UOO720830:UOO720852 UOO720854:UOO720898 UOO786366:UOO786388 UOO786390:UOO786434 UOO851902:UOO851924 UOO851926:UOO851970 UOO917438:UOO917460 UOO917462:UOO917506 UOO982974:UOO982996 UOO982998:UOO983042 UYG65541:UYG65544 UYG131077:UYG131080 UYG196613:UYG196616 UYG262149:UYG262152 UYG327685:UYG327688 UYG393221:UYG393224 UYG458757:UYG458760 UYG524293:UYG524296 UYG589829:UYG589832 UYG655365:UYG655368 UYG720901:UYG720904 UYG786437:UYG786440 UYG851973:UYG851976 UYG917509:UYG917512 UYG983045:UYG983048 UYK65470:UYK65492 UYK65494:UYK65538 UYK131006:UYK131028 UYK131030:UYK131074 UYK196542:UYK196564 UYK196566:UYK196610 UYK262078:UYK262100 UYK262102:UYK262146 UYK327614:UYK327636 UYK327638:UYK327682 UYK393150:UYK393172 UYK393174:UYK393218 UYK458686:UYK458708 UYK458710:UYK458754 UYK524222:UYK524244 UYK524246:UYK524290 UYK589758:UYK589780 UYK589782:UYK589826 UYK655294:UYK655316 UYK655318:UYK655362 UYK720830:UYK720852 UYK720854:UYK720898 UYK786366:UYK786388 UYK786390:UYK786434 UYK851902:UYK851924 UYK851926:UYK851970 UYK917438:UYK917460 UYK917462:UYK917506 UYK982974:UYK982996 UYK982998:UYK983042 VIC65541:VIC65544 VIC131077:VIC131080 VIC196613:VIC196616 VIC262149:VIC262152 VIC327685:VIC327688 VIC393221:VIC393224 VIC458757:VIC458760 VIC524293:VIC524296 VIC589829:VIC589832 VIC655365:VIC655368 VIC720901:VIC720904 VIC786437:VIC786440 VIC851973:VIC851976 VIC917509:VIC917512 VIC983045:VIC983048 VIG65470:VIG65492 VIG65494:VIG65538 VIG131006:VIG131028 VIG131030:VIG131074 VIG196542:VIG196564 VIG196566:VIG196610 VIG262078:VIG262100 VIG262102:VIG262146 VIG327614:VIG327636 VIG327638:VIG327682 VIG393150:VIG393172 VIG393174:VIG393218 VIG458686:VIG458708 VIG458710:VIG458754 VIG524222:VIG524244 VIG524246:VIG524290 VIG589758:VIG589780 VIG589782:VIG589826 VIG655294:VIG655316 VIG655318:VIG655362 VIG720830:VIG720852 VIG720854:VIG720898 VIG786366:VIG786388 VIG786390:VIG786434 VIG851902:VIG851924 VIG851926:VIG851970 VIG917438:VIG917460 VIG917462:VIG917506 VIG982974:VIG982996 VIG982998:VIG983042 VRY65541:VRY65544 VRY131077:VRY131080 VRY196613:VRY196616 VRY262149:VRY262152 VRY327685:VRY327688 VRY393221:VRY393224 VRY458757:VRY458760 VRY524293:VRY524296 VRY589829:VRY589832 VRY655365:VRY655368 VRY720901:VRY720904 VRY786437:VRY786440 VRY851973:VRY851976 VRY917509:VRY917512 VRY983045:VRY983048 VSC65470:VSC65492 VSC65494:VSC65538 VSC131006:VSC131028 VSC131030:VSC131074 VSC196542:VSC196564 VSC196566:VSC196610 VSC262078:VSC262100 VSC262102:VSC262146 VSC327614:VSC327636 VSC327638:VSC327682 VSC393150:VSC393172 VSC393174:VSC393218 VSC458686:VSC458708 VSC458710:VSC458754 VSC524222:VSC524244 VSC524246:VSC524290 VSC589758:VSC589780 VSC589782:VSC589826 VSC655294:VSC655316 VSC655318:VSC655362 VSC720830:VSC720852 VSC720854:VSC720898 VSC786366:VSC786388 VSC786390:VSC786434 VSC851902:VSC851924 VSC851926:VSC851970 VSC917438:VSC917460 VSC917462:VSC917506 VSC982974:VSC982996 VSC982998:VSC983042 WBU65541:WBU65544 WBU131077:WBU131080 WBU196613:WBU196616 WBU262149:WBU262152 WBU327685:WBU327688 WBU393221:WBU393224 WBU458757:WBU458760 WBU524293:WBU524296 WBU589829:WBU589832 WBU655365:WBU655368 WBU720901:WBU720904 WBU786437:WBU786440 WBU851973:WBU851976 WBU917509:WBU917512 WBU983045:WBU983048 WBY65470:WBY65492 WBY65494:WBY65538 WBY131006:WBY131028 WBY131030:WBY131074 WBY196542:WBY196564 WBY196566:WBY196610 WBY262078:WBY262100 WBY262102:WBY262146 WBY327614:WBY327636 WBY327638:WBY327682 WBY393150:WBY393172 WBY393174:WBY393218 WBY458686:WBY458708 WBY458710:WBY458754 WBY524222:WBY524244 WBY524246:WBY524290 WBY589758:WBY589780 WBY589782:WBY589826 WBY655294:WBY655316 WBY655318:WBY655362 WBY720830:WBY720852 WBY720854:WBY720898 WBY786366:WBY786388 WBY786390:WBY786434 WBY851902:WBY851924 WBY851926:WBY851970 WBY917438:WBY917460 WBY917462:WBY917506 WBY982974:WBY982996 WBY982998:WBY983042 WLQ65541:WLQ65544 WLQ131077:WLQ131080 WLQ196613:WLQ196616 WLQ262149:WLQ262152 WLQ327685:WLQ327688 WLQ393221:WLQ393224 WLQ458757:WLQ458760 WLQ524293:WLQ524296 WLQ589829:WLQ589832 WLQ655365:WLQ655368 WLQ720901:WLQ720904 WLQ786437:WLQ786440 WLQ851973:WLQ851976 WLQ917509:WLQ917512 WLQ983045:WLQ983048 WLU65470:WLU65492 WLU65494:WLU65538 WLU131006:WLU131028 WLU131030:WLU131074 WLU196542:WLU196564 WLU196566:WLU196610 WLU262078:WLU262100 WLU262102:WLU262146 WLU327614:WLU327636 WLU327638:WLU327682 WLU393150:WLU393172 WLU393174:WLU393218 WLU458686:WLU458708 WLU458710:WLU458754 WLU524222:WLU524244 WLU524246:WLU524290 WLU589758:WLU589780 WLU589782:WLU589826 WLU655294:WLU655316 WLU655318:WLU655362 WLU720830:WLU720852 WLU720854:WLU720898 WLU786366:WLU786388 WLU786390:WLU786434 WLU851902:WLU851924 WLU851926:WLU851970 WLU917438:WLU917460 WLU917462:WLU917506 WLU982974:WLU982996 WLU982998:WLU983042 WVM65541:WVM65544 WVM131077:WVM131080 WVM196613:WVM196616 WVM262149:WVM262152 WVM327685:WVM327688 WVM393221:WVM393224 WVM458757:WVM458760 WVM524293:WVM524296 WVM589829:WVM589832 WVM655365:WVM655368 WVM720901:WVM720904 WVM786437:WVM786440 WVM851973:WVM851976 WVM917509:WVM917512 WVM983045:WVM983048 WVQ65470:WVQ65492 WVQ65494:WVQ65538 WVQ131006:WVQ131028 WVQ131030:WVQ131074 WVQ196542:WVQ196564 WVQ196566:WVQ196610 WVQ262078:WVQ262100 WVQ262102:WVQ262146 WVQ327614:WVQ327636 WVQ327638:WVQ327682 WVQ393150:WVQ393172 WVQ393174:WVQ393218 WVQ458686:WVQ458708 WVQ458710:WVQ458754 WVQ524222:WVQ524244 WVQ524246:WVQ524290 WVQ589758:WVQ589780 WVQ589782:WVQ589826 WVQ655294:WVQ655316 WVQ655318:WVQ655362 WVQ720830:WVQ720852 WVQ720854:WVQ720898 WVQ786366:WVQ786388 WVQ786390:WVQ786434 WVQ851902:WVQ851924 WVQ851926:WVQ851970 WVQ917438:WVQ917460 WVQ917462:WVQ917506 WVQ982974:WVQ982996 WVQ982998:WVQ983042" xr:uid="{00000000-0002-0000-0500-000000000000}">
      <formula1>"■基线,□观测项"</formula1>
    </dataValidation>
    <dataValidation type="list" allowBlank="1" showInputMessage="1" showErrorMessage="1" sqref="F65539 JB65539 SX65539 ACT65539 AMP65539 AWL65539 BGH65539 BQD65539 BZZ65539 CJV65539 CTR65539 DDN65539 DNJ65539 DXF65539 EHB65539 EQX65539 FAT65539 FKP65539 FUL65539 GEH65539 GOD65539 GXZ65539 HHV65539 HRR65539 IBN65539 ILJ65539 IVF65539 JFB65539 JOX65539 JYT65539 KIP65539 KSL65539 LCH65539 LMD65539 LVZ65539 MFV65539 MPR65539 MZN65539 NJJ65539 NTF65539 ODB65539 OMX65539 OWT65539 PGP65539 PQL65539 QAH65539 QKD65539 QTZ65539 RDV65539 RNR65539 RXN65539 SHJ65539 SRF65539 TBB65539 TKX65539 TUT65539 UEP65539 UOL65539 UYH65539 VID65539 VRZ65539 WBV65539 WLR65539 WVN65539 F131075 JB131075 SX131075 ACT131075 AMP131075 AWL131075 BGH131075 BQD131075 BZZ131075 CJV131075 CTR131075 DDN131075 DNJ131075 DXF131075 EHB131075 EQX131075 FAT131075 FKP131075 FUL131075 GEH131075 GOD131075 GXZ131075 HHV131075 HRR131075 IBN131075 ILJ131075 IVF131075 JFB131075 JOX131075 JYT131075 KIP131075 KSL131075 LCH131075 LMD131075 LVZ131075 MFV131075 MPR131075 MZN131075 NJJ131075 NTF131075 ODB131075 OMX131075 OWT131075 PGP131075 PQL131075 QAH131075 QKD131075 QTZ131075 RDV131075 RNR131075 RXN131075 SHJ131075 SRF131075 TBB131075 TKX131075 TUT131075 UEP131075 UOL131075 UYH131075 VID131075 VRZ131075 WBV131075 WLR131075 WVN131075 F196611 JB196611 SX196611 ACT196611 AMP196611 AWL196611 BGH196611 BQD196611 BZZ196611 CJV196611 CTR196611 DDN196611 DNJ196611 DXF196611 EHB196611 EQX196611 FAT196611 FKP196611 FUL196611 GEH196611 GOD196611 GXZ196611 HHV196611 HRR196611 IBN196611 ILJ196611 IVF196611 JFB196611 JOX196611 JYT196611 KIP196611 KSL196611 LCH196611 LMD196611 LVZ196611 MFV196611 MPR196611 MZN196611 NJJ196611 NTF196611 ODB196611 OMX196611 OWT196611 PGP196611 PQL196611 QAH196611 QKD196611 QTZ196611 RDV196611 RNR196611 RXN196611 SHJ196611 SRF196611 TBB196611 TKX196611 TUT196611 UEP196611 UOL196611 UYH196611 VID196611 VRZ196611 WBV196611 WLR196611 WVN196611 F262147 JB262147 SX262147 ACT262147 AMP262147 AWL262147 BGH262147 BQD262147 BZZ262147 CJV262147 CTR262147 DDN262147 DNJ262147 DXF262147 EHB262147 EQX262147 FAT262147 FKP262147 FUL262147 GEH262147 GOD262147 GXZ262147 HHV262147 HRR262147 IBN262147 ILJ262147 IVF262147 JFB262147 JOX262147 JYT262147 KIP262147 KSL262147 LCH262147 LMD262147 LVZ262147 MFV262147 MPR262147 MZN262147 NJJ262147 NTF262147 ODB262147 OMX262147 OWT262147 PGP262147 PQL262147 QAH262147 QKD262147 QTZ262147 RDV262147 RNR262147 RXN262147 SHJ262147 SRF262147 TBB262147 TKX262147 TUT262147 UEP262147 UOL262147 UYH262147 VID262147 VRZ262147 WBV262147 WLR262147 WVN262147 F327683 JB327683 SX327683 ACT327683 AMP327683 AWL327683 BGH327683 BQD327683 BZZ327683 CJV327683 CTR327683 DDN327683 DNJ327683 DXF327683 EHB327683 EQX327683 FAT327683 FKP327683 FUL327683 GEH327683 GOD327683 GXZ327683 HHV327683 HRR327683 IBN327683 ILJ327683 IVF327683 JFB327683 JOX327683 JYT327683 KIP327683 KSL327683 LCH327683 LMD327683 LVZ327683 MFV327683 MPR327683 MZN327683 NJJ327683 NTF327683 ODB327683 OMX327683 OWT327683 PGP327683 PQL327683 QAH327683 QKD327683 QTZ327683 RDV327683 RNR327683 RXN327683 SHJ327683 SRF327683 TBB327683 TKX327683 TUT327683 UEP327683 UOL327683 UYH327683 VID327683 VRZ327683 WBV327683 WLR327683 WVN327683 F393219 JB393219 SX393219 ACT393219 AMP393219 AWL393219 BGH393219 BQD393219 BZZ393219 CJV393219 CTR393219 DDN393219 DNJ393219 DXF393219 EHB393219 EQX393219 FAT393219 FKP393219 FUL393219 GEH393219 GOD393219 GXZ393219 HHV393219 HRR393219 IBN393219 ILJ393219 IVF393219 JFB393219 JOX393219 JYT393219 KIP393219 KSL393219 LCH393219 LMD393219 LVZ393219 MFV393219 MPR393219 MZN393219 NJJ393219 NTF393219 ODB393219 OMX393219 OWT393219 PGP393219 PQL393219 QAH393219 QKD393219 QTZ393219 RDV393219 RNR393219 RXN393219 SHJ393219 SRF393219 TBB393219 TKX393219 TUT393219 UEP393219 UOL393219 UYH393219 VID393219 VRZ393219 WBV393219 WLR393219 WVN393219 F458755 JB458755 SX458755 ACT458755 AMP458755 AWL458755 BGH458755 BQD458755 BZZ458755 CJV458755 CTR458755 DDN458755 DNJ458755 DXF458755 EHB458755 EQX458755 FAT458755 FKP458755 FUL458755 GEH458755 GOD458755 GXZ458755 HHV458755 HRR458755 IBN458755 ILJ458755 IVF458755 JFB458755 JOX458755 JYT458755 KIP458755 KSL458755 LCH458755 LMD458755 LVZ458755 MFV458755 MPR458755 MZN458755 NJJ458755 NTF458755 ODB458755 OMX458755 OWT458755 PGP458755 PQL458755 QAH458755 QKD458755 QTZ458755 RDV458755 RNR458755 RXN458755 SHJ458755 SRF458755 TBB458755 TKX458755 TUT458755 UEP458755 UOL458755 UYH458755 VID458755 VRZ458755 WBV458755 WLR458755 WVN458755 F524291 JB524291 SX524291 ACT524291 AMP524291 AWL524291 BGH524291 BQD524291 BZZ524291 CJV524291 CTR524291 DDN524291 DNJ524291 DXF524291 EHB524291 EQX524291 FAT524291 FKP524291 FUL524291 GEH524291 GOD524291 GXZ524291 HHV524291 HRR524291 IBN524291 ILJ524291 IVF524291 JFB524291 JOX524291 JYT524291 KIP524291 KSL524291 LCH524291 LMD524291 LVZ524291 MFV524291 MPR524291 MZN524291 NJJ524291 NTF524291 ODB524291 OMX524291 OWT524291 PGP524291 PQL524291 QAH524291 QKD524291 QTZ524291 RDV524291 RNR524291 RXN524291 SHJ524291 SRF524291 TBB524291 TKX524291 TUT524291 UEP524291 UOL524291 UYH524291 VID524291 VRZ524291 WBV524291 WLR524291 WVN524291 F589827 JB589827 SX589827 ACT589827 AMP589827 AWL589827 BGH589827 BQD589827 BZZ589827 CJV589827 CTR589827 DDN589827 DNJ589827 DXF589827 EHB589827 EQX589827 FAT589827 FKP589827 FUL589827 GEH589827 GOD589827 GXZ589827 HHV589827 HRR589827 IBN589827 ILJ589827 IVF589827 JFB589827 JOX589827 JYT589827 KIP589827 KSL589827 LCH589827 LMD589827 LVZ589827 MFV589827 MPR589827 MZN589827 NJJ589827 NTF589827 ODB589827 OMX589827 OWT589827 PGP589827 PQL589827 QAH589827 QKD589827 QTZ589827 RDV589827 RNR589827 RXN589827 SHJ589827 SRF589827 TBB589827 TKX589827 TUT589827 UEP589827 UOL589827 UYH589827 VID589827 VRZ589827 WBV589827 WLR589827 WVN589827 F655363 JB655363 SX655363 ACT655363 AMP655363 AWL655363 BGH655363 BQD655363 BZZ655363 CJV655363 CTR655363 DDN655363 DNJ655363 DXF655363 EHB655363 EQX655363 FAT655363 FKP655363 FUL655363 GEH655363 GOD655363 GXZ655363 HHV655363 HRR655363 IBN655363 ILJ655363 IVF655363 JFB655363 JOX655363 JYT655363 KIP655363 KSL655363 LCH655363 LMD655363 LVZ655363 MFV655363 MPR655363 MZN655363 NJJ655363 NTF655363 ODB655363 OMX655363 OWT655363 PGP655363 PQL655363 QAH655363 QKD655363 QTZ655363 RDV655363 RNR655363 RXN655363 SHJ655363 SRF655363 TBB655363 TKX655363 TUT655363 UEP655363 UOL655363 UYH655363 VID655363 VRZ655363 WBV655363 WLR655363 WVN655363 F720899 JB720899 SX720899 ACT720899 AMP720899 AWL720899 BGH720899 BQD720899 BZZ720899 CJV720899 CTR720899 DDN720899 DNJ720899 DXF720899 EHB720899 EQX720899 FAT720899 FKP720899 FUL720899 GEH720899 GOD720899 GXZ720899 HHV720899 HRR720899 IBN720899 ILJ720899 IVF720899 JFB720899 JOX720899 JYT720899 KIP720899 KSL720899 LCH720899 LMD720899 LVZ720899 MFV720899 MPR720899 MZN720899 NJJ720899 NTF720899 ODB720899 OMX720899 OWT720899 PGP720899 PQL720899 QAH720899 QKD720899 QTZ720899 RDV720899 RNR720899 RXN720899 SHJ720899 SRF720899 TBB720899 TKX720899 TUT720899 UEP720899 UOL720899 UYH720899 VID720899 VRZ720899 WBV720899 WLR720899 WVN720899 F786435 JB786435 SX786435 ACT786435 AMP786435 AWL786435 BGH786435 BQD786435 BZZ786435 CJV786435 CTR786435 DDN786435 DNJ786435 DXF786435 EHB786435 EQX786435 FAT786435 FKP786435 FUL786435 GEH786435 GOD786435 GXZ786435 HHV786435 HRR786435 IBN786435 ILJ786435 IVF786435 JFB786435 JOX786435 JYT786435 KIP786435 KSL786435 LCH786435 LMD786435 LVZ786435 MFV786435 MPR786435 MZN786435 NJJ786435 NTF786435 ODB786435 OMX786435 OWT786435 PGP786435 PQL786435 QAH786435 QKD786435 QTZ786435 RDV786435 RNR786435 RXN786435 SHJ786435 SRF786435 TBB786435 TKX786435 TUT786435 UEP786435 UOL786435 UYH786435 VID786435 VRZ786435 WBV786435 WLR786435 WVN786435 F851971 JB851971 SX851971 ACT851971 AMP851971 AWL851971 BGH851971 BQD851971 BZZ851971 CJV851971 CTR851971 DDN851971 DNJ851971 DXF851971 EHB851971 EQX851971 FAT851971 FKP851971 FUL851971 GEH851971 GOD851971 GXZ851971 HHV851971 HRR851971 IBN851971 ILJ851971 IVF851971 JFB851971 JOX851971 JYT851971 KIP851971 KSL851971 LCH851971 LMD851971 LVZ851971 MFV851971 MPR851971 MZN851971 NJJ851971 NTF851971 ODB851971 OMX851971 OWT851971 PGP851971 PQL851971 QAH851971 QKD851971 QTZ851971 RDV851971 RNR851971 RXN851971 SHJ851971 SRF851971 TBB851971 TKX851971 TUT851971 UEP851971 UOL851971 UYH851971 VID851971 VRZ851971 WBV851971 WLR851971 WVN851971 F917507 JB917507 SX917507 ACT917507 AMP917507 AWL917507 BGH917507 BQD917507 BZZ917507 CJV917507 CTR917507 DDN917507 DNJ917507 DXF917507 EHB917507 EQX917507 FAT917507 FKP917507 FUL917507 GEH917507 GOD917507 GXZ917507 HHV917507 HRR917507 IBN917507 ILJ917507 IVF917507 JFB917507 JOX917507 JYT917507 KIP917507 KSL917507 LCH917507 LMD917507 LVZ917507 MFV917507 MPR917507 MZN917507 NJJ917507 NTF917507 ODB917507 OMX917507 OWT917507 PGP917507 PQL917507 QAH917507 QKD917507 QTZ917507 RDV917507 RNR917507 RXN917507 SHJ917507 SRF917507 TBB917507 TKX917507 TUT917507 UEP917507 UOL917507 UYH917507 VID917507 VRZ917507 WBV917507 WLR917507 WVN917507 F983043 JB983043 SX983043 ACT983043 AMP983043 AWL983043 BGH983043 BQD983043 BZZ983043 CJV983043 CTR983043 DDN983043 DNJ983043 DXF983043 EHB983043 EQX983043 FAT983043 FKP983043 FUL983043 GEH983043 GOD983043 GXZ983043 HHV983043 HRR983043 IBN983043 ILJ983043 IVF983043 JFB983043 JOX983043 JYT983043 KIP983043 KSL983043 LCH983043 LMD983043 LVZ983043 MFV983043 MPR983043 MZN983043 NJJ983043 NTF983043 ODB983043 OMX983043 OWT983043 PGP983043 PQL983043 QAH983043 QKD983043 QTZ983043 RDV983043 RNR983043 RXN983043 SHJ983043 SRF983043 TBB983043 TKX983043 TUT983043 UEP983043 UOL983043 UYH983043 VID983043 VRZ983043 WBV983043 WLR983043 WVN983043 F65541:F65548 F131077:F131084 F196613:F196620 F262149:F262156 F327685:F327692 F393221:F393228 F458757:F458764 F524293:F524300 F589829:F589836 F655365:F655372 F720901:F720908 F786437:F786444 F851973:F851980 F917509:F917516 F983045:F983052 J65470:J65492 J65494:J65538 J131006:J131028 J131030:J131074 J196542:J196564 J196566:J196610 J262078:J262100 J262102:J262146 J327614:J327636 J327638:J327682 J393150:J393172 J393174:J393218 J458686:J458708 J458710:J458754 J524222:J524244 J524246:J524290 J589758:J589780 J589782:J589826 J655294:J655316 J655318:J655362 J720830:J720852 J720854:J720898 J786366:J786388 J786390:J786434 J851902:J851924 J851926:J851970 J917438:J917460 J917462:J917506 J982974:J982996 J982998:J983042 JB65541:JB65548 JB131077:JB131084 JB196613:JB196620 JB262149:JB262156 JB327685:JB327692 JB393221:JB393228 JB458757:JB458764 JB524293:JB524300 JB589829:JB589836 JB655365:JB655372 JB720901:JB720908 JB786437:JB786444 JB851973:JB851980 JB917509:JB917516 JB983045:JB983052 JF65470:JF65492 JF65494:JF65538 JF131006:JF131028 JF131030:JF131074 JF196542:JF196564 JF196566:JF196610 JF262078:JF262100 JF262102:JF262146 JF327614:JF327636 JF327638:JF327682 JF393150:JF393172 JF393174:JF393218 JF458686:JF458708 JF458710:JF458754 JF524222:JF524244 JF524246:JF524290 JF589758:JF589780 JF589782:JF589826 JF655294:JF655316 JF655318:JF655362 JF720830:JF720852 JF720854:JF720898 JF786366:JF786388 JF786390:JF786434 JF851902:JF851924 JF851926:JF851970 JF917438:JF917460 JF917462:JF917506 JF982974:JF982996 JF982998:JF983042 SX65541:SX65548 SX131077:SX131084 SX196613:SX196620 SX262149:SX262156 SX327685:SX327692 SX393221:SX393228 SX458757:SX458764 SX524293:SX524300 SX589829:SX589836 SX655365:SX655372 SX720901:SX720908 SX786437:SX786444 SX851973:SX851980 SX917509:SX917516 SX983045:SX983052 TB65470:TB65492 TB65494:TB65538 TB131006:TB131028 TB131030:TB131074 TB196542:TB196564 TB196566:TB196610 TB262078:TB262100 TB262102:TB262146 TB327614:TB327636 TB327638:TB327682 TB393150:TB393172 TB393174:TB393218 TB458686:TB458708 TB458710:TB458754 TB524222:TB524244 TB524246:TB524290 TB589758:TB589780 TB589782:TB589826 TB655294:TB655316 TB655318:TB655362 TB720830:TB720852 TB720854:TB720898 TB786366:TB786388 TB786390:TB786434 TB851902:TB851924 TB851926:TB851970 TB917438:TB917460 TB917462:TB917506 TB982974:TB982996 TB982998:TB983042 ACT65541:ACT65548 ACT131077:ACT131084 ACT196613:ACT196620 ACT262149:ACT262156 ACT327685:ACT327692 ACT393221:ACT393228 ACT458757:ACT458764 ACT524293:ACT524300 ACT589829:ACT589836 ACT655365:ACT655372 ACT720901:ACT720908 ACT786437:ACT786444 ACT851973:ACT851980 ACT917509:ACT917516 ACT983045:ACT983052 ACX65470:ACX65492 ACX65494:ACX65538 ACX131006:ACX131028 ACX131030:ACX131074 ACX196542:ACX196564 ACX196566:ACX196610 ACX262078:ACX262100 ACX262102:ACX262146 ACX327614:ACX327636 ACX327638:ACX327682 ACX393150:ACX393172 ACX393174:ACX393218 ACX458686:ACX458708 ACX458710:ACX458754 ACX524222:ACX524244 ACX524246:ACX524290 ACX589758:ACX589780 ACX589782:ACX589826 ACX655294:ACX655316 ACX655318:ACX655362 ACX720830:ACX720852 ACX720854:ACX720898 ACX786366:ACX786388 ACX786390:ACX786434 ACX851902:ACX851924 ACX851926:ACX851970 ACX917438:ACX917460 ACX917462:ACX917506 ACX982974:ACX982996 ACX982998:ACX983042 AMP65541:AMP65548 AMP131077:AMP131084 AMP196613:AMP196620 AMP262149:AMP262156 AMP327685:AMP327692 AMP393221:AMP393228 AMP458757:AMP458764 AMP524293:AMP524300 AMP589829:AMP589836 AMP655365:AMP655372 AMP720901:AMP720908 AMP786437:AMP786444 AMP851973:AMP851980 AMP917509:AMP917516 AMP983045:AMP983052 AMT65470:AMT65492 AMT65494:AMT65538 AMT131006:AMT131028 AMT131030:AMT131074 AMT196542:AMT196564 AMT196566:AMT196610 AMT262078:AMT262100 AMT262102:AMT262146 AMT327614:AMT327636 AMT327638:AMT327682 AMT393150:AMT393172 AMT393174:AMT393218 AMT458686:AMT458708 AMT458710:AMT458754 AMT524222:AMT524244 AMT524246:AMT524290 AMT589758:AMT589780 AMT589782:AMT589826 AMT655294:AMT655316 AMT655318:AMT655362 AMT720830:AMT720852 AMT720854:AMT720898 AMT786366:AMT786388 AMT786390:AMT786434 AMT851902:AMT851924 AMT851926:AMT851970 AMT917438:AMT917460 AMT917462:AMT917506 AMT982974:AMT982996 AMT982998:AMT983042 AWL65541:AWL65548 AWL131077:AWL131084 AWL196613:AWL196620 AWL262149:AWL262156 AWL327685:AWL327692 AWL393221:AWL393228 AWL458757:AWL458764 AWL524293:AWL524300 AWL589829:AWL589836 AWL655365:AWL655372 AWL720901:AWL720908 AWL786437:AWL786444 AWL851973:AWL851980 AWL917509:AWL917516 AWL983045:AWL983052 AWP65470:AWP65492 AWP65494:AWP65538 AWP131006:AWP131028 AWP131030:AWP131074 AWP196542:AWP196564 AWP196566:AWP196610 AWP262078:AWP262100 AWP262102:AWP262146 AWP327614:AWP327636 AWP327638:AWP327682 AWP393150:AWP393172 AWP393174:AWP393218 AWP458686:AWP458708 AWP458710:AWP458754 AWP524222:AWP524244 AWP524246:AWP524290 AWP589758:AWP589780 AWP589782:AWP589826 AWP655294:AWP655316 AWP655318:AWP655362 AWP720830:AWP720852 AWP720854:AWP720898 AWP786366:AWP786388 AWP786390:AWP786434 AWP851902:AWP851924 AWP851926:AWP851970 AWP917438:AWP917460 AWP917462:AWP917506 AWP982974:AWP982996 AWP982998:AWP983042 BGH65541:BGH65548 BGH131077:BGH131084 BGH196613:BGH196620 BGH262149:BGH262156 BGH327685:BGH327692 BGH393221:BGH393228 BGH458757:BGH458764 BGH524293:BGH524300 BGH589829:BGH589836 BGH655365:BGH655372 BGH720901:BGH720908 BGH786437:BGH786444 BGH851973:BGH851980 BGH917509:BGH917516 BGH983045:BGH983052 BGL65470:BGL65492 BGL65494:BGL65538 BGL131006:BGL131028 BGL131030:BGL131074 BGL196542:BGL196564 BGL196566:BGL196610 BGL262078:BGL262100 BGL262102:BGL262146 BGL327614:BGL327636 BGL327638:BGL327682 BGL393150:BGL393172 BGL393174:BGL393218 BGL458686:BGL458708 BGL458710:BGL458754 BGL524222:BGL524244 BGL524246:BGL524290 BGL589758:BGL589780 BGL589782:BGL589826 BGL655294:BGL655316 BGL655318:BGL655362 BGL720830:BGL720852 BGL720854:BGL720898 BGL786366:BGL786388 BGL786390:BGL786434 BGL851902:BGL851924 BGL851926:BGL851970 BGL917438:BGL917460 BGL917462:BGL917506 BGL982974:BGL982996 BGL982998:BGL983042 BQD65541:BQD65548 BQD131077:BQD131084 BQD196613:BQD196620 BQD262149:BQD262156 BQD327685:BQD327692 BQD393221:BQD393228 BQD458757:BQD458764 BQD524293:BQD524300 BQD589829:BQD589836 BQD655365:BQD655372 BQD720901:BQD720908 BQD786437:BQD786444 BQD851973:BQD851980 BQD917509:BQD917516 BQD983045:BQD983052 BQH65470:BQH65492 BQH65494:BQH65538 BQH131006:BQH131028 BQH131030:BQH131074 BQH196542:BQH196564 BQH196566:BQH196610 BQH262078:BQH262100 BQH262102:BQH262146 BQH327614:BQH327636 BQH327638:BQH327682 BQH393150:BQH393172 BQH393174:BQH393218 BQH458686:BQH458708 BQH458710:BQH458754 BQH524222:BQH524244 BQH524246:BQH524290 BQH589758:BQH589780 BQH589782:BQH589826 BQH655294:BQH655316 BQH655318:BQH655362 BQH720830:BQH720852 BQH720854:BQH720898 BQH786366:BQH786388 BQH786390:BQH786434 BQH851902:BQH851924 BQH851926:BQH851970 BQH917438:BQH917460 BQH917462:BQH917506 BQH982974:BQH982996 BQH982998:BQH983042 BZZ65541:BZZ65548 BZZ131077:BZZ131084 BZZ196613:BZZ196620 BZZ262149:BZZ262156 BZZ327685:BZZ327692 BZZ393221:BZZ393228 BZZ458757:BZZ458764 BZZ524293:BZZ524300 BZZ589829:BZZ589836 BZZ655365:BZZ655372 BZZ720901:BZZ720908 BZZ786437:BZZ786444 BZZ851973:BZZ851980 BZZ917509:BZZ917516 BZZ983045:BZZ983052 CAD65470:CAD65492 CAD65494:CAD65538 CAD131006:CAD131028 CAD131030:CAD131074 CAD196542:CAD196564 CAD196566:CAD196610 CAD262078:CAD262100 CAD262102:CAD262146 CAD327614:CAD327636 CAD327638:CAD327682 CAD393150:CAD393172 CAD393174:CAD393218 CAD458686:CAD458708 CAD458710:CAD458754 CAD524222:CAD524244 CAD524246:CAD524290 CAD589758:CAD589780 CAD589782:CAD589826 CAD655294:CAD655316 CAD655318:CAD655362 CAD720830:CAD720852 CAD720854:CAD720898 CAD786366:CAD786388 CAD786390:CAD786434 CAD851902:CAD851924 CAD851926:CAD851970 CAD917438:CAD917460 CAD917462:CAD917506 CAD982974:CAD982996 CAD982998:CAD983042 CJV65541:CJV65548 CJV131077:CJV131084 CJV196613:CJV196620 CJV262149:CJV262156 CJV327685:CJV327692 CJV393221:CJV393228 CJV458757:CJV458764 CJV524293:CJV524300 CJV589829:CJV589836 CJV655365:CJV655372 CJV720901:CJV720908 CJV786437:CJV786444 CJV851973:CJV851980 CJV917509:CJV917516 CJV983045:CJV983052 CJZ65470:CJZ65492 CJZ65494:CJZ65538 CJZ131006:CJZ131028 CJZ131030:CJZ131074 CJZ196542:CJZ196564 CJZ196566:CJZ196610 CJZ262078:CJZ262100 CJZ262102:CJZ262146 CJZ327614:CJZ327636 CJZ327638:CJZ327682 CJZ393150:CJZ393172 CJZ393174:CJZ393218 CJZ458686:CJZ458708 CJZ458710:CJZ458754 CJZ524222:CJZ524244 CJZ524246:CJZ524290 CJZ589758:CJZ589780 CJZ589782:CJZ589826 CJZ655294:CJZ655316 CJZ655318:CJZ655362 CJZ720830:CJZ720852 CJZ720854:CJZ720898 CJZ786366:CJZ786388 CJZ786390:CJZ786434 CJZ851902:CJZ851924 CJZ851926:CJZ851970 CJZ917438:CJZ917460 CJZ917462:CJZ917506 CJZ982974:CJZ982996 CJZ982998:CJZ983042 CTR65541:CTR65548 CTR131077:CTR131084 CTR196613:CTR196620 CTR262149:CTR262156 CTR327685:CTR327692 CTR393221:CTR393228 CTR458757:CTR458764 CTR524293:CTR524300 CTR589829:CTR589836 CTR655365:CTR655372 CTR720901:CTR720908 CTR786437:CTR786444 CTR851973:CTR851980 CTR917509:CTR917516 CTR983045:CTR983052 CTV65470:CTV65492 CTV65494:CTV65538 CTV131006:CTV131028 CTV131030:CTV131074 CTV196542:CTV196564 CTV196566:CTV196610 CTV262078:CTV262100 CTV262102:CTV262146 CTV327614:CTV327636 CTV327638:CTV327682 CTV393150:CTV393172 CTV393174:CTV393218 CTV458686:CTV458708 CTV458710:CTV458754 CTV524222:CTV524244 CTV524246:CTV524290 CTV589758:CTV589780 CTV589782:CTV589826 CTV655294:CTV655316 CTV655318:CTV655362 CTV720830:CTV720852 CTV720854:CTV720898 CTV786366:CTV786388 CTV786390:CTV786434 CTV851902:CTV851924 CTV851926:CTV851970 CTV917438:CTV917460 CTV917462:CTV917506 CTV982974:CTV982996 CTV982998:CTV983042 DDN65541:DDN65548 DDN131077:DDN131084 DDN196613:DDN196620 DDN262149:DDN262156 DDN327685:DDN327692 DDN393221:DDN393228 DDN458757:DDN458764 DDN524293:DDN524300 DDN589829:DDN589836 DDN655365:DDN655372 DDN720901:DDN720908 DDN786437:DDN786444 DDN851973:DDN851980 DDN917509:DDN917516 DDN983045:DDN983052 DDR65470:DDR65492 DDR65494:DDR65538 DDR131006:DDR131028 DDR131030:DDR131074 DDR196542:DDR196564 DDR196566:DDR196610 DDR262078:DDR262100 DDR262102:DDR262146 DDR327614:DDR327636 DDR327638:DDR327682 DDR393150:DDR393172 DDR393174:DDR393218 DDR458686:DDR458708 DDR458710:DDR458754 DDR524222:DDR524244 DDR524246:DDR524290 DDR589758:DDR589780 DDR589782:DDR589826 DDR655294:DDR655316 DDR655318:DDR655362 DDR720830:DDR720852 DDR720854:DDR720898 DDR786366:DDR786388 DDR786390:DDR786434 DDR851902:DDR851924 DDR851926:DDR851970 DDR917438:DDR917460 DDR917462:DDR917506 DDR982974:DDR982996 DDR982998:DDR983042 DNJ65541:DNJ65548 DNJ131077:DNJ131084 DNJ196613:DNJ196620 DNJ262149:DNJ262156 DNJ327685:DNJ327692 DNJ393221:DNJ393228 DNJ458757:DNJ458764 DNJ524293:DNJ524300 DNJ589829:DNJ589836 DNJ655365:DNJ655372 DNJ720901:DNJ720908 DNJ786437:DNJ786444 DNJ851973:DNJ851980 DNJ917509:DNJ917516 DNJ983045:DNJ983052 DNN65470:DNN65492 DNN65494:DNN65538 DNN131006:DNN131028 DNN131030:DNN131074 DNN196542:DNN196564 DNN196566:DNN196610 DNN262078:DNN262100 DNN262102:DNN262146 DNN327614:DNN327636 DNN327638:DNN327682 DNN393150:DNN393172 DNN393174:DNN393218 DNN458686:DNN458708 DNN458710:DNN458754 DNN524222:DNN524244 DNN524246:DNN524290 DNN589758:DNN589780 DNN589782:DNN589826 DNN655294:DNN655316 DNN655318:DNN655362 DNN720830:DNN720852 DNN720854:DNN720898 DNN786366:DNN786388 DNN786390:DNN786434 DNN851902:DNN851924 DNN851926:DNN851970 DNN917438:DNN917460 DNN917462:DNN917506 DNN982974:DNN982996 DNN982998:DNN983042 DXF65541:DXF65548 DXF131077:DXF131084 DXF196613:DXF196620 DXF262149:DXF262156 DXF327685:DXF327692 DXF393221:DXF393228 DXF458757:DXF458764 DXF524293:DXF524300 DXF589829:DXF589836 DXF655365:DXF655372 DXF720901:DXF720908 DXF786437:DXF786444 DXF851973:DXF851980 DXF917509:DXF917516 DXF983045:DXF983052 DXJ65470:DXJ65492 DXJ65494:DXJ65538 DXJ131006:DXJ131028 DXJ131030:DXJ131074 DXJ196542:DXJ196564 DXJ196566:DXJ196610 DXJ262078:DXJ262100 DXJ262102:DXJ262146 DXJ327614:DXJ327636 DXJ327638:DXJ327682 DXJ393150:DXJ393172 DXJ393174:DXJ393218 DXJ458686:DXJ458708 DXJ458710:DXJ458754 DXJ524222:DXJ524244 DXJ524246:DXJ524290 DXJ589758:DXJ589780 DXJ589782:DXJ589826 DXJ655294:DXJ655316 DXJ655318:DXJ655362 DXJ720830:DXJ720852 DXJ720854:DXJ720898 DXJ786366:DXJ786388 DXJ786390:DXJ786434 DXJ851902:DXJ851924 DXJ851926:DXJ851970 DXJ917438:DXJ917460 DXJ917462:DXJ917506 DXJ982974:DXJ982996 DXJ982998:DXJ983042 EHB65541:EHB65548 EHB131077:EHB131084 EHB196613:EHB196620 EHB262149:EHB262156 EHB327685:EHB327692 EHB393221:EHB393228 EHB458757:EHB458764 EHB524293:EHB524300 EHB589829:EHB589836 EHB655365:EHB655372 EHB720901:EHB720908 EHB786437:EHB786444 EHB851973:EHB851980 EHB917509:EHB917516 EHB983045:EHB983052 EHF65470:EHF65492 EHF65494:EHF65538 EHF131006:EHF131028 EHF131030:EHF131074 EHF196542:EHF196564 EHF196566:EHF196610 EHF262078:EHF262100 EHF262102:EHF262146 EHF327614:EHF327636 EHF327638:EHF327682 EHF393150:EHF393172 EHF393174:EHF393218 EHF458686:EHF458708 EHF458710:EHF458754 EHF524222:EHF524244 EHF524246:EHF524290 EHF589758:EHF589780 EHF589782:EHF589826 EHF655294:EHF655316 EHF655318:EHF655362 EHF720830:EHF720852 EHF720854:EHF720898 EHF786366:EHF786388 EHF786390:EHF786434 EHF851902:EHF851924 EHF851926:EHF851970 EHF917438:EHF917460 EHF917462:EHF917506 EHF982974:EHF982996 EHF982998:EHF983042 EQX65541:EQX65548 EQX131077:EQX131084 EQX196613:EQX196620 EQX262149:EQX262156 EQX327685:EQX327692 EQX393221:EQX393228 EQX458757:EQX458764 EQX524293:EQX524300 EQX589829:EQX589836 EQX655365:EQX655372 EQX720901:EQX720908 EQX786437:EQX786444 EQX851973:EQX851980 EQX917509:EQX917516 EQX983045:EQX983052 ERB65470:ERB65492 ERB65494:ERB65538 ERB131006:ERB131028 ERB131030:ERB131074 ERB196542:ERB196564 ERB196566:ERB196610 ERB262078:ERB262100 ERB262102:ERB262146 ERB327614:ERB327636 ERB327638:ERB327682 ERB393150:ERB393172 ERB393174:ERB393218 ERB458686:ERB458708 ERB458710:ERB458754 ERB524222:ERB524244 ERB524246:ERB524290 ERB589758:ERB589780 ERB589782:ERB589826 ERB655294:ERB655316 ERB655318:ERB655362 ERB720830:ERB720852 ERB720854:ERB720898 ERB786366:ERB786388 ERB786390:ERB786434 ERB851902:ERB851924 ERB851926:ERB851970 ERB917438:ERB917460 ERB917462:ERB917506 ERB982974:ERB982996 ERB982998:ERB983042 FAT65541:FAT65548 FAT131077:FAT131084 FAT196613:FAT196620 FAT262149:FAT262156 FAT327685:FAT327692 FAT393221:FAT393228 FAT458757:FAT458764 FAT524293:FAT524300 FAT589829:FAT589836 FAT655365:FAT655372 FAT720901:FAT720908 FAT786437:FAT786444 FAT851973:FAT851980 FAT917509:FAT917516 FAT983045:FAT983052 FAX65470:FAX65492 FAX65494:FAX65538 FAX131006:FAX131028 FAX131030:FAX131074 FAX196542:FAX196564 FAX196566:FAX196610 FAX262078:FAX262100 FAX262102:FAX262146 FAX327614:FAX327636 FAX327638:FAX327682 FAX393150:FAX393172 FAX393174:FAX393218 FAX458686:FAX458708 FAX458710:FAX458754 FAX524222:FAX524244 FAX524246:FAX524290 FAX589758:FAX589780 FAX589782:FAX589826 FAX655294:FAX655316 FAX655318:FAX655362 FAX720830:FAX720852 FAX720854:FAX720898 FAX786366:FAX786388 FAX786390:FAX786434 FAX851902:FAX851924 FAX851926:FAX851970 FAX917438:FAX917460 FAX917462:FAX917506 FAX982974:FAX982996 FAX982998:FAX983042 FKP65541:FKP65548 FKP131077:FKP131084 FKP196613:FKP196620 FKP262149:FKP262156 FKP327685:FKP327692 FKP393221:FKP393228 FKP458757:FKP458764 FKP524293:FKP524300 FKP589829:FKP589836 FKP655365:FKP655372 FKP720901:FKP720908 FKP786437:FKP786444 FKP851973:FKP851980 FKP917509:FKP917516 FKP983045:FKP983052 FKT65470:FKT65492 FKT65494:FKT65538 FKT131006:FKT131028 FKT131030:FKT131074 FKT196542:FKT196564 FKT196566:FKT196610 FKT262078:FKT262100 FKT262102:FKT262146 FKT327614:FKT327636 FKT327638:FKT327682 FKT393150:FKT393172 FKT393174:FKT393218 FKT458686:FKT458708 FKT458710:FKT458754 FKT524222:FKT524244 FKT524246:FKT524290 FKT589758:FKT589780 FKT589782:FKT589826 FKT655294:FKT655316 FKT655318:FKT655362 FKT720830:FKT720852 FKT720854:FKT720898 FKT786366:FKT786388 FKT786390:FKT786434 FKT851902:FKT851924 FKT851926:FKT851970 FKT917438:FKT917460 FKT917462:FKT917506 FKT982974:FKT982996 FKT982998:FKT983042 FUL65541:FUL65548 FUL131077:FUL131084 FUL196613:FUL196620 FUL262149:FUL262156 FUL327685:FUL327692 FUL393221:FUL393228 FUL458757:FUL458764 FUL524293:FUL524300 FUL589829:FUL589836 FUL655365:FUL655372 FUL720901:FUL720908 FUL786437:FUL786444 FUL851973:FUL851980 FUL917509:FUL917516 FUL983045:FUL983052 FUP65470:FUP65492 FUP65494:FUP65538 FUP131006:FUP131028 FUP131030:FUP131074 FUP196542:FUP196564 FUP196566:FUP196610 FUP262078:FUP262100 FUP262102:FUP262146 FUP327614:FUP327636 FUP327638:FUP327682 FUP393150:FUP393172 FUP393174:FUP393218 FUP458686:FUP458708 FUP458710:FUP458754 FUP524222:FUP524244 FUP524246:FUP524290 FUP589758:FUP589780 FUP589782:FUP589826 FUP655294:FUP655316 FUP655318:FUP655362 FUP720830:FUP720852 FUP720854:FUP720898 FUP786366:FUP786388 FUP786390:FUP786434 FUP851902:FUP851924 FUP851926:FUP851970 FUP917438:FUP917460 FUP917462:FUP917506 FUP982974:FUP982996 FUP982998:FUP983042 GEH65541:GEH65548 GEH131077:GEH131084 GEH196613:GEH196620 GEH262149:GEH262156 GEH327685:GEH327692 GEH393221:GEH393228 GEH458757:GEH458764 GEH524293:GEH524300 GEH589829:GEH589836 GEH655365:GEH655372 GEH720901:GEH720908 GEH786437:GEH786444 GEH851973:GEH851980 GEH917509:GEH917516 GEH983045:GEH983052 GEL65470:GEL65492 GEL65494:GEL65538 GEL131006:GEL131028 GEL131030:GEL131074 GEL196542:GEL196564 GEL196566:GEL196610 GEL262078:GEL262100 GEL262102:GEL262146 GEL327614:GEL327636 GEL327638:GEL327682 GEL393150:GEL393172 GEL393174:GEL393218 GEL458686:GEL458708 GEL458710:GEL458754 GEL524222:GEL524244 GEL524246:GEL524290 GEL589758:GEL589780 GEL589782:GEL589826 GEL655294:GEL655316 GEL655318:GEL655362 GEL720830:GEL720852 GEL720854:GEL720898 GEL786366:GEL786388 GEL786390:GEL786434 GEL851902:GEL851924 GEL851926:GEL851970 GEL917438:GEL917460 GEL917462:GEL917506 GEL982974:GEL982996 GEL982998:GEL983042 GOD65541:GOD65548 GOD131077:GOD131084 GOD196613:GOD196620 GOD262149:GOD262156 GOD327685:GOD327692 GOD393221:GOD393228 GOD458757:GOD458764 GOD524293:GOD524300 GOD589829:GOD589836 GOD655365:GOD655372 GOD720901:GOD720908 GOD786437:GOD786444 GOD851973:GOD851980 GOD917509:GOD917516 GOD983045:GOD983052 GOH65470:GOH65492 GOH65494:GOH65538 GOH131006:GOH131028 GOH131030:GOH131074 GOH196542:GOH196564 GOH196566:GOH196610 GOH262078:GOH262100 GOH262102:GOH262146 GOH327614:GOH327636 GOH327638:GOH327682 GOH393150:GOH393172 GOH393174:GOH393218 GOH458686:GOH458708 GOH458710:GOH458754 GOH524222:GOH524244 GOH524246:GOH524290 GOH589758:GOH589780 GOH589782:GOH589826 GOH655294:GOH655316 GOH655318:GOH655362 GOH720830:GOH720852 GOH720854:GOH720898 GOH786366:GOH786388 GOH786390:GOH786434 GOH851902:GOH851924 GOH851926:GOH851970 GOH917438:GOH917460 GOH917462:GOH917506 GOH982974:GOH982996 GOH982998:GOH983042 GXZ65541:GXZ65548 GXZ131077:GXZ131084 GXZ196613:GXZ196620 GXZ262149:GXZ262156 GXZ327685:GXZ327692 GXZ393221:GXZ393228 GXZ458757:GXZ458764 GXZ524293:GXZ524300 GXZ589829:GXZ589836 GXZ655365:GXZ655372 GXZ720901:GXZ720908 GXZ786437:GXZ786444 GXZ851973:GXZ851980 GXZ917509:GXZ917516 GXZ983045:GXZ983052 GYD65470:GYD65492 GYD65494:GYD65538 GYD131006:GYD131028 GYD131030:GYD131074 GYD196542:GYD196564 GYD196566:GYD196610 GYD262078:GYD262100 GYD262102:GYD262146 GYD327614:GYD327636 GYD327638:GYD327682 GYD393150:GYD393172 GYD393174:GYD393218 GYD458686:GYD458708 GYD458710:GYD458754 GYD524222:GYD524244 GYD524246:GYD524290 GYD589758:GYD589780 GYD589782:GYD589826 GYD655294:GYD655316 GYD655318:GYD655362 GYD720830:GYD720852 GYD720854:GYD720898 GYD786366:GYD786388 GYD786390:GYD786434 GYD851902:GYD851924 GYD851926:GYD851970 GYD917438:GYD917460 GYD917462:GYD917506 GYD982974:GYD982996 GYD982998:GYD983042 HHV65541:HHV65548 HHV131077:HHV131084 HHV196613:HHV196620 HHV262149:HHV262156 HHV327685:HHV327692 HHV393221:HHV393228 HHV458757:HHV458764 HHV524293:HHV524300 HHV589829:HHV589836 HHV655365:HHV655372 HHV720901:HHV720908 HHV786437:HHV786444 HHV851973:HHV851980 HHV917509:HHV917516 HHV983045:HHV983052 HHZ65470:HHZ65492 HHZ65494:HHZ65538 HHZ131006:HHZ131028 HHZ131030:HHZ131074 HHZ196542:HHZ196564 HHZ196566:HHZ196610 HHZ262078:HHZ262100 HHZ262102:HHZ262146 HHZ327614:HHZ327636 HHZ327638:HHZ327682 HHZ393150:HHZ393172 HHZ393174:HHZ393218 HHZ458686:HHZ458708 HHZ458710:HHZ458754 HHZ524222:HHZ524244 HHZ524246:HHZ524290 HHZ589758:HHZ589780 HHZ589782:HHZ589826 HHZ655294:HHZ655316 HHZ655318:HHZ655362 HHZ720830:HHZ720852 HHZ720854:HHZ720898 HHZ786366:HHZ786388 HHZ786390:HHZ786434 HHZ851902:HHZ851924 HHZ851926:HHZ851970 HHZ917438:HHZ917460 HHZ917462:HHZ917506 HHZ982974:HHZ982996 HHZ982998:HHZ983042 HRR65541:HRR65548 HRR131077:HRR131084 HRR196613:HRR196620 HRR262149:HRR262156 HRR327685:HRR327692 HRR393221:HRR393228 HRR458757:HRR458764 HRR524293:HRR524300 HRR589829:HRR589836 HRR655365:HRR655372 HRR720901:HRR720908 HRR786437:HRR786444 HRR851973:HRR851980 HRR917509:HRR917516 HRR983045:HRR983052 HRV65470:HRV65492 HRV65494:HRV65538 HRV131006:HRV131028 HRV131030:HRV131074 HRV196542:HRV196564 HRV196566:HRV196610 HRV262078:HRV262100 HRV262102:HRV262146 HRV327614:HRV327636 HRV327638:HRV327682 HRV393150:HRV393172 HRV393174:HRV393218 HRV458686:HRV458708 HRV458710:HRV458754 HRV524222:HRV524244 HRV524246:HRV524290 HRV589758:HRV589780 HRV589782:HRV589826 HRV655294:HRV655316 HRV655318:HRV655362 HRV720830:HRV720852 HRV720854:HRV720898 HRV786366:HRV786388 HRV786390:HRV786434 HRV851902:HRV851924 HRV851926:HRV851970 HRV917438:HRV917460 HRV917462:HRV917506 HRV982974:HRV982996 HRV982998:HRV983042 IBN65541:IBN65548 IBN131077:IBN131084 IBN196613:IBN196620 IBN262149:IBN262156 IBN327685:IBN327692 IBN393221:IBN393228 IBN458757:IBN458764 IBN524293:IBN524300 IBN589829:IBN589836 IBN655365:IBN655372 IBN720901:IBN720908 IBN786437:IBN786444 IBN851973:IBN851980 IBN917509:IBN917516 IBN983045:IBN983052 IBR65470:IBR65492 IBR65494:IBR65538 IBR131006:IBR131028 IBR131030:IBR131074 IBR196542:IBR196564 IBR196566:IBR196610 IBR262078:IBR262100 IBR262102:IBR262146 IBR327614:IBR327636 IBR327638:IBR327682 IBR393150:IBR393172 IBR393174:IBR393218 IBR458686:IBR458708 IBR458710:IBR458754 IBR524222:IBR524244 IBR524246:IBR524290 IBR589758:IBR589780 IBR589782:IBR589826 IBR655294:IBR655316 IBR655318:IBR655362 IBR720830:IBR720852 IBR720854:IBR720898 IBR786366:IBR786388 IBR786390:IBR786434 IBR851902:IBR851924 IBR851926:IBR851970 IBR917438:IBR917460 IBR917462:IBR917506 IBR982974:IBR982996 IBR982998:IBR983042 ILJ65541:ILJ65548 ILJ131077:ILJ131084 ILJ196613:ILJ196620 ILJ262149:ILJ262156 ILJ327685:ILJ327692 ILJ393221:ILJ393228 ILJ458757:ILJ458764 ILJ524293:ILJ524300 ILJ589829:ILJ589836 ILJ655365:ILJ655372 ILJ720901:ILJ720908 ILJ786437:ILJ786444 ILJ851973:ILJ851980 ILJ917509:ILJ917516 ILJ983045:ILJ983052 ILN65470:ILN65492 ILN65494:ILN65538 ILN131006:ILN131028 ILN131030:ILN131074 ILN196542:ILN196564 ILN196566:ILN196610 ILN262078:ILN262100 ILN262102:ILN262146 ILN327614:ILN327636 ILN327638:ILN327682 ILN393150:ILN393172 ILN393174:ILN393218 ILN458686:ILN458708 ILN458710:ILN458754 ILN524222:ILN524244 ILN524246:ILN524290 ILN589758:ILN589780 ILN589782:ILN589826 ILN655294:ILN655316 ILN655318:ILN655362 ILN720830:ILN720852 ILN720854:ILN720898 ILN786366:ILN786388 ILN786390:ILN786434 ILN851902:ILN851924 ILN851926:ILN851970 ILN917438:ILN917460 ILN917462:ILN917506 ILN982974:ILN982996 ILN982998:ILN983042 IVF65541:IVF65548 IVF131077:IVF131084 IVF196613:IVF196620 IVF262149:IVF262156 IVF327685:IVF327692 IVF393221:IVF393228 IVF458757:IVF458764 IVF524293:IVF524300 IVF589829:IVF589836 IVF655365:IVF655372 IVF720901:IVF720908 IVF786437:IVF786444 IVF851973:IVF851980 IVF917509:IVF917516 IVF983045:IVF983052 IVJ65470:IVJ65492 IVJ65494:IVJ65538 IVJ131006:IVJ131028 IVJ131030:IVJ131074 IVJ196542:IVJ196564 IVJ196566:IVJ196610 IVJ262078:IVJ262100 IVJ262102:IVJ262146 IVJ327614:IVJ327636 IVJ327638:IVJ327682 IVJ393150:IVJ393172 IVJ393174:IVJ393218 IVJ458686:IVJ458708 IVJ458710:IVJ458754 IVJ524222:IVJ524244 IVJ524246:IVJ524290 IVJ589758:IVJ589780 IVJ589782:IVJ589826 IVJ655294:IVJ655316 IVJ655318:IVJ655362 IVJ720830:IVJ720852 IVJ720854:IVJ720898 IVJ786366:IVJ786388 IVJ786390:IVJ786434 IVJ851902:IVJ851924 IVJ851926:IVJ851970 IVJ917438:IVJ917460 IVJ917462:IVJ917506 IVJ982974:IVJ982996 IVJ982998:IVJ983042 JFB65541:JFB65548 JFB131077:JFB131084 JFB196613:JFB196620 JFB262149:JFB262156 JFB327685:JFB327692 JFB393221:JFB393228 JFB458757:JFB458764 JFB524293:JFB524300 JFB589829:JFB589836 JFB655365:JFB655372 JFB720901:JFB720908 JFB786437:JFB786444 JFB851973:JFB851980 JFB917509:JFB917516 JFB983045:JFB983052 JFF65470:JFF65492 JFF65494:JFF65538 JFF131006:JFF131028 JFF131030:JFF131074 JFF196542:JFF196564 JFF196566:JFF196610 JFF262078:JFF262100 JFF262102:JFF262146 JFF327614:JFF327636 JFF327638:JFF327682 JFF393150:JFF393172 JFF393174:JFF393218 JFF458686:JFF458708 JFF458710:JFF458754 JFF524222:JFF524244 JFF524246:JFF524290 JFF589758:JFF589780 JFF589782:JFF589826 JFF655294:JFF655316 JFF655318:JFF655362 JFF720830:JFF720852 JFF720854:JFF720898 JFF786366:JFF786388 JFF786390:JFF786434 JFF851902:JFF851924 JFF851926:JFF851970 JFF917438:JFF917460 JFF917462:JFF917506 JFF982974:JFF982996 JFF982998:JFF983042 JOX65541:JOX65548 JOX131077:JOX131084 JOX196613:JOX196620 JOX262149:JOX262156 JOX327685:JOX327692 JOX393221:JOX393228 JOX458757:JOX458764 JOX524293:JOX524300 JOX589829:JOX589836 JOX655365:JOX655372 JOX720901:JOX720908 JOX786437:JOX786444 JOX851973:JOX851980 JOX917509:JOX917516 JOX983045:JOX983052 JPB65470:JPB65492 JPB65494:JPB65538 JPB131006:JPB131028 JPB131030:JPB131074 JPB196542:JPB196564 JPB196566:JPB196610 JPB262078:JPB262100 JPB262102:JPB262146 JPB327614:JPB327636 JPB327638:JPB327682 JPB393150:JPB393172 JPB393174:JPB393218 JPB458686:JPB458708 JPB458710:JPB458754 JPB524222:JPB524244 JPB524246:JPB524290 JPB589758:JPB589780 JPB589782:JPB589826 JPB655294:JPB655316 JPB655318:JPB655362 JPB720830:JPB720852 JPB720854:JPB720898 JPB786366:JPB786388 JPB786390:JPB786434 JPB851902:JPB851924 JPB851926:JPB851970 JPB917438:JPB917460 JPB917462:JPB917506 JPB982974:JPB982996 JPB982998:JPB983042 JYT65541:JYT65548 JYT131077:JYT131084 JYT196613:JYT196620 JYT262149:JYT262156 JYT327685:JYT327692 JYT393221:JYT393228 JYT458757:JYT458764 JYT524293:JYT524300 JYT589829:JYT589836 JYT655365:JYT655372 JYT720901:JYT720908 JYT786437:JYT786444 JYT851973:JYT851980 JYT917509:JYT917516 JYT983045:JYT983052 JYX65470:JYX65492 JYX65494:JYX65538 JYX131006:JYX131028 JYX131030:JYX131074 JYX196542:JYX196564 JYX196566:JYX196610 JYX262078:JYX262100 JYX262102:JYX262146 JYX327614:JYX327636 JYX327638:JYX327682 JYX393150:JYX393172 JYX393174:JYX393218 JYX458686:JYX458708 JYX458710:JYX458754 JYX524222:JYX524244 JYX524246:JYX524290 JYX589758:JYX589780 JYX589782:JYX589826 JYX655294:JYX655316 JYX655318:JYX655362 JYX720830:JYX720852 JYX720854:JYX720898 JYX786366:JYX786388 JYX786390:JYX786434 JYX851902:JYX851924 JYX851926:JYX851970 JYX917438:JYX917460 JYX917462:JYX917506 JYX982974:JYX982996 JYX982998:JYX983042 KIP65541:KIP65548 KIP131077:KIP131084 KIP196613:KIP196620 KIP262149:KIP262156 KIP327685:KIP327692 KIP393221:KIP393228 KIP458757:KIP458764 KIP524293:KIP524300 KIP589829:KIP589836 KIP655365:KIP655372 KIP720901:KIP720908 KIP786437:KIP786444 KIP851973:KIP851980 KIP917509:KIP917516 KIP983045:KIP983052 KIT65470:KIT65492 KIT65494:KIT65538 KIT131006:KIT131028 KIT131030:KIT131074 KIT196542:KIT196564 KIT196566:KIT196610 KIT262078:KIT262100 KIT262102:KIT262146 KIT327614:KIT327636 KIT327638:KIT327682 KIT393150:KIT393172 KIT393174:KIT393218 KIT458686:KIT458708 KIT458710:KIT458754 KIT524222:KIT524244 KIT524246:KIT524290 KIT589758:KIT589780 KIT589782:KIT589826 KIT655294:KIT655316 KIT655318:KIT655362 KIT720830:KIT720852 KIT720854:KIT720898 KIT786366:KIT786388 KIT786390:KIT786434 KIT851902:KIT851924 KIT851926:KIT851970 KIT917438:KIT917460 KIT917462:KIT917506 KIT982974:KIT982996 KIT982998:KIT983042 KSL65541:KSL65548 KSL131077:KSL131084 KSL196613:KSL196620 KSL262149:KSL262156 KSL327685:KSL327692 KSL393221:KSL393228 KSL458757:KSL458764 KSL524293:KSL524300 KSL589829:KSL589836 KSL655365:KSL655372 KSL720901:KSL720908 KSL786437:KSL786444 KSL851973:KSL851980 KSL917509:KSL917516 KSL983045:KSL983052 KSP65470:KSP65492 KSP65494:KSP65538 KSP131006:KSP131028 KSP131030:KSP131074 KSP196542:KSP196564 KSP196566:KSP196610 KSP262078:KSP262100 KSP262102:KSP262146 KSP327614:KSP327636 KSP327638:KSP327682 KSP393150:KSP393172 KSP393174:KSP393218 KSP458686:KSP458708 KSP458710:KSP458754 KSP524222:KSP524244 KSP524246:KSP524290 KSP589758:KSP589780 KSP589782:KSP589826 KSP655294:KSP655316 KSP655318:KSP655362 KSP720830:KSP720852 KSP720854:KSP720898 KSP786366:KSP786388 KSP786390:KSP786434 KSP851902:KSP851924 KSP851926:KSP851970 KSP917438:KSP917460 KSP917462:KSP917506 KSP982974:KSP982996 KSP982998:KSP983042 LCH65541:LCH65548 LCH131077:LCH131084 LCH196613:LCH196620 LCH262149:LCH262156 LCH327685:LCH327692 LCH393221:LCH393228 LCH458757:LCH458764 LCH524293:LCH524300 LCH589829:LCH589836 LCH655365:LCH655372 LCH720901:LCH720908 LCH786437:LCH786444 LCH851973:LCH851980 LCH917509:LCH917516 LCH983045:LCH983052 LCL65470:LCL65492 LCL65494:LCL65538 LCL131006:LCL131028 LCL131030:LCL131074 LCL196542:LCL196564 LCL196566:LCL196610 LCL262078:LCL262100 LCL262102:LCL262146 LCL327614:LCL327636 LCL327638:LCL327682 LCL393150:LCL393172 LCL393174:LCL393218 LCL458686:LCL458708 LCL458710:LCL458754 LCL524222:LCL524244 LCL524246:LCL524290 LCL589758:LCL589780 LCL589782:LCL589826 LCL655294:LCL655316 LCL655318:LCL655362 LCL720830:LCL720852 LCL720854:LCL720898 LCL786366:LCL786388 LCL786390:LCL786434 LCL851902:LCL851924 LCL851926:LCL851970 LCL917438:LCL917460 LCL917462:LCL917506 LCL982974:LCL982996 LCL982998:LCL983042 LMD65541:LMD65548 LMD131077:LMD131084 LMD196613:LMD196620 LMD262149:LMD262156 LMD327685:LMD327692 LMD393221:LMD393228 LMD458757:LMD458764 LMD524293:LMD524300 LMD589829:LMD589836 LMD655365:LMD655372 LMD720901:LMD720908 LMD786437:LMD786444 LMD851973:LMD851980 LMD917509:LMD917516 LMD983045:LMD983052 LMH65470:LMH65492 LMH65494:LMH65538 LMH131006:LMH131028 LMH131030:LMH131074 LMH196542:LMH196564 LMH196566:LMH196610 LMH262078:LMH262100 LMH262102:LMH262146 LMH327614:LMH327636 LMH327638:LMH327682 LMH393150:LMH393172 LMH393174:LMH393218 LMH458686:LMH458708 LMH458710:LMH458754 LMH524222:LMH524244 LMH524246:LMH524290 LMH589758:LMH589780 LMH589782:LMH589826 LMH655294:LMH655316 LMH655318:LMH655362 LMH720830:LMH720852 LMH720854:LMH720898 LMH786366:LMH786388 LMH786390:LMH786434 LMH851902:LMH851924 LMH851926:LMH851970 LMH917438:LMH917460 LMH917462:LMH917506 LMH982974:LMH982996 LMH982998:LMH983042 LVZ65541:LVZ65548 LVZ131077:LVZ131084 LVZ196613:LVZ196620 LVZ262149:LVZ262156 LVZ327685:LVZ327692 LVZ393221:LVZ393228 LVZ458757:LVZ458764 LVZ524293:LVZ524300 LVZ589829:LVZ589836 LVZ655365:LVZ655372 LVZ720901:LVZ720908 LVZ786437:LVZ786444 LVZ851973:LVZ851980 LVZ917509:LVZ917516 LVZ983045:LVZ983052 LWD65470:LWD65492 LWD65494:LWD65538 LWD131006:LWD131028 LWD131030:LWD131074 LWD196542:LWD196564 LWD196566:LWD196610 LWD262078:LWD262100 LWD262102:LWD262146 LWD327614:LWD327636 LWD327638:LWD327682 LWD393150:LWD393172 LWD393174:LWD393218 LWD458686:LWD458708 LWD458710:LWD458754 LWD524222:LWD524244 LWD524246:LWD524290 LWD589758:LWD589780 LWD589782:LWD589826 LWD655294:LWD655316 LWD655318:LWD655362 LWD720830:LWD720852 LWD720854:LWD720898 LWD786366:LWD786388 LWD786390:LWD786434 LWD851902:LWD851924 LWD851926:LWD851970 LWD917438:LWD917460 LWD917462:LWD917506 LWD982974:LWD982996 LWD982998:LWD983042 MFV65541:MFV65548 MFV131077:MFV131084 MFV196613:MFV196620 MFV262149:MFV262156 MFV327685:MFV327692 MFV393221:MFV393228 MFV458757:MFV458764 MFV524293:MFV524300 MFV589829:MFV589836 MFV655365:MFV655372 MFV720901:MFV720908 MFV786437:MFV786444 MFV851973:MFV851980 MFV917509:MFV917516 MFV983045:MFV983052 MFZ65470:MFZ65492 MFZ65494:MFZ65538 MFZ131006:MFZ131028 MFZ131030:MFZ131074 MFZ196542:MFZ196564 MFZ196566:MFZ196610 MFZ262078:MFZ262100 MFZ262102:MFZ262146 MFZ327614:MFZ327636 MFZ327638:MFZ327682 MFZ393150:MFZ393172 MFZ393174:MFZ393218 MFZ458686:MFZ458708 MFZ458710:MFZ458754 MFZ524222:MFZ524244 MFZ524246:MFZ524290 MFZ589758:MFZ589780 MFZ589782:MFZ589826 MFZ655294:MFZ655316 MFZ655318:MFZ655362 MFZ720830:MFZ720852 MFZ720854:MFZ720898 MFZ786366:MFZ786388 MFZ786390:MFZ786434 MFZ851902:MFZ851924 MFZ851926:MFZ851970 MFZ917438:MFZ917460 MFZ917462:MFZ917506 MFZ982974:MFZ982996 MFZ982998:MFZ983042 MPR65541:MPR65548 MPR131077:MPR131084 MPR196613:MPR196620 MPR262149:MPR262156 MPR327685:MPR327692 MPR393221:MPR393228 MPR458757:MPR458764 MPR524293:MPR524300 MPR589829:MPR589836 MPR655365:MPR655372 MPR720901:MPR720908 MPR786437:MPR786444 MPR851973:MPR851980 MPR917509:MPR917516 MPR983045:MPR983052 MPV65470:MPV65492 MPV65494:MPV65538 MPV131006:MPV131028 MPV131030:MPV131074 MPV196542:MPV196564 MPV196566:MPV196610 MPV262078:MPV262100 MPV262102:MPV262146 MPV327614:MPV327636 MPV327638:MPV327682 MPV393150:MPV393172 MPV393174:MPV393218 MPV458686:MPV458708 MPV458710:MPV458754 MPV524222:MPV524244 MPV524246:MPV524290 MPV589758:MPV589780 MPV589782:MPV589826 MPV655294:MPV655316 MPV655318:MPV655362 MPV720830:MPV720852 MPV720854:MPV720898 MPV786366:MPV786388 MPV786390:MPV786434 MPV851902:MPV851924 MPV851926:MPV851970 MPV917438:MPV917460 MPV917462:MPV917506 MPV982974:MPV982996 MPV982998:MPV983042 MZN65541:MZN65548 MZN131077:MZN131084 MZN196613:MZN196620 MZN262149:MZN262156 MZN327685:MZN327692 MZN393221:MZN393228 MZN458757:MZN458764 MZN524293:MZN524300 MZN589829:MZN589836 MZN655365:MZN655372 MZN720901:MZN720908 MZN786437:MZN786444 MZN851973:MZN851980 MZN917509:MZN917516 MZN983045:MZN983052 MZR65470:MZR65492 MZR65494:MZR65538 MZR131006:MZR131028 MZR131030:MZR131074 MZR196542:MZR196564 MZR196566:MZR196610 MZR262078:MZR262100 MZR262102:MZR262146 MZR327614:MZR327636 MZR327638:MZR327682 MZR393150:MZR393172 MZR393174:MZR393218 MZR458686:MZR458708 MZR458710:MZR458754 MZR524222:MZR524244 MZR524246:MZR524290 MZR589758:MZR589780 MZR589782:MZR589826 MZR655294:MZR655316 MZR655318:MZR655362 MZR720830:MZR720852 MZR720854:MZR720898 MZR786366:MZR786388 MZR786390:MZR786434 MZR851902:MZR851924 MZR851926:MZR851970 MZR917438:MZR917460 MZR917462:MZR917506 MZR982974:MZR982996 MZR982998:MZR983042 NJJ65541:NJJ65548 NJJ131077:NJJ131084 NJJ196613:NJJ196620 NJJ262149:NJJ262156 NJJ327685:NJJ327692 NJJ393221:NJJ393228 NJJ458757:NJJ458764 NJJ524293:NJJ524300 NJJ589829:NJJ589836 NJJ655365:NJJ655372 NJJ720901:NJJ720908 NJJ786437:NJJ786444 NJJ851973:NJJ851980 NJJ917509:NJJ917516 NJJ983045:NJJ983052 NJN65470:NJN65492 NJN65494:NJN65538 NJN131006:NJN131028 NJN131030:NJN131074 NJN196542:NJN196564 NJN196566:NJN196610 NJN262078:NJN262100 NJN262102:NJN262146 NJN327614:NJN327636 NJN327638:NJN327682 NJN393150:NJN393172 NJN393174:NJN393218 NJN458686:NJN458708 NJN458710:NJN458754 NJN524222:NJN524244 NJN524246:NJN524290 NJN589758:NJN589780 NJN589782:NJN589826 NJN655294:NJN655316 NJN655318:NJN655362 NJN720830:NJN720852 NJN720854:NJN720898 NJN786366:NJN786388 NJN786390:NJN786434 NJN851902:NJN851924 NJN851926:NJN851970 NJN917438:NJN917460 NJN917462:NJN917506 NJN982974:NJN982996 NJN982998:NJN983042 NTF65541:NTF65548 NTF131077:NTF131084 NTF196613:NTF196620 NTF262149:NTF262156 NTF327685:NTF327692 NTF393221:NTF393228 NTF458757:NTF458764 NTF524293:NTF524300 NTF589829:NTF589836 NTF655365:NTF655372 NTF720901:NTF720908 NTF786437:NTF786444 NTF851973:NTF851980 NTF917509:NTF917516 NTF983045:NTF983052 NTJ65470:NTJ65492 NTJ65494:NTJ65538 NTJ131006:NTJ131028 NTJ131030:NTJ131074 NTJ196542:NTJ196564 NTJ196566:NTJ196610 NTJ262078:NTJ262100 NTJ262102:NTJ262146 NTJ327614:NTJ327636 NTJ327638:NTJ327682 NTJ393150:NTJ393172 NTJ393174:NTJ393218 NTJ458686:NTJ458708 NTJ458710:NTJ458754 NTJ524222:NTJ524244 NTJ524246:NTJ524290 NTJ589758:NTJ589780 NTJ589782:NTJ589826 NTJ655294:NTJ655316 NTJ655318:NTJ655362 NTJ720830:NTJ720852 NTJ720854:NTJ720898 NTJ786366:NTJ786388 NTJ786390:NTJ786434 NTJ851902:NTJ851924 NTJ851926:NTJ851970 NTJ917438:NTJ917460 NTJ917462:NTJ917506 NTJ982974:NTJ982996 NTJ982998:NTJ983042 ODB65541:ODB65548 ODB131077:ODB131084 ODB196613:ODB196620 ODB262149:ODB262156 ODB327685:ODB327692 ODB393221:ODB393228 ODB458757:ODB458764 ODB524293:ODB524300 ODB589829:ODB589836 ODB655365:ODB655372 ODB720901:ODB720908 ODB786437:ODB786444 ODB851973:ODB851980 ODB917509:ODB917516 ODB983045:ODB983052 ODF65470:ODF65492 ODF65494:ODF65538 ODF131006:ODF131028 ODF131030:ODF131074 ODF196542:ODF196564 ODF196566:ODF196610 ODF262078:ODF262100 ODF262102:ODF262146 ODF327614:ODF327636 ODF327638:ODF327682 ODF393150:ODF393172 ODF393174:ODF393218 ODF458686:ODF458708 ODF458710:ODF458754 ODF524222:ODF524244 ODF524246:ODF524290 ODF589758:ODF589780 ODF589782:ODF589826 ODF655294:ODF655316 ODF655318:ODF655362 ODF720830:ODF720852 ODF720854:ODF720898 ODF786366:ODF786388 ODF786390:ODF786434 ODF851902:ODF851924 ODF851926:ODF851970 ODF917438:ODF917460 ODF917462:ODF917506 ODF982974:ODF982996 ODF982998:ODF983042 OMX65541:OMX65548 OMX131077:OMX131084 OMX196613:OMX196620 OMX262149:OMX262156 OMX327685:OMX327692 OMX393221:OMX393228 OMX458757:OMX458764 OMX524293:OMX524300 OMX589829:OMX589836 OMX655365:OMX655372 OMX720901:OMX720908 OMX786437:OMX786444 OMX851973:OMX851980 OMX917509:OMX917516 OMX983045:OMX983052 ONB65470:ONB65492 ONB65494:ONB65538 ONB131006:ONB131028 ONB131030:ONB131074 ONB196542:ONB196564 ONB196566:ONB196610 ONB262078:ONB262100 ONB262102:ONB262146 ONB327614:ONB327636 ONB327638:ONB327682 ONB393150:ONB393172 ONB393174:ONB393218 ONB458686:ONB458708 ONB458710:ONB458754 ONB524222:ONB524244 ONB524246:ONB524290 ONB589758:ONB589780 ONB589782:ONB589826 ONB655294:ONB655316 ONB655318:ONB655362 ONB720830:ONB720852 ONB720854:ONB720898 ONB786366:ONB786388 ONB786390:ONB786434 ONB851902:ONB851924 ONB851926:ONB851970 ONB917438:ONB917460 ONB917462:ONB917506 ONB982974:ONB982996 ONB982998:ONB983042 OWT65541:OWT65548 OWT131077:OWT131084 OWT196613:OWT196620 OWT262149:OWT262156 OWT327685:OWT327692 OWT393221:OWT393228 OWT458757:OWT458764 OWT524293:OWT524300 OWT589829:OWT589836 OWT655365:OWT655372 OWT720901:OWT720908 OWT786437:OWT786444 OWT851973:OWT851980 OWT917509:OWT917516 OWT983045:OWT983052 OWX65470:OWX65492 OWX65494:OWX65538 OWX131006:OWX131028 OWX131030:OWX131074 OWX196542:OWX196564 OWX196566:OWX196610 OWX262078:OWX262100 OWX262102:OWX262146 OWX327614:OWX327636 OWX327638:OWX327682 OWX393150:OWX393172 OWX393174:OWX393218 OWX458686:OWX458708 OWX458710:OWX458754 OWX524222:OWX524244 OWX524246:OWX524290 OWX589758:OWX589780 OWX589782:OWX589826 OWX655294:OWX655316 OWX655318:OWX655362 OWX720830:OWX720852 OWX720854:OWX720898 OWX786366:OWX786388 OWX786390:OWX786434 OWX851902:OWX851924 OWX851926:OWX851970 OWX917438:OWX917460 OWX917462:OWX917506 OWX982974:OWX982996 OWX982998:OWX983042 PGP65541:PGP65548 PGP131077:PGP131084 PGP196613:PGP196620 PGP262149:PGP262156 PGP327685:PGP327692 PGP393221:PGP393228 PGP458757:PGP458764 PGP524293:PGP524300 PGP589829:PGP589836 PGP655365:PGP655372 PGP720901:PGP720908 PGP786437:PGP786444 PGP851973:PGP851980 PGP917509:PGP917516 PGP983045:PGP983052 PGT65470:PGT65492 PGT65494:PGT65538 PGT131006:PGT131028 PGT131030:PGT131074 PGT196542:PGT196564 PGT196566:PGT196610 PGT262078:PGT262100 PGT262102:PGT262146 PGT327614:PGT327636 PGT327638:PGT327682 PGT393150:PGT393172 PGT393174:PGT393218 PGT458686:PGT458708 PGT458710:PGT458754 PGT524222:PGT524244 PGT524246:PGT524290 PGT589758:PGT589780 PGT589782:PGT589826 PGT655294:PGT655316 PGT655318:PGT655362 PGT720830:PGT720852 PGT720854:PGT720898 PGT786366:PGT786388 PGT786390:PGT786434 PGT851902:PGT851924 PGT851926:PGT851970 PGT917438:PGT917460 PGT917462:PGT917506 PGT982974:PGT982996 PGT982998:PGT983042 PQL65541:PQL65548 PQL131077:PQL131084 PQL196613:PQL196620 PQL262149:PQL262156 PQL327685:PQL327692 PQL393221:PQL393228 PQL458757:PQL458764 PQL524293:PQL524300 PQL589829:PQL589836 PQL655365:PQL655372 PQL720901:PQL720908 PQL786437:PQL786444 PQL851973:PQL851980 PQL917509:PQL917516 PQL983045:PQL983052 PQP65470:PQP65492 PQP65494:PQP65538 PQP131006:PQP131028 PQP131030:PQP131074 PQP196542:PQP196564 PQP196566:PQP196610 PQP262078:PQP262100 PQP262102:PQP262146 PQP327614:PQP327636 PQP327638:PQP327682 PQP393150:PQP393172 PQP393174:PQP393218 PQP458686:PQP458708 PQP458710:PQP458754 PQP524222:PQP524244 PQP524246:PQP524290 PQP589758:PQP589780 PQP589782:PQP589826 PQP655294:PQP655316 PQP655318:PQP655362 PQP720830:PQP720852 PQP720854:PQP720898 PQP786366:PQP786388 PQP786390:PQP786434 PQP851902:PQP851924 PQP851926:PQP851970 PQP917438:PQP917460 PQP917462:PQP917506 PQP982974:PQP982996 PQP982998:PQP983042 QAH65541:QAH65548 QAH131077:QAH131084 QAH196613:QAH196620 QAH262149:QAH262156 QAH327685:QAH327692 QAH393221:QAH393228 QAH458757:QAH458764 QAH524293:QAH524300 QAH589829:QAH589836 QAH655365:QAH655372 QAH720901:QAH720908 QAH786437:QAH786444 QAH851973:QAH851980 QAH917509:QAH917516 QAH983045:QAH983052 QAL65470:QAL65492 QAL65494:QAL65538 QAL131006:QAL131028 QAL131030:QAL131074 QAL196542:QAL196564 QAL196566:QAL196610 QAL262078:QAL262100 QAL262102:QAL262146 QAL327614:QAL327636 QAL327638:QAL327682 QAL393150:QAL393172 QAL393174:QAL393218 QAL458686:QAL458708 QAL458710:QAL458754 QAL524222:QAL524244 QAL524246:QAL524290 QAL589758:QAL589780 QAL589782:QAL589826 QAL655294:QAL655316 QAL655318:QAL655362 QAL720830:QAL720852 QAL720854:QAL720898 QAL786366:QAL786388 QAL786390:QAL786434 QAL851902:QAL851924 QAL851926:QAL851970 QAL917438:QAL917460 QAL917462:QAL917506 QAL982974:QAL982996 QAL982998:QAL983042 QKD65541:QKD65548 QKD131077:QKD131084 QKD196613:QKD196620 QKD262149:QKD262156 QKD327685:QKD327692 QKD393221:QKD393228 QKD458757:QKD458764 QKD524293:QKD524300 QKD589829:QKD589836 QKD655365:QKD655372 QKD720901:QKD720908 QKD786437:QKD786444 QKD851973:QKD851980 QKD917509:QKD917516 QKD983045:QKD983052 QKH65470:QKH65492 QKH65494:QKH65538 QKH131006:QKH131028 QKH131030:QKH131074 QKH196542:QKH196564 QKH196566:QKH196610 QKH262078:QKH262100 QKH262102:QKH262146 QKH327614:QKH327636 QKH327638:QKH327682 QKH393150:QKH393172 QKH393174:QKH393218 QKH458686:QKH458708 QKH458710:QKH458754 QKH524222:QKH524244 QKH524246:QKH524290 QKH589758:QKH589780 QKH589782:QKH589826 QKH655294:QKH655316 QKH655318:QKH655362 QKH720830:QKH720852 QKH720854:QKH720898 QKH786366:QKH786388 QKH786390:QKH786434 QKH851902:QKH851924 QKH851926:QKH851970 QKH917438:QKH917460 QKH917462:QKH917506 QKH982974:QKH982996 QKH982998:QKH983042 QTZ65541:QTZ65548 QTZ131077:QTZ131084 QTZ196613:QTZ196620 QTZ262149:QTZ262156 QTZ327685:QTZ327692 QTZ393221:QTZ393228 QTZ458757:QTZ458764 QTZ524293:QTZ524300 QTZ589829:QTZ589836 QTZ655365:QTZ655372 QTZ720901:QTZ720908 QTZ786437:QTZ786444 QTZ851973:QTZ851980 QTZ917509:QTZ917516 QTZ983045:QTZ983052 QUD65470:QUD65492 QUD65494:QUD65538 QUD131006:QUD131028 QUD131030:QUD131074 QUD196542:QUD196564 QUD196566:QUD196610 QUD262078:QUD262100 QUD262102:QUD262146 QUD327614:QUD327636 QUD327638:QUD327682 QUD393150:QUD393172 QUD393174:QUD393218 QUD458686:QUD458708 QUD458710:QUD458754 QUD524222:QUD524244 QUD524246:QUD524290 QUD589758:QUD589780 QUD589782:QUD589826 QUD655294:QUD655316 QUD655318:QUD655362 QUD720830:QUD720852 QUD720854:QUD720898 QUD786366:QUD786388 QUD786390:QUD786434 QUD851902:QUD851924 QUD851926:QUD851970 QUD917438:QUD917460 QUD917462:QUD917506 QUD982974:QUD982996 QUD982998:QUD983042 RDV65541:RDV65548 RDV131077:RDV131084 RDV196613:RDV196620 RDV262149:RDV262156 RDV327685:RDV327692 RDV393221:RDV393228 RDV458757:RDV458764 RDV524293:RDV524300 RDV589829:RDV589836 RDV655365:RDV655372 RDV720901:RDV720908 RDV786437:RDV786444 RDV851973:RDV851980 RDV917509:RDV917516 RDV983045:RDV983052 RDZ65470:RDZ65492 RDZ65494:RDZ65538 RDZ131006:RDZ131028 RDZ131030:RDZ131074 RDZ196542:RDZ196564 RDZ196566:RDZ196610 RDZ262078:RDZ262100 RDZ262102:RDZ262146 RDZ327614:RDZ327636 RDZ327638:RDZ327682 RDZ393150:RDZ393172 RDZ393174:RDZ393218 RDZ458686:RDZ458708 RDZ458710:RDZ458754 RDZ524222:RDZ524244 RDZ524246:RDZ524290 RDZ589758:RDZ589780 RDZ589782:RDZ589826 RDZ655294:RDZ655316 RDZ655318:RDZ655362 RDZ720830:RDZ720852 RDZ720854:RDZ720898 RDZ786366:RDZ786388 RDZ786390:RDZ786434 RDZ851902:RDZ851924 RDZ851926:RDZ851970 RDZ917438:RDZ917460 RDZ917462:RDZ917506 RDZ982974:RDZ982996 RDZ982998:RDZ983042 RNR65541:RNR65548 RNR131077:RNR131084 RNR196613:RNR196620 RNR262149:RNR262156 RNR327685:RNR327692 RNR393221:RNR393228 RNR458757:RNR458764 RNR524293:RNR524300 RNR589829:RNR589836 RNR655365:RNR655372 RNR720901:RNR720908 RNR786437:RNR786444 RNR851973:RNR851980 RNR917509:RNR917516 RNR983045:RNR983052 RNV65470:RNV65492 RNV65494:RNV65538 RNV131006:RNV131028 RNV131030:RNV131074 RNV196542:RNV196564 RNV196566:RNV196610 RNV262078:RNV262100 RNV262102:RNV262146 RNV327614:RNV327636 RNV327638:RNV327682 RNV393150:RNV393172 RNV393174:RNV393218 RNV458686:RNV458708 RNV458710:RNV458754 RNV524222:RNV524244 RNV524246:RNV524290 RNV589758:RNV589780 RNV589782:RNV589826 RNV655294:RNV655316 RNV655318:RNV655362 RNV720830:RNV720852 RNV720854:RNV720898 RNV786366:RNV786388 RNV786390:RNV786434 RNV851902:RNV851924 RNV851926:RNV851970 RNV917438:RNV917460 RNV917462:RNV917506 RNV982974:RNV982996 RNV982998:RNV983042 RXN65541:RXN65548 RXN131077:RXN131084 RXN196613:RXN196620 RXN262149:RXN262156 RXN327685:RXN327692 RXN393221:RXN393228 RXN458757:RXN458764 RXN524293:RXN524300 RXN589829:RXN589836 RXN655365:RXN655372 RXN720901:RXN720908 RXN786437:RXN786444 RXN851973:RXN851980 RXN917509:RXN917516 RXN983045:RXN983052 RXR65470:RXR65492 RXR65494:RXR65538 RXR131006:RXR131028 RXR131030:RXR131074 RXR196542:RXR196564 RXR196566:RXR196610 RXR262078:RXR262100 RXR262102:RXR262146 RXR327614:RXR327636 RXR327638:RXR327682 RXR393150:RXR393172 RXR393174:RXR393218 RXR458686:RXR458708 RXR458710:RXR458754 RXR524222:RXR524244 RXR524246:RXR524290 RXR589758:RXR589780 RXR589782:RXR589826 RXR655294:RXR655316 RXR655318:RXR655362 RXR720830:RXR720852 RXR720854:RXR720898 RXR786366:RXR786388 RXR786390:RXR786434 RXR851902:RXR851924 RXR851926:RXR851970 RXR917438:RXR917460 RXR917462:RXR917506 RXR982974:RXR982996 RXR982998:RXR983042 SHJ65541:SHJ65548 SHJ131077:SHJ131084 SHJ196613:SHJ196620 SHJ262149:SHJ262156 SHJ327685:SHJ327692 SHJ393221:SHJ393228 SHJ458757:SHJ458764 SHJ524293:SHJ524300 SHJ589829:SHJ589836 SHJ655365:SHJ655372 SHJ720901:SHJ720908 SHJ786437:SHJ786444 SHJ851973:SHJ851980 SHJ917509:SHJ917516 SHJ983045:SHJ983052 SHN65470:SHN65492 SHN65494:SHN65538 SHN131006:SHN131028 SHN131030:SHN131074 SHN196542:SHN196564 SHN196566:SHN196610 SHN262078:SHN262100 SHN262102:SHN262146 SHN327614:SHN327636 SHN327638:SHN327682 SHN393150:SHN393172 SHN393174:SHN393218 SHN458686:SHN458708 SHN458710:SHN458754 SHN524222:SHN524244 SHN524246:SHN524290 SHN589758:SHN589780 SHN589782:SHN589826 SHN655294:SHN655316 SHN655318:SHN655362 SHN720830:SHN720852 SHN720854:SHN720898 SHN786366:SHN786388 SHN786390:SHN786434 SHN851902:SHN851924 SHN851926:SHN851970 SHN917438:SHN917460 SHN917462:SHN917506 SHN982974:SHN982996 SHN982998:SHN983042 SRF65541:SRF65548 SRF131077:SRF131084 SRF196613:SRF196620 SRF262149:SRF262156 SRF327685:SRF327692 SRF393221:SRF393228 SRF458757:SRF458764 SRF524293:SRF524300 SRF589829:SRF589836 SRF655365:SRF655372 SRF720901:SRF720908 SRF786437:SRF786444 SRF851973:SRF851980 SRF917509:SRF917516 SRF983045:SRF983052 SRJ65470:SRJ65492 SRJ65494:SRJ65538 SRJ131006:SRJ131028 SRJ131030:SRJ131074 SRJ196542:SRJ196564 SRJ196566:SRJ196610 SRJ262078:SRJ262100 SRJ262102:SRJ262146 SRJ327614:SRJ327636 SRJ327638:SRJ327682 SRJ393150:SRJ393172 SRJ393174:SRJ393218 SRJ458686:SRJ458708 SRJ458710:SRJ458754 SRJ524222:SRJ524244 SRJ524246:SRJ524290 SRJ589758:SRJ589780 SRJ589782:SRJ589826 SRJ655294:SRJ655316 SRJ655318:SRJ655362 SRJ720830:SRJ720852 SRJ720854:SRJ720898 SRJ786366:SRJ786388 SRJ786390:SRJ786434 SRJ851902:SRJ851924 SRJ851926:SRJ851970 SRJ917438:SRJ917460 SRJ917462:SRJ917506 SRJ982974:SRJ982996 SRJ982998:SRJ983042 TBB65541:TBB65548 TBB131077:TBB131084 TBB196613:TBB196620 TBB262149:TBB262156 TBB327685:TBB327692 TBB393221:TBB393228 TBB458757:TBB458764 TBB524293:TBB524300 TBB589829:TBB589836 TBB655365:TBB655372 TBB720901:TBB720908 TBB786437:TBB786444 TBB851973:TBB851980 TBB917509:TBB917516 TBB983045:TBB983052 TBF65470:TBF65492 TBF65494:TBF65538 TBF131006:TBF131028 TBF131030:TBF131074 TBF196542:TBF196564 TBF196566:TBF196610 TBF262078:TBF262100 TBF262102:TBF262146 TBF327614:TBF327636 TBF327638:TBF327682 TBF393150:TBF393172 TBF393174:TBF393218 TBF458686:TBF458708 TBF458710:TBF458754 TBF524222:TBF524244 TBF524246:TBF524290 TBF589758:TBF589780 TBF589782:TBF589826 TBF655294:TBF655316 TBF655318:TBF655362 TBF720830:TBF720852 TBF720854:TBF720898 TBF786366:TBF786388 TBF786390:TBF786434 TBF851902:TBF851924 TBF851926:TBF851970 TBF917438:TBF917460 TBF917462:TBF917506 TBF982974:TBF982996 TBF982998:TBF983042 TKX65541:TKX65548 TKX131077:TKX131084 TKX196613:TKX196620 TKX262149:TKX262156 TKX327685:TKX327692 TKX393221:TKX393228 TKX458757:TKX458764 TKX524293:TKX524300 TKX589829:TKX589836 TKX655365:TKX655372 TKX720901:TKX720908 TKX786437:TKX786444 TKX851973:TKX851980 TKX917509:TKX917516 TKX983045:TKX983052 TLB65470:TLB65492 TLB65494:TLB65538 TLB131006:TLB131028 TLB131030:TLB131074 TLB196542:TLB196564 TLB196566:TLB196610 TLB262078:TLB262100 TLB262102:TLB262146 TLB327614:TLB327636 TLB327638:TLB327682 TLB393150:TLB393172 TLB393174:TLB393218 TLB458686:TLB458708 TLB458710:TLB458754 TLB524222:TLB524244 TLB524246:TLB524290 TLB589758:TLB589780 TLB589782:TLB589826 TLB655294:TLB655316 TLB655318:TLB655362 TLB720830:TLB720852 TLB720854:TLB720898 TLB786366:TLB786388 TLB786390:TLB786434 TLB851902:TLB851924 TLB851926:TLB851970 TLB917438:TLB917460 TLB917462:TLB917506 TLB982974:TLB982996 TLB982998:TLB983042 TUT65541:TUT65548 TUT131077:TUT131084 TUT196613:TUT196620 TUT262149:TUT262156 TUT327685:TUT327692 TUT393221:TUT393228 TUT458757:TUT458764 TUT524293:TUT524300 TUT589829:TUT589836 TUT655365:TUT655372 TUT720901:TUT720908 TUT786437:TUT786444 TUT851973:TUT851980 TUT917509:TUT917516 TUT983045:TUT983052 TUX65470:TUX65492 TUX65494:TUX65538 TUX131006:TUX131028 TUX131030:TUX131074 TUX196542:TUX196564 TUX196566:TUX196610 TUX262078:TUX262100 TUX262102:TUX262146 TUX327614:TUX327636 TUX327638:TUX327682 TUX393150:TUX393172 TUX393174:TUX393218 TUX458686:TUX458708 TUX458710:TUX458754 TUX524222:TUX524244 TUX524246:TUX524290 TUX589758:TUX589780 TUX589782:TUX589826 TUX655294:TUX655316 TUX655318:TUX655362 TUX720830:TUX720852 TUX720854:TUX720898 TUX786366:TUX786388 TUX786390:TUX786434 TUX851902:TUX851924 TUX851926:TUX851970 TUX917438:TUX917460 TUX917462:TUX917506 TUX982974:TUX982996 TUX982998:TUX983042 UEP65541:UEP65548 UEP131077:UEP131084 UEP196613:UEP196620 UEP262149:UEP262156 UEP327685:UEP327692 UEP393221:UEP393228 UEP458757:UEP458764 UEP524293:UEP524300 UEP589829:UEP589836 UEP655365:UEP655372 UEP720901:UEP720908 UEP786437:UEP786444 UEP851973:UEP851980 UEP917509:UEP917516 UEP983045:UEP983052 UET65470:UET65492 UET65494:UET65538 UET131006:UET131028 UET131030:UET131074 UET196542:UET196564 UET196566:UET196610 UET262078:UET262100 UET262102:UET262146 UET327614:UET327636 UET327638:UET327682 UET393150:UET393172 UET393174:UET393218 UET458686:UET458708 UET458710:UET458754 UET524222:UET524244 UET524246:UET524290 UET589758:UET589780 UET589782:UET589826 UET655294:UET655316 UET655318:UET655362 UET720830:UET720852 UET720854:UET720898 UET786366:UET786388 UET786390:UET786434 UET851902:UET851924 UET851926:UET851970 UET917438:UET917460 UET917462:UET917506 UET982974:UET982996 UET982998:UET983042 UOL65541:UOL65548 UOL131077:UOL131084 UOL196613:UOL196620 UOL262149:UOL262156 UOL327685:UOL327692 UOL393221:UOL393228 UOL458757:UOL458764 UOL524293:UOL524300 UOL589829:UOL589836 UOL655365:UOL655372 UOL720901:UOL720908 UOL786437:UOL786444 UOL851973:UOL851980 UOL917509:UOL917516 UOL983045:UOL983052 UOP65470:UOP65492 UOP65494:UOP65538 UOP131006:UOP131028 UOP131030:UOP131074 UOP196542:UOP196564 UOP196566:UOP196610 UOP262078:UOP262100 UOP262102:UOP262146 UOP327614:UOP327636 UOP327638:UOP327682 UOP393150:UOP393172 UOP393174:UOP393218 UOP458686:UOP458708 UOP458710:UOP458754 UOP524222:UOP524244 UOP524246:UOP524290 UOP589758:UOP589780 UOP589782:UOP589826 UOP655294:UOP655316 UOP655318:UOP655362 UOP720830:UOP720852 UOP720854:UOP720898 UOP786366:UOP786388 UOP786390:UOP786434 UOP851902:UOP851924 UOP851926:UOP851970 UOP917438:UOP917460 UOP917462:UOP917506 UOP982974:UOP982996 UOP982998:UOP983042 UYH65541:UYH65548 UYH131077:UYH131084 UYH196613:UYH196620 UYH262149:UYH262156 UYH327685:UYH327692 UYH393221:UYH393228 UYH458757:UYH458764 UYH524293:UYH524300 UYH589829:UYH589836 UYH655365:UYH655372 UYH720901:UYH720908 UYH786437:UYH786444 UYH851973:UYH851980 UYH917509:UYH917516 UYH983045:UYH983052 UYL65470:UYL65492 UYL65494:UYL65538 UYL131006:UYL131028 UYL131030:UYL131074 UYL196542:UYL196564 UYL196566:UYL196610 UYL262078:UYL262100 UYL262102:UYL262146 UYL327614:UYL327636 UYL327638:UYL327682 UYL393150:UYL393172 UYL393174:UYL393218 UYL458686:UYL458708 UYL458710:UYL458754 UYL524222:UYL524244 UYL524246:UYL524290 UYL589758:UYL589780 UYL589782:UYL589826 UYL655294:UYL655316 UYL655318:UYL655362 UYL720830:UYL720852 UYL720854:UYL720898 UYL786366:UYL786388 UYL786390:UYL786434 UYL851902:UYL851924 UYL851926:UYL851970 UYL917438:UYL917460 UYL917462:UYL917506 UYL982974:UYL982996 UYL982998:UYL983042 VID65541:VID65548 VID131077:VID131084 VID196613:VID196620 VID262149:VID262156 VID327685:VID327692 VID393221:VID393228 VID458757:VID458764 VID524293:VID524300 VID589829:VID589836 VID655365:VID655372 VID720901:VID720908 VID786437:VID786444 VID851973:VID851980 VID917509:VID917516 VID983045:VID983052 VIH65470:VIH65492 VIH65494:VIH65538 VIH131006:VIH131028 VIH131030:VIH131074 VIH196542:VIH196564 VIH196566:VIH196610 VIH262078:VIH262100 VIH262102:VIH262146 VIH327614:VIH327636 VIH327638:VIH327682 VIH393150:VIH393172 VIH393174:VIH393218 VIH458686:VIH458708 VIH458710:VIH458754 VIH524222:VIH524244 VIH524246:VIH524290 VIH589758:VIH589780 VIH589782:VIH589826 VIH655294:VIH655316 VIH655318:VIH655362 VIH720830:VIH720852 VIH720854:VIH720898 VIH786366:VIH786388 VIH786390:VIH786434 VIH851902:VIH851924 VIH851926:VIH851970 VIH917438:VIH917460 VIH917462:VIH917506 VIH982974:VIH982996 VIH982998:VIH983042 VRZ65541:VRZ65548 VRZ131077:VRZ131084 VRZ196613:VRZ196620 VRZ262149:VRZ262156 VRZ327685:VRZ327692 VRZ393221:VRZ393228 VRZ458757:VRZ458764 VRZ524293:VRZ524300 VRZ589829:VRZ589836 VRZ655365:VRZ655372 VRZ720901:VRZ720908 VRZ786437:VRZ786444 VRZ851973:VRZ851980 VRZ917509:VRZ917516 VRZ983045:VRZ983052 VSD65470:VSD65492 VSD65494:VSD65538 VSD131006:VSD131028 VSD131030:VSD131074 VSD196542:VSD196564 VSD196566:VSD196610 VSD262078:VSD262100 VSD262102:VSD262146 VSD327614:VSD327636 VSD327638:VSD327682 VSD393150:VSD393172 VSD393174:VSD393218 VSD458686:VSD458708 VSD458710:VSD458754 VSD524222:VSD524244 VSD524246:VSD524290 VSD589758:VSD589780 VSD589782:VSD589826 VSD655294:VSD655316 VSD655318:VSD655362 VSD720830:VSD720852 VSD720854:VSD720898 VSD786366:VSD786388 VSD786390:VSD786434 VSD851902:VSD851924 VSD851926:VSD851970 VSD917438:VSD917460 VSD917462:VSD917506 VSD982974:VSD982996 VSD982998:VSD983042 WBV65541:WBV65548 WBV131077:WBV131084 WBV196613:WBV196620 WBV262149:WBV262156 WBV327685:WBV327692 WBV393221:WBV393228 WBV458757:WBV458764 WBV524293:WBV524300 WBV589829:WBV589836 WBV655365:WBV655372 WBV720901:WBV720908 WBV786437:WBV786444 WBV851973:WBV851980 WBV917509:WBV917516 WBV983045:WBV983052 WBZ65470:WBZ65492 WBZ65494:WBZ65538 WBZ131006:WBZ131028 WBZ131030:WBZ131074 WBZ196542:WBZ196564 WBZ196566:WBZ196610 WBZ262078:WBZ262100 WBZ262102:WBZ262146 WBZ327614:WBZ327636 WBZ327638:WBZ327682 WBZ393150:WBZ393172 WBZ393174:WBZ393218 WBZ458686:WBZ458708 WBZ458710:WBZ458754 WBZ524222:WBZ524244 WBZ524246:WBZ524290 WBZ589758:WBZ589780 WBZ589782:WBZ589826 WBZ655294:WBZ655316 WBZ655318:WBZ655362 WBZ720830:WBZ720852 WBZ720854:WBZ720898 WBZ786366:WBZ786388 WBZ786390:WBZ786434 WBZ851902:WBZ851924 WBZ851926:WBZ851970 WBZ917438:WBZ917460 WBZ917462:WBZ917506 WBZ982974:WBZ982996 WBZ982998:WBZ983042 WLR65541:WLR65548 WLR131077:WLR131084 WLR196613:WLR196620 WLR262149:WLR262156 WLR327685:WLR327692 WLR393221:WLR393228 WLR458757:WLR458764 WLR524293:WLR524300 WLR589829:WLR589836 WLR655365:WLR655372 WLR720901:WLR720908 WLR786437:WLR786444 WLR851973:WLR851980 WLR917509:WLR917516 WLR983045:WLR983052 WLV65470:WLV65492 WLV65494:WLV65538 WLV131006:WLV131028 WLV131030:WLV131074 WLV196542:WLV196564 WLV196566:WLV196610 WLV262078:WLV262100 WLV262102:WLV262146 WLV327614:WLV327636 WLV327638:WLV327682 WLV393150:WLV393172 WLV393174:WLV393218 WLV458686:WLV458708 WLV458710:WLV458754 WLV524222:WLV524244 WLV524246:WLV524290 WLV589758:WLV589780 WLV589782:WLV589826 WLV655294:WLV655316 WLV655318:WLV655362 WLV720830:WLV720852 WLV720854:WLV720898 WLV786366:WLV786388 WLV786390:WLV786434 WLV851902:WLV851924 WLV851926:WLV851970 WLV917438:WLV917460 WLV917462:WLV917506 WLV982974:WLV982996 WLV982998:WLV983042 WVN65541:WVN65548 WVN131077:WVN131084 WVN196613:WVN196620 WVN262149:WVN262156 WVN327685:WVN327692 WVN393221:WVN393228 WVN458757:WVN458764 WVN524293:WVN524300 WVN589829:WVN589836 WVN655365:WVN655372 WVN720901:WVN720908 WVN786437:WVN786444 WVN851973:WVN851980 WVN917509:WVN917516 WVN983045:WVN983052 WVR65470:WVR65492 WVR65494:WVR65538 WVR131006:WVR131028 WVR131030:WVR131074 WVR196542:WVR196564 WVR196566:WVR196610 WVR262078:WVR262100 WVR262102:WVR262146 WVR327614:WVR327636 WVR327638:WVR327682 WVR393150:WVR393172 WVR393174:WVR393218 WVR458686:WVR458708 WVR458710:WVR458754 WVR524222:WVR524244 WVR524246:WVR524290 WVR589758:WVR589780 WVR589782:WVR589826 WVR655294:WVR655316 WVR655318:WVR655362 WVR720830:WVR720852 WVR720854:WVR720898 WVR786366:WVR786388 WVR786390:WVR786434 WVR851902:WVR851924 WVR851926:WVR851970 WVR917438:WVR917460 WVR917462:WVR917506 WVR982974:WVR982996 WVR982998:WVR983042" xr:uid="{00000000-0002-0000-0500-000001000000}">
      <formula1>"■ 是,□ 否"</formula1>
    </dataValidation>
    <dataValidation type="list" allowBlank="1" showInputMessage="1" showErrorMessage="1" sqref="E65545:E65549 E131081:E131085 E196617:E196621 E262153:E262157 E327689:E327693 E393225:E393229 E458761:E458765 E524297:E524301 E589833:E589837 E655369:E655373 E720905:E720909 E786441:E786445 E851977:E851981 E917513:E917517 E983049:E983053 JA65545:JA65549 JA131081:JA131085 JA196617:JA196621 JA262153:JA262157 JA327689:JA327693 JA393225:JA393229 JA458761:JA458765 JA524297:JA524301 JA589833:JA589837 JA655369:JA655373 JA720905:JA720909 JA786441:JA786445 JA851977:JA851981 JA917513:JA917517 JA983049:JA983053 SW65545:SW65549 SW131081:SW131085 SW196617:SW196621 SW262153:SW262157 SW327689:SW327693 SW393225:SW393229 SW458761:SW458765 SW524297:SW524301 SW589833:SW589837 SW655369:SW655373 SW720905:SW720909 SW786441:SW786445 SW851977:SW851981 SW917513:SW917517 SW983049:SW983053 ACS65545:ACS65549 ACS131081:ACS131085 ACS196617:ACS196621 ACS262153:ACS262157 ACS327689:ACS327693 ACS393225:ACS393229 ACS458761:ACS458765 ACS524297:ACS524301 ACS589833:ACS589837 ACS655369:ACS655373 ACS720905:ACS720909 ACS786441:ACS786445 ACS851977:ACS851981 ACS917513:ACS917517 ACS983049:ACS983053 AMO65545:AMO65549 AMO131081:AMO131085 AMO196617:AMO196621 AMO262153:AMO262157 AMO327689:AMO327693 AMO393225:AMO393229 AMO458761:AMO458765 AMO524297:AMO524301 AMO589833:AMO589837 AMO655369:AMO655373 AMO720905:AMO720909 AMO786441:AMO786445 AMO851977:AMO851981 AMO917513:AMO917517 AMO983049:AMO983053 AWK65545:AWK65549 AWK131081:AWK131085 AWK196617:AWK196621 AWK262153:AWK262157 AWK327689:AWK327693 AWK393225:AWK393229 AWK458761:AWK458765 AWK524297:AWK524301 AWK589833:AWK589837 AWK655369:AWK655373 AWK720905:AWK720909 AWK786441:AWK786445 AWK851977:AWK851981 AWK917513:AWK917517 AWK983049:AWK983053 BGG65545:BGG65549 BGG131081:BGG131085 BGG196617:BGG196621 BGG262153:BGG262157 BGG327689:BGG327693 BGG393225:BGG393229 BGG458761:BGG458765 BGG524297:BGG524301 BGG589833:BGG589837 BGG655369:BGG655373 BGG720905:BGG720909 BGG786441:BGG786445 BGG851977:BGG851981 BGG917513:BGG917517 BGG983049:BGG983053 BQC65545:BQC65549 BQC131081:BQC131085 BQC196617:BQC196621 BQC262153:BQC262157 BQC327689:BQC327693 BQC393225:BQC393229 BQC458761:BQC458765 BQC524297:BQC524301 BQC589833:BQC589837 BQC655369:BQC655373 BQC720905:BQC720909 BQC786441:BQC786445 BQC851977:BQC851981 BQC917513:BQC917517 BQC983049:BQC983053 BZY65545:BZY65549 BZY131081:BZY131085 BZY196617:BZY196621 BZY262153:BZY262157 BZY327689:BZY327693 BZY393225:BZY393229 BZY458761:BZY458765 BZY524297:BZY524301 BZY589833:BZY589837 BZY655369:BZY655373 BZY720905:BZY720909 BZY786441:BZY786445 BZY851977:BZY851981 BZY917513:BZY917517 BZY983049:BZY983053 CJU65545:CJU65549 CJU131081:CJU131085 CJU196617:CJU196621 CJU262153:CJU262157 CJU327689:CJU327693 CJU393225:CJU393229 CJU458761:CJU458765 CJU524297:CJU524301 CJU589833:CJU589837 CJU655369:CJU655373 CJU720905:CJU720909 CJU786441:CJU786445 CJU851977:CJU851981 CJU917513:CJU917517 CJU983049:CJU983053 CTQ65545:CTQ65549 CTQ131081:CTQ131085 CTQ196617:CTQ196621 CTQ262153:CTQ262157 CTQ327689:CTQ327693 CTQ393225:CTQ393229 CTQ458761:CTQ458765 CTQ524297:CTQ524301 CTQ589833:CTQ589837 CTQ655369:CTQ655373 CTQ720905:CTQ720909 CTQ786441:CTQ786445 CTQ851977:CTQ851981 CTQ917513:CTQ917517 CTQ983049:CTQ983053 DDM65545:DDM65549 DDM131081:DDM131085 DDM196617:DDM196621 DDM262153:DDM262157 DDM327689:DDM327693 DDM393225:DDM393229 DDM458761:DDM458765 DDM524297:DDM524301 DDM589833:DDM589837 DDM655369:DDM655373 DDM720905:DDM720909 DDM786441:DDM786445 DDM851977:DDM851981 DDM917513:DDM917517 DDM983049:DDM983053 DNI65545:DNI65549 DNI131081:DNI131085 DNI196617:DNI196621 DNI262153:DNI262157 DNI327689:DNI327693 DNI393225:DNI393229 DNI458761:DNI458765 DNI524297:DNI524301 DNI589833:DNI589837 DNI655369:DNI655373 DNI720905:DNI720909 DNI786441:DNI786445 DNI851977:DNI851981 DNI917513:DNI917517 DNI983049:DNI983053 DXE65545:DXE65549 DXE131081:DXE131085 DXE196617:DXE196621 DXE262153:DXE262157 DXE327689:DXE327693 DXE393225:DXE393229 DXE458761:DXE458765 DXE524297:DXE524301 DXE589833:DXE589837 DXE655369:DXE655373 DXE720905:DXE720909 DXE786441:DXE786445 DXE851977:DXE851981 DXE917513:DXE917517 DXE983049:DXE983053 EHA65545:EHA65549 EHA131081:EHA131085 EHA196617:EHA196621 EHA262153:EHA262157 EHA327689:EHA327693 EHA393225:EHA393229 EHA458761:EHA458765 EHA524297:EHA524301 EHA589833:EHA589837 EHA655369:EHA655373 EHA720905:EHA720909 EHA786441:EHA786445 EHA851977:EHA851981 EHA917513:EHA917517 EHA983049:EHA983053 EQW65545:EQW65549 EQW131081:EQW131085 EQW196617:EQW196621 EQW262153:EQW262157 EQW327689:EQW327693 EQW393225:EQW393229 EQW458761:EQW458765 EQW524297:EQW524301 EQW589833:EQW589837 EQW655369:EQW655373 EQW720905:EQW720909 EQW786441:EQW786445 EQW851977:EQW851981 EQW917513:EQW917517 EQW983049:EQW983053 FAS65545:FAS65549 FAS131081:FAS131085 FAS196617:FAS196621 FAS262153:FAS262157 FAS327689:FAS327693 FAS393225:FAS393229 FAS458761:FAS458765 FAS524297:FAS524301 FAS589833:FAS589837 FAS655369:FAS655373 FAS720905:FAS720909 FAS786441:FAS786445 FAS851977:FAS851981 FAS917513:FAS917517 FAS983049:FAS983053 FKO65545:FKO65549 FKO131081:FKO131085 FKO196617:FKO196621 FKO262153:FKO262157 FKO327689:FKO327693 FKO393225:FKO393229 FKO458761:FKO458765 FKO524297:FKO524301 FKO589833:FKO589837 FKO655369:FKO655373 FKO720905:FKO720909 FKO786441:FKO786445 FKO851977:FKO851981 FKO917513:FKO917517 FKO983049:FKO983053 FUK65545:FUK65549 FUK131081:FUK131085 FUK196617:FUK196621 FUK262153:FUK262157 FUK327689:FUK327693 FUK393225:FUK393229 FUK458761:FUK458765 FUK524297:FUK524301 FUK589833:FUK589837 FUK655369:FUK655373 FUK720905:FUK720909 FUK786441:FUK786445 FUK851977:FUK851981 FUK917513:FUK917517 FUK983049:FUK983053 GEG65545:GEG65549 GEG131081:GEG131085 GEG196617:GEG196621 GEG262153:GEG262157 GEG327689:GEG327693 GEG393225:GEG393229 GEG458761:GEG458765 GEG524297:GEG524301 GEG589833:GEG589837 GEG655369:GEG655373 GEG720905:GEG720909 GEG786441:GEG786445 GEG851977:GEG851981 GEG917513:GEG917517 GEG983049:GEG983053 GOC65545:GOC65549 GOC131081:GOC131085 GOC196617:GOC196621 GOC262153:GOC262157 GOC327689:GOC327693 GOC393225:GOC393229 GOC458761:GOC458765 GOC524297:GOC524301 GOC589833:GOC589837 GOC655369:GOC655373 GOC720905:GOC720909 GOC786441:GOC786445 GOC851977:GOC851981 GOC917513:GOC917517 GOC983049:GOC983053 GXY65545:GXY65549 GXY131081:GXY131085 GXY196617:GXY196621 GXY262153:GXY262157 GXY327689:GXY327693 GXY393225:GXY393229 GXY458761:GXY458765 GXY524297:GXY524301 GXY589833:GXY589837 GXY655369:GXY655373 GXY720905:GXY720909 GXY786441:GXY786445 GXY851977:GXY851981 GXY917513:GXY917517 GXY983049:GXY983053 HHU65545:HHU65549 HHU131081:HHU131085 HHU196617:HHU196621 HHU262153:HHU262157 HHU327689:HHU327693 HHU393225:HHU393229 HHU458761:HHU458765 HHU524297:HHU524301 HHU589833:HHU589837 HHU655369:HHU655373 HHU720905:HHU720909 HHU786441:HHU786445 HHU851977:HHU851981 HHU917513:HHU917517 HHU983049:HHU983053 HRQ65545:HRQ65549 HRQ131081:HRQ131085 HRQ196617:HRQ196621 HRQ262153:HRQ262157 HRQ327689:HRQ327693 HRQ393225:HRQ393229 HRQ458761:HRQ458765 HRQ524297:HRQ524301 HRQ589833:HRQ589837 HRQ655369:HRQ655373 HRQ720905:HRQ720909 HRQ786441:HRQ786445 HRQ851977:HRQ851981 HRQ917513:HRQ917517 HRQ983049:HRQ983053 IBM65545:IBM65549 IBM131081:IBM131085 IBM196617:IBM196621 IBM262153:IBM262157 IBM327689:IBM327693 IBM393225:IBM393229 IBM458761:IBM458765 IBM524297:IBM524301 IBM589833:IBM589837 IBM655369:IBM655373 IBM720905:IBM720909 IBM786441:IBM786445 IBM851977:IBM851981 IBM917513:IBM917517 IBM983049:IBM983053 ILI65545:ILI65549 ILI131081:ILI131085 ILI196617:ILI196621 ILI262153:ILI262157 ILI327689:ILI327693 ILI393225:ILI393229 ILI458761:ILI458765 ILI524297:ILI524301 ILI589833:ILI589837 ILI655369:ILI655373 ILI720905:ILI720909 ILI786441:ILI786445 ILI851977:ILI851981 ILI917513:ILI917517 ILI983049:ILI983053 IVE65545:IVE65549 IVE131081:IVE131085 IVE196617:IVE196621 IVE262153:IVE262157 IVE327689:IVE327693 IVE393225:IVE393229 IVE458761:IVE458765 IVE524297:IVE524301 IVE589833:IVE589837 IVE655369:IVE655373 IVE720905:IVE720909 IVE786441:IVE786445 IVE851977:IVE851981 IVE917513:IVE917517 IVE983049:IVE983053 JFA65545:JFA65549 JFA131081:JFA131085 JFA196617:JFA196621 JFA262153:JFA262157 JFA327689:JFA327693 JFA393225:JFA393229 JFA458761:JFA458765 JFA524297:JFA524301 JFA589833:JFA589837 JFA655369:JFA655373 JFA720905:JFA720909 JFA786441:JFA786445 JFA851977:JFA851981 JFA917513:JFA917517 JFA983049:JFA983053 JOW65545:JOW65549 JOW131081:JOW131085 JOW196617:JOW196621 JOW262153:JOW262157 JOW327689:JOW327693 JOW393225:JOW393229 JOW458761:JOW458765 JOW524297:JOW524301 JOW589833:JOW589837 JOW655369:JOW655373 JOW720905:JOW720909 JOW786441:JOW786445 JOW851977:JOW851981 JOW917513:JOW917517 JOW983049:JOW983053 JYS65545:JYS65549 JYS131081:JYS131085 JYS196617:JYS196621 JYS262153:JYS262157 JYS327689:JYS327693 JYS393225:JYS393229 JYS458761:JYS458765 JYS524297:JYS524301 JYS589833:JYS589837 JYS655369:JYS655373 JYS720905:JYS720909 JYS786441:JYS786445 JYS851977:JYS851981 JYS917513:JYS917517 JYS983049:JYS983053 KIO65545:KIO65549 KIO131081:KIO131085 KIO196617:KIO196621 KIO262153:KIO262157 KIO327689:KIO327693 KIO393225:KIO393229 KIO458761:KIO458765 KIO524297:KIO524301 KIO589833:KIO589837 KIO655369:KIO655373 KIO720905:KIO720909 KIO786441:KIO786445 KIO851977:KIO851981 KIO917513:KIO917517 KIO983049:KIO983053 KSK65545:KSK65549 KSK131081:KSK131085 KSK196617:KSK196621 KSK262153:KSK262157 KSK327689:KSK327693 KSK393225:KSK393229 KSK458761:KSK458765 KSK524297:KSK524301 KSK589833:KSK589837 KSK655369:KSK655373 KSK720905:KSK720909 KSK786441:KSK786445 KSK851977:KSK851981 KSK917513:KSK917517 KSK983049:KSK983053 LCG65545:LCG65549 LCG131081:LCG131085 LCG196617:LCG196621 LCG262153:LCG262157 LCG327689:LCG327693 LCG393225:LCG393229 LCG458761:LCG458765 LCG524297:LCG524301 LCG589833:LCG589837 LCG655369:LCG655373 LCG720905:LCG720909 LCG786441:LCG786445 LCG851977:LCG851981 LCG917513:LCG917517 LCG983049:LCG983053 LMC65545:LMC65549 LMC131081:LMC131085 LMC196617:LMC196621 LMC262153:LMC262157 LMC327689:LMC327693 LMC393225:LMC393229 LMC458761:LMC458765 LMC524297:LMC524301 LMC589833:LMC589837 LMC655369:LMC655373 LMC720905:LMC720909 LMC786441:LMC786445 LMC851977:LMC851981 LMC917513:LMC917517 LMC983049:LMC983053 LVY65545:LVY65549 LVY131081:LVY131085 LVY196617:LVY196621 LVY262153:LVY262157 LVY327689:LVY327693 LVY393225:LVY393229 LVY458761:LVY458765 LVY524297:LVY524301 LVY589833:LVY589837 LVY655369:LVY655373 LVY720905:LVY720909 LVY786441:LVY786445 LVY851977:LVY851981 LVY917513:LVY917517 LVY983049:LVY983053 MFU65545:MFU65549 MFU131081:MFU131085 MFU196617:MFU196621 MFU262153:MFU262157 MFU327689:MFU327693 MFU393225:MFU393229 MFU458761:MFU458765 MFU524297:MFU524301 MFU589833:MFU589837 MFU655369:MFU655373 MFU720905:MFU720909 MFU786441:MFU786445 MFU851977:MFU851981 MFU917513:MFU917517 MFU983049:MFU983053 MPQ65545:MPQ65549 MPQ131081:MPQ131085 MPQ196617:MPQ196621 MPQ262153:MPQ262157 MPQ327689:MPQ327693 MPQ393225:MPQ393229 MPQ458761:MPQ458765 MPQ524297:MPQ524301 MPQ589833:MPQ589837 MPQ655369:MPQ655373 MPQ720905:MPQ720909 MPQ786441:MPQ786445 MPQ851977:MPQ851981 MPQ917513:MPQ917517 MPQ983049:MPQ983053 MZM65545:MZM65549 MZM131081:MZM131085 MZM196617:MZM196621 MZM262153:MZM262157 MZM327689:MZM327693 MZM393225:MZM393229 MZM458761:MZM458765 MZM524297:MZM524301 MZM589833:MZM589837 MZM655369:MZM655373 MZM720905:MZM720909 MZM786441:MZM786445 MZM851977:MZM851981 MZM917513:MZM917517 MZM983049:MZM983053 NJI65545:NJI65549 NJI131081:NJI131085 NJI196617:NJI196621 NJI262153:NJI262157 NJI327689:NJI327693 NJI393225:NJI393229 NJI458761:NJI458765 NJI524297:NJI524301 NJI589833:NJI589837 NJI655369:NJI655373 NJI720905:NJI720909 NJI786441:NJI786445 NJI851977:NJI851981 NJI917513:NJI917517 NJI983049:NJI983053 NTE65545:NTE65549 NTE131081:NTE131085 NTE196617:NTE196621 NTE262153:NTE262157 NTE327689:NTE327693 NTE393225:NTE393229 NTE458761:NTE458765 NTE524297:NTE524301 NTE589833:NTE589837 NTE655369:NTE655373 NTE720905:NTE720909 NTE786441:NTE786445 NTE851977:NTE851981 NTE917513:NTE917517 NTE983049:NTE983053 ODA65545:ODA65549 ODA131081:ODA131085 ODA196617:ODA196621 ODA262153:ODA262157 ODA327689:ODA327693 ODA393225:ODA393229 ODA458761:ODA458765 ODA524297:ODA524301 ODA589833:ODA589837 ODA655369:ODA655373 ODA720905:ODA720909 ODA786441:ODA786445 ODA851977:ODA851981 ODA917513:ODA917517 ODA983049:ODA983053 OMW65545:OMW65549 OMW131081:OMW131085 OMW196617:OMW196621 OMW262153:OMW262157 OMW327689:OMW327693 OMW393225:OMW393229 OMW458761:OMW458765 OMW524297:OMW524301 OMW589833:OMW589837 OMW655369:OMW655373 OMW720905:OMW720909 OMW786441:OMW786445 OMW851977:OMW851981 OMW917513:OMW917517 OMW983049:OMW983053 OWS65545:OWS65549 OWS131081:OWS131085 OWS196617:OWS196621 OWS262153:OWS262157 OWS327689:OWS327693 OWS393225:OWS393229 OWS458761:OWS458765 OWS524297:OWS524301 OWS589833:OWS589837 OWS655369:OWS655373 OWS720905:OWS720909 OWS786441:OWS786445 OWS851977:OWS851981 OWS917513:OWS917517 OWS983049:OWS983053 PGO65545:PGO65549 PGO131081:PGO131085 PGO196617:PGO196621 PGO262153:PGO262157 PGO327689:PGO327693 PGO393225:PGO393229 PGO458761:PGO458765 PGO524297:PGO524301 PGO589833:PGO589837 PGO655369:PGO655373 PGO720905:PGO720909 PGO786441:PGO786445 PGO851977:PGO851981 PGO917513:PGO917517 PGO983049:PGO983053 PQK65545:PQK65549 PQK131081:PQK131085 PQK196617:PQK196621 PQK262153:PQK262157 PQK327689:PQK327693 PQK393225:PQK393229 PQK458761:PQK458765 PQK524297:PQK524301 PQK589833:PQK589837 PQK655369:PQK655373 PQK720905:PQK720909 PQK786441:PQK786445 PQK851977:PQK851981 PQK917513:PQK917517 PQK983049:PQK983053 QAG65545:QAG65549 QAG131081:QAG131085 QAG196617:QAG196621 QAG262153:QAG262157 QAG327689:QAG327693 QAG393225:QAG393229 QAG458761:QAG458765 QAG524297:QAG524301 QAG589833:QAG589837 QAG655369:QAG655373 QAG720905:QAG720909 QAG786441:QAG786445 QAG851977:QAG851981 QAG917513:QAG917517 QAG983049:QAG983053 QKC65545:QKC65549 QKC131081:QKC131085 QKC196617:QKC196621 QKC262153:QKC262157 QKC327689:QKC327693 QKC393225:QKC393229 QKC458761:QKC458765 QKC524297:QKC524301 QKC589833:QKC589837 QKC655369:QKC655373 QKC720905:QKC720909 QKC786441:QKC786445 QKC851977:QKC851981 QKC917513:QKC917517 QKC983049:QKC983053 QTY65545:QTY65549 QTY131081:QTY131085 QTY196617:QTY196621 QTY262153:QTY262157 QTY327689:QTY327693 QTY393225:QTY393229 QTY458761:QTY458765 QTY524297:QTY524301 QTY589833:QTY589837 QTY655369:QTY655373 QTY720905:QTY720909 QTY786441:QTY786445 QTY851977:QTY851981 QTY917513:QTY917517 QTY983049:QTY983053 RDU65545:RDU65549 RDU131081:RDU131085 RDU196617:RDU196621 RDU262153:RDU262157 RDU327689:RDU327693 RDU393225:RDU393229 RDU458761:RDU458765 RDU524297:RDU524301 RDU589833:RDU589837 RDU655369:RDU655373 RDU720905:RDU720909 RDU786441:RDU786445 RDU851977:RDU851981 RDU917513:RDU917517 RDU983049:RDU983053 RNQ65545:RNQ65549 RNQ131081:RNQ131085 RNQ196617:RNQ196621 RNQ262153:RNQ262157 RNQ327689:RNQ327693 RNQ393225:RNQ393229 RNQ458761:RNQ458765 RNQ524297:RNQ524301 RNQ589833:RNQ589837 RNQ655369:RNQ655373 RNQ720905:RNQ720909 RNQ786441:RNQ786445 RNQ851977:RNQ851981 RNQ917513:RNQ917517 RNQ983049:RNQ983053 RXM65545:RXM65549 RXM131081:RXM131085 RXM196617:RXM196621 RXM262153:RXM262157 RXM327689:RXM327693 RXM393225:RXM393229 RXM458761:RXM458765 RXM524297:RXM524301 RXM589833:RXM589837 RXM655369:RXM655373 RXM720905:RXM720909 RXM786441:RXM786445 RXM851977:RXM851981 RXM917513:RXM917517 RXM983049:RXM983053 SHI65545:SHI65549 SHI131081:SHI131085 SHI196617:SHI196621 SHI262153:SHI262157 SHI327689:SHI327693 SHI393225:SHI393229 SHI458761:SHI458765 SHI524297:SHI524301 SHI589833:SHI589837 SHI655369:SHI655373 SHI720905:SHI720909 SHI786441:SHI786445 SHI851977:SHI851981 SHI917513:SHI917517 SHI983049:SHI983053 SRE65545:SRE65549 SRE131081:SRE131085 SRE196617:SRE196621 SRE262153:SRE262157 SRE327689:SRE327693 SRE393225:SRE393229 SRE458761:SRE458765 SRE524297:SRE524301 SRE589833:SRE589837 SRE655369:SRE655373 SRE720905:SRE720909 SRE786441:SRE786445 SRE851977:SRE851981 SRE917513:SRE917517 SRE983049:SRE983053 TBA65545:TBA65549 TBA131081:TBA131085 TBA196617:TBA196621 TBA262153:TBA262157 TBA327689:TBA327693 TBA393225:TBA393229 TBA458761:TBA458765 TBA524297:TBA524301 TBA589833:TBA589837 TBA655369:TBA655373 TBA720905:TBA720909 TBA786441:TBA786445 TBA851977:TBA851981 TBA917513:TBA917517 TBA983049:TBA983053 TKW65545:TKW65549 TKW131081:TKW131085 TKW196617:TKW196621 TKW262153:TKW262157 TKW327689:TKW327693 TKW393225:TKW393229 TKW458761:TKW458765 TKW524297:TKW524301 TKW589833:TKW589837 TKW655369:TKW655373 TKW720905:TKW720909 TKW786441:TKW786445 TKW851977:TKW851981 TKW917513:TKW917517 TKW983049:TKW983053 TUS65545:TUS65549 TUS131081:TUS131085 TUS196617:TUS196621 TUS262153:TUS262157 TUS327689:TUS327693 TUS393225:TUS393229 TUS458761:TUS458765 TUS524297:TUS524301 TUS589833:TUS589837 TUS655369:TUS655373 TUS720905:TUS720909 TUS786441:TUS786445 TUS851977:TUS851981 TUS917513:TUS917517 TUS983049:TUS983053 UEO65545:UEO65549 UEO131081:UEO131085 UEO196617:UEO196621 UEO262153:UEO262157 UEO327689:UEO327693 UEO393225:UEO393229 UEO458761:UEO458765 UEO524297:UEO524301 UEO589833:UEO589837 UEO655369:UEO655373 UEO720905:UEO720909 UEO786441:UEO786445 UEO851977:UEO851981 UEO917513:UEO917517 UEO983049:UEO983053 UOK65545:UOK65549 UOK131081:UOK131085 UOK196617:UOK196621 UOK262153:UOK262157 UOK327689:UOK327693 UOK393225:UOK393229 UOK458761:UOK458765 UOK524297:UOK524301 UOK589833:UOK589837 UOK655369:UOK655373 UOK720905:UOK720909 UOK786441:UOK786445 UOK851977:UOK851981 UOK917513:UOK917517 UOK983049:UOK983053 UYG65545:UYG65549 UYG131081:UYG131085 UYG196617:UYG196621 UYG262153:UYG262157 UYG327689:UYG327693 UYG393225:UYG393229 UYG458761:UYG458765 UYG524297:UYG524301 UYG589833:UYG589837 UYG655369:UYG655373 UYG720905:UYG720909 UYG786441:UYG786445 UYG851977:UYG851981 UYG917513:UYG917517 UYG983049:UYG983053 VIC65545:VIC65549 VIC131081:VIC131085 VIC196617:VIC196621 VIC262153:VIC262157 VIC327689:VIC327693 VIC393225:VIC393229 VIC458761:VIC458765 VIC524297:VIC524301 VIC589833:VIC589837 VIC655369:VIC655373 VIC720905:VIC720909 VIC786441:VIC786445 VIC851977:VIC851981 VIC917513:VIC917517 VIC983049:VIC983053 VRY65545:VRY65549 VRY131081:VRY131085 VRY196617:VRY196621 VRY262153:VRY262157 VRY327689:VRY327693 VRY393225:VRY393229 VRY458761:VRY458765 VRY524297:VRY524301 VRY589833:VRY589837 VRY655369:VRY655373 VRY720905:VRY720909 VRY786441:VRY786445 VRY851977:VRY851981 VRY917513:VRY917517 VRY983049:VRY983053 WBU65545:WBU65549 WBU131081:WBU131085 WBU196617:WBU196621 WBU262153:WBU262157 WBU327689:WBU327693 WBU393225:WBU393229 WBU458761:WBU458765 WBU524297:WBU524301 WBU589833:WBU589837 WBU655369:WBU655373 WBU720905:WBU720909 WBU786441:WBU786445 WBU851977:WBU851981 WBU917513:WBU917517 WBU983049:WBU983053 WLQ65545:WLQ65549 WLQ131081:WLQ131085 WLQ196617:WLQ196621 WLQ262153:WLQ262157 WLQ327689:WLQ327693 WLQ393225:WLQ393229 WLQ458761:WLQ458765 WLQ524297:WLQ524301 WLQ589833:WLQ589837 WLQ655369:WLQ655373 WLQ720905:WLQ720909 WLQ786441:WLQ786445 WLQ851977:WLQ851981 WLQ917513:WLQ917517 WLQ983049:WLQ983053 WVM65545:WVM65549 WVM131081:WVM131085 WVM196617:WVM196621 WVM262153:WVM262157 WVM327689:WVM327693 WVM393225:WVM393229 WVM458761:WVM458765 WVM524297:WVM524301 WVM589833:WVM589837 WVM655369:WVM655373 WVM720905:WVM720909 WVM786441:WVM786445 WVM851977:WVM851981 WVM917513:WVM917517 WVM983049:WVM983053" xr:uid="{00000000-0002-0000-0500-000002000000}">
      <formula1>"■基线,□观测项,-"</formula1>
    </dataValidation>
    <dataValidation type="list" allowBlank="1" showInputMessage="1" showErrorMessage="1" sqref="F3:F10 F65456:F65464 F130992:F131000 F196528:F196536 F262064:F262072 F327600:F327608 F393136:F393144 F458672:F458680 F524208:F524216 F589744:F589752 F655280:F655288 F720816:F720824 F786352:F786360 F851888:F851896 F917424:F917432 F982960:F982968 JB3:JB10 JB65456:JB65464 JB130992:JB131000 JB196528:JB196536 JB262064:JB262072 JB327600:JB327608 JB393136:JB393144 JB458672:JB458680 JB524208:JB524216 JB589744:JB589752 JB655280:JB655288 JB720816:JB720824 JB786352:JB786360 JB851888:JB851896 JB917424:JB917432 JB982960:JB982968 SX3:SX10 SX65456:SX65464 SX130992:SX131000 SX196528:SX196536 SX262064:SX262072 SX327600:SX327608 SX393136:SX393144 SX458672:SX458680 SX524208:SX524216 SX589744:SX589752 SX655280:SX655288 SX720816:SX720824 SX786352:SX786360 SX851888:SX851896 SX917424:SX917432 SX982960:SX982968 ACT3:ACT10 ACT65456:ACT65464 ACT130992:ACT131000 ACT196528:ACT196536 ACT262064:ACT262072 ACT327600:ACT327608 ACT393136:ACT393144 ACT458672:ACT458680 ACT524208:ACT524216 ACT589744:ACT589752 ACT655280:ACT655288 ACT720816:ACT720824 ACT786352:ACT786360 ACT851888:ACT851896 ACT917424:ACT917432 ACT982960:ACT982968 AMP3:AMP10 AMP65456:AMP65464 AMP130992:AMP131000 AMP196528:AMP196536 AMP262064:AMP262072 AMP327600:AMP327608 AMP393136:AMP393144 AMP458672:AMP458680 AMP524208:AMP524216 AMP589744:AMP589752 AMP655280:AMP655288 AMP720816:AMP720824 AMP786352:AMP786360 AMP851888:AMP851896 AMP917424:AMP917432 AMP982960:AMP982968 AWL3:AWL10 AWL65456:AWL65464 AWL130992:AWL131000 AWL196528:AWL196536 AWL262064:AWL262072 AWL327600:AWL327608 AWL393136:AWL393144 AWL458672:AWL458680 AWL524208:AWL524216 AWL589744:AWL589752 AWL655280:AWL655288 AWL720816:AWL720824 AWL786352:AWL786360 AWL851888:AWL851896 AWL917424:AWL917432 AWL982960:AWL982968 BGH3:BGH10 BGH65456:BGH65464 BGH130992:BGH131000 BGH196528:BGH196536 BGH262064:BGH262072 BGH327600:BGH327608 BGH393136:BGH393144 BGH458672:BGH458680 BGH524208:BGH524216 BGH589744:BGH589752 BGH655280:BGH655288 BGH720816:BGH720824 BGH786352:BGH786360 BGH851888:BGH851896 BGH917424:BGH917432 BGH982960:BGH982968 BQD3:BQD10 BQD65456:BQD65464 BQD130992:BQD131000 BQD196528:BQD196536 BQD262064:BQD262072 BQD327600:BQD327608 BQD393136:BQD393144 BQD458672:BQD458680 BQD524208:BQD524216 BQD589744:BQD589752 BQD655280:BQD655288 BQD720816:BQD720824 BQD786352:BQD786360 BQD851888:BQD851896 BQD917424:BQD917432 BQD982960:BQD982968 BZZ3:BZZ10 BZZ65456:BZZ65464 BZZ130992:BZZ131000 BZZ196528:BZZ196536 BZZ262064:BZZ262072 BZZ327600:BZZ327608 BZZ393136:BZZ393144 BZZ458672:BZZ458680 BZZ524208:BZZ524216 BZZ589744:BZZ589752 BZZ655280:BZZ655288 BZZ720816:BZZ720824 BZZ786352:BZZ786360 BZZ851888:BZZ851896 BZZ917424:BZZ917432 BZZ982960:BZZ982968 CJV3:CJV10 CJV65456:CJV65464 CJV130992:CJV131000 CJV196528:CJV196536 CJV262064:CJV262072 CJV327600:CJV327608 CJV393136:CJV393144 CJV458672:CJV458680 CJV524208:CJV524216 CJV589744:CJV589752 CJV655280:CJV655288 CJV720816:CJV720824 CJV786352:CJV786360 CJV851888:CJV851896 CJV917424:CJV917432 CJV982960:CJV982968 CTR3:CTR10 CTR65456:CTR65464 CTR130992:CTR131000 CTR196528:CTR196536 CTR262064:CTR262072 CTR327600:CTR327608 CTR393136:CTR393144 CTR458672:CTR458680 CTR524208:CTR524216 CTR589744:CTR589752 CTR655280:CTR655288 CTR720816:CTR720824 CTR786352:CTR786360 CTR851888:CTR851896 CTR917424:CTR917432 CTR982960:CTR982968 DDN3:DDN10 DDN65456:DDN65464 DDN130992:DDN131000 DDN196528:DDN196536 DDN262064:DDN262072 DDN327600:DDN327608 DDN393136:DDN393144 DDN458672:DDN458680 DDN524208:DDN524216 DDN589744:DDN589752 DDN655280:DDN655288 DDN720816:DDN720824 DDN786352:DDN786360 DDN851888:DDN851896 DDN917424:DDN917432 DDN982960:DDN982968 DNJ3:DNJ10 DNJ65456:DNJ65464 DNJ130992:DNJ131000 DNJ196528:DNJ196536 DNJ262064:DNJ262072 DNJ327600:DNJ327608 DNJ393136:DNJ393144 DNJ458672:DNJ458680 DNJ524208:DNJ524216 DNJ589744:DNJ589752 DNJ655280:DNJ655288 DNJ720816:DNJ720824 DNJ786352:DNJ786360 DNJ851888:DNJ851896 DNJ917424:DNJ917432 DNJ982960:DNJ982968 DXF3:DXF10 DXF65456:DXF65464 DXF130992:DXF131000 DXF196528:DXF196536 DXF262064:DXF262072 DXF327600:DXF327608 DXF393136:DXF393144 DXF458672:DXF458680 DXF524208:DXF524216 DXF589744:DXF589752 DXF655280:DXF655288 DXF720816:DXF720824 DXF786352:DXF786360 DXF851888:DXF851896 DXF917424:DXF917432 DXF982960:DXF982968 EHB3:EHB10 EHB65456:EHB65464 EHB130992:EHB131000 EHB196528:EHB196536 EHB262064:EHB262072 EHB327600:EHB327608 EHB393136:EHB393144 EHB458672:EHB458680 EHB524208:EHB524216 EHB589744:EHB589752 EHB655280:EHB655288 EHB720816:EHB720824 EHB786352:EHB786360 EHB851888:EHB851896 EHB917424:EHB917432 EHB982960:EHB982968 EQX3:EQX10 EQX65456:EQX65464 EQX130992:EQX131000 EQX196528:EQX196536 EQX262064:EQX262072 EQX327600:EQX327608 EQX393136:EQX393144 EQX458672:EQX458680 EQX524208:EQX524216 EQX589744:EQX589752 EQX655280:EQX655288 EQX720816:EQX720824 EQX786352:EQX786360 EQX851888:EQX851896 EQX917424:EQX917432 EQX982960:EQX982968 FAT3:FAT10 FAT65456:FAT65464 FAT130992:FAT131000 FAT196528:FAT196536 FAT262064:FAT262072 FAT327600:FAT327608 FAT393136:FAT393144 FAT458672:FAT458680 FAT524208:FAT524216 FAT589744:FAT589752 FAT655280:FAT655288 FAT720816:FAT720824 FAT786352:FAT786360 FAT851888:FAT851896 FAT917424:FAT917432 FAT982960:FAT982968 FKP3:FKP10 FKP65456:FKP65464 FKP130992:FKP131000 FKP196528:FKP196536 FKP262064:FKP262072 FKP327600:FKP327608 FKP393136:FKP393144 FKP458672:FKP458680 FKP524208:FKP524216 FKP589744:FKP589752 FKP655280:FKP655288 FKP720816:FKP720824 FKP786352:FKP786360 FKP851888:FKP851896 FKP917424:FKP917432 FKP982960:FKP982968 FUL3:FUL10 FUL65456:FUL65464 FUL130992:FUL131000 FUL196528:FUL196536 FUL262064:FUL262072 FUL327600:FUL327608 FUL393136:FUL393144 FUL458672:FUL458680 FUL524208:FUL524216 FUL589744:FUL589752 FUL655280:FUL655288 FUL720816:FUL720824 FUL786352:FUL786360 FUL851888:FUL851896 FUL917424:FUL917432 FUL982960:FUL982968 GEH3:GEH10 GEH65456:GEH65464 GEH130992:GEH131000 GEH196528:GEH196536 GEH262064:GEH262072 GEH327600:GEH327608 GEH393136:GEH393144 GEH458672:GEH458680 GEH524208:GEH524216 GEH589744:GEH589752 GEH655280:GEH655288 GEH720816:GEH720824 GEH786352:GEH786360 GEH851888:GEH851896 GEH917424:GEH917432 GEH982960:GEH982968 GOD3:GOD10 GOD65456:GOD65464 GOD130992:GOD131000 GOD196528:GOD196536 GOD262064:GOD262072 GOD327600:GOD327608 GOD393136:GOD393144 GOD458672:GOD458680 GOD524208:GOD524216 GOD589744:GOD589752 GOD655280:GOD655288 GOD720816:GOD720824 GOD786352:GOD786360 GOD851888:GOD851896 GOD917424:GOD917432 GOD982960:GOD982968 GXZ3:GXZ10 GXZ65456:GXZ65464 GXZ130992:GXZ131000 GXZ196528:GXZ196536 GXZ262064:GXZ262072 GXZ327600:GXZ327608 GXZ393136:GXZ393144 GXZ458672:GXZ458680 GXZ524208:GXZ524216 GXZ589744:GXZ589752 GXZ655280:GXZ655288 GXZ720816:GXZ720824 GXZ786352:GXZ786360 GXZ851888:GXZ851896 GXZ917424:GXZ917432 GXZ982960:GXZ982968 HHV3:HHV10 HHV65456:HHV65464 HHV130992:HHV131000 HHV196528:HHV196536 HHV262064:HHV262072 HHV327600:HHV327608 HHV393136:HHV393144 HHV458672:HHV458680 HHV524208:HHV524216 HHV589744:HHV589752 HHV655280:HHV655288 HHV720816:HHV720824 HHV786352:HHV786360 HHV851888:HHV851896 HHV917424:HHV917432 HHV982960:HHV982968 HRR3:HRR10 HRR65456:HRR65464 HRR130992:HRR131000 HRR196528:HRR196536 HRR262064:HRR262072 HRR327600:HRR327608 HRR393136:HRR393144 HRR458672:HRR458680 HRR524208:HRR524216 HRR589744:HRR589752 HRR655280:HRR655288 HRR720816:HRR720824 HRR786352:HRR786360 HRR851888:HRR851896 HRR917424:HRR917432 HRR982960:HRR982968 IBN3:IBN10 IBN65456:IBN65464 IBN130992:IBN131000 IBN196528:IBN196536 IBN262064:IBN262072 IBN327600:IBN327608 IBN393136:IBN393144 IBN458672:IBN458680 IBN524208:IBN524216 IBN589744:IBN589752 IBN655280:IBN655288 IBN720816:IBN720824 IBN786352:IBN786360 IBN851888:IBN851896 IBN917424:IBN917432 IBN982960:IBN982968 ILJ3:ILJ10 ILJ65456:ILJ65464 ILJ130992:ILJ131000 ILJ196528:ILJ196536 ILJ262064:ILJ262072 ILJ327600:ILJ327608 ILJ393136:ILJ393144 ILJ458672:ILJ458680 ILJ524208:ILJ524216 ILJ589744:ILJ589752 ILJ655280:ILJ655288 ILJ720816:ILJ720824 ILJ786352:ILJ786360 ILJ851888:ILJ851896 ILJ917424:ILJ917432 ILJ982960:ILJ982968 IVF3:IVF10 IVF65456:IVF65464 IVF130992:IVF131000 IVF196528:IVF196536 IVF262064:IVF262072 IVF327600:IVF327608 IVF393136:IVF393144 IVF458672:IVF458680 IVF524208:IVF524216 IVF589744:IVF589752 IVF655280:IVF655288 IVF720816:IVF720824 IVF786352:IVF786360 IVF851888:IVF851896 IVF917424:IVF917432 IVF982960:IVF982968 JFB3:JFB10 JFB65456:JFB65464 JFB130992:JFB131000 JFB196528:JFB196536 JFB262064:JFB262072 JFB327600:JFB327608 JFB393136:JFB393144 JFB458672:JFB458680 JFB524208:JFB524216 JFB589744:JFB589752 JFB655280:JFB655288 JFB720816:JFB720824 JFB786352:JFB786360 JFB851888:JFB851896 JFB917424:JFB917432 JFB982960:JFB982968 JOX3:JOX10 JOX65456:JOX65464 JOX130992:JOX131000 JOX196528:JOX196536 JOX262064:JOX262072 JOX327600:JOX327608 JOX393136:JOX393144 JOX458672:JOX458680 JOX524208:JOX524216 JOX589744:JOX589752 JOX655280:JOX655288 JOX720816:JOX720824 JOX786352:JOX786360 JOX851888:JOX851896 JOX917424:JOX917432 JOX982960:JOX982968 JYT3:JYT10 JYT65456:JYT65464 JYT130992:JYT131000 JYT196528:JYT196536 JYT262064:JYT262072 JYT327600:JYT327608 JYT393136:JYT393144 JYT458672:JYT458680 JYT524208:JYT524216 JYT589744:JYT589752 JYT655280:JYT655288 JYT720816:JYT720824 JYT786352:JYT786360 JYT851888:JYT851896 JYT917424:JYT917432 JYT982960:JYT982968 KIP3:KIP10 KIP65456:KIP65464 KIP130992:KIP131000 KIP196528:KIP196536 KIP262064:KIP262072 KIP327600:KIP327608 KIP393136:KIP393144 KIP458672:KIP458680 KIP524208:KIP524216 KIP589744:KIP589752 KIP655280:KIP655288 KIP720816:KIP720824 KIP786352:KIP786360 KIP851888:KIP851896 KIP917424:KIP917432 KIP982960:KIP982968 KSL3:KSL10 KSL65456:KSL65464 KSL130992:KSL131000 KSL196528:KSL196536 KSL262064:KSL262072 KSL327600:KSL327608 KSL393136:KSL393144 KSL458672:KSL458680 KSL524208:KSL524216 KSL589744:KSL589752 KSL655280:KSL655288 KSL720816:KSL720824 KSL786352:KSL786360 KSL851888:KSL851896 KSL917424:KSL917432 KSL982960:KSL982968 LCH3:LCH10 LCH65456:LCH65464 LCH130992:LCH131000 LCH196528:LCH196536 LCH262064:LCH262072 LCH327600:LCH327608 LCH393136:LCH393144 LCH458672:LCH458680 LCH524208:LCH524216 LCH589744:LCH589752 LCH655280:LCH655288 LCH720816:LCH720824 LCH786352:LCH786360 LCH851888:LCH851896 LCH917424:LCH917432 LCH982960:LCH982968 LMD3:LMD10 LMD65456:LMD65464 LMD130992:LMD131000 LMD196528:LMD196536 LMD262064:LMD262072 LMD327600:LMD327608 LMD393136:LMD393144 LMD458672:LMD458680 LMD524208:LMD524216 LMD589744:LMD589752 LMD655280:LMD655288 LMD720816:LMD720824 LMD786352:LMD786360 LMD851888:LMD851896 LMD917424:LMD917432 LMD982960:LMD982968 LVZ3:LVZ10 LVZ65456:LVZ65464 LVZ130992:LVZ131000 LVZ196528:LVZ196536 LVZ262064:LVZ262072 LVZ327600:LVZ327608 LVZ393136:LVZ393144 LVZ458672:LVZ458680 LVZ524208:LVZ524216 LVZ589744:LVZ589752 LVZ655280:LVZ655288 LVZ720816:LVZ720824 LVZ786352:LVZ786360 LVZ851888:LVZ851896 LVZ917424:LVZ917432 LVZ982960:LVZ982968 MFV3:MFV10 MFV65456:MFV65464 MFV130992:MFV131000 MFV196528:MFV196536 MFV262064:MFV262072 MFV327600:MFV327608 MFV393136:MFV393144 MFV458672:MFV458680 MFV524208:MFV524216 MFV589744:MFV589752 MFV655280:MFV655288 MFV720816:MFV720824 MFV786352:MFV786360 MFV851888:MFV851896 MFV917424:MFV917432 MFV982960:MFV982968 MPR3:MPR10 MPR65456:MPR65464 MPR130992:MPR131000 MPR196528:MPR196536 MPR262064:MPR262072 MPR327600:MPR327608 MPR393136:MPR393144 MPR458672:MPR458680 MPR524208:MPR524216 MPR589744:MPR589752 MPR655280:MPR655288 MPR720816:MPR720824 MPR786352:MPR786360 MPR851888:MPR851896 MPR917424:MPR917432 MPR982960:MPR982968 MZN3:MZN10 MZN65456:MZN65464 MZN130992:MZN131000 MZN196528:MZN196536 MZN262064:MZN262072 MZN327600:MZN327608 MZN393136:MZN393144 MZN458672:MZN458680 MZN524208:MZN524216 MZN589744:MZN589752 MZN655280:MZN655288 MZN720816:MZN720824 MZN786352:MZN786360 MZN851888:MZN851896 MZN917424:MZN917432 MZN982960:MZN982968 NJJ3:NJJ10 NJJ65456:NJJ65464 NJJ130992:NJJ131000 NJJ196528:NJJ196536 NJJ262064:NJJ262072 NJJ327600:NJJ327608 NJJ393136:NJJ393144 NJJ458672:NJJ458680 NJJ524208:NJJ524216 NJJ589744:NJJ589752 NJJ655280:NJJ655288 NJJ720816:NJJ720824 NJJ786352:NJJ786360 NJJ851888:NJJ851896 NJJ917424:NJJ917432 NJJ982960:NJJ982968 NTF3:NTF10 NTF65456:NTF65464 NTF130992:NTF131000 NTF196528:NTF196536 NTF262064:NTF262072 NTF327600:NTF327608 NTF393136:NTF393144 NTF458672:NTF458680 NTF524208:NTF524216 NTF589744:NTF589752 NTF655280:NTF655288 NTF720816:NTF720824 NTF786352:NTF786360 NTF851888:NTF851896 NTF917424:NTF917432 NTF982960:NTF982968 ODB3:ODB10 ODB65456:ODB65464 ODB130992:ODB131000 ODB196528:ODB196536 ODB262064:ODB262072 ODB327600:ODB327608 ODB393136:ODB393144 ODB458672:ODB458680 ODB524208:ODB524216 ODB589744:ODB589752 ODB655280:ODB655288 ODB720816:ODB720824 ODB786352:ODB786360 ODB851888:ODB851896 ODB917424:ODB917432 ODB982960:ODB982968 OMX3:OMX10 OMX65456:OMX65464 OMX130992:OMX131000 OMX196528:OMX196536 OMX262064:OMX262072 OMX327600:OMX327608 OMX393136:OMX393144 OMX458672:OMX458680 OMX524208:OMX524216 OMX589744:OMX589752 OMX655280:OMX655288 OMX720816:OMX720824 OMX786352:OMX786360 OMX851888:OMX851896 OMX917424:OMX917432 OMX982960:OMX982968 OWT3:OWT10 OWT65456:OWT65464 OWT130992:OWT131000 OWT196528:OWT196536 OWT262064:OWT262072 OWT327600:OWT327608 OWT393136:OWT393144 OWT458672:OWT458680 OWT524208:OWT524216 OWT589744:OWT589752 OWT655280:OWT655288 OWT720816:OWT720824 OWT786352:OWT786360 OWT851888:OWT851896 OWT917424:OWT917432 OWT982960:OWT982968 PGP3:PGP10 PGP65456:PGP65464 PGP130992:PGP131000 PGP196528:PGP196536 PGP262064:PGP262072 PGP327600:PGP327608 PGP393136:PGP393144 PGP458672:PGP458680 PGP524208:PGP524216 PGP589744:PGP589752 PGP655280:PGP655288 PGP720816:PGP720824 PGP786352:PGP786360 PGP851888:PGP851896 PGP917424:PGP917432 PGP982960:PGP982968 PQL3:PQL10 PQL65456:PQL65464 PQL130992:PQL131000 PQL196528:PQL196536 PQL262064:PQL262072 PQL327600:PQL327608 PQL393136:PQL393144 PQL458672:PQL458680 PQL524208:PQL524216 PQL589744:PQL589752 PQL655280:PQL655288 PQL720816:PQL720824 PQL786352:PQL786360 PQL851888:PQL851896 PQL917424:PQL917432 PQL982960:PQL982968 QAH3:QAH10 QAH65456:QAH65464 QAH130992:QAH131000 QAH196528:QAH196536 QAH262064:QAH262072 QAH327600:QAH327608 QAH393136:QAH393144 QAH458672:QAH458680 QAH524208:QAH524216 QAH589744:QAH589752 QAH655280:QAH655288 QAH720816:QAH720824 QAH786352:QAH786360 QAH851888:QAH851896 QAH917424:QAH917432 QAH982960:QAH982968 QKD3:QKD10 QKD65456:QKD65464 QKD130992:QKD131000 QKD196528:QKD196536 QKD262064:QKD262072 QKD327600:QKD327608 QKD393136:QKD393144 QKD458672:QKD458680 QKD524208:QKD524216 QKD589744:QKD589752 QKD655280:QKD655288 QKD720816:QKD720824 QKD786352:QKD786360 QKD851888:QKD851896 QKD917424:QKD917432 QKD982960:QKD982968 QTZ3:QTZ10 QTZ65456:QTZ65464 QTZ130992:QTZ131000 QTZ196528:QTZ196536 QTZ262064:QTZ262072 QTZ327600:QTZ327608 QTZ393136:QTZ393144 QTZ458672:QTZ458680 QTZ524208:QTZ524216 QTZ589744:QTZ589752 QTZ655280:QTZ655288 QTZ720816:QTZ720824 QTZ786352:QTZ786360 QTZ851888:QTZ851896 QTZ917424:QTZ917432 QTZ982960:QTZ982968 RDV3:RDV10 RDV65456:RDV65464 RDV130992:RDV131000 RDV196528:RDV196536 RDV262064:RDV262072 RDV327600:RDV327608 RDV393136:RDV393144 RDV458672:RDV458680 RDV524208:RDV524216 RDV589744:RDV589752 RDV655280:RDV655288 RDV720816:RDV720824 RDV786352:RDV786360 RDV851888:RDV851896 RDV917424:RDV917432 RDV982960:RDV982968 RNR3:RNR10 RNR65456:RNR65464 RNR130992:RNR131000 RNR196528:RNR196536 RNR262064:RNR262072 RNR327600:RNR327608 RNR393136:RNR393144 RNR458672:RNR458680 RNR524208:RNR524216 RNR589744:RNR589752 RNR655280:RNR655288 RNR720816:RNR720824 RNR786352:RNR786360 RNR851888:RNR851896 RNR917424:RNR917432 RNR982960:RNR982968 RXN3:RXN10 RXN65456:RXN65464 RXN130992:RXN131000 RXN196528:RXN196536 RXN262064:RXN262072 RXN327600:RXN327608 RXN393136:RXN393144 RXN458672:RXN458680 RXN524208:RXN524216 RXN589744:RXN589752 RXN655280:RXN655288 RXN720816:RXN720824 RXN786352:RXN786360 RXN851888:RXN851896 RXN917424:RXN917432 RXN982960:RXN982968 SHJ3:SHJ10 SHJ65456:SHJ65464 SHJ130992:SHJ131000 SHJ196528:SHJ196536 SHJ262064:SHJ262072 SHJ327600:SHJ327608 SHJ393136:SHJ393144 SHJ458672:SHJ458680 SHJ524208:SHJ524216 SHJ589744:SHJ589752 SHJ655280:SHJ655288 SHJ720816:SHJ720824 SHJ786352:SHJ786360 SHJ851888:SHJ851896 SHJ917424:SHJ917432 SHJ982960:SHJ982968 SRF3:SRF10 SRF65456:SRF65464 SRF130992:SRF131000 SRF196528:SRF196536 SRF262064:SRF262072 SRF327600:SRF327608 SRF393136:SRF393144 SRF458672:SRF458680 SRF524208:SRF524216 SRF589744:SRF589752 SRF655280:SRF655288 SRF720816:SRF720824 SRF786352:SRF786360 SRF851888:SRF851896 SRF917424:SRF917432 SRF982960:SRF982968 TBB3:TBB10 TBB65456:TBB65464 TBB130992:TBB131000 TBB196528:TBB196536 TBB262064:TBB262072 TBB327600:TBB327608 TBB393136:TBB393144 TBB458672:TBB458680 TBB524208:TBB524216 TBB589744:TBB589752 TBB655280:TBB655288 TBB720816:TBB720824 TBB786352:TBB786360 TBB851888:TBB851896 TBB917424:TBB917432 TBB982960:TBB982968 TKX3:TKX10 TKX65456:TKX65464 TKX130992:TKX131000 TKX196528:TKX196536 TKX262064:TKX262072 TKX327600:TKX327608 TKX393136:TKX393144 TKX458672:TKX458680 TKX524208:TKX524216 TKX589744:TKX589752 TKX655280:TKX655288 TKX720816:TKX720824 TKX786352:TKX786360 TKX851888:TKX851896 TKX917424:TKX917432 TKX982960:TKX982968 TUT3:TUT10 TUT65456:TUT65464 TUT130992:TUT131000 TUT196528:TUT196536 TUT262064:TUT262072 TUT327600:TUT327608 TUT393136:TUT393144 TUT458672:TUT458680 TUT524208:TUT524216 TUT589744:TUT589752 TUT655280:TUT655288 TUT720816:TUT720824 TUT786352:TUT786360 TUT851888:TUT851896 TUT917424:TUT917432 TUT982960:TUT982968 UEP3:UEP10 UEP65456:UEP65464 UEP130992:UEP131000 UEP196528:UEP196536 UEP262064:UEP262072 UEP327600:UEP327608 UEP393136:UEP393144 UEP458672:UEP458680 UEP524208:UEP524216 UEP589744:UEP589752 UEP655280:UEP655288 UEP720816:UEP720824 UEP786352:UEP786360 UEP851888:UEP851896 UEP917424:UEP917432 UEP982960:UEP982968 UOL3:UOL10 UOL65456:UOL65464 UOL130992:UOL131000 UOL196528:UOL196536 UOL262064:UOL262072 UOL327600:UOL327608 UOL393136:UOL393144 UOL458672:UOL458680 UOL524208:UOL524216 UOL589744:UOL589752 UOL655280:UOL655288 UOL720816:UOL720824 UOL786352:UOL786360 UOL851888:UOL851896 UOL917424:UOL917432 UOL982960:UOL982968 UYH3:UYH10 UYH65456:UYH65464 UYH130992:UYH131000 UYH196528:UYH196536 UYH262064:UYH262072 UYH327600:UYH327608 UYH393136:UYH393144 UYH458672:UYH458680 UYH524208:UYH524216 UYH589744:UYH589752 UYH655280:UYH655288 UYH720816:UYH720824 UYH786352:UYH786360 UYH851888:UYH851896 UYH917424:UYH917432 UYH982960:UYH982968 VID3:VID10 VID65456:VID65464 VID130992:VID131000 VID196528:VID196536 VID262064:VID262072 VID327600:VID327608 VID393136:VID393144 VID458672:VID458680 VID524208:VID524216 VID589744:VID589752 VID655280:VID655288 VID720816:VID720824 VID786352:VID786360 VID851888:VID851896 VID917424:VID917432 VID982960:VID982968 VRZ3:VRZ10 VRZ65456:VRZ65464 VRZ130992:VRZ131000 VRZ196528:VRZ196536 VRZ262064:VRZ262072 VRZ327600:VRZ327608 VRZ393136:VRZ393144 VRZ458672:VRZ458680 VRZ524208:VRZ524216 VRZ589744:VRZ589752 VRZ655280:VRZ655288 VRZ720816:VRZ720824 VRZ786352:VRZ786360 VRZ851888:VRZ851896 VRZ917424:VRZ917432 VRZ982960:VRZ982968 WBV3:WBV10 WBV65456:WBV65464 WBV130992:WBV131000 WBV196528:WBV196536 WBV262064:WBV262072 WBV327600:WBV327608 WBV393136:WBV393144 WBV458672:WBV458680 WBV524208:WBV524216 WBV589744:WBV589752 WBV655280:WBV655288 WBV720816:WBV720824 WBV786352:WBV786360 WBV851888:WBV851896 WBV917424:WBV917432 WBV982960:WBV982968 WLR3:WLR10 WLR65456:WLR65464 WLR130992:WLR131000 WLR196528:WLR196536 WLR262064:WLR262072 WLR327600:WLR327608 WLR393136:WLR393144 WLR458672:WLR458680 WLR524208:WLR524216 WLR589744:WLR589752 WLR655280:WLR655288 WLR720816:WLR720824 WLR786352:WLR786360 WLR851888:WLR851896 WLR917424:WLR917432 WLR982960:WLR982968 WVN3:WVN10 WVN65456:WVN65464 WVN130992:WVN131000 WVN196528:WVN196536 WVN262064:WVN262072 WVN327600:WVN327608 WVN393136:WVN393144 WVN458672:WVN458680 WVN524208:WVN524216 WVN589744:WVN589752 WVN655280:WVN655288 WVN720816:WVN720824 WVN786352:WVN786360 WVN851888:WVN851896 WVN917424:WVN917432 WVN982960:WVN982968" xr:uid="{00000000-0002-0000-0500-000003000000}">
      <formula1>"高,中,低"</formula1>
    </dataValidation>
    <dataValidation type="list" allowBlank="1" showInputMessage="1" showErrorMessage="1" sqref="H65470:H65538 H131006:H131074 H196542:H196610 H262078:H262146 H327614:H327682 H393150:H393218 H458686:H458754 H524222:H524290 H589758:H589826 H655294:H655362 H720830:H720898 H786366:H786434 H851902:H851970 H917438:H917506 H982974:H983042 JD65470:JD65538 JD131006:JD131074 JD196542:JD196610 JD262078:JD262146 JD327614:JD327682 JD393150:JD393218 JD458686:JD458754 JD524222:JD524290 JD589758:JD589826 JD655294:JD655362 JD720830:JD720898 JD786366:JD786434 JD851902:JD851970 JD917438:JD917506 JD982974:JD983042 SZ65470:SZ65538 SZ131006:SZ131074 SZ196542:SZ196610 SZ262078:SZ262146 SZ327614:SZ327682 SZ393150:SZ393218 SZ458686:SZ458754 SZ524222:SZ524290 SZ589758:SZ589826 SZ655294:SZ655362 SZ720830:SZ720898 SZ786366:SZ786434 SZ851902:SZ851970 SZ917438:SZ917506 SZ982974:SZ983042 ACV65470:ACV65538 ACV131006:ACV131074 ACV196542:ACV196610 ACV262078:ACV262146 ACV327614:ACV327682 ACV393150:ACV393218 ACV458686:ACV458754 ACV524222:ACV524290 ACV589758:ACV589826 ACV655294:ACV655362 ACV720830:ACV720898 ACV786366:ACV786434 ACV851902:ACV851970 ACV917438:ACV917506 ACV982974:ACV983042 AMR65470:AMR65538 AMR131006:AMR131074 AMR196542:AMR196610 AMR262078:AMR262146 AMR327614:AMR327682 AMR393150:AMR393218 AMR458686:AMR458754 AMR524222:AMR524290 AMR589758:AMR589826 AMR655294:AMR655362 AMR720830:AMR720898 AMR786366:AMR786434 AMR851902:AMR851970 AMR917438:AMR917506 AMR982974:AMR983042 AWN65470:AWN65538 AWN131006:AWN131074 AWN196542:AWN196610 AWN262078:AWN262146 AWN327614:AWN327682 AWN393150:AWN393218 AWN458686:AWN458754 AWN524222:AWN524290 AWN589758:AWN589826 AWN655294:AWN655362 AWN720830:AWN720898 AWN786366:AWN786434 AWN851902:AWN851970 AWN917438:AWN917506 AWN982974:AWN983042 BGJ65470:BGJ65538 BGJ131006:BGJ131074 BGJ196542:BGJ196610 BGJ262078:BGJ262146 BGJ327614:BGJ327682 BGJ393150:BGJ393218 BGJ458686:BGJ458754 BGJ524222:BGJ524290 BGJ589758:BGJ589826 BGJ655294:BGJ655362 BGJ720830:BGJ720898 BGJ786366:BGJ786434 BGJ851902:BGJ851970 BGJ917438:BGJ917506 BGJ982974:BGJ983042 BQF65470:BQF65538 BQF131006:BQF131074 BQF196542:BQF196610 BQF262078:BQF262146 BQF327614:BQF327682 BQF393150:BQF393218 BQF458686:BQF458754 BQF524222:BQF524290 BQF589758:BQF589826 BQF655294:BQF655362 BQF720830:BQF720898 BQF786366:BQF786434 BQF851902:BQF851970 BQF917438:BQF917506 BQF982974:BQF983042 CAB65470:CAB65538 CAB131006:CAB131074 CAB196542:CAB196610 CAB262078:CAB262146 CAB327614:CAB327682 CAB393150:CAB393218 CAB458686:CAB458754 CAB524222:CAB524290 CAB589758:CAB589826 CAB655294:CAB655362 CAB720830:CAB720898 CAB786366:CAB786434 CAB851902:CAB851970 CAB917438:CAB917506 CAB982974:CAB983042 CJX65470:CJX65538 CJX131006:CJX131074 CJX196542:CJX196610 CJX262078:CJX262146 CJX327614:CJX327682 CJX393150:CJX393218 CJX458686:CJX458754 CJX524222:CJX524290 CJX589758:CJX589826 CJX655294:CJX655362 CJX720830:CJX720898 CJX786366:CJX786434 CJX851902:CJX851970 CJX917438:CJX917506 CJX982974:CJX983042 CTT65470:CTT65538 CTT131006:CTT131074 CTT196542:CTT196610 CTT262078:CTT262146 CTT327614:CTT327682 CTT393150:CTT393218 CTT458686:CTT458754 CTT524222:CTT524290 CTT589758:CTT589826 CTT655294:CTT655362 CTT720830:CTT720898 CTT786366:CTT786434 CTT851902:CTT851970 CTT917438:CTT917506 CTT982974:CTT983042 DDP65470:DDP65538 DDP131006:DDP131074 DDP196542:DDP196610 DDP262078:DDP262146 DDP327614:DDP327682 DDP393150:DDP393218 DDP458686:DDP458754 DDP524222:DDP524290 DDP589758:DDP589826 DDP655294:DDP655362 DDP720830:DDP720898 DDP786366:DDP786434 DDP851902:DDP851970 DDP917438:DDP917506 DDP982974:DDP983042 DNL65470:DNL65538 DNL131006:DNL131074 DNL196542:DNL196610 DNL262078:DNL262146 DNL327614:DNL327682 DNL393150:DNL393218 DNL458686:DNL458754 DNL524222:DNL524290 DNL589758:DNL589826 DNL655294:DNL655362 DNL720830:DNL720898 DNL786366:DNL786434 DNL851902:DNL851970 DNL917438:DNL917506 DNL982974:DNL983042 DXH65470:DXH65538 DXH131006:DXH131074 DXH196542:DXH196610 DXH262078:DXH262146 DXH327614:DXH327682 DXH393150:DXH393218 DXH458686:DXH458754 DXH524222:DXH524290 DXH589758:DXH589826 DXH655294:DXH655362 DXH720830:DXH720898 DXH786366:DXH786434 DXH851902:DXH851970 DXH917438:DXH917506 DXH982974:DXH983042 EHD65470:EHD65538 EHD131006:EHD131074 EHD196542:EHD196610 EHD262078:EHD262146 EHD327614:EHD327682 EHD393150:EHD393218 EHD458686:EHD458754 EHD524222:EHD524290 EHD589758:EHD589826 EHD655294:EHD655362 EHD720830:EHD720898 EHD786366:EHD786434 EHD851902:EHD851970 EHD917438:EHD917506 EHD982974:EHD983042 EQZ65470:EQZ65538 EQZ131006:EQZ131074 EQZ196542:EQZ196610 EQZ262078:EQZ262146 EQZ327614:EQZ327682 EQZ393150:EQZ393218 EQZ458686:EQZ458754 EQZ524222:EQZ524290 EQZ589758:EQZ589826 EQZ655294:EQZ655362 EQZ720830:EQZ720898 EQZ786366:EQZ786434 EQZ851902:EQZ851970 EQZ917438:EQZ917506 EQZ982974:EQZ983042 FAV65470:FAV65538 FAV131006:FAV131074 FAV196542:FAV196610 FAV262078:FAV262146 FAV327614:FAV327682 FAV393150:FAV393218 FAV458686:FAV458754 FAV524222:FAV524290 FAV589758:FAV589826 FAV655294:FAV655362 FAV720830:FAV720898 FAV786366:FAV786434 FAV851902:FAV851970 FAV917438:FAV917506 FAV982974:FAV983042 FKR65470:FKR65538 FKR131006:FKR131074 FKR196542:FKR196610 FKR262078:FKR262146 FKR327614:FKR327682 FKR393150:FKR393218 FKR458686:FKR458754 FKR524222:FKR524290 FKR589758:FKR589826 FKR655294:FKR655362 FKR720830:FKR720898 FKR786366:FKR786434 FKR851902:FKR851970 FKR917438:FKR917506 FKR982974:FKR983042 FUN65470:FUN65538 FUN131006:FUN131074 FUN196542:FUN196610 FUN262078:FUN262146 FUN327614:FUN327682 FUN393150:FUN393218 FUN458686:FUN458754 FUN524222:FUN524290 FUN589758:FUN589826 FUN655294:FUN655362 FUN720830:FUN720898 FUN786366:FUN786434 FUN851902:FUN851970 FUN917438:FUN917506 FUN982974:FUN983042 GEJ65470:GEJ65538 GEJ131006:GEJ131074 GEJ196542:GEJ196610 GEJ262078:GEJ262146 GEJ327614:GEJ327682 GEJ393150:GEJ393218 GEJ458686:GEJ458754 GEJ524222:GEJ524290 GEJ589758:GEJ589826 GEJ655294:GEJ655362 GEJ720830:GEJ720898 GEJ786366:GEJ786434 GEJ851902:GEJ851970 GEJ917438:GEJ917506 GEJ982974:GEJ983042 GOF65470:GOF65538 GOF131006:GOF131074 GOF196542:GOF196610 GOF262078:GOF262146 GOF327614:GOF327682 GOF393150:GOF393218 GOF458686:GOF458754 GOF524222:GOF524290 GOF589758:GOF589826 GOF655294:GOF655362 GOF720830:GOF720898 GOF786366:GOF786434 GOF851902:GOF851970 GOF917438:GOF917506 GOF982974:GOF983042 GYB65470:GYB65538 GYB131006:GYB131074 GYB196542:GYB196610 GYB262078:GYB262146 GYB327614:GYB327682 GYB393150:GYB393218 GYB458686:GYB458754 GYB524222:GYB524290 GYB589758:GYB589826 GYB655294:GYB655362 GYB720830:GYB720898 GYB786366:GYB786434 GYB851902:GYB851970 GYB917438:GYB917506 GYB982974:GYB983042 HHX65470:HHX65538 HHX131006:HHX131074 HHX196542:HHX196610 HHX262078:HHX262146 HHX327614:HHX327682 HHX393150:HHX393218 HHX458686:HHX458754 HHX524222:HHX524290 HHX589758:HHX589826 HHX655294:HHX655362 HHX720830:HHX720898 HHX786366:HHX786434 HHX851902:HHX851970 HHX917438:HHX917506 HHX982974:HHX983042 HRT65470:HRT65538 HRT131006:HRT131074 HRT196542:HRT196610 HRT262078:HRT262146 HRT327614:HRT327682 HRT393150:HRT393218 HRT458686:HRT458754 HRT524222:HRT524290 HRT589758:HRT589826 HRT655294:HRT655362 HRT720830:HRT720898 HRT786366:HRT786434 HRT851902:HRT851970 HRT917438:HRT917506 HRT982974:HRT983042 IBP65470:IBP65538 IBP131006:IBP131074 IBP196542:IBP196610 IBP262078:IBP262146 IBP327614:IBP327682 IBP393150:IBP393218 IBP458686:IBP458754 IBP524222:IBP524290 IBP589758:IBP589826 IBP655294:IBP655362 IBP720830:IBP720898 IBP786366:IBP786434 IBP851902:IBP851970 IBP917438:IBP917506 IBP982974:IBP983042 ILL65470:ILL65538 ILL131006:ILL131074 ILL196542:ILL196610 ILL262078:ILL262146 ILL327614:ILL327682 ILL393150:ILL393218 ILL458686:ILL458754 ILL524222:ILL524290 ILL589758:ILL589826 ILL655294:ILL655362 ILL720830:ILL720898 ILL786366:ILL786434 ILL851902:ILL851970 ILL917438:ILL917506 ILL982974:ILL983042 IVH65470:IVH65538 IVH131006:IVH131074 IVH196542:IVH196610 IVH262078:IVH262146 IVH327614:IVH327682 IVH393150:IVH393218 IVH458686:IVH458754 IVH524222:IVH524290 IVH589758:IVH589826 IVH655294:IVH655362 IVH720830:IVH720898 IVH786366:IVH786434 IVH851902:IVH851970 IVH917438:IVH917506 IVH982974:IVH983042 JFD65470:JFD65538 JFD131006:JFD131074 JFD196542:JFD196610 JFD262078:JFD262146 JFD327614:JFD327682 JFD393150:JFD393218 JFD458686:JFD458754 JFD524222:JFD524290 JFD589758:JFD589826 JFD655294:JFD655362 JFD720830:JFD720898 JFD786366:JFD786434 JFD851902:JFD851970 JFD917438:JFD917506 JFD982974:JFD983042 JOZ65470:JOZ65538 JOZ131006:JOZ131074 JOZ196542:JOZ196610 JOZ262078:JOZ262146 JOZ327614:JOZ327682 JOZ393150:JOZ393218 JOZ458686:JOZ458754 JOZ524222:JOZ524290 JOZ589758:JOZ589826 JOZ655294:JOZ655362 JOZ720830:JOZ720898 JOZ786366:JOZ786434 JOZ851902:JOZ851970 JOZ917438:JOZ917506 JOZ982974:JOZ983042 JYV65470:JYV65538 JYV131006:JYV131074 JYV196542:JYV196610 JYV262078:JYV262146 JYV327614:JYV327682 JYV393150:JYV393218 JYV458686:JYV458754 JYV524222:JYV524290 JYV589758:JYV589826 JYV655294:JYV655362 JYV720830:JYV720898 JYV786366:JYV786434 JYV851902:JYV851970 JYV917438:JYV917506 JYV982974:JYV983042 KIR65470:KIR65538 KIR131006:KIR131074 KIR196542:KIR196610 KIR262078:KIR262146 KIR327614:KIR327682 KIR393150:KIR393218 KIR458686:KIR458754 KIR524222:KIR524290 KIR589758:KIR589826 KIR655294:KIR655362 KIR720830:KIR720898 KIR786366:KIR786434 KIR851902:KIR851970 KIR917438:KIR917506 KIR982974:KIR983042 KSN65470:KSN65538 KSN131006:KSN131074 KSN196542:KSN196610 KSN262078:KSN262146 KSN327614:KSN327682 KSN393150:KSN393218 KSN458686:KSN458754 KSN524222:KSN524290 KSN589758:KSN589826 KSN655294:KSN655362 KSN720830:KSN720898 KSN786366:KSN786434 KSN851902:KSN851970 KSN917438:KSN917506 KSN982974:KSN983042 LCJ65470:LCJ65538 LCJ131006:LCJ131074 LCJ196542:LCJ196610 LCJ262078:LCJ262146 LCJ327614:LCJ327682 LCJ393150:LCJ393218 LCJ458686:LCJ458754 LCJ524222:LCJ524290 LCJ589758:LCJ589826 LCJ655294:LCJ655362 LCJ720830:LCJ720898 LCJ786366:LCJ786434 LCJ851902:LCJ851970 LCJ917438:LCJ917506 LCJ982974:LCJ983042 LMF65470:LMF65538 LMF131006:LMF131074 LMF196542:LMF196610 LMF262078:LMF262146 LMF327614:LMF327682 LMF393150:LMF393218 LMF458686:LMF458754 LMF524222:LMF524290 LMF589758:LMF589826 LMF655294:LMF655362 LMF720830:LMF720898 LMF786366:LMF786434 LMF851902:LMF851970 LMF917438:LMF917506 LMF982974:LMF983042 LWB65470:LWB65538 LWB131006:LWB131074 LWB196542:LWB196610 LWB262078:LWB262146 LWB327614:LWB327682 LWB393150:LWB393218 LWB458686:LWB458754 LWB524222:LWB524290 LWB589758:LWB589826 LWB655294:LWB655362 LWB720830:LWB720898 LWB786366:LWB786434 LWB851902:LWB851970 LWB917438:LWB917506 LWB982974:LWB983042 MFX65470:MFX65538 MFX131006:MFX131074 MFX196542:MFX196610 MFX262078:MFX262146 MFX327614:MFX327682 MFX393150:MFX393218 MFX458686:MFX458754 MFX524222:MFX524290 MFX589758:MFX589826 MFX655294:MFX655362 MFX720830:MFX720898 MFX786366:MFX786434 MFX851902:MFX851970 MFX917438:MFX917506 MFX982974:MFX983042 MPT65470:MPT65538 MPT131006:MPT131074 MPT196542:MPT196610 MPT262078:MPT262146 MPT327614:MPT327682 MPT393150:MPT393218 MPT458686:MPT458754 MPT524222:MPT524290 MPT589758:MPT589826 MPT655294:MPT655362 MPT720830:MPT720898 MPT786366:MPT786434 MPT851902:MPT851970 MPT917438:MPT917506 MPT982974:MPT983042 MZP65470:MZP65538 MZP131006:MZP131074 MZP196542:MZP196610 MZP262078:MZP262146 MZP327614:MZP327682 MZP393150:MZP393218 MZP458686:MZP458754 MZP524222:MZP524290 MZP589758:MZP589826 MZP655294:MZP655362 MZP720830:MZP720898 MZP786366:MZP786434 MZP851902:MZP851970 MZP917438:MZP917506 MZP982974:MZP983042 NJL65470:NJL65538 NJL131006:NJL131074 NJL196542:NJL196610 NJL262078:NJL262146 NJL327614:NJL327682 NJL393150:NJL393218 NJL458686:NJL458754 NJL524222:NJL524290 NJL589758:NJL589826 NJL655294:NJL655362 NJL720830:NJL720898 NJL786366:NJL786434 NJL851902:NJL851970 NJL917438:NJL917506 NJL982974:NJL983042 NTH65470:NTH65538 NTH131006:NTH131074 NTH196542:NTH196610 NTH262078:NTH262146 NTH327614:NTH327682 NTH393150:NTH393218 NTH458686:NTH458754 NTH524222:NTH524290 NTH589758:NTH589826 NTH655294:NTH655362 NTH720830:NTH720898 NTH786366:NTH786434 NTH851902:NTH851970 NTH917438:NTH917506 NTH982974:NTH983042 ODD65470:ODD65538 ODD131006:ODD131074 ODD196542:ODD196610 ODD262078:ODD262146 ODD327614:ODD327682 ODD393150:ODD393218 ODD458686:ODD458754 ODD524222:ODD524290 ODD589758:ODD589826 ODD655294:ODD655362 ODD720830:ODD720898 ODD786366:ODD786434 ODD851902:ODD851970 ODD917438:ODD917506 ODD982974:ODD983042 OMZ65470:OMZ65538 OMZ131006:OMZ131074 OMZ196542:OMZ196610 OMZ262078:OMZ262146 OMZ327614:OMZ327682 OMZ393150:OMZ393218 OMZ458686:OMZ458754 OMZ524222:OMZ524290 OMZ589758:OMZ589826 OMZ655294:OMZ655362 OMZ720830:OMZ720898 OMZ786366:OMZ786434 OMZ851902:OMZ851970 OMZ917438:OMZ917506 OMZ982974:OMZ983042 OWV65470:OWV65538 OWV131006:OWV131074 OWV196542:OWV196610 OWV262078:OWV262146 OWV327614:OWV327682 OWV393150:OWV393218 OWV458686:OWV458754 OWV524222:OWV524290 OWV589758:OWV589826 OWV655294:OWV655362 OWV720830:OWV720898 OWV786366:OWV786434 OWV851902:OWV851970 OWV917438:OWV917506 OWV982974:OWV983042 PGR65470:PGR65538 PGR131006:PGR131074 PGR196542:PGR196610 PGR262078:PGR262146 PGR327614:PGR327682 PGR393150:PGR393218 PGR458686:PGR458754 PGR524222:PGR524290 PGR589758:PGR589826 PGR655294:PGR655362 PGR720830:PGR720898 PGR786366:PGR786434 PGR851902:PGR851970 PGR917438:PGR917506 PGR982974:PGR983042 PQN65470:PQN65538 PQN131006:PQN131074 PQN196542:PQN196610 PQN262078:PQN262146 PQN327614:PQN327682 PQN393150:PQN393218 PQN458686:PQN458754 PQN524222:PQN524290 PQN589758:PQN589826 PQN655294:PQN655362 PQN720830:PQN720898 PQN786366:PQN786434 PQN851902:PQN851970 PQN917438:PQN917506 PQN982974:PQN983042 QAJ65470:QAJ65538 QAJ131006:QAJ131074 QAJ196542:QAJ196610 QAJ262078:QAJ262146 QAJ327614:QAJ327682 QAJ393150:QAJ393218 QAJ458686:QAJ458754 QAJ524222:QAJ524290 QAJ589758:QAJ589826 QAJ655294:QAJ655362 QAJ720830:QAJ720898 QAJ786366:QAJ786434 QAJ851902:QAJ851970 QAJ917438:QAJ917506 QAJ982974:QAJ983042 QKF65470:QKF65538 QKF131006:QKF131074 QKF196542:QKF196610 QKF262078:QKF262146 QKF327614:QKF327682 QKF393150:QKF393218 QKF458686:QKF458754 QKF524222:QKF524290 QKF589758:QKF589826 QKF655294:QKF655362 QKF720830:QKF720898 QKF786366:QKF786434 QKF851902:QKF851970 QKF917438:QKF917506 QKF982974:QKF983042 QUB65470:QUB65538 QUB131006:QUB131074 QUB196542:QUB196610 QUB262078:QUB262146 QUB327614:QUB327682 QUB393150:QUB393218 QUB458686:QUB458754 QUB524222:QUB524290 QUB589758:QUB589826 QUB655294:QUB655362 QUB720830:QUB720898 QUB786366:QUB786434 QUB851902:QUB851970 QUB917438:QUB917506 QUB982974:QUB983042 RDX65470:RDX65538 RDX131006:RDX131074 RDX196542:RDX196610 RDX262078:RDX262146 RDX327614:RDX327682 RDX393150:RDX393218 RDX458686:RDX458754 RDX524222:RDX524290 RDX589758:RDX589826 RDX655294:RDX655362 RDX720830:RDX720898 RDX786366:RDX786434 RDX851902:RDX851970 RDX917438:RDX917506 RDX982974:RDX983042 RNT65470:RNT65538 RNT131006:RNT131074 RNT196542:RNT196610 RNT262078:RNT262146 RNT327614:RNT327682 RNT393150:RNT393218 RNT458686:RNT458754 RNT524222:RNT524290 RNT589758:RNT589826 RNT655294:RNT655362 RNT720830:RNT720898 RNT786366:RNT786434 RNT851902:RNT851970 RNT917438:RNT917506 RNT982974:RNT983042 RXP65470:RXP65538 RXP131006:RXP131074 RXP196542:RXP196610 RXP262078:RXP262146 RXP327614:RXP327682 RXP393150:RXP393218 RXP458686:RXP458754 RXP524222:RXP524290 RXP589758:RXP589826 RXP655294:RXP655362 RXP720830:RXP720898 RXP786366:RXP786434 RXP851902:RXP851970 RXP917438:RXP917506 RXP982974:RXP983042 SHL65470:SHL65538 SHL131006:SHL131074 SHL196542:SHL196610 SHL262078:SHL262146 SHL327614:SHL327682 SHL393150:SHL393218 SHL458686:SHL458754 SHL524222:SHL524290 SHL589758:SHL589826 SHL655294:SHL655362 SHL720830:SHL720898 SHL786366:SHL786434 SHL851902:SHL851970 SHL917438:SHL917506 SHL982974:SHL983042 SRH65470:SRH65538 SRH131006:SRH131074 SRH196542:SRH196610 SRH262078:SRH262146 SRH327614:SRH327682 SRH393150:SRH393218 SRH458686:SRH458754 SRH524222:SRH524290 SRH589758:SRH589826 SRH655294:SRH655362 SRH720830:SRH720898 SRH786366:SRH786434 SRH851902:SRH851970 SRH917438:SRH917506 SRH982974:SRH983042 TBD65470:TBD65538 TBD131006:TBD131074 TBD196542:TBD196610 TBD262078:TBD262146 TBD327614:TBD327682 TBD393150:TBD393218 TBD458686:TBD458754 TBD524222:TBD524290 TBD589758:TBD589826 TBD655294:TBD655362 TBD720830:TBD720898 TBD786366:TBD786434 TBD851902:TBD851970 TBD917438:TBD917506 TBD982974:TBD983042 TKZ65470:TKZ65538 TKZ131006:TKZ131074 TKZ196542:TKZ196610 TKZ262078:TKZ262146 TKZ327614:TKZ327682 TKZ393150:TKZ393218 TKZ458686:TKZ458754 TKZ524222:TKZ524290 TKZ589758:TKZ589826 TKZ655294:TKZ655362 TKZ720830:TKZ720898 TKZ786366:TKZ786434 TKZ851902:TKZ851970 TKZ917438:TKZ917506 TKZ982974:TKZ983042 TUV65470:TUV65538 TUV131006:TUV131074 TUV196542:TUV196610 TUV262078:TUV262146 TUV327614:TUV327682 TUV393150:TUV393218 TUV458686:TUV458754 TUV524222:TUV524290 TUV589758:TUV589826 TUV655294:TUV655362 TUV720830:TUV720898 TUV786366:TUV786434 TUV851902:TUV851970 TUV917438:TUV917506 TUV982974:TUV983042 UER65470:UER65538 UER131006:UER131074 UER196542:UER196610 UER262078:UER262146 UER327614:UER327682 UER393150:UER393218 UER458686:UER458754 UER524222:UER524290 UER589758:UER589826 UER655294:UER655362 UER720830:UER720898 UER786366:UER786434 UER851902:UER851970 UER917438:UER917506 UER982974:UER983042 UON65470:UON65538 UON131006:UON131074 UON196542:UON196610 UON262078:UON262146 UON327614:UON327682 UON393150:UON393218 UON458686:UON458754 UON524222:UON524290 UON589758:UON589826 UON655294:UON655362 UON720830:UON720898 UON786366:UON786434 UON851902:UON851970 UON917438:UON917506 UON982974:UON983042 UYJ65470:UYJ65538 UYJ131006:UYJ131074 UYJ196542:UYJ196610 UYJ262078:UYJ262146 UYJ327614:UYJ327682 UYJ393150:UYJ393218 UYJ458686:UYJ458754 UYJ524222:UYJ524290 UYJ589758:UYJ589826 UYJ655294:UYJ655362 UYJ720830:UYJ720898 UYJ786366:UYJ786434 UYJ851902:UYJ851970 UYJ917438:UYJ917506 UYJ982974:UYJ983042 VIF65470:VIF65538 VIF131006:VIF131074 VIF196542:VIF196610 VIF262078:VIF262146 VIF327614:VIF327682 VIF393150:VIF393218 VIF458686:VIF458754 VIF524222:VIF524290 VIF589758:VIF589826 VIF655294:VIF655362 VIF720830:VIF720898 VIF786366:VIF786434 VIF851902:VIF851970 VIF917438:VIF917506 VIF982974:VIF983042 VSB65470:VSB65538 VSB131006:VSB131074 VSB196542:VSB196610 VSB262078:VSB262146 VSB327614:VSB327682 VSB393150:VSB393218 VSB458686:VSB458754 VSB524222:VSB524290 VSB589758:VSB589826 VSB655294:VSB655362 VSB720830:VSB720898 VSB786366:VSB786434 VSB851902:VSB851970 VSB917438:VSB917506 VSB982974:VSB983042 WBX65470:WBX65538 WBX131006:WBX131074 WBX196542:WBX196610 WBX262078:WBX262146 WBX327614:WBX327682 WBX393150:WBX393218 WBX458686:WBX458754 WBX524222:WBX524290 WBX589758:WBX589826 WBX655294:WBX655362 WBX720830:WBX720898 WBX786366:WBX786434 WBX851902:WBX851970 WBX917438:WBX917506 WBX982974:WBX983042 WLT65470:WLT65538 WLT131006:WLT131074 WLT196542:WLT196610 WLT262078:WLT262146 WLT327614:WLT327682 WLT393150:WLT393218 WLT458686:WLT458754 WLT524222:WLT524290 WLT589758:WLT589826 WLT655294:WLT655362 WLT720830:WLT720898 WLT786366:WLT786434 WLT851902:WLT851970 WLT917438:WLT917506 WLT982974:WLT983042 WVP65470:WVP65538 WVP131006:WVP131074 WVP196542:WVP196610 WVP262078:WVP262146 WVP327614:WVP327682 WVP393150:WVP393218 WVP458686:WVP458754 WVP524222:WVP524290 WVP589758:WVP589826 WVP655294:WVP655362 WVP720830:WVP720898 WVP786366:WVP786434 WVP851902:WVP851970 WVP917438:WVP917506 WVP982974:WVP983042" xr:uid="{00000000-0002-0000-0500-000004000000}">
      <formula1>"-,SFP/人天,天/SFP,人天/SFP,个/页,个/SFP,条/SFP,个/条,%,次"</formula1>
    </dataValidation>
  </dataValidations>
  <pageMargins left="0.69930555555555596" right="0.69930555555555596" top="0.75" bottom="0.75" header="0.3" footer="0.3"/>
  <pageSetup paperSize="9" orientation="portrait" horizontalDpi="1200" verticalDpi="1200"/>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U18"/>
  <sheetViews>
    <sheetView topLeftCell="A4" workbookViewId="0">
      <selection activeCell="U6" sqref="U6"/>
    </sheetView>
  </sheetViews>
  <sheetFormatPr defaultColWidth="9" defaultRowHeight="13.5"/>
  <cols>
    <col min="1" max="1" width="8.25" style="569" customWidth="1"/>
    <col min="3" max="3" width="9" customWidth="1"/>
    <col min="5" max="5" width="7.25" customWidth="1"/>
    <col min="6" max="6" width="8.25" customWidth="1"/>
    <col min="7" max="7" width="7.5" customWidth="1"/>
    <col min="8" max="8" width="8.25" customWidth="1"/>
    <col min="9" max="9" width="17.25" customWidth="1"/>
    <col min="10" max="10" width="16.375" customWidth="1"/>
    <col min="11" max="11" width="14.625" customWidth="1"/>
    <col min="12" max="12" width="7" customWidth="1"/>
    <col min="13" max="13" width="5.75" customWidth="1"/>
    <col min="14" max="14" width="4.625" customWidth="1"/>
    <col min="15" max="15" width="5.375" customWidth="1"/>
    <col min="16" max="18" width="10.25" customWidth="1"/>
    <col min="20" max="20" width="10.625" customWidth="1"/>
    <col min="21" max="21" width="31.75" customWidth="1"/>
  </cols>
  <sheetData>
    <row r="1" spans="1:21" ht="18.75" customHeight="1">
      <c r="A1" s="570"/>
      <c r="B1" s="571" t="s">
        <v>298</v>
      </c>
      <c r="C1" s="553"/>
      <c r="D1" s="553"/>
      <c r="E1" s="553"/>
      <c r="F1" s="553"/>
      <c r="G1" s="553"/>
      <c r="H1" s="553"/>
      <c r="I1" s="553"/>
      <c r="J1" s="553"/>
      <c r="K1" s="553"/>
      <c r="L1" s="553"/>
      <c r="M1" s="553"/>
      <c r="N1" s="553"/>
      <c r="O1" s="553"/>
      <c r="P1" s="553"/>
      <c r="Q1" s="553"/>
      <c r="R1" s="553"/>
      <c r="S1" s="553"/>
      <c r="T1" s="794"/>
      <c r="U1" s="795"/>
    </row>
    <row r="2" spans="1:21" ht="18.75" customHeight="1">
      <c r="A2" s="570"/>
      <c r="B2" s="572" t="s">
        <v>299</v>
      </c>
      <c r="C2" s="573"/>
      <c r="D2" s="573"/>
      <c r="E2" s="573"/>
      <c r="F2" s="573"/>
      <c r="G2" s="573"/>
      <c r="H2" s="573"/>
      <c r="I2" s="573"/>
      <c r="J2" s="573"/>
      <c r="K2" s="573"/>
      <c r="L2" s="578"/>
      <c r="M2" s="578"/>
      <c r="N2" s="578"/>
      <c r="O2" s="578"/>
      <c r="P2" s="796"/>
      <c r="Q2" s="796"/>
      <c r="R2" s="796"/>
      <c r="S2" s="796"/>
      <c r="T2" s="796"/>
      <c r="U2" s="796"/>
    </row>
    <row r="3" spans="1:21" ht="42.95" customHeight="1">
      <c r="A3" s="570" t="s">
        <v>300</v>
      </c>
      <c r="B3" s="570" t="s">
        <v>301</v>
      </c>
      <c r="C3" s="570" t="s">
        <v>302</v>
      </c>
      <c r="D3" s="570" t="s">
        <v>303</v>
      </c>
      <c r="E3" s="570" t="s">
        <v>304</v>
      </c>
      <c r="F3" s="570" t="s">
        <v>305</v>
      </c>
      <c r="G3" s="570" t="s">
        <v>306</v>
      </c>
      <c r="H3" s="570" t="s">
        <v>307</v>
      </c>
      <c r="I3" s="570" t="s">
        <v>308</v>
      </c>
      <c r="J3" s="570" t="s">
        <v>309</v>
      </c>
      <c r="K3" s="570" t="s">
        <v>215</v>
      </c>
      <c r="L3" s="579" t="s">
        <v>310</v>
      </c>
      <c r="M3" s="580"/>
      <c r="N3" s="580"/>
      <c r="O3" s="580"/>
      <c r="P3" s="581" t="s">
        <v>311</v>
      </c>
      <c r="Q3" s="581" t="s">
        <v>312</v>
      </c>
      <c r="R3" s="581" t="s">
        <v>313</v>
      </c>
      <c r="S3" s="581" t="s">
        <v>314</v>
      </c>
      <c r="T3" s="584" t="s">
        <v>315</v>
      </c>
      <c r="U3" s="584" t="s">
        <v>316</v>
      </c>
    </row>
    <row r="4" spans="1:21" ht="85.5" customHeight="1">
      <c r="A4" s="574">
        <v>1</v>
      </c>
      <c r="B4" s="575" t="s">
        <v>317</v>
      </c>
      <c r="C4" s="575" t="s">
        <v>318</v>
      </c>
      <c r="D4" s="575">
        <v>59</v>
      </c>
      <c r="E4" s="575">
        <v>171.7</v>
      </c>
      <c r="F4" s="575">
        <v>68</v>
      </c>
      <c r="G4" s="575">
        <v>40</v>
      </c>
      <c r="H4" s="576" t="s">
        <v>319</v>
      </c>
      <c r="I4" s="576" t="s">
        <v>320</v>
      </c>
      <c r="J4" s="575" t="s">
        <v>321</v>
      </c>
      <c r="K4" s="575" t="s">
        <v>154</v>
      </c>
      <c r="L4" s="575">
        <v>3</v>
      </c>
      <c r="M4" s="575">
        <v>2</v>
      </c>
      <c r="N4" s="575">
        <v>1</v>
      </c>
      <c r="O4" s="575">
        <v>2</v>
      </c>
      <c r="P4" s="582">
        <v>0.9365</v>
      </c>
      <c r="Q4" s="582">
        <v>0.92500000000000004</v>
      </c>
      <c r="R4" s="582">
        <v>0.98470000000000002</v>
      </c>
      <c r="S4" s="582">
        <v>1</v>
      </c>
      <c r="T4" s="583" t="s">
        <v>322</v>
      </c>
      <c r="U4" s="585" t="s">
        <v>323</v>
      </c>
    </row>
    <row r="5" spans="1:21" ht="48">
      <c r="A5" s="574">
        <v>2</v>
      </c>
      <c r="B5" s="575" t="s">
        <v>317</v>
      </c>
      <c r="C5" s="575" t="s">
        <v>324</v>
      </c>
      <c r="D5" s="575">
        <v>59</v>
      </c>
      <c r="E5" s="575">
        <v>171.7</v>
      </c>
      <c r="F5" s="575">
        <v>68</v>
      </c>
      <c r="G5" s="575">
        <v>40</v>
      </c>
      <c r="H5" s="576" t="s">
        <v>319</v>
      </c>
      <c r="I5" s="576" t="s">
        <v>320</v>
      </c>
      <c r="J5" s="575" t="s">
        <v>321</v>
      </c>
      <c r="K5" s="575" t="s">
        <v>154</v>
      </c>
      <c r="L5" s="575">
        <v>3</v>
      </c>
      <c r="M5" s="575">
        <v>2</v>
      </c>
      <c r="N5" s="575">
        <v>1</v>
      </c>
      <c r="O5" s="575">
        <v>2</v>
      </c>
      <c r="P5" s="582">
        <v>0.9153</v>
      </c>
      <c r="Q5" s="582">
        <v>0.94430000000000003</v>
      </c>
      <c r="R5" s="582">
        <v>0.98480000000000001</v>
      </c>
      <c r="S5" s="582">
        <v>1</v>
      </c>
      <c r="T5" s="586" t="s">
        <v>322</v>
      </c>
      <c r="U5" s="585" t="s">
        <v>323</v>
      </c>
    </row>
    <row r="6" spans="1:21" ht="99.75" customHeight="1">
      <c r="A6" s="574">
        <v>3</v>
      </c>
      <c r="B6" s="575" t="s">
        <v>325</v>
      </c>
      <c r="C6" s="575" t="s">
        <v>326</v>
      </c>
      <c r="D6" s="575">
        <v>59</v>
      </c>
      <c r="E6" s="575">
        <v>171.7</v>
      </c>
      <c r="F6" s="575">
        <v>68</v>
      </c>
      <c r="G6" s="575">
        <v>40</v>
      </c>
      <c r="H6" s="576" t="s">
        <v>319</v>
      </c>
      <c r="I6" s="576" t="s">
        <v>320</v>
      </c>
      <c r="J6" s="575" t="s">
        <v>321</v>
      </c>
      <c r="K6" s="575" t="s">
        <v>154</v>
      </c>
      <c r="L6" s="575" t="s">
        <v>172</v>
      </c>
      <c r="M6" s="575" t="s">
        <v>172</v>
      </c>
      <c r="N6" s="575" t="s">
        <v>172</v>
      </c>
      <c r="O6" s="575">
        <v>2</v>
      </c>
      <c r="P6" s="582">
        <v>1</v>
      </c>
      <c r="Q6" s="582">
        <v>8.3299999999999999E-2</v>
      </c>
      <c r="R6" s="582">
        <v>1</v>
      </c>
      <c r="S6" s="582">
        <v>1</v>
      </c>
      <c r="T6" s="586" t="s">
        <v>322</v>
      </c>
      <c r="U6" s="587" t="s">
        <v>327</v>
      </c>
    </row>
    <row r="7" spans="1:21">
      <c r="A7" s="574">
        <v>5</v>
      </c>
      <c r="B7" s="575"/>
      <c r="C7" s="575"/>
      <c r="D7" s="575"/>
      <c r="E7" s="575"/>
      <c r="F7" s="575"/>
      <c r="G7" s="575"/>
      <c r="H7" s="576"/>
      <c r="I7" s="576"/>
      <c r="J7" s="575"/>
      <c r="K7" s="575"/>
      <c r="L7" s="575"/>
      <c r="M7" s="575"/>
      <c r="N7" s="575"/>
      <c r="O7" s="575"/>
      <c r="P7" s="583"/>
      <c r="Q7" s="583"/>
      <c r="R7" s="583"/>
      <c r="S7" s="583"/>
      <c r="T7" s="583"/>
      <c r="U7" s="585"/>
    </row>
    <row r="8" spans="1:21">
      <c r="A8" s="574">
        <v>6</v>
      </c>
      <c r="B8" s="575"/>
      <c r="C8" s="575"/>
      <c r="D8" s="575"/>
      <c r="E8" s="575"/>
      <c r="F8" s="575"/>
      <c r="G8" s="575"/>
      <c r="H8" s="576"/>
      <c r="I8" s="576"/>
      <c r="J8" s="575"/>
      <c r="K8" s="575"/>
      <c r="L8" s="575"/>
      <c r="M8" s="575"/>
      <c r="N8" s="575"/>
      <c r="O8" s="575"/>
      <c r="P8" s="583"/>
      <c r="Q8" s="583"/>
      <c r="R8" s="583"/>
      <c r="S8" s="583"/>
      <c r="T8" s="583"/>
      <c r="U8" s="585"/>
    </row>
    <row r="9" spans="1:21">
      <c r="A9" s="574">
        <v>7</v>
      </c>
      <c r="B9" s="575"/>
      <c r="C9" s="575"/>
      <c r="D9" s="575"/>
      <c r="E9" s="575"/>
      <c r="F9" s="575"/>
      <c r="G9" s="575"/>
      <c r="H9" s="576"/>
      <c r="I9" s="576"/>
      <c r="J9" s="575"/>
      <c r="K9" s="575"/>
      <c r="L9" s="575"/>
      <c r="M9" s="575"/>
      <c r="N9" s="575"/>
      <c r="O9" s="575"/>
      <c r="P9" s="583"/>
      <c r="Q9" s="583"/>
      <c r="R9" s="583"/>
      <c r="S9" s="583"/>
      <c r="T9" s="583"/>
      <c r="U9" s="585"/>
    </row>
    <row r="10" spans="1:21">
      <c r="A10" s="574">
        <v>8</v>
      </c>
      <c r="B10" s="575"/>
      <c r="C10" s="575"/>
      <c r="D10" s="575"/>
      <c r="E10" s="575"/>
      <c r="F10" s="575"/>
      <c r="G10" s="575"/>
      <c r="H10" s="576"/>
      <c r="I10" s="576"/>
      <c r="J10" s="575"/>
      <c r="K10" s="575"/>
      <c r="L10" s="575"/>
      <c r="M10" s="575"/>
      <c r="N10" s="575"/>
      <c r="O10" s="575"/>
      <c r="P10" s="583"/>
      <c r="Q10" s="583"/>
      <c r="R10" s="583"/>
      <c r="S10" s="583"/>
      <c r="T10" s="583"/>
      <c r="U10" s="585"/>
    </row>
    <row r="11" spans="1:21">
      <c r="A11" s="574">
        <v>9</v>
      </c>
      <c r="B11" s="575"/>
      <c r="C11" s="577"/>
      <c r="D11" s="575"/>
      <c r="E11" s="575"/>
      <c r="F11" s="575"/>
      <c r="G11" s="575"/>
      <c r="H11" s="576"/>
      <c r="I11" s="576"/>
      <c r="J11" s="575"/>
      <c r="K11" s="575"/>
      <c r="L11" s="575"/>
      <c r="M11" s="575"/>
      <c r="N11" s="575"/>
      <c r="O11" s="575"/>
      <c r="P11" s="582"/>
      <c r="Q11" s="582"/>
      <c r="R11" s="582"/>
      <c r="S11" s="586"/>
      <c r="T11" s="586"/>
      <c r="U11" s="586"/>
    </row>
    <row r="12" spans="1:21">
      <c r="A12" s="574">
        <v>10</v>
      </c>
      <c r="B12" s="575"/>
      <c r="C12" s="577"/>
      <c r="D12" s="575"/>
      <c r="E12" s="575"/>
      <c r="F12" s="575"/>
      <c r="G12" s="575"/>
      <c r="H12" s="576"/>
      <c r="I12" s="576"/>
      <c r="J12" s="575"/>
      <c r="K12" s="575"/>
      <c r="L12" s="575"/>
      <c r="M12" s="575"/>
      <c r="N12" s="575"/>
      <c r="O12" s="575"/>
      <c r="P12" s="582"/>
      <c r="Q12" s="582"/>
      <c r="R12" s="582"/>
      <c r="S12" s="586"/>
      <c r="T12" s="583"/>
      <c r="U12" s="583"/>
    </row>
    <row r="13" spans="1:21">
      <c r="A13" s="574">
        <v>11</v>
      </c>
      <c r="B13" s="577"/>
      <c r="C13" s="577"/>
      <c r="D13" s="575"/>
      <c r="E13" s="575"/>
      <c r="F13" s="575"/>
      <c r="G13" s="575"/>
      <c r="H13" s="575"/>
      <c r="I13" s="575"/>
      <c r="J13" s="575"/>
      <c r="K13" s="575"/>
      <c r="L13" s="575"/>
      <c r="M13" s="575"/>
      <c r="N13" s="575"/>
      <c r="O13" s="575"/>
      <c r="P13" s="582"/>
      <c r="Q13" s="582"/>
      <c r="R13" s="582"/>
      <c r="S13" s="586"/>
      <c r="T13" s="586"/>
      <c r="U13" s="587"/>
    </row>
    <row r="14" spans="1:21">
      <c r="A14" s="574">
        <v>12</v>
      </c>
      <c r="B14" s="575"/>
      <c r="C14" s="575"/>
      <c r="D14" s="575"/>
      <c r="E14" s="575"/>
      <c r="F14" s="575"/>
      <c r="G14" s="575"/>
      <c r="H14" s="575"/>
      <c r="I14" s="575"/>
      <c r="J14" s="575"/>
      <c r="K14" s="575"/>
      <c r="L14" s="575"/>
      <c r="M14" s="575"/>
      <c r="N14" s="575"/>
      <c r="O14" s="575"/>
      <c r="P14" s="582"/>
      <c r="Q14" s="582"/>
      <c r="R14" s="582"/>
      <c r="S14" s="586"/>
      <c r="T14" s="583"/>
      <c r="U14" s="583"/>
    </row>
    <row r="15" spans="1:21">
      <c r="A15" s="574">
        <v>13</v>
      </c>
      <c r="B15" s="577"/>
      <c r="C15" s="577"/>
      <c r="D15" s="575"/>
      <c r="E15" s="575"/>
      <c r="F15" s="575"/>
      <c r="G15" s="575"/>
      <c r="H15" s="575"/>
      <c r="I15" s="575"/>
      <c r="J15" s="575"/>
      <c r="K15" s="575"/>
      <c r="L15" s="575"/>
      <c r="M15" s="575"/>
      <c r="N15" s="575"/>
      <c r="O15" s="575"/>
      <c r="P15" s="582"/>
      <c r="Q15" s="582"/>
      <c r="R15" s="582"/>
      <c r="S15" s="586"/>
      <c r="T15" s="586"/>
      <c r="U15" s="585"/>
    </row>
    <row r="16" spans="1:21">
      <c r="A16" s="574">
        <v>14</v>
      </c>
      <c r="B16" s="575"/>
      <c r="C16" s="575"/>
      <c r="D16" s="575"/>
      <c r="E16" s="575"/>
      <c r="F16" s="575"/>
      <c r="G16" s="575"/>
      <c r="H16" s="575"/>
      <c r="I16" s="575"/>
      <c r="J16" s="575"/>
      <c r="K16" s="575"/>
      <c r="L16" s="575"/>
      <c r="M16" s="575"/>
      <c r="N16" s="575"/>
      <c r="O16" s="575"/>
      <c r="P16" s="582"/>
      <c r="Q16" s="582"/>
      <c r="R16" s="582"/>
      <c r="S16" s="586"/>
      <c r="T16" s="583"/>
      <c r="U16" s="583"/>
    </row>
    <row r="17" spans="1:21">
      <c r="A17" s="574">
        <v>15</v>
      </c>
      <c r="B17" s="577"/>
      <c r="C17" s="577"/>
      <c r="D17" s="575"/>
      <c r="E17" s="575"/>
      <c r="F17" s="575"/>
      <c r="G17" s="575"/>
      <c r="H17" s="575"/>
      <c r="I17" s="575"/>
      <c r="J17" s="575"/>
      <c r="K17" s="575"/>
      <c r="L17" s="575"/>
      <c r="M17" s="575"/>
      <c r="N17" s="575"/>
      <c r="O17" s="575"/>
      <c r="P17" s="582"/>
      <c r="Q17" s="582"/>
      <c r="R17" s="582"/>
      <c r="S17" s="586"/>
      <c r="T17" s="586"/>
      <c r="U17" s="586"/>
    </row>
    <row r="18" spans="1:21">
      <c r="A18" s="574">
        <v>16</v>
      </c>
      <c r="B18" s="575"/>
      <c r="C18" s="575"/>
      <c r="D18" s="575"/>
      <c r="E18" s="575"/>
      <c r="F18" s="575"/>
      <c r="G18" s="575"/>
      <c r="H18" s="575"/>
      <c r="I18" s="575"/>
      <c r="J18" s="575"/>
      <c r="K18" s="575"/>
      <c r="L18" s="575"/>
      <c r="M18" s="575"/>
      <c r="N18" s="575"/>
      <c r="O18" s="575"/>
      <c r="P18" s="582"/>
      <c r="Q18" s="582"/>
      <c r="R18" s="582"/>
      <c r="S18" s="586"/>
      <c r="T18" s="583"/>
      <c r="U18" s="583"/>
    </row>
  </sheetData>
  <mergeCells count="2">
    <mergeCell ref="T1:U1"/>
    <mergeCell ref="P2:U2"/>
  </mergeCells>
  <phoneticPr fontId="150" type="noConversion"/>
  <dataValidations count="1">
    <dataValidation type="list" allowBlank="1" showInputMessage="1" showErrorMessage="1" sqref="T4:T18" xr:uid="{00000000-0002-0000-0600-000000000000}">
      <formula1>"接受,拒绝"</formula1>
    </dataValidation>
  </dataValidations>
  <pageMargins left="0.69930555555555596" right="0.69930555555555596" top="0.75" bottom="0.75" header="0.3" footer="0.3"/>
  <pageSetup paperSize="9" orientation="portrait"/>
  <drawing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FFC000"/>
  </sheetPr>
  <dimension ref="A1:Q20"/>
  <sheetViews>
    <sheetView workbookViewId="0">
      <selection activeCell="F20" sqref="F20"/>
    </sheetView>
  </sheetViews>
  <sheetFormatPr defaultColWidth="9" defaultRowHeight="14.25"/>
  <cols>
    <col min="1" max="1" width="12.625" style="535" customWidth="1"/>
    <col min="2" max="2" width="13.875" style="536" customWidth="1"/>
    <col min="3" max="3" width="12.75" style="536" customWidth="1"/>
    <col min="4" max="4" width="11.25" style="536" customWidth="1"/>
    <col min="5" max="5" width="14.375" style="536" customWidth="1"/>
    <col min="6" max="6" width="22" style="536" customWidth="1"/>
    <col min="7" max="7" width="10.625" style="536" customWidth="1"/>
    <col min="8" max="10" width="8.125" style="536" customWidth="1"/>
    <col min="11" max="11" width="13.25" style="536" customWidth="1"/>
    <col min="12" max="12" width="11" style="536" customWidth="1"/>
    <col min="13" max="15" width="10.75" style="536" customWidth="1"/>
    <col min="16" max="16" width="1.875" style="536" customWidth="1"/>
    <col min="17" max="17" width="76.875" style="536" customWidth="1"/>
    <col min="18" max="16384" width="9" style="536"/>
  </cols>
  <sheetData>
    <row r="1" spans="1:17" ht="21" customHeight="1">
      <c r="A1" s="805" t="s">
        <v>328</v>
      </c>
      <c r="B1" s="806"/>
      <c r="C1" s="806"/>
      <c r="D1" s="806"/>
      <c r="E1" s="806"/>
      <c r="F1" s="806"/>
      <c r="G1" s="537"/>
      <c r="H1" s="537"/>
      <c r="I1" s="537"/>
      <c r="J1" s="537"/>
      <c r="K1" s="537"/>
      <c r="L1" s="559"/>
      <c r="M1" s="559"/>
      <c r="N1" s="559"/>
      <c r="O1" s="559"/>
    </row>
    <row r="2" spans="1:17" ht="60.95" customHeight="1">
      <c r="A2" s="807" t="s">
        <v>329</v>
      </c>
      <c r="B2" s="799"/>
      <c r="C2" s="799"/>
      <c r="D2" s="799"/>
      <c r="E2" s="799"/>
      <c r="F2" s="799"/>
      <c r="G2" s="800" t="s">
        <v>330</v>
      </c>
      <c r="H2" s="800"/>
      <c r="I2" s="800"/>
      <c r="J2" s="800"/>
      <c r="K2" s="800"/>
      <c r="L2" s="560"/>
      <c r="M2" s="561" t="s">
        <v>331</v>
      </c>
      <c r="N2" s="801" t="s">
        <v>309</v>
      </c>
      <c r="O2" s="802"/>
      <c r="Q2" s="797" t="s">
        <v>332</v>
      </c>
    </row>
    <row r="3" spans="1:17" s="534" customFormat="1" ht="38.1" customHeight="1">
      <c r="A3" s="538" t="s">
        <v>300</v>
      </c>
      <c r="B3" s="539" t="s">
        <v>333</v>
      </c>
      <c r="C3" s="539" t="s">
        <v>334</v>
      </c>
      <c r="D3" s="539" t="s">
        <v>309</v>
      </c>
      <c r="E3" s="539" t="s">
        <v>335</v>
      </c>
      <c r="F3" s="538" t="s">
        <v>336</v>
      </c>
      <c r="G3" s="540" t="s">
        <v>337</v>
      </c>
      <c r="H3" s="541" t="s">
        <v>338</v>
      </c>
      <c r="I3" s="541" t="s">
        <v>339</v>
      </c>
      <c r="J3" s="541" t="s">
        <v>340</v>
      </c>
      <c r="K3" s="562" t="s">
        <v>341</v>
      </c>
      <c r="M3" s="563" t="s">
        <v>167</v>
      </c>
      <c r="N3" s="563" t="s">
        <v>168</v>
      </c>
      <c r="O3" s="563" t="s">
        <v>342</v>
      </c>
      <c r="Q3" s="797"/>
    </row>
    <row r="4" spans="1:17" ht="14.25" customHeight="1">
      <c r="A4" s="542" t="s">
        <v>343</v>
      </c>
      <c r="B4" s="543" t="s">
        <v>344</v>
      </c>
      <c r="C4" s="544">
        <v>59</v>
      </c>
      <c r="D4" s="543">
        <f>1/(G4+总模型!$C$21/H4+K4)</f>
        <v>0.3612253019786611</v>
      </c>
      <c r="E4" s="544">
        <v>171.7</v>
      </c>
      <c r="F4" s="543">
        <f>C4/D4</f>
        <v>163.33296609296031</v>
      </c>
      <c r="G4" s="545">
        <v>8.344E-2</v>
      </c>
      <c r="H4" s="545">
        <v>0.36209000000000002</v>
      </c>
      <c r="I4" s="545"/>
      <c r="J4" s="545"/>
      <c r="K4" s="545">
        <v>6.4019999999999994E-2</v>
      </c>
      <c r="L4" s="363" t="s">
        <v>345</v>
      </c>
      <c r="M4" s="363">
        <v>0.48520000000000002</v>
      </c>
      <c r="N4" s="363">
        <v>0.66900000000000004</v>
      </c>
      <c r="O4" s="363">
        <v>0.85270000000000001</v>
      </c>
    </row>
    <row r="5" spans="1:17">
      <c r="A5" s="546" t="s">
        <v>346</v>
      </c>
      <c r="B5" s="547" t="s">
        <v>347</v>
      </c>
      <c r="C5" s="544">
        <v>59</v>
      </c>
      <c r="D5" s="543">
        <f>1/(G5+总模型!$C$21/H5+K5)</f>
        <v>0.3594051382397625</v>
      </c>
      <c r="E5" s="544">
        <v>171.7</v>
      </c>
      <c r="F5" s="543">
        <f t="shared" ref="F5:F6" si="0">C5/D5</f>
        <v>164.16014609296028</v>
      </c>
      <c r="G5" s="545">
        <v>9.7460000000000005E-2</v>
      </c>
      <c r="H5" s="545">
        <v>0.36209000000000002</v>
      </c>
      <c r="I5" s="545"/>
      <c r="J5" s="545"/>
      <c r="K5" s="545">
        <v>6.4019999999999994E-2</v>
      </c>
      <c r="L5" s="363" t="s">
        <v>348</v>
      </c>
      <c r="M5" s="363">
        <v>0.29799999999999999</v>
      </c>
      <c r="N5" s="363">
        <v>0.48199999999999998</v>
      </c>
      <c r="O5" s="363">
        <v>0.66610000000000003</v>
      </c>
    </row>
    <row r="6" spans="1:17">
      <c r="A6" s="542" t="s">
        <v>349</v>
      </c>
      <c r="B6" s="543" t="s">
        <v>347</v>
      </c>
      <c r="C6" s="544">
        <v>59</v>
      </c>
      <c r="D6" s="543">
        <f>1/(G6+总模型!$C$21/H6+K6)</f>
        <v>0.3594051382397625</v>
      </c>
      <c r="E6" s="544">
        <v>171.7</v>
      </c>
      <c r="F6" s="543">
        <f t="shared" si="0"/>
        <v>164.16014609296028</v>
      </c>
      <c r="G6" s="545">
        <v>9.7460000000000005E-2</v>
      </c>
      <c r="H6" s="545">
        <v>0.36209000000000002</v>
      </c>
      <c r="I6" s="564"/>
      <c r="J6" s="564"/>
      <c r="K6" s="545">
        <v>6.4019999999999994E-2</v>
      </c>
    </row>
    <row r="8" spans="1:17" ht="19.5" customHeight="1">
      <c r="A8" s="808" t="s">
        <v>350</v>
      </c>
      <c r="B8" s="809"/>
      <c r="C8" s="809"/>
      <c r="D8" s="809"/>
      <c r="E8" s="809"/>
      <c r="F8" s="809"/>
      <c r="G8" s="548"/>
      <c r="H8" s="548"/>
      <c r="I8" s="548"/>
      <c r="J8" s="548"/>
      <c r="K8" s="548"/>
      <c r="L8" s="565"/>
      <c r="M8" s="565"/>
      <c r="N8" s="565"/>
      <c r="O8" s="565"/>
    </row>
    <row r="9" spans="1:17" ht="45" customHeight="1">
      <c r="A9" s="798" t="s">
        <v>351</v>
      </c>
      <c r="B9" s="799"/>
      <c r="C9" s="799"/>
      <c r="D9" s="799"/>
      <c r="E9" s="799"/>
      <c r="F9" s="799"/>
      <c r="G9" s="800" t="s">
        <v>330</v>
      </c>
      <c r="H9" s="800"/>
      <c r="I9" s="800"/>
      <c r="J9" s="800"/>
      <c r="K9" s="800"/>
      <c r="L9" s="560"/>
      <c r="M9" s="566" t="s">
        <v>352</v>
      </c>
      <c r="N9" s="801" t="s">
        <v>308</v>
      </c>
      <c r="O9" s="802"/>
      <c r="Q9" s="797" t="s">
        <v>353</v>
      </c>
    </row>
    <row r="10" spans="1:17" ht="36.950000000000003" customHeight="1">
      <c r="A10" s="538" t="s">
        <v>300</v>
      </c>
      <c r="B10" s="538" t="s">
        <v>333</v>
      </c>
      <c r="C10" s="538" t="s">
        <v>334</v>
      </c>
      <c r="D10" s="538" t="s">
        <v>308</v>
      </c>
      <c r="E10" s="549" t="s">
        <v>354</v>
      </c>
      <c r="F10" s="538" t="s">
        <v>355</v>
      </c>
      <c r="G10" s="540" t="s">
        <v>356</v>
      </c>
      <c r="H10" s="541" t="s">
        <v>357</v>
      </c>
      <c r="I10" s="541" t="s">
        <v>358</v>
      </c>
      <c r="J10" s="541" t="s">
        <v>359</v>
      </c>
      <c r="K10" s="562" t="s">
        <v>360</v>
      </c>
      <c r="M10" s="563" t="s">
        <v>167</v>
      </c>
      <c r="N10" s="563" t="s">
        <v>168</v>
      </c>
      <c r="O10" s="563" t="s">
        <v>342</v>
      </c>
      <c r="Q10" s="797"/>
    </row>
    <row r="11" spans="1:17" ht="14.25" customHeight="1">
      <c r="A11" s="542" t="s">
        <v>343</v>
      </c>
      <c r="B11" s="542" t="s">
        <v>344</v>
      </c>
      <c r="C11" s="550">
        <v>59</v>
      </c>
      <c r="D11" s="543">
        <f>G11+总模型!$H$21/(总模型!$H$21+总模型!$H$24+总模型!$H$27)*H11+K11</f>
        <v>0.44064999999999999</v>
      </c>
      <c r="E11" s="550">
        <v>26</v>
      </c>
      <c r="F11" s="543">
        <f>C11*D11</f>
        <v>25.998349999999999</v>
      </c>
      <c r="G11" s="545">
        <v>6.7799999999999999E-2</v>
      </c>
      <c r="H11" s="545">
        <v>0.35589999999999999</v>
      </c>
      <c r="I11" s="545"/>
      <c r="J11" s="545"/>
      <c r="K11" s="545">
        <v>1.695E-2</v>
      </c>
      <c r="L11" s="363" t="s">
        <v>345</v>
      </c>
      <c r="M11" s="363">
        <v>3.5099999999999999E-2</v>
      </c>
      <c r="N11" s="363">
        <v>0.27179999999999999</v>
      </c>
      <c r="O11" s="363">
        <v>0.50849999999999995</v>
      </c>
    </row>
    <row r="12" spans="1:17">
      <c r="A12" s="546" t="s">
        <v>346</v>
      </c>
      <c r="B12" s="551" t="s">
        <v>347</v>
      </c>
      <c r="C12" s="550">
        <v>59</v>
      </c>
      <c r="D12" s="543">
        <f>G12+总模型!$H$21/(总模型!$H$21+总模型!$H$24+总模型!$H$27)*H12+K12</f>
        <v>0.44064999999999999</v>
      </c>
      <c r="E12" s="550">
        <v>26</v>
      </c>
      <c r="F12" s="543">
        <f t="shared" ref="F12:F13" si="1">C12*D12</f>
        <v>25.998349999999999</v>
      </c>
      <c r="G12" s="545">
        <v>6.7799999999999999E-2</v>
      </c>
      <c r="H12" s="545">
        <v>0.35589999999999999</v>
      </c>
      <c r="I12" s="545"/>
      <c r="J12" s="545"/>
      <c r="K12" s="545">
        <v>1.695E-2</v>
      </c>
      <c r="L12" s="363" t="s">
        <v>361</v>
      </c>
      <c r="M12" s="363">
        <v>0</v>
      </c>
      <c r="N12" s="363">
        <v>0.86399999999999999</v>
      </c>
      <c r="O12" s="363">
        <v>1.8532</v>
      </c>
    </row>
    <row r="13" spans="1:17" ht="24">
      <c r="A13" s="542" t="s">
        <v>349</v>
      </c>
      <c r="B13" s="542" t="s">
        <v>347</v>
      </c>
      <c r="C13" s="550">
        <v>59</v>
      </c>
      <c r="D13" s="543">
        <f>G13+总模型!$H$21/(总模型!$H$21+总模型!$H$24+总模型!$H$27)*H13+K13</f>
        <v>0.44064999999999999</v>
      </c>
      <c r="E13" s="550">
        <v>26</v>
      </c>
      <c r="F13" s="543">
        <f t="shared" si="1"/>
        <v>25.998349999999999</v>
      </c>
      <c r="G13" s="545">
        <v>6.7799999999999999E-2</v>
      </c>
      <c r="H13" s="545">
        <v>0.35589999999999999</v>
      </c>
      <c r="I13" s="545"/>
      <c r="J13" s="545"/>
      <c r="K13" s="545">
        <v>1.695E-2</v>
      </c>
      <c r="L13" s="363" t="s">
        <v>362</v>
      </c>
      <c r="M13" s="363">
        <v>0</v>
      </c>
      <c r="N13" s="363">
        <v>0.46639999999999998</v>
      </c>
      <c r="O13" s="363">
        <v>1.1807000000000001</v>
      </c>
    </row>
    <row r="15" spans="1:17" ht="18.75" customHeight="1">
      <c r="A15" s="552" t="s">
        <v>363</v>
      </c>
      <c r="B15" s="553"/>
      <c r="C15" s="553"/>
      <c r="D15" s="553"/>
      <c r="E15" s="553"/>
      <c r="F15" s="553"/>
      <c r="G15" s="553"/>
      <c r="H15" s="553"/>
      <c r="I15" s="553"/>
      <c r="J15" s="553"/>
      <c r="K15" s="553"/>
      <c r="L15" s="567"/>
      <c r="M15" s="567"/>
      <c r="N15" s="567"/>
      <c r="O15" s="567"/>
    </row>
    <row r="16" spans="1:17" ht="60" customHeight="1">
      <c r="A16" s="803" t="s">
        <v>364</v>
      </c>
      <c r="B16" s="804"/>
      <c r="C16" s="804"/>
      <c r="D16" s="804"/>
      <c r="E16" s="804"/>
      <c r="F16" s="804"/>
      <c r="G16" s="800" t="s">
        <v>330</v>
      </c>
      <c r="H16" s="800"/>
      <c r="I16" s="800"/>
      <c r="J16" s="800"/>
      <c r="K16" s="800"/>
      <c r="L16" s="568"/>
      <c r="M16" s="561" t="s">
        <v>331</v>
      </c>
      <c r="N16" s="801" t="s">
        <v>307</v>
      </c>
      <c r="O16" s="802"/>
      <c r="Q16" s="797" t="s">
        <v>365</v>
      </c>
    </row>
    <row r="17" spans="1:17" ht="36">
      <c r="A17" s="554" t="s">
        <v>300</v>
      </c>
      <c r="B17" s="554" t="s">
        <v>333</v>
      </c>
      <c r="C17" s="555" t="s">
        <v>366</v>
      </c>
      <c r="D17" s="555" t="s">
        <v>367</v>
      </c>
      <c r="E17" s="554" t="s">
        <v>368</v>
      </c>
      <c r="F17" s="554" t="s">
        <v>369</v>
      </c>
      <c r="G17" s="540" t="s">
        <v>370</v>
      </c>
      <c r="H17" s="541" t="s">
        <v>371</v>
      </c>
      <c r="I17" s="541" t="s">
        <v>372</v>
      </c>
      <c r="J17" s="541" t="s">
        <v>373</v>
      </c>
      <c r="K17" s="562" t="s">
        <v>374</v>
      </c>
      <c r="M17" s="563" t="s">
        <v>167</v>
      </c>
      <c r="N17" s="563" t="s">
        <v>168</v>
      </c>
      <c r="O17" s="563" t="s">
        <v>342</v>
      </c>
      <c r="Q17" s="797"/>
    </row>
    <row r="18" spans="1:17">
      <c r="A18" s="542" t="s">
        <v>343</v>
      </c>
      <c r="B18" s="543" t="s">
        <v>344</v>
      </c>
      <c r="C18" s="545">
        <v>26</v>
      </c>
      <c r="D18" s="543">
        <f>总模型!$A$21*G18+总模型!$C$21*H18+总模型!$I$21*K18</f>
        <v>0</v>
      </c>
      <c r="E18" s="545">
        <v>68</v>
      </c>
      <c r="F18" s="556">
        <f>C18*D18</f>
        <v>0</v>
      </c>
      <c r="G18" s="557">
        <v>0</v>
      </c>
      <c r="H18" s="557">
        <v>0</v>
      </c>
      <c r="I18" s="557"/>
      <c r="J18" s="557"/>
      <c r="K18" s="557">
        <v>0</v>
      </c>
      <c r="L18" s="363" t="s">
        <v>375</v>
      </c>
      <c r="M18" s="363">
        <v>-0.31059999999999999</v>
      </c>
      <c r="N18" s="363">
        <v>0.12620000000000001</v>
      </c>
      <c r="O18" s="363">
        <v>0.56299999999999994</v>
      </c>
    </row>
    <row r="19" spans="1:17">
      <c r="A19" s="546" t="s">
        <v>346</v>
      </c>
      <c r="B19" s="547" t="s">
        <v>347</v>
      </c>
      <c r="C19" s="545">
        <v>26</v>
      </c>
      <c r="D19" s="543">
        <f>总模型!$A$21*G19+总模型!$C$21*H19+总模型!$I$21*K19</f>
        <v>4.4886200000000005E-3</v>
      </c>
      <c r="E19" s="545">
        <v>68</v>
      </c>
      <c r="F19" s="556">
        <f t="shared" ref="F19:F20" si="2">C19*D19</f>
        <v>0.11670412000000001</v>
      </c>
      <c r="G19" s="557">
        <v>0.15478</v>
      </c>
      <c r="H19" s="557">
        <v>0</v>
      </c>
      <c r="I19" s="557"/>
      <c r="J19" s="557"/>
      <c r="K19" s="557">
        <v>0</v>
      </c>
      <c r="L19" s="363" t="s">
        <v>376</v>
      </c>
      <c r="M19" s="363">
        <v>-0.38769999999999999</v>
      </c>
      <c r="N19" s="363">
        <v>4.4999999999999997E-3</v>
      </c>
      <c r="O19" s="363">
        <v>0.3967</v>
      </c>
    </row>
    <row r="20" spans="1:17">
      <c r="A20" s="542" t="s">
        <v>349</v>
      </c>
      <c r="B20" s="543" t="s">
        <v>347</v>
      </c>
      <c r="C20" s="545">
        <v>26</v>
      </c>
      <c r="D20" s="543">
        <f>总模型!$A$21*G20+总模型!$C$21*H20+总模型!$I$21*K20</f>
        <v>4.4886200000000005E-3</v>
      </c>
      <c r="E20" s="545">
        <v>68</v>
      </c>
      <c r="F20" s="556">
        <f t="shared" si="2"/>
        <v>0.11670412000000001</v>
      </c>
      <c r="G20" s="557">
        <v>0.15478</v>
      </c>
      <c r="H20" s="558">
        <v>0</v>
      </c>
      <c r="I20" s="558"/>
      <c r="J20" s="558"/>
      <c r="K20" s="558">
        <v>0</v>
      </c>
    </row>
  </sheetData>
  <mergeCells count="14">
    <mergeCell ref="A1:F1"/>
    <mergeCell ref="A2:F2"/>
    <mergeCell ref="G2:K2"/>
    <mergeCell ref="N2:O2"/>
    <mergeCell ref="A8:F8"/>
    <mergeCell ref="Q2:Q3"/>
    <mergeCell ref="Q9:Q10"/>
    <mergeCell ref="Q16:Q17"/>
    <mergeCell ref="A9:F9"/>
    <mergeCell ref="G9:K9"/>
    <mergeCell ref="N9:O9"/>
    <mergeCell ref="A16:F16"/>
    <mergeCell ref="G16:K16"/>
    <mergeCell ref="N16:O16"/>
  </mergeCells>
  <phoneticPr fontId="150" type="noConversion"/>
  <dataValidations count="3">
    <dataValidation type="list" allowBlank="1" showInputMessage="1" showErrorMessage="1" sqref="M9" xr:uid="{00000000-0002-0000-0700-000000000000}">
      <formula1>"基线-总体,基线-强测试,基线-弱测试"</formula1>
    </dataValidation>
    <dataValidation type="list" allowBlank="1" showInputMessage="1" showErrorMessage="1" sqref="JJ16 TF16 ADB16 AMX16 AWT16 BGP16 BQL16 CAH16 CKD16 CTZ16 DDV16 DNR16 DXN16 EHJ16 ERF16 FBB16 FKX16 FUT16 GEP16 GOL16 GYH16 HID16 HRZ16 IBV16 ILR16 IVN16 JFJ16 JPF16 JZB16 KIX16 KST16 LCP16 LML16 LWH16 MGD16 MPZ16 MZV16 NJR16 NTN16 ODJ16 ONF16 OXB16 PGX16 PQT16 QAP16 QKL16 QUH16 RED16 RNZ16 RXV16 SHR16 SRN16 TBJ16 TLF16 TVB16 UEX16 UOT16 UYP16 VIL16 VSH16 WCD16 WLZ16 WVV16 JH65540 TD65540 ACZ65540 AMV65540 AWR65540 BGN65540 BQJ65540 CAF65540 CKB65540 CTX65540 DDT65540 DNP65540 DXL65540 EHH65540 ERD65540 FAZ65540 FKV65540 FUR65540 GEN65540 GOJ65540 GYF65540 HIB65540 HRX65540 IBT65540 ILP65540 IVL65540 JFH65540 JPD65540 JYZ65540 KIV65540 KSR65540 LCN65540 LMJ65540 LWF65540 MGB65540 MPX65540 MZT65540 NJP65540 NTL65540 ODH65540 OND65540 OWZ65540 PGV65540 PQR65540 QAN65540 QKJ65540 QUF65540 REB65540 RNX65540 RXT65540 SHP65540 SRL65540 TBH65540 TLD65540 TUZ65540 UEV65540 UOR65540 UYN65540 VIJ65540 VSF65540 WCB65540 WLX65540 WVT65540 JH131076 TD131076 ACZ131076 AMV131076 AWR131076 BGN131076 BQJ131076 CAF131076 CKB131076 CTX131076 DDT131076 DNP131076 DXL131076 EHH131076 ERD131076 FAZ131076 FKV131076 FUR131076 GEN131076 GOJ131076 GYF131076 HIB131076 HRX131076 IBT131076 ILP131076 IVL131076 JFH131076 JPD131076 JYZ131076 KIV131076 KSR131076 LCN131076 LMJ131076 LWF131076 MGB131076 MPX131076 MZT131076 NJP131076 NTL131076 ODH131076 OND131076 OWZ131076 PGV131076 PQR131076 QAN131076 QKJ131076 QUF131076 REB131076 RNX131076 RXT131076 SHP131076 SRL131076 TBH131076 TLD131076 TUZ131076 UEV131076 UOR131076 UYN131076 VIJ131076 VSF131076 WCB131076 WLX131076 WVT131076 JH196612 TD196612 ACZ196612 AMV196612 AWR196612 BGN196612 BQJ196612 CAF196612 CKB196612 CTX196612 DDT196612 DNP196612 DXL196612 EHH196612 ERD196612 FAZ196612 FKV196612 FUR196612 GEN196612 GOJ196612 GYF196612 HIB196612 HRX196612 IBT196612 ILP196612 IVL196612 JFH196612 JPD196612 JYZ196612 KIV196612 KSR196612 LCN196612 LMJ196612 LWF196612 MGB196612 MPX196612 MZT196612 NJP196612 NTL196612 ODH196612 OND196612 OWZ196612 PGV196612 PQR196612 QAN196612 QKJ196612 QUF196612 REB196612 RNX196612 RXT196612 SHP196612 SRL196612 TBH196612 TLD196612 TUZ196612 UEV196612 UOR196612 UYN196612 VIJ196612 VSF196612 WCB196612 WLX196612 WVT196612 JH262148 TD262148 ACZ262148 AMV262148 AWR262148 BGN262148 BQJ262148 CAF262148 CKB262148 CTX262148 DDT262148 DNP262148 DXL262148 EHH262148 ERD262148 FAZ262148 FKV262148 FUR262148 GEN262148 GOJ262148 GYF262148 HIB262148 HRX262148 IBT262148 ILP262148 IVL262148 JFH262148 JPD262148 JYZ262148 KIV262148 KSR262148 LCN262148 LMJ262148 LWF262148 MGB262148 MPX262148 MZT262148 NJP262148 NTL262148 ODH262148 OND262148 OWZ262148 PGV262148 PQR262148 QAN262148 QKJ262148 QUF262148 REB262148 RNX262148 RXT262148 SHP262148 SRL262148 TBH262148 TLD262148 TUZ262148 UEV262148 UOR262148 UYN262148 VIJ262148 VSF262148 WCB262148 WLX262148 WVT262148 JH327684 TD327684 ACZ327684 AMV327684 AWR327684 BGN327684 BQJ327684 CAF327684 CKB327684 CTX327684 DDT327684 DNP327684 DXL327684 EHH327684 ERD327684 FAZ327684 FKV327684 FUR327684 GEN327684 GOJ327684 GYF327684 HIB327684 HRX327684 IBT327684 ILP327684 IVL327684 JFH327684 JPD327684 JYZ327684 KIV327684 KSR327684 LCN327684 LMJ327684 LWF327684 MGB327684 MPX327684 MZT327684 NJP327684 NTL327684 ODH327684 OND327684 OWZ327684 PGV327684 PQR327684 QAN327684 QKJ327684 QUF327684 REB327684 RNX327684 RXT327684 SHP327684 SRL327684 TBH327684 TLD327684 TUZ327684 UEV327684 UOR327684 UYN327684 VIJ327684 VSF327684 WCB327684 WLX327684 WVT327684 JH393220 TD393220 ACZ393220 AMV393220 AWR393220 BGN393220 BQJ393220 CAF393220 CKB393220 CTX393220 DDT393220 DNP393220 DXL393220 EHH393220 ERD393220 FAZ393220 FKV393220 FUR393220 GEN393220 GOJ393220 GYF393220 HIB393220 HRX393220 IBT393220 ILP393220 IVL393220 JFH393220 JPD393220 JYZ393220 KIV393220 KSR393220 LCN393220 LMJ393220 LWF393220 MGB393220 MPX393220 MZT393220 NJP393220 NTL393220 ODH393220 OND393220 OWZ393220 PGV393220 PQR393220 QAN393220 QKJ393220 QUF393220 REB393220 RNX393220 RXT393220 SHP393220 SRL393220 TBH393220 TLD393220 TUZ393220 UEV393220 UOR393220 UYN393220 VIJ393220 VSF393220 WCB393220 WLX393220 WVT393220 JH458756 TD458756 ACZ458756 AMV458756 AWR458756 BGN458756 BQJ458756 CAF458756 CKB458756 CTX458756 DDT458756 DNP458756 DXL458756 EHH458756 ERD458756 FAZ458756 FKV458756 FUR458756 GEN458756 GOJ458756 GYF458756 HIB458756 HRX458756 IBT458756 ILP458756 IVL458756 JFH458756 JPD458756 JYZ458756 KIV458756 KSR458756 LCN458756 LMJ458756 LWF458756 MGB458756 MPX458756 MZT458756 NJP458756 NTL458756 ODH458756 OND458756 OWZ458756 PGV458756 PQR458756 QAN458756 QKJ458756 QUF458756 REB458756 RNX458756 RXT458756 SHP458756 SRL458756 TBH458756 TLD458756 TUZ458756 UEV458756 UOR458756 UYN458756 VIJ458756 VSF458756 WCB458756 WLX458756 WVT458756 JH524292 TD524292 ACZ524292 AMV524292 AWR524292 BGN524292 BQJ524292 CAF524292 CKB524292 CTX524292 DDT524292 DNP524292 DXL524292 EHH524292 ERD524292 FAZ524292 FKV524292 FUR524292 GEN524292 GOJ524292 GYF524292 HIB524292 HRX524292 IBT524292 ILP524292 IVL524292 JFH524292 JPD524292 JYZ524292 KIV524292 KSR524292 LCN524292 LMJ524292 LWF524292 MGB524292 MPX524292 MZT524292 NJP524292 NTL524292 ODH524292 OND524292 OWZ524292 PGV524292 PQR524292 QAN524292 QKJ524292 QUF524292 REB524292 RNX524292 RXT524292 SHP524292 SRL524292 TBH524292 TLD524292 TUZ524292 UEV524292 UOR524292 UYN524292 VIJ524292 VSF524292 WCB524292 WLX524292 WVT524292 JH589828 TD589828 ACZ589828 AMV589828 AWR589828 BGN589828 BQJ589828 CAF589828 CKB589828 CTX589828 DDT589828 DNP589828 DXL589828 EHH589828 ERD589828 FAZ589828 FKV589828 FUR589828 GEN589828 GOJ589828 GYF589828 HIB589828 HRX589828 IBT589828 ILP589828 IVL589828 JFH589828 JPD589828 JYZ589828 KIV589828 KSR589828 LCN589828 LMJ589828 LWF589828 MGB589828 MPX589828 MZT589828 NJP589828 NTL589828 ODH589828 OND589828 OWZ589828 PGV589828 PQR589828 QAN589828 QKJ589828 QUF589828 REB589828 RNX589828 RXT589828 SHP589828 SRL589828 TBH589828 TLD589828 TUZ589828 UEV589828 UOR589828 UYN589828 VIJ589828 VSF589828 WCB589828 WLX589828 WVT589828 JH655364 TD655364 ACZ655364 AMV655364 AWR655364 BGN655364 BQJ655364 CAF655364 CKB655364 CTX655364 DDT655364 DNP655364 DXL655364 EHH655364 ERD655364 FAZ655364 FKV655364 FUR655364 GEN655364 GOJ655364 GYF655364 HIB655364 HRX655364 IBT655364 ILP655364 IVL655364 JFH655364 JPD655364 JYZ655364 KIV655364 KSR655364 LCN655364 LMJ655364 LWF655364 MGB655364 MPX655364 MZT655364 NJP655364 NTL655364 ODH655364 OND655364 OWZ655364 PGV655364 PQR655364 QAN655364 QKJ655364 QUF655364 REB655364 RNX655364 RXT655364 SHP655364 SRL655364 TBH655364 TLD655364 TUZ655364 UEV655364 UOR655364 UYN655364 VIJ655364 VSF655364 WCB655364 WLX655364 WVT655364 JH720900 TD720900 ACZ720900 AMV720900 AWR720900 BGN720900 BQJ720900 CAF720900 CKB720900 CTX720900 DDT720900 DNP720900 DXL720900 EHH720900 ERD720900 FAZ720900 FKV720900 FUR720900 GEN720900 GOJ720900 GYF720900 HIB720900 HRX720900 IBT720900 ILP720900 IVL720900 JFH720900 JPD720900 JYZ720900 KIV720900 KSR720900 LCN720900 LMJ720900 LWF720900 MGB720900 MPX720900 MZT720900 NJP720900 NTL720900 ODH720900 OND720900 OWZ720900 PGV720900 PQR720900 QAN720900 QKJ720900 QUF720900 REB720900 RNX720900 RXT720900 SHP720900 SRL720900 TBH720900 TLD720900 TUZ720900 UEV720900 UOR720900 UYN720900 VIJ720900 VSF720900 WCB720900 WLX720900 WVT720900 JH786436 TD786436 ACZ786436 AMV786436 AWR786436 BGN786436 BQJ786436 CAF786436 CKB786436 CTX786436 DDT786436 DNP786436 DXL786436 EHH786436 ERD786436 FAZ786436 FKV786436 FUR786436 GEN786436 GOJ786436 GYF786436 HIB786436 HRX786436 IBT786436 ILP786436 IVL786436 JFH786436 JPD786436 JYZ786436 KIV786436 KSR786436 LCN786436 LMJ786436 LWF786436 MGB786436 MPX786436 MZT786436 NJP786436 NTL786436 ODH786436 OND786436 OWZ786436 PGV786436 PQR786436 QAN786436 QKJ786436 QUF786436 REB786436 RNX786436 RXT786436 SHP786436 SRL786436 TBH786436 TLD786436 TUZ786436 UEV786436 UOR786436 UYN786436 VIJ786436 VSF786436 WCB786436 WLX786436 WVT786436 JH851972 TD851972 ACZ851972 AMV851972 AWR851972 BGN851972 BQJ851972 CAF851972 CKB851972 CTX851972 DDT851972 DNP851972 DXL851972 EHH851972 ERD851972 FAZ851972 FKV851972 FUR851972 GEN851972 GOJ851972 GYF851972 HIB851972 HRX851972 IBT851972 ILP851972 IVL851972 JFH851972 JPD851972 JYZ851972 KIV851972 KSR851972 LCN851972 LMJ851972 LWF851972 MGB851972 MPX851972 MZT851972 NJP851972 NTL851972 ODH851972 OND851972 OWZ851972 PGV851972 PQR851972 QAN851972 QKJ851972 QUF851972 REB851972 RNX851972 RXT851972 SHP851972 SRL851972 TBH851972 TLD851972 TUZ851972 UEV851972 UOR851972 UYN851972 VIJ851972 VSF851972 WCB851972 WLX851972 WVT851972 JH917508 TD917508 ACZ917508 AMV917508 AWR917508 BGN917508 BQJ917508 CAF917508 CKB917508 CTX917508 DDT917508 DNP917508 DXL917508 EHH917508 ERD917508 FAZ917508 FKV917508 FUR917508 GEN917508 GOJ917508 GYF917508 HIB917508 HRX917508 IBT917508 ILP917508 IVL917508 JFH917508 JPD917508 JYZ917508 KIV917508 KSR917508 LCN917508 LMJ917508 LWF917508 MGB917508 MPX917508 MZT917508 NJP917508 NTL917508 ODH917508 OND917508 OWZ917508 PGV917508 PQR917508 QAN917508 QKJ917508 QUF917508 REB917508 RNX917508 RXT917508 SHP917508 SRL917508 TBH917508 TLD917508 TUZ917508 UEV917508 UOR917508 UYN917508 VIJ917508 VSF917508 WCB917508 WLX917508 WVT917508 JH983044 TD983044 ACZ983044 AMV983044 AWR983044 BGN983044 BQJ983044 CAF983044 CKB983044 CTX983044 DDT983044 DNP983044 DXL983044 EHH983044 ERD983044 FAZ983044 FKV983044 FUR983044 GEN983044 GOJ983044 GYF983044 HIB983044 HRX983044 IBT983044 ILP983044 IVL983044 JFH983044 JPD983044 JYZ983044 KIV983044 KSR983044 LCN983044 LMJ983044 LWF983044 MGB983044 MPX983044 MZT983044 NJP983044 NTL983044 ODH983044 OND983044 OWZ983044 PGV983044 PQR983044 QAN983044 QKJ983044 QUF983044 REB983044 RNX983044 RXT983044 SHP983044 SRL983044 TBH983044 TLD983044 TUZ983044 UEV983044 UOR983044 UYN983044 VIJ983044 VSF983044 WCB983044 WLX983044 WVT983044" xr:uid="{00000000-0002-0000-0700-000001000000}">
      <formula1>"会议,邮件"</formula1>
    </dataValidation>
    <dataValidation type="list" allowBlank="1" showInputMessage="1" showErrorMessage="1" sqref="B4:B6 B11:B13 B18:B20" xr:uid="{00000000-0002-0000-0700-000002000000}">
      <formula1>"因子预测值,因子实际值"</formula1>
    </dataValidation>
  </dataValidations>
  <pageMargins left="0.69930555555555596" right="0.69930555555555596"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9" tint="0.39973143711661124"/>
  </sheetPr>
  <dimension ref="A1:AE93"/>
  <sheetViews>
    <sheetView showGridLines="0" topLeftCell="J25" zoomScale="120" zoomScaleNormal="120" workbookViewId="0">
      <selection activeCell="S35" sqref="S35"/>
    </sheetView>
  </sheetViews>
  <sheetFormatPr defaultColWidth="9" defaultRowHeight="11.25" outlineLevelRow="2"/>
  <cols>
    <col min="1" max="1" width="2.125" style="399" customWidth="1"/>
    <col min="2" max="2" width="10.75" style="399" customWidth="1"/>
    <col min="3" max="3" width="9.375" style="399" customWidth="1"/>
    <col min="4" max="4" width="8.75" style="399" customWidth="1"/>
    <col min="5" max="6" width="11.625" style="399" customWidth="1"/>
    <col min="7" max="7" width="10.625" style="399" customWidth="1"/>
    <col min="8" max="8" width="10" style="399" customWidth="1"/>
    <col min="9" max="9" width="8.5" style="399" customWidth="1"/>
    <col min="10" max="10" width="9.125" style="399" customWidth="1"/>
    <col min="11" max="11" width="9" style="399"/>
    <col min="12" max="12" width="18.5" style="399" customWidth="1"/>
    <col min="13" max="17" width="9" style="399"/>
    <col min="18" max="18" width="16.125" style="399" customWidth="1"/>
    <col min="19" max="22" width="9" style="399"/>
    <col min="23" max="23" width="11.875" style="399" customWidth="1"/>
    <col min="24" max="25" width="9" style="399"/>
    <col min="26" max="26" width="9" style="399" customWidth="1"/>
    <col min="27" max="16384" width="9" style="399"/>
  </cols>
  <sheetData>
    <row r="1" spans="1:30" ht="14.25">
      <c r="A1" s="400" t="s">
        <v>377</v>
      </c>
      <c r="B1" s="401"/>
      <c r="C1" s="401"/>
      <c r="D1" s="401"/>
      <c r="E1" s="401"/>
      <c r="F1" s="401"/>
      <c r="G1" s="401"/>
      <c r="H1" s="401"/>
      <c r="I1" s="401"/>
      <c r="J1" s="401"/>
      <c r="K1" s="401"/>
      <c r="L1" s="401"/>
      <c r="M1" s="401"/>
      <c r="N1" s="401"/>
      <c r="O1" s="401"/>
      <c r="P1" s="401"/>
      <c r="Q1" s="401"/>
      <c r="R1" s="401"/>
      <c r="S1" s="401"/>
      <c r="T1" s="401"/>
      <c r="U1" s="401"/>
      <c r="V1" s="401"/>
      <c r="W1" s="401"/>
      <c r="X1" s="401"/>
      <c r="Y1" s="401"/>
      <c r="Z1" s="401"/>
      <c r="AA1" s="401"/>
      <c r="AB1" s="401"/>
      <c r="AC1" s="401"/>
      <c r="AD1" s="401"/>
    </row>
    <row r="2" spans="1:30" ht="14.25">
      <c r="A2" s="489" t="s">
        <v>378</v>
      </c>
      <c r="B2" s="489" t="s">
        <v>379</v>
      </c>
      <c r="C2" s="489"/>
      <c r="D2" s="489"/>
      <c r="E2" s="489"/>
      <c r="F2" s="489"/>
      <c r="G2" s="489"/>
      <c r="H2" s="489"/>
      <c r="I2" s="489"/>
      <c r="J2" s="489"/>
      <c r="K2" s="489"/>
      <c r="L2" s="489"/>
      <c r="M2" s="489"/>
      <c r="N2" s="489"/>
      <c r="O2" s="489"/>
      <c r="P2" s="489"/>
      <c r="Q2" s="489"/>
      <c r="R2" s="489"/>
      <c r="S2" s="489"/>
      <c r="T2" s="489"/>
      <c r="U2" s="489"/>
      <c r="V2" s="489"/>
      <c r="W2" s="489"/>
      <c r="X2" s="489"/>
      <c r="Y2" s="489"/>
      <c r="Z2" s="489"/>
      <c r="AA2" s="489"/>
      <c r="AB2" s="489"/>
      <c r="AC2" s="489"/>
      <c r="AD2" s="489"/>
    </row>
    <row r="3" spans="1:30" ht="14.25">
      <c r="A3" s="868" t="s">
        <v>309</v>
      </c>
      <c r="B3" s="869"/>
      <c r="C3" s="869"/>
      <c r="D3" s="869"/>
      <c r="E3" s="869"/>
      <c r="F3" s="869"/>
      <c r="G3" s="869"/>
      <c r="H3" s="869"/>
      <c r="I3" s="869"/>
      <c r="J3" s="869"/>
      <c r="K3" s="869"/>
      <c r="L3" s="869"/>
      <c r="M3" s="869"/>
      <c r="N3" s="869"/>
      <c r="O3" s="869"/>
      <c r="P3" s="869"/>
      <c r="Q3" s="869"/>
      <c r="R3" s="869"/>
      <c r="S3" s="869"/>
      <c r="T3" s="869"/>
      <c r="U3" s="869"/>
      <c r="V3" s="869"/>
      <c r="W3" s="869"/>
      <c r="X3" s="869"/>
      <c r="Y3" s="869"/>
      <c r="Z3" s="869"/>
      <c r="AA3" s="869"/>
      <c r="AB3" s="869"/>
      <c r="AC3" s="869"/>
      <c r="AD3" s="869"/>
    </row>
    <row r="4" spans="1:30">
      <c r="A4" s="818" t="s">
        <v>380</v>
      </c>
      <c r="B4" s="818"/>
      <c r="C4" s="818"/>
      <c r="D4" s="818"/>
      <c r="E4" s="818"/>
      <c r="F4" s="818"/>
      <c r="G4" s="818"/>
      <c r="H4" s="818"/>
      <c r="I4" s="818"/>
      <c r="J4" s="818"/>
      <c r="K4" s="818"/>
      <c r="L4" s="818"/>
      <c r="M4" s="818"/>
      <c r="N4" s="818"/>
      <c r="O4" s="818"/>
      <c r="P4" s="818"/>
      <c r="Q4" s="818"/>
      <c r="R4" s="818"/>
      <c r="S4" s="818"/>
      <c r="T4" s="818"/>
      <c r="U4" s="818"/>
      <c r="V4" s="818"/>
      <c r="W4" s="818"/>
      <c r="X4" s="818"/>
      <c r="Y4" s="818"/>
      <c r="Z4" s="818"/>
      <c r="AA4" s="818"/>
      <c r="AB4" s="818"/>
      <c r="AC4" s="818"/>
      <c r="AD4" s="818"/>
    </row>
    <row r="5" spans="1:30">
      <c r="A5" s="818"/>
      <c r="B5" s="818"/>
      <c r="C5" s="818"/>
      <c r="D5" s="818"/>
      <c r="E5" s="818"/>
      <c r="F5" s="818"/>
      <c r="G5" s="818"/>
      <c r="H5" s="818"/>
      <c r="I5" s="818"/>
      <c r="J5" s="818"/>
      <c r="K5" s="818"/>
      <c r="L5" s="818"/>
      <c r="M5" s="818"/>
      <c r="N5" s="818"/>
      <c r="O5" s="818"/>
      <c r="P5" s="818"/>
      <c r="Q5" s="818"/>
      <c r="R5" s="818"/>
      <c r="S5" s="818"/>
      <c r="T5" s="818"/>
      <c r="U5" s="818"/>
      <c r="V5" s="818"/>
      <c r="W5" s="818"/>
      <c r="X5" s="818"/>
      <c r="Y5" s="818"/>
      <c r="Z5" s="818"/>
      <c r="AA5" s="818"/>
      <c r="AB5" s="818"/>
      <c r="AC5" s="818"/>
      <c r="AD5" s="818"/>
    </row>
    <row r="6" spans="1:30">
      <c r="A6" s="818"/>
      <c r="B6" s="818"/>
      <c r="C6" s="818"/>
      <c r="D6" s="818"/>
      <c r="E6" s="818"/>
      <c r="F6" s="818"/>
      <c r="G6" s="818"/>
      <c r="H6" s="818"/>
      <c r="I6" s="818"/>
      <c r="J6" s="818"/>
      <c r="K6" s="818"/>
      <c r="L6" s="818"/>
      <c r="M6" s="818"/>
      <c r="N6" s="818"/>
      <c r="O6" s="818"/>
      <c r="P6" s="818"/>
      <c r="Q6" s="818"/>
      <c r="R6" s="818"/>
      <c r="S6" s="818"/>
      <c r="T6" s="818"/>
      <c r="U6" s="818"/>
      <c r="V6" s="818"/>
      <c r="W6" s="818"/>
      <c r="X6" s="818"/>
      <c r="Y6" s="818"/>
      <c r="Z6" s="818"/>
      <c r="AA6" s="818"/>
      <c r="AB6" s="818"/>
      <c r="AC6" s="818"/>
      <c r="AD6" s="818"/>
    </row>
    <row r="7" spans="1:30" ht="14.25">
      <c r="A7" s="868" t="s">
        <v>307</v>
      </c>
      <c r="B7" s="869"/>
      <c r="C7" s="869"/>
      <c r="D7" s="869"/>
      <c r="E7" s="869"/>
      <c r="F7" s="869"/>
      <c r="G7" s="869"/>
      <c r="H7" s="869"/>
      <c r="I7" s="869"/>
      <c r="J7" s="869"/>
      <c r="K7" s="869"/>
      <c r="L7" s="869"/>
      <c r="M7" s="869"/>
      <c r="N7" s="869"/>
      <c r="O7" s="869"/>
      <c r="P7" s="869"/>
      <c r="Q7" s="869"/>
      <c r="R7" s="869"/>
      <c r="S7" s="869"/>
      <c r="T7" s="869"/>
      <c r="U7" s="869"/>
      <c r="V7" s="869"/>
      <c r="W7" s="869"/>
      <c r="X7" s="869"/>
      <c r="Y7" s="869"/>
      <c r="Z7" s="869"/>
      <c r="AA7" s="869"/>
      <c r="AB7" s="869"/>
      <c r="AC7" s="869"/>
    </row>
    <row r="8" spans="1:30">
      <c r="A8" s="819" t="s">
        <v>381</v>
      </c>
      <c r="B8" s="819"/>
      <c r="C8" s="819"/>
      <c r="D8" s="819"/>
      <c r="E8" s="819"/>
      <c r="F8" s="819"/>
      <c r="G8" s="819"/>
      <c r="H8" s="819"/>
      <c r="I8" s="819"/>
      <c r="J8" s="819"/>
      <c r="K8" s="819"/>
      <c r="L8" s="819"/>
      <c r="M8" s="819"/>
      <c r="N8" s="819"/>
      <c r="O8" s="819"/>
      <c r="P8" s="819"/>
      <c r="Q8" s="819"/>
      <c r="R8" s="819"/>
      <c r="S8" s="819"/>
      <c r="T8" s="819"/>
      <c r="U8" s="819"/>
      <c r="V8" s="819"/>
      <c r="W8" s="819"/>
      <c r="X8" s="819"/>
      <c r="Y8" s="819"/>
      <c r="Z8" s="819"/>
      <c r="AA8" s="819"/>
      <c r="AB8" s="819"/>
      <c r="AC8" s="819"/>
    </row>
    <row r="9" spans="1:30">
      <c r="A9" s="819"/>
      <c r="B9" s="819"/>
      <c r="C9" s="819"/>
      <c r="D9" s="819"/>
      <c r="E9" s="819"/>
      <c r="F9" s="819"/>
      <c r="G9" s="819"/>
      <c r="H9" s="819"/>
      <c r="I9" s="819"/>
      <c r="J9" s="819"/>
      <c r="K9" s="819"/>
      <c r="L9" s="819"/>
      <c r="M9" s="819"/>
      <c r="N9" s="819"/>
      <c r="O9" s="819"/>
      <c r="P9" s="819"/>
      <c r="Q9" s="819"/>
      <c r="R9" s="819"/>
      <c r="S9" s="819"/>
      <c r="T9" s="819"/>
      <c r="U9" s="819"/>
      <c r="V9" s="819"/>
      <c r="W9" s="819"/>
      <c r="X9" s="819"/>
      <c r="Y9" s="819"/>
      <c r="Z9" s="819"/>
      <c r="AA9" s="819"/>
      <c r="AB9" s="819"/>
      <c r="AC9" s="819"/>
    </row>
    <row r="10" spans="1:30">
      <c r="A10" s="819"/>
      <c r="B10" s="819"/>
      <c r="C10" s="819"/>
      <c r="D10" s="819"/>
      <c r="E10" s="819"/>
      <c r="F10" s="819"/>
      <c r="G10" s="819"/>
      <c r="H10" s="819"/>
      <c r="I10" s="819"/>
      <c r="J10" s="819"/>
      <c r="K10" s="819"/>
      <c r="L10" s="819"/>
      <c r="M10" s="819"/>
      <c r="N10" s="819"/>
      <c r="O10" s="819"/>
      <c r="P10" s="819"/>
      <c r="Q10" s="819"/>
      <c r="R10" s="819"/>
      <c r="S10" s="819"/>
      <c r="T10" s="819"/>
      <c r="U10" s="819"/>
      <c r="V10" s="819"/>
      <c r="W10" s="819"/>
      <c r="X10" s="819"/>
      <c r="Y10" s="819"/>
      <c r="Z10" s="819"/>
      <c r="AA10" s="819"/>
      <c r="AB10" s="819"/>
      <c r="AC10" s="819"/>
    </row>
    <row r="11" spans="1:30" ht="14.25">
      <c r="A11" s="868" t="s">
        <v>308</v>
      </c>
      <c r="B11" s="869"/>
      <c r="C11" s="869"/>
      <c r="D11" s="869"/>
      <c r="E11" s="869"/>
      <c r="F11" s="869"/>
      <c r="G11" s="869"/>
      <c r="H11" s="869"/>
      <c r="I11" s="869"/>
      <c r="J11" s="869"/>
      <c r="K11" s="869"/>
      <c r="L11" s="869"/>
      <c r="M11" s="869"/>
      <c r="N11" s="869"/>
      <c r="O11" s="869"/>
      <c r="P11" s="869"/>
      <c r="Q11" s="869"/>
      <c r="R11" s="869"/>
      <c r="S11" s="869"/>
      <c r="T11" s="869"/>
      <c r="U11" s="869"/>
      <c r="V11" s="869"/>
      <c r="W11" s="869"/>
      <c r="X11" s="869"/>
      <c r="Y11" s="869"/>
      <c r="Z11" s="869"/>
      <c r="AA11" s="869"/>
      <c r="AB11" s="869"/>
      <c r="AC11" s="869"/>
    </row>
    <row r="12" spans="1:30">
      <c r="A12" s="819" t="s">
        <v>382</v>
      </c>
      <c r="B12" s="819"/>
      <c r="C12" s="819"/>
      <c r="D12" s="819"/>
      <c r="E12" s="819"/>
      <c r="F12" s="819"/>
      <c r="G12" s="819"/>
      <c r="H12" s="819"/>
      <c r="I12" s="819"/>
      <c r="J12" s="819"/>
      <c r="K12" s="819"/>
      <c r="L12" s="819"/>
      <c r="M12" s="819"/>
      <c r="N12" s="819"/>
      <c r="O12" s="819"/>
      <c r="P12" s="819"/>
      <c r="Q12" s="819"/>
      <c r="R12" s="819"/>
      <c r="S12" s="819"/>
      <c r="T12" s="819"/>
      <c r="U12" s="819"/>
      <c r="V12" s="819"/>
      <c r="W12" s="819"/>
      <c r="X12" s="819"/>
      <c r="Y12" s="819"/>
      <c r="Z12" s="819"/>
      <c r="AA12" s="819"/>
      <c r="AB12" s="819"/>
      <c r="AC12" s="819"/>
    </row>
    <row r="13" spans="1:30">
      <c r="A13" s="819"/>
      <c r="B13" s="819"/>
      <c r="C13" s="819"/>
      <c r="D13" s="819"/>
      <c r="E13" s="819"/>
      <c r="F13" s="819"/>
      <c r="G13" s="819"/>
      <c r="H13" s="819"/>
      <c r="I13" s="819"/>
      <c r="J13" s="819"/>
      <c r="K13" s="819"/>
      <c r="L13" s="819"/>
      <c r="M13" s="819"/>
      <c r="N13" s="819"/>
      <c r="O13" s="819"/>
      <c r="P13" s="819"/>
      <c r="Q13" s="819"/>
      <c r="R13" s="819"/>
      <c r="S13" s="819"/>
      <c r="T13" s="819"/>
      <c r="U13" s="819"/>
      <c r="V13" s="819"/>
      <c r="W13" s="819"/>
      <c r="X13" s="819"/>
      <c r="Y13" s="819"/>
      <c r="Z13" s="819"/>
      <c r="AA13" s="819"/>
      <c r="AB13" s="819"/>
      <c r="AC13" s="819"/>
    </row>
    <row r="14" spans="1:30" ht="12.75" customHeight="1">
      <c r="A14" s="819"/>
      <c r="B14" s="819"/>
      <c r="C14" s="819"/>
      <c r="D14" s="819"/>
      <c r="E14" s="819"/>
      <c r="F14" s="819"/>
      <c r="G14" s="819"/>
      <c r="H14" s="819"/>
      <c r="I14" s="819"/>
      <c r="J14" s="819"/>
      <c r="K14" s="819"/>
      <c r="L14" s="819"/>
      <c r="M14" s="819"/>
      <c r="N14" s="819"/>
      <c r="O14" s="819"/>
      <c r="P14" s="819"/>
      <c r="Q14" s="819"/>
      <c r="R14" s="819"/>
      <c r="S14" s="819"/>
      <c r="T14" s="819"/>
      <c r="U14" s="819"/>
      <c r="V14" s="819"/>
      <c r="W14" s="819"/>
      <c r="X14" s="819"/>
      <c r="Y14" s="819"/>
      <c r="Z14" s="819"/>
      <c r="AA14" s="819"/>
      <c r="AB14" s="819"/>
      <c r="AC14" s="819"/>
    </row>
    <row r="15" spans="1:30" ht="14.25">
      <c r="A15" s="868" t="s">
        <v>215</v>
      </c>
      <c r="B15" s="869"/>
      <c r="C15" s="869"/>
      <c r="D15" s="869"/>
      <c r="E15" s="869"/>
      <c r="F15" s="869"/>
      <c r="G15" s="869"/>
      <c r="H15" s="869"/>
      <c r="I15" s="869"/>
      <c r="J15" s="869"/>
      <c r="K15" s="869"/>
      <c r="L15" s="869"/>
      <c r="M15" s="869"/>
      <c r="N15" s="869"/>
      <c r="O15" s="869"/>
      <c r="P15" s="869"/>
      <c r="Q15" s="869"/>
      <c r="R15" s="869"/>
      <c r="S15" s="869"/>
      <c r="T15" s="869"/>
      <c r="U15" s="869"/>
      <c r="V15" s="869"/>
      <c r="W15" s="869"/>
      <c r="X15" s="869"/>
      <c r="Y15" s="869"/>
      <c r="Z15" s="869"/>
      <c r="AA15" s="869"/>
      <c r="AB15" s="869"/>
      <c r="AC15" s="869"/>
    </row>
    <row r="16" spans="1:30">
      <c r="A16" s="820" t="s">
        <v>383</v>
      </c>
      <c r="B16" s="819"/>
      <c r="C16" s="819"/>
      <c r="D16" s="819"/>
      <c r="E16" s="819"/>
      <c r="F16" s="819"/>
      <c r="G16" s="819"/>
      <c r="H16" s="819"/>
      <c r="I16" s="819"/>
      <c r="J16" s="819"/>
      <c r="K16" s="819"/>
      <c r="L16" s="819"/>
      <c r="M16" s="819"/>
      <c r="N16" s="819"/>
      <c r="O16" s="819"/>
      <c r="P16" s="819"/>
      <c r="Q16" s="819"/>
      <c r="R16" s="819"/>
      <c r="S16" s="819"/>
      <c r="T16" s="819"/>
      <c r="U16" s="819"/>
      <c r="V16" s="819"/>
      <c r="W16" s="819"/>
      <c r="X16" s="819"/>
      <c r="Y16" s="819"/>
      <c r="Z16" s="819"/>
      <c r="AA16" s="819"/>
      <c r="AB16" s="819"/>
      <c r="AC16" s="819"/>
    </row>
    <row r="17" spans="1:31">
      <c r="A17" s="819"/>
      <c r="B17" s="819"/>
      <c r="C17" s="819"/>
      <c r="D17" s="819"/>
      <c r="E17" s="819"/>
      <c r="F17" s="819"/>
      <c r="G17" s="819"/>
      <c r="H17" s="819"/>
      <c r="I17" s="819"/>
      <c r="J17" s="819"/>
      <c r="K17" s="819"/>
      <c r="L17" s="819"/>
      <c r="M17" s="819"/>
      <c r="N17" s="819"/>
      <c r="O17" s="819"/>
      <c r="P17" s="819"/>
      <c r="Q17" s="819"/>
      <c r="R17" s="819"/>
      <c r="S17" s="819"/>
      <c r="T17" s="819"/>
      <c r="U17" s="819"/>
      <c r="V17" s="819"/>
      <c r="W17" s="819"/>
      <c r="X17" s="819"/>
      <c r="Y17" s="819"/>
      <c r="Z17" s="819"/>
      <c r="AA17" s="819"/>
      <c r="AB17" s="819"/>
      <c r="AC17" s="819"/>
    </row>
    <row r="18" spans="1:31" ht="12.75" customHeight="1">
      <c r="A18" s="819"/>
      <c r="B18" s="819"/>
      <c r="C18" s="819"/>
      <c r="D18" s="819"/>
      <c r="E18" s="819"/>
      <c r="F18" s="819"/>
      <c r="G18" s="819"/>
      <c r="H18" s="819"/>
      <c r="I18" s="819"/>
      <c r="J18" s="819"/>
      <c r="K18" s="819"/>
      <c r="L18" s="819"/>
      <c r="M18" s="819"/>
      <c r="N18" s="819"/>
      <c r="O18" s="819"/>
      <c r="P18" s="819"/>
      <c r="Q18" s="819"/>
      <c r="R18" s="819"/>
      <c r="S18" s="819"/>
      <c r="T18" s="819"/>
      <c r="U18" s="819"/>
      <c r="V18" s="819"/>
      <c r="W18" s="819"/>
      <c r="X18" s="819"/>
      <c r="Y18" s="819"/>
      <c r="Z18" s="819"/>
      <c r="AA18" s="819"/>
      <c r="AB18" s="819"/>
      <c r="AC18" s="819"/>
    </row>
    <row r="19" spans="1:31" ht="24" customHeight="1">
      <c r="A19" s="821" t="s">
        <v>384</v>
      </c>
      <c r="B19" s="822"/>
      <c r="C19" s="870" t="s">
        <v>385</v>
      </c>
      <c r="D19" s="870"/>
      <c r="E19" s="870"/>
      <c r="F19" s="870"/>
      <c r="G19" s="870"/>
      <c r="H19" s="870"/>
      <c r="I19" s="837" t="s">
        <v>386</v>
      </c>
      <c r="J19" s="521"/>
      <c r="K19" s="521"/>
      <c r="L19" s="521"/>
      <c r="M19" s="521"/>
      <c r="N19" s="521"/>
      <c r="O19" s="521"/>
      <c r="P19" s="521"/>
      <c r="Q19" s="521"/>
      <c r="R19" s="521"/>
      <c r="S19" s="521"/>
      <c r="T19" s="521"/>
      <c r="U19" s="521"/>
      <c r="V19" s="521"/>
      <c r="W19" s="521"/>
      <c r="X19" s="521"/>
      <c r="Y19" s="521"/>
      <c r="Z19" s="521"/>
      <c r="AA19" s="521"/>
      <c r="AB19" s="521"/>
      <c r="AC19" s="521"/>
      <c r="AD19" s="521"/>
      <c r="AE19" s="521"/>
    </row>
    <row r="20" spans="1:31" ht="12.75" customHeight="1">
      <c r="A20" s="823"/>
      <c r="B20" s="824"/>
      <c r="C20" s="490" t="s">
        <v>387</v>
      </c>
      <c r="D20" s="491" t="s">
        <v>388</v>
      </c>
      <c r="E20" s="491" t="s">
        <v>389</v>
      </c>
      <c r="F20" s="492" t="s">
        <v>390</v>
      </c>
      <c r="G20" s="493" t="s">
        <v>391</v>
      </c>
      <c r="H20" s="492" t="s">
        <v>392</v>
      </c>
      <c r="I20" s="838"/>
      <c r="J20" s="521"/>
      <c r="K20" s="521"/>
      <c r="L20" s="521"/>
      <c r="M20" s="521"/>
      <c r="N20" s="521"/>
      <c r="O20" s="521"/>
      <c r="P20" s="521"/>
      <c r="Q20" s="521"/>
      <c r="R20" s="521"/>
      <c r="S20" s="521"/>
      <c r="T20" s="521"/>
      <c r="U20" s="521"/>
      <c r="V20" s="521"/>
      <c r="W20" s="521"/>
      <c r="X20" s="521"/>
      <c r="Y20" s="521"/>
      <c r="Z20" s="521"/>
      <c r="AA20" s="521"/>
      <c r="AB20" s="521"/>
      <c r="AC20" s="521"/>
      <c r="AD20" s="521"/>
      <c r="AE20" s="521"/>
    </row>
    <row r="21" spans="1:31" ht="12.75" customHeight="1">
      <c r="A21" s="825">
        <v>2.9000000000000001E-2</v>
      </c>
      <c r="B21" s="826"/>
      <c r="C21" s="494">
        <v>0.94899999999999995</v>
      </c>
      <c r="D21" s="495">
        <v>3.3300000000000003E-2</v>
      </c>
      <c r="E21" s="496">
        <v>3.3300000000000003E-2</v>
      </c>
      <c r="F21" s="496">
        <v>0.80420000000000003</v>
      </c>
      <c r="G21" s="497">
        <f>1-SUM(D21:F21)</f>
        <v>0.12919999999999998</v>
      </c>
      <c r="H21" s="498">
        <v>59</v>
      </c>
      <c r="I21" s="839">
        <f>1-SUM(A21,C21,C24,C27)</f>
        <v>2.200000000000002E-2</v>
      </c>
      <c r="J21" s="521"/>
      <c r="K21" s="521"/>
      <c r="L21" s="521"/>
      <c r="M21" s="521"/>
      <c r="N21" s="521"/>
      <c r="O21" s="521"/>
      <c r="P21" s="521"/>
      <c r="Q21" s="521"/>
      <c r="R21" s="521"/>
      <c r="S21" s="521"/>
      <c r="T21" s="521"/>
      <c r="U21" s="521"/>
      <c r="V21" s="521"/>
      <c r="W21" s="521"/>
      <c r="X21" s="521"/>
      <c r="Y21" s="521"/>
      <c r="Z21" s="521"/>
      <c r="AA21" s="521"/>
      <c r="AB21" s="521"/>
      <c r="AC21" s="521"/>
      <c r="AD21" s="521"/>
      <c r="AE21" s="521"/>
    </row>
    <row r="22" spans="1:31" ht="12.75" customHeight="1">
      <c r="A22" s="827"/>
      <c r="B22" s="828"/>
      <c r="C22" s="864" t="s">
        <v>393</v>
      </c>
      <c r="D22" s="865"/>
      <c r="E22" s="865"/>
      <c r="F22" s="865"/>
      <c r="G22" s="865"/>
      <c r="H22" s="866"/>
      <c r="I22" s="840"/>
      <c r="J22" s="521"/>
      <c r="K22" s="521"/>
      <c r="L22" s="521"/>
      <c r="M22" s="521"/>
      <c r="N22" s="521"/>
      <c r="O22" s="521"/>
      <c r="P22" s="521"/>
      <c r="Q22" s="521"/>
      <c r="R22" s="521"/>
      <c r="S22" s="521"/>
      <c r="T22" s="521"/>
      <c r="U22" s="521"/>
      <c r="V22" s="521"/>
      <c r="W22" s="521"/>
      <c r="X22" s="521"/>
      <c r="Y22" s="521"/>
      <c r="Z22" s="521"/>
      <c r="AA22" s="521"/>
      <c r="AB22" s="521"/>
      <c r="AC22" s="521"/>
      <c r="AD22" s="521"/>
      <c r="AE22" s="521"/>
    </row>
    <row r="23" spans="1:31" ht="12.75" customHeight="1">
      <c r="A23" s="827"/>
      <c r="B23" s="828"/>
      <c r="C23" s="490" t="s">
        <v>387</v>
      </c>
      <c r="D23" s="499" t="s">
        <v>388</v>
      </c>
      <c r="E23" s="500" t="s">
        <v>389</v>
      </c>
      <c r="F23" s="501" t="s">
        <v>390</v>
      </c>
      <c r="G23" s="502" t="s">
        <v>391</v>
      </c>
      <c r="H23" s="492" t="s">
        <v>392</v>
      </c>
      <c r="I23" s="840"/>
      <c r="J23" s="521"/>
      <c r="K23" s="521"/>
      <c r="L23" s="521"/>
      <c r="M23" s="521"/>
      <c r="N23" s="521"/>
      <c r="O23" s="521"/>
      <c r="P23" s="521"/>
      <c r="Q23" s="521"/>
      <c r="R23" s="521"/>
      <c r="S23" s="521"/>
      <c r="T23" s="521"/>
      <c r="U23" s="521"/>
      <c r="V23" s="521"/>
      <c r="W23" s="521"/>
      <c r="X23" s="521"/>
      <c r="Y23" s="521"/>
      <c r="Z23" s="521"/>
      <c r="AA23" s="521"/>
      <c r="AB23" s="521"/>
      <c r="AC23" s="521"/>
      <c r="AD23" s="521"/>
      <c r="AE23" s="521"/>
    </row>
    <row r="24" spans="1:31" ht="12.75" customHeight="1">
      <c r="A24" s="827"/>
      <c r="B24" s="828"/>
      <c r="C24" s="503">
        <v>0</v>
      </c>
      <c r="D24" s="504">
        <v>0</v>
      </c>
      <c r="E24" s="505">
        <v>0</v>
      </c>
      <c r="F24" s="505">
        <v>0</v>
      </c>
      <c r="G24" s="506">
        <f>1-SUM(D24:F24)</f>
        <v>1</v>
      </c>
      <c r="H24" s="498">
        <v>0</v>
      </c>
      <c r="I24" s="840"/>
      <c r="J24" s="521"/>
      <c r="K24" s="521"/>
      <c r="L24" s="521"/>
      <c r="M24" s="521"/>
      <c r="N24" s="521"/>
      <c r="O24" s="521"/>
      <c r="P24" s="521"/>
      <c r="Q24" s="521"/>
      <c r="R24" s="521"/>
      <c r="S24" s="521"/>
      <c r="T24" s="521"/>
      <c r="U24" s="521"/>
      <c r="V24" s="521"/>
      <c r="W24" s="521"/>
      <c r="X24" s="521"/>
      <c r="Y24" s="521"/>
      <c r="Z24" s="521"/>
      <c r="AA24" s="521"/>
      <c r="AB24" s="521"/>
      <c r="AC24" s="521"/>
      <c r="AD24" s="521"/>
      <c r="AE24" s="521"/>
    </row>
    <row r="25" spans="1:31" ht="12.75" customHeight="1">
      <c r="A25" s="827"/>
      <c r="B25" s="828"/>
      <c r="C25" s="864" t="s">
        <v>394</v>
      </c>
      <c r="D25" s="865"/>
      <c r="E25" s="865"/>
      <c r="F25" s="865"/>
      <c r="G25" s="865"/>
      <c r="H25" s="866"/>
      <c r="I25" s="840"/>
      <c r="J25" s="521"/>
      <c r="K25" s="521"/>
      <c r="L25" s="521"/>
      <c r="M25" s="521"/>
      <c r="N25" s="521"/>
      <c r="O25" s="521"/>
      <c r="P25" s="521"/>
      <c r="Q25" s="521"/>
      <c r="R25" s="521"/>
      <c r="S25" s="521"/>
      <c r="T25" s="521"/>
      <c r="U25" s="521"/>
      <c r="V25" s="521"/>
      <c r="W25" s="521"/>
      <c r="X25" s="521"/>
      <c r="Y25" s="521"/>
      <c r="Z25" s="521"/>
      <c r="AA25" s="521"/>
      <c r="AB25" s="521"/>
      <c r="AC25" s="521"/>
      <c r="AD25" s="521"/>
      <c r="AE25" s="521"/>
    </row>
    <row r="26" spans="1:31" ht="12.75" customHeight="1">
      <c r="A26" s="827"/>
      <c r="B26" s="828"/>
      <c r="C26" s="490" t="s">
        <v>387</v>
      </c>
      <c r="D26" s="499" t="s">
        <v>388</v>
      </c>
      <c r="E26" s="500" t="s">
        <v>389</v>
      </c>
      <c r="F26" s="501" t="s">
        <v>390</v>
      </c>
      <c r="G26" s="502" t="s">
        <v>391</v>
      </c>
      <c r="H26" s="492" t="s">
        <v>392</v>
      </c>
      <c r="I26" s="840"/>
      <c r="J26" s="521"/>
      <c r="K26" s="521"/>
      <c r="L26" s="521"/>
      <c r="M26" s="521"/>
      <c r="N26" s="521"/>
      <c r="O26" s="521"/>
      <c r="P26" s="521"/>
      <c r="Q26" s="521"/>
      <c r="R26" s="521"/>
      <c r="S26" s="521"/>
      <c r="T26" s="521"/>
      <c r="U26" s="521"/>
      <c r="V26" s="521"/>
      <c r="W26" s="521"/>
      <c r="X26" s="521"/>
      <c r="Y26" s="521"/>
      <c r="Z26" s="521"/>
      <c r="AA26" s="521"/>
      <c r="AB26" s="521"/>
      <c r="AC26" s="521"/>
      <c r="AD26" s="521"/>
      <c r="AE26" s="521"/>
    </row>
    <row r="27" spans="1:31" ht="12.75" customHeight="1">
      <c r="A27" s="829"/>
      <c r="B27" s="830"/>
      <c r="C27" s="503">
        <v>0</v>
      </c>
      <c r="D27" s="504">
        <v>0.14000000000000001</v>
      </c>
      <c r="E27" s="505">
        <v>0.1</v>
      </c>
      <c r="F27" s="505">
        <v>0.3</v>
      </c>
      <c r="G27" s="506">
        <f>1-SUM(D27:F27)</f>
        <v>0.45999999999999996</v>
      </c>
      <c r="H27" s="498">
        <v>0</v>
      </c>
      <c r="I27" s="841"/>
      <c r="J27" s="521"/>
      <c r="K27" s="521"/>
      <c r="L27" s="521"/>
      <c r="M27" s="521"/>
      <c r="N27" s="521"/>
      <c r="O27" s="521"/>
      <c r="P27" s="521"/>
      <c r="Q27" s="521"/>
      <c r="R27" s="521"/>
      <c r="S27" s="521"/>
      <c r="T27" s="521"/>
      <c r="U27" s="521"/>
      <c r="V27" s="521"/>
      <c r="W27" s="521"/>
      <c r="X27" s="521"/>
      <c r="Y27" s="521"/>
      <c r="Z27" s="521"/>
      <c r="AA27" s="521"/>
      <c r="AB27" s="521"/>
      <c r="AC27" s="521"/>
      <c r="AD27" s="521"/>
      <c r="AE27" s="521"/>
    </row>
    <row r="29" spans="1:31" ht="14.25">
      <c r="A29" s="489" t="s">
        <v>395</v>
      </c>
      <c r="B29" s="489" t="s">
        <v>396</v>
      </c>
      <c r="C29" s="489"/>
      <c r="D29" s="489"/>
      <c r="E29" s="489"/>
      <c r="F29" s="489"/>
      <c r="G29" s="489"/>
      <c r="H29" s="489"/>
      <c r="I29" s="489"/>
      <c r="J29" s="489"/>
      <c r="K29" s="489"/>
      <c r="L29" s="489"/>
      <c r="M29" s="489"/>
      <c r="N29" s="489"/>
      <c r="O29" s="489"/>
      <c r="P29" s="489"/>
      <c r="Q29" s="489"/>
      <c r="R29" s="489"/>
      <c r="S29" s="489"/>
      <c r="T29" s="489"/>
      <c r="U29" s="489"/>
      <c r="V29" s="489"/>
      <c r="W29" s="489"/>
      <c r="X29" s="489"/>
      <c r="Y29" s="489"/>
      <c r="Z29" s="489"/>
      <c r="AA29" s="489"/>
    </row>
    <row r="30" spans="1:31" ht="14.25">
      <c r="B30" s="403" t="s">
        <v>397</v>
      </c>
      <c r="C30" s="403"/>
      <c r="D30" s="404"/>
      <c r="E30" s="867"/>
      <c r="F30" s="867"/>
      <c r="G30" s="867"/>
      <c r="H30" s="867"/>
      <c r="I30" s="867"/>
      <c r="J30" s="867"/>
      <c r="K30" s="403" t="s">
        <v>398</v>
      </c>
      <c r="L30" s="403"/>
      <c r="M30" s="403"/>
      <c r="N30" s="867" t="s">
        <v>399</v>
      </c>
      <c r="O30" s="867"/>
      <c r="P30" s="867"/>
      <c r="Q30" s="867"/>
      <c r="R30" s="867"/>
      <c r="S30" s="867"/>
      <c r="T30" s="867"/>
      <c r="U30" s="867"/>
      <c r="V30" s="403" t="s">
        <v>400</v>
      </c>
      <c r="W30" s="867" t="s">
        <v>401</v>
      </c>
      <c r="X30" s="867"/>
      <c r="Y30" s="867"/>
      <c r="Z30" s="867"/>
      <c r="AA30" s="403"/>
    </row>
    <row r="31" spans="1:31" ht="14.25">
      <c r="A31" s="831"/>
      <c r="B31" s="862" t="s">
        <v>402</v>
      </c>
      <c r="C31" s="863"/>
      <c r="D31" s="863"/>
      <c r="E31" s="863"/>
      <c r="F31" s="863"/>
      <c r="G31" s="863"/>
      <c r="H31" s="863"/>
      <c r="I31" s="863"/>
      <c r="J31" s="863"/>
      <c r="K31" s="810"/>
      <c r="V31" s="530"/>
      <c r="AA31" s="403"/>
    </row>
    <row r="32" spans="1:31" ht="14.25">
      <c r="A32" s="811"/>
      <c r="B32" s="406" t="s">
        <v>384</v>
      </c>
      <c r="C32" s="849" t="s">
        <v>308</v>
      </c>
      <c r="D32" s="849"/>
      <c r="E32" s="850" t="s">
        <v>309</v>
      </c>
      <c r="F32" s="851"/>
      <c r="G32" s="850" t="s">
        <v>403</v>
      </c>
      <c r="H32" s="851"/>
      <c r="I32" s="852" t="s">
        <v>215</v>
      </c>
      <c r="J32" s="849"/>
      <c r="K32" s="811"/>
      <c r="L32" s="853" t="s">
        <v>404</v>
      </c>
      <c r="M32" s="854"/>
      <c r="N32" s="854"/>
      <c r="O32" s="854"/>
      <c r="P32" s="854"/>
      <c r="Q32" s="854"/>
      <c r="R32" s="854"/>
      <c r="S32" s="854"/>
      <c r="T32" s="854"/>
      <c r="U32" s="854"/>
      <c r="V32" s="475"/>
      <c r="W32" s="855" t="s">
        <v>405</v>
      </c>
      <c r="X32" s="856"/>
      <c r="Y32" s="856"/>
      <c r="Z32" s="857"/>
      <c r="AA32" s="403"/>
    </row>
    <row r="33" spans="1:27" ht="16.5">
      <c r="A33" s="811"/>
      <c r="B33" s="406"/>
      <c r="C33" s="410">
        <v>0.05</v>
      </c>
      <c r="D33" s="411">
        <v>1.6E-2</v>
      </c>
      <c r="E33" s="410">
        <v>0.15</v>
      </c>
      <c r="F33" s="411">
        <v>4.8899999999999999E-2</v>
      </c>
      <c r="G33" s="412">
        <v>0.01</v>
      </c>
      <c r="H33" s="507">
        <v>0.22</v>
      </c>
      <c r="I33" s="508"/>
      <c r="J33" s="411"/>
      <c r="K33" s="811"/>
      <c r="L33" s="814" t="s">
        <v>406</v>
      </c>
      <c r="M33" s="816" t="s">
        <v>407</v>
      </c>
      <c r="N33" s="858" t="s">
        <v>308</v>
      </c>
      <c r="O33" s="859"/>
      <c r="P33" s="860" t="s">
        <v>309</v>
      </c>
      <c r="Q33" s="861"/>
      <c r="R33" s="860" t="s">
        <v>408</v>
      </c>
      <c r="S33" s="861"/>
      <c r="T33" s="860" t="s">
        <v>215</v>
      </c>
      <c r="U33" s="861"/>
      <c r="V33" s="475"/>
      <c r="W33" s="476" t="s">
        <v>308</v>
      </c>
      <c r="X33" s="476" t="s">
        <v>309</v>
      </c>
      <c r="Y33" s="476" t="s">
        <v>408</v>
      </c>
      <c r="Z33" s="476" t="s">
        <v>215</v>
      </c>
      <c r="AA33" s="403"/>
    </row>
    <row r="34" spans="1:27" ht="14.25">
      <c r="A34" s="811"/>
      <c r="B34" s="406"/>
      <c r="C34" s="508"/>
      <c r="D34" s="415"/>
      <c r="E34" s="508"/>
      <c r="F34" s="415"/>
      <c r="G34" s="508"/>
      <c r="H34" s="415"/>
      <c r="I34" s="508"/>
      <c r="J34" s="415"/>
      <c r="K34" s="811"/>
      <c r="L34" s="815"/>
      <c r="M34" s="817"/>
      <c r="N34" s="446" t="s">
        <v>409</v>
      </c>
      <c r="O34" s="447" t="s">
        <v>410</v>
      </c>
      <c r="P34" s="446" t="s">
        <v>409</v>
      </c>
      <c r="Q34" s="447" t="s">
        <v>410</v>
      </c>
      <c r="R34" s="446" t="s">
        <v>409</v>
      </c>
      <c r="S34" s="447" t="s">
        <v>410</v>
      </c>
      <c r="T34" s="446" t="s">
        <v>409</v>
      </c>
      <c r="U34" s="447" t="s">
        <v>410</v>
      </c>
      <c r="V34" s="475"/>
      <c r="W34" s="478">
        <f>SUM(N35,O35)+SUM(N36,O36)*H21/SUM(H21,H24,H27)+SUM(N38,O38)*H24/SUM(H21,H24,H27)+SUM(N40,O40)*H27/SUM(H21,H24,H27)+SUM(N42,O42)</f>
        <v>0.44733000000000006</v>
      </c>
      <c r="X34" s="478">
        <f>1/(SUM(P35,Q35)+1/SUM(P36,Q36)*C21+1/SUM(P38,Q38)*C24+1/SUM(P40,Q40)*C27+SUM(P42,Q42))</f>
        <v>1.9677733058130773</v>
      </c>
      <c r="Y34" s="485">
        <f>A21*SUM(R35,S35)+C21*SUM(R36,S36)+C24*SUM(R38,S38)+C27*SUM(R40,S40)+I21*SUM(R42,S42)</f>
        <v>-0.11014810020000002</v>
      </c>
      <c r="Z34" s="485">
        <f>SUM(T36,U36)*$H$21/SUM($H$21,$H$24,$H$27)+SUM(T38,U38)*$H$24/SUM($H$21,$H$24,$H$27)+SUM(T40,U40)*$H$27/SUM($H$21,$H$24,$H$27)</f>
        <v>2.7569212084800003E-2</v>
      </c>
      <c r="AA34" s="403"/>
    </row>
    <row r="35" spans="1:27" ht="14.25">
      <c r="A35" s="811"/>
      <c r="B35" s="406" t="s">
        <v>411</v>
      </c>
      <c r="C35" s="407"/>
      <c r="D35" s="407"/>
      <c r="E35" s="407"/>
      <c r="F35" s="407"/>
      <c r="G35" s="407"/>
      <c r="H35" s="407"/>
      <c r="I35" s="407"/>
      <c r="J35" s="407"/>
      <c r="K35" s="811"/>
      <c r="L35" s="445" t="s">
        <v>384</v>
      </c>
      <c r="M35" s="522"/>
      <c r="N35" s="453">
        <f>IF(O35=0,C33,0)</f>
        <v>0</v>
      </c>
      <c r="O35" s="523">
        <v>6.7799999999999999E-2</v>
      </c>
      <c r="P35" s="453">
        <f>IF(Q35=0,E33,0)</f>
        <v>0</v>
      </c>
      <c r="Q35" s="523">
        <v>9.4399999999999998E-2</v>
      </c>
      <c r="R35" s="453">
        <f>IF(S35=0,G33,0)</f>
        <v>0</v>
      </c>
      <c r="S35" s="454">
        <v>0.15478</v>
      </c>
      <c r="T35" s="531"/>
      <c r="U35" s="531"/>
      <c r="V35" s="532"/>
      <c r="W35" s="479"/>
      <c r="X35" s="479"/>
      <c r="Y35" s="486"/>
      <c r="Z35" s="485">
        <f>SUM(T37,U37)*$H$21/SUM($H$21,$H$24,$H$27)+SUM(T39,U39)*$H$24/SUM($H$21,$H$24,$H$27)+SUM(T41,U41)*$H$27/SUM($H$21,$H$24,$H$27)</f>
        <v>2.7976706286992004E-2</v>
      </c>
      <c r="AA35" s="403"/>
    </row>
    <row r="36" spans="1:27" ht="14.25" outlineLevel="2">
      <c r="A36" s="811"/>
      <c r="B36" s="833" t="s">
        <v>385</v>
      </c>
      <c r="C36" s="407"/>
      <c r="D36" s="407"/>
      <c r="E36" s="407"/>
      <c r="F36" s="407"/>
      <c r="G36" s="407"/>
      <c r="H36" s="407"/>
      <c r="I36" s="407"/>
      <c r="J36" s="407"/>
      <c r="K36" s="811"/>
      <c r="L36" s="524" t="s">
        <v>412</v>
      </c>
      <c r="M36" s="522"/>
      <c r="N36" s="453">
        <f>IF(O36=0,C38,0)</f>
        <v>0</v>
      </c>
      <c r="O36" s="454">
        <v>0.35593000000000002</v>
      </c>
      <c r="P36" s="453">
        <f>IF(Q36=0,E38,0)</f>
        <v>0</v>
      </c>
      <c r="Q36" s="454">
        <v>2.4428000000000001</v>
      </c>
      <c r="R36" s="453">
        <f>IF(S36=0,G38,0)</f>
        <v>0</v>
      </c>
      <c r="S36" s="454">
        <v>-0.1154898</v>
      </c>
      <c r="T36" s="453">
        <f>IF(U36=0,I38,0)</f>
        <v>2.7569212084800003E-2</v>
      </c>
      <c r="U36" s="454">
        <v>0</v>
      </c>
      <c r="V36" s="532"/>
      <c r="W36" s="480"/>
      <c r="X36" s="480"/>
      <c r="Y36" s="488"/>
      <c r="Z36" s="488"/>
      <c r="AA36" s="403"/>
    </row>
    <row r="37" spans="1:27" ht="14.25" outlineLevel="2">
      <c r="A37" s="811"/>
      <c r="B37" s="834"/>
      <c r="C37" s="849" t="s">
        <v>357</v>
      </c>
      <c r="D37" s="849"/>
      <c r="E37" s="850" t="s">
        <v>338</v>
      </c>
      <c r="F37" s="851"/>
      <c r="G37" s="850" t="s">
        <v>413</v>
      </c>
      <c r="H37" s="851"/>
      <c r="I37" s="852" t="s">
        <v>414</v>
      </c>
      <c r="J37" s="849"/>
      <c r="K37" s="811"/>
      <c r="L37" s="451"/>
      <c r="M37" s="522"/>
      <c r="T37" s="453">
        <f>IF(U37=0,I39,0)</f>
        <v>2.7976706286992004E-2</v>
      </c>
      <c r="U37" s="454">
        <v>0</v>
      </c>
      <c r="V37" s="475"/>
      <c r="W37" s="403"/>
      <c r="X37" s="403"/>
      <c r="Y37" s="403"/>
      <c r="Z37" s="403"/>
      <c r="AA37" s="403"/>
    </row>
    <row r="38" spans="1:27" ht="14.25" outlineLevel="2">
      <c r="A38" s="832"/>
      <c r="B38" s="835"/>
      <c r="C38" s="508">
        <f>迭代模型!$W$26</f>
        <v>0.40902554000000002</v>
      </c>
      <c r="D38" s="411"/>
      <c r="E38" s="508">
        <f>迭代模型!$X$26</f>
        <v>0.33032322000000003</v>
      </c>
      <c r="F38" s="411"/>
      <c r="G38" s="509">
        <f>迭代模型!$Y$26</f>
        <v>-6.9827163800000008E-2</v>
      </c>
      <c r="H38" s="415"/>
      <c r="I38" s="509">
        <f>迭代模型!$Z$26</f>
        <v>2.7569212084800003E-2</v>
      </c>
      <c r="J38" s="525" t="s">
        <v>415</v>
      </c>
      <c r="K38" s="811"/>
      <c r="L38" s="524" t="s">
        <v>416</v>
      </c>
      <c r="M38" s="522"/>
      <c r="N38" s="453">
        <f>IF(O38=0,C41,0)</f>
        <v>0.40902554000000002</v>
      </c>
      <c r="O38" s="454">
        <v>0</v>
      </c>
      <c r="P38" s="453">
        <f>IF(Q38=0,E41,0)</f>
        <v>0.33032322000000003</v>
      </c>
      <c r="Q38" s="454">
        <v>0</v>
      </c>
      <c r="R38" s="453">
        <f>IF(S38=0,G41,0)</f>
        <v>-6.9827163800000008E-2</v>
      </c>
      <c r="S38" s="454">
        <v>0</v>
      </c>
      <c r="T38" s="453">
        <f>IF(U38=0,I41,0)</f>
        <v>2.7569212084800003E-2</v>
      </c>
      <c r="U38" s="454">
        <v>0</v>
      </c>
      <c r="V38" s="475"/>
      <c r="W38" s="403"/>
      <c r="X38" s="403"/>
      <c r="Y38" s="403"/>
      <c r="Z38" s="403"/>
      <c r="AA38" s="403"/>
    </row>
    <row r="39" spans="1:27" ht="14.25" outlineLevel="2">
      <c r="A39" s="832"/>
      <c r="B39" s="836"/>
      <c r="C39" s="510"/>
      <c r="D39" s="510"/>
      <c r="E39" s="510"/>
      <c r="F39" s="510"/>
      <c r="G39" s="510"/>
      <c r="H39" s="510"/>
      <c r="I39" s="509">
        <f>迭代模型!$Z$28</f>
        <v>2.7976706286992004E-2</v>
      </c>
      <c r="J39" s="525" t="s">
        <v>417</v>
      </c>
      <c r="K39" s="811"/>
      <c r="L39" s="451"/>
      <c r="M39" s="522"/>
      <c r="T39" s="453">
        <f>IF(U39=0,I42,0)</f>
        <v>2.7976706286992004E-2</v>
      </c>
      <c r="U39" s="454">
        <v>0</v>
      </c>
      <c r="V39" s="475"/>
      <c r="W39" s="403"/>
      <c r="X39" s="403"/>
      <c r="Y39" s="403"/>
      <c r="Z39" s="403"/>
      <c r="AA39" s="403"/>
    </row>
    <row r="40" spans="1:27" ht="14.25" outlineLevel="2">
      <c r="A40" s="832"/>
      <c r="B40" s="511" t="s">
        <v>393</v>
      </c>
      <c r="C40" s="843" t="s">
        <v>358</v>
      </c>
      <c r="D40" s="844"/>
      <c r="E40" s="843" t="s">
        <v>339</v>
      </c>
      <c r="F40" s="844"/>
      <c r="G40" s="843" t="s">
        <v>418</v>
      </c>
      <c r="H40" s="844"/>
      <c r="I40" s="843" t="s">
        <v>419</v>
      </c>
      <c r="J40" s="844"/>
      <c r="K40" s="811"/>
      <c r="L40" s="524" t="s">
        <v>420</v>
      </c>
      <c r="M40" s="522"/>
      <c r="N40" s="453">
        <f>IF(O40=0,C44,0)</f>
        <v>0.40902554000000002</v>
      </c>
      <c r="O40" s="454">
        <v>0</v>
      </c>
      <c r="P40" s="453">
        <f>IF(Q40=0,E44,0)</f>
        <v>0.33032322000000003</v>
      </c>
      <c r="Q40" s="454">
        <v>0</v>
      </c>
      <c r="R40" s="453">
        <f>IF(S40=0,G44,0)</f>
        <v>-6.9827163800000008E-2</v>
      </c>
      <c r="S40" s="454">
        <v>0</v>
      </c>
      <c r="T40" s="453">
        <f>IF(U40=0,I44,0)</f>
        <v>2.7569212084800003E-2</v>
      </c>
      <c r="U40" s="454">
        <v>0</v>
      </c>
      <c r="V40" s="475"/>
      <c r="W40" s="403"/>
      <c r="X40" s="403"/>
      <c r="Y40" s="403"/>
      <c r="Z40" s="403"/>
      <c r="AA40" s="487"/>
    </row>
    <row r="41" spans="1:27" ht="14.25" outlineLevel="2">
      <c r="A41" s="832"/>
      <c r="B41" s="835"/>
      <c r="C41" s="508">
        <f>迭代模型!$W$26</f>
        <v>0.40902554000000002</v>
      </c>
      <c r="D41" s="411"/>
      <c r="E41" s="508">
        <f>迭代模型!$X$26</f>
        <v>0.33032322000000003</v>
      </c>
      <c r="F41" s="411"/>
      <c r="G41" s="509">
        <f>迭代模型!$Y$26</f>
        <v>-6.9827163800000008E-2</v>
      </c>
      <c r="H41" s="415"/>
      <c r="I41" s="509">
        <f>迭代模型!$Z$26</f>
        <v>2.7569212084800003E-2</v>
      </c>
      <c r="J41" s="525" t="s">
        <v>415</v>
      </c>
      <c r="K41" s="811"/>
      <c r="L41" s="451"/>
      <c r="M41" s="522"/>
      <c r="T41" s="453">
        <f>IF(U41=0,I45,0)</f>
        <v>2.7976706286992004E-2</v>
      </c>
      <c r="U41" s="454">
        <v>0</v>
      </c>
      <c r="V41" s="475"/>
      <c r="AA41" s="487"/>
    </row>
    <row r="42" spans="1:27" ht="14.25" outlineLevel="2">
      <c r="A42" s="832"/>
      <c r="B42" s="836"/>
      <c r="C42" s="510"/>
      <c r="D42" s="510"/>
      <c r="E42" s="510"/>
      <c r="F42" s="510"/>
      <c r="G42" s="510"/>
      <c r="H42" s="510"/>
      <c r="I42" s="509">
        <f>迭代模型!$Z$28</f>
        <v>2.7976706286992004E-2</v>
      </c>
      <c r="J42" s="525" t="s">
        <v>417</v>
      </c>
      <c r="K42" s="811"/>
      <c r="L42" s="526" t="s">
        <v>386</v>
      </c>
      <c r="M42" s="522"/>
      <c r="N42" s="453">
        <f>IF(O42=0,C47,0)</f>
        <v>2.3599999999999999E-2</v>
      </c>
      <c r="O42" s="454">
        <v>0</v>
      </c>
      <c r="P42" s="453">
        <f>IF(Q42=0,E47,0)</f>
        <v>2.53E-2</v>
      </c>
      <c r="Q42" s="454">
        <v>0</v>
      </c>
      <c r="R42" s="453">
        <f>IF(S42=0,INDEX(G47:G47,$M$42),0)</f>
        <v>-0.22894999999999999</v>
      </c>
      <c r="S42" s="454">
        <v>0</v>
      </c>
      <c r="T42" s="533"/>
      <c r="U42" s="533"/>
      <c r="V42" s="475"/>
      <c r="AA42" s="403"/>
    </row>
    <row r="43" spans="1:27" ht="14.25" outlineLevel="2">
      <c r="A43" s="832"/>
      <c r="B43" s="512" t="s">
        <v>394</v>
      </c>
      <c r="C43" s="842" t="s">
        <v>359</v>
      </c>
      <c r="D43" s="842"/>
      <c r="E43" s="842" t="s">
        <v>340</v>
      </c>
      <c r="F43" s="842"/>
      <c r="G43" s="843" t="s">
        <v>421</v>
      </c>
      <c r="H43" s="844"/>
      <c r="I43" s="842" t="s">
        <v>422</v>
      </c>
      <c r="J43" s="842"/>
      <c r="K43" s="811"/>
      <c r="V43" s="475"/>
      <c r="AA43" s="403"/>
    </row>
    <row r="44" spans="1:27" ht="14.25" outlineLevel="2">
      <c r="A44" s="811"/>
      <c r="B44" s="513"/>
      <c r="C44" s="508">
        <f>迭代模型!$W$26</f>
        <v>0.40902554000000002</v>
      </c>
      <c r="D44" s="411"/>
      <c r="E44" s="508">
        <f>迭代模型!$X$26</f>
        <v>0.33032322000000003</v>
      </c>
      <c r="F44" s="411"/>
      <c r="G44" s="509">
        <f>迭代模型!$Y$26</f>
        <v>-6.9827163800000008E-2</v>
      </c>
      <c r="H44" s="415"/>
      <c r="I44" s="509">
        <f>迭代模型!$Z$26</f>
        <v>2.7569212084800003E-2</v>
      </c>
      <c r="J44" s="525" t="s">
        <v>415</v>
      </c>
      <c r="K44" s="812"/>
      <c r="V44" s="482"/>
      <c r="AA44" s="403"/>
    </row>
    <row r="45" spans="1:27" ht="14.25" outlineLevel="2">
      <c r="A45" s="811"/>
      <c r="B45" s="514"/>
      <c r="C45" s="515"/>
      <c r="D45" s="429"/>
      <c r="E45" s="516"/>
      <c r="F45" s="517"/>
      <c r="G45" s="470"/>
      <c r="H45" s="418"/>
      <c r="I45" s="509">
        <f>迭代模型!$Z$28</f>
        <v>2.7976706286992004E-2</v>
      </c>
      <c r="J45" s="525" t="s">
        <v>417</v>
      </c>
      <c r="K45" s="405"/>
      <c r="V45" s="483"/>
      <c r="AA45" s="403"/>
    </row>
    <row r="46" spans="1:27" ht="28.5" outlineLevel="2">
      <c r="A46" s="811"/>
      <c r="B46" s="518" t="s">
        <v>386</v>
      </c>
      <c r="C46" s="845" t="s">
        <v>308</v>
      </c>
      <c r="D46" s="845"/>
      <c r="E46" s="846" t="s">
        <v>309</v>
      </c>
      <c r="F46" s="847"/>
      <c r="G46" s="846" t="s">
        <v>408</v>
      </c>
      <c r="H46" s="847"/>
      <c r="I46" s="848" t="s">
        <v>215</v>
      </c>
      <c r="J46" s="845"/>
      <c r="K46" s="461"/>
      <c r="V46" s="483"/>
      <c r="AA46" s="403"/>
    </row>
    <row r="47" spans="1:27" ht="14.25" outlineLevel="2">
      <c r="A47" s="403"/>
      <c r="B47" s="406"/>
      <c r="C47" s="410">
        <v>2.3599999999999999E-2</v>
      </c>
      <c r="D47" s="411">
        <v>1.11E-2</v>
      </c>
      <c r="E47" s="410">
        <v>2.53E-2</v>
      </c>
      <c r="F47" s="411">
        <v>1.77E-2</v>
      </c>
      <c r="G47" s="410">
        <v>-0.22894999999999999</v>
      </c>
      <c r="H47" s="411">
        <v>0.23457700000000001</v>
      </c>
      <c r="I47" s="508"/>
      <c r="J47" s="411"/>
      <c r="K47" s="462"/>
    </row>
    <row r="48" spans="1:27" ht="14.25" outlineLevel="2">
      <c r="A48" s="403"/>
      <c r="B48" s="406"/>
      <c r="C48" s="508"/>
      <c r="D48" s="415"/>
      <c r="E48" s="508"/>
      <c r="F48" s="415"/>
      <c r="G48" s="508"/>
      <c r="H48" s="415"/>
      <c r="I48" s="508"/>
      <c r="J48" s="415"/>
      <c r="K48" s="813"/>
    </row>
    <row r="49" spans="1:27" ht="14.25" outlineLevel="2">
      <c r="A49" s="403"/>
      <c r="B49" s="433" t="s">
        <v>423</v>
      </c>
      <c r="C49" s="434" t="s">
        <v>424</v>
      </c>
      <c r="D49" s="435" t="s">
        <v>425</v>
      </c>
      <c r="E49" s="436" t="s">
        <v>424</v>
      </c>
      <c r="F49" s="435" t="s">
        <v>426</v>
      </c>
      <c r="G49" s="519" t="s">
        <v>424</v>
      </c>
      <c r="H49" s="520" t="s">
        <v>427</v>
      </c>
      <c r="I49" s="435"/>
      <c r="J49" s="527"/>
      <c r="K49" s="813"/>
      <c r="W49" s="403"/>
      <c r="X49" s="403"/>
      <c r="Y49" s="403"/>
      <c r="Z49" s="403"/>
    </row>
    <row r="50" spans="1:27" ht="14.25" outlineLevel="2">
      <c r="A50" s="403"/>
      <c r="K50" s="462"/>
      <c r="L50" s="528"/>
      <c r="M50" s="528"/>
      <c r="N50" s="528"/>
      <c r="O50" s="528"/>
      <c r="P50" s="528"/>
      <c r="Q50" s="528"/>
      <c r="R50" s="528"/>
      <c r="W50" s="403"/>
      <c r="X50" s="403"/>
      <c r="Y50" s="403"/>
      <c r="Z50" s="403"/>
    </row>
    <row r="51" spans="1:27" ht="14.25" outlineLevel="2">
      <c r="A51" s="403"/>
      <c r="K51" s="462"/>
      <c r="L51" s="529"/>
      <c r="M51" s="529"/>
      <c r="N51" s="529"/>
      <c r="O51" s="529"/>
      <c r="P51" s="529"/>
      <c r="Q51" s="529"/>
      <c r="R51" s="529"/>
      <c r="W51" s="403"/>
      <c r="X51" s="403"/>
      <c r="Y51" s="403"/>
      <c r="Z51" s="403"/>
    </row>
    <row r="52" spans="1:27" ht="14.25" outlineLevel="2">
      <c r="A52" s="403"/>
      <c r="K52" s="462"/>
      <c r="L52" s="529"/>
      <c r="M52" s="529"/>
      <c r="N52" s="529"/>
      <c r="O52" s="529"/>
      <c r="P52" s="529"/>
      <c r="Q52" s="529"/>
      <c r="R52" s="529"/>
      <c r="W52" s="403"/>
      <c r="X52" s="403"/>
      <c r="Y52" s="403"/>
      <c r="Z52" s="403"/>
    </row>
    <row r="53" spans="1:27" ht="14.25" outlineLevel="2">
      <c r="A53" s="403"/>
      <c r="K53" s="462"/>
      <c r="L53" s="529"/>
      <c r="M53" s="529"/>
      <c r="N53" s="529"/>
      <c r="O53" s="529"/>
      <c r="P53" s="529"/>
      <c r="Q53" s="529"/>
      <c r="R53" s="529"/>
      <c r="W53" s="403"/>
      <c r="X53" s="403"/>
      <c r="Y53" s="403"/>
      <c r="Z53" s="403"/>
    </row>
    <row r="54" spans="1:27" ht="14.25">
      <c r="A54" s="403"/>
      <c r="K54" s="462"/>
      <c r="L54" s="529"/>
      <c r="M54" s="529"/>
      <c r="N54" s="529"/>
      <c r="O54" s="529"/>
      <c r="P54" s="529"/>
      <c r="Q54" s="529"/>
      <c r="R54" s="529"/>
      <c r="V54" s="462"/>
      <c r="W54" s="403"/>
      <c r="X54" s="403"/>
      <c r="Y54" s="403"/>
      <c r="Z54" s="403"/>
      <c r="AA54" s="403"/>
    </row>
    <row r="55" spans="1:27" ht="14.25" outlineLevel="1">
      <c r="A55" s="403"/>
      <c r="K55" s="462"/>
      <c r="L55" s="529"/>
      <c r="M55" s="529"/>
      <c r="N55" s="529"/>
      <c r="O55" s="529"/>
      <c r="P55" s="529"/>
      <c r="Q55" s="529"/>
      <c r="R55" s="529"/>
      <c r="V55" s="462"/>
      <c r="W55" s="403"/>
      <c r="X55" s="403"/>
      <c r="Y55" s="403"/>
      <c r="Z55" s="403"/>
      <c r="AA55" s="403"/>
    </row>
    <row r="56" spans="1:27" ht="14.25" outlineLevel="1">
      <c r="A56" s="403"/>
      <c r="K56" s="462"/>
      <c r="L56" s="529"/>
      <c r="M56" s="529"/>
      <c r="N56" s="529"/>
      <c r="O56" s="529"/>
      <c r="P56" s="529"/>
      <c r="Q56" s="529"/>
      <c r="R56" s="529"/>
      <c r="V56" s="462"/>
      <c r="W56" s="403"/>
      <c r="X56" s="403"/>
      <c r="Y56" s="403"/>
      <c r="Z56" s="403"/>
      <c r="AA56" s="403"/>
    </row>
    <row r="57" spans="1:27" ht="14.25" outlineLevel="1">
      <c r="A57" s="403"/>
      <c r="K57" s="462"/>
      <c r="L57" s="529"/>
      <c r="M57" s="529"/>
      <c r="N57" s="529"/>
      <c r="O57" s="529"/>
      <c r="P57" s="529"/>
      <c r="Q57" s="529"/>
      <c r="R57" s="529"/>
      <c r="V57" s="462"/>
      <c r="W57" s="403"/>
      <c r="X57" s="403"/>
      <c r="Y57" s="403"/>
      <c r="Z57" s="403"/>
      <c r="AA57" s="403"/>
    </row>
    <row r="58" spans="1:27" ht="14.25" outlineLevel="1">
      <c r="A58" s="403"/>
      <c r="K58" s="462"/>
      <c r="L58" s="529"/>
      <c r="M58" s="529"/>
      <c r="N58" s="529"/>
      <c r="O58" s="529"/>
      <c r="P58" s="529"/>
      <c r="Q58" s="529"/>
      <c r="R58" s="529"/>
      <c r="V58" s="462"/>
      <c r="W58" s="403"/>
      <c r="X58" s="403"/>
      <c r="Y58" s="403"/>
      <c r="Z58" s="403"/>
      <c r="AA58" s="403"/>
    </row>
    <row r="59" spans="1:27" ht="14.25" outlineLevel="1">
      <c r="A59" s="403"/>
      <c r="K59" s="462"/>
      <c r="L59" s="529"/>
      <c r="M59" s="529"/>
      <c r="N59" s="529"/>
      <c r="O59" s="529"/>
      <c r="P59" s="529"/>
      <c r="Q59" s="529"/>
      <c r="R59" s="529"/>
      <c r="V59" s="462"/>
      <c r="W59" s="403"/>
      <c r="X59" s="403"/>
      <c r="Y59" s="403"/>
      <c r="Z59" s="403"/>
      <c r="AA59" s="403"/>
    </row>
    <row r="60" spans="1:27" ht="14.25" outlineLevel="1">
      <c r="A60" s="403"/>
      <c r="K60" s="462"/>
      <c r="V60" s="462"/>
      <c r="W60" s="403"/>
      <c r="X60" s="403"/>
      <c r="Y60" s="403"/>
      <c r="Z60" s="403"/>
      <c r="AA60" s="403"/>
    </row>
    <row r="61" spans="1:27" ht="14.25" outlineLevel="1">
      <c r="A61" s="403"/>
      <c r="K61" s="462"/>
      <c r="V61" s="462"/>
      <c r="W61" s="403"/>
      <c r="X61" s="403"/>
      <c r="Y61" s="403"/>
      <c r="Z61" s="403"/>
      <c r="AA61" s="403"/>
    </row>
    <row r="62" spans="1:27" ht="14.25" outlineLevel="1">
      <c r="A62" s="403"/>
      <c r="K62" s="462"/>
      <c r="V62" s="462"/>
      <c r="W62" s="403"/>
      <c r="X62" s="403"/>
      <c r="Y62" s="403"/>
      <c r="Z62" s="403"/>
      <c r="AA62" s="403"/>
    </row>
    <row r="63" spans="1:27" ht="14.25" outlineLevel="1">
      <c r="A63" s="403"/>
      <c r="K63" s="462"/>
      <c r="V63" s="462"/>
      <c r="W63" s="403"/>
      <c r="X63" s="403"/>
      <c r="Y63" s="403"/>
      <c r="Z63" s="403"/>
      <c r="AA63" s="403"/>
    </row>
    <row r="64" spans="1:27" ht="14.25" outlineLevel="1">
      <c r="A64" s="403"/>
      <c r="K64" s="462"/>
      <c r="V64" s="462"/>
      <c r="W64" s="403"/>
      <c r="X64" s="403"/>
      <c r="Y64" s="403"/>
      <c r="Z64" s="403"/>
      <c r="AA64" s="403"/>
    </row>
    <row r="65" spans="1:27" ht="14.25" outlineLevel="1">
      <c r="A65" s="403"/>
      <c r="K65" s="462"/>
      <c r="V65" s="462"/>
      <c r="W65" s="403"/>
      <c r="X65" s="403"/>
      <c r="Y65" s="403"/>
      <c r="Z65" s="403"/>
      <c r="AA65" s="403"/>
    </row>
    <row r="66" spans="1:27" ht="14.25" outlineLevel="1">
      <c r="A66" s="403"/>
      <c r="K66" s="462"/>
      <c r="V66" s="462"/>
      <c r="W66" s="403"/>
      <c r="X66" s="403"/>
      <c r="Y66" s="403"/>
      <c r="Z66" s="403"/>
      <c r="AA66" s="403"/>
    </row>
    <row r="67" spans="1:27" ht="14.25" outlineLevel="1">
      <c r="A67" s="403"/>
      <c r="K67" s="462"/>
      <c r="V67" s="462"/>
      <c r="W67" s="403"/>
      <c r="X67" s="403"/>
      <c r="Y67" s="403"/>
      <c r="Z67" s="403"/>
      <c r="AA67" s="403"/>
    </row>
    <row r="68" spans="1:27" ht="14.25" outlineLevel="1">
      <c r="A68" s="403"/>
      <c r="K68" s="462"/>
      <c r="V68" s="462"/>
      <c r="W68" s="403"/>
      <c r="X68" s="403"/>
      <c r="Y68" s="403"/>
      <c r="Z68" s="403"/>
      <c r="AA68" s="403"/>
    </row>
    <row r="69" spans="1:27" ht="14.25" outlineLevel="1">
      <c r="A69" s="403"/>
      <c r="K69" s="462"/>
      <c r="V69" s="462"/>
      <c r="W69" s="403"/>
      <c r="X69" s="403"/>
      <c r="Y69" s="403"/>
      <c r="Z69" s="403"/>
      <c r="AA69" s="403"/>
    </row>
    <row r="70" spans="1:27" ht="14.25" outlineLevel="1">
      <c r="A70" s="403"/>
      <c r="K70" s="462"/>
      <c r="V70" s="462"/>
      <c r="W70" s="403"/>
      <c r="X70" s="403"/>
      <c r="Y70" s="403"/>
      <c r="Z70" s="403"/>
      <c r="AA70" s="403"/>
    </row>
    <row r="71" spans="1:27" ht="14.25">
      <c r="A71" s="403"/>
      <c r="K71" s="462"/>
      <c r="V71" s="462"/>
      <c r="W71" s="403"/>
      <c r="X71" s="403"/>
      <c r="Y71" s="403"/>
      <c r="Z71" s="403"/>
      <c r="AA71" s="403"/>
    </row>
    <row r="72" spans="1:27" ht="14.25" outlineLevel="1">
      <c r="A72" s="403"/>
      <c r="K72" s="462"/>
      <c r="V72" s="462"/>
      <c r="W72" s="403"/>
      <c r="X72" s="403"/>
      <c r="Y72" s="403"/>
      <c r="Z72" s="403"/>
      <c r="AA72" s="403"/>
    </row>
    <row r="73" spans="1:27" ht="14.25" outlineLevel="1">
      <c r="A73" s="403"/>
      <c r="K73" s="462"/>
      <c r="V73" s="462"/>
      <c r="W73" s="403"/>
      <c r="X73" s="403"/>
      <c r="Y73" s="403"/>
      <c r="Z73" s="403"/>
      <c r="AA73" s="403"/>
    </row>
    <row r="74" spans="1:27" ht="14.25" outlineLevel="1">
      <c r="A74" s="403"/>
      <c r="K74" s="462"/>
      <c r="V74" s="462"/>
      <c r="W74" s="403"/>
      <c r="X74" s="403"/>
      <c r="Y74" s="403"/>
      <c r="Z74" s="403"/>
      <c r="AA74" s="403"/>
    </row>
    <row r="75" spans="1:27" ht="14.25" outlineLevel="1">
      <c r="A75" s="403"/>
      <c r="K75" s="462"/>
      <c r="V75" s="462"/>
      <c r="W75" s="403"/>
      <c r="X75" s="403"/>
      <c r="Y75" s="403"/>
      <c r="Z75" s="403"/>
      <c r="AA75" s="403"/>
    </row>
    <row r="76" spans="1:27" ht="14.25" outlineLevel="1">
      <c r="A76" s="403"/>
      <c r="K76" s="462"/>
      <c r="V76" s="462"/>
      <c r="W76" s="403"/>
      <c r="X76" s="403"/>
      <c r="Y76" s="403"/>
      <c r="Z76" s="403"/>
      <c r="AA76" s="403"/>
    </row>
    <row r="77" spans="1:27" ht="14.25" outlineLevel="1">
      <c r="A77" s="403"/>
      <c r="K77" s="462"/>
      <c r="V77" s="462"/>
      <c r="W77" s="403"/>
      <c r="X77" s="403"/>
      <c r="Y77" s="403"/>
      <c r="Z77" s="403"/>
      <c r="AA77" s="403"/>
    </row>
    <row r="78" spans="1:27" ht="14.25" outlineLevel="1">
      <c r="A78" s="403"/>
      <c r="K78" s="462"/>
      <c r="V78" s="462"/>
      <c r="W78" s="403"/>
      <c r="X78" s="403"/>
      <c r="Y78" s="403"/>
      <c r="Z78" s="403"/>
      <c r="AA78" s="403"/>
    </row>
    <row r="79" spans="1:27" ht="14.25" outlineLevel="1">
      <c r="A79" s="403"/>
      <c r="K79" s="462"/>
      <c r="V79" s="462"/>
      <c r="W79" s="403"/>
      <c r="X79" s="403"/>
      <c r="Y79" s="403"/>
      <c r="Z79" s="403"/>
      <c r="AA79" s="403"/>
    </row>
    <row r="80" spans="1:27" ht="14.25" outlineLevel="1">
      <c r="A80" s="403"/>
      <c r="K80" s="462"/>
      <c r="V80" s="462"/>
      <c r="W80" s="403"/>
      <c r="X80" s="403"/>
      <c r="Y80" s="403"/>
      <c r="Z80" s="403"/>
      <c r="AA80" s="403"/>
    </row>
    <row r="81" spans="1:27" ht="14.25" outlineLevel="1">
      <c r="A81" s="403"/>
      <c r="K81" s="462"/>
      <c r="V81" s="462"/>
      <c r="W81" s="403"/>
      <c r="X81" s="403"/>
      <c r="Y81" s="403"/>
      <c r="Z81" s="403"/>
      <c r="AA81" s="403"/>
    </row>
    <row r="82" spans="1:27" ht="14.25" outlineLevel="1">
      <c r="A82" s="403"/>
      <c r="K82" s="462"/>
      <c r="V82" s="462"/>
      <c r="W82" s="403"/>
      <c r="X82" s="403"/>
      <c r="Y82" s="403"/>
      <c r="Z82" s="403"/>
      <c r="AA82" s="403"/>
    </row>
    <row r="83" spans="1:27" ht="14.25" outlineLevel="1">
      <c r="A83" s="403"/>
      <c r="K83" s="462"/>
      <c r="V83" s="462"/>
      <c r="W83" s="403"/>
      <c r="X83" s="403"/>
      <c r="Y83" s="403"/>
      <c r="Z83" s="403"/>
      <c r="AA83" s="403"/>
    </row>
    <row r="84" spans="1:27" ht="14.25" outlineLevel="1">
      <c r="A84" s="403"/>
      <c r="K84" s="462"/>
      <c r="V84" s="462"/>
      <c r="W84" s="403"/>
      <c r="X84" s="403"/>
      <c r="Y84" s="403"/>
      <c r="Z84" s="403"/>
      <c r="AA84" s="403"/>
    </row>
    <row r="85" spans="1:27" ht="14.25" outlineLevel="1">
      <c r="A85" s="403"/>
      <c r="K85" s="462"/>
      <c r="V85" s="462"/>
      <c r="W85" s="403"/>
      <c r="X85" s="403"/>
      <c r="Y85" s="403"/>
      <c r="Z85" s="403"/>
      <c r="AA85" s="403"/>
    </row>
    <row r="86" spans="1:27" ht="14.25" outlineLevel="1">
      <c r="A86" s="403"/>
      <c r="K86" s="462"/>
      <c r="V86" s="462"/>
      <c r="W86" s="403"/>
      <c r="X86" s="403"/>
      <c r="Y86" s="403"/>
      <c r="Z86" s="403"/>
      <c r="AA86" s="403"/>
    </row>
    <row r="87" spans="1:27" ht="14.25" outlineLevel="1">
      <c r="A87" s="403"/>
      <c r="K87" s="462"/>
      <c r="V87" s="462"/>
      <c r="W87" s="403"/>
      <c r="X87" s="403"/>
      <c r="Y87" s="403"/>
      <c r="Z87" s="403"/>
      <c r="AA87" s="403"/>
    </row>
    <row r="88" spans="1:27" ht="14.25" outlineLevel="1">
      <c r="A88" s="403"/>
      <c r="K88" s="462"/>
      <c r="V88" s="462"/>
      <c r="AA88" s="403"/>
    </row>
    <row r="89" spans="1:27" ht="14.25">
      <c r="A89" s="403"/>
      <c r="K89" s="462"/>
      <c r="V89" s="462"/>
      <c r="AA89" s="403"/>
    </row>
    <row r="90" spans="1:27" ht="14.25">
      <c r="A90" s="403"/>
      <c r="K90" s="462"/>
      <c r="V90" s="462"/>
      <c r="AA90" s="403"/>
    </row>
    <row r="91" spans="1:27" ht="14.25">
      <c r="A91" s="403"/>
      <c r="K91" s="462"/>
      <c r="V91" s="462"/>
      <c r="AA91" s="403"/>
    </row>
    <row r="92" spans="1:27" ht="14.25">
      <c r="A92" s="403"/>
      <c r="K92" s="462"/>
      <c r="V92" s="462"/>
      <c r="AA92" s="403"/>
    </row>
    <row r="93" spans="1:27" ht="17.25" customHeight="1"/>
  </sheetData>
  <protectedRanges>
    <protectedRange password="CC3D" sqref="I39:J39 C38:J38 C33:J34 C47:J48 C41:I41 I42 J41:J42 C44:J45" name="区域1_2_1" securityDescriptor=""/>
  </protectedRanges>
  <mergeCells count="53">
    <mergeCell ref="A3:AD3"/>
    <mergeCell ref="A7:AC7"/>
    <mergeCell ref="A11:AC11"/>
    <mergeCell ref="A15:AC15"/>
    <mergeCell ref="C19:H19"/>
    <mergeCell ref="C22:H22"/>
    <mergeCell ref="C25:H25"/>
    <mergeCell ref="E30:J30"/>
    <mergeCell ref="N30:U30"/>
    <mergeCell ref="W30:Z30"/>
    <mergeCell ref="B31:J31"/>
    <mergeCell ref="C32:D32"/>
    <mergeCell ref="E32:F32"/>
    <mergeCell ref="G32:H32"/>
    <mergeCell ref="I32:J32"/>
    <mergeCell ref="L32:U32"/>
    <mergeCell ref="W32:Z32"/>
    <mergeCell ref="N33:O33"/>
    <mergeCell ref="P33:Q33"/>
    <mergeCell ref="R33:S33"/>
    <mergeCell ref="T33:U33"/>
    <mergeCell ref="C37:D37"/>
    <mergeCell ref="E37:F37"/>
    <mergeCell ref="G37:H37"/>
    <mergeCell ref="I37:J37"/>
    <mergeCell ref="C40:D40"/>
    <mergeCell ref="E40:F40"/>
    <mergeCell ref="G40:H40"/>
    <mergeCell ref="I40:J40"/>
    <mergeCell ref="C43:D43"/>
    <mergeCell ref="E43:F43"/>
    <mergeCell ref="G43:H43"/>
    <mergeCell ref="I43:J43"/>
    <mergeCell ref="C46:D46"/>
    <mergeCell ref="E46:F46"/>
    <mergeCell ref="G46:H46"/>
    <mergeCell ref="I46:J46"/>
    <mergeCell ref="K31:K44"/>
    <mergeCell ref="K48:K49"/>
    <mergeCell ref="L33:L34"/>
    <mergeCell ref="M33:M34"/>
    <mergeCell ref="A4:AD6"/>
    <mergeCell ref="A8:AC10"/>
    <mergeCell ref="A12:AC14"/>
    <mergeCell ref="A16:AC18"/>
    <mergeCell ref="A19:B20"/>
    <mergeCell ref="A21:B27"/>
    <mergeCell ref="A31:A46"/>
    <mergeCell ref="B36:B37"/>
    <mergeCell ref="B38:B39"/>
    <mergeCell ref="B41:B42"/>
    <mergeCell ref="I19:I20"/>
    <mergeCell ref="I21:I27"/>
  </mergeCells>
  <phoneticPr fontId="150" type="noConversion"/>
  <conditionalFormatting sqref="N35">
    <cfRule type="cellIs" dxfId="88" priority="5" stopIfTrue="1" operator="equal">
      <formula>0</formula>
    </cfRule>
  </conditionalFormatting>
  <conditionalFormatting sqref="O35">
    <cfRule type="cellIs" dxfId="87" priority="21" stopIfTrue="1" operator="equal">
      <formula>0</formula>
    </cfRule>
  </conditionalFormatting>
  <conditionalFormatting sqref="P35">
    <cfRule type="cellIs" dxfId="86" priority="2" stopIfTrue="1" operator="equal">
      <formula>0</formula>
    </cfRule>
  </conditionalFormatting>
  <conditionalFormatting sqref="Q35">
    <cfRule type="cellIs" dxfId="85" priority="3" stopIfTrue="1" operator="equal">
      <formula>0</formula>
    </cfRule>
  </conditionalFormatting>
  <conditionalFormatting sqref="R35">
    <cfRule type="cellIs" dxfId="84" priority="15" stopIfTrue="1" operator="equal">
      <formula>0</formula>
    </cfRule>
  </conditionalFormatting>
  <conditionalFormatting sqref="N36">
    <cfRule type="cellIs" dxfId="83" priority="23" stopIfTrue="1" operator="equal">
      <formula>0</formula>
    </cfRule>
  </conditionalFormatting>
  <conditionalFormatting sqref="P36">
    <cfRule type="cellIs" dxfId="82" priority="18" stopIfTrue="1" operator="equal">
      <formula>0</formula>
    </cfRule>
  </conditionalFormatting>
  <conditionalFormatting sqref="R36">
    <cfRule type="cellIs" dxfId="81" priority="14" stopIfTrue="1" operator="equal">
      <formula>0</formula>
    </cfRule>
  </conditionalFormatting>
  <conditionalFormatting sqref="T36">
    <cfRule type="cellIs" dxfId="80" priority="11" stopIfTrue="1" operator="equal">
      <formula>0</formula>
    </cfRule>
  </conditionalFormatting>
  <conditionalFormatting sqref="T37">
    <cfRule type="cellIs" dxfId="79" priority="10" stopIfTrue="1" operator="equal">
      <formula>0</formula>
    </cfRule>
  </conditionalFormatting>
  <conditionalFormatting sqref="N38">
    <cfRule type="cellIs" dxfId="78" priority="20" stopIfTrue="1" operator="equal">
      <formula>0</formula>
    </cfRule>
  </conditionalFormatting>
  <conditionalFormatting sqref="P38">
    <cfRule type="cellIs" dxfId="77" priority="17" stopIfTrue="1" operator="equal">
      <formula>0</formula>
    </cfRule>
  </conditionalFormatting>
  <conditionalFormatting sqref="R38">
    <cfRule type="cellIs" dxfId="76" priority="13" stopIfTrue="1" operator="equal">
      <formula>0</formula>
    </cfRule>
  </conditionalFormatting>
  <conditionalFormatting sqref="T38">
    <cfRule type="cellIs" dxfId="75" priority="9" stopIfTrue="1" operator="equal">
      <formula>0</formula>
    </cfRule>
  </conditionalFormatting>
  <conditionalFormatting sqref="T39">
    <cfRule type="cellIs" dxfId="74" priority="8" stopIfTrue="1" operator="equal">
      <formula>0</formula>
    </cfRule>
  </conditionalFormatting>
  <conditionalFormatting sqref="N40">
    <cfRule type="cellIs" dxfId="73" priority="19" stopIfTrue="1" operator="equal">
      <formula>0</formula>
    </cfRule>
  </conditionalFormatting>
  <conditionalFormatting sqref="P40">
    <cfRule type="cellIs" dxfId="72" priority="16" stopIfTrue="1" operator="equal">
      <formula>0</formula>
    </cfRule>
  </conditionalFormatting>
  <conditionalFormatting sqref="R40">
    <cfRule type="cellIs" dxfId="71" priority="12" stopIfTrue="1" operator="equal">
      <formula>0</formula>
    </cfRule>
  </conditionalFormatting>
  <conditionalFormatting sqref="T40">
    <cfRule type="cellIs" dxfId="70" priority="7" stopIfTrue="1" operator="equal">
      <formula>0</formula>
    </cfRule>
  </conditionalFormatting>
  <conditionalFormatting sqref="T41">
    <cfRule type="cellIs" dxfId="69" priority="6" stopIfTrue="1" operator="equal">
      <formula>0</formula>
    </cfRule>
  </conditionalFormatting>
  <conditionalFormatting sqref="N42">
    <cfRule type="cellIs" dxfId="68" priority="4" stopIfTrue="1" operator="equal">
      <formula>0</formula>
    </cfRule>
  </conditionalFormatting>
  <conditionalFormatting sqref="P42">
    <cfRule type="cellIs" dxfId="67" priority="1" stopIfTrue="1" operator="equal">
      <formula>0</formula>
    </cfRule>
  </conditionalFormatting>
  <conditionalFormatting sqref="R42">
    <cfRule type="cellIs" dxfId="66" priority="22" stopIfTrue="1" operator="equal">
      <formula>0</formula>
    </cfRule>
  </conditionalFormatting>
  <pageMargins left="0.69930555555555596" right="0.69930555555555596" top="0.75" bottom="0.75" header="0.3" footer="0.3"/>
  <pageSetup paperSize="9" orientation="portrait"/>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9" tint="0.39973143711661124"/>
  </sheetPr>
  <dimension ref="A1:AD53"/>
  <sheetViews>
    <sheetView showGridLines="0" topLeftCell="J25" zoomScale="115" zoomScaleNormal="115" workbookViewId="0">
      <selection activeCell="S35" sqref="S35"/>
    </sheetView>
  </sheetViews>
  <sheetFormatPr defaultColWidth="9" defaultRowHeight="11.25" outlineLevelRow="1"/>
  <cols>
    <col min="1" max="1" width="2.125" style="399" customWidth="1"/>
    <col min="2" max="2" width="12.25" style="399" customWidth="1"/>
    <col min="3" max="3" width="7.625" style="399" customWidth="1"/>
    <col min="4" max="4" width="10.75" style="399" customWidth="1"/>
    <col min="5" max="6" width="11.625" style="399" customWidth="1"/>
    <col min="7" max="7" width="14.875" style="399" customWidth="1"/>
    <col min="8" max="8" width="7.625" style="399" customWidth="1"/>
    <col min="9" max="9" width="8.5" style="399" customWidth="1"/>
    <col min="10" max="10" width="12.375" style="399" customWidth="1"/>
    <col min="11" max="11" width="9" style="399"/>
    <col min="12" max="12" width="18.5" style="399" customWidth="1"/>
    <col min="13" max="13" width="12.625" style="399" customWidth="1"/>
    <col min="14" max="22" width="9" style="399"/>
    <col min="23" max="23" width="14.375" style="399" customWidth="1"/>
    <col min="24" max="24" width="9" style="399"/>
    <col min="25" max="25" width="11.5" style="399" customWidth="1"/>
    <col min="26" max="26" width="20.25" style="399" customWidth="1"/>
    <col min="27" max="16384" width="9" style="399"/>
  </cols>
  <sheetData>
    <row r="1" spans="1:30" ht="14.25">
      <c r="A1" s="400" t="s">
        <v>377</v>
      </c>
      <c r="B1" s="401"/>
      <c r="C1" s="401"/>
      <c r="D1" s="401"/>
      <c r="E1" s="401"/>
      <c r="F1" s="401"/>
      <c r="G1" s="401"/>
      <c r="H1" s="401"/>
      <c r="I1" s="401"/>
      <c r="J1" s="401"/>
      <c r="K1" s="401"/>
      <c r="L1" s="401"/>
      <c r="M1" s="401"/>
      <c r="N1" s="401"/>
      <c r="O1" s="401"/>
      <c r="P1" s="401"/>
      <c r="Q1" s="401"/>
      <c r="R1" s="401"/>
      <c r="S1" s="401"/>
      <c r="T1" s="401"/>
      <c r="U1" s="401"/>
      <c r="V1" s="401"/>
      <c r="W1" s="401"/>
      <c r="X1" s="401"/>
      <c r="Y1" s="401"/>
      <c r="Z1" s="401"/>
      <c r="AA1" s="401"/>
      <c r="AB1" s="401"/>
      <c r="AC1" s="401"/>
      <c r="AD1" s="401"/>
    </row>
    <row r="2" spans="1:30" ht="14.25">
      <c r="A2" s="402" t="s">
        <v>378</v>
      </c>
      <c r="B2" s="402" t="s">
        <v>379</v>
      </c>
      <c r="C2" s="402"/>
      <c r="D2" s="402"/>
      <c r="E2" s="402"/>
      <c r="F2" s="402"/>
      <c r="G2" s="402"/>
      <c r="H2" s="402"/>
      <c r="I2" s="402"/>
      <c r="J2" s="402"/>
      <c r="K2" s="402"/>
      <c r="L2" s="402"/>
      <c r="M2" s="402"/>
      <c r="N2" s="402"/>
      <c r="O2" s="402"/>
      <c r="P2" s="402"/>
      <c r="Q2" s="402"/>
      <c r="R2" s="402"/>
      <c r="S2" s="402"/>
      <c r="T2" s="402"/>
      <c r="U2" s="402"/>
      <c r="V2" s="402"/>
      <c r="W2" s="402"/>
      <c r="X2" s="402"/>
      <c r="Y2" s="402"/>
      <c r="Z2" s="402"/>
      <c r="AA2" s="402"/>
      <c r="AB2" s="402"/>
      <c r="AC2" s="402"/>
      <c r="AD2" s="402"/>
    </row>
    <row r="3" spans="1:30" ht="14.25">
      <c r="A3" s="868" t="s">
        <v>428</v>
      </c>
      <c r="B3" s="869"/>
      <c r="C3" s="869"/>
      <c r="D3" s="869"/>
      <c r="E3" s="869"/>
      <c r="F3" s="869"/>
      <c r="G3" s="869"/>
      <c r="H3" s="869"/>
      <c r="I3" s="869"/>
      <c r="J3" s="869"/>
      <c r="K3" s="869"/>
      <c r="L3" s="869"/>
      <c r="M3" s="869"/>
      <c r="N3" s="869"/>
      <c r="O3" s="869"/>
      <c r="P3" s="869"/>
      <c r="Q3" s="869"/>
      <c r="R3" s="869"/>
      <c r="S3" s="869"/>
      <c r="T3" s="869"/>
      <c r="U3" s="869"/>
      <c r="V3" s="869"/>
      <c r="W3" s="869"/>
      <c r="X3" s="869"/>
      <c r="Y3" s="869"/>
      <c r="Z3" s="869"/>
      <c r="AA3" s="869"/>
      <c r="AB3" s="869"/>
      <c r="AC3" s="869"/>
      <c r="AD3" s="869"/>
    </row>
    <row r="4" spans="1:30">
      <c r="A4" s="818" t="s">
        <v>429</v>
      </c>
      <c r="B4" s="818"/>
      <c r="C4" s="818"/>
      <c r="D4" s="818"/>
      <c r="E4" s="818"/>
      <c r="F4" s="818"/>
      <c r="G4" s="818"/>
      <c r="H4" s="818"/>
      <c r="I4" s="818"/>
      <c r="J4" s="818"/>
      <c r="K4" s="818"/>
      <c r="L4" s="818"/>
      <c r="M4" s="818"/>
      <c r="N4" s="818"/>
      <c r="O4" s="818"/>
      <c r="P4" s="818"/>
      <c r="Q4" s="818"/>
      <c r="R4" s="818"/>
      <c r="S4" s="818"/>
      <c r="T4" s="818"/>
      <c r="U4" s="818"/>
      <c r="V4" s="818"/>
      <c r="W4" s="818"/>
      <c r="X4" s="818"/>
      <c r="Y4" s="818"/>
      <c r="Z4" s="818"/>
      <c r="AA4" s="818"/>
      <c r="AB4" s="818"/>
      <c r="AC4" s="818"/>
      <c r="AD4" s="818"/>
    </row>
    <row r="5" spans="1:30">
      <c r="A5" s="818"/>
      <c r="B5" s="818"/>
      <c r="C5" s="818"/>
      <c r="D5" s="818"/>
      <c r="E5" s="818"/>
      <c r="F5" s="818"/>
      <c r="G5" s="818"/>
      <c r="H5" s="818"/>
      <c r="I5" s="818"/>
      <c r="J5" s="818"/>
      <c r="K5" s="818"/>
      <c r="L5" s="818"/>
      <c r="M5" s="818"/>
      <c r="N5" s="818"/>
      <c r="O5" s="818"/>
      <c r="P5" s="818"/>
      <c r="Q5" s="818"/>
      <c r="R5" s="818"/>
      <c r="S5" s="818"/>
      <c r="T5" s="818"/>
      <c r="U5" s="818"/>
      <c r="V5" s="818"/>
      <c r="W5" s="818"/>
      <c r="X5" s="818"/>
      <c r="Y5" s="818"/>
      <c r="Z5" s="818"/>
      <c r="AA5" s="818"/>
      <c r="AB5" s="818"/>
      <c r="AC5" s="818"/>
      <c r="AD5" s="818"/>
    </row>
    <row r="6" spans="1:30">
      <c r="A6" s="818"/>
      <c r="B6" s="818"/>
      <c r="C6" s="818"/>
      <c r="D6" s="818"/>
      <c r="E6" s="818"/>
      <c r="F6" s="818"/>
      <c r="G6" s="818"/>
      <c r="H6" s="818"/>
      <c r="I6" s="818"/>
      <c r="J6" s="818"/>
      <c r="K6" s="818"/>
      <c r="L6" s="818"/>
      <c r="M6" s="818"/>
      <c r="N6" s="818"/>
      <c r="O6" s="818"/>
      <c r="P6" s="818"/>
      <c r="Q6" s="818"/>
      <c r="R6" s="818"/>
      <c r="S6" s="818"/>
      <c r="T6" s="818"/>
      <c r="U6" s="818"/>
      <c r="V6" s="818"/>
      <c r="W6" s="818"/>
      <c r="X6" s="818"/>
      <c r="Y6" s="818"/>
      <c r="Z6" s="818"/>
      <c r="AA6" s="818"/>
      <c r="AB6" s="818"/>
      <c r="AC6" s="818"/>
      <c r="AD6" s="818"/>
    </row>
    <row r="7" spans="1:30" ht="14.25">
      <c r="A7" s="868" t="s">
        <v>430</v>
      </c>
      <c r="B7" s="869"/>
      <c r="C7" s="869"/>
      <c r="D7" s="869"/>
      <c r="E7" s="869"/>
      <c r="F7" s="869"/>
      <c r="G7" s="869"/>
      <c r="H7" s="869"/>
      <c r="I7" s="869"/>
      <c r="J7" s="869"/>
      <c r="K7" s="869"/>
      <c r="L7" s="869"/>
      <c r="M7" s="869"/>
      <c r="N7" s="869"/>
      <c r="O7" s="869"/>
      <c r="P7" s="869"/>
      <c r="Q7" s="869"/>
      <c r="R7" s="869"/>
      <c r="S7" s="869"/>
      <c r="T7" s="869"/>
      <c r="U7" s="869"/>
      <c r="V7" s="869"/>
      <c r="W7" s="869"/>
      <c r="X7" s="869"/>
      <c r="Y7" s="869"/>
      <c r="Z7" s="869"/>
      <c r="AA7" s="869"/>
      <c r="AB7" s="869"/>
      <c r="AC7" s="869"/>
    </row>
    <row r="8" spans="1:30">
      <c r="A8" s="819" t="s">
        <v>431</v>
      </c>
      <c r="B8" s="819"/>
      <c r="C8" s="819"/>
      <c r="D8" s="819"/>
      <c r="E8" s="819"/>
      <c r="F8" s="819"/>
      <c r="G8" s="819"/>
      <c r="H8" s="819"/>
      <c r="I8" s="819"/>
      <c r="J8" s="819"/>
      <c r="K8" s="819"/>
      <c r="L8" s="819"/>
      <c r="M8" s="819"/>
      <c r="N8" s="819"/>
      <c r="O8" s="819"/>
      <c r="P8" s="819"/>
      <c r="Q8" s="819"/>
      <c r="R8" s="819"/>
      <c r="S8" s="819"/>
      <c r="T8" s="819"/>
      <c r="U8" s="819"/>
      <c r="V8" s="819"/>
      <c r="W8" s="819"/>
      <c r="X8" s="819"/>
      <c r="Y8" s="819"/>
      <c r="Z8" s="819"/>
      <c r="AA8" s="819"/>
      <c r="AB8" s="819"/>
      <c r="AC8" s="819"/>
    </row>
    <row r="9" spans="1:30">
      <c r="A9" s="819"/>
      <c r="B9" s="819"/>
      <c r="C9" s="819"/>
      <c r="D9" s="819"/>
      <c r="E9" s="819"/>
      <c r="F9" s="819"/>
      <c r="G9" s="819"/>
      <c r="H9" s="819"/>
      <c r="I9" s="819"/>
      <c r="J9" s="819"/>
      <c r="K9" s="819"/>
      <c r="L9" s="819"/>
      <c r="M9" s="819"/>
      <c r="N9" s="819"/>
      <c r="O9" s="819"/>
      <c r="P9" s="819"/>
      <c r="Q9" s="819"/>
      <c r="R9" s="819"/>
      <c r="S9" s="819"/>
      <c r="T9" s="819"/>
      <c r="U9" s="819"/>
      <c r="V9" s="819"/>
      <c r="W9" s="819"/>
      <c r="X9" s="819"/>
      <c r="Y9" s="819"/>
      <c r="Z9" s="819"/>
      <c r="AA9" s="819"/>
      <c r="AB9" s="819"/>
      <c r="AC9" s="819"/>
    </row>
    <row r="10" spans="1:30">
      <c r="A10" s="819"/>
      <c r="B10" s="819"/>
      <c r="C10" s="819"/>
      <c r="D10" s="819"/>
      <c r="E10" s="819"/>
      <c r="F10" s="819"/>
      <c r="G10" s="819"/>
      <c r="H10" s="819"/>
      <c r="I10" s="819"/>
      <c r="J10" s="819"/>
      <c r="K10" s="819"/>
      <c r="L10" s="819"/>
      <c r="M10" s="819"/>
      <c r="N10" s="819"/>
      <c r="O10" s="819"/>
      <c r="P10" s="819"/>
      <c r="Q10" s="819"/>
      <c r="R10" s="819"/>
      <c r="S10" s="819"/>
      <c r="T10" s="819"/>
      <c r="U10" s="819"/>
      <c r="V10" s="819"/>
      <c r="W10" s="819"/>
      <c r="X10" s="819"/>
      <c r="Y10" s="819"/>
      <c r="Z10" s="819"/>
      <c r="AA10" s="819"/>
      <c r="AB10" s="819"/>
      <c r="AC10" s="819"/>
    </row>
    <row r="11" spans="1:30" ht="14.25">
      <c r="A11" s="868" t="s">
        <v>432</v>
      </c>
      <c r="B11" s="869"/>
      <c r="C11" s="869"/>
      <c r="D11" s="869"/>
      <c r="E11" s="869"/>
      <c r="F11" s="869"/>
      <c r="G11" s="869"/>
      <c r="H11" s="869"/>
      <c r="I11" s="869"/>
      <c r="J11" s="869"/>
      <c r="K11" s="869"/>
      <c r="L11" s="869"/>
      <c r="M11" s="869"/>
      <c r="N11" s="869"/>
      <c r="O11" s="869"/>
      <c r="P11" s="869"/>
      <c r="Q11" s="869"/>
      <c r="R11" s="869"/>
      <c r="S11" s="869"/>
      <c r="T11" s="869"/>
      <c r="U11" s="869"/>
      <c r="V11" s="869"/>
      <c r="W11" s="869"/>
      <c r="X11" s="869"/>
      <c r="Y11" s="869"/>
      <c r="Z11" s="869"/>
      <c r="AA11" s="869"/>
      <c r="AB11" s="869"/>
      <c r="AC11" s="869"/>
    </row>
    <row r="12" spans="1:30">
      <c r="A12" s="819" t="s">
        <v>433</v>
      </c>
      <c r="B12" s="819"/>
      <c r="C12" s="819"/>
      <c r="D12" s="819"/>
      <c r="E12" s="819"/>
      <c r="F12" s="819"/>
      <c r="G12" s="819"/>
      <c r="H12" s="819"/>
      <c r="I12" s="819"/>
      <c r="J12" s="819"/>
      <c r="K12" s="819"/>
      <c r="L12" s="819"/>
      <c r="M12" s="819"/>
      <c r="N12" s="819"/>
      <c r="O12" s="819"/>
      <c r="P12" s="819"/>
      <c r="Q12" s="819"/>
      <c r="R12" s="819"/>
      <c r="S12" s="819"/>
      <c r="T12" s="819"/>
      <c r="U12" s="819"/>
      <c r="V12" s="819"/>
      <c r="W12" s="819"/>
      <c r="X12" s="819"/>
      <c r="Y12" s="819"/>
      <c r="Z12" s="819"/>
      <c r="AA12" s="819"/>
      <c r="AB12" s="819"/>
      <c r="AC12" s="819"/>
    </row>
    <row r="13" spans="1:30">
      <c r="A13" s="819"/>
      <c r="B13" s="819"/>
      <c r="C13" s="819"/>
      <c r="D13" s="819"/>
      <c r="E13" s="819"/>
      <c r="F13" s="819"/>
      <c r="G13" s="819"/>
      <c r="H13" s="819"/>
      <c r="I13" s="819"/>
      <c r="J13" s="819"/>
      <c r="K13" s="819"/>
      <c r="L13" s="819"/>
      <c r="M13" s="819"/>
      <c r="N13" s="819"/>
      <c r="O13" s="819"/>
      <c r="P13" s="819"/>
      <c r="Q13" s="819"/>
      <c r="R13" s="819"/>
      <c r="S13" s="819"/>
      <c r="T13" s="819"/>
      <c r="U13" s="819"/>
      <c r="V13" s="819"/>
      <c r="W13" s="819"/>
      <c r="X13" s="819"/>
      <c r="Y13" s="819"/>
      <c r="Z13" s="819"/>
      <c r="AA13" s="819"/>
      <c r="AB13" s="819"/>
      <c r="AC13" s="819"/>
    </row>
    <row r="14" spans="1:30" ht="12.75" customHeight="1">
      <c r="A14" s="819"/>
      <c r="B14" s="819"/>
      <c r="C14" s="819"/>
      <c r="D14" s="819"/>
      <c r="E14" s="819"/>
      <c r="F14" s="819"/>
      <c r="G14" s="819"/>
      <c r="H14" s="819"/>
      <c r="I14" s="819"/>
      <c r="J14" s="819"/>
      <c r="K14" s="819"/>
      <c r="L14" s="819"/>
      <c r="M14" s="819"/>
      <c r="N14" s="819"/>
      <c r="O14" s="819"/>
      <c r="P14" s="819"/>
      <c r="Q14" s="819"/>
      <c r="R14" s="819"/>
      <c r="S14" s="819"/>
      <c r="T14" s="819"/>
      <c r="U14" s="819"/>
      <c r="V14" s="819"/>
      <c r="W14" s="819"/>
      <c r="X14" s="819"/>
      <c r="Y14" s="819"/>
      <c r="Z14" s="819"/>
      <c r="AA14" s="819"/>
      <c r="AB14" s="819"/>
      <c r="AC14" s="819"/>
    </row>
    <row r="15" spans="1:30" ht="14.25">
      <c r="A15" s="868" t="s">
        <v>434</v>
      </c>
      <c r="B15" s="869"/>
      <c r="C15" s="869"/>
      <c r="D15" s="869"/>
      <c r="E15" s="869"/>
      <c r="F15" s="869"/>
      <c r="G15" s="869"/>
      <c r="H15" s="869"/>
      <c r="I15" s="869"/>
      <c r="J15" s="869"/>
      <c r="K15" s="869"/>
      <c r="L15" s="869"/>
      <c r="M15" s="869"/>
      <c r="N15" s="869"/>
      <c r="O15" s="869"/>
      <c r="P15" s="869"/>
      <c r="Q15" s="869"/>
      <c r="R15" s="869"/>
      <c r="S15" s="869"/>
      <c r="T15" s="869"/>
      <c r="U15" s="869"/>
      <c r="V15" s="869"/>
      <c r="W15" s="869"/>
      <c r="X15" s="869"/>
      <c r="Y15" s="869"/>
      <c r="Z15" s="869"/>
      <c r="AA15" s="869"/>
      <c r="AB15" s="869"/>
      <c r="AC15" s="869"/>
    </row>
    <row r="16" spans="1:30" ht="14.25">
      <c r="A16" s="875" t="s">
        <v>435</v>
      </c>
      <c r="B16" s="876"/>
      <c r="C16" s="876"/>
      <c r="D16" s="876"/>
      <c r="E16" s="876"/>
      <c r="F16" s="876"/>
      <c r="G16" s="876"/>
      <c r="H16" s="876"/>
      <c r="I16" s="876"/>
      <c r="J16" s="876"/>
      <c r="K16" s="876"/>
      <c r="L16" s="876"/>
      <c r="M16" s="876"/>
      <c r="N16" s="876"/>
      <c r="O16" s="876"/>
      <c r="P16" s="876"/>
      <c r="Q16" s="876"/>
      <c r="R16" s="876"/>
      <c r="S16" s="876"/>
      <c r="T16" s="876"/>
      <c r="U16" s="876"/>
      <c r="V16" s="876"/>
      <c r="W16" s="876"/>
      <c r="X16" s="876"/>
      <c r="Y16" s="876"/>
      <c r="Z16" s="876"/>
      <c r="AA16" s="876"/>
      <c r="AB16" s="876"/>
      <c r="AC16" s="877"/>
    </row>
    <row r="17" spans="1:29" ht="14.25">
      <c r="A17" s="868" t="s">
        <v>436</v>
      </c>
      <c r="B17" s="869"/>
      <c r="C17" s="869"/>
      <c r="D17" s="869"/>
      <c r="E17" s="869"/>
      <c r="F17" s="869"/>
      <c r="G17" s="869"/>
      <c r="H17" s="869"/>
      <c r="I17" s="869"/>
      <c r="J17" s="869"/>
      <c r="K17" s="869"/>
      <c r="L17" s="869"/>
      <c r="M17" s="869"/>
      <c r="N17" s="869"/>
      <c r="O17" s="869"/>
      <c r="P17" s="869"/>
      <c r="Q17" s="869"/>
      <c r="R17" s="869"/>
      <c r="S17" s="869"/>
      <c r="T17" s="869"/>
      <c r="U17" s="869"/>
      <c r="V17" s="869"/>
      <c r="W17" s="869"/>
      <c r="X17" s="869"/>
      <c r="Y17" s="869"/>
      <c r="Z17" s="869"/>
      <c r="AA17" s="869"/>
      <c r="AB17" s="869"/>
      <c r="AC17" s="869"/>
    </row>
    <row r="18" spans="1:29" ht="12.75" customHeight="1">
      <c r="A18" s="875" t="s">
        <v>437</v>
      </c>
      <c r="B18" s="876"/>
      <c r="C18" s="876"/>
      <c r="D18" s="876"/>
      <c r="E18" s="876"/>
      <c r="F18" s="876"/>
      <c r="G18" s="876"/>
      <c r="H18" s="876"/>
      <c r="I18" s="876"/>
      <c r="J18" s="876"/>
      <c r="K18" s="876"/>
      <c r="L18" s="876"/>
      <c r="M18" s="876"/>
      <c r="N18" s="876"/>
      <c r="O18" s="876"/>
      <c r="P18" s="876"/>
      <c r="Q18" s="876"/>
      <c r="R18" s="876"/>
      <c r="S18" s="876"/>
      <c r="T18" s="876"/>
      <c r="U18" s="876"/>
      <c r="V18" s="876"/>
      <c r="W18" s="876"/>
      <c r="X18" s="876"/>
      <c r="Y18" s="876"/>
      <c r="Z18" s="876"/>
      <c r="AA18" s="876"/>
      <c r="AB18" s="876"/>
      <c r="AC18" s="877"/>
    </row>
    <row r="20" spans="1:29" ht="14.25">
      <c r="A20" s="402" t="s">
        <v>395</v>
      </c>
      <c r="B20" s="402" t="s">
        <v>438</v>
      </c>
      <c r="C20" s="402"/>
      <c r="D20" s="402"/>
      <c r="E20" s="402"/>
      <c r="F20" s="402"/>
      <c r="G20" s="402"/>
      <c r="H20" s="402"/>
      <c r="I20" s="402"/>
      <c r="J20" s="402"/>
      <c r="K20" s="402"/>
      <c r="L20" s="402"/>
      <c r="M20" s="402"/>
      <c r="N20" s="402"/>
      <c r="O20" s="402"/>
      <c r="P20" s="402"/>
      <c r="Q20" s="402"/>
      <c r="R20" s="402"/>
      <c r="S20" s="402"/>
      <c r="T20" s="402"/>
      <c r="U20" s="402"/>
      <c r="V20" s="402"/>
      <c r="W20" s="402"/>
      <c r="X20" s="402"/>
      <c r="Y20" s="402"/>
      <c r="Z20" s="402"/>
      <c r="AA20" s="402"/>
    </row>
    <row r="21" spans="1:29" ht="14.25">
      <c r="B21" s="403" t="s">
        <v>397</v>
      </c>
      <c r="C21" s="403"/>
      <c r="D21" s="404"/>
      <c r="E21" s="867"/>
      <c r="F21" s="867"/>
      <c r="G21" s="867"/>
      <c r="H21" s="867"/>
      <c r="I21" s="867"/>
      <c r="J21" s="867"/>
      <c r="K21" s="403" t="s">
        <v>398</v>
      </c>
      <c r="L21" s="403"/>
      <c r="M21" s="403"/>
      <c r="N21" s="867" t="s">
        <v>399</v>
      </c>
      <c r="O21" s="867"/>
      <c r="P21" s="867"/>
      <c r="Q21" s="867"/>
      <c r="R21" s="867"/>
      <c r="S21" s="867"/>
      <c r="T21" s="867"/>
      <c r="U21" s="867"/>
      <c r="V21" s="403" t="s">
        <v>400</v>
      </c>
      <c r="W21" s="867" t="s">
        <v>401</v>
      </c>
      <c r="X21" s="867"/>
      <c r="Y21" s="867"/>
      <c r="Z21" s="867"/>
      <c r="AA21" s="403"/>
    </row>
    <row r="22" spans="1:29" ht="14.25">
      <c r="A22" s="811"/>
      <c r="B22" s="406" t="s">
        <v>439</v>
      </c>
      <c r="C22" s="407"/>
      <c r="D22" s="407" t="s">
        <v>440</v>
      </c>
      <c r="E22" s="407"/>
      <c r="F22" s="407"/>
      <c r="G22" s="407"/>
      <c r="H22" s="407"/>
      <c r="I22" s="407"/>
      <c r="J22" s="407"/>
      <c r="K22" s="811"/>
      <c r="L22" s="439"/>
      <c r="M22" s="440"/>
      <c r="N22" s="440"/>
      <c r="O22" s="440"/>
      <c r="P22" s="440"/>
      <c r="Q22" s="440"/>
      <c r="R22" s="440"/>
      <c r="S22" s="440"/>
      <c r="T22" s="440"/>
      <c r="U22" s="440"/>
      <c r="V22" s="475"/>
      <c r="W22" s="439"/>
      <c r="X22" s="440"/>
      <c r="Y22" s="440"/>
      <c r="Z22" s="484"/>
      <c r="AA22" s="403"/>
    </row>
    <row r="23" spans="1:29" ht="14.25" outlineLevel="1">
      <c r="A23" s="811"/>
      <c r="B23" s="833" t="s">
        <v>385</v>
      </c>
      <c r="C23" s="407"/>
      <c r="D23" s="407"/>
      <c r="E23" s="407"/>
      <c r="F23" s="407"/>
      <c r="G23" s="407"/>
      <c r="H23" s="407"/>
      <c r="I23" s="407"/>
      <c r="J23" s="407"/>
      <c r="K23" s="811"/>
      <c r="L23" s="439"/>
      <c r="M23" s="440"/>
      <c r="N23" s="440"/>
      <c r="O23" s="440"/>
      <c r="P23" s="440"/>
      <c r="Q23" s="440"/>
      <c r="R23" s="440"/>
      <c r="S23" s="440"/>
      <c r="T23" s="440"/>
      <c r="U23" s="440"/>
      <c r="V23" s="475"/>
      <c r="W23" s="439"/>
      <c r="X23" s="440"/>
      <c r="Y23" s="440"/>
      <c r="Z23" s="484"/>
      <c r="AA23" s="403"/>
    </row>
    <row r="24" spans="1:29" ht="14.25" outlineLevel="1">
      <c r="A24" s="811"/>
      <c r="B24" s="834"/>
      <c r="C24" s="849" t="s">
        <v>308</v>
      </c>
      <c r="D24" s="849"/>
      <c r="E24" s="850" t="s">
        <v>309</v>
      </c>
      <c r="F24" s="851"/>
      <c r="G24" s="850" t="s">
        <v>307</v>
      </c>
      <c r="H24" s="851"/>
      <c r="I24" s="852" t="s">
        <v>215</v>
      </c>
      <c r="J24" s="849"/>
      <c r="K24" s="811"/>
      <c r="L24" s="855" t="s">
        <v>404</v>
      </c>
      <c r="M24" s="856"/>
      <c r="N24" s="856"/>
      <c r="O24" s="856"/>
      <c r="P24" s="856"/>
      <c r="Q24" s="856"/>
      <c r="R24" s="856"/>
      <c r="S24" s="856"/>
      <c r="T24" s="856"/>
      <c r="U24" s="857"/>
      <c r="V24" s="475"/>
      <c r="W24" s="855" t="s">
        <v>405</v>
      </c>
      <c r="X24" s="856"/>
      <c r="Y24" s="856"/>
      <c r="Z24" s="857"/>
      <c r="AA24" s="403"/>
    </row>
    <row r="25" spans="1:29" ht="14.25" outlineLevel="1">
      <c r="A25" s="832"/>
      <c r="B25" s="408" t="s">
        <v>441</v>
      </c>
      <c r="C25" s="852" t="s">
        <v>442</v>
      </c>
      <c r="D25" s="871"/>
      <c r="E25" s="852" t="s">
        <v>443</v>
      </c>
      <c r="F25" s="871"/>
      <c r="G25" s="852" t="s">
        <v>444</v>
      </c>
      <c r="H25" s="871"/>
      <c r="I25" s="441"/>
      <c r="J25" s="442"/>
      <c r="K25" s="811"/>
      <c r="L25" s="814" t="s">
        <v>445</v>
      </c>
      <c r="M25" s="816" t="s">
        <v>407</v>
      </c>
      <c r="N25" s="858" t="s">
        <v>308</v>
      </c>
      <c r="O25" s="859"/>
      <c r="P25" s="858" t="s">
        <v>309</v>
      </c>
      <c r="Q25" s="859"/>
      <c r="R25" s="858" t="s">
        <v>307</v>
      </c>
      <c r="S25" s="859"/>
      <c r="T25" s="858" t="s">
        <v>215</v>
      </c>
      <c r="U25" s="859"/>
      <c r="V25" s="475"/>
      <c r="W25" s="476" t="s">
        <v>432</v>
      </c>
      <c r="X25" s="476" t="s">
        <v>428</v>
      </c>
      <c r="Y25" s="476" t="s">
        <v>430</v>
      </c>
      <c r="Z25" s="476" t="s">
        <v>446</v>
      </c>
      <c r="AA25" s="403"/>
    </row>
    <row r="26" spans="1:29" ht="16.5" outlineLevel="1">
      <c r="A26" s="832"/>
      <c r="B26" s="409" t="s">
        <v>447</v>
      </c>
      <c r="C26" s="410">
        <v>0.05</v>
      </c>
      <c r="D26" s="411">
        <v>1.6E-2</v>
      </c>
      <c r="E26" s="410">
        <v>0.20499999999999999</v>
      </c>
      <c r="F26" s="411">
        <v>4.07E-2</v>
      </c>
      <c r="G26" s="412">
        <v>6.0000000000000001E-3</v>
      </c>
      <c r="H26" s="413">
        <v>0.2</v>
      </c>
      <c r="I26" s="443"/>
      <c r="J26" s="444"/>
      <c r="K26" s="811"/>
      <c r="L26" s="815"/>
      <c r="M26" s="817"/>
      <c r="N26" s="446" t="s">
        <v>409</v>
      </c>
      <c r="O26" s="447" t="s">
        <v>410</v>
      </c>
      <c r="P26" s="448" t="s">
        <v>409</v>
      </c>
      <c r="Q26" s="477" t="s">
        <v>410</v>
      </c>
      <c r="R26" s="448" t="s">
        <v>409</v>
      </c>
      <c r="S26" s="477" t="s">
        <v>410</v>
      </c>
      <c r="T26" s="448" t="s">
        <v>409</v>
      </c>
      <c r="U26" s="477" t="s">
        <v>410</v>
      </c>
      <c r="V26" s="475"/>
      <c r="W26" s="478">
        <f>0.0568+2.53*SUM(N27:O27)+0.558*SUM(N29:O29)+0.877*SUM(N30:O30)</f>
        <v>0.40902554000000002</v>
      </c>
      <c r="X26" s="478">
        <f>0.6914-0.4371*SUM(P27:Q27)-0.0939*SUM(P29:Q29)-0.1958*SUM(P30:Q30)</f>
        <v>0.33032322000000003</v>
      </c>
      <c r="Y26" s="485">
        <f>SUM(R27:S27)*总模型!D21+SUM(R28:S28)*总模型!E21+SUM(R29:S29)*总模型!F21+SUM(R30:S30)*总模型!G21</f>
        <v>-6.9827163800000008E-2</v>
      </c>
      <c r="Z26" s="485">
        <f>0.04015-0.373*SUM(T29:U29)-0.01078*(0.699+0.01928*SUM(T31:U31)-2.262*SUM(T30:U30))</f>
        <v>2.7569212084800003E-2</v>
      </c>
      <c r="AA26" s="403"/>
    </row>
    <row r="27" spans="1:29" ht="16.5" outlineLevel="1">
      <c r="A27" s="832"/>
      <c r="B27" s="409" t="s">
        <v>448</v>
      </c>
      <c r="C27" s="414">
        <v>4.8000000000000001E-2</v>
      </c>
      <c r="D27" s="415">
        <v>1.6E-2</v>
      </c>
      <c r="E27" s="414">
        <v>0.193</v>
      </c>
      <c r="F27" s="415">
        <v>6.3E-2</v>
      </c>
      <c r="G27" s="412">
        <v>0</v>
      </c>
      <c r="H27" s="413">
        <v>0.39979999999999999</v>
      </c>
      <c r="I27" s="449"/>
      <c r="J27" s="450"/>
      <c r="K27" s="811"/>
      <c r="L27" s="451" t="s">
        <v>449</v>
      </c>
      <c r="M27" s="452">
        <v>2</v>
      </c>
      <c r="N27" s="453">
        <f>IF(O27=0,INDEX(C26:C28,$M$27),0)</f>
        <v>0</v>
      </c>
      <c r="O27" s="454">
        <v>1.6899999999999998E-2</v>
      </c>
      <c r="P27" s="453">
        <f>IF(Q27=0,INDEX(E26:E28,$M$27),0)</f>
        <v>0</v>
      </c>
      <c r="Q27" s="454">
        <v>6.7799999999999999E-2</v>
      </c>
      <c r="R27" s="453">
        <f>IF(S27=0,INDEX(G26:G28,$M$27),0)</f>
        <v>0</v>
      </c>
      <c r="S27" s="454">
        <v>-0.26280999999999999</v>
      </c>
      <c r="T27" s="453" t="s">
        <v>172</v>
      </c>
      <c r="U27" s="454" t="s">
        <v>172</v>
      </c>
      <c r="V27" s="475"/>
      <c r="W27" s="479"/>
      <c r="X27" s="479"/>
      <c r="Y27" s="486"/>
      <c r="Z27" s="476" t="s">
        <v>450</v>
      </c>
      <c r="AA27" s="487"/>
    </row>
    <row r="28" spans="1:29" ht="16.5" outlineLevel="1">
      <c r="A28" s="832"/>
      <c r="B28" s="416" t="s">
        <v>451</v>
      </c>
      <c r="C28" s="417">
        <v>3.4099999999999998E-2</v>
      </c>
      <c r="D28" s="418">
        <v>0.01</v>
      </c>
      <c r="E28" s="417">
        <v>0.13200000000000001</v>
      </c>
      <c r="F28" s="418">
        <v>0.04</v>
      </c>
      <c r="G28" s="412">
        <v>0</v>
      </c>
      <c r="H28" s="413">
        <v>0.3</v>
      </c>
      <c r="I28" s="455"/>
      <c r="J28" s="456"/>
      <c r="K28" s="811"/>
      <c r="L28" s="457" t="s">
        <v>452</v>
      </c>
      <c r="M28" s="452">
        <v>2</v>
      </c>
      <c r="N28" s="453" t="s">
        <v>172</v>
      </c>
      <c r="O28" s="454" t="s">
        <v>172</v>
      </c>
      <c r="P28" s="453" t="s">
        <v>172</v>
      </c>
      <c r="Q28" s="454" t="s">
        <v>172</v>
      </c>
      <c r="R28" s="453">
        <f>IF(S28=0,INDEX(G30:G32,$M$28),0)</f>
        <v>0</v>
      </c>
      <c r="S28" s="454">
        <v>-7.8509999999999996E-2</v>
      </c>
      <c r="T28" s="453" t="s">
        <v>172</v>
      </c>
      <c r="U28" s="454" t="s">
        <v>172</v>
      </c>
      <c r="V28" s="475"/>
      <c r="W28" s="480"/>
      <c r="X28" s="480"/>
      <c r="Y28" s="488"/>
      <c r="Z28" s="485">
        <f>0.04015-0.373*SUM(T29:U29)-0.01078*(0.699+0.01928*SUM(T32:U32)-2.262*SUM(T30:U30))</f>
        <v>2.7976706286992004E-2</v>
      </c>
      <c r="AA28" s="487"/>
    </row>
    <row r="29" spans="1:29" ht="14.25" outlineLevel="1">
      <c r="A29" s="832"/>
      <c r="B29" s="419" t="s">
        <v>453</v>
      </c>
      <c r="C29" s="852" t="s">
        <v>454</v>
      </c>
      <c r="D29" s="871"/>
      <c r="E29" s="852" t="s">
        <v>455</v>
      </c>
      <c r="F29" s="871"/>
      <c r="G29" s="852" t="s">
        <v>456</v>
      </c>
      <c r="H29" s="871"/>
      <c r="I29" s="872"/>
      <c r="J29" s="873"/>
      <c r="K29" s="811"/>
      <c r="L29" s="457" t="s">
        <v>457</v>
      </c>
      <c r="M29" s="452">
        <v>2</v>
      </c>
      <c r="N29" s="453">
        <f>IF(O29=0,INDEX(C34:C35,$M$29),0)</f>
        <v>0</v>
      </c>
      <c r="O29" s="454">
        <v>0.23727999999999999</v>
      </c>
      <c r="P29" s="453">
        <f>IF(S29=0,INDEX(G34:G35,$M$29),0)</f>
        <v>0</v>
      </c>
      <c r="Q29" s="454">
        <v>1.97</v>
      </c>
      <c r="R29" s="453">
        <f>IF(S29=0,INDEX(G34:G35,$M$29),0)</f>
        <v>0</v>
      </c>
      <c r="S29" s="454">
        <v>-0.112859</v>
      </c>
      <c r="T29" s="453">
        <f>IF(U29=0,I34,0)</f>
        <v>0</v>
      </c>
      <c r="U29" s="454">
        <v>0.01</v>
      </c>
      <c r="V29" s="475"/>
      <c r="W29" s="403"/>
      <c r="X29" s="403"/>
      <c r="Y29" s="403"/>
      <c r="Z29" s="403"/>
      <c r="AA29" s="403"/>
    </row>
    <row r="30" spans="1:29" ht="16.5" outlineLevel="1">
      <c r="A30" s="832"/>
      <c r="B30" s="409" t="s">
        <v>458</v>
      </c>
      <c r="C30" s="417"/>
      <c r="D30" s="411"/>
      <c r="E30" s="410"/>
      <c r="F30" s="411"/>
      <c r="G30" s="420">
        <v>-5.0639999999999998E-2</v>
      </c>
      <c r="H30" s="415">
        <v>0.125391</v>
      </c>
      <c r="I30" s="458"/>
      <c r="J30" s="411"/>
      <c r="K30" s="811"/>
      <c r="L30" s="457" t="s">
        <v>459</v>
      </c>
      <c r="M30" s="452">
        <v>2</v>
      </c>
      <c r="N30" s="453">
        <f>IF(O30=0,INDEX(C37:C38,$M$30),0)</f>
        <v>0.2019</v>
      </c>
      <c r="O30" s="454"/>
      <c r="P30" s="453">
        <f>IF(Q30=0,INDEX(E37:E38,$M$30),0)</f>
        <v>0.748</v>
      </c>
      <c r="Q30" s="454"/>
      <c r="R30" s="453">
        <f>IF(S30=0,INDEX(G37:G38,$M$30),0)</f>
        <v>0.25</v>
      </c>
      <c r="S30" s="481"/>
      <c r="T30" s="453">
        <f>IF(U30=0,G42,0)</f>
        <v>0</v>
      </c>
      <c r="U30" s="454">
        <v>0.01</v>
      </c>
      <c r="V30" s="475"/>
      <c r="W30" s="403"/>
      <c r="X30" s="403"/>
      <c r="Y30" s="403"/>
      <c r="Z30" s="403"/>
      <c r="AA30" s="403"/>
    </row>
    <row r="31" spans="1:29" ht="16.5" outlineLevel="1">
      <c r="A31" s="811"/>
      <c r="B31" s="409" t="s">
        <v>460</v>
      </c>
      <c r="C31" s="417"/>
      <c r="D31" s="411"/>
      <c r="E31" s="410"/>
      <c r="F31" s="411"/>
      <c r="G31" s="420">
        <v>-7.5999999999999998E-2</v>
      </c>
      <c r="H31" s="415">
        <v>0.250195</v>
      </c>
      <c r="I31" s="424"/>
      <c r="J31" s="459"/>
      <c r="K31" s="812"/>
      <c r="T31" s="453">
        <f>IF(U31=0,INDEX(I42:I43,$M$30),0)</f>
        <v>7.5030000000000001</v>
      </c>
      <c r="U31" s="454"/>
      <c r="V31" s="482"/>
      <c r="W31" s="403"/>
      <c r="X31" s="403"/>
      <c r="Y31" s="403"/>
      <c r="Z31" s="403"/>
      <c r="AA31" s="403"/>
    </row>
    <row r="32" spans="1:29" ht="16.5" outlineLevel="1">
      <c r="A32" s="811"/>
      <c r="B32" s="409" t="s">
        <v>461</v>
      </c>
      <c r="C32" s="417"/>
      <c r="D32" s="415"/>
      <c r="E32" s="414"/>
      <c r="F32" s="415"/>
      <c r="G32" s="420">
        <v>-9.3600000000000003E-2</v>
      </c>
      <c r="H32" s="415">
        <v>0.27055200000000001</v>
      </c>
      <c r="I32" s="460"/>
      <c r="J32" s="415"/>
      <c r="K32" s="461"/>
      <c r="T32" s="453">
        <f>IF(U32=0,INDEX(I44:I45,$M$30),0)</f>
        <v>0</v>
      </c>
      <c r="U32" s="454">
        <v>5.54237</v>
      </c>
      <c r="V32" s="483"/>
      <c r="W32" s="403"/>
      <c r="X32" s="403"/>
      <c r="Y32" s="403"/>
      <c r="Z32" s="403"/>
      <c r="AA32" s="403"/>
    </row>
    <row r="33" spans="1:27" ht="14.25" outlineLevel="1">
      <c r="A33" s="403"/>
      <c r="B33" s="419" t="s">
        <v>445</v>
      </c>
      <c r="C33" s="850" t="s">
        <v>462</v>
      </c>
      <c r="D33" s="851"/>
      <c r="E33" s="850"/>
      <c r="F33" s="851"/>
      <c r="G33" s="850" t="s">
        <v>463</v>
      </c>
      <c r="H33" s="851"/>
      <c r="I33" s="874" t="s">
        <v>464</v>
      </c>
      <c r="J33" s="851"/>
      <c r="K33" s="462"/>
    </row>
    <row r="34" spans="1:27" ht="16.5" outlineLevel="1">
      <c r="A34" s="403"/>
      <c r="B34" s="421" t="s">
        <v>465</v>
      </c>
      <c r="C34" s="410">
        <v>0.26900000000000002</v>
      </c>
      <c r="D34" s="411">
        <v>8.9599999999999999E-2</v>
      </c>
      <c r="E34" s="417"/>
      <c r="F34" s="411"/>
      <c r="G34" s="420">
        <v>0</v>
      </c>
      <c r="H34" s="415">
        <v>0.21</v>
      </c>
      <c r="I34" s="463">
        <v>1.0999999999999999E-2</v>
      </c>
      <c r="J34" s="415">
        <v>3.3999999999999998E-3</v>
      </c>
      <c r="K34" s="813"/>
    </row>
    <row r="35" spans="1:27" ht="16.5" outlineLevel="1">
      <c r="A35" s="403"/>
      <c r="B35" s="409" t="s">
        <v>466</v>
      </c>
      <c r="C35" s="414">
        <v>0.21870000000000001</v>
      </c>
      <c r="D35" s="415">
        <v>7.2900000000000006E-2</v>
      </c>
      <c r="E35" s="417"/>
      <c r="F35" s="415"/>
      <c r="G35" s="420">
        <v>0</v>
      </c>
      <c r="H35" s="415">
        <v>0.25000989973643301</v>
      </c>
      <c r="I35" s="460"/>
      <c r="J35" s="415"/>
      <c r="K35" s="813"/>
    </row>
    <row r="36" spans="1:27" ht="14.25" outlineLevel="1">
      <c r="A36" s="403"/>
      <c r="B36" s="419" t="s">
        <v>467</v>
      </c>
      <c r="C36" s="850" t="s">
        <v>468</v>
      </c>
      <c r="D36" s="851"/>
      <c r="E36" s="850" t="s">
        <v>469</v>
      </c>
      <c r="F36" s="851"/>
      <c r="G36" s="850" t="s">
        <v>470</v>
      </c>
      <c r="H36" s="851"/>
      <c r="I36" s="874" t="s">
        <v>471</v>
      </c>
      <c r="J36" s="851"/>
      <c r="K36" s="462"/>
    </row>
    <row r="37" spans="1:27" ht="16.5" outlineLevel="1">
      <c r="A37" s="403"/>
      <c r="B37" s="422" t="s">
        <v>472</v>
      </c>
      <c r="C37" s="410">
        <v>0.2412</v>
      </c>
      <c r="D37" s="411">
        <v>8.0299999999999996E-2</v>
      </c>
      <c r="E37" s="410">
        <v>0.75</v>
      </c>
      <c r="F37" s="411">
        <v>0.25</v>
      </c>
      <c r="G37" s="412">
        <v>0.33</v>
      </c>
      <c r="H37" s="415">
        <v>0.27250000000000002</v>
      </c>
      <c r="I37" s="464">
        <f>0.699+0.01928*I42-2.262*G42</f>
        <v>0.77481711999999991</v>
      </c>
      <c r="J37" s="459"/>
      <c r="K37" s="462"/>
    </row>
    <row r="38" spans="1:27" ht="18.75" outlineLevel="1">
      <c r="A38" s="403"/>
      <c r="B38" s="422" t="s">
        <v>473</v>
      </c>
      <c r="C38" s="414">
        <v>0.2019</v>
      </c>
      <c r="D38" s="415">
        <v>6.7000000000000004E-2</v>
      </c>
      <c r="E38" s="414">
        <v>0.748</v>
      </c>
      <c r="F38" s="415">
        <v>0.248</v>
      </c>
      <c r="G38" s="412">
        <v>0.25</v>
      </c>
      <c r="H38" s="415">
        <v>0.36596985111700697</v>
      </c>
      <c r="I38" s="465">
        <f>0.699+0.01928*I43-2.262*G42</f>
        <v>0.72920063999999984</v>
      </c>
      <c r="J38" s="415"/>
      <c r="K38" s="462"/>
      <c r="L38" s="466"/>
      <c r="M38" s="467"/>
      <c r="N38" s="467"/>
    </row>
    <row r="39" spans="1:27" ht="16.5" outlineLevel="1">
      <c r="A39" s="403"/>
      <c r="B39" s="422" t="s">
        <v>472</v>
      </c>
      <c r="C39" s="417"/>
      <c r="D39" s="423"/>
      <c r="E39" s="424"/>
      <c r="F39" s="423"/>
      <c r="G39" s="425"/>
      <c r="H39" s="423"/>
      <c r="I39" s="464">
        <f>0.699+0.01928*I44-2.262*G42</f>
        <v>0.73398207999999998</v>
      </c>
      <c r="J39" s="423"/>
      <c r="K39" s="462"/>
      <c r="L39" s="468"/>
      <c r="M39" s="469"/>
      <c r="N39" s="469"/>
    </row>
    <row r="40" spans="1:27" ht="14.25" outlineLevel="1">
      <c r="A40" s="403"/>
      <c r="B40" s="422" t="s">
        <v>473</v>
      </c>
      <c r="C40" s="426"/>
      <c r="D40" s="427"/>
      <c r="E40" s="428"/>
      <c r="F40" s="427"/>
      <c r="G40" s="428"/>
      <c r="H40" s="427"/>
      <c r="I40" s="470">
        <f>0.699+0.01928*I45-2.262*G42</f>
        <v>0.66906631999999988</v>
      </c>
      <c r="J40" s="427"/>
      <c r="K40" s="462"/>
      <c r="V40" s="462"/>
      <c r="W40" s="403"/>
      <c r="X40" s="403"/>
      <c r="Y40" s="403"/>
      <c r="Z40" s="403"/>
      <c r="AA40" s="403"/>
    </row>
    <row r="41" spans="1:27" ht="14.25" outlineLevel="1">
      <c r="A41" s="403"/>
      <c r="B41" s="419" t="s">
        <v>474</v>
      </c>
      <c r="C41" s="417"/>
      <c r="D41" s="429"/>
      <c r="E41" s="430"/>
      <c r="F41" s="429"/>
      <c r="G41" s="850" t="s">
        <v>229</v>
      </c>
      <c r="H41" s="851"/>
      <c r="I41" s="850" t="s">
        <v>475</v>
      </c>
      <c r="J41" s="851"/>
      <c r="K41" s="462"/>
      <c r="V41" s="462"/>
      <c r="W41" s="403"/>
      <c r="X41" s="403"/>
      <c r="Y41" s="403"/>
      <c r="Z41" s="403"/>
      <c r="AA41" s="403"/>
    </row>
    <row r="42" spans="1:27" ht="14.25" outlineLevel="1">
      <c r="A42" s="403"/>
      <c r="B42" s="431" t="s">
        <v>472</v>
      </c>
      <c r="C42" s="417"/>
      <c r="D42" s="429"/>
      <c r="E42" s="430"/>
      <c r="F42" s="429"/>
      <c r="G42" s="426">
        <v>5.0599999999999999E-2</v>
      </c>
      <c r="H42" s="427">
        <v>1.6799999999999999E-2</v>
      </c>
      <c r="I42" s="426">
        <v>9.8689999999999998</v>
      </c>
      <c r="J42" s="427">
        <v>3.2890000000000001</v>
      </c>
      <c r="V42" s="462"/>
      <c r="W42" s="403"/>
      <c r="X42" s="403"/>
      <c r="Y42" s="403"/>
      <c r="Z42" s="403"/>
      <c r="AA42" s="403"/>
    </row>
    <row r="43" spans="1:27" ht="14.25" outlineLevel="1">
      <c r="A43" s="403"/>
      <c r="B43" s="431" t="s">
        <v>473</v>
      </c>
      <c r="C43" s="417"/>
      <c r="D43" s="429"/>
      <c r="E43" s="430"/>
      <c r="F43" s="429"/>
      <c r="G43" s="432"/>
      <c r="H43" s="427"/>
      <c r="I43" s="426">
        <v>7.5030000000000001</v>
      </c>
      <c r="J43" s="427">
        <v>2.5009999999999999</v>
      </c>
      <c r="K43" s="462"/>
      <c r="V43" s="462"/>
      <c r="W43" s="403"/>
      <c r="X43" s="403"/>
      <c r="Y43" s="403"/>
      <c r="Z43" s="403"/>
      <c r="AA43" s="403"/>
    </row>
    <row r="44" spans="1:27" ht="14.25" outlineLevel="1">
      <c r="A44" s="403"/>
      <c r="B44" s="431" t="s">
        <v>472</v>
      </c>
      <c r="C44" s="417"/>
      <c r="D44" s="429"/>
      <c r="E44" s="430"/>
      <c r="F44" s="429"/>
      <c r="G44" s="432"/>
      <c r="H44" s="427"/>
      <c r="I44" s="426">
        <v>7.7510000000000003</v>
      </c>
      <c r="J44" s="427">
        <v>2.5836000000000001</v>
      </c>
      <c r="K44" s="462"/>
      <c r="V44" s="462"/>
      <c r="W44" s="403"/>
      <c r="X44" s="403"/>
      <c r="Y44" s="403"/>
      <c r="Z44" s="403"/>
      <c r="AA44" s="403"/>
    </row>
    <row r="45" spans="1:27" ht="14.25" outlineLevel="1">
      <c r="A45" s="403"/>
      <c r="B45" s="431" t="s">
        <v>473</v>
      </c>
      <c r="C45" s="417"/>
      <c r="D45" s="429"/>
      <c r="E45" s="430"/>
      <c r="F45" s="429"/>
      <c r="G45" s="432"/>
      <c r="H45" s="427"/>
      <c r="I45" s="426">
        <v>4.3840000000000003</v>
      </c>
      <c r="J45" s="427">
        <v>1.4613</v>
      </c>
      <c r="K45" s="462"/>
      <c r="V45" s="462"/>
      <c r="W45" s="403"/>
      <c r="X45" s="403"/>
      <c r="Y45" s="403"/>
      <c r="Z45" s="403"/>
      <c r="AA45" s="403"/>
    </row>
    <row r="46" spans="1:27" ht="14.25">
      <c r="A46" s="403"/>
      <c r="B46" s="433"/>
      <c r="C46" s="434"/>
      <c r="D46" s="435"/>
      <c r="E46" s="436"/>
      <c r="F46" s="435"/>
      <c r="G46" s="437"/>
      <c r="H46" s="438"/>
      <c r="I46" s="471"/>
      <c r="J46" s="472"/>
      <c r="V46" s="462"/>
      <c r="W46" s="403"/>
      <c r="X46" s="403"/>
      <c r="Y46" s="403"/>
      <c r="Z46" s="403"/>
      <c r="AA46" s="403"/>
    </row>
    <row r="49" spans="11:13" ht="14.25">
      <c r="K49" s="462"/>
      <c r="M49" s="473"/>
    </row>
    <row r="50" spans="11:13" ht="14.25">
      <c r="K50" s="462"/>
      <c r="M50" s="473"/>
    </row>
    <row r="51" spans="11:13" ht="14.25">
      <c r="K51" s="462"/>
      <c r="M51" s="473"/>
    </row>
    <row r="52" spans="11:13" ht="14.25">
      <c r="K52" s="474"/>
      <c r="M52" s="473"/>
    </row>
    <row r="53" spans="11:13" ht="14.25">
      <c r="K53" s="462"/>
    </row>
  </sheetData>
  <mergeCells count="46">
    <mergeCell ref="A3:AD3"/>
    <mergeCell ref="A7:AC7"/>
    <mergeCell ref="A11:AC11"/>
    <mergeCell ref="A15:AC15"/>
    <mergeCell ref="A16:AC16"/>
    <mergeCell ref="A12:AC14"/>
    <mergeCell ref="A4:AD6"/>
    <mergeCell ref="A8:AC10"/>
    <mergeCell ref="A17:AC17"/>
    <mergeCell ref="A18:AC18"/>
    <mergeCell ref="E21:J21"/>
    <mergeCell ref="N21:U21"/>
    <mergeCell ref="W21:Z21"/>
    <mergeCell ref="W24:Z24"/>
    <mergeCell ref="C25:D25"/>
    <mergeCell ref="E25:F25"/>
    <mergeCell ref="G25:H25"/>
    <mergeCell ref="N25:O25"/>
    <mergeCell ref="P25:Q25"/>
    <mergeCell ref="R25:S25"/>
    <mergeCell ref="T25:U25"/>
    <mergeCell ref="M25:M26"/>
    <mergeCell ref="C24:D24"/>
    <mergeCell ref="E24:F24"/>
    <mergeCell ref="G24:H24"/>
    <mergeCell ref="I24:J24"/>
    <mergeCell ref="L24:U24"/>
    <mergeCell ref="C36:D36"/>
    <mergeCell ref="E36:F36"/>
    <mergeCell ref="G36:H36"/>
    <mergeCell ref="I36:J36"/>
    <mergeCell ref="G41:H41"/>
    <mergeCell ref="I41:J41"/>
    <mergeCell ref="A22:A32"/>
    <mergeCell ref="B23:B24"/>
    <mergeCell ref="K22:K31"/>
    <mergeCell ref="K34:K35"/>
    <mergeCell ref="L25:L26"/>
    <mergeCell ref="C29:D29"/>
    <mergeCell ref="E29:F29"/>
    <mergeCell ref="G29:H29"/>
    <mergeCell ref="I29:J29"/>
    <mergeCell ref="C33:D33"/>
    <mergeCell ref="E33:F33"/>
    <mergeCell ref="G33:H33"/>
    <mergeCell ref="I33:J33"/>
  </mergeCells>
  <phoneticPr fontId="150" type="noConversion"/>
  <conditionalFormatting sqref="N27">
    <cfRule type="cellIs" dxfId="65" priority="5" stopIfTrue="1" operator="equal">
      <formula>0</formula>
    </cfRule>
  </conditionalFormatting>
  <conditionalFormatting sqref="P27">
    <cfRule type="cellIs" dxfId="64" priority="3" stopIfTrue="1" operator="equal">
      <formula>0</formula>
    </cfRule>
  </conditionalFormatting>
  <conditionalFormatting sqref="R27">
    <cfRule type="cellIs" dxfId="63" priority="2" stopIfTrue="1" operator="equal">
      <formula>0</formula>
    </cfRule>
  </conditionalFormatting>
  <conditionalFormatting sqref="N28">
    <cfRule type="cellIs" dxfId="62" priority="4" stopIfTrue="1" operator="equal">
      <formula>0</formula>
    </cfRule>
  </conditionalFormatting>
  <conditionalFormatting sqref="T32">
    <cfRule type="cellIs" dxfId="61" priority="1" stopIfTrue="1" operator="equal">
      <formula>0</formula>
    </cfRule>
  </conditionalFormatting>
  <conditionalFormatting sqref="N29:N30 R28:R30 P28:P30 T27:T31">
    <cfRule type="cellIs" dxfId="60" priority="6" stopIfTrue="1" operator="equal">
      <formula>0</formula>
    </cfRule>
  </conditionalFormatting>
  <pageMargins left="0.69930555555555596" right="0.69930555555555596" top="0.75" bottom="0.75" header="0.3" footer="0.3"/>
  <pageSetup paperSize="9" orientation="portrait"/>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theme="7"/>
    <outlinePr summaryBelow="0"/>
  </sheetPr>
  <dimension ref="A1:U84"/>
  <sheetViews>
    <sheetView showGridLines="0" workbookViewId="0">
      <selection activeCell="K34" sqref="K34"/>
    </sheetView>
  </sheetViews>
  <sheetFormatPr defaultColWidth="9" defaultRowHeight="12" outlineLevelRow="1"/>
  <cols>
    <col min="1" max="1" width="9" style="57"/>
    <col min="2" max="2" width="12.25" style="57" customWidth="1"/>
    <col min="3" max="3" width="8.375" style="57" customWidth="1"/>
    <col min="4" max="5" width="9.375" style="57" customWidth="1"/>
    <col min="6" max="6" width="9" style="57" customWidth="1"/>
    <col min="7" max="7" width="10.125" style="57" customWidth="1"/>
    <col min="8" max="9" width="11.375" style="57" customWidth="1"/>
    <col min="10" max="10" width="11" style="57" customWidth="1"/>
    <col min="11" max="11" width="11.25" style="57" customWidth="1"/>
    <col min="12" max="16384" width="9" style="57"/>
  </cols>
  <sheetData>
    <row r="1" spans="1:21" ht="12" customHeight="1">
      <c r="A1" s="879" t="s">
        <v>476</v>
      </c>
      <c r="B1" s="879"/>
      <c r="C1" s="879"/>
      <c r="D1" s="879"/>
      <c r="E1" s="879"/>
      <c r="F1" s="879"/>
      <c r="G1" s="879"/>
      <c r="H1" s="879"/>
      <c r="I1" s="879"/>
      <c r="J1" s="879"/>
      <c r="K1" s="390"/>
      <c r="L1" s="878" t="s">
        <v>477</v>
      </c>
      <c r="M1" s="878"/>
      <c r="N1" s="878"/>
      <c r="O1" s="878"/>
      <c r="P1" s="878"/>
      <c r="Q1" s="878"/>
      <c r="R1" s="878"/>
      <c r="S1" s="878"/>
      <c r="T1" s="878"/>
      <c r="U1" s="878"/>
    </row>
    <row r="2" spans="1:21" ht="12" customHeight="1">
      <c r="A2" s="880"/>
      <c r="B2" s="880"/>
      <c r="C2" s="880"/>
      <c r="D2" s="880"/>
      <c r="E2" s="880"/>
      <c r="F2" s="880"/>
      <c r="G2" s="880"/>
      <c r="H2" s="880"/>
      <c r="I2" s="880"/>
      <c r="J2" s="880"/>
      <c r="K2" s="391"/>
      <c r="L2" s="878"/>
      <c r="M2" s="878"/>
      <c r="N2" s="878"/>
      <c r="O2" s="878"/>
      <c r="P2" s="878"/>
      <c r="Q2" s="878"/>
      <c r="R2" s="878"/>
      <c r="S2" s="878"/>
      <c r="T2" s="878"/>
      <c r="U2" s="878"/>
    </row>
    <row r="3" spans="1:21" ht="20.25">
      <c r="A3" s="880"/>
      <c r="B3" s="880"/>
      <c r="C3" s="880"/>
      <c r="D3" s="880"/>
      <c r="E3" s="880"/>
      <c r="F3" s="880"/>
      <c r="G3" s="880"/>
      <c r="H3" s="880"/>
      <c r="I3" s="880"/>
      <c r="J3" s="880"/>
      <c r="K3" s="391"/>
      <c r="L3" s="878"/>
      <c r="M3" s="878"/>
      <c r="N3" s="878"/>
      <c r="O3" s="878"/>
      <c r="P3" s="878"/>
      <c r="Q3" s="878"/>
      <c r="R3" s="878"/>
      <c r="S3" s="878"/>
      <c r="T3" s="878"/>
      <c r="U3" s="878"/>
    </row>
    <row r="4" spans="1:21" ht="11.25" customHeight="1">
      <c r="A4" s="880"/>
      <c r="B4" s="880"/>
      <c r="C4" s="880"/>
      <c r="D4" s="880"/>
      <c r="E4" s="880"/>
      <c r="F4" s="880"/>
      <c r="G4" s="880"/>
      <c r="H4" s="880"/>
      <c r="I4" s="880"/>
      <c r="J4" s="880"/>
      <c r="K4" s="392"/>
      <c r="L4" s="878"/>
      <c r="M4" s="878"/>
      <c r="N4" s="878"/>
      <c r="O4" s="878"/>
      <c r="P4" s="878"/>
      <c r="Q4" s="878"/>
      <c r="R4" s="878"/>
      <c r="S4" s="878"/>
      <c r="T4" s="878"/>
      <c r="U4" s="878"/>
    </row>
    <row r="5" spans="1:21" ht="11.25" customHeight="1">
      <c r="A5" s="880"/>
      <c r="B5" s="880"/>
      <c r="C5" s="880"/>
      <c r="D5" s="880"/>
      <c r="E5" s="880"/>
      <c r="F5" s="880"/>
      <c r="G5" s="880"/>
      <c r="H5" s="880"/>
      <c r="I5" s="880"/>
      <c r="J5" s="880"/>
      <c r="K5" s="392"/>
      <c r="L5" s="878"/>
      <c r="M5" s="878"/>
      <c r="N5" s="878"/>
      <c r="O5" s="878"/>
      <c r="P5" s="878"/>
      <c r="Q5" s="878"/>
      <c r="R5" s="878"/>
      <c r="S5" s="878"/>
      <c r="T5" s="878"/>
      <c r="U5" s="878"/>
    </row>
    <row r="6" spans="1:21" ht="11.25" customHeight="1">
      <c r="A6" s="880"/>
      <c r="B6" s="880"/>
      <c r="C6" s="880"/>
      <c r="D6" s="880"/>
      <c r="E6" s="880"/>
      <c r="F6" s="880"/>
      <c r="G6" s="880"/>
      <c r="H6" s="880"/>
      <c r="I6" s="880"/>
      <c r="J6" s="880"/>
      <c r="K6" s="392"/>
      <c r="L6" s="878"/>
      <c r="M6" s="878"/>
      <c r="N6" s="878"/>
      <c r="O6" s="878"/>
      <c r="P6" s="878"/>
      <c r="Q6" s="878"/>
      <c r="R6" s="878"/>
      <c r="S6" s="878"/>
      <c r="T6" s="878"/>
      <c r="U6" s="878"/>
    </row>
    <row r="7" spans="1:21" ht="11.25" customHeight="1">
      <c r="A7" s="880"/>
      <c r="B7" s="880"/>
      <c r="C7" s="880"/>
      <c r="D7" s="880"/>
      <c r="E7" s="880"/>
      <c r="F7" s="880"/>
      <c r="G7" s="880"/>
      <c r="H7" s="880"/>
      <c r="I7" s="880"/>
      <c r="J7" s="880"/>
      <c r="K7" s="392"/>
      <c r="L7" s="878"/>
      <c r="M7" s="878"/>
      <c r="N7" s="878"/>
      <c r="O7" s="878"/>
      <c r="P7" s="878"/>
      <c r="Q7" s="878"/>
      <c r="R7" s="878"/>
      <c r="S7" s="878"/>
      <c r="T7" s="878"/>
      <c r="U7" s="878"/>
    </row>
    <row r="8" spans="1:21" ht="11.25" customHeight="1">
      <c r="A8" s="880"/>
      <c r="B8" s="880"/>
      <c r="C8" s="880"/>
      <c r="D8" s="880"/>
      <c r="E8" s="880"/>
      <c r="F8" s="880"/>
      <c r="G8" s="880"/>
      <c r="H8" s="880"/>
      <c r="I8" s="880"/>
      <c r="J8" s="880"/>
      <c r="K8" s="392"/>
      <c r="L8" s="878"/>
      <c r="M8" s="878"/>
      <c r="N8" s="878"/>
      <c r="O8" s="878"/>
      <c r="P8" s="878"/>
      <c r="Q8" s="878"/>
      <c r="R8" s="878"/>
      <c r="S8" s="878"/>
      <c r="T8" s="878"/>
      <c r="U8" s="878"/>
    </row>
    <row r="9" spans="1:21" ht="11.25" customHeight="1">
      <c r="A9" s="880"/>
      <c r="B9" s="880"/>
      <c r="C9" s="880"/>
      <c r="D9" s="880"/>
      <c r="E9" s="880"/>
      <c r="F9" s="880"/>
      <c r="G9" s="880"/>
      <c r="H9" s="880"/>
      <c r="I9" s="880"/>
      <c r="J9" s="880"/>
      <c r="K9" s="392"/>
      <c r="L9" s="878"/>
      <c r="M9" s="878"/>
      <c r="N9" s="878"/>
      <c r="O9" s="878"/>
      <c r="P9" s="878"/>
      <c r="Q9" s="878"/>
      <c r="R9" s="878"/>
      <c r="S9" s="878"/>
      <c r="T9" s="878"/>
      <c r="U9" s="878"/>
    </row>
    <row r="10" spans="1:21" s="56" customFormat="1" ht="21.75" customHeight="1">
      <c r="A10" s="899" t="s">
        <v>385</v>
      </c>
      <c r="B10" s="900"/>
      <c r="C10" s="900"/>
      <c r="D10" s="900"/>
      <c r="E10" s="900"/>
      <c r="F10" s="900"/>
      <c r="G10" s="900"/>
      <c r="H10" s="900"/>
      <c r="I10" s="900"/>
      <c r="J10" s="901"/>
      <c r="K10" s="393"/>
      <c r="L10" s="394"/>
      <c r="M10" s="394"/>
      <c r="N10" s="394"/>
      <c r="O10" s="394"/>
      <c r="P10" s="394"/>
      <c r="Q10" s="394"/>
      <c r="R10" s="394"/>
      <c r="S10" s="394"/>
      <c r="T10" s="394"/>
      <c r="U10" s="394"/>
    </row>
    <row r="11" spans="1:21" ht="13.5" customHeight="1" outlineLevel="1">
      <c r="A11" s="75" t="s">
        <v>478</v>
      </c>
      <c r="B11" s="372"/>
      <c r="C11" s="373"/>
      <c r="D11" s="373"/>
      <c r="E11" s="373"/>
      <c r="F11" s="373"/>
      <c r="G11" s="373"/>
      <c r="H11" s="373"/>
      <c r="I11" s="373"/>
      <c r="J11" s="395"/>
      <c r="L11" s="396"/>
      <c r="M11" s="396"/>
      <c r="N11" s="396"/>
      <c r="O11" s="396"/>
      <c r="P11" s="396"/>
      <c r="Q11" s="396"/>
      <c r="R11" s="396"/>
      <c r="S11" s="396"/>
      <c r="T11" s="396"/>
      <c r="U11" s="396"/>
    </row>
    <row r="12" spans="1:21" ht="12" customHeight="1" outlineLevel="1">
      <c r="A12" s="54" t="s">
        <v>479</v>
      </c>
      <c r="B12" s="373"/>
      <c r="C12" s="373"/>
      <c r="D12" s="373"/>
      <c r="E12" s="373"/>
      <c r="F12" s="373"/>
      <c r="G12" s="373"/>
      <c r="H12" s="373"/>
      <c r="I12" s="373"/>
      <c r="J12" s="395"/>
      <c r="L12" s="396"/>
      <c r="M12" s="396"/>
      <c r="N12" s="396"/>
      <c r="O12" s="396"/>
      <c r="P12" s="396"/>
      <c r="Q12" s="396"/>
      <c r="R12" s="396"/>
      <c r="S12" s="396"/>
      <c r="T12" s="396"/>
      <c r="U12" s="396"/>
    </row>
    <row r="13" spans="1:21" ht="15.75" customHeight="1" outlineLevel="1">
      <c r="A13" s="54" t="s">
        <v>480</v>
      </c>
      <c r="B13" s="374"/>
      <c r="C13" s="374"/>
      <c r="D13" s="374"/>
      <c r="E13" s="374"/>
      <c r="F13" s="374"/>
      <c r="G13" s="374"/>
      <c r="H13" s="374"/>
      <c r="I13" s="374"/>
      <c r="J13" s="397"/>
    </row>
    <row r="14" spans="1:21" ht="16.5" customHeight="1" outlineLevel="1">
      <c r="A14" s="885" t="s">
        <v>96</v>
      </c>
      <c r="B14" s="881" t="s">
        <v>481</v>
      </c>
      <c r="C14" s="881" t="s">
        <v>482</v>
      </c>
      <c r="D14" s="892" t="s">
        <v>483</v>
      </c>
      <c r="E14" s="893"/>
      <c r="F14" s="893"/>
      <c r="G14" s="894"/>
      <c r="H14" s="881" t="s">
        <v>484</v>
      </c>
      <c r="I14" s="881" t="s">
        <v>485</v>
      </c>
      <c r="J14" s="883" t="s">
        <v>486</v>
      </c>
    </row>
    <row r="15" spans="1:21" ht="23.1" customHeight="1" outlineLevel="1">
      <c r="A15" s="886"/>
      <c r="B15" s="882"/>
      <c r="C15" s="882"/>
      <c r="D15" s="375" t="s">
        <v>487</v>
      </c>
      <c r="E15" s="375" t="s">
        <v>488</v>
      </c>
      <c r="F15" s="375" t="s">
        <v>489</v>
      </c>
      <c r="G15" s="375" t="s">
        <v>490</v>
      </c>
      <c r="H15" s="882"/>
      <c r="I15" s="882"/>
      <c r="J15" s="884"/>
    </row>
    <row r="16" spans="1:21" s="174" customFormat="1" ht="23.1" customHeight="1" outlineLevel="1">
      <c r="A16" s="887" t="s">
        <v>255</v>
      </c>
      <c r="B16" s="70" t="s">
        <v>491</v>
      </c>
      <c r="C16" s="376">
        <v>34</v>
      </c>
      <c r="D16" s="376">
        <v>0</v>
      </c>
      <c r="E16" s="376">
        <v>0</v>
      </c>
      <c r="F16" s="376">
        <v>0</v>
      </c>
      <c r="G16" s="377">
        <f>SUM(D16:F16)</f>
        <v>0</v>
      </c>
      <c r="H16" s="376">
        <v>0</v>
      </c>
      <c r="I16" s="376">
        <v>59</v>
      </c>
      <c r="J16" s="398">
        <f>1-(ABS(H16)/I16)</f>
        <v>1</v>
      </c>
      <c r="N16" s="174" t="str">
        <f>B16</f>
        <v>需求过程</v>
      </c>
      <c r="O16" s="174">
        <f>J16</f>
        <v>1</v>
      </c>
    </row>
    <row r="17" spans="1:17" s="174" customFormat="1" ht="23.1" customHeight="1" outlineLevel="1">
      <c r="A17" s="888"/>
      <c r="B17" s="70" t="s">
        <v>492</v>
      </c>
      <c r="C17" s="378">
        <f>C16+D16-E16</f>
        <v>34</v>
      </c>
      <c r="D17" s="376">
        <v>0</v>
      </c>
      <c r="E17" s="376">
        <v>0</v>
      </c>
      <c r="F17" s="376">
        <v>0</v>
      </c>
      <c r="G17" s="377">
        <f>SUM(D17:F17)</f>
        <v>0</v>
      </c>
      <c r="H17" s="376">
        <v>0</v>
      </c>
      <c r="I17" s="376">
        <v>59</v>
      </c>
      <c r="J17" s="398">
        <f>1-(ABS(H17)/I17)</f>
        <v>1</v>
      </c>
      <c r="N17" s="174" t="str">
        <f>B17</f>
        <v>设计过程</v>
      </c>
      <c r="O17" s="174">
        <f>J17</f>
        <v>1</v>
      </c>
    </row>
    <row r="18" spans="1:17" s="174" customFormat="1" ht="23.1" customHeight="1" outlineLevel="1">
      <c r="A18" s="888"/>
      <c r="B18" s="70" t="s">
        <v>493</v>
      </c>
      <c r="C18" s="378">
        <f>C17+D17-E17</f>
        <v>34</v>
      </c>
      <c r="D18" s="376">
        <v>0</v>
      </c>
      <c r="E18" s="376">
        <v>0</v>
      </c>
      <c r="F18" s="376">
        <v>0</v>
      </c>
      <c r="G18" s="377">
        <f>SUM(D18:F18)</f>
        <v>0</v>
      </c>
      <c r="H18" s="376">
        <v>0</v>
      </c>
      <c r="I18" s="376">
        <v>59</v>
      </c>
      <c r="J18" s="398">
        <f>1-(ABS(H18)/I18)</f>
        <v>1</v>
      </c>
      <c r="N18" s="174" t="str">
        <f>B18</f>
        <v>开发过程</v>
      </c>
      <c r="O18" s="174">
        <f>J18</f>
        <v>1</v>
      </c>
    </row>
    <row r="19" spans="1:17" s="174" customFormat="1" ht="23.1" customHeight="1" outlineLevel="1">
      <c r="A19" s="888"/>
      <c r="B19" s="70" t="s">
        <v>494</v>
      </c>
      <c r="C19" s="378">
        <f>C18+D18-E18</f>
        <v>34</v>
      </c>
      <c r="D19" s="376">
        <v>0</v>
      </c>
      <c r="E19" s="376">
        <v>0</v>
      </c>
      <c r="F19" s="376">
        <v>0</v>
      </c>
      <c r="G19" s="377">
        <f>SUM(D19:F19)</f>
        <v>0</v>
      </c>
      <c r="H19" s="376">
        <v>0</v>
      </c>
      <c r="I19" s="376">
        <v>59</v>
      </c>
      <c r="J19" s="398">
        <f>1-(ABS(H19)/I19)</f>
        <v>1</v>
      </c>
      <c r="N19" s="174" t="str">
        <f>B19</f>
        <v>测试过程</v>
      </c>
      <c r="O19" s="174">
        <f>J19</f>
        <v>1</v>
      </c>
      <c r="Q19" s="57"/>
    </row>
    <row r="20" spans="1:17" ht="18.75" customHeight="1" outlineLevel="1">
      <c r="A20" s="889"/>
      <c r="B20" s="379" t="s">
        <v>495</v>
      </c>
      <c r="C20" s="380">
        <f>C16</f>
        <v>34</v>
      </c>
      <c r="D20" s="380">
        <f>SUM(D16:D19)</f>
        <v>0</v>
      </c>
      <c r="E20" s="381">
        <f>SUM(E16:E19)</f>
        <v>0</v>
      </c>
      <c r="F20" s="382">
        <f>SUM(F16:F19)</f>
        <v>0</v>
      </c>
      <c r="G20" s="383">
        <f>SUM(G16:G19)</f>
        <v>0</v>
      </c>
      <c r="H20" s="383">
        <f>ABS(H16)+ABS(H17)+ABS(H18)+ABS(H19)</f>
        <v>0</v>
      </c>
      <c r="I20" s="383">
        <f>I16</f>
        <v>59</v>
      </c>
      <c r="J20" s="398">
        <f>1-(ABS(H20)/I20)</f>
        <v>1</v>
      </c>
      <c r="O20" s="174">
        <f>J20</f>
        <v>1</v>
      </c>
    </row>
    <row r="21" spans="1:17" ht="18.75" customHeight="1" outlineLevel="1">
      <c r="A21" s="897"/>
      <c r="B21" s="897"/>
      <c r="C21" s="897"/>
      <c r="D21" s="898"/>
      <c r="E21" s="898"/>
      <c r="F21" s="897"/>
      <c r="G21" s="897"/>
      <c r="H21" s="897"/>
      <c r="I21" s="897"/>
      <c r="J21" s="897"/>
    </row>
    <row r="22" spans="1:17" ht="12" customHeight="1" outlineLevel="1">
      <c r="A22" s="384" t="s">
        <v>496</v>
      </c>
      <c r="B22" s="385"/>
      <c r="C22" s="386"/>
      <c r="D22" s="387"/>
      <c r="E22" s="387"/>
      <c r="F22" s="387"/>
      <c r="G22" s="387"/>
      <c r="H22" s="387"/>
      <c r="I22" s="387"/>
      <c r="J22" s="387"/>
    </row>
    <row r="23" spans="1:17" ht="12" customHeight="1" outlineLevel="1">
      <c r="A23" s="890" t="s">
        <v>479</v>
      </c>
      <c r="B23" s="890"/>
      <c r="C23" s="890"/>
      <c r="D23" s="890"/>
      <c r="E23" s="890"/>
      <c r="F23" s="890"/>
      <c r="G23" s="890"/>
      <c r="H23" s="890"/>
      <c r="I23" s="890"/>
      <c r="J23" s="890"/>
    </row>
    <row r="24" spans="1:17" ht="12" customHeight="1" outlineLevel="1">
      <c r="A24" s="891" t="s">
        <v>497</v>
      </c>
      <c r="B24" s="891"/>
      <c r="C24" s="891"/>
      <c r="D24" s="891"/>
      <c r="E24" s="891"/>
      <c r="F24" s="891"/>
      <c r="G24" s="891"/>
      <c r="H24" s="891"/>
      <c r="I24" s="891"/>
      <c r="J24" s="891"/>
    </row>
    <row r="25" spans="1:17" ht="18.75" customHeight="1" outlineLevel="1">
      <c r="A25" s="885" t="s">
        <v>96</v>
      </c>
      <c r="B25" s="881" t="s">
        <v>481</v>
      </c>
      <c r="C25" s="881" t="s">
        <v>482</v>
      </c>
      <c r="D25" s="892" t="s">
        <v>483</v>
      </c>
      <c r="E25" s="893"/>
      <c r="F25" s="893"/>
      <c r="G25" s="894"/>
      <c r="H25" s="881" t="s">
        <v>484</v>
      </c>
      <c r="I25" s="881" t="s">
        <v>485</v>
      </c>
      <c r="J25" s="883" t="s">
        <v>486</v>
      </c>
    </row>
    <row r="26" spans="1:17" ht="20.25" customHeight="1" outlineLevel="1">
      <c r="A26" s="886"/>
      <c r="B26" s="882"/>
      <c r="C26" s="882"/>
      <c r="D26" s="375" t="s">
        <v>487</v>
      </c>
      <c r="E26" s="375" t="s">
        <v>488</v>
      </c>
      <c r="F26" s="375" t="s">
        <v>489</v>
      </c>
      <c r="G26" s="375" t="s">
        <v>490</v>
      </c>
      <c r="H26" s="882"/>
      <c r="I26" s="882"/>
      <c r="J26" s="884"/>
    </row>
    <row r="27" spans="1:17" ht="23.1" customHeight="1" outlineLevel="1">
      <c r="A27" s="887" t="s">
        <v>256</v>
      </c>
      <c r="B27" s="70" t="s">
        <v>491</v>
      </c>
      <c r="C27" s="376"/>
      <c r="D27" s="376"/>
      <c r="E27" s="376"/>
      <c r="F27" s="376"/>
      <c r="G27" s="377">
        <f>D27+E27+F27</f>
        <v>0</v>
      </c>
      <c r="H27" s="376"/>
      <c r="I27" s="376"/>
      <c r="J27" s="398" t="e">
        <f>1-(ABS(H27)/I27)</f>
        <v>#DIV/0!</v>
      </c>
      <c r="N27" s="174" t="str">
        <f>B27</f>
        <v>需求过程</v>
      </c>
      <c r="O27" s="174" t="e">
        <f>J27</f>
        <v>#DIV/0!</v>
      </c>
    </row>
    <row r="28" spans="1:17" ht="23.1" customHeight="1" outlineLevel="1">
      <c r="A28" s="888"/>
      <c r="B28" s="70" t="s">
        <v>492</v>
      </c>
      <c r="C28" s="378">
        <f>C27+D27-E27</f>
        <v>0</v>
      </c>
      <c r="D28" s="376"/>
      <c r="E28" s="376"/>
      <c r="F28" s="376"/>
      <c r="G28" s="377">
        <f>D28+E28+F28</f>
        <v>0</v>
      </c>
      <c r="H28" s="376"/>
      <c r="I28" s="376"/>
      <c r="J28" s="398" t="e">
        <f>1-(ABS(H28)/I28)</f>
        <v>#DIV/0!</v>
      </c>
      <c r="N28" s="174" t="str">
        <f>B28</f>
        <v>设计过程</v>
      </c>
      <c r="O28" s="174" t="e">
        <f>J28</f>
        <v>#DIV/0!</v>
      </c>
    </row>
    <row r="29" spans="1:17" ht="23.1" customHeight="1" outlineLevel="1">
      <c r="A29" s="888"/>
      <c r="B29" s="70" t="s">
        <v>493</v>
      </c>
      <c r="C29" s="378">
        <f>C28+D28-E28</f>
        <v>0</v>
      </c>
      <c r="D29" s="376"/>
      <c r="E29" s="376"/>
      <c r="F29" s="376"/>
      <c r="G29" s="377">
        <f>D29+E29+F29</f>
        <v>0</v>
      </c>
      <c r="H29" s="376"/>
      <c r="I29" s="376"/>
      <c r="J29" s="398" t="e">
        <f>1-(ABS(H29)/I29)</f>
        <v>#DIV/0!</v>
      </c>
      <c r="N29" s="174" t="str">
        <f>B29</f>
        <v>开发过程</v>
      </c>
      <c r="O29" s="174" t="e">
        <f>J29</f>
        <v>#DIV/0!</v>
      </c>
    </row>
    <row r="30" spans="1:17" ht="23.1" customHeight="1" outlineLevel="1">
      <c r="A30" s="888"/>
      <c r="B30" s="70" t="s">
        <v>494</v>
      </c>
      <c r="C30" s="378">
        <f>C29+D29-E29</f>
        <v>0</v>
      </c>
      <c r="D30" s="376"/>
      <c r="E30" s="376"/>
      <c r="F30" s="376"/>
      <c r="G30" s="377">
        <f>D30+E30+F30</f>
        <v>0</v>
      </c>
      <c r="H30" s="376"/>
      <c r="I30" s="376"/>
      <c r="J30" s="398" t="e">
        <f>1-(ABS(H30)/I30)</f>
        <v>#DIV/0!</v>
      </c>
      <c r="N30" s="174" t="str">
        <f>B30</f>
        <v>测试过程</v>
      </c>
      <c r="O30" s="174" t="e">
        <f>J30</f>
        <v>#DIV/0!</v>
      </c>
    </row>
    <row r="31" spans="1:17" ht="23.1" customHeight="1" outlineLevel="1">
      <c r="A31" s="889"/>
      <c r="B31" s="379" t="s">
        <v>495</v>
      </c>
      <c r="C31" s="380">
        <f>C27</f>
        <v>0</v>
      </c>
      <c r="D31" s="380">
        <f>SUM(D27:D30)</f>
        <v>0</v>
      </c>
      <c r="E31" s="380">
        <f>SUM(E27:E30)</f>
        <v>0</v>
      </c>
      <c r="F31" s="380">
        <f>SUM(F27:F30)</f>
        <v>0</v>
      </c>
      <c r="G31" s="380">
        <f>SUM(G27:G30)</f>
        <v>0</v>
      </c>
      <c r="H31" s="383">
        <f>ABS(H27)+ABS(H28)+ABS(H29)+ABS(H30)</f>
        <v>0</v>
      </c>
      <c r="I31" s="383">
        <f>I27</f>
        <v>0</v>
      </c>
      <c r="J31" s="398" t="e">
        <f>1-(ABS(H31)/I31)</f>
        <v>#DIV/0!</v>
      </c>
    </row>
    <row r="32" spans="1:17" outlineLevel="1"/>
    <row r="33" spans="1:21" outlineLevel="1"/>
    <row r="35" spans="1:21" ht="27" customHeight="1" collapsed="1">
      <c r="A35" s="896" t="s">
        <v>393</v>
      </c>
      <c r="B35" s="896"/>
      <c r="C35" s="896"/>
      <c r="D35" s="896"/>
      <c r="E35" s="896"/>
      <c r="F35" s="896"/>
      <c r="G35" s="896"/>
      <c r="H35" s="896"/>
      <c r="I35" s="896"/>
      <c r="J35" s="896"/>
    </row>
    <row r="36" spans="1:21" ht="13.5" hidden="1" customHeight="1" outlineLevel="1">
      <c r="A36" s="388" t="s">
        <v>478</v>
      </c>
      <c r="B36" s="389"/>
      <c r="C36" s="373"/>
      <c r="D36" s="373"/>
      <c r="E36" s="373"/>
      <c r="F36" s="373"/>
      <c r="G36" s="373"/>
      <c r="H36" s="373"/>
      <c r="I36" s="373"/>
      <c r="J36" s="395"/>
      <c r="L36" s="396"/>
      <c r="M36" s="396"/>
      <c r="N36" s="396"/>
      <c r="O36" s="396"/>
      <c r="P36" s="396"/>
      <c r="Q36" s="396"/>
      <c r="R36" s="396"/>
      <c r="S36" s="396"/>
      <c r="T36" s="396"/>
      <c r="U36" s="396"/>
    </row>
    <row r="37" spans="1:21" ht="12" hidden="1" customHeight="1" outlineLevel="1">
      <c r="A37" s="54" t="s">
        <v>479</v>
      </c>
      <c r="B37" s="373"/>
      <c r="C37" s="373"/>
      <c r="D37" s="373"/>
      <c r="E37" s="373"/>
      <c r="F37" s="373"/>
      <c r="G37" s="373"/>
      <c r="H37" s="373"/>
      <c r="I37" s="373"/>
      <c r="J37" s="395"/>
      <c r="L37" s="396"/>
      <c r="M37" s="396"/>
      <c r="N37" s="396"/>
      <c r="O37" s="396"/>
      <c r="P37" s="396"/>
      <c r="Q37" s="396"/>
      <c r="R37" s="396"/>
      <c r="S37" s="396"/>
      <c r="T37" s="396"/>
      <c r="U37" s="396"/>
    </row>
    <row r="38" spans="1:21" ht="15.75" hidden="1" customHeight="1" outlineLevel="1">
      <c r="A38" s="54" t="s">
        <v>480</v>
      </c>
      <c r="B38" s="374"/>
      <c r="C38" s="374"/>
      <c r="D38" s="374"/>
      <c r="E38" s="374"/>
      <c r="F38" s="374"/>
      <c r="G38" s="374"/>
      <c r="H38" s="374"/>
      <c r="I38" s="374"/>
      <c r="J38" s="397"/>
    </row>
    <row r="39" spans="1:21" ht="16.5" hidden="1" customHeight="1" outlineLevel="1">
      <c r="A39" s="885" t="s">
        <v>96</v>
      </c>
      <c r="B39" s="881" t="s">
        <v>481</v>
      </c>
      <c r="C39" s="881" t="s">
        <v>482</v>
      </c>
      <c r="D39" s="892" t="s">
        <v>483</v>
      </c>
      <c r="E39" s="893"/>
      <c r="F39" s="893"/>
      <c r="G39" s="894"/>
      <c r="H39" s="881" t="s">
        <v>484</v>
      </c>
      <c r="I39" s="881" t="s">
        <v>485</v>
      </c>
      <c r="J39" s="883" t="s">
        <v>486</v>
      </c>
    </row>
    <row r="40" spans="1:21" ht="23.1" hidden="1" customHeight="1" outlineLevel="1">
      <c r="A40" s="886"/>
      <c r="B40" s="882"/>
      <c r="C40" s="882"/>
      <c r="D40" s="375" t="s">
        <v>487</v>
      </c>
      <c r="E40" s="375" t="s">
        <v>488</v>
      </c>
      <c r="F40" s="375" t="s">
        <v>489</v>
      </c>
      <c r="G40" s="375" t="s">
        <v>490</v>
      </c>
      <c r="H40" s="882"/>
      <c r="I40" s="882"/>
      <c r="J40" s="884"/>
    </row>
    <row r="41" spans="1:21" s="174" customFormat="1" ht="23.1" hidden="1" customHeight="1" outlineLevel="1">
      <c r="A41" s="887" t="s">
        <v>255</v>
      </c>
      <c r="B41" s="70" t="s">
        <v>491</v>
      </c>
      <c r="C41" s="376"/>
      <c r="D41" s="376"/>
      <c r="E41" s="376"/>
      <c r="F41" s="376"/>
      <c r="G41" s="377">
        <f>SUM(D41:F41)</f>
        <v>0</v>
      </c>
      <c r="H41" s="376"/>
      <c r="I41" s="376"/>
      <c r="J41" s="398" t="e">
        <f>1-(ABS(H41)/I41)</f>
        <v>#DIV/0!</v>
      </c>
      <c r="N41" s="174" t="str">
        <f>B41</f>
        <v>需求过程</v>
      </c>
      <c r="O41" s="174" t="e">
        <f>J41</f>
        <v>#DIV/0!</v>
      </c>
    </row>
    <row r="42" spans="1:21" s="174" customFormat="1" ht="23.1" hidden="1" customHeight="1" outlineLevel="1">
      <c r="A42" s="888"/>
      <c r="B42" s="70" t="s">
        <v>492</v>
      </c>
      <c r="C42" s="378">
        <f>C41+D41-E41</f>
        <v>0</v>
      </c>
      <c r="D42" s="376"/>
      <c r="E42" s="376"/>
      <c r="F42" s="376"/>
      <c r="G42" s="377">
        <f>SUM(D42:F42)</f>
        <v>0</v>
      </c>
      <c r="H42" s="376"/>
      <c r="I42" s="376"/>
      <c r="J42" s="398" t="e">
        <f>1-(ABS(H42)/I42)</f>
        <v>#DIV/0!</v>
      </c>
      <c r="N42" s="174" t="str">
        <f>B42</f>
        <v>设计过程</v>
      </c>
      <c r="O42" s="174" t="e">
        <f>J42</f>
        <v>#DIV/0!</v>
      </c>
    </row>
    <row r="43" spans="1:21" s="174" customFormat="1" ht="23.1" hidden="1" customHeight="1" outlineLevel="1">
      <c r="A43" s="888"/>
      <c r="B43" s="70" t="s">
        <v>493</v>
      </c>
      <c r="C43" s="378">
        <f>C42+D42-E42</f>
        <v>0</v>
      </c>
      <c r="D43" s="376"/>
      <c r="E43" s="376"/>
      <c r="F43" s="376"/>
      <c r="G43" s="377">
        <f>SUM(D43:F43)</f>
        <v>0</v>
      </c>
      <c r="H43" s="376"/>
      <c r="I43" s="376"/>
      <c r="J43" s="398" t="e">
        <f>1-(ABS(H43)/I43)</f>
        <v>#DIV/0!</v>
      </c>
      <c r="N43" s="174" t="str">
        <f>B43</f>
        <v>开发过程</v>
      </c>
      <c r="O43" s="174" t="e">
        <f>J43</f>
        <v>#DIV/0!</v>
      </c>
    </row>
    <row r="44" spans="1:21" s="174" customFormat="1" ht="23.1" hidden="1" customHeight="1" outlineLevel="1">
      <c r="A44" s="888"/>
      <c r="B44" s="70" t="s">
        <v>494</v>
      </c>
      <c r="C44" s="378">
        <f>C43+D43-E43</f>
        <v>0</v>
      </c>
      <c r="D44" s="376"/>
      <c r="E44" s="376"/>
      <c r="F44" s="376"/>
      <c r="G44" s="377">
        <f>SUM(D44:F44)</f>
        <v>0</v>
      </c>
      <c r="H44" s="376"/>
      <c r="I44" s="376"/>
      <c r="J44" s="398" t="e">
        <f>1-(ABS(H44)/I44)</f>
        <v>#DIV/0!</v>
      </c>
      <c r="N44" s="174" t="str">
        <f>B44</f>
        <v>测试过程</v>
      </c>
      <c r="O44" s="174" t="e">
        <f>J44</f>
        <v>#DIV/0!</v>
      </c>
      <c r="Q44" s="57"/>
    </row>
    <row r="45" spans="1:21" ht="18.75" hidden="1" customHeight="1" outlineLevel="1">
      <c r="A45" s="889"/>
      <c r="B45" s="379" t="s">
        <v>495</v>
      </c>
      <c r="C45" s="380">
        <f>C41</f>
        <v>0</v>
      </c>
      <c r="D45" s="380">
        <f>SUM(D41:D44)</f>
        <v>0</v>
      </c>
      <c r="E45" s="381">
        <f>SUM(E41:E44)</f>
        <v>0</v>
      </c>
      <c r="F45" s="382">
        <f>SUM(F41:F44)</f>
        <v>0</v>
      </c>
      <c r="G45" s="383">
        <f>SUM(G41:G44)</f>
        <v>0</v>
      </c>
      <c r="H45" s="383">
        <f>ABS(H41)+ABS(H42)+ABS(H43)+ABS(H44)</f>
        <v>0</v>
      </c>
      <c r="I45" s="383">
        <f>I41</f>
        <v>0</v>
      </c>
      <c r="J45" s="398" t="e">
        <f>1-(ABS(H45)/I45)</f>
        <v>#DIV/0!</v>
      </c>
      <c r="O45" s="174" t="e">
        <f>J45</f>
        <v>#DIV/0!</v>
      </c>
    </row>
    <row r="46" spans="1:21" ht="18.75" hidden="1" customHeight="1" outlineLevel="1">
      <c r="A46" s="897"/>
      <c r="B46" s="897"/>
      <c r="C46" s="897"/>
      <c r="D46" s="898"/>
      <c r="E46" s="898"/>
      <c r="F46" s="897"/>
      <c r="G46" s="897"/>
      <c r="H46" s="897"/>
      <c r="I46" s="897"/>
      <c r="J46" s="897"/>
    </row>
    <row r="47" spans="1:21" ht="12" hidden="1" customHeight="1" outlineLevel="1">
      <c r="A47" s="384" t="s">
        <v>496</v>
      </c>
      <c r="B47" s="385"/>
      <c r="C47" s="386"/>
      <c r="D47" s="387"/>
      <c r="E47" s="387"/>
      <c r="F47" s="387"/>
      <c r="G47" s="387"/>
      <c r="H47" s="387"/>
      <c r="I47" s="387"/>
      <c r="J47" s="387"/>
    </row>
    <row r="48" spans="1:21" ht="12" hidden="1" customHeight="1" outlineLevel="1">
      <c r="A48" s="890" t="s">
        <v>479</v>
      </c>
      <c r="B48" s="890"/>
      <c r="C48" s="890"/>
      <c r="D48" s="890"/>
      <c r="E48" s="890"/>
      <c r="F48" s="890"/>
      <c r="G48" s="890"/>
      <c r="H48" s="890"/>
      <c r="I48" s="890"/>
      <c r="J48" s="890"/>
    </row>
    <row r="49" spans="1:21" ht="12" hidden="1" customHeight="1" outlineLevel="1">
      <c r="A49" s="891" t="s">
        <v>497</v>
      </c>
      <c r="B49" s="891"/>
      <c r="C49" s="891"/>
      <c r="D49" s="891"/>
      <c r="E49" s="891"/>
      <c r="F49" s="891"/>
      <c r="G49" s="891"/>
      <c r="H49" s="891"/>
      <c r="I49" s="891"/>
      <c r="J49" s="891"/>
    </row>
    <row r="50" spans="1:21" ht="18.75" hidden="1" customHeight="1" outlineLevel="1">
      <c r="A50" s="885" t="s">
        <v>96</v>
      </c>
      <c r="B50" s="881" t="s">
        <v>481</v>
      </c>
      <c r="C50" s="881" t="s">
        <v>482</v>
      </c>
      <c r="D50" s="892" t="s">
        <v>483</v>
      </c>
      <c r="E50" s="893"/>
      <c r="F50" s="893"/>
      <c r="G50" s="894"/>
      <c r="H50" s="881" t="s">
        <v>484</v>
      </c>
      <c r="I50" s="881" t="s">
        <v>485</v>
      </c>
      <c r="J50" s="883" t="s">
        <v>486</v>
      </c>
    </row>
    <row r="51" spans="1:21" ht="20.25" hidden="1" customHeight="1" outlineLevel="1">
      <c r="A51" s="886"/>
      <c r="B51" s="882"/>
      <c r="C51" s="882"/>
      <c r="D51" s="375" t="s">
        <v>487</v>
      </c>
      <c r="E51" s="375" t="s">
        <v>488</v>
      </c>
      <c r="F51" s="375" t="s">
        <v>489</v>
      </c>
      <c r="G51" s="375" t="s">
        <v>490</v>
      </c>
      <c r="H51" s="882"/>
      <c r="I51" s="882"/>
      <c r="J51" s="884"/>
    </row>
    <row r="52" spans="1:21" ht="23.1" hidden="1" customHeight="1" outlineLevel="1">
      <c r="A52" s="887" t="s">
        <v>256</v>
      </c>
      <c r="B52" s="70" t="s">
        <v>491</v>
      </c>
      <c r="C52" s="376"/>
      <c r="D52" s="376"/>
      <c r="E52" s="376"/>
      <c r="F52" s="376"/>
      <c r="G52" s="377">
        <f>D52+E52+F52</f>
        <v>0</v>
      </c>
      <c r="H52" s="376"/>
      <c r="I52" s="376"/>
      <c r="J52" s="398" t="e">
        <f>1-(ABS(H52)/I52)</f>
        <v>#DIV/0!</v>
      </c>
      <c r="N52" s="174" t="str">
        <f>B52</f>
        <v>需求过程</v>
      </c>
      <c r="O52" s="174" t="e">
        <f>J52</f>
        <v>#DIV/0!</v>
      </c>
    </row>
    <row r="53" spans="1:21" ht="23.1" hidden="1" customHeight="1" outlineLevel="1">
      <c r="A53" s="888"/>
      <c r="B53" s="70" t="s">
        <v>492</v>
      </c>
      <c r="C53" s="378">
        <f>C52+D52-E52</f>
        <v>0</v>
      </c>
      <c r="D53" s="376"/>
      <c r="E53" s="376"/>
      <c r="F53" s="376"/>
      <c r="G53" s="377">
        <f>D53+E53+F53</f>
        <v>0</v>
      </c>
      <c r="H53" s="376"/>
      <c r="I53" s="376"/>
      <c r="J53" s="398" t="e">
        <f>1-(ABS(H53)/I53)</f>
        <v>#DIV/0!</v>
      </c>
      <c r="N53" s="174" t="str">
        <f>B53</f>
        <v>设计过程</v>
      </c>
      <c r="O53" s="174" t="e">
        <f>J53</f>
        <v>#DIV/0!</v>
      </c>
    </row>
    <row r="54" spans="1:21" ht="23.1" hidden="1" customHeight="1" outlineLevel="1">
      <c r="A54" s="888"/>
      <c r="B54" s="70" t="s">
        <v>493</v>
      </c>
      <c r="C54" s="378">
        <f>C53+D53-E53</f>
        <v>0</v>
      </c>
      <c r="D54" s="376"/>
      <c r="E54" s="376"/>
      <c r="F54" s="376"/>
      <c r="G54" s="377">
        <f>D54+E54+F54</f>
        <v>0</v>
      </c>
      <c r="H54" s="376"/>
      <c r="I54" s="376"/>
      <c r="J54" s="398" t="e">
        <f>1-(ABS(H54)/I54)</f>
        <v>#DIV/0!</v>
      </c>
      <c r="N54" s="174" t="str">
        <f>B54</f>
        <v>开发过程</v>
      </c>
      <c r="O54" s="174" t="e">
        <f>J54</f>
        <v>#DIV/0!</v>
      </c>
    </row>
    <row r="55" spans="1:21" ht="23.1" hidden="1" customHeight="1" outlineLevel="1">
      <c r="A55" s="888"/>
      <c r="B55" s="70" t="s">
        <v>494</v>
      </c>
      <c r="C55" s="378">
        <f>C54+D54-E54</f>
        <v>0</v>
      </c>
      <c r="D55" s="376"/>
      <c r="E55" s="376"/>
      <c r="F55" s="376"/>
      <c r="G55" s="377">
        <f>D55+E55+F55</f>
        <v>0</v>
      </c>
      <c r="H55" s="376"/>
      <c r="I55" s="376"/>
      <c r="J55" s="398" t="e">
        <f>1-(ABS(H55)/I55)</f>
        <v>#DIV/0!</v>
      </c>
      <c r="N55" s="174" t="str">
        <f>B55</f>
        <v>测试过程</v>
      </c>
      <c r="O55" s="174" t="e">
        <f>J55</f>
        <v>#DIV/0!</v>
      </c>
    </row>
    <row r="56" spans="1:21" ht="23.1" hidden="1" customHeight="1" outlineLevel="1">
      <c r="A56" s="889"/>
      <c r="B56" s="379" t="s">
        <v>495</v>
      </c>
      <c r="C56" s="380">
        <f>C52</f>
        <v>0</v>
      </c>
      <c r="D56" s="380">
        <f>SUM(D52:D55)</f>
        <v>0</v>
      </c>
      <c r="E56" s="380">
        <f>SUM(E52:E55)</f>
        <v>0</v>
      </c>
      <c r="F56" s="380">
        <f>SUM(F52:F55)</f>
        <v>0</v>
      </c>
      <c r="G56" s="380">
        <f>SUM(G52:G55)</f>
        <v>0</v>
      </c>
      <c r="H56" s="383">
        <f>ABS(H52)+ABS(H53)+ABS(H54)+ABS(H55)</f>
        <v>0</v>
      </c>
      <c r="I56" s="383">
        <f>I52</f>
        <v>0</v>
      </c>
      <c r="J56" s="398" t="e">
        <f>1-(ABS(H56)/I56)</f>
        <v>#DIV/0!</v>
      </c>
    </row>
    <row r="57" spans="1:21" hidden="1" outlineLevel="1"/>
    <row r="58" spans="1:21" hidden="1" outlineLevel="1"/>
    <row r="61" spans="1:21" ht="23.25" customHeight="1" collapsed="1">
      <c r="A61" s="895" t="s">
        <v>394</v>
      </c>
      <c r="B61" s="895"/>
      <c r="C61" s="895"/>
      <c r="D61" s="895"/>
      <c r="E61" s="895"/>
      <c r="F61" s="895"/>
      <c r="G61" s="895"/>
      <c r="H61" s="895"/>
      <c r="I61" s="895"/>
      <c r="J61" s="895"/>
    </row>
    <row r="62" spans="1:21" ht="13.5" hidden="1" customHeight="1" outlineLevel="1">
      <c r="A62" s="388" t="s">
        <v>478</v>
      </c>
      <c r="B62" s="389"/>
      <c r="C62" s="373"/>
      <c r="D62" s="373"/>
      <c r="E62" s="373"/>
      <c r="F62" s="373"/>
      <c r="G62" s="373"/>
      <c r="H62" s="373"/>
      <c r="I62" s="373"/>
      <c r="J62" s="395"/>
      <c r="L62" s="396"/>
      <c r="M62" s="396"/>
      <c r="N62" s="396"/>
      <c r="O62" s="396"/>
      <c r="P62" s="396"/>
      <c r="Q62" s="396"/>
      <c r="R62" s="396"/>
      <c r="S62" s="396"/>
      <c r="T62" s="396"/>
      <c r="U62" s="396"/>
    </row>
    <row r="63" spans="1:21" ht="12" hidden="1" customHeight="1" outlineLevel="1">
      <c r="A63" s="54" t="s">
        <v>479</v>
      </c>
      <c r="B63" s="373"/>
      <c r="C63" s="373"/>
      <c r="D63" s="373"/>
      <c r="E63" s="373"/>
      <c r="F63" s="373"/>
      <c r="G63" s="373"/>
      <c r="H63" s="373"/>
      <c r="I63" s="373"/>
      <c r="J63" s="395"/>
      <c r="L63" s="396"/>
      <c r="M63" s="396"/>
      <c r="N63" s="396"/>
      <c r="O63" s="396"/>
      <c r="P63" s="396"/>
      <c r="Q63" s="396"/>
      <c r="R63" s="396"/>
      <c r="S63" s="396"/>
      <c r="T63" s="396"/>
      <c r="U63" s="396"/>
    </row>
    <row r="64" spans="1:21" ht="15.75" hidden="1" customHeight="1" outlineLevel="1">
      <c r="A64" s="54" t="s">
        <v>480</v>
      </c>
      <c r="B64" s="374"/>
      <c r="C64" s="374"/>
      <c r="D64" s="374"/>
      <c r="E64" s="374"/>
      <c r="F64" s="374"/>
      <c r="G64" s="374"/>
      <c r="H64" s="374"/>
      <c r="I64" s="374"/>
      <c r="J64" s="397"/>
    </row>
    <row r="65" spans="1:17" ht="16.5" hidden="1" customHeight="1" outlineLevel="1">
      <c r="A65" s="885" t="s">
        <v>96</v>
      </c>
      <c r="B65" s="881" t="s">
        <v>481</v>
      </c>
      <c r="C65" s="881" t="s">
        <v>482</v>
      </c>
      <c r="D65" s="892" t="s">
        <v>483</v>
      </c>
      <c r="E65" s="893"/>
      <c r="F65" s="893"/>
      <c r="G65" s="894"/>
      <c r="H65" s="881" t="s">
        <v>484</v>
      </c>
      <c r="I65" s="881" t="s">
        <v>485</v>
      </c>
      <c r="J65" s="883" t="s">
        <v>486</v>
      </c>
    </row>
    <row r="66" spans="1:17" ht="23.1" hidden="1" customHeight="1" outlineLevel="1">
      <c r="A66" s="886"/>
      <c r="B66" s="882"/>
      <c r="C66" s="882"/>
      <c r="D66" s="375" t="s">
        <v>487</v>
      </c>
      <c r="E66" s="375" t="s">
        <v>488</v>
      </c>
      <c r="F66" s="375" t="s">
        <v>489</v>
      </c>
      <c r="G66" s="375" t="s">
        <v>490</v>
      </c>
      <c r="H66" s="882"/>
      <c r="I66" s="882"/>
      <c r="J66" s="884"/>
    </row>
    <row r="67" spans="1:17" s="174" customFormat="1" ht="23.1" hidden="1" customHeight="1" outlineLevel="1">
      <c r="A67" s="887" t="s">
        <v>255</v>
      </c>
      <c r="B67" s="70" t="s">
        <v>491</v>
      </c>
      <c r="C67" s="376"/>
      <c r="D67" s="376"/>
      <c r="E67" s="376"/>
      <c r="F67" s="376"/>
      <c r="G67" s="377">
        <f>SUM(D67:F67)</f>
        <v>0</v>
      </c>
      <c r="H67" s="376"/>
      <c r="I67" s="376"/>
      <c r="J67" s="398" t="e">
        <f>1-(ABS(H67)/I67)</f>
        <v>#DIV/0!</v>
      </c>
      <c r="N67" s="174" t="str">
        <f>B67</f>
        <v>需求过程</v>
      </c>
      <c r="O67" s="174" t="e">
        <f>J67</f>
        <v>#DIV/0!</v>
      </c>
    </row>
    <row r="68" spans="1:17" s="174" customFormat="1" ht="23.1" hidden="1" customHeight="1" outlineLevel="1">
      <c r="A68" s="888"/>
      <c r="B68" s="70" t="s">
        <v>492</v>
      </c>
      <c r="C68" s="378">
        <f>C67+D67-E67</f>
        <v>0</v>
      </c>
      <c r="D68" s="376"/>
      <c r="E68" s="376"/>
      <c r="F68" s="376"/>
      <c r="G68" s="377">
        <f>SUM(D68:F68)</f>
        <v>0</v>
      </c>
      <c r="H68" s="376"/>
      <c r="I68" s="376"/>
      <c r="J68" s="398" t="e">
        <f>1-(ABS(H68)/I68)</f>
        <v>#DIV/0!</v>
      </c>
      <c r="N68" s="174" t="str">
        <f>B68</f>
        <v>设计过程</v>
      </c>
      <c r="O68" s="174" t="e">
        <f>J68</f>
        <v>#DIV/0!</v>
      </c>
    </row>
    <row r="69" spans="1:17" s="174" customFormat="1" ht="23.1" hidden="1" customHeight="1" outlineLevel="1">
      <c r="A69" s="888"/>
      <c r="B69" s="70" t="s">
        <v>493</v>
      </c>
      <c r="C69" s="378">
        <f>C68+D68-E68</f>
        <v>0</v>
      </c>
      <c r="D69" s="376"/>
      <c r="E69" s="376"/>
      <c r="F69" s="376"/>
      <c r="G69" s="377">
        <f>SUM(D69:F69)</f>
        <v>0</v>
      </c>
      <c r="H69" s="376"/>
      <c r="I69" s="376"/>
      <c r="J69" s="398" t="e">
        <f>1-(ABS(H69)/I69)</f>
        <v>#DIV/0!</v>
      </c>
      <c r="N69" s="174" t="str">
        <f>B69</f>
        <v>开发过程</v>
      </c>
      <c r="O69" s="174" t="e">
        <f>J69</f>
        <v>#DIV/0!</v>
      </c>
    </row>
    <row r="70" spans="1:17" s="174" customFormat="1" ht="23.1" hidden="1" customHeight="1" outlineLevel="1">
      <c r="A70" s="888"/>
      <c r="B70" s="70" t="s">
        <v>494</v>
      </c>
      <c r="C70" s="378">
        <f>C69+D69-E69</f>
        <v>0</v>
      </c>
      <c r="D70" s="376"/>
      <c r="E70" s="376"/>
      <c r="F70" s="376"/>
      <c r="G70" s="377">
        <f>SUM(D70:F70)</f>
        <v>0</v>
      </c>
      <c r="H70" s="376"/>
      <c r="I70" s="376"/>
      <c r="J70" s="398" t="e">
        <f>1-(ABS(H70)/I70)</f>
        <v>#DIV/0!</v>
      </c>
      <c r="N70" s="174" t="str">
        <f>B70</f>
        <v>测试过程</v>
      </c>
      <c r="O70" s="174" t="e">
        <f>J70</f>
        <v>#DIV/0!</v>
      </c>
      <c r="Q70" s="57"/>
    </row>
    <row r="71" spans="1:17" ht="18.75" hidden="1" customHeight="1" outlineLevel="1">
      <c r="A71" s="889"/>
      <c r="B71" s="379" t="s">
        <v>495</v>
      </c>
      <c r="C71" s="380">
        <f>C67</f>
        <v>0</v>
      </c>
      <c r="D71" s="380">
        <f>SUM(D67:D70)</f>
        <v>0</v>
      </c>
      <c r="E71" s="381">
        <f>SUM(E67:E70)</f>
        <v>0</v>
      </c>
      <c r="F71" s="382">
        <f>SUM(F67:F70)</f>
        <v>0</v>
      </c>
      <c r="G71" s="383">
        <f>SUM(G67:G70)</f>
        <v>0</v>
      </c>
      <c r="H71" s="383">
        <f>ABS(H67)+ABS(H68)+ABS(H69)+ABS(H70)</f>
        <v>0</v>
      </c>
      <c r="I71" s="383">
        <f>I67</f>
        <v>0</v>
      </c>
      <c r="J71" s="398" t="e">
        <f>1-(ABS(H71)/I71)</f>
        <v>#DIV/0!</v>
      </c>
      <c r="O71" s="174" t="e">
        <f>J71</f>
        <v>#DIV/0!</v>
      </c>
    </row>
    <row r="72" spans="1:17" ht="18.75" hidden="1" customHeight="1" outlineLevel="1">
      <c r="A72" s="897"/>
      <c r="B72" s="897"/>
      <c r="C72" s="897"/>
      <c r="D72" s="898"/>
      <c r="E72" s="898"/>
      <c r="F72" s="897"/>
      <c r="G72" s="897"/>
      <c r="H72" s="897"/>
      <c r="I72" s="897"/>
      <c r="J72" s="897"/>
    </row>
    <row r="73" spans="1:17" ht="12" hidden="1" customHeight="1" outlineLevel="1">
      <c r="A73" s="384" t="s">
        <v>496</v>
      </c>
      <c r="B73" s="385"/>
      <c r="C73" s="386"/>
      <c r="D73" s="387"/>
      <c r="E73" s="387"/>
      <c r="F73" s="387"/>
      <c r="G73" s="387"/>
      <c r="H73" s="387"/>
      <c r="I73" s="387"/>
      <c r="J73" s="387"/>
    </row>
    <row r="74" spans="1:17" ht="12" hidden="1" customHeight="1" outlineLevel="1">
      <c r="A74" s="890" t="s">
        <v>479</v>
      </c>
      <c r="B74" s="890"/>
      <c r="C74" s="890"/>
      <c r="D74" s="890"/>
      <c r="E74" s="890"/>
      <c r="F74" s="890"/>
      <c r="G74" s="890"/>
      <c r="H74" s="890"/>
      <c r="I74" s="890"/>
      <c r="J74" s="890"/>
    </row>
    <row r="75" spans="1:17" ht="12" hidden="1" customHeight="1" outlineLevel="1">
      <c r="A75" s="891" t="s">
        <v>497</v>
      </c>
      <c r="B75" s="891"/>
      <c r="C75" s="891"/>
      <c r="D75" s="891"/>
      <c r="E75" s="891"/>
      <c r="F75" s="891"/>
      <c r="G75" s="891"/>
      <c r="H75" s="891"/>
      <c r="I75" s="891"/>
      <c r="J75" s="891"/>
    </row>
    <row r="76" spans="1:17" ht="18.75" hidden="1" customHeight="1" outlineLevel="1">
      <c r="A76" s="885" t="s">
        <v>96</v>
      </c>
      <c r="B76" s="881" t="s">
        <v>481</v>
      </c>
      <c r="C76" s="881" t="s">
        <v>482</v>
      </c>
      <c r="D76" s="892" t="s">
        <v>483</v>
      </c>
      <c r="E76" s="893"/>
      <c r="F76" s="893"/>
      <c r="G76" s="894"/>
      <c r="H76" s="881" t="s">
        <v>484</v>
      </c>
      <c r="I76" s="881" t="s">
        <v>485</v>
      </c>
      <c r="J76" s="883" t="s">
        <v>486</v>
      </c>
    </row>
    <row r="77" spans="1:17" ht="20.25" hidden="1" customHeight="1" outlineLevel="1">
      <c r="A77" s="886"/>
      <c r="B77" s="882"/>
      <c r="C77" s="882"/>
      <c r="D77" s="375" t="s">
        <v>487</v>
      </c>
      <c r="E77" s="375" t="s">
        <v>488</v>
      </c>
      <c r="F77" s="375" t="s">
        <v>489</v>
      </c>
      <c r="G77" s="375" t="s">
        <v>490</v>
      </c>
      <c r="H77" s="882"/>
      <c r="I77" s="882"/>
      <c r="J77" s="884"/>
    </row>
    <row r="78" spans="1:17" ht="23.1" hidden="1" customHeight="1" outlineLevel="1">
      <c r="A78" s="887" t="s">
        <v>256</v>
      </c>
      <c r="B78" s="70" t="s">
        <v>491</v>
      </c>
      <c r="C78" s="376"/>
      <c r="D78" s="376"/>
      <c r="E78" s="376"/>
      <c r="F78" s="376"/>
      <c r="G78" s="377">
        <f>D78+E78+F78</f>
        <v>0</v>
      </c>
      <c r="H78" s="376"/>
      <c r="I78" s="376"/>
      <c r="J78" s="398" t="e">
        <f>1-(ABS(H78)/I78)</f>
        <v>#DIV/0!</v>
      </c>
      <c r="N78" s="174" t="str">
        <f>B78</f>
        <v>需求过程</v>
      </c>
      <c r="O78" s="174" t="e">
        <f>J78</f>
        <v>#DIV/0!</v>
      </c>
    </row>
    <row r="79" spans="1:17" ht="23.1" hidden="1" customHeight="1" outlineLevel="1">
      <c r="A79" s="888"/>
      <c r="B79" s="70" t="s">
        <v>492</v>
      </c>
      <c r="C79" s="378">
        <f>C78+D78-E78</f>
        <v>0</v>
      </c>
      <c r="D79" s="376"/>
      <c r="E79" s="376"/>
      <c r="F79" s="376"/>
      <c r="G79" s="377">
        <f>D79+E79+F79</f>
        <v>0</v>
      </c>
      <c r="H79" s="376"/>
      <c r="I79" s="376"/>
      <c r="J79" s="398" t="e">
        <f>1-(ABS(H79)/I79)</f>
        <v>#DIV/0!</v>
      </c>
      <c r="N79" s="174" t="str">
        <f>B79</f>
        <v>设计过程</v>
      </c>
      <c r="O79" s="174" t="e">
        <f>J79</f>
        <v>#DIV/0!</v>
      </c>
    </row>
    <row r="80" spans="1:17" ht="23.1" hidden="1" customHeight="1" outlineLevel="1">
      <c r="A80" s="888"/>
      <c r="B80" s="70" t="s">
        <v>493</v>
      </c>
      <c r="C80" s="378">
        <f>C79+D79-E79</f>
        <v>0</v>
      </c>
      <c r="D80" s="376"/>
      <c r="E80" s="376"/>
      <c r="F80" s="376"/>
      <c r="G80" s="377">
        <f>D80+E80+F80</f>
        <v>0</v>
      </c>
      <c r="H80" s="376"/>
      <c r="I80" s="376"/>
      <c r="J80" s="398" t="e">
        <f>1-(ABS(H80)/I80)</f>
        <v>#DIV/0!</v>
      </c>
      <c r="N80" s="174" t="str">
        <f>B80</f>
        <v>开发过程</v>
      </c>
      <c r="O80" s="174" t="e">
        <f>J80</f>
        <v>#DIV/0!</v>
      </c>
    </row>
    <row r="81" spans="1:15" ht="23.1" hidden="1" customHeight="1" outlineLevel="1">
      <c r="A81" s="888"/>
      <c r="B81" s="70" t="s">
        <v>494</v>
      </c>
      <c r="C81" s="378">
        <f>C80+D80-E80</f>
        <v>0</v>
      </c>
      <c r="D81" s="376"/>
      <c r="E81" s="376"/>
      <c r="F81" s="376"/>
      <c r="G81" s="377">
        <f>D81+E81+F81</f>
        <v>0</v>
      </c>
      <c r="H81" s="376"/>
      <c r="I81" s="376"/>
      <c r="J81" s="398" t="e">
        <f>1-(ABS(H81)/I81)</f>
        <v>#DIV/0!</v>
      </c>
      <c r="N81" s="174" t="str">
        <f>B81</f>
        <v>测试过程</v>
      </c>
      <c r="O81" s="174" t="e">
        <f>J81</f>
        <v>#DIV/0!</v>
      </c>
    </row>
    <row r="82" spans="1:15" ht="23.1" hidden="1" customHeight="1" outlineLevel="1">
      <c r="A82" s="889"/>
      <c r="B82" s="379" t="s">
        <v>495</v>
      </c>
      <c r="C82" s="380">
        <f>C78</f>
        <v>0</v>
      </c>
      <c r="D82" s="380">
        <f t="shared" ref="D82:G82" si="0">SUM(D78:D81)</f>
        <v>0</v>
      </c>
      <c r="E82" s="380">
        <f t="shared" si="0"/>
        <v>0</v>
      </c>
      <c r="F82" s="380">
        <f t="shared" si="0"/>
        <v>0</v>
      </c>
      <c r="G82" s="380">
        <f t="shared" si="0"/>
        <v>0</v>
      </c>
      <c r="H82" s="383">
        <f>ABS(H78)+ABS(H79)+ABS(H80)+ABS(H81)</f>
        <v>0</v>
      </c>
      <c r="I82" s="383">
        <f>I78</f>
        <v>0</v>
      </c>
      <c r="J82" s="398" t="e">
        <f>1-(ABS(H82)/I82)</f>
        <v>#DIV/0!</v>
      </c>
    </row>
    <row r="83" spans="1:15" hidden="1" outlineLevel="1"/>
    <row r="84" spans="1:15" hidden="1" outlineLevel="1"/>
  </sheetData>
  <mergeCells count="62">
    <mergeCell ref="A10:J10"/>
    <mergeCell ref="D14:G14"/>
    <mergeCell ref="A21:J21"/>
    <mergeCell ref="A23:J23"/>
    <mergeCell ref="A24:J24"/>
    <mergeCell ref="I14:I15"/>
    <mergeCell ref="C14:C15"/>
    <mergeCell ref="D65:G65"/>
    <mergeCell ref="A72:J72"/>
    <mergeCell ref="C50:C51"/>
    <mergeCell ref="C65:C66"/>
    <mergeCell ref="I50:I51"/>
    <mergeCell ref="I65:I66"/>
    <mergeCell ref="A65:A66"/>
    <mergeCell ref="A67:A71"/>
    <mergeCell ref="C25:C26"/>
    <mergeCell ref="A49:J49"/>
    <mergeCell ref="D50:G50"/>
    <mergeCell ref="A61:J61"/>
    <mergeCell ref="D25:G25"/>
    <mergeCell ref="A35:J35"/>
    <mergeCell ref="D39:G39"/>
    <mergeCell ref="A46:J46"/>
    <mergeCell ref="A48:J48"/>
    <mergeCell ref="C39:C40"/>
    <mergeCell ref="I25:I26"/>
    <mergeCell ref="I39:I40"/>
    <mergeCell ref="A50:A51"/>
    <mergeCell ref="A52:A56"/>
    <mergeCell ref="A41:A45"/>
    <mergeCell ref="A76:A77"/>
    <mergeCell ref="A78:A82"/>
    <mergeCell ref="B14:B15"/>
    <mergeCell ref="B25:B26"/>
    <mergeCell ref="B39:B40"/>
    <mergeCell ref="B50:B51"/>
    <mergeCell ref="B65:B66"/>
    <mergeCell ref="B76:B77"/>
    <mergeCell ref="A74:J74"/>
    <mergeCell ref="A75:J75"/>
    <mergeCell ref="D76:G76"/>
    <mergeCell ref="A14:A15"/>
    <mergeCell ref="A16:A20"/>
    <mergeCell ref="A25:A26"/>
    <mergeCell ref="A27:A31"/>
    <mergeCell ref="A39:A40"/>
    <mergeCell ref="L1:U9"/>
    <mergeCell ref="A1:J9"/>
    <mergeCell ref="I76:I77"/>
    <mergeCell ref="J14:J15"/>
    <mergeCell ref="J25:J26"/>
    <mergeCell ref="J39:J40"/>
    <mergeCell ref="J50:J51"/>
    <mergeCell ref="J65:J66"/>
    <mergeCell ref="J76:J77"/>
    <mergeCell ref="C76:C77"/>
    <mergeCell ref="H14:H15"/>
    <mergeCell ref="H25:H26"/>
    <mergeCell ref="H39:H40"/>
    <mergeCell ref="H50:H51"/>
    <mergeCell ref="H65:H66"/>
    <mergeCell ref="H76:H77"/>
  </mergeCells>
  <phoneticPr fontId="150" type="noConversion"/>
  <pageMargins left="0.69930555555555596" right="0.69930555555555596" top="0.75" bottom="0.75" header="0.3" footer="0.3"/>
  <pageSetup paperSize="9" orientation="portrait"/>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7"/>
    <outlinePr summaryBelow="0"/>
  </sheetPr>
  <dimension ref="A1:T180"/>
  <sheetViews>
    <sheetView showGridLines="0" topLeftCell="H16" workbookViewId="0">
      <selection activeCell="Q23" sqref="Q23"/>
    </sheetView>
  </sheetViews>
  <sheetFormatPr defaultColWidth="9" defaultRowHeight="12" outlineLevelRow="1"/>
  <cols>
    <col min="1" max="1" width="5.125" style="256" customWidth="1"/>
    <col min="2" max="2" width="21.125" style="53" customWidth="1"/>
    <col min="3" max="4" width="7.25" style="53" customWidth="1"/>
    <col min="5" max="5" width="8.75" style="53" customWidth="1"/>
    <col min="6" max="7" width="7.25" style="53" customWidth="1"/>
    <col min="8" max="8" width="8.375" style="53" customWidth="1"/>
    <col min="9" max="11" width="7.25" style="53" customWidth="1"/>
    <col min="12" max="12" width="13.875" style="53" customWidth="1"/>
    <col min="13" max="13" width="7.25" style="53" customWidth="1"/>
    <col min="14" max="14" width="10.5" style="53" customWidth="1"/>
    <col min="15" max="15" width="18.375" style="53" customWidth="1"/>
    <col min="16" max="16" width="19.125" style="53" customWidth="1"/>
    <col min="17" max="17" width="6.375" style="53" customWidth="1"/>
    <col min="18" max="18" width="19.875" style="53" customWidth="1"/>
    <col min="19" max="256" width="9" style="53"/>
    <col min="257" max="257" width="3.875" style="53" customWidth="1"/>
    <col min="258" max="258" width="21.125" style="53" customWidth="1"/>
    <col min="259" max="263" width="7.25" style="53" customWidth="1"/>
    <col min="264" max="264" width="8.375" style="53" customWidth="1"/>
    <col min="265" max="270" width="7.25" style="53" customWidth="1"/>
    <col min="271" max="271" width="18.625" style="53" customWidth="1"/>
    <col min="272" max="272" width="19.125" style="53" customWidth="1"/>
    <col min="273" max="273" width="4.375" style="53" customWidth="1"/>
    <col min="274" max="274" width="10.75" style="53" customWidth="1"/>
    <col min="275" max="512" width="9" style="53"/>
    <col min="513" max="513" width="3.875" style="53" customWidth="1"/>
    <col min="514" max="514" width="21.125" style="53" customWidth="1"/>
    <col min="515" max="519" width="7.25" style="53" customWidth="1"/>
    <col min="520" max="520" width="8.375" style="53" customWidth="1"/>
    <col min="521" max="526" width="7.25" style="53" customWidth="1"/>
    <col min="527" max="527" width="18.625" style="53" customWidth="1"/>
    <col min="528" max="528" width="19.125" style="53" customWidth="1"/>
    <col min="529" max="529" width="4.375" style="53" customWidth="1"/>
    <col min="530" max="530" width="10.75" style="53" customWidth="1"/>
    <col min="531" max="768" width="9" style="53"/>
    <col min="769" max="769" width="3.875" style="53" customWidth="1"/>
    <col min="770" max="770" width="21.125" style="53" customWidth="1"/>
    <col min="771" max="775" width="7.25" style="53" customWidth="1"/>
    <col min="776" max="776" width="8.375" style="53" customWidth="1"/>
    <col min="777" max="782" width="7.25" style="53" customWidth="1"/>
    <col min="783" max="783" width="18.625" style="53" customWidth="1"/>
    <col min="784" max="784" width="19.125" style="53" customWidth="1"/>
    <col min="785" max="785" width="4.375" style="53" customWidth="1"/>
    <col min="786" max="786" width="10.75" style="53" customWidth="1"/>
    <col min="787" max="1024" width="9" style="53"/>
    <col min="1025" max="1025" width="3.875" style="53" customWidth="1"/>
    <col min="1026" max="1026" width="21.125" style="53" customWidth="1"/>
    <col min="1027" max="1031" width="7.25" style="53" customWidth="1"/>
    <col min="1032" max="1032" width="8.375" style="53" customWidth="1"/>
    <col min="1033" max="1038" width="7.25" style="53" customWidth="1"/>
    <col min="1039" max="1039" width="18.625" style="53" customWidth="1"/>
    <col min="1040" max="1040" width="19.125" style="53" customWidth="1"/>
    <col min="1041" max="1041" width="4.375" style="53" customWidth="1"/>
    <col min="1042" max="1042" width="10.75" style="53" customWidth="1"/>
    <col min="1043" max="1280" width="9" style="53"/>
    <col min="1281" max="1281" width="3.875" style="53" customWidth="1"/>
    <col min="1282" max="1282" width="21.125" style="53" customWidth="1"/>
    <col min="1283" max="1287" width="7.25" style="53" customWidth="1"/>
    <col min="1288" max="1288" width="8.375" style="53" customWidth="1"/>
    <col min="1289" max="1294" width="7.25" style="53" customWidth="1"/>
    <col min="1295" max="1295" width="18.625" style="53" customWidth="1"/>
    <col min="1296" max="1296" width="19.125" style="53" customWidth="1"/>
    <col min="1297" max="1297" width="4.375" style="53" customWidth="1"/>
    <col min="1298" max="1298" width="10.75" style="53" customWidth="1"/>
    <col min="1299" max="1536" width="9" style="53"/>
    <col min="1537" max="1537" width="3.875" style="53" customWidth="1"/>
    <col min="1538" max="1538" width="21.125" style="53" customWidth="1"/>
    <col min="1539" max="1543" width="7.25" style="53" customWidth="1"/>
    <col min="1544" max="1544" width="8.375" style="53" customWidth="1"/>
    <col min="1545" max="1550" width="7.25" style="53" customWidth="1"/>
    <col min="1551" max="1551" width="18.625" style="53" customWidth="1"/>
    <col min="1552" max="1552" width="19.125" style="53" customWidth="1"/>
    <col min="1553" max="1553" width="4.375" style="53" customWidth="1"/>
    <col min="1554" max="1554" width="10.75" style="53" customWidth="1"/>
    <col min="1555" max="1792" width="9" style="53"/>
    <col min="1793" max="1793" width="3.875" style="53" customWidth="1"/>
    <col min="1794" max="1794" width="21.125" style="53" customWidth="1"/>
    <col min="1795" max="1799" width="7.25" style="53" customWidth="1"/>
    <col min="1800" max="1800" width="8.375" style="53" customWidth="1"/>
    <col min="1801" max="1806" width="7.25" style="53" customWidth="1"/>
    <col min="1807" max="1807" width="18.625" style="53" customWidth="1"/>
    <col min="1808" max="1808" width="19.125" style="53" customWidth="1"/>
    <col min="1809" max="1809" width="4.375" style="53" customWidth="1"/>
    <col min="1810" max="1810" width="10.75" style="53" customWidth="1"/>
    <col min="1811" max="2048" width="9" style="53"/>
    <col min="2049" max="2049" width="3.875" style="53" customWidth="1"/>
    <col min="2050" max="2050" width="21.125" style="53" customWidth="1"/>
    <col min="2051" max="2055" width="7.25" style="53" customWidth="1"/>
    <col min="2056" max="2056" width="8.375" style="53" customWidth="1"/>
    <col min="2057" max="2062" width="7.25" style="53" customWidth="1"/>
    <col min="2063" max="2063" width="18.625" style="53" customWidth="1"/>
    <col min="2064" max="2064" width="19.125" style="53" customWidth="1"/>
    <col min="2065" max="2065" width="4.375" style="53" customWidth="1"/>
    <col min="2066" max="2066" width="10.75" style="53" customWidth="1"/>
    <col min="2067" max="2304" width="9" style="53"/>
    <col min="2305" max="2305" width="3.875" style="53" customWidth="1"/>
    <col min="2306" max="2306" width="21.125" style="53" customWidth="1"/>
    <col min="2307" max="2311" width="7.25" style="53" customWidth="1"/>
    <col min="2312" max="2312" width="8.375" style="53" customWidth="1"/>
    <col min="2313" max="2318" width="7.25" style="53" customWidth="1"/>
    <col min="2319" max="2319" width="18.625" style="53" customWidth="1"/>
    <col min="2320" max="2320" width="19.125" style="53" customWidth="1"/>
    <col min="2321" max="2321" width="4.375" style="53" customWidth="1"/>
    <col min="2322" max="2322" width="10.75" style="53" customWidth="1"/>
    <col min="2323" max="2560" width="9" style="53"/>
    <col min="2561" max="2561" width="3.875" style="53" customWidth="1"/>
    <col min="2562" max="2562" width="21.125" style="53" customWidth="1"/>
    <col min="2563" max="2567" width="7.25" style="53" customWidth="1"/>
    <col min="2568" max="2568" width="8.375" style="53" customWidth="1"/>
    <col min="2569" max="2574" width="7.25" style="53" customWidth="1"/>
    <col min="2575" max="2575" width="18.625" style="53" customWidth="1"/>
    <col min="2576" max="2576" width="19.125" style="53" customWidth="1"/>
    <col min="2577" max="2577" width="4.375" style="53" customWidth="1"/>
    <col min="2578" max="2578" width="10.75" style="53" customWidth="1"/>
    <col min="2579" max="2816" width="9" style="53"/>
    <col min="2817" max="2817" width="3.875" style="53" customWidth="1"/>
    <col min="2818" max="2818" width="21.125" style="53" customWidth="1"/>
    <col min="2819" max="2823" width="7.25" style="53" customWidth="1"/>
    <col min="2824" max="2824" width="8.375" style="53" customWidth="1"/>
    <col min="2825" max="2830" width="7.25" style="53" customWidth="1"/>
    <col min="2831" max="2831" width="18.625" style="53" customWidth="1"/>
    <col min="2832" max="2832" width="19.125" style="53" customWidth="1"/>
    <col min="2833" max="2833" width="4.375" style="53" customWidth="1"/>
    <col min="2834" max="2834" width="10.75" style="53" customWidth="1"/>
    <col min="2835" max="3072" width="9" style="53"/>
    <col min="3073" max="3073" width="3.875" style="53" customWidth="1"/>
    <col min="3074" max="3074" width="21.125" style="53" customWidth="1"/>
    <col min="3075" max="3079" width="7.25" style="53" customWidth="1"/>
    <col min="3080" max="3080" width="8.375" style="53" customWidth="1"/>
    <col min="3081" max="3086" width="7.25" style="53" customWidth="1"/>
    <col min="3087" max="3087" width="18.625" style="53" customWidth="1"/>
    <col min="3088" max="3088" width="19.125" style="53" customWidth="1"/>
    <col min="3089" max="3089" width="4.375" style="53" customWidth="1"/>
    <col min="3090" max="3090" width="10.75" style="53" customWidth="1"/>
    <col min="3091" max="3328" width="9" style="53"/>
    <col min="3329" max="3329" width="3.875" style="53" customWidth="1"/>
    <col min="3330" max="3330" width="21.125" style="53" customWidth="1"/>
    <col min="3331" max="3335" width="7.25" style="53" customWidth="1"/>
    <col min="3336" max="3336" width="8.375" style="53" customWidth="1"/>
    <col min="3337" max="3342" width="7.25" style="53" customWidth="1"/>
    <col min="3343" max="3343" width="18.625" style="53" customWidth="1"/>
    <col min="3344" max="3344" width="19.125" style="53" customWidth="1"/>
    <col min="3345" max="3345" width="4.375" style="53" customWidth="1"/>
    <col min="3346" max="3346" width="10.75" style="53" customWidth="1"/>
    <col min="3347" max="3584" width="9" style="53"/>
    <col min="3585" max="3585" width="3.875" style="53" customWidth="1"/>
    <col min="3586" max="3586" width="21.125" style="53" customWidth="1"/>
    <col min="3587" max="3591" width="7.25" style="53" customWidth="1"/>
    <col min="3592" max="3592" width="8.375" style="53" customWidth="1"/>
    <col min="3593" max="3598" width="7.25" style="53" customWidth="1"/>
    <col min="3599" max="3599" width="18.625" style="53" customWidth="1"/>
    <col min="3600" max="3600" width="19.125" style="53" customWidth="1"/>
    <col min="3601" max="3601" width="4.375" style="53" customWidth="1"/>
    <col min="3602" max="3602" width="10.75" style="53" customWidth="1"/>
    <col min="3603" max="3840" width="9" style="53"/>
    <col min="3841" max="3841" width="3.875" style="53" customWidth="1"/>
    <col min="3842" max="3842" width="21.125" style="53" customWidth="1"/>
    <col min="3843" max="3847" width="7.25" style="53" customWidth="1"/>
    <col min="3848" max="3848" width="8.375" style="53" customWidth="1"/>
    <col min="3849" max="3854" width="7.25" style="53" customWidth="1"/>
    <col min="3855" max="3855" width="18.625" style="53" customWidth="1"/>
    <col min="3856" max="3856" width="19.125" style="53" customWidth="1"/>
    <col min="3857" max="3857" width="4.375" style="53" customWidth="1"/>
    <col min="3858" max="3858" width="10.75" style="53" customWidth="1"/>
    <col min="3859" max="4096" width="9" style="53"/>
    <col min="4097" max="4097" width="3.875" style="53" customWidth="1"/>
    <col min="4098" max="4098" width="21.125" style="53" customWidth="1"/>
    <col min="4099" max="4103" width="7.25" style="53" customWidth="1"/>
    <col min="4104" max="4104" width="8.375" style="53" customWidth="1"/>
    <col min="4105" max="4110" width="7.25" style="53" customWidth="1"/>
    <col min="4111" max="4111" width="18.625" style="53" customWidth="1"/>
    <col min="4112" max="4112" width="19.125" style="53" customWidth="1"/>
    <col min="4113" max="4113" width="4.375" style="53" customWidth="1"/>
    <col min="4114" max="4114" width="10.75" style="53" customWidth="1"/>
    <col min="4115" max="4352" width="9" style="53"/>
    <col min="4353" max="4353" width="3.875" style="53" customWidth="1"/>
    <col min="4354" max="4354" width="21.125" style="53" customWidth="1"/>
    <col min="4355" max="4359" width="7.25" style="53" customWidth="1"/>
    <col min="4360" max="4360" width="8.375" style="53" customWidth="1"/>
    <col min="4361" max="4366" width="7.25" style="53" customWidth="1"/>
    <col min="4367" max="4367" width="18.625" style="53" customWidth="1"/>
    <col min="4368" max="4368" width="19.125" style="53" customWidth="1"/>
    <col min="4369" max="4369" width="4.375" style="53" customWidth="1"/>
    <col min="4370" max="4370" width="10.75" style="53" customWidth="1"/>
    <col min="4371" max="4608" width="9" style="53"/>
    <col min="4609" max="4609" width="3.875" style="53" customWidth="1"/>
    <col min="4610" max="4610" width="21.125" style="53" customWidth="1"/>
    <col min="4611" max="4615" width="7.25" style="53" customWidth="1"/>
    <col min="4616" max="4616" width="8.375" style="53" customWidth="1"/>
    <col min="4617" max="4622" width="7.25" style="53" customWidth="1"/>
    <col min="4623" max="4623" width="18.625" style="53" customWidth="1"/>
    <col min="4624" max="4624" width="19.125" style="53" customWidth="1"/>
    <col min="4625" max="4625" width="4.375" style="53" customWidth="1"/>
    <col min="4626" max="4626" width="10.75" style="53" customWidth="1"/>
    <col min="4627" max="4864" width="9" style="53"/>
    <col min="4865" max="4865" width="3.875" style="53" customWidth="1"/>
    <col min="4866" max="4866" width="21.125" style="53" customWidth="1"/>
    <col min="4867" max="4871" width="7.25" style="53" customWidth="1"/>
    <col min="4872" max="4872" width="8.375" style="53" customWidth="1"/>
    <col min="4873" max="4878" width="7.25" style="53" customWidth="1"/>
    <col min="4879" max="4879" width="18.625" style="53" customWidth="1"/>
    <col min="4880" max="4880" width="19.125" style="53" customWidth="1"/>
    <col min="4881" max="4881" width="4.375" style="53" customWidth="1"/>
    <col min="4882" max="4882" width="10.75" style="53" customWidth="1"/>
    <col min="4883" max="5120" width="9" style="53"/>
    <col min="5121" max="5121" width="3.875" style="53" customWidth="1"/>
    <col min="5122" max="5122" width="21.125" style="53" customWidth="1"/>
    <col min="5123" max="5127" width="7.25" style="53" customWidth="1"/>
    <col min="5128" max="5128" width="8.375" style="53" customWidth="1"/>
    <col min="5129" max="5134" width="7.25" style="53" customWidth="1"/>
    <col min="5135" max="5135" width="18.625" style="53" customWidth="1"/>
    <col min="5136" max="5136" width="19.125" style="53" customWidth="1"/>
    <col min="5137" max="5137" width="4.375" style="53" customWidth="1"/>
    <col min="5138" max="5138" width="10.75" style="53" customWidth="1"/>
    <col min="5139" max="5376" width="9" style="53"/>
    <col min="5377" max="5377" width="3.875" style="53" customWidth="1"/>
    <col min="5378" max="5378" width="21.125" style="53" customWidth="1"/>
    <col min="5379" max="5383" width="7.25" style="53" customWidth="1"/>
    <col min="5384" max="5384" width="8.375" style="53" customWidth="1"/>
    <col min="5385" max="5390" width="7.25" style="53" customWidth="1"/>
    <col min="5391" max="5391" width="18.625" style="53" customWidth="1"/>
    <col min="5392" max="5392" width="19.125" style="53" customWidth="1"/>
    <col min="5393" max="5393" width="4.375" style="53" customWidth="1"/>
    <col min="5394" max="5394" width="10.75" style="53" customWidth="1"/>
    <col min="5395" max="5632" width="9" style="53"/>
    <col min="5633" max="5633" width="3.875" style="53" customWidth="1"/>
    <col min="5634" max="5634" width="21.125" style="53" customWidth="1"/>
    <col min="5635" max="5639" width="7.25" style="53" customWidth="1"/>
    <col min="5640" max="5640" width="8.375" style="53" customWidth="1"/>
    <col min="5641" max="5646" width="7.25" style="53" customWidth="1"/>
    <col min="5647" max="5647" width="18.625" style="53" customWidth="1"/>
    <col min="5648" max="5648" width="19.125" style="53" customWidth="1"/>
    <col min="5649" max="5649" width="4.375" style="53" customWidth="1"/>
    <col min="5650" max="5650" width="10.75" style="53" customWidth="1"/>
    <col min="5651" max="5888" width="9" style="53"/>
    <col min="5889" max="5889" width="3.875" style="53" customWidth="1"/>
    <col min="5890" max="5890" width="21.125" style="53" customWidth="1"/>
    <col min="5891" max="5895" width="7.25" style="53" customWidth="1"/>
    <col min="5896" max="5896" width="8.375" style="53" customWidth="1"/>
    <col min="5897" max="5902" width="7.25" style="53" customWidth="1"/>
    <col min="5903" max="5903" width="18.625" style="53" customWidth="1"/>
    <col min="5904" max="5904" width="19.125" style="53" customWidth="1"/>
    <col min="5905" max="5905" width="4.375" style="53" customWidth="1"/>
    <col min="5906" max="5906" width="10.75" style="53" customWidth="1"/>
    <col min="5907" max="6144" width="9" style="53"/>
    <col min="6145" max="6145" width="3.875" style="53" customWidth="1"/>
    <col min="6146" max="6146" width="21.125" style="53" customWidth="1"/>
    <col min="6147" max="6151" width="7.25" style="53" customWidth="1"/>
    <col min="6152" max="6152" width="8.375" style="53" customWidth="1"/>
    <col min="6153" max="6158" width="7.25" style="53" customWidth="1"/>
    <col min="6159" max="6159" width="18.625" style="53" customWidth="1"/>
    <col min="6160" max="6160" width="19.125" style="53" customWidth="1"/>
    <col min="6161" max="6161" width="4.375" style="53" customWidth="1"/>
    <col min="6162" max="6162" width="10.75" style="53" customWidth="1"/>
    <col min="6163" max="6400" width="9" style="53"/>
    <col min="6401" max="6401" width="3.875" style="53" customWidth="1"/>
    <col min="6402" max="6402" width="21.125" style="53" customWidth="1"/>
    <col min="6403" max="6407" width="7.25" style="53" customWidth="1"/>
    <col min="6408" max="6408" width="8.375" style="53" customWidth="1"/>
    <col min="6409" max="6414" width="7.25" style="53" customWidth="1"/>
    <col min="6415" max="6415" width="18.625" style="53" customWidth="1"/>
    <col min="6416" max="6416" width="19.125" style="53" customWidth="1"/>
    <col min="6417" max="6417" width="4.375" style="53" customWidth="1"/>
    <col min="6418" max="6418" width="10.75" style="53" customWidth="1"/>
    <col min="6419" max="6656" width="9" style="53"/>
    <col min="6657" max="6657" width="3.875" style="53" customWidth="1"/>
    <col min="6658" max="6658" width="21.125" style="53" customWidth="1"/>
    <col min="6659" max="6663" width="7.25" style="53" customWidth="1"/>
    <col min="6664" max="6664" width="8.375" style="53" customWidth="1"/>
    <col min="6665" max="6670" width="7.25" style="53" customWidth="1"/>
    <col min="6671" max="6671" width="18.625" style="53" customWidth="1"/>
    <col min="6672" max="6672" width="19.125" style="53" customWidth="1"/>
    <col min="6673" max="6673" width="4.375" style="53" customWidth="1"/>
    <col min="6674" max="6674" width="10.75" style="53" customWidth="1"/>
    <col min="6675" max="6912" width="9" style="53"/>
    <col min="6913" max="6913" width="3.875" style="53" customWidth="1"/>
    <col min="6914" max="6914" width="21.125" style="53" customWidth="1"/>
    <col min="6915" max="6919" width="7.25" style="53" customWidth="1"/>
    <col min="6920" max="6920" width="8.375" style="53" customWidth="1"/>
    <col min="6921" max="6926" width="7.25" style="53" customWidth="1"/>
    <col min="6927" max="6927" width="18.625" style="53" customWidth="1"/>
    <col min="6928" max="6928" width="19.125" style="53" customWidth="1"/>
    <col min="6929" max="6929" width="4.375" style="53" customWidth="1"/>
    <col min="6930" max="6930" width="10.75" style="53" customWidth="1"/>
    <col min="6931" max="7168" width="9" style="53"/>
    <col min="7169" max="7169" width="3.875" style="53" customWidth="1"/>
    <col min="7170" max="7170" width="21.125" style="53" customWidth="1"/>
    <col min="7171" max="7175" width="7.25" style="53" customWidth="1"/>
    <col min="7176" max="7176" width="8.375" style="53" customWidth="1"/>
    <col min="7177" max="7182" width="7.25" style="53" customWidth="1"/>
    <col min="7183" max="7183" width="18.625" style="53" customWidth="1"/>
    <col min="7184" max="7184" width="19.125" style="53" customWidth="1"/>
    <col min="7185" max="7185" width="4.375" style="53" customWidth="1"/>
    <col min="7186" max="7186" width="10.75" style="53" customWidth="1"/>
    <col min="7187" max="7424" width="9" style="53"/>
    <col min="7425" max="7425" width="3.875" style="53" customWidth="1"/>
    <col min="7426" max="7426" width="21.125" style="53" customWidth="1"/>
    <col min="7427" max="7431" width="7.25" style="53" customWidth="1"/>
    <col min="7432" max="7432" width="8.375" style="53" customWidth="1"/>
    <col min="7433" max="7438" width="7.25" style="53" customWidth="1"/>
    <col min="7439" max="7439" width="18.625" style="53" customWidth="1"/>
    <col min="7440" max="7440" width="19.125" style="53" customWidth="1"/>
    <col min="7441" max="7441" width="4.375" style="53" customWidth="1"/>
    <col min="7442" max="7442" width="10.75" style="53" customWidth="1"/>
    <col min="7443" max="7680" width="9" style="53"/>
    <col min="7681" max="7681" width="3.875" style="53" customWidth="1"/>
    <col min="7682" max="7682" width="21.125" style="53" customWidth="1"/>
    <col min="7683" max="7687" width="7.25" style="53" customWidth="1"/>
    <col min="7688" max="7688" width="8.375" style="53" customWidth="1"/>
    <col min="7689" max="7694" width="7.25" style="53" customWidth="1"/>
    <col min="7695" max="7695" width="18.625" style="53" customWidth="1"/>
    <col min="7696" max="7696" width="19.125" style="53" customWidth="1"/>
    <col min="7697" max="7697" width="4.375" style="53" customWidth="1"/>
    <col min="7698" max="7698" width="10.75" style="53" customWidth="1"/>
    <col min="7699" max="7936" width="9" style="53"/>
    <col min="7937" max="7937" width="3.875" style="53" customWidth="1"/>
    <col min="7938" max="7938" width="21.125" style="53" customWidth="1"/>
    <col min="7939" max="7943" width="7.25" style="53" customWidth="1"/>
    <col min="7944" max="7944" width="8.375" style="53" customWidth="1"/>
    <col min="7945" max="7950" width="7.25" style="53" customWidth="1"/>
    <col min="7951" max="7951" width="18.625" style="53" customWidth="1"/>
    <col min="7952" max="7952" width="19.125" style="53" customWidth="1"/>
    <col min="7953" max="7953" width="4.375" style="53" customWidth="1"/>
    <col min="7954" max="7954" width="10.75" style="53" customWidth="1"/>
    <col min="7955" max="8192" width="9" style="53"/>
    <col min="8193" max="8193" width="3.875" style="53" customWidth="1"/>
    <col min="8194" max="8194" width="21.125" style="53" customWidth="1"/>
    <col min="8195" max="8199" width="7.25" style="53" customWidth="1"/>
    <col min="8200" max="8200" width="8.375" style="53" customWidth="1"/>
    <col min="8201" max="8206" width="7.25" style="53" customWidth="1"/>
    <col min="8207" max="8207" width="18.625" style="53" customWidth="1"/>
    <col min="8208" max="8208" width="19.125" style="53" customWidth="1"/>
    <col min="8209" max="8209" width="4.375" style="53" customWidth="1"/>
    <col min="8210" max="8210" width="10.75" style="53" customWidth="1"/>
    <col min="8211" max="8448" width="9" style="53"/>
    <col min="8449" max="8449" width="3.875" style="53" customWidth="1"/>
    <col min="8450" max="8450" width="21.125" style="53" customWidth="1"/>
    <col min="8451" max="8455" width="7.25" style="53" customWidth="1"/>
    <col min="8456" max="8456" width="8.375" style="53" customWidth="1"/>
    <col min="8457" max="8462" width="7.25" style="53" customWidth="1"/>
    <col min="8463" max="8463" width="18.625" style="53" customWidth="1"/>
    <col min="8464" max="8464" width="19.125" style="53" customWidth="1"/>
    <col min="8465" max="8465" width="4.375" style="53" customWidth="1"/>
    <col min="8466" max="8466" width="10.75" style="53" customWidth="1"/>
    <col min="8467" max="8704" width="9" style="53"/>
    <col min="8705" max="8705" width="3.875" style="53" customWidth="1"/>
    <col min="8706" max="8706" width="21.125" style="53" customWidth="1"/>
    <col min="8707" max="8711" width="7.25" style="53" customWidth="1"/>
    <col min="8712" max="8712" width="8.375" style="53" customWidth="1"/>
    <col min="8713" max="8718" width="7.25" style="53" customWidth="1"/>
    <col min="8719" max="8719" width="18.625" style="53" customWidth="1"/>
    <col min="8720" max="8720" width="19.125" style="53" customWidth="1"/>
    <col min="8721" max="8721" width="4.375" style="53" customWidth="1"/>
    <col min="8722" max="8722" width="10.75" style="53" customWidth="1"/>
    <col min="8723" max="8960" width="9" style="53"/>
    <col min="8961" max="8961" width="3.875" style="53" customWidth="1"/>
    <col min="8962" max="8962" width="21.125" style="53" customWidth="1"/>
    <col min="8963" max="8967" width="7.25" style="53" customWidth="1"/>
    <col min="8968" max="8968" width="8.375" style="53" customWidth="1"/>
    <col min="8969" max="8974" width="7.25" style="53" customWidth="1"/>
    <col min="8975" max="8975" width="18.625" style="53" customWidth="1"/>
    <col min="8976" max="8976" width="19.125" style="53" customWidth="1"/>
    <col min="8977" max="8977" width="4.375" style="53" customWidth="1"/>
    <col min="8978" max="8978" width="10.75" style="53" customWidth="1"/>
    <col min="8979" max="9216" width="9" style="53"/>
    <col min="9217" max="9217" width="3.875" style="53" customWidth="1"/>
    <col min="9218" max="9218" width="21.125" style="53" customWidth="1"/>
    <col min="9219" max="9223" width="7.25" style="53" customWidth="1"/>
    <col min="9224" max="9224" width="8.375" style="53" customWidth="1"/>
    <col min="9225" max="9230" width="7.25" style="53" customWidth="1"/>
    <col min="9231" max="9231" width="18.625" style="53" customWidth="1"/>
    <col min="9232" max="9232" width="19.125" style="53" customWidth="1"/>
    <col min="9233" max="9233" width="4.375" style="53" customWidth="1"/>
    <col min="9234" max="9234" width="10.75" style="53" customWidth="1"/>
    <col min="9235" max="9472" width="9" style="53"/>
    <col min="9473" max="9473" width="3.875" style="53" customWidth="1"/>
    <col min="9474" max="9474" width="21.125" style="53" customWidth="1"/>
    <col min="9475" max="9479" width="7.25" style="53" customWidth="1"/>
    <col min="9480" max="9480" width="8.375" style="53" customWidth="1"/>
    <col min="9481" max="9486" width="7.25" style="53" customWidth="1"/>
    <col min="9487" max="9487" width="18.625" style="53" customWidth="1"/>
    <col min="9488" max="9488" width="19.125" style="53" customWidth="1"/>
    <col min="9489" max="9489" width="4.375" style="53" customWidth="1"/>
    <col min="9490" max="9490" width="10.75" style="53" customWidth="1"/>
    <col min="9491" max="9728" width="9" style="53"/>
    <col min="9729" max="9729" width="3.875" style="53" customWidth="1"/>
    <col min="9730" max="9730" width="21.125" style="53" customWidth="1"/>
    <col min="9731" max="9735" width="7.25" style="53" customWidth="1"/>
    <col min="9736" max="9736" width="8.375" style="53" customWidth="1"/>
    <col min="9737" max="9742" width="7.25" style="53" customWidth="1"/>
    <col min="9743" max="9743" width="18.625" style="53" customWidth="1"/>
    <col min="9744" max="9744" width="19.125" style="53" customWidth="1"/>
    <col min="9745" max="9745" width="4.375" style="53" customWidth="1"/>
    <col min="9746" max="9746" width="10.75" style="53" customWidth="1"/>
    <col min="9747" max="9984" width="9" style="53"/>
    <col min="9985" max="9985" width="3.875" style="53" customWidth="1"/>
    <col min="9986" max="9986" width="21.125" style="53" customWidth="1"/>
    <col min="9987" max="9991" width="7.25" style="53" customWidth="1"/>
    <col min="9992" max="9992" width="8.375" style="53" customWidth="1"/>
    <col min="9993" max="9998" width="7.25" style="53" customWidth="1"/>
    <col min="9999" max="9999" width="18.625" style="53" customWidth="1"/>
    <col min="10000" max="10000" width="19.125" style="53" customWidth="1"/>
    <col min="10001" max="10001" width="4.375" style="53" customWidth="1"/>
    <col min="10002" max="10002" width="10.75" style="53" customWidth="1"/>
    <col min="10003" max="10240" width="9" style="53"/>
    <col min="10241" max="10241" width="3.875" style="53" customWidth="1"/>
    <col min="10242" max="10242" width="21.125" style="53" customWidth="1"/>
    <col min="10243" max="10247" width="7.25" style="53" customWidth="1"/>
    <col min="10248" max="10248" width="8.375" style="53" customWidth="1"/>
    <col min="10249" max="10254" width="7.25" style="53" customWidth="1"/>
    <col min="10255" max="10255" width="18.625" style="53" customWidth="1"/>
    <col min="10256" max="10256" width="19.125" style="53" customWidth="1"/>
    <col min="10257" max="10257" width="4.375" style="53" customWidth="1"/>
    <col min="10258" max="10258" width="10.75" style="53" customWidth="1"/>
    <col min="10259" max="10496" width="9" style="53"/>
    <col min="10497" max="10497" width="3.875" style="53" customWidth="1"/>
    <col min="10498" max="10498" width="21.125" style="53" customWidth="1"/>
    <col min="10499" max="10503" width="7.25" style="53" customWidth="1"/>
    <col min="10504" max="10504" width="8.375" style="53" customWidth="1"/>
    <col min="10505" max="10510" width="7.25" style="53" customWidth="1"/>
    <col min="10511" max="10511" width="18.625" style="53" customWidth="1"/>
    <col min="10512" max="10512" width="19.125" style="53" customWidth="1"/>
    <col min="10513" max="10513" width="4.375" style="53" customWidth="1"/>
    <col min="10514" max="10514" width="10.75" style="53" customWidth="1"/>
    <col min="10515" max="10752" width="9" style="53"/>
    <col min="10753" max="10753" width="3.875" style="53" customWidth="1"/>
    <col min="10754" max="10754" width="21.125" style="53" customWidth="1"/>
    <col min="10755" max="10759" width="7.25" style="53" customWidth="1"/>
    <col min="10760" max="10760" width="8.375" style="53" customWidth="1"/>
    <col min="10761" max="10766" width="7.25" style="53" customWidth="1"/>
    <col min="10767" max="10767" width="18.625" style="53" customWidth="1"/>
    <col min="10768" max="10768" width="19.125" style="53" customWidth="1"/>
    <col min="10769" max="10769" width="4.375" style="53" customWidth="1"/>
    <col min="10770" max="10770" width="10.75" style="53" customWidth="1"/>
    <col min="10771" max="11008" width="9" style="53"/>
    <col min="11009" max="11009" width="3.875" style="53" customWidth="1"/>
    <col min="11010" max="11010" width="21.125" style="53" customWidth="1"/>
    <col min="11011" max="11015" width="7.25" style="53" customWidth="1"/>
    <col min="11016" max="11016" width="8.375" style="53" customWidth="1"/>
    <col min="11017" max="11022" width="7.25" style="53" customWidth="1"/>
    <col min="11023" max="11023" width="18.625" style="53" customWidth="1"/>
    <col min="11024" max="11024" width="19.125" style="53" customWidth="1"/>
    <col min="11025" max="11025" width="4.375" style="53" customWidth="1"/>
    <col min="11026" max="11026" width="10.75" style="53" customWidth="1"/>
    <col min="11027" max="11264" width="9" style="53"/>
    <col min="11265" max="11265" width="3.875" style="53" customWidth="1"/>
    <col min="11266" max="11266" width="21.125" style="53" customWidth="1"/>
    <col min="11267" max="11271" width="7.25" style="53" customWidth="1"/>
    <col min="11272" max="11272" width="8.375" style="53" customWidth="1"/>
    <col min="11273" max="11278" width="7.25" style="53" customWidth="1"/>
    <col min="11279" max="11279" width="18.625" style="53" customWidth="1"/>
    <col min="11280" max="11280" width="19.125" style="53" customWidth="1"/>
    <col min="11281" max="11281" width="4.375" style="53" customWidth="1"/>
    <col min="11282" max="11282" width="10.75" style="53" customWidth="1"/>
    <col min="11283" max="11520" width="9" style="53"/>
    <col min="11521" max="11521" width="3.875" style="53" customWidth="1"/>
    <col min="11522" max="11522" width="21.125" style="53" customWidth="1"/>
    <col min="11523" max="11527" width="7.25" style="53" customWidth="1"/>
    <col min="11528" max="11528" width="8.375" style="53" customWidth="1"/>
    <col min="11529" max="11534" width="7.25" style="53" customWidth="1"/>
    <col min="11535" max="11535" width="18.625" style="53" customWidth="1"/>
    <col min="11536" max="11536" width="19.125" style="53" customWidth="1"/>
    <col min="11537" max="11537" width="4.375" style="53" customWidth="1"/>
    <col min="11538" max="11538" width="10.75" style="53" customWidth="1"/>
    <col min="11539" max="11776" width="9" style="53"/>
    <col min="11777" max="11777" width="3.875" style="53" customWidth="1"/>
    <col min="11778" max="11778" width="21.125" style="53" customWidth="1"/>
    <col min="11779" max="11783" width="7.25" style="53" customWidth="1"/>
    <col min="11784" max="11784" width="8.375" style="53" customWidth="1"/>
    <col min="11785" max="11790" width="7.25" style="53" customWidth="1"/>
    <col min="11791" max="11791" width="18.625" style="53" customWidth="1"/>
    <col min="11792" max="11792" width="19.125" style="53" customWidth="1"/>
    <col min="11793" max="11793" width="4.375" style="53" customWidth="1"/>
    <col min="11794" max="11794" width="10.75" style="53" customWidth="1"/>
    <col min="11795" max="12032" width="9" style="53"/>
    <col min="12033" max="12033" width="3.875" style="53" customWidth="1"/>
    <col min="12034" max="12034" width="21.125" style="53" customWidth="1"/>
    <col min="12035" max="12039" width="7.25" style="53" customWidth="1"/>
    <col min="12040" max="12040" width="8.375" style="53" customWidth="1"/>
    <col min="12041" max="12046" width="7.25" style="53" customWidth="1"/>
    <col min="12047" max="12047" width="18.625" style="53" customWidth="1"/>
    <col min="12048" max="12048" width="19.125" style="53" customWidth="1"/>
    <col min="12049" max="12049" width="4.375" style="53" customWidth="1"/>
    <col min="12050" max="12050" width="10.75" style="53" customWidth="1"/>
    <col min="12051" max="12288" width="9" style="53"/>
    <col min="12289" max="12289" width="3.875" style="53" customWidth="1"/>
    <col min="12290" max="12290" width="21.125" style="53" customWidth="1"/>
    <col min="12291" max="12295" width="7.25" style="53" customWidth="1"/>
    <col min="12296" max="12296" width="8.375" style="53" customWidth="1"/>
    <col min="12297" max="12302" width="7.25" style="53" customWidth="1"/>
    <col min="12303" max="12303" width="18.625" style="53" customWidth="1"/>
    <col min="12304" max="12304" width="19.125" style="53" customWidth="1"/>
    <col min="12305" max="12305" width="4.375" style="53" customWidth="1"/>
    <col min="12306" max="12306" width="10.75" style="53" customWidth="1"/>
    <col min="12307" max="12544" width="9" style="53"/>
    <col min="12545" max="12545" width="3.875" style="53" customWidth="1"/>
    <col min="12546" max="12546" width="21.125" style="53" customWidth="1"/>
    <col min="12547" max="12551" width="7.25" style="53" customWidth="1"/>
    <col min="12552" max="12552" width="8.375" style="53" customWidth="1"/>
    <col min="12553" max="12558" width="7.25" style="53" customWidth="1"/>
    <col min="12559" max="12559" width="18.625" style="53" customWidth="1"/>
    <col min="12560" max="12560" width="19.125" style="53" customWidth="1"/>
    <col min="12561" max="12561" width="4.375" style="53" customWidth="1"/>
    <col min="12562" max="12562" width="10.75" style="53" customWidth="1"/>
    <col min="12563" max="12800" width="9" style="53"/>
    <col min="12801" max="12801" width="3.875" style="53" customWidth="1"/>
    <col min="12802" max="12802" width="21.125" style="53" customWidth="1"/>
    <col min="12803" max="12807" width="7.25" style="53" customWidth="1"/>
    <col min="12808" max="12808" width="8.375" style="53" customWidth="1"/>
    <col min="12809" max="12814" width="7.25" style="53" customWidth="1"/>
    <col min="12815" max="12815" width="18.625" style="53" customWidth="1"/>
    <col min="12816" max="12816" width="19.125" style="53" customWidth="1"/>
    <col min="12817" max="12817" width="4.375" style="53" customWidth="1"/>
    <col min="12818" max="12818" width="10.75" style="53" customWidth="1"/>
    <col min="12819" max="13056" width="9" style="53"/>
    <col min="13057" max="13057" width="3.875" style="53" customWidth="1"/>
    <col min="13058" max="13058" width="21.125" style="53" customWidth="1"/>
    <col min="13059" max="13063" width="7.25" style="53" customWidth="1"/>
    <col min="13064" max="13064" width="8.375" style="53" customWidth="1"/>
    <col min="13065" max="13070" width="7.25" style="53" customWidth="1"/>
    <col min="13071" max="13071" width="18.625" style="53" customWidth="1"/>
    <col min="13072" max="13072" width="19.125" style="53" customWidth="1"/>
    <col min="13073" max="13073" width="4.375" style="53" customWidth="1"/>
    <col min="13074" max="13074" width="10.75" style="53" customWidth="1"/>
    <col min="13075" max="13312" width="9" style="53"/>
    <col min="13313" max="13313" width="3.875" style="53" customWidth="1"/>
    <col min="13314" max="13314" width="21.125" style="53" customWidth="1"/>
    <col min="13315" max="13319" width="7.25" style="53" customWidth="1"/>
    <col min="13320" max="13320" width="8.375" style="53" customWidth="1"/>
    <col min="13321" max="13326" width="7.25" style="53" customWidth="1"/>
    <col min="13327" max="13327" width="18.625" style="53" customWidth="1"/>
    <col min="13328" max="13328" width="19.125" style="53" customWidth="1"/>
    <col min="13329" max="13329" width="4.375" style="53" customWidth="1"/>
    <col min="13330" max="13330" width="10.75" style="53" customWidth="1"/>
    <col min="13331" max="13568" width="9" style="53"/>
    <col min="13569" max="13569" width="3.875" style="53" customWidth="1"/>
    <col min="13570" max="13570" width="21.125" style="53" customWidth="1"/>
    <col min="13571" max="13575" width="7.25" style="53" customWidth="1"/>
    <col min="13576" max="13576" width="8.375" style="53" customWidth="1"/>
    <col min="13577" max="13582" width="7.25" style="53" customWidth="1"/>
    <col min="13583" max="13583" width="18.625" style="53" customWidth="1"/>
    <col min="13584" max="13584" width="19.125" style="53" customWidth="1"/>
    <col min="13585" max="13585" width="4.375" style="53" customWidth="1"/>
    <col min="13586" max="13586" width="10.75" style="53" customWidth="1"/>
    <col min="13587" max="13824" width="9" style="53"/>
    <col min="13825" max="13825" width="3.875" style="53" customWidth="1"/>
    <col min="13826" max="13826" width="21.125" style="53" customWidth="1"/>
    <col min="13827" max="13831" width="7.25" style="53" customWidth="1"/>
    <col min="13832" max="13832" width="8.375" style="53" customWidth="1"/>
    <col min="13833" max="13838" width="7.25" style="53" customWidth="1"/>
    <col min="13839" max="13839" width="18.625" style="53" customWidth="1"/>
    <col min="13840" max="13840" width="19.125" style="53" customWidth="1"/>
    <col min="13841" max="13841" width="4.375" style="53" customWidth="1"/>
    <col min="13842" max="13842" width="10.75" style="53" customWidth="1"/>
    <col min="13843" max="14080" width="9" style="53"/>
    <col min="14081" max="14081" width="3.875" style="53" customWidth="1"/>
    <col min="14082" max="14082" width="21.125" style="53" customWidth="1"/>
    <col min="14083" max="14087" width="7.25" style="53" customWidth="1"/>
    <col min="14088" max="14088" width="8.375" style="53" customWidth="1"/>
    <col min="14089" max="14094" width="7.25" style="53" customWidth="1"/>
    <col min="14095" max="14095" width="18.625" style="53" customWidth="1"/>
    <col min="14096" max="14096" width="19.125" style="53" customWidth="1"/>
    <col min="14097" max="14097" width="4.375" style="53" customWidth="1"/>
    <col min="14098" max="14098" width="10.75" style="53" customWidth="1"/>
    <col min="14099" max="14336" width="9" style="53"/>
    <col min="14337" max="14337" width="3.875" style="53" customWidth="1"/>
    <col min="14338" max="14338" width="21.125" style="53" customWidth="1"/>
    <col min="14339" max="14343" width="7.25" style="53" customWidth="1"/>
    <col min="14344" max="14344" width="8.375" style="53" customWidth="1"/>
    <col min="14345" max="14350" width="7.25" style="53" customWidth="1"/>
    <col min="14351" max="14351" width="18.625" style="53" customWidth="1"/>
    <col min="14352" max="14352" width="19.125" style="53" customWidth="1"/>
    <col min="14353" max="14353" width="4.375" style="53" customWidth="1"/>
    <col min="14354" max="14354" width="10.75" style="53" customWidth="1"/>
    <col min="14355" max="14592" width="9" style="53"/>
    <col min="14593" max="14593" width="3.875" style="53" customWidth="1"/>
    <col min="14594" max="14594" width="21.125" style="53" customWidth="1"/>
    <col min="14595" max="14599" width="7.25" style="53" customWidth="1"/>
    <col min="14600" max="14600" width="8.375" style="53" customWidth="1"/>
    <col min="14601" max="14606" width="7.25" style="53" customWidth="1"/>
    <col min="14607" max="14607" width="18.625" style="53" customWidth="1"/>
    <col min="14608" max="14608" width="19.125" style="53" customWidth="1"/>
    <col min="14609" max="14609" width="4.375" style="53" customWidth="1"/>
    <col min="14610" max="14610" width="10.75" style="53" customWidth="1"/>
    <col min="14611" max="14848" width="9" style="53"/>
    <col min="14849" max="14849" width="3.875" style="53" customWidth="1"/>
    <col min="14850" max="14850" width="21.125" style="53" customWidth="1"/>
    <col min="14851" max="14855" width="7.25" style="53" customWidth="1"/>
    <col min="14856" max="14856" width="8.375" style="53" customWidth="1"/>
    <col min="14857" max="14862" width="7.25" style="53" customWidth="1"/>
    <col min="14863" max="14863" width="18.625" style="53" customWidth="1"/>
    <col min="14864" max="14864" width="19.125" style="53" customWidth="1"/>
    <col min="14865" max="14865" width="4.375" style="53" customWidth="1"/>
    <col min="14866" max="14866" width="10.75" style="53" customWidth="1"/>
    <col min="14867" max="15104" width="9" style="53"/>
    <col min="15105" max="15105" width="3.875" style="53" customWidth="1"/>
    <col min="15106" max="15106" width="21.125" style="53" customWidth="1"/>
    <col min="15107" max="15111" width="7.25" style="53" customWidth="1"/>
    <col min="15112" max="15112" width="8.375" style="53" customWidth="1"/>
    <col min="15113" max="15118" width="7.25" style="53" customWidth="1"/>
    <col min="15119" max="15119" width="18.625" style="53" customWidth="1"/>
    <col min="15120" max="15120" width="19.125" style="53" customWidth="1"/>
    <col min="15121" max="15121" width="4.375" style="53" customWidth="1"/>
    <col min="15122" max="15122" width="10.75" style="53" customWidth="1"/>
    <col min="15123" max="15360" width="9" style="53"/>
    <col min="15361" max="15361" width="3.875" style="53" customWidth="1"/>
    <col min="15362" max="15362" width="21.125" style="53" customWidth="1"/>
    <col min="15363" max="15367" width="7.25" style="53" customWidth="1"/>
    <col min="15368" max="15368" width="8.375" style="53" customWidth="1"/>
    <col min="15369" max="15374" width="7.25" style="53" customWidth="1"/>
    <col min="15375" max="15375" width="18.625" style="53" customWidth="1"/>
    <col min="15376" max="15376" width="19.125" style="53" customWidth="1"/>
    <col min="15377" max="15377" width="4.375" style="53" customWidth="1"/>
    <col min="15378" max="15378" width="10.75" style="53" customWidth="1"/>
    <col min="15379" max="15616" width="9" style="53"/>
    <col min="15617" max="15617" width="3.875" style="53" customWidth="1"/>
    <col min="15618" max="15618" width="21.125" style="53" customWidth="1"/>
    <col min="15619" max="15623" width="7.25" style="53" customWidth="1"/>
    <col min="15624" max="15624" width="8.375" style="53" customWidth="1"/>
    <col min="15625" max="15630" width="7.25" style="53" customWidth="1"/>
    <col min="15631" max="15631" width="18.625" style="53" customWidth="1"/>
    <col min="15632" max="15632" width="19.125" style="53" customWidth="1"/>
    <col min="15633" max="15633" width="4.375" style="53" customWidth="1"/>
    <col min="15634" max="15634" width="10.75" style="53" customWidth="1"/>
    <col min="15635" max="15872" width="9" style="53"/>
    <col min="15873" max="15873" width="3.875" style="53" customWidth="1"/>
    <col min="15874" max="15874" width="21.125" style="53" customWidth="1"/>
    <col min="15875" max="15879" width="7.25" style="53" customWidth="1"/>
    <col min="15880" max="15880" width="8.375" style="53" customWidth="1"/>
    <col min="15881" max="15886" width="7.25" style="53" customWidth="1"/>
    <col min="15887" max="15887" width="18.625" style="53" customWidth="1"/>
    <col min="15888" max="15888" width="19.125" style="53" customWidth="1"/>
    <col min="15889" max="15889" width="4.375" style="53" customWidth="1"/>
    <col min="15890" max="15890" width="10.75" style="53" customWidth="1"/>
    <col min="15891" max="16128" width="9" style="53"/>
    <col min="16129" max="16129" width="3.875" style="53" customWidth="1"/>
    <col min="16130" max="16130" width="21.125" style="53" customWidth="1"/>
    <col min="16131" max="16135" width="7.25" style="53" customWidth="1"/>
    <col min="16136" max="16136" width="8.375" style="53" customWidth="1"/>
    <col min="16137" max="16142" width="7.25" style="53" customWidth="1"/>
    <col min="16143" max="16143" width="18.625" style="53" customWidth="1"/>
    <col min="16144" max="16144" width="19.125" style="53" customWidth="1"/>
    <col min="16145" max="16145" width="4.375" style="53" customWidth="1"/>
    <col min="16146" max="16146" width="10.75" style="53" customWidth="1"/>
    <col min="16147" max="16384" width="9" style="53"/>
  </cols>
  <sheetData>
    <row r="1" spans="1:19" ht="24" customHeight="1">
      <c r="A1" s="949" t="s">
        <v>73</v>
      </c>
      <c r="B1" s="949"/>
      <c r="C1" s="949"/>
      <c r="D1" s="949"/>
      <c r="E1" s="949"/>
      <c r="F1" s="949"/>
      <c r="G1" s="949"/>
      <c r="H1" s="949"/>
      <c r="I1" s="949"/>
      <c r="J1" s="949"/>
      <c r="K1" s="949"/>
      <c r="L1" s="949"/>
      <c r="M1" s="949"/>
      <c r="N1" s="949"/>
      <c r="O1" s="949"/>
      <c r="P1" s="949"/>
    </row>
    <row r="2" spans="1:19" ht="24" customHeight="1">
      <c r="A2" s="75" t="s">
        <v>498</v>
      </c>
      <c r="B2" s="329"/>
      <c r="C2" s="153"/>
      <c r="D2" s="153"/>
      <c r="E2" s="153"/>
      <c r="F2" s="153"/>
      <c r="G2" s="153"/>
      <c r="H2" s="153"/>
      <c r="I2" s="153"/>
      <c r="J2" s="153"/>
      <c r="K2" s="153"/>
      <c r="L2" s="153"/>
      <c r="M2" s="153"/>
      <c r="N2" s="153"/>
      <c r="O2" s="153"/>
      <c r="P2" s="153"/>
    </row>
    <row r="3" spans="1:19" s="54" customFormat="1" ht="14.25" customHeight="1">
      <c r="A3" s="54" t="s">
        <v>499</v>
      </c>
      <c r="B3" s="63"/>
      <c r="C3" s="63"/>
      <c r="D3" s="64"/>
      <c r="E3" s="64"/>
      <c r="F3" s="64"/>
      <c r="G3" s="64"/>
    </row>
    <row r="4" spans="1:19">
      <c r="A4" s="54" t="s">
        <v>500</v>
      </c>
    </row>
    <row r="5" spans="1:19">
      <c r="A5" s="154" t="s">
        <v>501</v>
      </c>
    </row>
    <row r="6" spans="1:19" ht="15.95" customHeight="1">
      <c r="A6" s="330" t="s">
        <v>502</v>
      </c>
      <c r="B6" s="331"/>
    </row>
    <row r="7" spans="1:19" ht="15" customHeight="1">
      <c r="A7" s="908" t="s">
        <v>64</v>
      </c>
      <c r="B7" s="906" t="s">
        <v>503</v>
      </c>
      <c r="C7" s="926" t="s">
        <v>384</v>
      </c>
      <c r="D7" s="927"/>
      <c r="E7" s="926" t="s">
        <v>385</v>
      </c>
      <c r="F7" s="927"/>
      <c r="G7" s="926" t="s">
        <v>393</v>
      </c>
      <c r="H7" s="927"/>
      <c r="I7" s="926" t="s">
        <v>394</v>
      </c>
      <c r="J7" s="927"/>
      <c r="K7" s="926" t="s">
        <v>386</v>
      </c>
      <c r="L7" s="927"/>
      <c r="M7" s="926" t="s">
        <v>504</v>
      </c>
      <c r="N7" s="927"/>
      <c r="O7" s="937" t="s">
        <v>505</v>
      </c>
      <c r="P7" s="939" t="s">
        <v>506</v>
      </c>
      <c r="R7" s="902" t="s">
        <v>507</v>
      </c>
      <c r="S7" s="903"/>
    </row>
    <row r="8" spans="1:19" ht="15" customHeight="1">
      <c r="A8" s="909"/>
      <c r="B8" s="907"/>
      <c r="C8" s="332" t="s">
        <v>508</v>
      </c>
      <c r="D8" s="332" t="s">
        <v>509</v>
      </c>
      <c r="E8" s="333" t="s">
        <v>508</v>
      </c>
      <c r="F8" s="332" t="s">
        <v>509</v>
      </c>
      <c r="G8" s="332" t="s">
        <v>508</v>
      </c>
      <c r="H8" s="332" t="s">
        <v>509</v>
      </c>
      <c r="I8" s="354" t="s">
        <v>508</v>
      </c>
      <c r="J8" s="354" t="s">
        <v>509</v>
      </c>
      <c r="K8" s="354" t="s">
        <v>508</v>
      </c>
      <c r="L8" s="354" t="s">
        <v>509</v>
      </c>
      <c r="M8" s="332" t="s">
        <v>508</v>
      </c>
      <c r="N8" s="354" t="s">
        <v>509</v>
      </c>
      <c r="O8" s="938"/>
      <c r="P8" s="940"/>
      <c r="R8" s="904"/>
      <c r="S8" s="905"/>
    </row>
    <row r="9" spans="1:19" ht="15" customHeight="1">
      <c r="A9" s="334">
        <v>1</v>
      </c>
      <c r="B9" s="335" t="s">
        <v>510</v>
      </c>
      <c r="C9" s="336">
        <f>$M9*$S$9</f>
        <v>4.3877000000000006</v>
      </c>
      <c r="D9" s="337">
        <v>3.875</v>
      </c>
      <c r="E9" s="336">
        <f>$M9*$S$11</f>
        <v>143.58369999999999</v>
      </c>
      <c r="F9" s="336">
        <f>L50</f>
        <v>132.375</v>
      </c>
      <c r="G9" s="336">
        <f>$M9*$S$13</f>
        <v>0</v>
      </c>
      <c r="H9" s="336">
        <f>L95</f>
        <v>0</v>
      </c>
      <c r="I9" s="336">
        <f>M9*$S$15</f>
        <v>0</v>
      </c>
      <c r="J9" s="336">
        <f>L140</f>
        <v>0</v>
      </c>
      <c r="K9" s="336">
        <f>M9*$S$17</f>
        <v>3.3286000000000002</v>
      </c>
      <c r="L9" s="337">
        <v>1.5</v>
      </c>
      <c r="M9" s="355">
        <v>151.30000000000001</v>
      </c>
      <c r="N9" s="341">
        <f t="shared" ref="N9:N13" si="0">SUM(D9,F9,H9,J9,L9)</f>
        <v>137.75</v>
      </c>
      <c r="O9" s="356">
        <f t="shared" ref="O9:O13" si="1">N9/M9</f>
        <v>0.91044282881691996</v>
      </c>
      <c r="P9" s="357">
        <f t="shared" ref="P9:P13" si="2">N9/$N$14</f>
        <v>0.89448051948051943</v>
      </c>
      <c r="R9" s="917" t="s">
        <v>384</v>
      </c>
      <c r="S9" s="918">
        <v>2.9000000000000001E-2</v>
      </c>
    </row>
    <row r="10" spans="1:19" ht="15" customHeight="1">
      <c r="A10" s="334">
        <v>2</v>
      </c>
      <c r="B10" s="335" t="s">
        <v>511</v>
      </c>
      <c r="C10" s="336">
        <f>$M10*$S$9</f>
        <v>0.39440000000000003</v>
      </c>
      <c r="D10" s="337">
        <v>1.25</v>
      </c>
      <c r="E10" s="336">
        <f>$M10*$S$11</f>
        <v>12.9064</v>
      </c>
      <c r="F10" s="336">
        <f>L51</f>
        <v>9.125</v>
      </c>
      <c r="G10" s="336">
        <f>$M10*$S$13</f>
        <v>0</v>
      </c>
      <c r="H10" s="336">
        <f>L96</f>
        <v>0</v>
      </c>
      <c r="I10" s="336">
        <f>M10*$S$15</f>
        <v>0</v>
      </c>
      <c r="J10" s="336">
        <f>L141</f>
        <v>0</v>
      </c>
      <c r="K10" s="336">
        <f>M10*$S$17</f>
        <v>0.29919999999999997</v>
      </c>
      <c r="L10" s="337">
        <v>1.75</v>
      </c>
      <c r="M10" s="355">
        <v>13.6</v>
      </c>
      <c r="N10" s="341">
        <f t="shared" si="0"/>
        <v>12.125</v>
      </c>
      <c r="O10" s="356">
        <f t="shared" si="1"/>
        <v>0.89154411764705888</v>
      </c>
      <c r="P10" s="357">
        <f t="shared" si="2"/>
        <v>7.8733766233766239E-2</v>
      </c>
      <c r="R10" s="913"/>
      <c r="S10" s="919"/>
    </row>
    <row r="11" spans="1:19" ht="15" customHeight="1">
      <c r="A11" s="334">
        <v>3</v>
      </c>
      <c r="B11" s="335" t="s">
        <v>512</v>
      </c>
      <c r="C11" s="336">
        <f>$M11*$S$9</f>
        <v>9.8600000000000007E-2</v>
      </c>
      <c r="D11" s="337">
        <v>0.125</v>
      </c>
      <c r="E11" s="336">
        <f>$M11*$S$11</f>
        <v>3.2265999999999999</v>
      </c>
      <c r="F11" s="336">
        <f>L52</f>
        <v>0.375</v>
      </c>
      <c r="G11" s="336">
        <f>$M11*$S$13</f>
        <v>0</v>
      </c>
      <c r="H11" s="336">
        <f>L97</f>
        <v>0</v>
      </c>
      <c r="I11" s="336">
        <f>M11*$S$15</f>
        <v>0</v>
      </c>
      <c r="J11" s="336">
        <f>L142</f>
        <v>0</v>
      </c>
      <c r="K11" s="336">
        <f>M11*$S$17</f>
        <v>7.4799999999999991E-2</v>
      </c>
      <c r="L11" s="337">
        <v>0.375</v>
      </c>
      <c r="M11" s="355">
        <v>3.4</v>
      </c>
      <c r="N11" s="341">
        <f t="shared" si="0"/>
        <v>0.875</v>
      </c>
      <c r="O11" s="356">
        <f t="shared" si="1"/>
        <v>0.25735294117647062</v>
      </c>
      <c r="P11" s="357">
        <f t="shared" si="2"/>
        <v>5.681818181818182E-3</v>
      </c>
      <c r="R11" s="912" t="s">
        <v>385</v>
      </c>
      <c r="S11" s="920">
        <v>0.94899999999999995</v>
      </c>
    </row>
    <row r="12" spans="1:19" ht="15" customHeight="1">
      <c r="A12" s="334">
        <v>4</v>
      </c>
      <c r="B12" s="335" t="s">
        <v>513</v>
      </c>
      <c r="C12" s="336">
        <f>$M12*$S$9</f>
        <v>9.8600000000000007E-2</v>
      </c>
      <c r="D12" s="337">
        <v>0.5</v>
      </c>
      <c r="E12" s="336">
        <f>$M12*$S$11</f>
        <v>3.2265999999999999</v>
      </c>
      <c r="F12" s="336">
        <f>L53</f>
        <v>2.25</v>
      </c>
      <c r="G12" s="336">
        <f>$M12*$S$13</f>
        <v>0</v>
      </c>
      <c r="H12" s="336">
        <f>L98</f>
        <v>0</v>
      </c>
      <c r="I12" s="336">
        <f>M12*$S$15</f>
        <v>0</v>
      </c>
      <c r="J12" s="336">
        <f>L143</f>
        <v>0</v>
      </c>
      <c r="K12" s="336">
        <f>M12*$S$17</f>
        <v>7.4799999999999991E-2</v>
      </c>
      <c r="L12" s="337">
        <v>0.5</v>
      </c>
      <c r="M12" s="355">
        <v>3.4</v>
      </c>
      <c r="N12" s="341">
        <f t="shared" si="0"/>
        <v>3.25</v>
      </c>
      <c r="O12" s="356">
        <f t="shared" si="1"/>
        <v>0.95588235294117652</v>
      </c>
      <c r="P12" s="357">
        <f t="shared" si="2"/>
        <v>2.1103896103896104E-2</v>
      </c>
      <c r="R12" s="913"/>
      <c r="S12" s="919"/>
    </row>
    <row r="13" spans="1:19" ht="15" customHeight="1">
      <c r="A13" s="334">
        <v>5</v>
      </c>
      <c r="B13" s="335" t="s">
        <v>514</v>
      </c>
      <c r="C13" s="336">
        <f>$M13*$S$9</f>
        <v>0</v>
      </c>
      <c r="D13" s="337">
        <v>0</v>
      </c>
      <c r="E13" s="336">
        <f>$M13*$S$11</f>
        <v>0</v>
      </c>
      <c r="F13" s="336">
        <f>L54</f>
        <v>0</v>
      </c>
      <c r="G13" s="336">
        <f>$M13*$S$13</f>
        <v>0</v>
      </c>
      <c r="H13" s="336">
        <f>L99</f>
        <v>0</v>
      </c>
      <c r="I13" s="336">
        <f>M13*$S$15</f>
        <v>0</v>
      </c>
      <c r="J13" s="336">
        <f>L144</f>
        <v>0</v>
      </c>
      <c r="K13" s="336">
        <f>M13*$S$17</f>
        <v>0</v>
      </c>
      <c r="L13" s="337">
        <v>0</v>
      </c>
      <c r="M13" s="355">
        <v>0</v>
      </c>
      <c r="N13" s="341">
        <f t="shared" si="0"/>
        <v>0</v>
      </c>
      <c r="O13" s="356" t="e">
        <f t="shared" si="1"/>
        <v>#DIV/0!</v>
      </c>
      <c r="P13" s="357">
        <f t="shared" si="2"/>
        <v>0</v>
      </c>
      <c r="R13" s="914" t="s">
        <v>393</v>
      </c>
      <c r="S13" s="920"/>
    </row>
    <row r="14" spans="1:19" ht="15" customHeight="1">
      <c r="A14" s="334">
        <v>6</v>
      </c>
      <c r="B14" s="335" t="s">
        <v>515</v>
      </c>
      <c r="C14" s="338">
        <f t="shared" ref="C14:N14" si="3">SUM(C9:C13)</f>
        <v>4.9793000000000012</v>
      </c>
      <c r="D14" s="338">
        <f t="shared" si="3"/>
        <v>5.75</v>
      </c>
      <c r="E14" s="338">
        <f t="shared" si="3"/>
        <v>162.94329999999997</v>
      </c>
      <c r="F14" s="338">
        <f t="shared" si="3"/>
        <v>144.125</v>
      </c>
      <c r="G14" s="338">
        <f t="shared" si="3"/>
        <v>0</v>
      </c>
      <c r="H14" s="338">
        <f t="shared" si="3"/>
        <v>0</v>
      </c>
      <c r="I14" s="358">
        <f t="shared" si="3"/>
        <v>0</v>
      </c>
      <c r="J14" s="358">
        <f t="shared" si="3"/>
        <v>0</v>
      </c>
      <c r="K14" s="358">
        <f t="shared" si="3"/>
        <v>3.7774000000000005</v>
      </c>
      <c r="L14" s="358">
        <f t="shared" si="3"/>
        <v>4.125</v>
      </c>
      <c r="M14" s="359">
        <f t="shared" si="3"/>
        <v>171.70000000000002</v>
      </c>
      <c r="N14" s="360">
        <f t="shared" si="3"/>
        <v>154</v>
      </c>
      <c r="O14" s="356"/>
      <c r="P14" s="357"/>
      <c r="R14" s="915"/>
      <c r="S14" s="919"/>
    </row>
    <row r="15" spans="1:19" ht="15" customHeight="1">
      <c r="A15" s="339">
        <v>7</v>
      </c>
      <c r="B15" s="340" t="s">
        <v>516</v>
      </c>
      <c r="C15" s="947">
        <v>59</v>
      </c>
      <c r="D15" s="948"/>
      <c r="E15" s="947">
        <f>规模!C8</f>
        <v>59</v>
      </c>
      <c r="F15" s="948"/>
      <c r="G15" s="947">
        <f>规模!C13</f>
        <v>0</v>
      </c>
      <c r="H15" s="948"/>
      <c r="I15" s="947">
        <f>规模!C18</f>
        <v>0</v>
      </c>
      <c r="J15" s="948"/>
      <c r="K15" s="947">
        <f>规模!C23</f>
        <v>59</v>
      </c>
      <c r="L15" s="948"/>
      <c r="M15" s="947">
        <f>K15</f>
        <v>59</v>
      </c>
      <c r="N15" s="948"/>
      <c r="O15" s="356"/>
      <c r="P15" s="361"/>
      <c r="R15" s="912" t="s">
        <v>394</v>
      </c>
      <c r="S15" s="921"/>
    </row>
    <row r="16" spans="1:19" s="213" customFormat="1" ht="15" customHeight="1">
      <c r="A16" s="339">
        <v>8</v>
      </c>
      <c r="B16" s="340" t="s">
        <v>517</v>
      </c>
      <c r="C16" s="945">
        <f t="shared" ref="C16:G16" si="4">D14/C14</f>
        <v>1.1547807924808706</v>
      </c>
      <c r="D16" s="946"/>
      <c r="E16" s="945">
        <f t="shared" si="4"/>
        <v>0.88451013327949068</v>
      </c>
      <c r="F16" s="946"/>
      <c r="G16" s="945" t="e">
        <f t="shared" si="4"/>
        <v>#DIV/0!</v>
      </c>
      <c r="H16" s="946"/>
      <c r="I16" s="945" t="e">
        <f t="shared" ref="I16:M16" si="5">J14/I14</f>
        <v>#DIV/0!</v>
      </c>
      <c r="J16" s="946"/>
      <c r="K16" s="945">
        <f t="shared" si="5"/>
        <v>1.0920209668025624</v>
      </c>
      <c r="L16" s="946"/>
      <c r="M16" s="945">
        <f t="shared" si="5"/>
        <v>0.89691322073383795</v>
      </c>
      <c r="N16" s="946"/>
      <c r="O16" s="356"/>
      <c r="P16" s="361"/>
      <c r="R16" s="913"/>
      <c r="S16" s="922"/>
    </row>
    <row r="17" spans="1:19" s="213" customFormat="1" ht="15" customHeight="1">
      <c r="A17" s="339">
        <v>9</v>
      </c>
      <c r="B17" s="340" t="s">
        <v>518</v>
      </c>
      <c r="C17" s="941">
        <f t="shared" ref="C17:E17" si="6">D14/C14-1</f>
        <v>0.15478079248087062</v>
      </c>
      <c r="D17" s="942"/>
      <c r="E17" s="941">
        <f t="shared" si="6"/>
        <v>-0.11548986672050932</v>
      </c>
      <c r="F17" s="942"/>
      <c r="G17" s="941">
        <f>IF(G14=0,0,IF(H14=0,0,H14/G14-1))</f>
        <v>0</v>
      </c>
      <c r="H17" s="942"/>
      <c r="I17" s="941">
        <f>IF(I14=0,0,IF(J14=0,0,J14/I14-1))</f>
        <v>0</v>
      </c>
      <c r="J17" s="942"/>
      <c r="K17" s="941">
        <f>IF(K14=0,0,IF(L14=0,0,L14/K14-1))</f>
        <v>9.2020966802562443E-2</v>
      </c>
      <c r="L17" s="942"/>
      <c r="M17" s="941">
        <f>IF(M14=0,0,IF(N14=0,0,N14/M14-1))</f>
        <v>-0.10308677926616205</v>
      </c>
      <c r="N17" s="942"/>
      <c r="O17" s="356"/>
      <c r="P17" s="923"/>
      <c r="R17" s="366" t="s">
        <v>386</v>
      </c>
      <c r="S17" s="369">
        <v>2.1999999999999999E-2</v>
      </c>
    </row>
    <row r="18" spans="1:19" s="328" customFormat="1" ht="15" customHeight="1">
      <c r="A18" s="339">
        <v>10</v>
      </c>
      <c r="B18" s="342" t="s">
        <v>519</v>
      </c>
      <c r="C18" s="941">
        <f>D14/C14-100%</f>
        <v>0.15478079248087062</v>
      </c>
      <c r="D18" s="942"/>
      <c r="E18" s="941">
        <f>(D14+F14)/(C14+E14)-100%</f>
        <v>-0.10747570606934365</v>
      </c>
      <c r="F18" s="942"/>
      <c r="G18" s="941">
        <f>(D14+F14+H14)/(C14+E14+G14)-100%</f>
        <v>-0.10747570606934365</v>
      </c>
      <c r="H18" s="942"/>
      <c r="I18" s="941">
        <f>(D14+F14+H14+J14)/(C14+E14+G14+I14)-100%</f>
        <v>-0.10747570606934365</v>
      </c>
      <c r="J18" s="942"/>
      <c r="K18" s="941">
        <f>(D14+F14+H14+J14+L14)/(C14+E14+G14+I14+K14)-100%</f>
        <v>-0.10308677926616172</v>
      </c>
      <c r="L18" s="942"/>
      <c r="M18" s="941">
        <f>K18</f>
        <v>-0.10308677926616172</v>
      </c>
      <c r="N18" s="942"/>
      <c r="O18" s="356"/>
      <c r="P18" s="924"/>
      <c r="R18" s="368"/>
      <c r="S18" s="370"/>
    </row>
    <row r="19" spans="1:19" s="328" customFormat="1" ht="15" customHeight="1">
      <c r="A19" s="343">
        <v>11</v>
      </c>
      <c r="B19" s="344" t="s">
        <v>520</v>
      </c>
      <c r="C19" s="943">
        <f t="shared" ref="C19:G19" si="7">D9/$N9</f>
        <v>2.8130671506352088E-2</v>
      </c>
      <c r="D19" s="944"/>
      <c r="E19" s="943">
        <f t="shared" si="7"/>
        <v>0.96098003629764062</v>
      </c>
      <c r="F19" s="944"/>
      <c r="G19" s="943">
        <f t="shared" si="7"/>
        <v>0</v>
      </c>
      <c r="H19" s="944"/>
      <c r="I19" s="943">
        <f>J9/N9</f>
        <v>0</v>
      </c>
      <c r="J19" s="944"/>
      <c r="K19" s="943">
        <f>L9/N9</f>
        <v>1.0889292196007259E-2</v>
      </c>
      <c r="L19" s="944"/>
      <c r="M19" s="943"/>
      <c r="N19" s="944"/>
      <c r="O19" s="362"/>
      <c r="P19" s="925"/>
      <c r="R19" s="53"/>
      <c r="S19" s="53"/>
    </row>
    <row r="20" spans="1:19">
      <c r="A20" s="345"/>
      <c r="B20" s="173"/>
      <c r="C20" s="346"/>
      <c r="D20" s="346"/>
      <c r="E20" s="346"/>
      <c r="F20" s="346"/>
      <c r="G20" s="346"/>
      <c r="H20" s="346"/>
      <c r="I20" s="346"/>
      <c r="L20" s="346"/>
      <c r="M20" s="346"/>
      <c r="N20" s="346"/>
    </row>
    <row r="21" spans="1:19" ht="24.95" customHeight="1">
      <c r="B21" s="340" t="s">
        <v>521</v>
      </c>
      <c r="C21" s="340"/>
      <c r="D21" s="340"/>
      <c r="E21" s="347" t="s">
        <v>384</v>
      </c>
      <c r="F21" s="347" t="s">
        <v>338</v>
      </c>
      <c r="G21" s="347" t="s">
        <v>339</v>
      </c>
      <c r="H21" s="347" t="s">
        <v>340</v>
      </c>
      <c r="I21" s="347" t="s">
        <v>386</v>
      </c>
      <c r="K21" s="363" t="s">
        <v>222</v>
      </c>
      <c r="L21" s="363" t="s">
        <v>223</v>
      </c>
    </row>
    <row r="22" spans="1:19" ht="12" customHeight="1">
      <c r="B22" s="910" t="s">
        <v>522</v>
      </c>
      <c r="C22" s="934" t="s">
        <v>523</v>
      </c>
      <c r="D22" s="196" t="s">
        <v>167</v>
      </c>
      <c r="E22" s="348">
        <v>3.3E-3</v>
      </c>
      <c r="F22" s="348">
        <v>0.48520000000000002</v>
      </c>
      <c r="G22" s="348"/>
      <c r="H22" s="348"/>
      <c r="I22" s="348">
        <v>0</v>
      </c>
      <c r="K22" s="363">
        <v>0.48520000000000002</v>
      </c>
      <c r="L22" s="363">
        <v>0.29799999999999999</v>
      </c>
      <c r="O22" s="71" t="s">
        <v>844</v>
      </c>
      <c r="P22" s="71" t="s">
        <v>843</v>
      </c>
      <c r="Q22" s="71" t="s">
        <v>845</v>
      </c>
      <c r="R22" s="71" t="s">
        <v>846</v>
      </c>
      <c r="S22" s="71" t="s">
        <v>847</v>
      </c>
    </row>
    <row r="23" spans="1:19">
      <c r="B23" s="911"/>
      <c r="C23" s="935"/>
      <c r="D23" s="197" t="s">
        <v>168</v>
      </c>
      <c r="E23" s="197">
        <v>0.15</v>
      </c>
      <c r="F23" s="197">
        <v>0.66900000000000004</v>
      </c>
      <c r="G23" s="197"/>
      <c r="H23" s="197"/>
      <c r="I23" s="197">
        <v>2.53E-2</v>
      </c>
      <c r="K23" s="363">
        <v>0.66900000000000004</v>
      </c>
      <c r="L23" s="363">
        <v>0.48199999999999998</v>
      </c>
      <c r="O23" s="692" t="s">
        <v>384</v>
      </c>
      <c r="P23" s="696">
        <f>C17</f>
        <v>0.15478079248087062</v>
      </c>
      <c r="Q23" s="71">
        <f>项目度量分析计划!$D$49</f>
        <v>-0.38769999999999999</v>
      </c>
      <c r="R23" s="71">
        <f>项目度量分析计划!$E$49</f>
        <v>4.4999999999999997E-3</v>
      </c>
      <c r="S23" s="71">
        <f>项目度量分析计划!$F$49</f>
        <v>0.3967</v>
      </c>
    </row>
    <row r="24" spans="1:19">
      <c r="B24" s="911"/>
      <c r="C24" s="936"/>
      <c r="D24" s="196" t="s">
        <v>342</v>
      </c>
      <c r="E24" s="348">
        <v>0.29670000000000002</v>
      </c>
      <c r="F24" s="348">
        <v>0.85270000000000001</v>
      </c>
      <c r="G24" s="348"/>
      <c r="H24" s="348"/>
      <c r="I24" s="348">
        <v>7.8399999999999997E-2</v>
      </c>
      <c r="K24" s="363">
        <v>0.85270000000000001</v>
      </c>
      <c r="L24" s="363">
        <v>0.66610000000000003</v>
      </c>
      <c r="O24" s="692" t="s">
        <v>385</v>
      </c>
      <c r="P24" s="696">
        <f>E17</f>
        <v>-0.11548986672050932</v>
      </c>
      <c r="Q24" s="71">
        <f>项目度量分析计划!$D$49</f>
        <v>-0.38769999999999999</v>
      </c>
      <c r="R24" s="71">
        <f>项目度量分析计划!$E$49</f>
        <v>4.4999999999999997E-3</v>
      </c>
      <c r="S24" s="71">
        <f>项目度量分析计划!$F$49</f>
        <v>0.3967</v>
      </c>
    </row>
    <row r="25" spans="1:19">
      <c r="B25" s="911"/>
      <c r="C25" s="349" t="s">
        <v>508</v>
      </c>
      <c r="D25" s="274" t="s">
        <v>524</v>
      </c>
      <c r="E25" s="350">
        <f>C14/C15</f>
        <v>8.4394915254237313E-2</v>
      </c>
      <c r="F25" s="350">
        <f>E15/E14</f>
        <v>0.36208914389238472</v>
      </c>
      <c r="G25" s="350" t="e">
        <f>G14/G15</f>
        <v>#DIV/0!</v>
      </c>
      <c r="H25" s="350" t="e">
        <f>I14/I15</f>
        <v>#DIV/0!</v>
      </c>
      <c r="I25" s="350">
        <f>K14/K15</f>
        <v>6.4023728813559333E-2</v>
      </c>
      <c r="O25" s="693" t="s">
        <v>393</v>
      </c>
      <c r="P25" s="696">
        <f>G17</f>
        <v>0</v>
      </c>
      <c r="Q25" s="71">
        <f>项目度量分析计划!$D$49</f>
        <v>-0.38769999999999999</v>
      </c>
      <c r="R25" s="71">
        <f>项目度量分析计划!$E$49</f>
        <v>4.4999999999999997E-3</v>
      </c>
      <c r="S25" s="71">
        <f>项目度量分析计划!$F$49</f>
        <v>0.3967</v>
      </c>
    </row>
    <row r="26" spans="1:19">
      <c r="B26" s="911"/>
      <c r="C26" s="349" t="s">
        <v>509</v>
      </c>
      <c r="D26" s="274" t="s">
        <v>525</v>
      </c>
      <c r="E26" s="350">
        <f>D14/C15</f>
        <v>9.7457627118644072E-2</v>
      </c>
      <c r="F26" s="350">
        <f>E15/F14</f>
        <v>0.40936686903729402</v>
      </c>
      <c r="G26" s="350" t="e">
        <f>H14/G15</f>
        <v>#DIV/0!</v>
      </c>
      <c r="H26" s="350" t="e">
        <f>J14/I15</f>
        <v>#DIV/0!</v>
      </c>
      <c r="I26" s="365">
        <f>L14/K15</f>
        <v>6.991525423728813E-2</v>
      </c>
      <c r="O26" s="692" t="s">
        <v>394</v>
      </c>
      <c r="P26" s="696">
        <f>I17</f>
        <v>0</v>
      </c>
      <c r="Q26" s="71">
        <f>项目度量分析计划!$D$49</f>
        <v>-0.38769999999999999</v>
      </c>
      <c r="R26" s="71">
        <f>项目度量分析计划!$E$49</f>
        <v>4.4999999999999997E-3</v>
      </c>
      <c r="S26" s="71">
        <f>项目度量分析计划!$F$49</f>
        <v>0.3967</v>
      </c>
    </row>
    <row r="27" spans="1:19" ht="24">
      <c r="O27" s="694" t="s">
        <v>386</v>
      </c>
      <c r="P27" s="696">
        <f>K17</f>
        <v>9.2020966802562443E-2</v>
      </c>
      <c r="Q27" s="71">
        <f>项目度量分析计划!$D$49</f>
        <v>-0.38769999999999999</v>
      </c>
      <c r="R27" s="71">
        <f>项目度量分析计划!$E$49</f>
        <v>4.4999999999999997E-3</v>
      </c>
      <c r="S27" s="71">
        <f>项目度量分析计划!$F$49</f>
        <v>0.3967</v>
      </c>
    </row>
    <row r="28" spans="1:19">
      <c r="P28" s="364"/>
    </row>
    <row r="29" spans="1:19">
      <c r="O29" s="695"/>
    </row>
    <row r="38" spans="1:17" ht="14.25" customHeight="1"/>
    <row r="40" spans="1:17" ht="14.25">
      <c r="A40" s="351"/>
    </row>
    <row r="44" spans="1:17" ht="12" customHeight="1"/>
    <row r="47" spans="1:17" ht="13.5" customHeight="1">
      <c r="A47" s="330" t="s">
        <v>385</v>
      </c>
      <c r="P47" s="902" t="s">
        <v>507</v>
      </c>
      <c r="Q47" s="903"/>
    </row>
    <row r="48" spans="1:17" ht="15" customHeight="1" outlineLevel="1">
      <c r="A48" s="908" t="s">
        <v>64</v>
      </c>
      <c r="B48" s="906" t="s">
        <v>503</v>
      </c>
      <c r="C48" s="926" t="s">
        <v>491</v>
      </c>
      <c r="D48" s="927"/>
      <c r="E48" s="926" t="s">
        <v>492</v>
      </c>
      <c r="F48" s="927"/>
      <c r="G48" s="926" t="s">
        <v>493</v>
      </c>
      <c r="H48" s="927"/>
      <c r="I48" s="926" t="s">
        <v>494</v>
      </c>
      <c r="J48" s="927"/>
      <c r="K48" s="926" t="s">
        <v>504</v>
      </c>
      <c r="L48" s="927"/>
      <c r="M48" s="937" t="s">
        <v>505</v>
      </c>
      <c r="N48" s="939" t="s">
        <v>506</v>
      </c>
      <c r="P48" s="904"/>
      <c r="Q48" s="905"/>
    </row>
    <row r="49" spans="1:19" ht="15" customHeight="1" outlineLevel="1">
      <c r="A49" s="909"/>
      <c r="B49" s="907"/>
      <c r="C49" s="332" t="s">
        <v>508</v>
      </c>
      <c r="D49" s="332" t="s">
        <v>509</v>
      </c>
      <c r="E49" s="333" t="s">
        <v>508</v>
      </c>
      <c r="F49" s="332" t="s">
        <v>509</v>
      </c>
      <c r="G49" s="332" t="s">
        <v>508</v>
      </c>
      <c r="H49" s="332" t="s">
        <v>509</v>
      </c>
      <c r="I49" s="354" t="s">
        <v>508</v>
      </c>
      <c r="J49" s="354" t="s">
        <v>509</v>
      </c>
      <c r="K49" s="332" t="s">
        <v>508</v>
      </c>
      <c r="L49" s="354" t="s">
        <v>509</v>
      </c>
      <c r="M49" s="938"/>
      <c r="N49" s="940"/>
      <c r="P49" s="917" t="s">
        <v>491</v>
      </c>
      <c r="Q49" s="928">
        <v>3.3300000000000003E-2</v>
      </c>
    </row>
    <row r="50" spans="1:19" ht="15" customHeight="1" outlineLevel="1">
      <c r="A50" s="334">
        <v>1</v>
      </c>
      <c r="B50" s="335" t="s">
        <v>510</v>
      </c>
      <c r="C50" s="336">
        <f>$K50*Q49</f>
        <v>4.7813372100000002</v>
      </c>
      <c r="D50" s="337">
        <v>3.25</v>
      </c>
      <c r="E50" s="336">
        <f>$K50*Q51</f>
        <v>4.7813372100000002</v>
      </c>
      <c r="F50" s="352">
        <v>4.375</v>
      </c>
      <c r="G50" s="336">
        <f>K50*Q53</f>
        <v>115.47001154</v>
      </c>
      <c r="H50" s="353">
        <v>109.5</v>
      </c>
      <c r="I50" s="336">
        <f>K50*Q55</f>
        <v>18.551014040000002</v>
      </c>
      <c r="J50" s="337">
        <v>15.25</v>
      </c>
      <c r="K50" s="355">
        <f>E9</f>
        <v>143.58369999999999</v>
      </c>
      <c r="L50" s="341">
        <f>D50+F50+H50+J50</f>
        <v>132.375</v>
      </c>
      <c r="M50" s="356">
        <f t="shared" ref="M50:M54" si="8">L50/K50</f>
        <v>0.92193612506154954</v>
      </c>
      <c r="N50" s="357">
        <f>L50/$L$55</f>
        <v>0.91847354726799657</v>
      </c>
      <c r="P50" s="913"/>
      <c r="Q50" s="929"/>
    </row>
    <row r="51" spans="1:19" ht="15" customHeight="1" outlineLevel="1">
      <c r="A51" s="334">
        <v>2</v>
      </c>
      <c r="B51" s="335" t="s">
        <v>511</v>
      </c>
      <c r="C51" s="336">
        <f>$K51*Q49</f>
        <v>0.42978312000000002</v>
      </c>
      <c r="D51" s="337">
        <v>0.75</v>
      </c>
      <c r="E51" s="336">
        <f>K51*Q51</f>
        <v>0.42978312000000002</v>
      </c>
      <c r="F51" s="352">
        <v>0.375</v>
      </c>
      <c r="G51" s="336">
        <f>K51*Q53</f>
        <v>10.379326880000001</v>
      </c>
      <c r="H51" s="353">
        <v>5.5</v>
      </c>
      <c r="I51" s="336">
        <f>K51*Q55</f>
        <v>1.6675068800000001</v>
      </c>
      <c r="J51" s="337">
        <v>2.5</v>
      </c>
      <c r="K51" s="355">
        <f>E10</f>
        <v>12.9064</v>
      </c>
      <c r="L51" s="341">
        <f t="shared" ref="L51:L54" si="9">D51+F51+H51+J51</f>
        <v>9.125</v>
      </c>
      <c r="M51" s="356">
        <f t="shared" si="8"/>
        <v>0.70701357466063353</v>
      </c>
      <c r="N51" s="357">
        <f>L51/$L$55</f>
        <v>6.3313096270598446E-2</v>
      </c>
      <c r="P51" s="912" t="s">
        <v>492</v>
      </c>
      <c r="Q51" s="928">
        <v>3.3300000000000003E-2</v>
      </c>
    </row>
    <row r="52" spans="1:19" ht="15" customHeight="1" outlineLevel="1">
      <c r="A52" s="334">
        <v>3</v>
      </c>
      <c r="B52" s="335" t="s">
        <v>512</v>
      </c>
      <c r="C52" s="336">
        <f>K52*Q49</f>
        <v>0.10744578</v>
      </c>
      <c r="D52" s="337">
        <v>0</v>
      </c>
      <c r="E52" s="336">
        <f>K52*Q51</f>
        <v>0.10744578</v>
      </c>
      <c r="F52" s="352">
        <v>0</v>
      </c>
      <c r="G52" s="336">
        <f>K52*Q53</f>
        <v>2.5948317200000002</v>
      </c>
      <c r="H52" s="353">
        <v>0</v>
      </c>
      <c r="I52" s="336">
        <f>K52*Q55</f>
        <v>0.41687672000000003</v>
      </c>
      <c r="J52" s="337">
        <v>0.375</v>
      </c>
      <c r="K52" s="355">
        <f>E11</f>
        <v>3.2265999999999999</v>
      </c>
      <c r="L52" s="341">
        <f t="shared" si="9"/>
        <v>0.375</v>
      </c>
      <c r="M52" s="356">
        <f t="shared" si="8"/>
        <v>0.11622140953325483</v>
      </c>
      <c r="N52" s="357">
        <f>L52/$L$55</f>
        <v>2.6019080659150044E-3</v>
      </c>
      <c r="P52" s="913"/>
      <c r="Q52" s="929"/>
    </row>
    <row r="53" spans="1:19" ht="15" customHeight="1" outlineLevel="1">
      <c r="A53" s="334">
        <v>4</v>
      </c>
      <c r="B53" s="335" t="s">
        <v>513</v>
      </c>
      <c r="C53" s="336">
        <f>K53*Q49</f>
        <v>0.10744578</v>
      </c>
      <c r="D53" s="337">
        <v>0</v>
      </c>
      <c r="E53" s="336">
        <f>K53*Q51</f>
        <v>0.10744578</v>
      </c>
      <c r="F53" s="352">
        <v>0.25</v>
      </c>
      <c r="G53" s="336">
        <f>K53*Q53</f>
        <v>2.5948317200000002</v>
      </c>
      <c r="H53" s="353">
        <v>1.25</v>
      </c>
      <c r="I53" s="336">
        <f>K53*Q55</f>
        <v>0.41687672000000003</v>
      </c>
      <c r="J53" s="337">
        <v>0.75</v>
      </c>
      <c r="K53" s="355">
        <f>E12</f>
        <v>3.2265999999999999</v>
      </c>
      <c r="L53" s="341">
        <f t="shared" si="9"/>
        <v>2.25</v>
      </c>
      <c r="M53" s="356">
        <f t="shared" si="8"/>
        <v>0.69732845719952896</v>
      </c>
      <c r="N53" s="357">
        <f>L53/$L$55</f>
        <v>1.5611448395490026E-2</v>
      </c>
      <c r="P53" s="914" t="s">
        <v>493</v>
      </c>
      <c r="Q53" s="930">
        <v>0.80420000000000003</v>
      </c>
    </row>
    <row r="54" spans="1:19" ht="15" customHeight="1" outlineLevel="1">
      <c r="A54" s="334">
        <v>5</v>
      </c>
      <c r="B54" s="335" t="s">
        <v>514</v>
      </c>
      <c r="C54" s="336">
        <f>K54*Q49</f>
        <v>0</v>
      </c>
      <c r="D54" s="337">
        <v>0</v>
      </c>
      <c r="E54" s="336">
        <f>K54*Q51</f>
        <v>0</v>
      </c>
      <c r="F54" s="352">
        <v>0</v>
      </c>
      <c r="G54" s="336">
        <f>K54*Q53</f>
        <v>0</v>
      </c>
      <c r="H54" s="353">
        <v>0</v>
      </c>
      <c r="I54" s="336">
        <f>K54*Q55</f>
        <v>0</v>
      </c>
      <c r="J54" s="337">
        <v>0</v>
      </c>
      <c r="K54" s="355">
        <f>E13</f>
        <v>0</v>
      </c>
      <c r="L54" s="341">
        <f t="shared" si="9"/>
        <v>0</v>
      </c>
      <c r="M54" s="356" t="e">
        <f t="shared" si="8"/>
        <v>#DIV/0!</v>
      </c>
      <c r="N54" s="357">
        <f>L54/$L$55</f>
        <v>0</v>
      </c>
      <c r="P54" s="915"/>
      <c r="Q54" s="929"/>
    </row>
    <row r="55" spans="1:19" ht="15" customHeight="1" outlineLevel="1">
      <c r="A55" s="334">
        <v>6</v>
      </c>
      <c r="B55" s="335" t="s">
        <v>515</v>
      </c>
      <c r="C55" s="338">
        <f t="shared" ref="C55:L55" si="10">SUM(C50:C54)</f>
        <v>5.4260118899999998</v>
      </c>
      <c r="D55" s="338">
        <f t="shared" si="10"/>
        <v>4</v>
      </c>
      <c r="E55" s="338">
        <f t="shared" si="10"/>
        <v>5.4260118899999998</v>
      </c>
      <c r="F55" s="338">
        <f t="shared" si="10"/>
        <v>5</v>
      </c>
      <c r="G55" s="338">
        <f t="shared" si="10"/>
        <v>131.03900186000001</v>
      </c>
      <c r="H55" s="338">
        <f t="shared" si="10"/>
        <v>116.25</v>
      </c>
      <c r="I55" s="358">
        <f t="shared" si="10"/>
        <v>21.052274360000006</v>
      </c>
      <c r="J55" s="358">
        <f t="shared" si="10"/>
        <v>18.875</v>
      </c>
      <c r="K55" s="359">
        <f t="shared" si="10"/>
        <v>162.94329999999997</v>
      </c>
      <c r="L55" s="360">
        <f t="shared" si="10"/>
        <v>144.125</v>
      </c>
      <c r="M55" s="356"/>
      <c r="N55" s="357"/>
      <c r="P55" s="912" t="s">
        <v>494</v>
      </c>
      <c r="Q55" s="931">
        <v>0.12920000000000001</v>
      </c>
    </row>
    <row r="56" spans="1:19" ht="15" customHeight="1" outlineLevel="1">
      <c r="A56" s="339">
        <v>7</v>
      </c>
      <c r="B56" s="340" t="s">
        <v>516</v>
      </c>
      <c r="C56" s="947">
        <f>规模!C9</f>
        <v>59</v>
      </c>
      <c r="D56" s="948"/>
      <c r="E56" s="947">
        <f>规模!C10</f>
        <v>59</v>
      </c>
      <c r="F56" s="948"/>
      <c r="G56" s="947">
        <f>规模!C11</f>
        <v>59</v>
      </c>
      <c r="H56" s="948"/>
      <c r="I56" s="947">
        <f>规模!C12</f>
        <v>59</v>
      </c>
      <c r="J56" s="948"/>
      <c r="K56" s="947">
        <f>I56</f>
        <v>59</v>
      </c>
      <c r="L56" s="948"/>
      <c r="M56" s="356"/>
      <c r="N56" s="361"/>
      <c r="O56" s="213"/>
      <c r="P56" s="913"/>
      <c r="Q56" s="932"/>
      <c r="R56" s="213"/>
      <c r="S56" s="213"/>
    </row>
    <row r="57" spans="1:19" s="213" customFormat="1" ht="15" customHeight="1" outlineLevel="1">
      <c r="A57" s="339">
        <v>8</v>
      </c>
      <c r="B57" s="340" t="s">
        <v>526</v>
      </c>
      <c r="C57" s="945">
        <f t="shared" ref="C57" si="11">D55/C55</f>
        <v>0.73718968573804589</v>
      </c>
      <c r="D57" s="946"/>
      <c r="E57" s="945">
        <f t="shared" ref="E57" si="12">F55/E55</f>
        <v>0.92148710717255733</v>
      </c>
      <c r="F57" s="946"/>
      <c r="G57" s="945">
        <f t="shared" ref="G57" si="13">H55/G55</f>
        <v>0.88714045703888722</v>
      </c>
      <c r="H57" s="946"/>
      <c r="I57" s="945">
        <f t="shared" ref="I57" si="14">J55/I55</f>
        <v>0.89657771304097689</v>
      </c>
      <c r="J57" s="946"/>
      <c r="K57" s="945">
        <f t="shared" ref="K57" si="15">L55/K55</f>
        <v>0.88451013327949068</v>
      </c>
      <c r="L57" s="946"/>
      <c r="M57" s="356"/>
      <c r="N57" s="361"/>
      <c r="P57" s="367"/>
      <c r="Q57" s="371"/>
    </row>
    <row r="58" spans="1:19" s="213" customFormat="1" ht="15" customHeight="1" outlineLevel="1">
      <c r="A58" s="339">
        <v>9</v>
      </c>
      <c r="B58" s="340" t="s">
        <v>518</v>
      </c>
      <c r="C58" s="941">
        <f t="shared" ref="C58" si="16">D55/C55-1</f>
        <v>-0.26281031426195411</v>
      </c>
      <c r="D58" s="942"/>
      <c r="E58" s="941">
        <f t="shared" ref="E58" si="17">F55/E55-1</f>
        <v>-7.8512892827442671E-2</v>
      </c>
      <c r="F58" s="942"/>
      <c r="G58" s="941">
        <f t="shared" ref="G58" si="18">H55/G55-1</f>
        <v>-0.11285954296111278</v>
      </c>
      <c r="H58" s="942"/>
      <c r="I58" s="941">
        <f t="shared" ref="I58" si="19">J55/I55-1</f>
        <v>-0.10342228695902311</v>
      </c>
      <c r="J58" s="942"/>
      <c r="K58" s="941">
        <f t="shared" ref="K58" si="20">L55/K55-1</f>
        <v>-0.11548986672050932</v>
      </c>
      <c r="L58" s="942"/>
      <c r="M58" s="356"/>
      <c r="N58" s="923"/>
      <c r="O58" s="328"/>
      <c r="P58" s="368"/>
      <c r="Q58" s="370"/>
      <c r="R58" s="328"/>
      <c r="S58" s="328"/>
    </row>
    <row r="59" spans="1:19" s="328" customFormat="1" ht="15" customHeight="1" outlineLevel="1">
      <c r="A59" s="339">
        <v>10</v>
      </c>
      <c r="B59" s="342" t="s">
        <v>527</v>
      </c>
      <c r="C59" s="941">
        <f>D55/C55-100%</f>
        <v>-0.26281031426195411</v>
      </c>
      <c r="D59" s="942"/>
      <c r="E59" s="941">
        <f>(D55+F55)/(C55+E55)-100%</f>
        <v>-0.17066160354469839</v>
      </c>
      <c r="F59" s="942"/>
      <c r="G59" s="941">
        <f>(D55+F55+H55)/(C55+E55+G55)-100%</f>
        <v>-0.1172803252703305</v>
      </c>
      <c r="H59" s="942"/>
      <c r="I59" s="941">
        <f>(D55+F55+H55+J55)/(C55+E55+G55+I55)-100%</f>
        <v>-0.11548986672050965</v>
      </c>
      <c r="J59" s="942"/>
      <c r="K59" s="941">
        <f>I59</f>
        <v>-0.11548986672050965</v>
      </c>
      <c r="L59" s="942"/>
      <c r="M59" s="356"/>
      <c r="N59" s="924"/>
      <c r="P59" s="53"/>
      <c r="Q59" s="53"/>
    </row>
    <row r="60" spans="1:19" s="328" customFormat="1" ht="15" customHeight="1" outlineLevel="1">
      <c r="A60" s="343">
        <v>11</v>
      </c>
      <c r="B60" s="344" t="s">
        <v>528</v>
      </c>
      <c r="C60" s="943">
        <f>D50/$L50</f>
        <v>2.4551463644948063E-2</v>
      </c>
      <c r="D60" s="944"/>
      <c r="E60" s="943">
        <f>F50/$L50</f>
        <v>3.3050047214353166E-2</v>
      </c>
      <c r="F60" s="944"/>
      <c r="G60" s="943">
        <f>H50/$L50</f>
        <v>0.82719546742209626</v>
      </c>
      <c r="H60" s="944"/>
      <c r="I60" s="943">
        <f>J50/L50</f>
        <v>0.11520302171860246</v>
      </c>
      <c r="J60" s="944"/>
      <c r="K60" s="943"/>
      <c r="L60" s="944"/>
      <c r="M60" s="362"/>
      <c r="N60" s="925"/>
      <c r="O60" s="346"/>
      <c r="P60" s="173"/>
      <c r="Q60" s="53"/>
      <c r="R60" s="53"/>
      <c r="S60" s="53"/>
    </row>
    <row r="61" spans="1:19" outlineLevel="1">
      <c r="A61" s="345"/>
      <c r="B61" s="173"/>
      <c r="C61" s="346"/>
      <c r="D61" s="346"/>
      <c r="E61" s="346"/>
      <c r="F61" s="346"/>
      <c r="G61" s="346"/>
      <c r="H61" s="346"/>
      <c r="I61" s="346"/>
      <c r="J61" s="346"/>
      <c r="K61" s="346"/>
      <c r="L61" s="346"/>
      <c r="M61" s="346"/>
      <c r="N61" s="346"/>
    </row>
    <row r="62" spans="1:19" outlineLevel="1">
      <c r="B62" s="340" t="s">
        <v>521</v>
      </c>
      <c r="C62" s="340"/>
      <c r="D62" s="340"/>
      <c r="E62" s="340" t="s">
        <v>491</v>
      </c>
      <c r="F62" s="340" t="s">
        <v>492</v>
      </c>
      <c r="G62" s="340" t="s">
        <v>493</v>
      </c>
      <c r="H62" s="340" t="s">
        <v>494</v>
      </c>
    </row>
    <row r="63" spans="1:19" ht="12" customHeight="1" outlineLevel="1">
      <c r="B63" s="910" t="s">
        <v>529</v>
      </c>
      <c r="C63" s="934" t="s">
        <v>523</v>
      </c>
      <c r="D63" s="196" t="s">
        <v>167</v>
      </c>
      <c r="E63" s="348">
        <v>1.2E-2</v>
      </c>
      <c r="F63" s="348">
        <v>1E-4</v>
      </c>
      <c r="G63" s="348">
        <v>0.1326</v>
      </c>
      <c r="H63" s="348">
        <v>4.0000000000000001E-3</v>
      </c>
    </row>
    <row r="64" spans="1:19" outlineLevel="1">
      <c r="B64" s="911"/>
      <c r="C64" s="935"/>
      <c r="D64" s="197" t="s">
        <v>168</v>
      </c>
      <c r="E64" s="197">
        <v>0.13200000000000001</v>
      </c>
      <c r="F64" s="197">
        <v>0.2165</v>
      </c>
      <c r="G64" s="197">
        <v>0.93</v>
      </c>
      <c r="H64" s="197">
        <v>0.748</v>
      </c>
    </row>
    <row r="65" spans="2:20" outlineLevel="1">
      <c r="B65" s="911"/>
      <c r="C65" s="936"/>
      <c r="D65" s="196" t="s">
        <v>342</v>
      </c>
      <c r="E65" s="348">
        <v>0.252</v>
      </c>
      <c r="F65" s="348">
        <v>0.43290000000000001</v>
      </c>
      <c r="G65" s="348">
        <v>1.7274</v>
      </c>
      <c r="H65" s="348">
        <v>1.492</v>
      </c>
    </row>
    <row r="66" spans="2:20" outlineLevel="1">
      <c r="B66" s="911"/>
      <c r="C66" s="349" t="s">
        <v>508</v>
      </c>
      <c r="D66" s="274" t="s">
        <v>524</v>
      </c>
      <c r="E66" s="350">
        <f>C55/C56</f>
        <v>9.1966303220338982E-2</v>
      </c>
      <c r="F66" s="350">
        <f>E55/E56</f>
        <v>9.1966303220338982E-2</v>
      </c>
      <c r="G66" s="350">
        <f>G55/G56</f>
        <v>2.2210000315254241</v>
      </c>
      <c r="H66" s="350">
        <f>I55/I56</f>
        <v>0.35681820949152554</v>
      </c>
    </row>
    <row r="67" spans="2:20" outlineLevel="1">
      <c r="B67" s="911"/>
      <c r="C67" s="349" t="s">
        <v>509</v>
      </c>
      <c r="D67" s="274" t="s">
        <v>525</v>
      </c>
      <c r="E67" s="350">
        <f>D55/C56</f>
        <v>6.7796610169491525E-2</v>
      </c>
      <c r="F67" s="350">
        <f>F55/E56</f>
        <v>8.4745762711864403E-2</v>
      </c>
      <c r="G67" s="350">
        <f>H55/G56</f>
        <v>1.9703389830508475</v>
      </c>
      <c r="H67" s="350">
        <f>J55/I56</f>
        <v>0.31991525423728812</v>
      </c>
    </row>
    <row r="68" spans="2:20" outlineLevel="1">
      <c r="P68" s="364"/>
    </row>
    <row r="69" spans="2:20" outlineLevel="1">
      <c r="O69" s="697" t="s">
        <v>844</v>
      </c>
      <c r="P69" s="697" t="s">
        <v>848</v>
      </c>
      <c r="Q69" s="697"/>
      <c r="R69" s="71" t="s">
        <v>845</v>
      </c>
      <c r="S69" s="71" t="s">
        <v>846</v>
      </c>
      <c r="T69" s="71" t="s">
        <v>847</v>
      </c>
    </row>
    <row r="70" spans="2:20" outlineLevel="1">
      <c r="O70" s="697" t="s">
        <v>491</v>
      </c>
      <c r="P70" s="698">
        <f>C58</f>
        <v>-0.26281031426195411</v>
      </c>
      <c r="Q70" s="697"/>
      <c r="R70" s="71">
        <f>项目度量分析计划!$D$49</f>
        <v>-0.38769999999999999</v>
      </c>
      <c r="S70" s="71">
        <f>项目度量分析计划!$E$49</f>
        <v>4.4999999999999997E-3</v>
      </c>
      <c r="T70" s="71">
        <f>项目度量分析计划!$F$49</f>
        <v>0.3967</v>
      </c>
    </row>
    <row r="71" spans="2:20" outlineLevel="1">
      <c r="O71" s="697" t="s">
        <v>492</v>
      </c>
      <c r="P71" s="698">
        <f>E58</f>
        <v>-7.8512892827442671E-2</v>
      </c>
      <c r="Q71" s="697"/>
      <c r="R71" s="71">
        <f>项目度量分析计划!$D$49</f>
        <v>-0.38769999999999999</v>
      </c>
      <c r="S71" s="71">
        <f>项目度量分析计划!$E$49</f>
        <v>4.4999999999999997E-3</v>
      </c>
      <c r="T71" s="71">
        <f>项目度量分析计划!$F$49</f>
        <v>0.3967</v>
      </c>
    </row>
    <row r="72" spans="2:20" outlineLevel="1">
      <c r="O72" s="697" t="s">
        <v>493</v>
      </c>
      <c r="P72" s="698">
        <f>G58</f>
        <v>-0.11285954296111278</v>
      </c>
      <c r="Q72" s="697"/>
      <c r="R72" s="71">
        <f>项目度量分析计划!$D$49</f>
        <v>-0.38769999999999999</v>
      </c>
      <c r="S72" s="71">
        <f>项目度量分析计划!$E$49</f>
        <v>4.4999999999999997E-3</v>
      </c>
      <c r="T72" s="71">
        <f>项目度量分析计划!$F$49</f>
        <v>0.3967</v>
      </c>
    </row>
    <row r="73" spans="2:20" outlineLevel="1">
      <c r="O73" s="697" t="s">
        <v>494</v>
      </c>
      <c r="P73" s="698">
        <f>I58</f>
        <v>-0.10342228695902311</v>
      </c>
      <c r="Q73" s="697"/>
      <c r="R73" s="71">
        <f>项目度量分析计划!$D$49</f>
        <v>-0.38769999999999999</v>
      </c>
      <c r="S73" s="71">
        <f>项目度量分析计划!$E$49</f>
        <v>4.4999999999999997E-3</v>
      </c>
      <c r="T73" s="71">
        <f>项目度量分析计划!$F$49</f>
        <v>0.3967</v>
      </c>
    </row>
    <row r="74" spans="2:20" outlineLevel="1">
      <c r="O74" s="697"/>
      <c r="P74" s="697"/>
      <c r="Q74" s="697"/>
      <c r="R74" s="71"/>
      <c r="S74" s="71"/>
      <c r="T74" s="71"/>
    </row>
    <row r="75" spans="2:20" outlineLevel="1"/>
    <row r="76" spans="2:20" outlineLevel="1"/>
    <row r="77" spans="2:20" outlineLevel="1"/>
    <row r="78" spans="2:20" outlineLevel="1"/>
    <row r="79" spans="2:20" ht="14.25" customHeight="1" outlineLevel="1"/>
    <row r="80" spans="2:20" outlineLevel="1"/>
    <row r="81" spans="1:17" ht="14.25" outlineLevel="1">
      <c r="A81" s="351"/>
    </row>
    <row r="82" spans="1:17" outlineLevel="1"/>
    <row r="83" spans="1:17" outlineLevel="1"/>
    <row r="84" spans="1:17" outlineLevel="1"/>
    <row r="85" spans="1:17" ht="12" customHeight="1" outlineLevel="1"/>
    <row r="86" spans="1:17" outlineLevel="1"/>
    <row r="87" spans="1:17" outlineLevel="1"/>
    <row r="88" spans="1:17" outlineLevel="1"/>
    <row r="89" spans="1:17" outlineLevel="1"/>
    <row r="90" spans="1:17" outlineLevel="1"/>
    <row r="92" spans="1:17" ht="13.5" customHeight="1" collapsed="1" thickTop="1">
      <c r="A92" s="330" t="s">
        <v>393</v>
      </c>
      <c r="P92" s="902" t="s">
        <v>507</v>
      </c>
      <c r="Q92" s="903"/>
    </row>
    <row r="93" spans="1:17" ht="15" hidden="1" customHeight="1" outlineLevel="1" thickTop="1">
      <c r="A93" s="908" t="s">
        <v>64</v>
      </c>
      <c r="B93" s="906" t="s">
        <v>503</v>
      </c>
      <c r="C93" s="926" t="s">
        <v>491</v>
      </c>
      <c r="D93" s="927"/>
      <c r="E93" s="926" t="s">
        <v>492</v>
      </c>
      <c r="F93" s="927"/>
      <c r="G93" s="926" t="s">
        <v>493</v>
      </c>
      <c r="H93" s="927"/>
      <c r="I93" s="926" t="s">
        <v>494</v>
      </c>
      <c r="J93" s="927"/>
      <c r="K93" s="926" t="s">
        <v>504</v>
      </c>
      <c r="L93" s="927"/>
      <c r="M93" s="937" t="s">
        <v>505</v>
      </c>
      <c r="N93" s="939" t="s">
        <v>506</v>
      </c>
      <c r="P93" s="904"/>
      <c r="Q93" s="905"/>
    </row>
    <row r="94" spans="1:17" ht="15" hidden="1" customHeight="1" outlineLevel="1">
      <c r="A94" s="909"/>
      <c r="B94" s="907"/>
      <c r="C94" s="332" t="s">
        <v>508</v>
      </c>
      <c r="D94" s="332" t="s">
        <v>509</v>
      </c>
      <c r="E94" s="333" t="s">
        <v>508</v>
      </c>
      <c r="F94" s="332" t="s">
        <v>509</v>
      </c>
      <c r="G94" s="332" t="s">
        <v>508</v>
      </c>
      <c r="H94" s="332" t="s">
        <v>509</v>
      </c>
      <c r="I94" s="354" t="s">
        <v>508</v>
      </c>
      <c r="J94" s="354" t="s">
        <v>509</v>
      </c>
      <c r="K94" s="332" t="s">
        <v>508</v>
      </c>
      <c r="L94" s="354" t="s">
        <v>509</v>
      </c>
      <c r="M94" s="938"/>
      <c r="N94" s="940"/>
      <c r="P94" s="916" t="s">
        <v>491</v>
      </c>
      <c r="Q94" s="933"/>
    </row>
    <row r="95" spans="1:17" ht="15" hidden="1" customHeight="1" outlineLevel="1">
      <c r="A95" s="334">
        <v>1</v>
      </c>
      <c r="B95" s="335" t="s">
        <v>510</v>
      </c>
      <c r="C95" s="336">
        <f>$K95*Q94</f>
        <v>0</v>
      </c>
      <c r="D95" s="337"/>
      <c r="E95" s="336">
        <f>$K95*Q96</f>
        <v>0</v>
      </c>
      <c r="F95" s="352"/>
      <c r="G95" s="336">
        <f>K95*Q98</f>
        <v>0</v>
      </c>
      <c r="H95" s="353"/>
      <c r="I95" s="336">
        <f>K95*Q100</f>
        <v>0</v>
      </c>
      <c r="J95" s="337"/>
      <c r="K95" s="355"/>
      <c r="L95" s="341">
        <f t="shared" ref="L95:L99" si="21">D95+F95+H95+J95</f>
        <v>0</v>
      </c>
      <c r="M95" s="356" t="e">
        <f t="shared" ref="M95:M99" si="22">L95/K95</f>
        <v>#DIV/0!</v>
      </c>
      <c r="N95" s="357" t="e">
        <f>L95/$L$100</f>
        <v>#DIV/0!</v>
      </c>
      <c r="P95" s="913"/>
      <c r="Q95" s="929"/>
    </row>
    <row r="96" spans="1:17" ht="15" hidden="1" customHeight="1" outlineLevel="1">
      <c r="A96" s="334">
        <v>2</v>
      </c>
      <c r="B96" s="335" t="s">
        <v>511</v>
      </c>
      <c r="C96" s="336">
        <f>$K96*Q94</f>
        <v>0</v>
      </c>
      <c r="D96" s="337"/>
      <c r="E96" s="336">
        <f>K96*Q96</f>
        <v>0</v>
      </c>
      <c r="F96" s="352"/>
      <c r="G96" s="336">
        <f>K96*Q98</f>
        <v>0</v>
      </c>
      <c r="H96" s="353"/>
      <c r="I96" s="336">
        <f>K96*Q100</f>
        <v>0</v>
      </c>
      <c r="J96" s="337"/>
      <c r="K96" s="355"/>
      <c r="L96" s="341">
        <f t="shared" si="21"/>
        <v>0</v>
      </c>
      <c r="M96" s="356" t="e">
        <f t="shared" si="22"/>
        <v>#DIV/0!</v>
      </c>
      <c r="N96" s="357" t="e">
        <f>L96/$L$100</f>
        <v>#DIV/0!</v>
      </c>
      <c r="P96" s="912" t="s">
        <v>492</v>
      </c>
      <c r="Q96" s="930"/>
    </row>
    <row r="97" spans="1:19" ht="15" hidden="1" customHeight="1" outlineLevel="1">
      <c r="A97" s="334">
        <v>3</v>
      </c>
      <c r="B97" s="335" t="s">
        <v>512</v>
      </c>
      <c r="C97" s="336">
        <f>K97*Q94</f>
        <v>0</v>
      </c>
      <c r="D97" s="337"/>
      <c r="E97" s="336">
        <f>K97*Q96</f>
        <v>0</v>
      </c>
      <c r="F97" s="352"/>
      <c r="G97" s="336">
        <f>K97*Q98</f>
        <v>0</v>
      </c>
      <c r="H97" s="353"/>
      <c r="I97" s="336">
        <f>K97*Q100</f>
        <v>0</v>
      </c>
      <c r="J97" s="337"/>
      <c r="K97" s="355"/>
      <c r="L97" s="341">
        <f t="shared" si="21"/>
        <v>0</v>
      </c>
      <c r="M97" s="356" t="e">
        <f t="shared" si="22"/>
        <v>#DIV/0!</v>
      </c>
      <c r="N97" s="357" t="e">
        <f>L97/$L$100</f>
        <v>#DIV/0!</v>
      </c>
      <c r="P97" s="913"/>
      <c r="Q97" s="929"/>
    </row>
    <row r="98" spans="1:19" ht="15" hidden="1" customHeight="1" outlineLevel="1">
      <c r="A98" s="334">
        <v>4</v>
      </c>
      <c r="B98" s="335" t="s">
        <v>513</v>
      </c>
      <c r="C98" s="336">
        <f>K98*Q94</f>
        <v>0</v>
      </c>
      <c r="D98" s="337"/>
      <c r="E98" s="336">
        <f>K98*Q96</f>
        <v>0</v>
      </c>
      <c r="F98" s="352"/>
      <c r="G98" s="336">
        <f>K98*Q98</f>
        <v>0</v>
      </c>
      <c r="H98" s="353"/>
      <c r="I98" s="336">
        <f>K98*Q100</f>
        <v>0</v>
      </c>
      <c r="J98" s="337"/>
      <c r="K98" s="355"/>
      <c r="L98" s="341">
        <f t="shared" si="21"/>
        <v>0</v>
      </c>
      <c r="M98" s="356" t="e">
        <f t="shared" si="22"/>
        <v>#DIV/0!</v>
      </c>
      <c r="N98" s="357" t="e">
        <f>L98/$L$100</f>
        <v>#DIV/0!</v>
      </c>
      <c r="P98" s="914" t="s">
        <v>493</v>
      </c>
      <c r="Q98" s="930"/>
    </row>
    <row r="99" spans="1:19" ht="15" hidden="1" customHeight="1" outlineLevel="1">
      <c r="A99" s="334">
        <v>5</v>
      </c>
      <c r="B99" s="335" t="s">
        <v>514</v>
      </c>
      <c r="C99" s="336">
        <f>K99*Q94</f>
        <v>0</v>
      </c>
      <c r="D99" s="337"/>
      <c r="E99" s="336">
        <f>K99*Q96</f>
        <v>0</v>
      </c>
      <c r="F99" s="352"/>
      <c r="G99" s="336">
        <f>K99*Q98</f>
        <v>0</v>
      </c>
      <c r="H99" s="353"/>
      <c r="I99" s="336">
        <f>K99*Q100</f>
        <v>0</v>
      </c>
      <c r="J99" s="337"/>
      <c r="K99" s="355"/>
      <c r="L99" s="341">
        <f t="shared" si="21"/>
        <v>0</v>
      </c>
      <c r="M99" s="356" t="e">
        <f t="shared" si="22"/>
        <v>#DIV/0!</v>
      </c>
      <c r="N99" s="357" t="e">
        <f>L99/$L$100</f>
        <v>#DIV/0!</v>
      </c>
      <c r="P99" s="915"/>
      <c r="Q99" s="929"/>
    </row>
    <row r="100" spans="1:19" ht="15" hidden="1" customHeight="1" outlineLevel="1">
      <c r="A100" s="334">
        <v>6</v>
      </c>
      <c r="B100" s="335" t="s">
        <v>530</v>
      </c>
      <c r="C100" s="338">
        <f t="shared" ref="C100:L100" si="23">SUM(C95:C99)</f>
        <v>0</v>
      </c>
      <c r="D100" s="338">
        <f t="shared" si="23"/>
        <v>0</v>
      </c>
      <c r="E100" s="338">
        <f t="shared" si="23"/>
        <v>0</v>
      </c>
      <c r="F100" s="338">
        <f t="shared" si="23"/>
        <v>0</v>
      </c>
      <c r="G100" s="338">
        <f t="shared" si="23"/>
        <v>0</v>
      </c>
      <c r="H100" s="338">
        <f t="shared" si="23"/>
        <v>0</v>
      </c>
      <c r="I100" s="358">
        <f t="shared" si="23"/>
        <v>0</v>
      </c>
      <c r="J100" s="358">
        <f t="shared" si="23"/>
        <v>0</v>
      </c>
      <c r="K100" s="359">
        <f t="shared" si="23"/>
        <v>0</v>
      </c>
      <c r="L100" s="360">
        <f t="shared" si="23"/>
        <v>0</v>
      </c>
      <c r="M100" s="356"/>
      <c r="N100" s="357"/>
      <c r="P100" s="912" t="s">
        <v>494</v>
      </c>
      <c r="Q100" s="931"/>
    </row>
    <row r="101" spans="1:19" ht="15" hidden="1" customHeight="1" outlineLevel="1">
      <c r="A101" s="339">
        <v>7</v>
      </c>
      <c r="B101" s="340" t="s">
        <v>516</v>
      </c>
      <c r="C101" s="947">
        <f>规模!C14</f>
        <v>0</v>
      </c>
      <c r="D101" s="948"/>
      <c r="E101" s="947">
        <f>规模!C15</f>
        <v>0</v>
      </c>
      <c r="F101" s="948"/>
      <c r="G101" s="947">
        <f>规模!C16</f>
        <v>0</v>
      </c>
      <c r="H101" s="948"/>
      <c r="I101" s="947">
        <f>规模!C17</f>
        <v>0</v>
      </c>
      <c r="J101" s="948"/>
      <c r="K101" s="947">
        <f>I101</f>
        <v>0</v>
      </c>
      <c r="L101" s="948"/>
      <c r="M101" s="356"/>
      <c r="N101" s="361"/>
      <c r="O101" s="213"/>
      <c r="P101" s="913"/>
      <c r="Q101" s="932"/>
      <c r="R101" s="213"/>
      <c r="S101" s="213"/>
    </row>
    <row r="102" spans="1:19" s="213" customFormat="1" ht="15" hidden="1" customHeight="1" outlineLevel="1" thickBot="1">
      <c r="A102" s="339">
        <v>8</v>
      </c>
      <c r="B102" s="340" t="s">
        <v>526</v>
      </c>
      <c r="C102" s="945" t="e">
        <f t="shared" ref="C102:G102" si="24">D100/C100</f>
        <v>#DIV/0!</v>
      </c>
      <c r="D102" s="946"/>
      <c r="E102" s="945" t="e">
        <f t="shared" si="24"/>
        <v>#DIV/0!</v>
      </c>
      <c r="F102" s="946"/>
      <c r="G102" s="945" t="e">
        <f t="shared" si="24"/>
        <v>#DIV/0!</v>
      </c>
      <c r="H102" s="946"/>
      <c r="I102" s="945" t="e">
        <f>J100/I100</f>
        <v>#DIV/0!</v>
      </c>
      <c r="J102" s="946"/>
      <c r="K102" s="945" t="e">
        <f>L100/K100</f>
        <v>#DIV/0!</v>
      </c>
      <c r="L102" s="946"/>
      <c r="M102" s="356"/>
      <c r="N102" s="361"/>
      <c r="P102" s="367"/>
      <c r="Q102" s="371"/>
    </row>
    <row r="103" spans="1:19" s="213" customFormat="1" ht="15" hidden="1" customHeight="1" outlineLevel="1" thickTop="1">
      <c r="A103" s="339">
        <v>9</v>
      </c>
      <c r="B103" s="340" t="s">
        <v>518</v>
      </c>
      <c r="C103" s="941" t="e">
        <f t="shared" ref="C103:G103" si="25">D100/C100-1</f>
        <v>#DIV/0!</v>
      </c>
      <c r="D103" s="942"/>
      <c r="E103" s="941" t="e">
        <f t="shared" si="25"/>
        <v>#DIV/0!</v>
      </c>
      <c r="F103" s="942"/>
      <c r="G103" s="941" t="e">
        <f t="shared" si="25"/>
        <v>#DIV/0!</v>
      </c>
      <c r="H103" s="942"/>
      <c r="I103" s="941" t="e">
        <f>J100/I100-1</f>
        <v>#DIV/0!</v>
      </c>
      <c r="J103" s="942"/>
      <c r="K103" s="941" t="e">
        <f>L100/K100-1</f>
        <v>#DIV/0!</v>
      </c>
      <c r="L103" s="942"/>
      <c r="M103" s="356"/>
      <c r="N103" s="923"/>
      <c r="O103" s="328"/>
      <c r="P103" s="368"/>
      <c r="Q103" s="370"/>
      <c r="R103" s="328"/>
      <c r="S103" s="328"/>
    </row>
    <row r="104" spans="1:19" s="328" customFormat="1" ht="15" hidden="1" customHeight="1" outlineLevel="1">
      <c r="A104" s="339">
        <v>10</v>
      </c>
      <c r="B104" s="342" t="s">
        <v>527</v>
      </c>
      <c r="C104" s="941" t="e">
        <f>D100/C100-100%</f>
        <v>#DIV/0!</v>
      </c>
      <c r="D104" s="942"/>
      <c r="E104" s="941" t="e">
        <f>(D100+F100)/(C100+E100)-100%</f>
        <v>#DIV/0!</v>
      </c>
      <c r="F104" s="942"/>
      <c r="G104" s="941" t="e">
        <f>(D100+F100+H100)/(C100+E100+G100)-100%</f>
        <v>#DIV/0!</v>
      </c>
      <c r="H104" s="942"/>
      <c r="I104" s="941" t="e">
        <f>(D100+F100+H100+J100)/(C100+E100+G100+I100)-100%</f>
        <v>#DIV/0!</v>
      </c>
      <c r="J104" s="942"/>
      <c r="K104" s="941" t="e">
        <f>I104</f>
        <v>#DIV/0!</v>
      </c>
      <c r="L104" s="942"/>
      <c r="M104" s="356"/>
      <c r="N104" s="924"/>
      <c r="P104" s="53"/>
      <c r="Q104" s="53"/>
    </row>
    <row r="105" spans="1:19" s="328" customFormat="1" ht="15" hidden="1" customHeight="1" outlineLevel="1" thickBot="1">
      <c r="A105" s="343">
        <v>11</v>
      </c>
      <c r="B105" s="344" t="s">
        <v>528</v>
      </c>
      <c r="C105" s="943" t="e">
        <f t="shared" ref="C105:G105" si="26">D95/$L95</f>
        <v>#DIV/0!</v>
      </c>
      <c r="D105" s="944"/>
      <c r="E105" s="943" t="e">
        <f t="shared" si="26"/>
        <v>#DIV/0!</v>
      </c>
      <c r="F105" s="944"/>
      <c r="G105" s="943" t="e">
        <f t="shared" si="26"/>
        <v>#DIV/0!</v>
      </c>
      <c r="H105" s="944"/>
      <c r="I105" s="943" t="e">
        <f>J95/L95</f>
        <v>#DIV/0!</v>
      </c>
      <c r="J105" s="944"/>
      <c r="K105" s="943"/>
      <c r="L105" s="944"/>
      <c r="M105" s="362"/>
      <c r="N105" s="925"/>
      <c r="O105" s="346"/>
      <c r="P105" s="173"/>
      <c r="Q105" s="53"/>
      <c r="R105" s="53"/>
      <c r="S105" s="53"/>
    </row>
    <row r="106" spans="1:19" ht="12.75" hidden="1" outlineLevel="1" thickTop="1">
      <c r="A106" s="345"/>
      <c r="B106" s="173"/>
      <c r="C106" s="346"/>
      <c r="D106" s="346"/>
      <c r="E106" s="346"/>
      <c r="F106" s="346"/>
      <c r="G106" s="346"/>
      <c r="H106" s="346"/>
      <c r="I106" s="346"/>
      <c r="J106" s="346"/>
      <c r="K106" s="346"/>
      <c r="L106" s="346"/>
      <c r="M106" s="346"/>
      <c r="N106" s="346"/>
    </row>
    <row r="107" spans="1:19" hidden="1" outlineLevel="1">
      <c r="B107" s="340" t="s">
        <v>521</v>
      </c>
      <c r="C107" s="340"/>
      <c r="D107" s="340"/>
      <c r="E107" s="340" t="s">
        <v>491</v>
      </c>
      <c r="F107" s="340" t="s">
        <v>492</v>
      </c>
      <c r="G107" s="340" t="s">
        <v>493</v>
      </c>
      <c r="H107" s="340" t="s">
        <v>494</v>
      </c>
    </row>
    <row r="108" spans="1:19" ht="12" hidden="1" customHeight="1" outlineLevel="1">
      <c r="B108" s="910" t="s">
        <v>529</v>
      </c>
      <c r="C108" s="934" t="s">
        <v>523</v>
      </c>
      <c r="D108" s="196" t="s">
        <v>167</v>
      </c>
      <c r="E108" s="348"/>
      <c r="F108" s="348"/>
      <c r="G108" s="348"/>
      <c r="H108" s="348"/>
      <c r="O108" s="53" t="s">
        <v>491</v>
      </c>
      <c r="P108" s="364" t="e">
        <f>C104</f>
        <v>#DIV/0!</v>
      </c>
    </row>
    <row r="109" spans="1:19" hidden="1" outlineLevel="1">
      <c r="B109" s="911"/>
      <c r="C109" s="935"/>
      <c r="D109" s="197" t="s">
        <v>168</v>
      </c>
      <c r="E109" s="197"/>
      <c r="F109" s="197"/>
      <c r="G109" s="197"/>
      <c r="H109" s="197"/>
      <c r="O109" s="53" t="s">
        <v>492</v>
      </c>
      <c r="P109" s="364" t="e">
        <f>E104</f>
        <v>#DIV/0!</v>
      </c>
    </row>
    <row r="110" spans="1:19" hidden="1" outlineLevel="1">
      <c r="B110" s="911"/>
      <c r="C110" s="936"/>
      <c r="D110" s="196" t="s">
        <v>342</v>
      </c>
      <c r="E110" s="348"/>
      <c r="F110" s="348"/>
      <c r="G110" s="348"/>
      <c r="H110" s="348"/>
      <c r="O110" s="53" t="s">
        <v>493</v>
      </c>
      <c r="P110" s="364" t="e">
        <f>G104</f>
        <v>#DIV/0!</v>
      </c>
    </row>
    <row r="111" spans="1:19" hidden="1" outlineLevel="1">
      <c r="B111" s="911"/>
      <c r="C111" s="349" t="s">
        <v>508</v>
      </c>
      <c r="D111" s="274" t="s">
        <v>524</v>
      </c>
      <c r="E111" s="350" t="e">
        <f>C100/C101</f>
        <v>#DIV/0!</v>
      </c>
      <c r="F111" s="350" t="e">
        <f>E100/E101</f>
        <v>#DIV/0!</v>
      </c>
      <c r="G111" s="350" t="e">
        <f>G100/G101</f>
        <v>#DIV/0!</v>
      </c>
      <c r="H111" s="350" t="e">
        <f>I100/I101</f>
        <v>#DIV/0!</v>
      </c>
      <c r="O111" s="53" t="s">
        <v>494</v>
      </c>
      <c r="P111" s="364" t="e">
        <f>I104</f>
        <v>#DIV/0!</v>
      </c>
    </row>
    <row r="112" spans="1:19" hidden="1" outlineLevel="1">
      <c r="B112" s="911"/>
      <c r="C112" s="349" t="s">
        <v>509</v>
      </c>
      <c r="D112" s="274" t="s">
        <v>525</v>
      </c>
      <c r="E112" s="350" t="e">
        <f>D100/C101</f>
        <v>#DIV/0!</v>
      </c>
      <c r="F112" s="350" t="e">
        <f>F100/E101</f>
        <v>#DIV/0!</v>
      </c>
      <c r="G112" s="350" t="e">
        <f>H100/G101</f>
        <v>#DIV/0!</v>
      </c>
      <c r="H112" s="350" t="e">
        <f>J100/I101</f>
        <v>#DIV/0!</v>
      </c>
    </row>
    <row r="113" spans="1:16" hidden="1" outlineLevel="1">
      <c r="P113" s="364"/>
    </row>
    <row r="114" spans="1:16" hidden="1" outlineLevel="1">
      <c r="P114" s="364"/>
    </row>
    <row r="115" spans="1:16" hidden="1" outlineLevel="1"/>
    <row r="116" spans="1:16" hidden="1" outlineLevel="1"/>
    <row r="117" spans="1:16" hidden="1" outlineLevel="1"/>
    <row r="118" spans="1:16" hidden="1" outlineLevel="1"/>
    <row r="119" spans="1:16" hidden="1" outlineLevel="1"/>
    <row r="120" spans="1:16" hidden="1" outlineLevel="1"/>
    <row r="121" spans="1:16" hidden="1" outlineLevel="1"/>
    <row r="122" spans="1:16" hidden="1" outlineLevel="1"/>
    <row r="123" spans="1:16" hidden="1" outlineLevel="1"/>
    <row r="124" spans="1:16" ht="14.25" hidden="1" customHeight="1" outlineLevel="1"/>
    <row r="125" spans="1:16" hidden="1" outlineLevel="1"/>
    <row r="126" spans="1:16" ht="14.25" hidden="1" outlineLevel="1">
      <c r="A126" s="351"/>
    </row>
    <row r="127" spans="1:16" hidden="1" outlineLevel="1"/>
    <row r="128" spans="1:16" hidden="1" outlineLevel="1"/>
    <row r="129" spans="1:17" hidden="1" outlineLevel="1"/>
    <row r="130" spans="1:17" ht="12" hidden="1" customHeight="1" outlineLevel="1"/>
    <row r="131" spans="1:17" hidden="1" outlineLevel="1"/>
    <row r="132" spans="1:17" hidden="1" outlineLevel="1"/>
    <row r="133" spans="1:17" hidden="1" outlineLevel="1"/>
    <row r="134" spans="1:17" hidden="1" outlineLevel="1"/>
    <row r="135" spans="1:17" hidden="1" outlineLevel="1"/>
    <row r="136" spans="1:17" ht="12.75" thickBot="1"/>
    <row r="137" spans="1:17" ht="13.5" customHeight="1" collapsed="1" thickTop="1">
      <c r="A137" s="330" t="s">
        <v>394</v>
      </c>
      <c r="P137" s="902" t="s">
        <v>507</v>
      </c>
      <c r="Q137" s="903"/>
    </row>
    <row r="138" spans="1:17" ht="15" hidden="1" customHeight="1" outlineLevel="1" thickTop="1">
      <c r="A138" s="908" t="s">
        <v>64</v>
      </c>
      <c r="B138" s="906" t="s">
        <v>503</v>
      </c>
      <c r="C138" s="926" t="s">
        <v>491</v>
      </c>
      <c r="D138" s="927"/>
      <c r="E138" s="926" t="s">
        <v>492</v>
      </c>
      <c r="F138" s="927"/>
      <c r="G138" s="926" t="s">
        <v>493</v>
      </c>
      <c r="H138" s="927"/>
      <c r="I138" s="926" t="s">
        <v>494</v>
      </c>
      <c r="J138" s="927"/>
      <c r="K138" s="926" t="s">
        <v>504</v>
      </c>
      <c r="L138" s="927"/>
      <c r="M138" s="937" t="s">
        <v>505</v>
      </c>
      <c r="N138" s="939" t="s">
        <v>506</v>
      </c>
      <c r="P138" s="904"/>
      <c r="Q138" s="905"/>
    </row>
    <row r="139" spans="1:17" ht="15" hidden="1" customHeight="1" outlineLevel="1">
      <c r="A139" s="909"/>
      <c r="B139" s="907"/>
      <c r="C139" s="332" t="s">
        <v>508</v>
      </c>
      <c r="D139" s="332" t="s">
        <v>509</v>
      </c>
      <c r="E139" s="333" t="s">
        <v>508</v>
      </c>
      <c r="F139" s="332" t="s">
        <v>509</v>
      </c>
      <c r="G139" s="332" t="s">
        <v>508</v>
      </c>
      <c r="H139" s="332" t="s">
        <v>509</v>
      </c>
      <c r="I139" s="354" t="s">
        <v>508</v>
      </c>
      <c r="J139" s="354" t="s">
        <v>509</v>
      </c>
      <c r="K139" s="332" t="s">
        <v>508</v>
      </c>
      <c r="L139" s="354" t="s">
        <v>509</v>
      </c>
      <c r="M139" s="938"/>
      <c r="N139" s="940"/>
      <c r="P139" s="916" t="s">
        <v>491</v>
      </c>
      <c r="Q139" s="933"/>
    </row>
    <row r="140" spans="1:17" ht="15" hidden="1" customHeight="1" outlineLevel="1">
      <c r="A140" s="334">
        <v>1</v>
      </c>
      <c r="B140" s="335" t="s">
        <v>510</v>
      </c>
      <c r="C140" s="336">
        <f>$K140*Q139</f>
        <v>0</v>
      </c>
      <c r="D140" s="337"/>
      <c r="E140" s="336">
        <f>$K140*Q141</f>
        <v>0</v>
      </c>
      <c r="F140" s="352"/>
      <c r="G140" s="336">
        <f>K140*Q143</f>
        <v>0</v>
      </c>
      <c r="H140" s="353"/>
      <c r="I140" s="336">
        <f>K140*Q145</f>
        <v>0</v>
      </c>
      <c r="J140" s="337"/>
      <c r="K140" s="355"/>
      <c r="L140" s="341">
        <f t="shared" ref="L140:L144" si="27">D140+F140+H140+J140</f>
        <v>0</v>
      </c>
      <c r="M140" s="356" t="e">
        <f t="shared" ref="M140:M144" si="28">L140/K140</f>
        <v>#DIV/0!</v>
      </c>
      <c r="N140" s="357" t="e">
        <f>L140/$L$145</f>
        <v>#DIV/0!</v>
      </c>
      <c r="P140" s="913"/>
      <c r="Q140" s="929"/>
    </row>
    <row r="141" spans="1:17" ht="15" hidden="1" customHeight="1" outlineLevel="1">
      <c r="A141" s="334">
        <v>2</v>
      </c>
      <c r="B141" s="335" t="s">
        <v>511</v>
      </c>
      <c r="C141" s="336">
        <f>$K141*Q139</f>
        <v>0</v>
      </c>
      <c r="D141" s="337"/>
      <c r="E141" s="336">
        <f>K141*Q141</f>
        <v>0</v>
      </c>
      <c r="F141" s="352"/>
      <c r="G141" s="336">
        <f>K141*Q143</f>
        <v>0</v>
      </c>
      <c r="H141" s="353"/>
      <c r="I141" s="336">
        <f>K141*Q145</f>
        <v>0</v>
      </c>
      <c r="J141" s="337"/>
      <c r="K141" s="355"/>
      <c r="L141" s="341">
        <f t="shared" si="27"/>
        <v>0</v>
      </c>
      <c r="M141" s="356" t="e">
        <f t="shared" si="28"/>
        <v>#DIV/0!</v>
      </c>
      <c r="N141" s="357" t="e">
        <f>L141/$L$145</f>
        <v>#DIV/0!</v>
      </c>
      <c r="P141" s="912" t="s">
        <v>492</v>
      </c>
      <c r="Q141" s="930"/>
    </row>
    <row r="142" spans="1:17" ht="15" hidden="1" customHeight="1" outlineLevel="1">
      <c r="A142" s="334">
        <v>3</v>
      </c>
      <c r="B142" s="335" t="s">
        <v>512</v>
      </c>
      <c r="C142" s="336">
        <f>K142*Q139</f>
        <v>0</v>
      </c>
      <c r="D142" s="337"/>
      <c r="E142" s="336">
        <f>K142*Q141</f>
        <v>0</v>
      </c>
      <c r="F142" s="352"/>
      <c r="G142" s="336">
        <f>K142*Q143</f>
        <v>0</v>
      </c>
      <c r="H142" s="353"/>
      <c r="I142" s="336">
        <f>K142*Q145</f>
        <v>0</v>
      </c>
      <c r="J142" s="337"/>
      <c r="K142" s="355"/>
      <c r="L142" s="341">
        <f t="shared" si="27"/>
        <v>0</v>
      </c>
      <c r="M142" s="356" t="e">
        <f t="shared" si="28"/>
        <v>#DIV/0!</v>
      </c>
      <c r="N142" s="357" t="e">
        <f>L142/$L$145</f>
        <v>#DIV/0!</v>
      </c>
      <c r="P142" s="913"/>
      <c r="Q142" s="929"/>
    </row>
    <row r="143" spans="1:17" ht="15" hidden="1" customHeight="1" outlineLevel="1">
      <c r="A143" s="334">
        <v>4</v>
      </c>
      <c r="B143" s="335" t="s">
        <v>513</v>
      </c>
      <c r="C143" s="336">
        <f>K143*Q139</f>
        <v>0</v>
      </c>
      <c r="D143" s="337"/>
      <c r="E143" s="336">
        <f>K143*Q141</f>
        <v>0</v>
      </c>
      <c r="F143" s="352"/>
      <c r="G143" s="336">
        <f>K143*Q143</f>
        <v>0</v>
      </c>
      <c r="H143" s="353"/>
      <c r="I143" s="336">
        <f>K143*Q145</f>
        <v>0</v>
      </c>
      <c r="J143" s="337"/>
      <c r="K143" s="355"/>
      <c r="L143" s="341">
        <f t="shared" si="27"/>
        <v>0</v>
      </c>
      <c r="M143" s="356" t="e">
        <f t="shared" si="28"/>
        <v>#DIV/0!</v>
      </c>
      <c r="N143" s="357" t="e">
        <f>L143/$L$145</f>
        <v>#DIV/0!</v>
      </c>
      <c r="P143" s="914" t="s">
        <v>493</v>
      </c>
      <c r="Q143" s="930"/>
    </row>
    <row r="144" spans="1:17" ht="15" hidden="1" customHeight="1" outlineLevel="1">
      <c r="A144" s="334">
        <v>5</v>
      </c>
      <c r="B144" s="335" t="s">
        <v>514</v>
      </c>
      <c r="C144" s="336">
        <f>K144*Q139</f>
        <v>0</v>
      </c>
      <c r="D144" s="337"/>
      <c r="E144" s="336">
        <f>K144*Q141</f>
        <v>0</v>
      </c>
      <c r="F144" s="352"/>
      <c r="G144" s="336">
        <f>K144*Q143</f>
        <v>0</v>
      </c>
      <c r="H144" s="353"/>
      <c r="I144" s="336">
        <f>K144*Q145</f>
        <v>0</v>
      </c>
      <c r="J144" s="337"/>
      <c r="K144" s="355"/>
      <c r="L144" s="341">
        <f t="shared" si="27"/>
        <v>0</v>
      </c>
      <c r="M144" s="356" t="e">
        <f t="shared" si="28"/>
        <v>#DIV/0!</v>
      </c>
      <c r="N144" s="357" t="e">
        <f>L144/$L$145</f>
        <v>#DIV/0!</v>
      </c>
      <c r="P144" s="915"/>
      <c r="Q144" s="929"/>
    </row>
    <row r="145" spans="1:19" ht="15" hidden="1" customHeight="1" outlineLevel="1">
      <c r="A145" s="334">
        <v>6</v>
      </c>
      <c r="B145" s="335" t="s">
        <v>530</v>
      </c>
      <c r="C145" s="338">
        <f t="shared" ref="C145:L145" si="29">SUM(C140:C144)</f>
        <v>0</v>
      </c>
      <c r="D145" s="338">
        <f t="shared" si="29"/>
        <v>0</v>
      </c>
      <c r="E145" s="338">
        <f t="shared" si="29"/>
        <v>0</v>
      </c>
      <c r="F145" s="338">
        <f t="shared" si="29"/>
        <v>0</v>
      </c>
      <c r="G145" s="338">
        <f t="shared" si="29"/>
        <v>0</v>
      </c>
      <c r="H145" s="338">
        <f t="shared" si="29"/>
        <v>0</v>
      </c>
      <c r="I145" s="358">
        <f t="shared" si="29"/>
        <v>0</v>
      </c>
      <c r="J145" s="358">
        <f t="shared" si="29"/>
        <v>0</v>
      </c>
      <c r="K145" s="359">
        <f t="shared" si="29"/>
        <v>0</v>
      </c>
      <c r="L145" s="360">
        <f t="shared" si="29"/>
        <v>0</v>
      </c>
      <c r="M145" s="356"/>
      <c r="N145" s="357"/>
      <c r="P145" s="912" t="s">
        <v>494</v>
      </c>
      <c r="Q145" s="931"/>
    </row>
    <row r="146" spans="1:19" ht="15" hidden="1" customHeight="1" outlineLevel="1">
      <c r="A146" s="339">
        <v>7</v>
      </c>
      <c r="B146" s="340" t="s">
        <v>516</v>
      </c>
      <c r="C146" s="947">
        <f>规模!$C19</f>
        <v>0</v>
      </c>
      <c r="D146" s="948"/>
      <c r="E146" s="947">
        <f>规模!$C20</f>
        <v>0</v>
      </c>
      <c r="F146" s="948"/>
      <c r="G146" s="947">
        <f>规模!$C21</f>
        <v>0</v>
      </c>
      <c r="H146" s="948"/>
      <c r="I146" s="947">
        <f>规模!$C22</f>
        <v>0</v>
      </c>
      <c r="J146" s="948"/>
      <c r="K146" s="947">
        <f>I146</f>
        <v>0</v>
      </c>
      <c r="L146" s="948"/>
      <c r="M146" s="356"/>
      <c r="N146" s="361"/>
      <c r="O146" s="213"/>
      <c r="P146" s="913"/>
      <c r="Q146" s="932"/>
      <c r="R146" s="213"/>
      <c r="S146" s="213"/>
    </row>
    <row r="147" spans="1:19" s="213" customFormat="1" ht="15" hidden="1" customHeight="1" outlineLevel="1" thickBot="1">
      <c r="A147" s="339">
        <v>8</v>
      </c>
      <c r="B147" s="340" t="s">
        <v>526</v>
      </c>
      <c r="C147" s="945" t="e">
        <f t="shared" ref="C147:G147" si="30">D145/C145</f>
        <v>#DIV/0!</v>
      </c>
      <c r="D147" s="946"/>
      <c r="E147" s="945" t="e">
        <f t="shared" si="30"/>
        <v>#DIV/0!</v>
      </c>
      <c r="F147" s="946"/>
      <c r="G147" s="945" t="e">
        <f t="shared" si="30"/>
        <v>#DIV/0!</v>
      </c>
      <c r="H147" s="946"/>
      <c r="I147" s="945" t="e">
        <f>J145/I145</f>
        <v>#DIV/0!</v>
      </c>
      <c r="J147" s="946"/>
      <c r="K147" s="945" t="e">
        <f>L145/K145</f>
        <v>#DIV/0!</v>
      </c>
      <c r="L147" s="946"/>
      <c r="M147" s="356"/>
      <c r="N147" s="361"/>
      <c r="P147" s="367"/>
      <c r="Q147" s="371"/>
    </row>
    <row r="148" spans="1:19" s="213" customFormat="1" ht="15" hidden="1" customHeight="1" outlineLevel="1" thickTop="1">
      <c r="A148" s="339">
        <v>9</v>
      </c>
      <c r="B148" s="340" t="s">
        <v>518</v>
      </c>
      <c r="C148" s="941" t="e">
        <f t="shared" ref="C148:G148" si="31">D145/C145-1</f>
        <v>#DIV/0!</v>
      </c>
      <c r="D148" s="942"/>
      <c r="E148" s="941" t="e">
        <f t="shared" si="31"/>
        <v>#DIV/0!</v>
      </c>
      <c r="F148" s="942"/>
      <c r="G148" s="941" t="e">
        <f t="shared" si="31"/>
        <v>#DIV/0!</v>
      </c>
      <c r="H148" s="942"/>
      <c r="I148" s="941" t="e">
        <f>J145/I145-1</f>
        <v>#DIV/0!</v>
      </c>
      <c r="J148" s="942"/>
      <c r="K148" s="941" t="e">
        <f>L145/K145-1</f>
        <v>#DIV/0!</v>
      </c>
      <c r="L148" s="942"/>
      <c r="M148" s="356"/>
      <c r="N148" s="923"/>
      <c r="O148" s="328"/>
      <c r="P148" s="368"/>
      <c r="Q148" s="370"/>
      <c r="R148" s="328"/>
      <c r="S148" s="328"/>
    </row>
    <row r="149" spans="1:19" s="328" customFormat="1" ht="15" hidden="1" customHeight="1" outlineLevel="1">
      <c r="A149" s="339">
        <v>10</v>
      </c>
      <c r="B149" s="342" t="s">
        <v>527</v>
      </c>
      <c r="C149" s="941" t="e">
        <f>D145/C145-100%</f>
        <v>#DIV/0!</v>
      </c>
      <c r="D149" s="942"/>
      <c r="E149" s="941" t="e">
        <f>(D145+F145)/(C145+E145)-100%</f>
        <v>#DIV/0!</v>
      </c>
      <c r="F149" s="942"/>
      <c r="G149" s="941" t="e">
        <f>(D145+F145+H145)/(C145+E145+G145)-100%</f>
        <v>#DIV/0!</v>
      </c>
      <c r="H149" s="942"/>
      <c r="I149" s="941" t="e">
        <f>(D145+F145+H145+J145)/(C145+E145+G145+I145)-100%</f>
        <v>#DIV/0!</v>
      </c>
      <c r="J149" s="942"/>
      <c r="K149" s="941" t="e">
        <f>I149</f>
        <v>#DIV/0!</v>
      </c>
      <c r="L149" s="942"/>
      <c r="M149" s="356"/>
      <c r="N149" s="924"/>
      <c r="P149" s="53"/>
      <c r="Q149" s="53"/>
    </row>
    <row r="150" spans="1:19" s="328" customFormat="1" ht="15" hidden="1" customHeight="1" outlineLevel="1" thickBot="1">
      <c r="A150" s="343">
        <v>11</v>
      </c>
      <c r="B150" s="344" t="s">
        <v>528</v>
      </c>
      <c r="C150" s="943" t="e">
        <f t="shared" ref="C150:G150" si="32">D140/$L140</f>
        <v>#DIV/0!</v>
      </c>
      <c r="D150" s="944"/>
      <c r="E150" s="943" t="e">
        <f t="shared" si="32"/>
        <v>#DIV/0!</v>
      </c>
      <c r="F150" s="944"/>
      <c r="G150" s="943" t="e">
        <f t="shared" si="32"/>
        <v>#DIV/0!</v>
      </c>
      <c r="H150" s="944"/>
      <c r="I150" s="943" t="e">
        <f>J140/L140</f>
        <v>#DIV/0!</v>
      </c>
      <c r="J150" s="944"/>
      <c r="K150" s="943"/>
      <c r="L150" s="944"/>
      <c r="M150" s="362"/>
      <c r="N150" s="925"/>
      <c r="O150" s="346"/>
      <c r="P150" s="173"/>
      <c r="Q150" s="53"/>
      <c r="R150" s="53"/>
      <c r="S150" s="53"/>
    </row>
    <row r="151" spans="1:19" ht="12.75" hidden="1" outlineLevel="1" thickTop="1">
      <c r="A151" s="345"/>
      <c r="B151" s="173"/>
      <c r="C151" s="346"/>
      <c r="D151" s="346"/>
      <c r="E151" s="346"/>
      <c r="F151" s="346"/>
      <c r="G151" s="346"/>
      <c r="H151" s="346"/>
      <c r="I151" s="346"/>
      <c r="J151" s="346"/>
      <c r="K151" s="346"/>
      <c r="L151" s="346"/>
      <c r="M151" s="346"/>
      <c r="N151" s="346"/>
    </row>
    <row r="152" spans="1:19" hidden="1" outlineLevel="1">
      <c r="B152" s="340" t="s">
        <v>521</v>
      </c>
      <c r="C152" s="340"/>
      <c r="D152" s="340"/>
      <c r="E152" s="340" t="s">
        <v>491</v>
      </c>
      <c r="F152" s="340" t="s">
        <v>492</v>
      </c>
      <c r="G152" s="340" t="s">
        <v>493</v>
      </c>
      <c r="H152" s="340" t="s">
        <v>494</v>
      </c>
    </row>
    <row r="153" spans="1:19" ht="12" hidden="1" customHeight="1" outlineLevel="1">
      <c r="B153" s="910" t="s">
        <v>529</v>
      </c>
      <c r="C153" s="934" t="s">
        <v>523</v>
      </c>
      <c r="D153" s="196" t="s">
        <v>167</v>
      </c>
      <c r="E153" s="348"/>
      <c r="F153" s="348"/>
      <c r="G153" s="348"/>
      <c r="H153" s="348"/>
      <c r="O153" s="53" t="s">
        <v>491</v>
      </c>
      <c r="P153" s="364" t="e">
        <f>C149</f>
        <v>#DIV/0!</v>
      </c>
    </row>
    <row r="154" spans="1:19" hidden="1" outlineLevel="1">
      <c r="B154" s="911"/>
      <c r="C154" s="935"/>
      <c r="D154" s="197" t="s">
        <v>168</v>
      </c>
      <c r="E154" s="197"/>
      <c r="F154" s="197"/>
      <c r="G154" s="197"/>
      <c r="H154" s="197"/>
      <c r="O154" s="53" t="s">
        <v>492</v>
      </c>
      <c r="P154" s="364" t="e">
        <f>E149</f>
        <v>#DIV/0!</v>
      </c>
    </row>
    <row r="155" spans="1:19" hidden="1" outlineLevel="1">
      <c r="B155" s="911"/>
      <c r="C155" s="936"/>
      <c r="D155" s="196" t="s">
        <v>342</v>
      </c>
      <c r="E155" s="348"/>
      <c r="F155" s="348"/>
      <c r="G155" s="348"/>
      <c r="H155" s="348"/>
      <c r="O155" s="53" t="s">
        <v>493</v>
      </c>
      <c r="P155" s="364" t="e">
        <f>G149</f>
        <v>#DIV/0!</v>
      </c>
    </row>
    <row r="156" spans="1:19" hidden="1" outlineLevel="1">
      <c r="B156" s="911"/>
      <c r="C156" s="349" t="s">
        <v>508</v>
      </c>
      <c r="D156" s="274" t="s">
        <v>524</v>
      </c>
      <c r="E156" s="350" t="e">
        <f>C145/C146</f>
        <v>#DIV/0!</v>
      </c>
      <c r="F156" s="350" t="e">
        <f>E145/E146</f>
        <v>#DIV/0!</v>
      </c>
      <c r="G156" s="350" t="e">
        <f>G145/G146</f>
        <v>#DIV/0!</v>
      </c>
      <c r="H156" s="350" t="e">
        <f>I145/I146</f>
        <v>#DIV/0!</v>
      </c>
      <c r="O156" s="53" t="s">
        <v>494</v>
      </c>
      <c r="P156" s="364" t="e">
        <f>I149</f>
        <v>#DIV/0!</v>
      </c>
    </row>
    <row r="157" spans="1:19" hidden="1" outlineLevel="1">
      <c r="B157" s="911"/>
      <c r="C157" s="349" t="s">
        <v>509</v>
      </c>
      <c r="D157" s="274" t="s">
        <v>525</v>
      </c>
      <c r="E157" s="350" t="e">
        <f>D145/C146</f>
        <v>#DIV/0!</v>
      </c>
      <c r="F157" s="350" t="e">
        <f>F145/E146</f>
        <v>#DIV/0!</v>
      </c>
      <c r="G157" s="350" t="e">
        <f>H145/G146</f>
        <v>#DIV/0!</v>
      </c>
      <c r="H157" s="350" t="e">
        <f>J145/I146</f>
        <v>#DIV/0!</v>
      </c>
    </row>
    <row r="158" spans="1:19" hidden="1" outlineLevel="1">
      <c r="P158" s="364"/>
    </row>
    <row r="159" spans="1:19" hidden="1" outlineLevel="1">
      <c r="P159" s="364"/>
    </row>
    <row r="160" spans="1:19" hidden="1" outlineLevel="1"/>
    <row r="161" spans="1:1" hidden="1" outlineLevel="1"/>
    <row r="162" spans="1:1" hidden="1" outlineLevel="1"/>
    <row r="163" spans="1:1" hidden="1" outlineLevel="1"/>
    <row r="164" spans="1:1" hidden="1" outlineLevel="1"/>
    <row r="165" spans="1:1" hidden="1" outlineLevel="1"/>
    <row r="166" spans="1:1" hidden="1" outlineLevel="1"/>
    <row r="167" spans="1:1" hidden="1" outlineLevel="1"/>
    <row r="168" spans="1:1" hidden="1" outlineLevel="1"/>
    <row r="169" spans="1:1" ht="14.25" hidden="1" customHeight="1" outlineLevel="1"/>
    <row r="170" spans="1:1" hidden="1" outlineLevel="1"/>
    <row r="171" spans="1:1" ht="14.25" hidden="1" outlineLevel="1">
      <c r="A171" s="351"/>
    </row>
    <row r="172" spans="1:1" hidden="1" outlineLevel="1"/>
    <row r="173" spans="1:1" hidden="1" outlineLevel="1"/>
    <row r="174" spans="1:1" hidden="1" outlineLevel="1"/>
    <row r="175" spans="1:1" ht="12" hidden="1" customHeight="1" outlineLevel="1"/>
    <row r="176" spans="1:1" hidden="1" outlineLevel="1"/>
    <row r="177" hidden="1" outlineLevel="1"/>
    <row r="178" hidden="1" outlineLevel="1"/>
    <row r="179" hidden="1" outlineLevel="1"/>
    <row r="180" hidden="1" outlineLevel="1"/>
  </sheetData>
  <protectedRanges>
    <protectedRange sqref="O21:P21 L21:L22" name="区域1_2_1" securityDescriptor=""/>
  </protectedRanges>
  <mergeCells count="191">
    <mergeCell ref="A1:P1"/>
    <mergeCell ref="C7:D7"/>
    <mergeCell ref="E7:F7"/>
    <mergeCell ref="G7:H7"/>
    <mergeCell ref="I7:J7"/>
    <mergeCell ref="K7:L7"/>
    <mergeCell ref="M7:N7"/>
    <mergeCell ref="C15:D15"/>
    <mergeCell ref="E15:F15"/>
    <mergeCell ref="G15:H15"/>
    <mergeCell ref="I15:J15"/>
    <mergeCell ref="K15:L15"/>
    <mergeCell ref="M15:N15"/>
    <mergeCell ref="A7:A8"/>
    <mergeCell ref="O7:O8"/>
    <mergeCell ref="P7:P8"/>
    <mergeCell ref="C16:D16"/>
    <mergeCell ref="E16:F16"/>
    <mergeCell ref="G16:H16"/>
    <mergeCell ref="I16:J16"/>
    <mergeCell ref="K16:L16"/>
    <mergeCell ref="M16:N16"/>
    <mergeCell ref="C17:D17"/>
    <mergeCell ref="E17:F17"/>
    <mergeCell ref="G17:H17"/>
    <mergeCell ref="I17:J17"/>
    <mergeCell ref="K17:L17"/>
    <mergeCell ref="M17:N17"/>
    <mergeCell ref="C18:D18"/>
    <mergeCell ref="E18:F18"/>
    <mergeCell ref="G18:H18"/>
    <mergeCell ref="I18:J18"/>
    <mergeCell ref="K18:L18"/>
    <mergeCell ref="M18:N18"/>
    <mergeCell ref="C19:D19"/>
    <mergeCell ref="E19:F19"/>
    <mergeCell ref="G19:H19"/>
    <mergeCell ref="I19:J19"/>
    <mergeCell ref="K19:L19"/>
    <mergeCell ref="M19:N19"/>
    <mergeCell ref="C48:D48"/>
    <mergeCell ref="E48:F48"/>
    <mergeCell ref="G48:H48"/>
    <mergeCell ref="I48:J48"/>
    <mergeCell ref="K48:L48"/>
    <mergeCell ref="C56:D56"/>
    <mergeCell ref="E56:F56"/>
    <mergeCell ref="G56:H56"/>
    <mergeCell ref="I56:J56"/>
    <mergeCell ref="K56:L56"/>
    <mergeCell ref="C57:D57"/>
    <mergeCell ref="E57:F57"/>
    <mergeCell ref="G57:H57"/>
    <mergeCell ref="I57:J57"/>
    <mergeCell ref="K57:L57"/>
    <mergeCell ref="C58:D58"/>
    <mergeCell ref="E58:F58"/>
    <mergeCell ref="G58:H58"/>
    <mergeCell ref="I58:J58"/>
    <mergeCell ref="K58:L58"/>
    <mergeCell ref="C59:D59"/>
    <mergeCell ref="E59:F59"/>
    <mergeCell ref="G59:H59"/>
    <mergeCell ref="I59:J59"/>
    <mergeCell ref="K59:L59"/>
    <mergeCell ref="C60:D60"/>
    <mergeCell ref="E60:F60"/>
    <mergeCell ref="G60:H60"/>
    <mergeCell ref="I60:J60"/>
    <mergeCell ref="K60:L60"/>
    <mergeCell ref="C93:D93"/>
    <mergeCell ref="E93:F93"/>
    <mergeCell ref="G93:H93"/>
    <mergeCell ref="I93:J93"/>
    <mergeCell ref="K93:L93"/>
    <mergeCell ref="C101:D101"/>
    <mergeCell ref="E101:F101"/>
    <mergeCell ref="G101:H101"/>
    <mergeCell ref="I101:J101"/>
    <mergeCell ref="K101:L101"/>
    <mergeCell ref="C102:D102"/>
    <mergeCell ref="E102:F102"/>
    <mergeCell ref="G102:H102"/>
    <mergeCell ref="I102:J102"/>
    <mergeCell ref="K102:L102"/>
    <mergeCell ref="C103:D103"/>
    <mergeCell ref="E103:F103"/>
    <mergeCell ref="G103:H103"/>
    <mergeCell ref="I103:J103"/>
    <mergeCell ref="K103:L103"/>
    <mergeCell ref="C104:D104"/>
    <mergeCell ref="E104:F104"/>
    <mergeCell ref="G104:H104"/>
    <mergeCell ref="I104:J104"/>
    <mergeCell ref="K104:L104"/>
    <mergeCell ref="C105:D105"/>
    <mergeCell ref="E105:F105"/>
    <mergeCell ref="G105:H105"/>
    <mergeCell ref="I105:J105"/>
    <mergeCell ref="K105:L105"/>
    <mergeCell ref="E138:F138"/>
    <mergeCell ref="G138:H138"/>
    <mergeCell ref="I138:J138"/>
    <mergeCell ref="K138:L138"/>
    <mergeCell ref="C146:D146"/>
    <mergeCell ref="E146:F146"/>
    <mergeCell ref="G146:H146"/>
    <mergeCell ref="I146:J146"/>
    <mergeCell ref="K146:L146"/>
    <mergeCell ref="G150:H150"/>
    <mergeCell ref="I150:J150"/>
    <mergeCell ref="K150:L150"/>
    <mergeCell ref="C147:D147"/>
    <mergeCell ref="E147:F147"/>
    <mergeCell ref="G147:H147"/>
    <mergeCell ref="I147:J147"/>
    <mergeCell ref="K147:L147"/>
    <mergeCell ref="C148:D148"/>
    <mergeCell ref="E148:F148"/>
    <mergeCell ref="G148:H148"/>
    <mergeCell ref="I148:J148"/>
    <mergeCell ref="K148:L148"/>
    <mergeCell ref="B153:B157"/>
    <mergeCell ref="C22:C24"/>
    <mergeCell ref="C63:C65"/>
    <mergeCell ref="C108:C110"/>
    <mergeCell ref="C153:C155"/>
    <mergeCell ref="M48:M49"/>
    <mergeCell ref="M93:M94"/>
    <mergeCell ref="M138:M139"/>
    <mergeCell ref="N48:N49"/>
    <mergeCell ref="N58:N60"/>
    <mergeCell ref="N93:N94"/>
    <mergeCell ref="N103:N105"/>
    <mergeCell ref="N138:N139"/>
    <mergeCell ref="N148:N150"/>
    <mergeCell ref="B22:B26"/>
    <mergeCell ref="B48:B49"/>
    <mergeCell ref="B63:B67"/>
    <mergeCell ref="C149:D149"/>
    <mergeCell ref="E149:F149"/>
    <mergeCell ref="G149:H149"/>
    <mergeCell ref="I149:J149"/>
    <mergeCell ref="K149:L149"/>
    <mergeCell ref="C150:D150"/>
    <mergeCell ref="E150:F150"/>
    <mergeCell ref="P141:P142"/>
    <mergeCell ref="P143:P144"/>
    <mergeCell ref="P145:P146"/>
    <mergeCell ref="Q49:Q50"/>
    <mergeCell ref="Q51:Q52"/>
    <mergeCell ref="Q53:Q54"/>
    <mergeCell ref="Q55:Q56"/>
    <mergeCell ref="Q94:Q95"/>
    <mergeCell ref="Q96:Q97"/>
    <mergeCell ref="Q98:Q99"/>
    <mergeCell ref="Q100:Q101"/>
    <mergeCell ref="Q139:Q140"/>
    <mergeCell ref="Q141:Q142"/>
    <mergeCell ref="Q143:Q144"/>
    <mergeCell ref="Q145:Q146"/>
    <mergeCell ref="P92:Q93"/>
    <mergeCell ref="P137:Q138"/>
    <mergeCell ref="P49:P50"/>
    <mergeCell ref="P51:P52"/>
    <mergeCell ref="P53:P54"/>
    <mergeCell ref="P55:P56"/>
    <mergeCell ref="R7:S8"/>
    <mergeCell ref="B138:B139"/>
    <mergeCell ref="A138:A139"/>
    <mergeCell ref="B108:B112"/>
    <mergeCell ref="P100:P101"/>
    <mergeCell ref="P98:P99"/>
    <mergeCell ref="P96:P97"/>
    <mergeCell ref="P94:P95"/>
    <mergeCell ref="B93:B94"/>
    <mergeCell ref="A93:A94"/>
    <mergeCell ref="R9:R10"/>
    <mergeCell ref="R11:R12"/>
    <mergeCell ref="R13:R14"/>
    <mergeCell ref="R15:R16"/>
    <mergeCell ref="S9:S10"/>
    <mergeCell ref="S11:S12"/>
    <mergeCell ref="S13:S14"/>
    <mergeCell ref="S15:S16"/>
    <mergeCell ref="P47:Q48"/>
    <mergeCell ref="P139:P140"/>
    <mergeCell ref="P17:P19"/>
    <mergeCell ref="A48:A49"/>
    <mergeCell ref="B7:B8"/>
    <mergeCell ref="C138:D138"/>
  </mergeCells>
  <phoneticPr fontId="150" type="noConversion"/>
  <pageMargins left="0.69930555555555596" right="0.69930555555555596" top="0.75" bottom="0.75" header="0.3" footer="0.3"/>
  <pageSetup paperSize="9" orientation="portrait"/>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7"/>
  </sheetPr>
  <dimension ref="A1:I44"/>
  <sheetViews>
    <sheetView workbookViewId="0">
      <selection activeCell="F29" sqref="F29"/>
    </sheetView>
  </sheetViews>
  <sheetFormatPr defaultColWidth="9" defaultRowHeight="12"/>
  <cols>
    <col min="1" max="1" width="7.375" style="256" customWidth="1"/>
    <col min="2" max="2" width="20.875" style="53" customWidth="1"/>
    <col min="3" max="3" width="23.125" style="256" customWidth="1"/>
    <col min="4" max="4" width="17.375" style="256" customWidth="1"/>
    <col min="5" max="5" width="21.625" style="256" customWidth="1"/>
    <col min="6" max="6" width="9.75" style="53" customWidth="1"/>
    <col min="7" max="7" width="8.25" style="53" customWidth="1"/>
    <col min="8" max="8" width="8" style="53" customWidth="1"/>
    <col min="9" max="9" width="4.5" style="53" customWidth="1"/>
    <col min="10" max="10" width="6.75" style="53" customWidth="1"/>
    <col min="11" max="11" width="5.375" style="53" customWidth="1"/>
    <col min="12" max="12" width="6" style="53" customWidth="1"/>
    <col min="13" max="256" width="9" style="53"/>
    <col min="257" max="257" width="2.75" style="53" customWidth="1"/>
    <col min="258" max="258" width="20.875" style="53" customWidth="1"/>
    <col min="259" max="259" width="23.125" style="53" customWidth="1"/>
    <col min="260" max="260" width="15.125" style="53" customWidth="1"/>
    <col min="261" max="261" width="21.625" style="53" customWidth="1"/>
    <col min="262" max="262" width="9.75" style="53" customWidth="1"/>
    <col min="263" max="263" width="8.25" style="53" customWidth="1"/>
    <col min="264" max="264" width="8" style="53" customWidth="1"/>
    <col min="265" max="265" width="4.5" style="53" customWidth="1"/>
    <col min="266" max="266" width="6.75" style="53" customWidth="1"/>
    <col min="267" max="267" width="5.375" style="53" customWidth="1"/>
    <col min="268" max="268" width="6" style="53" customWidth="1"/>
    <col min="269" max="512" width="9" style="53"/>
    <col min="513" max="513" width="2.75" style="53" customWidth="1"/>
    <col min="514" max="514" width="20.875" style="53" customWidth="1"/>
    <col min="515" max="515" width="23.125" style="53" customWidth="1"/>
    <col min="516" max="516" width="15.125" style="53" customWidth="1"/>
    <col min="517" max="517" width="21.625" style="53" customWidth="1"/>
    <col min="518" max="518" width="9.75" style="53" customWidth="1"/>
    <col min="519" max="519" width="8.25" style="53" customWidth="1"/>
    <col min="520" max="520" width="8" style="53" customWidth="1"/>
    <col min="521" max="521" width="4.5" style="53" customWidth="1"/>
    <col min="522" max="522" width="6.75" style="53" customWidth="1"/>
    <col min="523" max="523" width="5.375" style="53" customWidth="1"/>
    <col min="524" max="524" width="6" style="53" customWidth="1"/>
    <col min="525" max="768" width="9" style="53"/>
    <col min="769" max="769" width="2.75" style="53" customWidth="1"/>
    <col min="770" max="770" width="20.875" style="53" customWidth="1"/>
    <col min="771" max="771" width="23.125" style="53" customWidth="1"/>
    <col min="772" max="772" width="15.125" style="53" customWidth="1"/>
    <col min="773" max="773" width="21.625" style="53" customWidth="1"/>
    <col min="774" max="774" width="9.75" style="53" customWidth="1"/>
    <col min="775" max="775" width="8.25" style="53" customWidth="1"/>
    <col min="776" max="776" width="8" style="53" customWidth="1"/>
    <col min="777" max="777" width="4.5" style="53" customWidth="1"/>
    <col min="778" max="778" width="6.75" style="53" customWidth="1"/>
    <col min="779" max="779" width="5.375" style="53" customWidth="1"/>
    <col min="780" max="780" width="6" style="53" customWidth="1"/>
    <col min="781" max="1024" width="9" style="53"/>
    <col min="1025" max="1025" width="2.75" style="53" customWidth="1"/>
    <col min="1026" max="1026" width="20.875" style="53" customWidth="1"/>
    <col min="1027" max="1027" width="23.125" style="53" customWidth="1"/>
    <col min="1028" max="1028" width="15.125" style="53" customWidth="1"/>
    <col min="1029" max="1029" width="21.625" style="53" customWidth="1"/>
    <col min="1030" max="1030" width="9.75" style="53" customWidth="1"/>
    <col min="1031" max="1031" width="8.25" style="53" customWidth="1"/>
    <col min="1032" max="1032" width="8" style="53" customWidth="1"/>
    <col min="1033" max="1033" width="4.5" style="53" customWidth="1"/>
    <col min="1034" max="1034" width="6.75" style="53" customWidth="1"/>
    <col min="1035" max="1035" width="5.375" style="53" customWidth="1"/>
    <col min="1036" max="1036" width="6" style="53" customWidth="1"/>
    <col min="1037" max="1280" width="9" style="53"/>
    <col min="1281" max="1281" width="2.75" style="53" customWidth="1"/>
    <col min="1282" max="1282" width="20.875" style="53" customWidth="1"/>
    <col min="1283" max="1283" width="23.125" style="53" customWidth="1"/>
    <col min="1284" max="1284" width="15.125" style="53" customWidth="1"/>
    <col min="1285" max="1285" width="21.625" style="53" customWidth="1"/>
    <col min="1286" max="1286" width="9.75" style="53" customWidth="1"/>
    <col min="1287" max="1287" width="8.25" style="53" customWidth="1"/>
    <col min="1288" max="1288" width="8" style="53" customWidth="1"/>
    <col min="1289" max="1289" width="4.5" style="53" customWidth="1"/>
    <col min="1290" max="1290" width="6.75" style="53" customWidth="1"/>
    <col min="1291" max="1291" width="5.375" style="53" customWidth="1"/>
    <col min="1292" max="1292" width="6" style="53" customWidth="1"/>
    <col min="1293" max="1536" width="9" style="53"/>
    <col min="1537" max="1537" width="2.75" style="53" customWidth="1"/>
    <col min="1538" max="1538" width="20.875" style="53" customWidth="1"/>
    <col min="1539" max="1539" width="23.125" style="53" customWidth="1"/>
    <col min="1540" max="1540" width="15.125" style="53" customWidth="1"/>
    <col min="1541" max="1541" width="21.625" style="53" customWidth="1"/>
    <col min="1542" max="1542" width="9.75" style="53" customWidth="1"/>
    <col min="1543" max="1543" width="8.25" style="53" customWidth="1"/>
    <col min="1544" max="1544" width="8" style="53" customWidth="1"/>
    <col min="1545" max="1545" width="4.5" style="53" customWidth="1"/>
    <col min="1546" max="1546" width="6.75" style="53" customWidth="1"/>
    <col min="1547" max="1547" width="5.375" style="53" customWidth="1"/>
    <col min="1548" max="1548" width="6" style="53" customWidth="1"/>
    <col min="1549" max="1792" width="9" style="53"/>
    <col min="1793" max="1793" width="2.75" style="53" customWidth="1"/>
    <col min="1794" max="1794" width="20.875" style="53" customWidth="1"/>
    <col min="1795" max="1795" width="23.125" style="53" customWidth="1"/>
    <col min="1796" max="1796" width="15.125" style="53" customWidth="1"/>
    <col min="1797" max="1797" width="21.625" style="53" customWidth="1"/>
    <col min="1798" max="1798" width="9.75" style="53" customWidth="1"/>
    <col min="1799" max="1799" width="8.25" style="53" customWidth="1"/>
    <col min="1800" max="1800" width="8" style="53" customWidth="1"/>
    <col min="1801" max="1801" width="4.5" style="53" customWidth="1"/>
    <col min="1802" max="1802" width="6.75" style="53" customWidth="1"/>
    <col min="1803" max="1803" width="5.375" style="53" customWidth="1"/>
    <col min="1804" max="1804" width="6" style="53" customWidth="1"/>
    <col min="1805" max="2048" width="9" style="53"/>
    <col min="2049" max="2049" width="2.75" style="53" customWidth="1"/>
    <col min="2050" max="2050" width="20.875" style="53" customWidth="1"/>
    <col min="2051" max="2051" width="23.125" style="53" customWidth="1"/>
    <col min="2052" max="2052" width="15.125" style="53" customWidth="1"/>
    <col min="2053" max="2053" width="21.625" style="53" customWidth="1"/>
    <col min="2054" max="2054" width="9.75" style="53" customWidth="1"/>
    <col min="2055" max="2055" width="8.25" style="53" customWidth="1"/>
    <col min="2056" max="2056" width="8" style="53" customWidth="1"/>
    <col min="2057" max="2057" width="4.5" style="53" customWidth="1"/>
    <col min="2058" max="2058" width="6.75" style="53" customWidth="1"/>
    <col min="2059" max="2059" width="5.375" style="53" customWidth="1"/>
    <col min="2060" max="2060" width="6" style="53" customWidth="1"/>
    <col min="2061" max="2304" width="9" style="53"/>
    <col min="2305" max="2305" width="2.75" style="53" customWidth="1"/>
    <col min="2306" max="2306" width="20.875" style="53" customWidth="1"/>
    <col min="2307" max="2307" width="23.125" style="53" customWidth="1"/>
    <col min="2308" max="2308" width="15.125" style="53" customWidth="1"/>
    <col min="2309" max="2309" width="21.625" style="53" customWidth="1"/>
    <col min="2310" max="2310" width="9.75" style="53" customWidth="1"/>
    <col min="2311" max="2311" width="8.25" style="53" customWidth="1"/>
    <col min="2312" max="2312" width="8" style="53" customWidth="1"/>
    <col min="2313" max="2313" width="4.5" style="53" customWidth="1"/>
    <col min="2314" max="2314" width="6.75" style="53" customWidth="1"/>
    <col min="2315" max="2315" width="5.375" style="53" customWidth="1"/>
    <col min="2316" max="2316" width="6" style="53" customWidth="1"/>
    <col min="2317" max="2560" width="9" style="53"/>
    <col min="2561" max="2561" width="2.75" style="53" customWidth="1"/>
    <col min="2562" max="2562" width="20.875" style="53" customWidth="1"/>
    <col min="2563" max="2563" width="23.125" style="53" customWidth="1"/>
    <col min="2564" max="2564" width="15.125" style="53" customWidth="1"/>
    <col min="2565" max="2565" width="21.625" style="53" customWidth="1"/>
    <col min="2566" max="2566" width="9.75" style="53" customWidth="1"/>
    <col min="2567" max="2567" width="8.25" style="53" customWidth="1"/>
    <col min="2568" max="2568" width="8" style="53" customWidth="1"/>
    <col min="2569" max="2569" width="4.5" style="53" customWidth="1"/>
    <col min="2570" max="2570" width="6.75" style="53" customWidth="1"/>
    <col min="2571" max="2571" width="5.375" style="53" customWidth="1"/>
    <col min="2572" max="2572" width="6" style="53" customWidth="1"/>
    <col min="2573" max="2816" width="9" style="53"/>
    <col min="2817" max="2817" width="2.75" style="53" customWidth="1"/>
    <col min="2818" max="2818" width="20.875" style="53" customWidth="1"/>
    <col min="2819" max="2819" width="23.125" style="53" customWidth="1"/>
    <col min="2820" max="2820" width="15.125" style="53" customWidth="1"/>
    <col min="2821" max="2821" width="21.625" style="53" customWidth="1"/>
    <col min="2822" max="2822" width="9.75" style="53" customWidth="1"/>
    <col min="2823" max="2823" width="8.25" style="53" customWidth="1"/>
    <col min="2824" max="2824" width="8" style="53" customWidth="1"/>
    <col min="2825" max="2825" width="4.5" style="53" customWidth="1"/>
    <col min="2826" max="2826" width="6.75" style="53" customWidth="1"/>
    <col min="2827" max="2827" width="5.375" style="53" customWidth="1"/>
    <col min="2828" max="2828" width="6" style="53" customWidth="1"/>
    <col min="2829" max="3072" width="9" style="53"/>
    <col min="3073" max="3073" width="2.75" style="53" customWidth="1"/>
    <col min="3074" max="3074" width="20.875" style="53" customWidth="1"/>
    <col min="3075" max="3075" width="23.125" style="53" customWidth="1"/>
    <col min="3076" max="3076" width="15.125" style="53" customWidth="1"/>
    <col min="3077" max="3077" width="21.625" style="53" customWidth="1"/>
    <col min="3078" max="3078" width="9.75" style="53" customWidth="1"/>
    <col min="3079" max="3079" width="8.25" style="53" customWidth="1"/>
    <col min="3080" max="3080" width="8" style="53" customWidth="1"/>
    <col min="3081" max="3081" width="4.5" style="53" customWidth="1"/>
    <col min="3082" max="3082" width="6.75" style="53" customWidth="1"/>
    <col min="3083" max="3083" width="5.375" style="53" customWidth="1"/>
    <col min="3084" max="3084" width="6" style="53" customWidth="1"/>
    <col min="3085" max="3328" width="9" style="53"/>
    <col min="3329" max="3329" width="2.75" style="53" customWidth="1"/>
    <col min="3330" max="3330" width="20.875" style="53" customWidth="1"/>
    <col min="3331" max="3331" width="23.125" style="53" customWidth="1"/>
    <col min="3332" max="3332" width="15.125" style="53" customWidth="1"/>
    <col min="3333" max="3333" width="21.625" style="53" customWidth="1"/>
    <col min="3334" max="3334" width="9.75" style="53" customWidth="1"/>
    <col min="3335" max="3335" width="8.25" style="53" customWidth="1"/>
    <col min="3336" max="3336" width="8" style="53" customWidth="1"/>
    <col min="3337" max="3337" width="4.5" style="53" customWidth="1"/>
    <col min="3338" max="3338" width="6.75" style="53" customWidth="1"/>
    <col min="3339" max="3339" width="5.375" style="53" customWidth="1"/>
    <col min="3340" max="3340" width="6" style="53" customWidth="1"/>
    <col min="3341" max="3584" width="9" style="53"/>
    <col min="3585" max="3585" width="2.75" style="53" customWidth="1"/>
    <col min="3586" max="3586" width="20.875" style="53" customWidth="1"/>
    <col min="3587" max="3587" width="23.125" style="53" customWidth="1"/>
    <col min="3588" max="3588" width="15.125" style="53" customWidth="1"/>
    <col min="3589" max="3589" width="21.625" style="53" customWidth="1"/>
    <col min="3590" max="3590" width="9.75" style="53" customWidth="1"/>
    <col min="3591" max="3591" width="8.25" style="53" customWidth="1"/>
    <col min="3592" max="3592" width="8" style="53" customWidth="1"/>
    <col min="3593" max="3593" width="4.5" style="53" customWidth="1"/>
    <col min="3594" max="3594" width="6.75" style="53" customWidth="1"/>
    <col min="3595" max="3595" width="5.375" style="53" customWidth="1"/>
    <col min="3596" max="3596" width="6" style="53" customWidth="1"/>
    <col min="3597" max="3840" width="9" style="53"/>
    <col min="3841" max="3841" width="2.75" style="53" customWidth="1"/>
    <col min="3842" max="3842" width="20.875" style="53" customWidth="1"/>
    <col min="3843" max="3843" width="23.125" style="53" customWidth="1"/>
    <col min="3844" max="3844" width="15.125" style="53" customWidth="1"/>
    <col min="3845" max="3845" width="21.625" style="53" customWidth="1"/>
    <col min="3846" max="3846" width="9.75" style="53" customWidth="1"/>
    <col min="3847" max="3847" width="8.25" style="53" customWidth="1"/>
    <col min="3848" max="3848" width="8" style="53" customWidth="1"/>
    <col min="3849" max="3849" width="4.5" style="53" customWidth="1"/>
    <col min="3850" max="3850" width="6.75" style="53" customWidth="1"/>
    <col min="3851" max="3851" width="5.375" style="53" customWidth="1"/>
    <col min="3852" max="3852" width="6" style="53" customWidth="1"/>
    <col min="3853" max="4096" width="9" style="53"/>
    <col min="4097" max="4097" width="2.75" style="53" customWidth="1"/>
    <col min="4098" max="4098" width="20.875" style="53" customWidth="1"/>
    <col min="4099" max="4099" width="23.125" style="53" customWidth="1"/>
    <col min="4100" max="4100" width="15.125" style="53" customWidth="1"/>
    <col min="4101" max="4101" width="21.625" style="53" customWidth="1"/>
    <col min="4102" max="4102" width="9.75" style="53" customWidth="1"/>
    <col min="4103" max="4103" width="8.25" style="53" customWidth="1"/>
    <col min="4104" max="4104" width="8" style="53" customWidth="1"/>
    <col min="4105" max="4105" width="4.5" style="53" customWidth="1"/>
    <col min="4106" max="4106" width="6.75" style="53" customWidth="1"/>
    <col min="4107" max="4107" width="5.375" style="53" customWidth="1"/>
    <col min="4108" max="4108" width="6" style="53" customWidth="1"/>
    <col min="4109" max="4352" width="9" style="53"/>
    <col min="4353" max="4353" width="2.75" style="53" customWidth="1"/>
    <col min="4354" max="4354" width="20.875" style="53" customWidth="1"/>
    <col min="4355" max="4355" width="23.125" style="53" customWidth="1"/>
    <col min="4356" max="4356" width="15.125" style="53" customWidth="1"/>
    <col min="4357" max="4357" width="21.625" style="53" customWidth="1"/>
    <col min="4358" max="4358" width="9.75" style="53" customWidth="1"/>
    <col min="4359" max="4359" width="8.25" style="53" customWidth="1"/>
    <col min="4360" max="4360" width="8" style="53" customWidth="1"/>
    <col min="4361" max="4361" width="4.5" style="53" customWidth="1"/>
    <col min="4362" max="4362" width="6.75" style="53" customWidth="1"/>
    <col min="4363" max="4363" width="5.375" style="53" customWidth="1"/>
    <col min="4364" max="4364" width="6" style="53" customWidth="1"/>
    <col min="4365" max="4608" width="9" style="53"/>
    <col min="4609" max="4609" width="2.75" style="53" customWidth="1"/>
    <col min="4610" max="4610" width="20.875" style="53" customWidth="1"/>
    <col min="4611" max="4611" width="23.125" style="53" customWidth="1"/>
    <col min="4612" max="4612" width="15.125" style="53" customWidth="1"/>
    <col min="4613" max="4613" width="21.625" style="53" customWidth="1"/>
    <col min="4614" max="4614" width="9.75" style="53" customWidth="1"/>
    <col min="4615" max="4615" width="8.25" style="53" customWidth="1"/>
    <col min="4616" max="4616" width="8" style="53" customWidth="1"/>
    <col min="4617" max="4617" width="4.5" style="53" customWidth="1"/>
    <col min="4618" max="4618" width="6.75" style="53" customWidth="1"/>
    <col min="4619" max="4619" width="5.375" style="53" customWidth="1"/>
    <col min="4620" max="4620" width="6" style="53" customWidth="1"/>
    <col min="4621" max="4864" width="9" style="53"/>
    <col min="4865" max="4865" width="2.75" style="53" customWidth="1"/>
    <col min="4866" max="4866" width="20.875" style="53" customWidth="1"/>
    <col min="4867" max="4867" width="23.125" style="53" customWidth="1"/>
    <col min="4868" max="4868" width="15.125" style="53" customWidth="1"/>
    <col min="4869" max="4869" width="21.625" style="53" customWidth="1"/>
    <col min="4870" max="4870" width="9.75" style="53" customWidth="1"/>
    <col min="4871" max="4871" width="8.25" style="53" customWidth="1"/>
    <col min="4872" max="4872" width="8" style="53" customWidth="1"/>
    <col min="4873" max="4873" width="4.5" style="53" customWidth="1"/>
    <col min="4874" max="4874" width="6.75" style="53" customWidth="1"/>
    <col min="4875" max="4875" width="5.375" style="53" customWidth="1"/>
    <col min="4876" max="4876" width="6" style="53" customWidth="1"/>
    <col min="4877" max="5120" width="9" style="53"/>
    <col min="5121" max="5121" width="2.75" style="53" customWidth="1"/>
    <col min="5122" max="5122" width="20.875" style="53" customWidth="1"/>
    <col min="5123" max="5123" width="23.125" style="53" customWidth="1"/>
    <col min="5124" max="5124" width="15.125" style="53" customWidth="1"/>
    <col min="5125" max="5125" width="21.625" style="53" customWidth="1"/>
    <col min="5126" max="5126" width="9.75" style="53" customWidth="1"/>
    <col min="5127" max="5127" width="8.25" style="53" customWidth="1"/>
    <col min="5128" max="5128" width="8" style="53" customWidth="1"/>
    <col min="5129" max="5129" width="4.5" style="53" customWidth="1"/>
    <col min="5130" max="5130" width="6.75" style="53" customWidth="1"/>
    <col min="5131" max="5131" width="5.375" style="53" customWidth="1"/>
    <col min="5132" max="5132" width="6" style="53" customWidth="1"/>
    <col min="5133" max="5376" width="9" style="53"/>
    <col min="5377" max="5377" width="2.75" style="53" customWidth="1"/>
    <col min="5378" max="5378" width="20.875" style="53" customWidth="1"/>
    <col min="5379" max="5379" width="23.125" style="53" customWidth="1"/>
    <col min="5380" max="5380" width="15.125" style="53" customWidth="1"/>
    <col min="5381" max="5381" width="21.625" style="53" customWidth="1"/>
    <col min="5382" max="5382" width="9.75" style="53" customWidth="1"/>
    <col min="5383" max="5383" width="8.25" style="53" customWidth="1"/>
    <col min="5384" max="5384" width="8" style="53" customWidth="1"/>
    <col min="5385" max="5385" width="4.5" style="53" customWidth="1"/>
    <col min="5386" max="5386" width="6.75" style="53" customWidth="1"/>
    <col min="5387" max="5387" width="5.375" style="53" customWidth="1"/>
    <col min="5388" max="5388" width="6" style="53" customWidth="1"/>
    <col min="5389" max="5632" width="9" style="53"/>
    <col min="5633" max="5633" width="2.75" style="53" customWidth="1"/>
    <col min="5634" max="5634" width="20.875" style="53" customWidth="1"/>
    <col min="5635" max="5635" width="23.125" style="53" customWidth="1"/>
    <col min="5636" max="5636" width="15.125" style="53" customWidth="1"/>
    <col min="5637" max="5637" width="21.625" style="53" customWidth="1"/>
    <col min="5638" max="5638" width="9.75" style="53" customWidth="1"/>
    <col min="5639" max="5639" width="8.25" style="53" customWidth="1"/>
    <col min="5640" max="5640" width="8" style="53" customWidth="1"/>
    <col min="5641" max="5641" width="4.5" style="53" customWidth="1"/>
    <col min="5642" max="5642" width="6.75" style="53" customWidth="1"/>
    <col min="5643" max="5643" width="5.375" style="53" customWidth="1"/>
    <col min="5644" max="5644" width="6" style="53" customWidth="1"/>
    <col min="5645" max="5888" width="9" style="53"/>
    <col min="5889" max="5889" width="2.75" style="53" customWidth="1"/>
    <col min="5890" max="5890" width="20.875" style="53" customWidth="1"/>
    <col min="5891" max="5891" width="23.125" style="53" customWidth="1"/>
    <col min="5892" max="5892" width="15.125" style="53" customWidth="1"/>
    <col min="5893" max="5893" width="21.625" style="53" customWidth="1"/>
    <col min="5894" max="5894" width="9.75" style="53" customWidth="1"/>
    <col min="5895" max="5895" width="8.25" style="53" customWidth="1"/>
    <col min="5896" max="5896" width="8" style="53" customWidth="1"/>
    <col min="5897" max="5897" width="4.5" style="53" customWidth="1"/>
    <col min="5898" max="5898" width="6.75" style="53" customWidth="1"/>
    <col min="5899" max="5899" width="5.375" style="53" customWidth="1"/>
    <col min="5900" max="5900" width="6" style="53" customWidth="1"/>
    <col min="5901" max="6144" width="9" style="53"/>
    <col min="6145" max="6145" width="2.75" style="53" customWidth="1"/>
    <col min="6146" max="6146" width="20.875" style="53" customWidth="1"/>
    <col min="6147" max="6147" width="23.125" style="53" customWidth="1"/>
    <col min="6148" max="6148" width="15.125" style="53" customWidth="1"/>
    <col min="6149" max="6149" width="21.625" style="53" customWidth="1"/>
    <col min="6150" max="6150" width="9.75" style="53" customWidth="1"/>
    <col min="6151" max="6151" width="8.25" style="53" customWidth="1"/>
    <col min="6152" max="6152" width="8" style="53" customWidth="1"/>
    <col min="6153" max="6153" width="4.5" style="53" customWidth="1"/>
    <col min="6154" max="6154" width="6.75" style="53" customWidth="1"/>
    <col min="6155" max="6155" width="5.375" style="53" customWidth="1"/>
    <col min="6156" max="6156" width="6" style="53" customWidth="1"/>
    <col min="6157" max="6400" width="9" style="53"/>
    <col min="6401" max="6401" width="2.75" style="53" customWidth="1"/>
    <col min="6402" max="6402" width="20.875" style="53" customWidth="1"/>
    <col min="6403" max="6403" width="23.125" style="53" customWidth="1"/>
    <col min="6404" max="6404" width="15.125" style="53" customWidth="1"/>
    <col min="6405" max="6405" width="21.625" style="53" customWidth="1"/>
    <col min="6406" max="6406" width="9.75" style="53" customWidth="1"/>
    <col min="6407" max="6407" width="8.25" style="53" customWidth="1"/>
    <col min="6408" max="6408" width="8" style="53" customWidth="1"/>
    <col min="6409" max="6409" width="4.5" style="53" customWidth="1"/>
    <col min="6410" max="6410" width="6.75" style="53" customWidth="1"/>
    <col min="6411" max="6411" width="5.375" style="53" customWidth="1"/>
    <col min="6412" max="6412" width="6" style="53" customWidth="1"/>
    <col min="6413" max="6656" width="9" style="53"/>
    <col min="6657" max="6657" width="2.75" style="53" customWidth="1"/>
    <col min="6658" max="6658" width="20.875" style="53" customWidth="1"/>
    <col min="6659" max="6659" width="23.125" style="53" customWidth="1"/>
    <col min="6660" max="6660" width="15.125" style="53" customWidth="1"/>
    <col min="6661" max="6661" width="21.625" style="53" customWidth="1"/>
    <col min="6662" max="6662" width="9.75" style="53" customWidth="1"/>
    <col min="6663" max="6663" width="8.25" style="53" customWidth="1"/>
    <col min="6664" max="6664" width="8" style="53" customWidth="1"/>
    <col min="6665" max="6665" width="4.5" style="53" customWidth="1"/>
    <col min="6666" max="6666" width="6.75" style="53" customWidth="1"/>
    <col min="6667" max="6667" width="5.375" style="53" customWidth="1"/>
    <col min="6668" max="6668" width="6" style="53" customWidth="1"/>
    <col min="6669" max="6912" width="9" style="53"/>
    <col min="6913" max="6913" width="2.75" style="53" customWidth="1"/>
    <col min="6914" max="6914" width="20.875" style="53" customWidth="1"/>
    <col min="6915" max="6915" width="23.125" style="53" customWidth="1"/>
    <col min="6916" max="6916" width="15.125" style="53" customWidth="1"/>
    <col min="6917" max="6917" width="21.625" style="53" customWidth="1"/>
    <col min="6918" max="6918" width="9.75" style="53" customWidth="1"/>
    <col min="6919" max="6919" width="8.25" style="53" customWidth="1"/>
    <col min="6920" max="6920" width="8" style="53" customWidth="1"/>
    <col min="6921" max="6921" width="4.5" style="53" customWidth="1"/>
    <col min="6922" max="6922" width="6.75" style="53" customWidth="1"/>
    <col min="6923" max="6923" width="5.375" style="53" customWidth="1"/>
    <col min="6924" max="6924" width="6" style="53" customWidth="1"/>
    <col min="6925" max="7168" width="9" style="53"/>
    <col min="7169" max="7169" width="2.75" style="53" customWidth="1"/>
    <col min="7170" max="7170" width="20.875" style="53" customWidth="1"/>
    <col min="7171" max="7171" width="23.125" style="53" customWidth="1"/>
    <col min="7172" max="7172" width="15.125" style="53" customWidth="1"/>
    <col min="7173" max="7173" width="21.625" style="53" customWidth="1"/>
    <col min="7174" max="7174" width="9.75" style="53" customWidth="1"/>
    <col min="7175" max="7175" width="8.25" style="53" customWidth="1"/>
    <col min="7176" max="7176" width="8" style="53" customWidth="1"/>
    <col min="7177" max="7177" width="4.5" style="53" customWidth="1"/>
    <col min="7178" max="7178" width="6.75" style="53" customWidth="1"/>
    <col min="7179" max="7179" width="5.375" style="53" customWidth="1"/>
    <col min="7180" max="7180" width="6" style="53" customWidth="1"/>
    <col min="7181" max="7424" width="9" style="53"/>
    <col min="7425" max="7425" width="2.75" style="53" customWidth="1"/>
    <col min="7426" max="7426" width="20.875" style="53" customWidth="1"/>
    <col min="7427" max="7427" width="23.125" style="53" customWidth="1"/>
    <col min="7428" max="7428" width="15.125" style="53" customWidth="1"/>
    <col min="7429" max="7429" width="21.625" style="53" customWidth="1"/>
    <col min="7430" max="7430" width="9.75" style="53" customWidth="1"/>
    <col min="7431" max="7431" width="8.25" style="53" customWidth="1"/>
    <col min="7432" max="7432" width="8" style="53" customWidth="1"/>
    <col min="7433" max="7433" width="4.5" style="53" customWidth="1"/>
    <col min="7434" max="7434" width="6.75" style="53" customWidth="1"/>
    <col min="7435" max="7435" width="5.375" style="53" customWidth="1"/>
    <col min="7436" max="7436" width="6" style="53" customWidth="1"/>
    <col min="7437" max="7680" width="9" style="53"/>
    <col min="7681" max="7681" width="2.75" style="53" customWidth="1"/>
    <col min="7682" max="7682" width="20.875" style="53" customWidth="1"/>
    <col min="7683" max="7683" width="23.125" style="53" customWidth="1"/>
    <col min="7684" max="7684" width="15.125" style="53" customWidth="1"/>
    <col min="7685" max="7685" width="21.625" style="53" customWidth="1"/>
    <col min="7686" max="7686" width="9.75" style="53" customWidth="1"/>
    <col min="7687" max="7687" width="8.25" style="53" customWidth="1"/>
    <col min="7688" max="7688" width="8" style="53" customWidth="1"/>
    <col min="7689" max="7689" width="4.5" style="53" customWidth="1"/>
    <col min="7690" max="7690" width="6.75" style="53" customWidth="1"/>
    <col min="7691" max="7691" width="5.375" style="53" customWidth="1"/>
    <col min="7692" max="7692" width="6" style="53" customWidth="1"/>
    <col min="7693" max="7936" width="9" style="53"/>
    <col min="7937" max="7937" width="2.75" style="53" customWidth="1"/>
    <col min="7938" max="7938" width="20.875" style="53" customWidth="1"/>
    <col min="7939" max="7939" width="23.125" style="53" customWidth="1"/>
    <col min="7940" max="7940" width="15.125" style="53" customWidth="1"/>
    <col min="7941" max="7941" width="21.625" style="53" customWidth="1"/>
    <col min="7942" max="7942" width="9.75" style="53" customWidth="1"/>
    <col min="7943" max="7943" width="8.25" style="53" customWidth="1"/>
    <col min="7944" max="7944" width="8" style="53" customWidth="1"/>
    <col min="7945" max="7945" width="4.5" style="53" customWidth="1"/>
    <col min="7946" max="7946" width="6.75" style="53" customWidth="1"/>
    <col min="7947" max="7947" width="5.375" style="53" customWidth="1"/>
    <col min="7948" max="7948" width="6" style="53" customWidth="1"/>
    <col min="7949" max="8192" width="9" style="53"/>
    <col min="8193" max="8193" width="2.75" style="53" customWidth="1"/>
    <col min="8194" max="8194" width="20.875" style="53" customWidth="1"/>
    <col min="8195" max="8195" width="23.125" style="53" customWidth="1"/>
    <col min="8196" max="8196" width="15.125" style="53" customWidth="1"/>
    <col min="8197" max="8197" width="21.625" style="53" customWidth="1"/>
    <col min="8198" max="8198" width="9.75" style="53" customWidth="1"/>
    <col min="8199" max="8199" width="8.25" style="53" customWidth="1"/>
    <col min="8200" max="8200" width="8" style="53" customWidth="1"/>
    <col min="8201" max="8201" width="4.5" style="53" customWidth="1"/>
    <col min="8202" max="8202" width="6.75" style="53" customWidth="1"/>
    <col min="8203" max="8203" width="5.375" style="53" customWidth="1"/>
    <col min="8204" max="8204" width="6" style="53" customWidth="1"/>
    <col min="8205" max="8448" width="9" style="53"/>
    <col min="8449" max="8449" width="2.75" style="53" customWidth="1"/>
    <col min="8450" max="8450" width="20.875" style="53" customWidth="1"/>
    <col min="8451" max="8451" width="23.125" style="53" customWidth="1"/>
    <col min="8452" max="8452" width="15.125" style="53" customWidth="1"/>
    <col min="8453" max="8453" width="21.625" style="53" customWidth="1"/>
    <col min="8454" max="8454" width="9.75" style="53" customWidth="1"/>
    <col min="8455" max="8455" width="8.25" style="53" customWidth="1"/>
    <col min="8456" max="8456" width="8" style="53" customWidth="1"/>
    <col min="8457" max="8457" width="4.5" style="53" customWidth="1"/>
    <col min="8458" max="8458" width="6.75" style="53" customWidth="1"/>
    <col min="8459" max="8459" width="5.375" style="53" customWidth="1"/>
    <col min="8460" max="8460" width="6" style="53" customWidth="1"/>
    <col min="8461" max="8704" width="9" style="53"/>
    <col min="8705" max="8705" width="2.75" style="53" customWidth="1"/>
    <col min="8706" max="8706" width="20.875" style="53" customWidth="1"/>
    <col min="8707" max="8707" width="23.125" style="53" customWidth="1"/>
    <col min="8708" max="8708" width="15.125" style="53" customWidth="1"/>
    <col min="8709" max="8709" width="21.625" style="53" customWidth="1"/>
    <col min="8710" max="8710" width="9.75" style="53" customWidth="1"/>
    <col min="8711" max="8711" width="8.25" style="53" customWidth="1"/>
    <col min="8712" max="8712" width="8" style="53" customWidth="1"/>
    <col min="8713" max="8713" width="4.5" style="53" customWidth="1"/>
    <col min="8714" max="8714" width="6.75" style="53" customWidth="1"/>
    <col min="8715" max="8715" width="5.375" style="53" customWidth="1"/>
    <col min="8716" max="8716" width="6" style="53" customWidth="1"/>
    <col min="8717" max="8960" width="9" style="53"/>
    <col min="8961" max="8961" width="2.75" style="53" customWidth="1"/>
    <col min="8962" max="8962" width="20.875" style="53" customWidth="1"/>
    <col min="8963" max="8963" width="23.125" style="53" customWidth="1"/>
    <col min="8964" max="8964" width="15.125" style="53" customWidth="1"/>
    <col min="8965" max="8965" width="21.625" style="53" customWidth="1"/>
    <col min="8966" max="8966" width="9.75" style="53" customWidth="1"/>
    <col min="8967" max="8967" width="8.25" style="53" customWidth="1"/>
    <col min="8968" max="8968" width="8" style="53" customWidth="1"/>
    <col min="8969" max="8969" width="4.5" style="53" customWidth="1"/>
    <col min="8970" max="8970" width="6.75" style="53" customWidth="1"/>
    <col min="8971" max="8971" width="5.375" style="53" customWidth="1"/>
    <col min="8972" max="8972" width="6" style="53" customWidth="1"/>
    <col min="8973" max="9216" width="9" style="53"/>
    <col min="9217" max="9217" width="2.75" style="53" customWidth="1"/>
    <col min="9218" max="9218" width="20.875" style="53" customWidth="1"/>
    <col min="9219" max="9219" width="23.125" style="53" customWidth="1"/>
    <col min="9220" max="9220" width="15.125" style="53" customWidth="1"/>
    <col min="9221" max="9221" width="21.625" style="53" customWidth="1"/>
    <col min="9222" max="9222" width="9.75" style="53" customWidth="1"/>
    <col min="9223" max="9223" width="8.25" style="53" customWidth="1"/>
    <col min="9224" max="9224" width="8" style="53" customWidth="1"/>
    <col min="9225" max="9225" width="4.5" style="53" customWidth="1"/>
    <col min="9226" max="9226" width="6.75" style="53" customWidth="1"/>
    <col min="9227" max="9227" width="5.375" style="53" customWidth="1"/>
    <col min="9228" max="9228" width="6" style="53" customWidth="1"/>
    <col min="9229" max="9472" width="9" style="53"/>
    <col min="9473" max="9473" width="2.75" style="53" customWidth="1"/>
    <col min="9474" max="9474" width="20.875" style="53" customWidth="1"/>
    <col min="9475" max="9475" width="23.125" style="53" customWidth="1"/>
    <col min="9476" max="9476" width="15.125" style="53" customWidth="1"/>
    <col min="9477" max="9477" width="21.625" style="53" customWidth="1"/>
    <col min="9478" max="9478" width="9.75" style="53" customWidth="1"/>
    <col min="9479" max="9479" width="8.25" style="53" customWidth="1"/>
    <col min="9480" max="9480" width="8" style="53" customWidth="1"/>
    <col min="9481" max="9481" width="4.5" style="53" customWidth="1"/>
    <col min="9482" max="9482" width="6.75" style="53" customWidth="1"/>
    <col min="9483" max="9483" width="5.375" style="53" customWidth="1"/>
    <col min="9484" max="9484" width="6" style="53" customWidth="1"/>
    <col min="9485" max="9728" width="9" style="53"/>
    <col min="9729" max="9729" width="2.75" style="53" customWidth="1"/>
    <col min="9730" max="9730" width="20.875" style="53" customWidth="1"/>
    <col min="9731" max="9731" width="23.125" style="53" customWidth="1"/>
    <col min="9732" max="9732" width="15.125" style="53" customWidth="1"/>
    <col min="9733" max="9733" width="21.625" style="53" customWidth="1"/>
    <col min="9734" max="9734" width="9.75" style="53" customWidth="1"/>
    <col min="9735" max="9735" width="8.25" style="53" customWidth="1"/>
    <col min="9736" max="9736" width="8" style="53" customWidth="1"/>
    <col min="9737" max="9737" width="4.5" style="53" customWidth="1"/>
    <col min="9738" max="9738" width="6.75" style="53" customWidth="1"/>
    <col min="9739" max="9739" width="5.375" style="53" customWidth="1"/>
    <col min="9740" max="9740" width="6" style="53" customWidth="1"/>
    <col min="9741" max="9984" width="9" style="53"/>
    <col min="9985" max="9985" width="2.75" style="53" customWidth="1"/>
    <col min="9986" max="9986" width="20.875" style="53" customWidth="1"/>
    <col min="9987" max="9987" width="23.125" style="53" customWidth="1"/>
    <col min="9988" max="9988" width="15.125" style="53" customWidth="1"/>
    <col min="9989" max="9989" width="21.625" style="53" customWidth="1"/>
    <col min="9990" max="9990" width="9.75" style="53" customWidth="1"/>
    <col min="9991" max="9991" width="8.25" style="53" customWidth="1"/>
    <col min="9992" max="9992" width="8" style="53" customWidth="1"/>
    <col min="9993" max="9993" width="4.5" style="53" customWidth="1"/>
    <col min="9994" max="9994" width="6.75" style="53" customWidth="1"/>
    <col min="9995" max="9995" width="5.375" style="53" customWidth="1"/>
    <col min="9996" max="9996" width="6" style="53" customWidth="1"/>
    <col min="9997" max="10240" width="9" style="53"/>
    <col min="10241" max="10241" width="2.75" style="53" customWidth="1"/>
    <col min="10242" max="10242" width="20.875" style="53" customWidth="1"/>
    <col min="10243" max="10243" width="23.125" style="53" customWidth="1"/>
    <col min="10244" max="10244" width="15.125" style="53" customWidth="1"/>
    <col min="10245" max="10245" width="21.625" style="53" customWidth="1"/>
    <col min="10246" max="10246" width="9.75" style="53" customWidth="1"/>
    <col min="10247" max="10247" width="8.25" style="53" customWidth="1"/>
    <col min="10248" max="10248" width="8" style="53" customWidth="1"/>
    <col min="10249" max="10249" width="4.5" style="53" customWidth="1"/>
    <col min="10250" max="10250" width="6.75" style="53" customWidth="1"/>
    <col min="10251" max="10251" width="5.375" style="53" customWidth="1"/>
    <col min="10252" max="10252" width="6" style="53" customWidth="1"/>
    <col min="10253" max="10496" width="9" style="53"/>
    <col min="10497" max="10497" width="2.75" style="53" customWidth="1"/>
    <col min="10498" max="10498" width="20.875" style="53" customWidth="1"/>
    <col min="10499" max="10499" width="23.125" style="53" customWidth="1"/>
    <col min="10500" max="10500" width="15.125" style="53" customWidth="1"/>
    <col min="10501" max="10501" width="21.625" style="53" customWidth="1"/>
    <col min="10502" max="10502" width="9.75" style="53" customWidth="1"/>
    <col min="10503" max="10503" width="8.25" style="53" customWidth="1"/>
    <col min="10504" max="10504" width="8" style="53" customWidth="1"/>
    <col min="10505" max="10505" width="4.5" style="53" customWidth="1"/>
    <col min="10506" max="10506" width="6.75" style="53" customWidth="1"/>
    <col min="10507" max="10507" width="5.375" style="53" customWidth="1"/>
    <col min="10508" max="10508" width="6" style="53" customWidth="1"/>
    <col min="10509" max="10752" width="9" style="53"/>
    <col min="10753" max="10753" width="2.75" style="53" customWidth="1"/>
    <col min="10754" max="10754" width="20.875" style="53" customWidth="1"/>
    <col min="10755" max="10755" width="23.125" style="53" customWidth="1"/>
    <col min="10756" max="10756" width="15.125" style="53" customWidth="1"/>
    <col min="10757" max="10757" width="21.625" style="53" customWidth="1"/>
    <col min="10758" max="10758" width="9.75" style="53" customWidth="1"/>
    <col min="10759" max="10759" width="8.25" style="53" customWidth="1"/>
    <col min="10760" max="10760" width="8" style="53" customWidth="1"/>
    <col min="10761" max="10761" width="4.5" style="53" customWidth="1"/>
    <col min="10762" max="10762" width="6.75" style="53" customWidth="1"/>
    <col min="10763" max="10763" width="5.375" style="53" customWidth="1"/>
    <col min="10764" max="10764" width="6" style="53" customWidth="1"/>
    <col min="10765" max="11008" width="9" style="53"/>
    <col min="11009" max="11009" width="2.75" style="53" customWidth="1"/>
    <col min="11010" max="11010" width="20.875" style="53" customWidth="1"/>
    <col min="11011" max="11011" width="23.125" style="53" customWidth="1"/>
    <col min="11012" max="11012" width="15.125" style="53" customWidth="1"/>
    <col min="11013" max="11013" width="21.625" style="53" customWidth="1"/>
    <col min="11014" max="11014" width="9.75" style="53" customWidth="1"/>
    <col min="11015" max="11015" width="8.25" style="53" customWidth="1"/>
    <col min="11016" max="11016" width="8" style="53" customWidth="1"/>
    <col min="11017" max="11017" width="4.5" style="53" customWidth="1"/>
    <col min="11018" max="11018" width="6.75" style="53" customWidth="1"/>
    <col min="11019" max="11019" width="5.375" style="53" customWidth="1"/>
    <col min="11020" max="11020" width="6" style="53" customWidth="1"/>
    <col min="11021" max="11264" width="9" style="53"/>
    <col min="11265" max="11265" width="2.75" style="53" customWidth="1"/>
    <col min="11266" max="11266" width="20.875" style="53" customWidth="1"/>
    <col min="11267" max="11267" width="23.125" style="53" customWidth="1"/>
    <col min="11268" max="11268" width="15.125" style="53" customWidth="1"/>
    <col min="11269" max="11269" width="21.625" style="53" customWidth="1"/>
    <col min="11270" max="11270" width="9.75" style="53" customWidth="1"/>
    <col min="11271" max="11271" width="8.25" style="53" customWidth="1"/>
    <col min="11272" max="11272" width="8" style="53" customWidth="1"/>
    <col min="11273" max="11273" width="4.5" style="53" customWidth="1"/>
    <col min="11274" max="11274" width="6.75" style="53" customWidth="1"/>
    <col min="11275" max="11275" width="5.375" style="53" customWidth="1"/>
    <col min="11276" max="11276" width="6" style="53" customWidth="1"/>
    <col min="11277" max="11520" width="9" style="53"/>
    <col min="11521" max="11521" width="2.75" style="53" customWidth="1"/>
    <col min="11522" max="11522" width="20.875" style="53" customWidth="1"/>
    <col min="11523" max="11523" width="23.125" style="53" customWidth="1"/>
    <col min="11524" max="11524" width="15.125" style="53" customWidth="1"/>
    <col min="11525" max="11525" width="21.625" style="53" customWidth="1"/>
    <col min="11526" max="11526" width="9.75" style="53" customWidth="1"/>
    <col min="11527" max="11527" width="8.25" style="53" customWidth="1"/>
    <col min="11528" max="11528" width="8" style="53" customWidth="1"/>
    <col min="11529" max="11529" width="4.5" style="53" customWidth="1"/>
    <col min="11530" max="11530" width="6.75" style="53" customWidth="1"/>
    <col min="11531" max="11531" width="5.375" style="53" customWidth="1"/>
    <col min="11532" max="11532" width="6" style="53" customWidth="1"/>
    <col min="11533" max="11776" width="9" style="53"/>
    <col min="11777" max="11777" width="2.75" style="53" customWidth="1"/>
    <col min="11778" max="11778" width="20.875" style="53" customWidth="1"/>
    <col min="11779" max="11779" width="23.125" style="53" customWidth="1"/>
    <col min="11780" max="11780" width="15.125" style="53" customWidth="1"/>
    <col min="11781" max="11781" width="21.625" style="53" customWidth="1"/>
    <col min="11782" max="11782" width="9.75" style="53" customWidth="1"/>
    <col min="11783" max="11783" width="8.25" style="53" customWidth="1"/>
    <col min="11784" max="11784" width="8" style="53" customWidth="1"/>
    <col min="11785" max="11785" width="4.5" style="53" customWidth="1"/>
    <col min="11786" max="11786" width="6.75" style="53" customWidth="1"/>
    <col min="11787" max="11787" width="5.375" style="53" customWidth="1"/>
    <col min="11788" max="11788" width="6" style="53" customWidth="1"/>
    <col min="11789" max="12032" width="9" style="53"/>
    <col min="12033" max="12033" width="2.75" style="53" customWidth="1"/>
    <col min="12034" max="12034" width="20.875" style="53" customWidth="1"/>
    <col min="12035" max="12035" width="23.125" style="53" customWidth="1"/>
    <col min="12036" max="12036" width="15.125" style="53" customWidth="1"/>
    <col min="12037" max="12037" width="21.625" style="53" customWidth="1"/>
    <col min="12038" max="12038" width="9.75" style="53" customWidth="1"/>
    <col min="12039" max="12039" width="8.25" style="53" customWidth="1"/>
    <col min="12040" max="12040" width="8" style="53" customWidth="1"/>
    <col min="12041" max="12041" width="4.5" style="53" customWidth="1"/>
    <col min="12042" max="12042" width="6.75" style="53" customWidth="1"/>
    <col min="12043" max="12043" width="5.375" style="53" customWidth="1"/>
    <col min="12044" max="12044" width="6" style="53" customWidth="1"/>
    <col min="12045" max="12288" width="9" style="53"/>
    <col min="12289" max="12289" width="2.75" style="53" customWidth="1"/>
    <col min="12290" max="12290" width="20.875" style="53" customWidth="1"/>
    <col min="12291" max="12291" width="23.125" style="53" customWidth="1"/>
    <col min="12292" max="12292" width="15.125" style="53" customWidth="1"/>
    <col min="12293" max="12293" width="21.625" style="53" customWidth="1"/>
    <col min="12294" max="12294" width="9.75" style="53" customWidth="1"/>
    <col min="12295" max="12295" width="8.25" style="53" customWidth="1"/>
    <col min="12296" max="12296" width="8" style="53" customWidth="1"/>
    <col min="12297" max="12297" width="4.5" style="53" customWidth="1"/>
    <col min="12298" max="12298" width="6.75" style="53" customWidth="1"/>
    <col min="12299" max="12299" width="5.375" style="53" customWidth="1"/>
    <col min="12300" max="12300" width="6" style="53" customWidth="1"/>
    <col min="12301" max="12544" width="9" style="53"/>
    <col min="12545" max="12545" width="2.75" style="53" customWidth="1"/>
    <col min="12546" max="12546" width="20.875" style="53" customWidth="1"/>
    <col min="12547" max="12547" width="23.125" style="53" customWidth="1"/>
    <col min="12548" max="12548" width="15.125" style="53" customWidth="1"/>
    <col min="12549" max="12549" width="21.625" style="53" customWidth="1"/>
    <col min="12550" max="12550" width="9.75" style="53" customWidth="1"/>
    <col min="12551" max="12551" width="8.25" style="53" customWidth="1"/>
    <col min="12552" max="12552" width="8" style="53" customWidth="1"/>
    <col min="12553" max="12553" width="4.5" style="53" customWidth="1"/>
    <col min="12554" max="12554" width="6.75" style="53" customWidth="1"/>
    <col min="12555" max="12555" width="5.375" style="53" customWidth="1"/>
    <col min="12556" max="12556" width="6" style="53" customWidth="1"/>
    <col min="12557" max="12800" width="9" style="53"/>
    <col min="12801" max="12801" width="2.75" style="53" customWidth="1"/>
    <col min="12802" max="12802" width="20.875" style="53" customWidth="1"/>
    <col min="12803" max="12803" width="23.125" style="53" customWidth="1"/>
    <col min="12804" max="12804" width="15.125" style="53" customWidth="1"/>
    <col min="12805" max="12805" width="21.625" style="53" customWidth="1"/>
    <col min="12806" max="12806" width="9.75" style="53" customWidth="1"/>
    <col min="12807" max="12807" width="8.25" style="53" customWidth="1"/>
    <col min="12808" max="12808" width="8" style="53" customWidth="1"/>
    <col min="12809" max="12809" width="4.5" style="53" customWidth="1"/>
    <col min="12810" max="12810" width="6.75" style="53" customWidth="1"/>
    <col min="12811" max="12811" width="5.375" style="53" customWidth="1"/>
    <col min="12812" max="12812" width="6" style="53" customWidth="1"/>
    <col min="12813" max="13056" width="9" style="53"/>
    <col min="13057" max="13057" width="2.75" style="53" customWidth="1"/>
    <col min="13058" max="13058" width="20.875" style="53" customWidth="1"/>
    <col min="13059" max="13059" width="23.125" style="53" customWidth="1"/>
    <col min="13060" max="13060" width="15.125" style="53" customWidth="1"/>
    <col min="13061" max="13061" width="21.625" style="53" customWidth="1"/>
    <col min="13062" max="13062" width="9.75" style="53" customWidth="1"/>
    <col min="13063" max="13063" width="8.25" style="53" customWidth="1"/>
    <col min="13064" max="13064" width="8" style="53" customWidth="1"/>
    <col min="13065" max="13065" width="4.5" style="53" customWidth="1"/>
    <col min="13066" max="13066" width="6.75" style="53" customWidth="1"/>
    <col min="13067" max="13067" width="5.375" style="53" customWidth="1"/>
    <col min="13068" max="13068" width="6" style="53" customWidth="1"/>
    <col min="13069" max="13312" width="9" style="53"/>
    <col min="13313" max="13313" width="2.75" style="53" customWidth="1"/>
    <col min="13314" max="13314" width="20.875" style="53" customWidth="1"/>
    <col min="13315" max="13315" width="23.125" style="53" customWidth="1"/>
    <col min="13316" max="13316" width="15.125" style="53" customWidth="1"/>
    <col min="13317" max="13317" width="21.625" style="53" customWidth="1"/>
    <col min="13318" max="13318" width="9.75" style="53" customWidth="1"/>
    <col min="13319" max="13319" width="8.25" style="53" customWidth="1"/>
    <col min="13320" max="13320" width="8" style="53" customWidth="1"/>
    <col min="13321" max="13321" width="4.5" style="53" customWidth="1"/>
    <col min="13322" max="13322" width="6.75" style="53" customWidth="1"/>
    <col min="13323" max="13323" width="5.375" style="53" customWidth="1"/>
    <col min="13324" max="13324" width="6" style="53" customWidth="1"/>
    <col min="13325" max="13568" width="9" style="53"/>
    <col min="13569" max="13569" width="2.75" style="53" customWidth="1"/>
    <col min="13570" max="13570" width="20.875" style="53" customWidth="1"/>
    <col min="13571" max="13571" width="23.125" style="53" customWidth="1"/>
    <col min="13572" max="13572" width="15.125" style="53" customWidth="1"/>
    <col min="13573" max="13573" width="21.625" style="53" customWidth="1"/>
    <col min="13574" max="13574" width="9.75" style="53" customWidth="1"/>
    <col min="13575" max="13575" width="8.25" style="53" customWidth="1"/>
    <col min="13576" max="13576" width="8" style="53" customWidth="1"/>
    <col min="13577" max="13577" width="4.5" style="53" customWidth="1"/>
    <col min="13578" max="13578" width="6.75" style="53" customWidth="1"/>
    <col min="13579" max="13579" width="5.375" style="53" customWidth="1"/>
    <col min="13580" max="13580" width="6" style="53" customWidth="1"/>
    <col min="13581" max="13824" width="9" style="53"/>
    <col min="13825" max="13825" width="2.75" style="53" customWidth="1"/>
    <col min="13826" max="13826" width="20.875" style="53" customWidth="1"/>
    <col min="13827" max="13827" width="23.125" style="53" customWidth="1"/>
    <col min="13828" max="13828" width="15.125" style="53" customWidth="1"/>
    <col min="13829" max="13829" width="21.625" style="53" customWidth="1"/>
    <col min="13830" max="13830" width="9.75" style="53" customWidth="1"/>
    <col min="13831" max="13831" width="8.25" style="53" customWidth="1"/>
    <col min="13832" max="13832" width="8" style="53" customWidth="1"/>
    <col min="13833" max="13833" width="4.5" style="53" customWidth="1"/>
    <col min="13834" max="13834" width="6.75" style="53" customWidth="1"/>
    <col min="13835" max="13835" width="5.375" style="53" customWidth="1"/>
    <col min="13836" max="13836" width="6" style="53" customWidth="1"/>
    <col min="13837" max="14080" width="9" style="53"/>
    <col min="14081" max="14081" width="2.75" style="53" customWidth="1"/>
    <col min="14082" max="14082" width="20.875" style="53" customWidth="1"/>
    <col min="14083" max="14083" width="23.125" style="53" customWidth="1"/>
    <col min="14084" max="14084" width="15.125" style="53" customWidth="1"/>
    <col min="14085" max="14085" width="21.625" style="53" customWidth="1"/>
    <col min="14086" max="14086" width="9.75" style="53" customWidth="1"/>
    <col min="14087" max="14087" width="8.25" style="53" customWidth="1"/>
    <col min="14088" max="14088" width="8" style="53" customWidth="1"/>
    <col min="14089" max="14089" width="4.5" style="53" customWidth="1"/>
    <col min="14090" max="14090" width="6.75" style="53" customWidth="1"/>
    <col min="14091" max="14091" width="5.375" style="53" customWidth="1"/>
    <col min="14092" max="14092" width="6" style="53" customWidth="1"/>
    <col min="14093" max="14336" width="9" style="53"/>
    <col min="14337" max="14337" width="2.75" style="53" customWidth="1"/>
    <col min="14338" max="14338" width="20.875" style="53" customWidth="1"/>
    <col min="14339" max="14339" width="23.125" style="53" customWidth="1"/>
    <col min="14340" max="14340" width="15.125" style="53" customWidth="1"/>
    <col min="14341" max="14341" width="21.625" style="53" customWidth="1"/>
    <col min="14342" max="14342" width="9.75" style="53" customWidth="1"/>
    <col min="14343" max="14343" width="8.25" style="53" customWidth="1"/>
    <col min="14344" max="14344" width="8" style="53" customWidth="1"/>
    <col min="14345" max="14345" width="4.5" style="53" customWidth="1"/>
    <col min="14346" max="14346" width="6.75" style="53" customWidth="1"/>
    <col min="14347" max="14347" width="5.375" style="53" customWidth="1"/>
    <col min="14348" max="14348" width="6" style="53" customWidth="1"/>
    <col min="14349" max="14592" width="9" style="53"/>
    <col min="14593" max="14593" width="2.75" style="53" customWidth="1"/>
    <col min="14594" max="14594" width="20.875" style="53" customWidth="1"/>
    <col min="14595" max="14595" width="23.125" style="53" customWidth="1"/>
    <col min="14596" max="14596" width="15.125" style="53" customWidth="1"/>
    <col min="14597" max="14597" width="21.625" style="53" customWidth="1"/>
    <col min="14598" max="14598" width="9.75" style="53" customWidth="1"/>
    <col min="14599" max="14599" width="8.25" style="53" customWidth="1"/>
    <col min="14600" max="14600" width="8" style="53" customWidth="1"/>
    <col min="14601" max="14601" width="4.5" style="53" customWidth="1"/>
    <col min="14602" max="14602" width="6.75" style="53" customWidth="1"/>
    <col min="14603" max="14603" width="5.375" style="53" customWidth="1"/>
    <col min="14604" max="14604" width="6" style="53" customWidth="1"/>
    <col min="14605" max="14848" width="9" style="53"/>
    <col min="14849" max="14849" width="2.75" style="53" customWidth="1"/>
    <col min="14850" max="14850" width="20.875" style="53" customWidth="1"/>
    <col min="14851" max="14851" width="23.125" style="53" customWidth="1"/>
    <col min="14852" max="14852" width="15.125" style="53" customWidth="1"/>
    <col min="14853" max="14853" width="21.625" style="53" customWidth="1"/>
    <col min="14854" max="14854" width="9.75" style="53" customWidth="1"/>
    <col min="14855" max="14855" width="8.25" style="53" customWidth="1"/>
    <col min="14856" max="14856" width="8" style="53" customWidth="1"/>
    <col min="14857" max="14857" width="4.5" style="53" customWidth="1"/>
    <col min="14858" max="14858" width="6.75" style="53" customWidth="1"/>
    <col min="14859" max="14859" width="5.375" style="53" customWidth="1"/>
    <col min="14860" max="14860" width="6" style="53" customWidth="1"/>
    <col min="14861" max="15104" width="9" style="53"/>
    <col min="15105" max="15105" width="2.75" style="53" customWidth="1"/>
    <col min="15106" max="15106" width="20.875" style="53" customWidth="1"/>
    <col min="15107" max="15107" width="23.125" style="53" customWidth="1"/>
    <col min="15108" max="15108" width="15.125" style="53" customWidth="1"/>
    <col min="15109" max="15109" width="21.625" style="53" customWidth="1"/>
    <col min="15110" max="15110" width="9.75" style="53" customWidth="1"/>
    <col min="15111" max="15111" width="8.25" style="53" customWidth="1"/>
    <col min="15112" max="15112" width="8" style="53" customWidth="1"/>
    <col min="15113" max="15113" width="4.5" style="53" customWidth="1"/>
    <col min="15114" max="15114" width="6.75" style="53" customWidth="1"/>
    <col min="15115" max="15115" width="5.375" style="53" customWidth="1"/>
    <col min="15116" max="15116" width="6" style="53" customWidth="1"/>
    <col min="15117" max="15360" width="9" style="53"/>
    <col min="15361" max="15361" width="2.75" style="53" customWidth="1"/>
    <col min="15362" max="15362" width="20.875" style="53" customWidth="1"/>
    <col min="15363" max="15363" width="23.125" style="53" customWidth="1"/>
    <col min="15364" max="15364" width="15.125" style="53" customWidth="1"/>
    <col min="15365" max="15365" width="21.625" style="53" customWidth="1"/>
    <col min="15366" max="15366" width="9.75" style="53" customWidth="1"/>
    <col min="15367" max="15367" width="8.25" style="53" customWidth="1"/>
    <col min="15368" max="15368" width="8" style="53" customWidth="1"/>
    <col min="15369" max="15369" width="4.5" style="53" customWidth="1"/>
    <col min="15370" max="15370" width="6.75" style="53" customWidth="1"/>
    <col min="15371" max="15371" width="5.375" style="53" customWidth="1"/>
    <col min="15372" max="15372" width="6" style="53" customWidth="1"/>
    <col min="15373" max="15616" width="9" style="53"/>
    <col min="15617" max="15617" width="2.75" style="53" customWidth="1"/>
    <col min="15618" max="15618" width="20.875" style="53" customWidth="1"/>
    <col min="15619" max="15619" width="23.125" style="53" customWidth="1"/>
    <col min="15620" max="15620" width="15.125" style="53" customWidth="1"/>
    <col min="15621" max="15621" width="21.625" style="53" customWidth="1"/>
    <col min="15622" max="15622" width="9.75" style="53" customWidth="1"/>
    <col min="15623" max="15623" width="8.25" style="53" customWidth="1"/>
    <col min="15624" max="15624" width="8" style="53" customWidth="1"/>
    <col min="15625" max="15625" width="4.5" style="53" customWidth="1"/>
    <col min="15626" max="15626" width="6.75" style="53" customWidth="1"/>
    <col min="15627" max="15627" width="5.375" style="53" customWidth="1"/>
    <col min="15628" max="15628" width="6" style="53" customWidth="1"/>
    <col min="15629" max="15872" width="9" style="53"/>
    <col min="15873" max="15873" width="2.75" style="53" customWidth="1"/>
    <col min="15874" max="15874" width="20.875" style="53" customWidth="1"/>
    <col min="15875" max="15875" width="23.125" style="53" customWidth="1"/>
    <col min="15876" max="15876" width="15.125" style="53" customWidth="1"/>
    <col min="15877" max="15877" width="21.625" style="53" customWidth="1"/>
    <col min="15878" max="15878" width="9.75" style="53" customWidth="1"/>
    <col min="15879" max="15879" width="8.25" style="53" customWidth="1"/>
    <col min="15880" max="15880" width="8" style="53" customWidth="1"/>
    <col min="15881" max="15881" width="4.5" style="53" customWidth="1"/>
    <col min="15882" max="15882" width="6.75" style="53" customWidth="1"/>
    <col min="15883" max="15883" width="5.375" style="53" customWidth="1"/>
    <col min="15884" max="15884" width="6" style="53" customWidth="1"/>
    <col min="15885" max="16128" width="9" style="53"/>
    <col min="16129" max="16129" width="2.75" style="53" customWidth="1"/>
    <col min="16130" max="16130" width="20.875" style="53" customWidth="1"/>
    <col min="16131" max="16131" width="23.125" style="53" customWidth="1"/>
    <col min="16132" max="16132" width="15.125" style="53" customWidth="1"/>
    <col min="16133" max="16133" width="21.625" style="53" customWidth="1"/>
    <col min="16134" max="16134" width="9.75" style="53" customWidth="1"/>
    <col min="16135" max="16135" width="8.25" style="53" customWidth="1"/>
    <col min="16136" max="16136" width="8" style="53" customWidth="1"/>
    <col min="16137" max="16137" width="4.5" style="53" customWidth="1"/>
    <col min="16138" max="16138" width="6.75" style="53" customWidth="1"/>
    <col min="16139" max="16139" width="5.375" style="53" customWidth="1"/>
    <col min="16140" max="16140" width="6" style="53" customWidth="1"/>
    <col min="16141" max="16384" width="9" style="53"/>
  </cols>
  <sheetData>
    <row r="1" spans="1:9" ht="24" customHeight="1">
      <c r="A1" s="949" t="s">
        <v>531</v>
      </c>
      <c r="B1" s="949"/>
      <c r="C1" s="949"/>
      <c r="D1" s="949"/>
      <c r="E1" s="949"/>
      <c r="F1" s="949"/>
      <c r="G1" s="949"/>
      <c r="H1" s="949"/>
      <c r="I1" s="949"/>
    </row>
    <row r="3" spans="1:9">
      <c r="A3" s="75" t="s">
        <v>532</v>
      </c>
      <c r="B3" s="302"/>
      <c r="C3" s="303"/>
    </row>
    <row r="4" spans="1:9">
      <c r="A4" s="54" t="s">
        <v>533</v>
      </c>
    </row>
    <row r="5" spans="1:9" ht="12.75">
      <c r="A5" s="151" t="s">
        <v>534</v>
      </c>
      <c r="B5" s="304"/>
      <c r="C5" s="305" t="s">
        <v>535</v>
      </c>
      <c r="D5" s="305">
        <f>D23/C23*100</f>
        <v>0</v>
      </c>
      <c r="E5" s="53"/>
    </row>
    <row r="6" spans="1:9" ht="15" customHeight="1">
      <c r="A6" s="306" t="s">
        <v>64</v>
      </c>
      <c r="B6" s="307" t="s">
        <v>536</v>
      </c>
      <c r="C6" s="308" t="s">
        <v>537</v>
      </c>
      <c r="D6" s="309" t="s">
        <v>538</v>
      </c>
      <c r="E6" s="53"/>
    </row>
    <row r="7" spans="1:9" ht="15" customHeight="1">
      <c r="A7" s="310">
        <v>1</v>
      </c>
      <c r="B7" s="311" t="s">
        <v>384</v>
      </c>
      <c r="C7" s="142" t="s">
        <v>539</v>
      </c>
      <c r="D7" s="142" t="s">
        <v>539</v>
      </c>
      <c r="E7" s="53"/>
    </row>
    <row r="8" spans="1:9" ht="15" customHeight="1">
      <c r="A8" s="310">
        <v>2</v>
      </c>
      <c r="B8" s="311" t="s">
        <v>385</v>
      </c>
      <c r="C8" s="142">
        <f>C12</f>
        <v>59</v>
      </c>
      <c r="D8" s="312"/>
      <c r="E8" s="53"/>
    </row>
    <row r="9" spans="1:9" ht="15" customHeight="1">
      <c r="A9" s="310"/>
      <c r="B9" s="313" t="s">
        <v>540</v>
      </c>
      <c r="C9" s="314">
        <f>IF(需求!I27="",需求!H16+需求!I16,需求!H27+需求!I27)</f>
        <v>59</v>
      </c>
      <c r="D9" s="142" t="s">
        <v>539</v>
      </c>
      <c r="E9" s="53"/>
    </row>
    <row r="10" spans="1:9" ht="15" customHeight="1">
      <c r="A10" s="310"/>
      <c r="B10" s="313" t="s">
        <v>541</v>
      </c>
      <c r="C10" s="314">
        <f>IF(需求!I28="",需求!H17+需求!I17,需求!H28+需求!I28)</f>
        <v>59</v>
      </c>
      <c r="D10" s="142" t="s">
        <v>539</v>
      </c>
      <c r="E10" s="53"/>
    </row>
    <row r="11" spans="1:9" ht="15" customHeight="1">
      <c r="A11" s="310"/>
      <c r="B11" s="313" t="s">
        <v>542</v>
      </c>
      <c r="C11" s="314">
        <f>IF(需求!I29="",需求!H18+需求!I18,需求!H29+需求!I29)</f>
        <v>59</v>
      </c>
      <c r="D11" s="142" t="s">
        <v>539</v>
      </c>
      <c r="E11" s="53"/>
    </row>
    <row r="12" spans="1:9" ht="15" customHeight="1">
      <c r="A12" s="310"/>
      <c r="B12" s="313" t="s">
        <v>543</v>
      </c>
      <c r="C12" s="314">
        <f>IF(需求!I30="",需求!H19+需求!I19,需求!H30+需求!I30)</f>
        <v>59</v>
      </c>
      <c r="D12" s="142" t="s">
        <v>539</v>
      </c>
      <c r="E12" s="53"/>
    </row>
    <row r="13" spans="1:9" ht="15" customHeight="1">
      <c r="A13" s="310">
        <v>3</v>
      </c>
      <c r="B13" s="311" t="s">
        <v>393</v>
      </c>
      <c r="C13" s="142">
        <f>C17</f>
        <v>0</v>
      </c>
      <c r="D13" s="312"/>
      <c r="E13" s="53"/>
    </row>
    <row r="14" spans="1:9" ht="15" customHeight="1">
      <c r="A14" s="310"/>
      <c r="B14" s="313" t="s">
        <v>544</v>
      </c>
      <c r="C14" s="314">
        <f>IF(需求!I52="",需求!H41+需求!I41,需求!H52+需求!I52)</f>
        <v>0</v>
      </c>
      <c r="D14" s="142" t="s">
        <v>539</v>
      </c>
      <c r="E14" s="53"/>
    </row>
    <row r="15" spans="1:9" ht="15" customHeight="1">
      <c r="A15" s="310"/>
      <c r="B15" s="313" t="s">
        <v>545</v>
      </c>
      <c r="C15" s="314">
        <f>IF(需求!I53="",需求!H42+需求!I42,需求!H53+需求!I53)</f>
        <v>0</v>
      </c>
      <c r="D15" s="142" t="s">
        <v>539</v>
      </c>
      <c r="E15" s="53"/>
    </row>
    <row r="16" spans="1:9" ht="15" customHeight="1">
      <c r="A16" s="310"/>
      <c r="B16" s="313" t="s">
        <v>546</v>
      </c>
      <c r="C16" s="314">
        <f>IF(需求!I54="",需求!H43+需求!I43,需求!H54+需求!I54)</f>
        <v>0</v>
      </c>
      <c r="D16" s="142" t="s">
        <v>539</v>
      </c>
      <c r="E16" s="53"/>
    </row>
    <row r="17" spans="1:5" ht="15" customHeight="1">
      <c r="A17" s="310"/>
      <c r="B17" s="313" t="s">
        <v>547</v>
      </c>
      <c r="C17" s="314">
        <f>IF(需求!I55="",需求!H44+需求!I44,需求!H55+需求!I55)</f>
        <v>0</v>
      </c>
      <c r="D17" s="142" t="s">
        <v>539</v>
      </c>
      <c r="E17" s="53"/>
    </row>
    <row r="18" spans="1:5" ht="15" customHeight="1">
      <c r="A18" s="310">
        <v>4</v>
      </c>
      <c r="B18" s="311" t="s">
        <v>394</v>
      </c>
      <c r="C18" s="142">
        <f>C22</f>
        <v>0</v>
      </c>
      <c r="D18" s="312"/>
      <c r="E18" s="53"/>
    </row>
    <row r="19" spans="1:5" ht="15" customHeight="1">
      <c r="A19" s="315"/>
      <c r="B19" s="313" t="s">
        <v>548</v>
      </c>
      <c r="C19" s="314">
        <f>IF(需求!I78="",需求!H67+需求!I67,需求!H78+需求!I78)</f>
        <v>0</v>
      </c>
      <c r="D19" s="142" t="s">
        <v>539</v>
      </c>
      <c r="E19" s="53"/>
    </row>
    <row r="20" spans="1:5" ht="15" customHeight="1">
      <c r="A20" s="315"/>
      <c r="B20" s="313" t="s">
        <v>549</v>
      </c>
      <c r="C20" s="314">
        <f>IF(需求!I79="",需求!H68+需求!I68,需求!H79+需求!I79)</f>
        <v>0</v>
      </c>
      <c r="D20" s="142" t="s">
        <v>539</v>
      </c>
      <c r="E20" s="53"/>
    </row>
    <row r="21" spans="1:5" ht="15" customHeight="1">
      <c r="A21" s="315"/>
      <c r="B21" s="313" t="s">
        <v>550</v>
      </c>
      <c r="C21" s="314">
        <f>IF(需求!I80="",需求!H69+需求!I69,需求!H80+需求!I80)</f>
        <v>0</v>
      </c>
      <c r="D21" s="142" t="s">
        <v>539</v>
      </c>
      <c r="E21" s="53"/>
    </row>
    <row r="22" spans="1:5" ht="15" customHeight="1">
      <c r="A22" s="315"/>
      <c r="B22" s="313" t="s">
        <v>551</v>
      </c>
      <c r="C22" s="314">
        <f>IF(需求!I81="",需求!H70+需求!I70,需求!H81+需求!I81)</f>
        <v>0</v>
      </c>
      <c r="D22" s="142" t="s">
        <v>539</v>
      </c>
      <c r="E22" s="53"/>
    </row>
    <row r="23" spans="1:5" ht="15" customHeight="1">
      <c r="A23" s="316">
        <v>5</v>
      </c>
      <c r="B23" s="311" t="s">
        <v>386</v>
      </c>
      <c r="C23" s="142">
        <f>C8+C13+C18</f>
        <v>59</v>
      </c>
      <c r="D23" s="298">
        <f>D8+D13+D18</f>
        <v>0</v>
      </c>
      <c r="E23" s="53"/>
    </row>
    <row r="24" spans="1:5" ht="16.5" customHeight="1">
      <c r="A24" s="151"/>
      <c r="B24" s="317"/>
      <c r="E24" s="147"/>
    </row>
    <row r="25" spans="1:5" s="301" customFormat="1" ht="29.25" customHeight="1">
      <c r="A25" s="318"/>
      <c r="C25" s="318"/>
      <c r="D25" s="318"/>
      <c r="E25" s="318"/>
    </row>
    <row r="26" spans="1:5" s="55" customFormat="1">
      <c r="A26" s="319" t="s">
        <v>552</v>
      </c>
      <c r="B26" s="320"/>
      <c r="C26" s="147"/>
      <c r="D26" s="147"/>
      <c r="E26" s="147"/>
    </row>
    <row r="27" spans="1:5">
      <c r="A27" s="321" t="s">
        <v>553</v>
      </c>
    </row>
    <row r="28" spans="1:5" ht="13.5">
      <c r="A28" s="321" t="s">
        <v>554</v>
      </c>
      <c r="B28" s="256"/>
    </row>
    <row r="30" spans="1:5" ht="15" customHeight="1">
      <c r="A30" s="306" t="s">
        <v>64</v>
      </c>
      <c r="B30" s="98" t="s">
        <v>555</v>
      </c>
      <c r="C30" s="98" t="s">
        <v>556</v>
      </c>
      <c r="D30" s="322" t="s">
        <v>309</v>
      </c>
      <c r="E30" s="53"/>
    </row>
    <row r="31" spans="1:5" ht="15" customHeight="1">
      <c r="A31" s="323" t="s">
        <v>502</v>
      </c>
      <c r="B31" s="323">
        <f>C23</f>
        <v>59</v>
      </c>
      <c r="C31" s="323">
        <f>工作量分布!N14</f>
        <v>154</v>
      </c>
      <c r="D31" s="323">
        <f>B31/C31</f>
        <v>0.38311688311688313</v>
      </c>
      <c r="E31" s="53"/>
    </row>
    <row r="32" spans="1:5" ht="15" customHeight="1">
      <c r="A32" s="324" t="s">
        <v>385</v>
      </c>
      <c r="B32" s="323">
        <f>工作量分布!E15</f>
        <v>59</v>
      </c>
      <c r="C32" s="323">
        <f>工作量分布!F14</f>
        <v>144.125</v>
      </c>
      <c r="D32" s="323">
        <f>B32/C32</f>
        <v>0.40936686903729402</v>
      </c>
      <c r="E32" s="53"/>
    </row>
    <row r="33" spans="1:8">
      <c r="A33" s="324" t="s">
        <v>393</v>
      </c>
      <c r="B33" s="323">
        <f>工作量分布!G15</f>
        <v>0</v>
      </c>
      <c r="C33" s="323">
        <f>工作量分布!H14</f>
        <v>0</v>
      </c>
      <c r="D33" s="323" t="e">
        <f>B33/C33</f>
        <v>#DIV/0!</v>
      </c>
    </row>
    <row r="34" spans="1:8">
      <c r="A34" s="324" t="s">
        <v>394</v>
      </c>
      <c r="B34" s="323">
        <f>工作量分布!I15</f>
        <v>0</v>
      </c>
      <c r="C34" s="323">
        <f>工作量分布!J14</f>
        <v>0</v>
      </c>
      <c r="D34" s="323" t="e">
        <f>B34/C34</f>
        <v>#DIV/0!</v>
      </c>
    </row>
    <row r="37" spans="1:8">
      <c r="A37" s="319" t="s">
        <v>557</v>
      </c>
      <c r="B37" s="76"/>
      <c r="C37" s="147"/>
      <c r="D37" s="147"/>
      <c r="E37" s="147"/>
      <c r="F37" s="55"/>
      <c r="G37" s="55"/>
      <c r="H37" s="55"/>
    </row>
    <row r="38" spans="1:8">
      <c r="A38" s="325" t="s">
        <v>558</v>
      </c>
    </row>
    <row r="39" spans="1:8">
      <c r="A39" s="325" t="s">
        <v>559</v>
      </c>
    </row>
    <row r="41" spans="1:8" ht="12.75">
      <c r="A41" s="326" t="s">
        <v>64</v>
      </c>
      <c r="B41" s="327" t="s">
        <v>264</v>
      </c>
      <c r="C41" s="53"/>
      <c r="D41" s="53"/>
      <c r="E41" s="53"/>
    </row>
    <row r="42" spans="1:8" ht="15.75" customHeight="1">
      <c r="A42" s="140">
        <v>1</v>
      </c>
      <c r="B42" s="71"/>
      <c r="C42" s="53"/>
      <c r="D42" s="53"/>
      <c r="E42" s="53"/>
    </row>
    <row r="44" spans="1:8">
      <c r="E44" s="53"/>
    </row>
  </sheetData>
  <mergeCells count="1">
    <mergeCell ref="A1:I1"/>
  </mergeCells>
  <phoneticPr fontId="150" type="noConversion"/>
  <pageMargins left="0.75" right="0.75" top="1" bottom="0.81874999999999998" header="0.5" footer="0.5"/>
  <pageSetup paperSize="9" orientation="landscape"/>
  <headerFooter alignWithMargins="0"/>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7"/>
  </sheetPr>
  <dimension ref="A1:Q58"/>
  <sheetViews>
    <sheetView topLeftCell="I52" workbookViewId="0">
      <selection activeCell="W13" sqref="W13"/>
    </sheetView>
  </sheetViews>
  <sheetFormatPr defaultColWidth="9" defaultRowHeight="12"/>
  <cols>
    <col min="1" max="1" width="21" style="256" customWidth="1"/>
    <col min="2" max="2" width="14.625" style="257" customWidth="1"/>
    <col min="3" max="3" width="13.25" style="257" customWidth="1"/>
    <col min="4" max="4" width="15.25" style="257" customWidth="1"/>
    <col min="5" max="5" width="16.25" style="258" customWidth="1"/>
    <col min="6" max="6" width="20.125" style="258" customWidth="1"/>
    <col min="7" max="7" width="18.125" style="258" customWidth="1"/>
    <col min="8" max="8" width="11.375" style="53" customWidth="1"/>
    <col min="9" max="9" width="14.875" style="53" customWidth="1"/>
    <col min="10" max="11" width="12.375" style="53" customWidth="1"/>
    <col min="12" max="12" width="12.75" style="53" customWidth="1"/>
    <col min="13" max="13" width="15.375" style="53" customWidth="1"/>
    <col min="14" max="257" width="9" style="53"/>
    <col min="258" max="258" width="10.125" style="53" customWidth="1"/>
    <col min="259" max="260" width="11.875" style="53" customWidth="1"/>
    <col min="261" max="261" width="11" style="53" customWidth="1"/>
    <col min="262" max="262" width="11.125" style="53" customWidth="1"/>
    <col min="263" max="263" width="18.5" style="53" customWidth="1"/>
    <col min="264" max="264" width="18.125" style="53" customWidth="1"/>
    <col min="265" max="266" width="11.375" style="53" customWidth="1"/>
    <col min="267" max="267" width="12.375" style="53" customWidth="1"/>
    <col min="268" max="268" width="12.75" style="53" customWidth="1"/>
    <col min="269" max="269" width="15.375" style="53" customWidth="1"/>
    <col min="270" max="513" width="9" style="53"/>
    <col min="514" max="514" width="10.125" style="53" customWidth="1"/>
    <col min="515" max="516" width="11.875" style="53" customWidth="1"/>
    <col min="517" max="517" width="11" style="53" customWidth="1"/>
    <col min="518" max="518" width="11.125" style="53" customWidth="1"/>
    <col min="519" max="519" width="18.5" style="53" customWidth="1"/>
    <col min="520" max="520" width="18.125" style="53" customWidth="1"/>
    <col min="521" max="522" width="11.375" style="53" customWidth="1"/>
    <col min="523" max="523" width="12.375" style="53" customWidth="1"/>
    <col min="524" max="524" width="12.75" style="53" customWidth="1"/>
    <col min="525" max="525" width="15.375" style="53" customWidth="1"/>
    <col min="526" max="769" width="9" style="53"/>
    <col min="770" max="770" width="10.125" style="53" customWidth="1"/>
    <col min="771" max="772" width="11.875" style="53" customWidth="1"/>
    <col min="773" max="773" width="11" style="53" customWidth="1"/>
    <col min="774" max="774" width="11.125" style="53" customWidth="1"/>
    <col min="775" max="775" width="18.5" style="53" customWidth="1"/>
    <col min="776" max="776" width="18.125" style="53" customWidth="1"/>
    <col min="777" max="778" width="11.375" style="53" customWidth="1"/>
    <col min="779" max="779" width="12.375" style="53" customWidth="1"/>
    <col min="780" max="780" width="12.75" style="53" customWidth="1"/>
    <col min="781" max="781" width="15.375" style="53" customWidth="1"/>
    <col min="782" max="1025" width="9" style="53"/>
    <col min="1026" max="1026" width="10.125" style="53" customWidth="1"/>
    <col min="1027" max="1028" width="11.875" style="53" customWidth="1"/>
    <col min="1029" max="1029" width="11" style="53" customWidth="1"/>
    <col min="1030" max="1030" width="11.125" style="53" customWidth="1"/>
    <col min="1031" max="1031" width="18.5" style="53" customWidth="1"/>
    <col min="1032" max="1032" width="18.125" style="53" customWidth="1"/>
    <col min="1033" max="1034" width="11.375" style="53" customWidth="1"/>
    <col min="1035" max="1035" width="12.375" style="53" customWidth="1"/>
    <col min="1036" max="1036" width="12.75" style="53" customWidth="1"/>
    <col min="1037" max="1037" width="15.375" style="53" customWidth="1"/>
    <col min="1038" max="1281" width="9" style="53"/>
    <col min="1282" max="1282" width="10.125" style="53" customWidth="1"/>
    <col min="1283" max="1284" width="11.875" style="53" customWidth="1"/>
    <col min="1285" max="1285" width="11" style="53" customWidth="1"/>
    <col min="1286" max="1286" width="11.125" style="53" customWidth="1"/>
    <col min="1287" max="1287" width="18.5" style="53" customWidth="1"/>
    <col min="1288" max="1288" width="18.125" style="53" customWidth="1"/>
    <col min="1289" max="1290" width="11.375" style="53" customWidth="1"/>
    <col min="1291" max="1291" width="12.375" style="53" customWidth="1"/>
    <col min="1292" max="1292" width="12.75" style="53" customWidth="1"/>
    <col min="1293" max="1293" width="15.375" style="53" customWidth="1"/>
    <col min="1294" max="1537" width="9" style="53"/>
    <col min="1538" max="1538" width="10.125" style="53" customWidth="1"/>
    <col min="1539" max="1540" width="11.875" style="53" customWidth="1"/>
    <col min="1541" max="1541" width="11" style="53" customWidth="1"/>
    <col min="1542" max="1542" width="11.125" style="53" customWidth="1"/>
    <col min="1543" max="1543" width="18.5" style="53" customWidth="1"/>
    <col min="1544" max="1544" width="18.125" style="53" customWidth="1"/>
    <col min="1545" max="1546" width="11.375" style="53" customWidth="1"/>
    <col min="1547" max="1547" width="12.375" style="53" customWidth="1"/>
    <col min="1548" max="1548" width="12.75" style="53" customWidth="1"/>
    <col min="1549" max="1549" width="15.375" style="53" customWidth="1"/>
    <col min="1550" max="1793" width="9" style="53"/>
    <col min="1794" max="1794" width="10.125" style="53" customWidth="1"/>
    <col min="1795" max="1796" width="11.875" style="53" customWidth="1"/>
    <col min="1797" max="1797" width="11" style="53" customWidth="1"/>
    <col min="1798" max="1798" width="11.125" style="53" customWidth="1"/>
    <col min="1799" max="1799" width="18.5" style="53" customWidth="1"/>
    <col min="1800" max="1800" width="18.125" style="53" customWidth="1"/>
    <col min="1801" max="1802" width="11.375" style="53" customWidth="1"/>
    <col min="1803" max="1803" width="12.375" style="53" customWidth="1"/>
    <col min="1804" max="1804" width="12.75" style="53" customWidth="1"/>
    <col min="1805" max="1805" width="15.375" style="53" customWidth="1"/>
    <col min="1806" max="2049" width="9" style="53"/>
    <col min="2050" max="2050" width="10.125" style="53" customWidth="1"/>
    <col min="2051" max="2052" width="11.875" style="53" customWidth="1"/>
    <col min="2053" max="2053" width="11" style="53" customWidth="1"/>
    <col min="2054" max="2054" width="11.125" style="53" customWidth="1"/>
    <col min="2055" max="2055" width="18.5" style="53" customWidth="1"/>
    <col min="2056" max="2056" width="18.125" style="53" customWidth="1"/>
    <col min="2057" max="2058" width="11.375" style="53" customWidth="1"/>
    <col min="2059" max="2059" width="12.375" style="53" customWidth="1"/>
    <col min="2060" max="2060" width="12.75" style="53" customWidth="1"/>
    <col min="2061" max="2061" width="15.375" style="53" customWidth="1"/>
    <col min="2062" max="2305" width="9" style="53"/>
    <col min="2306" max="2306" width="10.125" style="53" customWidth="1"/>
    <col min="2307" max="2308" width="11.875" style="53" customWidth="1"/>
    <col min="2309" max="2309" width="11" style="53" customWidth="1"/>
    <col min="2310" max="2310" width="11.125" style="53" customWidth="1"/>
    <col min="2311" max="2311" width="18.5" style="53" customWidth="1"/>
    <col min="2312" max="2312" width="18.125" style="53" customWidth="1"/>
    <col min="2313" max="2314" width="11.375" style="53" customWidth="1"/>
    <col min="2315" max="2315" width="12.375" style="53" customWidth="1"/>
    <col min="2316" max="2316" width="12.75" style="53" customWidth="1"/>
    <col min="2317" max="2317" width="15.375" style="53" customWidth="1"/>
    <col min="2318" max="2561" width="9" style="53"/>
    <col min="2562" max="2562" width="10.125" style="53" customWidth="1"/>
    <col min="2563" max="2564" width="11.875" style="53" customWidth="1"/>
    <col min="2565" max="2565" width="11" style="53" customWidth="1"/>
    <col min="2566" max="2566" width="11.125" style="53" customWidth="1"/>
    <col min="2567" max="2567" width="18.5" style="53" customWidth="1"/>
    <col min="2568" max="2568" width="18.125" style="53" customWidth="1"/>
    <col min="2569" max="2570" width="11.375" style="53" customWidth="1"/>
    <col min="2571" max="2571" width="12.375" style="53" customWidth="1"/>
    <col min="2572" max="2572" width="12.75" style="53" customWidth="1"/>
    <col min="2573" max="2573" width="15.375" style="53" customWidth="1"/>
    <col min="2574" max="2817" width="9" style="53"/>
    <col min="2818" max="2818" width="10.125" style="53" customWidth="1"/>
    <col min="2819" max="2820" width="11.875" style="53" customWidth="1"/>
    <col min="2821" max="2821" width="11" style="53" customWidth="1"/>
    <col min="2822" max="2822" width="11.125" style="53" customWidth="1"/>
    <col min="2823" max="2823" width="18.5" style="53" customWidth="1"/>
    <col min="2824" max="2824" width="18.125" style="53" customWidth="1"/>
    <col min="2825" max="2826" width="11.375" style="53" customWidth="1"/>
    <col min="2827" max="2827" width="12.375" style="53" customWidth="1"/>
    <col min="2828" max="2828" width="12.75" style="53" customWidth="1"/>
    <col min="2829" max="2829" width="15.375" style="53" customWidth="1"/>
    <col min="2830" max="3073" width="9" style="53"/>
    <col min="3074" max="3074" width="10.125" style="53" customWidth="1"/>
    <col min="3075" max="3076" width="11.875" style="53" customWidth="1"/>
    <col min="3077" max="3077" width="11" style="53" customWidth="1"/>
    <col min="3078" max="3078" width="11.125" style="53" customWidth="1"/>
    <col min="3079" max="3079" width="18.5" style="53" customWidth="1"/>
    <col min="3080" max="3080" width="18.125" style="53" customWidth="1"/>
    <col min="3081" max="3082" width="11.375" style="53" customWidth="1"/>
    <col min="3083" max="3083" width="12.375" style="53" customWidth="1"/>
    <col min="3084" max="3084" width="12.75" style="53" customWidth="1"/>
    <col min="3085" max="3085" width="15.375" style="53" customWidth="1"/>
    <col min="3086" max="3329" width="9" style="53"/>
    <col min="3330" max="3330" width="10.125" style="53" customWidth="1"/>
    <col min="3331" max="3332" width="11.875" style="53" customWidth="1"/>
    <col min="3333" max="3333" width="11" style="53" customWidth="1"/>
    <col min="3334" max="3334" width="11.125" style="53" customWidth="1"/>
    <col min="3335" max="3335" width="18.5" style="53" customWidth="1"/>
    <col min="3336" max="3336" width="18.125" style="53" customWidth="1"/>
    <col min="3337" max="3338" width="11.375" style="53" customWidth="1"/>
    <col min="3339" max="3339" width="12.375" style="53" customWidth="1"/>
    <col min="3340" max="3340" width="12.75" style="53" customWidth="1"/>
    <col min="3341" max="3341" width="15.375" style="53" customWidth="1"/>
    <col min="3342" max="3585" width="9" style="53"/>
    <col min="3586" max="3586" width="10.125" style="53" customWidth="1"/>
    <col min="3587" max="3588" width="11.875" style="53" customWidth="1"/>
    <col min="3589" max="3589" width="11" style="53" customWidth="1"/>
    <col min="3590" max="3590" width="11.125" style="53" customWidth="1"/>
    <col min="3591" max="3591" width="18.5" style="53" customWidth="1"/>
    <col min="3592" max="3592" width="18.125" style="53" customWidth="1"/>
    <col min="3593" max="3594" width="11.375" style="53" customWidth="1"/>
    <col min="3595" max="3595" width="12.375" style="53" customWidth="1"/>
    <col min="3596" max="3596" width="12.75" style="53" customWidth="1"/>
    <col min="3597" max="3597" width="15.375" style="53" customWidth="1"/>
    <col min="3598" max="3841" width="9" style="53"/>
    <col min="3842" max="3842" width="10.125" style="53" customWidth="1"/>
    <col min="3843" max="3844" width="11.875" style="53" customWidth="1"/>
    <col min="3845" max="3845" width="11" style="53" customWidth="1"/>
    <col min="3846" max="3846" width="11.125" style="53" customWidth="1"/>
    <col min="3847" max="3847" width="18.5" style="53" customWidth="1"/>
    <col min="3848" max="3848" width="18.125" style="53" customWidth="1"/>
    <col min="3849" max="3850" width="11.375" style="53" customWidth="1"/>
    <col min="3851" max="3851" width="12.375" style="53" customWidth="1"/>
    <col min="3852" max="3852" width="12.75" style="53" customWidth="1"/>
    <col min="3853" max="3853" width="15.375" style="53" customWidth="1"/>
    <col min="3854" max="4097" width="9" style="53"/>
    <col min="4098" max="4098" width="10.125" style="53" customWidth="1"/>
    <col min="4099" max="4100" width="11.875" style="53" customWidth="1"/>
    <col min="4101" max="4101" width="11" style="53" customWidth="1"/>
    <col min="4102" max="4102" width="11.125" style="53" customWidth="1"/>
    <col min="4103" max="4103" width="18.5" style="53" customWidth="1"/>
    <col min="4104" max="4104" width="18.125" style="53" customWidth="1"/>
    <col min="4105" max="4106" width="11.375" style="53" customWidth="1"/>
    <col min="4107" max="4107" width="12.375" style="53" customWidth="1"/>
    <col min="4108" max="4108" width="12.75" style="53" customWidth="1"/>
    <col min="4109" max="4109" width="15.375" style="53" customWidth="1"/>
    <col min="4110" max="4353" width="9" style="53"/>
    <col min="4354" max="4354" width="10.125" style="53" customWidth="1"/>
    <col min="4355" max="4356" width="11.875" style="53" customWidth="1"/>
    <col min="4357" max="4357" width="11" style="53" customWidth="1"/>
    <col min="4358" max="4358" width="11.125" style="53" customWidth="1"/>
    <col min="4359" max="4359" width="18.5" style="53" customWidth="1"/>
    <col min="4360" max="4360" width="18.125" style="53" customWidth="1"/>
    <col min="4361" max="4362" width="11.375" style="53" customWidth="1"/>
    <col min="4363" max="4363" width="12.375" style="53" customWidth="1"/>
    <col min="4364" max="4364" width="12.75" style="53" customWidth="1"/>
    <col min="4365" max="4365" width="15.375" style="53" customWidth="1"/>
    <col min="4366" max="4609" width="9" style="53"/>
    <col min="4610" max="4610" width="10.125" style="53" customWidth="1"/>
    <col min="4611" max="4612" width="11.875" style="53" customWidth="1"/>
    <col min="4613" max="4613" width="11" style="53" customWidth="1"/>
    <col min="4614" max="4614" width="11.125" style="53" customWidth="1"/>
    <col min="4615" max="4615" width="18.5" style="53" customWidth="1"/>
    <col min="4616" max="4616" width="18.125" style="53" customWidth="1"/>
    <col min="4617" max="4618" width="11.375" style="53" customWidth="1"/>
    <col min="4619" max="4619" width="12.375" style="53" customWidth="1"/>
    <col min="4620" max="4620" width="12.75" style="53" customWidth="1"/>
    <col min="4621" max="4621" width="15.375" style="53" customWidth="1"/>
    <col min="4622" max="4865" width="9" style="53"/>
    <col min="4866" max="4866" width="10.125" style="53" customWidth="1"/>
    <col min="4867" max="4868" width="11.875" style="53" customWidth="1"/>
    <col min="4869" max="4869" width="11" style="53" customWidth="1"/>
    <col min="4870" max="4870" width="11.125" style="53" customWidth="1"/>
    <col min="4871" max="4871" width="18.5" style="53" customWidth="1"/>
    <col min="4872" max="4872" width="18.125" style="53" customWidth="1"/>
    <col min="4873" max="4874" width="11.375" style="53" customWidth="1"/>
    <col min="4875" max="4875" width="12.375" style="53" customWidth="1"/>
    <col min="4876" max="4876" width="12.75" style="53" customWidth="1"/>
    <col min="4877" max="4877" width="15.375" style="53" customWidth="1"/>
    <col min="4878" max="5121" width="9" style="53"/>
    <col min="5122" max="5122" width="10.125" style="53" customWidth="1"/>
    <col min="5123" max="5124" width="11.875" style="53" customWidth="1"/>
    <col min="5125" max="5125" width="11" style="53" customWidth="1"/>
    <col min="5126" max="5126" width="11.125" style="53" customWidth="1"/>
    <col min="5127" max="5127" width="18.5" style="53" customWidth="1"/>
    <col min="5128" max="5128" width="18.125" style="53" customWidth="1"/>
    <col min="5129" max="5130" width="11.375" style="53" customWidth="1"/>
    <col min="5131" max="5131" width="12.375" style="53" customWidth="1"/>
    <col min="5132" max="5132" width="12.75" style="53" customWidth="1"/>
    <col min="5133" max="5133" width="15.375" style="53" customWidth="1"/>
    <col min="5134" max="5377" width="9" style="53"/>
    <col min="5378" max="5378" width="10.125" style="53" customWidth="1"/>
    <col min="5379" max="5380" width="11.875" style="53" customWidth="1"/>
    <col min="5381" max="5381" width="11" style="53" customWidth="1"/>
    <col min="5382" max="5382" width="11.125" style="53" customWidth="1"/>
    <col min="5383" max="5383" width="18.5" style="53" customWidth="1"/>
    <col min="5384" max="5384" width="18.125" style="53" customWidth="1"/>
    <col min="5385" max="5386" width="11.375" style="53" customWidth="1"/>
    <col min="5387" max="5387" width="12.375" style="53" customWidth="1"/>
    <col min="5388" max="5388" width="12.75" style="53" customWidth="1"/>
    <col min="5389" max="5389" width="15.375" style="53" customWidth="1"/>
    <col min="5390" max="5633" width="9" style="53"/>
    <col min="5634" max="5634" width="10.125" style="53" customWidth="1"/>
    <col min="5635" max="5636" width="11.875" style="53" customWidth="1"/>
    <col min="5637" max="5637" width="11" style="53" customWidth="1"/>
    <col min="5638" max="5638" width="11.125" style="53" customWidth="1"/>
    <col min="5639" max="5639" width="18.5" style="53" customWidth="1"/>
    <col min="5640" max="5640" width="18.125" style="53" customWidth="1"/>
    <col min="5641" max="5642" width="11.375" style="53" customWidth="1"/>
    <col min="5643" max="5643" width="12.375" style="53" customWidth="1"/>
    <col min="5644" max="5644" width="12.75" style="53" customWidth="1"/>
    <col min="5645" max="5645" width="15.375" style="53" customWidth="1"/>
    <col min="5646" max="5889" width="9" style="53"/>
    <col min="5890" max="5890" width="10.125" style="53" customWidth="1"/>
    <col min="5891" max="5892" width="11.875" style="53" customWidth="1"/>
    <col min="5893" max="5893" width="11" style="53" customWidth="1"/>
    <col min="5894" max="5894" width="11.125" style="53" customWidth="1"/>
    <col min="5895" max="5895" width="18.5" style="53" customWidth="1"/>
    <col min="5896" max="5896" width="18.125" style="53" customWidth="1"/>
    <col min="5897" max="5898" width="11.375" style="53" customWidth="1"/>
    <col min="5899" max="5899" width="12.375" style="53" customWidth="1"/>
    <col min="5900" max="5900" width="12.75" style="53" customWidth="1"/>
    <col min="5901" max="5901" width="15.375" style="53" customWidth="1"/>
    <col min="5902" max="6145" width="9" style="53"/>
    <col min="6146" max="6146" width="10.125" style="53" customWidth="1"/>
    <col min="6147" max="6148" width="11.875" style="53" customWidth="1"/>
    <col min="6149" max="6149" width="11" style="53" customWidth="1"/>
    <col min="6150" max="6150" width="11.125" style="53" customWidth="1"/>
    <col min="6151" max="6151" width="18.5" style="53" customWidth="1"/>
    <col min="6152" max="6152" width="18.125" style="53" customWidth="1"/>
    <col min="6153" max="6154" width="11.375" style="53" customWidth="1"/>
    <col min="6155" max="6155" width="12.375" style="53" customWidth="1"/>
    <col min="6156" max="6156" width="12.75" style="53" customWidth="1"/>
    <col min="6157" max="6157" width="15.375" style="53" customWidth="1"/>
    <col min="6158" max="6401" width="9" style="53"/>
    <col min="6402" max="6402" width="10.125" style="53" customWidth="1"/>
    <col min="6403" max="6404" width="11.875" style="53" customWidth="1"/>
    <col min="6405" max="6405" width="11" style="53" customWidth="1"/>
    <col min="6406" max="6406" width="11.125" style="53" customWidth="1"/>
    <col min="6407" max="6407" width="18.5" style="53" customWidth="1"/>
    <col min="6408" max="6408" width="18.125" style="53" customWidth="1"/>
    <col min="6409" max="6410" width="11.375" style="53" customWidth="1"/>
    <col min="6411" max="6411" width="12.375" style="53" customWidth="1"/>
    <col min="6412" max="6412" width="12.75" style="53" customWidth="1"/>
    <col min="6413" max="6413" width="15.375" style="53" customWidth="1"/>
    <col min="6414" max="6657" width="9" style="53"/>
    <col min="6658" max="6658" width="10.125" style="53" customWidth="1"/>
    <col min="6659" max="6660" width="11.875" style="53" customWidth="1"/>
    <col min="6661" max="6661" width="11" style="53" customWidth="1"/>
    <col min="6662" max="6662" width="11.125" style="53" customWidth="1"/>
    <col min="6663" max="6663" width="18.5" style="53" customWidth="1"/>
    <col min="6664" max="6664" width="18.125" style="53" customWidth="1"/>
    <col min="6665" max="6666" width="11.375" style="53" customWidth="1"/>
    <col min="6667" max="6667" width="12.375" style="53" customWidth="1"/>
    <col min="6668" max="6668" width="12.75" style="53" customWidth="1"/>
    <col min="6669" max="6669" width="15.375" style="53" customWidth="1"/>
    <col min="6670" max="6913" width="9" style="53"/>
    <col min="6914" max="6914" width="10.125" style="53" customWidth="1"/>
    <col min="6915" max="6916" width="11.875" style="53" customWidth="1"/>
    <col min="6917" max="6917" width="11" style="53" customWidth="1"/>
    <col min="6918" max="6918" width="11.125" style="53" customWidth="1"/>
    <col min="6919" max="6919" width="18.5" style="53" customWidth="1"/>
    <col min="6920" max="6920" width="18.125" style="53" customWidth="1"/>
    <col min="6921" max="6922" width="11.375" style="53" customWidth="1"/>
    <col min="6923" max="6923" width="12.375" style="53" customWidth="1"/>
    <col min="6924" max="6924" width="12.75" style="53" customWidth="1"/>
    <col min="6925" max="6925" width="15.375" style="53" customWidth="1"/>
    <col min="6926" max="7169" width="9" style="53"/>
    <col min="7170" max="7170" width="10.125" style="53" customWidth="1"/>
    <col min="7171" max="7172" width="11.875" style="53" customWidth="1"/>
    <col min="7173" max="7173" width="11" style="53" customWidth="1"/>
    <col min="7174" max="7174" width="11.125" style="53" customWidth="1"/>
    <col min="7175" max="7175" width="18.5" style="53" customWidth="1"/>
    <col min="7176" max="7176" width="18.125" style="53" customWidth="1"/>
    <col min="7177" max="7178" width="11.375" style="53" customWidth="1"/>
    <col min="7179" max="7179" width="12.375" style="53" customWidth="1"/>
    <col min="7180" max="7180" width="12.75" style="53" customWidth="1"/>
    <col min="7181" max="7181" width="15.375" style="53" customWidth="1"/>
    <col min="7182" max="7425" width="9" style="53"/>
    <col min="7426" max="7426" width="10.125" style="53" customWidth="1"/>
    <col min="7427" max="7428" width="11.875" style="53" customWidth="1"/>
    <col min="7429" max="7429" width="11" style="53" customWidth="1"/>
    <col min="7430" max="7430" width="11.125" style="53" customWidth="1"/>
    <col min="7431" max="7431" width="18.5" style="53" customWidth="1"/>
    <col min="7432" max="7432" width="18.125" style="53" customWidth="1"/>
    <col min="7433" max="7434" width="11.375" style="53" customWidth="1"/>
    <col min="7435" max="7435" width="12.375" style="53" customWidth="1"/>
    <col min="7436" max="7436" width="12.75" style="53" customWidth="1"/>
    <col min="7437" max="7437" width="15.375" style="53" customWidth="1"/>
    <col min="7438" max="7681" width="9" style="53"/>
    <col min="7682" max="7682" width="10.125" style="53" customWidth="1"/>
    <col min="7683" max="7684" width="11.875" style="53" customWidth="1"/>
    <col min="7685" max="7685" width="11" style="53" customWidth="1"/>
    <col min="7686" max="7686" width="11.125" style="53" customWidth="1"/>
    <col min="7687" max="7687" width="18.5" style="53" customWidth="1"/>
    <col min="7688" max="7688" width="18.125" style="53" customWidth="1"/>
    <col min="7689" max="7690" width="11.375" style="53" customWidth="1"/>
    <col min="7691" max="7691" width="12.375" style="53" customWidth="1"/>
    <col min="7692" max="7692" width="12.75" style="53" customWidth="1"/>
    <col min="7693" max="7693" width="15.375" style="53" customWidth="1"/>
    <col min="7694" max="7937" width="9" style="53"/>
    <col min="7938" max="7938" width="10.125" style="53" customWidth="1"/>
    <col min="7939" max="7940" width="11.875" style="53" customWidth="1"/>
    <col min="7941" max="7941" width="11" style="53" customWidth="1"/>
    <col min="7942" max="7942" width="11.125" style="53" customWidth="1"/>
    <col min="7943" max="7943" width="18.5" style="53" customWidth="1"/>
    <col min="7944" max="7944" width="18.125" style="53" customWidth="1"/>
    <col min="7945" max="7946" width="11.375" style="53" customWidth="1"/>
    <col min="7947" max="7947" width="12.375" style="53" customWidth="1"/>
    <col min="7948" max="7948" width="12.75" style="53" customWidth="1"/>
    <col min="7949" max="7949" width="15.375" style="53" customWidth="1"/>
    <col min="7950" max="8193" width="9" style="53"/>
    <col min="8194" max="8194" width="10.125" style="53" customWidth="1"/>
    <col min="8195" max="8196" width="11.875" style="53" customWidth="1"/>
    <col min="8197" max="8197" width="11" style="53" customWidth="1"/>
    <col min="8198" max="8198" width="11.125" style="53" customWidth="1"/>
    <col min="8199" max="8199" width="18.5" style="53" customWidth="1"/>
    <col min="8200" max="8200" width="18.125" style="53" customWidth="1"/>
    <col min="8201" max="8202" width="11.375" style="53" customWidth="1"/>
    <col min="8203" max="8203" width="12.375" style="53" customWidth="1"/>
    <col min="8204" max="8204" width="12.75" style="53" customWidth="1"/>
    <col min="8205" max="8205" width="15.375" style="53" customWidth="1"/>
    <col min="8206" max="8449" width="9" style="53"/>
    <col min="8450" max="8450" width="10.125" style="53" customWidth="1"/>
    <col min="8451" max="8452" width="11.875" style="53" customWidth="1"/>
    <col min="8453" max="8453" width="11" style="53" customWidth="1"/>
    <col min="8454" max="8454" width="11.125" style="53" customWidth="1"/>
    <col min="8455" max="8455" width="18.5" style="53" customWidth="1"/>
    <col min="8456" max="8456" width="18.125" style="53" customWidth="1"/>
    <col min="8457" max="8458" width="11.375" style="53" customWidth="1"/>
    <col min="8459" max="8459" width="12.375" style="53" customWidth="1"/>
    <col min="8460" max="8460" width="12.75" style="53" customWidth="1"/>
    <col min="8461" max="8461" width="15.375" style="53" customWidth="1"/>
    <col min="8462" max="8705" width="9" style="53"/>
    <col min="8706" max="8706" width="10.125" style="53" customWidth="1"/>
    <col min="8707" max="8708" width="11.875" style="53" customWidth="1"/>
    <col min="8709" max="8709" width="11" style="53" customWidth="1"/>
    <col min="8710" max="8710" width="11.125" style="53" customWidth="1"/>
    <col min="8711" max="8711" width="18.5" style="53" customWidth="1"/>
    <col min="8712" max="8712" width="18.125" style="53" customWidth="1"/>
    <col min="8713" max="8714" width="11.375" style="53" customWidth="1"/>
    <col min="8715" max="8715" width="12.375" style="53" customWidth="1"/>
    <col min="8716" max="8716" width="12.75" style="53" customWidth="1"/>
    <col min="8717" max="8717" width="15.375" style="53" customWidth="1"/>
    <col min="8718" max="8961" width="9" style="53"/>
    <col min="8962" max="8962" width="10.125" style="53" customWidth="1"/>
    <col min="8963" max="8964" width="11.875" style="53" customWidth="1"/>
    <col min="8965" max="8965" width="11" style="53" customWidth="1"/>
    <col min="8966" max="8966" width="11.125" style="53" customWidth="1"/>
    <col min="8967" max="8967" width="18.5" style="53" customWidth="1"/>
    <col min="8968" max="8968" width="18.125" style="53" customWidth="1"/>
    <col min="8969" max="8970" width="11.375" style="53" customWidth="1"/>
    <col min="8971" max="8971" width="12.375" style="53" customWidth="1"/>
    <col min="8972" max="8972" width="12.75" style="53" customWidth="1"/>
    <col min="8973" max="8973" width="15.375" style="53" customWidth="1"/>
    <col min="8974" max="9217" width="9" style="53"/>
    <col min="9218" max="9218" width="10.125" style="53" customWidth="1"/>
    <col min="9219" max="9220" width="11.875" style="53" customWidth="1"/>
    <col min="9221" max="9221" width="11" style="53" customWidth="1"/>
    <col min="9222" max="9222" width="11.125" style="53" customWidth="1"/>
    <col min="9223" max="9223" width="18.5" style="53" customWidth="1"/>
    <col min="9224" max="9224" width="18.125" style="53" customWidth="1"/>
    <col min="9225" max="9226" width="11.375" style="53" customWidth="1"/>
    <col min="9227" max="9227" width="12.375" style="53" customWidth="1"/>
    <col min="9228" max="9228" width="12.75" style="53" customWidth="1"/>
    <col min="9229" max="9229" width="15.375" style="53" customWidth="1"/>
    <col min="9230" max="9473" width="9" style="53"/>
    <col min="9474" max="9474" width="10.125" style="53" customWidth="1"/>
    <col min="9475" max="9476" width="11.875" style="53" customWidth="1"/>
    <col min="9477" max="9477" width="11" style="53" customWidth="1"/>
    <col min="9478" max="9478" width="11.125" style="53" customWidth="1"/>
    <col min="9479" max="9479" width="18.5" style="53" customWidth="1"/>
    <col min="9480" max="9480" width="18.125" style="53" customWidth="1"/>
    <col min="9481" max="9482" width="11.375" style="53" customWidth="1"/>
    <col min="9483" max="9483" width="12.375" style="53" customWidth="1"/>
    <col min="9484" max="9484" width="12.75" style="53" customWidth="1"/>
    <col min="9485" max="9485" width="15.375" style="53" customWidth="1"/>
    <col min="9486" max="9729" width="9" style="53"/>
    <col min="9730" max="9730" width="10.125" style="53" customWidth="1"/>
    <col min="9731" max="9732" width="11.875" style="53" customWidth="1"/>
    <col min="9733" max="9733" width="11" style="53" customWidth="1"/>
    <col min="9734" max="9734" width="11.125" style="53" customWidth="1"/>
    <col min="9735" max="9735" width="18.5" style="53" customWidth="1"/>
    <col min="9736" max="9736" width="18.125" style="53" customWidth="1"/>
    <col min="9737" max="9738" width="11.375" style="53" customWidth="1"/>
    <col min="9739" max="9739" width="12.375" style="53" customWidth="1"/>
    <col min="9740" max="9740" width="12.75" style="53" customWidth="1"/>
    <col min="9741" max="9741" width="15.375" style="53" customWidth="1"/>
    <col min="9742" max="9985" width="9" style="53"/>
    <col min="9986" max="9986" width="10.125" style="53" customWidth="1"/>
    <col min="9987" max="9988" width="11.875" style="53" customWidth="1"/>
    <col min="9989" max="9989" width="11" style="53" customWidth="1"/>
    <col min="9990" max="9990" width="11.125" style="53" customWidth="1"/>
    <col min="9991" max="9991" width="18.5" style="53" customWidth="1"/>
    <col min="9992" max="9992" width="18.125" style="53" customWidth="1"/>
    <col min="9993" max="9994" width="11.375" style="53" customWidth="1"/>
    <col min="9995" max="9995" width="12.375" style="53" customWidth="1"/>
    <col min="9996" max="9996" width="12.75" style="53" customWidth="1"/>
    <col min="9997" max="9997" width="15.375" style="53" customWidth="1"/>
    <col min="9998" max="10241" width="9" style="53"/>
    <col min="10242" max="10242" width="10.125" style="53" customWidth="1"/>
    <col min="10243" max="10244" width="11.875" style="53" customWidth="1"/>
    <col min="10245" max="10245" width="11" style="53" customWidth="1"/>
    <col min="10246" max="10246" width="11.125" style="53" customWidth="1"/>
    <col min="10247" max="10247" width="18.5" style="53" customWidth="1"/>
    <col min="10248" max="10248" width="18.125" style="53" customWidth="1"/>
    <col min="10249" max="10250" width="11.375" style="53" customWidth="1"/>
    <col min="10251" max="10251" width="12.375" style="53" customWidth="1"/>
    <col min="10252" max="10252" width="12.75" style="53" customWidth="1"/>
    <col min="10253" max="10253" width="15.375" style="53" customWidth="1"/>
    <col min="10254" max="10497" width="9" style="53"/>
    <col min="10498" max="10498" width="10.125" style="53" customWidth="1"/>
    <col min="10499" max="10500" width="11.875" style="53" customWidth="1"/>
    <col min="10501" max="10501" width="11" style="53" customWidth="1"/>
    <col min="10502" max="10502" width="11.125" style="53" customWidth="1"/>
    <col min="10503" max="10503" width="18.5" style="53" customWidth="1"/>
    <col min="10504" max="10504" width="18.125" style="53" customWidth="1"/>
    <col min="10505" max="10506" width="11.375" style="53" customWidth="1"/>
    <col min="10507" max="10507" width="12.375" style="53" customWidth="1"/>
    <col min="10508" max="10508" width="12.75" style="53" customWidth="1"/>
    <col min="10509" max="10509" width="15.375" style="53" customWidth="1"/>
    <col min="10510" max="10753" width="9" style="53"/>
    <col min="10754" max="10754" width="10.125" style="53" customWidth="1"/>
    <col min="10755" max="10756" width="11.875" style="53" customWidth="1"/>
    <col min="10757" max="10757" width="11" style="53" customWidth="1"/>
    <col min="10758" max="10758" width="11.125" style="53" customWidth="1"/>
    <col min="10759" max="10759" width="18.5" style="53" customWidth="1"/>
    <col min="10760" max="10760" width="18.125" style="53" customWidth="1"/>
    <col min="10761" max="10762" width="11.375" style="53" customWidth="1"/>
    <col min="10763" max="10763" width="12.375" style="53" customWidth="1"/>
    <col min="10764" max="10764" width="12.75" style="53" customWidth="1"/>
    <col min="10765" max="10765" width="15.375" style="53" customWidth="1"/>
    <col min="10766" max="11009" width="9" style="53"/>
    <col min="11010" max="11010" width="10.125" style="53" customWidth="1"/>
    <col min="11011" max="11012" width="11.875" style="53" customWidth="1"/>
    <col min="11013" max="11013" width="11" style="53" customWidth="1"/>
    <col min="11014" max="11014" width="11.125" style="53" customWidth="1"/>
    <col min="11015" max="11015" width="18.5" style="53" customWidth="1"/>
    <col min="11016" max="11016" width="18.125" style="53" customWidth="1"/>
    <col min="11017" max="11018" width="11.375" style="53" customWidth="1"/>
    <col min="11019" max="11019" width="12.375" style="53" customWidth="1"/>
    <col min="11020" max="11020" width="12.75" style="53" customWidth="1"/>
    <col min="11021" max="11021" width="15.375" style="53" customWidth="1"/>
    <col min="11022" max="11265" width="9" style="53"/>
    <col min="11266" max="11266" width="10.125" style="53" customWidth="1"/>
    <col min="11267" max="11268" width="11.875" style="53" customWidth="1"/>
    <col min="11269" max="11269" width="11" style="53" customWidth="1"/>
    <col min="11270" max="11270" width="11.125" style="53" customWidth="1"/>
    <col min="11271" max="11271" width="18.5" style="53" customWidth="1"/>
    <col min="11272" max="11272" width="18.125" style="53" customWidth="1"/>
    <col min="11273" max="11274" width="11.375" style="53" customWidth="1"/>
    <col min="11275" max="11275" width="12.375" style="53" customWidth="1"/>
    <col min="11276" max="11276" width="12.75" style="53" customWidth="1"/>
    <col min="11277" max="11277" width="15.375" style="53" customWidth="1"/>
    <col min="11278" max="11521" width="9" style="53"/>
    <col min="11522" max="11522" width="10.125" style="53" customWidth="1"/>
    <col min="11523" max="11524" width="11.875" style="53" customWidth="1"/>
    <col min="11525" max="11525" width="11" style="53" customWidth="1"/>
    <col min="11526" max="11526" width="11.125" style="53" customWidth="1"/>
    <col min="11527" max="11527" width="18.5" style="53" customWidth="1"/>
    <col min="11528" max="11528" width="18.125" style="53" customWidth="1"/>
    <col min="11529" max="11530" width="11.375" style="53" customWidth="1"/>
    <col min="11531" max="11531" width="12.375" style="53" customWidth="1"/>
    <col min="11532" max="11532" width="12.75" style="53" customWidth="1"/>
    <col min="11533" max="11533" width="15.375" style="53" customWidth="1"/>
    <col min="11534" max="11777" width="9" style="53"/>
    <col min="11778" max="11778" width="10.125" style="53" customWidth="1"/>
    <col min="11779" max="11780" width="11.875" style="53" customWidth="1"/>
    <col min="11781" max="11781" width="11" style="53" customWidth="1"/>
    <col min="11782" max="11782" width="11.125" style="53" customWidth="1"/>
    <col min="11783" max="11783" width="18.5" style="53" customWidth="1"/>
    <col min="11784" max="11784" width="18.125" style="53" customWidth="1"/>
    <col min="11785" max="11786" width="11.375" style="53" customWidth="1"/>
    <col min="11787" max="11787" width="12.375" style="53" customWidth="1"/>
    <col min="11788" max="11788" width="12.75" style="53" customWidth="1"/>
    <col min="11789" max="11789" width="15.375" style="53" customWidth="1"/>
    <col min="11790" max="12033" width="9" style="53"/>
    <col min="12034" max="12034" width="10.125" style="53" customWidth="1"/>
    <col min="12035" max="12036" width="11.875" style="53" customWidth="1"/>
    <col min="12037" max="12037" width="11" style="53" customWidth="1"/>
    <col min="12038" max="12038" width="11.125" style="53" customWidth="1"/>
    <col min="12039" max="12039" width="18.5" style="53" customWidth="1"/>
    <col min="12040" max="12040" width="18.125" style="53" customWidth="1"/>
    <col min="12041" max="12042" width="11.375" style="53" customWidth="1"/>
    <col min="12043" max="12043" width="12.375" style="53" customWidth="1"/>
    <col min="12044" max="12044" width="12.75" style="53" customWidth="1"/>
    <col min="12045" max="12045" width="15.375" style="53" customWidth="1"/>
    <col min="12046" max="12289" width="9" style="53"/>
    <col min="12290" max="12290" width="10.125" style="53" customWidth="1"/>
    <col min="12291" max="12292" width="11.875" style="53" customWidth="1"/>
    <col min="12293" max="12293" width="11" style="53" customWidth="1"/>
    <col min="12294" max="12294" width="11.125" style="53" customWidth="1"/>
    <col min="12295" max="12295" width="18.5" style="53" customWidth="1"/>
    <col min="12296" max="12296" width="18.125" style="53" customWidth="1"/>
    <col min="12297" max="12298" width="11.375" style="53" customWidth="1"/>
    <col min="12299" max="12299" width="12.375" style="53" customWidth="1"/>
    <col min="12300" max="12300" width="12.75" style="53" customWidth="1"/>
    <col min="12301" max="12301" width="15.375" style="53" customWidth="1"/>
    <col min="12302" max="12545" width="9" style="53"/>
    <col min="12546" max="12546" width="10.125" style="53" customWidth="1"/>
    <col min="12547" max="12548" width="11.875" style="53" customWidth="1"/>
    <col min="12549" max="12549" width="11" style="53" customWidth="1"/>
    <col min="12550" max="12550" width="11.125" style="53" customWidth="1"/>
    <col min="12551" max="12551" width="18.5" style="53" customWidth="1"/>
    <col min="12552" max="12552" width="18.125" style="53" customWidth="1"/>
    <col min="12553" max="12554" width="11.375" style="53" customWidth="1"/>
    <col min="12555" max="12555" width="12.375" style="53" customWidth="1"/>
    <col min="12556" max="12556" width="12.75" style="53" customWidth="1"/>
    <col min="12557" max="12557" width="15.375" style="53" customWidth="1"/>
    <col min="12558" max="12801" width="9" style="53"/>
    <col min="12802" max="12802" width="10.125" style="53" customWidth="1"/>
    <col min="12803" max="12804" width="11.875" style="53" customWidth="1"/>
    <col min="12805" max="12805" width="11" style="53" customWidth="1"/>
    <col min="12806" max="12806" width="11.125" style="53" customWidth="1"/>
    <col min="12807" max="12807" width="18.5" style="53" customWidth="1"/>
    <col min="12808" max="12808" width="18.125" style="53" customWidth="1"/>
    <col min="12809" max="12810" width="11.375" style="53" customWidth="1"/>
    <col min="12811" max="12811" width="12.375" style="53" customWidth="1"/>
    <col min="12812" max="12812" width="12.75" style="53" customWidth="1"/>
    <col min="12813" max="12813" width="15.375" style="53" customWidth="1"/>
    <col min="12814" max="13057" width="9" style="53"/>
    <col min="13058" max="13058" width="10.125" style="53" customWidth="1"/>
    <col min="13059" max="13060" width="11.875" style="53" customWidth="1"/>
    <col min="13061" max="13061" width="11" style="53" customWidth="1"/>
    <col min="13062" max="13062" width="11.125" style="53" customWidth="1"/>
    <col min="13063" max="13063" width="18.5" style="53" customWidth="1"/>
    <col min="13064" max="13064" width="18.125" style="53" customWidth="1"/>
    <col min="13065" max="13066" width="11.375" style="53" customWidth="1"/>
    <col min="13067" max="13067" width="12.375" style="53" customWidth="1"/>
    <col min="13068" max="13068" width="12.75" style="53" customWidth="1"/>
    <col min="13069" max="13069" width="15.375" style="53" customWidth="1"/>
    <col min="13070" max="13313" width="9" style="53"/>
    <col min="13314" max="13314" width="10.125" style="53" customWidth="1"/>
    <col min="13315" max="13316" width="11.875" style="53" customWidth="1"/>
    <col min="13317" max="13317" width="11" style="53" customWidth="1"/>
    <col min="13318" max="13318" width="11.125" style="53" customWidth="1"/>
    <col min="13319" max="13319" width="18.5" style="53" customWidth="1"/>
    <col min="13320" max="13320" width="18.125" style="53" customWidth="1"/>
    <col min="13321" max="13322" width="11.375" style="53" customWidth="1"/>
    <col min="13323" max="13323" width="12.375" style="53" customWidth="1"/>
    <col min="13324" max="13324" width="12.75" style="53" customWidth="1"/>
    <col min="13325" max="13325" width="15.375" style="53" customWidth="1"/>
    <col min="13326" max="13569" width="9" style="53"/>
    <col min="13570" max="13570" width="10.125" style="53" customWidth="1"/>
    <col min="13571" max="13572" width="11.875" style="53" customWidth="1"/>
    <col min="13573" max="13573" width="11" style="53" customWidth="1"/>
    <col min="13574" max="13574" width="11.125" style="53" customWidth="1"/>
    <col min="13575" max="13575" width="18.5" style="53" customWidth="1"/>
    <col min="13576" max="13576" width="18.125" style="53" customWidth="1"/>
    <col min="13577" max="13578" width="11.375" style="53" customWidth="1"/>
    <col min="13579" max="13579" width="12.375" style="53" customWidth="1"/>
    <col min="13580" max="13580" width="12.75" style="53" customWidth="1"/>
    <col min="13581" max="13581" width="15.375" style="53" customWidth="1"/>
    <col min="13582" max="13825" width="9" style="53"/>
    <col min="13826" max="13826" width="10.125" style="53" customWidth="1"/>
    <col min="13827" max="13828" width="11.875" style="53" customWidth="1"/>
    <col min="13829" max="13829" width="11" style="53" customWidth="1"/>
    <col min="13830" max="13830" width="11.125" style="53" customWidth="1"/>
    <col min="13831" max="13831" width="18.5" style="53" customWidth="1"/>
    <col min="13832" max="13832" width="18.125" style="53" customWidth="1"/>
    <col min="13833" max="13834" width="11.375" style="53" customWidth="1"/>
    <col min="13835" max="13835" width="12.375" style="53" customWidth="1"/>
    <col min="13836" max="13836" width="12.75" style="53" customWidth="1"/>
    <col min="13837" max="13837" width="15.375" style="53" customWidth="1"/>
    <col min="13838" max="14081" width="9" style="53"/>
    <col min="14082" max="14082" width="10.125" style="53" customWidth="1"/>
    <col min="14083" max="14084" width="11.875" style="53" customWidth="1"/>
    <col min="14085" max="14085" width="11" style="53" customWidth="1"/>
    <col min="14086" max="14086" width="11.125" style="53" customWidth="1"/>
    <col min="14087" max="14087" width="18.5" style="53" customWidth="1"/>
    <col min="14088" max="14088" width="18.125" style="53" customWidth="1"/>
    <col min="14089" max="14090" width="11.375" style="53" customWidth="1"/>
    <col min="14091" max="14091" width="12.375" style="53" customWidth="1"/>
    <col min="14092" max="14092" width="12.75" style="53" customWidth="1"/>
    <col min="14093" max="14093" width="15.375" style="53" customWidth="1"/>
    <col min="14094" max="14337" width="9" style="53"/>
    <col min="14338" max="14338" width="10.125" style="53" customWidth="1"/>
    <col min="14339" max="14340" width="11.875" style="53" customWidth="1"/>
    <col min="14341" max="14341" width="11" style="53" customWidth="1"/>
    <col min="14342" max="14342" width="11.125" style="53" customWidth="1"/>
    <col min="14343" max="14343" width="18.5" style="53" customWidth="1"/>
    <col min="14344" max="14344" width="18.125" style="53" customWidth="1"/>
    <col min="14345" max="14346" width="11.375" style="53" customWidth="1"/>
    <col min="14347" max="14347" width="12.375" style="53" customWidth="1"/>
    <col min="14348" max="14348" width="12.75" style="53" customWidth="1"/>
    <col min="14349" max="14349" width="15.375" style="53" customWidth="1"/>
    <col min="14350" max="14593" width="9" style="53"/>
    <col min="14594" max="14594" width="10.125" style="53" customWidth="1"/>
    <col min="14595" max="14596" width="11.875" style="53" customWidth="1"/>
    <col min="14597" max="14597" width="11" style="53" customWidth="1"/>
    <col min="14598" max="14598" width="11.125" style="53" customWidth="1"/>
    <col min="14599" max="14599" width="18.5" style="53" customWidth="1"/>
    <col min="14600" max="14600" width="18.125" style="53" customWidth="1"/>
    <col min="14601" max="14602" width="11.375" style="53" customWidth="1"/>
    <col min="14603" max="14603" width="12.375" style="53" customWidth="1"/>
    <col min="14604" max="14604" width="12.75" style="53" customWidth="1"/>
    <col min="14605" max="14605" width="15.375" style="53" customWidth="1"/>
    <col min="14606" max="14849" width="9" style="53"/>
    <col min="14850" max="14850" width="10.125" style="53" customWidth="1"/>
    <col min="14851" max="14852" width="11.875" style="53" customWidth="1"/>
    <col min="14853" max="14853" width="11" style="53" customWidth="1"/>
    <col min="14854" max="14854" width="11.125" style="53" customWidth="1"/>
    <col min="14855" max="14855" width="18.5" style="53" customWidth="1"/>
    <col min="14856" max="14856" width="18.125" style="53" customWidth="1"/>
    <col min="14857" max="14858" width="11.375" style="53" customWidth="1"/>
    <col min="14859" max="14859" width="12.375" style="53" customWidth="1"/>
    <col min="14860" max="14860" width="12.75" style="53" customWidth="1"/>
    <col min="14861" max="14861" width="15.375" style="53" customWidth="1"/>
    <col min="14862" max="15105" width="9" style="53"/>
    <col min="15106" max="15106" width="10.125" style="53" customWidth="1"/>
    <col min="15107" max="15108" width="11.875" style="53" customWidth="1"/>
    <col min="15109" max="15109" width="11" style="53" customWidth="1"/>
    <col min="15110" max="15110" width="11.125" style="53" customWidth="1"/>
    <col min="15111" max="15111" width="18.5" style="53" customWidth="1"/>
    <col min="15112" max="15112" width="18.125" style="53" customWidth="1"/>
    <col min="15113" max="15114" width="11.375" style="53" customWidth="1"/>
    <col min="15115" max="15115" width="12.375" style="53" customWidth="1"/>
    <col min="15116" max="15116" width="12.75" style="53" customWidth="1"/>
    <col min="15117" max="15117" width="15.375" style="53" customWidth="1"/>
    <col min="15118" max="15361" width="9" style="53"/>
    <col min="15362" max="15362" width="10.125" style="53" customWidth="1"/>
    <col min="15363" max="15364" width="11.875" style="53" customWidth="1"/>
    <col min="15365" max="15365" width="11" style="53" customWidth="1"/>
    <col min="15366" max="15366" width="11.125" style="53" customWidth="1"/>
    <col min="15367" max="15367" width="18.5" style="53" customWidth="1"/>
    <col min="15368" max="15368" width="18.125" style="53" customWidth="1"/>
    <col min="15369" max="15370" width="11.375" style="53" customWidth="1"/>
    <col min="15371" max="15371" width="12.375" style="53" customWidth="1"/>
    <col min="15372" max="15372" width="12.75" style="53" customWidth="1"/>
    <col min="15373" max="15373" width="15.375" style="53" customWidth="1"/>
    <col min="15374" max="15617" width="9" style="53"/>
    <col min="15618" max="15618" width="10.125" style="53" customWidth="1"/>
    <col min="15619" max="15620" width="11.875" style="53" customWidth="1"/>
    <col min="15621" max="15621" width="11" style="53" customWidth="1"/>
    <col min="15622" max="15622" width="11.125" style="53" customWidth="1"/>
    <col min="15623" max="15623" width="18.5" style="53" customWidth="1"/>
    <col min="15624" max="15624" width="18.125" style="53" customWidth="1"/>
    <col min="15625" max="15626" width="11.375" style="53" customWidth="1"/>
    <col min="15627" max="15627" width="12.375" style="53" customWidth="1"/>
    <col min="15628" max="15628" width="12.75" style="53" customWidth="1"/>
    <col min="15629" max="15629" width="15.375" style="53" customWidth="1"/>
    <col min="15630" max="15873" width="9" style="53"/>
    <col min="15874" max="15874" width="10.125" style="53" customWidth="1"/>
    <col min="15875" max="15876" width="11.875" style="53" customWidth="1"/>
    <col min="15877" max="15877" width="11" style="53" customWidth="1"/>
    <col min="15878" max="15878" width="11.125" style="53" customWidth="1"/>
    <col min="15879" max="15879" width="18.5" style="53" customWidth="1"/>
    <col min="15880" max="15880" width="18.125" style="53" customWidth="1"/>
    <col min="15881" max="15882" width="11.375" style="53" customWidth="1"/>
    <col min="15883" max="15883" width="12.375" style="53" customWidth="1"/>
    <col min="15884" max="15884" width="12.75" style="53" customWidth="1"/>
    <col min="15885" max="15885" width="15.375" style="53" customWidth="1"/>
    <col min="15886" max="16129" width="9" style="53"/>
    <col min="16130" max="16130" width="10.125" style="53" customWidth="1"/>
    <col min="16131" max="16132" width="11.875" style="53" customWidth="1"/>
    <col min="16133" max="16133" width="11" style="53" customWidth="1"/>
    <col min="16134" max="16134" width="11.125" style="53" customWidth="1"/>
    <col min="16135" max="16135" width="18.5" style="53" customWidth="1"/>
    <col min="16136" max="16136" width="18.125" style="53" customWidth="1"/>
    <col min="16137" max="16138" width="11.375" style="53" customWidth="1"/>
    <col min="16139" max="16139" width="12.375" style="53" customWidth="1"/>
    <col min="16140" max="16140" width="12.75" style="53" customWidth="1"/>
    <col min="16141" max="16141" width="15.375" style="53" customWidth="1"/>
    <col min="16142" max="16384" width="9" style="53"/>
  </cols>
  <sheetData>
    <row r="1" spans="1:17" ht="21" customHeight="1">
      <c r="A1" s="949" t="s">
        <v>853</v>
      </c>
      <c r="B1" s="949"/>
      <c r="C1" s="949"/>
      <c r="D1" s="949"/>
      <c r="E1" s="949"/>
      <c r="F1" s="949"/>
      <c r="G1" s="949"/>
      <c r="H1" s="949"/>
      <c r="I1" s="949"/>
      <c r="J1" s="949"/>
      <c r="K1" s="949"/>
      <c r="L1" s="949"/>
      <c r="M1" s="949"/>
    </row>
    <row r="2" spans="1:17" ht="17.25" customHeight="1">
      <c r="A2" s="75" t="s">
        <v>560</v>
      </c>
      <c r="B2" s="152"/>
      <c r="C2" s="59"/>
      <c r="D2" s="59"/>
      <c r="E2" s="259"/>
      <c r="F2" s="259"/>
      <c r="G2" s="259"/>
      <c r="H2" s="153"/>
      <c r="I2" s="153"/>
      <c r="J2" s="153"/>
      <c r="K2" s="153"/>
      <c r="L2" s="153"/>
    </row>
    <row r="3" spans="1:17">
      <c r="A3" s="54" t="s">
        <v>561</v>
      </c>
      <c r="B3" s="258"/>
      <c r="C3" s="258"/>
      <c r="H3" s="260"/>
      <c r="I3" s="260"/>
    </row>
    <row r="4" spans="1:17" ht="15" customHeight="1">
      <c r="A4" s="950" t="s">
        <v>562</v>
      </c>
      <c r="B4" s="951"/>
      <c r="C4" s="951"/>
      <c r="D4" s="951"/>
      <c r="E4" s="951"/>
      <c r="F4" s="952"/>
      <c r="G4" s="262" t="s">
        <v>852</v>
      </c>
      <c r="H4" s="263">
        <f>NETWORKDAYS(D6,E11,'附录-节假日'!$A$1:$A$32)</f>
        <v>23</v>
      </c>
      <c r="I4" s="953">
        <f>H4/规模!B31</f>
        <v>0.38983050847457629</v>
      </c>
      <c r="J4" s="954"/>
      <c r="K4" s="701"/>
    </row>
    <row r="5" spans="1:17" ht="15" customHeight="1">
      <c r="A5" s="264" t="s">
        <v>563</v>
      </c>
      <c r="B5" s="265" t="s">
        <v>564</v>
      </c>
      <c r="C5" s="265" t="s">
        <v>565</v>
      </c>
      <c r="D5" s="265" t="s">
        <v>566</v>
      </c>
      <c r="E5" s="266" t="s">
        <v>567</v>
      </c>
      <c r="F5" s="266" t="s">
        <v>568</v>
      </c>
      <c r="G5" s="266" t="s">
        <v>569</v>
      </c>
      <c r="H5" s="266" t="s">
        <v>850</v>
      </c>
      <c r="I5" s="291" t="s">
        <v>851</v>
      </c>
      <c r="J5" s="265" t="s">
        <v>570</v>
      </c>
      <c r="K5" s="292" t="s">
        <v>571</v>
      </c>
      <c r="M5" s="53" t="s">
        <v>855</v>
      </c>
      <c r="N5" s="256" t="s">
        <v>854</v>
      </c>
      <c r="O5" s="256" t="s">
        <v>857</v>
      </c>
      <c r="P5" s="256" t="s">
        <v>846</v>
      </c>
      <c r="Q5" s="256" t="s">
        <v>858</v>
      </c>
    </row>
    <row r="6" spans="1:17" ht="15" customHeight="1">
      <c r="A6" s="88" t="s">
        <v>384</v>
      </c>
      <c r="B6" s="267">
        <v>43363</v>
      </c>
      <c r="C6" s="268">
        <v>43369</v>
      </c>
      <c r="D6" s="268">
        <v>43363</v>
      </c>
      <c r="E6" s="268">
        <v>43369</v>
      </c>
      <c r="F6" s="269"/>
      <c r="G6" s="270"/>
      <c r="H6" s="271">
        <f>NETWORKDAYS(D6,E6,'附录-节假日'!$A$1:$A$32)</f>
        <v>4</v>
      </c>
      <c r="I6" s="699">
        <f>H6/规模!$B$32</f>
        <v>6.7796610169491525E-2</v>
      </c>
      <c r="J6" s="293"/>
      <c r="K6" s="294"/>
      <c r="M6" s="53" t="s">
        <v>856</v>
      </c>
      <c r="N6" s="256">
        <f>I8</f>
        <v>1.6949152542372881E-2</v>
      </c>
      <c r="O6" s="256">
        <f>项目度量分析计划!$D$19</f>
        <v>4.1000000000000003E-3</v>
      </c>
      <c r="P6" s="256">
        <f>项目度量分析计划!$E$19</f>
        <v>3.4099999999999998E-2</v>
      </c>
      <c r="Q6" s="256">
        <f>项目度量分析计划!$F$19</f>
        <v>6.4100000000000004E-2</v>
      </c>
    </row>
    <row r="7" spans="1:17" ht="15" customHeight="1">
      <c r="A7" s="702" t="s">
        <v>385</v>
      </c>
      <c r="B7" s="704">
        <v>43370</v>
      </c>
      <c r="C7" s="705">
        <v>43403</v>
      </c>
      <c r="D7" s="705">
        <v>43370</v>
      </c>
      <c r="E7" s="705">
        <v>43403</v>
      </c>
      <c r="F7" s="706"/>
      <c r="G7" s="707"/>
      <c r="H7" s="271">
        <f>NETWORKDAYS(D7,E7,'附录-节假日'!$A$1:$A$32)</f>
        <v>19</v>
      </c>
      <c r="I7" s="699">
        <f>H7/规模!$B$32</f>
        <v>0.32203389830508472</v>
      </c>
      <c r="J7" s="293"/>
      <c r="K7" s="294"/>
      <c r="M7" s="53" t="s">
        <v>859</v>
      </c>
      <c r="N7" s="256"/>
      <c r="O7" s="256">
        <f>项目度量分析计划!$D$19</f>
        <v>4.1000000000000003E-3</v>
      </c>
      <c r="P7" s="256">
        <f>项目度量分析计划!$E$19</f>
        <v>3.4099999999999998E-2</v>
      </c>
      <c r="Q7" s="256">
        <f>项目度量分析计划!$F$19</f>
        <v>6.4100000000000004E-2</v>
      </c>
    </row>
    <row r="8" spans="1:17" ht="15" customHeight="1">
      <c r="A8" s="703" t="s">
        <v>540</v>
      </c>
      <c r="B8" s="704">
        <v>43370</v>
      </c>
      <c r="C8" s="705">
        <v>43370</v>
      </c>
      <c r="D8" s="705">
        <v>43370</v>
      </c>
      <c r="E8" s="705">
        <v>43370</v>
      </c>
      <c r="F8" s="706"/>
      <c r="G8" s="707"/>
      <c r="H8" s="271">
        <f>NETWORKDAYS(D8,E8,'附录-节假日'!$A$1:$A$32)</f>
        <v>1</v>
      </c>
      <c r="I8" s="699">
        <f>H8/规模!$B$32</f>
        <v>1.6949152542372881E-2</v>
      </c>
      <c r="J8" s="293"/>
      <c r="K8" s="294"/>
      <c r="M8" s="53" t="s">
        <v>860</v>
      </c>
      <c r="N8" s="256"/>
      <c r="O8" s="256">
        <f>项目度量分析计划!$D$19</f>
        <v>4.1000000000000003E-3</v>
      </c>
      <c r="P8" s="256">
        <f>项目度量分析计划!$E$19</f>
        <v>3.4099999999999998E-2</v>
      </c>
      <c r="Q8" s="256">
        <f>项目度量分析计划!$F$19</f>
        <v>6.4100000000000004E-2</v>
      </c>
    </row>
    <row r="9" spans="1:17" ht="15" customHeight="1">
      <c r="A9" s="703" t="s">
        <v>541</v>
      </c>
      <c r="B9" s="704">
        <v>43370</v>
      </c>
      <c r="C9" s="705">
        <v>43371</v>
      </c>
      <c r="D9" s="705">
        <v>43370</v>
      </c>
      <c r="E9" s="705">
        <v>43371</v>
      </c>
      <c r="F9" s="706"/>
      <c r="G9" s="707"/>
      <c r="H9" s="271">
        <f>NETWORKDAYS(D9,E9,'附录-节假日'!$A$1:$A$32)</f>
        <v>2</v>
      </c>
      <c r="I9" s="699">
        <f>H9/规模!$B$32</f>
        <v>3.3898305084745763E-2</v>
      </c>
      <c r="J9" s="293"/>
      <c r="K9" s="294"/>
    </row>
    <row r="10" spans="1:17" ht="15" customHeight="1">
      <c r="A10" s="703" t="s">
        <v>542</v>
      </c>
      <c r="B10" s="704">
        <v>43370</v>
      </c>
      <c r="C10" s="705">
        <v>43392</v>
      </c>
      <c r="D10" s="705">
        <v>43370</v>
      </c>
      <c r="E10" s="705">
        <v>43392</v>
      </c>
      <c r="F10" s="706"/>
      <c r="G10" s="707"/>
      <c r="H10" s="271">
        <f>NETWORKDAYS(D10,E10,'附录-节假日'!$A$1:$A$32)</f>
        <v>12</v>
      </c>
      <c r="I10" s="699">
        <f>H10/规模!$B$32</f>
        <v>0.20338983050847459</v>
      </c>
      <c r="J10" s="293"/>
      <c r="K10" s="294"/>
    </row>
    <row r="11" spans="1:17" ht="15" customHeight="1">
      <c r="A11" s="703" t="s">
        <v>543</v>
      </c>
      <c r="B11" s="704">
        <v>43395</v>
      </c>
      <c r="C11" s="705">
        <v>43403</v>
      </c>
      <c r="D11" s="705">
        <v>43395</v>
      </c>
      <c r="E11" s="705">
        <v>43403</v>
      </c>
      <c r="F11" s="706"/>
      <c r="G11" s="707"/>
      <c r="H11" s="271">
        <f>NETWORKDAYS(D11,E11,'附录-节假日'!$A$1:$A$32)</f>
        <v>7</v>
      </c>
      <c r="I11" s="699">
        <f>H11/规模!$B$32</f>
        <v>0.11864406779661017</v>
      </c>
      <c r="K11" s="294"/>
    </row>
    <row r="12" spans="1:17" ht="15" customHeight="1">
      <c r="A12" s="702" t="s">
        <v>393</v>
      </c>
      <c r="B12" s="704">
        <v>43370</v>
      </c>
      <c r="C12" s="705">
        <v>43403</v>
      </c>
      <c r="D12" s="705">
        <v>43370</v>
      </c>
      <c r="E12" s="705">
        <v>43403</v>
      </c>
      <c r="F12" s="706"/>
      <c r="G12" s="707"/>
      <c r="H12" s="271">
        <f>NETWORKDAYS(D12,E12,'附录-节假日'!$A$1:$A$32)</f>
        <v>19</v>
      </c>
      <c r="I12" s="699">
        <f>H12/规模!$B$32</f>
        <v>0.32203389830508472</v>
      </c>
      <c r="J12" s="293"/>
      <c r="K12" s="294"/>
    </row>
    <row r="13" spans="1:17" ht="15" customHeight="1">
      <c r="A13" s="703" t="s">
        <v>544</v>
      </c>
      <c r="B13" s="704"/>
      <c r="C13" s="705"/>
      <c r="D13" s="705"/>
      <c r="E13" s="705"/>
      <c r="F13" s="706"/>
      <c r="G13" s="707"/>
      <c r="H13" s="271">
        <f>NETWORKDAYS(D13,E13,'附录-节假日'!$A$1:$A$32)</f>
        <v>0</v>
      </c>
      <c r="I13" s="699">
        <f>H13/规模!$B$32</f>
        <v>0</v>
      </c>
      <c r="J13" s="293"/>
      <c r="K13" s="294"/>
    </row>
    <row r="14" spans="1:17" ht="15" customHeight="1">
      <c r="A14" s="703" t="s">
        <v>545</v>
      </c>
      <c r="B14" s="704"/>
      <c r="C14" s="705"/>
      <c r="D14" s="705"/>
      <c r="E14" s="705"/>
      <c r="F14" s="706"/>
      <c r="G14" s="707"/>
      <c r="H14" s="271">
        <f>NETWORKDAYS(D14,E14,'附录-节假日'!$A$1:$A$32)</f>
        <v>0</v>
      </c>
      <c r="I14" s="699">
        <f>H14/规模!$B$32</f>
        <v>0</v>
      </c>
      <c r="J14" s="293"/>
      <c r="K14" s="294"/>
    </row>
    <row r="15" spans="1:17" ht="15" customHeight="1">
      <c r="A15" s="703" t="s">
        <v>546</v>
      </c>
      <c r="B15" s="704"/>
      <c r="C15" s="705"/>
      <c r="D15" s="705"/>
      <c r="E15" s="705"/>
      <c r="F15" s="706"/>
      <c r="G15" s="707"/>
      <c r="H15" s="271">
        <f>NETWORKDAYS(D15,E15,'附录-节假日'!$A$1:$A$32)</f>
        <v>0</v>
      </c>
      <c r="I15" s="699">
        <f>H15/规模!$B$32</f>
        <v>0</v>
      </c>
      <c r="J15" s="293"/>
      <c r="K15" s="294"/>
    </row>
    <row r="16" spans="1:17" ht="15" customHeight="1">
      <c r="A16" s="703" t="s">
        <v>547</v>
      </c>
      <c r="B16" s="704"/>
      <c r="C16" s="705"/>
      <c r="D16" s="705"/>
      <c r="E16" s="705"/>
      <c r="F16" s="706"/>
      <c r="G16" s="707"/>
      <c r="H16" s="271">
        <f>NETWORKDAYS(D16,E16,'附录-节假日'!$A$1:$A$32)</f>
        <v>0</v>
      </c>
      <c r="I16" s="699">
        <f>H16/规模!$B$32</f>
        <v>0</v>
      </c>
      <c r="J16" s="293"/>
      <c r="K16" s="294"/>
    </row>
    <row r="17" spans="1:17" ht="15" customHeight="1">
      <c r="A17" s="702" t="s">
        <v>394</v>
      </c>
      <c r="B17" s="704"/>
      <c r="C17" s="705"/>
      <c r="D17" s="705"/>
      <c r="E17" s="705"/>
      <c r="F17" s="706"/>
      <c r="G17" s="707"/>
      <c r="H17" s="271">
        <f>NETWORKDAYS(D17,E17,'附录-节假日'!$A$1:$A$32)</f>
        <v>0</v>
      </c>
      <c r="I17" s="699">
        <f>H17/规模!$B$32</f>
        <v>0</v>
      </c>
      <c r="J17" s="293" t="s">
        <v>849</v>
      </c>
      <c r="K17" s="294"/>
    </row>
    <row r="18" spans="1:17" ht="15" customHeight="1">
      <c r="A18" s="703" t="s">
        <v>548</v>
      </c>
      <c r="B18" s="704"/>
      <c r="C18" s="705"/>
      <c r="D18" s="705"/>
      <c r="E18" s="705"/>
      <c r="F18" s="706"/>
      <c r="G18" s="707"/>
      <c r="H18" s="271">
        <f>NETWORKDAYS(D18,E18,'附录-节假日'!$A$1:$A$32)</f>
        <v>0</v>
      </c>
      <c r="I18" s="699">
        <f>H18/规模!$B$32</f>
        <v>0</v>
      </c>
      <c r="J18" s="295"/>
      <c r="K18" s="296"/>
    </row>
    <row r="19" spans="1:17" ht="15" customHeight="1">
      <c r="A19" s="703" t="s">
        <v>549</v>
      </c>
      <c r="B19" s="704"/>
      <c r="C19" s="705"/>
      <c r="D19" s="705"/>
      <c r="E19" s="705"/>
      <c r="F19" s="706"/>
      <c r="G19" s="707"/>
      <c r="H19" s="271">
        <f>NETWORKDAYS(D19,E19,'附录-节假日'!$A$1:$A$32)</f>
        <v>0</v>
      </c>
      <c r="I19" s="699">
        <f>H19/规模!$B$32</f>
        <v>0</v>
      </c>
      <c r="J19" s="295"/>
      <c r="K19" s="296"/>
    </row>
    <row r="20" spans="1:17" ht="15" customHeight="1">
      <c r="A20" s="703" t="s">
        <v>550</v>
      </c>
      <c r="B20" s="704"/>
      <c r="C20" s="705"/>
      <c r="D20" s="705"/>
      <c r="E20" s="705"/>
      <c r="F20" s="706"/>
      <c r="G20" s="707"/>
      <c r="H20" s="271">
        <f>NETWORKDAYS(D20,E20,'附录-节假日'!$A$1:$A$32)</f>
        <v>0</v>
      </c>
      <c r="I20" s="699">
        <f>H20/规模!$B$32</f>
        <v>0</v>
      </c>
      <c r="J20" s="295"/>
      <c r="K20" s="296"/>
    </row>
    <row r="21" spans="1:17" ht="15" customHeight="1">
      <c r="A21" s="90" t="s">
        <v>551</v>
      </c>
      <c r="B21" s="704"/>
      <c r="C21" s="705"/>
      <c r="D21" s="705"/>
      <c r="E21" s="705"/>
      <c r="F21" s="706"/>
      <c r="G21" s="707"/>
      <c r="H21" s="271">
        <f>NETWORKDAYS(D21,E21,'附录-节假日'!$A$1:$A$32)</f>
        <v>0</v>
      </c>
      <c r="I21" s="699">
        <f>H21/规模!$B$32</f>
        <v>0</v>
      </c>
      <c r="J21" s="295"/>
      <c r="K21" s="296"/>
    </row>
    <row r="22" spans="1:17" ht="15" customHeight="1">
      <c r="A22" s="91" t="s">
        <v>386</v>
      </c>
      <c r="B22" s="708"/>
      <c r="C22" s="709"/>
      <c r="D22" s="709"/>
      <c r="E22" s="709"/>
      <c r="F22" s="710"/>
      <c r="G22" s="711"/>
      <c r="H22" s="271">
        <f>NETWORKDAYS(D22,E22,'附录-节假日'!$A$1:$A$32)</f>
        <v>0</v>
      </c>
      <c r="I22" s="699">
        <f>H22/规模!B31</f>
        <v>0</v>
      </c>
      <c r="J22" s="297"/>
      <c r="K22" s="298"/>
    </row>
    <row r="23" spans="1:17" ht="14.25" customHeight="1">
      <c r="A23" s="272"/>
      <c r="B23" s="272"/>
      <c r="C23" s="272"/>
      <c r="D23" s="272"/>
      <c r="E23" s="272"/>
      <c r="F23" s="272"/>
      <c r="G23" s="272"/>
      <c r="H23" s="273"/>
      <c r="I23" s="273"/>
      <c r="L23" s="273"/>
    </row>
    <row r="24" spans="1:17" ht="14.25" customHeight="1">
      <c r="A24" s="956" t="s">
        <v>572</v>
      </c>
      <c r="B24" s="275" t="s">
        <v>573</v>
      </c>
      <c r="C24" s="275" t="str">
        <f t="shared" ref="C24:G24" si="0">CONCATENATE("第",COLUMN(C24)-COLUMN($B$24),"周")</f>
        <v>第1周</v>
      </c>
      <c r="D24" s="275" t="str">
        <f t="shared" si="0"/>
        <v>第2周</v>
      </c>
      <c r="E24" s="275" t="str">
        <f t="shared" si="0"/>
        <v>第3周</v>
      </c>
      <c r="F24" s="275" t="str">
        <f t="shared" si="0"/>
        <v>第4周</v>
      </c>
      <c r="G24" s="275" t="str">
        <f t="shared" si="0"/>
        <v>第5周</v>
      </c>
      <c r="H24" s="275" t="s">
        <v>574</v>
      </c>
    </row>
    <row r="25" spans="1:17" ht="14.25" customHeight="1">
      <c r="A25" s="956"/>
      <c r="B25" s="274" t="s">
        <v>263</v>
      </c>
      <c r="C25" s="276">
        <v>0</v>
      </c>
      <c r="D25" s="276">
        <v>0.05</v>
      </c>
      <c r="E25" s="276">
        <v>0</v>
      </c>
      <c r="F25" s="276">
        <v>0</v>
      </c>
      <c r="G25" s="276">
        <v>0</v>
      </c>
      <c r="H25" s="277">
        <v>0</v>
      </c>
    </row>
    <row r="26" spans="1:17" ht="14.25" customHeight="1">
      <c r="A26" s="957" t="s">
        <v>523</v>
      </c>
      <c r="B26" s="196" t="s">
        <v>167</v>
      </c>
      <c r="C26" s="278">
        <v>-0.1037</v>
      </c>
      <c r="D26" s="278">
        <v>-0.1037</v>
      </c>
      <c r="E26" s="278">
        <v>-0.1037</v>
      </c>
      <c r="F26" s="278">
        <v>-0.1037</v>
      </c>
      <c r="G26" s="278">
        <v>-0.1037</v>
      </c>
      <c r="H26" s="277">
        <v>-0.1</v>
      </c>
      <c r="M26" s="53" t="s">
        <v>855</v>
      </c>
      <c r="N26" s="256" t="s">
        <v>861</v>
      </c>
      <c r="O26" s="256" t="s">
        <v>857</v>
      </c>
      <c r="P26" s="256" t="s">
        <v>846</v>
      </c>
      <c r="Q26" s="256" t="s">
        <v>858</v>
      </c>
    </row>
    <row r="27" spans="1:17" ht="14.25" customHeight="1">
      <c r="A27" s="957"/>
      <c r="B27" s="197" t="s">
        <v>168</v>
      </c>
      <c r="C27" s="279">
        <v>-1.7100000000000001E-2</v>
      </c>
      <c r="D27" s="279">
        <v>-1.7100000000000001E-2</v>
      </c>
      <c r="E27" s="279">
        <v>-1.7100000000000001E-2</v>
      </c>
      <c r="F27" s="279">
        <v>-1.7100000000000001E-2</v>
      </c>
      <c r="G27" s="279">
        <v>-1.7100000000000001E-2</v>
      </c>
      <c r="H27" s="277">
        <v>0.02</v>
      </c>
      <c r="M27" s="53" t="s">
        <v>856</v>
      </c>
      <c r="N27" s="256">
        <f>I10</f>
        <v>0.20338983050847459</v>
      </c>
      <c r="O27" s="256">
        <f>项目度量分析计划!$D$29</f>
        <v>2.0000000000000001E-4</v>
      </c>
      <c r="P27" s="256">
        <f>项目度量分析计划!$E$29</f>
        <v>0.26900000000000002</v>
      </c>
      <c r="Q27" s="256">
        <f>项目度量分析计划!$F$29</f>
        <v>0.53779999999999994</v>
      </c>
    </row>
    <row r="28" spans="1:17" ht="14.25" customHeight="1">
      <c r="A28" s="957"/>
      <c r="B28" s="196" t="s">
        <v>342</v>
      </c>
      <c r="C28" s="278">
        <v>6.9500000000000006E-2</v>
      </c>
      <c r="D28" s="278">
        <v>6.9500000000000006E-2</v>
      </c>
      <c r="E28" s="278">
        <v>6.9500000000000006E-2</v>
      </c>
      <c r="F28" s="278">
        <v>6.9500000000000006E-2</v>
      </c>
      <c r="G28" s="278">
        <v>6.9500000000000006E-2</v>
      </c>
      <c r="H28" s="277">
        <v>0.1</v>
      </c>
      <c r="M28" s="53" t="s">
        <v>859</v>
      </c>
      <c r="N28" s="256">
        <f>I15</f>
        <v>0</v>
      </c>
      <c r="O28" s="256">
        <f>项目度量分析计划!$D$29</f>
        <v>2.0000000000000001E-4</v>
      </c>
      <c r="P28" s="256">
        <f>项目度量分析计划!$E$29</f>
        <v>0.26900000000000002</v>
      </c>
      <c r="Q28" s="256">
        <f>项目度量分析计划!$F$29</f>
        <v>0.53779999999999994</v>
      </c>
    </row>
    <row r="29" spans="1:17" ht="14.25" customHeight="1">
      <c r="A29" s="260"/>
      <c r="B29" s="260"/>
      <c r="C29" s="260"/>
      <c r="D29" s="260"/>
      <c r="E29" s="260"/>
      <c r="F29" s="260"/>
      <c r="G29" s="260"/>
      <c r="H29" s="225"/>
      <c r="M29" s="53" t="s">
        <v>860</v>
      </c>
      <c r="N29" s="256">
        <f>I19</f>
        <v>0</v>
      </c>
      <c r="O29" s="256">
        <f>项目度量分析计划!$D$29</f>
        <v>2.0000000000000001E-4</v>
      </c>
      <c r="P29" s="256">
        <f>项目度量分析计划!$E$29</f>
        <v>0.26900000000000002</v>
      </c>
      <c r="Q29" s="256">
        <f>项目度量分析计划!$F$29</f>
        <v>0.53779999999999994</v>
      </c>
    </row>
    <row r="30" spans="1:17" ht="14.25" customHeight="1">
      <c r="A30" s="260"/>
      <c r="B30" s="260"/>
      <c r="C30" s="260"/>
      <c r="D30" s="260"/>
      <c r="E30" s="260"/>
      <c r="F30" s="260"/>
      <c r="G30" s="260"/>
    </row>
    <row r="31" spans="1:17" ht="14.25" customHeight="1">
      <c r="A31" s="260"/>
      <c r="B31" s="260"/>
      <c r="C31" s="260"/>
      <c r="D31" s="260"/>
      <c r="E31" s="260"/>
      <c r="F31" s="260"/>
      <c r="G31" s="260"/>
    </row>
    <row r="32" spans="1:17" ht="14.25" customHeight="1">
      <c r="A32" s="260"/>
      <c r="B32" s="260"/>
      <c r="C32" s="260"/>
      <c r="D32" s="260"/>
      <c r="E32" s="260"/>
      <c r="F32" s="260"/>
      <c r="G32" s="260"/>
    </row>
    <row r="33" spans="1:17" ht="14.25" customHeight="1">
      <c r="A33" s="260"/>
      <c r="B33" s="260"/>
      <c r="C33" s="260"/>
      <c r="D33" s="260"/>
      <c r="E33" s="260"/>
      <c r="F33" s="260"/>
      <c r="G33" s="260"/>
      <c r="H33" s="225"/>
    </row>
    <row r="34" spans="1:17" ht="14.25" customHeight="1">
      <c r="A34" s="260"/>
      <c r="B34" s="260"/>
      <c r="C34" s="260"/>
      <c r="D34" s="260"/>
      <c r="E34" s="260"/>
      <c r="F34" s="260"/>
      <c r="G34" s="260"/>
      <c r="H34" s="225"/>
    </row>
    <row r="35" spans="1:17" ht="14.25" customHeight="1">
      <c r="A35" s="260"/>
      <c r="B35" s="260"/>
      <c r="C35" s="260"/>
      <c r="D35" s="260"/>
      <c r="E35" s="260"/>
      <c r="F35" s="260"/>
      <c r="G35" s="260"/>
      <c r="H35" s="700" t="s">
        <v>575</v>
      </c>
      <c r="I35" s="700"/>
      <c r="J35" s="213"/>
      <c r="K35" s="213"/>
      <c r="L35" s="700"/>
      <c r="M35" s="700"/>
      <c r="N35" s="700"/>
      <c r="O35" s="700"/>
    </row>
    <row r="36" spans="1:17" ht="14.25" customHeight="1">
      <c r="A36" s="260"/>
      <c r="B36" s="260"/>
      <c r="C36" s="260"/>
      <c r="D36" s="260"/>
      <c r="E36" s="260"/>
      <c r="F36" s="260"/>
      <c r="G36" s="260"/>
      <c r="H36" s="700"/>
      <c r="I36" s="700"/>
      <c r="J36" s="213"/>
      <c r="K36" s="213"/>
      <c r="L36" s="700"/>
    </row>
    <row r="37" spans="1:17" ht="14.25" customHeight="1">
      <c r="A37" s="260"/>
      <c r="B37" s="260"/>
      <c r="C37" s="260"/>
      <c r="D37" s="260"/>
      <c r="E37" s="260"/>
      <c r="F37" s="260"/>
      <c r="G37" s="260"/>
      <c r="H37" s="700"/>
      <c r="I37" s="700"/>
      <c r="J37" s="213"/>
      <c r="K37" s="213"/>
      <c r="L37" s="700"/>
    </row>
    <row r="38" spans="1:17" ht="10.5" customHeight="1">
      <c r="A38" s="260"/>
      <c r="B38" s="260"/>
      <c r="C38" s="260"/>
      <c r="D38" s="260"/>
      <c r="E38" s="260"/>
      <c r="F38" s="260"/>
      <c r="G38" s="260"/>
      <c r="H38" s="700"/>
      <c r="I38" s="700"/>
      <c r="J38" s="213"/>
      <c r="K38" s="213"/>
      <c r="L38" s="700"/>
    </row>
    <row r="39" spans="1:17" ht="14.25" customHeight="1">
      <c r="A39" s="260"/>
      <c r="B39" s="260"/>
      <c r="C39" s="260"/>
      <c r="D39" s="260"/>
      <c r="E39" s="260"/>
      <c r="F39" s="260"/>
      <c r="G39" s="260"/>
      <c r="H39" s="248"/>
      <c r="I39" s="213"/>
      <c r="J39" s="213"/>
      <c r="K39" s="213"/>
      <c r="L39" s="213"/>
    </row>
    <row r="40" spans="1:17" ht="14.25" customHeight="1">
      <c r="A40" s="260"/>
      <c r="B40" s="260"/>
      <c r="C40" s="260"/>
      <c r="D40" s="260"/>
      <c r="E40" s="260"/>
      <c r="F40" s="260"/>
      <c r="G40" s="260"/>
      <c r="H40" s="225"/>
    </row>
    <row r="41" spans="1:17" ht="14.25" customHeight="1">
      <c r="A41" s="260"/>
      <c r="B41" s="260"/>
      <c r="C41" s="260"/>
      <c r="D41" s="260"/>
      <c r="E41" s="260"/>
      <c r="F41" s="260"/>
      <c r="G41" s="260"/>
      <c r="H41" s="225"/>
      <c r="M41" s="53" t="s">
        <v>855</v>
      </c>
      <c r="N41" s="256" t="s">
        <v>862</v>
      </c>
      <c r="O41" s="256" t="s">
        <v>857</v>
      </c>
      <c r="P41" s="256" t="s">
        <v>846</v>
      </c>
      <c r="Q41" s="256" t="s">
        <v>858</v>
      </c>
    </row>
    <row r="42" spans="1:17" ht="14.25" customHeight="1">
      <c r="A42" s="260"/>
      <c r="B42" s="260"/>
      <c r="C42" s="260"/>
      <c r="D42" s="260"/>
      <c r="E42" s="260"/>
      <c r="F42" s="260"/>
      <c r="G42" s="260"/>
      <c r="H42" s="225"/>
      <c r="M42" s="53" t="s">
        <v>856</v>
      </c>
      <c r="N42" s="256">
        <f>I11</f>
        <v>0.11864406779661017</v>
      </c>
      <c r="O42" s="256">
        <f>项目度量分析计划!$D$37</f>
        <v>8.9999999999999998E-4</v>
      </c>
      <c r="P42" s="256">
        <f>项目度量分析计划!$E$37</f>
        <v>0.2019</v>
      </c>
      <c r="Q42" s="256">
        <f>项目度量分析计划!$F$37</f>
        <v>0.40289999999999998</v>
      </c>
    </row>
    <row r="43" spans="1:17" ht="14.25" customHeight="1">
      <c r="A43" s="260"/>
      <c r="B43" s="260"/>
      <c r="C43" s="260"/>
      <c r="D43" s="260"/>
      <c r="E43" s="260"/>
      <c r="F43" s="260"/>
      <c r="G43" s="260"/>
      <c r="H43" s="225"/>
      <c r="M43" s="53" t="s">
        <v>859</v>
      </c>
      <c r="N43" s="256">
        <f>I16</f>
        <v>0</v>
      </c>
      <c r="O43" s="256">
        <f>项目度量分析计划!$D$37</f>
        <v>8.9999999999999998E-4</v>
      </c>
      <c r="P43" s="256">
        <f>项目度量分析计划!$E$37</f>
        <v>0.2019</v>
      </c>
      <c r="Q43" s="256">
        <f>项目度量分析计划!$F$37</f>
        <v>0.40289999999999998</v>
      </c>
    </row>
    <row r="44" spans="1:17" hidden="1">
      <c r="A44" s="75" t="s">
        <v>576</v>
      </c>
      <c r="B44" s="280"/>
      <c r="H44" s="225"/>
      <c r="M44" s="53" t="s">
        <v>859</v>
      </c>
      <c r="N44" s="256">
        <f t="shared" ref="N44:N49" si="1">I17</f>
        <v>0</v>
      </c>
      <c r="O44" s="256">
        <f>项目度量分析计划!$D$37</f>
        <v>8.9999999999999998E-4</v>
      </c>
      <c r="P44" s="256">
        <f>项目度量分析计划!$E$37</f>
        <v>0.2019</v>
      </c>
      <c r="Q44" s="256">
        <f>项目度量分析计划!$F$37</f>
        <v>0.40289999999999998</v>
      </c>
    </row>
    <row r="45" spans="1:17" hidden="1">
      <c r="A45" s="955" t="s">
        <v>577</v>
      </c>
      <c r="B45" s="955"/>
      <c r="C45" s="955"/>
      <c r="D45" s="955"/>
      <c r="G45" s="281"/>
      <c r="H45" s="225"/>
      <c r="M45" s="53" t="s">
        <v>859</v>
      </c>
      <c r="N45" s="256">
        <f t="shared" si="1"/>
        <v>0</v>
      </c>
      <c r="O45" s="256">
        <f>项目度量分析计划!$D$37</f>
        <v>8.9999999999999998E-4</v>
      </c>
      <c r="P45" s="256">
        <f>项目度量分析计划!$E$37</f>
        <v>0.2019</v>
      </c>
      <c r="Q45" s="256">
        <f>项目度量分析计划!$F$37</f>
        <v>0.40289999999999998</v>
      </c>
    </row>
    <row r="46" spans="1:17" hidden="1">
      <c r="A46" s="261" t="s">
        <v>578</v>
      </c>
      <c r="B46" s="261"/>
      <c r="C46" s="261"/>
      <c r="D46" s="261"/>
      <c r="G46" s="281"/>
      <c r="H46" s="225"/>
      <c r="M46" s="53" t="s">
        <v>859</v>
      </c>
      <c r="N46" s="256">
        <f t="shared" si="1"/>
        <v>0</v>
      </c>
      <c r="O46" s="256">
        <f>项目度量分析计划!$D$37</f>
        <v>8.9999999999999998E-4</v>
      </c>
      <c r="P46" s="256">
        <f>项目度量分析计划!$E$37</f>
        <v>0.2019</v>
      </c>
      <c r="Q46" s="256">
        <f>项目度量分析计划!$F$37</f>
        <v>0.40289999999999998</v>
      </c>
    </row>
    <row r="47" spans="1:17" ht="15" hidden="1" customHeight="1">
      <c r="A47" s="958" t="s">
        <v>579</v>
      </c>
      <c r="B47" s="960" t="e">
        <f>C48/D48</f>
        <v>#DIV/0!</v>
      </c>
      <c r="C47" s="282" t="s">
        <v>580</v>
      </c>
      <c r="D47" s="283" t="s">
        <v>581</v>
      </c>
      <c r="H47" s="225"/>
      <c r="M47" s="53" t="s">
        <v>859</v>
      </c>
      <c r="N47" s="256">
        <f t="shared" si="1"/>
        <v>0</v>
      </c>
      <c r="O47" s="256">
        <f>项目度量分析计划!$D$37</f>
        <v>8.9999999999999998E-4</v>
      </c>
      <c r="P47" s="256">
        <f>项目度量分析计划!$E$37</f>
        <v>0.2019</v>
      </c>
      <c r="Q47" s="256">
        <f>项目度量分析计划!$F$37</f>
        <v>0.40289999999999998</v>
      </c>
    </row>
    <row r="48" spans="1:17" ht="15" hidden="1" customHeight="1">
      <c r="A48" s="959"/>
      <c r="B48" s="961"/>
      <c r="C48" s="284"/>
      <c r="D48" s="285"/>
      <c r="M48" s="53" t="s">
        <v>859</v>
      </c>
      <c r="N48" s="256">
        <f t="shared" si="1"/>
        <v>0</v>
      </c>
      <c r="O48" s="256">
        <f>项目度量分析计划!$D$37</f>
        <v>8.9999999999999998E-4</v>
      </c>
      <c r="P48" s="256">
        <f>项目度量分析计划!$E$37</f>
        <v>0.2019</v>
      </c>
      <c r="Q48" s="256">
        <f>项目度量分析计划!$F$37</f>
        <v>0.40289999999999998</v>
      </c>
    </row>
    <row r="49" spans="1:17" ht="15" customHeight="1">
      <c r="M49" s="53" t="s">
        <v>863</v>
      </c>
      <c r="N49" s="256">
        <f t="shared" si="1"/>
        <v>0</v>
      </c>
      <c r="O49" s="256">
        <f>项目度量分析计划!$D$37</f>
        <v>8.9999999999999998E-4</v>
      </c>
      <c r="P49" s="256">
        <f>项目度量分析计划!$E$37</f>
        <v>0.2019</v>
      </c>
      <c r="Q49" s="256">
        <f>项目度量分析计划!$F$37</f>
        <v>0.40289999999999998</v>
      </c>
    </row>
    <row r="50" spans="1:17" ht="15" customHeight="1">
      <c r="A50" s="75" t="s">
        <v>582</v>
      </c>
      <c r="B50" s="280"/>
      <c r="O50" s="256"/>
    </row>
    <row r="51" spans="1:17">
      <c r="A51" s="890" t="s">
        <v>583</v>
      </c>
      <c r="B51" s="890"/>
      <c r="C51" s="890"/>
      <c r="D51" s="890"/>
      <c r="E51" s="890"/>
      <c r="F51" s="890"/>
      <c r="G51" s="890"/>
      <c r="H51" s="890"/>
      <c r="I51" s="890"/>
    </row>
    <row r="52" spans="1:17">
      <c r="A52" s="54" t="s">
        <v>584</v>
      </c>
      <c r="B52" s="54"/>
      <c r="C52" s="54"/>
      <c r="D52" s="54"/>
      <c r="E52" s="54"/>
      <c r="F52" s="54"/>
      <c r="G52" s="54"/>
      <c r="H52" s="54"/>
      <c r="I52" s="54"/>
    </row>
    <row r="53" spans="1:17" ht="24">
      <c r="A53" s="286" t="s">
        <v>585</v>
      </c>
      <c r="B53" s="286" t="s">
        <v>586</v>
      </c>
      <c r="C53" s="287" t="s">
        <v>587</v>
      </c>
      <c r="D53" s="287" t="s">
        <v>588</v>
      </c>
      <c r="E53" s="287" t="s">
        <v>589</v>
      </c>
      <c r="F53" s="287" t="s">
        <v>590</v>
      </c>
      <c r="G53" s="53"/>
      <c r="H53" s="288"/>
      <c r="I53" s="299"/>
    </row>
    <row r="54" spans="1:17" ht="17.25" customHeight="1">
      <c r="A54" s="289" t="s">
        <v>384</v>
      </c>
      <c r="B54" s="289" t="s">
        <v>591</v>
      </c>
      <c r="C54" s="290" t="s">
        <v>539</v>
      </c>
      <c r="D54" s="290" t="s">
        <v>539</v>
      </c>
      <c r="E54" s="290" t="s">
        <v>539</v>
      </c>
      <c r="F54" s="290" t="s">
        <v>539</v>
      </c>
      <c r="G54" s="53"/>
      <c r="H54" s="288"/>
      <c r="I54" s="300"/>
    </row>
    <row r="55" spans="1:17" ht="17.25" customHeight="1">
      <c r="A55" s="289" t="s">
        <v>592</v>
      </c>
      <c r="B55" s="289"/>
      <c r="C55" s="289"/>
      <c r="D55" s="290" t="s">
        <v>539</v>
      </c>
      <c r="E55" s="290" t="s">
        <v>539</v>
      </c>
      <c r="F55" s="289" t="e">
        <f>(C55-B55)/B55</f>
        <v>#DIV/0!</v>
      </c>
      <c r="G55" s="53"/>
      <c r="H55" s="288"/>
      <c r="I55" s="300"/>
    </row>
    <row r="56" spans="1:17" ht="17.25" customHeight="1">
      <c r="A56" s="289" t="s">
        <v>593</v>
      </c>
      <c r="B56" s="289"/>
      <c r="C56" s="290" t="s">
        <v>539</v>
      </c>
      <c r="D56" s="289"/>
      <c r="E56" s="290" t="s">
        <v>539</v>
      </c>
      <c r="F56" s="289" t="e">
        <f>(D56-B56)/B56</f>
        <v>#DIV/0!</v>
      </c>
      <c r="G56" s="53"/>
      <c r="H56" s="288"/>
      <c r="I56" s="300"/>
    </row>
    <row r="57" spans="1:17" ht="17.25" customHeight="1">
      <c r="A57" s="289" t="s">
        <v>594</v>
      </c>
      <c r="B57" s="289"/>
      <c r="C57" s="290" t="s">
        <v>539</v>
      </c>
      <c r="D57" s="290" t="s">
        <v>539</v>
      </c>
      <c r="E57" s="289"/>
      <c r="F57" s="289" t="e">
        <f>(E57-B57)/B57</f>
        <v>#DIV/0!</v>
      </c>
      <c r="G57" s="53"/>
      <c r="H57" s="288"/>
      <c r="I57" s="300"/>
    </row>
    <row r="58" spans="1:17" ht="17.25" customHeight="1">
      <c r="A58" s="289" t="s">
        <v>386</v>
      </c>
      <c r="B58" s="289"/>
      <c r="C58" s="290" t="s">
        <v>539</v>
      </c>
      <c r="D58" s="290" t="s">
        <v>539</v>
      </c>
      <c r="E58" s="290" t="s">
        <v>539</v>
      </c>
      <c r="F58" s="290" t="s">
        <v>539</v>
      </c>
      <c r="G58" s="53"/>
      <c r="H58" s="288"/>
      <c r="I58" s="300"/>
    </row>
  </sheetData>
  <mergeCells count="9">
    <mergeCell ref="A1:M1"/>
    <mergeCell ref="A4:F4"/>
    <mergeCell ref="I4:J4"/>
    <mergeCell ref="A45:D45"/>
    <mergeCell ref="A51:I51"/>
    <mergeCell ref="A24:A25"/>
    <mergeCell ref="A26:A28"/>
    <mergeCell ref="A47:A48"/>
    <mergeCell ref="B47:B48"/>
  </mergeCells>
  <phoneticPr fontId="150" type="noConversion"/>
  <pageMargins left="0.98402777777777795" right="0.74791666666666701" top="0.98402777777777795" bottom="0.98402777777777795" header="0.51180555555555596" footer="0.51180555555555596"/>
  <pageSetup paperSize="9" orientation="landscape"/>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58371" r:id="rId3" name="Button 3">
              <controlPr defaultSize="0" print="0" autoPict="0" macro="[0]!Button1_Click_week_added">
                <anchor moveWithCells="1" sizeWithCells="1">
                  <from>
                    <xdr:col>7</xdr:col>
                    <xdr:colOff>9525</xdr:colOff>
                    <xdr:row>28</xdr:row>
                    <xdr:rowOff>171450</xdr:rowOff>
                  </from>
                  <to>
                    <xdr:col>7</xdr:col>
                    <xdr:colOff>676275</xdr:colOff>
                    <xdr:row>30</xdr:row>
                    <xdr:rowOff>133350</xdr:rowOff>
                  </to>
                </anchor>
              </controlPr>
            </control>
          </mc:Choice>
        </mc:AlternateContent>
        <mc:AlternateContent xmlns:mc="http://schemas.openxmlformats.org/markup-compatibility/2006">
          <mc:Choice Requires="x14">
            <control shapeId="58372" r:id="rId4" name="Button 4">
              <controlPr defaultSize="0" print="0" autoPict="0" macro="[0]!Button2_Click_week_delete">
                <anchor moveWithCells="1" sizeWithCells="1">
                  <from>
                    <xdr:col>7</xdr:col>
                    <xdr:colOff>19050</xdr:colOff>
                    <xdr:row>31</xdr:row>
                    <xdr:rowOff>28575</xdr:rowOff>
                  </from>
                  <to>
                    <xdr:col>7</xdr:col>
                    <xdr:colOff>685800</xdr:colOff>
                    <xdr:row>32</xdr:row>
                    <xdr:rowOff>171450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7"/>
    <outlinePr summaryBelow="0"/>
  </sheetPr>
  <dimension ref="A1:Q398"/>
  <sheetViews>
    <sheetView topLeftCell="A392" workbookViewId="0">
      <selection activeCell="A397" sqref="A397"/>
    </sheetView>
  </sheetViews>
  <sheetFormatPr defaultColWidth="9" defaultRowHeight="12" outlineLevelRow="1"/>
  <cols>
    <col min="1" max="1" width="9.875" style="225" customWidth="1"/>
    <col min="2" max="2" width="9" style="225"/>
    <col min="3" max="3" width="9.375" style="225" customWidth="1"/>
    <col min="4" max="9" width="9" style="225"/>
    <col min="10" max="11" width="8.25" style="225" customWidth="1"/>
    <col min="12" max="12" width="10.25" style="225" customWidth="1"/>
    <col min="13" max="13" width="11.25" style="225" customWidth="1"/>
    <col min="14" max="16384" width="9" style="225"/>
  </cols>
  <sheetData>
    <row r="1" spans="1:16" ht="24.75" customHeight="1">
      <c r="A1" s="949" t="s">
        <v>595</v>
      </c>
      <c r="B1" s="949"/>
      <c r="C1" s="949"/>
      <c r="D1" s="949"/>
      <c r="E1" s="949"/>
      <c r="F1" s="949"/>
      <c r="G1" s="949"/>
      <c r="H1" s="949"/>
      <c r="I1" s="949"/>
      <c r="J1" s="949"/>
      <c r="K1" s="949"/>
      <c r="L1" s="949"/>
      <c r="M1" s="949"/>
      <c r="N1" s="949"/>
      <c r="O1" s="949"/>
      <c r="P1" s="949"/>
    </row>
    <row r="2" spans="1:16" ht="24.75" customHeight="1">
      <c r="A2" s="59" t="s">
        <v>385</v>
      </c>
      <c r="B2" s="59"/>
      <c r="C2" s="59"/>
      <c r="D2" s="59"/>
      <c r="E2" s="59"/>
      <c r="F2" s="59"/>
      <c r="G2" s="59"/>
      <c r="H2" s="59"/>
      <c r="I2" s="59"/>
      <c r="J2" s="59"/>
      <c r="K2" s="59"/>
      <c r="L2" s="59"/>
      <c r="M2" s="59"/>
      <c r="N2" s="59"/>
      <c r="O2" s="59"/>
      <c r="P2" s="59"/>
    </row>
    <row r="3" spans="1:16" ht="27" customHeight="1" outlineLevel="1">
      <c r="A3" s="969" t="s">
        <v>596</v>
      </c>
      <c r="B3" s="969"/>
      <c r="C3" s="969"/>
      <c r="D3" s="969"/>
      <c r="E3" s="969"/>
      <c r="F3" s="969"/>
      <c r="G3" s="969"/>
      <c r="H3" s="969"/>
      <c r="I3" s="969"/>
      <c r="J3" s="59"/>
      <c r="K3" s="59"/>
      <c r="L3" s="59"/>
      <c r="M3" s="59"/>
      <c r="N3" s="59"/>
      <c r="O3" s="59"/>
      <c r="P3" s="59"/>
    </row>
    <row r="4" spans="1:16" ht="12" customHeight="1" outlineLevel="1">
      <c r="A4" s="227" t="s">
        <v>597</v>
      </c>
      <c r="B4" s="226"/>
      <c r="C4" s="226"/>
      <c r="D4" s="226"/>
      <c r="E4" s="226"/>
      <c r="F4" s="226"/>
      <c r="G4" s="226"/>
      <c r="H4" s="226"/>
      <c r="I4" s="226"/>
      <c r="J4" s="59"/>
      <c r="K4" s="59"/>
      <c r="L4" s="59"/>
      <c r="M4" s="59"/>
      <c r="N4" s="59"/>
      <c r="O4" s="59"/>
      <c r="P4" s="59"/>
    </row>
    <row r="5" spans="1:16" ht="17.25" customHeight="1" outlineLevel="1">
      <c r="A5" s="75" t="s">
        <v>598</v>
      </c>
      <c r="B5" s="75"/>
      <c r="C5" s="228"/>
    </row>
    <row r="6" spans="1:16" ht="25.5" customHeight="1" outlineLevel="1">
      <c r="A6" s="965" t="s">
        <v>599</v>
      </c>
      <c r="B6" s="965" t="s">
        <v>600</v>
      </c>
      <c r="C6" s="965"/>
      <c r="D6" s="965"/>
      <c r="E6" s="965"/>
      <c r="F6" s="965"/>
      <c r="G6" s="966" t="s">
        <v>601</v>
      </c>
      <c r="H6" s="966" t="s">
        <v>602</v>
      </c>
      <c r="I6" s="965" t="s">
        <v>603</v>
      </c>
      <c r="J6" s="962" t="s">
        <v>604</v>
      </c>
      <c r="K6" s="962" t="s">
        <v>605</v>
      </c>
      <c r="L6" s="964" t="s">
        <v>606</v>
      </c>
      <c r="M6" s="962" t="s">
        <v>607</v>
      </c>
      <c r="N6" s="968" t="s">
        <v>523</v>
      </c>
      <c r="O6" s="968"/>
      <c r="P6" s="968"/>
    </row>
    <row r="7" spans="1:16" ht="13.5" customHeight="1" outlineLevel="1">
      <c r="A7" s="965"/>
      <c r="B7" s="157" t="s">
        <v>608</v>
      </c>
      <c r="C7" s="157" t="s">
        <v>609</v>
      </c>
      <c r="D7" s="157" t="s">
        <v>610</v>
      </c>
      <c r="E7" s="157" t="s">
        <v>611</v>
      </c>
      <c r="F7" s="157" t="s">
        <v>612</v>
      </c>
      <c r="G7" s="967"/>
      <c r="H7" s="967"/>
      <c r="I7" s="965"/>
      <c r="J7" s="963"/>
      <c r="K7" s="963"/>
      <c r="L7" s="965"/>
      <c r="M7" s="963"/>
      <c r="N7" s="196" t="s">
        <v>167</v>
      </c>
      <c r="O7" s="197" t="s">
        <v>168</v>
      </c>
      <c r="P7" s="196" t="s">
        <v>342</v>
      </c>
    </row>
    <row r="8" spans="1:16" ht="14.25" customHeight="1" outlineLevel="1">
      <c r="A8" s="157" t="str">
        <f t="shared" ref="A8" si="0">CONCATENATE("第",ROW(A8)-ROW($A$7),"次评审")</f>
        <v>第1次评审</v>
      </c>
      <c r="B8" s="229">
        <v>0</v>
      </c>
      <c r="C8" s="229">
        <v>0</v>
      </c>
      <c r="D8" s="229">
        <v>3</v>
      </c>
      <c r="E8" s="229">
        <v>0</v>
      </c>
      <c r="F8" s="229">
        <v>0</v>
      </c>
      <c r="G8" s="229">
        <v>3</v>
      </c>
      <c r="H8" s="229">
        <v>0</v>
      </c>
      <c r="I8" s="231">
        <f t="shared" ref="I8:I9" si="1">SUM($B8:$F8)</f>
        <v>3</v>
      </c>
      <c r="J8" s="229">
        <v>34</v>
      </c>
      <c r="K8" s="229">
        <v>8</v>
      </c>
      <c r="L8" s="236">
        <f t="shared" ref="L8:L10" si="2">I8/J8</f>
        <v>8.8235294117647065E-2</v>
      </c>
      <c r="M8" s="236">
        <f>K8/J8</f>
        <v>0.23529411764705882</v>
      </c>
      <c r="N8" s="201">
        <v>0</v>
      </c>
      <c r="O8" s="202">
        <v>0.21110000000000001</v>
      </c>
      <c r="P8" s="201">
        <v>0.627</v>
      </c>
    </row>
    <row r="9" spans="1:16" outlineLevel="1">
      <c r="A9" s="157" t="s">
        <v>613</v>
      </c>
      <c r="B9" s="230" t="s">
        <v>172</v>
      </c>
      <c r="C9" s="230" t="s">
        <v>172</v>
      </c>
      <c r="D9" s="230" t="s">
        <v>172</v>
      </c>
      <c r="E9" s="230" t="s">
        <v>172</v>
      </c>
      <c r="F9" s="230" t="s">
        <v>172</v>
      </c>
      <c r="G9" s="230" t="s">
        <v>172</v>
      </c>
      <c r="H9" s="230" t="s">
        <v>172</v>
      </c>
      <c r="I9" s="230">
        <f t="shared" si="1"/>
        <v>0</v>
      </c>
      <c r="J9" s="230" t="s">
        <v>172</v>
      </c>
      <c r="K9" s="230"/>
      <c r="L9" s="237" t="e">
        <f t="shared" si="2"/>
        <v>#VALUE!</v>
      </c>
      <c r="M9" s="237"/>
      <c r="N9" s="238">
        <v>0</v>
      </c>
      <c r="O9" s="238">
        <v>0.3075</v>
      </c>
      <c r="P9" s="238">
        <v>0.65469999999999995</v>
      </c>
    </row>
    <row r="10" spans="1:16" outlineLevel="1">
      <c r="A10" s="157" t="s">
        <v>387</v>
      </c>
      <c r="B10" s="231">
        <f t="shared" ref="B10:H10" si="3">SUM(B8:B9)</f>
        <v>0</v>
      </c>
      <c r="C10" s="231">
        <f t="shared" si="3"/>
        <v>0</v>
      </c>
      <c r="D10" s="231">
        <f t="shared" si="3"/>
        <v>3</v>
      </c>
      <c r="E10" s="231">
        <f t="shared" si="3"/>
        <v>0</v>
      </c>
      <c r="F10" s="231">
        <f t="shared" si="3"/>
        <v>0</v>
      </c>
      <c r="G10" s="231">
        <f t="shared" si="3"/>
        <v>3</v>
      </c>
      <c r="H10" s="231">
        <f t="shared" si="3"/>
        <v>0</v>
      </c>
      <c r="I10" s="231">
        <f>IF(SUM(I8:I9)=0,"-",SUM(I8:I9))</f>
        <v>3</v>
      </c>
      <c r="J10" s="231">
        <f>IF(SUM(J8:J9)=0,"-",SUM(J8:J9))</f>
        <v>34</v>
      </c>
      <c r="K10" s="231">
        <f>IF(SUM(K8:K9)=0,"-",SUM(K8:K9))</f>
        <v>8</v>
      </c>
      <c r="L10" s="236">
        <f t="shared" si="2"/>
        <v>8.8235294117647065E-2</v>
      </c>
      <c r="M10" s="239">
        <f>K10/J10</f>
        <v>0.23529411764705882</v>
      </c>
      <c r="N10" s="240"/>
      <c r="O10" s="240"/>
      <c r="P10" s="240"/>
    </row>
    <row r="11" spans="1:16" outlineLevel="1"/>
    <row r="12" spans="1:16" outlineLevel="1"/>
    <row r="13" spans="1:16" outlineLevel="1">
      <c r="N13" s="241"/>
    </row>
    <row r="14" spans="1:16" outlineLevel="1">
      <c r="N14" s="241"/>
    </row>
    <row r="15" spans="1:16" outlineLevel="1">
      <c r="N15" s="241"/>
    </row>
    <row r="16" spans="1:16" outlineLevel="1">
      <c r="N16" s="241"/>
    </row>
    <row r="17" spans="1:16" outlineLevel="1">
      <c r="N17" s="241"/>
    </row>
    <row r="18" spans="1:16" outlineLevel="1"/>
    <row r="19" spans="1:16" outlineLevel="1"/>
    <row r="20" spans="1:16" outlineLevel="1"/>
    <row r="21" spans="1:16" outlineLevel="1"/>
    <row r="22" spans="1:16" outlineLevel="1"/>
    <row r="23" spans="1:16" outlineLevel="1"/>
    <row r="24" spans="1:16" outlineLevel="1"/>
    <row r="25" spans="1:16" outlineLevel="1"/>
    <row r="26" spans="1:16" outlineLevel="1"/>
    <row r="27" spans="1:16" ht="27" outlineLevel="1">
      <c r="A27" s="75" t="s">
        <v>614</v>
      </c>
      <c r="B27" s="75"/>
      <c r="C27" s="228"/>
      <c r="D27" s="232"/>
      <c r="E27" s="232"/>
      <c r="F27" s="232"/>
      <c r="G27" s="232"/>
      <c r="H27" s="232"/>
      <c r="I27" s="232"/>
      <c r="J27" s="232"/>
      <c r="K27" s="232"/>
      <c r="L27" s="232"/>
      <c r="M27" s="242"/>
    </row>
    <row r="28" spans="1:16" outlineLevel="1">
      <c r="A28" s="965" t="s">
        <v>599</v>
      </c>
      <c r="B28" s="965" t="s">
        <v>600</v>
      </c>
      <c r="C28" s="965"/>
      <c r="D28" s="965"/>
      <c r="E28" s="965"/>
      <c r="F28" s="965"/>
      <c r="G28" s="966" t="s">
        <v>601</v>
      </c>
      <c r="H28" s="966" t="s">
        <v>602</v>
      </c>
      <c r="I28" s="965" t="s">
        <v>603</v>
      </c>
      <c r="J28" s="962" t="s">
        <v>604</v>
      </c>
      <c r="K28" s="962" t="s">
        <v>605</v>
      </c>
      <c r="L28" s="964" t="s">
        <v>606</v>
      </c>
      <c r="M28" s="962" t="s">
        <v>607</v>
      </c>
      <c r="N28" s="968" t="s">
        <v>523</v>
      </c>
      <c r="O28" s="968"/>
      <c r="P28" s="968"/>
    </row>
    <row r="29" spans="1:16" ht="27" customHeight="1" outlineLevel="1">
      <c r="A29" s="965"/>
      <c r="B29" s="157" t="s">
        <v>608</v>
      </c>
      <c r="C29" s="157" t="s">
        <v>609</v>
      </c>
      <c r="D29" s="157" t="s">
        <v>610</v>
      </c>
      <c r="E29" s="157" t="s">
        <v>611</v>
      </c>
      <c r="F29" s="157" t="s">
        <v>612</v>
      </c>
      <c r="G29" s="967"/>
      <c r="H29" s="967"/>
      <c r="I29" s="965"/>
      <c r="J29" s="963"/>
      <c r="K29" s="963"/>
      <c r="L29" s="965"/>
      <c r="M29" s="963"/>
      <c r="N29" s="196" t="s">
        <v>167</v>
      </c>
      <c r="O29" s="197" t="s">
        <v>168</v>
      </c>
      <c r="P29" s="196" t="s">
        <v>342</v>
      </c>
    </row>
    <row r="30" spans="1:16" ht="18.75" customHeight="1" outlineLevel="1">
      <c r="A30" s="157" t="str">
        <f t="shared" ref="A30:A33" si="4">CONCATENATE("第",ROW(A30)-ROW($A$29),"次评审")</f>
        <v>第1次评审</v>
      </c>
      <c r="B30" s="229"/>
      <c r="C30" s="229"/>
      <c r="D30" s="229"/>
      <c r="E30" s="229"/>
      <c r="F30" s="229"/>
      <c r="G30" s="229"/>
      <c r="H30" s="229"/>
      <c r="I30" s="231">
        <f t="shared" ref="I30:I34" si="5">SUM($B30:$F30)</f>
        <v>0</v>
      </c>
      <c r="J30" s="229"/>
      <c r="K30" s="229"/>
      <c r="L30" s="236" t="e">
        <f>I30/J30</f>
        <v>#DIV/0!</v>
      </c>
      <c r="M30" s="236" t="e">
        <f>K30/J30</f>
        <v>#DIV/0!</v>
      </c>
      <c r="N30" s="201">
        <v>0</v>
      </c>
      <c r="O30" s="202">
        <v>7.5399999999999995E-2</v>
      </c>
      <c r="P30" s="201">
        <v>0.2273</v>
      </c>
    </row>
    <row r="31" spans="1:16" outlineLevel="1">
      <c r="A31" s="157" t="str">
        <f t="shared" si="4"/>
        <v>第2次评审</v>
      </c>
      <c r="B31" s="229"/>
      <c r="C31" s="229"/>
      <c r="D31" s="229"/>
      <c r="E31" s="229"/>
      <c r="F31" s="229"/>
      <c r="G31" s="229"/>
      <c r="H31" s="229"/>
      <c r="I31" s="243">
        <f t="shared" si="5"/>
        <v>0</v>
      </c>
      <c r="J31" s="229"/>
      <c r="K31" s="229"/>
      <c r="L31" s="236" t="e">
        <f t="shared" ref="L31:L35" si="6">I31/J31</f>
        <v>#DIV/0!</v>
      </c>
      <c r="M31" s="236" t="e">
        <f>K31/J31</f>
        <v>#DIV/0!</v>
      </c>
      <c r="N31" s="201">
        <v>0</v>
      </c>
      <c r="O31" s="202">
        <v>7.5399999999999995E-2</v>
      </c>
      <c r="P31" s="201">
        <v>0.2273</v>
      </c>
    </row>
    <row r="32" spans="1:16" outlineLevel="1">
      <c r="A32" s="157" t="str">
        <f t="shared" si="4"/>
        <v>第3次评审</v>
      </c>
      <c r="B32" s="229"/>
      <c r="C32" s="229"/>
      <c r="D32" s="229"/>
      <c r="E32" s="229"/>
      <c r="F32" s="229"/>
      <c r="G32" s="229"/>
      <c r="H32" s="229"/>
      <c r="I32" s="243">
        <f t="shared" si="5"/>
        <v>0</v>
      </c>
      <c r="J32" s="229"/>
      <c r="K32" s="229"/>
      <c r="L32" s="236" t="e">
        <f t="shared" si="6"/>
        <v>#DIV/0!</v>
      </c>
      <c r="M32" s="236" t="e">
        <f>K32/J32</f>
        <v>#DIV/0!</v>
      </c>
      <c r="N32" s="201">
        <v>0</v>
      </c>
      <c r="O32" s="202">
        <v>7.5399999999999995E-2</v>
      </c>
      <c r="P32" s="201">
        <v>0.2273</v>
      </c>
    </row>
    <row r="33" spans="1:17" outlineLevel="1">
      <c r="A33" s="157" t="str">
        <f t="shared" si="4"/>
        <v>第4次评审</v>
      </c>
      <c r="B33" s="229"/>
      <c r="C33" s="229"/>
      <c r="D33" s="229"/>
      <c r="E33" s="229"/>
      <c r="F33" s="229"/>
      <c r="G33" s="229"/>
      <c r="H33" s="229"/>
      <c r="I33" s="243">
        <f t="shared" si="5"/>
        <v>0</v>
      </c>
      <c r="J33" s="229"/>
      <c r="K33" s="229"/>
      <c r="L33" s="236" t="e">
        <f t="shared" si="6"/>
        <v>#DIV/0!</v>
      </c>
      <c r="M33" s="236"/>
      <c r="N33" s="201">
        <v>0</v>
      </c>
      <c r="O33" s="202">
        <v>7.5399999999999995E-2</v>
      </c>
      <c r="P33" s="201">
        <v>0.2273</v>
      </c>
    </row>
    <row r="34" spans="1:17" outlineLevel="1">
      <c r="A34" s="157" t="s">
        <v>613</v>
      </c>
      <c r="B34" s="233" t="s">
        <v>172</v>
      </c>
      <c r="C34" s="233" t="s">
        <v>172</v>
      </c>
      <c r="D34" s="233" t="s">
        <v>172</v>
      </c>
      <c r="E34" s="233" t="s">
        <v>172</v>
      </c>
      <c r="F34" s="233" t="s">
        <v>172</v>
      </c>
      <c r="G34" s="233" t="s">
        <v>172</v>
      </c>
      <c r="H34" s="233" t="s">
        <v>172</v>
      </c>
      <c r="I34" s="230">
        <f t="shared" si="5"/>
        <v>0</v>
      </c>
      <c r="J34" s="244" t="s">
        <v>172</v>
      </c>
      <c r="K34" s="244"/>
      <c r="L34" s="237" t="e">
        <f t="shared" si="6"/>
        <v>#VALUE!</v>
      </c>
      <c r="M34" s="237"/>
      <c r="N34" s="245">
        <v>0</v>
      </c>
      <c r="O34" s="245">
        <v>0.28660000000000002</v>
      </c>
      <c r="P34" s="245">
        <v>0.61099999999999999</v>
      </c>
    </row>
    <row r="35" spans="1:17" outlineLevel="1">
      <c r="A35" s="157" t="s">
        <v>387</v>
      </c>
      <c r="B35" s="231">
        <f t="shared" ref="B35:H35" si="7">SUM(B30:B34)</f>
        <v>0</v>
      </c>
      <c r="C35" s="231">
        <f t="shared" si="7"/>
        <v>0</v>
      </c>
      <c r="D35" s="231">
        <f t="shared" si="7"/>
        <v>0</v>
      </c>
      <c r="E35" s="231">
        <f t="shared" si="7"/>
        <v>0</v>
      </c>
      <c r="F35" s="231">
        <f t="shared" si="7"/>
        <v>0</v>
      </c>
      <c r="G35" s="231">
        <f t="shared" si="7"/>
        <v>0</v>
      </c>
      <c r="H35" s="231">
        <f t="shared" si="7"/>
        <v>0</v>
      </c>
      <c r="I35" s="231" t="str">
        <f>IF(SUM(I31:I34)=0,"-",SUM(I31:I34))</f>
        <v>-</v>
      </c>
      <c r="J35" s="231" t="str">
        <f>IF(SUM(J31:J34)=0,"-",SUM(J31:J34))</f>
        <v>-</v>
      </c>
      <c r="K35" s="231" t="str">
        <f>IF(SUM(K31:K34)=0,"-",SUM(K31:K34))</f>
        <v>-</v>
      </c>
      <c r="L35" s="236" t="e">
        <f t="shared" si="6"/>
        <v>#VALUE!</v>
      </c>
      <c r="M35" s="239" t="e">
        <f>K35/J35</f>
        <v>#VALUE!</v>
      </c>
      <c r="N35" s="240"/>
      <c r="O35" s="240"/>
      <c r="P35" s="240"/>
    </row>
    <row r="36" spans="1:17" outlineLevel="1">
      <c r="Q36" s="248"/>
    </row>
    <row r="37" spans="1:17" outlineLevel="1"/>
    <row r="38" spans="1:17" outlineLevel="1">
      <c r="N38" s="241"/>
    </row>
    <row r="39" spans="1:17" outlineLevel="1">
      <c r="N39" s="241"/>
    </row>
    <row r="40" spans="1:17" outlineLevel="1">
      <c r="N40" s="241"/>
    </row>
    <row r="41" spans="1:17" outlineLevel="1">
      <c r="N41" s="241"/>
    </row>
    <row r="42" spans="1:17" outlineLevel="1">
      <c r="N42" s="241"/>
    </row>
    <row r="43" spans="1:17" ht="18" customHeight="1" outlineLevel="1"/>
    <row r="44" spans="1:17" outlineLevel="1"/>
    <row r="45" spans="1:17" ht="13.5" customHeight="1" outlineLevel="1"/>
    <row r="46" spans="1:17" outlineLevel="1"/>
    <row r="47" spans="1:17" outlineLevel="1"/>
    <row r="48" spans="1:17" outlineLevel="1"/>
    <row r="49" spans="1:16" outlineLevel="1"/>
    <row r="50" spans="1:16" outlineLevel="1"/>
    <row r="51" spans="1:16" outlineLevel="1"/>
    <row r="52" spans="1:16" outlineLevel="1"/>
    <row r="53" spans="1:16" outlineLevel="1"/>
    <row r="54" spans="1:16" ht="27" outlineLevel="1">
      <c r="A54" s="75" t="s">
        <v>615</v>
      </c>
      <c r="B54" s="75"/>
      <c r="C54" s="228"/>
      <c r="D54" s="232"/>
      <c r="E54" s="232"/>
      <c r="F54" s="232"/>
      <c r="G54" s="232"/>
      <c r="H54" s="232"/>
      <c r="I54" s="232"/>
      <c r="J54" s="232"/>
      <c r="K54" s="232"/>
      <c r="L54" s="232"/>
      <c r="M54" s="242"/>
    </row>
    <row r="55" spans="1:16" ht="27" customHeight="1" outlineLevel="1">
      <c r="A55" s="965" t="s">
        <v>599</v>
      </c>
      <c r="B55" s="965" t="s">
        <v>600</v>
      </c>
      <c r="C55" s="965"/>
      <c r="D55" s="965"/>
      <c r="E55" s="965"/>
      <c r="F55" s="965"/>
      <c r="G55" s="966" t="s">
        <v>601</v>
      </c>
      <c r="H55" s="966" t="s">
        <v>602</v>
      </c>
      <c r="I55" s="965" t="s">
        <v>603</v>
      </c>
      <c r="J55" s="962" t="s">
        <v>604</v>
      </c>
      <c r="K55" s="962" t="s">
        <v>605</v>
      </c>
      <c r="L55" s="964" t="s">
        <v>606</v>
      </c>
      <c r="M55" s="962" t="s">
        <v>607</v>
      </c>
      <c r="N55" s="968" t="s">
        <v>523</v>
      </c>
      <c r="O55" s="968"/>
      <c r="P55" s="968"/>
    </row>
    <row r="56" spans="1:16" outlineLevel="1">
      <c r="A56" s="965"/>
      <c r="B56" s="157" t="s">
        <v>608</v>
      </c>
      <c r="C56" s="157" t="s">
        <v>609</v>
      </c>
      <c r="D56" s="157" t="s">
        <v>610</v>
      </c>
      <c r="E56" s="157" t="s">
        <v>611</v>
      </c>
      <c r="F56" s="157" t="s">
        <v>612</v>
      </c>
      <c r="G56" s="967"/>
      <c r="H56" s="967"/>
      <c r="I56" s="965"/>
      <c r="J56" s="963"/>
      <c r="K56" s="963"/>
      <c r="L56" s="965"/>
      <c r="M56" s="963"/>
      <c r="N56" s="196" t="s">
        <v>167</v>
      </c>
      <c r="O56" s="197" t="s">
        <v>168</v>
      </c>
      <c r="P56" s="196" t="s">
        <v>342</v>
      </c>
    </row>
    <row r="57" spans="1:16" outlineLevel="1">
      <c r="A57" s="157" t="str">
        <f t="shared" ref="A57" si="8">CONCATENATE("第",ROW(A57)-ROW($A$56),"次评审")</f>
        <v>第1次评审</v>
      </c>
      <c r="B57" s="234">
        <v>0</v>
      </c>
      <c r="C57" s="234">
        <v>0</v>
      </c>
      <c r="D57" s="234">
        <v>2</v>
      </c>
      <c r="E57" s="234">
        <v>1</v>
      </c>
      <c r="F57" s="234">
        <v>0</v>
      </c>
      <c r="G57" s="234">
        <v>3</v>
      </c>
      <c r="H57" s="234">
        <v>0</v>
      </c>
      <c r="I57" s="235">
        <f t="shared" ref="I57:I58" si="9">SUM($B57:$F57)</f>
        <v>3</v>
      </c>
      <c r="J57" s="234">
        <v>19</v>
      </c>
      <c r="K57" s="234">
        <v>8</v>
      </c>
      <c r="L57" s="246">
        <f t="shared" ref="L57:L59" si="10">I57/J57</f>
        <v>0.15789473684210525</v>
      </c>
      <c r="M57" s="246">
        <f t="shared" ref="M57:M59" si="11">K57/J57</f>
        <v>0.42105263157894735</v>
      </c>
      <c r="N57" s="201">
        <v>0</v>
      </c>
      <c r="O57" s="202">
        <v>8.3400000000000002E-2</v>
      </c>
      <c r="P57" s="201">
        <v>0.22040000000000001</v>
      </c>
    </row>
    <row r="58" spans="1:16" outlineLevel="1">
      <c r="A58" s="157" t="s">
        <v>613</v>
      </c>
      <c r="B58" s="233"/>
      <c r="C58" s="233"/>
      <c r="D58" s="233"/>
      <c r="E58" s="233"/>
      <c r="F58" s="233"/>
      <c r="G58" s="233"/>
      <c r="H58" s="233"/>
      <c r="I58" s="230">
        <f t="shared" si="9"/>
        <v>0</v>
      </c>
      <c r="J58" s="233" t="s">
        <v>172</v>
      </c>
      <c r="K58" s="233"/>
      <c r="L58" s="237" t="e">
        <f t="shared" si="10"/>
        <v>#VALUE!</v>
      </c>
      <c r="M58" s="237"/>
      <c r="N58" s="245">
        <v>0</v>
      </c>
      <c r="O58" s="245">
        <v>0.23330000000000001</v>
      </c>
      <c r="P58" s="245">
        <v>0.71309999999999996</v>
      </c>
    </row>
    <row r="59" spans="1:16" outlineLevel="1">
      <c r="A59" s="157" t="s">
        <v>387</v>
      </c>
      <c r="B59" s="235">
        <f t="shared" ref="B59:H59" si="12">SUM(B57:B58)</f>
        <v>0</v>
      </c>
      <c r="C59" s="235">
        <f t="shared" si="12"/>
        <v>0</v>
      </c>
      <c r="D59" s="235">
        <f t="shared" si="12"/>
        <v>2</v>
      </c>
      <c r="E59" s="235">
        <f t="shared" si="12"/>
        <v>1</v>
      </c>
      <c r="F59" s="235">
        <f t="shared" si="12"/>
        <v>0</v>
      </c>
      <c r="G59" s="235">
        <f t="shared" si="12"/>
        <v>3</v>
      </c>
      <c r="H59" s="235">
        <f t="shared" si="12"/>
        <v>0</v>
      </c>
      <c r="I59" s="231" t="str">
        <f>IF(SUM(I58:I58)=0,"-",SUM(I58:I58))</f>
        <v>-</v>
      </c>
      <c r="J59" s="231" t="str">
        <f>IF(SUM(J58:J58)=0,"-",SUM(J58:J58))</f>
        <v>-</v>
      </c>
      <c r="K59" s="231" t="str">
        <f>IF(SUM(K58:K58)=0,"-",SUM(K58:K58))</f>
        <v>-</v>
      </c>
      <c r="L59" s="247" t="e">
        <f t="shared" si="10"/>
        <v>#VALUE!</v>
      </c>
      <c r="M59" s="246" t="e">
        <f t="shared" si="11"/>
        <v>#VALUE!</v>
      </c>
    </row>
    <row r="60" spans="1:16" outlineLevel="1"/>
    <row r="61" spans="1:16" outlineLevel="1">
      <c r="N61" s="241"/>
    </row>
    <row r="62" spans="1:16" outlineLevel="1">
      <c r="N62" s="241"/>
    </row>
    <row r="63" spans="1:16" outlineLevel="1">
      <c r="N63" s="241"/>
    </row>
    <row r="64" spans="1:16" outlineLevel="1">
      <c r="N64" s="241"/>
    </row>
    <row r="65" spans="1:16" outlineLevel="1">
      <c r="N65" s="241"/>
    </row>
    <row r="66" spans="1:16" outlineLevel="1">
      <c r="N66" s="241"/>
    </row>
    <row r="67" spans="1:16" outlineLevel="1"/>
    <row r="68" spans="1:16" outlineLevel="1"/>
    <row r="69" spans="1:16" outlineLevel="1"/>
    <row r="70" spans="1:16" outlineLevel="1"/>
    <row r="71" spans="1:16" outlineLevel="1"/>
    <row r="72" spans="1:16" outlineLevel="1"/>
    <row r="73" spans="1:16" outlineLevel="1"/>
    <row r="74" spans="1:16" outlineLevel="1"/>
    <row r="75" spans="1:16" outlineLevel="1"/>
    <row r="76" spans="1:16" outlineLevel="1"/>
    <row r="77" spans="1:16" outlineLevel="1"/>
    <row r="78" spans="1:16" outlineLevel="1"/>
    <row r="79" spans="1:16" ht="27" outlineLevel="1">
      <c r="A79" s="75" t="s">
        <v>616</v>
      </c>
      <c r="B79" s="75"/>
      <c r="C79" s="228"/>
      <c r="D79" s="232"/>
      <c r="E79" s="232"/>
      <c r="F79" s="232"/>
      <c r="G79" s="232"/>
      <c r="H79" s="232"/>
      <c r="I79" s="232"/>
      <c r="J79" s="232"/>
      <c r="K79" s="232"/>
      <c r="L79" s="232"/>
      <c r="M79" s="242"/>
    </row>
    <row r="80" spans="1:16" ht="30.95" customHeight="1" outlineLevel="1">
      <c r="A80" s="965" t="s">
        <v>599</v>
      </c>
      <c r="B80" s="965" t="s">
        <v>600</v>
      </c>
      <c r="C80" s="965"/>
      <c r="D80" s="965"/>
      <c r="E80" s="965"/>
      <c r="F80" s="965"/>
      <c r="G80" s="966" t="s">
        <v>601</v>
      </c>
      <c r="H80" s="966" t="s">
        <v>602</v>
      </c>
      <c r="I80" s="965" t="s">
        <v>603</v>
      </c>
      <c r="J80" s="962" t="s">
        <v>617</v>
      </c>
      <c r="K80" s="962" t="s">
        <v>605</v>
      </c>
      <c r="L80" s="964" t="s">
        <v>618</v>
      </c>
      <c r="M80" s="962" t="s">
        <v>619</v>
      </c>
      <c r="N80" s="968" t="s">
        <v>523</v>
      </c>
      <c r="O80" s="968"/>
      <c r="P80" s="968"/>
    </row>
    <row r="81" spans="1:16" outlineLevel="1">
      <c r="A81" s="965"/>
      <c r="B81" s="157" t="s">
        <v>608</v>
      </c>
      <c r="C81" s="157" t="s">
        <v>609</v>
      </c>
      <c r="D81" s="157" t="s">
        <v>610</v>
      </c>
      <c r="E81" s="157" t="s">
        <v>611</v>
      </c>
      <c r="F81" s="157" t="s">
        <v>612</v>
      </c>
      <c r="G81" s="967"/>
      <c r="H81" s="967"/>
      <c r="I81" s="965"/>
      <c r="J81" s="963"/>
      <c r="K81" s="963"/>
      <c r="L81" s="965"/>
      <c r="M81" s="963"/>
      <c r="N81" s="196" t="s">
        <v>167</v>
      </c>
      <c r="O81" s="197" t="s">
        <v>168</v>
      </c>
      <c r="P81" s="196" t="s">
        <v>342</v>
      </c>
    </row>
    <row r="82" spans="1:16" outlineLevel="1">
      <c r="A82" s="157" t="str">
        <f>CONCATENATE("第",ROW(A82)-ROW($A$81),"次评审")</f>
        <v>第1次评审</v>
      </c>
      <c r="B82" s="229">
        <v>0</v>
      </c>
      <c r="C82" s="229">
        <v>0</v>
      </c>
      <c r="D82" s="229">
        <v>0</v>
      </c>
      <c r="E82" s="229">
        <v>2</v>
      </c>
      <c r="F82" s="229">
        <v>0</v>
      </c>
      <c r="G82" s="229">
        <v>2</v>
      </c>
      <c r="H82" s="229">
        <v>0</v>
      </c>
      <c r="I82" s="243">
        <f t="shared" ref="I82:I83" si="13">SUM($B82:$F82)</f>
        <v>2</v>
      </c>
      <c r="J82" s="229">
        <v>325</v>
      </c>
      <c r="K82" s="229">
        <v>6</v>
      </c>
      <c r="L82" s="236">
        <f t="shared" ref="L82:L84" si="14">I82/J82</f>
        <v>6.1538461538461538E-3</v>
      </c>
      <c r="M82" s="236">
        <f t="shared" ref="M82:M84" si="15">K82/J82</f>
        <v>1.8461538461538463E-2</v>
      </c>
      <c r="N82" s="201">
        <v>8.0000000000000004E-4</v>
      </c>
      <c r="O82" s="202">
        <v>1.0999999999999999E-2</v>
      </c>
      <c r="P82" s="201">
        <v>2.12E-2</v>
      </c>
    </row>
    <row r="83" spans="1:16" outlineLevel="1">
      <c r="A83" s="157" t="s">
        <v>613</v>
      </c>
      <c r="B83" s="230"/>
      <c r="C83" s="230"/>
      <c r="D83" s="230"/>
      <c r="E83" s="230"/>
      <c r="F83" s="230"/>
      <c r="G83" s="230"/>
      <c r="H83" s="230"/>
      <c r="I83" s="251">
        <f t="shared" si="13"/>
        <v>0</v>
      </c>
      <c r="J83" s="230" t="s">
        <v>172</v>
      </c>
      <c r="K83" s="230"/>
      <c r="L83" s="252" t="e">
        <f t="shared" si="14"/>
        <v>#VALUE!</v>
      </c>
      <c r="M83" s="252"/>
      <c r="N83" s="245">
        <v>0</v>
      </c>
      <c r="O83" s="245">
        <v>4.351E-2</v>
      </c>
      <c r="P83" s="245">
        <v>8.7900000000000006E-2</v>
      </c>
    </row>
    <row r="84" spans="1:16" outlineLevel="1">
      <c r="A84" s="157" t="s">
        <v>387</v>
      </c>
      <c r="B84" s="231">
        <f t="shared" ref="B84:H84" si="16">SUM(B82:B83)</f>
        <v>0</v>
      </c>
      <c r="C84" s="231">
        <f t="shared" si="16"/>
        <v>0</v>
      </c>
      <c r="D84" s="231">
        <f t="shared" si="16"/>
        <v>0</v>
      </c>
      <c r="E84" s="231">
        <f t="shared" si="16"/>
        <v>2</v>
      </c>
      <c r="F84" s="231">
        <f t="shared" si="16"/>
        <v>0</v>
      </c>
      <c r="G84" s="231">
        <f t="shared" si="16"/>
        <v>2</v>
      </c>
      <c r="H84" s="231">
        <f t="shared" si="16"/>
        <v>0</v>
      </c>
      <c r="I84" s="231" t="str">
        <f>IF(SUM(I83:I83)=0,"-",SUM(I83:I83))</f>
        <v>-</v>
      </c>
      <c r="J84" s="231" t="str">
        <f>IF(SUM(J83:J83)=0,"-",SUM(J83:J83))</f>
        <v>-</v>
      </c>
      <c r="K84" s="231" t="str">
        <f>IF(SUM(K83:K83)=0,"-",SUM(K83:K83))</f>
        <v>-</v>
      </c>
      <c r="L84" s="236" t="e">
        <f t="shared" si="14"/>
        <v>#VALUE!</v>
      </c>
      <c r="M84" s="236" t="e">
        <f t="shared" si="15"/>
        <v>#VALUE!</v>
      </c>
      <c r="N84" s="253"/>
      <c r="O84" s="253"/>
      <c r="P84" s="253"/>
    </row>
    <row r="85" spans="1:16" outlineLevel="1"/>
    <row r="86" spans="1:16" outlineLevel="1">
      <c r="N86" s="241"/>
    </row>
    <row r="87" spans="1:16" outlineLevel="1">
      <c r="N87" s="241"/>
    </row>
    <row r="88" spans="1:16" outlineLevel="1">
      <c r="N88" s="241"/>
    </row>
    <row r="89" spans="1:16" outlineLevel="1">
      <c r="N89" s="241"/>
    </row>
    <row r="90" spans="1:16" outlineLevel="1">
      <c r="N90" s="241"/>
    </row>
    <row r="91" spans="1:16" outlineLevel="1"/>
    <row r="92" spans="1:16" outlineLevel="1"/>
    <row r="93" spans="1:16" outlineLevel="1"/>
    <row r="94" spans="1:16" outlineLevel="1"/>
    <row r="95" spans="1:16" outlineLevel="1"/>
    <row r="96" spans="1:16" outlineLevel="1"/>
    <row r="97" spans="1:16" outlineLevel="1"/>
    <row r="98" spans="1:16" outlineLevel="1"/>
    <row r="99" spans="1:16" outlineLevel="1"/>
    <row r="100" spans="1:16" outlineLevel="1"/>
    <row r="101" spans="1:16" outlineLevel="1"/>
    <row r="102" spans="1:16" ht="27" outlineLevel="1">
      <c r="A102" s="75" t="s">
        <v>620</v>
      </c>
      <c r="B102" s="75"/>
      <c r="C102" s="228"/>
      <c r="D102" s="232"/>
      <c r="E102" s="232"/>
      <c r="F102" s="232"/>
      <c r="G102" s="232"/>
      <c r="H102" s="232"/>
      <c r="I102" s="232"/>
      <c r="J102" s="232"/>
      <c r="K102" s="232"/>
      <c r="L102" s="232"/>
      <c r="M102" s="242"/>
    </row>
    <row r="103" spans="1:16" ht="30" customHeight="1" outlineLevel="1">
      <c r="A103" s="965" t="s">
        <v>621</v>
      </c>
      <c r="B103" s="965" t="s">
        <v>600</v>
      </c>
      <c r="C103" s="965"/>
      <c r="D103" s="965"/>
      <c r="E103" s="965"/>
      <c r="F103" s="965"/>
      <c r="G103" s="966" t="s">
        <v>601</v>
      </c>
      <c r="H103" s="966" t="s">
        <v>602</v>
      </c>
      <c r="I103" s="965" t="s">
        <v>603</v>
      </c>
      <c r="J103" s="962" t="s">
        <v>622</v>
      </c>
      <c r="K103" s="962" t="s">
        <v>623</v>
      </c>
      <c r="L103" s="964" t="s">
        <v>624</v>
      </c>
      <c r="M103" s="962" t="s">
        <v>625</v>
      </c>
      <c r="N103" s="968" t="s">
        <v>523</v>
      </c>
      <c r="O103" s="968"/>
      <c r="P103" s="968"/>
    </row>
    <row r="104" spans="1:16" outlineLevel="1">
      <c r="A104" s="965"/>
      <c r="B104" s="157" t="s">
        <v>608</v>
      </c>
      <c r="C104" s="157" t="s">
        <v>609</v>
      </c>
      <c r="D104" s="157" t="s">
        <v>610</v>
      </c>
      <c r="E104" s="157" t="s">
        <v>611</v>
      </c>
      <c r="F104" s="157" t="s">
        <v>612</v>
      </c>
      <c r="G104" s="967"/>
      <c r="H104" s="967"/>
      <c r="I104" s="965"/>
      <c r="J104" s="963"/>
      <c r="K104" s="963"/>
      <c r="L104" s="965"/>
      <c r="M104" s="963"/>
      <c r="N104" s="196" t="s">
        <v>167</v>
      </c>
      <c r="O104" s="197" t="s">
        <v>168</v>
      </c>
      <c r="P104" s="196" t="s">
        <v>342</v>
      </c>
    </row>
    <row r="105" spans="1:16" outlineLevel="1">
      <c r="A105" s="157" t="str">
        <f t="shared" ref="A105" si="17">CONCATENATE("第",ROW(A105)-ROW($A$104),"次走查")</f>
        <v>第1次走查</v>
      </c>
      <c r="B105" s="249">
        <v>0</v>
      </c>
      <c r="C105" s="249">
        <v>0</v>
      </c>
      <c r="D105" s="249">
        <v>3</v>
      </c>
      <c r="E105" s="249">
        <v>0</v>
      </c>
      <c r="F105" s="249">
        <v>0</v>
      </c>
      <c r="G105" s="249">
        <v>3</v>
      </c>
      <c r="H105" s="249">
        <v>0</v>
      </c>
      <c r="I105" s="231">
        <f t="shared" ref="I105:I106" si="18">SUM($B105:$F105)</f>
        <v>3</v>
      </c>
      <c r="J105" s="249">
        <v>59</v>
      </c>
      <c r="K105" s="249">
        <v>6</v>
      </c>
      <c r="L105" s="236">
        <f t="shared" ref="L105:L107" si="19">I105/J105</f>
        <v>5.0847457627118647E-2</v>
      </c>
      <c r="M105" s="236">
        <f t="shared" ref="M105:M107" si="20">K105/J105</f>
        <v>0.10169491525423729</v>
      </c>
      <c r="N105" s="201">
        <v>0</v>
      </c>
      <c r="O105" s="202">
        <v>5.0599999999999999E-2</v>
      </c>
      <c r="P105" s="201">
        <v>0.15440000000000001</v>
      </c>
    </row>
    <row r="106" spans="1:16" outlineLevel="1">
      <c r="A106" s="157" t="s">
        <v>626</v>
      </c>
      <c r="B106" s="230"/>
      <c r="C106" s="230"/>
      <c r="D106" s="230"/>
      <c r="E106" s="230"/>
      <c r="F106" s="230"/>
      <c r="G106" s="230"/>
      <c r="H106" s="230"/>
      <c r="I106" s="251">
        <f t="shared" si="18"/>
        <v>0</v>
      </c>
      <c r="J106" s="230" t="s">
        <v>172</v>
      </c>
      <c r="K106" s="230"/>
      <c r="L106" s="252" t="e">
        <f t="shared" si="19"/>
        <v>#VALUE!</v>
      </c>
      <c r="M106" s="252"/>
      <c r="N106" s="245">
        <v>0</v>
      </c>
      <c r="O106" s="245">
        <v>0.3</v>
      </c>
      <c r="P106" s="245">
        <v>0.65790273556231005</v>
      </c>
    </row>
    <row r="107" spans="1:16" outlineLevel="1">
      <c r="A107" s="157" t="s">
        <v>387</v>
      </c>
      <c r="B107" s="231">
        <f t="shared" ref="B107:H107" si="21">SUM(B103:B106)</f>
        <v>0</v>
      </c>
      <c r="C107" s="231">
        <f t="shared" si="21"/>
        <v>0</v>
      </c>
      <c r="D107" s="231">
        <f t="shared" si="21"/>
        <v>3</v>
      </c>
      <c r="E107" s="231">
        <f t="shared" si="21"/>
        <v>0</v>
      </c>
      <c r="F107" s="231">
        <f t="shared" si="21"/>
        <v>0</v>
      </c>
      <c r="G107" s="231">
        <f t="shared" si="21"/>
        <v>3</v>
      </c>
      <c r="H107" s="231">
        <f t="shared" si="21"/>
        <v>0</v>
      </c>
      <c r="I107" s="231" t="str">
        <f>IF(SUM(I106:I106)=0,"-",SUM(I106:I106))</f>
        <v>-</v>
      </c>
      <c r="J107" s="231" t="str">
        <f>IF(SUM(J106:J106)=0,"-",SUM(J106:J106))</f>
        <v>-</v>
      </c>
      <c r="K107" s="231" t="str">
        <f>IF(SUM(K106:K106)=0,"-",SUM(K106:K106))</f>
        <v>-</v>
      </c>
      <c r="L107" s="236" t="e">
        <f t="shared" si="19"/>
        <v>#VALUE!</v>
      </c>
      <c r="M107" s="236" t="e">
        <f t="shared" si="20"/>
        <v>#VALUE!</v>
      </c>
      <c r="N107" s="253"/>
      <c r="O107" s="253"/>
      <c r="P107" s="253"/>
    </row>
    <row r="108" spans="1:16" outlineLevel="1"/>
    <row r="109" spans="1:16" outlineLevel="1">
      <c r="N109" s="241" t="s">
        <v>157</v>
      </c>
    </row>
    <row r="110" spans="1:16" outlineLevel="1">
      <c r="N110" s="241" t="s">
        <v>627</v>
      </c>
    </row>
    <row r="111" spans="1:16" outlineLevel="1">
      <c r="N111" s="241" t="s">
        <v>628</v>
      </c>
    </row>
    <row r="112" spans="1:16" outlineLevel="1">
      <c r="N112" s="241" t="s">
        <v>629</v>
      </c>
    </row>
    <row r="113" spans="1:16" outlineLevel="1">
      <c r="N113" s="241" t="s">
        <v>630</v>
      </c>
    </row>
    <row r="114" spans="1:16" outlineLevel="1"/>
    <row r="115" spans="1:16" outlineLevel="1"/>
    <row r="116" spans="1:16" outlineLevel="1"/>
    <row r="117" spans="1:16" outlineLevel="1"/>
    <row r="118" spans="1:16" outlineLevel="1"/>
    <row r="119" spans="1:16" outlineLevel="1"/>
    <row r="120" spans="1:16" outlineLevel="1"/>
    <row r="121" spans="1:16" outlineLevel="1"/>
    <row r="122" spans="1:16" outlineLevel="1"/>
    <row r="123" spans="1:16" outlineLevel="1"/>
    <row r="124" spans="1:16" outlineLevel="1"/>
    <row r="126" spans="1:16" ht="24.75" customHeight="1">
      <c r="A126" s="250"/>
      <c r="B126" s="970"/>
      <c r="C126" s="970"/>
      <c r="D126" s="970"/>
      <c r="E126" s="970"/>
      <c r="F126" s="970"/>
      <c r="G126" s="970"/>
      <c r="H126" s="970"/>
      <c r="I126" s="970"/>
      <c r="J126" s="970"/>
      <c r="K126" s="970"/>
      <c r="L126" s="970"/>
      <c r="M126" s="254"/>
    </row>
    <row r="127" spans="1:16" ht="27" customHeight="1" outlineLevel="1">
      <c r="A127" s="59" t="s">
        <v>393</v>
      </c>
      <c r="B127" s="59"/>
      <c r="C127" s="59"/>
      <c r="D127" s="59"/>
      <c r="E127" s="59"/>
      <c r="F127" s="59"/>
      <c r="G127" s="59"/>
      <c r="H127" s="59"/>
      <c r="I127" s="59"/>
      <c r="J127" s="59"/>
      <c r="K127" s="59"/>
      <c r="L127" s="59"/>
      <c r="M127" s="59"/>
      <c r="N127" s="59"/>
      <c r="O127" s="59"/>
      <c r="P127" s="59"/>
    </row>
    <row r="128" spans="1:16" ht="12" customHeight="1" outlineLevel="1">
      <c r="A128" s="969" t="s">
        <v>596</v>
      </c>
      <c r="B128" s="969"/>
      <c r="C128" s="969"/>
      <c r="D128" s="969"/>
      <c r="E128" s="969"/>
      <c r="F128" s="969"/>
      <c r="G128" s="969"/>
      <c r="H128" s="969"/>
      <c r="I128" s="969"/>
      <c r="J128" s="59"/>
      <c r="K128" s="59"/>
      <c r="L128" s="59"/>
      <c r="M128" s="59"/>
      <c r="N128" s="59"/>
      <c r="O128" s="59"/>
      <c r="P128" s="59"/>
    </row>
    <row r="129" spans="1:16" ht="17.25" customHeight="1" outlineLevel="1">
      <c r="A129" s="227" t="s">
        <v>597</v>
      </c>
      <c r="B129" s="226"/>
      <c r="C129" s="226"/>
      <c r="D129" s="226"/>
      <c r="E129" s="226"/>
      <c r="F129" s="226"/>
      <c r="G129" s="226"/>
      <c r="H129" s="226"/>
      <c r="I129" s="226"/>
      <c r="J129" s="59"/>
      <c r="K129" s="59"/>
      <c r="L129" s="59"/>
      <c r="M129" s="59"/>
      <c r="N129" s="59"/>
      <c r="O129" s="59"/>
      <c r="P129" s="59"/>
    </row>
    <row r="130" spans="1:16" ht="25.5" customHeight="1" outlineLevel="1">
      <c r="A130" s="75" t="s">
        <v>598</v>
      </c>
      <c r="B130" s="75"/>
      <c r="C130" s="228"/>
    </row>
    <row r="131" spans="1:16" ht="13.5" customHeight="1" outlineLevel="1">
      <c r="A131" s="965" t="s">
        <v>599</v>
      </c>
      <c r="B131" s="965" t="s">
        <v>600</v>
      </c>
      <c r="C131" s="965"/>
      <c r="D131" s="965"/>
      <c r="E131" s="965"/>
      <c r="F131" s="965"/>
      <c r="G131" s="966" t="s">
        <v>601</v>
      </c>
      <c r="H131" s="966" t="s">
        <v>602</v>
      </c>
      <c r="I131" s="965" t="s">
        <v>603</v>
      </c>
      <c r="J131" s="962" t="s">
        <v>604</v>
      </c>
      <c r="K131" s="962" t="s">
        <v>605</v>
      </c>
      <c r="L131" s="964" t="s">
        <v>606</v>
      </c>
      <c r="M131" s="962" t="s">
        <v>607</v>
      </c>
      <c r="N131" s="968" t="s">
        <v>523</v>
      </c>
      <c r="O131" s="968"/>
      <c r="P131" s="968"/>
    </row>
    <row r="132" spans="1:16" ht="14.25" customHeight="1" outlineLevel="1">
      <c r="A132" s="965"/>
      <c r="B132" s="157" t="s">
        <v>608</v>
      </c>
      <c r="C132" s="157" t="s">
        <v>609</v>
      </c>
      <c r="D132" s="157" t="s">
        <v>610</v>
      </c>
      <c r="E132" s="157" t="s">
        <v>611</v>
      </c>
      <c r="F132" s="157" t="s">
        <v>612</v>
      </c>
      <c r="G132" s="967"/>
      <c r="H132" s="967"/>
      <c r="I132" s="965"/>
      <c r="J132" s="963"/>
      <c r="K132" s="963"/>
      <c r="L132" s="965"/>
      <c r="M132" s="963"/>
      <c r="N132" s="196" t="s">
        <v>167</v>
      </c>
      <c r="O132" s="197" t="s">
        <v>168</v>
      </c>
      <c r="P132" s="196" t="s">
        <v>342</v>
      </c>
    </row>
    <row r="133" spans="1:16" outlineLevel="1">
      <c r="A133" s="157" t="str">
        <f>CONCATENATE("第",ROW(A133)-ROW($A$132),"次评审")</f>
        <v>第1次评审</v>
      </c>
      <c r="B133" s="229"/>
      <c r="C133" s="229"/>
      <c r="D133" s="229"/>
      <c r="E133" s="229"/>
      <c r="F133" s="229"/>
      <c r="G133" s="229"/>
      <c r="H133" s="229"/>
      <c r="I133" s="231">
        <f t="shared" ref="I133:I135" si="22">SUM($B133:$F133)</f>
        <v>0</v>
      </c>
      <c r="J133" s="229"/>
      <c r="K133" s="229"/>
      <c r="L133" s="236" t="e">
        <f t="shared" ref="L133:L136" si="23">I133/J133</f>
        <v>#DIV/0!</v>
      </c>
      <c r="M133" s="236" t="e">
        <f t="shared" ref="M133:M136" si="24">K133/J133</f>
        <v>#DIV/0!</v>
      </c>
      <c r="N133" s="201">
        <v>0</v>
      </c>
      <c r="O133" s="202">
        <v>0.21110000000000001</v>
      </c>
      <c r="P133" s="201">
        <v>0.627</v>
      </c>
    </row>
    <row r="134" spans="1:16" outlineLevel="1">
      <c r="A134" s="157" t="str">
        <f>CONCATENATE("第",ROW(A134)-ROW($A$132),"次评审")</f>
        <v>第2次评审</v>
      </c>
      <c r="B134" s="229"/>
      <c r="C134" s="229"/>
      <c r="D134" s="229"/>
      <c r="E134" s="229"/>
      <c r="F134" s="229"/>
      <c r="G134" s="229"/>
      <c r="H134" s="229"/>
      <c r="I134" s="231">
        <f t="shared" si="22"/>
        <v>0</v>
      </c>
      <c r="J134" s="229"/>
      <c r="K134" s="229"/>
      <c r="L134" s="236" t="e">
        <f t="shared" si="23"/>
        <v>#DIV/0!</v>
      </c>
      <c r="M134" s="236" t="e">
        <f t="shared" si="24"/>
        <v>#DIV/0!</v>
      </c>
      <c r="N134" s="201">
        <v>0</v>
      </c>
      <c r="O134" s="202">
        <v>0.21110000000000001</v>
      </c>
      <c r="P134" s="201">
        <v>0.627</v>
      </c>
    </row>
    <row r="135" spans="1:16" outlineLevel="1">
      <c r="A135" s="157" t="s">
        <v>613</v>
      </c>
      <c r="B135" s="230" t="s">
        <v>172</v>
      </c>
      <c r="C135" s="230" t="s">
        <v>172</v>
      </c>
      <c r="D135" s="230" t="s">
        <v>172</v>
      </c>
      <c r="E135" s="230" t="s">
        <v>172</v>
      </c>
      <c r="F135" s="230" t="s">
        <v>172</v>
      </c>
      <c r="G135" s="230" t="s">
        <v>172</v>
      </c>
      <c r="H135" s="230" t="s">
        <v>172</v>
      </c>
      <c r="I135" s="230">
        <f t="shared" si="22"/>
        <v>0</v>
      </c>
      <c r="J135" s="230" t="s">
        <v>172</v>
      </c>
      <c r="K135" s="230"/>
      <c r="L135" s="237" t="e">
        <f t="shared" si="23"/>
        <v>#VALUE!</v>
      </c>
      <c r="M135" s="237"/>
      <c r="N135" s="238">
        <v>0</v>
      </c>
      <c r="O135" s="238">
        <v>0.3075</v>
      </c>
      <c r="P135" s="238">
        <v>0.65469999999999995</v>
      </c>
    </row>
    <row r="136" spans="1:16" outlineLevel="1">
      <c r="A136" s="157" t="s">
        <v>387</v>
      </c>
      <c r="B136" s="231">
        <f t="shared" ref="B136:H136" si="25">SUM(B133:B135)</f>
        <v>0</v>
      </c>
      <c r="C136" s="231">
        <f t="shared" si="25"/>
        <v>0</v>
      </c>
      <c r="D136" s="231">
        <f t="shared" si="25"/>
        <v>0</v>
      </c>
      <c r="E136" s="231">
        <f t="shared" si="25"/>
        <v>0</v>
      </c>
      <c r="F136" s="231">
        <f t="shared" si="25"/>
        <v>0</v>
      </c>
      <c r="G136" s="231">
        <f t="shared" si="25"/>
        <v>0</v>
      </c>
      <c r="H136" s="231">
        <f t="shared" si="25"/>
        <v>0</v>
      </c>
      <c r="I136" s="231" t="str">
        <f t="shared" ref="I136:K136" si="26">IF(SUM(I133:I135)=0,"-",SUM(I133:I135))</f>
        <v>-</v>
      </c>
      <c r="J136" s="231" t="str">
        <f t="shared" si="26"/>
        <v>-</v>
      </c>
      <c r="K136" s="231" t="str">
        <f t="shared" si="26"/>
        <v>-</v>
      </c>
      <c r="L136" s="236" t="e">
        <f t="shared" si="23"/>
        <v>#VALUE!</v>
      </c>
      <c r="M136" s="239" t="e">
        <f t="shared" si="24"/>
        <v>#VALUE!</v>
      </c>
      <c r="N136" s="240"/>
      <c r="O136" s="240"/>
      <c r="P136" s="240"/>
    </row>
    <row r="137" spans="1:16" outlineLevel="1"/>
    <row r="138" spans="1:16" outlineLevel="1"/>
    <row r="139" spans="1:16" outlineLevel="1">
      <c r="N139" s="241"/>
    </row>
    <row r="140" spans="1:16" outlineLevel="1">
      <c r="N140" s="241"/>
    </row>
    <row r="141" spans="1:16" outlineLevel="1">
      <c r="N141" s="241"/>
    </row>
    <row r="142" spans="1:16" outlineLevel="1">
      <c r="N142" s="241"/>
    </row>
    <row r="143" spans="1:16" outlineLevel="1">
      <c r="N143" s="241"/>
    </row>
    <row r="144" spans="1:16" outlineLevel="1"/>
    <row r="145" spans="1:16" outlineLevel="1"/>
    <row r="146" spans="1:16" outlineLevel="1"/>
    <row r="147" spans="1:16" outlineLevel="1"/>
    <row r="148" spans="1:16" outlineLevel="1"/>
    <row r="149" spans="1:16" outlineLevel="1"/>
    <row r="150" spans="1:16" outlineLevel="1"/>
    <row r="151" spans="1:16" outlineLevel="1"/>
    <row r="152" spans="1:16" outlineLevel="1"/>
    <row r="153" spans="1:16" ht="27" outlineLevel="1">
      <c r="A153" s="75" t="s">
        <v>614</v>
      </c>
      <c r="B153" s="75"/>
      <c r="C153" s="228"/>
      <c r="D153" s="232"/>
      <c r="E153" s="232"/>
      <c r="F153" s="232"/>
      <c r="G153" s="232"/>
      <c r="H153" s="232"/>
      <c r="I153" s="232"/>
      <c r="J153" s="232"/>
      <c r="K153" s="232"/>
      <c r="L153" s="232"/>
      <c r="M153" s="242"/>
    </row>
    <row r="154" spans="1:16" ht="27" customHeight="1" outlineLevel="1">
      <c r="A154" s="965" t="s">
        <v>599</v>
      </c>
      <c r="B154" s="965" t="s">
        <v>600</v>
      </c>
      <c r="C154" s="965"/>
      <c r="D154" s="965"/>
      <c r="E154" s="965"/>
      <c r="F154" s="965"/>
      <c r="G154" s="966" t="s">
        <v>601</v>
      </c>
      <c r="H154" s="966" t="s">
        <v>602</v>
      </c>
      <c r="I154" s="965" t="s">
        <v>603</v>
      </c>
      <c r="J154" s="962" t="s">
        <v>604</v>
      </c>
      <c r="K154" s="962" t="s">
        <v>605</v>
      </c>
      <c r="L154" s="964" t="s">
        <v>606</v>
      </c>
      <c r="M154" s="962" t="s">
        <v>607</v>
      </c>
      <c r="N154" s="968" t="s">
        <v>523</v>
      </c>
      <c r="O154" s="968"/>
      <c r="P154" s="968"/>
    </row>
    <row r="155" spans="1:16" ht="18.75" customHeight="1" outlineLevel="1">
      <c r="A155" s="965"/>
      <c r="B155" s="157" t="s">
        <v>608</v>
      </c>
      <c r="C155" s="157" t="s">
        <v>609</v>
      </c>
      <c r="D155" s="157" t="s">
        <v>610</v>
      </c>
      <c r="E155" s="157" t="s">
        <v>611</v>
      </c>
      <c r="F155" s="157" t="s">
        <v>612</v>
      </c>
      <c r="G155" s="967"/>
      <c r="H155" s="967"/>
      <c r="I155" s="965"/>
      <c r="J155" s="963"/>
      <c r="K155" s="963"/>
      <c r="L155" s="965"/>
      <c r="M155" s="963"/>
      <c r="N155" s="196" t="s">
        <v>167</v>
      </c>
      <c r="O155" s="197" t="s">
        <v>168</v>
      </c>
      <c r="P155" s="196" t="s">
        <v>342</v>
      </c>
    </row>
    <row r="156" spans="1:16" outlineLevel="1">
      <c r="A156" s="157" t="str">
        <f>CONCATENATE("第",ROW(A156)-ROW($A$155),"次评审")</f>
        <v>第1次评审</v>
      </c>
      <c r="B156" s="229"/>
      <c r="C156" s="229"/>
      <c r="D156" s="229"/>
      <c r="E156" s="229"/>
      <c r="F156" s="229"/>
      <c r="G156" s="229"/>
      <c r="H156" s="229"/>
      <c r="I156" s="231">
        <f t="shared" ref="I156:I159" si="27">SUM($B156:$F156)</f>
        <v>0</v>
      </c>
      <c r="J156" s="229"/>
      <c r="K156" s="229"/>
      <c r="L156" s="236" t="e">
        <f t="shared" ref="L156:L160" si="28">I156/J156</f>
        <v>#DIV/0!</v>
      </c>
      <c r="M156" s="236" t="e">
        <f t="shared" ref="M156:M158" si="29">K156/J156</f>
        <v>#DIV/0!</v>
      </c>
      <c r="N156" s="201">
        <v>0</v>
      </c>
      <c r="O156" s="202">
        <v>7.5399999999999995E-2</v>
      </c>
      <c r="P156" s="201">
        <v>0.2273</v>
      </c>
    </row>
    <row r="157" spans="1:16" outlineLevel="1">
      <c r="A157" s="157" t="str">
        <f>CONCATENATE("第",ROW(A157)-ROW($A$155),"次评审")</f>
        <v>第2次评审</v>
      </c>
      <c r="B157" s="229"/>
      <c r="C157" s="229"/>
      <c r="D157" s="229"/>
      <c r="E157" s="229"/>
      <c r="F157" s="229"/>
      <c r="G157" s="229"/>
      <c r="H157" s="229"/>
      <c r="I157" s="243">
        <f t="shared" si="27"/>
        <v>0</v>
      </c>
      <c r="J157" s="229"/>
      <c r="K157" s="229"/>
      <c r="L157" s="236" t="e">
        <f t="shared" si="28"/>
        <v>#DIV/0!</v>
      </c>
      <c r="M157" s="236" t="e">
        <f t="shared" si="29"/>
        <v>#DIV/0!</v>
      </c>
      <c r="N157" s="201">
        <v>0</v>
      </c>
      <c r="O157" s="202">
        <v>7.5399999999999995E-2</v>
      </c>
      <c r="P157" s="201">
        <v>0.2273</v>
      </c>
    </row>
    <row r="158" spans="1:16" outlineLevel="1">
      <c r="A158" s="157" t="str">
        <f>CONCATENATE("第",ROW(A158)-ROW($A$155),"次评审")</f>
        <v>第3次评审</v>
      </c>
      <c r="B158" s="229"/>
      <c r="C158" s="229"/>
      <c r="D158" s="229"/>
      <c r="E158" s="229"/>
      <c r="F158" s="229"/>
      <c r="G158" s="229"/>
      <c r="H158" s="229"/>
      <c r="I158" s="243">
        <f t="shared" si="27"/>
        <v>0</v>
      </c>
      <c r="J158" s="229"/>
      <c r="K158" s="229"/>
      <c r="L158" s="236" t="e">
        <f t="shared" si="28"/>
        <v>#DIV/0!</v>
      </c>
      <c r="M158" s="236" t="e">
        <f t="shared" si="29"/>
        <v>#DIV/0!</v>
      </c>
      <c r="N158" s="201">
        <v>0</v>
      </c>
      <c r="O158" s="202">
        <v>7.5399999999999995E-2</v>
      </c>
      <c r="P158" s="201">
        <v>0.2273</v>
      </c>
    </row>
    <row r="159" spans="1:16" outlineLevel="1">
      <c r="A159" s="157" t="s">
        <v>613</v>
      </c>
      <c r="B159" s="233" t="s">
        <v>172</v>
      </c>
      <c r="C159" s="233" t="s">
        <v>172</v>
      </c>
      <c r="D159" s="233" t="s">
        <v>172</v>
      </c>
      <c r="E159" s="233" t="s">
        <v>172</v>
      </c>
      <c r="F159" s="233" t="s">
        <v>172</v>
      </c>
      <c r="G159" s="233" t="s">
        <v>172</v>
      </c>
      <c r="H159" s="233" t="s">
        <v>172</v>
      </c>
      <c r="I159" s="230">
        <f t="shared" si="27"/>
        <v>0</v>
      </c>
      <c r="J159" s="244" t="s">
        <v>172</v>
      </c>
      <c r="K159" s="244"/>
      <c r="L159" s="237" t="e">
        <f t="shared" si="28"/>
        <v>#VALUE!</v>
      </c>
      <c r="M159" s="237"/>
      <c r="N159" s="245">
        <v>0</v>
      </c>
      <c r="O159" s="245">
        <v>0.28660000000000002</v>
      </c>
      <c r="P159" s="245">
        <v>0.61099999999999999</v>
      </c>
    </row>
    <row r="160" spans="1:16" outlineLevel="1">
      <c r="A160" s="157" t="s">
        <v>387</v>
      </c>
      <c r="B160" s="231">
        <f t="shared" ref="B160:H160" si="30">SUM(B156:B159)</f>
        <v>0</v>
      </c>
      <c r="C160" s="231">
        <f t="shared" si="30"/>
        <v>0</v>
      </c>
      <c r="D160" s="231">
        <f t="shared" si="30"/>
        <v>0</v>
      </c>
      <c r="E160" s="231">
        <f t="shared" si="30"/>
        <v>0</v>
      </c>
      <c r="F160" s="231">
        <f t="shared" si="30"/>
        <v>0</v>
      </c>
      <c r="G160" s="231">
        <f t="shared" si="30"/>
        <v>0</v>
      </c>
      <c r="H160" s="231">
        <f t="shared" si="30"/>
        <v>0</v>
      </c>
      <c r="I160" s="231" t="str">
        <f t="shared" ref="I160:K160" si="31">IF(SUM(I157:I159)=0,"-",SUM(I157:I159))</f>
        <v>-</v>
      </c>
      <c r="J160" s="231" t="str">
        <f t="shared" si="31"/>
        <v>-</v>
      </c>
      <c r="K160" s="231" t="str">
        <f t="shared" si="31"/>
        <v>-</v>
      </c>
      <c r="L160" s="236" t="e">
        <f t="shared" si="28"/>
        <v>#VALUE!</v>
      </c>
      <c r="M160" s="239" t="e">
        <f>K160/J160</f>
        <v>#VALUE!</v>
      </c>
      <c r="N160" s="240"/>
      <c r="O160" s="240"/>
      <c r="P160" s="240"/>
    </row>
    <row r="161" spans="14:17" outlineLevel="1">
      <c r="Q161" s="248"/>
    </row>
    <row r="162" spans="14:17" outlineLevel="1"/>
    <row r="163" spans="14:17" outlineLevel="1">
      <c r="N163" s="241"/>
    </row>
    <row r="164" spans="14:17" outlineLevel="1">
      <c r="N164" s="241"/>
    </row>
    <row r="165" spans="14:17" outlineLevel="1">
      <c r="N165" s="241"/>
    </row>
    <row r="166" spans="14:17" outlineLevel="1">
      <c r="N166" s="241"/>
    </row>
    <row r="167" spans="14:17" outlineLevel="1">
      <c r="N167" s="241"/>
    </row>
    <row r="168" spans="14:17" ht="18" customHeight="1" outlineLevel="1"/>
    <row r="169" spans="14:17" outlineLevel="1"/>
    <row r="170" spans="14:17" ht="13.5" customHeight="1" outlineLevel="1"/>
    <row r="171" spans="14:17" outlineLevel="1"/>
    <row r="172" spans="14:17" outlineLevel="1"/>
    <row r="173" spans="14:17" outlineLevel="1"/>
    <row r="174" spans="14:17" outlineLevel="1"/>
    <row r="175" spans="14:17" outlineLevel="1"/>
    <row r="176" spans="14:17" outlineLevel="1"/>
    <row r="177" spans="1:16" outlineLevel="1"/>
    <row r="178" spans="1:16" outlineLevel="1"/>
    <row r="179" spans="1:16" ht="27" outlineLevel="1">
      <c r="A179" s="75" t="s">
        <v>615</v>
      </c>
      <c r="B179" s="75"/>
      <c r="C179" s="228"/>
      <c r="D179" s="232"/>
      <c r="E179" s="232"/>
      <c r="F179" s="232"/>
      <c r="G179" s="232"/>
      <c r="H179" s="232"/>
      <c r="I179" s="232"/>
      <c r="J179" s="232"/>
      <c r="K179" s="232"/>
      <c r="L179" s="232"/>
      <c r="M179" s="242"/>
    </row>
    <row r="180" spans="1:16" ht="27" customHeight="1" outlineLevel="1">
      <c r="A180" s="965" t="s">
        <v>599</v>
      </c>
      <c r="B180" s="965" t="s">
        <v>600</v>
      </c>
      <c r="C180" s="965"/>
      <c r="D180" s="965"/>
      <c r="E180" s="965"/>
      <c r="F180" s="965"/>
      <c r="G180" s="966" t="s">
        <v>601</v>
      </c>
      <c r="H180" s="966" t="s">
        <v>602</v>
      </c>
      <c r="I180" s="965" t="s">
        <v>603</v>
      </c>
      <c r="J180" s="962" t="s">
        <v>604</v>
      </c>
      <c r="K180" s="962" t="s">
        <v>605</v>
      </c>
      <c r="L180" s="964" t="s">
        <v>606</v>
      </c>
      <c r="M180" s="962" t="s">
        <v>607</v>
      </c>
      <c r="N180" s="968" t="s">
        <v>523</v>
      </c>
      <c r="O180" s="968"/>
      <c r="P180" s="968"/>
    </row>
    <row r="181" spans="1:16" outlineLevel="1">
      <c r="A181" s="965"/>
      <c r="B181" s="157" t="s">
        <v>608</v>
      </c>
      <c r="C181" s="157" t="s">
        <v>609</v>
      </c>
      <c r="D181" s="157" t="s">
        <v>610</v>
      </c>
      <c r="E181" s="157" t="s">
        <v>611</v>
      </c>
      <c r="F181" s="157" t="s">
        <v>612</v>
      </c>
      <c r="G181" s="967"/>
      <c r="H181" s="967"/>
      <c r="I181" s="965"/>
      <c r="J181" s="963"/>
      <c r="K181" s="963"/>
      <c r="L181" s="965"/>
      <c r="M181" s="963"/>
      <c r="N181" s="196" t="s">
        <v>167</v>
      </c>
      <c r="O181" s="197" t="s">
        <v>168</v>
      </c>
      <c r="P181" s="196" t="s">
        <v>342</v>
      </c>
    </row>
    <row r="182" spans="1:16" outlineLevel="1">
      <c r="A182" s="157" t="str">
        <f>CONCATENATE("第",ROW(A182)-ROW($A$181),"次评审")</f>
        <v>第1次评审</v>
      </c>
      <c r="B182" s="234"/>
      <c r="C182" s="234"/>
      <c r="D182" s="234"/>
      <c r="E182" s="234"/>
      <c r="F182" s="234"/>
      <c r="G182" s="234"/>
      <c r="H182" s="234"/>
      <c r="I182" s="235">
        <f t="shared" ref="I182:I185" si="32">SUM($B182:$F182)</f>
        <v>0</v>
      </c>
      <c r="J182" s="234"/>
      <c r="K182" s="234"/>
      <c r="L182" s="246" t="e">
        <f t="shared" ref="L182:L186" si="33">I182/J182</f>
        <v>#DIV/0!</v>
      </c>
      <c r="M182" s="246" t="e">
        <f t="shared" ref="M182:M184" si="34">K182/J182</f>
        <v>#DIV/0!</v>
      </c>
      <c r="N182" s="201">
        <v>0</v>
      </c>
      <c r="O182" s="202">
        <v>8.3400000000000002E-2</v>
      </c>
      <c r="P182" s="201">
        <v>0.22040000000000001</v>
      </c>
    </row>
    <row r="183" spans="1:16" outlineLevel="1">
      <c r="A183" s="157" t="str">
        <f>CONCATENATE("第",ROW(A183)-ROW($A$181),"次评审")</f>
        <v>第2次评审</v>
      </c>
      <c r="B183" s="234"/>
      <c r="C183" s="234"/>
      <c r="D183" s="234"/>
      <c r="E183" s="234"/>
      <c r="F183" s="234"/>
      <c r="G183" s="234"/>
      <c r="H183" s="234"/>
      <c r="I183" s="255">
        <f t="shared" si="32"/>
        <v>0</v>
      </c>
      <c r="J183" s="234"/>
      <c r="K183" s="234"/>
      <c r="L183" s="246" t="e">
        <f t="shared" si="33"/>
        <v>#DIV/0!</v>
      </c>
      <c r="M183" s="246" t="e">
        <f t="shared" si="34"/>
        <v>#DIV/0!</v>
      </c>
      <c r="N183" s="201">
        <v>0</v>
      </c>
      <c r="O183" s="202">
        <v>8.3400000000000002E-2</v>
      </c>
      <c r="P183" s="201">
        <v>0.22040000000000001</v>
      </c>
    </row>
    <row r="184" spans="1:16" outlineLevel="1">
      <c r="A184" s="157" t="str">
        <f>CONCATENATE("第",ROW(A184)-ROW($A$181),"次评审")</f>
        <v>第3次评审</v>
      </c>
      <c r="B184" s="234"/>
      <c r="C184" s="234"/>
      <c r="D184" s="234"/>
      <c r="E184" s="234"/>
      <c r="F184" s="234"/>
      <c r="G184" s="234"/>
      <c r="H184" s="234"/>
      <c r="I184" s="255">
        <f t="shared" si="32"/>
        <v>0</v>
      </c>
      <c r="J184" s="234"/>
      <c r="K184" s="234"/>
      <c r="L184" s="246" t="e">
        <f t="shared" si="33"/>
        <v>#DIV/0!</v>
      </c>
      <c r="M184" s="246" t="e">
        <f t="shared" si="34"/>
        <v>#DIV/0!</v>
      </c>
      <c r="N184" s="201">
        <v>0</v>
      </c>
      <c r="O184" s="202">
        <v>8.3400000000000002E-2</v>
      </c>
      <c r="P184" s="201">
        <v>0.22040000000000001</v>
      </c>
    </row>
    <row r="185" spans="1:16" outlineLevel="1">
      <c r="A185" s="157" t="s">
        <v>613</v>
      </c>
      <c r="B185" s="233"/>
      <c r="C185" s="233"/>
      <c r="D185" s="233"/>
      <c r="E185" s="233"/>
      <c r="F185" s="233"/>
      <c r="G185" s="233"/>
      <c r="H185" s="233"/>
      <c r="I185" s="230">
        <f t="shared" si="32"/>
        <v>0</v>
      </c>
      <c r="J185" s="233" t="s">
        <v>172</v>
      </c>
      <c r="K185" s="233"/>
      <c r="L185" s="237" t="e">
        <f t="shared" si="33"/>
        <v>#VALUE!</v>
      </c>
      <c r="M185" s="237"/>
      <c r="N185" s="245">
        <v>0</v>
      </c>
      <c r="O185" s="245">
        <v>0.23330000000000001</v>
      </c>
      <c r="P185" s="245">
        <v>0.71309999999999996</v>
      </c>
    </row>
    <row r="186" spans="1:16" outlineLevel="1">
      <c r="A186" s="157" t="s">
        <v>387</v>
      </c>
      <c r="B186" s="235">
        <f t="shared" ref="B186:H186" si="35">SUM(B182:B185)</f>
        <v>0</v>
      </c>
      <c r="C186" s="235">
        <f t="shared" si="35"/>
        <v>0</v>
      </c>
      <c r="D186" s="235">
        <f t="shared" si="35"/>
        <v>0</v>
      </c>
      <c r="E186" s="235">
        <f t="shared" si="35"/>
        <v>0</v>
      </c>
      <c r="F186" s="235">
        <f t="shared" si="35"/>
        <v>0</v>
      </c>
      <c r="G186" s="235">
        <f t="shared" si="35"/>
        <v>0</v>
      </c>
      <c r="H186" s="235">
        <f t="shared" si="35"/>
        <v>0</v>
      </c>
      <c r="I186" s="231" t="str">
        <f t="shared" ref="I186:K186" si="36">IF(SUM(I183:I185)=0,"-",SUM(I183:I185))</f>
        <v>-</v>
      </c>
      <c r="J186" s="231" t="str">
        <f t="shared" si="36"/>
        <v>-</v>
      </c>
      <c r="K186" s="231" t="str">
        <f t="shared" si="36"/>
        <v>-</v>
      </c>
      <c r="L186" s="247" t="e">
        <f t="shared" si="33"/>
        <v>#VALUE!</v>
      </c>
      <c r="M186" s="246" t="e">
        <f>K186/J186</f>
        <v>#VALUE!</v>
      </c>
    </row>
    <row r="187" spans="1:16" outlineLevel="1"/>
    <row r="188" spans="1:16" outlineLevel="1">
      <c r="N188" s="241"/>
    </row>
    <row r="189" spans="1:16" outlineLevel="1">
      <c r="N189" s="241"/>
    </row>
    <row r="190" spans="1:16" outlineLevel="1">
      <c r="N190" s="241"/>
    </row>
    <row r="191" spans="1:16" outlineLevel="1">
      <c r="N191" s="241"/>
    </row>
    <row r="192" spans="1:16" outlineLevel="1">
      <c r="N192" s="241"/>
    </row>
    <row r="193" spans="1:16" outlineLevel="1">
      <c r="N193" s="241"/>
    </row>
    <row r="194" spans="1:16" outlineLevel="1"/>
    <row r="195" spans="1:16" outlineLevel="1"/>
    <row r="196" spans="1:16" outlineLevel="1"/>
    <row r="197" spans="1:16" outlineLevel="1"/>
    <row r="198" spans="1:16" outlineLevel="1"/>
    <row r="199" spans="1:16" outlineLevel="1"/>
    <row r="200" spans="1:16" outlineLevel="1"/>
    <row r="201" spans="1:16" outlineLevel="1"/>
    <row r="202" spans="1:16" outlineLevel="1"/>
    <row r="203" spans="1:16" outlineLevel="1"/>
    <row r="204" spans="1:16" outlineLevel="1"/>
    <row r="205" spans="1:16" outlineLevel="1"/>
    <row r="206" spans="1:16" ht="27" outlineLevel="1">
      <c r="A206" s="75" t="s">
        <v>616</v>
      </c>
      <c r="B206" s="75"/>
      <c r="C206" s="228"/>
      <c r="D206" s="232"/>
      <c r="E206" s="232"/>
      <c r="F206" s="232"/>
      <c r="G206" s="232"/>
      <c r="H206" s="232"/>
      <c r="I206" s="232"/>
      <c r="J206" s="232"/>
      <c r="K206" s="232"/>
      <c r="L206" s="232"/>
      <c r="M206" s="242"/>
    </row>
    <row r="207" spans="1:16" ht="30.95" customHeight="1" outlineLevel="1">
      <c r="A207" s="965" t="s">
        <v>599</v>
      </c>
      <c r="B207" s="965" t="s">
        <v>600</v>
      </c>
      <c r="C207" s="965"/>
      <c r="D207" s="965"/>
      <c r="E207" s="965"/>
      <c r="F207" s="965"/>
      <c r="G207" s="966" t="s">
        <v>601</v>
      </c>
      <c r="H207" s="966" t="s">
        <v>602</v>
      </c>
      <c r="I207" s="965" t="s">
        <v>603</v>
      </c>
      <c r="J207" s="962" t="s">
        <v>617</v>
      </c>
      <c r="K207" s="962" t="s">
        <v>605</v>
      </c>
      <c r="L207" s="964" t="s">
        <v>618</v>
      </c>
      <c r="M207" s="962" t="s">
        <v>619</v>
      </c>
      <c r="N207" s="968" t="s">
        <v>523</v>
      </c>
      <c r="O207" s="968"/>
      <c r="P207" s="968"/>
    </row>
    <row r="208" spans="1:16" outlineLevel="1">
      <c r="A208" s="965"/>
      <c r="B208" s="157" t="s">
        <v>608</v>
      </c>
      <c r="C208" s="157" t="s">
        <v>609</v>
      </c>
      <c r="D208" s="157" t="s">
        <v>610</v>
      </c>
      <c r="E208" s="157" t="s">
        <v>611</v>
      </c>
      <c r="F208" s="157" t="s">
        <v>612</v>
      </c>
      <c r="G208" s="967"/>
      <c r="H208" s="967"/>
      <c r="I208" s="965"/>
      <c r="J208" s="963"/>
      <c r="K208" s="963"/>
      <c r="L208" s="965"/>
      <c r="M208" s="963"/>
      <c r="N208" s="196" t="s">
        <v>167</v>
      </c>
      <c r="O208" s="197" t="s">
        <v>168</v>
      </c>
      <c r="P208" s="196" t="s">
        <v>342</v>
      </c>
    </row>
    <row r="209" spans="1:16" outlineLevel="1">
      <c r="A209" s="157" t="str">
        <f>CONCATENATE("第",ROW(A209)-ROW($A$208),"次评审")</f>
        <v>第1次评审</v>
      </c>
      <c r="B209" s="229"/>
      <c r="C209" s="229"/>
      <c r="D209" s="229"/>
      <c r="E209" s="229"/>
      <c r="F209" s="229"/>
      <c r="G209" s="229"/>
      <c r="H209" s="229"/>
      <c r="I209" s="243">
        <f t="shared" ref="I209:I212" si="37">SUM($B209:$F209)</f>
        <v>0</v>
      </c>
      <c r="J209" s="229"/>
      <c r="K209" s="229"/>
      <c r="L209" s="236" t="e">
        <f t="shared" ref="L209:L213" si="38">I209/J209</f>
        <v>#DIV/0!</v>
      </c>
      <c r="M209" s="236" t="e">
        <f t="shared" ref="M209:M211" si="39">K209/J209</f>
        <v>#DIV/0!</v>
      </c>
      <c r="N209" s="201">
        <v>8.0000000000000004E-4</v>
      </c>
      <c r="O209" s="202">
        <v>1.0999999999999999E-2</v>
      </c>
      <c r="P209" s="201">
        <v>2.12E-2</v>
      </c>
    </row>
    <row r="210" spans="1:16" outlineLevel="1">
      <c r="A210" s="157" t="str">
        <f>CONCATENATE("第",ROW(A210)-ROW($A$208),"次评审")</f>
        <v>第2次评审</v>
      </c>
      <c r="B210" s="229"/>
      <c r="C210" s="229"/>
      <c r="D210" s="229"/>
      <c r="E210" s="229"/>
      <c r="F210" s="229"/>
      <c r="G210" s="229"/>
      <c r="H210" s="229"/>
      <c r="I210" s="243">
        <f t="shared" si="37"/>
        <v>0</v>
      </c>
      <c r="J210" s="229"/>
      <c r="K210" s="229"/>
      <c r="L210" s="236" t="e">
        <f t="shared" si="38"/>
        <v>#DIV/0!</v>
      </c>
      <c r="M210" s="236" t="e">
        <f t="shared" si="39"/>
        <v>#DIV/0!</v>
      </c>
      <c r="N210" s="201">
        <v>8.0000000000000004E-4</v>
      </c>
      <c r="O210" s="202">
        <v>1.0999999999999999E-2</v>
      </c>
      <c r="P210" s="201">
        <v>2.12E-2</v>
      </c>
    </row>
    <row r="211" spans="1:16" outlineLevel="1">
      <c r="A211" s="157" t="str">
        <f>CONCATENATE("第",ROW(A211)-ROW($A$208),"次评审")</f>
        <v>第3次评审</v>
      </c>
      <c r="B211" s="229"/>
      <c r="C211" s="229"/>
      <c r="D211" s="229"/>
      <c r="E211" s="229"/>
      <c r="F211" s="229"/>
      <c r="G211" s="229"/>
      <c r="H211" s="229"/>
      <c r="I211" s="243">
        <f t="shared" si="37"/>
        <v>0</v>
      </c>
      <c r="J211" s="229"/>
      <c r="K211" s="229"/>
      <c r="L211" s="236" t="e">
        <f t="shared" si="38"/>
        <v>#DIV/0!</v>
      </c>
      <c r="M211" s="236" t="e">
        <f t="shared" si="39"/>
        <v>#DIV/0!</v>
      </c>
      <c r="N211" s="201">
        <v>8.0000000000000004E-4</v>
      </c>
      <c r="O211" s="202">
        <v>1.0999999999999999E-2</v>
      </c>
      <c r="P211" s="201">
        <v>2.12E-2</v>
      </c>
    </row>
    <row r="212" spans="1:16" outlineLevel="1">
      <c r="A212" s="157" t="s">
        <v>613</v>
      </c>
      <c r="B212" s="230"/>
      <c r="C212" s="230"/>
      <c r="D212" s="230"/>
      <c r="E212" s="230"/>
      <c r="F212" s="230"/>
      <c r="G212" s="230"/>
      <c r="H212" s="230"/>
      <c r="I212" s="251">
        <f t="shared" si="37"/>
        <v>0</v>
      </c>
      <c r="J212" s="230" t="s">
        <v>172</v>
      </c>
      <c r="K212" s="230"/>
      <c r="L212" s="252" t="e">
        <f t="shared" si="38"/>
        <v>#VALUE!</v>
      </c>
      <c r="M212" s="252"/>
      <c r="N212" s="245">
        <v>0</v>
      </c>
      <c r="O212" s="245">
        <v>4.351E-2</v>
      </c>
      <c r="P212" s="245">
        <v>8.7900000000000006E-2</v>
      </c>
    </row>
    <row r="213" spans="1:16" outlineLevel="1">
      <c r="A213" s="157" t="s">
        <v>387</v>
      </c>
      <c r="B213" s="231">
        <f t="shared" ref="B213:H213" si="40">SUM(B209:B212)</f>
        <v>0</v>
      </c>
      <c r="C213" s="231">
        <f t="shared" si="40"/>
        <v>0</v>
      </c>
      <c r="D213" s="231">
        <f t="shared" si="40"/>
        <v>0</v>
      </c>
      <c r="E213" s="231">
        <f t="shared" si="40"/>
        <v>0</v>
      </c>
      <c r="F213" s="231">
        <f t="shared" si="40"/>
        <v>0</v>
      </c>
      <c r="G213" s="231">
        <f t="shared" si="40"/>
        <v>0</v>
      </c>
      <c r="H213" s="231">
        <f t="shared" si="40"/>
        <v>0</v>
      </c>
      <c r="I213" s="231" t="str">
        <f t="shared" ref="I213:K213" si="41">IF(SUM(I210:I212)=0,"-",SUM(I210:I212))</f>
        <v>-</v>
      </c>
      <c r="J213" s="231" t="str">
        <f t="shared" si="41"/>
        <v>-</v>
      </c>
      <c r="K213" s="231" t="str">
        <f t="shared" si="41"/>
        <v>-</v>
      </c>
      <c r="L213" s="236" t="e">
        <f t="shared" si="38"/>
        <v>#VALUE!</v>
      </c>
      <c r="M213" s="236" t="e">
        <f>K213/J213</f>
        <v>#VALUE!</v>
      </c>
      <c r="N213" s="253"/>
      <c r="O213" s="253"/>
      <c r="P213" s="253"/>
    </row>
    <row r="214" spans="1:16" outlineLevel="1"/>
    <row r="215" spans="1:16" outlineLevel="1">
      <c r="N215" s="241"/>
    </row>
    <row r="216" spans="1:16" outlineLevel="1">
      <c r="N216" s="241"/>
    </row>
    <row r="217" spans="1:16" outlineLevel="1">
      <c r="N217" s="241"/>
    </row>
    <row r="218" spans="1:16" outlineLevel="1">
      <c r="N218" s="241"/>
    </row>
    <row r="219" spans="1:16" outlineLevel="1">
      <c r="N219" s="241"/>
    </row>
    <row r="220" spans="1:16" outlineLevel="1"/>
    <row r="221" spans="1:16" outlineLevel="1"/>
    <row r="222" spans="1:16" outlineLevel="1"/>
    <row r="223" spans="1:16" outlineLevel="1"/>
    <row r="224" spans="1:16" outlineLevel="1"/>
    <row r="225" spans="1:16" outlineLevel="1"/>
    <row r="226" spans="1:16" outlineLevel="1"/>
    <row r="227" spans="1:16" outlineLevel="1"/>
    <row r="228" spans="1:16" outlineLevel="1"/>
    <row r="229" spans="1:16" outlineLevel="1"/>
    <row r="230" spans="1:16" outlineLevel="1"/>
    <row r="231" spans="1:16" ht="27" outlineLevel="1">
      <c r="A231" s="75" t="s">
        <v>620</v>
      </c>
      <c r="B231" s="75"/>
      <c r="C231" s="228"/>
      <c r="D231" s="232"/>
      <c r="E231" s="232"/>
      <c r="F231" s="232"/>
      <c r="G231" s="232"/>
      <c r="H231" s="232"/>
      <c r="I231" s="232"/>
      <c r="J231" s="232"/>
      <c r="K231" s="232"/>
      <c r="L231" s="232"/>
      <c r="M231" s="242"/>
    </row>
    <row r="232" spans="1:16" ht="30" customHeight="1" outlineLevel="1">
      <c r="A232" s="965" t="s">
        <v>621</v>
      </c>
      <c r="B232" s="965" t="s">
        <v>600</v>
      </c>
      <c r="C232" s="965"/>
      <c r="D232" s="965"/>
      <c r="E232" s="965"/>
      <c r="F232" s="965"/>
      <c r="G232" s="966" t="s">
        <v>601</v>
      </c>
      <c r="H232" s="966" t="s">
        <v>602</v>
      </c>
      <c r="I232" s="965" t="s">
        <v>603</v>
      </c>
      <c r="J232" s="962" t="s">
        <v>622</v>
      </c>
      <c r="K232" s="962" t="s">
        <v>623</v>
      </c>
      <c r="L232" s="964" t="s">
        <v>624</v>
      </c>
      <c r="M232" s="962" t="s">
        <v>625</v>
      </c>
      <c r="N232" s="968" t="s">
        <v>523</v>
      </c>
      <c r="O232" s="968"/>
      <c r="P232" s="968"/>
    </row>
    <row r="233" spans="1:16" outlineLevel="1">
      <c r="A233" s="965"/>
      <c r="B233" s="157" t="s">
        <v>608</v>
      </c>
      <c r="C233" s="157" t="s">
        <v>609</v>
      </c>
      <c r="D233" s="157" t="s">
        <v>610</v>
      </c>
      <c r="E233" s="157" t="s">
        <v>611</v>
      </c>
      <c r="F233" s="157" t="s">
        <v>612</v>
      </c>
      <c r="G233" s="967"/>
      <c r="H233" s="967"/>
      <c r="I233" s="965"/>
      <c r="J233" s="963"/>
      <c r="K233" s="963"/>
      <c r="L233" s="965"/>
      <c r="M233" s="963"/>
      <c r="N233" s="196" t="s">
        <v>167</v>
      </c>
      <c r="O233" s="197" t="s">
        <v>168</v>
      </c>
      <c r="P233" s="196" t="s">
        <v>342</v>
      </c>
    </row>
    <row r="234" spans="1:16" outlineLevel="1">
      <c r="A234" s="157" t="str">
        <f>CONCATENATE("第",ROW(A234)-ROW($A$233),"次走查")</f>
        <v>第1次走查</v>
      </c>
      <c r="B234" s="249"/>
      <c r="C234" s="249"/>
      <c r="D234" s="249"/>
      <c r="E234" s="249"/>
      <c r="F234" s="249"/>
      <c r="G234" s="249"/>
      <c r="H234" s="249"/>
      <c r="I234" s="231">
        <f t="shared" ref="I234:I238" si="42">SUM($B234:$F234)</f>
        <v>0</v>
      </c>
      <c r="J234" s="249"/>
      <c r="K234" s="249"/>
      <c r="L234" s="236" t="e">
        <f t="shared" ref="L234:L239" si="43">I234/J234</f>
        <v>#DIV/0!</v>
      </c>
      <c r="M234" s="236" t="e">
        <f t="shared" ref="M234:M237" si="44">K234/J234</f>
        <v>#DIV/0!</v>
      </c>
      <c r="N234" s="201">
        <v>0</v>
      </c>
      <c r="O234" s="202">
        <v>5.0599999999999999E-2</v>
      </c>
      <c r="P234" s="201">
        <v>0.15440000000000001</v>
      </c>
    </row>
    <row r="235" spans="1:16" outlineLevel="1">
      <c r="A235" s="157" t="str">
        <f>CONCATENATE("第",ROW(A235)-ROW($A$233),"次走查")</f>
        <v>第2次走查</v>
      </c>
      <c r="B235" s="249"/>
      <c r="C235" s="249"/>
      <c r="D235" s="249"/>
      <c r="E235" s="249"/>
      <c r="F235" s="249"/>
      <c r="G235" s="249"/>
      <c r="H235" s="249"/>
      <c r="I235" s="231">
        <f t="shared" si="42"/>
        <v>0</v>
      </c>
      <c r="J235" s="249"/>
      <c r="K235" s="249"/>
      <c r="L235" s="236" t="e">
        <f t="shared" si="43"/>
        <v>#DIV/0!</v>
      </c>
      <c r="M235" s="236" t="e">
        <f t="shared" si="44"/>
        <v>#DIV/0!</v>
      </c>
      <c r="N235" s="201">
        <v>0</v>
      </c>
      <c r="O235" s="202">
        <v>5.0599999999999999E-2</v>
      </c>
      <c r="P235" s="201">
        <v>0.15440000000000001</v>
      </c>
    </row>
    <row r="236" spans="1:16" outlineLevel="1">
      <c r="A236" s="157" t="str">
        <f>CONCATENATE("第",ROW(A236)-ROW($A$233),"次走查")</f>
        <v>第3次走查</v>
      </c>
      <c r="B236" s="249"/>
      <c r="C236" s="249"/>
      <c r="D236" s="249"/>
      <c r="E236" s="249"/>
      <c r="F236" s="249"/>
      <c r="G236" s="249"/>
      <c r="H236" s="249"/>
      <c r="I236" s="231">
        <f t="shared" si="42"/>
        <v>0</v>
      </c>
      <c r="J236" s="249"/>
      <c r="K236" s="249"/>
      <c r="L236" s="236" t="e">
        <f t="shared" si="43"/>
        <v>#DIV/0!</v>
      </c>
      <c r="M236" s="236" t="e">
        <f t="shared" si="44"/>
        <v>#DIV/0!</v>
      </c>
      <c r="N236" s="201">
        <v>0</v>
      </c>
      <c r="O236" s="202">
        <v>5.0599999999999999E-2</v>
      </c>
      <c r="P236" s="201">
        <v>0.15440000000000001</v>
      </c>
    </row>
    <row r="237" spans="1:16" outlineLevel="1">
      <c r="A237" s="157" t="str">
        <f>CONCATENATE("第",ROW(A237)-ROW($A$233),"次走查")</f>
        <v>第4次走查</v>
      </c>
      <c r="B237" s="249"/>
      <c r="C237" s="249"/>
      <c r="D237" s="249"/>
      <c r="E237" s="249"/>
      <c r="F237" s="249"/>
      <c r="G237" s="249"/>
      <c r="H237" s="249"/>
      <c r="I237" s="231">
        <f t="shared" si="42"/>
        <v>0</v>
      </c>
      <c r="J237" s="249"/>
      <c r="K237" s="249"/>
      <c r="L237" s="236" t="e">
        <f t="shared" si="43"/>
        <v>#DIV/0!</v>
      </c>
      <c r="M237" s="236" t="e">
        <f t="shared" si="44"/>
        <v>#DIV/0!</v>
      </c>
      <c r="N237" s="201">
        <v>0</v>
      </c>
      <c r="O237" s="202">
        <v>5.0599999999999999E-2</v>
      </c>
      <c r="P237" s="201">
        <v>0.15440000000000001</v>
      </c>
    </row>
    <row r="238" spans="1:16" outlineLevel="1">
      <c r="A238" s="157" t="s">
        <v>626</v>
      </c>
      <c r="B238" s="230"/>
      <c r="C238" s="230"/>
      <c r="D238" s="230"/>
      <c r="E238" s="230"/>
      <c r="F238" s="230"/>
      <c r="G238" s="230"/>
      <c r="H238" s="230"/>
      <c r="I238" s="251">
        <f t="shared" si="42"/>
        <v>0</v>
      </c>
      <c r="J238" s="230" t="s">
        <v>172</v>
      </c>
      <c r="K238" s="230"/>
      <c r="L238" s="252" t="e">
        <f t="shared" si="43"/>
        <v>#VALUE!</v>
      </c>
      <c r="M238" s="252"/>
      <c r="N238" s="245">
        <v>0</v>
      </c>
      <c r="O238" s="245">
        <v>0.3</v>
      </c>
      <c r="P238" s="245">
        <v>0.65790273556231005</v>
      </c>
    </row>
    <row r="239" spans="1:16" outlineLevel="1">
      <c r="A239" s="157" t="s">
        <v>387</v>
      </c>
      <c r="B239" s="231">
        <f t="shared" ref="B239:H239" si="45">SUM(B232:B238)</f>
        <v>0</v>
      </c>
      <c r="C239" s="231">
        <f t="shared" si="45"/>
        <v>0</v>
      </c>
      <c r="D239" s="231">
        <f t="shared" si="45"/>
        <v>0</v>
      </c>
      <c r="E239" s="231">
        <f t="shared" si="45"/>
        <v>0</v>
      </c>
      <c r="F239" s="231">
        <f t="shared" si="45"/>
        <v>0</v>
      </c>
      <c r="G239" s="231">
        <f t="shared" si="45"/>
        <v>0</v>
      </c>
      <c r="H239" s="231">
        <f t="shared" si="45"/>
        <v>0</v>
      </c>
      <c r="I239" s="231" t="str">
        <f t="shared" ref="I239:K239" si="46">IF(SUM(I236:I238)=0,"-",SUM(I236:I238))</f>
        <v>-</v>
      </c>
      <c r="J239" s="231" t="str">
        <f t="shared" si="46"/>
        <v>-</v>
      </c>
      <c r="K239" s="231" t="str">
        <f t="shared" si="46"/>
        <v>-</v>
      </c>
      <c r="L239" s="236" t="e">
        <f t="shared" si="43"/>
        <v>#VALUE!</v>
      </c>
      <c r="M239" s="236" t="e">
        <f>K239/J239</f>
        <v>#VALUE!</v>
      </c>
      <c r="N239" s="253"/>
      <c r="O239" s="253"/>
      <c r="P239" s="253"/>
    </row>
    <row r="240" spans="1:16" outlineLevel="1"/>
    <row r="241" spans="14:14" outlineLevel="1">
      <c r="N241" s="241" t="s">
        <v>157</v>
      </c>
    </row>
    <row r="242" spans="14:14" outlineLevel="1">
      <c r="N242" s="241" t="s">
        <v>627</v>
      </c>
    </row>
    <row r="243" spans="14:14" outlineLevel="1">
      <c r="N243" s="241" t="s">
        <v>628</v>
      </c>
    </row>
    <row r="244" spans="14:14" outlineLevel="1">
      <c r="N244" s="241" t="s">
        <v>629</v>
      </c>
    </row>
    <row r="245" spans="14:14" outlineLevel="1">
      <c r="N245" s="241" t="s">
        <v>630</v>
      </c>
    </row>
    <row r="246" spans="14:14" outlineLevel="1"/>
    <row r="247" spans="14:14" outlineLevel="1"/>
    <row r="248" spans="14:14" outlineLevel="1"/>
    <row r="249" spans="14:14" outlineLevel="1"/>
    <row r="250" spans="14:14" outlineLevel="1"/>
    <row r="251" spans="14:14" outlineLevel="1"/>
    <row r="252" spans="14:14" outlineLevel="1"/>
    <row r="253" spans="14:14" outlineLevel="1"/>
    <row r="254" spans="14:14" outlineLevel="1"/>
    <row r="255" spans="14:14" outlineLevel="1"/>
    <row r="256" spans="14:14" outlineLevel="1"/>
    <row r="258" spans="1:16" ht="24.75" customHeight="1"/>
    <row r="259" spans="1:16" ht="27" customHeight="1" outlineLevel="1">
      <c r="A259" s="59" t="s">
        <v>394</v>
      </c>
      <c r="B259" s="59"/>
      <c r="C259" s="59"/>
      <c r="D259" s="59"/>
      <c r="E259" s="59"/>
      <c r="F259" s="59"/>
      <c r="G259" s="59"/>
      <c r="H259" s="59"/>
      <c r="I259" s="59"/>
      <c r="J259" s="59"/>
      <c r="K259" s="59"/>
      <c r="L259" s="59"/>
      <c r="M259" s="59"/>
      <c r="N259" s="59"/>
      <c r="O259" s="59"/>
      <c r="P259" s="59"/>
    </row>
    <row r="260" spans="1:16" ht="12" customHeight="1" outlineLevel="1">
      <c r="A260" s="969" t="s">
        <v>596</v>
      </c>
      <c r="B260" s="969"/>
      <c r="C260" s="969"/>
      <c r="D260" s="969"/>
      <c r="E260" s="969"/>
      <c r="F260" s="969"/>
      <c r="G260" s="969"/>
      <c r="H260" s="969"/>
      <c r="I260" s="969"/>
      <c r="J260" s="59"/>
      <c r="K260" s="59"/>
      <c r="L260" s="59"/>
      <c r="M260" s="59"/>
      <c r="N260" s="59"/>
      <c r="O260" s="59"/>
      <c r="P260" s="59"/>
    </row>
    <row r="261" spans="1:16" ht="17.25" customHeight="1" outlineLevel="1">
      <c r="A261" s="227" t="s">
        <v>597</v>
      </c>
      <c r="B261" s="226"/>
      <c r="C261" s="226"/>
      <c r="D261" s="226"/>
      <c r="E261" s="226"/>
      <c r="F261" s="226"/>
      <c r="G261" s="226"/>
      <c r="H261" s="226"/>
      <c r="I261" s="226"/>
      <c r="J261" s="59"/>
      <c r="K261" s="59"/>
      <c r="L261" s="59"/>
      <c r="M261" s="59"/>
      <c r="N261" s="59"/>
      <c r="O261" s="59"/>
      <c r="P261" s="59"/>
    </row>
    <row r="262" spans="1:16" ht="25.5" customHeight="1" outlineLevel="1">
      <c r="A262" s="75" t="s">
        <v>598</v>
      </c>
      <c r="B262" s="75"/>
      <c r="C262" s="228"/>
    </row>
    <row r="263" spans="1:16" ht="13.5" customHeight="1" outlineLevel="1">
      <c r="A263" s="965" t="s">
        <v>599</v>
      </c>
      <c r="B263" s="965" t="s">
        <v>600</v>
      </c>
      <c r="C263" s="965"/>
      <c r="D263" s="965"/>
      <c r="E263" s="965"/>
      <c r="F263" s="965"/>
      <c r="G263" s="966" t="s">
        <v>601</v>
      </c>
      <c r="H263" s="966" t="s">
        <v>602</v>
      </c>
      <c r="I263" s="965" t="s">
        <v>603</v>
      </c>
      <c r="J263" s="962" t="s">
        <v>604</v>
      </c>
      <c r="K263" s="962" t="s">
        <v>605</v>
      </c>
      <c r="L263" s="964" t="s">
        <v>606</v>
      </c>
      <c r="M263" s="962" t="s">
        <v>607</v>
      </c>
      <c r="N263" s="968" t="s">
        <v>523</v>
      </c>
      <c r="O263" s="968"/>
      <c r="P263" s="968"/>
    </row>
    <row r="264" spans="1:16" ht="14.25" customHeight="1" outlineLevel="1">
      <c r="A264" s="965"/>
      <c r="B264" s="157" t="s">
        <v>608</v>
      </c>
      <c r="C264" s="157" t="s">
        <v>609</v>
      </c>
      <c r="D264" s="157" t="s">
        <v>610</v>
      </c>
      <c r="E264" s="157" t="s">
        <v>611</v>
      </c>
      <c r="F264" s="157" t="s">
        <v>612</v>
      </c>
      <c r="G264" s="967"/>
      <c r="H264" s="967"/>
      <c r="I264" s="965"/>
      <c r="J264" s="963"/>
      <c r="K264" s="963"/>
      <c r="L264" s="965"/>
      <c r="M264" s="963"/>
      <c r="N264" s="196" t="s">
        <v>167</v>
      </c>
      <c r="O264" s="197" t="s">
        <v>168</v>
      </c>
      <c r="P264" s="196" t="s">
        <v>342</v>
      </c>
    </row>
    <row r="265" spans="1:16" outlineLevel="1">
      <c r="A265" s="157" t="str">
        <f>CONCATENATE("第",ROW(A265)-ROW($A$264),"次评审")</f>
        <v>第1次评审</v>
      </c>
      <c r="B265" s="229"/>
      <c r="C265" s="229"/>
      <c r="D265" s="229"/>
      <c r="E265" s="229"/>
      <c r="F265" s="229"/>
      <c r="G265" s="229"/>
      <c r="H265" s="229"/>
      <c r="I265" s="231">
        <f t="shared" ref="I265:I267" si="47">SUM($B265:$F265)</f>
        <v>0</v>
      </c>
      <c r="J265" s="229"/>
      <c r="K265" s="229"/>
      <c r="L265" s="236" t="e">
        <f t="shared" ref="L265:L268" si="48">I265/J265</f>
        <v>#DIV/0!</v>
      </c>
      <c r="M265" s="236" t="e">
        <f t="shared" ref="M265:M268" si="49">K265/J265</f>
        <v>#DIV/0!</v>
      </c>
      <c r="N265" s="201">
        <v>0</v>
      </c>
      <c r="O265" s="202">
        <v>0.21110000000000001</v>
      </c>
      <c r="P265" s="201">
        <v>0.627</v>
      </c>
    </row>
    <row r="266" spans="1:16" outlineLevel="1">
      <c r="A266" s="157" t="str">
        <f>CONCATENATE("第",ROW(A266)-ROW($A$264),"次评审")</f>
        <v>第2次评审</v>
      </c>
      <c r="B266" s="229"/>
      <c r="C266" s="229"/>
      <c r="D266" s="229"/>
      <c r="E266" s="229"/>
      <c r="F266" s="229"/>
      <c r="G266" s="229"/>
      <c r="H266" s="229"/>
      <c r="I266" s="231">
        <f t="shared" si="47"/>
        <v>0</v>
      </c>
      <c r="J266" s="229"/>
      <c r="K266" s="229"/>
      <c r="L266" s="236" t="e">
        <f t="shared" si="48"/>
        <v>#DIV/0!</v>
      </c>
      <c r="M266" s="236" t="e">
        <f t="shared" si="49"/>
        <v>#DIV/0!</v>
      </c>
      <c r="N266" s="201">
        <v>0</v>
      </c>
      <c r="O266" s="202">
        <v>0.21110000000000001</v>
      </c>
      <c r="P266" s="201">
        <v>0.627</v>
      </c>
    </row>
    <row r="267" spans="1:16" outlineLevel="1">
      <c r="A267" s="157" t="s">
        <v>613</v>
      </c>
      <c r="B267" s="230" t="s">
        <v>172</v>
      </c>
      <c r="C267" s="230" t="s">
        <v>172</v>
      </c>
      <c r="D267" s="230" t="s">
        <v>172</v>
      </c>
      <c r="E267" s="230" t="s">
        <v>172</v>
      </c>
      <c r="F267" s="230" t="s">
        <v>172</v>
      </c>
      <c r="G267" s="230" t="s">
        <v>172</v>
      </c>
      <c r="H267" s="230" t="s">
        <v>172</v>
      </c>
      <c r="I267" s="230">
        <f t="shared" si="47"/>
        <v>0</v>
      </c>
      <c r="J267" s="230" t="s">
        <v>172</v>
      </c>
      <c r="K267" s="230"/>
      <c r="L267" s="237" t="e">
        <f t="shared" si="48"/>
        <v>#VALUE!</v>
      </c>
      <c r="M267" s="237"/>
      <c r="N267" s="238">
        <v>0</v>
      </c>
      <c r="O267" s="238">
        <v>0.3075</v>
      </c>
      <c r="P267" s="238">
        <v>0.65469999999999995</v>
      </c>
    </row>
    <row r="268" spans="1:16" outlineLevel="1">
      <c r="A268" s="157" t="s">
        <v>387</v>
      </c>
      <c r="B268" s="231">
        <f t="shared" ref="B268:H268" si="50">SUM(B265:B267)</f>
        <v>0</v>
      </c>
      <c r="C268" s="231">
        <f t="shared" si="50"/>
        <v>0</v>
      </c>
      <c r="D268" s="231">
        <f t="shared" si="50"/>
        <v>0</v>
      </c>
      <c r="E268" s="231">
        <f t="shared" si="50"/>
        <v>0</v>
      </c>
      <c r="F268" s="231">
        <f t="shared" si="50"/>
        <v>0</v>
      </c>
      <c r="G268" s="231">
        <f t="shared" si="50"/>
        <v>0</v>
      </c>
      <c r="H268" s="231">
        <f t="shared" si="50"/>
        <v>0</v>
      </c>
      <c r="I268" s="231" t="str">
        <f t="shared" ref="I268:K268" si="51">IF(SUM(I265:I267)=0,"-",SUM(I265:I267))</f>
        <v>-</v>
      </c>
      <c r="J268" s="231" t="str">
        <f t="shared" si="51"/>
        <v>-</v>
      </c>
      <c r="K268" s="231" t="str">
        <f t="shared" si="51"/>
        <v>-</v>
      </c>
      <c r="L268" s="236" t="e">
        <f t="shared" si="48"/>
        <v>#VALUE!</v>
      </c>
      <c r="M268" s="239" t="e">
        <f t="shared" si="49"/>
        <v>#VALUE!</v>
      </c>
      <c r="N268" s="240"/>
      <c r="O268" s="240"/>
      <c r="P268" s="240"/>
    </row>
    <row r="269" spans="1:16" outlineLevel="1"/>
    <row r="270" spans="1:16" outlineLevel="1"/>
    <row r="271" spans="1:16" outlineLevel="1">
      <c r="N271" s="241"/>
    </row>
    <row r="272" spans="1:16" outlineLevel="1">
      <c r="N272" s="241"/>
    </row>
    <row r="273" spans="1:16" outlineLevel="1">
      <c r="N273" s="241"/>
    </row>
    <row r="274" spans="1:16" outlineLevel="1">
      <c r="N274" s="241"/>
    </row>
    <row r="275" spans="1:16" outlineLevel="1">
      <c r="N275" s="241"/>
    </row>
    <row r="276" spans="1:16" outlineLevel="1"/>
    <row r="277" spans="1:16" outlineLevel="1"/>
    <row r="278" spans="1:16" outlineLevel="1"/>
    <row r="279" spans="1:16" outlineLevel="1"/>
    <row r="280" spans="1:16" outlineLevel="1"/>
    <row r="281" spans="1:16" outlineLevel="1"/>
    <row r="282" spans="1:16" outlineLevel="1"/>
    <row r="283" spans="1:16" outlineLevel="1"/>
    <row r="284" spans="1:16" outlineLevel="1"/>
    <row r="285" spans="1:16" ht="27" outlineLevel="1">
      <c r="A285" s="75" t="s">
        <v>614</v>
      </c>
      <c r="B285" s="75"/>
      <c r="C285" s="228"/>
      <c r="D285" s="232"/>
      <c r="E285" s="232"/>
      <c r="F285" s="232"/>
      <c r="G285" s="232"/>
      <c r="H285" s="232"/>
      <c r="I285" s="232"/>
      <c r="J285" s="232"/>
      <c r="K285" s="232"/>
      <c r="L285" s="232"/>
      <c r="M285" s="242"/>
    </row>
    <row r="286" spans="1:16" ht="27" customHeight="1" outlineLevel="1">
      <c r="A286" s="965" t="s">
        <v>599</v>
      </c>
      <c r="B286" s="965" t="s">
        <v>600</v>
      </c>
      <c r="C286" s="965"/>
      <c r="D286" s="965"/>
      <c r="E286" s="965"/>
      <c r="F286" s="965"/>
      <c r="G286" s="966" t="s">
        <v>601</v>
      </c>
      <c r="H286" s="966" t="s">
        <v>602</v>
      </c>
      <c r="I286" s="965" t="s">
        <v>603</v>
      </c>
      <c r="J286" s="962" t="s">
        <v>604</v>
      </c>
      <c r="K286" s="962" t="s">
        <v>605</v>
      </c>
      <c r="L286" s="964" t="s">
        <v>606</v>
      </c>
      <c r="M286" s="962" t="s">
        <v>607</v>
      </c>
      <c r="N286" s="968" t="s">
        <v>523</v>
      </c>
      <c r="O286" s="968"/>
      <c r="P286" s="968"/>
    </row>
    <row r="287" spans="1:16" ht="18.75" customHeight="1" outlineLevel="1">
      <c r="A287" s="965"/>
      <c r="B287" s="157" t="s">
        <v>608</v>
      </c>
      <c r="C287" s="157" t="s">
        <v>609</v>
      </c>
      <c r="D287" s="157" t="s">
        <v>610</v>
      </c>
      <c r="E287" s="157" t="s">
        <v>611</v>
      </c>
      <c r="F287" s="157" t="s">
        <v>612</v>
      </c>
      <c r="G287" s="967"/>
      <c r="H287" s="967"/>
      <c r="I287" s="965"/>
      <c r="J287" s="963"/>
      <c r="K287" s="963"/>
      <c r="L287" s="965"/>
      <c r="M287" s="963"/>
      <c r="N287" s="196" t="s">
        <v>167</v>
      </c>
      <c r="O287" s="197" t="s">
        <v>168</v>
      </c>
      <c r="P287" s="196" t="s">
        <v>342</v>
      </c>
    </row>
    <row r="288" spans="1:16" outlineLevel="1">
      <c r="A288" s="157" t="str">
        <f>CONCATENATE("第",ROW(A288)-ROW($A$287),"次评审")</f>
        <v>第1次评审</v>
      </c>
      <c r="B288" s="229"/>
      <c r="C288" s="229"/>
      <c r="D288" s="229"/>
      <c r="E288" s="229"/>
      <c r="F288" s="229"/>
      <c r="G288" s="229"/>
      <c r="H288" s="229"/>
      <c r="I288" s="231">
        <f t="shared" ref="I288:I291" si="52">SUM($B288:$F288)</f>
        <v>0</v>
      </c>
      <c r="J288" s="229"/>
      <c r="K288" s="229"/>
      <c r="L288" s="236" t="e">
        <f t="shared" ref="L288:L292" si="53">I288/J288</f>
        <v>#DIV/0!</v>
      </c>
      <c r="M288" s="236" t="e">
        <f t="shared" ref="M288:M290" si="54">K288/J288</f>
        <v>#DIV/0!</v>
      </c>
      <c r="N288" s="201">
        <v>0</v>
      </c>
      <c r="O288" s="202">
        <v>7.5399999999999995E-2</v>
      </c>
      <c r="P288" s="201">
        <v>0.2273</v>
      </c>
    </row>
    <row r="289" spans="1:17" outlineLevel="1">
      <c r="A289" s="157" t="str">
        <f>CONCATENATE("第",ROW(A289)-ROW($A$287),"次评审")</f>
        <v>第2次评审</v>
      </c>
      <c r="B289" s="229"/>
      <c r="C289" s="229"/>
      <c r="D289" s="229"/>
      <c r="E289" s="229"/>
      <c r="F289" s="229"/>
      <c r="G289" s="229"/>
      <c r="H289" s="229"/>
      <c r="I289" s="243">
        <f t="shared" si="52"/>
        <v>0</v>
      </c>
      <c r="J289" s="229"/>
      <c r="K289" s="229"/>
      <c r="L289" s="236" t="e">
        <f t="shared" si="53"/>
        <v>#DIV/0!</v>
      </c>
      <c r="M289" s="236" t="e">
        <f t="shared" si="54"/>
        <v>#DIV/0!</v>
      </c>
      <c r="N289" s="201">
        <v>0</v>
      </c>
      <c r="O289" s="202">
        <v>7.5399999999999995E-2</v>
      </c>
      <c r="P289" s="201">
        <v>0.2273</v>
      </c>
    </row>
    <row r="290" spans="1:17" outlineLevel="1">
      <c r="A290" s="157" t="str">
        <f>CONCATENATE("第",ROW(A290)-ROW($A$287),"次评审")</f>
        <v>第3次评审</v>
      </c>
      <c r="B290" s="229"/>
      <c r="C290" s="229"/>
      <c r="D290" s="229"/>
      <c r="E290" s="229"/>
      <c r="F290" s="229"/>
      <c r="G290" s="229"/>
      <c r="H290" s="229"/>
      <c r="I290" s="243">
        <f t="shared" si="52"/>
        <v>0</v>
      </c>
      <c r="J290" s="229"/>
      <c r="K290" s="229"/>
      <c r="L290" s="236" t="e">
        <f t="shared" si="53"/>
        <v>#DIV/0!</v>
      </c>
      <c r="M290" s="236" t="e">
        <f t="shared" si="54"/>
        <v>#DIV/0!</v>
      </c>
      <c r="N290" s="201">
        <v>0</v>
      </c>
      <c r="O290" s="202">
        <v>7.5399999999999995E-2</v>
      </c>
      <c r="P290" s="201">
        <v>0.2273</v>
      </c>
    </row>
    <row r="291" spans="1:17" outlineLevel="1">
      <c r="A291" s="157" t="s">
        <v>613</v>
      </c>
      <c r="B291" s="233" t="s">
        <v>172</v>
      </c>
      <c r="C291" s="233" t="s">
        <v>172</v>
      </c>
      <c r="D291" s="233" t="s">
        <v>172</v>
      </c>
      <c r="E291" s="233" t="s">
        <v>172</v>
      </c>
      <c r="F291" s="233" t="s">
        <v>172</v>
      </c>
      <c r="G291" s="233" t="s">
        <v>172</v>
      </c>
      <c r="H291" s="233" t="s">
        <v>172</v>
      </c>
      <c r="I291" s="230">
        <f t="shared" si="52"/>
        <v>0</v>
      </c>
      <c r="J291" s="244" t="s">
        <v>172</v>
      </c>
      <c r="K291" s="244"/>
      <c r="L291" s="237" t="e">
        <f t="shared" si="53"/>
        <v>#VALUE!</v>
      </c>
      <c r="M291" s="237"/>
      <c r="N291" s="245">
        <v>0</v>
      </c>
      <c r="O291" s="245">
        <v>0.28660000000000002</v>
      </c>
      <c r="P291" s="245">
        <v>0.61099999999999999</v>
      </c>
    </row>
    <row r="292" spans="1:17" outlineLevel="1">
      <c r="A292" s="157" t="s">
        <v>387</v>
      </c>
      <c r="B292" s="231">
        <f t="shared" ref="B292:H292" si="55">SUM(B288:B291)</f>
        <v>0</v>
      </c>
      <c r="C292" s="231">
        <f t="shared" si="55"/>
        <v>0</v>
      </c>
      <c r="D292" s="231">
        <f t="shared" si="55"/>
        <v>0</v>
      </c>
      <c r="E292" s="231">
        <f t="shared" si="55"/>
        <v>0</v>
      </c>
      <c r="F292" s="231">
        <f t="shared" si="55"/>
        <v>0</v>
      </c>
      <c r="G292" s="231">
        <f t="shared" si="55"/>
        <v>0</v>
      </c>
      <c r="H292" s="231">
        <f t="shared" si="55"/>
        <v>0</v>
      </c>
      <c r="I292" s="231" t="str">
        <f t="shared" ref="I292:K292" si="56">IF(SUM(I289:I291)=0,"-",SUM(I289:I291))</f>
        <v>-</v>
      </c>
      <c r="J292" s="231" t="str">
        <f t="shared" si="56"/>
        <v>-</v>
      </c>
      <c r="K292" s="231" t="str">
        <f t="shared" si="56"/>
        <v>-</v>
      </c>
      <c r="L292" s="236" t="e">
        <f t="shared" si="53"/>
        <v>#VALUE!</v>
      </c>
      <c r="M292" s="239" t="e">
        <f>K292/J292</f>
        <v>#VALUE!</v>
      </c>
      <c r="N292" s="240"/>
      <c r="O292" s="240"/>
      <c r="P292" s="240"/>
    </row>
    <row r="293" spans="1:17" outlineLevel="1">
      <c r="Q293" s="248"/>
    </row>
    <row r="294" spans="1:17" outlineLevel="1"/>
    <row r="295" spans="1:17" outlineLevel="1">
      <c r="N295" s="241"/>
    </row>
    <row r="296" spans="1:17" outlineLevel="1">
      <c r="N296" s="241"/>
    </row>
    <row r="297" spans="1:17" outlineLevel="1">
      <c r="N297" s="241"/>
    </row>
    <row r="298" spans="1:17" outlineLevel="1">
      <c r="N298" s="241"/>
    </row>
    <row r="299" spans="1:17" outlineLevel="1">
      <c r="N299" s="241"/>
    </row>
    <row r="300" spans="1:17" ht="18" customHeight="1" outlineLevel="1"/>
    <row r="301" spans="1:17" outlineLevel="1"/>
    <row r="302" spans="1:17" ht="13.5" customHeight="1" outlineLevel="1"/>
    <row r="303" spans="1:17" outlineLevel="1"/>
    <row r="304" spans="1:17" outlineLevel="1"/>
    <row r="305" spans="1:16" outlineLevel="1"/>
    <row r="306" spans="1:16" outlineLevel="1"/>
    <row r="307" spans="1:16" outlineLevel="1"/>
    <row r="308" spans="1:16" outlineLevel="1"/>
    <row r="309" spans="1:16" outlineLevel="1"/>
    <row r="310" spans="1:16" outlineLevel="1"/>
    <row r="311" spans="1:16" ht="27" outlineLevel="1">
      <c r="A311" s="75" t="s">
        <v>615</v>
      </c>
      <c r="B311" s="75"/>
      <c r="C311" s="228"/>
      <c r="D311" s="232"/>
      <c r="E311" s="232"/>
      <c r="F311" s="232"/>
      <c r="G311" s="232"/>
      <c r="H311" s="232"/>
      <c r="I311" s="232"/>
      <c r="J311" s="232"/>
      <c r="K311" s="232"/>
      <c r="L311" s="232"/>
      <c r="M311" s="242"/>
    </row>
    <row r="312" spans="1:16" ht="27" customHeight="1" outlineLevel="1">
      <c r="A312" s="965" t="s">
        <v>599</v>
      </c>
      <c r="B312" s="965" t="s">
        <v>600</v>
      </c>
      <c r="C312" s="965"/>
      <c r="D312" s="965"/>
      <c r="E312" s="965"/>
      <c r="F312" s="965"/>
      <c r="G312" s="966" t="s">
        <v>601</v>
      </c>
      <c r="H312" s="966" t="s">
        <v>602</v>
      </c>
      <c r="I312" s="965" t="s">
        <v>603</v>
      </c>
      <c r="J312" s="962" t="s">
        <v>604</v>
      </c>
      <c r="K312" s="962" t="s">
        <v>605</v>
      </c>
      <c r="L312" s="964" t="s">
        <v>606</v>
      </c>
      <c r="M312" s="962" t="s">
        <v>607</v>
      </c>
      <c r="N312" s="968" t="s">
        <v>523</v>
      </c>
      <c r="O312" s="968"/>
      <c r="P312" s="968"/>
    </row>
    <row r="313" spans="1:16" outlineLevel="1">
      <c r="A313" s="965"/>
      <c r="B313" s="157" t="s">
        <v>608</v>
      </c>
      <c r="C313" s="157" t="s">
        <v>609</v>
      </c>
      <c r="D313" s="157" t="s">
        <v>610</v>
      </c>
      <c r="E313" s="157" t="s">
        <v>611</v>
      </c>
      <c r="F313" s="157" t="s">
        <v>612</v>
      </c>
      <c r="G313" s="967"/>
      <c r="H313" s="967"/>
      <c r="I313" s="965"/>
      <c r="J313" s="963"/>
      <c r="K313" s="963"/>
      <c r="L313" s="965"/>
      <c r="M313" s="963"/>
      <c r="N313" s="196" t="s">
        <v>167</v>
      </c>
      <c r="O313" s="197" t="s">
        <v>168</v>
      </c>
      <c r="P313" s="196" t="s">
        <v>342</v>
      </c>
    </row>
    <row r="314" spans="1:16" outlineLevel="1">
      <c r="A314" s="157" t="str">
        <f>CONCATENATE("第",ROW(A314)-ROW($A$313),"次评审")</f>
        <v>第1次评审</v>
      </c>
      <c r="B314" s="234"/>
      <c r="C314" s="234"/>
      <c r="D314" s="234"/>
      <c r="E314" s="234"/>
      <c r="F314" s="234"/>
      <c r="G314" s="234"/>
      <c r="H314" s="234"/>
      <c r="I314" s="235">
        <f t="shared" ref="I314:I317" si="57">SUM($B314:$F314)</f>
        <v>0</v>
      </c>
      <c r="J314" s="234"/>
      <c r="K314" s="234"/>
      <c r="L314" s="246" t="e">
        <f t="shared" ref="L314:L318" si="58">I314/J314</f>
        <v>#DIV/0!</v>
      </c>
      <c r="M314" s="246" t="e">
        <f t="shared" ref="M314:M316" si="59">K314/J314</f>
        <v>#DIV/0!</v>
      </c>
      <c r="N314" s="201">
        <v>0</v>
      </c>
      <c r="O314" s="202">
        <v>8.3400000000000002E-2</v>
      </c>
      <c r="P314" s="201">
        <v>0.22040000000000001</v>
      </c>
    </row>
    <row r="315" spans="1:16" outlineLevel="1">
      <c r="A315" s="157" t="str">
        <f>CONCATENATE("第",ROW(A315)-ROW($A$313),"次评审")</f>
        <v>第2次评审</v>
      </c>
      <c r="B315" s="234"/>
      <c r="C315" s="234"/>
      <c r="D315" s="234"/>
      <c r="E315" s="234"/>
      <c r="F315" s="234"/>
      <c r="G315" s="234"/>
      <c r="H315" s="234"/>
      <c r="I315" s="255">
        <f t="shared" si="57"/>
        <v>0</v>
      </c>
      <c r="J315" s="234"/>
      <c r="K315" s="234"/>
      <c r="L315" s="246" t="e">
        <f t="shared" si="58"/>
        <v>#DIV/0!</v>
      </c>
      <c r="M315" s="246" t="e">
        <f t="shared" si="59"/>
        <v>#DIV/0!</v>
      </c>
      <c r="N315" s="201">
        <v>0</v>
      </c>
      <c r="O315" s="202">
        <v>8.3400000000000002E-2</v>
      </c>
      <c r="P315" s="201">
        <v>0.22040000000000001</v>
      </c>
    </row>
    <row r="316" spans="1:16" outlineLevel="1">
      <c r="A316" s="157" t="str">
        <f>CONCATENATE("第",ROW(A316)-ROW($A$313),"次评审")</f>
        <v>第3次评审</v>
      </c>
      <c r="B316" s="234"/>
      <c r="C316" s="234"/>
      <c r="D316" s="234"/>
      <c r="E316" s="234"/>
      <c r="F316" s="234"/>
      <c r="G316" s="234"/>
      <c r="H316" s="234"/>
      <c r="I316" s="255">
        <f t="shared" si="57"/>
        <v>0</v>
      </c>
      <c r="J316" s="234"/>
      <c r="K316" s="234"/>
      <c r="L316" s="246" t="e">
        <f t="shared" si="58"/>
        <v>#DIV/0!</v>
      </c>
      <c r="M316" s="246" t="e">
        <f t="shared" si="59"/>
        <v>#DIV/0!</v>
      </c>
      <c r="N316" s="201">
        <v>0</v>
      </c>
      <c r="O316" s="202">
        <v>8.3400000000000002E-2</v>
      </c>
      <c r="P316" s="201">
        <v>0.22040000000000001</v>
      </c>
    </row>
    <row r="317" spans="1:16" outlineLevel="1">
      <c r="A317" s="157" t="s">
        <v>613</v>
      </c>
      <c r="B317" s="233"/>
      <c r="C317" s="233"/>
      <c r="D317" s="233"/>
      <c r="E317" s="233"/>
      <c r="F317" s="233"/>
      <c r="G317" s="233"/>
      <c r="H317" s="233"/>
      <c r="I317" s="230">
        <f t="shared" si="57"/>
        <v>0</v>
      </c>
      <c r="J317" s="233" t="s">
        <v>172</v>
      </c>
      <c r="K317" s="233"/>
      <c r="L317" s="237" t="e">
        <f t="shared" si="58"/>
        <v>#VALUE!</v>
      </c>
      <c r="M317" s="237"/>
      <c r="N317" s="245">
        <v>0</v>
      </c>
      <c r="O317" s="245">
        <v>0.23330000000000001</v>
      </c>
      <c r="P317" s="245">
        <v>0.71309999999999996</v>
      </c>
    </row>
    <row r="318" spans="1:16" outlineLevel="1">
      <c r="A318" s="157" t="s">
        <v>387</v>
      </c>
      <c r="B318" s="235">
        <f t="shared" ref="B318:H318" si="60">SUM(B314:B317)</f>
        <v>0</v>
      </c>
      <c r="C318" s="235">
        <f t="shared" si="60"/>
        <v>0</v>
      </c>
      <c r="D318" s="235">
        <f t="shared" si="60"/>
        <v>0</v>
      </c>
      <c r="E318" s="235">
        <f t="shared" si="60"/>
        <v>0</v>
      </c>
      <c r="F318" s="235">
        <f t="shared" si="60"/>
        <v>0</v>
      </c>
      <c r="G318" s="235">
        <f t="shared" si="60"/>
        <v>0</v>
      </c>
      <c r="H318" s="235">
        <f t="shared" si="60"/>
        <v>0</v>
      </c>
      <c r="I318" s="231" t="str">
        <f t="shared" ref="I318:K318" si="61">IF(SUM(I315:I317)=0,"-",SUM(I315:I317))</f>
        <v>-</v>
      </c>
      <c r="J318" s="231" t="str">
        <f t="shared" si="61"/>
        <v>-</v>
      </c>
      <c r="K318" s="231" t="str">
        <f t="shared" si="61"/>
        <v>-</v>
      </c>
      <c r="L318" s="247" t="e">
        <f t="shared" si="58"/>
        <v>#VALUE!</v>
      </c>
      <c r="M318" s="246" t="e">
        <f>K318/J318</f>
        <v>#VALUE!</v>
      </c>
    </row>
    <row r="319" spans="1:16" outlineLevel="1"/>
    <row r="320" spans="1:16" outlineLevel="1">
      <c r="N320" s="241"/>
    </row>
    <row r="321" spans="14:14" outlineLevel="1">
      <c r="N321" s="241"/>
    </row>
    <row r="322" spans="14:14" outlineLevel="1">
      <c r="N322" s="241"/>
    </row>
    <row r="323" spans="14:14" outlineLevel="1">
      <c r="N323" s="241"/>
    </row>
    <row r="324" spans="14:14" outlineLevel="1">
      <c r="N324" s="241"/>
    </row>
    <row r="325" spans="14:14" outlineLevel="1">
      <c r="N325" s="241"/>
    </row>
    <row r="326" spans="14:14" outlineLevel="1"/>
    <row r="327" spans="14:14" outlineLevel="1"/>
    <row r="328" spans="14:14" outlineLevel="1"/>
    <row r="329" spans="14:14" outlineLevel="1"/>
    <row r="330" spans="14:14" outlineLevel="1"/>
    <row r="331" spans="14:14" outlineLevel="1"/>
    <row r="332" spans="14:14" outlineLevel="1"/>
    <row r="333" spans="14:14" outlineLevel="1"/>
    <row r="334" spans="14:14" outlineLevel="1"/>
    <row r="335" spans="14:14" outlineLevel="1"/>
    <row r="336" spans="14:14" outlineLevel="1"/>
    <row r="337" spans="1:16" outlineLevel="1"/>
    <row r="338" spans="1:16" ht="27" outlineLevel="1">
      <c r="A338" s="75" t="s">
        <v>616</v>
      </c>
      <c r="B338" s="75"/>
      <c r="C338" s="228"/>
      <c r="D338" s="232"/>
      <c r="E338" s="232"/>
      <c r="F338" s="232"/>
      <c r="G338" s="232"/>
      <c r="H338" s="232"/>
      <c r="I338" s="232"/>
      <c r="J338" s="232"/>
      <c r="K338" s="232"/>
      <c r="L338" s="232"/>
      <c r="M338" s="242"/>
    </row>
    <row r="339" spans="1:16" ht="30.95" customHeight="1" outlineLevel="1">
      <c r="A339" s="965" t="s">
        <v>599</v>
      </c>
      <c r="B339" s="965" t="s">
        <v>600</v>
      </c>
      <c r="C339" s="965"/>
      <c r="D339" s="965"/>
      <c r="E339" s="965"/>
      <c r="F339" s="965"/>
      <c r="G339" s="966" t="s">
        <v>601</v>
      </c>
      <c r="H339" s="966" t="s">
        <v>602</v>
      </c>
      <c r="I339" s="965" t="s">
        <v>603</v>
      </c>
      <c r="J339" s="962" t="s">
        <v>617</v>
      </c>
      <c r="K339" s="962" t="s">
        <v>605</v>
      </c>
      <c r="L339" s="964" t="s">
        <v>618</v>
      </c>
      <c r="M339" s="962" t="s">
        <v>619</v>
      </c>
      <c r="N339" s="968" t="s">
        <v>523</v>
      </c>
      <c r="O339" s="968"/>
      <c r="P339" s="968"/>
    </row>
    <row r="340" spans="1:16" outlineLevel="1">
      <c r="A340" s="965"/>
      <c r="B340" s="157" t="s">
        <v>608</v>
      </c>
      <c r="C340" s="157" t="s">
        <v>609</v>
      </c>
      <c r="D340" s="157" t="s">
        <v>610</v>
      </c>
      <c r="E340" s="157" t="s">
        <v>611</v>
      </c>
      <c r="F340" s="157" t="s">
        <v>612</v>
      </c>
      <c r="G340" s="967"/>
      <c r="H340" s="967"/>
      <c r="I340" s="965"/>
      <c r="J340" s="963"/>
      <c r="K340" s="963"/>
      <c r="L340" s="965"/>
      <c r="M340" s="963"/>
      <c r="N340" s="196" t="s">
        <v>167</v>
      </c>
      <c r="O340" s="197" t="s">
        <v>168</v>
      </c>
      <c r="P340" s="196" t="s">
        <v>342</v>
      </c>
    </row>
    <row r="341" spans="1:16" outlineLevel="1">
      <c r="A341" s="157" t="str">
        <f>CONCATENATE("第",ROW(A341)-ROW($A$340),"次评审")</f>
        <v>第1次评审</v>
      </c>
      <c r="B341" s="229"/>
      <c r="C341" s="229"/>
      <c r="D341" s="229"/>
      <c r="E341" s="229"/>
      <c r="F341" s="229"/>
      <c r="G341" s="229"/>
      <c r="H341" s="229"/>
      <c r="I341" s="243">
        <f t="shared" ref="I341:I344" si="62">SUM($B341:$F341)</f>
        <v>0</v>
      </c>
      <c r="J341" s="229"/>
      <c r="K341" s="229"/>
      <c r="L341" s="236" t="e">
        <f t="shared" ref="L341:L345" si="63">I341/J341</f>
        <v>#DIV/0!</v>
      </c>
      <c r="M341" s="236" t="e">
        <f t="shared" ref="M341:M343" si="64">K341/J341</f>
        <v>#DIV/0!</v>
      </c>
      <c r="N341" s="201">
        <v>8.0000000000000004E-4</v>
      </c>
      <c r="O341" s="202">
        <v>1.0999999999999999E-2</v>
      </c>
      <c r="P341" s="201">
        <v>2.12E-2</v>
      </c>
    </row>
    <row r="342" spans="1:16" outlineLevel="1">
      <c r="A342" s="157" t="str">
        <f>CONCATENATE("第",ROW(A342)-ROW($A$340),"次评审")</f>
        <v>第2次评审</v>
      </c>
      <c r="B342" s="229"/>
      <c r="C342" s="229"/>
      <c r="D342" s="229"/>
      <c r="E342" s="229"/>
      <c r="F342" s="229"/>
      <c r="G342" s="229"/>
      <c r="H342" s="229"/>
      <c r="I342" s="243">
        <f t="shared" si="62"/>
        <v>0</v>
      </c>
      <c r="J342" s="229"/>
      <c r="K342" s="229"/>
      <c r="L342" s="236" t="e">
        <f t="shared" si="63"/>
        <v>#DIV/0!</v>
      </c>
      <c r="M342" s="236" t="e">
        <f t="shared" si="64"/>
        <v>#DIV/0!</v>
      </c>
      <c r="N342" s="201">
        <v>8.0000000000000004E-4</v>
      </c>
      <c r="O342" s="202">
        <v>1.0999999999999999E-2</v>
      </c>
      <c r="P342" s="201">
        <v>2.12E-2</v>
      </c>
    </row>
    <row r="343" spans="1:16" outlineLevel="1">
      <c r="A343" s="157" t="str">
        <f>CONCATENATE("第",ROW(A343)-ROW($A$340),"次评审")</f>
        <v>第3次评审</v>
      </c>
      <c r="B343" s="229"/>
      <c r="C343" s="229"/>
      <c r="D343" s="229"/>
      <c r="E343" s="229"/>
      <c r="F343" s="229"/>
      <c r="G343" s="229"/>
      <c r="H343" s="229"/>
      <c r="I343" s="243">
        <f t="shared" si="62"/>
        <v>0</v>
      </c>
      <c r="J343" s="229"/>
      <c r="K343" s="229"/>
      <c r="L343" s="236" t="e">
        <f t="shared" si="63"/>
        <v>#DIV/0!</v>
      </c>
      <c r="M343" s="236" t="e">
        <f t="shared" si="64"/>
        <v>#DIV/0!</v>
      </c>
      <c r="N343" s="201">
        <v>8.0000000000000004E-4</v>
      </c>
      <c r="O343" s="202">
        <v>1.0999999999999999E-2</v>
      </c>
      <c r="P343" s="201">
        <v>2.12E-2</v>
      </c>
    </row>
    <row r="344" spans="1:16" outlineLevel="1">
      <c r="A344" s="157" t="s">
        <v>613</v>
      </c>
      <c r="B344" s="230"/>
      <c r="C344" s="230"/>
      <c r="D344" s="230"/>
      <c r="E344" s="230"/>
      <c r="F344" s="230"/>
      <c r="G344" s="230"/>
      <c r="H344" s="230"/>
      <c r="I344" s="251">
        <f t="shared" si="62"/>
        <v>0</v>
      </c>
      <c r="J344" s="230" t="s">
        <v>172</v>
      </c>
      <c r="K344" s="230"/>
      <c r="L344" s="252" t="e">
        <f t="shared" si="63"/>
        <v>#VALUE!</v>
      </c>
      <c r="M344" s="252"/>
      <c r="N344" s="245">
        <v>0</v>
      </c>
      <c r="O344" s="245">
        <v>4.351E-2</v>
      </c>
      <c r="P344" s="245">
        <v>8.7900000000000006E-2</v>
      </c>
    </row>
    <row r="345" spans="1:16" outlineLevel="1">
      <c r="A345" s="157" t="s">
        <v>387</v>
      </c>
      <c r="B345" s="231">
        <f t="shared" ref="B345:H345" si="65">SUM(B341:B344)</f>
        <v>0</v>
      </c>
      <c r="C345" s="231">
        <f t="shared" si="65"/>
        <v>0</v>
      </c>
      <c r="D345" s="231">
        <f t="shared" si="65"/>
        <v>0</v>
      </c>
      <c r="E345" s="231">
        <f t="shared" si="65"/>
        <v>0</v>
      </c>
      <c r="F345" s="231">
        <f t="shared" si="65"/>
        <v>0</v>
      </c>
      <c r="G345" s="231">
        <f t="shared" si="65"/>
        <v>0</v>
      </c>
      <c r="H345" s="231">
        <f t="shared" si="65"/>
        <v>0</v>
      </c>
      <c r="I345" s="231" t="str">
        <f t="shared" ref="I345:K345" si="66">IF(SUM(I342:I344)=0,"-",SUM(I342:I344))</f>
        <v>-</v>
      </c>
      <c r="J345" s="231" t="str">
        <f t="shared" si="66"/>
        <v>-</v>
      </c>
      <c r="K345" s="231" t="str">
        <f t="shared" si="66"/>
        <v>-</v>
      </c>
      <c r="L345" s="236" t="e">
        <f t="shared" si="63"/>
        <v>#VALUE!</v>
      </c>
      <c r="M345" s="236" t="e">
        <f>K345/J345</f>
        <v>#VALUE!</v>
      </c>
      <c r="N345" s="253"/>
      <c r="O345" s="253"/>
      <c r="P345" s="253"/>
    </row>
    <row r="346" spans="1:16" outlineLevel="1"/>
    <row r="347" spans="1:16" outlineLevel="1">
      <c r="N347" s="241"/>
    </row>
    <row r="348" spans="1:16" outlineLevel="1">
      <c r="N348" s="241"/>
    </row>
    <row r="349" spans="1:16" outlineLevel="1">
      <c r="N349" s="241"/>
    </row>
    <row r="350" spans="1:16" outlineLevel="1">
      <c r="N350" s="241"/>
    </row>
    <row r="351" spans="1:16" outlineLevel="1">
      <c r="N351" s="241"/>
    </row>
    <row r="352" spans="1:16" outlineLevel="1"/>
    <row r="353" spans="1:16" outlineLevel="1"/>
    <row r="354" spans="1:16" outlineLevel="1"/>
    <row r="355" spans="1:16" outlineLevel="1"/>
    <row r="356" spans="1:16" outlineLevel="1"/>
    <row r="357" spans="1:16" outlineLevel="1"/>
    <row r="358" spans="1:16" outlineLevel="1"/>
    <row r="359" spans="1:16" outlineLevel="1"/>
    <row r="360" spans="1:16" outlineLevel="1"/>
    <row r="361" spans="1:16" outlineLevel="1"/>
    <row r="362" spans="1:16" outlineLevel="1"/>
    <row r="363" spans="1:16" ht="27" outlineLevel="1">
      <c r="A363" s="75" t="s">
        <v>620</v>
      </c>
      <c r="B363" s="75"/>
      <c r="C363" s="228"/>
      <c r="D363" s="232"/>
      <c r="E363" s="232"/>
      <c r="F363" s="232"/>
      <c r="G363" s="232"/>
      <c r="H363" s="232"/>
      <c r="I363" s="232"/>
      <c r="J363" s="232"/>
      <c r="K363" s="232"/>
      <c r="L363" s="232"/>
      <c r="M363" s="242"/>
    </row>
    <row r="364" spans="1:16" ht="30" customHeight="1" outlineLevel="1">
      <c r="A364" s="965" t="s">
        <v>621</v>
      </c>
      <c r="B364" s="965" t="s">
        <v>600</v>
      </c>
      <c r="C364" s="965"/>
      <c r="D364" s="965"/>
      <c r="E364" s="965"/>
      <c r="F364" s="965"/>
      <c r="G364" s="966" t="s">
        <v>601</v>
      </c>
      <c r="H364" s="966" t="s">
        <v>602</v>
      </c>
      <c r="I364" s="965" t="s">
        <v>603</v>
      </c>
      <c r="J364" s="962" t="s">
        <v>622</v>
      </c>
      <c r="K364" s="962" t="s">
        <v>623</v>
      </c>
      <c r="L364" s="964" t="s">
        <v>624</v>
      </c>
      <c r="M364" s="962" t="s">
        <v>625</v>
      </c>
      <c r="N364" s="968" t="s">
        <v>523</v>
      </c>
      <c r="O364" s="968"/>
      <c r="P364" s="968"/>
    </row>
    <row r="365" spans="1:16" outlineLevel="1">
      <c r="A365" s="965"/>
      <c r="B365" s="157" t="s">
        <v>608</v>
      </c>
      <c r="C365" s="157" t="s">
        <v>609</v>
      </c>
      <c r="D365" s="157" t="s">
        <v>610</v>
      </c>
      <c r="E365" s="157" t="s">
        <v>611</v>
      </c>
      <c r="F365" s="157" t="s">
        <v>612</v>
      </c>
      <c r="G365" s="967"/>
      <c r="H365" s="967"/>
      <c r="I365" s="965"/>
      <c r="J365" s="963"/>
      <c r="K365" s="963"/>
      <c r="L365" s="965"/>
      <c r="M365" s="963"/>
      <c r="N365" s="196" t="s">
        <v>167</v>
      </c>
      <c r="O365" s="197" t="s">
        <v>168</v>
      </c>
      <c r="P365" s="196" t="s">
        <v>342</v>
      </c>
    </row>
    <row r="366" spans="1:16" outlineLevel="1">
      <c r="A366" s="157" t="str">
        <f>CONCATENATE("第",ROW(A366)-ROW($A$365),"次走查")</f>
        <v>第1次走查</v>
      </c>
      <c r="B366" s="249"/>
      <c r="C366" s="249"/>
      <c r="D366" s="249"/>
      <c r="E366" s="249"/>
      <c r="F366" s="249"/>
      <c r="G366" s="249"/>
      <c r="H366" s="249"/>
      <c r="I366" s="231">
        <f t="shared" ref="I366:I370" si="67">SUM($B366:$F366)</f>
        <v>0</v>
      </c>
      <c r="J366" s="249"/>
      <c r="K366" s="249"/>
      <c r="L366" s="236" t="e">
        <f t="shared" ref="L366:L371" si="68">I366/J366</f>
        <v>#DIV/0!</v>
      </c>
      <c r="M366" s="236" t="e">
        <f t="shared" ref="M366:M369" si="69">K366/J366</f>
        <v>#DIV/0!</v>
      </c>
      <c r="N366" s="201">
        <v>0</v>
      </c>
      <c r="O366" s="202">
        <v>5.0599999999999999E-2</v>
      </c>
      <c r="P366" s="201">
        <v>0.15440000000000001</v>
      </c>
    </row>
    <row r="367" spans="1:16" outlineLevel="1">
      <c r="A367" s="157" t="str">
        <f>CONCATENATE("第",ROW(A367)-ROW($A$365),"次走查")</f>
        <v>第2次走查</v>
      </c>
      <c r="B367" s="249"/>
      <c r="C367" s="249"/>
      <c r="D367" s="249"/>
      <c r="E367" s="249"/>
      <c r="F367" s="249"/>
      <c r="G367" s="249"/>
      <c r="H367" s="249"/>
      <c r="I367" s="231">
        <f t="shared" si="67"/>
        <v>0</v>
      </c>
      <c r="J367" s="249"/>
      <c r="K367" s="249"/>
      <c r="L367" s="236" t="e">
        <f t="shared" si="68"/>
        <v>#DIV/0!</v>
      </c>
      <c r="M367" s="236" t="e">
        <f t="shared" si="69"/>
        <v>#DIV/0!</v>
      </c>
      <c r="N367" s="201">
        <v>0</v>
      </c>
      <c r="O367" s="202">
        <v>5.0599999999999999E-2</v>
      </c>
      <c r="P367" s="201">
        <v>0.15440000000000001</v>
      </c>
    </row>
    <row r="368" spans="1:16" outlineLevel="1">
      <c r="A368" s="157" t="str">
        <f>CONCATENATE("第",ROW(A368)-ROW($A$365),"次走查")</f>
        <v>第3次走查</v>
      </c>
      <c r="B368" s="249"/>
      <c r="C368" s="249"/>
      <c r="D368" s="249"/>
      <c r="E368" s="249"/>
      <c r="F368" s="249"/>
      <c r="G368" s="249"/>
      <c r="H368" s="249"/>
      <c r="I368" s="231">
        <f t="shared" si="67"/>
        <v>0</v>
      </c>
      <c r="J368" s="249"/>
      <c r="K368" s="249"/>
      <c r="L368" s="236" t="e">
        <f t="shared" si="68"/>
        <v>#DIV/0!</v>
      </c>
      <c r="M368" s="236" t="e">
        <f t="shared" si="69"/>
        <v>#DIV/0!</v>
      </c>
      <c r="N368" s="201">
        <v>0</v>
      </c>
      <c r="O368" s="202">
        <v>5.0599999999999999E-2</v>
      </c>
      <c r="P368" s="201">
        <v>0.15440000000000001</v>
      </c>
    </row>
    <row r="369" spans="1:16" outlineLevel="1">
      <c r="A369" s="157" t="str">
        <f>CONCATENATE("第",ROW(A369)-ROW($A$365),"次走查")</f>
        <v>第4次走查</v>
      </c>
      <c r="B369" s="249"/>
      <c r="C369" s="249"/>
      <c r="D369" s="249"/>
      <c r="E369" s="249"/>
      <c r="F369" s="249"/>
      <c r="G369" s="249"/>
      <c r="H369" s="249"/>
      <c r="I369" s="231">
        <f t="shared" si="67"/>
        <v>0</v>
      </c>
      <c r="J369" s="249"/>
      <c r="K369" s="249"/>
      <c r="L369" s="236" t="e">
        <f t="shared" si="68"/>
        <v>#DIV/0!</v>
      </c>
      <c r="M369" s="236" t="e">
        <f t="shared" si="69"/>
        <v>#DIV/0!</v>
      </c>
      <c r="N369" s="201">
        <v>0</v>
      </c>
      <c r="O369" s="202">
        <v>5.0599999999999999E-2</v>
      </c>
      <c r="P369" s="201">
        <v>0.15440000000000001</v>
      </c>
    </row>
    <row r="370" spans="1:16" outlineLevel="1">
      <c r="A370" s="157" t="s">
        <v>626</v>
      </c>
      <c r="B370" s="230"/>
      <c r="C370" s="230"/>
      <c r="D370" s="230"/>
      <c r="E370" s="230"/>
      <c r="F370" s="230"/>
      <c r="G370" s="230"/>
      <c r="H370" s="230"/>
      <c r="I370" s="251">
        <f t="shared" si="67"/>
        <v>0</v>
      </c>
      <c r="J370" s="230" t="s">
        <v>172</v>
      </c>
      <c r="K370" s="230"/>
      <c r="L370" s="252" t="e">
        <f t="shared" si="68"/>
        <v>#VALUE!</v>
      </c>
      <c r="M370" s="252"/>
      <c r="N370" s="245">
        <v>0</v>
      </c>
      <c r="O370" s="245">
        <v>0.3</v>
      </c>
      <c r="P370" s="245">
        <v>0.65790273556231005</v>
      </c>
    </row>
    <row r="371" spans="1:16" outlineLevel="1">
      <c r="A371" s="157" t="s">
        <v>387</v>
      </c>
      <c r="B371" s="231">
        <f t="shared" ref="B371:H371" si="70">SUM(B364:B370)</f>
        <v>0</v>
      </c>
      <c r="C371" s="231">
        <f t="shared" si="70"/>
        <v>0</v>
      </c>
      <c r="D371" s="231">
        <f t="shared" si="70"/>
        <v>0</v>
      </c>
      <c r="E371" s="231">
        <f t="shared" si="70"/>
        <v>0</v>
      </c>
      <c r="F371" s="231">
        <f t="shared" si="70"/>
        <v>0</v>
      </c>
      <c r="G371" s="231">
        <f t="shared" si="70"/>
        <v>0</v>
      </c>
      <c r="H371" s="231">
        <f t="shared" si="70"/>
        <v>0</v>
      </c>
      <c r="I371" s="231" t="str">
        <f t="shared" ref="I371:K371" si="71">IF(SUM(I368:I370)=0,"-",SUM(I368:I370))</f>
        <v>-</v>
      </c>
      <c r="J371" s="231" t="str">
        <f t="shared" si="71"/>
        <v>-</v>
      </c>
      <c r="K371" s="231" t="str">
        <f t="shared" si="71"/>
        <v>-</v>
      </c>
      <c r="L371" s="236" t="e">
        <f t="shared" si="68"/>
        <v>#VALUE!</v>
      </c>
      <c r="M371" s="236" t="e">
        <f>K371/J371</f>
        <v>#VALUE!</v>
      </c>
      <c r="N371" s="253"/>
      <c r="O371" s="253"/>
      <c r="P371" s="253"/>
    </row>
    <row r="372" spans="1:16" outlineLevel="1"/>
    <row r="373" spans="1:16" outlineLevel="1">
      <c r="N373" s="241" t="s">
        <v>157</v>
      </c>
    </row>
    <row r="374" spans="1:16" outlineLevel="1">
      <c r="N374" s="241" t="s">
        <v>627</v>
      </c>
    </row>
    <row r="375" spans="1:16" outlineLevel="1">
      <c r="N375" s="241" t="s">
        <v>628</v>
      </c>
    </row>
    <row r="376" spans="1:16" outlineLevel="1">
      <c r="N376" s="241" t="s">
        <v>629</v>
      </c>
    </row>
    <row r="377" spans="1:16" outlineLevel="1">
      <c r="N377" s="241" t="s">
        <v>630</v>
      </c>
    </row>
    <row r="378" spans="1:16" outlineLevel="1"/>
    <row r="379" spans="1:16" outlineLevel="1"/>
    <row r="380" spans="1:16" outlineLevel="1"/>
    <row r="381" spans="1:16" outlineLevel="1"/>
    <row r="382" spans="1:16" outlineLevel="1"/>
    <row r="383" spans="1:16" outlineLevel="1"/>
    <row r="384" spans="1:16" outlineLevel="1"/>
    <row r="385" spans="1:13" outlineLevel="1"/>
    <row r="386" spans="1:13" outlineLevel="1"/>
    <row r="387" spans="1:13" outlineLevel="1"/>
    <row r="388" spans="1:13" outlineLevel="1"/>
    <row r="393" spans="1:13" ht="27">
      <c r="A393" s="691" t="s">
        <v>864</v>
      </c>
      <c r="B393" s="691"/>
      <c r="C393" s="228"/>
      <c r="D393" s="232"/>
      <c r="E393" s="232"/>
      <c r="F393" s="232"/>
      <c r="G393" s="232"/>
      <c r="H393" s="232"/>
    </row>
    <row r="394" spans="1:13" ht="49.5">
      <c r="A394" s="965" t="s">
        <v>865</v>
      </c>
      <c r="B394" s="971" t="s">
        <v>866</v>
      </c>
      <c r="C394" s="972"/>
      <c r="D394" s="962" t="s">
        <v>867</v>
      </c>
      <c r="E394" s="964" t="s">
        <v>868</v>
      </c>
      <c r="F394" s="973" t="s">
        <v>523</v>
      </c>
      <c r="G394" s="973"/>
      <c r="H394" s="973"/>
      <c r="I394" s="712" t="s">
        <v>224</v>
      </c>
      <c r="J394" s="713">
        <v>0</v>
      </c>
      <c r="K394" s="713">
        <v>9.8689999999999998</v>
      </c>
      <c r="L394" s="713">
        <v>21.175999999999998</v>
      </c>
      <c r="M394" s="714"/>
    </row>
    <row r="395" spans="1:13" ht="49.5">
      <c r="A395" s="965"/>
      <c r="B395" s="690" t="s">
        <v>871</v>
      </c>
      <c r="C395" s="690" t="s">
        <v>869</v>
      </c>
      <c r="D395" s="963"/>
      <c r="E395" s="965"/>
      <c r="F395" s="196" t="s">
        <v>167</v>
      </c>
      <c r="G395" s="715" t="s">
        <v>168</v>
      </c>
      <c r="H395" s="196" t="s">
        <v>342</v>
      </c>
      <c r="I395" s="198" t="s">
        <v>226</v>
      </c>
      <c r="J395" s="214">
        <v>0</v>
      </c>
      <c r="K395" s="214">
        <v>7.5030000000000001</v>
      </c>
      <c r="L395" s="214">
        <v>16.0824</v>
      </c>
    </row>
    <row r="396" spans="1:13" ht="49.5">
      <c r="A396" s="689" t="str">
        <f>CONCATENATE("迭代",ROW(A396)-ROW($A$395))</f>
        <v>迭代1</v>
      </c>
      <c r="B396" s="229">
        <v>327</v>
      </c>
      <c r="C396" s="249">
        <v>0</v>
      </c>
      <c r="D396" s="249">
        <v>59</v>
      </c>
      <c r="E396" s="236">
        <f>SUM(B396:C396)/D396</f>
        <v>5.5423728813559325</v>
      </c>
      <c r="F396" s="201">
        <v>0</v>
      </c>
      <c r="G396" s="716">
        <v>7.7510000000000003</v>
      </c>
      <c r="H396" s="201">
        <v>21.382999999999999</v>
      </c>
      <c r="I396" s="198" t="s">
        <v>227</v>
      </c>
      <c r="J396" s="214">
        <v>0</v>
      </c>
      <c r="K396" s="214">
        <v>7.7510000000000003</v>
      </c>
      <c r="L396" s="214">
        <v>21.382999999999999</v>
      </c>
    </row>
    <row r="397" spans="1:13" ht="49.5">
      <c r="A397" s="689" t="s">
        <v>870</v>
      </c>
      <c r="B397" s="230"/>
      <c r="C397" s="230"/>
      <c r="D397" s="230"/>
      <c r="E397" s="230"/>
      <c r="F397" s="230"/>
      <c r="G397" s="230"/>
      <c r="H397" s="230"/>
      <c r="I397" s="198" t="s">
        <v>228</v>
      </c>
      <c r="J397" s="214">
        <v>0</v>
      </c>
      <c r="K397" s="214">
        <v>4.3840000000000003</v>
      </c>
      <c r="L397" s="214">
        <v>10.7986</v>
      </c>
    </row>
    <row r="398" spans="1:13">
      <c r="A398" s="689" t="s">
        <v>387</v>
      </c>
      <c r="B398" s="231">
        <f>SUM(B394:B397)</f>
        <v>327</v>
      </c>
      <c r="C398" s="231">
        <f>SUM(C394:C397)</f>
        <v>0</v>
      </c>
      <c r="D398" s="231">
        <f t="shared" ref="D398:H398" si="72">SUM(D397:D397)</f>
        <v>0</v>
      </c>
      <c r="E398" s="231">
        <f t="shared" si="72"/>
        <v>0</v>
      </c>
      <c r="F398" s="231">
        <f t="shared" si="72"/>
        <v>0</v>
      </c>
      <c r="G398" s="231">
        <f t="shared" si="72"/>
        <v>0</v>
      </c>
      <c r="H398" s="231">
        <f t="shared" si="72"/>
        <v>0</v>
      </c>
    </row>
  </sheetData>
  <mergeCells count="160">
    <mergeCell ref="A1:P1"/>
    <mergeCell ref="A3:I3"/>
    <mergeCell ref="B6:F6"/>
    <mergeCell ref="N6:P6"/>
    <mergeCell ref="B28:F28"/>
    <mergeCell ref="N28:P28"/>
    <mergeCell ref="B55:F55"/>
    <mergeCell ref="N55:P55"/>
    <mergeCell ref="B80:F80"/>
    <mergeCell ref="N80:P80"/>
    <mergeCell ref="G80:G81"/>
    <mergeCell ref="I6:I7"/>
    <mergeCell ref="I28:I29"/>
    <mergeCell ref="I55:I56"/>
    <mergeCell ref="I80:I81"/>
    <mergeCell ref="K6:K7"/>
    <mergeCell ref="K28:K29"/>
    <mergeCell ref="K55:K56"/>
    <mergeCell ref="K80:K81"/>
    <mergeCell ref="M55:M56"/>
    <mergeCell ref="M80:M81"/>
    <mergeCell ref="B103:F103"/>
    <mergeCell ref="N103:P103"/>
    <mergeCell ref="B126:L126"/>
    <mergeCell ref="A128:I128"/>
    <mergeCell ref="B131:F131"/>
    <mergeCell ref="N131:P131"/>
    <mergeCell ref="A394:A395"/>
    <mergeCell ref="B394:C394"/>
    <mergeCell ref="D394:D395"/>
    <mergeCell ref="E394:E395"/>
    <mergeCell ref="F394:H394"/>
    <mergeCell ref="B154:F154"/>
    <mergeCell ref="N154:P154"/>
    <mergeCell ref="B180:F180"/>
    <mergeCell ref="N180:P180"/>
    <mergeCell ref="G103:G104"/>
    <mergeCell ref="G131:G132"/>
    <mergeCell ref="G154:G155"/>
    <mergeCell ref="G180:G181"/>
    <mergeCell ref="I103:I104"/>
    <mergeCell ref="I131:I132"/>
    <mergeCell ref="I154:I155"/>
    <mergeCell ref="I180:I181"/>
    <mergeCell ref="K103:K104"/>
    <mergeCell ref="K131:K132"/>
    <mergeCell ref="K154:K155"/>
    <mergeCell ref="K180:K181"/>
    <mergeCell ref="M103:M104"/>
    <mergeCell ref="M131:M132"/>
    <mergeCell ref="M154:M155"/>
    <mergeCell ref="M180:M181"/>
    <mergeCell ref="B207:F207"/>
    <mergeCell ref="N207:P207"/>
    <mergeCell ref="B232:F232"/>
    <mergeCell ref="N232:P232"/>
    <mergeCell ref="A260:I260"/>
    <mergeCell ref="B263:F263"/>
    <mergeCell ref="N263:P263"/>
    <mergeCell ref="B286:F286"/>
    <mergeCell ref="N286:P286"/>
    <mergeCell ref="G207:G208"/>
    <mergeCell ref="G232:G233"/>
    <mergeCell ref="G263:G264"/>
    <mergeCell ref="G286:G287"/>
    <mergeCell ref="I207:I208"/>
    <mergeCell ref="I232:I233"/>
    <mergeCell ref="I263:I264"/>
    <mergeCell ref="I286:I287"/>
    <mergeCell ref="K207:K208"/>
    <mergeCell ref="K232:K233"/>
    <mergeCell ref="K263:K264"/>
    <mergeCell ref="K286:K287"/>
    <mergeCell ref="M207:M208"/>
    <mergeCell ref="M232:M233"/>
    <mergeCell ref="M263:M264"/>
    <mergeCell ref="B312:F312"/>
    <mergeCell ref="N312:P312"/>
    <mergeCell ref="B339:F339"/>
    <mergeCell ref="N339:P339"/>
    <mergeCell ref="B364:F364"/>
    <mergeCell ref="N364:P364"/>
    <mergeCell ref="A6:A7"/>
    <mergeCell ref="A28:A29"/>
    <mergeCell ref="A55:A56"/>
    <mergeCell ref="A80:A81"/>
    <mergeCell ref="A103:A104"/>
    <mergeCell ref="A131:A132"/>
    <mergeCell ref="A154:A155"/>
    <mergeCell ref="A180:A181"/>
    <mergeCell ref="A207:A208"/>
    <mergeCell ref="A232:A233"/>
    <mergeCell ref="A263:A264"/>
    <mergeCell ref="A286:A287"/>
    <mergeCell ref="A312:A313"/>
    <mergeCell ref="A339:A340"/>
    <mergeCell ref="A364:A365"/>
    <mergeCell ref="G6:G7"/>
    <mergeCell ref="G28:G29"/>
    <mergeCell ref="G55:G56"/>
    <mergeCell ref="G312:G313"/>
    <mergeCell ref="G339:G340"/>
    <mergeCell ref="G364:G365"/>
    <mergeCell ref="H6:H7"/>
    <mergeCell ref="H28:H29"/>
    <mergeCell ref="H55:H56"/>
    <mergeCell ref="H80:H81"/>
    <mergeCell ref="H103:H104"/>
    <mergeCell ref="H131:H132"/>
    <mergeCell ref="H154:H155"/>
    <mergeCell ref="H180:H181"/>
    <mergeCell ref="H207:H208"/>
    <mergeCell ref="H232:H233"/>
    <mergeCell ref="H263:H264"/>
    <mergeCell ref="H286:H287"/>
    <mergeCell ref="H312:H313"/>
    <mergeCell ref="H339:H340"/>
    <mergeCell ref="H364:H365"/>
    <mergeCell ref="I312:I313"/>
    <mergeCell ref="I339:I340"/>
    <mergeCell ref="I364:I365"/>
    <mergeCell ref="J6:J7"/>
    <mergeCell ref="J28:J29"/>
    <mergeCell ref="J55:J56"/>
    <mergeCell ref="J80:J81"/>
    <mergeCell ref="J103:J104"/>
    <mergeCell ref="J131:J132"/>
    <mergeCell ref="J154:J155"/>
    <mergeCell ref="J180:J181"/>
    <mergeCell ref="J207:J208"/>
    <mergeCell ref="J232:J233"/>
    <mergeCell ref="J263:J264"/>
    <mergeCell ref="J286:J287"/>
    <mergeCell ref="J312:J313"/>
    <mergeCell ref="J339:J340"/>
    <mergeCell ref="J364:J365"/>
    <mergeCell ref="M286:M287"/>
    <mergeCell ref="M312:M313"/>
    <mergeCell ref="M339:M340"/>
    <mergeCell ref="M364:M365"/>
    <mergeCell ref="K312:K313"/>
    <mergeCell ref="K339:K340"/>
    <mergeCell ref="K364:K365"/>
    <mergeCell ref="L6:L7"/>
    <mergeCell ref="L28:L29"/>
    <mergeCell ref="L55:L56"/>
    <mergeCell ref="L80:L81"/>
    <mergeCell ref="L103:L104"/>
    <mergeCell ref="L131:L132"/>
    <mergeCell ref="L154:L155"/>
    <mergeCell ref="L180:L181"/>
    <mergeCell ref="L207:L208"/>
    <mergeCell ref="L232:L233"/>
    <mergeCell ref="L263:L264"/>
    <mergeCell ref="L286:L287"/>
    <mergeCell ref="L312:L313"/>
    <mergeCell ref="L339:L340"/>
    <mergeCell ref="L364:L365"/>
    <mergeCell ref="M6:M7"/>
    <mergeCell ref="M28:M29"/>
  </mergeCells>
  <phoneticPr fontId="150" type="noConversion"/>
  <conditionalFormatting sqref="L83:M83">
    <cfRule type="cellIs" dxfId="59" priority="58" operator="lessThan">
      <formula>$N$34</formula>
    </cfRule>
    <cfRule type="cellIs" dxfId="58" priority="59" operator="greaterThan">
      <formula>$P$34</formula>
    </cfRule>
  </conditionalFormatting>
  <conditionalFormatting sqref="M107">
    <cfRule type="cellIs" dxfId="57" priority="40" operator="greaterThan">
      <formula>$P$83</formula>
    </cfRule>
    <cfRule type="cellIs" dxfId="56" priority="41" operator="lessThan">
      <formula>$N$83</formula>
    </cfRule>
    <cfRule type="cellIs" dxfId="55" priority="42" operator="greaterThan">
      <formula>$P$83</formula>
    </cfRule>
  </conditionalFormatting>
  <conditionalFormatting sqref="L185:M185">
    <cfRule type="cellIs" dxfId="54" priority="31" operator="lessThan">
      <formula>$N$34</formula>
    </cfRule>
    <cfRule type="cellIs" dxfId="53" priority="32" operator="greaterThan">
      <formula>$P$34</formula>
    </cfRule>
  </conditionalFormatting>
  <conditionalFormatting sqref="L212:M212">
    <cfRule type="cellIs" dxfId="52" priority="27" operator="lessThan">
      <formula>$N$58</formula>
    </cfRule>
    <cfRule type="cellIs" dxfId="51" priority="28" operator="greaterThan">
      <formula>$P$58</formula>
    </cfRule>
    <cfRule type="cellIs" dxfId="50" priority="29" operator="lessThan">
      <formula>$N$34</formula>
    </cfRule>
    <cfRule type="cellIs" dxfId="49" priority="30" operator="greaterThan">
      <formula>$P$34</formula>
    </cfRule>
  </conditionalFormatting>
  <conditionalFormatting sqref="M239">
    <cfRule type="cellIs" dxfId="48" priority="21" operator="greaterThan">
      <formula>$P$83</formula>
    </cfRule>
    <cfRule type="cellIs" dxfId="47" priority="22" operator="lessThan">
      <formula>$N$83</formula>
    </cfRule>
    <cfRule type="cellIs" dxfId="46" priority="23" operator="greaterThan">
      <formula>$P$83</formula>
    </cfRule>
  </conditionalFormatting>
  <conditionalFormatting sqref="L317:M317">
    <cfRule type="cellIs" dxfId="45" priority="12" operator="lessThan">
      <formula>$N$34</formula>
    </cfRule>
    <cfRule type="cellIs" dxfId="44" priority="13" operator="greaterThan">
      <formula>$P$34</formula>
    </cfRule>
  </conditionalFormatting>
  <conditionalFormatting sqref="L344:M344">
    <cfRule type="cellIs" dxfId="43" priority="8" operator="lessThan">
      <formula>$N$58</formula>
    </cfRule>
    <cfRule type="cellIs" dxfId="42" priority="9" operator="greaterThan">
      <formula>$P$58</formula>
    </cfRule>
    <cfRule type="cellIs" dxfId="41" priority="10" operator="lessThan">
      <formula>$N$34</formula>
    </cfRule>
    <cfRule type="cellIs" dxfId="40" priority="11" operator="greaterThan">
      <formula>$P$34</formula>
    </cfRule>
  </conditionalFormatting>
  <conditionalFormatting sqref="M371">
    <cfRule type="cellIs" dxfId="39" priority="2" operator="greaterThan">
      <formula>$P$83</formula>
    </cfRule>
    <cfRule type="cellIs" dxfId="38" priority="3" operator="lessThan">
      <formula>$N$83</formula>
    </cfRule>
    <cfRule type="cellIs" dxfId="37" priority="4" operator="greaterThan">
      <formula>$P$83</formula>
    </cfRule>
  </conditionalFormatting>
  <conditionalFormatting sqref="L234:L237">
    <cfRule type="cellIs" dxfId="36" priority="39" operator="greaterThan">
      <formula>$P$106</formula>
    </cfRule>
  </conditionalFormatting>
  <conditionalFormatting sqref="L366:L369">
    <cfRule type="cellIs" dxfId="35" priority="20" operator="greaterThan">
      <formula>$P$106</formula>
    </cfRule>
  </conditionalFormatting>
  <conditionalFormatting sqref="M234:M237">
    <cfRule type="cellIs" dxfId="34" priority="24" operator="greaterThan">
      <formula>$P$83</formula>
    </cfRule>
    <cfRule type="cellIs" dxfId="33" priority="25" operator="lessThan">
      <formula>$N$83</formula>
    </cfRule>
    <cfRule type="cellIs" dxfId="32" priority="26" operator="greaterThan">
      <formula>$P$83</formula>
    </cfRule>
  </conditionalFormatting>
  <conditionalFormatting sqref="M366:M369">
    <cfRule type="cellIs" dxfId="31" priority="5" operator="greaterThan">
      <formula>$P$83</formula>
    </cfRule>
    <cfRule type="cellIs" dxfId="30" priority="6" operator="lessThan">
      <formula>$N$83</formula>
    </cfRule>
    <cfRule type="cellIs" dxfId="29" priority="7" operator="greaterThan">
      <formula>$P$83</formula>
    </cfRule>
  </conditionalFormatting>
  <conditionalFormatting sqref="L133:M136 L8:M10">
    <cfRule type="cellIs" dxfId="28" priority="33" operator="lessThan">
      <formula>$N$9</formula>
    </cfRule>
    <cfRule type="cellIs" dxfId="27" priority="34" operator="greaterThan">
      <formula>$P$9</formula>
    </cfRule>
    <cfRule type="cellIs" dxfId="26" priority="35" operator="greaterThan">
      <formula>0.6547</formula>
    </cfRule>
  </conditionalFormatting>
  <conditionalFormatting sqref="L58:M58 L30:M35 L156:M160 L288:M292">
    <cfRule type="cellIs" dxfId="25" priority="62" operator="lessThan">
      <formula>$N$34</formula>
    </cfRule>
    <cfRule type="cellIs" dxfId="24" priority="63" operator="greaterThan">
      <formula>$P$34</formula>
    </cfRule>
  </conditionalFormatting>
  <conditionalFormatting sqref="L83:M83 L57:M59 L182:M186 L314:M318">
    <cfRule type="cellIs" dxfId="23" priority="56" operator="lessThan">
      <formula>$N$58</formula>
    </cfRule>
    <cfRule type="cellIs" dxfId="22" priority="57" operator="greaterThan">
      <formula>$P$58</formula>
    </cfRule>
  </conditionalFormatting>
  <conditionalFormatting sqref="M105 L82:M84">
    <cfRule type="cellIs" dxfId="21" priority="43" operator="greaterThan">
      <formula>$P$83</formula>
    </cfRule>
    <cfRule type="cellIs" dxfId="20" priority="44" operator="lessThan">
      <formula>$N$83</formula>
    </cfRule>
    <cfRule type="cellIs" dxfId="19" priority="45" operator="greaterThan">
      <formula>$P$83</formula>
    </cfRule>
  </conditionalFormatting>
  <conditionalFormatting sqref="L105 L106:M106 L107 L238:M238 L239 L370:M370 L371">
    <cfRule type="cellIs" dxfId="18" priority="935" operator="greaterThan">
      <formula>$P$106</formula>
    </cfRule>
  </conditionalFormatting>
  <conditionalFormatting sqref="L209:M213">
    <cfRule type="cellIs" dxfId="17" priority="36" operator="greaterThan">
      <formula>$P$83</formula>
    </cfRule>
    <cfRule type="cellIs" dxfId="16" priority="37" operator="lessThan">
      <formula>$N$83</formula>
    </cfRule>
    <cfRule type="cellIs" dxfId="15" priority="38" operator="greaterThan">
      <formula>$P$83</formula>
    </cfRule>
  </conditionalFormatting>
  <conditionalFormatting sqref="L265:M268">
    <cfRule type="cellIs" dxfId="14" priority="14" operator="lessThan">
      <formula>$N$9</formula>
    </cfRule>
    <cfRule type="cellIs" dxfId="13" priority="15" operator="greaterThan">
      <formula>$P$9</formula>
    </cfRule>
    <cfRule type="cellIs" dxfId="12" priority="16" operator="greaterThan">
      <formula>0.6547</formula>
    </cfRule>
  </conditionalFormatting>
  <conditionalFormatting sqref="L341:M345">
    <cfRule type="cellIs" dxfId="11" priority="17" operator="greaterThan">
      <formula>$P$83</formula>
    </cfRule>
    <cfRule type="cellIs" dxfId="10" priority="18" operator="lessThan">
      <formula>$N$83</formula>
    </cfRule>
    <cfRule type="cellIs" dxfId="9" priority="19" operator="greaterThan">
      <formula>$P$83</formula>
    </cfRule>
  </conditionalFormatting>
  <conditionalFormatting sqref="E396">
    <cfRule type="cellIs" dxfId="8" priority="1" operator="greaterThan">
      <formula>$P$114</formula>
    </cfRule>
  </conditionalFormatting>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2466" r:id="rId3" name="Button 2">
              <controlPr defaultSize="0" print="0" autoPict="0" macro="[0]!Button3_Click_Crreview_add">
                <anchor moveWithCells="1">
                  <from>
                    <xdr:col>0</xdr:col>
                    <xdr:colOff>114300</xdr:colOff>
                    <xdr:row>10</xdr:row>
                    <xdr:rowOff>104775</xdr:rowOff>
                  </from>
                  <to>
                    <xdr:col>1</xdr:col>
                    <xdr:colOff>266700</xdr:colOff>
                    <xdr:row>12</xdr:row>
                    <xdr:rowOff>19050</xdr:rowOff>
                  </to>
                </anchor>
              </controlPr>
            </control>
          </mc:Choice>
        </mc:AlternateContent>
        <mc:AlternateContent xmlns:mc="http://schemas.openxmlformats.org/markup-compatibility/2006">
          <mc:Choice Requires="x14">
            <control shapeId="62468" r:id="rId4" name="Button 4">
              <controlPr defaultSize="0" print="0" autoPict="0" macro="[0]!Button4_Click_Frreview_add">
                <anchor moveWithCells="1">
                  <from>
                    <xdr:col>0</xdr:col>
                    <xdr:colOff>95250</xdr:colOff>
                    <xdr:row>36</xdr:row>
                    <xdr:rowOff>47625</xdr:rowOff>
                  </from>
                  <to>
                    <xdr:col>1</xdr:col>
                    <xdr:colOff>257175</xdr:colOff>
                    <xdr:row>37</xdr:row>
                    <xdr:rowOff>142875</xdr:rowOff>
                  </to>
                </anchor>
              </controlPr>
            </control>
          </mc:Choice>
        </mc:AlternateContent>
        <mc:AlternateContent xmlns:mc="http://schemas.openxmlformats.org/markup-compatibility/2006">
          <mc:Choice Requires="x14">
            <control shapeId="62469" r:id="rId5" name="Button 5">
              <controlPr defaultSize="0" print="0" autoPict="0" macro="[0]!button5_Click_Dreview_add">
                <anchor moveWithCells="1">
                  <from>
                    <xdr:col>0</xdr:col>
                    <xdr:colOff>85725</xdr:colOff>
                    <xdr:row>59</xdr:row>
                    <xdr:rowOff>104775</xdr:rowOff>
                  </from>
                  <to>
                    <xdr:col>1</xdr:col>
                    <xdr:colOff>238125</xdr:colOff>
                    <xdr:row>61</xdr:row>
                    <xdr:rowOff>57150</xdr:rowOff>
                  </to>
                </anchor>
              </controlPr>
            </control>
          </mc:Choice>
        </mc:AlternateContent>
        <mc:AlternateContent xmlns:mc="http://schemas.openxmlformats.org/markup-compatibility/2006">
          <mc:Choice Requires="x14">
            <control shapeId="62472" r:id="rId6" name="Button 8">
              <controlPr defaultSize="0" print="0" autoPict="0" macro="[0]!button6_Click_Tcreview_add">
                <anchor moveWithCells="1">
                  <from>
                    <xdr:col>0</xdr:col>
                    <xdr:colOff>104775</xdr:colOff>
                    <xdr:row>84</xdr:row>
                    <xdr:rowOff>76200</xdr:rowOff>
                  </from>
                  <to>
                    <xdr:col>1</xdr:col>
                    <xdr:colOff>295275</xdr:colOff>
                    <xdr:row>86</xdr:row>
                    <xdr:rowOff>19050</xdr:rowOff>
                  </to>
                </anchor>
              </controlPr>
            </control>
          </mc:Choice>
        </mc:AlternateContent>
        <mc:AlternateContent xmlns:mc="http://schemas.openxmlformats.org/markup-compatibility/2006">
          <mc:Choice Requires="x14">
            <control shapeId="62473" r:id="rId7" name="Button 9">
              <controlPr defaultSize="0" print="0" autoPict="0" macro="[0]!Button7_Click_Creview_add">
                <anchor moveWithCells="1">
                  <from>
                    <xdr:col>0</xdr:col>
                    <xdr:colOff>200025</xdr:colOff>
                    <xdr:row>107</xdr:row>
                    <xdr:rowOff>85725</xdr:rowOff>
                  </from>
                  <to>
                    <xdr:col>1</xdr:col>
                    <xdr:colOff>342900</xdr:colOff>
                    <xdr:row>109</xdr:row>
                    <xdr:rowOff>19050</xdr:rowOff>
                  </to>
                </anchor>
              </controlPr>
            </control>
          </mc:Choice>
        </mc:AlternateContent>
        <mc:AlternateContent xmlns:mc="http://schemas.openxmlformats.org/markup-compatibility/2006">
          <mc:Choice Requires="x14">
            <control shapeId="62474" r:id="rId8" name="Button 10">
              <controlPr defaultSize="0" print="0" autoPict="0" macro="[0]!Button9_Click_Crreview_delete">
                <anchor moveWithCells="1">
                  <from>
                    <xdr:col>0</xdr:col>
                    <xdr:colOff>114300</xdr:colOff>
                    <xdr:row>12</xdr:row>
                    <xdr:rowOff>85725</xdr:rowOff>
                  </from>
                  <to>
                    <xdr:col>1</xdr:col>
                    <xdr:colOff>266700</xdr:colOff>
                    <xdr:row>14</xdr:row>
                    <xdr:rowOff>0</xdr:rowOff>
                  </to>
                </anchor>
              </controlPr>
            </control>
          </mc:Choice>
        </mc:AlternateContent>
        <mc:AlternateContent xmlns:mc="http://schemas.openxmlformats.org/markup-compatibility/2006">
          <mc:Choice Requires="x14">
            <control shapeId="62475" r:id="rId9" name="Button 11">
              <controlPr defaultSize="0" print="0" autoPict="0" macro="[0]!Button10_Click_Frreview_delete">
                <anchor moveWithCells="1">
                  <from>
                    <xdr:col>0</xdr:col>
                    <xdr:colOff>85725</xdr:colOff>
                    <xdr:row>38</xdr:row>
                    <xdr:rowOff>76200</xdr:rowOff>
                  </from>
                  <to>
                    <xdr:col>1</xdr:col>
                    <xdr:colOff>247650</xdr:colOff>
                    <xdr:row>40</xdr:row>
                    <xdr:rowOff>28575</xdr:rowOff>
                  </to>
                </anchor>
              </controlPr>
            </control>
          </mc:Choice>
        </mc:AlternateContent>
        <mc:AlternateContent xmlns:mc="http://schemas.openxmlformats.org/markup-compatibility/2006">
          <mc:Choice Requires="x14">
            <control shapeId="62476" r:id="rId10" name="Button 12">
              <controlPr defaultSize="0" print="0" autoPict="0" macro="[0]!Button11_Click_Dreview_delete">
                <anchor moveWithCells="1">
                  <from>
                    <xdr:col>0</xdr:col>
                    <xdr:colOff>85725</xdr:colOff>
                    <xdr:row>61</xdr:row>
                    <xdr:rowOff>114300</xdr:rowOff>
                  </from>
                  <to>
                    <xdr:col>1</xdr:col>
                    <xdr:colOff>247650</xdr:colOff>
                    <xdr:row>63</xdr:row>
                    <xdr:rowOff>66675</xdr:rowOff>
                  </to>
                </anchor>
              </controlPr>
            </control>
          </mc:Choice>
        </mc:AlternateContent>
        <mc:AlternateContent xmlns:mc="http://schemas.openxmlformats.org/markup-compatibility/2006">
          <mc:Choice Requires="x14">
            <control shapeId="62477" r:id="rId11" name="Button 13">
              <controlPr defaultSize="0" print="0" autoPict="0" macro="[0]!Button12_Click_Tcreview_delete">
                <anchor moveWithCells="1">
                  <from>
                    <xdr:col>0</xdr:col>
                    <xdr:colOff>114300</xdr:colOff>
                    <xdr:row>86</xdr:row>
                    <xdr:rowOff>142875</xdr:rowOff>
                  </from>
                  <to>
                    <xdr:col>1</xdr:col>
                    <xdr:colOff>276225</xdr:colOff>
                    <xdr:row>88</xdr:row>
                    <xdr:rowOff>95250</xdr:rowOff>
                  </to>
                </anchor>
              </controlPr>
            </control>
          </mc:Choice>
        </mc:AlternateContent>
        <mc:AlternateContent xmlns:mc="http://schemas.openxmlformats.org/markup-compatibility/2006">
          <mc:Choice Requires="x14">
            <control shapeId="62479" r:id="rId12" name="Button 15">
              <controlPr defaultSize="0" print="0" autoPict="0" macro="[0]!Button13_Click_Creview_delete">
                <anchor moveWithCells="1">
                  <from>
                    <xdr:col>0</xdr:col>
                    <xdr:colOff>180975</xdr:colOff>
                    <xdr:row>109</xdr:row>
                    <xdr:rowOff>104775</xdr:rowOff>
                  </from>
                  <to>
                    <xdr:col>1</xdr:col>
                    <xdr:colOff>342900</xdr:colOff>
                    <xdr:row>111</xdr:row>
                    <xdr:rowOff>57150</xdr:rowOff>
                  </to>
                </anchor>
              </controlPr>
            </control>
          </mc:Choice>
        </mc:AlternateContent>
        <mc:AlternateContent xmlns:mc="http://schemas.openxmlformats.org/markup-compatibility/2006">
          <mc:Choice Requires="x14">
            <control shapeId="62489" r:id="rId13" name="Button 25">
              <controlPr defaultSize="0" print="0" autoPict="0" macro="[0]!Button3_Click_Crreview_add">
                <anchor moveWithCells="1">
                  <from>
                    <xdr:col>0</xdr:col>
                    <xdr:colOff>114300</xdr:colOff>
                    <xdr:row>136</xdr:row>
                    <xdr:rowOff>104775</xdr:rowOff>
                  </from>
                  <to>
                    <xdr:col>1</xdr:col>
                    <xdr:colOff>266700</xdr:colOff>
                    <xdr:row>138</xdr:row>
                    <xdr:rowOff>19050</xdr:rowOff>
                  </to>
                </anchor>
              </controlPr>
            </control>
          </mc:Choice>
        </mc:AlternateContent>
        <mc:AlternateContent xmlns:mc="http://schemas.openxmlformats.org/markup-compatibility/2006">
          <mc:Choice Requires="x14">
            <control shapeId="62490" r:id="rId14" name="Button 26">
              <controlPr defaultSize="0" print="0" autoPict="0" macro="[0]!Button4_Click_Frreview_add">
                <anchor moveWithCells="1">
                  <from>
                    <xdr:col>0</xdr:col>
                    <xdr:colOff>95250</xdr:colOff>
                    <xdr:row>161</xdr:row>
                    <xdr:rowOff>47625</xdr:rowOff>
                  </from>
                  <to>
                    <xdr:col>1</xdr:col>
                    <xdr:colOff>257175</xdr:colOff>
                    <xdr:row>162</xdr:row>
                    <xdr:rowOff>142875</xdr:rowOff>
                  </to>
                </anchor>
              </controlPr>
            </control>
          </mc:Choice>
        </mc:AlternateContent>
        <mc:AlternateContent xmlns:mc="http://schemas.openxmlformats.org/markup-compatibility/2006">
          <mc:Choice Requires="x14">
            <control shapeId="62491" r:id="rId15" name="Button 27">
              <controlPr defaultSize="0" print="0" autoPict="0" macro="[0]!button5_Click_Dreview_add">
                <anchor moveWithCells="1">
                  <from>
                    <xdr:col>0</xdr:col>
                    <xdr:colOff>85725</xdr:colOff>
                    <xdr:row>186</xdr:row>
                    <xdr:rowOff>104775</xdr:rowOff>
                  </from>
                  <to>
                    <xdr:col>1</xdr:col>
                    <xdr:colOff>238125</xdr:colOff>
                    <xdr:row>188</xdr:row>
                    <xdr:rowOff>57150</xdr:rowOff>
                  </to>
                </anchor>
              </controlPr>
            </control>
          </mc:Choice>
        </mc:AlternateContent>
        <mc:AlternateContent xmlns:mc="http://schemas.openxmlformats.org/markup-compatibility/2006">
          <mc:Choice Requires="x14">
            <control shapeId="62492" r:id="rId16" name="Button 28">
              <controlPr defaultSize="0" print="0" autoPict="0" macro="[0]!button6_Click_Tcreview_add">
                <anchor moveWithCells="1">
                  <from>
                    <xdr:col>0</xdr:col>
                    <xdr:colOff>104775</xdr:colOff>
                    <xdr:row>213</xdr:row>
                    <xdr:rowOff>76200</xdr:rowOff>
                  </from>
                  <to>
                    <xdr:col>1</xdr:col>
                    <xdr:colOff>295275</xdr:colOff>
                    <xdr:row>215</xdr:row>
                    <xdr:rowOff>19050</xdr:rowOff>
                  </to>
                </anchor>
              </controlPr>
            </control>
          </mc:Choice>
        </mc:AlternateContent>
        <mc:AlternateContent xmlns:mc="http://schemas.openxmlformats.org/markup-compatibility/2006">
          <mc:Choice Requires="x14">
            <control shapeId="62493" r:id="rId17" name="Button 29">
              <controlPr defaultSize="0" print="0" autoPict="0" macro="[0]!Button7_Click_Creview_add">
                <anchor moveWithCells="1">
                  <from>
                    <xdr:col>0</xdr:col>
                    <xdr:colOff>200025</xdr:colOff>
                    <xdr:row>239</xdr:row>
                    <xdr:rowOff>85725</xdr:rowOff>
                  </from>
                  <to>
                    <xdr:col>1</xdr:col>
                    <xdr:colOff>342900</xdr:colOff>
                    <xdr:row>241</xdr:row>
                    <xdr:rowOff>19050</xdr:rowOff>
                  </to>
                </anchor>
              </controlPr>
            </control>
          </mc:Choice>
        </mc:AlternateContent>
        <mc:AlternateContent xmlns:mc="http://schemas.openxmlformats.org/markup-compatibility/2006">
          <mc:Choice Requires="x14">
            <control shapeId="62494" r:id="rId18" name="Button 30">
              <controlPr defaultSize="0" print="0" autoPict="0" macro="[0]!Button9_Click_Crreview_delete">
                <anchor moveWithCells="1">
                  <from>
                    <xdr:col>0</xdr:col>
                    <xdr:colOff>114300</xdr:colOff>
                    <xdr:row>138</xdr:row>
                    <xdr:rowOff>85725</xdr:rowOff>
                  </from>
                  <to>
                    <xdr:col>1</xdr:col>
                    <xdr:colOff>266700</xdr:colOff>
                    <xdr:row>140</xdr:row>
                    <xdr:rowOff>0</xdr:rowOff>
                  </to>
                </anchor>
              </controlPr>
            </control>
          </mc:Choice>
        </mc:AlternateContent>
        <mc:AlternateContent xmlns:mc="http://schemas.openxmlformats.org/markup-compatibility/2006">
          <mc:Choice Requires="x14">
            <control shapeId="62495" r:id="rId19" name="Button 31">
              <controlPr defaultSize="0" print="0" autoPict="0" macro="[0]!Button10_Click_Frreview_delete">
                <anchor moveWithCells="1">
                  <from>
                    <xdr:col>0</xdr:col>
                    <xdr:colOff>85725</xdr:colOff>
                    <xdr:row>163</xdr:row>
                    <xdr:rowOff>76200</xdr:rowOff>
                  </from>
                  <to>
                    <xdr:col>1</xdr:col>
                    <xdr:colOff>247650</xdr:colOff>
                    <xdr:row>165</xdr:row>
                    <xdr:rowOff>28575</xdr:rowOff>
                  </to>
                </anchor>
              </controlPr>
            </control>
          </mc:Choice>
        </mc:AlternateContent>
        <mc:AlternateContent xmlns:mc="http://schemas.openxmlformats.org/markup-compatibility/2006">
          <mc:Choice Requires="x14">
            <control shapeId="62496" r:id="rId20" name="Button 32">
              <controlPr defaultSize="0" print="0" autoPict="0" macro="[0]!Button11_Click_Dreview_delete">
                <anchor moveWithCells="1">
                  <from>
                    <xdr:col>0</xdr:col>
                    <xdr:colOff>85725</xdr:colOff>
                    <xdr:row>188</xdr:row>
                    <xdr:rowOff>114300</xdr:rowOff>
                  </from>
                  <to>
                    <xdr:col>1</xdr:col>
                    <xdr:colOff>247650</xdr:colOff>
                    <xdr:row>190</xdr:row>
                    <xdr:rowOff>66675</xdr:rowOff>
                  </to>
                </anchor>
              </controlPr>
            </control>
          </mc:Choice>
        </mc:AlternateContent>
        <mc:AlternateContent xmlns:mc="http://schemas.openxmlformats.org/markup-compatibility/2006">
          <mc:Choice Requires="x14">
            <control shapeId="62497" r:id="rId21" name="Button 33">
              <controlPr defaultSize="0" print="0" autoPict="0" macro="[0]!Button12_Click_Tcreview_delete">
                <anchor moveWithCells="1">
                  <from>
                    <xdr:col>0</xdr:col>
                    <xdr:colOff>114300</xdr:colOff>
                    <xdr:row>215</xdr:row>
                    <xdr:rowOff>142875</xdr:rowOff>
                  </from>
                  <to>
                    <xdr:col>1</xdr:col>
                    <xdr:colOff>276225</xdr:colOff>
                    <xdr:row>217</xdr:row>
                    <xdr:rowOff>95250</xdr:rowOff>
                  </to>
                </anchor>
              </controlPr>
            </control>
          </mc:Choice>
        </mc:AlternateContent>
        <mc:AlternateContent xmlns:mc="http://schemas.openxmlformats.org/markup-compatibility/2006">
          <mc:Choice Requires="x14">
            <control shapeId="62498" r:id="rId22" name="Button 34">
              <controlPr defaultSize="0" print="0" autoPict="0" macro="[0]!Button13_Click_Creview_delete">
                <anchor moveWithCells="1">
                  <from>
                    <xdr:col>0</xdr:col>
                    <xdr:colOff>180975</xdr:colOff>
                    <xdr:row>241</xdr:row>
                    <xdr:rowOff>104775</xdr:rowOff>
                  </from>
                  <to>
                    <xdr:col>1</xdr:col>
                    <xdr:colOff>342900</xdr:colOff>
                    <xdr:row>243</xdr:row>
                    <xdr:rowOff>57150</xdr:rowOff>
                  </to>
                </anchor>
              </controlPr>
            </control>
          </mc:Choice>
        </mc:AlternateContent>
        <mc:AlternateContent xmlns:mc="http://schemas.openxmlformats.org/markup-compatibility/2006">
          <mc:Choice Requires="x14">
            <control shapeId="62507" r:id="rId23" name="Button 43">
              <controlPr defaultSize="0" print="0" autoPict="0" macro="[0]!Button3_Click_Crreview_add">
                <anchor moveWithCells="1">
                  <from>
                    <xdr:col>0</xdr:col>
                    <xdr:colOff>114300</xdr:colOff>
                    <xdr:row>268</xdr:row>
                    <xdr:rowOff>104775</xdr:rowOff>
                  </from>
                  <to>
                    <xdr:col>1</xdr:col>
                    <xdr:colOff>266700</xdr:colOff>
                    <xdr:row>270</xdr:row>
                    <xdr:rowOff>19050</xdr:rowOff>
                  </to>
                </anchor>
              </controlPr>
            </control>
          </mc:Choice>
        </mc:AlternateContent>
        <mc:AlternateContent xmlns:mc="http://schemas.openxmlformats.org/markup-compatibility/2006">
          <mc:Choice Requires="x14">
            <control shapeId="62508" r:id="rId24" name="Button 44">
              <controlPr defaultSize="0" print="0" autoPict="0" macro="[0]!Button4_Click_Frreview_add">
                <anchor moveWithCells="1">
                  <from>
                    <xdr:col>0</xdr:col>
                    <xdr:colOff>95250</xdr:colOff>
                    <xdr:row>293</xdr:row>
                    <xdr:rowOff>47625</xdr:rowOff>
                  </from>
                  <to>
                    <xdr:col>1</xdr:col>
                    <xdr:colOff>257175</xdr:colOff>
                    <xdr:row>294</xdr:row>
                    <xdr:rowOff>142875</xdr:rowOff>
                  </to>
                </anchor>
              </controlPr>
            </control>
          </mc:Choice>
        </mc:AlternateContent>
        <mc:AlternateContent xmlns:mc="http://schemas.openxmlformats.org/markup-compatibility/2006">
          <mc:Choice Requires="x14">
            <control shapeId="62509" r:id="rId25" name="Button 45">
              <controlPr defaultSize="0" print="0" autoPict="0" macro="[0]!button5_Click_Dreview_add">
                <anchor moveWithCells="1">
                  <from>
                    <xdr:col>0</xdr:col>
                    <xdr:colOff>85725</xdr:colOff>
                    <xdr:row>318</xdr:row>
                    <xdr:rowOff>104775</xdr:rowOff>
                  </from>
                  <to>
                    <xdr:col>1</xdr:col>
                    <xdr:colOff>238125</xdr:colOff>
                    <xdr:row>320</xdr:row>
                    <xdr:rowOff>57150</xdr:rowOff>
                  </to>
                </anchor>
              </controlPr>
            </control>
          </mc:Choice>
        </mc:AlternateContent>
        <mc:AlternateContent xmlns:mc="http://schemas.openxmlformats.org/markup-compatibility/2006">
          <mc:Choice Requires="x14">
            <control shapeId="62510" r:id="rId26" name="Button 46">
              <controlPr defaultSize="0" print="0" autoPict="0" macro="[0]!button6_Click_Tcreview_add">
                <anchor moveWithCells="1">
                  <from>
                    <xdr:col>0</xdr:col>
                    <xdr:colOff>104775</xdr:colOff>
                    <xdr:row>345</xdr:row>
                    <xdr:rowOff>76200</xdr:rowOff>
                  </from>
                  <to>
                    <xdr:col>1</xdr:col>
                    <xdr:colOff>295275</xdr:colOff>
                    <xdr:row>347</xdr:row>
                    <xdr:rowOff>19050</xdr:rowOff>
                  </to>
                </anchor>
              </controlPr>
            </control>
          </mc:Choice>
        </mc:AlternateContent>
        <mc:AlternateContent xmlns:mc="http://schemas.openxmlformats.org/markup-compatibility/2006">
          <mc:Choice Requires="x14">
            <control shapeId="62511" r:id="rId27" name="Button 47">
              <controlPr defaultSize="0" print="0" autoPict="0" macro="[0]!Button7_Click_Creview_add">
                <anchor moveWithCells="1">
                  <from>
                    <xdr:col>0</xdr:col>
                    <xdr:colOff>200025</xdr:colOff>
                    <xdr:row>371</xdr:row>
                    <xdr:rowOff>85725</xdr:rowOff>
                  </from>
                  <to>
                    <xdr:col>1</xdr:col>
                    <xdr:colOff>342900</xdr:colOff>
                    <xdr:row>373</xdr:row>
                    <xdr:rowOff>19050</xdr:rowOff>
                  </to>
                </anchor>
              </controlPr>
            </control>
          </mc:Choice>
        </mc:AlternateContent>
        <mc:AlternateContent xmlns:mc="http://schemas.openxmlformats.org/markup-compatibility/2006">
          <mc:Choice Requires="x14">
            <control shapeId="62512" r:id="rId28" name="Button 48">
              <controlPr defaultSize="0" print="0" autoPict="0" macro="[0]!Button9_Click_Crreview_delete">
                <anchor moveWithCells="1">
                  <from>
                    <xdr:col>0</xdr:col>
                    <xdr:colOff>114300</xdr:colOff>
                    <xdr:row>270</xdr:row>
                    <xdr:rowOff>85725</xdr:rowOff>
                  </from>
                  <to>
                    <xdr:col>1</xdr:col>
                    <xdr:colOff>266700</xdr:colOff>
                    <xdr:row>272</xdr:row>
                    <xdr:rowOff>0</xdr:rowOff>
                  </to>
                </anchor>
              </controlPr>
            </control>
          </mc:Choice>
        </mc:AlternateContent>
        <mc:AlternateContent xmlns:mc="http://schemas.openxmlformats.org/markup-compatibility/2006">
          <mc:Choice Requires="x14">
            <control shapeId="62513" r:id="rId29" name="Button 49">
              <controlPr defaultSize="0" print="0" autoPict="0" macro="[0]!Button10_Click_Frreview_delete">
                <anchor moveWithCells="1">
                  <from>
                    <xdr:col>0</xdr:col>
                    <xdr:colOff>85725</xdr:colOff>
                    <xdr:row>295</xdr:row>
                    <xdr:rowOff>76200</xdr:rowOff>
                  </from>
                  <to>
                    <xdr:col>1</xdr:col>
                    <xdr:colOff>247650</xdr:colOff>
                    <xdr:row>297</xdr:row>
                    <xdr:rowOff>28575</xdr:rowOff>
                  </to>
                </anchor>
              </controlPr>
            </control>
          </mc:Choice>
        </mc:AlternateContent>
        <mc:AlternateContent xmlns:mc="http://schemas.openxmlformats.org/markup-compatibility/2006">
          <mc:Choice Requires="x14">
            <control shapeId="62514" r:id="rId30" name="Button 50">
              <controlPr defaultSize="0" print="0" autoPict="0" macro="[0]!Button11_Click_Dreview_delete">
                <anchor moveWithCells="1">
                  <from>
                    <xdr:col>0</xdr:col>
                    <xdr:colOff>85725</xdr:colOff>
                    <xdr:row>320</xdr:row>
                    <xdr:rowOff>114300</xdr:rowOff>
                  </from>
                  <to>
                    <xdr:col>1</xdr:col>
                    <xdr:colOff>247650</xdr:colOff>
                    <xdr:row>322</xdr:row>
                    <xdr:rowOff>66675</xdr:rowOff>
                  </to>
                </anchor>
              </controlPr>
            </control>
          </mc:Choice>
        </mc:AlternateContent>
        <mc:AlternateContent xmlns:mc="http://schemas.openxmlformats.org/markup-compatibility/2006">
          <mc:Choice Requires="x14">
            <control shapeId="62515" r:id="rId31" name="Button 51">
              <controlPr defaultSize="0" print="0" autoPict="0" macro="[0]!Button12_Click_Tcreview_delete">
                <anchor moveWithCells="1">
                  <from>
                    <xdr:col>0</xdr:col>
                    <xdr:colOff>114300</xdr:colOff>
                    <xdr:row>347</xdr:row>
                    <xdr:rowOff>142875</xdr:rowOff>
                  </from>
                  <to>
                    <xdr:col>1</xdr:col>
                    <xdr:colOff>276225</xdr:colOff>
                    <xdr:row>349</xdr:row>
                    <xdr:rowOff>95250</xdr:rowOff>
                  </to>
                </anchor>
              </controlPr>
            </control>
          </mc:Choice>
        </mc:AlternateContent>
        <mc:AlternateContent xmlns:mc="http://schemas.openxmlformats.org/markup-compatibility/2006">
          <mc:Choice Requires="x14">
            <control shapeId="62516" r:id="rId32" name="Button 52">
              <controlPr defaultSize="0" print="0" autoPict="0" macro="[0]!Button13_Click_Creview_delete">
                <anchor moveWithCells="1">
                  <from>
                    <xdr:col>0</xdr:col>
                    <xdr:colOff>180975</xdr:colOff>
                    <xdr:row>373</xdr:row>
                    <xdr:rowOff>104775</xdr:rowOff>
                  </from>
                  <to>
                    <xdr:col>1</xdr:col>
                    <xdr:colOff>342900</xdr:colOff>
                    <xdr:row>375</xdr:row>
                    <xdr:rowOff>57150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7"/>
  </sheetPr>
  <dimension ref="A1:S240"/>
  <sheetViews>
    <sheetView showGridLines="0" topLeftCell="A139" workbookViewId="0">
      <selection activeCell="M20" sqref="M20"/>
    </sheetView>
  </sheetViews>
  <sheetFormatPr defaultColWidth="9" defaultRowHeight="12"/>
  <cols>
    <col min="1" max="1" width="12" style="57" customWidth="1"/>
    <col min="2" max="2" width="12.625" style="57" customWidth="1"/>
    <col min="3" max="3" width="12" style="57" customWidth="1"/>
    <col min="4" max="4" width="10.125" style="57" customWidth="1"/>
    <col min="5" max="5" width="11.375" style="57" customWidth="1"/>
    <col min="6" max="6" width="12.875" style="57" customWidth="1"/>
    <col min="7" max="7" width="9.25" style="57" customWidth="1"/>
    <col min="8" max="8" width="8.875" style="57" customWidth="1"/>
    <col min="9" max="9" width="10" style="57" customWidth="1"/>
    <col min="10" max="10" width="9.875" style="57" customWidth="1"/>
    <col min="11" max="11" width="10.5" style="57" customWidth="1"/>
    <col min="12" max="12" width="10.75" style="57" customWidth="1"/>
    <col min="13" max="13" width="9" style="57" customWidth="1"/>
    <col min="14" max="14" width="9.625" style="57" customWidth="1"/>
    <col min="15" max="15" width="8.25" style="57" customWidth="1"/>
    <col min="16" max="16" width="30.75" style="57" customWidth="1"/>
    <col min="17" max="256" width="9" style="57"/>
    <col min="257" max="257" width="12" style="57" customWidth="1"/>
    <col min="258" max="258" width="17.25" style="57" customWidth="1"/>
    <col min="259" max="259" width="8.75" style="57" customWidth="1"/>
    <col min="260" max="260" width="8.375" style="57" customWidth="1"/>
    <col min="261" max="261" width="10.375" style="57" customWidth="1"/>
    <col min="262" max="262" width="9.125" style="57" customWidth="1"/>
    <col min="263" max="263" width="9.25" style="57" customWidth="1"/>
    <col min="264" max="264" width="8.875" style="57" customWidth="1"/>
    <col min="265" max="265" width="10" style="57" customWidth="1"/>
    <col min="266" max="266" width="9.875" style="57" customWidth="1"/>
    <col min="267" max="267" width="9" style="57" customWidth="1"/>
    <col min="268" max="268" width="10.75" style="57" customWidth="1"/>
    <col min="269" max="269" width="9" style="57" customWidth="1"/>
    <col min="270" max="270" width="9.625" style="57" customWidth="1"/>
    <col min="271" max="271" width="16.25" style="57" customWidth="1"/>
    <col min="272" max="512" width="9" style="57"/>
    <col min="513" max="513" width="12" style="57" customWidth="1"/>
    <col min="514" max="514" width="17.25" style="57" customWidth="1"/>
    <col min="515" max="515" width="8.75" style="57" customWidth="1"/>
    <col min="516" max="516" width="8.375" style="57" customWidth="1"/>
    <col min="517" max="517" width="10.375" style="57" customWidth="1"/>
    <col min="518" max="518" width="9.125" style="57" customWidth="1"/>
    <col min="519" max="519" width="9.25" style="57" customWidth="1"/>
    <col min="520" max="520" width="8.875" style="57" customWidth="1"/>
    <col min="521" max="521" width="10" style="57" customWidth="1"/>
    <col min="522" max="522" width="9.875" style="57" customWidth="1"/>
    <col min="523" max="523" width="9" style="57" customWidth="1"/>
    <col min="524" max="524" width="10.75" style="57" customWidth="1"/>
    <col min="525" max="525" width="9" style="57" customWidth="1"/>
    <col min="526" max="526" width="9.625" style="57" customWidth="1"/>
    <col min="527" max="527" width="16.25" style="57" customWidth="1"/>
    <col min="528" max="768" width="9" style="57"/>
    <col min="769" max="769" width="12" style="57" customWidth="1"/>
    <col min="770" max="770" width="17.25" style="57" customWidth="1"/>
    <col min="771" max="771" width="8.75" style="57" customWidth="1"/>
    <col min="772" max="772" width="8.375" style="57" customWidth="1"/>
    <col min="773" max="773" width="10.375" style="57" customWidth="1"/>
    <col min="774" max="774" width="9.125" style="57" customWidth="1"/>
    <col min="775" max="775" width="9.25" style="57" customWidth="1"/>
    <col min="776" max="776" width="8.875" style="57" customWidth="1"/>
    <col min="777" max="777" width="10" style="57" customWidth="1"/>
    <col min="778" max="778" width="9.875" style="57" customWidth="1"/>
    <col min="779" max="779" width="9" style="57" customWidth="1"/>
    <col min="780" max="780" width="10.75" style="57" customWidth="1"/>
    <col min="781" max="781" width="9" style="57" customWidth="1"/>
    <col min="782" max="782" width="9.625" style="57" customWidth="1"/>
    <col min="783" max="783" width="16.25" style="57" customWidth="1"/>
    <col min="784" max="1024" width="9" style="57"/>
    <col min="1025" max="1025" width="12" style="57" customWidth="1"/>
    <col min="1026" max="1026" width="17.25" style="57" customWidth="1"/>
    <col min="1027" max="1027" width="8.75" style="57" customWidth="1"/>
    <col min="1028" max="1028" width="8.375" style="57" customWidth="1"/>
    <col min="1029" max="1029" width="10.375" style="57" customWidth="1"/>
    <col min="1030" max="1030" width="9.125" style="57" customWidth="1"/>
    <col min="1031" max="1031" width="9.25" style="57" customWidth="1"/>
    <col min="1032" max="1032" width="8.875" style="57" customWidth="1"/>
    <col min="1033" max="1033" width="10" style="57" customWidth="1"/>
    <col min="1034" max="1034" width="9.875" style="57" customWidth="1"/>
    <col min="1035" max="1035" width="9" style="57" customWidth="1"/>
    <col min="1036" max="1036" width="10.75" style="57" customWidth="1"/>
    <col min="1037" max="1037" width="9" style="57" customWidth="1"/>
    <col min="1038" max="1038" width="9.625" style="57" customWidth="1"/>
    <col min="1039" max="1039" width="16.25" style="57" customWidth="1"/>
    <col min="1040" max="1280" width="9" style="57"/>
    <col min="1281" max="1281" width="12" style="57" customWidth="1"/>
    <col min="1282" max="1282" width="17.25" style="57" customWidth="1"/>
    <col min="1283" max="1283" width="8.75" style="57" customWidth="1"/>
    <col min="1284" max="1284" width="8.375" style="57" customWidth="1"/>
    <col min="1285" max="1285" width="10.375" style="57" customWidth="1"/>
    <col min="1286" max="1286" width="9.125" style="57" customWidth="1"/>
    <col min="1287" max="1287" width="9.25" style="57" customWidth="1"/>
    <col min="1288" max="1288" width="8.875" style="57" customWidth="1"/>
    <col min="1289" max="1289" width="10" style="57" customWidth="1"/>
    <col min="1290" max="1290" width="9.875" style="57" customWidth="1"/>
    <col min="1291" max="1291" width="9" style="57" customWidth="1"/>
    <col min="1292" max="1292" width="10.75" style="57" customWidth="1"/>
    <col min="1293" max="1293" width="9" style="57" customWidth="1"/>
    <col min="1294" max="1294" width="9.625" style="57" customWidth="1"/>
    <col min="1295" max="1295" width="16.25" style="57" customWidth="1"/>
    <col min="1296" max="1536" width="9" style="57"/>
    <col min="1537" max="1537" width="12" style="57" customWidth="1"/>
    <col min="1538" max="1538" width="17.25" style="57" customWidth="1"/>
    <col min="1539" max="1539" width="8.75" style="57" customWidth="1"/>
    <col min="1540" max="1540" width="8.375" style="57" customWidth="1"/>
    <col min="1541" max="1541" width="10.375" style="57" customWidth="1"/>
    <col min="1542" max="1542" width="9.125" style="57" customWidth="1"/>
    <col min="1543" max="1543" width="9.25" style="57" customWidth="1"/>
    <col min="1544" max="1544" width="8.875" style="57" customWidth="1"/>
    <col min="1545" max="1545" width="10" style="57" customWidth="1"/>
    <col min="1546" max="1546" width="9.875" style="57" customWidth="1"/>
    <col min="1547" max="1547" width="9" style="57" customWidth="1"/>
    <col min="1548" max="1548" width="10.75" style="57" customWidth="1"/>
    <col min="1549" max="1549" width="9" style="57" customWidth="1"/>
    <col min="1550" max="1550" width="9.625" style="57" customWidth="1"/>
    <col min="1551" max="1551" width="16.25" style="57" customWidth="1"/>
    <col min="1552" max="1792" width="9" style="57"/>
    <col min="1793" max="1793" width="12" style="57" customWidth="1"/>
    <col min="1794" max="1794" width="17.25" style="57" customWidth="1"/>
    <col min="1795" max="1795" width="8.75" style="57" customWidth="1"/>
    <col min="1796" max="1796" width="8.375" style="57" customWidth="1"/>
    <col min="1797" max="1797" width="10.375" style="57" customWidth="1"/>
    <col min="1798" max="1798" width="9.125" style="57" customWidth="1"/>
    <col min="1799" max="1799" width="9.25" style="57" customWidth="1"/>
    <col min="1800" max="1800" width="8.875" style="57" customWidth="1"/>
    <col min="1801" max="1801" width="10" style="57" customWidth="1"/>
    <col min="1802" max="1802" width="9.875" style="57" customWidth="1"/>
    <col min="1803" max="1803" width="9" style="57" customWidth="1"/>
    <col min="1804" max="1804" width="10.75" style="57" customWidth="1"/>
    <col min="1805" max="1805" width="9" style="57" customWidth="1"/>
    <col min="1806" max="1806" width="9.625" style="57" customWidth="1"/>
    <col min="1807" max="1807" width="16.25" style="57" customWidth="1"/>
    <col min="1808" max="2048" width="9" style="57"/>
    <col min="2049" max="2049" width="12" style="57" customWidth="1"/>
    <col min="2050" max="2050" width="17.25" style="57" customWidth="1"/>
    <col min="2051" max="2051" width="8.75" style="57" customWidth="1"/>
    <col min="2052" max="2052" width="8.375" style="57" customWidth="1"/>
    <col min="2053" max="2053" width="10.375" style="57" customWidth="1"/>
    <col min="2054" max="2054" width="9.125" style="57" customWidth="1"/>
    <col min="2055" max="2055" width="9.25" style="57" customWidth="1"/>
    <col min="2056" max="2056" width="8.875" style="57" customWidth="1"/>
    <col min="2057" max="2057" width="10" style="57" customWidth="1"/>
    <col min="2058" max="2058" width="9.875" style="57" customWidth="1"/>
    <col min="2059" max="2059" width="9" style="57" customWidth="1"/>
    <col min="2060" max="2060" width="10.75" style="57" customWidth="1"/>
    <col min="2061" max="2061" width="9" style="57" customWidth="1"/>
    <col min="2062" max="2062" width="9.625" style="57" customWidth="1"/>
    <col min="2063" max="2063" width="16.25" style="57" customWidth="1"/>
    <col min="2064" max="2304" width="9" style="57"/>
    <col min="2305" max="2305" width="12" style="57" customWidth="1"/>
    <col min="2306" max="2306" width="17.25" style="57" customWidth="1"/>
    <col min="2307" max="2307" width="8.75" style="57" customWidth="1"/>
    <col min="2308" max="2308" width="8.375" style="57" customWidth="1"/>
    <col min="2309" max="2309" width="10.375" style="57" customWidth="1"/>
    <col min="2310" max="2310" width="9.125" style="57" customWidth="1"/>
    <col min="2311" max="2311" width="9.25" style="57" customWidth="1"/>
    <col min="2312" max="2312" width="8.875" style="57" customWidth="1"/>
    <col min="2313" max="2313" width="10" style="57" customWidth="1"/>
    <col min="2314" max="2314" width="9.875" style="57" customWidth="1"/>
    <col min="2315" max="2315" width="9" style="57" customWidth="1"/>
    <col min="2316" max="2316" width="10.75" style="57" customWidth="1"/>
    <col min="2317" max="2317" width="9" style="57" customWidth="1"/>
    <col min="2318" max="2318" width="9.625" style="57" customWidth="1"/>
    <col min="2319" max="2319" width="16.25" style="57" customWidth="1"/>
    <col min="2320" max="2560" width="9" style="57"/>
    <col min="2561" max="2561" width="12" style="57" customWidth="1"/>
    <col min="2562" max="2562" width="17.25" style="57" customWidth="1"/>
    <col min="2563" max="2563" width="8.75" style="57" customWidth="1"/>
    <col min="2564" max="2564" width="8.375" style="57" customWidth="1"/>
    <col min="2565" max="2565" width="10.375" style="57" customWidth="1"/>
    <col min="2566" max="2566" width="9.125" style="57" customWidth="1"/>
    <col min="2567" max="2567" width="9.25" style="57" customWidth="1"/>
    <col min="2568" max="2568" width="8.875" style="57" customWidth="1"/>
    <col min="2569" max="2569" width="10" style="57" customWidth="1"/>
    <col min="2570" max="2570" width="9.875" style="57" customWidth="1"/>
    <col min="2571" max="2571" width="9" style="57" customWidth="1"/>
    <col min="2572" max="2572" width="10.75" style="57" customWidth="1"/>
    <col min="2573" max="2573" width="9" style="57" customWidth="1"/>
    <col min="2574" max="2574" width="9.625" style="57" customWidth="1"/>
    <col min="2575" max="2575" width="16.25" style="57" customWidth="1"/>
    <col min="2576" max="2816" width="9" style="57"/>
    <col min="2817" max="2817" width="12" style="57" customWidth="1"/>
    <col min="2818" max="2818" width="17.25" style="57" customWidth="1"/>
    <col min="2819" max="2819" width="8.75" style="57" customWidth="1"/>
    <col min="2820" max="2820" width="8.375" style="57" customWidth="1"/>
    <col min="2821" max="2821" width="10.375" style="57" customWidth="1"/>
    <col min="2822" max="2822" width="9.125" style="57" customWidth="1"/>
    <col min="2823" max="2823" width="9.25" style="57" customWidth="1"/>
    <col min="2824" max="2824" width="8.875" style="57" customWidth="1"/>
    <col min="2825" max="2825" width="10" style="57" customWidth="1"/>
    <col min="2826" max="2826" width="9.875" style="57" customWidth="1"/>
    <col min="2827" max="2827" width="9" style="57" customWidth="1"/>
    <col min="2828" max="2828" width="10.75" style="57" customWidth="1"/>
    <col min="2829" max="2829" width="9" style="57" customWidth="1"/>
    <col min="2830" max="2830" width="9.625" style="57" customWidth="1"/>
    <col min="2831" max="2831" width="16.25" style="57" customWidth="1"/>
    <col min="2832" max="3072" width="9" style="57"/>
    <col min="3073" max="3073" width="12" style="57" customWidth="1"/>
    <col min="3074" max="3074" width="17.25" style="57" customWidth="1"/>
    <col min="3075" max="3075" width="8.75" style="57" customWidth="1"/>
    <col min="3076" max="3076" width="8.375" style="57" customWidth="1"/>
    <col min="3077" max="3077" width="10.375" style="57" customWidth="1"/>
    <col min="3078" max="3078" width="9.125" style="57" customWidth="1"/>
    <col min="3079" max="3079" width="9.25" style="57" customWidth="1"/>
    <col min="3080" max="3080" width="8.875" style="57" customWidth="1"/>
    <col min="3081" max="3081" width="10" style="57" customWidth="1"/>
    <col min="3082" max="3082" width="9.875" style="57" customWidth="1"/>
    <col min="3083" max="3083" width="9" style="57" customWidth="1"/>
    <col min="3084" max="3084" width="10.75" style="57" customWidth="1"/>
    <col min="3085" max="3085" width="9" style="57" customWidth="1"/>
    <col min="3086" max="3086" width="9.625" style="57" customWidth="1"/>
    <col min="3087" max="3087" width="16.25" style="57" customWidth="1"/>
    <col min="3088" max="3328" width="9" style="57"/>
    <col min="3329" max="3329" width="12" style="57" customWidth="1"/>
    <col min="3330" max="3330" width="17.25" style="57" customWidth="1"/>
    <col min="3331" max="3331" width="8.75" style="57" customWidth="1"/>
    <col min="3332" max="3332" width="8.375" style="57" customWidth="1"/>
    <col min="3333" max="3333" width="10.375" style="57" customWidth="1"/>
    <col min="3334" max="3334" width="9.125" style="57" customWidth="1"/>
    <col min="3335" max="3335" width="9.25" style="57" customWidth="1"/>
    <col min="3336" max="3336" width="8.875" style="57" customWidth="1"/>
    <col min="3337" max="3337" width="10" style="57" customWidth="1"/>
    <col min="3338" max="3338" width="9.875" style="57" customWidth="1"/>
    <col min="3339" max="3339" width="9" style="57" customWidth="1"/>
    <col min="3340" max="3340" width="10.75" style="57" customWidth="1"/>
    <col min="3341" max="3341" width="9" style="57" customWidth="1"/>
    <col min="3342" max="3342" width="9.625" style="57" customWidth="1"/>
    <col min="3343" max="3343" width="16.25" style="57" customWidth="1"/>
    <col min="3344" max="3584" width="9" style="57"/>
    <col min="3585" max="3585" width="12" style="57" customWidth="1"/>
    <col min="3586" max="3586" width="17.25" style="57" customWidth="1"/>
    <col min="3587" max="3587" width="8.75" style="57" customWidth="1"/>
    <col min="3588" max="3588" width="8.375" style="57" customWidth="1"/>
    <col min="3589" max="3589" width="10.375" style="57" customWidth="1"/>
    <col min="3590" max="3590" width="9.125" style="57" customWidth="1"/>
    <col min="3591" max="3591" width="9.25" style="57" customWidth="1"/>
    <col min="3592" max="3592" width="8.875" style="57" customWidth="1"/>
    <col min="3593" max="3593" width="10" style="57" customWidth="1"/>
    <col min="3594" max="3594" width="9.875" style="57" customWidth="1"/>
    <col min="3595" max="3595" width="9" style="57" customWidth="1"/>
    <col min="3596" max="3596" width="10.75" style="57" customWidth="1"/>
    <col min="3597" max="3597" width="9" style="57" customWidth="1"/>
    <col min="3598" max="3598" width="9.625" style="57" customWidth="1"/>
    <col min="3599" max="3599" width="16.25" style="57" customWidth="1"/>
    <col min="3600" max="3840" width="9" style="57"/>
    <col min="3841" max="3841" width="12" style="57" customWidth="1"/>
    <col min="3842" max="3842" width="17.25" style="57" customWidth="1"/>
    <col min="3843" max="3843" width="8.75" style="57" customWidth="1"/>
    <col min="3844" max="3844" width="8.375" style="57" customWidth="1"/>
    <col min="3845" max="3845" width="10.375" style="57" customWidth="1"/>
    <col min="3846" max="3846" width="9.125" style="57" customWidth="1"/>
    <col min="3847" max="3847" width="9.25" style="57" customWidth="1"/>
    <col min="3848" max="3848" width="8.875" style="57" customWidth="1"/>
    <col min="3849" max="3849" width="10" style="57" customWidth="1"/>
    <col min="3850" max="3850" width="9.875" style="57" customWidth="1"/>
    <col min="3851" max="3851" width="9" style="57" customWidth="1"/>
    <col min="3852" max="3852" width="10.75" style="57" customWidth="1"/>
    <col min="3853" max="3853" width="9" style="57" customWidth="1"/>
    <col min="3854" max="3854" width="9.625" style="57" customWidth="1"/>
    <col min="3855" max="3855" width="16.25" style="57" customWidth="1"/>
    <col min="3856" max="4096" width="9" style="57"/>
    <col min="4097" max="4097" width="12" style="57" customWidth="1"/>
    <col min="4098" max="4098" width="17.25" style="57" customWidth="1"/>
    <col min="4099" max="4099" width="8.75" style="57" customWidth="1"/>
    <col min="4100" max="4100" width="8.375" style="57" customWidth="1"/>
    <col min="4101" max="4101" width="10.375" style="57" customWidth="1"/>
    <col min="4102" max="4102" width="9.125" style="57" customWidth="1"/>
    <col min="4103" max="4103" width="9.25" style="57" customWidth="1"/>
    <col min="4104" max="4104" width="8.875" style="57" customWidth="1"/>
    <col min="4105" max="4105" width="10" style="57" customWidth="1"/>
    <col min="4106" max="4106" width="9.875" style="57" customWidth="1"/>
    <col min="4107" max="4107" width="9" style="57" customWidth="1"/>
    <col min="4108" max="4108" width="10.75" style="57" customWidth="1"/>
    <col min="4109" max="4109" width="9" style="57" customWidth="1"/>
    <col min="4110" max="4110" width="9.625" style="57" customWidth="1"/>
    <col min="4111" max="4111" width="16.25" style="57" customWidth="1"/>
    <col min="4112" max="4352" width="9" style="57"/>
    <col min="4353" max="4353" width="12" style="57" customWidth="1"/>
    <col min="4354" max="4354" width="17.25" style="57" customWidth="1"/>
    <col min="4355" max="4355" width="8.75" style="57" customWidth="1"/>
    <col min="4356" max="4356" width="8.375" style="57" customWidth="1"/>
    <col min="4357" max="4357" width="10.375" style="57" customWidth="1"/>
    <col min="4358" max="4358" width="9.125" style="57" customWidth="1"/>
    <col min="4359" max="4359" width="9.25" style="57" customWidth="1"/>
    <col min="4360" max="4360" width="8.875" style="57" customWidth="1"/>
    <col min="4361" max="4361" width="10" style="57" customWidth="1"/>
    <col min="4362" max="4362" width="9.875" style="57" customWidth="1"/>
    <col min="4363" max="4363" width="9" style="57" customWidth="1"/>
    <col min="4364" max="4364" width="10.75" style="57" customWidth="1"/>
    <col min="4365" max="4365" width="9" style="57" customWidth="1"/>
    <col min="4366" max="4366" width="9.625" style="57" customWidth="1"/>
    <col min="4367" max="4367" width="16.25" style="57" customWidth="1"/>
    <col min="4368" max="4608" width="9" style="57"/>
    <col min="4609" max="4609" width="12" style="57" customWidth="1"/>
    <col min="4610" max="4610" width="17.25" style="57" customWidth="1"/>
    <col min="4611" max="4611" width="8.75" style="57" customWidth="1"/>
    <col min="4612" max="4612" width="8.375" style="57" customWidth="1"/>
    <col min="4613" max="4613" width="10.375" style="57" customWidth="1"/>
    <col min="4614" max="4614" width="9.125" style="57" customWidth="1"/>
    <col min="4615" max="4615" width="9.25" style="57" customWidth="1"/>
    <col min="4616" max="4616" width="8.875" style="57" customWidth="1"/>
    <col min="4617" max="4617" width="10" style="57" customWidth="1"/>
    <col min="4618" max="4618" width="9.875" style="57" customWidth="1"/>
    <col min="4619" max="4619" width="9" style="57" customWidth="1"/>
    <col min="4620" max="4620" width="10.75" style="57" customWidth="1"/>
    <col min="4621" max="4621" width="9" style="57" customWidth="1"/>
    <col min="4622" max="4622" width="9.625" style="57" customWidth="1"/>
    <col min="4623" max="4623" width="16.25" style="57" customWidth="1"/>
    <col min="4624" max="4864" width="9" style="57"/>
    <col min="4865" max="4865" width="12" style="57" customWidth="1"/>
    <col min="4866" max="4866" width="17.25" style="57" customWidth="1"/>
    <col min="4867" max="4867" width="8.75" style="57" customWidth="1"/>
    <col min="4868" max="4868" width="8.375" style="57" customWidth="1"/>
    <col min="4869" max="4869" width="10.375" style="57" customWidth="1"/>
    <col min="4870" max="4870" width="9.125" style="57" customWidth="1"/>
    <col min="4871" max="4871" width="9.25" style="57" customWidth="1"/>
    <col min="4872" max="4872" width="8.875" style="57" customWidth="1"/>
    <col min="4873" max="4873" width="10" style="57" customWidth="1"/>
    <col min="4874" max="4874" width="9.875" style="57" customWidth="1"/>
    <col min="4875" max="4875" width="9" style="57" customWidth="1"/>
    <col min="4876" max="4876" width="10.75" style="57" customWidth="1"/>
    <col min="4877" max="4877" width="9" style="57" customWidth="1"/>
    <col min="4878" max="4878" width="9.625" style="57" customWidth="1"/>
    <col min="4879" max="4879" width="16.25" style="57" customWidth="1"/>
    <col min="4880" max="5120" width="9" style="57"/>
    <col min="5121" max="5121" width="12" style="57" customWidth="1"/>
    <col min="5122" max="5122" width="17.25" style="57" customWidth="1"/>
    <col min="5123" max="5123" width="8.75" style="57" customWidth="1"/>
    <col min="5124" max="5124" width="8.375" style="57" customWidth="1"/>
    <col min="5125" max="5125" width="10.375" style="57" customWidth="1"/>
    <col min="5126" max="5126" width="9.125" style="57" customWidth="1"/>
    <col min="5127" max="5127" width="9.25" style="57" customWidth="1"/>
    <col min="5128" max="5128" width="8.875" style="57" customWidth="1"/>
    <col min="5129" max="5129" width="10" style="57" customWidth="1"/>
    <col min="5130" max="5130" width="9.875" style="57" customWidth="1"/>
    <col min="5131" max="5131" width="9" style="57" customWidth="1"/>
    <col min="5132" max="5132" width="10.75" style="57" customWidth="1"/>
    <col min="5133" max="5133" width="9" style="57" customWidth="1"/>
    <col min="5134" max="5134" width="9.625" style="57" customWidth="1"/>
    <col min="5135" max="5135" width="16.25" style="57" customWidth="1"/>
    <col min="5136" max="5376" width="9" style="57"/>
    <col min="5377" max="5377" width="12" style="57" customWidth="1"/>
    <col min="5378" max="5378" width="17.25" style="57" customWidth="1"/>
    <col min="5379" max="5379" width="8.75" style="57" customWidth="1"/>
    <col min="5380" max="5380" width="8.375" style="57" customWidth="1"/>
    <col min="5381" max="5381" width="10.375" style="57" customWidth="1"/>
    <col min="5382" max="5382" width="9.125" style="57" customWidth="1"/>
    <col min="5383" max="5383" width="9.25" style="57" customWidth="1"/>
    <col min="5384" max="5384" width="8.875" style="57" customWidth="1"/>
    <col min="5385" max="5385" width="10" style="57" customWidth="1"/>
    <col min="5386" max="5386" width="9.875" style="57" customWidth="1"/>
    <col min="5387" max="5387" width="9" style="57" customWidth="1"/>
    <col min="5388" max="5388" width="10.75" style="57" customWidth="1"/>
    <col min="5389" max="5389" width="9" style="57" customWidth="1"/>
    <col min="5390" max="5390" width="9.625" style="57" customWidth="1"/>
    <col min="5391" max="5391" width="16.25" style="57" customWidth="1"/>
    <col min="5392" max="5632" width="9" style="57"/>
    <col min="5633" max="5633" width="12" style="57" customWidth="1"/>
    <col min="5634" max="5634" width="17.25" style="57" customWidth="1"/>
    <col min="5635" max="5635" width="8.75" style="57" customWidth="1"/>
    <col min="5636" max="5636" width="8.375" style="57" customWidth="1"/>
    <col min="5637" max="5637" width="10.375" style="57" customWidth="1"/>
    <col min="5638" max="5638" width="9.125" style="57" customWidth="1"/>
    <col min="5639" max="5639" width="9.25" style="57" customWidth="1"/>
    <col min="5640" max="5640" width="8.875" style="57" customWidth="1"/>
    <col min="5641" max="5641" width="10" style="57" customWidth="1"/>
    <col min="5642" max="5642" width="9.875" style="57" customWidth="1"/>
    <col min="5643" max="5643" width="9" style="57" customWidth="1"/>
    <col min="5644" max="5644" width="10.75" style="57" customWidth="1"/>
    <col min="5645" max="5645" width="9" style="57" customWidth="1"/>
    <col min="5646" max="5646" width="9.625" style="57" customWidth="1"/>
    <col min="5647" max="5647" width="16.25" style="57" customWidth="1"/>
    <col min="5648" max="5888" width="9" style="57"/>
    <col min="5889" max="5889" width="12" style="57" customWidth="1"/>
    <col min="5890" max="5890" width="17.25" style="57" customWidth="1"/>
    <col min="5891" max="5891" width="8.75" style="57" customWidth="1"/>
    <col min="5892" max="5892" width="8.375" style="57" customWidth="1"/>
    <col min="5893" max="5893" width="10.375" style="57" customWidth="1"/>
    <col min="5894" max="5894" width="9.125" style="57" customWidth="1"/>
    <col min="5895" max="5895" width="9.25" style="57" customWidth="1"/>
    <col min="5896" max="5896" width="8.875" style="57" customWidth="1"/>
    <col min="5897" max="5897" width="10" style="57" customWidth="1"/>
    <col min="5898" max="5898" width="9.875" style="57" customWidth="1"/>
    <col min="5899" max="5899" width="9" style="57" customWidth="1"/>
    <col min="5900" max="5900" width="10.75" style="57" customWidth="1"/>
    <col min="5901" max="5901" width="9" style="57" customWidth="1"/>
    <col min="5902" max="5902" width="9.625" style="57" customWidth="1"/>
    <col min="5903" max="5903" width="16.25" style="57" customWidth="1"/>
    <col min="5904" max="6144" width="9" style="57"/>
    <col min="6145" max="6145" width="12" style="57" customWidth="1"/>
    <col min="6146" max="6146" width="17.25" style="57" customWidth="1"/>
    <col min="6147" max="6147" width="8.75" style="57" customWidth="1"/>
    <col min="6148" max="6148" width="8.375" style="57" customWidth="1"/>
    <col min="6149" max="6149" width="10.375" style="57" customWidth="1"/>
    <col min="6150" max="6150" width="9.125" style="57" customWidth="1"/>
    <col min="6151" max="6151" width="9.25" style="57" customWidth="1"/>
    <col min="6152" max="6152" width="8.875" style="57" customWidth="1"/>
    <col min="6153" max="6153" width="10" style="57" customWidth="1"/>
    <col min="6154" max="6154" width="9.875" style="57" customWidth="1"/>
    <col min="6155" max="6155" width="9" style="57" customWidth="1"/>
    <col min="6156" max="6156" width="10.75" style="57" customWidth="1"/>
    <col min="6157" max="6157" width="9" style="57" customWidth="1"/>
    <col min="6158" max="6158" width="9.625" style="57" customWidth="1"/>
    <col min="6159" max="6159" width="16.25" style="57" customWidth="1"/>
    <col min="6160" max="6400" width="9" style="57"/>
    <col min="6401" max="6401" width="12" style="57" customWidth="1"/>
    <col min="6402" max="6402" width="17.25" style="57" customWidth="1"/>
    <col min="6403" max="6403" width="8.75" style="57" customWidth="1"/>
    <col min="6404" max="6404" width="8.375" style="57" customWidth="1"/>
    <col min="6405" max="6405" width="10.375" style="57" customWidth="1"/>
    <col min="6406" max="6406" width="9.125" style="57" customWidth="1"/>
    <col min="6407" max="6407" width="9.25" style="57" customWidth="1"/>
    <col min="6408" max="6408" width="8.875" style="57" customWidth="1"/>
    <col min="6409" max="6409" width="10" style="57" customWidth="1"/>
    <col min="6410" max="6410" width="9.875" style="57" customWidth="1"/>
    <col min="6411" max="6411" width="9" style="57" customWidth="1"/>
    <col min="6412" max="6412" width="10.75" style="57" customWidth="1"/>
    <col min="6413" max="6413" width="9" style="57" customWidth="1"/>
    <col min="6414" max="6414" width="9.625" style="57" customWidth="1"/>
    <col min="6415" max="6415" width="16.25" style="57" customWidth="1"/>
    <col min="6416" max="6656" width="9" style="57"/>
    <col min="6657" max="6657" width="12" style="57" customWidth="1"/>
    <col min="6658" max="6658" width="17.25" style="57" customWidth="1"/>
    <col min="6659" max="6659" width="8.75" style="57" customWidth="1"/>
    <col min="6660" max="6660" width="8.375" style="57" customWidth="1"/>
    <col min="6661" max="6661" width="10.375" style="57" customWidth="1"/>
    <col min="6662" max="6662" width="9.125" style="57" customWidth="1"/>
    <col min="6663" max="6663" width="9.25" style="57" customWidth="1"/>
    <col min="6664" max="6664" width="8.875" style="57" customWidth="1"/>
    <col min="6665" max="6665" width="10" style="57" customWidth="1"/>
    <col min="6666" max="6666" width="9.875" style="57" customWidth="1"/>
    <col min="6667" max="6667" width="9" style="57" customWidth="1"/>
    <col min="6668" max="6668" width="10.75" style="57" customWidth="1"/>
    <col min="6669" max="6669" width="9" style="57" customWidth="1"/>
    <col min="6670" max="6670" width="9.625" style="57" customWidth="1"/>
    <col min="6671" max="6671" width="16.25" style="57" customWidth="1"/>
    <col min="6672" max="6912" width="9" style="57"/>
    <col min="6913" max="6913" width="12" style="57" customWidth="1"/>
    <col min="6914" max="6914" width="17.25" style="57" customWidth="1"/>
    <col min="6915" max="6915" width="8.75" style="57" customWidth="1"/>
    <col min="6916" max="6916" width="8.375" style="57" customWidth="1"/>
    <col min="6917" max="6917" width="10.375" style="57" customWidth="1"/>
    <col min="6918" max="6918" width="9.125" style="57" customWidth="1"/>
    <col min="6919" max="6919" width="9.25" style="57" customWidth="1"/>
    <col min="6920" max="6920" width="8.875" style="57" customWidth="1"/>
    <col min="6921" max="6921" width="10" style="57" customWidth="1"/>
    <col min="6922" max="6922" width="9.875" style="57" customWidth="1"/>
    <col min="6923" max="6923" width="9" style="57" customWidth="1"/>
    <col min="6924" max="6924" width="10.75" style="57" customWidth="1"/>
    <col min="6925" max="6925" width="9" style="57" customWidth="1"/>
    <col min="6926" max="6926" width="9.625" style="57" customWidth="1"/>
    <col min="6927" max="6927" width="16.25" style="57" customWidth="1"/>
    <col min="6928" max="7168" width="9" style="57"/>
    <col min="7169" max="7169" width="12" style="57" customWidth="1"/>
    <col min="7170" max="7170" width="17.25" style="57" customWidth="1"/>
    <col min="7171" max="7171" width="8.75" style="57" customWidth="1"/>
    <col min="7172" max="7172" width="8.375" style="57" customWidth="1"/>
    <col min="7173" max="7173" width="10.375" style="57" customWidth="1"/>
    <col min="7174" max="7174" width="9.125" style="57" customWidth="1"/>
    <col min="7175" max="7175" width="9.25" style="57" customWidth="1"/>
    <col min="7176" max="7176" width="8.875" style="57" customWidth="1"/>
    <col min="7177" max="7177" width="10" style="57" customWidth="1"/>
    <col min="7178" max="7178" width="9.875" style="57" customWidth="1"/>
    <col min="7179" max="7179" width="9" style="57" customWidth="1"/>
    <col min="7180" max="7180" width="10.75" style="57" customWidth="1"/>
    <col min="7181" max="7181" width="9" style="57" customWidth="1"/>
    <col min="7182" max="7182" width="9.625" style="57" customWidth="1"/>
    <col min="7183" max="7183" width="16.25" style="57" customWidth="1"/>
    <col min="7184" max="7424" width="9" style="57"/>
    <col min="7425" max="7425" width="12" style="57" customWidth="1"/>
    <col min="7426" max="7426" width="17.25" style="57" customWidth="1"/>
    <col min="7427" max="7427" width="8.75" style="57" customWidth="1"/>
    <col min="7428" max="7428" width="8.375" style="57" customWidth="1"/>
    <col min="7429" max="7429" width="10.375" style="57" customWidth="1"/>
    <col min="7430" max="7430" width="9.125" style="57" customWidth="1"/>
    <col min="7431" max="7431" width="9.25" style="57" customWidth="1"/>
    <col min="7432" max="7432" width="8.875" style="57" customWidth="1"/>
    <col min="7433" max="7433" width="10" style="57" customWidth="1"/>
    <col min="7434" max="7434" width="9.875" style="57" customWidth="1"/>
    <col min="7435" max="7435" width="9" style="57" customWidth="1"/>
    <col min="7436" max="7436" width="10.75" style="57" customWidth="1"/>
    <col min="7437" max="7437" width="9" style="57" customWidth="1"/>
    <col min="7438" max="7438" width="9.625" style="57" customWidth="1"/>
    <col min="7439" max="7439" width="16.25" style="57" customWidth="1"/>
    <col min="7440" max="7680" width="9" style="57"/>
    <col min="7681" max="7681" width="12" style="57" customWidth="1"/>
    <col min="7682" max="7682" width="17.25" style="57" customWidth="1"/>
    <col min="7683" max="7683" width="8.75" style="57" customWidth="1"/>
    <col min="7684" max="7684" width="8.375" style="57" customWidth="1"/>
    <col min="7685" max="7685" width="10.375" style="57" customWidth="1"/>
    <col min="7686" max="7686" width="9.125" style="57" customWidth="1"/>
    <col min="7687" max="7687" width="9.25" style="57" customWidth="1"/>
    <col min="7688" max="7688" width="8.875" style="57" customWidth="1"/>
    <col min="7689" max="7689" width="10" style="57" customWidth="1"/>
    <col min="7690" max="7690" width="9.875" style="57" customWidth="1"/>
    <col min="7691" max="7691" width="9" style="57" customWidth="1"/>
    <col min="7692" max="7692" width="10.75" style="57" customWidth="1"/>
    <col min="7693" max="7693" width="9" style="57" customWidth="1"/>
    <col min="7694" max="7694" width="9.625" style="57" customWidth="1"/>
    <col min="7695" max="7695" width="16.25" style="57" customWidth="1"/>
    <col min="7696" max="7936" width="9" style="57"/>
    <col min="7937" max="7937" width="12" style="57" customWidth="1"/>
    <col min="7938" max="7938" width="17.25" style="57" customWidth="1"/>
    <col min="7939" max="7939" width="8.75" style="57" customWidth="1"/>
    <col min="7940" max="7940" width="8.375" style="57" customWidth="1"/>
    <col min="7941" max="7941" width="10.375" style="57" customWidth="1"/>
    <col min="7942" max="7942" width="9.125" style="57" customWidth="1"/>
    <col min="7943" max="7943" width="9.25" style="57" customWidth="1"/>
    <col min="7944" max="7944" width="8.875" style="57" customWidth="1"/>
    <col min="7945" max="7945" width="10" style="57" customWidth="1"/>
    <col min="7946" max="7946" width="9.875" style="57" customWidth="1"/>
    <col min="7947" max="7947" width="9" style="57" customWidth="1"/>
    <col min="7948" max="7948" width="10.75" style="57" customWidth="1"/>
    <col min="7949" max="7949" width="9" style="57" customWidth="1"/>
    <col min="7950" max="7950" width="9.625" style="57" customWidth="1"/>
    <col min="7951" max="7951" width="16.25" style="57" customWidth="1"/>
    <col min="7952" max="8192" width="9" style="57"/>
    <col min="8193" max="8193" width="12" style="57" customWidth="1"/>
    <col min="8194" max="8194" width="17.25" style="57" customWidth="1"/>
    <col min="8195" max="8195" width="8.75" style="57" customWidth="1"/>
    <col min="8196" max="8196" width="8.375" style="57" customWidth="1"/>
    <col min="8197" max="8197" width="10.375" style="57" customWidth="1"/>
    <col min="8198" max="8198" width="9.125" style="57" customWidth="1"/>
    <col min="8199" max="8199" width="9.25" style="57" customWidth="1"/>
    <col min="8200" max="8200" width="8.875" style="57" customWidth="1"/>
    <col min="8201" max="8201" width="10" style="57" customWidth="1"/>
    <col min="8202" max="8202" width="9.875" style="57" customWidth="1"/>
    <col min="8203" max="8203" width="9" style="57" customWidth="1"/>
    <col min="8204" max="8204" width="10.75" style="57" customWidth="1"/>
    <col min="8205" max="8205" width="9" style="57" customWidth="1"/>
    <col min="8206" max="8206" width="9.625" style="57" customWidth="1"/>
    <col min="8207" max="8207" width="16.25" style="57" customWidth="1"/>
    <col min="8208" max="8448" width="9" style="57"/>
    <col min="8449" max="8449" width="12" style="57" customWidth="1"/>
    <col min="8450" max="8450" width="17.25" style="57" customWidth="1"/>
    <col min="8451" max="8451" width="8.75" style="57" customWidth="1"/>
    <col min="8452" max="8452" width="8.375" style="57" customWidth="1"/>
    <col min="8453" max="8453" width="10.375" style="57" customWidth="1"/>
    <col min="8454" max="8454" width="9.125" style="57" customWidth="1"/>
    <col min="8455" max="8455" width="9.25" style="57" customWidth="1"/>
    <col min="8456" max="8456" width="8.875" style="57" customWidth="1"/>
    <col min="8457" max="8457" width="10" style="57" customWidth="1"/>
    <col min="8458" max="8458" width="9.875" style="57" customWidth="1"/>
    <col min="8459" max="8459" width="9" style="57" customWidth="1"/>
    <col min="8460" max="8460" width="10.75" style="57" customWidth="1"/>
    <col min="8461" max="8461" width="9" style="57" customWidth="1"/>
    <col min="8462" max="8462" width="9.625" style="57" customWidth="1"/>
    <col min="8463" max="8463" width="16.25" style="57" customWidth="1"/>
    <col min="8464" max="8704" width="9" style="57"/>
    <col min="8705" max="8705" width="12" style="57" customWidth="1"/>
    <col min="8706" max="8706" width="17.25" style="57" customWidth="1"/>
    <col min="8707" max="8707" width="8.75" style="57" customWidth="1"/>
    <col min="8708" max="8708" width="8.375" style="57" customWidth="1"/>
    <col min="8709" max="8709" width="10.375" style="57" customWidth="1"/>
    <col min="8710" max="8710" width="9.125" style="57" customWidth="1"/>
    <col min="8711" max="8711" width="9.25" style="57" customWidth="1"/>
    <col min="8712" max="8712" width="8.875" style="57" customWidth="1"/>
    <col min="8713" max="8713" width="10" style="57" customWidth="1"/>
    <col min="8714" max="8714" width="9.875" style="57" customWidth="1"/>
    <col min="8715" max="8715" width="9" style="57" customWidth="1"/>
    <col min="8716" max="8716" width="10.75" style="57" customWidth="1"/>
    <col min="8717" max="8717" width="9" style="57" customWidth="1"/>
    <col min="8718" max="8718" width="9.625" style="57" customWidth="1"/>
    <col min="8719" max="8719" width="16.25" style="57" customWidth="1"/>
    <col min="8720" max="8960" width="9" style="57"/>
    <col min="8961" max="8961" width="12" style="57" customWidth="1"/>
    <col min="8962" max="8962" width="17.25" style="57" customWidth="1"/>
    <col min="8963" max="8963" width="8.75" style="57" customWidth="1"/>
    <col min="8964" max="8964" width="8.375" style="57" customWidth="1"/>
    <col min="8965" max="8965" width="10.375" style="57" customWidth="1"/>
    <col min="8966" max="8966" width="9.125" style="57" customWidth="1"/>
    <col min="8967" max="8967" width="9.25" style="57" customWidth="1"/>
    <col min="8968" max="8968" width="8.875" style="57" customWidth="1"/>
    <col min="8969" max="8969" width="10" style="57" customWidth="1"/>
    <col min="8970" max="8970" width="9.875" style="57" customWidth="1"/>
    <col min="8971" max="8971" width="9" style="57" customWidth="1"/>
    <col min="8972" max="8972" width="10.75" style="57" customWidth="1"/>
    <col min="8973" max="8973" width="9" style="57" customWidth="1"/>
    <col min="8974" max="8974" width="9.625" style="57" customWidth="1"/>
    <col min="8975" max="8975" width="16.25" style="57" customWidth="1"/>
    <col min="8976" max="9216" width="9" style="57"/>
    <col min="9217" max="9217" width="12" style="57" customWidth="1"/>
    <col min="9218" max="9218" width="17.25" style="57" customWidth="1"/>
    <col min="9219" max="9219" width="8.75" style="57" customWidth="1"/>
    <col min="9220" max="9220" width="8.375" style="57" customWidth="1"/>
    <col min="9221" max="9221" width="10.375" style="57" customWidth="1"/>
    <col min="9222" max="9222" width="9.125" style="57" customWidth="1"/>
    <col min="9223" max="9223" width="9.25" style="57" customWidth="1"/>
    <col min="9224" max="9224" width="8.875" style="57" customWidth="1"/>
    <col min="9225" max="9225" width="10" style="57" customWidth="1"/>
    <col min="9226" max="9226" width="9.875" style="57" customWidth="1"/>
    <col min="9227" max="9227" width="9" style="57" customWidth="1"/>
    <col min="9228" max="9228" width="10.75" style="57" customWidth="1"/>
    <col min="9229" max="9229" width="9" style="57" customWidth="1"/>
    <col min="9230" max="9230" width="9.625" style="57" customWidth="1"/>
    <col min="9231" max="9231" width="16.25" style="57" customWidth="1"/>
    <col min="9232" max="9472" width="9" style="57"/>
    <col min="9473" max="9473" width="12" style="57" customWidth="1"/>
    <col min="9474" max="9474" width="17.25" style="57" customWidth="1"/>
    <col min="9475" max="9475" width="8.75" style="57" customWidth="1"/>
    <col min="9476" max="9476" width="8.375" style="57" customWidth="1"/>
    <col min="9477" max="9477" width="10.375" style="57" customWidth="1"/>
    <col min="9478" max="9478" width="9.125" style="57" customWidth="1"/>
    <col min="9479" max="9479" width="9.25" style="57" customWidth="1"/>
    <col min="9480" max="9480" width="8.875" style="57" customWidth="1"/>
    <col min="9481" max="9481" width="10" style="57" customWidth="1"/>
    <col min="9482" max="9482" width="9.875" style="57" customWidth="1"/>
    <col min="9483" max="9483" width="9" style="57" customWidth="1"/>
    <col min="9484" max="9484" width="10.75" style="57" customWidth="1"/>
    <col min="9485" max="9485" width="9" style="57" customWidth="1"/>
    <col min="9486" max="9486" width="9.625" style="57" customWidth="1"/>
    <col min="9487" max="9487" width="16.25" style="57" customWidth="1"/>
    <col min="9488" max="9728" width="9" style="57"/>
    <col min="9729" max="9729" width="12" style="57" customWidth="1"/>
    <col min="9730" max="9730" width="17.25" style="57" customWidth="1"/>
    <col min="9731" max="9731" width="8.75" style="57" customWidth="1"/>
    <col min="9732" max="9732" width="8.375" style="57" customWidth="1"/>
    <col min="9733" max="9733" width="10.375" style="57" customWidth="1"/>
    <col min="9734" max="9734" width="9.125" style="57" customWidth="1"/>
    <col min="9735" max="9735" width="9.25" style="57" customWidth="1"/>
    <col min="9736" max="9736" width="8.875" style="57" customWidth="1"/>
    <col min="9737" max="9737" width="10" style="57" customWidth="1"/>
    <col min="9738" max="9738" width="9.875" style="57" customWidth="1"/>
    <col min="9739" max="9739" width="9" style="57" customWidth="1"/>
    <col min="9740" max="9740" width="10.75" style="57" customWidth="1"/>
    <col min="9741" max="9741" width="9" style="57" customWidth="1"/>
    <col min="9742" max="9742" width="9.625" style="57" customWidth="1"/>
    <col min="9743" max="9743" width="16.25" style="57" customWidth="1"/>
    <col min="9744" max="9984" width="9" style="57"/>
    <col min="9985" max="9985" width="12" style="57" customWidth="1"/>
    <col min="9986" max="9986" width="17.25" style="57" customWidth="1"/>
    <col min="9987" max="9987" width="8.75" style="57" customWidth="1"/>
    <col min="9988" max="9988" width="8.375" style="57" customWidth="1"/>
    <col min="9989" max="9989" width="10.375" style="57" customWidth="1"/>
    <col min="9990" max="9990" width="9.125" style="57" customWidth="1"/>
    <col min="9991" max="9991" width="9.25" style="57" customWidth="1"/>
    <col min="9992" max="9992" width="8.875" style="57" customWidth="1"/>
    <col min="9993" max="9993" width="10" style="57" customWidth="1"/>
    <col min="9994" max="9994" width="9.875" style="57" customWidth="1"/>
    <col min="9995" max="9995" width="9" style="57" customWidth="1"/>
    <col min="9996" max="9996" width="10.75" style="57" customWidth="1"/>
    <col min="9997" max="9997" width="9" style="57" customWidth="1"/>
    <col min="9998" max="9998" width="9.625" style="57" customWidth="1"/>
    <col min="9999" max="9999" width="16.25" style="57" customWidth="1"/>
    <col min="10000" max="10240" width="9" style="57"/>
    <col min="10241" max="10241" width="12" style="57" customWidth="1"/>
    <col min="10242" max="10242" width="17.25" style="57" customWidth="1"/>
    <col min="10243" max="10243" width="8.75" style="57" customWidth="1"/>
    <col min="10244" max="10244" width="8.375" style="57" customWidth="1"/>
    <col min="10245" max="10245" width="10.375" style="57" customWidth="1"/>
    <col min="10246" max="10246" width="9.125" style="57" customWidth="1"/>
    <col min="10247" max="10247" width="9.25" style="57" customWidth="1"/>
    <col min="10248" max="10248" width="8.875" style="57" customWidth="1"/>
    <col min="10249" max="10249" width="10" style="57" customWidth="1"/>
    <col min="10250" max="10250" width="9.875" style="57" customWidth="1"/>
    <col min="10251" max="10251" width="9" style="57" customWidth="1"/>
    <col min="10252" max="10252" width="10.75" style="57" customWidth="1"/>
    <col min="10253" max="10253" width="9" style="57" customWidth="1"/>
    <col min="10254" max="10254" width="9.625" style="57" customWidth="1"/>
    <col min="10255" max="10255" width="16.25" style="57" customWidth="1"/>
    <col min="10256" max="10496" width="9" style="57"/>
    <col min="10497" max="10497" width="12" style="57" customWidth="1"/>
    <col min="10498" max="10498" width="17.25" style="57" customWidth="1"/>
    <col min="10499" max="10499" width="8.75" style="57" customWidth="1"/>
    <col min="10500" max="10500" width="8.375" style="57" customWidth="1"/>
    <col min="10501" max="10501" width="10.375" style="57" customWidth="1"/>
    <col min="10502" max="10502" width="9.125" style="57" customWidth="1"/>
    <col min="10503" max="10503" width="9.25" style="57" customWidth="1"/>
    <col min="10504" max="10504" width="8.875" style="57" customWidth="1"/>
    <col min="10505" max="10505" width="10" style="57" customWidth="1"/>
    <col min="10506" max="10506" width="9.875" style="57" customWidth="1"/>
    <col min="10507" max="10507" width="9" style="57" customWidth="1"/>
    <col min="10508" max="10508" width="10.75" style="57" customWidth="1"/>
    <col min="10509" max="10509" width="9" style="57" customWidth="1"/>
    <col min="10510" max="10510" width="9.625" style="57" customWidth="1"/>
    <col min="10511" max="10511" width="16.25" style="57" customWidth="1"/>
    <col min="10512" max="10752" width="9" style="57"/>
    <col min="10753" max="10753" width="12" style="57" customWidth="1"/>
    <col min="10754" max="10754" width="17.25" style="57" customWidth="1"/>
    <col min="10755" max="10755" width="8.75" style="57" customWidth="1"/>
    <col min="10756" max="10756" width="8.375" style="57" customWidth="1"/>
    <col min="10757" max="10757" width="10.375" style="57" customWidth="1"/>
    <col min="10758" max="10758" width="9.125" style="57" customWidth="1"/>
    <col min="10759" max="10759" width="9.25" style="57" customWidth="1"/>
    <col min="10760" max="10760" width="8.875" style="57" customWidth="1"/>
    <col min="10761" max="10761" width="10" style="57" customWidth="1"/>
    <col min="10762" max="10762" width="9.875" style="57" customWidth="1"/>
    <col min="10763" max="10763" width="9" style="57" customWidth="1"/>
    <col min="10764" max="10764" width="10.75" style="57" customWidth="1"/>
    <col min="10765" max="10765" width="9" style="57" customWidth="1"/>
    <col min="10766" max="10766" width="9.625" style="57" customWidth="1"/>
    <col min="10767" max="10767" width="16.25" style="57" customWidth="1"/>
    <col min="10768" max="11008" width="9" style="57"/>
    <col min="11009" max="11009" width="12" style="57" customWidth="1"/>
    <col min="11010" max="11010" width="17.25" style="57" customWidth="1"/>
    <col min="11011" max="11011" width="8.75" style="57" customWidth="1"/>
    <col min="11012" max="11012" width="8.375" style="57" customWidth="1"/>
    <col min="11013" max="11013" width="10.375" style="57" customWidth="1"/>
    <col min="11014" max="11014" width="9.125" style="57" customWidth="1"/>
    <col min="11015" max="11015" width="9.25" style="57" customWidth="1"/>
    <col min="11016" max="11016" width="8.875" style="57" customWidth="1"/>
    <col min="11017" max="11017" width="10" style="57" customWidth="1"/>
    <col min="11018" max="11018" width="9.875" style="57" customWidth="1"/>
    <col min="11019" max="11019" width="9" style="57" customWidth="1"/>
    <col min="11020" max="11020" width="10.75" style="57" customWidth="1"/>
    <col min="11021" max="11021" width="9" style="57" customWidth="1"/>
    <col min="11022" max="11022" width="9.625" style="57" customWidth="1"/>
    <col min="11023" max="11023" width="16.25" style="57" customWidth="1"/>
    <col min="11024" max="11264" width="9" style="57"/>
    <col min="11265" max="11265" width="12" style="57" customWidth="1"/>
    <col min="11266" max="11266" width="17.25" style="57" customWidth="1"/>
    <col min="11267" max="11267" width="8.75" style="57" customWidth="1"/>
    <col min="11268" max="11268" width="8.375" style="57" customWidth="1"/>
    <col min="11269" max="11269" width="10.375" style="57" customWidth="1"/>
    <col min="11270" max="11270" width="9.125" style="57" customWidth="1"/>
    <col min="11271" max="11271" width="9.25" style="57" customWidth="1"/>
    <col min="11272" max="11272" width="8.875" style="57" customWidth="1"/>
    <col min="11273" max="11273" width="10" style="57" customWidth="1"/>
    <col min="11274" max="11274" width="9.875" style="57" customWidth="1"/>
    <col min="11275" max="11275" width="9" style="57" customWidth="1"/>
    <col min="11276" max="11276" width="10.75" style="57" customWidth="1"/>
    <col min="11277" max="11277" width="9" style="57" customWidth="1"/>
    <col min="11278" max="11278" width="9.625" style="57" customWidth="1"/>
    <col min="11279" max="11279" width="16.25" style="57" customWidth="1"/>
    <col min="11280" max="11520" width="9" style="57"/>
    <col min="11521" max="11521" width="12" style="57" customWidth="1"/>
    <col min="11522" max="11522" width="17.25" style="57" customWidth="1"/>
    <col min="11523" max="11523" width="8.75" style="57" customWidth="1"/>
    <col min="11524" max="11524" width="8.375" style="57" customWidth="1"/>
    <col min="11525" max="11525" width="10.375" style="57" customWidth="1"/>
    <col min="11526" max="11526" width="9.125" style="57" customWidth="1"/>
    <col min="11527" max="11527" width="9.25" style="57" customWidth="1"/>
    <col min="11528" max="11528" width="8.875" style="57" customWidth="1"/>
    <col min="11529" max="11529" width="10" style="57" customWidth="1"/>
    <col min="11530" max="11530" width="9.875" style="57" customWidth="1"/>
    <col min="11531" max="11531" width="9" style="57" customWidth="1"/>
    <col min="11532" max="11532" width="10.75" style="57" customWidth="1"/>
    <col min="11533" max="11533" width="9" style="57" customWidth="1"/>
    <col min="11534" max="11534" width="9.625" style="57" customWidth="1"/>
    <col min="11535" max="11535" width="16.25" style="57" customWidth="1"/>
    <col min="11536" max="11776" width="9" style="57"/>
    <col min="11777" max="11777" width="12" style="57" customWidth="1"/>
    <col min="11778" max="11778" width="17.25" style="57" customWidth="1"/>
    <col min="11779" max="11779" width="8.75" style="57" customWidth="1"/>
    <col min="11780" max="11780" width="8.375" style="57" customWidth="1"/>
    <col min="11781" max="11781" width="10.375" style="57" customWidth="1"/>
    <col min="11782" max="11782" width="9.125" style="57" customWidth="1"/>
    <col min="11783" max="11783" width="9.25" style="57" customWidth="1"/>
    <col min="11784" max="11784" width="8.875" style="57" customWidth="1"/>
    <col min="11785" max="11785" width="10" style="57" customWidth="1"/>
    <col min="11786" max="11786" width="9.875" style="57" customWidth="1"/>
    <col min="11787" max="11787" width="9" style="57" customWidth="1"/>
    <col min="11788" max="11788" width="10.75" style="57" customWidth="1"/>
    <col min="11789" max="11789" width="9" style="57" customWidth="1"/>
    <col min="11790" max="11790" width="9.625" style="57" customWidth="1"/>
    <col min="11791" max="11791" width="16.25" style="57" customWidth="1"/>
    <col min="11792" max="12032" width="9" style="57"/>
    <col min="12033" max="12033" width="12" style="57" customWidth="1"/>
    <col min="12034" max="12034" width="17.25" style="57" customWidth="1"/>
    <col min="12035" max="12035" width="8.75" style="57" customWidth="1"/>
    <col min="12036" max="12036" width="8.375" style="57" customWidth="1"/>
    <col min="12037" max="12037" width="10.375" style="57" customWidth="1"/>
    <col min="12038" max="12038" width="9.125" style="57" customWidth="1"/>
    <col min="12039" max="12039" width="9.25" style="57" customWidth="1"/>
    <col min="12040" max="12040" width="8.875" style="57" customWidth="1"/>
    <col min="12041" max="12041" width="10" style="57" customWidth="1"/>
    <col min="12042" max="12042" width="9.875" style="57" customWidth="1"/>
    <col min="12043" max="12043" width="9" style="57" customWidth="1"/>
    <col min="12044" max="12044" width="10.75" style="57" customWidth="1"/>
    <col min="12045" max="12045" width="9" style="57" customWidth="1"/>
    <col min="12046" max="12046" width="9.625" style="57" customWidth="1"/>
    <col min="12047" max="12047" width="16.25" style="57" customWidth="1"/>
    <col min="12048" max="12288" width="9" style="57"/>
    <col min="12289" max="12289" width="12" style="57" customWidth="1"/>
    <col min="12290" max="12290" width="17.25" style="57" customWidth="1"/>
    <col min="12291" max="12291" width="8.75" style="57" customWidth="1"/>
    <col min="12292" max="12292" width="8.375" style="57" customWidth="1"/>
    <col min="12293" max="12293" width="10.375" style="57" customWidth="1"/>
    <col min="12294" max="12294" width="9.125" style="57" customWidth="1"/>
    <col min="12295" max="12295" width="9.25" style="57" customWidth="1"/>
    <col min="12296" max="12296" width="8.875" style="57" customWidth="1"/>
    <col min="12297" max="12297" width="10" style="57" customWidth="1"/>
    <col min="12298" max="12298" width="9.875" style="57" customWidth="1"/>
    <col min="12299" max="12299" width="9" style="57" customWidth="1"/>
    <col min="12300" max="12300" width="10.75" style="57" customWidth="1"/>
    <col min="12301" max="12301" width="9" style="57" customWidth="1"/>
    <col min="12302" max="12302" width="9.625" style="57" customWidth="1"/>
    <col min="12303" max="12303" width="16.25" style="57" customWidth="1"/>
    <col min="12304" max="12544" width="9" style="57"/>
    <col min="12545" max="12545" width="12" style="57" customWidth="1"/>
    <col min="12546" max="12546" width="17.25" style="57" customWidth="1"/>
    <col min="12547" max="12547" width="8.75" style="57" customWidth="1"/>
    <col min="12548" max="12548" width="8.375" style="57" customWidth="1"/>
    <col min="12549" max="12549" width="10.375" style="57" customWidth="1"/>
    <col min="12550" max="12550" width="9.125" style="57" customWidth="1"/>
    <col min="12551" max="12551" width="9.25" style="57" customWidth="1"/>
    <col min="12552" max="12552" width="8.875" style="57" customWidth="1"/>
    <col min="12553" max="12553" width="10" style="57" customWidth="1"/>
    <col min="12554" max="12554" width="9.875" style="57" customWidth="1"/>
    <col min="12555" max="12555" width="9" style="57" customWidth="1"/>
    <col min="12556" max="12556" width="10.75" style="57" customWidth="1"/>
    <col min="12557" max="12557" width="9" style="57" customWidth="1"/>
    <col min="12558" max="12558" width="9.625" style="57" customWidth="1"/>
    <col min="12559" max="12559" width="16.25" style="57" customWidth="1"/>
    <col min="12560" max="12800" width="9" style="57"/>
    <col min="12801" max="12801" width="12" style="57" customWidth="1"/>
    <col min="12802" max="12802" width="17.25" style="57" customWidth="1"/>
    <col min="12803" max="12803" width="8.75" style="57" customWidth="1"/>
    <col min="12804" max="12804" width="8.375" style="57" customWidth="1"/>
    <col min="12805" max="12805" width="10.375" style="57" customWidth="1"/>
    <col min="12806" max="12806" width="9.125" style="57" customWidth="1"/>
    <col min="12807" max="12807" width="9.25" style="57" customWidth="1"/>
    <col min="12808" max="12808" width="8.875" style="57" customWidth="1"/>
    <col min="12809" max="12809" width="10" style="57" customWidth="1"/>
    <col min="12810" max="12810" width="9.875" style="57" customWidth="1"/>
    <col min="12811" max="12811" width="9" style="57" customWidth="1"/>
    <col min="12812" max="12812" width="10.75" style="57" customWidth="1"/>
    <col min="12813" max="12813" width="9" style="57" customWidth="1"/>
    <col min="12814" max="12814" width="9.625" style="57" customWidth="1"/>
    <col min="12815" max="12815" width="16.25" style="57" customWidth="1"/>
    <col min="12816" max="13056" width="9" style="57"/>
    <col min="13057" max="13057" width="12" style="57" customWidth="1"/>
    <col min="13058" max="13058" width="17.25" style="57" customWidth="1"/>
    <col min="13059" max="13059" width="8.75" style="57" customWidth="1"/>
    <col min="13060" max="13060" width="8.375" style="57" customWidth="1"/>
    <col min="13061" max="13061" width="10.375" style="57" customWidth="1"/>
    <col min="13062" max="13062" width="9.125" style="57" customWidth="1"/>
    <col min="13063" max="13063" width="9.25" style="57" customWidth="1"/>
    <col min="13064" max="13064" width="8.875" style="57" customWidth="1"/>
    <col min="13065" max="13065" width="10" style="57" customWidth="1"/>
    <col min="13066" max="13066" width="9.875" style="57" customWidth="1"/>
    <col min="13067" max="13067" width="9" style="57" customWidth="1"/>
    <col min="13068" max="13068" width="10.75" style="57" customWidth="1"/>
    <col min="13069" max="13069" width="9" style="57" customWidth="1"/>
    <col min="13070" max="13070" width="9.625" style="57" customWidth="1"/>
    <col min="13071" max="13071" width="16.25" style="57" customWidth="1"/>
    <col min="13072" max="13312" width="9" style="57"/>
    <col min="13313" max="13313" width="12" style="57" customWidth="1"/>
    <col min="13314" max="13314" width="17.25" style="57" customWidth="1"/>
    <col min="13315" max="13315" width="8.75" style="57" customWidth="1"/>
    <col min="13316" max="13316" width="8.375" style="57" customWidth="1"/>
    <col min="13317" max="13317" width="10.375" style="57" customWidth="1"/>
    <col min="13318" max="13318" width="9.125" style="57" customWidth="1"/>
    <col min="13319" max="13319" width="9.25" style="57" customWidth="1"/>
    <col min="13320" max="13320" width="8.875" style="57" customWidth="1"/>
    <col min="13321" max="13321" width="10" style="57" customWidth="1"/>
    <col min="13322" max="13322" width="9.875" style="57" customWidth="1"/>
    <col min="13323" max="13323" width="9" style="57" customWidth="1"/>
    <col min="13324" max="13324" width="10.75" style="57" customWidth="1"/>
    <col min="13325" max="13325" width="9" style="57" customWidth="1"/>
    <col min="13326" max="13326" width="9.625" style="57" customWidth="1"/>
    <col min="13327" max="13327" width="16.25" style="57" customWidth="1"/>
    <col min="13328" max="13568" width="9" style="57"/>
    <col min="13569" max="13569" width="12" style="57" customWidth="1"/>
    <col min="13570" max="13570" width="17.25" style="57" customWidth="1"/>
    <col min="13571" max="13571" width="8.75" style="57" customWidth="1"/>
    <col min="13572" max="13572" width="8.375" style="57" customWidth="1"/>
    <col min="13573" max="13573" width="10.375" style="57" customWidth="1"/>
    <col min="13574" max="13574" width="9.125" style="57" customWidth="1"/>
    <col min="13575" max="13575" width="9.25" style="57" customWidth="1"/>
    <col min="13576" max="13576" width="8.875" style="57" customWidth="1"/>
    <col min="13577" max="13577" width="10" style="57" customWidth="1"/>
    <col min="13578" max="13578" width="9.875" style="57" customWidth="1"/>
    <col min="13579" max="13579" width="9" style="57" customWidth="1"/>
    <col min="13580" max="13580" width="10.75" style="57" customWidth="1"/>
    <col min="13581" max="13581" width="9" style="57" customWidth="1"/>
    <col min="13582" max="13582" width="9.625" style="57" customWidth="1"/>
    <col min="13583" max="13583" width="16.25" style="57" customWidth="1"/>
    <col min="13584" max="13824" width="9" style="57"/>
    <col min="13825" max="13825" width="12" style="57" customWidth="1"/>
    <col min="13826" max="13826" width="17.25" style="57" customWidth="1"/>
    <col min="13827" max="13827" width="8.75" style="57" customWidth="1"/>
    <col min="13828" max="13828" width="8.375" style="57" customWidth="1"/>
    <col min="13829" max="13829" width="10.375" style="57" customWidth="1"/>
    <col min="13830" max="13830" width="9.125" style="57" customWidth="1"/>
    <col min="13831" max="13831" width="9.25" style="57" customWidth="1"/>
    <col min="13832" max="13832" width="8.875" style="57" customWidth="1"/>
    <col min="13833" max="13833" width="10" style="57" customWidth="1"/>
    <col min="13834" max="13834" width="9.875" style="57" customWidth="1"/>
    <col min="13835" max="13835" width="9" style="57" customWidth="1"/>
    <col min="13836" max="13836" width="10.75" style="57" customWidth="1"/>
    <col min="13837" max="13837" width="9" style="57" customWidth="1"/>
    <col min="13838" max="13838" width="9.625" style="57" customWidth="1"/>
    <col min="13839" max="13839" width="16.25" style="57" customWidth="1"/>
    <col min="13840" max="14080" width="9" style="57"/>
    <col min="14081" max="14081" width="12" style="57" customWidth="1"/>
    <col min="14082" max="14082" width="17.25" style="57" customWidth="1"/>
    <col min="14083" max="14083" width="8.75" style="57" customWidth="1"/>
    <col min="14084" max="14084" width="8.375" style="57" customWidth="1"/>
    <col min="14085" max="14085" width="10.375" style="57" customWidth="1"/>
    <col min="14086" max="14086" width="9.125" style="57" customWidth="1"/>
    <col min="14087" max="14087" width="9.25" style="57" customWidth="1"/>
    <col min="14088" max="14088" width="8.875" style="57" customWidth="1"/>
    <col min="14089" max="14089" width="10" style="57" customWidth="1"/>
    <col min="14090" max="14090" width="9.875" style="57" customWidth="1"/>
    <col min="14091" max="14091" width="9" style="57" customWidth="1"/>
    <col min="14092" max="14092" width="10.75" style="57" customWidth="1"/>
    <col min="14093" max="14093" width="9" style="57" customWidth="1"/>
    <col min="14094" max="14094" width="9.625" style="57" customWidth="1"/>
    <col min="14095" max="14095" width="16.25" style="57" customWidth="1"/>
    <col min="14096" max="14336" width="9" style="57"/>
    <col min="14337" max="14337" width="12" style="57" customWidth="1"/>
    <col min="14338" max="14338" width="17.25" style="57" customWidth="1"/>
    <col min="14339" max="14339" width="8.75" style="57" customWidth="1"/>
    <col min="14340" max="14340" width="8.375" style="57" customWidth="1"/>
    <col min="14341" max="14341" width="10.375" style="57" customWidth="1"/>
    <col min="14342" max="14342" width="9.125" style="57" customWidth="1"/>
    <col min="14343" max="14343" width="9.25" style="57" customWidth="1"/>
    <col min="14344" max="14344" width="8.875" style="57" customWidth="1"/>
    <col min="14345" max="14345" width="10" style="57" customWidth="1"/>
    <col min="14346" max="14346" width="9.875" style="57" customWidth="1"/>
    <col min="14347" max="14347" width="9" style="57" customWidth="1"/>
    <col min="14348" max="14348" width="10.75" style="57" customWidth="1"/>
    <col min="14349" max="14349" width="9" style="57" customWidth="1"/>
    <col min="14350" max="14350" width="9.625" style="57" customWidth="1"/>
    <col min="14351" max="14351" width="16.25" style="57" customWidth="1"/>
    <col min="14352" max="14592" width="9" style="57"/>
    <col min="14593" max="14593" width="12" style="57" customWidth="1"/>
    <col min="14594" max="14594" width="17.25" style="57" customWidth="1"/>
    <col min="14595" max="14595" width="8.75" style="57" customWidth="1"/>
    <col min="14596" max="14596" width="8.375" style="57" customWidth="1"/>
    <col min="14597" max="14597" width="10.375" style="57" customWidth="1"/>
    <col min="14598" max="14598" width="9.125" style="57" customWidth="1"/>
    <col min="14599" max="14599" width="9.25" style="57" customWidth="1"/>
    <col min="14600" max="14600" width="8.875" style="57" customWidth="1"/>
    <col min="14601" max="14601" width="10" style="57" customWidth="1"/>
    <col min="14602" max="14602" width="9.875" style="57" customWidth="1"/>
    <col min="14603" max="14603" width="9" style="57" customWidth="1"/>
    <col min="14604" max="14604" width="10.75" style="57" customWidth="1"/>
    <col min="14605" max="14605" width="9" style="57" customWidth="1"/>
    <col min="14606" max="14606" width="9.625" style="57" customWidth="1"/>
    <col min="14607" max="14607" width="16.25" style="57" customWidth="1"/>
    <col min="14608" max="14848" width="9" style="57"/>
    <col min="14849" max="14849" width="12" style="57" customWidth="1"/>
    <col min="14850" max="14850" width="17.25" style="57" customWidth="1"/>
    <col min="14851" max="14851" width="8.75" style="57" customWidth="1"/>
    <col min="14852" max="14852" width="8.375" style="57" customWidth="1"/>
    <col min="14853" max="14853" width="10.375" style="57" customWidth="1"/>
    <col min="14854" max="14854" width="9.125" style="57" customWidth="1"/>
    <col min="14855" max="14855" width="9.25" style="57" customWidth="1"/>
    <col min="14856" max="14856" width="8.875" style="57" customWidth="1"/>
    <col min="14857" max="14857" width="10" style="57" customWidth="1"/>
    <col min="14858" max="14858" width="9.875" style="57" customWidth="1"/>
    <col min="14859" max="14859" width="9" style="57" customWidth="1"/>
    <col min="14860" max="14860" width="10.75" style="57" customWidth="1"/>
    <col min="14861" max="14861" width="9" style="57" customWidth="1"/>
    <col min="14862" max="14862" width="9.625" style="57" customWidth="1"/>
    <col min="14863" max="14863" width="16.25" style="57" customWidth="1"/>
    <col min="14864" max="15104" width="9" style="57"/>
    <col min="15105" max="15105" width="12" style="57" customWidth="1"/>
    <col min="15106" max="15106" width="17.25" style="57" customWidth="1"/>
    <col min="15107" max="15107" width="8.75" style="57" customWidth="1"/>
    <col min="15108" max="15108" width="8.375" style="57" customWidth="1"/>
    <col min="15109" max="15109" width="10.375" style="57" customWidth="1"/>
    <col min="15110" max="15110" width="9.125" style="57" customWidth="1"/>
    <col min="15111" max="15111" width="9.25" style="57" customWidth="1"/>
    <col min="15112" max="15112" width="8.875" style="57" customWidth="1"/>
    <col min="15113" max="15113" width="10" style="57" customWidth="1"/>
    <col min="15114" max="15114" width="9.875" style="57" customWidth="1"/>
    <col min="15115" max="15115" width="9" style="57" customWidth="1"/>
    <col min="15116" max="15116" width="10.75" style="57" customWidth="1"/>
    <col min="15117" max="15117" width="9" style="57" customWidth="1"/>
    <col min="15118" max="15118" width="9.625" style="57" customWidth="1"/>
    <col min="15119" max="15119" width="16.25" style="57" customWidth="1"/>
    <col min="15120" max="15360" width="9" style="57"/>
    <col min="15361" max="15361" width="12" style="57" customWidth="1"/>
    <col min="15362" max="15362" width="17.25" style="57" customWidth="1"/>
    <col min="15363" max="15363" width="8.75" style="57" customWidth="1"/>
    <col min="15364" max="15364" width="8.375" style="57" customWidth="1"/>
    <col min="15365" max="15365" width="10.375" style="57" customWidth="1"/>
    <col min="15366" max="15366" width="9.125" style="57" customWidth="1"/>
    <col min="15367" max="15367" width="9.25" style="57" customWidth="1"/>
    <col min="15368" max="15368" width="8.875" style="57" customWidth="1"/>
    <col min="15369" max="15369" width="10" style="57" customWidth="1"/>
    <col min="15370" max="15370" width="9.875" style="57" customWidth="1"/>
    <col min="15371" max="15371" width="9" style="57" customWidth="1"/>
    <col min="15372" max="15372" width="10.75" style="57" customWidth="1"/>
    <col min="15373" max="15373" width="9" style="57" customWidth="1"/>
    <col min="15374" max="15374" width="9.625" style="57" customWidth="1"/>
    <col min="15375" max="15375" width="16.25" style="57" customWidth="1"/>
    <col min="15376" max="15616" width="9" style="57"/>
    <col min="15617" max="15617" width="12" style="57" customWidth="1"/>
    <col min="15618" max="15618" width="17.25" style="57" customWidth="1"/>
    <col min="15619" max="15619" width="8.75" style="57" customWidth="1"/>
    <col min="15620" max="15620" width="8.375" style="57" customWidth="1"/>
    <col min="15621" max="15621" width="10.375" style="57" customWidth="1"/>
    <col min="15622" max="15622" width="9.125" style="57" customWidth="1"/>
    <col min="15623" max="15623" width="9.25" style="57" customWidth="1"/>
    <col min="15624" max="15624" width="8.875" style="57" customWidth="1"/>
    <col min="15625" max="15625" width="10" style="57" customWidth="1"/>
    <col min="15626" max="15626" width="9.875" style="57" customWidth="1"/>
    <col min="15627" max="15627" width="9" style="57" customWidth="1"/>
    <col min="15628" max="15628" width="10.75" style="57" customWidth="1"/>
    <col min="15629" max="15629" width="9" style="57" customWidth="1"/>
    <col min="15630" max="15630" width="9.625" style="57" customWidth="1"/>
    <col min="15631" max="15631" width="16.25" style="57" customWidth="1"/>
    <col min="15632" max="15872" width="9" style="57"/>
    <col min="15873" max="15873" width="12" style="57" customWidth="1"/>
    <col min="15874" max="15874" width="17.25" style="57" customWidth="1"/>
    <col min="15875" max="15875" width="8.75" style="57" customWidth="1"/>
    <col min="15876" max="15876" width="8.375" style="57" customWidth="1"/>
    <col min="15877" max="15877" width="10.375" style="57" customWidth="1"/>
    <col min="15878" max="15878" width="9.125" style="57" customWidth="1"/>
    <col min="15879" max="15879" width="9.25" style="57" customWidth="1"/>
    <col min="15880" max="15880" width="8.875" style="57" customWidth="1"/>
    <col min="15881" max="15881" width="10" style="57" customWidth="1"/>
    <col min="15882" max="15882" width="9.875" style="57" customWidth="1"/>
    <col min="15883" max="15883" width="9" style="57" customWidth="1"/>
    <col min="15884" max="15884" width="10.75" style="57" customWidth="1"/>
    <col min="15885" max="15885" width="9" style="57" customWidth="1"/>
    <col min="15886" max="15886" width="9.625" style="57" customWidth="1"/>
    <col min="15887" max="15887" width="16.25" style="57" customWidth="1"/>
    <col min="15888" max="16128" width="9" style="57"/>
    <col min="16129" max="16129" width="12" style="57" customWidth="1"/>
    <col min="16130" max="16130" width="17.25" style="57" customWidth="1"/>
    <col min="16131" max="16131" width="8.75" style="57" customWidth="1"/>
    <col min="16132" max="16132" width="8.375" style="57" customWidth="1"/>
    <col min="16133" max="16133" width="10.375" style="57" customWidth="1"/>
    <col min="16134" max="16134" width="9.125" style="57" customWidth="1"/>
    <col min="16135" max="16135" width="9.25" style="57" customWidth="1"/>
    <col min="16136" max="16136" width="8.875" style="57" customWidth="1"/>
    <col min="16137" max="16137" width="10" style="57" customWidth="1"/>
    <col min="16138" max="16138" width="9.875" style="57" customWidth="1"/>
    <col min="16139" max="16139" width="9" style="57" customWidth="1"/>
    <col min="16140" max="16140" width="10.75" style="57" customWidth="1"/>
    <col min="16141" max="16141" width="9" style="57" customWidth="1"/>
    <col min="16142" max="16142" width="9.625" style="57" customWidth="1"/>
    <col min="16143" max="16143" width="16.25" style="57" customWidth="1"/>
    <col min="16144" max="16384" width="9" style="57"/>
  </cols>
  <sheetData>
    <row r="1" spans="1:19" ht="20.25">
      <c r="A1" s="949" t="s">
        <v>631</v>
      </c>
      <c r="B1" s="949"/>
      <c r="C1" s="949"/>
      <c r="D1" s="949"/>
      <c r="E1" s="949"/>
      <c r="F1" s="949"/>
      <c r="G1" s="949"/>
      <c r="H1" s="949"/>
      <c r="I1" s="949"/>
      <c r="J1" s="949"/>
      <c r="K1" s="949"/>
      <c r="L1" s="949"/>
      <c r="M1" s="949"/>
      <c r="N1" s="949"/>
    </row>
    <row r="2" spans="1:19" ht="20.25">
      <c r="A2" s="59" t="s">
        <v>385</v>
      </c>
      <c r="B2" s="59"/>
      <c r="C2" s="59"/>
      <c r="D2" s="59"/>
      <c r="E2" s="59"/>
      <c r="F2" s="59"/>
      <c r="G2" s="59"/>
      <c r="H2" s="59"/>
      <c r="I2" s="59"/>
      <c r="J2" s="59"/>
      <c r="K2" s="59"/>
      <c r="L2" s="59"/>
      <c r="M2" s="59"/>
      <c r="N2" s="59"/>
    </row>
    <row r="3" spans="1:19" ht="21">
      <c r="A3" s="75" t="s">
        <v>632</v>
      </c>
      <c r="B3" s="152"/>
      <c r="C3" s="153"/>
      <c r="D3" s="153"/>
      <c r="E3" s="153"/>
      <c r="F3" s="153"/>
      <c r="G3" s="153"/>
      <c r="H3" s="153"/>
      <c r="I3" s="153"/>
      <c r="J3" s="153"/>
      <c r="K3" s="153"/>
      <c r="L3" s="153"/>
      <c r="M3" s="153"/>
      <c r="N3" s="153"/>
    </row>
    <row r="4" spans="1:19" ht="12.75">
      <c r="A4" s="54" t="s">
        <v>633</v>
      </c>
      <c r="B4" s="54"/>
      <c r="C4" s="63"/>
      <c r="D4" s="63"/>
      <c r="E4" s="63"/>
      <c r="F4" s="63"/>
      <c r="G4" s="63"/>
      <c r="H4" s="63"/>
      <c r="I4" s="63"/>
      <c r="J4" s="64"/>
      <c r="K4" s="64"/>
      <c r="L4" s="64"/>
      <c r="M4" s="64"/>
      <c r="N4" s="64"/>
    </row>
    <row r="5" spans="1:19" ht="12.75">
      <c r="A5" s="54" t="s">
        <v>634</v>
      </c>
      <c r="B5" s="54"/>
      <c r="C5" s="63"/>
      <c r="D5" s="63"/>
      <c r="E5" s="63"/>
      <c r="F5" s="63"/>
      <c r="G5" s="63"/>
      <c r="H5" s="63"/>
      <c r="I5" s="63"/>
      <c r="J5" s="64"/>
      <c r="K5" s="64"/>
      <c r="L5" s="64"/>
      <c r="M5" s="64"/>
      <c r="N5" s="64"/>
    </row>
    <row r="6" spans="1:19" ht="12.75">
      <c r="A6" s="154" t="s">
        <v>635</v>
      </c>
      <c r="B6" s="54"/>
      <c r="C6" s="63"/>
      <c r="D6" s="63"/>
      <c r="E6" s="155"/>
      <c r="F6" s="156"/>
      <c r="G6" s="157" t="s">
        <v>636</v>
      </c>
      <c r="H6" s="157" t="s">
        <v>637</v>
      </c>
      <c r="I6" s="157" t="s">
        <v>638</v>
      </c>
      <c r="J6" s="157" t="s">
        <v>639</v>
      </c>
      <c r="K6" s="157" t="s">
        <v>640</v>
      </c>
      <c r="L6" s="54"/>
      <c r="M6" s="54"/>
      <c r="N6" s="54"/>
    </row>
    <row r="7" spans="1:19" ht="19.5" customHeight="1">
      <c r="A7" s="158" t="s">
        <v>641</v>
      </c>
      <c r="B7" s="159" t="s">
        <v>473</v>
      </c>
      <c r="C7" s="160" t="s">
        <v>642</v>
      </c>
      <c r="D7" s="161" t="s">
        <v>643</v>
      </c>
      <c r="E7" s="155"/>
      <c r="F7" s="162" t="s">
        <v>644</v>
      </c>
      <c r="G7" s="163">
        <v>3</v>
      </c>
      <c r="H7" s="163">
        <v>2</v>
      </c>
      <c r="I7" s="163">
        <v>1</v>
      </c>
      <c r="J7" s="163">
        <v>0.2</v>
      </c>
      <c r="K7" s="195">
        <v>0.1</v>
      </c>
      <c r="L7" s="54"/>
      <c r="M7" s="54"/>
      <c r="N7" s="54"/>
    </row>
    <row r="8" spans="1:19" ht="5.25" customHeight="1">
      <c r="A8" s="164"/>
      <c r="B8" s="54"/>
      <c r="C8" s="164"/>
      <c r="D8" s="63"/>
      <c r="E8" s="63"/>
      <c r="F8" s="63"/>
      <c r="G8" s="63"/>
      <c r="H8" s="63"/>
      <c r="I8" s="63"/>
      <c r="J8" s="54"/>
      <c r="K8" s="54"/>
      <c r="L8" s="54"/>
      <c r="M8" s="54"/>
      <c r="N8" s="54"/>
    </row>
    <row r="9" spans="1:19" ht="15" customHeight="1">
      <c r="A9" s="967" t="s">
        <v>645</v>
      </c>
      <c r="B9" s="965" t="s">
        <v>600</v>
      </c>
      <c r="C9" s="965"/>
      <c r="D9" s="965"/>
      <c r="E9" s="965"/>
      <c r="F9" s="965"/>
      <c r="G9" s="962" t="s">
        <v>646</v>
      </c>
      <c r="H9" s="962" t="s">
        <v>647</v>
      </c>
      <c r="I9" s="965" t="s">
        <v>648</v>
      </c>
      <c r="J9" s="965" t="s">
        <v>649</v>
      </c>
      <c r="K9" s="965" t="s">
        <v>650</v>
      </c>
      <c r="L9" s="968" t="s">
        <v>523</v>
      </c>
      <c r="M9" s="968"/>
      <c r="N9" s="968"/>
    </row>
    <row r="10" spans="1:19" ht="15" customHeight="1">
      <c r="A10" s="965"/>
      <c r="B10" s="157" t="s">
        <v>608</v>
      </c>
      <c r="C10" s="157" t="s">
        <v>609</v>
      </c>
      <c r="D10" s="157" t="s">
        <v>610</v>
      </c>
      <c r="E10" s="157" t="s">
        <v>611</v>
      </c>
      <c r="F10" s="157" t="s">
        <v>612</v>
      </c>
      <c r="G10" s="963"/>
      <c r="H10" s="963"/>
      <c r="I10" s="965"/>
      <c r="J10" s="965"/>
      <c r="K10" s="965"/>
      <c r="L10" s="196" t="s">
        <v>167</v>
      </c>
      <c r="M10" s="197" t="s">
        <v>168</v>
      </c>
      <c r="N10" s="196" t="s">
        <v>342</v>
      </c>
      <c r="P10" s="198" t="s">
        <v>209</v>
      </c>
      <c r="Q10" s="214">
        <v>0</v>
      </c>
      <c r="R10" s="214">
        <v>0.36</v>
      </c>
      <c r="S10" s="214">
        <v>0.72</v>
      </c>
    </row>
    <row r="11" spans="1:19" ht="15" customHeight="1">
      <c r="A11" s="157" t="str">
        <f t="shared" ref="A11:A13" si="0">CONCATENATE("测试第",ROW(A11)-ROW($A$10),"轮")</f>
        <v>测试第1轮</v>
      </c>
      <c r="B11" s="165">
        <v>0</v>
      </c>
      <c r="C11" s="165">
        <v>0</v>
      </c>
      <c r="D11" s="165">
        <v>0</v>
      </c>
      <c r="E11" s="165">
        <v>13</v>
      </c>
      <c r="F11" s="165">
        <v>0</v>
      </c>
      <c r="G11" s="166">
        <f>I11-H11</f>
        <v>2.6</v>
      </c>
      <c r="H11" s="167">
        <v>0</v>
      </c>
      <c r="I11" s="166">
        <f>B11*$G$7+C11*$H$7+D11*$I$7+E11*$J$7+F11*$K$7</f>
        <v>2.6</v>
      </c>
      <c r="J11" s="199">
        <v>59</v>
      </c>
      <c r="K11" s="200">
        <f t="shared" ref="K11:K16" si="1">I11/J11</f>
        <v>4.4067796610169491E-2</v>
      </c>
      <c r="L11" s="201">
        <v>2.0000000000000001E-4</v>
      </c>
      <c r="M11" s="202">
        <v>0.2</v>
      </c>
      <c r="N11" s="201">
        <v>0.39979999999999999</v>
      </c>
      <c r="P11" s="198" t="s">
        <v>211</v>
      </c>
      <c r="Q11" s="214">
        <v>2.0000000000000001E-4</v>
      </c>
      <c r="R11" s="214">
        <v>0.2</v>
      </c>
      <c r="S11" s="214">
        <v>0.39979999999999999</v>
      </c>
    </row>
    <row r="12" spans="1:19" ht="15" customHeight="1">
      <c r="A12" s="157" t="str">
        <f t="shared" si="0"/>
        <v>测试第2轮</v>
      </c>
      <c r="B12" s="165">
        <v>0</v>
      </c>
      <c r="C12" s="165">
        <v>0</v>
      </c>
      <c r="D12" s="165">
        <v>0</v>
      </c>
      <c r="E12" s="165">
        <v>3</v>
      </c>
      <c r="F12" s="165">
        <v>1</v>
      </c>
      <c r="G12" s="166">
        <f t="shared" ref="G12:G13" si="2">I12-H12</f>
        <v>0.70000000000000007</v>
      </c>
      <c r="H12" s="167">
        <v>0</v>
      </c>
      <c r="I12" s="166">
        <f t="shared" ref="I12:I16" si="3">B12*$G$7+C12*$H$7+D12*$I$7+E12*$J$7+F12*$K$7</f>
        <v>0.70000000000000007</v>
      </c>
      <c r="J12" s="199">
        <v>59</v>
      </c>
      <c r="K12" s="200">
        <f t="shared" si="1"/>
        <v>1.1864406779661017E-2</v>
      </c>
      <c r="L12" s="201">
        <v>2.0000000000000001E-4</v>
      </c>
      <c r="M12" s="202">
        <v>0.2</v>
      </c>
      <c r="N12" s="201">
        <v>0.39979999999999999</v>
      </c>
      <c r="P12" s="203" t="s">
        <v>210</v>
      </c>
      <c r="Q12" s="215">
        <v>0</v>
      </c>
      <c r="R12" s="215">
        <v>1.2</v>
      </c>
      <c r="S12" s="215">
        <v>2.4</v>
      </c>
    </row>
    <row r="13" spans="1:19" ht="15" customHeight="1">
      <c r="A13" s="157" t="str">
        <f t="shared" si="0"/>
        <v>测试第3轮</v>
      </c>
      <c r="B13" s="165">
        <v>0</v>
      </c>
      <c r="C13" s="165">
        <v>0</v>
      </c>
      <c r="D13" s="165">
        <v>0</v>
      </c>
      <c r="E13" s="165">
        <v>0</v>
      </c>
      <c r="F13" s="165">
        <v>0</v>
      </c>
      <c r="G13" s="166">
        <f t="shared" si="2"/>
        <v>0</v>
      </c>
      <c r="H13" s="167">
        <v>0</v>
      </c>
      <c r="I13" s="166">
        <f t="shared" si="3"/>
        <v>0</v>
      </c>
      <c r="J13" s="199">
        <v>59</v>
      </c>
      <c r="K13" s="200">
        <f t="shared" si="1"/>
        <v>0</v>
      </c>
      <c r="L13" s="201">
        <v>2.0000000000000001E-4</v>
      </c>
      <c r="M13" s="202">
        <v>0.2</v>
      </c>
      <c r="N13" s="201">
        <v>0.39979999999999999</v>
      </c>
      <c r="P13" s="203" t="s">
        <v>212</v>
      </c>
      <c r="Q13" s="215">
        <v>2E-3</v>
      </c>
      <c r="R13" s="215">
        <v>0.92</v>
      </c>
      <c r="S13" s="215">
        <v>1.8380000000000001</v>
      </c>
    </row>
    <row r="14" spans="1:19">
      <c r="A14" s="157" t="s">
        <v>651</v>
      </c>
      <c r="B14" s="168" t="str">
        <f t="shared" ref="B14:F14" si="4">"-"</f>
        <v>-</v>
      </c>
      <c r="C14" s="168" t="str">
        <f t="shared" si="4"/>
        <v>-</v>
      </c>
      <c r="D14" s="168" t="str">
        <f t="shared" si="4"/>
        <v>-</v>
      </c>
      <c r="E14" s="168" t="str">
        <f t="shared" si="4"/>
        <v>-</v>
      </c>
      <c r="F14" s="168" t="str">
        <f t="shared" si="4"/>
        <v>-</v>
      </c>
      <c r="G14" s="169" t="s">
        <v>172</v>
      </c>
      <c r="H14" s="169" t="s">
        <v>172</v>
      </c>
      <c r="I14" s="204" t="e">
        <f t="shared" si="3"/>
        <v>#VALUE!</v>
      </c>
      <c r="J14" s="205" t="s">
        <v>172</v>
      </c>
      <c r="K14" s="206" t="e">
        <f t="shared" si="1"/>
        <v>#VALUE!</v>
      </c>
      <c r="L14" s="207">
        <f>$L$15</f>
        <v>2.0000000000000001E-4</v>
      </c>
      <c r="M14" s="207">
        <f>$M$15</f>
        <v>0.2</v>
      </c>
      <c r="N14" s="207">
        <f>$N$15</f>
        <v>0.39979999999999999</v>
      </c>
    </row>
    <row r="15" spans="1:19" ht="12.75" customHeight="1">
      <c r="A15" s="157" t="s">
        <v>652</v>
      </c>
      <c r="B15" s="170">
        <f t="shared" ref="B15:H15" si="5">SUM(B11:B14)</f>
        <v>0</v>
      </c>
      <c r="C15" s="170">
        <f t="shared" si="5"/>
        <v>0</v>
      </c>
      <c r="D15" s="170">
        <f t="shared" si="5"/>
        <v>0</v>
      </c>
      <c r="E15" s="170">
        <f t="shared" si="5"/>
        <v>16</v>
      </c>
      <c r="F15" s="170">
        <f t="shared" si="5"/>
        <v>1</v>
      </c>
      <c r="G15" s="166">
        <f t="shared" si="5"/>
        <v>3.3000000000000003</v>
      </c>
      <c r="H15" s="166">
        <f t="shared" si="5"/>
        <v>0</v>
      </c>
      <c r="I15" s="166">
        <f t="shared" si="3"/>
        <v>3.3000000000000003</v>
      </c>
      <c r="J15" s="208">
        <f>规模!C8</f>
        <v>59</v>
      </c>
      <c r="K15" s="200">
        <f t="shared" si="1"/>
        <v>5.5932203389830515E-2</v>
      </c>
      <c r="L15" s="201">
        <v>2.0000000000000001E-4</v>
      </c>
      <c r="M15" s="202">
        <v>0.2</v>
      </c>
      <c r="N15" s="201">
        <v>0.39979999999999999</v>
      </c>
    </row>
    <row r="16" spans="1:19" ht="12.75" customHeight="1">
      <c r="A16" s="157" t="s">
        <v>653</v>
      </c>
      <c r="B16" s="165">
        <v>0</v>
      </c>
      <c r="C16" s="165">
        <v>0</v>
      </c>
      <c r="D16" s="165">
        <v>0</v>
      </c>
      <c r="E16" s="165">
        <v>0</v>
      </c>
      <c r="F16" s="165">
        <v>0</v>
      </c>
      <c r="G16" s="165"/>
      <c r="H16" s="165"/>
      <c r="I16" s="166">
        <f t="shared" si="3"/>
        <v>0</v>
      </c>
      <c r="J16" s="208">
        <f>规模!C8</f>
        <v>59</v>
      </c>
      <c r="K16" s="200">
        <f t="shared" si="1"/>
        <v>0</v>
      </c>
      <c r="L16" s="201">
        <v>2.0000000000000001E-4</v>
      </c>
      <c r="M16" s="202">
        <v>0.2</v>
      </c>
      <c r="N16" s="201">
        <v>0.39979999999999999</v>
      </c>
    </row>
    <row r="17" spans="1:14">
      <c r="A17" s="171" t="s">
        <v>654</v>
      </c>
      <c r="B17" s="172" t="s">
        <v>172</v>
      </c>
      <c r="C17" s="172" t="s">
        <v>172</v>
      </c>
      <c r="D17" s="172" t="s">
        <v>172</v>
      </c>
      <c r="E17" s="172" t="s">
        <v>172</v>
      </c>
      <c r="F17" s="172" t="s">
        <v>172</v>
      </c>
      <c r="G17" s="172" t="s">
        <v>172</v>
      </c>
      <c r="H17" s="172" t="s">
        <v>172</v>
      </c>
      <c r="I17" s="209">
        <v>0</v>
      </c>
      <c r="J17" s="209" t="s">
        <v>172</v>
      </c>
      <c r="K17" s="210" t="e">
        <f>I17/(I15+I16+过程产出缺陷度量!I107)</f>
        <v>#VALUE!</v>
      </c>
      <c r="L17" s="201">
        <v>2.0000000000000001E-4</v>
      </c>
      <c r="M17" s="202">
        <v>0.2</v>
      </c>
      <c r="N17" s="201">
        <v>0.39979999999999999</v>
      </c>
    </row>
    <row r="18" spans="1:14" ht="12.75" customHeight="1"/>
    <row r="19" spans="1:14" ht="16.5" customHeight="1"/>
    <row r="20" spans="1:14" ht="23.1" customHeight="1">
      <c r="L20" s="211"/>
      <c r="M20" s="211"/>
      <c r="N20" s="211"/>
    </row>
    <row r="21" spans="1:14">
      <c r="L21" s="211"/>
      <c r="M21" s="211"/>
      <c r="N21" s="211"/>
    </row>
    <row r="22" spans="1:14" ht="15" customHeight="1"/>
    <row r="23" spans="1:14" ht="12" customHeight="1"/>
    <row r="24" spans="1:14" ht="24.95" customHeight="1"/>
    <row r="25" spans="1:14" ht="18" customHeight="1"/>
    <row r="27" spans="1:14" ht="23.1" customHeight="1"/>
    <row r="28" spans="1:14" ht="23.1" customHeight="1"/>
    <row r="29" spans="1:14" ht="23.1" customHeight="1"/>
    <row r="30" spans="1:14" ht="23.1" customHeight="1"/>
    <row r="31" spans="1:14" ht="23.1" customHeight="1">
      <c r="A31" s="84" t="s">
        <v>655</v>
      </c>
      <c r="B31" s="76"/>
      <c r="G31" s="84" t="s">
        <v>656</v>
      </c>
      <c r="H31" s="93"/>
      <c r="I31" s="76"/>
      <c r="J31" s="76"/>
    </row>
    <row r="32" spans="1:14" ht="23.1" customHeight="1">
      <c r="A32" s="85" t="s">
        <v>657</v>
      </c>
      <c r="G32" s="85" t="s">
        <v>658</v>
      </c>
    </row>
    <row r="33" spans="1:15" ht="23.1" customHeight="1">
      <c r="A33" s="173" t="s">
        <v>659</v>
      </c>
      <c r="F33" s="174"/>
      <c r="G33" s="173" t="s">
        <v>660</v>
      </c>
      <c r="H33" s="85"/>
      <c r="M33" s="174"/>
      <c r="N33" s="174"/>
    </row>
    <row r="34" spans="1:15" ht="30" customHeight="1">
      <c r="A34" s="980" t="s">
        <v>661</v>
      </c>
      <c r="B34" s="175" t="s">
        <v>662</v>
      </c>
      <c r="C34" s="176">
        <v>1</v>
      </c>
      <c r="D34" s="982" t="s">
        <v>663</v>
      </c>
      <c r="E34" s="984">
        <f>1-(C34/C35)</f>
        <v>0.99656357388316152</v>
      </c>
      <c r="F34" s="174"/>
      <c r="G34" s="1001" t="s">
        <v>664</v>
      </c>
      <c r="H34" s="1004" t="s">
        <v>665</v>
      </c>
      <c r="I34" s="1007" t="s">
        <v>666</v>
      </c>
      <c r="J34" s="1008"/>
      <c r="K34" s="1006" t="s">
        <v>236</v>
      </c>
      <c r="M34" s="174"/>
      <c r="N34" s="174"/>
    </row>
    <row r="35" spans="1:15" ht="33.950000000000003" customHeight="1">
      <c r="A35" s="981"/>
      <c r="B35" s="177" t="s">
        <v>667</v>
      </c>
      <c r="C35" s="178">
        <v>291</v>
      </c>
      <c r="D35" s="983"/>
      <c r="E35" s="985"/>
      <c r="G35" s="1002"/>
      <c r="H35" s="1005"/>
      <c r="I35" s="1009"/>
      <c r="J35" s="1010"/>
      <c r="K35" s="1006"/>
      <c r="O35" s="56"/>
    </row>
    <row r="36" spans="1:15" ht="23.1" customHeight="1">
      <c r="G36" s="1003"/>
      <c r="H36" s="179">
        <v>3</v>
      </c>
      <c r="I36" s="993">
        <v>3</v>
      </c>
      <c r="J36" s="994"/>
      <c r="K36" s="212"/>
      <c r="O36" s="56"/>
    </row>
    <row r="37" spans="1:15" ht="23.1" customHeight="1">
      <c r="A37" s="980" t="s">
        <v>668</v>
      </c>
      <c r="B37" s="175" t="s">
        <v>669</v>
      </c>
      <c r="C37" s="176">
        <v>0</v>
      </c>
      <c r="D37" s="982" t="s">
        <v>663</v>
      </c>
      <c r="E37" s="984">
        <f>1-(C37/C38)</f>
        <v>1</v>
      </c>
      <c r="G37" s="180"/>
      <c r="H37" s="181"/>
      <c r="I37" s="181"/>
      <c r="J37" s="181"/>
      <c r="K37" s="146"/>
      <c r="O37" s="56"/>
    </row>
    <row r="38" spans="1:15" ht="23.1" customHeight="1">
      <c r="A38" s="981"/>
      <c r="B38" s="177" t="s">
        <v>670</v>
      </c>
      <c r="C38" s="178">
        <v>3</v>
      </c>
      <c r="D38" s="983"/>
      <c r="E38" s="985"/>
      <c r="G38" s="180"/>
      <c r="H38" s="181"/>
      <c r="I38" s="181"/>
      <c r="J38" s="181"/>
      <c r="K38" s="146"/>
      <c r="O38" s="56"/>
    </row>
    <row r="39" spans="1:15">
      <c r="G39" s="180"/>
      <c r="H39" s="181"/>
      <c r="I39" s="181"/>
      <c r="J39" s="181"/>
      <c r="K39" s="146"/>
    </row>
    <row r="40" spans="1:15">
      <c r="A40" s="84" t="s">
        <v>671</v>
      </c>
      <c r="B40" s="76"/>
    </row>
    <row r="41" spans="1:15">
      <c r="A41" s="85" t="s">
        <v>672</v>
      </c>
    </row>
    <row r="42" spans="1:15" ht="23.1" customHeight="1">
      <c r="A42" s="173" t="s">
        <v>673</v>
      </c>
    </row>
    <row r="43" spans="1:15" ht="23.1" customHeight="1"/>
    <row r="44" spans="1:15" ht="23.1" customHeight="1">
      <c r="A44" s="182" t="s">
        <v>85</v>
      </c>
      <c r="B44" s="183" t="s">
        <v>674</v>
      </c>
      <c r="C44" s="183" t="s">
        <v>675</v>
      </c>
      <c r="D44" s="995" t="s">
        <v>236</v>
      </c>
      <c r="E44" s="996"/>
    </row>
    <row r="45" spans="1:15" ht="23.1" customHeight="1">
      <c r="A45" s="184">
        <v>1</v>
      </c>
      <c r="B45" s="185" t="s">
        <v>676</v>
      </c>
      <c r="C45" s="186">
        <v>4</v>
      </c>
      <c r="D45" s="997"/>
      <c r="E45" s="998"/>
    </row>
    <row r="46" spans="1:15" ht="23.1" customHeight="1">
      <c r="A46" s="184">
        <v>2</v>
      </c>
      <c r="B46" s="185" t="s">
        <v>677</v>
      </c>
      <c r="C46" s="186">
        <v>13</v>
      </c>
      <c r="D46" s="997"/>
      <c r="E46" s="998"/>
    </row>
    <row r="47" spans="1:15" ht="23.1" customHeight="1">
      <c r="A47" s="184">
        <v>3</v>
      </c>
      <c r="B47" s="185"/>
      <c r="C47" s="186"/>
      <c r="D47" s="997"/>
      <c r="E47" s="998"/>
    </row>
    <row r="48" spans="1:15" ht="23.1" customHeight="1">
      <c r="A48" s="187">
        <v>4</v>
      </c>
      <c r="B48" s="188"/>
      <c r="C48" s="189"/>
      <c r="D48" s="999"/>
      <c r="E48" s="1000"/>
    </row>
    <row r="49" spans="1:14" ht="23.1" customHeight="1">
      <c r="B49" s="56"/>
    </row>
    <row r="50" spans="1:14">
      <c r="B50" s="56"/>
    </row>
    <row r="51" spans="1:14">
      <c r="A51" s="84" t="s">
        <v>678</v>
      </c>
      <c r="B51" s="190"/>
    </row>
    <row r="52" spans="1:14">
      <c r="A52" s="85" t="s">
        <v>679</v>
      </c>
      <c r="B52" s="56"/>
    </row>
    <row r="53" spans="1:14" ht="20.25" customHeight="1">
      <c r="A53" s="173" t="s">
        <v>673</v>
      </c>
      <c r="B53" s="56"/>
    </row>
    <row r="54" spans="1:14">
      <c r="A54" s="182" t="s">
        <v>85</v>
      </c>
      <c r="B54" s="182" t="s">
        <v>680</v>
      </c>
      <c r="C54" s="183" t="s">
        <v>675</v>
      </c>
      <c r="D54" s="995" t="s">
        <v>236</v>
      </c>
      <c r="E54" s="996"/>
    </row>
    <row r="55" spans="1:14">
      <c r="A55" s="184">
        <v>1</v>
      </c>
      <c r="B55" s="191" t="s">
        <v>681</v>
      </c>
      <c r="C55" s="192">
        <v>10</v>
      </c>
      <c r="D55" s="986"/>
      <c r="E55" s="987"/>
    </row>
    <row r="56" spans="1:14">
      <c r="A56" s="184">
        <v>2</v>
      </c>
      <c r="B56" s="191" t="s">
        <v>682</v>
      </c>
      <c r="C56" s="192">
        <v>7</v>
      </c>
      <c r="D56" s="986"/>
      <c r="E56" s="987"/>
    </row>
    <row r="57" spans="1:14">
      <c r="A57" s="184">
        <v>3</v>
      </c>
      <c r="B57" s="191"/>
      <c r="C57" s="192"/>
      <c r="D57" s="986"/>
      <c r="E57" s="987"/>
    </row>
    <row r="58" spans="1:14">
      <c r="A58" s="184">
        <v>4</v>
      </c>
      <c r="B58" s="191"/>
      <c r="C58" s="192"/>
      <c r="D58" s="986"/>
      <c r="E58" s="987"/>
    </row>
    <row r="59" spans="1:14">
      <c r="A59" s="187">
        <v>4</v>
      </c>
      <c r="B59" s="193"/>
      <c r="C59" s="194"/>
      <c r="D59" s="988"/>
      <c r="E59" s="989"/>
    </row>
    <row r="60" spans="1:14">
      <c r="B60" s="56"/>
    </row>
    <row r="61" spans="1:14">
      <c r="B61" s="56"/>
    </row>
    <row r="62" spans="1:14">
      <c r="A62" s="85" t="s">
        <v>683</v>
      </c>
      <c r="B62" s="56"/>
      <c r="H62" s="56"/>
      <c r="I62" s="213"/>
      <c r="J62" s="56"/>
      <c r="K62" s="56"/>
      <c r="L62" s="56"/>
      <c r="M62" s="213"/>
      <c r="N62" s="56"/>
    </row>
    <row r="63" spans="1:14">
      <c r="A63" s="85" t="s">
        <v>684</v>
      </c>
      <c r="B63" s="56"/>
    </row>
    <row r="64" spans="1:14">
      <c r="A64" s="85" t="s">
        <v>685</v>
      </c>
      <c r="B64" s="56"/>
      <c r="I64" s="85"/>
    </row>
    <row r="65" spans="1:9">
      <c r="A65" s="85" t="s">
        <v>686</v>
      </c>
      <c r="B65" s="56"/>
      <c r="I65" s="85"/>
    </row>
    <row r="66" spans="1:9">
      <c r="A66" s="182" t="s">
        <v>85</v>
      </c>
      <c r="B66" s="182" t="s">
        <v>687</v>
      </c>
      <c r="C66" s="183" t="s">
        <v>675</v>
      </c>
      <c r="D66" s="990" t="s">
        <v>236</v>
      </c>
      <c r="E66" s="991"/>
      <c r="F66" s="992"/>
    </row>
    <row r="67" spans="1:9">
      <c r="A67" s="184">
        <v>1</v>
      </c>
      <c r="B67" s="216" t="s">
        <v>688</v>
      </c>
      <c r="C67" s="192">
        <v>10</v>
      </c>
      <c r="D67" s="974"/>
      <c r="E67" s="975"/>
      <c r="F67" s="976"/>
      <c r="I67" s="85"/>
    </row>
    <row r="68" spans="1:9">
      <c r="A68" s="184">
        <v>2</v>
      </c>
      <c r="B68" s="217" t="s">
        <v>689</v>
      </c>
      <c r="C68" s="192">
        <v>5</v>
      </c>
      <c r="D68" s="974"/>
      <c r="E68" s="975"/>
      <c r="F68" s="976"/>
    </row>
    <row r="69" spans="1:9">
      <c r="A69" s="184">
        <v>3</v>
      </c>
      <c r="B69" s="217" t="s">
        <v>690</v>
      </c>
      <c r="C69" s="192">
        <v>2</v>
      </c>
      <c r="D69" s="974"/>
      <c r="E69" s="975"/>
      <c r="F69" s="976"/>
    </row>
    <row r="70" spans="1:9">
      <c r="A70" s="184">
        <v>4</v>
      </c>
      <c r="B70" s="217"/>
      <c r="C70" s="192"/>
      <c r="D70" s="974"/>
      <c r="E70" s="975"/>
      <c r="F70" s="976"/>
    </row>
    <row r="71" spans="1:9">
      <c r="A71" s="184">
        <v>5</v>
      </c>
      <c r="B71" s="218"/>
      <c r="C71" s="219"/>
      <c r="D71" s="974"/>
      <c r="E71" s="975"/>
      <c r="F71" s="976"/>
    </row>
    <row r="72" spans="1:9">
      <c r="A72" s="220">
        <v>6</v>
      </c>
      <c r="B72" s="221"/>
      <c r="C72" s="221"/>
      <c r="D72" s="974"/>
      <c r="E72" s="975"/>
      <c r="F72" s="976"/>
    </row>
    <row r="73" spans="1:9">
      <c r="A73" s="222">
        <v>7</v>
      </c>
      <c r="B73" s="223"/>
      <c r="C73" s="224"/>
      <c r="D73" s="977"/>
      <c r="E73" s="978"/>
      <c r="F73" s="979"/>
    </row>
    <row r="74" spans="1:9">
      <c r="B74" s="56"/>
    </row>
    <row r="76" spans="1:9" ht="27" customHeight="1"/>
    <row r="83" spans="1:19" ht="20.25">
      <c r="A83" s="59" t="s">
        <v>393</v>
      </c>
    </row>
    <row r="84" spans="1:19" ht="21">
      <c r="A84" s="75" t="s">
        <v>632</v>
      </c>
      <c r="B84" s="152"/>
      <c r="C84" s="153"/>
      <c r="D84" s="153"/>
      <c r="E84" s="153"/>
      <c r="F84" s="153"/>
      <c r="G84" s="153"/>
      <c r="H84" s="153"/>
      <c r="I84" s="153"/>
      <c r="J84" s="153"/>
      <c r="K84" s="153"/>
      <c r="L84" s="153"/>
      <c r="M84" s="153"/>
      <c r="N84" s="153"/>
    </row>
    <row r="85" spans="1:19" ht="12.75">
      <c r="A85" s="54" t="s">
        <v>633</v>
      </c>
      <c r="B85" s="54"/>
      <c r="C85" s="63"/>
      <c r="D85" s="63"/>
      <c r="E85" s="63"/>
      <c r="F85" s="63"/>
      <c r="G85" s="63"/>
      <c r="H85" s="63"/>
      <c r="I85" s="63"/>
      <c r="J85" s="64"/>
      <c r="K85" s="64"/>
      <c r="L85" s="64"/>
      <c r="M85" s="64"/>
      <c r="N85" s="64"/>
    </row>
    <row r="86" spans="1:19" ht="12.75">
      <c r="A86" s="54" t="s">
        <v>634</v>
      </c>
      <c r="B86" s="54"/>
      <c r="C86" s="63"/>
      <c r="D86" s="63"/>
      <c r="E86" s="63"/>
      <c r="F86" s="63"/>
      <c r="G86" s="63"/>
      <c r="H86" s="63"/>
      <c r="I86" s="63"/>
      <c r="J86" s="64"/>
      <c r="K86" s="64"/>
      <c r="L86" s="64"/>
      <c r="M86" s="64"/>
      <c r="N86" s="64"/>
    </row>
    <row r="87" spans="1:19" ht="12.75">
      <c r="A87" s="154" t="s">
        <v>635</v>
      </c>
      <c r="B87" s="54"/>
      <c r="C87" s="63"/>
      <c r="D87" s="63"/>
      <c r="E87" s="155"/>
      <c r="F87" s="156"/>
      <c r="G87" s="157" t="s">
        <v>636</v>
      </c>
      <c r="H87" s="157" t="s">
        <v>637</v>
      </c>
      <c r="I87" s="157" t="s">
        <v>638</v>
      </c>
      <c r="J87" s="157" t="s">
        <v>639</v>
      </c>
      <c r="K87" s="157" t="s">
        <v>640</v>
      </c>
      <c r="L87" s="54"/>
      <c r="M87" s="54"/>
      <c r="N87" s="54"/>
    </row>
    <row r="88" spans="1:19" ht="19.5" customHeight="1">
      <c r="A88" s="158" t="s">
        <v>641</v>
      </c>
      <c r="B88" s="159"/>
      <c r="C88" s="160" t="s">
        <v>642</v>
      </c>
      <c r="D88" s="161"/>
      <c r="E88" s="155"/>
      <c r="F88" s="162" t="s">
        <v>644</v>
      </c>
      <c r="G88" s="163">
        <v>3</v>
      </c>
      <c r="H88" s="163">
        <v>2</v>
      </c>
      <c r="I88" s="163">
        <v>1</v>
      </c>
      <c r="J88" s="163">
        <v>0.2</v>
      </c>
      <c r="K88" s="195">
        <v>0.1</v>
      </c>
      <c r="L88" s="54"/>
      <c r="M88" s="54"/>
      <c r="N88" s="54"/>
    </row>
    <row r="89" spans="1:19" ht="5.25" customHeight="1">
      <c r="A89" s="164"/>
      <c r="B89" s="54"/>
      <c r="C89" s="164"/>
      <c r="D89" s="63"/>
      <c r="E89" s="63"/>
      <c r="F89" s="63"/>
      <c r="G89" s="63"/>
      <c r="H89" s="63"/>
      <c r="I89" s="63"/>
      <c r="J89" s="54"/>
      <c r="K89" s="54"/>
      <c r="L89" s="54"/>
      <c r="M89" s="54"/>
      <c r="N89" s="54"/>
    </row>
    <row r="90" spans="1:19" ht="15" customHeight="1">
      <c r="A90" s="967" t="s">
        <v>645</v>
      </c>
      <c r="B90" s="965" t="s">
        <v>600</v>
      </c>
      <c r="C90" s="965"/>
      <c r="D90" s="965"/>
      <c r="E90" s="965"/>
      <c r="F90" s="965"/>
      <c r="G90" s="962" t="s">
        <v>646</v>
      </c>
      <c r="H90" s="962" t="s">
        <v>647</v>
      </c>
      <c r="I90" s="965" t="s">
        <v>648</v>
      </c>
      <c r="J90" s="965" t="s">
        <v>649</v>
      </c>
      <c r="K90" s="965" t="s">
        <v>650</v>
      </c>
      <c r="L90" s="968" t="s">
        <v>523</v>
      </c>
      <c r="M90" s="968"/>
      <c r="N90" s="968"/>
    </row>
    <row r="91" spans="1:19" ht="15" customHeight="1">
      <c r="A91" s="965"/>
      <c r="B91" s="157" t="s">
        <v>608</v>
      </c>
      <c r="C91" s="157" t="s">
        <v>609</v>
      </c>
      <c r="D91" s="157" t="s">
        <v>610</v>
      </c>
      <c r="E91" s="157" t="s">
        <v>611</v>
      </c>
      <c r="F91" s="157" t="s">
        <v>612</v>
      </c>
      <c r="G91" s="963"/>
      <c r="H91" s="963"/>
      <c r="I91" s="965"/>
      <c r="J91" s="965"/>
      <c r="K91" s="965"/>
      <c r="L91" s="196" t="s">
        <v>167</v>
      </c>
      <c r="M91" s="197" t="s">
        <v>168</v>
      </c>
      <c r="N91" s="196" t="s">
        <v>342</v>
      </c>
      <c r="P91" s="198" t="s">
        <v>209</v>
      </c>
      <c r="Q91" s="214">
        <v>0</v>
      </c>
      <c r="R91" s="214">
        <v>0.36</v>
      </c>
      <c r="S91" s="214">
        <v>0.72</v>
      </c>
    </row>
    <row r="92" spans="1:19" ht="15" customHeight="1">
      <c r="A92" s="157" t="str">
        <f>CONCATENATE("测试第",ROW(A92)-ROW($A$91),"轮")</f>
        <v>测试第1轮</v>
      </c>
      <c r="B92" s="165"/>
      <c r="C92" s="165"/>
      <c r="D92" s="165"/>
      <c r="E92" s="165"/>
      <c r="F92" s="165"/>
      <c r="G92" s="166">
        <f t="shared" ref="G92:G95" si="6">I92-H92</f>
        <v>0</v>
      </c>
      <c r="H92" s="167"/>
      <c r="I92" s="166">
        <f t="shared" ref="I92:I98" si="7">B92*$G$7+C92*$H$7+D92*$I$7+E92*$J$7+F92*$K$7</f>
        <v>0</v>
      </c>
      <c r="J92" s="199"/>
      <c r="K92" s="200" t="e">
        <f t="shared" ref="K92:K98" si="8">I92/J92</f>
        <v>#DIV/0!</v>
      </c>
      <c r="L92" s="201"/>
      <c r="M92" s="202"/>
      <c r="N92" s="201"/>
      <c r="P92" s="198" t="s">
        <v>211</v>
      </c>
      <c r="Q92" s="214">
        <v>2.0000000000000001E-4</v>
      </c>
      <c r="R92" s="214">
        <v>0.2</v>
      </c>
      <c r="S92" s="214">
        <v>0.39979999999999999</v>
      </c>
    </row>
    <row r="93" spans="1:19" ht="15" customHeight="1">
      <c r="A93" s="157" t="str">
        <f>CONCATENATE("测试第",ROW(A93)-ROW($A$91),"轮")</f>
        <v>测试第2轮</v>
      </c>
      <c r="B93" s="165"/>
      <c r="C93" s="165"/>
      <c r="D93" s="165"/>
      <c r="E93" s="165"/>
      <c r="F93" s="165"/>
      <c r="G93" s="166">
        <f t="shared" si="6"/>
        <v>0</v>
      </c>
      <c r="H93" s="167"/>
      <c r="I93" s="166">
        <f t="shared" si="7"/>
        <v>0</v>
      </c>
      <c r="J93" s="199"/>
      <c r="K93" s="200" t="e">
        <f t="shared" si="8"/>
        <v>#DIV/0!</v>
      </c>
      <c r="L93" s="201"/>
      <c r="M93" s="202"/>
      <c r="N93" s="201"/>
      <c r="P93" s="203" t="s">
        <v>210</v>
      </c>
      <c r="Q93" s="215">
        <v>0</v>
      </c>
      <c r="R93" s="215">
        <v>1.2</v>
      </c>
      <c r="S93" s="215">
        <v>2.4</v>
      </c>
    </row>
    <row r="94" spans="1:19" ht="15" customHeight="1">
      <c r="A94" s="157" t="str">
        <f>CONCATENATE("测试第",ROW(A94)-ROW($A$91),"轮")</f>
        <v>测试第3轮</v>
      </c>
      <c r="B94" s="165"/>
      <c r="C94" s="165"/>
      <c r="D94" s="165"/>
      <c r="E94" s="165"/>
      <c r="F94" s="165"/>
      <c r="G94" s="166">
        <f t="shared" si="6"/>
        <v>0</v>
      </c>
      <c r="H94" s="167"/>
      <c r="I94" s="166">
        <f t="shared" si="7"/>
        <v>0</v>
      </c>
      <c r="J94" s="199"/>
      <c r="K94" s="200" t="e">
        <f t="shared" si="8"/>
        <v>#DIV/0!</v>
      </c>
      <c r="L94" s="201"/>
      <c r="M94" s="202"/>
      <c r="N94" s="201"/>
      <c r="P94" s="203" t="s">
        <v>212</v>
      </c>
      <c r="Q94" s="215">
        <v>2E-3</v>
      </c>
      <c r="R94" s="215">
        <v>0.92</v>
      </c>
      <c r="S94" s="215">
        <v>1.8380000000000001</v>
      </c>
    </row>
    <row r="95" spans="1:19">
      <c r="A95" s="157" t="str">
        <f>CONCATENATE("测试第",ROW(A95)-ROW($A$91),"轮")</f>
        <v>测试第4轮</v>
      </c>
      <c r="B95" s="165"/>
      <c r="C95" s="165"/>
      <c r="D95" s="165"/>
      <c r="E95" s="165"/>
      <c r="F95" s="165"/>
      <c r="G95" s="166">
        <f t="shared" si="6"/>
        <v>0</v>
      </c>
      <c r="H95" s="167"/>
      <c r="I95" s="166">
        <f t="shared" si="7"/>
        <v>0</v>
      </c>
      <c r="J95" s="199"/>
      <c r="K95" s="200" t="e">
        <f t="shared" si="8"/>
        <v>#DIV/0!</v>
      </c>
      <c r="L95" s="201"/>
      <c r="M95" s="202"/>
      <c r="N95" s="201"/>
    </row>
    <row r="96" spans="1:19">
      <c r="A96" s="157" t="s">
        <v>651</v>
      </c>
      <c r="B96" s="168" t="str">
        <f t="shared" ref="B96:F96" si="9">"-"</f>
        <v>-</v>
      </c>
      <c r="C96" s="168" t="str">
        <f t="shared" si="9"/>
        <v>-</v>
      </c>
      <c r="D96" s="168" t="str">
        <f t="shared" si="9"/>
        <v>-</v>
      </c>
      <c r="E96" s="168" t="str">
        <f t="shared" si="9"/>
        <v>-</v>
      </c>
      <c r="F96" s="168" t="str">
        <f t="shared" si="9"/>
        <v>-</v>
      </c>
      <c r="G96" s="169" t="s">
        <v>172</v>
      </c>
      <c r="H96" s="169" t="s">
        <v>172</v>
      </c>
      <c r="I96" s="204" t="e">
        <f t="shared" si="7"/>
        <v>#VALUE!</v>
      </c>
      <c r="J96" s="205" t="s">
        <v>172</v>
      </c>
      <c r="K96" s="206" t="e">
        <f t="shared" si="8"/>
        <v>#VALUE!</v>
      </c>
      <c r="L96" s="207">
        <f>$L$15</f>
        <v>2.0000000000000001E-4</v>
      </c>
      <c r="M96" s="207">
        <f>$M$15</f>
        <v>0.2</v>
      </c>
      <c r="N96" s="207">
        <f>$N$15</f>
        <v>0.39979999999999999</v>
      </c>
    </row>
    <row r="97" spans="1:14" ht="12.75" customHeight="1">
      <c r="A97" s="157" t="s">
        <v>652</v>
      </c>
      <c r="B97" s="170">
        <f t="shared" ref="B97:H97" si="10">SUM(B92:B96)</f>
        <v>0</v>
      </c>
      <c r="C97" s="170">
        <f t="shared" si="10"/>
        <v>0</v>
      </c>
      <c r="D97" s="170">
        <f t="shared" si="10"/>
        <v>0</v>
      </c>
      <c r="E97" s="170">
        <f t="shared" si="10"/>
        <v>0</v>
      </c>
      <c r="F97" s="170">
        <f t="shared" si="10"/>
        <v>0</v>
      </c>
      <c r="G97" s="166">
        <f t="shared" si="10"/>
        <v>0</v>
      </c>
      <c r="H97" s="166">
        <f t="shared" si="10"/>
        <v>0</v>
      </c>
      <c r="I97" s="166">
        <f t="shared" si="7"/>
        <v>0</v>
      </c>
      <c r="J97" s="208">
        <f>规模!C13</f>
        <v>0</v>
      </c>
      <c r="K97" s="200" t="e">
        <f t="shared" si="8"/>
        <v>#DIV/0!</v>
      </c>
      <c r="L97" s="201"/>
      <c r="M97" s="202"/>
      <c r="N97" s="201"/>
    </row>
    <row r="98" spans="1:14" ht="12.75" customHeight="1">
      <c r="A98" s="157" t="s">
        <v>653</v>
      </c>
      <c r="B98" s="165"/>
      <c r="C98" s="165"/>
      <c r="D98" s="165"/>
      <c r="E98" s="165"/>
      <c r="F98" s="165"/>
      <c r="G98" s="165"/>
      <c r="H98" s="165"/>
      <c r="I98" s="166">
        <f t="shared" si="7"/>
        <v>0</v>
      </c>
      <c r="J98" s="208">
        <f>规模!C13</f>
        <v>0</v>
      </c>
      <c r="K98" s="200" t="e">
        <f t="shared" si="8"/>
        <v>#DIV/0!</v>
      </c>
      <c r="L98" s="201"/>
      <c r="M98" s="202"/>
      <c r="N98" s="201"/>
    </row>
    <row r="99" spans="1:14">
      <c r="A99" s="171" t="s">
        <v>654</v>
      </c>
      <c r="B99" s="172" t="s">
        <v>172</v>
      </c>
      <c r="C99" s="172" t="s">
        <v>172</v>
      </c>
      <c r="D99" s="172" t="s">
        <v>172</v>
      </c>
      <c r="E99" s="172" t="s">
        <v>172</v>
      </c>
      <c r="F99" s="172" t="s">
        <v>172</v>
      </c>
      <c r="G99" s="172" t="s">
        <v>172</v>
      </c>
      <c r="H99" s="172" t="s">
        <v>172</v>
      </c>
      <c r="I99" s="209"/>
      <c r="J99" s="209" t="s">
        <v>172</v>
      </c>
      <c r="K99" s="210" t="e">
        <f>I99/(I97+I98+过程产出缺陷度量!I189)</f>
        <v>#DIV/0!</v>
      </c>
      <c r="L99" s="201"/>
      <c r="M99" s="202"/>
      <c r="N99" s="201"/>
    </row>
    <row r="100" spans="1:14" ht="12.75" customHeight="1"/>
    <row r="101" spans="1:14" ht="16.5" customHeight="1"/>
    <row r="102" spans="1:14" ht="23.1" customHeight="1">
      <c r="L102" s="211"/>
      <c r="M102" s="211"/>
      <c r="N102" s="211"/>
    </row>
    <row r="103" spans="1:14">
      <c r="L103" s="211"/>
      <c r="M103" s="211"/>
      <c r="N103" s="211"/>
    </row>
    <row r="104" spans="1:14" ht="15" customHeight="1"/>
    <row r="105" spans="1:14" ht="12" customHeight="1"/>
    <row r="106" spans="1:14" ht="24.95" customHeight="1"/>
    <row r="107" spans="1:14" ht="18" customHeight="1"/>
    <row r="109" spans="1:14" ht="23.1" customHeight="1"/>
    <row r="110" spans="1:14" ht="23.1" customHeight="1"/>
    <row r="111" spans="1:14" ht="23.1" customHeight="1"/>
    <row r="112" spans="1:14" ht="23.1" customHeight="1"/>
    <row r="113" spans="1:15" ht="23.1" customHeight="1">
      <c r="A113" s="84" t="s">
        <v>655</v>
      </c>
      <c r="B113" s="76"/>
      <c r="G113" s="84" t="s">
        <v>656</v>
      </c>
      <c r="H113" s="93"/>
      <c r="I113" s="76"/>
      <c r="J113" s="76"/>
    </row>
    <row r="114" spans="1:15" ht="23.1" customHeight="1">
      <c r="A114" s="85" t="s">
        <v>657</v>
      </c>
      <c r="G114" s="85" t="s">
        <v>658</v>
      </c>
    </row>
    <row r="115" spans="1:15" ht="23.1" customHeight="1">
      <c r="A115" s="173" t="s">
        <v>659</v>
      </c>
      <c r="F115" s="174"/>
      <c r="G115" s="173" t="s">
        <v>660</v>
      </c>
      <c r="H115" s="85"/>
      <c r="M115" s="174"/>
      <c r="N115" s="174"/>
    </row>
    <row r="116" spans="1:15" ht="30" customHeight="1">
      <c r="A116" s="980" t="s">
        <v>661</v>
      </c>
      <c r="B116" s="175" t="s">
        <v>662</v>
      </c>
      <c r="C116" s="176"/>
      <c r="D116" s="982" t="s">
        <v>663</v>
      </c>
      <c r="E116" s="984" t="e">
        <f>1-(C116/C117)</f>
        <v>#DIV/0!</v>
      </c>
      <c r="F116" s="174"/>
      <c r="G116" s="1001" t="s">
        <v>664</v>
      </c>
      <c r="H116" s="1004" t="s">
        <v>665</v>
      </c>
      <c r="I116" s="1007" t="s">
        <v>666</v>
      </c>
      <c r="J116" s="1008"/>
      <c r="K116" s="1006" t="s">
        <v>236</v>
      </c>
      <c r="M116" s="174"/>
      <c r="N116" s="174"/>
    </row>
    <row r="117" spans="1:15" ht="33.950000000000003" customHeight="1">
      <c r="A117" s="981"/>
      <c r="B117" s="177" t="s">
        <v>667</v>
      </c>
      <c r="C117" s="178"/>
      <c r="D117" s="983"/>
      <c r="E117" s="985"/>
      <c r="G117" s="1002"/>
      <c r="H117" s="1005"/>
      <c r="I117" s="1009"/>
      <c r="J117" s="1010"/>
      <c r="K117" s="1006"/>
      <c r="O117" s="56"/>
    </row>
    <row r="118" spans="1:15" ht="23.1" customHeight="1">
      <c r="G118" s="1003"/>
      <c r="H118" s="179">
        <v>12</v>
      </c>
      <c r="I118" s="993">
        <v>10</v>
      </c>
      <c r="J118" s="994"/>
      <c r="K118" s="212"/>
      <c r="O118" s="56"/>
    </row>
    <row r="119" spans="1:15" ht="23.1" customHeight="1">
      <c r="A119" s="980" t="s">
        <v>668</v>
      </c>
      <c r="B119" s="175" t="s">
        <v>669</v>
      </c>
      <c r="C119" s="176"/>
      <c r="D119" s="982" t="s">
        <v>663</v>
      </c>
      <c r="E119" s="984" t="e">
        <f>1-(C119/C120)</f>
        <v>#DIV/0!</v>
      </c>
      <c r="G119" s="180"/>
      <c r="H119" s="181"/>
      <c r="I119" s="181"/>
      <c r="J119" s="181"/>
      <c r="K119" s="146"/>
      <c r="O119" s="56"/>
    </row>
    <row r="120" spans="1:15" ht="23.1" customHeight="1">
      <c r="A120" s="981"/>
      <c r="B120" s="177" t="s">
        <v>670</v>
      </c>
      <c r="C120" s="178"/>
      <c r="D120" s="983"/>
      <c r="E120" s="985"/>
      <c r="G120" s="180"/>
      <c r="H120" s="181"/>
      <c r="I120" s="181"/>
      <c r="J120" s="181"/>
      <c r="K120" s="146"/>
      <c r="O120" s="56"/>
    </row>
    <row r="121" spans="1:15">
      <c r="G121" s="180"/>
      <c r="H121" s="181"/>
      <c r="I121" s="181"/>
      <c r="J121" s="181"/>
      <c r="K121" s="146"/>
    </row>
    <row r="122" spans="1:15">
      <c r="A122" s="84" t="s">
        <v>671</v>
      </c>
      <c r="B122" s="76"/>
    </row>
    <row r="123" spans="1:15">
      <c r="A123" s="85" t="s">
        <v>672</v>
      </c>
    </row>
    <row r="124" spans="1:15" ht="23.1" customHeight="1">
      <c r="A124" s="173" t="s">
        <v>673</v>
      </c>
    </row>
    <row r="125" spans="1:15" ht="23.1" customHeight="1"/>
    <row r="126" spans="1:15" ht="23.1" customHeight="1">
      <c r="A126" s="182" t="s">
        <v>85</v>
      </c>
      <c r="B126" s="183" t="s">
        <v>674</v>
      </c>
      <c r="C126" s="183" t="s">
        <v>675</v>
      </c>
      <c r="D126" s="995" t="s">
        <v>236</v>
      </c>
      <c r="E126" s="996"/>
    </row>
    <row r="127" spans="1:15" ht="23.1" customHeight="1">
      <c r="A127" s="184">
        <v>1</v>
      </c>
      <c r="B127" s="185" t="s">
        <v>691</v>
      </c>
      <c r="C127" s="186"/>
      <c r="D127" s="997"/>
      <c r="E127" s="998"/>
    </row>
    <row r="128" spans="1:15" ht="23.1" customHeight="1">
      <c r="A128" s="184">
        <v>2</v>
      </c>
      <c r="B128" s="185" t="s">
        <v>692</v>
      </c>
      <c r="C128" s="186"/>
      <c r="D128" s="997"/>
      <c r="E128" s="998"/>
    </row>
    <row r="129" spans="1:14" ht="23.1" customHeight="1">
      <c r="A129" s="184">
        <v>3</v>
      </c>
      <c r="B129" s="185" t="s">
        <v>693</v>
      </c>
      <c r="C129" s="186"/>
      <c r="D129" s="997"/>
      <c r="E129" s="998"/>
    </row>
    <row r="130" spans="1:14" ht="23.1" customHeight="1">
      <c r="A130" s="187">
        <v>4</v>
      </c>
      <c r="B130" s="188" t="s">
        <v>694</v>
      </c>
      <c r="C130" s="189"/>
      <c r="D130" s="999"/>
      <c r="E130" s="1000"/>
    </row>
    <row r="131" spans="1:14" ht="23.1" customHeight="1">
      <c r="B131" s="56"/>
    </row>
    <row r="132" spans="1:14">
      <c r="B132" s="56"/>
    </row>
    <row r="133" spans="1:14">
      <c r="A133" s="84" t="s">
        <v>678</v>
      </c>
      <c r="B133" s="190"/>
    </row>
    <row r="134" spans="1:14">
      <c r="A134" s="85" t="s">
        <v>679</v>
      </c>
      <c r="B134" s="56"/>
    </row>
    <row r="135" spans="1:14" ht="20.25" customHeight="1">
      <c r="A135" s="173" t="s">
        <v>673</v>
      </c>
      <c r="B135" s="56"/>
    </row>
    <row r="136" spans="1:14">
      <c r="A136" s="182" t="s">
        <v>85</v>
      </c>
      <c r="B136" s="182" t="s">
        <v>680</v>
      </c>
      <c r="C136" s="183" t="s">
        <v>675</v>
      </c>
      <c r="D136" s="995" t="s">
        <v>236</v>
      </c>
      <c r="E136" s="996"/>
    </row>
    <row r="137" spans="1:14">
      <c r="A137" s="184">
        <v>1</v>
      </c>
      <c r="B137" s="191"/>
      <c r="C137" s="192"/>
      <c r="D137" s="986"/>
      <c r="E137" s="987"/>
    </row>
    <row r="138" spans="1:14">
      <c r="A138" s="184">
        <v>2</v>
      </c>
      <c r="B138" s="191"/>
      <c r="C138" s="192"/>
      <c r="D138" s="986"/>
      <c r="E138" s="987"/>
    </row>
    <row r="139" spans="1:14">
      <c r="A139" s="184">
        <v>3</v>
      </c>
      <c r="B139" s="191"/>
      <c r="C139" s="192"/>
      <c r="D139" s="986"/>
      <c r="E139" s="987"/>
    </row>
    <row r="140" spans="1:14">
      <c r="A140" s="184">
        <v>4</v>
      </c>
      <c r="B140" s="191"/>
      <c r="C140" s="192"/>
      <c r="D140" s="986"/>
      <c r="E140" s="987"/>
    </row>
    <row r="141" spans="1:14">
      <c r="A141" s="187">
        <v>4</v>
      </c>
      <c r="B141" s="193"/>
      <c r="C141" s="194"/>
      <c r="D141" s="988"/>
      <c r="E141" s="989"/>
    </row>
    <row r="142" spans="1:14">
      <c r="B142" s="56"/>
    </row>
    <row r="143" spans="1:14">
      <c r="B143" s="56"/>
    </row>
    <row r="144" spans="1:14">
      <c r="A144" s="85" t="s">
        <v>683</v>
      </c>
      <c r="B144" s="56"/>
      <c r="H144" s="56"/>
      <c r="I144" s="213"/>
      <c r="J144" s="56"/>
      <c r="K144" s="56"/>
      <c r="L144" s="56"/>
      <c r="M144" s="213"/>
      <c r="N144" s="56"/>
    </row>
    <row r="145" spans="1:9">
      <c r="A145" s="85" t="s">
        <v>684</v>
      </c>
      <c r="B145" s="56"/>
    </row>
    <row r="146" spans="1:9">
      <c r="A146" s="85" t="s">
        <v>685</v>
      </c>
      <c r="B146" s="56"/>
      <c r="I146" s="85"/>
    </row>
    <row r="147" spans="1:9">
      <c r="A147" s="85" t="s">
        <v>686</v>
      </c>
      <c r="B147" s="56"/>
      <c r="I147" s="85"/>
    </row>
    <row r="148" spans="1:9">
      <c r="A148" s="182" t="s">
        <v>85</v>
      </c>
      <c r="B148" s="182" t="s">
        <v>687</v>
      </c>
      <c r="C148" s="183" t="s">
        <v>675</v>
      </c>
      <c r="D148" s="990" t="s">
        <v>236</v>
      </c>
      <c r="E148" s="991"/>
      <c r="F148" s="992"/>
    </row>
    <row r="149" spans="1:9">
      <c r="A149" s="184">
        <v>1</v>
      </c>
      <c r="B149" s="216"/>
      <c r="C149" s="192"/>
      <c r="D149" s="974"/>
      <c r="E149" s="975"/>
      <c r="F149" s="976"/>
      <c r="I149" s="85"/>
    </row>
    <row r="150" spans="1:9">
      <c r="A150" s="184">
        <v>2</v>
      </c>
      <c r="B150" s="217"/>
      <c r="C150" s="192"/>
      <c r="D150" s="974"/>
      <c r="E150" s="975"/>
      <c r="F150" s="976"/>
    </row>
    <row r="151" spans="1:9">
      <c r="A151" s="184">
        <v>3</v>
      </c>
      <c r="B151" s="217"/>
      <c r="C151" s="192"/>
      <c r="D151" s="974"/>
      <c r="E151" s="975"/>
      <c r="F151" s="976"/>
    </row>
    <row r="152" spans="1:9">
      <c r="A152" s="184">
        <v>4</v>
      </c>
      <c r="B152" s="217"/>
      <c r="C152" s="192"/>
      <c r="D152" s="974"/>
      <c r="E152" s="975"/>
      <c r="F152" s="976"/>
    </row>
    <row r="153" spans="1:9">
      <c r="A153" s="184">
        <v>5</v>
      </c>
      <c r="B153" s="218"/>
      <c r="C153" s="219"/>
      <c r="D153" s="974"/>
      <c r="E153" s="975"/>
      <c r="F153" s="976"/>
    </row>
    <row r="154" spans="1:9">
      <c r="A154" s="220">
        <v>6</v>
      </c>
      <c r="B154" s="221"/>
      <c r="C154" s="221"/>
      <c r="D154" s="974"/>
      <c r="E154" s="975"/>
      <c r="F154" s="976"/>
    </row>
    <row r="155" spans="1:9">
      <c r="A155" s="222">
        <v>7</v>
      </c>
      <c r="B155" s="223"/>
      <c r="C155" s="224"/>
      <c r="D155" s="977"/>
      <c r="E155" s="978"/>
      <c r="F155" s="979"/>
    </row>
    <row r="156" spans="1:9">
      <c r="B156" s="56"/>
    </row>
    <row r="158" spans="1:9" ht="27" customHeight="1"/>
    <row r="165" spans="1:19" ht="20.25">
      <c r="A165" s="59" t="s">
        <v>394</v>
      </c>
    </row>
    <row r="166" spans="1:19" ht="21">
      <c r="A166" s="75" t="s">
        <v>632</v>
      </c>
      <c r="B166" s="152"/>
      <c r="C166" s="153"/>
      <c r="D166" s="153"/>
      <c r="E166" s="153"/>
      <c r="F166" s="153"/>
      <c r="G166" s="153"/>
      <c r="H166" s="153"/>
      <c r="I166" s="153"/>
      <c r="J166" s="153"/>
      <c r="K166" s="153"/>
      <c r="L166" s="153"/>
      <c r="M166" s="153"/>
      <c r="N166" s="153"/>
    </row>
    <row r="167" spans="1:19" ht="12.75">
      <c r="A167" s="54" t="s">
        <v>633</v>
      </c>
      <c r="B167" s="54"/>
      <c r="C167" s="63"/>
      <c r="D167" s="63"/>
      <c r="E167" s="63"/>
      <c r="F167" s="63"/>
      <c r="G167" s="63"/>
      <c r="H167" s="63"/>
      <c r="I167" s="63"/>
      <c r="J167" s="64"/>
      <c r="K167" s="64"/>
      <c r="L167" s="64"/>
      <c r="M167" s="64"/>
      <c r="N167" s="64"/>
    </row>
    <row r="168" spans="1:19" ht="12.75">
      <c r="A168" s="54" t="s">
        <v>634</v>
      </c>
      <c r="B168" s="54"/>
      <c r="C168" s="63"/>
      <c r="D168" s="63"/>
      <c r="E168" s="63"/>
      <c r="F168" s="63"/>
      <c r="G168" s="63"/>
      <c r="H168" s="63"/>
      <c r="I168" s="63"/>
      <c r="J168" s="64"/>
      <c r="K168" s="64"/>
      <c r="L168" s="64"/>
      <c r="M168" s="64"/>
      <c r="N168" s="64"/>
    </row>
    <row r="169" spans="1:19" ht="12.75">
      <c r="A169" s="154" t="s">
        <v>635</v>
      </c>
      <c r="B169" s="54"/>
      <c r="C169" s="63"/>
      <c r="D169" s="63"/>
      <c r="E169" s="155"/>
      <c r="F169" s="156"/>
      <c r="G169" s="157" t="s">
        <v>636</v>
      </c>
      <c r="H169" s="157" t="s">
        <v>637</v>
      </c>
      <c r="I169" s="157" t="s">
        <v>638</v>
      </c>
      <c r="J169" s="157" t="s">
        <v>639</v>
      </c>
      <c r="K169" s="157" t="s">
        <v>640</v>
      </c>
      <c r="L169" s="54"/>
      <c r="M169" s="54"/>
      <c r="N169" s="54"/>
    </row>
    <row r="170" spans="1:19" ht="19.5" customHeight="1">
      <c r="A170" s="158" t="s">
        <v>641</v>
      </c>
      <c r="B170" s="159"/>
      <c r="C170" s="160" t="s">
        <v>642</v>
      </c>
      <c r="D170" s="161"/>
      <c r="E170" s="155"/>
      <c r="F170" s="162" t="s">
        <v>644</v>
      </c>
      <c r="G170" s="163">
        <v>3</v>
      </c>
      <c r="H170" s="163">
        <v>2</v>
      </c>
      <c r="I170" s="163">
        <v>1</v>
      </c>
      <c r="J170" s="163">
        <v>0.2</v>
      </c>
      <c r="K170" s="195">
        <v>0.1</v>
      </c>
      <c r="L170" s="54"/>
      <c r="M170" s="54"/>
      <c r="N170" s="54"/>
    </row>
    <row r="171" spans="1:19" ht="5.25" customHeight="1">
      <c r="A171" s="164"/>
      <c r="B171" s="54"/>
      <c r="C171" s="164"/>
      <c r="D171" s="63"/>
      <c r="E171" s="63"/>
      <c r="F171" s="63"/>
      <c r="G171" s="63"/>
      <c r="H171" s="63"/>
      <c r="I171" s="63"/>
      <c r="J171" s="54"/>
      <c r="K171" s="54"/>
      <c r="L171" s="54"/>
      <c r="M171" s="54"/>
      <c r="N171" s="54"/>
    </row>
    <row r="172" spans="1:19" ht="15" customHeight="1">
      <c r="A172" s="967" t="s">
        <v>645</v>
      </c>
      <c r="B172" s="965" t="s">
        <v>600</v>
      </c>
      <c r="C172" s="965"/>
      <c r="D172" s="965"/>
      <c r="E172" s="965"/>
      <c r="F172" s="965"/>
      <c r="G172" s="962" t="s">
        <v>646</v>
      </c>
      <c r="H172" s="962" t="s">
        <v>647</v>
      </c>
      <c r="I172" s="965" t="s">
        <v>648</v>
      </c>
      <c r="J172" s="965" t="s">
        <v>649</v>
      </c>
      <c r="K172" s="965" t="s">
        <v>650</v>
      </c>
      <c r="L172" s="968" t="s">
        <v>523</v>
      </c>
      <c r="M172" s="968"/>
      <c r="N172" s="968"/>
    </row>
    <row r="173" spans="1:19" ht="15" customHeight="1">
      <c r="A173" s="965"/>
      <c r="B173" s="157" t="s">
        <v>608</v>
      </c>
      <c r="C173" s="157" t="s">
        <v>609</v>
      </c>
      <c r="D173" s="157" t="s">
        <v>610</v>
      </c>
      <c r="E173" s="157" t="s">
        <v>611</v>
      </c>
      <c r="F173" s="157" t="s">
        <v>612</v>
      </c>
      <c r="G173" s="963"/>
      <c r="H173" s="963"/>
      <c r="I173" s="965"/>
      <c r="J173" s="965"/>
      <c r="K173" s="965"/>
      <c r="L173" s="196" t="s">
        <v>167</v>
      </c>
      <c r="M173" s="197" t="s">
        <v>168</v>
      </c>
      <c r="N173" s="196" t="s">
        <v>342</v>
      </c>
      <c r="P173" s="198" t="s">
        <v>209</v>
      </c>
      <c r="Q173" s="214">
        <v>0</v>
      </c>
      <c r="R173" s="214">
        <v>0.36</v>
      </c>
      <c r="S173" s="214">
        <v>0.72</v>
      </c>
    </row>
    <row r="174" spans="1:19" ht="15" customHeight="1">
      <c r="A174" s="157" t="str">
        <f>CONCATENATE("测试第",ROW(A174)-ROW($A$173),"轮")</f>
        <v>测试第1轮</v>
      </c>
      <c r="B174" s="165"/>
      <c r="C174" s="165">
        <v>4</v>
      </c>
      <c r="D174" s="165"/>
      <c r="E174" s="165">
        <v>4</v>
      </c>
      <c r="F174" s="165"/>
      <c r="G174" s="166">
        <f t="shared" ref="G174:G177" si="11">I174-H174</f>
        <v>8.8000000000000007</v>
      </c>
      <c r="H174" s="167"/>
      <c r="I174" s="166">
        <f t="shared" ref="I174:I180" si="12">B174*$G$7+C174*$H$7+D174*$I$7+E174*$J$7+F174*$K$7</f>
        <v>8.8000000000000007</v>
      </c>
      <c r="J174" s="199">
        <v>5</v>
      </c>
      <c r="K174" s="200">
        <f t="shared" ref="K174:K180" si="13">I174/J174</f>
        <v>1.7600000000000002</v>
      </c>
      <c r="L174" s="201"/>
      <c r="M174" s="202"/>
      <c r="N174" s="201"/>
      <c r="P174" s="198" t="s">
        <v>211</v>
      </c>
      <c r="Q174" s="214">
        <v>2.0000000000000001E-4</v>
      </c>
      <c r="R174" s="214">
        <v>0.2</v>
      </c>
      <c r="S174" s="214">
        <v>0.39979999999999999</v>
      </c>
    </row>
    <row r="175" spans="1:19" ht="15" customHeight="1">
      <c r="A175" s="157" t="str">
        <f>CONCATENATE("测试第",ROW(A175)-ROW($A$173),"轮")</f>
        <v>测试第2轮</v>
      </c>
      <c r="B175" s="165"/>
      <c r="C175" s="165"/>
      <c r="D175" s="165"/>
      <c r="E175" s="165"/>
      <c r="F175" s="165"/>
      <c r="G175" s="166">
        <f t="shared" si="11"/>
        <v>0</v>
      </c>
      <c r="H175" s="167"/>
      <c r="I175" s="166">
        <f t="shared" si="12"/>
        <v>0</v>
      </c>
      <c r="J175" s="199"/>
      <c r="K175" s="200" t="e">
        <f t="shared" si="13"/>
        <v>#DIV/0!</v>
      </c>
      <c r="L175" s="201"/>
      <c r="M175" s="202"/>
      <c r="N175" s="201"/>
      <c r="P175" s="203" t="s">
        <v>210</v>
      </c>
      <c r="Q175" s="215">
        <v>0</v>
      </c>
      <c r="R175" s="215">
        <v>1.2</v>
      </c>
      <c r="S175" s="215">
        <v>2.4</v>
      </c>
    </row>
    <row r="176" spans="1:19" ht="15" customHeight="1">
      <c r="A176" s="157" t="str">
        <f>CONCATENATE("测试第",ROW(A176)-ROW($A$173),"轮")</f>
        <v>测试第3轮</v>
      </c>
      <c r="B176" s="165"/>
      <c r="C176" s="165"/>
      <c r="D176" s="165"/>
      <c r="E176" s="165"/>
      <c r="F176" s="165"/>
      <c r="G176" s="166">
        <f t="shared" si="11"/>
        <v>0</v>
      </c>
      <c r="H176" s="167"/>
      <c r="I176" s="166">
        <f t="shared" si="12"/>
        <v>0</v>
      </c>
      <c r="J176" s="199"/>
      <c r="K176" s="200" t="e">
        <f t="shared" si="13"/>
        <v>#DIV/0!</v>
      </c>
      <c r="L176" s="201"/>
      <c r="M176" s="202"/>
      <c r="N176" s="201"/>
      <c r="P176" s="203" t="s">
        <v>212</v>
      </c>
      <c r="Q176" s="215">
        <v>2E-3</v>
      </c>
      <c r="R176" s="215">
        <v>0.92</v>
      </c>
      <c r="S176" s="215">
        <v>1.8380000000000001</v>
      </c>
    </row>
    <row r="177" spans="1:14">
      <c r="A177" s="157" t="str">
        <f>CONCATENATE("测试第",ROW(A177)-ROW($A$173),"轮")</f>
        <v>测试第4轮</v>
      </c>
      <c r="B177" s="165"/>
      <c r="C177" s="165"/>
      <c r="D177" s="165"/>
      <c r="E177" s="165"/>
      <c r="F177" s="165"/>
      <c r="G177" s="166">
        <f t="shared" si="11"/>
        <v>0</v>
      </c>
      <c r="H177" s="167"/>
      <c r="I177" s="166">
        <f t="shared" si="12"/>
        <v>0</v>
      </c>
      <c r="J177" s="199"/>
      <c r="K177" s="200" t="e">
        <f t="shared" si="13"/>
        <v>#DIV/0!</v>
      </c>
      <c r="L177" s="201"/>
      <c r="M177" s="202"/>
      <c r="N177" s="201"/>
    </row>
    <row r="178" spans="1:14">
      <c r="A178" s="157" t="s">
        <v>651</v>
      </c>
      <c r="B178" s="168" t="str">
        <f t="shared" ref="B178:F178" si="14">"-"</f>
        <v>-</v>
      </c>
      <c r="C178" s="168" t="str">
        <f t="shared" si="14"/>
        <v>-</v>
      </c>
      <c r="D178" s="168" t="str">
        <f t="shared" si="14"/>
        <v>-</v>
      </c>
      <c r="E178" s="168" t="str">
        <f t="shared" si="14"/>
        <v>-</v>
      </c>
      <c r="F178" s="168" t="str">
        <f t="shared" si="14"/>
        <v>-</v>
      </c>
      <c r="G178" s="169" t="s">
        <v>172</v>
      </c>
      <c r="H178" s="169" t="s">
        <v>172</v>
      </c>
      <c r="I178" s="204" t="e">
        <f t="shared" si="12"/>
        <v>#VALUE!</v>
      </c>
      <c r="J178" s="205" t="s">
        <v>172</v>
      </c>
      <c r="K178" s="206" t="e">
        <f t="shared" si="13"/>
        <v>#VALUE!</v>
      </c>
      <c r="L178" s="207">
        <f>$L$15</f>
        <v>2.0000000000000001E-4</v>
      </c>
      <c r="M178" s="207">
        <f>$M$15</f>
        <v>0.2</v>
      </c>
      <c r="N178" s="207">
        <f>$N$15</f>
        <v>0.39979999999999999</v>
      </c>
    </row>
    <row r="179" spans="1:14" ht="12.75" customHeight="1">
      <c r="A179" s="157" t="s">
        <v>652</v>
      </c>
      <c r="B179" s="170">
        <f t="shared" ref="B179:H179" si="15">SUM(B174:B178)</f>
        <v>0</v>
      </c>
      <c r="C179" s="170">
        <f t="shared" si="15"/>
        <v>4</v>
      </c>
      <c r="D179" s="170">
        <f t="shared" si="15"/>
        <v>0</v>
      </c>
      <c r="E179" s="170">
        <f t="shared" si="15"/>
        <v>4</v>
      </c>
      <c r="F179" s="170">
        <f t="shared" si="15"/>
        <v>0</v>
      </c>
      <c r="G179" s="166">
        <f t="shared" si="15"/>
        <v>8.8000000000000007</v>
      </c>
      <c r="H179" s="166">
        <f t="shared" si="15"/>
        <v>0</v>
      </c>
      <c r="I179" s="166">
        <f t="shared" si="12"/>
        <v>8.8000000000000007</v>
      </c>
      <c r="J179" s="208">
        <f>规模!C18</f>
        <v>0</v>
      </c>
      <c r="K179" s="200" t="e">
        <f t="shared" si="13"/>
        <v>#DIV/0!</v>
      </c>
      <c r="L179" s="201"/>
      <c r="M179" s="202"/>
      <c r="N179" s="201"/>
    </row>
    <row r="180" spans="1:14" ht="12.75" customHeight="1">
      <c r="A180" s="157" t="s">
        <v>653</v>
      </c>
      <c r="B180" s="165"/>
      <c r="C180" s="165"/>
      <c r="D180" s="165"/>
      <c r="E180" s="165"/>
      <c r="F180" s="165"/>
      <c r="G180" s="165"/>
      <c r="H180" s="165"/>
      <c r="I180" s="166">
        <f t="shared" si="12"/>
        <v>0</v>
      </c>
      <c r="J180" s="208">
        <f>规模!C18</f>
        <v>0</v>
      </c>
      <c r="K180" s="200" t="e">
        <f t="shared" si="13"/>
        <v>#DIV/0!</v>
      </c>
      <c r="L180" s="201"/>
      <c r="M180" s="202"/>
      <c r="N180" s="201"/>
    </row>
    <row r="181" spans="1:14">
      <c r="A181" s="171" t="s">
        <v>654</v>
      </c>
      <c r="B181" s="172" t="s">
        <v>172</v>
      </c>
      <c r="C181" s="172" t="s">
        <v>172</v>
      </c>
      <c r="D181" s="172" t="s">
        <v>172</v>
      </c>
      <c r="E181" s="172" t="s">
        <v>172</v>
      </c>
      <c r="F181" s="172" t="s">
        <v>172</v>
      </c>
      <c r="G181" s="172" t="s">
        <v>172</v>
      </c>
      <c r="H181" s="172" t="s">
        <v>172</v>
      </c>
      <c r="I181" s="209"/>
      <c r="J181" s="209" t="s">
        <v>172</v>
      </c>
      <c r="K181" s="210">
        <f>I181/(I179+I180+过程产出缺陷度量!I271)</f>
        <v>0</v>
      </c>
      <c r="L181" s="201"/>
      <c r="M181" s="202"/>
      <c r="N181" s="201"/>
    </row>
    <row r="182" spans="1:14" ht="12.75" customHeight="1"/>
    <row r="183" spans="1:14" ht="16.5" customHeight="1"/>
    <row r="184" spans="1:14" ht="23.1" customHeight="1">
      <c r="L184" s="211"/>
      <c r="M184" s="211"/>
      <c r="N184" s="211"/>
    </row>
    <row r="185" spans="1:14">
      <c r="L185" s="211"/>
      <c r="M185" s="211"/>
      <c r="N185" s="211"/>
    </row>
    <row r="186" spans="1:14" ht="15" customHeight="1"/>
    <row r="187" spans="1:14" ht="12" customHeight="1"/>
    <row r="188" spans="1:14" ht="24.95" customHeight="1"/>
    <row r="189" spans="1:14" ht="18" customHeight="1"/>
    <row r="191" spans="1:14" ht="23.1" customHeight="1"/>
    <row r="192" spans="1:14" ht="23.1" customHeight="1"/>
    <row r="193" spans="1:15" ht="23.1" customHeight="1"/>
    <row r="194" spans="1:15" ht="23.1" customHeight="1"/>
    <row r="195" spans="1:15" ht="23.1" customHeight="1">
      <c r="A195" s="84" t="s">
        <v>655</v>
      </c>
      <c r="B195" s="76"/>
      <c r="G195" s="84" t="s">
        <v>656</v>
      </c>
      <c r="H195" s="93"/>
      <c r="I195" s="76"/>
      <c r="J195" s="76"/>
    </row>
    <row r="196" spans="1:15" ht="23.1" customHeight="1">
      <c r="A196" s="85" t="s">
        <v>657</v>
      </c>
      <c r="G196" s="85" t="s">
        <v>658</v>
      </c>
    </row>
    <row r="197" spans="1:15" ht="23.1" customHeight="1">
      <c r="A197" s="173" t="s">
        <v>659</v>
      </c>
      <c r="F197" s="174"/>
      <c r="G197" s="173" t="s">
        <v>660</v>
      </c>
      <c r="H197" s="85"/>
      <c r="M197" s="174"/>
      <c r="N197" s="174"/>
    </row>
    <row r="198" spans="1:15" ht="30" customHeight="1">
      <c r="A198" s="980" t="s">
        <v>661</v>
      </c>
      <c r="B198" s="175" t="s">
        <v>662</v>
      </c>
      <c r="C198" s="176"/>
      <c r="D198" s="982" t="s">
        <v>663</v>
      </c>
      <c r="E198" s="984" t="e">
        <f>1-(C198/C199)</f>
        <v>#DIV/0!</v>
      </c>
      <c r="F198" s="174"/>
      <c r="G198" s="1001" t="s">
        <v>664</v>
      </c>
      <c r="H198" s="1004" t="s">
        <v>665</v>
      </c>
      <c r="I198" s="1007" t="s">
        <v>666</v>
      </c>
      <c r="J198" s="1008"/>
      <c r="K198" s="1006" t="s">
        <v>236</v>
      </c>
      <c r="M198" s="174"/>
      <c r="N198" s="174"/>
    </row>
    <row r="199" spans="1:15" ht="33.950000000000003" customHeight="1">
      <c r="A199" s="981"/>
      <c r="B199" s="177" t="s">
        <v>667</v>
      </c>
      <c r="C199" s="178"/>
      <c r="D199" s="983"/>
      <c r="E199" s="985"/>
      <c r="G199" s="1002"/>
      <c r="H199" s="1005"/>
      <c r="I199" s="1009"/>
      <c r="J199" s="1010"/>
      <c r="K199" s="1006"/>
      <c r="O199" s="56"/>
    </row>
    <row r="200" spans="1:15" ht="23.1" customHeight="1">
      <c r="G200" s="1003"/>
      <c r="H200" s="179">
        <v>12</v>
      </c>
      <c r="I200" s="993">
        <v>10</v>
      </c>
      <c r="J200" s="994"/>
      <c r="K200" s="212"/>
      <c r="O200" s="56"/>
    </row>
    <row r="201" spans="1:15" ht="23.1" customHeight="1">
      <c r="A201" s="980" t="s">
        <v>668</v>
      </c>
      <c r="B201" s="175" t="s">
        <v>669</v>
      </c>
      <c r="C201" s="176"/>
      <c r="D201" s="982" t="s">
        <v>663</v>
      </c>
      <c r="E201" s="984" t="e">
        <f>1-(C201/C202)</f>
        <v>#DIV/0!</v>
      </c>
      <c r="G201" s="180"/>
      <c r="H201" s="181"/>
      <c r="I201" s="181"/>
      <c r="J201" s="181"/>
      <c r="K201" s="146"/>
      <c r="O201" s="56"/>
    </row>
    <row r="202" spans="1:15" ht="23.1" customHeight="1">
      <c r="A202" s="981"/>
      <c r="B202" s="177" t="s">
        <v>670</v>
      </c>
      <c r="C202" s="178"/>
      <c r="D202" s="983"/>
      <c r="E202" s="985"/>
      <c r="G202" s="180"/>
      <c r="H202" s="181"/>
      <c r="I202" s="181"/>
      <c r="J202" s="181"/>
      <c r="K202" s="146"/>
      <c r="O202" s="56"/>
    </row>
    <row r="203" spans="1:15">
      <c r="G203" s="180"/>
      <c r="H203" s="181"/>
      <c r="I203" s="181"/>
      <c r="J203" s="181"/>
      <c r="K203" s="146"/>
    </row>
    <row r="204" spans="1:15">
      <c r="A204" s="84" t="s">
        <v>671</v>
      </c>
      <c r="B204" s="76"/>
    </row>
    <row r="205" spans="1:15">
      <c r="A205" s="85" t="s">
        <v>672</v>
      </c>
    </row>
    <row r="206" spans="1:15" ht="23.1" customHeight="1">
      <c r="A206" s="173" t="s">
        <v>673</v>
      </c>
    </row>
    <row r="207" spans="1:15" ht="23.1" customHeight="1"/>
    <row r="208" spans="1:15" ht="23.1" customHeight="1">
      <c r="A208" s="182" t="s">
        <v>85</v>
      </c>
      <c r="B208" s="183" t="s">
        <v>674</v>
      </c>
      <c r="C208" s="183" t="s">
        <v>675</v>
      </c>
      <c r="D208" s="995" t="s">
        <v>236</v>
      </c>
      <c r="E208" s="996"/>
    </row>
    <row r="209" spans="1:5" ht="23.1" customHeight="1">
      <c r="A209" s="184">
        <v>1</v>
      </c>
      <c r="B209" s="185" t="s">
        <v>676</v>
      </c>
      <c r="C209" s="186">
        <v>4</v>
      </c>
      <c r="D209" s="997"/>
      <c r="E209" s="998"/>
    </row>
    <row r="210" spans="1:5" ht="23.1" customHeight="1">
      <c r="A210" s="184">
        <v>2</v>
      </c>
      <c r="B210" s="185" t="s">
        <v>695</v>
      </c>
      <c r="C210" s="186">
        <v>1</v>
      </c>
      <c r="D210" s="997"/>
      <c r="E210" s="998"/>
    </row>
    <row r="211" spans="1:5" ht="23.1" customHeight="1">
      <c r="A211" s="184">
        <v>3</v>
      </c>
      <c r="B211" s="185" t="s">
        <v>677</v>
      </c>
      <c r="C211" s="186">
        <v>7</v>
      </c>
      <c r="D211" s="997"/>
      <c r="E211" s="998"/>
    </row>
    <row r="212" spans="1:5" ht="23.1" customHeight="1">
      <c r="A212" s="187">
        <v>4</v>
      </c>
      <c r="B212" s="188" t="s">
        <v>696</v>
      </c>
      <c r="C212" s="189">
        <v>6</v>
      </c>
      <c r="D212" s="999"/>
      <c r="E212" s="1000"/>
    </row>
    <row r="213" spans="1:5" ht="23.1" customHeight="1">
      <c r="B213" s="56"/>
    </row>
    <row r="214" spans="1:5">
      <c r="B214" s="56"/>
    </row>
    <row r="215" spans="1:5">
      <c r="A215" s="84" t="s">
        <v>678</v>
      </c>
      <c r="B215" s="190"/>
    </row>
    <row r="216" spans="1:5">
      <c r="A216" s="85" t="s">
        <v>679</v>
      </c>
      <c r="B216" s="56"/>
    </row>
    <row r="217" spans="1:5" ht="20.25" customHeight="1">
      <c r="A217" s="173" t="s">
        <v>673</v>
      </c>
      <c r="B217" s="56"/>
    </row>
    <row r="218" spans="1:5">
      <c r="A218" s="182" t="s">
        <v>85</v>
      </c>
      <c r="B218" s="182" t="s">
        <v>680</v>
      </c>
      <c r="C218" s="183" t="s">
        <v>675</v>
      </c>
      <c r="D218" s="995" t="s">
        <v>236</v>
      </c>
      <c r="E218" s="996"/>
    </row>
    <row r="219" spans="1:5">
      <c r="A219" s="184">
        <v>1</v>
      </c>
      <c r="B219" s="191"/>
      <c r="C219" s="192"/>
      <c r="D219" s="986"/>
      <c r="E219" s="987"/>
    </row>
    <row r="220" spans="1:5">
      <c r="A220" s="184">
        <v>2</v>
      </c>
      <c r="B220" s="191"/>
      <c r="C220" s="192"/>
      <c r="D220" s="986"/>
      <c r="E220" s="987"/>
    </row>
    <row r="221" spans="1:5">
      <c r="A221" s="184">
        <v>3</v>
      </c>
      <c r="B221" s="191"/>
      <c r="C221" s="192"/>
      <c r="D221" s="986"/>
      <c r="E221" s="987"/>
    </row>
    <row r="222" spans="1:5">
      <c r="A222" s="184">
        <v>4</v>
      </c>
      <c r="B222" s="191"/>
      <c r="C222" s="192"/>
      <c r="D222" s="986"/>
      <c r="E222" s="987"/>
    </row>
    <row r="223" spans="1:5">
      <c r="A223" s="187">
        <v>4</v>
      </c>
      <c r="B223" s="193"/>
      <c r="C223" s="194"/>
      <c r="D223" s="988"/>
      <c r="E223" s="989"/>
    </row>
    <row r="224" spans="1:5">
      <c r="B224" s="56"/>
    </row>
    <row r="225" spans="1:14">
      <c r="B225" s="56"/>
    </row>
    <row r="226" spans="1:14">
      <c r="A226" s="85" t="s">
        <v>683</v>
      </c>
      <c r="B226" s="56"/>
      <c r="H226" s="56"/>
      <c r="I226" s="213"/>
      <c r="J226" s="56"/>
      <c r="K226" s="56"/>
      <c r="L226" s="56"/>
      <c r="M226" s="213"/>
      <c r="N226" s="56"/>
    </row>
    <row r="227" spans="1:14">
      <c r="A227" s="85" t="s">
        <v>684</v>
      </c>
      <c r="B227" s="56"/>
    </row>
    <row r="228" spans="1:14">
      <c r="A228" s="85" t="s">
        <v>685</v>
      </c>
      <c r="B228" s="56"/>
      <c r="I228" s="85"/>
    </row>
    <row r="229" spans="1:14">
      <c r="A229" s="85" t="s">
        <v>686</v>
      </c>
      <c r="B229" s="56"/>
      <c r="I229" s="85"/>
    </row>
    <row r="230" spans="1:14">
      <c r="A230" s="182" t="s">
        <v>85</v>
      </c>
      <c r="B230" s="182" t="s">
        <v>687</v>
      </c>
      <c r="C230" s="183" t="s">
        <v>675</v>
      </c>
      <c r="D230" s="990" t="s">
        <v>236</v>
      </c>
      <c r="E230" s="991"/>
      <c r="F230" s="992"/>
    </row>
    <row r="231" spans="1:14">
      <c r="A231" s="184">
        <v>1</v>
      </c>
      <c r="B231" s="216"/>
      <c r="C231" s="192"/>
      <c r="D231" s="974"/>
      <c r="E231" s="975"/>
      <c r="F231" s="976"/>
      <c r="I231" s="85"/>
    </row>
    <row r="232" spans="1:14">
      <c r="A232" s="184">
        <v>2</v>
      </c>
      <c r="B232" s="217"/>
      <c r="C232" s="192"/>
      <c r="D232" s="974"/>
      <c r="E232" s="975"/>
      <c r="F232" s="976"/>
    </row>
    <row r="233" spans="1:14">
      <c r="A233" s="184">
        <v>3</v>
      </c>
      <c r="B233" s="217"/>
      <c r="C233" s="192"/>
      <c r="D233" s="974"/>
      <c r="E233" s="975"/>
      <c r="F233" s="976"/>
    </row>
    <row r="234" spans="1:14">
      <c r="A234" s="184">
        <v>4</v>
      </c>
      <c r="B234" s="217"/>
      <c r="C234" s="192"/>
      <c r="D234" s="974"/>
      <c r="E234" s="975"/>
      <c r="F234" s="976"/>
    </row>
    <row r="235" spans="1:14">
      <c r="A235" s="184">
        <v>5</v>
      </c>
      <c r="B235" s="218"/>
      <c r="C235" s="219"/>
      <c r="D235" s="974"/>
      <c r="E235" s="975"/>
      <c r="F235" s="976"/>
    </row>
    <row r="236" spans="1:14">
      <c r="A236" s="220">
        <v>6</v>
      </c>
      <c r="B236" s="221"/>
      <c r="C236" s="221"/>
      <c r="D236" s="974"/>
      <c r="E236" s="975"/>
      <c r="F236" s="976"/>
    </row>
    <row r="237" spans="1:14">
      <c r="A237" s="222">
        <v>7</v>
      </c>
      <c r="B237" s="223"/>
      <c r="C237" s="224"/>
      <c r="D237" s="977"/>
      <c r="E237" s="978"/>
      <c r="F237" s="979"/>
    </row>
    <row r="238" spans="1:14">
      <c r="B238" s="56"/>
    </row>
    <row r="240" spans="1:14" ht="27" customHeight="1"/>
  </sheetData>
  <mergeCells count="115">
    <mergeCell ref="A1:N1"/>
    <mergeCell ref="B9:F9"/>
    <mergeCell ref="L9:N9"/>
    <mergeCell ref="I36:J36"/>
    <mergeCell ref="D44:E44"/>
    <mergeCell ref="D45:E45"/>
    <mergeCell ref="D46:E46"/>
    <mergeCell ref="D47:E47"/>
    <mergeCell ref="D48:E48"/>
    <mergeCell ref="G9:G10"/>
    <mergeCell ref="G34:G36"/>
    <mergeCell ref="H9:H10"/>
    <mergeCell ref="H34:H35"/>
    <mergeCell ref="I9:I10"/>
    <mergeCell ref="J9:J10"/>
    <mergeCell ref="K9:K10"/>
    <mergeCell ref="K34:K35"/>
    <mergeCell ref="I34:J35"/>
    <mergeCell ref="D54:E54"/>
    <mergeCell ref="D55:E55"/>
    <mergeCell ref="D56:E56"/>
    <mergeCell ref="D57:E57"/>
    <mergeCell ref="D58:E58"/>
    <mergeCell ref="D59:E59"/>
    <mergeCell ref="D66:F66"/>
    <mergeCell ref="D67:F67"/>
    <mergeCell ref="D68:F68"/>
    <mergeCell ref="D69:F69"/>
    <mergeCell ref="D70:F70"/>
    <mergeCell ref="D71:F71"/>
    <mergeCell ref="D72:F72"/>
    <mergeCell ref="D73:F73"/>
    <mergeCell ref="B90:F90"/>
    <mergeCell ref="L90:N90"/>
    <mergeCell ref="I118:J118"/>
    <mergeCell ref="D126:E126"/>
    <mergeCell ref="G90:G91"/>
    <mergeCell ref="G116:G118"/>
    <mergeCell ref="H90:H91"/>
    <mergeCell ref="H116:H117"/>
    <mergeCell ref="I90:I91"/>
    <mergeCell ref="J90:J91"/>
    <mergeCell ref="K90:K91"/>
    <mergeCell ref="K116:K117"/>
    <mergeCell ref="I116:J117"/>
    <mergeCell ref="D127:E127"/>
    <mergeCell ref="D128:E128"/>
    <mergeCell ref="D129:E129"/>
    <mergeCell ref="D130:E130"/>
    <mergeCell ref="D136:E136"/>
    <mergeCell ref="D137:E137"/>
    <mergeCell ref="D138:E138"/>
    <mergeCell ref="D139:E139"/>
    <mergeCell ref="D140:E140"/>
    <mergeCell ref="D141:E141"/>
    <mergeCell ref="D148:F148"/>
    <mergeCell ref="D149:F149"/>
    <mergeCell ref="D150:F150"/>
    <mergeCell ref="D151:F151"/>
    <mergeCell ref="D152:F152"/>
    <mergeCell ref="D153:F153"/>
    <mergeCell ref="D154:F154"/>
    <mergeCell ref="D155:F155"/>
    <mergeCell ref="B172:F172"/>
    <mergeCell ref="L172:N172"/>
    <mergeCell ref="I200:J200"/>
    <mergeCell ref="D208:E208"/>
    <mergeCell ref="D209:E209"/>
    <mergeCell ref="D210:E210"/>
    <mergeCell ref="D211:E211"/>
    <mergeCell ref="D212:E212"/>
    <mergeCell ref="D218:E218"/>
    <mergeCell ref="E201:E202"/>
    <mergeCell ref="G172:G173"/>
    <mergeCell ref="G198:G200"/>
    <mergeCell ref="H172:H173"/>
    <mergeCell ref="H198:H199"/>
    <mergeCell ref="I172:I173"/>
    <mergeCell ref="J172:J173"/>
    <mergeCell ref="K172:K173"/>
    <mergeCell ref="K198:K199"/>
    <mergeCell ref="I198:J199"/>
    <mergeCell ref="D219:E219"/>
    <mergeCell ref="D220:E220"/>
    <mergeCell ref="D221:E221"/>
    <mergeCell ref="D222:E222"/>
    <mergeCell ref="D223:E223"/>
    <mergeCell ref="D230:F230"/>
    <mergeCell ref="D231:F231"/>
    <mergeCell ref="D232:F232"/>
    <mergeCell ref="D233:F233"/>
    <mergeCell ref="D234:F234"/>
    <mergeCell ref="D235:F235"/>
    <mergeCell ref="D236:F236"/>
    <mergeCell ref="D237:F237"/>
    <mergeCell ref="A9:A10"/>
    <mergeCell ref="A34:A35"/>
    <mergeCell ref="A37:A38"/>
    <mergeCell ref="A90:A91"/>
    <mergeCell ref="A116:A117"/>
    <mergeCell ref="A119:A120"/>
    <mergeCell ref="A172:A173"/>
    <mergeCell ref="A198:A199"/>
    <mergeCell ref="A201:A202"/>
    <mergeCell ref="D34:D35"/>
    <mergeCell ref="D37:D38"/>
    <mergeCell ref="D116:D117"/>
    <mergeCell ref="D119:D120"/>
    <mergeCell ref="D198:D199"/>
    <mergeCell ref="D201:D202"/>
    <mergeCell ref="E34:E35"/>
    <mergeCell ref="E37:E38"/>
    <mergeCell ref="E116:E117"/>
    <mergeCell ref="E119:E120"/>
    <mergeCell ref="E198:E199"/>
  </mergeCells>
  <phoneticPr fontId="150" type="noConversion"/>
  <conditionalFormatting sqref="K16">
    <cfRule type="cellIs" dxfId="7" priority="8" operator="greaterThan">
      <formula>$N$16</formula>
    </cfRule>
  </conditionalFormatting>
  <conditionalFormatting sqref="K17">
    <cfRule type="cellIs" dxfId="6" priority="7" operator="greaterThan">
      <formula>$N$17</formula>
    </cfRule>
  </conditionalFormatting>
  <conditionalFormatting sqref="K98">
    <cfRule type="cellIs" dxfId="5" priority="5" operator="greaterThan">
      <formula>$N$16</formula>
    </cfRule>
  </conditionalFormatting>
  <conditionalFormatting sqref="K99">
    <cfRule type="cellIs" dxfId="4" priority="4" operator="greaterThan">
      <formula>$N$17</formula>
    </cfRule>
  </conditionalFormatting>
  <conditionalFormatting sqref="K180">
    <cfRule type="cellIs" dxfId="3" priority="2" operator="greaterThan">
      <formula>$N$16</formula>
    </cfRule>
  </conditionalFormatting>
  <conditionalFormatting sqref="K181">
    <cfRule type="cellIs" dxfId="2" priority="1" operator="greaterThan">
      <formula>$N$17</formula>
    </cfRule>
  </conditionalFormatting>
  <conditionalFormatting sqref="K174:K179">
    <cfRule type="cellIs" dxfId="1" priority="3" operator="greaterThan">
      <formula>$N$14</formula>
    </cfRule>
  </conditionalFormatting>
  <conditionalFormatting sqref="K92:K97 K11:K15">
    <cfRule type="cellIs" dxfId="0" priority="6" operator="greaterThan">
      <formula>$N$14</formula>
    </cfRule>
  </conditionalFormatting>
  <dataValidations count="2">
    <dataValidation type="list" allowBlank="1" showInputMessage="1" showErrorMessage="1" sqref="B7 B88 B170" xr:uid="{00000000-0002-0000-0F00-000000000000}">
      <formula1>"强测试,弱测试"</formula1>
    </dataValidation>
    <dataValidation type="list" allowBlank="1" showInputMessage="1" showErrorMessage="1" sqref="D7 D88 D170" xr:uid="{00000000-0002-0000-0F00-000001000000}">
      <formula1>"内部验收,外部验收"</formula1>
    </dataValidation>
  </dataValidations>
  <pageMargins left="0.75" right="0.75" top="1" bottom="1" header="0.5" footer="0.5"/>
  <pageSetup paperSize="9"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63492" r:id="rId3" name="Button 4">
              <controlPr defaultSize="0" print="0" autoPict="0" macro="[0]!Button14_Click_Test_delete">
                <anchor moveWithCells="1">
                  <from>
                    <xdr:col>0</xdr:col>
                    <xdr:colOff>85725</xdr:colOff>
                    <xdr:row>20</xdr:row>
                    <xdr:rowOff>28575</xdr:rowOff>
                  </from>
                  <to>
                    <xdr:col>1</xdr:col>
                    <xdr:colOff>66675</xdr:colOff>
                    <xdr:row>21</xdr:row>
                    <xdr:rowOff>133350</xdr:rowOff>
                  </to>
                </anchor>
              </controlPr>
            </control>
          </mc:Choice>
        </mc:AlternateContent>
        <mc:AlternateContent xmlns:mc="http://schemas.openxmlformats.org/markup-compatibility/2006">
          <mc:Choice Requires="x14">
            <control shapeId="63491" r:id="rId4" name="Button 3">
              <controlPr defaultSize="0" print="0" autoPict="0" macro="[0]!button8_Click_Test_add">
                <anchor moveWithCells="1">
                  <from>
                    <xdr:col>0</xdr:col>
                    <xdr:colOff>95250</xdr:colOff>
                    <xdr:row>18</xdr:row>
                    <xdr:rowOff>28575</xdr:rowOff>
                  </from>
                  <to>
                    <xdr:col>1</xdr:col>
                    <xdr:colOff>76200</xdr:colOff>
                    <xdr:row>19</xdr:row>
                    <xdr:rowOff>47625</xdr:rowOff>
                  </to>
                </anchor>
              </controlPr>
            </control>
          </mc:Choice>
        </mc:AlternateContent>
        <mc:AlternateContent xmlns:mc="http://schemas.openxmlformats.org/markup-compatibility/2006">
          <mc:Choice Requires="x14">
            <control shapeId="63496" r:id="rId5" name="Button 8">
              <controlPr defaultSize="0" print="0" autoPict="0" macro="[0]!Button14_Click_Test_delete">
                <anchor moveWithCells="1">
                  <from>
                    <xdr:col>0</xdr:col>
                    <xdr:colOff>85725</xdr:colOff>
                    <xdr:row>102</xdr:row>
                    <xdr:rowOff>28575</xdr:rowOff>
                  </from>
                  <to>
                    <xdr:col>1</xdr:col>
                    <xdr:colOff>66675</xdr:colOff>
                    <xdr:row>103</xdr:row>
                    <xdr:rowOff>133350</xdr:rowOff>
                  </to>
                </anchor>
              </controlPr>
            </control>
          </mc:Choice>
        </mc:AlternateContent>
        <mc:AlternateContent xmlns:mc="http://schemas.openxmlformats.org/markup-compatibility/2006">
          <mc:Choice Requires="x14">
            <control shapeId="63497" r:id="rId6" name="Button 9">
              <controlPr defaultSize="0" print="0" autoPict="0" macro="[0]!button8_Click_Test_add">
                <anchor moveWithCells="1">
                  <from>
                    <xdr:col>0</xdr:col>
                    <xdr:colOff>95250</xdr:colOff>
                    <xdr:row>100</xdr:row>
                    <xdr:rowOff>28575</xdr:rowOff>
                  </from>
                  <to>
                    <xdr:col>1</xdr:col>
                    <xdr:colOff>76200</xdr:colOff>
                    <xdr:row>101</xdr:row>
                    <xdr:rowOff>47625</xdr:rowOff>
                  </to>
                </anchor>
              </controlPr>
            </control>
          </mc:Choice>
        </mc:AlternateContent>
        <mc:AlternateContent xmlns:mc="http://schemas.openxmlformats.org/markup-compatibility/2006">
          <mc:Choice Requires="x14">
            <control shapeId="63501" r:id="rId7" name="Button 13">
              <controlPr defaultSize="0" print="0" autoPict="0" macro="[0]!Button14_Click_Test_delete">
                <anchor moveWithCells="1">
                  <from>
                    <xdr:col>0</xdr:col>
                    <xdr:colOff>85725</xdr:colOff>
                    <xdr:row>184</xdr:row>
                    <xdr:rowOff>28575</xdr:rowOff>
                  </from>
                  <to>
                    <xdr:col>1</xdr:col>
                    <xdr:colOff>66675</xdr:colOff>
                    <xdr:row>185</xdr:row>
                    <xdr:rowOff>133350</xdr:rowOff>
                  </to>
                </anchor>
              </controlPr>
            </control>
          </mc:Choice>
        </mc:AlternateContent>
        <mc:AlternateContent xmlns:mc="http://schemas.openxmlformats.org/markup-compatibility/2006">
          <mc:Choice Requires="x14">
            <control shapeId="63502" r:id="rId8" name="Button 14">
              <controlPr defaultSize="0" print="0" autoPict="0" macro="[0]!button8_Click_Test_add">
                <anchor moveWithCells="1">
                  <from>
                    <xdr:col>0</xdr:col>
                    <xdr:colOff>95250</xdr:colOff>
                    <xdr:row>182</xdr:row>
                    <xdr:rowOff>28575</xdr:rowOff>
                  </from>
                  <to>
                    <xdr:col>1</xdr:col>
                    <xdr:colOff>76200</xdr:colOff>
                    <xdr:row>183</xdr:row>
                    <xdr:rowOff>47625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7"/>
  </sheetPr>
  <dimension ref="A1:Q97"/>
  <sheetViews>
    <sheetView showGridLines="0" topLeftCell="A58" workbookViewId="0">
      <selection activeCell="G69" sqref="G69"/>
    </sheetView>
  </sheetViews>
  <sheetFormatPr defaultColWidth="9" defaultRowHeight="12"/>
  <cols>
    <col min="1" max="1" width="19.75" style="57" customWidth="1"/>
    <col min="2" max="2" width="17.125" style="57" customWidth="1"/>
    <col min="3" max="3" width="13.875" style="58" customWidth="1"/>
    <col min="4" max="4" width="12.25" style="58" customWidth="1"/>
    <col min="5" max="5" width="12.625" style="57" customWidth="1"/>
    <col min="6" max="6" width="13.625" style="57" customWidth="1"/>
    <col min="7" max="7" width="11.75" style="57" customWidth="1"/>
    <col min="8" max="8" width="13.25" style="57" customWidth="1"/>
    <col min="9" max="9" width="11.625" style="57" customWidth="1"/>
    <col min="10" max="10" width="12.625" style="57" customWidth="1"/>
    <col min="11" max="11" width="9.5" style="57" customWidth="1"/>
    <col min="12" max="12" width="10.75" style="57" customWidth="1"/>
    <col min="13" max="13" width="8" style="57" customWidth="1"/>
    <col min="14" max="15" width="9" style="57"/>
    <col min="16" max="16" width="9.375" style="57" customWidth="1"/>
    <col min="17" max="17" width="9" style="57"/>
    <col min="18" max="18" width="7.5" style="57" customWidth="1"/>
    <col min="19" max="19" width="9.875" style="57" customWidth="1"/>
    <col min="20" max="256" width="9" style="57"/>
    <col min="257" max="257" width="14.375" style="57" customWidth="1"/>
    <col min="258" max="258" width="11.875" style="57" customWidth="1"/>
    <col min="259" max="259" width="13.875" style="57" customWidth="1"/>
    <col min="260" max="260" width="12.25" style="57" customWidth="1"/>
    <col min="261" max="261" width="12.625" style="57" customWidth="1"/>
    <col min="262" max="262" width="13.625" style="57" customWidth="1"/>
    <col min="263" max="263" width="11.75" style="57" customWidth="1"/>
    <col min="264" max="264" width="13.25" style="57" customWidth="1"/>
    <col min="265" max="265" width="11.625" style="57" customWidth="1"/>
    <col min="266" max="266" width="12.625" style="57" customWidth="1"/>
    <col min="267" max="267" width="9.5" style="57" customWidth="1"/>
    <col min="268" max="268" width="10.75" style="57" customWidth="1"/>
    <col min="269" max="269" width="8" style="57" customWidth="1"/>
    <col min="270" max="271" width="9" style="57"/>
    <col min="272" max="272" width="9.375" style="57" customWidth="1"/>
    <col min="273" max="273" width="9" style="57"/>
    <col min="274" max="274" width="7.5" style="57" customWidth="1"/>
    <col min="275" max="275" width="9.875" style="57" customWidth="1"/>
    <col min="276" max="512" width="9" style="57"/>
    <col min="513" max="513" width="14.375" style="57" customWidth="1"/>
    <col min="514" max="514" width="11.875" style="57" customWidth="1"/>
    <col min="515" max="515" width="13.875" style="57" customWidth="1"/>
    <col min="516" max="516" width="12.25" style="57" customWidth="1"/>
    <col min="517" max="517" width="12.625" style="57" customWidth="1"/>
    <col min="518" max="518" width="13.625" style="57" customWidth="1"/>
    <col min="519" max="519" width="11.75" style="57" customWidth="1"/>
    <col min="520" max="520" width="13.25" style="57" customWidth="1"/>
    <col min="521" max="521" width="11.625" style="57" customWidth="1"/>
    <col min="522" max="522" width="12.625" style="57" customWidth="1"/>
    <col min="523" max="523" width="9.5" style="57" customWidth="1"/>
    <col min="524" max="524" width="10.75" style="57" customWidth="1"/>
    <col min="525" max="525" width="8" style="57" customWidth="1"/>
    <col min="526" max="527" width="9" style="57"/>
    <col min="528" max="528" width="9.375" style="57" customWidth="1"/>
    <col min="529" max="529" width="9" style="57"/>
    <col min="530" max="530" width="7.5" style="57" customWidth="1"/>
    <col min="531" max="531" width="9.875" style="57" customWidth="1"/>
    <col min="532" max="768" width="9" style="57"/>
    <col min="769" max="769" width="14.375" style="57" customWidth="1"/>
    <col min="770" max="770" width="11.875" style="57" customWidth="1"/>
    <col min="771" max="771" width="13.875" style="57" customWidth="1"/>
    <col min="772" max="772" width="12.25" style="57" customWidth="1"/>
    <col min="773" max="773" width="12.625" style="57" customWidth="1"/>
    <col min="774" max="774" width="13.625" style="57" customWidth="1"/>
    <col min="775" max="775" width="11.75" style="57" customWidth="1"/>
    <col min="776" max="776" width="13.25" style="57" customWidth="1"/>
    <col min="777" max="777" width="11.625" style="57" customWidth="1"/>
    <col min="778" max="778" width="12.625" style="57" customWidth="1"/>
    <col min="779" max="779" width="9.5" style="57" customWidth="1"/>
    <col min="780" max="780" width="10.75" style="57" customWidth="1"/>
    <col min="781" max="781" width="8" style="57" customWidth="1"/>
    <col min="782" max="783" width="9" style="57"/>
    <col min="784" max="784" width="9.375" style="57" customWidth="1"/>
    <col min="785" max="785" width="9" style="57"/>
    <col min="786" max="786" width="7.5" style="57" customWidth="1"/>
    <col min="787" max="787" width="9.875" style="57" customWidth="1"/>
    <col min="788" max="1024" width="9" style="57"/>
    <col min="1025" max="1025" width="14.375" style="57" customWidth="1"/>
    <col min="1026" max="1026" width="11.875" style="57" customWidth="1"/>
    <col min="1027" max="1027" width="13.875" style="57" customWidth="1"/>
    <col min="1028" max="1028" width="12.25" style="57" customWidth="1"/>
    <col min="1029" max="1029" width="12.625" style="57" customWidth="1"/>
    <col min="1030" max="1030" width="13.625" style="57" customWidth="1"/>
    <col min="1031" max="1031" width="11.75" style="57" customWidth="1"/>
    <col min="1032" max="1032" width="13.25" style="57" customWidth="1"/>
    <col min="1033" max="1033" width="11.625" style="57" customWidth="1"/>
    <col min="1034" max="1034" width="12.625" style="57" customWidth="1"/>
    <col min="1035" max="1035" width="9.5" style="57" customWidth="1"/>
    <col min="1036" max="1036" width="10.75" style="57" customWidth="1"/>
    <col min="1037" max="1037" width="8" style="57" customWidth="1"/>
    <col min="1038" max="1039" width="9" style="57"/>
    <col min="1040" max="1040" width="9.375" style="57" customWidth="1"/>
    <col min="1041" max="1041" width="9" style="57"/>
    <col min="1042" max="1042" width="7.5" style="57" customWidth="1"/>
    <col min="1043" max="1043" width="9.875" style="57" customWidth="1"/>
    <col min="1044" max="1280" width="9" style="57"/>
    <col min="1281" max="1281" width="14.375" style="57" customWidth="1"/>
    <col min="1282" max="1282" width="11.875" style="57" customWidth="1"/>
    <col min="1283" max="1283" width="13.875" style="57" customWidth="1"/>
    <col min="1284" max="1284" width="12.25" style="57" customWidth="1"/>
    <col min="1285" max="1285" width="12.625" style="57" customWidth="1"/>
    <col min="1286" max="1286" width="13.625" style="57" customWidth="1"/>
    <col min="1287" max="1287" width="11.75" style="57" customWidth="1"/>
    <col min="1288" max="1288" width="13.25" style="57" customWidth="1"/>
    <col min="1289" max="1289" width="11.625" style="57" customWidth="1"/>
    <col min="1290" max="1290" width="12.625" style="57" customWidth="1"/>
    <col min="1291" max="1291" width="9.5" style="57" customWidth="1"/>
    <col min="1292" max="1292" width="10.75" style="57" customWidth="1"/>
    <col min="1293" max="1293" width="8" style="57" customWidth="1"/>
    <col min="1294" max="1295" width="9" style="57"/>
    <col min="1296" max="1296" width="9.375" style="57" customWidth="1"/>
    <col min="1297" max="1297" width="9" style="57"/>
    <col min="1298" max="1298" width="7.5" style="57" customWidth="1"/>
    <col min="1299" max="1299" width="9.875" style="57" customWidth="1"/>
    <col min="1300" max="1536" width="9" style="57"/>
    <col min="1537" max="1537" width="14.375" style="57" customWidth="1"/>
    <col min="1538" max="1538" width="11.875" style="57" customWidth="1"/>
    <col min="1539" max="1539" width="13.875" style="57" customWidth="1"/>
    <col min="1540" max="1540" width="12.25" style="57" customWidth="1"/>
    <col min="1541" max="1541" width="12.625" style="57" customWidth="1"/>
    <col min="1542" max="1542" width="13.625" style="57" customWidth="1"/>
    <col min="1543" max="1543" width="11.75" style="57" customWidth="1"/>
    <col min="1544" max="1544" width="13.25" style="57" customWidth="1"/>
    <col min="1545" max="1545" width="11.625" style="57" customWidth="1"/>
    <col min="1546" max="1546" width="12.625" style="57" customWidth="1"/>
    <col min="1547" max="1547" width="9.5" style="57" customWidth="1"/>
    <col min="1548" max="1548" width="10.75" style="57" customWidth="1"/>
    <col min="1549" max="1549" width="8" style="57" customWidth="1"/>
    <col min="1550" max="1551" width="9" style="57"/>
    <col min="1552" max="1552" width="9.375" style="57" customWidth="1"/>
    <col min="1553" max="1553" width="9" style="57"/>
    <col min="1554" max="1554" width="7.5" style="57" customWidth="1"/>
    <col min="1555" max="1555" width="9.875" style="57" customWidth="1"/>
    <col min="1556" max="1792" width="9" style="57"/>
    <col min="1793" max="1793" width="14.375" style="57" customWidth="1"/>
    <col min="1794" max="1794" width="11.875" style="57" customWidth="1"/>
    <col min="1795" max="1795" width="13.875" style="57" customWidth="1"/>
    <col min="1796" max="1796" width="12.25" style="57" customWidth="1"/>
    <col min="1797" max="1797" width="12.625" style="57" customWidth="1"/>
    <col min="1798" max="1798" width="13.625" style="57" customWidth="1"/>
    <col min="1799" max="1799" width="11.75" style="57" customWidth="1"/>
    <col min="1800" max="1800" width="13.25" style="57" customWidth="1"/>
    <col min="1801" max="1801" width="11.625" style="57" customWidth="1"/>
    <col min="1802" max="1802" width="12.625" style="57" customWidth="1"/>
    <col min="1803" max="1803" width="9.5" style="57" customWidth="1"/>
    <col min="1804" max="1804" width="10.75" style="57" customWidth="1"/>
    <col min="1805" max="1805" width="8" style="57" customWidth="1"/>
    <col min="1806" max="1807" width="9" style="57"/>
    <col min="1808" max="1808" width="9.375" style="57" customWidth="1"/>
    <col min="1809" max="1809" width="9" style="57"/>
    <col min="1810" max="1810" width="7.5" style="57" customWidth="1"/>
    <col min="1811" max="1811" width="9.875" style="57" customWidth="1"/>
    <col min="1812" max="2048" width="9" style="57"/>
    <col min="2049" max="2049" width="14.375" style="57" customWidth="1"/>
    <col min="2050" max="2050" width="11.875" style="57" customWidth="1"/>
    <col min="2051" max="2051" width="13.875" style="57" customWidth="1"/>
    <col min="2052" max="2052" width="12.25" style="57" customWidth="1"/>
    <col min="2053" max="2053" width="12.625" style="57" customWidth="1"/>
    <col min="2054" max="2054" width="13.625" style="57" customWidth="1"/>
    <col min="2055" max="2055" width="11.75" style="57" customWidth="1"/>
    <col min="2056" max="2056" width="13.25" style="57" customWidth="1"/>
    <col min="2057" max="2057" width="11.625" style="57" customWidth="1"/>
    <col min="2058" max="2058" width="12.625" style="57" customWidth="1"/>
    <col min="2059" max="2059" width="9.5" style="57" customWidth="1"/>
    <col min="2060" max="2060" width="10.75" style="57" customWidth="1"/>
    <col min="2061" max="2061" width="8" style="57" customWidth="1"/>
    <col min="2062" max="2063" width="9" style="57"/>
    <col min="2064" max="2064" width="9.375" style="57" customWidth="1"/>
    <col min="2065" max="2065" width="9" style="57"/>
    <col min="2066" max="2066" width="7.5" style="57" customWidth="1"/>
    <col min="2067" max="2067" width="9.875" style="57" customWidth="1"/>
    <col min="2068" max="2304" width="9" style="57"/>
    <col min="2305" max="2305" width="14.375" style="57" customWidth="1"/>
    <col min="2306" max="2306" width="11.875" style="57" customWidth="1"/>
    <col min="2307" max="2307" width="13.875" style="57" customWidth="1"/>
    <col min="2308" max="2308" width="12.25" style="57" customWidth="1"/>
    <col min="2309" max="2309" width="12.625" style="57" customWidth="1"/>
    <col min="2310" max="2310" width="13.625" style="57" customWidth="1"/>
    <col min="2311" max="2311" width="11.75" style="57" customWidth="1"/>
    <col min="2312" max="2312" width="13.25" style="57" customWidth="1"/>
    <col min="2313" max="2313" width="11.625" style="57" customWidth="1"/>
    <col min="2314" max="2314" width="12.625" style="57" customWidth="1"/>
    <col min="2315" max="2315" width="9.5" style="57" customWidth="1"/>
    <col min="2316" max="2316" width="10.75" style="57" customWidth="1"/>
    <col min="2317" max="2317" width="8" style="57" customWidth="1"/>
    <col min="2318" max="2319" width="9" style="57"/>
    <col min="2320" max="2320" width="9.375" style="57" customWidth="1"/>
    <col min="2321" max="2321" width="9" style="57"/>
    <col min="2322" max="2322" width="7.5" style="57" customWidth="1"/>
    <col min="2323" max="2323" width="9.875" style="57" customWidth="1"/>
    <col min="2324" max="2560" width="9" style="57"/>
    <col min="2561" max="2561" width="14.375" style="57" customWidth="1"/>
    <col min="2562" max="2562" width="11.875" style="57" customWidth="1"/>
    <col min="2563" max="2563" width="13.875" style="57" customWidth="1"/>
    <col min="2564" max="2564" width="12.25" style="57" customWidth="1"/>
    <col min="2565" max="2565" width="12.625" style="57" customWidth="1"/>
    <col min="2566" max="2566" width="13.625" style="57" customWidth="1"/>
    <col min="2567" max="2567" width="11.75" style="57" customWidth="1"/>
    <col min="2568" max="2568" width="13.25" style="57" customWidth="1"/>
    <col min="2569" max="2569" width="11.625" style="57" customWidth="1"/>
    <col min="2570" max="2570" width="12.625" style="57" customWidth="1"/>
    <col min="2571" max="2571" width="9.5" style="57" customWidth="1"/>
    <col min="2572" max="2572" width="10.75" style="57" customWidth="1"/>
    <col min="2573" max="2573" width="8" style="57" customWidth="1"/>
    <col min="2574" max="2575" width="9" style="57"/>
    <col min="2576" max="2576" width="9.375" style="57" customWidth="1"/>
    <col min="2577" max="2577" width="9" style="57"/>
    <col min="2578" max="2578" width="7.5" style="57" customWidth="1"/>
    <col min="2579" max="2579" width="9.875" style="57" customWidth="1"/>
    <col min="2580" max="2816" width="9" style="57"/>
    <col min="2817" max="2817" width="14.375" style="57" customWidth="1"/>
    <col min="2818" max="2818" width="11.875" style="57" customWidth="1"/>
    <col min="2819" max="2819" width="13.875" style="57" customWidth="1"/>
    <col min="2820" max="2820" width="12.25" style="57" customWidth="1"/>
    <col min="2821" max="2821" width="12.625" style="57" customWidth="1"/>
    <col min="2822" max="2822" width="13.625" style="57" customWidth="1"/>
    <col min="2823" max="2823" width="11.75" style="57" customWidth="1"/>
    <col min="2824" max="2824" width="13.25" style="57" customWidth="1"/>
    <col min="2825" max="2825" width="11.625" style="57" customWidth="1"/>
    <col min="2826" max="2826" width="12.625" style="57" customWidth="1"/>
    <col min="2827" max="2827" width="9.5" style="57" customWidth="1"/>
    <col min="2828" max="2828" width="10.75" style="57" customWidth="1"/>
    <col min="2829" max="2829" width="8" style="57" customWidth="1"/>
    <col min="2830" max="2831" width="9" style="57"/>
    <col min="2832" max="2832" width="9.375" style="57" customWidth="1"/>
    <col min="2833" max="2833" width="9" style="57"/>
    <col min="2834" max="2834" width="7.5" style="57" customWidth="1"/>
    <col min="2835" max="2835" width="9.875" style="57" customWidth="1"/>
    <col min="2836" max="3072" width="9" style="57"/>
    <col min="3073" max="3073" width="14.375" style="57" customWidth="1"/>
    <col min="3074" max="3074" width="11.875" style="57" customWidth="1"/>
    <col min="3075" max="3075" width="13.875" style="57" customWidth="1"/>
    <col min="3076" max="3076" width="12.25" style="57" customWidth="1"/>
    <col min="3077" max="3077" width="12.625" style="57" customWidth="1"/>
    <col min="3078" max="3078" width="13.625" style="57" customWidth="1"/>
    <col min="3079" max="3079" width="11.75" style="57" customWidth="1"/>
    <col min="3080" max="3080" width="13.25" style="57" customWidth="1"/>
    <col min="3081" max="3081" width="11.625" style="57" customWidth="1"/>
    <col min="3082" max="3082" width="12.625" style="57" customWidth="1"/>
    <col min="3083" max="3083" width="9.5" style="57" customWidth="1"/>
    <col min="3084" max="3084" width="10.75" style="57" customWidth="1"/>
    <col min="3085" max="3085" width="8" style="57" customWidth="1"/>
    <col min="3086" max="3087" width="9" style="57"/>
    <col min="3088" max="3088" width="9.375" style="57" customWidth="1"/>
    <col min="3089" max="3089" width="9" style="57"/>
    <col min="3090" max="3090" width="7.5" style="57" customWidth="1"/>
    <col min="3091" max="3091" width="9.875" style="57" customWidth="1"/>
    <col min="3092" max="3328" width="9" style="57"/>
    <col min="3329" max="3329" width="14.375" style="57" customWidth="1"/>
    <col min="3330" max="3330" width="11.875" style="57" customWidth="1"/>
    <col min="3331" max="3331" width="13.875" style="57" customWidth="1"/>
    <col min="3332" max="3332" width="12.25" style="57" customWidth="1"/>
    <col min="3333" max="3333" width="12.625" style="57" customWidth="1"/>
    <col min="3334" max="3334" width="13.625" style="57" customWidth="1"/>
    <col min="3335" max="3335" width="11.75" style="57" customWidth="1"/>
    <col min="3336" max="3336" width="13.25" style="57" customWidth="1"/>
    <col min="3337" max="3337" width="11.625" style="57" customWidth="1"/>
    <col min="3338" max="3338" width="12.625" style="57" customWidth="1"/>
    <col min="3339" max="3339" width="9.5" style="57" customWidth="1"/>
    <col min="3340" max="3340" width="10.75" style="57" customWidth="1"/>
    <col min="3341" max="3341" width="8" style="57" customWidth="1"/>
    <col min="3342" max="3343" width="9" style="57"/>
    <col min="3344" max="3344" width="9.375" style="57" customWidth="1"/>
    <col min="3345" max="3345" width="9" style="57"/>
    <col min="3346" max="3346" width="7.5" style="57" customWidth="1"/>
    <col min="3347" max="3347" width="9.875" style="57" customWidth="1"/>
    <col min="3348" max="3584" width="9" style="57"/>
    <col min="3585" max="3585" width="14.375" style="57" customWidth="1"/>
    <col min="3586" max="3586" width="11.875" style="57" customWidth="1"/>
    <col min="3587" max="3587" width="13.875" style="57" customWidth="1"/>
    <col min="3588" max="3588" width="12.25" style="57" customWidth="1"/>
    <col min="3589" max="3589" width="12.625" style="57" customWidth="1"/>
    <col min="3590" max="3590" width="13.625" style="57" customWidth="1"/>
    <col min="3591" max="3591" width="11.75" style="57" customWidth="1"/>
    <col min="3592" max="3592" width="13.25" style="57" customWidth="1"/>
    <col min="3593" max="3593" width="11.625" style="57" customWidth="1"/>
    <col min="3594" max="3594" width="12.625" style="57" customWidth="1"/>
    <col min="3595" max="3595" width="9.5" style="57" customWidth="1"/>
    <col min="3596" max="3596" width="10.75" style="57" customWidth="1"/>
    <col min="3597" max="3597" width="8" style="57" customWidth="1"/>
    <col min="3598" max="3599" width="9" style="57"/>
    <col min="3600" max="3600" width="9.375" style="57" customWidth="1"/>
    <col min="3601" max="3601" width="9" style="57"/>
    <col min="3602" max="3602" width="7.5" style="57" customWidth="1"/>
    <col min="3603" max="3603" width="9.875" style="57" customWidth="1"/>
    <col min="3604" max="3840" width="9" style="57"/>
    <col min="3841" max="3841" width="14.375" style="57" customWidth="1"/>
    <col min="3842" max="3842" width="11.875" style="57" customWidth="1"/>
    <col min="3843" max="3843" width="13.875" style="57" customWidth="1"/>
    <col min="3844" max="3844" width="12.25" style="57" customWidth="1"/>
    <col min="3845" max="3845" width="12.625" style="57" customWidth="1"/>
    <col min="3846" max="3846" width="13.625" style="57" customWidth="1"/>
    <col min="3847" max="3847" width="11.75" style="57" customWidth="1"/>
    <col min="3848" max="3848" width="13.25" style="57" customWidth="1"/>
    <col min="3849" max="3849" width="11.625" style="57" customWidth="1"/>
    <col min="3850" max="3850" width="12.625" style="57" customWidth="1"/>
    <col min="3851" max="3851" width="9.5" style="57" customWidth="1"/>
    <col min="3852" max="3852" width="10.75" style="57" customWidth="1"/>
    <col min="3853" max="3853" width="8" style="57" customWidth="1"/>
    <col min="3854" max="3855" width="9" style="57"/>
    <col min="3856" max="3856" width="9.375" style="57" customWidth="1"/>
    <col min="3857" max="3857" width="9" style="57"/>
    <col min="3858" max="3858" width="7.5" style="57" customWidth="1"/>
    <col min="3859" max="3859" width="9.875" style="57" customWidth="1"/>
    <col min="3860" max="4096" width="9" style="57"/>
    <col min="4097" max="4097" width="14.375" style="57" customWidth="1"/>
    <col min="4098" max="4098" width="11.875" style="57" customWidth="1"/>
    <col min="4099" max="4099" width="13.875" style="57" customWidth="1"/>
    <col min="4100" max="4100" width="12.25" style="57" customWidth="1"/>
    <col min="4101" max="4101" width="12.625" style="57" customWidth="1"/>
    <col min="4102" max="4102" width="13.625" style="57" customWidth="1"/>
    <col min="4103" max="4103" width="11.75" style="57" customWidth="1"/>
    <col min="4104" max="4104" width="13.25" style="57" customWidth="1"/>
    <col min="4105" max="4105" width="11.625" style="57" customWidth="1"/>
    <col min="4106" max="4106" width="12.625" style="57" customWidth="1"/>
    <col min="4107" max="4107" width="9.5" style="57" customWidth="1"/>
    <col min="4108" max="4108" width="10.75" style="57" customWidth="1"/>
    <col min="4109" max="4109" width="8" style="57" customWidth="1"/>
    <col min="4110" max="4111" width="9" style="57"/>
    <col min="4112" max="4112" width="9.375" style="57" customWidth="1"/>
    <col min="4113" max="4113" width="9" style="57"/>
    <col min="4114" max="4114" width="7.5" style="57" customWidth="1"/>
    <col min="4115" max="4115" width="9.875" style="57" customWidth="1"/>
    <col min="4116" max="4352" width="9" style="57"/>
    <col min="4353" max="4353" width="14.375" style="57" customWidth="1"/>
    <col min="4354" max="4354" width="11.875" style="57" customWidth="1"/>
    <col min="4355" max="4355" width="13.875" style="57" customWidth="1"/>
    <col min="4356" max="4356" width="12.25" style="57" customWidth="1"/>
    <col min="4357" max="4357" width="12.625" style="57" customWidth="1"/>
    <col min="4358" max="4358" width="13.625" style="57" customWidth="1"/>
    <col min="4359" max="4359" width="11.75" style="57" customWidth="1"/>
    <col min="4360" max="4360" width="13.25" style="57" customWidth="1"/>
    <col min="4361" max="4361" width="11.625" style="57" customWidth="1"/>
    <col min="4362" max="4362" width="12.625" style="57" customWidth="1"/>
    <col min="4363" max="4363" width="9.5" style="57" customWidth="1"/>
    <col min="4364" max="4364" width="10.75" style="57" customWidth="1"/>
    <col min="4365" max="4365" width="8" style="57" customWidth="1"/>
    <col min="4366" max="4367" width="9" style="57"/>
    <col min="4368" max="4368" width="9.375" style="57" customWidth="1"/>
    <col min="4369" max="4369" width="9" style="57"/>
    <col min="4370" max="4370" width="7.5" style="57" customWidth="1"/>
    <col min="4371" max="4371" width="9.875" style="57" customWidth="1"/>
    <col min="4372" max="4608" width="9" style="57"/>
    <col min="4609" max="4609" width="14.375" style="57" customWidth="1"/>
    <col min="4610" max="4610" width="11.875" style="57" customWidth="1"/>
    <col min="4611" max="4611" width="13.875" style="57" customWidth="1"/>
    <col min="4612" max="4612" width="12.25" style="57" customWidth="1"/>
    <col min="4613" max="4613" width="12.625" style="57" customWidth="1"/>
    <col min="4614" max="4614" width="13.625" style="57" customWidth="1"/>
    <col min="4615" max="4615" width="11.75" style="57" customWidth="1"/>
    <col min="4616" max="4616" width="13.25" style="57" customWidth="1"/>
    <col min="4617" max="4617" width="11.625" style="57" customWidth="1"/>
    <col min="4618" max="4618" width="12.625" style="57" customWidth="1"/>
    <col min="4619" max="4619" width="9.5" style="57" customWidth="1"/>
    <col min="4620" max="4620" width="10.75" style="57" customWidth="1"/>
    <col min="4621" max="4621" width="8" style="57" customWidth="1"/>
    <col min="4622" max="4623" width="9" style="57"/>
    <col min="4624" max="4624" width="9.375" style="57" customWidth="1"/>
    <col min="4625" max="4625" width="9" style="57"/>
    <col min="4626" max="4626" width="7.5" style="57" customWidth="1"/>
    <col min="4627" max="4627" width="9.875" style="57" customWidth="1"/>
    <col min="4628" max="4864" width="9" style="57"/>
    <col min="4865" max="4865" width="14.375" style="57" customWidth="1"/>
    <col min="4866" max="4866" width="11.875" style="57" customWidth="1"/>
    <col min="4867" max="4867" width="13.875" style="57" customWidth="1"/>
    <col min="4868" max="4868" width="12.25" style="57" customWidth="1"/>
    <col min="4869" max="4869" width="12.625" style="57" customWidth="1"/>
    <col min="4870" max="4870" width="13.625" style="57" customWidth="1"/>
    <col min="4871" max="4871" width="11.75" style="57" customWidth="1"/>
    <col min="4872" max="4872" width="13.25" style="57" customWidth="1"/>
    <col min="4873" max="4873" width="11.625" style="57" customWidth="1"/>
    <col min="4874" max="4874" width="12.625" style="57" customWidth="1"/>
    <col min="4875" max="4875" width="9.5" style="57" customWidth="1"/>
    <col min="4876" max="4876" width="10.75" style="57" customWidth="1"/>
    <col min="4877" max="4877" width="8" style="57" customWidth="1"/>
    <col min="4878" max="4879" width="9" style="57"/>
    <col min="4880" max="4880" width="9.375" style="57" customWidth="1"/>
    <col min="4881" max="4881" width="9" style="57"/>
    <col min="4882" max="4882" width="7.5" style="57" customWidth="1"/>
    <col min="4883" max="4883" width="9.875" style="57" customWidth="1"/>
    <col min="4884" max="5120" width="9" style="57"/>
    <col min="5121" max="5121" width="14.375" style="57" customWidth="1"/>
    <col min="5122" max="5122" width="11.875" style="57" customWidth="1"/>
    <col min="5123" max="5123" width="13.875" style="57" customWidth="1"/>
    <col min="5124" max="5124" width="12.25" style="57" customWidth="1"/>
    <col min="5125" max="5125" width="12.625" style="57" customWidth="1"/>
    <col min="5126" max="5126" width="13.625" style="57" customWidth="1"/>
    <col min="5127" max="5127" width="11.75" style="57" customWidth="1"/>
    <col min="5128" max="5128" width="13.25" style="57" customWidth="1"/>
    <col min="5129" max="5129" width="11.625" style="57" customWidth="1"/>
    <col min="5130" max="5130" width="12.625" style="57" customWidth="1"/>
    <col min="5131" max="5131" width="9.5" style="57" customWidth="1"/>
    <col min="5132" max="5132" width="10.75" style="57" customWidth="1"/>
    <col min="5133" max="5133" width="8" style="57" customWidth="1"/>
    <col min="5134" max="5135" width="9" style="57"/>
    <col min="5136" max="5136" width="9.375" style="57" customWidth="1"/>
    <col min="5137" max="5137" width="9" style="57"/>
    <col min="5138" max="5138" width="7.5" style="57" customWidth="1"/>
    <col min="5139" max="5139" width="9.875" style="57" customWidth="1"/>
    <col min="5140" max="5376" width="9" style="57"/>
    <col min="5377" max="5377" width="14.375" style="57" customWidth="1"/>
    <col min="5378" max="5378" width="11.875" style="57" customWidth="1"/>
    <col min="5379" max="5379" width="13.875" style="57" customWidth="1"/>
    <col min="5380" max="5380" width="12.25" style="57" customWidth="1"/>
    <col min="5381" max="5381" width="12.625" style="57" customWidth="1"/>
    <col min="5382" max="5382" width="13.625" style="57" customWidth="1"/>
    <col min="5383" max="5383" width="11.75" style="57" customWidth="1"/>
    <col min="5384" max="5384" width="13.25" style="57" customWidth="1"/>
    <col min="5385" max="5385" width="11.625" style="57" customWidth="1"/>
    <col min="5386" max="5386" width="12.625" style="57" customWidth="1"/>
    <col min="5387" max="5387" width="9.5" style="57" customWidth="1"/>
    <col min="5388" max="5388" width="10.75" style="57" customWidth="1"/>
    <col min="5389" max="5389" width="8" style="57" customWidth="1"/>
    <col min="5390" max="5391" width="9" style="57"/>
    <col min="5392" max="5392" width="9.375" style="57" customWidth="1"/>
    <col min="5393" max="5393" width="9" style="57"/>
    <col min="5394" max="5394" width="7.5" style="57" customWidth="1"/>
    <col min="5395" max="5395" width="9.875" style="57" customWidth="1"/>
    <col min="5396" max="5632" width="9" style="57"/>
    <col min="5633" max="5633" width="14.375" style="57" customWidth="1"/>
    <col min="5634" max="5634" width="11.875" style="57" customWidth="1"/>
    <col min="5635" max="5635" width="13.875" style="57" customWidth="1"/>
    <col min="5636" max="5636" width="12.25" style="57" customWidth="1"/>
    <col min="5637" max="5637" width="12.625" style="57" customWidth="1"/>
    <col min="5638" max="5638" width="13.625" style="57" customWidth="1"/>
    <col min="5639" max="5639" width="11.75" style="57" customWidth="1"/>
    <col min="5640" max="5640" width="13.25" style="57" customWidth="1"/>
    <col min="5641" max="5641" width="11.625" style="57" customWidth="1"/>
    <col min="5642" max="5642" width="12.625" style="57" customWidth="1"/>
    <col min="5643" max="5643" width="9.5" style="57" customWidth="1"/>
    <col min="5644" max="5644" width="10.75" style="57" customWidth="1"/>
    <col min="5645" max="5645" width="8" style="57" customWidth="1"/>
    <col min="5646" max="5647" width="9" style="57"/>
    <col min="5648" max="5648" width="9.375" style="57" customWidth="1"/>
    <col min="5649" max="5649" width="9" style="57"/>
    <col min="5650" max="5650" width="7.5" style="57" customWidth="1"/>
    <col min="5651" max="5651" width="9.875" style="57" customWidth="1"/>
    <col min="5652" max="5888" width="9" style="57"/>
    <col min="5889" max="5889" width="14.375" style="57" customWidth="1"/>
    <col min="5890" max="5890" width="11.875" style="57" customWidth="1"/>
    <col min="5891" max="5891" width="13.875" style="57" customWidth="1"/>
    <col min="5892" max="5892" width="12.25" style="57" customWidth="1"/>
    <col min="5893" max="5893" width="12.625" style="57" customWidth="1"/>
    <col min="5894" max="5894" width="13.625" style="57" customWidth="1"/>
    <col min="5895" max="5895" width="11.75" style="57" customWidth="1"/>
    <col min="5896" max="5896" width="13.25" style="57" customWidth="1"/>
    <col min="5897" max="5897" width="11.625" style="57" customWidth="1"/>
    <col min="5898" max="5898" width="12.625" style="57" customWidth="1"/>
    <col min="5899" max="5899" width="9.5" style="57" customWidth="1"/>
    <col min="5900" max="5900" width="10.75" style="57" customWidth="1"/>
    <col min="5901" max="5901" width="8" style="57" customWidth="1"/>
    <col min="5902" max="5903" width="9" style="57"/>
    <col min="5904" max="5904" width="9.375" style="57" customWidth="1"/>
    <col min="5905" max="5905" width="9" style="57"/>
    <col min="5906" max="5906" width="7.5" style="57" customWidth="1"/>
    <col min="5907" max="5907" width="9.875" style="57" customWidth="1"/>
    <col min="5908" max="6144" width="9" style="57"/>
    <col min="6145" max="6145" width="14.375" style="57" customWidth="1"/>
    <col min="6146" max="6146" width="11.875" style="57" customWidth="1"/>
    <col min="6147" max="6147" width="13.875" style="57" customWidth="1"/>
    <col min="6148" max="6148" width="12.25" style="57" customWidth="1"/>
    <col min="6149" max="6149" width="12.625" style="57" customWidth="1"/>
    <col min="6150" max="6150" width="13.625" style="57" customWidth="1"/>
    <col min="6151" max="6151" width="11.75" style="57" customWidth="1"/>
    <col min="6152" max="6152" width="13.25" style="57" customWidth="1"/>
    <col min="6153" max="6153" width="11.625" style="57" customWidth="1"/>
    <col min="6154" max="6154" width="12.625" style="57" customWidth="1"/>
    <col min="6155" max="6155" width="9.5" style="57" customWidth="1"/>
    <col min="6156" max="6156" width="10.75" style="57" customWidth="1"/>
    <col min="6157" max="6157" width="8" style="57" customWidth="1"/>
    <col min="6158" max="6159" width="9" style="57"/>
    <col min="6160" max="6160" width="9.375" style="57" customWidth="1"/>
    <col min="6161" max="6161" width="9" style="57"/>
    <col min="6162" max="6162" width="7.5" style="57" customWidth="1"/>
    <col min="6163" max="6163" width="9.875" style="57" customWidth="1"/>
    <col min="6164" max="6400" width="9" style="57"/>
    <col min="6401" max="6401" width="14.375" style="57" customWidth="1"/>
    <col min="6402" max="6402" width="11.875" style="57" customWidth="1"/>
    <col min="6403" max="6403" width="13.875" style="57" customWidth="1"/>
    <col min="6404" max="6404" width="12.25" style="57" customWidth="1"/>
    <col min="6405" max="6405" width="12.625" style="57" customWidth="1"/>
    <col min="6406" max="6406" width="13.625" style="57" customWidth="1"/>
    <col min="6407" max="6407" width="11.75" style="57" customWidth="1"/>
    <col min="6408" max="6408" width="13.25" style="57" customWidth="1"/>
    <col min="6409" max="6409" width="11.625" style="57" customWidth="1"/>
    <col min="6410" max="6410" width="12.625" style="57" customWidth="1"/>
    <col min="6411" max="6411" width="9.5" style="57" customWidth="1"/>
    <col min="6412" max="6412" width="10.75" style="57" customWidth="1"/>
    <col min="6413" max="6413" width="8" style="57" customWidth="1"/>
    <col min="6414" max="6415" width="9" style="57"/>
    <col min="6416" max="6416" width="9.375" style="57" customWidth="1"/>
    <col min="6417" max="6417" width="9" style="57"/>
    <col min="6418" max="6418" width="7.5" style="57" customWidth="1"/>
    <col min="6419" max="6419" width="9.875" style="57" customWidth="1"/>
    <col min="6420" max="6656" width="9" style="57"/>
    <col min="6657" max="6657" width="14.375" style="57" customWidth="1"/>
    <col min="6658" max="6658" width="11.875" style="57" customWidth="1"/>
    <col min="6659" max="6659" width="13.875" style="57" customWidth="1"/>
    <col min="6660" max="6660" width="12.25" style="57" customWidth="1"/>
    <col min="6661" max="6661" width="12.625" style="57" customWidth="1"/>
    <col min="6662" max="6662" width="13.625" style="57" customWidth="1"/>
    <col min="6663" max="6663" width="11.75" style="57" customWidth="1"/>
    <col min="6664" max="6664" width="13.25" style="57" customWidth="1"/>
    <col min="6665" max="6665" width="11.625" style="57" customWidth="1"/>
    <col min="6666" max="6666" width="12.625" style="57" customWidth="1"/>
    <col min="6667" max="6667" width="9.5" style="57" customWidth="1"/>
    <col min="6668" max="6668" width="10.75" style="57" customWidth="1"/>
    <col min="6669" max="6669" width="8" style="57" customWidth="1"/>
    <col min="6670" max="6671" width="9" style="57"/>
    <col min="6672" max="6672" width="9.375" style="57" customWidth="1"/>
    <col min="6673" max="6673" width="9" style="57"/>
    <col min="6674" max="6674" width="7.5" style="57" customWidth="1"/>
    <col min="6675" max="6675" width="9.875" style="57" customWidth="1"/>
    <col min="6676" max="6912" width="9" style="57"/>
    <col min="6913" max="6913" width="14.375" style="57" customWidth="1"/>
    <col min="6914" max="6914" width="11.875" style="57" customWidth="1"/>
    <col min="6915" max="6915" width="13.875" style="57" customWidth="1"/>
    <col min="6916" max="6916" width="12.25" style="57" customWidth="1"/>
    <col min="6917" max="6917" width="12.625" style="57" customWidth="1"/>
    <col min="6918" max="6918" width="13.625" style="57" customWidth="1"/>
    <col min="6919" max="6919" width="11.75" style="57" customWidth="1"/>
    <col min="6920" max="6920" width="13.25" style="57" customWidth="1"/>
    <col min="6921" max="6921" width="11.625" style="57" customWidth="1"/>
    <col min="6922" max="6922" width="12.625" style="57" customWidth="1"/>
    <col min="6923" max="6923" width="9.5" style="57" customWidth="1"/>
    <col min="6924" max="6924" width="10.75" style="57" customWidth="1"/>
    <col min="6925" max="6925" width="8" style="57" customWidth="1"/>
    <col min="6926" max="6927" width="9" style="57"/>
    <col min="6928" max="6928" width="9.375" style="57" customWidth="1"/>
    <col min="6929" max="6929" width="9" style="57"/>
    <col min="6930" max="6930" width="7.5" style="57" customWidth="1"/>
    <col min="6931" max="6931" width="9.875" style="57" customWidth="1"/>
    <col min="6932" max="7168" width="9" style="57"/>
    <col min="7169" max="7169" width="14.375" style="57" customWidth="1"/>
    <col min="7170" max="7170" width="11.875" style="57" customWidth="1"/>
    <col min="7171" max="7171" width="13.875" style="57" customWidth="1"/>
    <col min="7172" max="7172" width="12.25" style="57" customWidth="1"/>
    <col min="7173" max="7173" width="12.625" style="57" customWidth="1"/>
    <col min="7174" max="7174" width="13.625" style="57" customWidth="1"/>
    <col min="7175" max="7175" width="11.75" style="57" customWidth="1"/>
    <col min="7176" max="7176" width="13.25" style="57" customWidth="1"/>
    <col min="7177" max="7177" width="11.625" style="57" customWidth="1"/>
    <col min="7178" max="7178" width="12.625" style="57" customWidth="1"/>
    <col min="7179" max="7179" width="9.5" style="57" customWidth="1"/>
    <col min="7180" max="7180" width="10.75" style="57" customWidth="1"/>
    <col min="7181" max="7181" width="8" style="57" customWidth="1"/>
    <col min="7182" max="7183" width="9" style="57"/>
    <col min="7184" max="7184" width="9.375" style="57" customWidth="1"/>
    <col min="7185" max="7185" width="9" style="57"/>
    <col min="7186" max="7186" width="7.5" style="57" customWidth="1"/>
    <col min="7187" max="7187" width="9.875" style="57" customWidth="1"/>
    <col min="7188" max="7424" width="9" style="57"/>
    <col min="7425" max="7425" width="14.375" style="57" customWidth="1"/>
    <col min="7426" max="7426" width="11.875" style="57" customWidth="1"/>
    <col min="7427" max="7427" width="13.875" style="57" customWidth="1"/>
    <col min="7428" max="7428" width="12.25" style="57" customWidth="1"/>
    <col min="7429" max="7429" width="12.625" style="57" customWidth="1"/>
    <col min="7430" max="7430" width="13.625" style="57" customWidth="1"/>
    <col min="7431" max="7431" width="11.75" style="57" customWidth="1"/>
    <col min="7432" max="7432" width="13.25" style="57" customWidth="1"/>
    <col min="7433" max="7433" width="11.625" style="57" customWidth="1"/>
    <col min="7434" max="7434" width="12.625" style="57" customWidth="1"/>
    <col min="7435" max="7435" width="9.5" style="57" customWidth="1"/>
    <col min="7436" max="7436" width="10.75" style="57" customWidth="1"/>
    <col min="7437" max="7437" width="8" style="57" customWidth="1"/>
    <col min="7438" max="7439" width="9" style="57"/>
    <col min="7440" max="7440" width="9.375" style="57" customWidth="1"/>
    <col min="7441" max="7441" width="9" style="57"/>
    <col min="7442" max="7442" width="7.5" style="57" customWidth="1"/>
    <col min="7443" max="7443" width="9.875" style="57" customWidth="1"/>
    <col min="7444" max="7680" width="9" style="57"/>
    <col min="7681" max="7681" width="14.375" style="57" customWidth="1"/>
    <col min="7682" max="7682" width="11.875" style="57" customWidth="1"/>
    <col min="7683" max="7683" width="13.875" style="57" customWidth="1"/>
    <col min="7684" max="7684" width="12.25" style="57" customWidth="1"/>
    <col min="7685" max="7685" width="12.625" style="57" customWidth="1"/>
    <col min="7686" max="7686" width="13.625" style="57" customWidth="1"/>
    <col min="7687" max="7687" width="11.75" style="57" customWidth="1"/>
    <col min="7688" max="7688" width="13.25" style="57" customWidth="1"/>
    <col min="7689" max="7689" width="11.625" style="57" customWidth="1"/>
    <col min="7690" max="7690" width="12.625" style="57" customWidth="1"/>
    <col min="7691" max="7691" width="9.5" style="57" customWidth="1"/>
    <col min="7692" max="7692" width="10.75" style="57" customWidth="1"/>
    <col min="7693" max="7693" width="8" style="57" customWidth="1"/>
    <col min="7694" max="7695" width="9" style="57"/>
    <col min="7696" max="7696" width="9.375" style="57" customWidth="1"/>
    <col min="7697" max="7697" width="9" style="57"/>
    <col min="7698" max="7698" width="7.5" style="57" customWidth="1"/>
    <col min="7699" max="7699" width="9.875" style="57" customWidth="1"/>
    <col min="7700" max="7936" width="9" style="57"/>
    <col min="7937" max="7937" width="14.375" style="57" customWidth="1"/>
    <col min="7938" max="7938" width="11.875" style="57" customWidth="1"/>
    <col min="7939" max="7939" width="13.875" style="57" customWidth="1"/>
    <col min="7940" max="7940" width="12.25" style="57" customWidth="1"/>
    <col min="7941" max="7941" width="12.625" style="57" customWidth="1"/>
    <col min="7942" max="7942" width="13.625" style="57" customWidth="1"/>
    <col min="7943" max="7943" width="11.75" style="57" customWidth="1"/>
    <col min="7944" max="7944" width="13.25" style="57" customWidth="1"/>
    <col min="7945" max="7945" width="11.625" style="57" customWidth="1"/>
    <col min="7946" max="7946" width="12.625" style="57" customWidth="1"/>
    <col min="7947" max="7947" width="9.5" style="57" customWidth="1"/>
    <col min="7948" max="7948" width="10.75" style="57" customWidth="1"/>
    <col min="7949" max="7949" width="8" style="57" customWidth="1"/>
    <col min="7950" max="7951" width="9" style="57"/>
    <col min="7952" max="7952" width="9.375" style="57" customWidth="1"/>
    <col min="7953" max="7953" width="9" style="57"/>
    <col min="7954" max="7954" width="7.5" style="57" customWidth="1"/>
    <col min="7955" max="7955" width="9.875" style="57" customWidth="1"/>
    <col min="7956" max="8192" width="9" style="57"/>
    <col min="8193" max="8193" width="14.375" style="57" customWidth="1"/>
    <col min="8194" max="8194" width="11.875" style="57" customWidth="1"/>
    <col min="8195" max="8195" width="13.875" style="57" customWidth="1"/>
    <col min="8196" max="8196" width="12.25" style="57" customWidth="1"/>
    <col min="8197" max="8197" width="12.625" style="57" customWidth="1"/>
    <col min="8198" max="8198" width="13.625" style="57" customWidth="1"/>
    <col min="8199" max="8199" width="11.75" style="57" customWidth="1"/>
    <col min="8200" max="8200" width="13.25" style="57" customWidth="1"/>
    <col min="8201" max="8201" width="11.625" style="57" customWidth="1"/>
    <col min="8202" max="8202" width="12.625" style="57" customWidth="1"/>
    <col min="8203" max="8203" width="9.5" style="57" customWidth="1"/>
    <col min="8204" max="8204" width="10.75" style="57" customWidth="1"/>
    <col min="8205" max="8205" width="8" style="57" customWidth="1"/>
    <col min="8206" max="8207" width="9" style="57"/>
    <col min="8208" max="8208" width="9.375" style="57" customWidth="1"/>
    <col min="8209" max="8209" width="9" style="57"/>
    <col min="8210" max="8210" width="7.5" style="57" customWidth="1"/>
    <col min="8211" max="8211" width="9.875" style="57" customWidth="1"/>
    <col min="8212" max="8448" width="9" style="57"/>
    <col min="8449" max="8449" width="14.375" style="57" customWidth="1"/>
    <col min="8450" max="8450" width="11.875" style="57" customWidth="1"/>
    <col min="8451" max="8451" width="13.875" style="57" customWidth="1"/>
    <col min="8452" max="8452" width="12.25" style="57" customWidth="1"/>
    <col min="8453" max="8453" width="12.625" style="57" customWidth="1"/>
    <col min="8454" max="8454" width="13.625" style="57" customWidth="1"/>
    <col min="8455" max="8455" width="11.75" style="57" customWidth="1"/>
    <col min="8456" max="8456" width="13.25" style="57" customWidth="1"/>
    <col min="8457" max="8457" width="11.625" style="57" customWidth="1"/>
    <col min="8458" max="8458" width="12.625" style="57" customWidth="1"/>
    <col min="8459" max="8459" width="9.5" style="57" customWidth="1"/>
    <col min="8460" max="8460" width="10.75" style="57" customWidth="1"/>
    <col min="8461" max="8461" width="8" style="57" customWidth="1"/>
    <col min="8462" max="8463" width="9" style="57"/>
    <col min="8464" max="8464" width="9.375" style="57" customWidth="1"/>
    <col min="8465" max="8465" width="9" style="57"/>
    <col min="8466" max="8466" width="7.5" style="57" customWidth="1"/>
    <col min="8467" max="8467" width="9.875" style="57" customWidth="1"/>
    <col min="8468" max="8704" width="9" style="57"/>
    <col min="8705" max="8705" width="14.375" style="57" customWidth="1"/>
    <col min="8706" max="8706" width="11.875" style="57" customWidth="1"/>
    <col min="8707" max="8707" width="13.875" style="57" customWidth="1"/>
    <col min="8708" max="8708" width="12.25" style="57" customWidth="1"/>
    <col min="8709" max="8709" width="12.625" style="57" customWidth="1"/>
    <col min="8710" max="8710" width="13.625" style="57" customWidth="1"/>
    <col min="8711" max="8711" width="11.75" style="57" customWidth="1"/>
    <col min="8712" max="8712" width="13.25" style="57" customWidth="1"/>
    <col min="8713" max="8713" width="11.625" style="57" customWidth="1"/>
    <col min="8714" max="8714" width="12.625" style="57" customWidth="1"/>
    <col min="8715" max="8715" width="9.5" style="57" customWidth="1"/>
    <col min="8716" max="8716" width="10.75" style="57" customWidth="1"/>
    <col min="8717" max="8717" width="8" style="57" customWidth="1"/>
    <col min="8718" max="8719" width="9" style="57"/>
    <col min="8720" max="8720" width="9.375" style="57" customWidth="1"/>
    <col min="8721" max="8721" width="9" style="57"/>
    <col min="8722" max="8722" width="7.5" style="57" customWidth="1"/>
    <col min="8723" max="8723" width="9.875" style="57" customWidth="1"/>
    <col min="8724" max="8960" width="9" style="57"/>
    <col min="8961" max="8961" width="14.375" style="57" customWidth="1"/>
    <col min="8962" max="8962" width="11.875" style="57" customWidth="1"/>
    <col min="8963" max="8963" width="13.875" style="57" customWidth="1"/>
    <col min="8964" max="8964" width="12.25" style="57" customWidth="1"/>
    <col min="8965" max="8965" width="12.625" style="57" customWidth="1"/>
    <col min="8966" max="8966" width="13.625" style="57" customWidth="1"/>
    <col min="8967" max="8967" width="11.75" style="57" customWidth="1"/>
    <col min="8968" max="8968" width="13.25" style="57" customWidth="1"/>
    <col min="8969" max="8969" width="11.625" style="57" customWidth="1"/>
    <col min="8970" max="8970" width="12.625" style="57" customWidth="1"/>
    <col min="8971" max="8971" width="9.5" style="57" customWidth="1"/>
    <col min="8972" max="8972" width="10.75" style="57" customWidth="1"/>
    <col min="8973" max="8973" width="8" style="57" customWidth="1"/>
    <col min="8974" max="8975" width="9" style="57"/>
    <col min="8976" max="8976" width="9.375" style="57" customWidth="1"/>
    <col min="8977" max="8977" width="9" style="57"/>
    <col min="8978" max="8978" width="7.5" style="57" customWidth="1"/>
    <col min="8979" max="8979" width="9.875" style="57" customWidth="1"/>
    <col min="8980" max="9216" width="9" style="57"/>
    <col min="9217" max="9217" width="14.375" style="57" customWidth="1"/>
    <col min="9218" max="9218" width="11.875" style="57" customWidth="1"/>
    <col min="9219" max="9219" width="13.875" style="57" customWidth="1"/>
    <col min="9220" max="9220" width="12.25" style="57" customWidth="1"/>
    <col min="9221" max="9221" width="12.625" style="57" customWidth="1"/>
    <col min="9222" max="9222" width="13.625" style="57" customWidth="1"/>
    <col min="9223" max="9223" width="11.75" style="57" customWidth="1"/>
    <col min="9224" max="9224" width="13.25" style="57" customWidth="1"/>
    <col min="9225" max="9225" width="11.625" style="57" customWidth="1"/>
    <col min="9226" max="9226" width="12.625" style="57" customWidth="1"/>
    <col min="9227" max="9227" width="9.5" style="57" customWidth="1"/>
    <col min="9228" max="9228" width="10.75" style="57" customWidth="1"/>
    <col min="9229" max="9229" width="8" style="57" customWidth="1"/>
    <col min="9230" max="9231" width="9" style="57"/>
    <col min="9232" max="9232" width="9.375" style="57" customWidth="1"/>
    <col min="9233" max="9233" width="9" style="57"/>
    <col min="9234" max="9234" width="7.5" style="57" customWidth="1"/>
    <col min="9235" max="9235" width="9.875" style="57" customWidth="1"/>
    <col min="9236" max="9472" width="9" style="57"/>
    <col min="9473" max="9473" width="14.375" style="57" customWidth="1"/>
    <col min="9474" max="9474" width="11.875" style="57" customWidth="1"/>
    <col min="9475" max="9475" width="13.875" style="57" customWidth="1"/>
    <col min="9476" max="9476" width="12.25" style="57" customWidth="1"/>
    <col min="9477" max="9477" width="12.625" style="57" customWidth="1"/>
    <col min="9478" max="9478" width="13.625" style="57" customWidth="1"/>
    <col min="9479" max="9479" width="11.75" style="57" customWidth="1"/>
    <col min="9480" max="9480" width="13.25" style="57" customWidth="1"/>
    <col min="9481" max="9481" width="11.625" style="57" customWidth="1"/>
    <col min="9482" max="9482" width="12.625" style="57" customWidth="1"/>
    <col min="9483" max="9483" width="9.5" style="57" customWidth="1"/>
    <col min="9484" max="9484" width="10.75" style="57" customWidth="1"/>
    <col min="9485" max="9485" width="8" style="57" customWidth="1"/>
    <col min="9486" max="9487" width="9" style="57"/>
    <col min="9488" max="9488" width="9.375" style="57" customWidth="1"/>
    <col min="9489" max="9489" width="9" style="57"/>
    <col min="9490" max="9490" width="7.5" style="57" customWidth="1"/>
    <col min="9491" max="9491" width="9.875" style="57" customWidth="1"/>
    <col min="9492" max="9728" width="9" style="57"/>
    <col min="9729" max="9729" width="14.375" style="57" customWidth="1"/>
    <col min="9730" max="9730" width="11.875" style="57" customWidth="1"/>
    <col min="9731" max="9731" width="13.875" style="57" customWidth="1"/>
    <col min="9732" max="9732" width="12.25" style="57" customWidth="1"/>
    <col min="9733" max="9733" width="12.625" style="57" customWidth="1"/>
    <col min="9734" max="9734" width="13.625" style="57" customWidth="1"/>
    <col min="9735" max="9735" width="11.75" style="57" customWidth="1"/>
    <col min="9736" max="9736" width="13.25" style="57" customWidth="1"/>
    <col min="9737" max="9737" width="11.625" style="57" customWidth="1"/>
    <col min="9738" max="9738" width="12.625" style="57" customWidth="1"/>
    <col min="9739" max="9739" width="9.5" style="57" customWidth="1"/>
    <col min="9740" max="9740" width="10.75" style="57" customWidth="1"/>
    <col min="9741" max="9741" width="8" style="57" customWidth="1"/>
    <col min="9742" max="9743" width="9" style="57"/>
    <col min="9744" max="9744" width="9.375" style="57" customWidth="1"/>
    <col min="9745" max="9745" width="9" style="57"/>
    <col min="9746" max="9746" width="7.5" style="57" customWidth="1"/>
    <col min="9747" max="9747" width="9.875" style="57" customWidth="1"/>
    <col min="9748" max="9984" width="9" style="57"/>
    <col min="9985" max="9985" width="14.375" style="57" customWidth="1"/>
    <col min="9986" max="9986" width="11.875" style="57" customWidth="1"/>
    <col min="9987" max="9987" width="13.875" style="57" customWidth="1"/>
    <col min="9988" max="9988" width="12.25" style="57" customWidth="1"/>
    <col min="9989" max="9989" width="12.625" style="57" customWidth="1"/>
    <col min="9990" max="9990" width="13.625" style="57" customWidth="1"/>
    <col min="9991" max="9991" width="11.75" style="57" customWidth="1"/>
    <col min="9992" max="9992" width="13.25" style="57" customWidth="1"/>
    <col min="9993" max="9993" width="11.625" style="57" customWidth="1"/>
    <col min="9994" max="9994" width="12.625" style="57" customWidth="1"/>
    <col min="9995" max="9995" width="9.5" style="57" customWidth="1"/>
    <col min="9996" max="9996" width="10.75" style="57" customWidth="1"/>
    <col min="9997" max="9997" width="8" style="57" customWidth="1"/>
    <col min="9998" max="9999" width="9" style="57"/>
    <col min="10000" max="10000" width="9.375" style="57" customWidth="1"/>
    <col min="10001" max="10001" width="9" style="57"/>
    <col min="10002" max="10002" width="7.5" style="57" customWidth="1"/>
    <col min="10003" max="10003" width="9.875" style="57" customWidth="1"/>
    <col min="10004" max="10240" width="9" style="57"/>
    <col min="10241" max="10241" width="14.375" style="57" customWidth="1"/>
    <col min="10242" max="10242" width="11.875" style="57" customWidth="1"/>
    <col min="10243" max="10243" width="13.875" style="57" customWidth="1"/>
    <col min="10244" max="10244" width="12.25" style="57" customWidth="1"/>
    <col min="10245" max="10245" width="12.625" style="57" customWidth="1"/>
    <col min="10246" max="10246" width="13.625" style="57" customWidth="1"/>
    <col min="10247" max="10247" width="11.75" style="57" customWidth="1"/>
    <col min="10248" max="10248" width="13.25" style="57" customWidth="1"/>
    <col min="10249" max="10249" width="11.625" style="57" customWidth="1"/>
    <col min="10250" max="10250" width="12.625" style="57" customWidth="1"/>
    <col min="10251" max="10251" width="9.5" style="57" customWidth="1"/>
    <col min="10252" max="10252" width="10.75" style="57" customWidth="1"/>
    <col min="10253" max="10253" width="8" style="57" customWidth="1"/>
    <col min="10254" max="10255" width="9" style="57"/>
    <col min="10256" max="10256" width="9.375" style="57" customWidth="1"/>
    <col min="10257" max="10257" width="9" style="57"/>
    <col min="10258" max="10258" width="7.5" style="57" customWidth="1"/>
    <col min="10259" max="10259" width="9.875" style="57" customWidth="1"/>
    <col min="10260" max="10496" width="9" style="57"/>
    <col min="10497" max="10497" width="14.375" style="57" customWidth="1"/>
    <col min="10498" max="10498" width="11.875" style="57" customWidth="1"/>
    <col min="10499" max="10499" width="13.875" style="57" customWidth="1"/>
    <col min="10500" max="10500" width="12.25" style="57" customWidth="1"/>
    <col min="10501" max="10501" width="12.625" style="57" customWidth="1"/>
    <col min="10502" max="10502" width="13.625" style="57" customWidth="1"/>
    <col min="10503" max="10503" width="11.75" style="57" customWidth="1"/>
    <col min="10504" max="10504" width="13.25" style="57" customWidth="1"/>
    <col min="10505" max="10505" width="11.625" style="57" customWidth="1"/>
    <col min="10506" max="10506" width="12.625" style="57" customWidth="1"/>
    <col min="10507" max="10507" width="9.5" style="57" customWidth="1"/>
    <col min="10508" max="10508" width="10.75" style="57" customWidth="1"/>
    <col min="10509" max="10509" width="8" style="57" customWidth="1"/>
    <col min="10510" max="10511" width="9" style="57"/>
    <col min="10512" max="10512" width="9.375" style="57" customWidth="1"/>
    <col min="10513" max="10513" width="9" style="57"/>
    <col min="10514" max="10514" width="7.5" style="57" customWidth="1"/>
    <col min="10515" max="10515" width="9.875" style="57" customWidth="1"/>
    <col min="10516" max="10752" width="9" style="57"/>
    <col min="10753" max="10753" width="14.375" style="57" customWidth="1"/>
    <col min="10754" max="10754" width="11.875" style="57" customWidth="1"/>
    <col min="10755" max="10755" width="13.875" style="57" customWidth="1"/>
    <col min="10756" max="10756" width="12.25" style="57" customWidth="1"/>
    <col min="10757" max="10757" width="12.625" style="57" customWidth="1"/>
    <col min="10758" max="10758" width="13.625" style="57" customWidth="1"/>
    <col min="10759" max="10759" width="11.75" style="57" customWidth="1"/>
    <col min="10760" max="10760" width="13.25" style="57" customWidth="1"/>
    <col min="10761" max="10761" width="11.625" style="57" customWidth="1"/>
    <col min="10762" max="10762" width="12.625" style="57" customWidth="1"/>
    <col min="10763" max="10763" width="9.5" style="57" customWidth="1"/>
    <col min="10764" max="10764" width="10.75" style="57" customWidth="1"/>
    <col min="10765" max="10765" width="8" style="57" customWidth="1"/>
    <col min="10766" max="10767" width="9" style="57"/>
    <col min="10768" max="10768" width="9.375" style="57" customWidth="1"/>
    <col min="10769" max="10769" width="9" style="57"/>
    <col min="10770" max="10770" width="7.5" style="57" customWidth="1"/>
    <col min="10771" max="10771" width="9.875" style="57" customWidth="1"/>
    <col min="10772" max="11008" width="9" style="57"/>
    <col min="11009" max="11009" width="14.375" style="57" customWidth="1"/>
    <col min="11010" max="11010" width="11.875" style="57" customWidth="1"/>
    <col min="11011" max="11011" width="13.875" style="57" customWidth="1"/>
    <col min="11012" max="11012" width="12.25" style="57" customWidth="1"/>
    <col min="11013" max="11013" width="12.625" style="57" customWidth="1"/>
    <col min="11014" max="11014" width="13.625" style="57" customWidth="1"/>
    <col min="11015" max="11015" width="11.75" style="57" customWidth="1"/>
    <col min="11016" max="11016" width="13.25" style="57" customWidth="1"/>
    <col min="11017" max="11017" width="11.625" style="57" customWidth="1"/>
    <col min="11018" max="11018" width="12.625" style="57" customWidth="1"/>
    <col min="11019" max="11019" width="9.5" style="57" customWidth="1"/>
    <col min="11020" max="11020" width="10.75" style="57" customWidth="1"/>
    <col min="11021" max="11021" width="8" style="57" customWidth="1"/>
    <col min="11022" max="11023" width="9" style="57"/>
    <col min="11024" max="11024" width="9.375" style="57" customWidth="1"/>
    <col min="11025" max="11025" width="9" style="57"/>
    <col min="11026" max="11026" width="7.5" style="57" customWidth="1"/>
    <col min="11027" max="11027" width="9.875" style="57" customWidth="1"/>
    <col min="11028" max="11264" width="9" style="57"/>
    <col min="11265" max="11265" width="14.375" style="57" customWidth="1"/>
    <col min="11266" max="11266" width="11.875" style="57" customWidth="1"/>
    <col min="11267" max="11267" width="13.875" style="57" customWidth="1"/>
    <col min="11268" max="11268" width="12.25" style="57" customWidth="1"/>
    <col min="11269" max="11269" width="12.625" style="57" customWidth="1"/>
    <col min="11270" max="11270" width="13.625" style="57" customWidth="1"/>
    <col min="11271" max="11271" width="11.75" style="57" customWidth="1"/>
    <col min="11272" max="11272" width="13.25" style="57" customWidth="1"/>
    <col min="11273" max="11273" width="11.625" style="57" customWidth="1"/>
    <col min="11274" max="11274" width="12.625" style="57" customWidth="1"/>
    <col min="11275" max="11275" width="9.5" style="57" customWidth="1"/>
    <col min="11276" max="11276" width="10.75" style="57" customWidth="1"/>
    <col min="11277" max="11277" width="8" style="57" customWidth="1"/>
    <col min="11278" max="11279" width="9" style="57"/>
    <col min="11280" max="11280" width="9.375" style="57" customWidth="1"/>
    <col min="11281" max="11281" width="9" style="57"/>
    <col min="11282" max="11282" width="7.5" style="57" customWidth="1"/>
    <col min="11283" max="11283" width="9.875" style="57" customWidth="1"/>
    <col min="11284" max="11520" width="9" style="57"/>
    <col min="11521" max="11521" width="14.375" style="57" customWidth="1"/>
    <col min="11522" max="11522" width="11.875" style="57" customWidth="1"/>
    <col min="11523" max="11523" width="13.875" style="57" customWidth="1"/>
    <col min="11524" max="11524" width="12.25" style="57" customWidth="1"/>
    <col min="11525" max="11525" width="12.625" style="57" customWidth="1"/>
    <col min="11526" max="11526" width="13.625" style="57" customWidth="1"/>
    <col min="11527" max="11527" width="11.75" style="57" customWidth="1"/>
    <col min="11528" max="11528" width="13.25" style="57" customWidth="1"/>
    <col min="11529" max="11529" width="11.625" style="57" customWidth="1"/>
    <col min="11530" max="11530" width="12.625" style="57" customWidth="1"/>
    <col min="11531" max="11531" width="9.5" style="57" customWidth="1"/>
    <col min="11532" max="11532" width="10.75" style="57" customWidth="1"/>
    <col min="11533" max="11533" width="8" style="57" customWidth="1"/>
    <col min="11534" max="11535" width="9" style="57"/>
    <col min="11536" max="11536" width="9.375" style="57" customWidth="1"/>
    <col min="11537" max="11537" width="9" style="57"/>
    <col min="11538" max="11538" width="7.5" style="57" customWidth="1"/>
    <col min="11539" max="11539" width="9.875" style="57" customWidth="1"/>
    <col min="11540" max="11776" width="9" style="57"/>
    <col min="11777" max="11777" width="14.375" style="57" customWidth="1"/>
    <col min="11778" max="11778" width="11.875" style="57" customWidth="1"/>
    <col min="11779" max="11779" width="13.875" style="57" customWidth="1"/>
    <col min="11780" max="11780" width="12.25" style="57" customWidth="1"/>
    <col min="11781" max="11781" width="12.625" style="57" customWidth="1"/>
    <col min="11782" max="11782" width="13.625" style="57" customWidth="1"/>
    <col min="11783" max="11783" width="11.75" style="57" customWidth="1"/>
    <col min="11784" max="11784" width="13.25" style="57" customWidth="1"/>
    <col min="11785" max="11785" width="11.625" style="57" customWidth="1"/>
    <col min="11786" max="11786" width="12.625" style="57" customWidth="1"/>
    <col min="11787" max="11787" width="9.5" style="57" customWidth="1"/>
    <col min="11788" max="11788" width="10.75" style="57" customWidth="1"/>
    <col min="11789" max="11789" width="8" style="57" customWidth="1"/>
    <col min="11790" max="11791" width="9" style="57"/>
    <col min="11792" max="11792" width="9.375" style="57" customWidth="1"/>
    <col min="11793" max="11793" width="9" style="57"/>
    <col min="11794" max="11794" width="7.5" style="57" customWidth="1"/>
    <col min="11795" max="11795" width="9.875" style="57" customWidth="1"/>
    <col min="11796" max="12032" width="9" style="57"/>
    <col min="12033" max="12033" width="14.375" style="57" customWidth="1"/>
    <col min="12034" max="12034" width="11.875" style="57" customWidth="1"/>
    <col min="12035" max="12035" width="13.875" style="57" customWidth="1"/>
    <col min="12036" max="12036" width="12.25" style="57" customWidth="1"/>
    <col min="12037" max="12037" width="12.625" style="57" customWidth="1"/>
    <col min="12038" max="12038" width="13.625" style="57" customWidth="1"/>
    <col min="12039" max="12039" width="11.75" style="57" customWidth="1"/>
    <col min="12040" max="12040" width="13.25" style="57" customWidth="1"/>
    <col min="12041" max="12041" width="11.625" style="57" customWidth="1"/>
    <col min="12042" max="12042" width="12.625" style="57" customWidth="1"/>
    <col min="12043" max="12043" width="9.5" style="57" customWidth="1"/>
    <col min="12044" max="12044" width="10.75" style="57" customWidth="1"/>
    <col min="12045" max="12045" width="8" style="57" customWidth="1"/>
    <col min="12046" max="12047" width="9" style="57"/>
    <col min="12048" max="12048" width="9.375" style="57" customWidth="1"/>
    <col min="12049" max="12049" width="9" style="57"/>
    <col min="12050" max="12050" width="7.5" style="57" customWidth="1"/>
    <col min="12051" max="12051" width="9.875" style="57" customWidth="1"/>
    <col min="12052" max="12288" width="9" style="57"/>
    <col min="12289" max="12289" width="14.375" style="57" customWidth="1"/>
    <col min="12290" max="12290" width="11.875" style="57" customWidth="1"/>
    <col min="12291" max="12291" width="13.875" style="57" customWidth="1"/>
    <col min="12292" max="12292" width="12.25" style="57" customWidth="1"/>
    <col min="12293" max="12293" width="12.625" style="57" customWidth="1"/>
    <col min="12294" max="12294" width="13.625" style="57" customWidth="1"/>
    <col min="12295" max="12295" width="11.75" style="57" customWidth="1"/>
    <col min="12296" max="12296" width="13.25" style="57" customWidth="1"/>
    <col min="12297" max="12297" width="11.625" style="57" customWidth="1"/>
    <col min="12298" max="12298" width="12.625" style="57" customWidth="1"/>
    <col min="12299" max="12299" width="9.5" style="57" customWidth="1"/>
    <col min="12300" max="12300" width="10.75" style="57" customWidth="1"/>
    <col min="12301" max="12301" width="8" style="57" customWidth="1"/>
    <col min="12302" max="12303" width="9" style="57"/>
    <col min="12304" max="12304" width="9.375" style="57" customWidth="1"/>
    <col min="12305" max="12305" width="9" style="57"/>
    <col min="12306" max="12306" width="7.5" style="57" customWidth="1"/>
    <col min="12307" max="12307" width="9.875" style="57" customWidth="1"/>
    <col min="12308" max="12544" width="9" style="57"/>
    <col min="12545" max="12545" width="14.375" style="57" customWidth="1"/>
    <col min="12546" max="12546" width="11.875" style="57" customWidth="1"/>
    <col min="12547" max="12547" width="13.875" style="57" customWidth="1"/>
    <col min="12548" max="12548" width="12.25" style="57" customWidth="1"/>
    <col min="12549" max="12549" width="12.625" style="57" customWidth="1"/>
    <col min="12550" max="12550" width="13.625" style="57" customWidth="1"/>
    <col min="12551" max="12551" width="11.75" style="57" customWidth="1"/>
    <col min="12552" max="12552" width="13.25" style="57" customWidth="1"/>
    <col min="12553" max="12553" width="11.625" style="57" customWidth="1"/>
    <col min="12554" max="12554" width="12.625" style="57" customWidth="1"/>
    <col min="12555" max="12555" width="9.5" style="57" customWidth="1"/>
    <col min="12556" max="12556" width="10.75" style="57" customWidth="1"/>
    <col min="12557" max="12557" width="8" style="57" customWidth="1"/>
    <col min="12558" max="12559" width="9" style="57"/>
    <col min="12560" max="12560" width="9.375" style="57" customWidth="1"/>
    <col min="12561" max="12561" width="9" style="57"/>
    <col min="12562" max="12562" width="7.5" style="57" customWidth="1"/>
    <col min="12563" max="12563" width="9.875" style="57" customWidth="1"/>
    <col min="12564" max="12800" width="9" style="57"/>
    <col min="12801" max="12801" width="14.375" style="57" customWidth="1"/>
    <col min="12802" max="12802" width="11.875" style="57" customWidth="1"/>
    <col min="12803" max="12803" width="13.875" style="57" customWidth="1"/>
    <col min="12804" max="12804" width="12.25" style="57" customWidth="1"/>
    <col min="12805" max="12805" width="12.625" style="57" customWidth="1"/>
    <col min="12806" max="12806" width="13.625" style="57" customWidth="1"/>
    <col min="12807" max="12807" width="11.75" style="57" customWidth="1"/>
    <col min="12808" max="12808" width="13.25" style="57" customWidth="1"/>
    <col min="12809" max="12809" width="11.625" style="57" customWidth="1"/>
    <col min="12810" max="12810" width="12.625" style="57" customWidth="1"/>
    <col min="12811" max="12811" width="9.5" style="57" customWidth="1"/>
    <col min="12812" max="12812" width="10.75" style="57" customWidth="1"/>
    <col min="12813" max="12813" width="8" style="57" customWidth="1"/>
    <col min="12814" max="12815" width="9" style="57"/>
    <col min="12816" max="12816" width="9.375" style="57" customWidth="1"/>
    <col min="12817" max="12817" width="9" style="57"/>
    <col min="12818" max="12818" width="7.5" style="57" customWidth="1"/>
    <col min="12819" max="12819" width="9.875" style="57" customWidth="1"/>
    <col min="12820" max="13056" width="9" style="57"/>
    <col min="13057" max="13057" width="14.375" style="57" customWidth="1"/>
    <col min="13058" max="13058" width="11.875" style="57" customWidth="1"/>
    <col min="13059" max="13059" width="13.875" style="57" customWidth="1"/>
    <col min="13060" max="13060" width="12.25" style="57" customWidth="1"/>
    <col min="13061" max="13061" width="12.625" style="57" customWidth="1"/>
    <col min="13062" max="13062" width="13.625" style="57" customWidth="1"/>
    <col min="13063" max="13063" width="11.75" style="57" customWidth="1"/>
    <col min="13064" max="13064" width="13.25" style="57" customWidth="1"/>
    <col min="13065" max="13065" width="11.625" style="57" customWidth="1"/>
    <col min="13066" max="13066" width="12.625" style="57" customWidth="1"/>
    <col min="13067" max="13067" width="9.5" style="57" customWidth="1"/>
    <col min="13068" max="13068" width="10.75" style="57" customWidth="1"/>
    <col min="13069" max="13069" width="8" style="57" customWidth="1"/>
    <col min="13070" max="13071" width="9" style="57"/>
    <col min="13072" max="13072" width="9.375" style="57" customWidth="1"/>
    <col min="13073" max="13073" width="9" style="57"/>
    <col min="13074" max="13074" width="7.5" style="57" customWidth="1"/>
    <col min="13075" max="13075" width="9.875" style="57" customWidth="1"/>
    <col min="13076" max="13312" width="9" style="57"/>
    <col min="13313" max="13313" width="14.375" style="57" customWidth="1"/>
    <col min="13314" max="13314" width="11.875" style="57" customWidth="1"/>
    <col min="13315" max="13315" width="13.875" style="57" customWidth="1"/>
    <col min="13316" max="13316" width="12.25" style="57" customWidth="1"/>
    <col min="13317" max="13317" width="12.625" style="57" customWidth="1"/>
    <col min="13318" max="13318" width="13.625" style="57" customWidth="1"/>
    <col min="13319" max="13319" width="11.75" style="57" customWidth="1"/>
    <col min="13320" max="13320" width="13.25" style="57" customWidth="1"/>
    <col min="13321" max="13321" width="11.625" style="57" customWidth="1"/>
    <col min="13322" max="13322" width="12.625" style="57" customWidth="1"/>
    <col min="13323" max="13323" width="9.5" style="57" customWidth="1"/>
    <col min="13324" max="13324" width="10.75" style="57" customWidth="1"/>
    <col min="13325" max="13325" width="8" style="57" customWidth="1"/>
    <col min="13326" max="13327" width="9" style="57"/>
    <col min="13328" max="13328" width="9.375" style="57" customWidth="1"/>
    <col min="13329" max="13329" width="9" style="57"/>
    <col min="13330" max="13330" width="7.5" style="57" customWidth="1"/>
    <col min="13331" max="13331" width="9.875" style="57" customWidth="1"/>
    <col min="13332" max="13568" width="9" style="57"/>
    <col min="13569" max="13569" width="14.375" style="57" customWidth="1"/>
    <col min="13570" max="13570" width="11.875" style="57" customWidth="1"/>
    <col min="13571" max="13571" width="13.875" style="57" customWidth="1"/>
    <col min="13572" max="13572" width="12.25" style="57" customWidth="1"/>
    <col min="13573" max="13573" width="12.625" style="57" customWidth="1"/>
    <col min="13574" max="13574" width="13.625" style="57" customWidth="1"/>
    <col min="13575" max="13575" width="11.75" style="57" customWidth="1"/>
    <col min="13576" max="13576" width="13.25" style="57" customWidth="1"/>
    <col min="13577" max="13577" width="11.625" style="57" customWidth="1"/>
    <col min="13578" max="13578" width="12.625" style="57" customWidth="1"/>
    <col min="13579" max="13579" width="9.5" style="57" customWidth="1"/>
    <col min="13580" max="13580" width="10.75" style="57" customWidth="1"/>
    <col min="13581" max="13581" width="8" style="57" customWidth="1"/>
    <col min="13582" max="13583" width="9" style="57"/>
    <col min="13584" max="13584" width="9.375" style="57" customWidth="1"/>
    <col min="13585" max="13585" width="9" style="57"/>
    <col min="13586" max="13586" width="7.5" style="57" customWidth="1"/>
    <col min="13587" max="13587" width="9.875" style="57" customWidth="1"/>
    <col min="13588" max="13824" width="9" style="57"/>
    <col min="13825" max="13825" width="14.375" style="57" customWidth="1"/>
    <col min="13826" max="13826" width="11.875" style="57" customWidth="1"/>
    <col min="13827" max="13827" width="13.875" style="57" customWidth="1"/>
    <col min="13828" max="13828" width="12.25" style="57" customWidth="1"/>
    <col min="13829" max="13829" width="12.625" style="57" customWidth="1"/>
    <col min="13830" max="13830" width="13.625" style="57" customWidth="1"/>
    <col min="13831" max="13831" width="11.75" style="57" customWidth="1"/>
    <col min="13832" max="13832" width="13.25" style="57" customWidth="1"/>
    <col min="13833" max="13833" width="11.625" style="57" customWidth="1"/>
    <col min="13834" max="13834" width="12.625" style="57" customWidth="1"/>
    <col min="13835" max="13835" width="9.5" style="57" customWidth="1"/>
    <col min="13836" max="13836" width="10.75" style="57" customWidth="1"/>
    <col min="13837" max="13837" width="8" style="57" customWidth="1"/>
    <col min="13838" max="13839" width="9" style="57"/>
    <col min="13840" max="13840" width="9.375" style="57" customWidth="1"/>
    <col min="13841" max="13841" width="9" style="57"/>
    <col min="13842" max="13842" width="7.5" style="57" customWidth="1"/>
    <col min="13843" max="13843" width="9.875" style="57" customWidth="1"/>
    <col min="13844" max="14080" width="9" style="57"/>
    <col min="14081" max="14081" width="14.375" style="57" customWidth="1"/>
    <col min="14082" max="14082" width="11.875" style="57" customWidth="1"/>
    <col min="14083" max="14083" width="13.875" style="57" customWidth="1"/>
    <col min="14084" max="14084" width="12.25" style="57" customWidth="1"/>
    <col min="14085" max="14085" width="12.625" style="57" customWidth="1"/>
    <col min="14086" max="14086" width="13.625" style="57" customWidth="1"/>
    <col min="14087" max="14087" width="11.75" style="57" customWidth="1"/>
    <col min="14088" max="14088" width="13.25" style="57" customWidth="1"/>
    <col min="14089" max="14089" width="11.625" style="57" customWidth="1"/>
    <col min="14090" max="14090" width="12.625" style="57" customWidth="1"/>
    <col min="14091" max="14091" width="9.5" style="57" customWidth="1"/>
    <col min="14092" max="14092" width="10.75" style="57" customWidth="1"/>
    <col min="14093" max="14093" width="8" style="57" customWidth="1"/>
    <col min="14094" max="14095" width="9" style="57"/>
    <col min="14096" max="14096" width="9.375" style="57" customWidth="1"/>
    <col min="14097" max="14097" width="9" style="57"/>
    <col min="14098" max="14098" width="7.5" style="57" customWidth="1"/>
    <col min="14099" max="14099" width="9.875" style="57" customWidth="1"/>
    <col min="14100" max="14336" width="9" style="57"/>
    <col min="14337" max="14337" width="14.375" style="57" customWidth="1"/>
    <col min="14338" max="14338" width="11.875" style="57" customWidth="1"/>
    <col min="14339" max="14339" width="13.875" style="57" customWidth="1"/>
    <col min="14340" max="14340" width="12.25" style="57" customWidth="1"/>
    <col min="14341" max="14341" width="12.625" style="57" customWidth="1"/>
    <col min="14342" max="14342" width="13.625" style="57" customWidth="1"/>
    <col min="14343" max="14343" width="11.75" style="57" customWidth="1"/>
    <col min="14344" max="14344" width="13.25" style="57" customWidth="1"/>
    <col min="14345" max="14345" width="11.625" style="57" customWidth="1"/>
    <col min="14346" max="14346" width="12.625" style="57" customWidth="1"/>
    <col min="14347" max="14347" width="9.5" style="57" customWidth="1"/>
    <col min="14348" max="14348" width="10.75" style="57" customWidth="1"/>
    <col min="14349" max="14349" width="8" style="57" customWidth="1"/>
    <col min="14350" max="14351" width="9" style="57"/>
    <col min="14352" max="14352" width="9.375" style="57" customWidth="1"/>
    <col min="14353" max="14353" width="9" style="57"/>
    <col min="14354" max="14354" width="7.5" style="57" customWidth="1"/>
    <col min="14355" max="14355" width="9.875" style="57" customWidth="1"/>
    <col min="14356" max="14592" width="9" style="57"/>
    <col min="14593" max="14593" width="14.375" style="57" customWidth="1"/>
    <col min="14594" max="14594" width="11.875" style="57" customWidth="1"/>
    <col min="14595" max="14595" width="13.875" style="57" customWidth="1"/>
    <col min="14596" max="14596" width="12.25" style="57" customWidth="1"/>
    <col min="14597" max="14597" width="12.625" style="57" customWidth="1"/>
    <col min="14598" max="14598" width="13.625" style="57" customWidth="1"/>
    <col min="14599" max="14599" width="11.75" style="57" customWidth="1"/>
    <col min="14600" max="14600" width="13.25" style="57" customWidth="1"/>
    <col min="14601" max="14601" width="11.625" style="57" customWidth="1"/>
    <col min="14602" max="14602" width="12.625" style="57" customWidth="1"/>
    <col min="14603" max="14603" width="9.5" style="57" customWidth="1"/>
    <col min="14604" max="14604" width="10.75" style="57" customWidth="1"/>
    <col min="14605" max="14605" width="8" style="57" customWidth="1"/>
    <col min="14606" max="14607" width="9" style="57"/>
    <col min="14608" max="14608" width="9.375" style="57" customWidth="1"/>
    <col min="14609" max="14609" width="9" style="57"/>
    <col min="14610" max="14610" width="7.5" style="57" customWidth="1"/>
    <col min="14611" max="14611" width="9.875" style="57" customWidth="1"/>
    <col min="14612" max="14848" width="9" style="57"/>
    <col min="14849" max="14849" width="14.375" style="57" customWidth="1"/>
    <col min="14850" max="14850" width="11.875" style="57" customWidth="1"/>
    <col min="14851" max="14851" width="13.875" style="57" customWidth="1"/>
    <col min="14852" max="14852" width="12.25" style="57" customWidth="1"/>
    <col min="14853" max="14853" width="12.625" style="57" customWidth="1"/>
    <col min="14854" max="14854" width="13.625" style="57" customWidth="1"/>
    <col min="14855" max="14855" width="11.75" style="57" customWidth="1"/>
    <col min="14856" max="14856" width="13.25" style="57" customWidth="1"/>
    <col min="14857" max="14857" width="11.625" style="57" customWidth="1"/>
    <col min="14858" max="14858" width="12.625" style="57" customWidth="1"/>
    <col min="14859" max="14859" width="9.5" style="57" customWidth="1"/>
    <col min="14860" max="14860" width="10.75" style="57" customWidth="1"/>
    <col min="14861" max="14861" width="8" style="57" customWidth="1"/>
    <col min="14862" max="14863" width="9" style="57"/>
    <col min="14864" max="14864" width="9.375" style="57" customWidth="1"/>
    <col min="14865" max="14865" width="9" style="57"/>
    <col min="14866" max="14866" width="7.5" style="57" customWidth="1"/>
    <col min="14867" max="14867" width="9.875" style="57" customWidth="1"/>
    <col min="14868" max="15104" width="9" style="57"/>
    <col min="15105" max="15105" width="14.375" style="57" customWidth="1"/>
    <col min="15106" max="15106" width="11.875" style="57" customWidth="1"/>
    <col min="15107" max="15107" width="13.875" style="57" customWidth="1"/>
    <col min="15108" max="15108" width="12.25" style="57" customWidth="1"/>
    <col min="15109" max="15109" width="12.625" style="57" customWidth="1"/>
    <col min="15110" max="15110" width="13.625" style="57" customWidth="1"/>
    <col min="15111" max="15111" width="11.75" style="57" customWidth="1"/>
    <col min="15112" max="15112" width="13.25" style="57" customWidth="1"/>
    <col min="15113" max="15113" width="11.625" style="57" customWidth="1"/>
    <col min="15114" max="15114" width="12.625" style="57" customWidth="1"/>
    <col min="15115" max="15115" width="9.5" style="57" customWidth="1"/>
    <col min="15116" max="15116" width="10.75" style="57" customWidth="1"/>
    <col min="15117" max="15117" width="8" style="57" customWidth="1"/>
    <col min="15118" max="15119" width="9" style="57"/>
    <col min="15120" max="15120" width="9.375" style="57" customWidth="1"/>
    <col min="15121" max="15121" width="9" style="57"/>
    <col min="15122" max="15122" width="7.5" style="57" customWidth="1"/>
    <col min="15123" max="15123" width="9.875" style="57" customWidth="1"/>
    <col min="15124" max="15360" width="9" style="57"/>
    <col min="15361" max="15361" width="14.375" style="57" customWidth="1"/>
    <col min="15362" max="15362" width="11.875" style="57" customWidth="1"/>
    <col min="15363" max="15363" width="13.875" style="57" customWidth="1"/>
    <col min="15364" max="15364" width="12.25" style="57" customWidth="1"/>
    <col min="15365" max="15365" width="12.625" style="57" customWidth="1"/>
    <col min="15366" max="15366" width="13.625" style="57" customWidth="1"/>
    <col min="15367" max="15367" width="11.75" style="57" customWidth="1"/>
    <col min="15368" max="15368" width="13.25" style="57" customWidth="1"/>
    <col min="15369" max="15369" width="11.625" style="57" customWidth="1"/>
    <col min="15370" max="15370" width="12.625" style="57" customWidth="1"/>
    <col min="15371" max="15371" width="9.5" style="57" customWidth="1"/>
    <col min="15372" max="15372" width="10.75" style="57" customWidth="1"/>
    <col min="15373" max="15373" width="8" style="57" customWidth="1"/>
    <col min="15374" max="15375" width="9" style="57"/>
    <col min="15376" max="15376" width="9.375" style="57" customWidth="1"/>
    <col min="15377" max="15377" width="9" style="57"/>
    <col min="15378" max="15378" width="7.5" style="57" customWidth="1"/>
    <col min="15379" max="15379" width="9.875" style="57" customWidth="1"/>
    <col min="15380" max="15616" width="9" style="57"/>
    <col min="15617" max="15617" width="14.375" style="57" customWidth="1"/>
    <col min="15618" max="15618" width="11.875" style="57" customWidth="1"/>
    <col min="15619" max="15619" width="13.875" style="57" customWidth="1"/>
    <col min="15620" max="15620" width="12.25" style="57" customWidth="1"/>
    <col min="15621" max="15621" width="12.625" style="57" customWidth="1"/>
    <col min="15622" max="15622" width="13.625" style="57" customWidth="1"/>
    <col min="15623" max="15623" width="11.75" style="57" customWidth="1"/>
    <col min="15624" max="15624" width="13.25" style="57" customWidth="1"/>
    <col min="15625" max="15625" width="11.625" style="57" customWidth="1"/>
    <col min="15626" max="15626" width="12.625" style="57" customWidth="1"/>
    <col min="15627" max="15627" width="9.5" style="57" customWidth="1"/>
    <col min="15628" max="15628" width="10.75" style="57" customWidth="1"/>
    <col min="15629" max="15629" width="8" style="57" customWidth="1"/>
    <col min="15630" max="15631" width="9" style="57"/>
    <col min="15632" max="15632" width="9.375" style="57" customWidth="1"/>
    <col min="15633" max="15633" width="9" style="57"/>
    <col min="15634" max="15634" width="7.5" style="57" customWidth="1"/>
    <col min="15635" max="15635" width="9.875" style="57" customWidth="1"/>
    <col min="15636" max="15872" width="9" style="57"/>
    <col min="15873" max="15873" width="14.375" style="57" customWidth="1"/>
    <col min="15874" max="15874" width="11.875" style="57" customWidth="1"/>
    <col min="15875" max="15875" width="13.875" style="57" customWidth="1"/>
    <col min="15876" max="15876" width="12.25" style="57" customWidth="1"/>
    <col min="15877" max="15877" width="12.625" style="57" customWidth="1"/>
    <col min="15878" max="15878" width="13.625" style="57" customWidth="1"/>
    <col min="15879" max="15879" width="11.75" style="57" customWidth="1"/>
    <col min="15880" max="15880" width="13.25" style="57" customWidth="1"/>
    <col min="15881" max="15881" width="11.625" style="57" customWidth="1"/>
    <col min="15882" max="15882" width="12.625" style="57" customWidth="1"/>
    <col min="15883" max="15883" width="9.5" style="57" customWidth="1"/>
    <col min="15884" max="15884" width="10.75" style="57" customWidth="1"/>
    <col min="15885" max="15885" width="8" style="57" customWidth="1"/>
    <col min="15886" max="15887" width="9" style="57"/>
    <col min="15888" max="15888" width="9.375" style="57" customWidth="1"/>
    <col min="15889" max="15889" width="9" style="57"/>
    <col min="15890" max="15890" width="7.5" style="57" customWidth="1"/>
    <col min="15891" max="15891" width="9.875" style="57" customWidth="1"/>
    <col min="15892" max="16128" width="9" style="57"/>
    <col min="16129" max="16129" width="14.375" style="57" customWidth="1"/>
    <col min="16130" max="16130" width="11.875" style="57" customWidth="1"/>
    <col min="16131" max="16131" width="13.875" style="57" customWidth="1"/>
    <col min="16132" max="16132" width="12.25" style="57" customWidth="1"/>
    <col min="16133" max="16133" width="12.625" style="57" customWidth="1"/>
    <col min="16134" max="16134" width="13.625" style="57" customWidth="1"/>
    <col min="16135" max="16135" width="11.75" style="57" customWidth="1"/>
    <col min="16136" max="16136" width="13.25" style="57" customWidth="1"/>
    <col min="16137" max="16137" width="11.625" style="57" customWidth="1"/>
    <col min="16138" max="16138" width="12.625" style="57" customWidth="1"/>
    <col min="16139" max="16139" width="9.5" style="57" customWidth="1"/>
    <col min="16140" max="16140" width="10.75" style="57" customWidth="1"/>
    <col min="16141" max="16141" width="8" style="57" customWidth="1"/>
    <col min="16142" max="16143" width="9" style="57"/>
    <col min="16144" max="16144" width="9.375" style="57" customWidth="1"/>
    <col min="16145" max="16145" width="9" style="57"/>
    <col min="16146" max="16146" width="7.5" style="57" customWidth="1"/>
    <col min="16147" max="16147" width="9.875" style="57" customWidth="1"/>
    <col min="16148" max="16384" width="9" style="57"/>
  </cols>
  <sheetData>
    <row r="1" spans="1:17" s="53" customFormat="1" ht="24" customHeight="1">
      <c r="A1" s="949" t="s">
        <v>697</v>
      </c>
      <c r="B1" s="949"/>
      <c r="C1" s="949"/>
      <c r="D1" s="949"/>
      <c r="E1" s="949"/>
      <c r="F1" s="949"/>
      <c r="G1" s="949"/>
      <c r="H1" s="949"/>
      <c r="I1" s="949"/>
      <c r="J1" s="949"/>
      <c r="K1" s="949"/>
      <c r="L1" s="949"/>
      <c r="M1" s="949"/>
      <c r="N1" s="949"/>
      <c r="O1" s="949"/>
      <c r="P1" s="949"/>
    </row>
    <row r="2" spans="1:17" s="53" customFormat="1" ht="24" customHeight="1">
      <c r="A2" s="59"/>
      <c r="B2" s="59"/>
      <c r="C2" s="59"/>
      <c r="D2" s="59"/>
      <c r="E2" s="59"/>
      <c r="F2" s="59"/>
      <c r="G2" s="59"/>
      <c r="H2" s="59"/>
      <c r="I2" s="59"/>
      <c r="J2" s="59"/>
      <c r="K2" s="59"/>
      <c r="L2" s="59"/>
      <c r="M2" s="59"/>
      <c r="N2" s="59"/>
      <c r="O2" s="59"/>
      <c r="P2" s="59"/>
    </row>
    <row r="3" spans="1:17" s="54" customFormat="1" ht="24">
      <c r="A3" s="60" t="s">
        <v>698</v>
      </c>
      <c r="B3" s="61"/>
      <c r="C3" s="62"/>
      <c r="D3" s="63"/>
      <c r="E3" s="64"/>
      <c r="F3" s="64"/>
      <c r="G3" s="64"/>
      <c r="I3" s="118" t="s">
        <v>699</v>
      </c>
      <c r="J3" s="119" t="s">
        <v>120</v>
      </c>
      <c r="K3" s="119" t="s">
        <v>700</v>
      </c>
      <c r="L3" s="119" t="s">
        <v>701</v>
      </c>
      <c r="M3" s="119" t="s">
        <v>702</v>
      </c>
      <c r="N3" s="119" t="s">
        <v>703</v>
      </c>
      <c r="O3" s="119" t="s">
        <v>704</v>
      </c>
      <c r="P3" s="120" t="s">
        <v>705</v>
      </c>
      <c r="Q3" s="120" t="s">
        <v>706</v>
      </c>
    </row>
    <row r="4" spans="1:17" s="54" customFormat="1" ht="14.25" customHeight="1">
      <c r="A4" s="54" t="s">
        <v>707</v>
      </c>
      <c r="B4" s="65"/>
      <c r="C4" s="63"/>
      <c r="D4" s="63"/>
      <c r="E4" s="64"/>
      <c r="F4" s="64"/>
      <c r="G4" s="64"/>
      <c r="I4" s="121" t="s">
        <v>708</v>
      </c>
      <c r="J4" s="122"/>
      <c r="K4" s="123"/>
      <c r="L4" s="124"/>
      <c r="M4" s="123"/>
      <c r="N4" s="123"/>
      <c r="O4" s="123"/>
      <c r="P4" s="123"/>
      <c r="Q4" s="131"/>
    </row>
    <row r="5" spans="1:17" s="54" customFormat="1" ht="18.75" customHeight="1">
      <c r="A5" s="54" t="s">
        <v>709</v>
      </c>
      <c r="C5" s="63"/>
      <c r="D5" s="63"/>
      <c r="I5" s="125" t="s">
        <v>710</v>
      </c>
      <c r="J5" s="126" t="e">
        <f t="shared" ref="J5:Q5" si="0">J4/(SUM($J$4:$N$4)+$O$4+$P$4+$Q$4)</f>
        <v>#DIV/0!</v>
      </c>
      <c r="K5" s="126" t="e">
        <f t="shared" si="0"/>
        <v>#DIV/0!</v>
      </c>
      <c r="L5" s="126" t="e">
        <f t="shared" si="0"/>
        <v>#DIV/0!</v>
      </c>
      <c r="M5" s="126" t="e">
        <f t="shared" si="0"/>
        <v>#DIV/0!</v>
      </c>
      <c r="N5" s="126" t="e">
        <f t="shared" si="0"/>
        <v>#DIV/0!</v>
      </c>
      <c r="O5" s="126" t="e">
        <f t="shared" si="0"/>
        <v>#DIV/0!</v>
      </c>
      <c r="P5" s="126" t="e">
        <f t="shared" si="0"/>
        <v>#DIV/0!</v>
      </c>
      <c r="Q5" s="126" t="e">
        <f t="shared" si="0"/>
        <v>#DIV/0!</v>
      </c>
    </row>
    <row r="6" spans="1:17" s="54" customFormat="1" ht="42" customHeight="1">
      <c r="A6" s="1016" t="s">
        <v>711</v>
      </c>
      <c r="B6" s="1017"/>
      <c r="C6" s="66" t="s">
        <v>270</v>
      </c>
      <c r="D6" s="1018">
        <f>SUM($E$8:$E$22)/SUM($D$8:$D$22)*100</f>
        <v>147.45762711864404</v>
      </c>
      <c r="E6" s="1019"/>
      <c r="F6" s="67" t="s">
        <v>269</v>
      </c>
      <c r="G6" s="68">
        <f>((COUNTIF(G8:G22,"1"))/(COUNTIF(F8:F22,"1")+COUNTIF(F8:F22,"0")))*100</f>
        <v>60</v>
      </c>
    </row>
    <row r="7" spans="1:17" s="54" customFormat="1" ht="34.5" customHeight="1">
      <c r="A7" s="69" t="s">
        <v>712</v>
      </c>
      <c r="B7" s="69" t="s">
        <v>713</v>
      </c>
      <c r="C7" s="69" t="s">
        <v>714</v>
      </c>
      <c r="D7" s="69" t="s">
        <v>715</v>
      </c>
      <c r="E7" s="69" t="s">
        <v>716</v>
      </c>
      <c r="F7" s="69" t="s">
        <v>717</v>
      </c>
      <c r="G7" s="69" t="s">
        <v>718</v>
      </c>
      <c r="H7" s="70" t="str">
        <f t="shared" ref="H7:L7" si="1">CONCATENATE("第",COLUMN(H7)-COLUMN($G$7),"周")</f>
        <v>第1周</v>
      </c>
      <c r="I7" s="70" t="str">
        <f t="shared" si="1"/>
        <v>第2周</v>
      </c>
      <c r="J7" s="70" t="str">
        <f t="shared" si="1"/>
        <v>第3周</v>
      </c>
      <c r="K7" s="70" t="str">
        <f t="shared" si="1"/>
        <v>第4周</v>
      </c>
      <c r="L7" s="70" t="str">
        <f t="shared" si="1"/>
        <v>第5周</v>
      </c>
    </row>
    <row r="8" spans="1:17" s="55" customFormat="1" ht="15" customHeight="1">
      <c r="A8" s="71" t="s">
        <v>120</v>
      </c>
      <c r="B8" s="71" t="str">
        <f>[10]人员基本信息!C4</f>
        <v>叶苏莲</v>
      </c>
      <c r="C8" s="71">
        <v>4</v>
      </c>
      <c r="D8" s="72">
        <v>1</v>
      </c>
      <c r="E8" s="73">
        <f t="shared" ref="E8:E22" si="2">IF(ISBLANK(C8),"-",IF(5&lt;=C8,1.6,IF(AND(3&lt;=C8,5&gt;C8),1.25,IF(AND(2&lt;=C8,3&gt;C8),1,IF(AND(2&gt;C8,1.5&lt;=C8),0.8,IF(AND(1.5&gt;C8,1&lt;=C8),0.7,0.5))))))</f>
        <v>1.25</v>
      </c>
      <c r="F8" s="74">
        <v>1</v>
      </c>
      <c r="G8" s="74" t="str">
        <f>[10]人员基本信息!J4</f>
        <v>N/A</v>
      </c>
      <c r="H8" s="74"/>
      <c r="I8" s="74"/>
      <c r="J8" s="74"/>
      <c r="K8" s="74"/>
      <c r="L8" s="74"/>
    </row>
    <row r="9" spans="1:17" s="55" customFormat="1" ht="15" customHeight="1">
      <c r="A9" s="71" t="s">
        <v>719</v>
      </c>
      <c r="B9" s="71" t="str">
        <f>[10]人员基本信息!C5</f>
        <v>赵俊</v>
      </c>
      <c r="C9" s="71">
        <v>10</v>
      </c>
      <c r="D9" s="72">
        <v>1</v>
      </c>
      <c r="E9" s="73">
        <f t="shared" si="2"/>
        <v>1.6</v>
      </c>
      <c r="F9" s="74">
        <v>1</v>
      </c>
      <c r="G9" s="74" t="str">
        <f>[10]人员基本信息!J5</f>
        <v>N/A</v>
      </c>
      <c r="H9" s="74"/>
      <c r="I9" s="74"/>
      <c r="J9" s="74"/>
      <c r="K9" s="74"/>
      <c r="L9" s="74"/>
    </row>
    <row r="10" spans="1:17" s="55" customFormat="1" ht="15" customHeight="1">
      <c r="A10" s="71" t="s">
        <v>703</v>
      </c>
      <c r="B10" s="71" t="str">
        <f>[10]人员基本信息!C6</f>
        <v>吴可帆</v>
      </c>
      <c r="C10" s="71">
        <v>8</v>
      </c>
      <c r="D10" s="72">
        <v>1</v>
      </c>
      <c r="E10" s="73">
        <f t="shared" si="2"/>
        <v>1.6</v>
      </c>
      <c r="F10" s="74">
        <v>1</v>
      </c>
      <c r="G10" s="74" t="str">
        <f>[10]人员基本信息!J6</f>
        <v>N/A</v>
      </c>
      <c r="H10" s="74"/>
      <c r="I10" s="74"/>
      <c r="J10" s="74"/>
      <c r="K10" s="74"/>
      <c r="L10" s="74"/>
    </row>
    <row r="11" spans="1:17" s="55" customFormat="1" ht="15" customHeight="1">
      <c r="A11" s="71" t="s">
        <v>720</v>
      </c>
      <c r="B11" s="71" t="str">
        <f>[10]人员基本信息!C7</f>
        <v>吴赛清</v>
      </c>
      <c r="C11" s="71">
        <v>4</v>
      </c>
      <c r="D11" s="72">
        <v>0.8</v>
      </c>
      <c r="E11" s="73">
        <f t="shared" ref="E11:E21" si="3">IF(ISBLANK(C11),"-",IF(5&lt;=C11,1.6,IF(AND(3&lt;=C11,5&gt;C11),1.25,IF(AND(2&lt;=C11,3&gt;C11),1,IF(AND(2&gt;C11,1.5&lt;=C11),0.8,IF(AND(1.5&gt;C11,1&lt;=C11),0.7,0.5))))))</f>
        <v>1.25</v>
      </c>
      <c r="F11" s="74" t="s">
        <v>721</v>
      </c>
      <c r="G11" s="74" t="s">
        <v>721</v>
      </c>
      <c r="H11" s="74"/>
      <c r="I11" s="74"/>
      <c r="J11" s="74"/>
      <c r="K11" s="74"/>
      <c r="L11" s="74"/>
    </row>
    <row r="12" spans="1:17" s="55" customFormat="1" ht="15" customHeight="1">
      <c r="A12" s="71" t="s">
        <v>704</v>
      </c>
      <c r="B12" s="71" t="str">
        <f>[10]人员基本信息!C8</f>
        <v>李婷</v>
      </c>
      <c r="C12" s="71">
        <v>2</v>
      </c>
      <c r="D12" s="72">
        <v>0.8</v>
      </c>
      <c r="E12" s="73">
        <f t="shared" si="3"/>
        <v>1</v>
      </c>
      <c r="F12" s="74" t="s">
        <v>721</v>
      </c>
      <c r="G12" s="74" t="s">
        <v>721</v>
      </c>
      <c r="H12" s="74"/>
      <c r="I12" s="74"/>
      <c r="J12" s="74"/>
      <c r="K12" s="74"/>
      <c r="L12" s="74"/>
    </row>
    <row r="13" spans="1:17" s="55" customFormat="1" ht="15" customHeight="1">
      <c r="A13" s="71" t="s">
        <v>700</v>
      </c>
      <c r="B13" s="71" t="str">
        <f>[10]人员基本信息!C9</f>
        <v>周小军</v>
      </c>
      <c r="C13" s="71">
        <v>3</v>
      </c>
      <c r="D13" s="72">
        <v>1</v>
      </c>
      <c r="E13" s="73">
        <f t="shared" si="3"/>
        <v>1.25</v>
      </c>
      <c r="F13" s="74">
        <v>1</v>
      </c>
      <c r="G13" s="74">
        <v>1</v>
      </c>
      <c r="H13" s="74"/>
      <c r="I13" s="74"/>
      <c r="J13" s="74"/>
      <c r="K13" s="74"/>
      <c r="L13" s="74"/>
    </row>
    <row r="14" spans="1:17" s="55" customFormat="1" ht="15" customHeight="1">
      <c r="A14" s="71" t="s">
        <v>700</v>
      </c>
      <c r="B14" s="71" t="str">
        <f>[10]人员基本信息!C10</f>
        <v>吴佳红</v>
      </c>
      <c r="C14" s="71">
        <v>3</v>
      </c>
      <c r="D14" s="72">
        <v>0.8</v>
      </c>
      <c r="E14" s="73">
        <f t="shared" si="3"/>
        <v>1.25</v>
      </c>
      <c r="F14" s="74">
        <v>1</v>
      </c>
      <c r="G14" s="74">
        <v>1</v>
      </c>
      <c r="H14" s="74"/>
      <c r="I14" s="74"/>
      <c r="J14" s="74"/>
      <c r="K14" s="74"/>
      <c r="L14" s="74"/>
    </row>
    <row r="15" spans="1:17" s="55" customFormat="1" ht="15" customHeight="1">
      <c r="A15" s="71" t="s">
        <v>722</v>
      </c>
      <c r="B15" s="71" t="str">
        <f>[10]人员基本信息!C11</f>
        <v>张涵</v>
      </c>
      <c r="C15" s="71">
        <v>4</v>
      </c>
      <c r="D15" s="72">
        <v>1</v>
      </c>
      <c r="E15" s="73">
        <f t="shared" si="3"/>
        <v>1.25</v>
      </c>
      <c r="F15" s="74" t="s">
        <v>721</v>
      </c>
      <c r="G15" s="74" t="s">
        <v>721</v>
      </c>
      <c r="H15" s="74"/>
      <c r="I15" s="74"/>
      <c r="J15" s="74"/>
      <c r="K15" s="74"/>
      <c r="L15" s="74"/>
    </row>
    <row r="16" spans="1:17" s="55" customFormat="1" ht="15" customHeight="1">
      <c r="A16" s="71" t="s">
        <v>722</v>
      </c>
      <c r="B16" s="71" t="str">
        <f>[10]人员基本信息!C12</f>
        <v>司乾义</v>
      </c>
      <c r="C16" s="71">
        <v>5</v>
      </c>
      <c r="D16" s="72">
        <v>1</v>
      </c>
      <c r="E16" s="73">
        <f t="shared" si="3"/>
        <v>1.6</v>
      </c>
      <c r="F16" s="74" t="s">
        <v>721</v>
      </c>
      <c r="G16" s="74" t="s">
        <v>721</v>
      </c>
      <c r="H16" s="74"/>
      <c r="I16" s="74"/>
      <c r="J16" s="74"/>
      <c r="K16" s="74"/>
      <c r="L16" s="74"/>
    </row>
    <row r="17" spans="1:12" s="55" customFormat="1" ht="15" customHeight="1">
      <c r="A17" s="71" t="s">
        <v>722</v>
      </c>
      <c r="B17" s="71" t="str">
        <f>[10]人员基本信息!C13</f>
        <v>刘艳玲</v>
      </c>
      <c r="C17" s="71">
        <v>3</v>
      </c>
      <c r="D17" s="72">
        <v>0.8</v>
      </c>
      <c r="E17" s="73">
        <f t="shared" si="3"/>
        <v>1.25</v>
      </c>
      <c r="F17" s="74" t="s">
        <v>721</v>
      </c>
      <c r="G17" s="74" t="s">
        <v>721</v>
      </c>
      <c r="H17" s="74"/>
      <c r="I17" s="74"/>
      <c r="J17" s="74"/>
      <c r="K17" s="74"/>
      <c r="L17" s="74"/>
    </row>
    <row r="18" spans="1:12" s="55" customFormat="1" ht="15" customHeight="1">
      <c r="A18" s="71" t="s">
        <v>113</v>
      </c>
      <c r="B18" s="71" t="str">
        <f>[10]人员基本信息!C14</f>
        <v>严晓婷</v>
      </c>
      <c r="C18" s="71">
        <v>4</v>
      </c>
      <c r="D18" s="72">
        <v>0.8</v>
      </c>
      <c r="E18" s="73">
        <f t="shared" si="3"/>
        <v>1.25</v>
      </c>
      <c r="F18" s="74" t="s">
        <v>721</v>
      </c>
      <c r="G18" s="74" t="s">
        <v>721</v>
      </c>
      <c r="H18" s="74"/>
      <c r="I18" s="74"/>
      <c r="J18" s="74"/>
      <c r="K18" s="74"/>
      <c r="L18" s="74"/>
    </row>
    <row r="19" spans="1:12" s="55" customFormat="1" ht="15" customHeight="1">
      <c r="A19" s="71" t="s">
        <v>113</v>
      </c>
      <c r="B19" s="71" t="str">
        <f>[10]人员基本信息!C15</f>
        <v>陈都</v>
      </c>
      <c r="C19" s="71">
        <v>5</v>
      </c>
      <c r="D19" s="72">
        <v>0.8</v>
      </c>
      <c r="E19" s="73">
        <f t="shared" si="3"/>
        <v>1.6</v>
      </c>
      <c r="F19" s="74" t="s">
        <v>721</v>
      </c>
      <c r="G19" s="74" t="s">
        <v>721</v>
      </c>
      <c r="H19" s="74"/>
      <c r="I19" s="74"/>
      <c r="J19" s="74"/>
      <c r="K19" s="74"/>
      <c r="L19" s="74"/>
    </row>
    <row r="20" spans="1:12" s="55" customFormat="1" ht="15" customHeight="1">
      <c r="A20" s="71" t="s">
        <v>723</v>
      </c>
      <c r="B20" s="71" t="str">
        <f>[10]人员基本信息!C16</f>
        <v>骆宣霏</v>
      </c>
      <c r="C20" s="71">
        <v>4</v>
      </c>
      <c r="D20" s="72">
        <v>1</v>
      </c>
      <c r="E20" s="73">
        <f t="shared" si="3"/>
        <v>1.25</v>
      </c>
      <c r="F20" s="74" t="s">
        <v>721</v>
      </c>
      <c r="G20" s="74" t="s">
        <v>721</v>
      </c>
      <c r="H20" s="74"/>
      <c r="I20" s="74"/>
      <c r="J20" s="74"/>
      <c r="K20" s="74"/>
      <c r="L20" s="74"/>
    </row>
    <row r="21" spans="1:12" s="55" customFormat="1" ht="15" customHeight="1">
      <c r="A21" s="71"/>
      <c r="B21" s="71" t="str">
        <f>人员基本信息!C17</f>
        <v>姓名14</v>
      </c>
      <c r="C21" s="71"/>
      <c r="D21" s="72"/>
      <c r="E21" s="73" t="str">
        <f t="shared" si="3"/>
        <v>-</v>
      </c>
      <c r="F21" s="74"/>
      <c r="G21" s="74"/>
      <c r="H21" s="74"/>
      <c r="I21" s="74"/>
      <c r="J21" s="74"/>
      <c r="K21" s="74"/>
      <c r="L21" s="74"/>
    </row>
    <row r="22" spans="1:12" s="55" customFormat="1" ht="15" customHeight="1">
      <c r="A22" s="71"/>
      <c r="B22" s="71" t="str">
        <f>人员基本信息!C18</f>
        <v>姓名15</v>
      </c>
      <c r="C22" s="71"/>
      <c r="D22" s="72"/>
      <c r="E22" s="73" t="str">
        <f t="shared" si="2"/>
        <v>-</v>
      </c>
      <c r="F22" s="74"/>
      <c r="G22" s="74">
        <f>人员基本信息!K7</f>
        <v>1</v>
      </c>
      <c r="H22" s="74"/>
      <c r="I22" s="74"/>
      <c r="J22" s="74"/>
      <c r="K22" s="74"/>
      <c r="L22" s="74"/>
    </row>
    <row r="25" spans="1:12">
      <c r="A25" s="75" t="s">
        <v>724</v>
      </c>
      <c r="B25" s="76"/>
    </row>
    <row r="26" spans="1:12">
      <c r="A26" s="54" t="s">
        <v>725</v>
      </c>
    </row>
    <row r="27" spans="1:12">
      <c r="A27" s="54" t="s">
        <v>559</v>
      </c>
    </row>
    <row r="28" spans="1:12">
      <c r="A28" s="54"/>
    </row>
    <row r="29" spans="1:12">
      <c r="A29" s="77" t="s">
        <v>726</v>
      </c>
      <c r="B29" s="78" t="s">
        <v>120</v>
      </c>
      <c r="C29" s="78" t="s">
        <v>727</v>
      </c>
      <c r="D29" s="78" t="s">
        <v>728</v>
      </c>
      <c r="E29" s="78" t="s">
        <v>729</v>
      </c>
      <c r="F29" s="79" t="s">
        <v>730</v>
      </c>
      <c r="G29" s="78" t="s">
        <v>731</v>
      </c>
      <c r="H29" s="78" t="s">
        <v>732</v>
      </c>
      <c r="I29" s="78" t="s">
        <v>720</v>
      </c>
      <c r="J29" s="127" t="s">
        <v>733</v>
      </c>
    </row>
    <row r="30" spans="1:12">
      <c r="A30" s="80">
        <f>AVERAGE(E8:E22)</f>
        <v>1.3384615384615384</v>
      </c>
      <c r="B30" s="81">
        <f>AVERAGEIF($A$8:$A$22,"项目经理",$E$8:$E$22)</f>
        <v>1.25</v>
      </c>
      <c r="C30" s="81" t="e">
        <f>AVERAGEIF(A8:A22,"策划工程师",E8:E22)</f>
        <v>#DIV/0!</v>
      </c>
      <c r="D30" s="81" t="e">
        <f>AVERAGEIF(A8:A22,"需求分析师",E8:E22)</f>
        <v>#DIV/0!</v>
      </c>
      <c r="E30" s="81">
        <f>AVERAGEIF(A8:A22,"开发工程师",E8:E22)</f>
        <v>1.25</v>
      </c>
      <c r="F30" s="81">
        <f>AVERAGEIF(A8:A22,"测试工程师",E8:E22)</f>
        <v>1.6</v>
      </c>
      <c r="G30" s="81">
        <f>AVERAGEIF(A8:A22,"UI及美工",E8:E22)</f>
        <v>1.25</v>
      </c>
      <c r="H30" s="81" t="e">
        <f>AVERAGEIF(A8:A22,"架构师",E8:E22)</f>
        <v>#DIV/0!</v>
      </c>
      <c r="I30" s="81">
        <f>AVERAGEIF(A8:A22,"质量保证工程师",E8:E22)</f>
        <v>1.25</v>
      </c>
      <c r="J30" s="128">
        <f>AVERAGEIF(A8:A22,"配置管理员",E8:E22)</f>
        <v>1</v>
      </c>
    </row>
    <row r="31" spans="1:12" s="56" customFormat="1">
      <c r="A31" s="82"/>
      <c r="B31" s="82"/>
      <c r="C31" s="83"/>
      <c r="D31" s="83"/>
      <c r="E31" s="83"/>
      <c r="F31" s="83"/>
      <c r="G31" s="83"/>
      <c r="H31" s="83"/>
      <c r="I31" s="83"/>
      <c r="J31" s="129"/>
    </row>
    <row r="32" spans="1:12">
      <c r="A32" s="84" t="s">
        <v>734</v>
      </c>
      <c r="B32" s="76"/>
    </row>
    <row r="33" spans="1:5">
      <c r="A33" s="85" t="s">
        <v>735</v>
      </c>
    </row>
    <row r="34" spans="1:5">
      <c r="A34" s="85" t="s">
        <v>736</v>
      </c>
    </row>
    <row r="36" spans="1:5">
      <c r="A36" s="86" t="s">
        <v>536</v>
      </c>
      <c r="B36" s="87" t="s">
        <v>737</v>
      </c>
      <c r="C36" s="87" t="s">
        <v>738</v>
      </c>
      <c r="D36" s="1020" t="s">
        <v>739</v>
      </c>
      <c r="E36" s="1021"/>
    </row>
    <row r="37" spans="1:5">
      <c r="A37" s="88" t="s">
        <v>384</v>
      </c>
      <c r="B37" s="89">
        <v>13</v>
      </c>
      <c r="C37" s="89">
        <v>13</v>
      </c>
      <c r="D37" s="1011">
        <f>C37/B37*100</f>
        <v>100</v>
      </c>
      <c r="E37" s="1012"/>
    </row>
    <row r="38" spans="1:5">
      <c r="A38" s="88" t="s">
        <v>385</v>
      </c>
      <c r="B38" s="89">
        <v>13</v>
      </c>
      <c r="C38" s="89">
        <v>13</v>
      </c>
      <c r="D38" s="1011">
        <f t="shared" ref="D38:D53" si="4">C38/B38*100</f>
        <v>100</v>
      </c>
      <c r="E38" s="1012"/>
    </row>
    <row r="39" spans="1:5">
      <c r="A39" s="90" t="s">
        <v>540</v>
      </c>
      <c r="B39" s="89">
        <v>13</v>
      </c>
      <c r="C39" s="89">
        <v>13</v>
      </c>
      <c r="D39" s="1011">
        <f t="shared" si="4"/>
        <v>100</v>
      </c>
      <c r="E39" s="1012"/>
    </row>
    <row r="40" spans="1:5">
      <c r="A40" s="90" t="s">
        <v>541</v>
      </c>
      <c r="B40" s="89">
        <v>13</v>
      </c>
      <c r="C40" s="89">
        <v>13</v>
      </c>
      <c r="D40" s="1011">
        <f t="shared" si="4"/>
        <v>100</v>
      </c>
      <c r="E40" s="1012"/>
    </row>
    <row r="41" spans="1:5">
      <c r="A41" s="90" t="s">
        <v>542</v>
      </c>
      <c r="B41" s="89">
        <v>13</v>
      </c>
      <c r="C41" s="89">
        <v>13</v>
      </c>
      <c r="D41" s="1011">
        <f t="shared" si="4"/>
        <v>100</v>
      </c>
      <c r="E41" s="1012"/>
    </row>
    <row r="42" spans="1:5">
      <c r="A42" s="90" t="s">
        <v>543</v>
      </c>
      <c r="B42" s="89"/>
      <c r="C42" s="89"/>
      <c r="D42" s="1011" t="e">
        <f t="shared" si="4"/>
        <v>#DIV/0!</v>
      </c>
      <c r="E42" s="1012"/>
    </row>
    <row r="43" spans="1:5">
      <c r="A43" s="88" t="s">
        <v>393</v>
      </c>
      <c r="B43" s="89"/>
      <c r="C43" s="89"/>
      <c r="D43" s="1011" t="e">
        <f t="shared" si="4"/>
        <v>#DIV/0!</v>
      </c>
      <c r="E43" s="1012"/>
    </row>
    <row r="44" spans="1:5">
      <c r="A44" s="90" t="s">
        <v>544</v>
      </c>
      <c r="B44" s="89"/>
      <c r="C44" s="89"/>
      <c r="D44" s="1011" t="e">
        <f t="shared" si="4"/>
        <v>#DIV/0!</v>
      </c>
      <c r="E44" s="1012"/>
    </row>
    <row r="45" spans="1:5">
      <c r="A45" s="90" t="s">
        <v>545</v>
      </c>
      <c r="B45" s="89"/>
      <c r="C45" s="89"/>
      <c r="D45" s="1011" t="e">
        <f t="shared" si="4"/>
        <v>#DIV/0!</v>
      </c>
      <c r="E45" s="1012"/>
    </row>
    <row r="46" spans="1:5">
      <c r="A46" s="90" t="s">
        <v>546</v>
      </c>
      <c r="B46" s="89"/>
      <c r="C46" s="89"/>
      <c r="D46" s="1011" t="e">
        <f t="shared" si="4"/>
        <v>#DIV/0!</v>
      </c>
      <c r="E46" s="1012"/>
    </row>
    <row r="47" spans="1:5">
      <c r="A47" s="90" t="s">
        <v>547</v>
      </c>
      <c r="B47" s="89"/>
      <c r="C47" s="89"/>
      <c r="D47" s="1011" t="e">
        <f t="shared" si="4"/>
        <v>#DIV/0!</v>
      </c>
      <c r="E47" s="1012"/>
    </row>
    <row r="48" spans="1:5">
      <c r="A48" s="88" t="s">
        <v>394</v>
      </c>
      <c r="B48" s="89"/>
      <c r="C48" s="89"/>
      <c r="D48" s="1011" t="e">
        <f t="shared" si="4"/>
        <v>#DIV/0!</v>
      </c>
      <c r="E48" s="1012"/>
    </row>
    <row r="49" spans="1:11">
      <c r="A49" s="90" t="s">
        <v>548</v>
      </c>
      <c r="B49" s="89"/>
      <c r="C49" s="89"/>
      <c r="D49" s="1011" t="e">
        <f t="shared" si="4"/>
        <v>#DIV/0!</v>
      </c>
      <c r="E49" s="1012"/>
    </row>
    <row r="50" spans="1:11">
      <c r="A50" s="90" t="s">
        <v>549</v>
      </c>
      <c r="B50" s="89"/>
      <c r="C50" s="89"/>
      <c r="D50" s="1011" t="e">
        <f t="shared" si="4"/>
        <v>#DIV/0!</v>
      </c>
      <c r="E50" s="1012"/>
    </row>
    <row r="51" spans="1:11">
      <c r="A51" s="90" t="s">
        <v>550</v>
      </c>
      <c r="B51" s="89"/>
      <c r="C51" s="89"/>
      <c r="D51" s="1011" t="e">
        <f t="shared" si="4"/>
        <v>#DIV/0!</v>
      </c>
      <c r="E51" s="1012"/>
    </row>
    <row r="52" spans="1:11">
      <c r="A52" s="90" t="s">
        <v>551</v>
      </c>
      <c r="B52" s="89"/>
      <c r="C52" s="89"/>
      <c r="D52" s="1011" t="e">
        <f t="shared" si="4"/>
        <v>#DIV/0!</v>
      </c>
      <c r="E52" s="1012"/>
    </row>
    <row r="53" spans="1:11" ht="15.75" customHeight="1">
      <c r="A53" s="91" t="s">
        <v>386</v>
      </c>
      <c r="B53" s="92"/>
      <c r="C53" s="92"/>
      <c r="D53" s="1011" t="e">
        <f t="shared" si="4"/>
        <v>#DIV/0!</v>
      </c>
      <c r="E53" s="1012"/>
      <c r="K53" s="130">
        <f>H61</f>
        <v>0</v>
      </c>
    </row>
    <row r="54" spans="1:11">
      <c r="K54" s="130">
        <f>H62</f>
        <v>0</v>
      </c>
    </row>
    <row r="55" spans="1:11">
      <c r="K55" s="130" t="e">
        <f>H75</f>
        <v>#DIV/0!</v>
      </c>
    </row>
    <row r="56" spans="1:11">
      <c r="A56" s="75" t="s">
        <v>740</v>
      </c>
      <c r="B56" s="93"/>
      <c r="C56" s="94"/>
      <c r="K56" s="130" t="e">
        <f>H76</f>
        <v>#DIV/0!</v>
      </c>
    </row>
    <row r="57" spans="1:11">
      <c r="A57" s="54" t="s">
        <v>741</v>
      </c>
      <c r="K57" s="130" t="e">
        <f>H77</f>
        <v>#DIV/0!</v>
      </c>
    </row>
    <row r="58" spans="1:11">
      <c r="A58" s="54" t="s">
        <v>742</v>
      </c>
    </row>
    <row r="60" spans="1:11">
      <c r="A60" s="95" t="s">
        <v>536</v>
      </c>
      <c r="B60" s="96" t="s">
        <v>743</v>
      </c>
      <c r="C60" s="97" t="s">
        <v>744</v>
      </c>
      <c r="D60" s="98" t="s">
        <v>745</v>
      </c>
      <c r="E60" s="98" t="s">
        <v>746</v>
      </c>
      <c r="F60" s="98" t="s">
        <v>747</v>
      </c>
      <c r="G60" s="99" t="s">
        <v>748</v>
      </c>
      <c r="H60" s="100" t="s">
        <v>749</v>
      </c>
      <c r="J60" s="57" t="str">
        <f>A61</f>
        <v>产品立项阶段</v>
      </c>
    </row>
    <row r="61" spans="1:11">
      <c r="A61" s="101" t="s">
        <v>384</v>
      </c>
      <c r="B61" s="102">
        <v>13</v>
      </c>
      <c r="C61" s="103">
        <v>0</v>
      </c>
      <c r="D61" s="103">
        <v>0</v>
      </c>
      <c r="E61" s="103">
        <v>0</v>
      </c>
      <c r="F61" s="103">
        <v>0</v>
      </c>
      <c r="G61" s="104">
        <f>B61+C61+E61-D61-F61</f>
        <v>13</v>
      </c>
      <c r="H61" s="105">
        <f>SUM(C61:F61)/B61</f>
        <v>0</v>
      </c>
      <c r="J61" s="57" t="str">
        <f>A62</f>
        <v>迭代一</v>
      </c>
    </row>
    <row r="62" spans="1:11">
      <c r="A62" s="106" t="s">
        <v>385</v>
      </c>
      <c r="B62" s="107"/>
      <c r="C62" s="107"/>
      <c r="D62" s="107"/>
      <c r="E62" s="107"/>
      <c r="F62" s="107"/>
      <c r="G62" s="107"/>
      <c r="H62" s="108"/>
      <c r="J62" s="57" t="str">
        <f>A75</f>
        <v>迭代三开发</v>
      </c>
    </row>
    <row r="63" spans="1:11">
      <c r="A63" s="109" t="s">
        <v>540</v>
      </c>
      <c r="B63" s="110">
        <v>13</v>
      </c>
      <c r="C63" s="111">
        <v>0</v>
      </c>
      <c r="D63" s="111">
        <v>0</v>
      </c>
      <c r="E63" s="111">
        <v>0</v>
      </c>
      <c r="F63" s="111">
        <v>0</v>
      </c>
      <c r="G63" s="112">
        <f t="shared" ref="G63:G65" si="5">B63+C63+E63-D63-F63</f>
        <v>13</v>
      </c>
      <c r="H63" s="113"/>
    </row>
    <row r="64" spans="1:11">
      <c r="A64" s="90" t="s">
        <v>541</v>
      </c>
      <c r="B64" s="114">
        <v>13</v>
      </c>
      <c r="C64" s="115">
        <v>0</v>
      </c>
      <c r="D64" s="115">
        <v>0</v>
      </c>
      <c r="E64" s="115">
        <v>0</v>
      </c>
      <c r="F64" s="115">
        <v>0</v>
      </c>
      <c r="G64" s="116">
        <f t="shared" si="5"/>
        <v>13</v>
      </c>
      <c r="H64" s="117"/>
    </row>
    <row r="65" spans="1:11">
      <c r="A65" s="90" t="s">
        <v>542</v>
      </c>
      <c r="B65" s="114">
        <v>13</v>
      </c>
      <c r="C65" s="115">
        <v>0</v>
      </c>
      <c r="D65" s="115">
        <v>0</v>
      </c>
      <c r="E65" s="115">
        <v>0</v>
      </c>
      <c r="F65" s="115">
        <v>0</v>
      </c>
      <c r="G65" s="116">
        <f t="shared" si="5"/>
        <v>13</v>
      </c>
      <c r="H65" s="117"/>
    </row>
    <row r="66" spans="1:11">
      <c r="A66" s="90" t="s">
        <v>543</v>
      </c>
      <c r="B66" s="114"/>
      <c r="C66" s="115"/>
      <c r="D66" s="115"/>
      <c r="E66" s="115"/>
      <c r="F66" s="115"/>
      <c r="G66" s="116">
        <f t="shared" ref="G66:G78" si="6">B66+C66+E66-D66-F66</f>
        <v>0</v>
      </c>
      <c r="H66" s="117"/>
    </row>
    <row r="67" spans="1:11">
      <c r="A67" s="106" t="s">
        <v>393</v>
      </c>
      <c r="B67" s="107"/>
      <c r="C67" s="107"/>
      <c r="D67" s="107"/>
      <c r="E67" s="107"/>
      <c r="F67" s="107"/>
      <c r="G67" s="107"/>
      <c r="H67" s="108"/>
    </row>
    <row r="68" spans="1:11">
      <c r="A68" s="90" t="s">
        <v>544</v>
      </c>
      <c r="B68" s="114"/>
      <c r="C68" s="115"/>
      <c r="D68" s="115"/>
      <c r="E68" s="115"/>
      <c r="F68" s="115"/>
      <c r="G68" s="116">
        <f t="shared" si="6"/>
        <v>0</v>
      </c>
      <c r="H68" s="117"/>
    </row>
    <row r="69" spans="1:11">
      <c r="A69" s="90" t="s">
        <v>545</v>
      </c>
      <c r="B69" s="114"/>
      <c r="C69" s="115"/>
      <c r="D69" s="115"/>
      <c r="E69" s="115"/>
      <c r="F69" s="115"/>
      <c r="G69" s="116">
        <f t="shared" si="6"/>
        <v>0</v>
      </c>
      <c r="H69" s="117"/>
    </row>
    <row r="70" spans="1:11">
      <c r="A70" s="90" t="s">
        <v>546</v>
      </c>
      <c r="B70" s="114"/>
      <c r="C70" s="115"/>
      <c r="D70" s="115"/>
      <c r="E70" s="115"/>
      <c r="F70" s="115"/>
      <c r="G70" s="116">
        <f t="shared" si="6"/>
        <v>0</v>
      </c>
      <c r="H70" s="117"/>
    </row>
    <row r="71" spans="1:11">
      <c r="A71" s="90" t="s">
        <v>547</v>
      </c>
      <c r="B71" s="114"/>
      <c r="C71" s="115"/>
      <c r="D71" s="115"/>
      <c r="E71" s="115"/>
      <c r="F71" s="115"/>
      <c r="G71" s="116">
        <f t="shared" si="6"/>
        <v>0</v>
      </c>
      <c r="H71" s="117"/>
    </row>
    <row r="72" spans="1:11">
      <c r="A72" s="106" t="s">
        <v>394</v>
      </c>
      <c r="B72" s="107"/>
      <c r="C72" s="107"/>
      <c r="D72" s="107"/>
      <c r="E72" s="107"/>
      <c r="F72" s="107"/>
      <c r="G72" s="107"/>
      <c r="H72" s="108"/>
    </row>
    <row r="73" spans="1:11">
      <c r="A73" s="90" t="s">
        <v>548</v>
      </c>
      <c r="B73" s="114"/>
      <c r="C73" s="115"/>
      <c r="D73" s="115"/>
      <c r="E73" s="115"/>
      <c r="F73" s="115"/>
      <c r="G73" s="116">
        <f t="shared" si="6"/>
        <v>0</v>
      </c>
      <c r="H73" s="117"/>
    </row>
    <row r="74" spans="1:11">
      <c r="A74" s="90" t="s">
        <v>549</v>
      </c>
      <c r="B74" s="114"/>
      <c r="C74" s="115"/>
      <c r="D74" s="115"/>
      <c r="E74" s="115"/>
      <c r="F74" s="115"/>
      <c r="G74" s="116">
        <f t="shared" si="6"/>
        <v>0</v>
      </c>
      <c r="H74" s="117"/>
    </row>
    <row r="75" spans="1:11">
      <c r="A75" s="90" t="s">
        <v>550</v>
      </c>
      <c r="B75" s="114"/>
      <c r="C75" s="115"/>
      <c r="D75" s="115"/>
      <c r="E75" s="115"/>
      <c r="F75" s="115"/>
      <c r="G75" s="116">
        <f t="shared" si="6"/>
        <v>0</v>
      </c>
      <c r="H75" s="117" t="e">
        <f>SUM(C75:F75)/B75</f>
        <v>#DIV/0!</v>
      </c>
      <c r="J75" s="57" t="str">
        <f>A76</f>
        <v>迭代三测试</v>
      </c>
    </row>
    <row r="76" spans="1:11">
      <c r="A76" s="90" t="s">
        <v>551</v>
      </c>
      <c r="B76" s="114"/>
      <c r="C76" s="115"/>
      <c r="D76" s="115"/>
      <c r="E76" s="115"/>
      <c r="F76" s="115"/>
      <c r="G76" s="116">
        <f t="shared" si="6"/>
        <v>0</v>
      </c>
      <c r="H76" s="117" t="e">
        <f>SUM(C76:F76)/B76</f>
        <v>#DIV/0!</v>
      </c>
      <c r="J76" s="57" t="str">
        <f>A77</f>
        <v>系统集成与验收结项阶段</v>
      </c>
    </row>
    <row r="77" spans="1:11">
      <c r="A77" s="91" t="s">
        <v>386</v>
      </c>
      <c r="B77" s="114"/>
      <c r="C77" s="115"/>
      <c r="D77" s="115"/>
      <c r="E77" s="115"/>
      <c r="F77" s="115"/>
      <c r="G77" s="116">
        <f t="shared" si="6"/>
        <v>0</v>
      </c>
      <c r="H77" s="117" t="e">
        <f>SUM(C77:F77)/B77</f>
        <v>#DIV/0!</v>
      </c>
    </row>
    <row r="78" spans="1:11" ht="17.25" customHeight="1">
      <c r="A78" s="132" t="s">
        <v>495</v>
      </c>
      <c r="B78" s="133">
        <f>MAX(B61:B77)</f>
        <v>13</v>
      </c>
      <c r="C78" s="133">
        <f>SUM(C61:C77)</f>
        <v>0</v>
      </c>
      <c r="D78" s="133">
        <f>SUM(D61:D77)</f>
        <v>0</v>
      </c>
      <c r="E78" s="133">
        <f>SUM(E61:E77)</f>
        <v>0</v>
      </c>
      <c r="F78" s="133">
        <f>SUM(F61:F77)</f>
        <v>0</v>
      </c>
      <c r="G78" s="134">
        <f t="shared" si="6"/>
        <v>13</v>
      </c>
      <c r="H78" s="135">
        <f>SUM(C78:F78)/B78</f>
        <v>0</v>
      </c>
    </row>
    <row r="79" spans="1:11" ht="12" customHeight="1">
      <c r="K79" s="130"/>
    </row>
    <row r="80" spans="1:11" ht="12" customHeight="1">
      <c r="J80" s="85"/>
      <c r="K80" s="130"/>
    </row>
    <row r="81" spans="1:11" ht="12" customHeight="1">
      <c r="B81" s="136"/>
      <c r="K81" s="130"/>
    </row>
    <row r="82" spans="1:11" ht="12" hidden="1" customHeight="1">
      <c r="A82" s="1013" t="s">
        <v>750</v>
      </c>
      <c r="B82" s="1014"/>
      <c r="C82" s="1015"/>
      <c r="K82" s="130" t="e">
        <f t="shared" ref="K82:K83" si="7">D89</f>
        <v>#DIV/0!</v>
      </c>
    </row>
    <row r="83" spans="1:11" ht="12" hidden="1" customHeight="1">
      <c r="A83" s="85" t="s">
        <v>751</v>
      </c>
      <c r="K83" s="130">
        <f t="shared" si="7"/>
        <v>1.0920209668025624</v>
      </c>
    </row>
    <row r="84" spans="1:11" ht="12" hidden="1" customHeight="1">
      <c r="A84" s="85" t="s">
        <v>752</v>
      </c>
      <c r="C84" s="57"/>
      <c r="D84" s="57"/>
    </row>
    <row r="85" spans="1:11" hidden="1">
      <c r="A85" s="137" t="s">
        <v>536</v>
      </c>
      <c r="B85" s="138" t="s">
        <v>753</v>
      </c>
      <c r="C85" s="138" t="s">
        <v>754</v>
      </c>
      <c r="D85" s="139" t="s">
        <v>275</v>
      </c>
    </row>
    <row r="86" spans="1:11" hidden="1">
      <c r="A86" s="140" t="s">
        <v>676</v>
      </c>
      <c r="B86" s="141">
        <f>工作量分布!C14</f>
        <v>4.9793000000000012</v>
      </c>
      <c r="C86" s="141">
        <f>工作量分布!D14</f>
        <v>5.75</v>
      </c>
      <c r="D86" s="142">
        <f t="shared" ref="D86:D91" si="8">C86/B86</f>
        <v>1.1547807924808706</v>
      </c>
      <c r="I86" s="57" t="str">
        <f t="shared" ref="I86:I90" si="9">A86</f>
        <v>需求阶段</v>
      </c>
    </row>
    <row r="87" spans="1:11" hidden="1">
      <c r="A87" s="140" t="s">
        <v>695</v>
      </c>
      <c r="B87" s="141">
        <f>工作量分布!E14</f>
        <v>162.94329999999997</v>
      </c>
      <c r="C87" s="141">
        <f>工作量分布!F14</f>
        <v>144.125</v>
      </c>
      <c r="D87" s="142">
        <f t="shared" si="8"/>
        <v>0.88451013327949068</v>
      </c>
      <c r="I87" s="57" t="str">
        <f t="shared" si="9"/>
        <v>设计阶段</v>
      </c>
    </row>
    <row r="88" spans="1:11" hidden="1">
      <c r="A88" s="140" t="s">
        <v>677</v>
      </c>
      <c r="B88" s="141">
        <f>工作量分布!G14</f>
        <v>0</v>
      </c>
      <c r="C88" s="141">
        <f>工作量分布!H14</f>
        <v>0</v>
      </c>
      <c r="D88" s="142" t="e">
        <f t="shared" si="8"/>
        <v>#DIV/0!</v>
      </c>
      <c r="I88" s="57" t="str">
        <f t="shared" si="9"/>
        <v>编码阶段</v>
      </c>
    </row>
    <row r="89" spans="1:11" hidden="1">
      <c r="A89" s="140" t="s">
        <v>696</v>
      </c>
      <c r="B89" s="141">
        <f>工作量分布!I14</f>
        <v>0</v>
      </c>
      <c r="C89" s="141">
        <f>工作量分布!J14</f>
        <v>0</v>
      </c>
      <c r="D89" s="142" t="e">
        <f t="shared" si="8"/>
        <v>#DIV/0!</v>
      </c>
      <c r="I89" s="57" t="str">
        <f t="shared" si="9"/>
        <v>测试阶段</v>
      </c>
    </row>
    <row r="90" spans="1:11" hidden="1">
      <c r="A90" s="140" t="s">
        <v>653</v>
      </c>
      <c r="B90" s="141">
        <f>工作量分布!K14</f>
        <v>3.7774000000000005</v>
      </c>
      <c r="C90" s="141">
        <f>工作量分布!L14</f>
        <v>4.125</v>
      </c>
      <c r="D90" s="142">
        <f t="shared" si="8"/>
        <v>1.0920209668025624</v>
      </c>
      <c r="I90" s="57" t="str">
        <f t="shared" si="9"/>
        <v>验收阶段</v>
      </c>
    </row>
    <row r="91" spans="1:11" hidden="1">
      <c r="A91" s="132" t="s">
        <v>387</v>
      </c>
      <c r="B91" s="143">
        <f>SUM(B86:B90)</f>
        <v>171.69999999999996</v>
      </c>
      <c r="C91" s="143">
        <f>SUM(C86:C90)</f>
        <v>154</v>
      </c>
      <c r="D91" s="144">
        <f t="shared" si="8"/>
        <v>0.89691322073383828</v>
      </c>
      <c r="E91" s="145"/>
      <c r="F91" s="146"/>
    </row>
    <row r="92" spans="1:11">
      <c r="A92" s="147"/>
      <c r="B92" s="146"/>
      <c r="C92" s="148"/>
      <c r="D92" s="149"/>
      <c r="E92" s="150"/>
      <c r="F92" s="145"/>
      <c r="G92" s="146"/>
    </row>
    <row r="93" spans="1:11" ht="18" customHeight="1">
      <c r="E93" s="150"/>
      <c r="F93" s="145"/>
      <c r="G93" s="146"/>
    </row>
    <row r="94" spans="1:11" ht="18.75" customHeight="1"/>
    <row r="97" spans="1:1">
      <c r="A97" s="151"/>
    </row>
  </sheetData>
  <mergeCells count="22">
    <mergeCell ref="A1:P1"/>
    <mergeCell ref="A6:B6"/>
    <mergeCell ref="D6:E6"/>
    <mergeCell ref="D36:E36"/>
    <mergeCell ref="D37:E37"/>
    <mergeCell ref="D38:E38"/>
    <mergeCell ref="D39:E39"/>
    <mergeCell ref="D40:E40"/>
    <mergeCell ref="D41:E41"/>
    <mergeCell ref="D42:E42"/>
    <mergeCell ref="D43:E43"/>
    <mergeCell ref="D44:E44"/>
    <mergeCell ref="D45:E45"/>
    <mergeCell ref="D46:E46"/>
    <mergeCell ref="D47:E47"/>
    <mergeCell ref="D53:E53"/>
    <mergeCell ref="A82:C82"/>
    <mergeCell ref="D48:E48"/>
    <mergeCell ref="D49:E49"/>
    <mergeCell ref="D50:E50"/>
    <mergeCell ref="D51:E51"/>
    <mergeCell ref="D52:E52"/>
  </mergeCells>
  <phoneticPr fontId="150" type="noConversion"/>
  <dataValidations count="3">
    <dataValidation type="list" allowBlank="1" showInputMessage="1" showErrorMessage="1" sqref="A8:A22 A65565:A65578 A131101:A131114 A196637:A196650 A262173:A262186 A327709:A327722 A393245:A393258 A458781:A458794 A524317:A524330 A589853:A589866 A655389:A655402 A720925:A720938 A786461:A786474 A851997:A852010 A917533:A917546 A983069:A983082 IJ8:IJ22 IW65565:IW65578 IW131101:IW131114 IW196637:IW196650 IW262173:IW262186 IW327709:IW327722 IW393245:IW393258 IW458781:IW458794 IW524317:IW524330 IW589853:IW589866 IW655389:IW655402 IW720925:IW720938 IW786461:IW786474 IW851997:IW852010 IW917533:IW917546 IW983069:IW983082 SF8:SF22 SS65565:SS65578 SS131101:SS131114 SS196637:SS196650 SS262173:SS262186 SS327709:SS327722 SS393245:SS393258 SS458781:SS458794 SS524317:SS524330 SS589853:SS589866 SS655389:SS655402 SS720925:SS720938 SS786461:SS786474 SS851997:SS852010 SS917533:SS917546 SS983069:SS983082 ACB8:ACB22 ACO65565:ACO65578 ACO131101:ACO131114 ACO196637:ACO196650 ACO262173:ACO262186 ACO327709:ACO327722 ACO393245:ACO393258 ACO458781:ACO458794 ACO524317:ACO524330 ACO589853:ACO589866 ACO655389:ACO655402 ACO720925:ACO720938 ACO786461:ACO786474 ACO851997:ACO852010 ACO917533:ACO917546 ACO983069:ACO983082 ALX8:ALX22 AMK65565:AMK65578 AMK131101:AMK131114 AMK196637:AMK196650 AMK262173:AMK262186 AMK327709:AMK327722 AMK393245:AMK393258 AMK458781:AMK458794 AMK524317:AMK524330 AMK589853:AMK589866 AMK655389:AMK655402 AMK720925:AMK720938 AMK786461:AMK786474 AMK851997:AMK852010 AMK917533:AMK917546 AMK983069:AMK983082 AVT8:AVT22 AWG65565:AWG65578 AWG131101:AWG131114 AWG196637:AWG196650 AWG262173:AWG262186 AWG327709:AWG327722 AWG393245:AWG393258 AWG458781:AWG458794 AWG524317:AWG524330 AWG589853:AWG589866 AWG655389:AWG655402 AWG720925:AWG720938 AWG786461:AWG786474 AWG851997:AWG852010 AWG917533:AWG917546 AWG983069:AWG983082 BFP8:BFP22 BGC65565:BGC65578 BGC131101:BGC131114 BGC196637:BGC196650 BGC262173:BGC262186 BGC327709:BGC327722 BGC393245:BGC393258 BGC458781:BGC458794 BGC524317:BGC524330 BGC589853:BGC589866 BGC655389:BGC655402 BGC720925:BGC720938 BGC786461:BGC786474 BGC851997:BGC852010 BGC917533:BGC917546 BGC983069:BGC983082 BPL8:BPL22 BPY65565:BPY65578 BPY131101:BPY131114 BPY196637:BPY196650 BPY262173:BPY262186 BPY327709:BPY327722 BPY393245:BPY393258 BPY458781:BPY458794 BPY524317:BPY524330 BPY589853:BPY589866 BPY655389:BPY655402 BPY720925:BPY720938 BPY786461:BPY786474 BPY851997:BPY852010 BPY917533:BPY917546 BPY983069:BPY983082 BZH8:BZH22 BZU65565:BZU65578 BZU131101:BZU131114 BZU196637:BZU196650 BZU262173:BZU262186 BZU327709:BZU327722 BZU393245:BZU393258 BZU458781:BZU458794 BZU524317:BZU524330 BZU589853:BZU589866 BZU655389:BZU655402 BZU720925:BZU720938 BZU786461:BZU786474 BZU851997:BZU852010 BZU917533:BZU917546 BZU983069:BZU983082 CJD8:CJD22 CJQ65565:CJQ65578 CJQ131101:CJQ131114 CJQ196637:CJQ196650 CJQ262173:CJQ262186 CJQ327709:CJQ327722 CJQ393245:CJQ393258 CJQ458781:CJQ458794 CJQ524317:CJQ524330 CJQ589853:CJQ589866 CJQ655389:CJQ655402 CJQ720925:CJQ720938 CJQ786461:CJQ786474 CJQ851997:CJQ852010 CJQ917533:CJQ917546 CJQ983069:CJQ983082 CSZ8:CSZ22 CTM65565:CTM65578 CTM131101:CTM131114 CTM196637:CTM196650 CTM262173:CTM262186 CTM327709:CTM327722 CTM393245:CTM393258 CTM458781:CTM458794 CTM524317:CTM524330 CTM589853:CTM589866 CTM655389:CTM655402 CTM720925:CTM720938 CTM786461:CTM786474 CTM851997:CTM852010 CTM917533:CTM917546 CTM983069:CTM983082 DCV8:DCV22 DDI65565:DDI65578 DDI131101:DDI131114 DDI196637:DDI196650 DDI262173:DDI262186 DDI327709:DDI327722 DDI393245:DDI393258 DDI458781:DDI458794 DDI524317:DDI524330 DDI589853:DDI589866 DDI655389:DDI655402 DDI720925:DDI720938 DDI786461:DDI786474 DDI851997:DDI852010 DDI917533:DDI917546 DDI983069:DDI983082 DMR8:DMR22 DNE65565:DNE65578 DNE131101:DNE131114 DNE196637:DNE196650 DNE262173:DNE262186 DNE327709:DNE327722 DNE393245:DNE393258 DNE458781:DNE458794 DNE524317:DNE524330 DNE589853:DNE589866 DNE655389:DNE655402 DNE720925:DNE720938 DNE786461:DNE786474 DNE851997:DNE852010 DNE917533:DNE917546 DNE983069:DNE983082 DWN8:DWN22 DXA65565:DXA65578 DXA131101:DXA131114 DXA196637:DXA196650 DXA262173:DXA262186 DXA327709:DXA327722 DXA393245:DXA393258 DXA458781:DXA458794 DXA524317:DXA524330 DXA589853:DXA589866 DXA655389:DXA655402 DXA720925:DXA720938 DXA786461:DXA786474 DXA851997:DXA852010 DXA917533:DXA917546 DXA983069:DXA983082 EGJ8:EGJ22 EGW65565:EGW65578 EGW131101:EGW131114 EGW196637:EGW196650 EGW262173:EGW262186 EGW327709:EGW327722 EGW393245:EGW393258 EGW458781:EGW458794 EGW524317:EGW524330 EGW589853:EGW589866 EGW655389:EGW655402 EGW720925:EGW720938 EGW786461:EGW786474 EGW851997:EGW852010 EGW917533:EGW917546 EGW983069:EGW983082 EQF8:EQF22 EQS65565:EQS65578 EQS131101:EQS131114 EQS196637:EQS196650 EQS262173:EQS262186 EQS327709:EQS327722 EQS393245:EQS393258 EQS458781:EQS458794 EQS524317:EQS524330 EQS589853:EQS589866 EQS655389:EQS655402 EQS720925:EQS720938 EQS786461:EQS786474 EQS851997:EQS852010 EQS917533:EQS917546 EQS983069:EQS983082 FAB8:FAB22 FAO65565:FAO65578 FAO131101:FAO131114 FAO196637:FAO196650 FAO262173:FAO262186 FAO327709:FAO327722 FAO393245:FAO393258 FAO458781:FAO458794 FAO524317:FAO524330 FAO589853:FAO589866 FAO655389:FAO655402 FAO720925:FAO720938 FAO786461:FAO786474 FAO851997:FAO852010 FAO917533:FAO917546 FAO983069:FAO983082 FJX8:FJX22 FKK65565:FKK65578 FKK131101:FKK131114 FKK196637:FKK196650 FKK262173:FKK262186 FKK327709:FKK327722 FKK393245:FKK393258 FKK458781:FKK458794 FKK524317:FKK524330 FKK589853:FKK589866 FKK655389:FKK655402 FKK720925:FKK720938 FKK786461:FKK786474 FKK851997:FKK852010 FKK917533:FKK917546 FKK983069:FKK983082 FTT8:FTT22 FUG65565:FUG65578 FUG131101:FUG131114 FUG196637:FUG196650 FUG262173:FUG262186 FUG327709:FUG327722 FUG393245:FUG393258 FUG458781:FUG458794 FUG524317:FUG524330 FUG589853:FUG589866 FUG655389:FUG655402 FUG720925:FUG720938 FUG786461:FUG786474 FUG851997:FUG852010 FUG917533:FUG917546 FUG983069:FUG983082 GDP8:GDP22 GEC65565:GEC65578 GEC131101:GEC131114 GEC196637:GEC196650 GEC262173:GEC262186 GEC327709:GEC327722 GEC393245:GEC393258 GEC458781:GEC458794 GEC524317:GEC524330 GEC589853:GEC589866 GEC655389:GEC655402 GEC720925:GEC720938 GEC786461:GEC786474 GEC851997:GEC852010 GEC917533:GEC917546 GEC983069:GEC983082 GNL8:GNL22 GNY65565:GNY65578 GNY131101:GNY131114 GNY196637:GNY196650 GNY262173:GNY262186 GNY327709:GNY327722 GNY393245:GNY393258 GNY458781:GNY458794 GNY524317:GNY524330 GNY589853:GNY589866 GNY655389:GNY655402 GNY720925:GNY720938 GNY786461:GNY786474 GNY851997:GNY852010 GNY917533:GNY917546 GNY983069:GNY983082 GXH8:GXH22 GXU65565:GXU65578 GXU131101:GXU131114 GXU196637:GXU196650 GXU262173:GXU262186 GXU327709:GXU327722 GXU393245:GXU393258 GXU458781:GXU458794 GXU524317:GXU524330 GXU589853:GXU589866 GXU655389:GXU655402 GXU720925:GXU720938 GXU786461:GXU786474 GXU851997:GXU852010 GXU917533:GXU917546 GXU983069:GXU983082 HHD8:HHD22 HHQ65565:HHQ65578 HHQ131101:HHQ131114 HHQ196637:HHQ196650 HHQ262173:HHQ262186 HHQ327709:HHQ327722 HHQ393245:HHQ393258 HHQ458781:HHQ458794 HHQ524317:HHQ524330 HHQ589853:HHQ589866 HHQ655389:HHQ655402 HHQ720925:HHQ720938 HHQ786461:HHQ786474 HHQ851997:HHQ852010 HHQ917533:HHQ917546 HHQ983069:HHQ983082 HQZ8:HQZ22 HRM65565:HRM65578 HRM131101:HRM131114 HRM196637:HRM196650 HRM262173:HRM262186 HRM327709:HRM327722 HRM393245:HRM393258 HRM458781:HRM458794 HRM524317:HRM524330 HRM589853:HRM589866 HRM655389:HRM655402 HRM720925:HRM720938 HRM786461:HRM786474 HRM851997:HRM852010 HRM917533:HRM917546 HRM983069:HRM983082 IAV8:IAV22 IBI65565:IBI65578 IBI131101:IBI131114 IBI196637:IBI196650 IBI262173:IBI262186 IBI327709:IBI327722 IBI393245:IBI393258 IBI458781:IBI458794 IBI524317:IBI524330 IBI589853:IBI589866 IBI655389:IBI655402 IBI720925:IBI720938 IBI786461:IBI786474 IBI851997:IBI852010 IBI917533:IBI917546 IBI983069:IBI983082 IKR8:IKR22 ILE65565:ILE65578 ILE131101:ILE131114 ILE196637:ILE196650 ILE262173:ILE262186 ILE327709:ILE327722 ILE393245:ILE393258 ILE458781:ILE458794 ILE524317:ILE524330 ILE589853:ILE589866 ILE655389:ILE655402 ILE720925:ILE720938 ILE786461:ILE786474 ILE851997:ILE852010 ILE917533:ILE917546 ILE983069:ILE983082 IUN8:IUN22 IVA65565:IVA65578 IVA131101:IVA131114 IVA196637:IVA196650 IVA262173:IVA262186 IVA327709:IVA327722 IVA393245:IVA393258 IVA458781:IVA458794 IVA524317:IVA524330 IVA589853:IVA589866 IVA655389:IVA655402 IVA720925:IVA720938 IVA786461:IVA786474 IVA851997:IVA852010 IVA917533:IVA917546 IVA983069:IVA983082 JEJ8:JEJ22 JEW65565:JEW65578 JEW131101:JEW131114 JEW196637:JEW196650 JEW262173:JEW262186 JEW327709:JEW327722 JEW393245:JEW393258 JEW458781:JEW458794 JEW524317:JEW524330 JEW589853:JEW589866 JEW655389:JEW655402 JEW720925:JEW720938 JEW786461:JEW786474 JEW851997:JEW852010 JEW917533:JEW917546 JEW983069:JEW983082 JOF8:JOF22 JOS65565:JOS65578 JOS131101:JOS131114 JOS196637:JOS196650 JOS262173:JOS262186 JOS327709:JOS327722 JOS393245:JOS393258 JOS458781:JOS458794 JOS524317:JOS524330 JOS589853:JOS589866 JOS655389:JOS655402 JOS720925:JOS720938 JOS786461:JOS786474 JOS851997:JOS852010 JOS917533:JOS917546 JOS983069:JOS983082 JYB8:JYB22 JYO65565:JYO65578 JYO131101:JYO131114 JYO196637:JYO196650 JYO262173:JYO262186 JYO327709:JYO327722 JYO393245:JYO393258 JYO458781:JYO458794 JYO524317:JYO524330 JYO589853:JYO589866 JYO655389:JYO655402 JYO720925:JYO720938 JYO786461:JYO786474 JYO851997:JYO852010 JYO917533:JYO917546 JYO983069:JYO983082 KHX8:KHX22 KIK65565:KIK65578 KIK131101:KIK131114 KIK196637:KIK196650 KIK262173:KIK262186 KIK327709:KIK327722 KIK393245:KIK393258 KIK458781:KIK458794 KIK524317:KIK524330 KIK589853:KIK589866 KIK655389:KIK655402 KIK720925:KIK720938 KIK786461:KIK786474 KIK851997:KIK852010 KIK917533:KIK917546 KIK983069:KIK983082 KRT8:KRT22 KSG65565:KSG65578 KSG131101:KSG131114 KSG196637:KSG196650 KSG262173:KSG262186 KSG327709:KSG327722 KSG393245:KSG393258 KSG458781:KSG458794 KSG524317:KSG524330 KSG589853:KSG589866 KSG655389:KSG655402 KSG720925:KSG720938 KSG786461:KSG786474 KSG851997:KSG852010 KSG917533:KSG917546 KSG983069:KSG983082 LBP8:LBP22 LCC65565:LCC65578 LCC131101:LCC131114 LCC196637:LCC196650 LCC262173:LCC262186 LCC327709:LCC327722 LCC393245:LCC393258 LCC458781:LCC458794 LCC524317:LCC524330 LCC589853:LCC589866 LCC655389:LCC655402 LCC720925:LCC720938 LCC786461:LCC786474 LCC851997:LCC852010 LCC917533:LCC917546 LCC983069:LCC983082 LLL8:LLL22 LLY65565:LLY65578 LLY131101:LLY131114 LLY196637:LLY196650 LLY262173:LLY262186 LLY327709:LLY327722 LLY393245:LLY393258 LLY458781:LLY458794 LLY524317:LLY524330 LLY589853:LLY589866 LLY655389:LLY655402 LLY720925:LLY720938 LLY786461:LLY786474 LLY851997:LLY852010 LLY917533:LLY917546 LLY983069:LLY983082 LVH8:LVH22 LVU65565:LVU65578 LVU131101:LVU131114 LVU196637:LVU196650 LVU262173:LVU262186 LVU327709:LVU327722 LVU393245:LVU393258 LVU458781:LVU458794 LVU524317:LVU524330 LVU589853:LVU589866 LVU655389:LVU655402 LVU720925:LVU720938 LVU786461:LVU786474 LVU851997:LVU852010 LVU917533:LVU917546 LVU983069:LVU983082 MFD8:MFD22 MFQ65565:MFQ65578 MFQ131101:MFQ131114 MFQ196637:MFQ196650 MFQ262173:MFQ262186 MFQ327709:MFQ327722 MFQ393245:MFQ393258 MFQ458781:MFQ458794 MFQ524317:MFQ524330 MFQ589853:MFQ589866 MFQ655389:MFQ655402 MFQ720925:MFQ720938 MFQ786461:MFQ786474 MFQ851997:MFQ852010 MFQ917533:MFQ917546 MFQ983069:MFQ983082 MOZ8:MOZ22 MPM65565:MPM65578 MPM131101:MPM131114 MPM196637:MPM196650 MPM262173:MPM262186 MPM327709:MPM327722 MPM393245:MPM393258 MPM458781:MPM458794 MPM524317:MPM524330 MPM589853:MPM589866 MPM655389:MPM655402 MPM720925:MPM720938 MPM786461:MPM786474 MPM851997:MPM852010 MPM917533:MPM917546 MPM983069:MPM983082 MYV8:MYV22 MZI65565:MZI65578 MZI131101:MZI131114 MZI196637:MZI196650 MZI262173:MZI262186 MZI327709:MZI327722 MZI393245:MZI393258 MZI458781:MZI458794 MZI524317:MZI524330 MZI589853:MZI589866 MZI655389:MZI655402 MZI720925:MZI720938 MZI786461:MZI786474 MZI851997:MZI852010 MZI917533:MZI917546 MZI983069:MZI983082 NIR8:NIR22 NJE65565:NJE65578 NJE131101:NJE131114 NJE196637:NJE196650 NJE262173:NJE262186 NJE327709:NJE327722 NJE393245:NJE393258 NJE458781:NJE458794 NJE524317:NJE524330 NJE589853:NJE589866 NJE655389:NJE655402 NJE720925:NJE720938 NJE786461:NJE786474 NJE851997:NJE852010 NJE917533:NJE917546 NJE983069:NJE983082 NSN8:NSN22 NTA65565:NTA65578 NTA131101:NTA131114 NTA196637:NTA196650 NTA262173:NTA262186 NTA327709:NTA327722 NTA393245:NTA393258 NTA458781:NTA458794 NTA524317:NTA524330 NTA589853:NTA589866 NTA655389:NTA655402 NTA720925:NTA720938 NTA786461:NTA786474 NTA851997:NTA852010 NTA917533:NTA917546 NTA983069:NTA983082 OCJ8:OCJ22 OCW65565:OCW65578 OCW131101:OCW131114 OCW196637:OCW196650 OCW262173:OCW262186 OCW327709:OCW327722 OCW393245:OCW393258 OCW458781:OCW458794 OCW524317:OCW524330 OCW589853:OCW589866 OCW655389:OCW655402 OCW720925:OCW720938 OCW786461:OCW786474 OCW851997:OCW852010 OCW917533:OCW917546 OCW983069:OCW983082 OMF8:OMF22 OMS65565:OMS65578 OMS131101:OMS131114 OMS196637:OMS196650 OMS262173:OMS262186 OMS327709:OMS327722 OMS393245:OMS393258 OMS458781:OMS458794 OMS524317:OMS524330 OMS589853:OMS589866 OMS655389:OMS655402 OMS720925:OMS720938 OMS786461:OMS786474 OMS851997:OMS852010 OMS917533:OMS917546 OMS983069:OMS983082 OWB8:OWB22 OWO65565:OWO65578 OWO131101:OWO131114 OWO196637:OWO196650 OWO262173:OWO262186 OWO327709:OWO327722 OWO393245:OWO393258 OWO458781:OWO458794 OWO524317:OWO524330 OWO589853:OWO589866 OWO655389:OWO655402 OWO720925:OWO720938 OWO786461:OWO786474 OWO851997:OWO852010 OWO917533:OWO917546 OWO983069:OWO983082 PFX8:PFX22 PGK65565:PGK65578 PGK131101:PGK131114 PGK196637:PGK196650 PGK262173:PGK262186 PGK327709:PGK327722 PGK393245:PGK393258 PGK458781:PGK458794 PGK524317:PGK524330 PGK589853:PGK589866 PGK655389:PGK655402 PGK720925:PGK720938 PGK786461:PGK786474 PGK851997:PGK852010 PGK917533:PGK917546 PGK983069:PGK983082 PPT8:PPT22 PQG65565:PQG65578 PQG131101:PQG131114 PQG196637:PQG196650 PQG262173:PQG262186 PQG327709:PQG327722 PQG393245:PQG393258 PQG458781:PQG458794 PQG524317:PQG524330 PQG589853:PQG589866 PQG655389:PQG655402 PQG720925:PQG720938 PQG786461:PQG786474 PQG851997:PQG852010 PQG917533:PQG917546 PQG983069:PQG983082 PZP8:PZP22 QAC65565:QAC65578 QAC131101:QAC131114 QAC196637:QAC196650 QAC262173:QAC262186 QAC327709:QAC327722 QAC393245:QAC393258 QAC458781:QAC458794 QAC524317:QAC524330 QAC589853:QAC589866 QAC655389:QAC655402 QAC720925:QAC720938 QAC786461:QAC786474 QAC851997:QAC852010 QAC917533:QAC917546 QAC983069:QAC983082 QJL8:QJL22 QJY65565:QJY65578 QJY131101:QJY131114 QJY196637:QJY196650 QJY262173:QJY262186 QJY327709:QJY327722 QJY393245:QJY393258 QJY458781:QJY458794 QJY524317:QJY524330 QJY589853:QJY589866 QJY655389:QJY655402 QJY720925:QJY720938 QJY786461:QJY786474 QJY851997:QJY852010 QJY917533:QJY917546 QJY983069:QJY983082 QTH8:QTH22 QTU65565:QTU65578 QTU131101:QTU131114 QTU196637:QTU196650 QTU262173:QTU262186 QTU327709:QTU327722 QTU393245:QTU393258 QTU458781:QTU458794 QTU524317:QTU524330 QTU589853:QTU589866 QTU655389:QTU655402 QTU720925:QTU720938 QTU786461:QTU786474 QTU851997:QTU852010 QTU917533:QTU917546 QTU983069:QTU983082 RDD8:RDD22 RDQ65565:RDQ65578 RDQ131101:RDQ131114 RDQ196637:RDQ196650 RDQ262173:RDQ262186 RDQ327709:RDQ327722 RDQ393245:RDQ393258 RDQ458781:RDQ458794 RDQ524317:RDQ524330 RDQ589853:RDQ589866 RDQ655389:RDQ655402 RDQ720925:RDQ720938 RDQ786461:RDQ786474 RDQ851997:RDQ852010 RDQ917533:RDQ917546 RDQ983069:RDQ983082 RMZ8:RMZ22 RNM65565:RNM65578 RNM131101:RNM131114 RNM196637:RNM196650 RNM262173:RNM262186 RNM327709:RNM327722 RNM393245:RNM393258 RNM458781:RNM458794 RNM524317:RNM524330 RNM589853:RNM589866 RNM655389:RNM655402 RNM720925:RNM720938 RNM786461:RNM786474 RNM851997:RNM852010 RNM917533:RNM917546 RNM983069:RNM983082 RWV8:RWV22 RXI65565:RXI65578 RXI131101:RXI131114 RXI196637:RXI196650 RXI262173:RXI262186 RXI327709:RXI327722 RXI393245:RXI393258 RXI458781:RXI458794 RXI524317:RXI524330 RXI589853:RXI589866 RXI655389:RXI655402 RXI720925:RXI720938 RXI786461:RXI786474 RXI851997:RXI852010 RXI917533:RXI917546 RXI983069:RXI983082 SGR8:SGR22 SHE65565:SHE65578 SHE131101:SHE131114 SHE196637:SHE196650 SHE262173:SHE262186 SHE327709:SHE327722 SHE393245:SHE393258 SHE458781:SHE458794 SHE524317:SHE524330 SHE589853:SHE589866 SHE655389:SHE655402 SHE720925:SHE720938 SHE786461:SHE786474 SHE851997:SHE852010 SHE917533:SHE917546 SHE983069:SHE983082 SQN8:SQN22 SRA65565:SRA65578 SRA131101:SRA131114 SRA196637:SRA196650 SRA262173:SRA262186 SRA327709:SRA327722 SRA393245:SRA393258 SRA458781:SRA458794 SRA524317:SRA524330 SRA589853:SRA589866 SRA655389:SRA655402 SRA720925:SRA720938 SRA786461:SRA786474 SRA851997:SRA852010 SRA917533:SRA917546 SRA983069:SRA983082 TAJ8:TAJ22 TAW65565:TAW65578 TAW131101:TAW131114 TAW196637:TAW196650 TAW262173:TAW262186 TAW327709:TAW327722 TAW393245:TAW393258 TAW458781:TAW458794 TAW524317:TAW524330 TAW589853:TAW589866 TAW655389:TAW655402 TAW720925:TAW720938 TAW786461:TAW786474 TAW851997:TAW852010 TAW917533:TAW917546 TAW983069:TAW983082 TKF8:TKF22 TKS65565:TKS65578 TKS131101:TKS131114 TKS196637:TKS196650 TKS262173:TKS262186 TKS327709:TKS327722 TKS393245:TKS393258 TKS458781:TKS458794 TKS524317:TKS524330 TKS589853:TKS589866 TKS655389:TKS655402 TKS720925:TKS720938 TKS786461:TKS786474 TKS851997:TKS852010 TKS917533:TKS917546 TKS983069:TKS983082 TUB8:TUB22 TUO65565:TUO65578 TUO131101:TUO131114 TUO196637:TUO196650 TUO262173:TUO262186 TUO327709:TUO327722 TUO393245:TUO393258 TUO458781:TUO458794 TUO524317:TUO524330 TUO589853:TUO589866 TUO655389:TUO655402 TUO720925:TUO720938 TUO786461:TUO786474 TUO851997:TUO852010 TUO917533:TUO917546 TUO983069:TUO983082 UDX8:UDX22 UEK65565:UEK65578 UEK131101:UEK131114 UEK196637:UEK196650 UEK262173:UEK262186 UEK327709:UEK327722 UEK393245:UEK393258 UEK458781:UEK458794 UEK524317:UEK524330 UEK589853:UEK589866 UEK655389:UEK655402 UEK720925:UEK720938 UEK786461:UEK786474 UEK851997:UEK852010 UEK917533:UEK917546 UEK983069:UEK983082 UNT8:UNT22 UOG65565:UOG65578 UOG131101:UOG131114 UOG196637:UOG196650 UOG262173:UOG262186 UOG327709:UOG327722 UOG393245:UOG393258 UOG458781:UOG458794 UOG524317:UOG524330 UOG589853:UOG589866 UOG655389:UOG655402 UOG720925:UOG720938 UOG786461:UOG786474 UOG851997:UOG852010 UOG917533:UOG917546 UOG983069:UOG983082 UXP8:UXP22 UYC65565:UYC65578 UYC131101:UYC131114 UYC196637:UYC196650 UYC262173:UYC262186 UYC327709:UYC327722 UYC393245:UYC393258 UYC458781:UYC458794 UYC524317:UYC524330 UYC589853:UYC589866 UYC655389:UYC655402 UYC720925:UYC720938 UYC786461:UYC786474 UYC851997:UYC852010 UYC917533:UYC917546 UYC983069:UYC983082 VHL8:VHL22 VHY65565:VHY65578 VHY131101:VHY131114 VHY196637:VHY196650 VHY262173:VHY262186 VHY327709:VHY327722 VHY393245:VHY393258 VHY458781:VHY458794 VHY524317:VHY524330 VHY589853:VHY589866 VHY655389:VHY655402 VHY720925:VHY720938 VHY786461:VHY786474 VHY851997:VHY852010 VHY917533:VHY917546 VHY983069:VHY983082 VRH8:VRH22 VRU65565:VRU65578 VRU131101:VRU131114 VRU196637:VRU196650 VRU262173:VRU262186 VRU327709:VRU327722 VRU393245:VRU393258 VRU458781:VRU458794 VRU524317:VRU524330 VRU589853:VRU589866 VRU655389:VRU655402 VRU720925:VRU720938 VRU786461:VRU786474 VRU851997:VRU852010 VRU917533:VRU917546 VRU983069:VRU983082 WBD8:WBD22 WBQ65565:WBQ65578 WBQ131101:WBQ131114 WBQ196637:WBQ196650 WBQ262173:WBQ262186 WBQ327709:WBQ327722 WBQ393245:WBQ393258 WBQ458781:WBQ458794 WBQ524317:WBQ524330 WBQ589853:WBQ589866 WBQ655389:WBQ655402 WBQ720925:WBQ720938 WBQ786461:WBQ786474 WBQ851997:WBQ852010 WBQ917533:WBQ917546 WBQ983069:WBQ983082 WKZ8:WKZ22 WLM65565:WLM65578 WLM131101:WLM131114 WLM196637:WLM196650 WLM262173:WLM262186 WLM327709:WLM327722 WLM393245:WLM393258 WLM458781:WLM458794 WLM524317:WLM524330 WLM589853:WLM589866 WLM655389:WLM655402 WLM720925:WLM720938 WLM786461:WLM786474 WLM851997:WLM852010 WLM917533:WLM917546 WLM983069:WLM983082 WUV8:WUV22 WVI65565:WVI65578 WVI131101:WVI131114 WVI196637:WVI196650 WVI262173:WVI262186 WVI327709:WVI327722 WVI393245:WVI393258 WVI458781:WVI458794 WVI524317:WVI524330 WVI589853:WVI589866 WVI655389:WVI655402 WVI720925:WVI720938 WVI786461:WVI786474 WVI851997:WVI852010 WVI917533:WVI917546 WVI983069:WVI983082" xr:uid="{00000000-0002-0000-1000-000000000000}">
      <formula1>"项目经理,开发工程师,产品经理,策划工程师,需求分析师,配置管理员,质量保证工程师,UI及美工,3D建模工程师,架构师,测试工程师,其他"</formula1>
    </dataValidation>
    <dataValidation allowBlank="1" showInputMessage="1" showErrorMessage="1" prompt="估算规模是“开发工作量估算”sheet中列出的需求项总数。" sqref="K3:K4 K65560:K65561 K131096:K131097 K196632:K196633 K262168:K262169 K327704:K327705 K393240:K393241 K458776:K458777 K524312:K524313 K589848:K589849 K655384:K655385 K720920:K720921 K786456:K786457 K851992:K851993 K917528:K917529 K983064:K983065 JE3:JE4 JG65560:JG65561 JG131096:JG131097 JG196632:JG196633 JG262168:JG262169 JG327704:JG327705 JG393240:JG393241 JG458776:JG458777 JG524312:JG524313 JG589848:JG589849 JG655384:JG655385 JG720920:JG720921 JG786456:JG786457 JG851992:JG851993 JG917528:JG917529 JG983064:JG983065 TA3:TA4 TC65560:TC65561 TC131096:TC131097 TC196632:TC196633 TC262168:TC262169 TC327704:TC327705 TC393240:TC393241 TC458776:TC458777 TC524312:TC524313 TC589848:TC589849 TC655384:TC655385 TC720920:TC720921 TC786456:TC786457 TC851992:TC851993 TC917528:TC917529 TC983064:TC983065 ACW3:ACW4 ACY65560:ACY65561 ACY131096:ACY131097 ACY196632:ACY196633 ACY262168:ACY262169 ACY327704:ACY327705 ACY393240:ACY393241 ACY458776:ACY458777 ACY524312:ACY524313 ACY589848:ACY589849 ACY655384:ACY655385 ACY720920:ACY720921 ACY786456:ACY786457 ACY851992:ACY851993 ACY917528:ACY917529 ACY983064:ACY983065 AMS3:AMS4 AMU65560:AMU65561 AMU131096:AMU131097 AMU196632:AMU196633 AMU262168:AMU262169 AMU327704:AMU327705 AMU393240:AMU393241 AMU458776:AMU458777 AMU524312:AMU524313 AMU589848:AMU589849 AMU655384:AMU655385 AMU720920:AMU720921 AMU786456:AMU786457 AMU851992:AMU851993 AMU917528:AMU917529 AMU983064:AMU983065 AWO3:AWO4 AWQ65560:AWQ65561 AWQ131096:AWQ131097 AWQ196632:AWQ196633 AWQ262168:AWQ262169 AWQ327704:AWQ327705 AWQ393240:AWQ393241 AWQ458776:AWQ458777 AWQ524312:AWQ524313 AWQ589848:AWQ589849 AWQ655384:AWQ655385 AWQ720920:AWQ720921 AWQ786456:AWQ786457 AWQ851992:AWQ851993 AWQ917528:AWQ917529 AWQ983064:AWQ983065 BGK3:BGK4 BGM65560:BGM65561 BGM131096:BGM131097 BGM196632:BGM196633 BGM262168:BGM262169 BGM327704:BGM327705 BGM393240:BGM393241 BGM458776:BGM458777 BGM524312:BGM524313 BGM589848:BGM589849 BGM655384:BGM655385 BGM720920:BGM720921 BGM786456:BGM786457 BGM851992:BGM851993 BGM917528:BGM917529 BGM983064:BGM983065 BQG3:BQG4 BQI65560:BQI65561 BQI131096:BQI131097 BQI196632:BQI196633 BQI262168:BQI262169 BQI327704:BQI327705 BQI393240:BQI393241 BQI458776:BQI458777 BQI524312:BQI524313 BQI589848:BQI589849 BQI655384:BQI655385 BQI720920:BQI720921 BQI786456:BQI786457 BQI851992:BQI851993 BQI917528:BQI917529 BQI983064:BQI983065 CAC3:CAC4 CAE65560:CAE65561 CAE131096:CAE131097 CAE196632:CAE196633 CAE262168:CAE262169 CAE327704:CAE327705 CAE393240:CAE393241 CAE458776:CAE458777 CAE524312:CAE524313 CAE589848:CAE589849 CAE655384:CAE655385 CAE720920:CAE720921 CAE786456:CAE786457 CAE851992:CAE851993 CAE917528:CAE917529 CAE983064:CAE983065 CJY3:CJY4 CKA65560:CKA65561 CKA131096:CKA131097 CKA196632:CKA196633 CKA262168:CKA262169 CKA327704:CKA327705 CKA393240:CKA393241 CKA458776:CKA458777 CKA524312:CKA524313 CKA589848:CKA589849 CKA655384:CKA655385 CKA720920:CKA720921 CKA786456:CKA786457 CKA851992:CKA851993 CKA917528:CKA917529 CKA983064:CKA983065 CTU3:CTU4 CTW65560:CTW65561 CTW131096:CTW131097 CTW196632:CTW196633 CTW262168:CTW262169 CTW327704:CTW327705 CTW393240:CTW393241 CTW458776:CTW458777 CTW524312:CTW524313 CTW589848:CTW589849 CTW655384:CTW655385 CTW720920:CTW720921 CTW786456:CTW786457 CTW851992:CTW851993 CTW917528:CTW917529 CTW983064:CTW983065 DDQ3:DDQ4 DDS65560:DDS65561 DDS131096:DDS131097 DDS196632:DDS196633 DDS262168:DDS262169 DDS327704:DDS327705 DDS393240:DDS393241 DDS458776:DDS458777 DDS524312:DDS524313 DDS589848:DDS589849 DDS655384:DDS655385 DDS720920:DDS720921 DDS786456:DDS786457 DDS851992:DDS851993 DDS917528:DDS917529 DDS983064:DDS983065 DNM3:DNM4 DNO65560:DNO65561 DNO131096:DNO131097 DNO196632:DNO196633 DNO262168:DNO262169 DNO327704:DNO327705 DNO393240:DNO393241 DNO458776:DNO458777 DNO524312:DNO524313 DNO589848:DNO589849 DNO655384:DNO655385 DNO720920:DNO720921 DNO786456:DNO786457 DNO851992:DNO851993 DNO917528:DNO917529 DNO983064:DNO983065 DXI3:DXI4 DXK65560:DXK65561 DXK131096:DXK131097 DXK196632:DXK196633 DXK262168:DXK262169 DXK327704:DXK327705 DXK393240:DXK393241 DXK458776:DXK458777 DXK524312:DXK524313 DXK589848:DXK589849 DXK655384:DXK655385 DXK720920:DXK720921 DXK786456:DXK786457 DXK851992:DXK851993 DXK917528:DXK917529 DXK983064:DXK983065 EHE3:EHE4 EHG65560:EHG65561 EHG131096:EHG131097 EHG196632:EHG196633 EHG262168:EHG262169 EHG327704:EHG327705 EHG393240:EHG393241 EHG458776:EHG458777 EHG524312:EHG524313 EHG589848:EHG589849 EHG655384:EHG655385 EHG720920:EHG720921 EHG786456:EHG786457 EHG851992:EHG851993 EHG917528:EHG917529 EHG983064:EHG983065 ERA3:ERA4 ERC65560:ERC65561 ERC131096:ERC131097 ERC196632:ERC196633 ERC262168:ERC262169 ERC327704:ERC327705 ERC393240:ERC393241 ERC458776:ERC458777 ERC524312:ERC524313 ERC589848:ERC589849 ERC655384:ERC655385 ERC720920:ERC720921 ERC786456:ERC786457 ERC851992:ERC851993 ERC917528:ERC917529 ERC983064:ERC983065 FAW3:FAW4 FAY65560:FAY65561 FAY131096:FAY131097 FAY196632:FAY196633 FAY262168:FAY262169 FAY327704:FAY327705 FAY393240:FAY393241 FAY458776:FAY458777 FAY524312:FAY524313 FAY589848:FAY589849 FAY655384:FAY655385 FAY720920:FAY720921 FAY786456:FAY786457 FAY851992:FAY851993 FAY917528:FAY917529 FAY983064:FAY983065 FKS3:FKS4 FKU65560:FKU65561 FKU131096:FKU131097 FKU196632:FKU196633 FKU262168:FKU262169 FKU327704:FKU327705 FKU393240:FKU393241 FKU458776:FKU458777 FKU524312:FKU524313 FKU589848:FKU589849 FKU655384:FKU655385 FKU720920:FKU720921 FKU786456:FKU786457 FKU851992:FKU851993 FKU917528:FKU917529 FKU983064:FKU983065 FUO3:FUO4 FUQ65560:FUQ65561 FUQ131096:FUQ131097 FUQ196632:FUQ196633 FUQ262168:FUQ262169 FUQ327704:FUQ327705 FUQ393240:FUQ393241 FUQ458776:FUQ458777 FUQ524312:FUQ524313 FUQ589848:FUQ589849 FUQ655384:FUQ655385 FUQ720920:FUQ720921 FUQ786456:FUQ786457 FUQ851992:FUQ851993 FUQ917528:FUQ917529 FUQ983064:FUQ983065 GEK3:GEK4 GEM65560:GEM65561 GEM131096:GEM131097 GEM196632:GEM196633 GEM262168:GEM262169 GEM327704:GEM327705 GEM393240:GEM393241 GEM458776:GEM458777 GEM524312:GEM524313 GEM589848:GEM589849 GEM655384:GEM655385 GEM720920:GEM720921 GEM786456:GEM786457 GEM851992:GEM851993 GEM917528:GEM917529 GEM983064:GEM983065 GOG3:GOG4 GOI65560:GOI65561 GOI131096:GOI131097 GOI196632:GOI196633 GOI262168:GOI262169 GOI327704:GOI327705 GOI393240:GOI393241 GOI458776:GOI458777 GOI524312:GOI524313 GOI589848:GOI589849 GOI655384:GOI655385 GOI720920:GOI720921 GOI786456:GOI786457 GOI851992:GOI851993 GOI917528:GOI917529 GOI983064:GOI983065 GYC3:GYC4 GYE65560:GYE65561 GYE131096:GYE131097 GYE196632:GYE196633 GYE262168:GYE262169 GYE327704:GYE327705 GYE393240:GYE393241 GYE458776:GYE458777 GYE524312:GYE524313 GYE589848:GYE589849 GYE655384:GYE655385 GYE720920:GYE720921 GYE786456:GYE786457 GYE851992:GYE851993 GYE917528:GYE917529 GYE983064:GYE983065 HHY3:HHY4 HIA65560:HIA65561 HIA131096:HIA131097 HIA196632:HIA196633 HIA262168:HIA262169 HIA327704:HIA327705 HIA393240:HIA393241 HIA458776:HIA458777 HIA524312:HIA524313 HIA589848:HIA589849 HIA655384:HIA655385 HIA720920:HIA720921 HIA786456:HIA786457 HIA851992:HIA851993 HIA917528:HIA917529 HIA983064:HIA983065 HRU3:HRU4 HRW65560:HRW65561 HRW131096:HRW131097 HRW196632:HRW196633 HRW262168:HRW262169 HRW327704:HRW327705 HRW393240:HRW393241 HRW458776:HRW458777 HRW524312:HRW524313 HRW589848:HRW589849 HRW655384:HRW655385 HRW720920:HRW720921 HRW786456:HRW786457 HRW851992:HRW851993 HRW917528:HRW917529 HRW983064:HRW983065 IBQ3:IBQ4 IBS65560:IBS65561 IBS131096:IBS131097 IBS196632:IBS196633 IBS262168:IBS262169 IBS327704:IBS327705 IBS393240:IBS393241 IBS458776:IBS458777 IBS524312:IBS524313 IBS589848:IBS589849 IBS655384:IBS655385 IBS720920:IBS720921 IBS786456:IBS786457 IBS851992:IBS851993 IBS917528:IBS917529 IBS983064:IBS983065 ILM3:ILM4 ILO65560:ILO65561 ILO131096:ILO131097 ILO196632:ILO196633 ILO262168:ILO262169 ILO327704:ILO327705 ILO393240:ILO393241 ILO458776:ILO458777 ILO524312:ILO524313 ILO589848:ILO589849 ILO655384:ILO655385 ILO720920:ILO720921 ILO786456:ILO786457 ILO851992:ILO851993 ILO917528:ILO917529 ILO983064:ILO983065 IVI3:IVI4 IVK65560:IVK65561 IVK131096:IVK131097 IVK196632:IVK196633 IVK262168:IVK262169 IVK327704:IVK327705 IVK393240:IVK393241 IVK458776:IVK458777 IVK524312:IVK524313 IVK589848:IVK589849 IVK655384:IVK655385 IVK720920:IVK720921 IVK786456:IVK786457 IVK851992:IVK851993 IVK917528:IVK917529 IVK983064:IVK983065 JFE3:JFE4 JFG65560:JFG65561 JFG131096:JFG131097 JFG196632:JFG196633 JFG262168:JFG262169 JFG327704:JFG327705 JFG393240:JFG393241 JFG458776:JFG458777 JFG524312:JFG524313 JFG589848:JFG589849 JFG655384:JFG655385 JFG720920:JFG720921 JFG786456:JFG786457 JFG851992:JFG851993 JFG917528:JFG917529 JFG983064:JFG983065 JPA3:JPA4 JPC65560:JPC65561 JPC131096:JPC131097 JPC196632:JPC196633 JPC262168:JPC262169 JPC327704:JPC327705 JPC393240:JPC393241 JPC458776:JPC458777 JPC524312:JPC524313 JPC589848:JPC589849 JPC655384:JPC655385 JPC720920:JPC720921 JPC786456:JPC786457 JPC851992:JPC851993 JPC917528:JPC917529 JPC983064:JPC983065 JYW3:JYW4 JYY65560:JYY65561 JYY131096:JYY131097 JYY196632:JYY196633 JYY262168:JYY262169 JYY327704:JYY327705 JYY393240:JYY393241 JYY458776:JYY458777 JYY524312:JYY524313 JYY589848:JYY589849 JYY655384:JYY655385 JYY720920:JYY720921 JYY786456:JYY786457 JYY851992:JYY851993 JYY917528:JYY917529 JYY983064:JYY983065 KIS3:KIS4 KIU65560:KIU65561 KIU131096:KIU131097 KIU196632:KIU196633 KIU262168:KIU262169 KIU327704:KIU327705 KIU393240:KIU393241 KIU458776:KIU458777 KIU524312:KIU524313 KIU589848:KIU589849 KIU655384:KIU655385 KIU720920:KIU720921 KIU786456:KIU786457 KIU851992:KIU851993 KIU917528:KIU917529 KIU983064:KIU983065 KSO3:KSO4 KSQ65560:KSQ65561 KSQ131096:KSQ131097 KSQ196632:KSQ196633 KSQ262168:KSQ262169 KSQ327704:KSQ327705 KSQ393240:KSQ393241 KSQ458776:KSQ458777 KSQ524312:KSQ524313 KSQ589848:KSQ589849 KSQ655384:KSQ655385 KSQ720920:KSQ720921 KSQ786456:KSQ786457 KSQ851992:KSQ851993 KSQ917528:KSQ917529 KSQ983064:KSQ983065 LCK3:LCK4 LCM65560:LCM65561 LCM131096:LCM131097 LCM196632:LCM196633 LCM262168:LCM262169 LCM327704:LCM327705 LCM393240:LCM393241 LCM458776:LCM458777 LCM524312:LCM524313 LCM589848:LCM589849 LCM655384:LCM655385 LCM720920:LCM720921 LCM786456:LCM786457 LCM851992:LCM851993 LCM917528:LCM917529 LCM983064:LCM983065 LMG3:LMG4 LMI65560:LMI65561 LMI131096:LMI131097 LMI196632:LMI196633 LMI262168:LMI262169 LMI327704:LMI327705 LMI393240:LMI393241 LMI458776:LMI458777 LMI524312:LMI524313 LMI589848:LMI589849 LMI655384:LMI655385 LMI720920:LMI720921 LMI786456:LMI786457 LMI851992:LMI851993 LMI917528:LMI917529 LMI983064:LMI983065 LWC3:LWC4 LWE65560:LWE65561 LWE131096:LWE131097 LWE196632:LWE196633 LWE262168:LWE262169 LWE327704:LWE327705 LWE393240:LWE393241 LWE458776:LWE458777 LWE524312:LWE524313 LWE589848:LWE589849 LWE655384:LWE655385 LWE720920:LWE720921 LWE786456:LWE786457 LWE851992:LWE851993 LWE917528:LWE917529 LWE983064:LWE983065 MFY3:MFY4 MGA65560:MGA65561 MGA131096:MGA131097 MGA196632:MGA196633 MGA262168:MGA262169 MGA327704:MGA327705 MGA393240:MGA393241 MGA458776:MGA458777 MGA524312:MGA524313 MGA589848:MGA589849 MGA655384:MGA655385 MGA720920:MGA720921 MGA786456:MGA786457 MGA851992:MGA851993 MGA917528:MGA917529 MGA983064:MGA983065 MPU3:MPU4 MPW65560:MPW65561 MPW131096:MPW131097 MPW196632:MPW196633 MPW262168:MPW262169 MPW327704:MPW327705 MPW393240:MPW393241 MPW458776:MPW458777 MPW524312:MPW524313 MPW589848:MPW589849 MPW655384:MPW655385 MPW720920:MPW720921 MPW786456:MPW786457 MPW851992:MPW851993 MPW917528:MPW917529 MPW983064:MPW983065 MZQ3:MZQ4 MZS65560:MZS65561 MZS131096:MZS131097 MZS196632:MZS196633 MZS262168:MZS262169 MZS327704:MZS327705 MZS393240:MZS393241 MZS458776:MZS458777 MZS524312:MZS524313 MZS589848:MZS589849 MZS655384:MZS655385 MZS720920:MZS720921 MZS786456:MZS786457 MZS851992:MZS851993 MZS917528:MZS917529 MZS983064:MZS983065 NJM3:NJM4 NJO65560:NJO65561 NJO131096:NJO131097 NJO196632:NJO196633 NJO262168:NJO262169 NJO327704:NJO327705 NJO393240:NJO393241 NJO458776:NJO458777 NJO524312:NJO524313 NJO589848:NJO589849 NJO655384:NJO655385 NJO720920:NJO720921 NJO786456:NJO786457 NJO851992:NJO851993 NJO917528:NJO917529 NJO983064:NJO983065 NTI3:NTI4 NTK65560:NTK65561 NTK131096:NTK131097 NTK196632:NTK196633 NTK262168:NTK262169 NTK327704:NTK327705 NTK393240:NTK393241 NTK458776:NTK458777 NTK524312:NTK524313 NTK589848:NTK589849 NTK655384:NTK655385 NTK720920:NTK720921 NTK786456:NTK786457 NTK851992:NTK851993 NTK917528:NTK917529 NTK983064:NTK983065 ODE3:ODE4 ODG65560:ODG65561 ODG131096:ODG131097 ODG196632:ODG196633 ODG262168:ODG262169 ODG327704:ODG327705 ODG393240:ODG393241 ODG458776:ODG458777 ODG524312:ODG524313 ODG589848:ODG589849 ODG655384:ODG655385 ODG720920:ODG720921 ODG786456:ODG786457 ODG851992:ODG851993 ODG917528:ODG917529 ODG983064:ODG983065 ONA3:ONA4 ONC65560:ONC65561 ONC131096:ONC131097 ONC196632:ONC196633 ONC262168:ONC262169 ONC327704:ONC327705 ONC393240:ONC393241 ONC458776:ONC458777 ONC524312:ONC524313 ONC589848:ONC589849 ONC655384:ONC655385 ONC720920:ONC720921 ONC786456:ONC786457 ONC851992:ONC851993 ONC917528:ONC917529 ONC983064:ONC983065 OWW3:OWW4 OWY65560:OWY65561 OWY131096:OWY131097 OWY196632:OWY196633 OWY262168:OWY262169 OWY327704:OWY327705 OWY393240:OWY393241 OWY458776:OWY458777 OWY524312:OWY524313 OWY589848:OWY589849 OWY655384:OWY655385 OWY720920:OWY720921 OWY786456:OWY786457 OWY851992:OWY851993 OWY917528:OWY917529 OWY983064:OWY983065 PGS3:PGS4 PGU65560:PGU65561 PGU131096:PGU131097 PGU196632:PGU196633 PGU262168:PGU262169 PGU327704:PGU327705 PGU393240:PGU393241 PGU458776:PGU458777 PGU524312:PGU524313 PGU589848:PGU589849 PGU655384:PGU655385 PGU720920:PGU720921 PGU786456:PGU786457 PGU851992:PGU851993 PGU917528:PGU917529 PGU983064:PGU983065 PQO3:PQO4 PQQ65560:PQQ65561 PQQ131096:PQQ131097 PQQ196632:PQQ196633 PQQ262168:PQQ262169 PQQ327704:PQQ327705 PQQ393240:PQQ393241 PQQ458776:PQQ458777 PQQ524312:PQQ524313 PQQ589848:PQQ589849 PQQ655384:PQQ655385 PQQ720920:PQQ720921 PQQ786456:PQQ786457 PQQ851992:PQQ851993 PQQ917528:PQQ917529 PQQ983064:PQQ983065 QAK3:QAK4 QAM65560:QAM65561 QAM131096:QAM131097 QAM196632:QAM196633 QAM262168:QAM262169 QAM327704:QAM327705 QAM393240:QAM393241 QAM458776:QAM458777 QAM524312:QAM524313 QAM589848:QAM589849 QAM655384:QAM655385 QAM720920:QAM720921 QAM786456:QAM786457 QAM851992:QAM851993 QAM917528:QAM917529 QAM983064:QAM983065 QKG3:QKG4 QKI65560:QKI65561 QKI131096:QKI131097 QKI196632:QKI196633 QKI262168:QKI262169 QKI327704:QKI327705 QKI393240:QKI393241 QKI458776:QKI458777 QKI524312:QKI524313 QKI589848:QKI589849 QKI655384:QKI655385 QKI720920:QKI720921 QKI786456:QKI786457 QKI851992:QKI851993 QKI917528:QKI917529 QKI983064:QKI983065 QUC3:QUC4 QUE65560:QUE65561 QUE131096:QUE131097 QUE196632:QUE196633 QUE262168:QUE262169 QUE327704:QUE327705 QUE393240:QUE393241 QUE458776:QUE458777 QUE524312:QUE524313 QUE589848:QUE589849 QUE655384:QUE655385 QUE720920:QUE720921 QUE786456:QUE786457 QUE851992:QUE851993 QUE917528:QUE917529 QUE983064:QUE983065 RDY3:RDY4 REA65560:REA65561 REA131096:REA131097 REA196632:REA196633 REA262168:REA262169 REA327704:REA327705 REA393240:REA393241 REA458776:REA458777 REA524312:REA524313 REA589848:REA589849 REA655384:REA655385 REA720920:REA720921 REA786456:REA786457 REA851992:REA851993 REA917528:REA917529 REA983064:REA983065 RNU3:RNU4 RNW65560:RNW65561 RNW131096:RNW131097 RNW196632:RNW196633 RNW262168:RNW262169 RNW327704:RNW327705 RNW393240:RNW393241 RNW458776:RNW458777 RNW524312:RNW524313 RNW589848:RNW589849 RNW655384:RNW655385 RNW720920:RNW720921 RNW786456:RNW786457 RNW851992:RNW851993 RNW917528:RNW917529 RNW983064:RNW983065 RXQ3:RXQ4 RXS65560:RXS65561 RXS131096:RXS131097 RXS196632:RXS196633 RXS262168:RXS262169 RXS327704:RXS327705 RXS393240:RXS393241 RXS458776:RXS458777 RXS524312:RXS524313 RXS589848:RXS589849 RXS655384:RXS655385 RXS720920:RXS720921 RXS786456:RXS786457 RXS851992:RXS851993 RXS917528:RXS917529 RXS983064:RXS983065 SHM3:SHM4 SHO65560:SHO65561 SHO131096:SHO131097 SHO196632:SHO196633 SHO262168:SHO262169 SHO327704:SHO327705 SHO393240:SHO393241 SHO458776:SHO458777 SHO524312:SHO524313 SHO589848:SHO589849 SHO655384:SHO655385 SHO720920:SHO720921 SHO786456:SHO786457 SHO851992:SHO851993 SHO917528:SHO917529 SHO983064:SHO983065 SRI3:SRI4 SRK65560:SRK65561 SRK131096:SRK131097 SRK196632:SRK196633 SRK262168:SRK262169 SRK327704:SRK327705 SRK393240:SRK393241 SRK458776:SRK458777 SRK524312:SRK524313 SRK589848:SRK589849 SRK655384:SRK655385 SRK720920:SRK720921 SRK786456:SRK786457 SRK851992:SRK851993 SRK917528:SRK917529 SRK983064:SRK983065 TBE3:TBE4 TBG65560:TBG65561 TBG131096:TBG131097 TBG196632:TBG196633 TBG262168:TBG262169 TBG327704:TBG327705 TBG393240:TBG393241 TBG458776:TBG458777 TBG524312:TBG524313 TBG589848:TBG589849 TBG655384:TBG655385 TBG720920:TBG720921 TBG786456:TBG786457 TBG851992:TBG851993 TBG917528:TBG917529 TBG983064:TBG983065 TLA3:TLA4 TLC65560:TLC65561 TLC131096:TLC131097 TLC196632:TLC196633 TLC262168:TLC262169 TLC327704:TLC327705 TLC393240:TLC393241 TLC458776:TLC458777 TLC524312:TLC524313 TLC589848:TLC589849 TLC655384:TLC655385 TLC720920:TLC720921 TLC786456:TLC786457 TLC851992:TLC851993 TLC917528:TLC917529 TLC983064:TLC983065 TUW3:TUW4 TUY65560:TUY65561 TUY131096:TUY131097 TUY196632:TUY196633 TUY262168:TUY262169 TUY327704:TUY327705 TUY393240:TUY393241 TUY458776:TUY458777 TUY524312:TUY524313 TUY589848:TUY589849 TUY655384:TUY655385 TUY720920:TUY720921 TUY786456:TUY786457 TUY851992:TUY851993 TUY917528:TUY917529 TUY983064:TUY983065 UES3:UES4 UEU65560:UEU65561 UEU131096:UEU131097 UEU196632:UEU196633 UEU262168:UEU262169 UEU327704:UEU327705 UEU393240:UEU393241 UEU458776:UEU458777 UEU524312:UEU524313 UEU589848:UEU589849 UEU655384:UEU655385 UEU720920:UEU720921 UEU786456:UEU786457 UEU851992:UEU851993 UEU917528:UEU917529 UEU983064:UEU983065 UOO3:UOO4 UOQ65560:UOQ65561 UOQ131096:UOQ131097 UOQ196632:UOQ196633 UOQ262168:UOQ262169 UOQ327704:UOQ327705 UOQ393240:UOQ393241 UOQ458776:UOQ458777 UOQ524312:UOQ524313 UOQ589848:UOQ589849 UOQ655384:UOQ655385 UOQ720920:UOQ720921 UOQ786456:UOQ786457 UOQ851992:UOQ851993 UOQ917528:UOQ917529 UOQ983064:UOQ983065 UYK3:UYK4 UYM65560:UYM65561 UYM131096:UYM131097 UYM196632:UYM196633 UYM262168:UYM262169 UYM327704:UYM327705 UYM393240:UYM393241 UYM458776:UYM458777 UYM524312:UYM524313 UYM589848:UYM589849 UYM655384:UYM655385 UYM720920:UYM720921 UYM786456:UYM786457 UYM851992:UYM851993 UYM917528:UYM917529 UYM983064:UYM983065 VIG3:VIG4 VII65560:VII65561 VII131096:VII131097 VII196632:VII196633 VII262168:VII262169 VII327704:VII327705 VII393240:VII393241 VII458776:VII458777 VII524312:VII524313 VII589848:VII589849 VII655384:VII655385 VII720920:VII720921 VII786456:VII786457 VII851992:VII851993 VII917528:VII917529 VII983064:VII983065 VSC3:VSC4 VSE65560:VSE65561 VSE131096:VSE131097 VSE196632:VSE196633 VSE262168:VSE262169 VSE327704:VSE327705 VSE393240:VSE393241 VSE458776:VSE458777 VSE524312:VSE524313 VSE589848:VSE589849 VSE655384:VSE655385 VSE720920:VSE720921 VSE786456:VSE786457 VSE851992:VSE851993 VSE917528:VSE917529 VSE983064:VSE983065 WBY3:WBY4 WCA65560:WCA65561 WCA131096:WCA131097 WCA196632:WCA196633 WCA262168:WCA262169 WCA327704:WCA327705 WCA393240:WCA393241 WCA458776:WCA458777 WCA524312:WCA524313 WCA589848:WCA589849 WCA655384:WCA655385 WCA720920:WCA720921 WCA786456:WCA786457 WCA851992:WCA851993 WCA917528:WCA917529 WCA983064:WCA983065 WLU3:WLU4 WLW65560:WLW65561 WLW131096:WLW131097 WLW196632:WLW196633 WLW262168:WLW262169 WLW327704:WLW327705 WLW393240:WLW393241 WLW458776:WLW458777 WLW524312:WLW524313 WLW589848:WLW589849 WLW655384:WLW655385 WLW720920:WLW720921 WLW786456:WLW786457 WLW851992:WLW851993 WLW917528:WLW917529 WLW983064:WLW983065 WVQ3:WVQ4 WVS65560:WVS65561 WVS131096:WVS131097 WVS196632:WVS196633 WVS262168:WVS262169 WVS327704:WVS327705 WVS393240:WVS393241 WVS458776:WVS458777 WVS524312:WVS524313 WVS589848:WVS589849 WVS655384:WVS655385 WVS720920:WVS720921 WVS786456:WVS786457 WVS851992:WVS851993 WVS917528:WVS917529 WVS983064:WVS983065" xr:uid="{00000000-0002-0000-1000-000001000000}"/>
    <dataValidation type="list" allowBlank="1" showInputMessage="1" showErrorMessage="1" sqref="F65565:G65578 JB65565:JC65578 SX65565:SY65578 ACT65565:ACU65578 AMP65565:AMQ65578 AWL65565:AWM65578 BGH65565:BGI65578 BQD65565:BQE65578 BZZ65565:CAA65578 CJV65565:CJW65578 CTR65565:CTS65578 DDN65565:DDO65578 DNJ65565:DNK65578 DXF65565:DXG65578 EHB65565:EHC65578 EQX65565:EQY65578 FAT65565:FAU65578 FKP65565:FKQ65578 FUL65565:FUM65578 GEH65565:GEI65578 GOD65565:GOE65578 GXZ65565:GYA65578 HHV65565:HHW65578 HRR65565:HRS65578 IBN65565:IBO65578 ILJ65565:ILK65578 IVF65565:IVG65578 JFB65565:JFC65578 JOX65565:JOY65578 JYT65565:JYU65578 KIP65565:KIQ65578 KSL65565:KSM65578 LCH65565:LCI65578 LMD65565:LME65578 LVZ65565:LWA65578 MFV65565:MFW65578 MPR65565:MPS65578 MZN65565:MZO65578 NJJ65565:NJK65578 NTF65565:NTG65578 ODB65565:ODC65578 OMX65565:OMY65578 OWT65565:OWU65578 PGP65565:PGQ65578 PQL65565:PQM65578 QAH65565:QAI65578 QKD65565:QKE65578 QTZ65565:QUA65578 RDV65565:RDW65578 RNR65565:RNS65578 RXN65565:RXO65578 SHJ65565:SHK65578 SRF65565:SRG65578 TBB65565:TBC65578 TKX65565:TKY65578 TUT65565:TUU65578 UEP65565:UEQ65578 UOL65565:UOM65578 UYH65565:UYI65578 VID65565:VIE65578 VRZ65565:VSA65578 WBV65565:WBW65578 WLR65565:WLS65578 WVN65565:WVO65578 F131101:G131114 JB131101:JC131114 SX131101:SY131114 ACT131101:ACU131114 AMP131101:AMQ131114 AWL131101:AWM131114 BGH131101:BGI131114 BQD131101:BQE131114 BZZ131101:CAA131114 CJV131101:CJW131114 CTR131101:CTS131114 DDN131101:DDO131114 DNJ131101:DNK131114 DXF131101:DXG131114 EHB131101:EHC131114 EQX131101:EQY131114 FAT131101:FAU131114 FKP131101:FKQ131114 FUL131101:FUM131114 GEH131101:GEI131114 GOD131101:GOE131114 GXZ131101:GYA131114 HHV131101:HHW131114 HRR131101:HRS131114 IBN131101:IBO131114 ILJ131101:ILK131114 IVF131101:IVG131114 JFB131101:JFC131114 JOX131101:JOY131114 JYT131101:JYU131114 KIP131101:KIQ131114 KSL131101:KSM131114 LCH131101:LCI131114 LMD131101:LME131114 LVZ131101:LWA131114 MFV131101:MFW131114 MPR131101:MPS131114 MZN131101:MZO131114 NJJ131101:NJK131114 NTF131101:NTG131114 ODB131101:ODC131114 OMX131101:OMY131114 OWT131101:OWU131114 PGP131101:PGQ131114 PQL131101:PQM131114 QAH131101:QAI131114 QKD131101:QKE131114 QTZ131101:QUA131114 RDV131101:RDW131114 RNR131101:RNS131114 RXN131101:RXO131114 SHJ131101:SHK131114 SRF131101:SRG131114 TBB131101:TBC131114 TKX131101:TKY131114 TUT131101:TUU131114 UEP131101:UEQ131114 UOL131101:UOM131114 UYH131101:UYI131114 VID131101:VIE131114 VRZ131101:VSA131114 WBV131101:WBW131114 WLR131101:WLS131114 WVN131101:WVO131114 F196637:G196650 JB196637:JC196650 SX196637:SY196650 ACT196637:ACU196650 AMP196637:AMQ196650 AWL196637:AWM196650 BGH196637:BGI196650 BQD196637:BQE196650 BZZ196637:CAA196650 CJV196637:CJW196650 CTR196637:CTS196650 DDN196637:DDO196650 DNJ196637:DNK196650 DXF196637:DXG196650 EHB196637:EHC196650 EQX196637:EQY196650 FAT196637:FAU196650 FKP196637:FKQ196650 FUL196637:FUM196650 GEH196637:GEI196650 GOD196637:GOE196650 GXZ196637:GYA196650 HHV196637:HHW196650 HRR196637:HRS196650 IBN196637:IBO196650 ILJ196637:ILK196650 IVF196637:IVG196650 JFB196637:JFC196650 JOX196637:JOY196650 JYT196637:JYU196650 KIP196637:KIQ196650 KSL196637:KSM196650 LCH196637:LCI196650 LMD196637:LME196650 LVZ196637:LWA196650 MFV196637:MFW196650 MPR196637:MPS196650 MZN196637:MZO196650 NJJ196637:NJK196650 NTF196637:NTG196650 ODB196637:ODC196650 OMX196637:OMY196650 OWT196637:OWU196650 PGP196637:PGQ196650 PQL196637:PQM196650 QAH196637:QAI196650 QKD196637:QKE196650 QTZ196637:QUA196650 RDV196637:RDW196650 RNR196637:RNS196650 RXN196637:RXO196650 SHJ196637:SHK196650 SRF196637:SRG196650 TBB196637:TBC196650 TKX196637:TKY196650 TUT196637:TUU196650 UEP196637:UEQ196650 UOL196637:UOM196650 UYH196637:UYI196650 VID196637:VIE196650 VRZ196637:VSA196650 WBV196637:WBW196650 WLR196637:WLS196650 WVN196637:WVO196650 F262173:G262186 JB262173:JC262186 SX262173:SY262186 ACT262173:ACU262186 AMP262173:AMQ262186 AWL262173:AWM262186 BGH262173:BGI262186 BQD262173:BQE262186 BZZ262173:CAA262186 CJV262173:CJW262186 CTR262173:CTS262186 DDN262173:DDO262186 DNJ262173:DNK262186 DXF262173:DXG262186 EHB262173:EHC262186 EQX262173:EQY262186 FAT262173:FAU262186 FKP262173:FKQ262186 FUL262173:FUM262186 GEH262173:GEI262186 GOD262173:GOE262186 GXZ262173:GYA262186 HHV262173:HHW262186 HRR262173:HRS262186 IBN262173:IBO262186 ILJ262173:ILK262186 IVF262173:IVG262186 JFB262173:JFC262186 JOX262173:JOY262186 JYT262173:JYU262186 KIP262173:KIQ262186 KSL262173:KSM262186 LCH262173:LCI262186 LMD262173:LME262186 LVZ262173:LWA262186 MFV262173:MFW262186 MPR262173:MPS262186 MZN262173:MZO262186 NJJ262173:NJK262186 NTF262173:NTG262186 ODB262173:ODC262186 OMX262173:OMY262186 OWT262173:OWU262186 PGP262173:PGQ262186 PQL262173:PQM262186 QAH262173:QAI262186 QKD262173:QKE262186 QTZ262173:QUA262186 RDV262173:RDW262186 RNR262173:RNS262186 RXN262173:RXO262186 SHJ262173:SHK262186 SRF262173:SRG262186 TBB262173:TBC262186 TKX262173:TKY262186 TUT262173:TUU262186 UEP262173:UEQ262186 UOL262173:UOM262186 UYH262173:UYI262186 VID262173:VIE262186 VRZ262173:VSA262186 WBV262173:WBW262186 WLR262173:WLS262186 WVN262173:WVO262186 F327709:G327722 JB327709:JC327722 SX327709:SY327722 ACT327709:ACU327722 AMP327709:AMQ327722 AWL327709:AWM327722 BGH327709:BGI327722 BQD327709:BQE327722 BZZ327709:CAA327722 CJV327709:CJW327722 CTR327709:CTS327722 DDN327709:DDO327722 DNJ327709:DNK327722 DXF327709:DXG327722 EHB327709:EHC327722 EQX327709:EQY327722 FAT327709:FAU327722 FKP327709:FKQ327722 FUL327709:FUM327722 GEH327709:GEI327722 GOD327709:GOE327722 GXZ327709:GYA327722 HHV327709:HHW327722 HRR327709:HRS327722 IBN327709:IBO327722 ILJ327709:ILK327722 IVF327709:IVG327722 JFB327709:JFC327722 JOX327709:JOY327722 JYT327709:JYU327722 KIP327709:KIQ327722 KSL327709:KSM327722 LCH327709:LCI327722 LMD327709:LME327722 LVZ327709:LWA327722 MFV327709:MFW327722 MPR327709:MPS327722 MZN327709:MZO327722 NJJ327709:NJK327722 NTF327709:NTG327722 ODB327709:ODC327722 OMX327709:OMY327722 OWT327709:OWU327722 PGP327709:PGQ327722 PQL327709:PQM327722 QAH327709:QAI327722 QKD327709:QKE327722 QTZ327709:QUA327722 RDV327709:RDW327722 RNR327709:RNS327722 RXN327709:RXO327722 SHJ327709:SHK327722 SRF327709:SRG327722 TBB327709:TBC327722 TKX327709:TKY327722 TUT327709:TUU327722 UEP327709:UEQ327722 UOL327709:UOM327722 UYH327709:UYI327722 VID327709:VIE327722 VRZ327709:VSA327722 WBV327709:WBW327722 WLR327709:WLS327722 WVN327709:WVO327722 F393245:G393258 JB393245:JC393258 SX393245:SY393258 ACT393245:ACU393258 AMP393245:AMQ393258 AWL393245:AWM393258 BGH393245:BGI393258 BQD393245:BQE393258 BZZ393245:CAA393258 CJV393245:CJW393258 CTR393245:CTS393258 DDN393245:DDO393258 DNJ393245:DNK393258 DXF393245:DXG393258 EHB393245:EHC393258 EQX393245:EQY393258 FAT393245:FAU393258 FKP393245:FKQ393258 FUL393245:FUM393258 GEH393245:GEI393258 GOD393245:GOE393258 GXZ393245:GYA393258 HHV393245:HHW393258 HRR393245:HRS393258 IBN393245:IBO393258 ILJ393245:ILK393258 IVF393245:IVG393258 JFB393245:JFC393258 JOX393245:JOY393258 JYT393245:JYU393258 KIP393245:KIQ393258 KSL393245:KSM393258 LCH393245:LCI393258 LMD393245:LME393258 LVZ393245:LWA393258 MFV393245:MFW393258 MPR393245:MPS393258 MZN393245:MZO393258 NJJ393245:NJK393258 NTF393245:NTG393258 ODB393245:ODC393258 OMX393245:OMY393258 OWT393245:OWU393258 PGP393245:PGQ393258 PQL393245:PQM393258 QAH393245:QAI393258 QKD393245:QKE393258 QTZ393245:QUA393258 RDV393245:RDW393258 RNR393245:RNS393258 RXN393245:RXO393258 SHJ393245:SHK393258 SRF393245:SRG393258 TBB393245:TBC393258 TKX393245:TKY393258 TUT393245:TUU393258 UEP393245:UEQ393258 UOL393245:UOM393258 UYH393245:UYI393258 VID393245:VIE393258 VRZ393245:VSA393258 WBV393245:WBW393258 WLR393245:WLS393258 WVN393245:WVO393258 F458781:G458794 JB458781:JC458794 SX458781:SY458794 ACT458781:ACU458794 AMP458781:AMQ458794 AWL458781:AWM458794 BGH458781:BGI458794 BQD458781:BQE458794 BZZ458781:CAA458794 CJV458781:CJW458794 CTR458781:CTS458794 DDN458781:DDO458794 DNJ458781:DNK458794 DXF458781:DXG458794 EHB458781:EHC458794 EQX458781:EQY458794 FAT458781:FAU458794 FKP458781:FKQ458794 FUL458781:FUM458794 GEH458781:GEI458794 GOD458781:GOE458794 GXZ458781:GYA458794 HHV458781:HHW458794 HRR458781:HRS458794 IBN458781:IBO458794 ILJ458781:ILK458794 IVF458781:IVG458794 JFB458781:JFC458794 JOX458781:JOY458794 JYT458781:JYU458794 KIP458781:KIQ458794 KSL458781:KSM458794 LCH458781:LCI458794 LMD458781:LME458794 LVZ458781:LWA458794 MFV458781:MFW458794 MPR458781:MPS458794 MZN458781:MZO458794 NJJ458781:NJK458794 NTF458781:NTG458794 ODB458781:ODC458794 OMX458781:OMY458794 OWT458781:OWU458794 PGP458781:PGQ458794 PQL458781:PQM458794 QAH458781:QAI458794 QKD458781:QKE458794 QTZ458781:QUA458794 RDV458781:RDW458794 RNR458781:RNS458794 RXN458781:RXO458794 SHJ458781:SHK458794 SRF458781:SRG458794 TBB458781:TBC458794 TKX458781:TKY458794 TUT458781:TUU458794 UEP458781:UEQ458794 UOL458781:UOM458794 UYH458781:UYI458794 VID458781:VIE458794 VRZ458781:VSA458794 WBV458781:WBW458794 WLR458781:WLS458794 WVN458781:WVO458794 F524317:G524330 JB524317:JC524330 SX524317:SY524330 ACT524317:ACU524330 AMP524317:AMQ524330 AWL524317:AWM524330 BGH524317:BGI524330 BQD524317:BQE524330 BZZ524317:CAA524330 CJV524317:CJW524330 CTR524317:CTS524330 DDN524317:DDO524330 DNJ524317:DNK524330 DXF524317:DXG524330 EHB524317:EHC524330 EQX524317:EQY524330 FAT524317:FAU524330 FKP524317:FKQ524330 FUL524317:FUM524330 GEH524317:GEI524330 GOD524317:GOE524330 GXZ524317:GYA524330 HHV524317:HHW524330 HRR524317:HRS524330 IBN524317:IBO524330 ILJ524317:ILK524330 IVF524317:IVG524330 JFB524317:JFC524330 JOX524317:JOY524330 JYT524317:JYU524330 KIP524317:KIQ524330 KSL524317:KSM524330 LCH524317:LCI524330 LMD524317:LME524330 LVZ524317:LWA524330 MFV524317:MFW524330 MPR524317:MPS524330 MZN524317:MZO524330 NJJ524317:NJK524330 NTF524317:NTG524330 ODB524317:ODC524330 OMX524317:OMY524330 OWT524317:OWU524330 PGP524317:PGQ524330 PQL524317:PQM524330 QAH524317:QAI524330 QKD524317:QKE524330 QTZ524317:QUA524330 RDV524317:RDW524330 RNR524317:RNS524330 RXN524317:RXO524330 SHJ524317:SHK524330 SRF524317:SRG524330 TBB524317:TBC524330 TKX524317:TKY524330 TUT524317:TUU524330 UEP524317:UEQ524330 UOL524317:UOM524330 UYH524317:UYI524330 VID524317:VIE524330 VRZ524317:VSA524330 WBV524317:WBW524330 WLR524317:WLS524330 WVN524317:WVO524330 F589853:G589866 JB589853:JC589866 SX589853:SY589866 ACT589853:ACU589866 AMP589853:AMQ589866 AWL589853:AWM589866 BGH589853:BGI589866 BQD589853:BQE589866 BZZ589853:CAA589866 CJV589853:CJW589866 CTR589853:CTS589866 DDN589853:DDO589866 DNJ589853:DNK589866 DXF589853:DXG589866 EHB589853:EHC589866 EQX589853:EQY589866 FAT589853:FAU589866 FKP589853:FKQ589866 FUL589853:FUM589866 GEH589853:GEI589866 GOD589853:GOE589866 GXZ589853:GYA589866 HHV589853:HHW589866 HRR589853:HRS589866 IBN589853:IBO589866 ILJ589853:ILK589866 IVF589853:IVG589866 JFB589853:JFC589866 JOX589853:JOY589866 JYT589853:JYU589866 KIP589853:KIQ589866 KSL589853:KSM589866 LCH589853:LCI589866 LMD589853:LME589866 LVZ589853:LWA589866 MFV589853:MFW589866 MPR589853:MPS589866 MZN589853:MZO589866 NJJ589853:NJK589866 NTF589853:NTG589866 ODB589853:ODC589866 OMX589853:OMY589866 OWT589853:OWU589866 PGP589853:PGQ589866 PQL589853:PQM589866 QAH589853:QAI589866 QKD589853:QKE589866 QTZ589853:QUA589866 RDV589853:RDW589866 RNR589853:RNS589866 RXN589853:RXO589866 SHJ589853:SHK589866 SRF589853:SRG589866 TBB589853:TBC589866 TKX589853:TKY589866 TUT589853:TUU589866 UEP589853:UEQ589866 UOL589853:UOM589866 UYH589853:UYI589866 VID589853:VIE589866 VRZ589853:VSA589866 WBV589853:WBW589866 WLR589853:WLS589866 WVN589853:WVO589866 F655389:G655402 JB655389:JC655402 SX655389:SY655402 ACT655389:ACU655402 AMP655389:AMQ655402 AWL655389:AWM655402 BGH655389:BGI655402 BQD655389:BQE655402 BZZ655389:CAA655402 CJV655389:CJW655402 CTR655389:CTS655402 DDN655389:DDO655402 DNJ655389:DNK655402 DXF655389:DXG655402 EHB655389:EHC655402 EQX655389:EQY655402 FAT655389:FAU655402 FKP655389:FKQ655402 FUL655389:FUM655402 GEH655389:GEI655402 GOD655389:GOE655402 GXZ655389:GYA655402 HHV655389:HHW655402 HRR655389:HRS655402 IBN655389:IBO655402 ILJ655389:ILK655402 IVF655389:IVG655402 JFB655389:JFC655402 JOX655389:JOY655402 JYT655389:JYU655402 KIP655389:KIQ655402 KSL655389:KSM655402 LCH655389:LCI655402 LMD655389:LME655402 LVZ655389:LWA655402 MFV655389:MFW655402 MPR655389:MPS655402 MZN655389:MZO655402 NJJ655389:NJK655402 NTF655389:NTG655402 ODB655389:ODC655402 OMX655389:OMY655402 OWT655389:OWU655402 PGP655389:PGQ655402 PQL655389:PQM655402 QAH655389:QAI655402 QKD655389:QKE655402 QTZ655389:QUA655402 RDV655389:RDW655402 RNR655389:RNS655402 RXN655389:RXO655402 SHJ655389:SHK655402 SRF655389:SRG655402 TBB655389:TBC655402 TKX655389:TKY655402 TUT655389:TUU655402 UEP655389:UEQ655402 UOL655389:UOM655402 UYH655389:UYI655402 VID655389:VIE655402 VRZ655389:VSA655402 WBV655389:WBW655402 WLR655389:WLS655402 WVN655389:WVO655402 F720925:G720938 JB720925:JC720938 SX720925:SY720938 ACT720925:ACU720938 AMP720925:AMQ720938 AWL720925:AWM720938 BGH720925:BGI720938 BQD720925:BQE720938 BZZ720925:CAA720938 CJV720925:CJW720938 CTR720925:CTS720938 DDN720925:DDO720938 DNJ720925:DNK720938 DXF720925:DXG720938 EHB720925:EHC720938 EQX720925:EQY720938 FAT720925:FAU720938 FKP720925:FKQ720938 FUL720925:FUM720938 GEH720925:GEI720938 GOD720925:GOE720938 GXZ720925:GYA720938 HHV720925:HHW720938 HRR720925:HRS720938 IBN720925:IBO720938 ILJ720925:ILK720938 IVF720925:IVG720938 JFB720925:JFC720938 JOX720925:JOY720938 JYT720925:JYU720938 KIP720925:KIQ720938 KSL720925:KSM720938 LCH720925:LCI720938 LMD720925:LME720938 LVZ720925:LWA720938 MFV720925:MFW720938 MPR720925:MPS720938 MZN720925:MZO720938 NJJ720925:NJK720938 NTF720925:NTG720938 ODB720925:ODC720938 OMX720925:OMY720938 OWT720925:OWU720938 PGP720925:PGQ720938 PQL720925:PQM720938 QAH720925:QAI720938 QKD720925:QKE720938 QTZ720925:QUA720938 RDV720925:RDW720938 RNR720925:RNS720938 RXN720925:RXO720938 SHJ720925:SHK720938 SRF720925:SRG720938 TBB720925:TBC720938 TKX720925:TKY720938 TUT720925:TUU720938 UEP720925:UEQ720938 UOL720925:UOM720938 UYH720925:UYI720938 VID720925:VIE720938 VRZ720925:VSA720938 WBV720925:WBW720938 WLR720925:WLS720938 WVN720925:WVO720938 F786461:G786474 JB786461:JC786474 SX786461:SY786474 ACT786461:ACU786474 AMP786461:AMQ786474 AWL786461:AWM786474 BGH786461:BGI786474 BQD786461:BQE786474 BZZ786461:CAA786474 CJV786461:CJW786474 CTR786461:CTS786474 DDN786461:DDO786474 DNJ786461:DNK786474 DXF786461:DXG786474 EHB786461:EHC786474 EQX786461:EQY786474 FAT786461:FAU786474 FKP786461:FKQ786474 FUL786461:FUM786474 GEH786461:GEI786474 GOD786461:GOE786474 GXZ786461:GYA786474 HHV786461:HHW786474 HRR786461:HRS786474 IBN786461:IBO786474 ILJ786461:ILK786474 IVF786461:IVG786474 JFB786461:JFC786474 JOX786461:JOY786474 JYT786461:JYU786474 KIP786461:KIQ786474 KSL786461:KSM786474 LCH786461:LCI786474 LMD786461:LME786474 LVZ786461:LWA786474 MFV786461:MFW786474 MPR786461:MPS786474 MZN786461:MZO786474 NJJ786461:NJK786474 NTF786461:NTG786474 ODB786461:ODC786474 OMX786461:OMY786474 OWT786461:OWU786474 PGP786461:PGQ786474 PQL786461:PQM786474 QAH786461:QAI786474 QKD786461:QKE786474 QTZ786461:QUA786474 RDV786461:RDW786474 RNR786461:RNS786474 RXN786461:RXO786474 SHJ786461:SHK786474 SRF786461:SRG786474 TBB786461:TBC786474 TKX786461:TKY786474 TUT786461:TUU786474 UEP786461:UEQ786474 UOL786461:UOM786474 UYH786461:UYI786474 VID786461:VIE786474 VRZ786461:VSA786474 WBV786461:WBW786474 WLR786461:WLS786474 WVN786461:WVO786474 F851997:G852010 JB851997:JC852010 SX851997:SY852010 ACT851997:ACU852010 AMP851997:AMQ852010 AWL851997:AWM852010 BGH851997:BGI852010 BQD851997:BQE852010 BZZ851997:CAA852010 CJV851997:CJW852010 CTR851997:CTS852010 DDN851997:DDO852010 DNJ851997:DNK852010 DXF851997:DXG852010 EHB851997:EHC852010 EQX851997:EQY852010 FAT851997:FAU852010 FKP851997:FKQ852010 FUL851997:FUM852010 GEH851997:GEI852010 GOD851997:GOE852010 GXZ851997:GYA852010 HHV851997:HHW852010 HRR851997:HRS852010 IBN851997:IBO852010 ILJ851997:ILK852010 IVF851997:IVG852010 JFB851997:JFC852010 JOX851997:JOY852010 JYT851997:JYU852010 KIP851997:KIQ852010 KSL851997:KSM852010 LCH851997:LCI852010 LMD851997:LME852010 LVZ851997:LWA852010 MFV851997:MFW852010 MPR851997:MPS852010 MZN851997:MZO852010 NJJ851997:NJK852010 NTF851997:NTG852010 ODB851997:ODC852010 OMX851997:OMY852010 OWT851997:OWU852010 PGP851997:PGQ852010 PQL851997:PQM852010 QAH851997:QAI852010 QKD851997:QKE852010 QTZ851997:QUA852010 RDV851997:RDW852010 RNR851997:RNS852010 RXN851997:RXO852010 SHJ851997:SHK852010 SRF851997:SRG852010 TBB851997:TBC852010 TKX851997:TKY852010 TUT851997:TUU852010 UEP851997:UEQ852010 UOL851997:UOM852010 UYH851997:UYI852010 VID851997:VIE852010 VRZ851997:VSA852010 WBV851997:WBW852010 WLR851997:WLS852010 WVN851997:WVO852010 F917533:G917546 JB917533:JC917546 SX917533:SY917546 ACT917533:ACU917546 AMP917533:AMQ917546 AWL917533:AWM917546 BGH917533:BGI917546 BQD917533:BQE917546 BZZ917533:CAA917546 CJV917533:CJW917546 CTR917533:CTS917546 DDN917533:DDO917546 DNJ917533:DNK917546 DXF917533:DXG917546 EHB917533:EHC917546 EQX917533:EQY917546 FAT917533:FAU917546 FKP917533:FKQ917546 FUL917533:FUM917546 GEH917533:GEI917546 GOD917533:GOE917546 GXZ917533:GYA917546 HHV917533:HHW917546 HRR917533:HRS917546 IBN917533:IBO917546 ILJ917533:ILK917546 IVF917533:IVG917546 JFB917533:JFC917546 JOX917533:JOY917546 JYT917533:JYU917546 KIP917533:KIQ917546 KSL917533:KSM917546 LCH917533:LCI917546 LMD917533:LME917546 LVZ917533:LWA917546 MFV917533:MFW917546 MPR917533:MPS917546 MZN917533:MZO917546 NJJ917533:NJK917546 NTF917533:NTG917546 ODB917533:ODC917546 OMX917533:OMY917546 OWT917533:OWU917546 PGP917533:PGQ917546 PQL917533:PQM917546 QAH917533:QAI917546 QKD917533:QKE917546 QTZ917533:QUA917546 RDV917533:RDW917546 RNR917533:RNS917546 RXN917533:RXO917546 SHJ917533:SHK917546 SRF917533:SRG917546 TBB917533:TBC917546 TKX917533:TKY917546 TUT917533:TUU917546 UEP917533:UEQ917546 UOL917533:UOM917546 UYH917533:UYI917546 VID917533:VIE917546 VRZ917533:VSA917546 WBV917533:WBW917546 WLR917533:WLS917546 WVN917533:WVO917546 F983069:G983082 JB983069:JC983082 SX983069:SY983082 ACT983069:ACU983082 AMP983069:AMQ983082 AWL983069:AWM983082 BGH983069:BGI983082 BQD983069:BQE983082 BZZ983069:CAA983082 CJV983069:CJW983082 CTR983069:CTS983082 DDN983069:DDO983082 DNJ983069:DNK983082 DXF983069:DXG983082 EHB983069:EHC983082 EQX983069:EQY983082 FAT983069:FAU983082 FKP983069:FKQ983082 FUL983069:FUM983082 GEH983069:GEI983082 GOD983069:GOE983082 GXZ983069:GYA983082 HHV983069:HHW983082 HRR983069:HRS983082 IBN983069:IBO983082 ILJ983069:ILK983082 IVF983069:IVG983082 JFB983069:JFC983082 JOX983069:JOY983082 JYT983069:JYU983082 KIP983069:KIQ983082 KSL983069:KSM983082 LCH983069:LCI983082 LMD983069:LME983082 LVZ983069:LWA983082 MFV983069:MFW983082 MPR983069:MPS983082 MZN983069:MZO983082 NJJ983069:NJK983082 NTF983069:NTG983082 ODB983069:ODC983082 OMX983069:OMY983082 OWT983069:OWU983082 PGP983069:PGQ983082 PQL983069:PQM983082 QAH983069:QAI983082 QKD983069:QKE983082 QTZ983069:QUA983082 RDV983069:RDW983082 RNR983069:RNS983082 RXN983069:RXO983082 SHJ983069:SHK983082 SRF983069:SRG983082 TBB983069:TBC983082 TKX983069:TKY983082 TUT983069:TUU983082 UEP983069:UEQ983082 UOL983069:UOM983082 UYH983069:UYI983082 VID983069:VIE983082 VRZ983069:VSA983082 WBV983069:WBW983082 WLR983069:WLS983082 WVN983069:WVO983082 IO8:IP22 SK8:SL22 ACG8:ACH22 AMC8:AMD22 AVY8:AVZ22 BFU8:BFV22 BPQ8:BPR22 BZM8:BZN22 CJI8:CJJ22 CTE8:CTF22 DDA8:DDB22 DMW8:DMX22 DWS8:DWT22 EGO8:EGP22 EQK8:EQL22 FAG8:FAH22 FKC8:FKD22 FTY8:FTZ22 GDU8:GDV22 GNQ8:GNR22 GXM8:GXN22 HHI8:HHJ22 HRE8:HRF22 IBA8:IBB22 IKW8:IKX22 IUS8:IUT22 JEO8:JEP22 JOK8:JOL22 JYG8:JYH22 KIC8:KID22 KRY8:KRZ22 LBU8:LBV22 LLQ8:LLR22 LVM8:LVN22 MFI8:MFJ22 MPE8:MPF22 MZA8:MZB22 NIW8:NIX22 NSS8:NST22 OCO8:OCP22 OMK8:OML22 OWG8:OWH22 PGC8:PGD22 PPY8:PPZ22 PZU8:PZV22 QJQ8:QJR22 QTM8:QTN22 RDI8:RDJ22 RNE8:RNF22 RXA8:RXB22 SGW8:SGX22 SQS8:SQT22 TAO8:TAP22 TKK8:TKL22 TUG8:TUH22 UEC8:UED22 UNY8:UNZ22 UXU8:UXV22 VHQ8:VHR22 VRM8:VRN22 WBI8:WBJ22 WLE8:WLF22 WVA8:WVB22 F8:G22" xr:uid="{00000000-0002-0000-1000-000002000000}">
      <formula1>"0,1,N/A"</formula1>
    </dataValidation>
  </dataValidations>
  <pageMargins left="0.75" right="0.75" top="1" bottom="1" header="0.5" footer="0.5"/>
  <pageSetup paperSize="9" orientation="landscape"/>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1989" r:id="rId3" name="Button 5">
              <controlPr defaultSize="0" print="0" autoPict="0" macro="[0]!Button15_Click_Member_add">
                <anchor moveWithCells="1">
                  <from>
                    <xdr:col>0</xdr:col>
                    <xdr:colOff>38100</xdr:colOff>
                    <xdr:row>22</xdr:row>
                    <xdr:rowOff>47625</xdr:rowOff>
                  </from>
                  <to>
                    <xdr:col>0</xdr:col>
                    <xdr:colOff>685800</xdr:colOff>
                    <xdr:row>23</xdr:row>
                    <xdr:rowOff>57150</xdr:rowOff>
                  </to>
                </anchor>
              </controlPr>
            </control>
          </mc:Choice>
        </mc:AlternateContent>
        <mc:AlternateContent xmlns:mc="http://schemas.openxmlformats.org/markup-compatibility/2006">
          <mc:Choice Requires="x14">
            <control shapeId="41992" r:id="rId4" name="Button 8">
              <controlPr defaultSize="0" print="0" autoPict="0" macro="[0]!Button16_Click_Member_delete">
                <anchor moveWithCells="1">
                  <from>
                    <xdr:col>0</xdr:col>
                    <xdr:colOff>742950</xdr:colOff>
                    <xdr:row>22</xdr:row>
                    <xdr:rowOff>47625</xdr:rowOff>
                  </from>
                  <to>
                    <xdr:col>0</xdr:col>
                    <xdr:colOff>1390650</xdr:colOff>
                    <xdr:row>23</xdr:row>
                    <xdr:rowOff>57150</xdr:rowOff>
                  </to>
                </anchor>
              </controlPr>
            </control>
          </mc:Choice>
        </mc:AlternateContent>
        <mc:AlternateContent xmlns:mc="http://schemas.openxmlformats.org/markup-compatibility/2006">
          <mc:Choice Requires="x14">
            <control shapeId="42008" r:id="rId5" name="Button 24">
              <controlPr defaultSize="0" print="0" autoPict="0" macro="[0]!Button17_Click_week_add">
                <anchor moveWithCells="1">
                  <from>
                    <xdr:col>12</xdr:col>
                    <xdr:colOff>0</xdr:colOff>
                    <xdr:row>7</xdr:row>
                    <xdr:rowOff>85725</xdr:rowOff>
                  </from>
                  <to>
                    <xdr:col>13</xdr:col>
                    <xdr:colOff>104775</xdr:colOff>
                    <xdr:row>8</xdr:row>
                    <xdr:rowOff>171450</xdr:rowOff>
                  </to>
                </anchor>
              </controlPr>
            </control>
          </mc:Choice>
        </mc:AlternateContent>
        <mc:AlternateContent xmlns:mc="http://schemas.openxmlformats.org/markup-compatibility/2006">
          <mc:Choice Requires="x14">
            <control shapeId="42014" r:id="rId6" name="Button 30">
              <controlPr defaultSize="0" print="0" autoPict="0" macro="[0]!Button18_Click_week_delete">
                <anchor moveWithCells="1">
                  <from>
                    <xdr:col>12</xdr:col>
                    <xdr:colOff>0</xdr:colOff>
                    <xdr:row>9</xdr:row>
                    <xdr:rowOff>76200</xdr:rowOff>
                  </from>
                  <to>
                    <xdr:col>13</xdr:col>
                    <xdr:colOff>114300</xdr:colOff>
                    <xdr:row>10</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7"/>
  </sheetPr>
  <dimension ref="A1:K29"/>
  <sheetViews>
    <sheetView workbookViewId="0">
      <selection activeCell="P18" sqref="P18"/>
    </sheetView>
  </sheetViews>
  <sheetFormatPr defaultColWidth="9" defaultRowHeight="13.5"/>
  <cols>
    <col min="3" max="3" width="10.625" customWidth="1"/>
  </cols>
  <sheetData>
    <row r="1" spans="1:11">
      <c r="A1" s="1032" t="s">
        <v>755</v>
      </c>
      <c r="B1" s="1032"/>
      <c r="C1" s="1032"/>
      <c r="D1" s="1032"/>
      <c r="E1" s="1032"/>
      <c r="F1" s="1032"/>
      <c r="G1" s="1032"/>
      <c r="H1" s="1032"/>
      <c r="I1" s="1032"/>
    </row>
    <row r="2" spans="1:11" ht="35.25" customHeight="1">
      <c r="A2" s="1033"/>
      <c r="B2" s="1033" t="s">
        <v>756</v>
      </c>
      <c r="C2" s="1033"/>
      <c r="D2" s="47" t="s">
        <v>757</v>
      </c>
      <c r="E2" s="47" t="s">
        <v>758</v>
      </c>
      <c r="F2" s="47" t="s">
        <v>759</v>
      </c>
      <c r="G2" s="47" t="s">
        <v>760</v>
      </c>
      <c r="H2" s="47" t="s">
        <v>761</v>
      </c>
      <c r="I2" s="47" t="s">
        <v>762</v>
      </c>
      <c r="J2" s="47" t="s">
        <v>763</v>
      </c>
      <c r="K2" s="1022" t="s">
        <v>387</v>
      </c>
    </row>
    <row r="3" spans="1:11" ht="50.1" customHeight="1">
      <c r="A3" s="1033"/>
      <c r="B3" s="1034" t="s">
        <v>764</v>
      </c>
      <c r="C3" s="1035"/>
      <c r="D3" s="48" t="s">
        <v>765</v>
      </c>
      <c r="E3" s="48" t="s">
        <v>766</v>
      </c>
      <c r="F3" s="48" t="s">
        <v>766</v>
      </c>
      <c r="G3" s="48" t="s">
        <v>766</v>
      </c>
      <c r="H3" s="48" t="s">
        <v>766</v>
      </c>
      <c r="I3" s="48" t="s">
        <v>766</v>
      </c>
      <c r="J3" s="48" t="s">
        <v>766</v>
      </c>
      <c r="K3" s="1022"/>
    </row>
    <row r="4" spans="1:11">
      <c r="A4" s="49"/>
      <c r="B4" s="1036" t="s">
        <v>767</v>
      </c>
      <c r="C4" s="49" t="s">
        <v>121</v>
      </c>
      <c r="D4" s="50" t="s">
        <v>768</v>
      </c>
      <c r="E4" s="50" t="s">
        <v>768</v>
      </c>
      <c r="F4" s="50" t="s">
        <v>768</v>
      </c>
      <c r="G4" s="50" t="s">
        <v>768</v>
      </c>
      <c r="H4" s="50" t="s">
        <v>768</v>
      </c>
      <c r="I4" s="50" t="s">
        <v>721</v>
      </c>
      <c r="J4" s="50" t="s">
        <v>721</v>
      </c>
      <c r="K4" s="51">
        <f>IF((SUMPRODUCT(($D$3:$J$3="是")*(D4:J4="√"))+SUMPRODUCT(($D$3:$J$3="是")*(D4:J4="N/A"))=COUNTIF($D$3:$J$3,"是"))*(COUNTIF(D4:J4,"√")/(COUNTA(D4:J4)-COUNTIF(D4:J4,"N/A"))&gt;=0.5),1,0)</f>
        <v>1</v>
      </c>
    </row>
    <row r="5" spans="1:11">
      <c r="A5" s="49"/>
      <c r="B5" s="1036"/>
      <c r="C5" s="49" t="s">
        <v>769</v>
      </c>
      <c r="D5" s="50" t="s">
        <v>768</v>
      </c>
      <c r="E5" s="50" t="s">
        <v>721</v>
      </c>
      <c r="F5" s="50" t="s">
        <v>721</v>
      </c>
      <c r="G5" s="50" t="s">
        <v>721</v>
      </c>
      <c r="H5" s="50" t="s">
        <v>768</v>
      </c>
      <c r="I5" s="50" t="s">
        <v>721</v>
      </c>
      <c r="J5" s="50" t="s">
        <v>721</v>
      </c>
      <c r="K5" s="51">
        <f t="shared" ref="K5:K16" si="0">IF((SUMPRODUCT(($D$3:$J$3="是")*(D5:J5="√"))+SUMPRODUCT(($D$3:$J$3="是")*(D5:J5="N/A"))=COUNTIF($D$3:$J$3,"是"))*(COUNTIF(D5:J5,"√")/(COUNTA(D5:J5)-COUNTIF(D5:J5,"N/A"))&gt;=0.5),1,0)</f>
        <v>1</v>
      </c>
    </row>
    <row r="6" spans="1:11">
      <c r="A6" s="49"/>
      <c r="B6" s="1036"/>
      <c r="C6" s="49" t="s">
        <v>770</v>
      </c>
      <c r="D6" s="50" t="s">
        <v>768</v>
      </c>
      <c r="E6" s="50" t="s">
        <v>721</v>
      </c>
      <c r="F6" s="50" t="s">
        <v>721</v>
      </c>
      <c r="G6" s="50" t="s">
        <v>721</v>
      </c>
      <c r="H6" s="50" t="s">
        <v>768</v>
      </c>
      <c r="I6" s="50" t="s">
        <v>721</v>
      </c>
      <c r="J6" s="50" t="s">
        <v>721</v>
      </c>
      <c r="K6" s="51">
        <f t="shared" si="0"/>
        <v>1</v>
      </c>
    </row>
    <row r="7" spans="1:11">
      <c r="A7" s="49"/>
      <c r="B7" s="1036"/>
      <c r="C7" s="49" t="s">
        <v>771</v>
      </c>
      <c r="D7" s="50" t="s">
        <v>768</v>
      </c>
      <c r="E7" s="50" t="s">
        <v>768</v>
      </c>
      <c r="F7" s="50" t="s">
        <v>768</v>
      </c>
      <c r="G7" s="50" t="s">
        <v>721</v>
      </c>
      <c r="H7" s="50" t="s">
        <v>768</v>
      </c>
      <c r="I7" s="50" t="s">
        <v>721</v>
      </c>
      <c r="J7" s="50" t="s">
        <v>721</v>
      </c>
      <c r="K7" s="51">
        <f t="shared" si="0"/>
        <v>1</v>
      </c>
    </row>
    <row r="8" spans="1:11">
      <c r="A8" s="49"/>
      <c r="B8" s="1036"/>
      <c r="C8" s="49" t="s">
        <v>772</v>
      </c>
      <c r="D8" s="50" t="s">
        <v>768</v>
      </c>
      <c r="E8" s="50" t="s">
        <v>721</v>
      </c>
      <c r="F8" s="50" t="s">
        <v>721</v>
      </c>
      <c r="G8" s="50" t="s">
        <v>721</v>
      </c>
      <c r="H8" s="50" t="s">
        <v>721</v>
      </c>
      <c r="I8" s="50" t="s">
        <v>721</v>
      </c>
      <c r="J8" s="50" t="s">
        <v>721</v>
      </c>
      <c r="K8" s="51">
        <f t="shared" si="0"/>
        <v>1</v>
      </c>
    </row>
    <row r="9" spans="1:11">
      <c r="A9" s="49"/>
      <c r="B9" s="1036"/>
      <c r="C9" s="49" t="s">
        <v>773</v>
      </c>
      <c r="D9" s="50" t="s">
        <v>768</v>
      </c>
      <c r="E9" s="50" t="s">
        <v>721</v>
      </c>
      <c r="F9" s="50" t="s">
        <v>721</v>
      </c>
      <c r="G9" s="50" t="s">
        <v>768</v>
      </c>
      <c r="H9" s="50" t="s">
        <v>768</v>
      </c>
      <c r="I9" s="50" t="s">
        <v>721</v>
      </c>
      <c r="J9" s="50" t="s">
        <v>721</v>
      </c>
      <c r="K9" s="51">
        <f t="shared" si="0"/>
        <v>1</v>
      </c>
    </row>
    <row r="10" spans="1:11">
      <c r="A10" s="49"/>
      <c r="B10" s="1036"/>
      <c r="C10" s="49" t="s">
        <v>774</v>
      </c>
      <c r="D10" s="50" t="s">
        <v>768</v>
      </c>
      <c r="E10" s="50" t="s">
        <v>721</v>
      </c>
      <c r="F10" s="50" t="s">
        <v>721</v>
      </c>
      <c r="G10" s="50" t="s">
        <v>768</v>
      </c>
      <c r="H10" s="50" t="s">
        <v>768</v>
      </c>
      <c r="I10" s="50" t="s">
        <v>721</v>
      </c>
      <c r="J10" s="50" t="s">
        <v>721</v>
      </c>
      <c r="K10" s="51">
        <f t="shared" si="0"/>
        <v>1</v>
      </c>
    </row>
    <row r="11" spans="1:11">
      <c r="A11" s="49"/>
      <c r="B11" s="1036"/>
      <c r="C11" s="49" t="s">
        <v>775</v>
      </c>
      <c r="D11" s="50" t="s">
        <v>768</v>
      </c>
      <c r="E11" s="50" t="s">
        <v>721</v>
      </c>
      <c r="F11" s="50" t="s">
        <v>721</v>
      </c>
      <c r="G11" s="50" t="s">
        <v>721</v>
      </c>
      <c r="H11" s="50" t="s">
        <v>721</v>
      </c>
      <c r="I11" s="50" t="s">
        <v>721</v>
      </c>
      <c r="J11" s="50" t="s">
        <v>721</v>
      </c>
      <c r="K11" s="51">
        <f t="shared" si="0"/>
        <v>1</v>
      </c>
    </row>
    <row r="12" spans="1:11">
      <c r="A12" s="49"/>
      <c r="B12" s="1036"/>
      <c r="C12" s="49" t="s">
        <v>776</v>
      </c>
      <c r="D12" s="50" t="s">
        <v>768</v>
      </c>
      <c r="E12" s="50" t="s">
        <v>721</v>
      </c>
      <c r="F12" s="50" t="s">
        <v>721</v>
      </c>
      <c r="G12" s="50" t="s">
        <v>721</v>
      </c>
      <c r="H12" s="50" t="s">
        <v>721</v>
      </c>
      <c r="I12" s="50" t="s">
        <v>721</v>
      </c>
      <c r="J12" s="50" t="s">
        <v>721</v>
      </c>
      <c r="K12" s="51">
        <f t="shared" si="0"/>
        <v>1</v>
      </c>
    </row>
    <row r="13" spans="1:11">
      <c r="A13" s="49"/>
      <c r="B13" s="1036"/>
      <c r="C13" s="49" t="s">
        <v>777</v>
      </c>
      <c r="D13" s="50" t="s">
        <v>768</v>
      </c>
      <c r="E13" s="50" t="s">
        <v>721</v>
      </c>
      <c r="F13" s="50" t="s">
        <v>721</v>
      </c>
      <c r="G13" s="50" t="s">
        <v>721</v>
      </c>
      <c r="H13" s="50" t="s">
        <v>721</v>
      </c>
      <c r="I13" s="50" t="s">
        <v>721</v>
      </c>
      <c r="J13" s="50" t="s">
        <v>721</v>
      </c>
      <c r="K13" s="51">
        <f t="shared" si="0"/>
        <v>1</v>
      </c>
    </row>
    <row r="14" spans="1:11">
      <c r="A14" s="49"/>
      <c r="B14" s="1036"/>
      <c r="C14" s="49" t="s">
        <v>778</v>
      </c>
      <c r="D14" s="50" t="s">
        <v>768</v>
      </c>
      <c r="E14" s="50" t="s">
        <v>721</v>
      </c>
      <c r="F14" s="50" t="s">
        <v>721</v>
      </c>
      <c r="G14" s="50" t="s">
        <v>721</v>
      </c>
      <c r="H14" s="50" t="s">
        <v>721</v>
      </c>
      <c r="I14" s="50" t="s">
        <v>721</v>
      </c>
      <c r="J14" s="50" t="s">
        <v>721</v>
      </c>
      <c r="K14" s="51">
        <f t="shared" si="0"/>
        <v>1</v>
      </c>
    </row>
    <row r="15" spans="1:11">
      <c r="A15" s="49"/>
      <c r="B15" s="1036"/>
      <c r="C15" s="49" t="s">
        <v>779</v>
      </c>
      <c r="D15" s="50" t="s">
        <v>768</v>
      </c>
      <c r="E15" s="50" t="s">
        <v>721</v>
      </c>
      <c r="F15" s="50" t="s">
        <v>721</v>
      </c>
      <c r="G15" s="50" t="s">
        <v>721</v>
      </c>
      <c r="H15" s="50" t="s">
        <v>721</v>
      </c>
      <c r="I15" s="50" t="s">
        <v>721</v>
      </c>
      <c r="J15" s="50" t="s">
        <v>721</v>
      </c>
      <c r="K15" s="51">
        <f t="shared" si="0"/>
        <v>1</v>
      </c>
    </row>
    <row r="16" spans="1:11">
      <c r="A16" s="49"/>
      <c r="B16" s="1036"/>
      <c r="C16" s="49" t="s">
        <v>780</v>
      </c>
      <c r="D16" s="50" t="s">
        <v>768</v>
      </c>
      <c r="E16" s="50" t="s">
        <v>721</v>
      </c>
      <c r="F16" s="50" t="s">
        <v>721</v>
      </c>
      <c r="G16" s="50" t="s">
        <v>721</v>
      </c>
      <c r="H16" s="50" t="s">
        <v>721</v>
      </c>
      <c r="I16" s="50" t="s">
        <v>721</v>
      </c>
      <c r="J16" s="50" t="s">
        <v>721</v>
      </c>
      <c r="K16" s="51">
        <f t="shared" si="0"/>
        <v>1</v>
      </c>
    </row>
    <row r="17" spans="1:11">
      <c r="A17" s="49"/>
      <c r="B17" s="1036"/>
      <c r="C17" s="49" t="s">
        <v>781</v>
      </c>
      <c r="D17" s="50"/>
      <c r="E17" s="50"/>
      <c r="F17" s="50"/>
      <c r="G17" s="50"/>
      <c r="H17" s="50"/>
      <c r="I17" s="50"/>
      <c r="J17" s="50"/>
      <c r="K17" s="52"/>
    </row>
    <row r="18" spans="1:11">
      <c r="A18" s="49"/>
      <c r="B18" s="1036"/>
      <c r="C18" s="49" t="s">
        <v>782</v>
      </c>
      <c r="D18" s="50"/>
      <c r="E18" s="50"/>
      <c r="F18" s="50"/>
      <c r="G18" s="50"/>
      <c r="H18" s="50"/>
      <c r="I18" s="50"/>
      <c r="J18" s="50"/>
      <c r="K18" s="52"/>
    </row>
    <row r="19" spans="1:11">
      <c r="A19" s="49"/>
      <c r="B19" s="1036"/>
      <c r="C19" s="49" t="s">
        <v>783</v>
      </c>
      <c r="D19" s="50"/>
      <c r="E19" s="50"/>
      <c r="F19" s="50"/>
      <c r="G19" s="50"/>
      <c r="H19" s="50"/>
      <c r="I19" s="50"/>
      <c r="J19" s="50"/>
      <c r="K19" s="52"/>
    </row>
    <row r="20" spans="1:11">
      <c r="A20" s="49"/>
      <c r="B20" s="1036"/>
      <c r="C20" s="49" t="s">
        <v>784</v>
      </c>
      <c r="D20" s="50"/>
      <c r="E20" s="50"/>
      <c r="F20" s="50"/>
      <c r="G20" s="50"/>
      <c r="H20" s="50"/>
      <c r="I20" s="50"/>
      <c r="J20" s="50"/>
      <c r="K20" s="52"/>
    </row>
    <row r="21" spans="1:11">
      <c r="A21" s="49"/>
      <c r="B21" s="1036"/>
      <c r="C21" s="49" t="s">
        <v>785</v>
      </c>
      <c r="D21" s="50"/>
      <c r="E21" s="50"/>
      <c r="F21" s="50"/>
      <c r="G21" s="50"/>
      <c r="H21" s="50"/>
      <c r="I21" s="50"/>
      <c r="J21" s="50"/>
      <c r="K21" s="52"/>
    </row>
    <row r="22" spans="1:11">
      <c r="A22" s="49"/>
      <c r="B22" s="1036"/>
      <c r="C22" s="49" t="s">
        <v>786</v>
      </c>
      <c r="D22" s="50"/>
      <c r="E22" s="50"/>
      <c r="F22" s="50"/>
      <c r="G22" s="50"/>
      <c r="H22" s="50"/>
      <c r="I22" s="50"/>
      <c r="J22" s="50"/>
      <c r="K22" s="52"/>
    </row>
    <row r="23" spans="1:11">
      <c r="A23" s="49"/>
      <c r="B23" s="1036"/>
      <c r="C23" s="49" t="s">
        <v>787</v>
      </c>
      <c r="D23" s="50"/>
      <c r="E23" s="50"/>
      <c r="F23" s="50"/>
      <c r="G23" s="50"/>
      <c r="H23" s="50"/>
      <c r="I23" s="50"/>
      <c r="J23" s="50"/>
      <c r="K23" s="52"/>
    </row>
    <row r="24" spans="1:11">
      <c r="A24" s="49"/>
      <c r="B24" s="1036"/>
      <c r="C24" s="49" t="s">
        <v>788</v>
      </c>
      <c r="D24" s="50"/>
      <c r="E24" s="50"/>
      <c r="F24" s="50"/>
      <c r="G24" s="50"/>
      <c r="H24" s="50"/>
      <c r="I24" s="50"/>
      <c r="J24" s="50"/>
      <c r="K24" s="52"/>
    </row>
    <row r="25" spans="1:11">
      <c r="A25" s="49"/>
      <c r="B25" s="1036"/>
      <c r="C25" s="49" t="s">
        <v>789</v>
      </c>
      <c r="D25" s="50" t="s">
        <v>768</v>
      </c>
      <c r="E25" s="50" t="s">
        <v>768</v>
      </c>
      <c r="F25" s="50" t="s">
        <v>768</v>
      </c>
      <c r="G25" s="50" t="s">
        <v>721</v>
      </c>
      <c r="H25" s="50" t="s">
        <v>768</v>
      </c>
      <c r="I25" s="50" t="s">
        <v>768</v>
      </c>
      <c r="J25" s="50" t="s">
        <v>768</v>
      </c>
      <c r="K25" s="52">
        <f t="shared" ref="K25" si="1">IF((SUMPRODUCT(($D$3:$J$3="是")*(D25:J25="√"))+SUMPRODUCT(($D$3:$J$3="是")*(D25:J25="N/A"))=COUNTIF($D$3:$J$3,"是"))*(COUNTIF(D25:J25,"√")/(COUNTA(D25:J25)-COUNTIF(D25:J25,"N/A"))&gt;=0.5),1,0)</f>
        <v>1</v>
      </c>
    </row>
    <row r="26" spans="1:11">
      <c r="A26" s="1023" t="s">
        <v>790</v>
      </c>
      <c r="B26" s="1024"/>
      <c r="C26" s="1024"/>
      <c r="D26" s="1024"/>
      <c r="E26" s="1024"/>
      <c r="F26" s="1024"/>
      <c r="G26" s="1024"/>
      <c r="H26" s="1024"/>
      <c r="I26" s="1025"/>
    </row>
    <row r="27" spans="1:11">
      <c r="A27" s="1026"/>
      <c r="B27" s="1027"/>
      <c r="C27" s="1027"/>
      <c r="D27" s="1027"/>
      <c r="E27" s="1027"/>
      <c r="F27" s="1027"/>
      <c r="G27" s="1027"/>
      <c r="H27" s="1027"/>
      <c r="I27" s="1028"/>
    </row>
    <row r="28" spans="1:11">
      <c r="A28" s="1026"/>
      <c r="B28" s="1027"/>
      <c r="C28" s="1027"/>
      <c r="D28" s="1027"/>
      <c r="E28" s="1027"/>
      <c r="F28" s="1027"/>
      <c r="G28" s="1027"/>
      <c r="H28" s="1027"/>
      <c r="I28" s="1028"/>
    </row>
    <row r="29" spans="1:11" ht="24.95" customHeight="1">
      <c r="A29" s="1029"/>
      <c r="B29" s="1030"/>
      <c r="C29" s="1030"/>
      <c r="D29" s="1030"/>
      <c r="E29" s="1030"/>
      <c r="F29" s="1030"/>
      <c r="G29" s="1030"/>
      <c r="H29" s="1030"/>
      <c r="I29" s="1031"/>
    </row>
  </sheetData>
  <mergeCells count="7">
    <mergeCell ref="K2:K3"/>
    <mergeCell ref="A26:I29"/>
    <mergeCell ref="A1:I1"/>
    <mergeCell ref="B2:C2"/>
    <mergeCell ref="B3:C3"/>
    <mergeCell ref="A2:A3"/>
    <mergeCell ref="B4:B25"/>
  </mergeCells>
  <phoneticPr fontId="150" type="noConversion"/>
  <pageMargins left="0.75" right="0.75" top="1" bottom="1" header="0.51180555555555596" footer="0.5118055555555559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FF0000"/>
  </sheetPr>
  <dimension ref="A1:U119"/>
  <sheetViews>
    <sheetView workbookViewId="0">
      <selection activeCell="H10" sqref="H10"/>
    </sheetView>
  </sheetViews>
  <sheetFormatPr defaultColWidth="9" defaultRowHeight="16.5"/>
  <cols>
    <col min="1" max="1" width="8.75" style="6" customWidth="1"/>
    <col min="2" max="2" width="20.75" style="6" customWidth="1"/>
    <col min="3" max="7" width="9" style="6"/>
    <col min="8" max="8" width="11.375" style="6" customWidth="1"/>
    <col min="9" max="13" width="9" style="6"/>
    <col min="14" max="14" width="8.25" style="6" customWidth="1"/>
    <col min="15" max="15" width="19.25" style="6" customWidth="1"/>
    <col min="16" max="16" width="9" style="6"/>
    <col min="17" max="17" width="18.375" style="6" customWidth="1"/>
    <col min="18" max="16384" width="9" style="6"/>
  </cols>
  <sheetData>
    <row r="1" spans="1:7" s="3" customFormat="1">
      <c r="A1" s="3" t="s">
        <v>791</v>
      </c>
    </row>
    <row r="2" spans="1:7">
      <c r="B2" s="6" t="s">
        <v>792</v>
      </c>
    </row>
    <row r="4" spans="1:7" s="3" customFormat="1">
      <c r="A4" s="3" t="s">
        <v>793</v>
      </c>
    </row>
    <row r="5" spans="1:7" s="4" customFormat="1" ht="18">
      <c r="A5" s="7" t="s">
        <v>794</v>
      </c>
    </row>
    <row r="6" spans="1:7" ht="45">
      <c r="B6" s="8" t="s">
        <v>795</v>
      </c>
      <c r="C6" s="9" t="s">
        <v>796</v>
      </c>
      <c r="D6" s="10" t="s">
        <v>797</v>
      </c>
      <c r="E6" s="9" t="s">
        <v>798</v>
      </c>
      <c r="F6" s="9" t="s">
        <v>799</v>
      </c>
      <c r="G6" s="11" t="s">
        <v>800</v>
      </c>
    </row>
    <row r="7" spans="1:7">
      <c r="B7" s="12" t="s">
        <v>801</v>
      </c>
      <c r="C7" s="13"/>
      <c r="D7" s="14"/>
      <c r="E7" s="15"/>
      <c r="F7" s="15"/>
      <c r="G7" s="16" t="e">
        <f>(F7-E7)/E7</f>
        <v>#DIV/0!</v>
      </c>
    </row>
    <row r="8" spans="1:7">
      <c r="B8" s="17" t="s">
        <v>802</v>
      </c>
      <c r="C8" s="18"/>
      <c r="D8" s="19"/>
      <c r="E8" s="19"/>
      <c r="F8" s="19"/>
      <c r="G8" s="16" t="e">
        <f>(F8-E8)/E8</f>
        <v>#DIV/0!</v>
      </c>
    </row>
    <row r="10" spans="1:7">
      <c r="C10" s="20" t="s">
        <v>508</v>
      </c>
      <c r="D10" s="21" t="s">
        <v>509</v>
      </c>
      <c r="E10" s="10" t="s">
        <v>167</v>
      </c>
      <c r="F10" s="10" t="s">
        <v>168</v>
      </c>
      <c r="G10" s="10" t="s">
        <v>169</v>
      </c>
    </row>
    <row r="11" spans="1:7">
      <c r="B11" s="22" t="s">
        <v>803</v>
      </c>
      <c r="C11" s="23"/>
      <c r="D11" s="23"/>
      <c r="E11" s="24"/>
      <c r="F11" s="24"/>
      <c r="G11" s="25"/>
    </row>
    <row r="12" spans="1:7">
      <c r="B12" s="26" t="s">
        <v>804</v>
      </c>
      <c r="C12" s="27"/>
      <c r="D12" s="27"/>
      <c r="E12" s="28"/>
      <c r="F12" s="29"/>
      <c r="G12" s="30"/>
    </row>
    <row r="14" spans="1:7">
      <c r="B14" s="6" t="s">
        <v>805</v>
      </c>
    </row>
    <row r="15" spans="1:7">
      <c r="B15" s="6" t="s">
        <v>806</v>
      </c>
    </row>
    <row r="17" spans="1:15" s="4" customFormat="1" ht="18">
      <c r="A17" s="7" t="s">
        <v>807</v>
      </c>
    </row>
    <row r="20" spans="1:15">
      <c r="O20" s="6" t="s">
        <v>808</v>
      </c>
    </row>
    <row r="30" spans="1:15">
      <c r="C30" s="21" t="s">
        <v>509</v>
      </c>
      <c r="D30" s="31" t="s">
        <v>167</v>
      </c>
      <c r="E30" s="32" t="s">
        <v>168</v>
      </c>
      <c r="F30" s="32" t="s">
        <v>169</v>
      </c>
    </row>
    <row r="31" spans="1:15">
      <c r="B31" s="33" t="s">
        <v>809</v>
      </c>
      <c r="C31" s="23"/>
      <c r="D31" s="24"/>
      <c r="E31" s="24"/>
      <c r="F31" s="25"/>
    </row>
    <row r="32" spans="1:15">
      <c r="B32" s="34" t="s">
        <v>810</v>
      </c>
      <c r="C32" s="27"/>
      <c r="D32" s="35"/>
      <c r="E32" s="36"/>
      <c r="F32" s="37"/>
    </row>
    <row r="33" spans="1:7">
      <c r="B33" s="5" t="s">
        <v>811</v>
      </c>
    </row>
    <row r="34" spans="1:7">
      <c r="B34" s="5" t="s">
        <v>812</v>
      </c>
    </row>
    <row r="36" spans="1:7">
      <c r="B36" s="33" t="s">
        <v>813</v>
      </c>
      <c r="C36" s="23"/>
      <c r="D36" s="23"/>
      <c r="E36" s="24"/>
      <c r="F36" s="24"/>
      <c r="G36" s="25"/>
    </row>
    <row r="37" spans="1:7">
      <c r="B37" s="34" t="s">
        <v>814</v>
      </c>
      <c r="C37" s="38"/>
      <c r="D37" s="27"/>
      <c r="E37" s="35"/>
      <c r="F37" s="36"/>
      <c r="G37" s="37"/>
    </row>
    <row r="38" spans="1:7" s="5" customFormat="1">
      <c r="B38" s="5" t="s">
        <v>815</v>
      </c>
    </row>
    <row r="41" spans="1:7">
      <c r="B41" s="6" t="s">
        <v>816</v>
      </c>
    </row>
    <row r="44" spans="1:7">
      <c r="D44" s="39"/>
    </row>
    <row r="46" spans="1:7" s="3" customFormat="1">
      <c r="A46" s="3" t="s">
        <v>817</v>
      </c>
    </row>
    <row r="47" spans="1:7">
      <c r="B47" s="6" t="s">
        <v>818</v>
      </c>
      <c r="D47" s="39"/>
    </row>
    <row r="74" spans="2:21">
      <c r="B74" s="6" t="s">
        <v>819</v>
      </c>
      <c r="D74" s="39"/>
    </row>
    <row r="75" spans="2:21">
      <c r="B75" s="40" t="s">
        <v>820</v>
      </c>
      <c r="C75" s="1045" t="s">
        <v>821</v>
      </c>
      <c r="D75" s="1046"/>
      <c r="E75" s="1046"/>
      <c r="F75" s="1046"/>
      <c r="G75" s="1047"/>
      <c r="H75" s="41" t="s">
        <v>822</v>
      </c>
      <c r="M75" s="46"/>
      <c r="N75" s="46"/>
      <c r="O75" s="46"/>
      <c r="P75" s="46"/>
      <c r="Q75" s="46"/>
      <c r="R75" s="46"/>
      <c r="S75" s="46"/>
      <c r="T75" s="46"/>
      <c r="U75" s="46"/>
    </row>
    <row r="76" spans="2:21">
      <c r="B76" s="42">
        <v>1</v>
      </c>
      <c r="C76" s="1037"/>
      <c r="D76" s="1038"/>
      <c r="E76" s="1038"/>
      <c r="F76" s="1038"/>
      <c r="G76" s="1039"/>
      <c r="H76" s="43"/>
      <c r="M76" s="46"/>
      <c r="N76" s="46"/>
      <c r="O76" s="46"/>
      <c r="P76" s="46"/>
      <c r="Q76" s="46"/>
      <c r="R76" s="46"/>
      <c r="S76" s="46"/>
      <c r="T76" s="46"/>
      <c r="U76" s="46"/>
    </row>
    <row r="77" spans="2:21" ht="17.25" customHeight="1">
      <c r="B77" s="42">
        <v>2</v>
      </c>
      <c r="C77" s="1037"/>
      <c r="D77" s="1038"/>
      <c r="E77" s="1038"/>
      <c r="F77" s="1038"/>
      <c r="G77" s="1039"/>
      <c r="H77" s="43"/>
      <c r="M77" s="46"/>
      <c r="N77" s="46"/>
      <c r="O77" s="46"/>
      <c r="P77" s="46"/>
      <c r="Q77" s="46"/>
      <c r="R77" s="46"/>
      <c r="S77" s="46"/>
      <c r="T77" s="46"/>
      <c r="U77" s="46"/>
    </row>
    <row r="78" spans="2:21" ht="17.25" customHeight="1">
      <c r="B78" s="42">
        <v>3</v>
      </c>
      <c r="C78" s="1037"/>
      <c r="D78" s="1038"/>
      <c r="E78" s="1038"/>
      <c r="F78" s="1038"/>
      <c r="G78" s="1039"/>
      <c r="H78" s="43"/>
      <c r="M78" s="46"/>
      <c r="N78" s="46"/>
      <c r="O78" s="46"/>
      <c r="P78" s="46"/>
      <c r="Q78" s="46"/>
      <c r="R78" s="46"/>
      <c r="S78" s="46"/>
      <c r="T78" s="46"/>
      <c r="U78" s="46"/>
    </row>
    <row r="79" spans="2:21" ht="17.25" customHeight="1">
      <c r="B79" s="42">
        <v>4</v>
      </c>
      <c r="C79" s="1037"/>
      <c r="D79" s="1038"/>
      <c r="E79" s="1038"/>
      <c r="F79" s="1038"/>
      <c r="G79" s="1039"/>
      <c r="H79" s="43"/>
      <c r="M79" s="46"/>
      <c r="N79" s="46"/>
      <c r="O79" s="46"/>
      <c r="P79" s="46"/>
      <c r="Q79" s="46"/>
      <c r="R79" s="46"/>
      <c r="S79" s="46"/>
      <c r="T79" s="46"/>
      <c r="U79" s="46"/>
    </row>
    <row r="80" spans="2:21" ht="18" customHeight="1">
      <c r="B80" s="42">
        <v>5</v>
      </c>
      <c r="C80" s="1037"/>
      <c r="D80" s="1038"/>
      <c r="E80" s="1038"/>
      <c r="F80" s="1038"/>
      <c r="G80" s="1039"/>
      <c r="H80" s="43"/>
    </row>
    <row r="81" spans="2:8">
      <c r="B81" s="42">
        <v>6</v>
      </c>
      <c r="C81" s="1037"/>
      <c r="D81" s="1038"/>
      <c r="E81" s="1038"/>
      <c r="F81" s="1038"/>
      <c r="G81" s="1039"/>
      <c r="H81" s="43"/>
    </row>
    <row r="82" spans="2:8">
      <c r="B82" s="44"/>
      <c r="C82" s="1040" t="s">
        <v>387</v>
      </c>
      <c r="D82" s="1041"/>
      <c r="E82" s="1041"/>
      <c r="F82" s="1041"/>
      <c r="G82" s="1042"/>
      <c r="H82" s="45">
        <f>SUM(H76:H81)</f>
        <v>0</v>
      </c>
    </row>
    <row r="84" spans="2:8">
      <c r="B84" s="6" t="s">
        <v>823</v>
      </c>
      <c r="D84" s="39"/>
    </row>
    <row r="104" spans="1:11" s="3" customFormat="1">
      <c r="A104" s="3" t="s">
        <v>824</v>
      </c>
    </row>
    <row r="105" spans="1:11" ht="38.25" customHeight="1">
      <c r="B105" s="1043" t="s">
        <v>825</v>
      </c>
      <c r="C105" s="1044"/>
      <c r="D105" s="1044"/>
      <c r="E105" s="1044"/>
      <c r="F105" s="1044"/>
      <c r="G105" s="1044"/>
      <c r="H105" s="1044"/>
      <c r="I105" s="1044"/>
      <c r="J105" s="1044"/>
      <c r="K105" s="1044"/>
    </row>
    <row r="107" spans="1:11" s="3" customFormat="1">
      <c r="A107" s="3" t="s">
        <v>826</v>
      </c>
    </row>
    <row r="108" spans="1:11">
      <c r="B108" s="6" t="s">
        <v>827</v>
      </c>
    </row>
    <row r="109" spans="1:11">
      <c r="B109" s="6" t="s">
        <v>828</v>
      </c>
    </row>
    <row r="110" spans="1:11">
      <c r="B110" s="6" t="s">
        <v>829</v>
      </c>
    </row>
    <row r="112" spans="1:11">
      <c r="B112" s="6" t="s">
        <v>830</v>
      </c>
    </row>
    <row r="113" spans="1:2">
      <c r="B113" s="6" t="s">
        <v>831</v>
      </c>
    </row>
    <row r="115" spans="1:2" s="3" customFormat="1">
      <c r="A115" s="3" t="s">
        <v>832</v>
      </c>
    </row>
    <row r="116" spans="1:2">
      <c r="B116" s="6" t="s">
        <v>833</v>
      </c>
    </row>
    <row r="119" spans="1:2">
      <c r="B119" s="6" t="s">
        <v>834</v>
      </c>
    </row>
  </sheetData>
  <mergeCells count="9">
    <mergeCell ref="C80:G80"/>
    <mergeCell ref="C81:G81"/>
    <mergeCell ref="C82:G82"/>
    <mergeCell ref="B105:K105"/>
    <mergeCell ref="C75:G75"/>
    <mergeCell ref="C76:G76"/>
    <mergeCell ref="C77:G77"/>
    <mergeCell ref="C78:G78"/>
    <mergeCell ref="C79:G79"/>
  </mergeCells>
  <phoneticPr fontId="150" type="noConversion"/>
  <pageMargins left="0.69930555555555596" right="0.69930555555555596" top="0.75" bottom="0.75" header="0.3" footer="0.3"/>
  <pageSetup paperSize="9" orientation="portrait"/>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B32"/>
  <sheetViews>
    <sheetView tabSelected="1" workbookViewId="0">
      <selection activeCell="G29" sqref="G29"/>
    </sheetView>
  </sheetViews>
  <sheetFormatPr defaultColWidth="9" defaultRowHeight="13.5"/>
  <cols>
    <col min="1" max="1" width="13.25" customWidth="1"/>
  </cols>
  <sheetData>
    <row r="1" spans="1:2">
      <c r="A1" s="1">
        <v>43101</v>
      </c>
      <c r="B1" s="2" t="s">
        <v>835</v>
      </c>
    </row>
    <row r="2" spans="1:2">
      <c r="A2" s="1">
        <v>43144</v>
      </c>
      <c r="B2" s="2" t="s">
        <v>836</v>
      </c>
    </row>
    <row r="3" spans="1:2">
      <c r="A3" s="1">
        <v>43145</v>
      </c>
      <c r="B3" s="2" t="s">
        <v>836</v>
      </c>
    </row>
    <row r="4" spans="1:2">
      <c r="A4" s="1">
        <v>43146</v>
      </c>
      <c r="B4" s="2" t="s">
        <v>836</v>
      </c>
    </row>
    <row r="5" spans="1:2">
      <c r="A5" s="1">
        <v>43147</v>
      </c>
      <c r="B5" s="2" t="s">
        <v>836</v>
      </c>
    </row>
    <row r="6" spans="1:2">
      <c r="A6" s="1">
        <v>43148</v>
      </c>
      <c r="B6" s="2" t="s">
        <v>836</v>
      </c>
    </row>
    <row r="7" spans="1:2">
      <c r="A7" s="1">
        <v>43149</v>
      </c>
      <c r="B7" s="2" t="s">
        <v>836</v>
      </c>
    </row>
    <row r="8" spans="1:2">
      <c r="A8" s="1">
        <v>43150</v>
      </c>
      <c r="B8" s="2" t="s">
        <v>836</v>
      </c>
    </row>
    <row r="9" spans="1:2">
      <c r="A9" s="1">
        <v>43151</v>
      </c>
      <c r="B9" s="2" t="s">
        <v>836</v>
      </c>
    </row>
    <row r="10" spans="1:2">
      <c r="A10" s="1">
        <v>43152</v>
      </c>
      <c r="B10" s="2" t="s">
        <v>836</v>
      </c>
    </row>
    <row r="11" spans="1:2">
      <c r="A11" s="1">
        <v>43195</v>
      </c>
      <c r="B11" s="2" t="s">
        <v>837</v>
      </c>
    </row>
    <row r="12" spans="1:2">
      <c r="A12" s="1">
        <v>43196</v>
      </c>
      <c r="B12" s="2" t="s">
        <v>837</v>
      </c>
    </row>
    <row r="13" spans="1:2">
      <c r="A13" s="1">
        <v>43197</v>
      </c>
      <c r="B13" s="2" t="s">
        <v>837</v>
      </c>
    </row>
    <row r="14" spans="1:2">
      <c r="A14" s="1">
        <v>43219</v>
      </c>
      <c r="B14" s="2" t="s">
        <v>838</v>
      </c>
    </row>
    <row r="15" spans="1:2">
      <c r="A15" s="1">
        <v>43220</v>
      </c>
      <c r="B15" s="2" t="s">
        <v>838</v>
      </c>
    </row>
    <row r="16" spans="1:2">
      <c r="A16" s="1">
        <v>43221</v>
      </c>
      <c r="B16" s="2" t="s">
        <v>838</v>
      </c>
    </row>
    <row r="17" spans="1:2">
      <c r="A17" s="1">
        <v>43267</v>
      </c>
      <c r="B17" s="2" t="s">
        <v>839</v>
      </c>
    </row>
    <row r="18" spans="1:2">
      <c r="A18" s="1">
        <v>43268</v>
      </c>
      <c r="B18" s="2" t="s">
        <v>839</v>
      </c>
    </row>
    <row r="19" spans="1:2">
      <c r="A19" s="1">
        <v>43269</v>
      </c>
      <c r="B19" s="2" t="s">
        <v>839</v>
      </c>
    </row>
    <row r="20" spans="1:2">
      <c r="A20" s="1">
        <v>43365</v>
      </c>
      <c r="B20" s="2" t="s">
        <v>840</v>
      </c>
    </row>
    <row r="21" spans="1:2">
      <c r="A21" s="1">
        <v>43366</v>
      </c>
      <c r="B21" s="2" t="s">
        <v>840</v>
      </c>
    </row>
    <row r="22" spans="1:2">
      <c r="A22" s="1">
        <v>43367</v>
      </c>
      <c r="B22" s="2" t="s">
        <v>840</v>
      </c>
    </row>
    <row r="23" spans="1:2">
      <c r="A23" s="1">
        <v>43374</v>
      </c>
      <c r="B23" s="2" t="s">
        <v>841</v>
      </c>
    </row>
    <row r="24" spans="1:2">
      <c r="A24" s="1">
        <v>43375</v>
      </c>
      <c r="B24" s="2" t="s">
        <v>841</v>
      </c>
    </row>
    <row r="25" spans="1:2">
      <c r="A25" s="1">
        <v>43376</v>
      </c>
      <c r="B25" s="2" t="s">
        <v>841</v>
      </c>
    </row>
    <row r="26" spans="1:2">
      <c r="A26" s="1">
        <v>43377</v>
      </c>
      <c r="B26" s="2" t="s">
        <v>841</v>
      </c>
    </row>
    <row r="27" spans="1:2">
      <c r="A27" s="1">
        <v>43378</v>
      </c>
      <c r="B27" s="2" t="s">
        <v>841</v>
      </c>
    </row>
    <row r="28" spans="1:2">
      <c r="A28" s="1">
        <v>43379</v>
      </c>
      <c r="B28" s="2" t="s">
        <v>841</v>
      </c>
    </row>
    <row r="29" spans="1:2">
      <c r="A29" s="1">
        <v>43380</v>
      </c>
      <c r="B29" s="2" t="s">
        <v>841</v>
      </c>
    </row>
    <row r="30" spans="1:2">
      <c r="A30" s="1">
        <v>43464</v>
      </c>
      <c r="B30" s="2" t="s">
        <v>842</v>
      </c>
    </row>
    <row r="31" spans="1:2">
      <c r="A31" s="1">
        <v>43465</v>
      </c>
      <c r="B31" s="2" t="s">
        <v>842</v>
      </c>
    </row>
    <row r="32" spans="1:2">
      <c r="A32" s="1">
        <v>43466</v>
      </c>
      <c r="B32" s="2" t="s">
        <v>842</v>
      </c>
    </row>
  </sheetData>
  <phoneticPr fontId="150" type="noConversion"/>
  <pageMargins left="0.75" right="0.75" top="1" bottom="1" header="0.51180555555555596" footer="0.51180555555555596"/>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19</vt:i4>
      </vt:variant>
      <vt:variant>
        <vt:lpstr>命名范围</vt:lpstr>
      </vt:variant>
      <vt:variant>
        <vt:i4>44</vt:i4>
      </vt:variant>
    </vt:vector>
  </HeadingPairs>
  <TitlesOfParts>
    <vt:vector size="63" baseType="lpstr">
      <vt:lpstr>报告封面</vt:lpstr>
      <vt:lpstr>目录</vt:lpstr>
      <vt:lpstr>填写说明</vt:lpstr>
      <vt:lpstr>项目属性</vt:lpstr>
      <vt:lpstr>项目度量分析计划</vt:lpstr>
      <vt:lpstr>预测-结果</vt:lpstr>
      <vt:lpstr>预测-指导</vt:lpstr>
      <vt:lpstr>总模型</vt:lpstr>
      <vt:lpstr>迭代模型</vt:lpstr>
      <vt:lpstr>需求</vt:lpstr>
      <vt:lpstr>工作量分布</vt:lpstr>
      <vt:lpstr>规模</vt:lpstr>
      <vt:lpstr>项目进度</vt:lpstr>
      <vt:lpstr>过程产出缺陷度量</vt:lpstr>
      <vt:lpstr>测试及验收缺陷度量</vt:lpstr>
      <vt:lpstr>人员统计</vt:lpstr>
      <vt:lpstr>人员基本信息</vt:lpstr>
      <vt:lpstr>根因分析</vt:lpstr>
      <vt:lpstr>附录-节假日</vt:lpstr>
      <vt:lpstr>Diskname</vt:lpstr>
      <vt:lpstr>for_add</vt:lpstr>
      <vt:lpstr>for_Creview</vt:lpstr>
      <vt:lpstr>for_CRreview</vt:lpstr>
      <vt:lpstr>for_Dreview</vt:lpstr>
      <vt:lpstr>for_FRreview</vt:lpstr>
      <vt:lpstr>for_set_all1</vt:lpstr>
      <vt:lpstr>for_set_all2</vt:lpstr>
      <vt:lpstr>for_set_all3</vt:lpstr>
      <vt:lpstr>for_set_all4</vt:lpstr>
      <vt:lpstr>for_set_all5</vt:lpstr>
      <vt:lpstr>for_set_all6</vt:lpstr>
      <vt:lpstr>for_set_calculate1</vt:lpstr>
      <vt:lpstr>for_set_calculate2</vt:lpstr>
      <vt:lpstr>for_set_calculate3</vt:lpstr>
      <vt:lpstr>for_set_calculate4</vt:lpstr>
      <vt:lpstr>for_set_calculate5</vt:lpstr>
      <vt:lpstr>for_set_calculate6</vt:lpstr>
      <vt:lpstr>for_set_PPB</vt:lpstr>
      <vt:lpstr>for_set_PPB1</vt:lpstr>
      <vt:lpstr>for_set_PPB2</vt:lpstr>
      <vt:lpstr>for_set_PPB3</vt:lpstr>
      <vt:lpstr>for_set_PPB4</vt:lpstr>
      <vt:lpstr>for_set_PPB5</vt:lpstr>
      <vt:lpstr>for_set_PPB6</vt:lpstr>
      <vt:lpstr>for_set_review1</vt:lpstr>
      <vt:lpstr>for_set_review2</vt:lpstr>
      <vt:lpstr>for_set_review3</vt:lpstr>
      <vt:lpstr>for_set_review4</vt:lpstr>
      <vt:lpstr>for_set_review5</vt:lpstr>
      <vt:lpstr>for_set_test</vt:lpstr>
      <vt:lpstr>for_set_week</vt:lpstr>
      <vt:lpstr>for_TCreview</vt:lpstr>
      <vt:lpstr>for_Test</vt:lpstr>
      <vt:lpstr>PDeviation</vt:lpstr>
      <vt:lpstr>Username</vt:lpstr>
      <vt:lpstr>VCreview</vt:lpstr>
      <vt:lpstr>VCRreview</vt:lpstr>
      <vt:lpstr>VDeviation</vt:lpstr>
      <vt:lpstr>VDreview</vt:lpstr>
      <vt:lpstr>VFRreview</vt:lpstr>
      <vt:lpstr>VTCreview</vt:lpstr>
      <vt:lpstr>VTest</vt:lpstr>
      <vt:lpstr>Vweek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付艳华</dc:creator>
  <cp:lastModifiedBy>Windows 用户</cp:lastModifiedBy>
  <dcterms:created xsi:type="dcterms:W3CDTF">2006-09-16T00:00:00Z</dcterms:created>
  <dcterms:modified xsi:type="dcterms:W3CDTF">2018-11-18T13:18:46Z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2052-10.1.0.7469</vt:lpwstr>
  </property>
</Properties>
</file>

<file path=userCustomization/customUI.xml>�� 
</file>