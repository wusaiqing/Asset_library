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0545" yWindow="1875" windowWidth="15330" windowHeight="10140" tabRatio="697" firstSheet="1" activeTab="3"/>
  </bookViews>
  <sheets>
    <sheet name="工作量匹配" sheetId="11" state="hidden" r:id="rId1"/>
    <sheet name="项目基本信息" sheetId="1" r:id="rId2"/>
    <sheet name="预估汇总表单" sheetId="10" r:id="rId3"/>
    <sheet name="预估表单-黄琪" sheetId="13" r:id="rId4"/>
    <sheet name="预估表单-刘燕燕" sheetId="14" r:id="rId5"/>
    <sheet name="预估表单-房雷" sheetId="16" r:id="rId6"/>
  </sheets>
  <definedNames>
    <definedName name="_1OVERALL_DV" localSheetId="5">#REF!</definedName>
    <definedName name="_1OVERALL_DV">#REF!</definedName>
    <definedName name="_2OVERALL_SL" localSheetId="5">#REF!</definedName>
    <definedName name="_2OVERALL_SL">#REF!</definedName>
    <definedName name="_3PHASE_HELP" localSheetId="5">#REF!</definedName>
    <definedName name="_3PHASE_HELP">#REF!</definedName>
    <definedName name="_4TOTAL_EFFORT" localSheetId="5">#REF!</definedName>
    <definedName name="_4TOTAL_EFFORT">#REF!</definedName>
    <definedName name="CURRENTPHASE" localSheetId="5">项目基本信息!#REF!</definedName>
    <definedName name="CURRENTPHASE">项目基本信息!#REF!</definedName>
    <definedName name="DURATION" localSheetId="5">#REF!</definedName>
    <definedName name="DURATION">#REF!</definedName>
    <definedName name="HOLIDAYS" localSheetId="5">#REF!</definedName>
    <definedName name="HOLIDAYS">#REF!</definedName>
    <definedName name="Phase" localSheetId="5">#REF!</definedName>
    <definedName name="Phase">#REF!</definedName>
    <definedName name="PHASE_DUR" localSheetId="5">#REF!</definedName>
    <definedName name="PHASE_DUR">#REF!</definedName>
    <definedName name="PHASEDATA" localSheetId="5">#REF!</definedName>
    <definedName name="PHASEDATA">#REF!</definedName>
    <definedName name="_xlnm.Print_Titles">#N/A</definedName>
    <definedName name="PROGRESS" localSheetId="5">#REF!</definedName>
    <definedName name="PROGRESS">#REF!</definedName>
    <definedName name="WEEK" localSheetId="5">#REF!</definedName>
    <definedName name="WEEK">#REF!</definedName>
    <definedName name="定义" localSheetId="5">#REF!</definedName>
    <definedName name="定义">#REF!</definedName>
    <definedName name="度量分析" localSheetId="5">#REF!</definedName>
    <definedName name="度量分析">#REF!</definedName>
    <definedName name="工作量" localSheetId="5">#REF!</definedName>
    <definedName name="工作量">#REF!</definedName>
    <definedName name="工作日" localSheetId="5">#REF!</definedName>
    <definedName name="工作日">#REF!</definedName>
    <definedName name="进度" localSheetId="5">#REF!</definedName>
    <definedName name="进度">#REF!</definedName>
    <definedName name="缺陷" localSheetId="5">#REF!</definedName>
    <definedName name="缺陷">#REF!</definedName>
    <definedName name="缺陷分布图" localSheetId="5">#REF!</definedName>
    <definedName name="缺陷分布图">#REF!</definedName>
    <definedName name="缺陷分析" localSheetId="5">#REF!</definedName>
    <definedName name="缺陷分析">#REF!</definedName>
    <definedName name="需求" localSheetId="5">#REF!</definedName>
    <definedName name="需求">#REF!</definedName>
  </definedNames>
  <calcPr calcId="145621"/>
</workbook>
</file>

<file path=xl/calcChain.xml><?xml version="1.0" encoding="utf-8"?>
<calcChain xmlns="http://schemas.openxmlformats.org/spreadsheetml/2006/main">
  <c r="N16" i="16" l="1"/>
  <c r="L16" i="16"/>
  <c r="K16" i="16"/>
  <c r="J16" i="16"/>
  <c r="M16" i="16" s="1"/>
  <c r="I16" i="16"/>
  <c r="N16" i="14"/>
  <c r="L16" i="14"/>
  <c r="K16" i="14"/>
  <c r="J16" i="14"/>
  <c r="M16" i="14" s="1"/>
  <c r="I16" i="14"/>
  <c r="J15" i="16" l="1"/>
  <c r="M15" i="16" s="1"/>
  <c r="I15" i="16"/>
  <c r="L15" i="16" s="1"/>
  <c r="G15" i="16"/>
  <c r="K15" i="16" s="1"/>
  <c r="J14" i="16"/>
  <c r="M14" i="16" s="1"/>
  <c r="I14" i="16"/>
  <c r="L14" i="16" s="1"/>
  <c r="G14" i="16"/>
  <c r="J13" i="16"/>
  <c r="M13" i="16" s="1"/>
  <c r="I13" i="16"/>
  <c r="L13" i="16" s="1"/>
  <c r="G13" i="16"/>
  <c r="K13" i="16" s="1"/>
  <c r="J12" i="16"/>
  <c r="M12" i="16" s="1"/>
  <c r="I12" i="16"/>
  <c r="L12" i="16" s="1"/>
  <c r="G12" i="16"/>
  <c r="K12" i="16" s="1"/>
  <c r="J11" i="16"/>
  <c r="M11" i="16" s="1"/>
  <c r="I11" i="16"/>
  <c r="L11" i="16" s="1"/>
  <c r="G11" i="16"/>
  <c r="K11" i="16" s="1"/>
  <c r="J15" i="14"/>
  <c r="M15" i="14" s="1"/>
  <c r="I15" i="14"/>
  <c r="L15" i="14" s="1"/>
  <c r="G15" i="14"/>
  <c r="K15" i="14" s="1"/>
  <c r="K14" i="14"/>
  <c r="J14" i="14"/>
  <c r="M14" i="14" s="1"/>
  <c r="I14" i="14"/>
  <c r="L14" i="14" s="1"/>
  <c r="G14" i="14"/>
  <c r="J13" i="14"/>
  <c r="M13" i="14" s="1"/>
  <c r="I13" i="14"/>
  <c r="L13" i="14" s="1"/>
  <c r="G13" i="14"/>
  <c r="K13" i="14" s="1"/>
  <c r="J12" i="14"/>
  <c r="M12" i="14" s="1"/>
  <c r="I12" i="14"/>
  <c r="L12" i="14" s="1"/>
  <c r="G12" i="14"/>
  <c r="J11" i="14"/>
  <c r="M11" i="14" s="1"/>
  <c r="I11" i="14"/>
  <c r="L11" i="14" s="1"/>
  <c r="G11" i="14"/>
  <c r="K11" i="14" s="1"/>
  <c r="J11" i="13"/>
  <c r="M11" i="13" s="1"/>
  <c r="I11" i="13"/>
  <c r="L11" i="13" s="1"/>
  <c r="G11" i="13"/>
  <c r="K11" i="13" s="1"/>
  <c r="N12" i="14" l="1"/>
  <c r="K12" i="14"/>
  <c r="N14" i="14"/>
  <c r="N12" i="16"/>
  <c r="K14" i="16"/>
  <c r="N14" i="16" s="1"/>
  <c r="N11" i="16"/>
  <c r="N13" i="16"/>
  <c r="N15" i="16"/>
  <c r="N11" i="14"/>
  <c r="N13" i="14"/>
  <c r="N15" i="14"/>
  <c r="N11" i="13"/>
  <c r="D17" i="13" l="1"/>
  <c r="E17" i="13"/>
  <c r="G13" i="13" l="1"/>
  <c r="G14" i="13"/>
  <c r="G15" i="13"/>
  <c r="G12" i="13"/>
  <c r="E17" i="16" l="1"/>
  <c r="D17" i="16"/>
  <c r="B7" i="16"/>
  <c r="B6" i="16"/>
  <c r="B5" i="16"/>
  <c r="E17" i="14"/>
  <c r="D17" i="14"/>
  <c r="B6" i="14"/>
  <c r="B5" i="14"/>
  <c r="G17" i="13"/>
  <c r="J16" i="13"/>
  <c r="M16" i="13" s="1"/>
  <c r="I16" i="13"/>
  <c r="L16" i="13" s="1"/>
  <c r="K16" i="13"/>
  <c r="J15" i="13"/>
  <c r="M15" i="13" s="1"/>
  <c r="I15" i="13"/>
  <c r="L15" i="13" s="1"/>
  <c r="K14" i="13"/>
  <c r="N14" i="13" s="1"/>
  <c r="J14" i="13"/>
  <c r="M14" i="13" s="1"/>
  <c r="I14" i="13"/>
  <c r="L14" i="13" s="1"/>
  <c r="K13" i="13"/>
  <c r="J13" i="13"/>
  <c r="M13" i="13" s="1"/>
  <c r="I13" i="13"/>
  <c r="L13" i="13" s="1"/>
  <c r="K12" i="13"/>
  <c r="J12" i="13"/>
  <c r="I12" i="13"/>
  <c r="B6" i="13"/>
  <c r="B5" i="13"/>
  <c r="E46" i="10"/>
  <c r="E45" i="10"/>
  <c r="E44" i="10"/>
  <c r="E43" i="10"/>
  <c r="E42" i="10"/>
  <c r="D41" i="10"/>
  <c r="D56" i="10" s="1"/>
  <c r="C41" i="10"/>
  <c r="C56" i="10" s="1"/>
  <c r="B41" i="10"/>
  <c r="B56" i="10" s="1"/>
  <c r="E40" i="10"/>
  <c r="E39" i="10"/>
  <c r="E38" i="10"/>
  <c r="E37" i="10"/>
  <c r="E35" i="10"/>
  <c r="E34" i="10"/>
  <c r="E32" i="10"/>
  <c r="E31" i="10"/>
  <c r="E30" i="10"/>
  <c r="E29" i="10" s="1"/>
  <c r="D29" i="10"/>
  <c r="D54" i="10" s="1"/>
  <c r="C29" i="10"/>
  <c r="C54" i="10" s="1"/>
  <c r="B29" i="10"/>
  <c r="B54" i="10" s="1"/>
  <c r="E54" i="10" s="1"/>
  <c r="E28" i="10"/>
  <c r="E27" i="10"/>
  <c r="E26" i="10"/>
  <c r="E25" i="10"/>
  <c r="E22" i="10"/>
  <c r="E21" i="10"/>
  <c r="E20" i="10"/>
  <c r="E19" i="10"/>
  <c r="E17" i="10" s="1"/>
  <c r="E18" i="10"/>
  <c r="D17" i="10"/>
  <c r="C17" i="10"/>
  <c r="B17" i="10"/>
  <c r="E16" i="10"/>
  <c r="E15" i="10"/>
  <c r="E11" i="10"/>
  <c r="E10" i="10"/>
  <c r="E9" i="10"/>
  <c r="E8" i="10"/>
  <c r="E7" i="10"/>
  <c r="D6" i="10"/>
  <c r="D51" i="10" s="1"/>
  <c r="C6" i="10"/>
  <c r="C51" i="10" s="1"/>
  <c r="B6" i="10"/>
  <c r="B51" i="10" s="1"/>
  <c r="O52" i="11"/>
  <c r="P52" i="11" s="1"/>
  <c r="O51" i="11"/>
  <c r="P51" i="11" s="1"/>
  <c r="O50" i="11"/>
  <c r="O49" i="11" s="1"/>
  <c r="P49" i="11" s="1"/>
  <c r="O48" i="11"/>
  <c r="P48" i="11" s="1"/>
  <c r="O47" i="11"/>
  <c r="P47" i="11" s="1"/>
  <c r="O46" i="11"/>
  <c r="P46" i="11" s="1"/>
  <c r="O44" i="11"/>
  <c r="P44" i="11" s="1"/>
  <c r="O43" i="11"/>
  <c r="P43" i="11" s="1"/>
  <c r="O42" i="11"/>
  <c r="P42" i="11" s="1"/>
  <c r="O40" i="11"/>
  <c r="P40" i="11" s="1"/>
  <c r="O39" i="11"/>
  <c r="P39" i="11" s="1"/>
  <c r="O38" i="11"/>
  <c r="O37" i="11" s="1"/>
  <c r="P37" i="11" s="1"/>
  <c r="O36" i="11"/>
  <c r="P36" i="11" s="1"/>
  <c r="O35" i="11"/>
  <c r="P35" i="11" s="1"/>
  <c r="O34" i="11"/>
  <c r="P34" i="11" s="1"/>
  <c r="O32" i="11"/>
  <c r="P32" i="11" s="1"/>
  <c r="O31" i="11"/>
  <c r="P31" i="11" s="1"/>
  <c r="O30" i="11"/>
  <c r="O29" i="11" s="1"/>
  <c r="P29" i="11" s="1"/>
  <c r="O28" i="11"/>
  <c r="P28" i="11" s="1"/>
  <c r="O27" i="11"/>
  <c r="P27" i="11" s="1"/>
  <c r="O26" i="11"/>
  <c r="P26" i="11" s="1"/>
  <c r="O24" i="11"/>
  <c r="P24" i="11" s="1"/>
  <c r="O23" i="11"/>
  <c r="P23" i="11" s="1"/>
  <c r="O22" i="11"/>
  <c r="O21" i="11" s="1"/>
  <c r="P21" i="11" s="1"/>
  <c r="O20" i="11"/>
  <c r="P20" i="11" s="1"/>
  <c r="O19" i="11"/>
  <c r="P19" i="11" s="1"/>
  <c r="O18" i="11"/>
  <c r="P18" i="11" s="1"/>
  <c r="O16" i="11"/>
  <c r="P16" i="11" s="1"/>
  <c r="O15" i="11"/>
  <c r="P15" i="11" s="1"/>
  <c r="O14" i="11"/>
  <c r="O13" i="11" s="1"/>
  <c r="P13" i="11" s="1"/>
  <c r="O12" i="11"/>
  <c r="P12" i="11" s="1"/>
  <c r="O11" i="11"/>
  <c r="P11" i="11" s="1"/>
  <c r="O10" i="11"/>
  <c r="P10" i="11" s="1"/>
  <c r="O8" i="11"/>
  <c r="P8" i="11" s="1"/>
  <c r="O7" i="11"/>
  <c r="P7" i="11" s="1"/>
  <c r="O6" i="11"/>
  <c r="P6" i="11" s="1"/>
  <c r="O5" i="11"/>
  <c r="P5" i="11" s="1"/>
  <c r="O3" i="11"/>
  <c r="P3" i="11" s="1"/>
  <c r="O2" i="11"/>
  <c r="O53" i="11" s="1"/>
  <c r="P53" i="11" s="1"/>
  <c r="E41" i="10" l="1"/>
  <c r="E56" i="10"/>
  <c r="E6" i="10"/>
  <c r="I17" i="13"/>
  <c r="L17" i="13" s="1"/>
  <c r="N12" i="13"/>
  <c r="J17" i="13"/>
  <c r="M17" i="13" s="1"/>
  <c r="B7" i="14"/>
  <c r="J17" i="14"/>
  <c r="K6" i="14" s="1"/>
  <c r="C24" i="10" s="1"/>
  <c r="C23" i="10" s="1"/>
  <c r="C53" i="10" s="1"/>
  <c r="N13" i="13"/>
  <c r="M12" i="13"/>
  <c r="E51" i="10"/>
  <c r="O9" i="11"/>
  <c r="P9" i="11" s="1"/>
  <c r="O17" i="11"/>
  <c r="P17" i="11" s="1"/>
  <c r="O25" i="11"/>
  <c r="P25" i="11" s="1"/>
  <c r="O33" i="11"/>
  <c r="P33" i="11" s="1"/>
  <c r="O41" i="11"/>
  <c r="P41" i="11" s="1"/>
  <c r="O45" i="11"/>
  <c r="P45" i="11" s="1"/>
  <c r="N16" i="13"/>
  <c r="L12" i="13"/>
  <c r="K15" i="13"/>
  <c r="I17" i="14"/>
  <c r="K5" i="14" s="1"/>
  <c r="C14" i="10" s="1"/>
  <c r="C13" i="10" s="1"/>
  <c r="C12" i="10" s="1"/>
  <c r="C52" i="10" s="1"/>
  <c r="M17" i="14"/>
  <c r="O4" i="11"/>
  <c r="P4" i="11" s="1"/>
  <c r="P2" i="11"/>
  <c r="P22" i="11"/>
  <c r="B7" i="13"/>
  <c r="P14" i="11"/>
  <c r="P30" i="11"/>
  <c r="P38" i="11"/>
  <c r="P50" i="11"/>
  <c r="G17" i="14"/>
  <c r="I17" i="16"/>
  <c r="G17" i="16"/>
  <c r="J17" i="16"/>
  <c r="K17" i="13" l="1"/>
  <c r="N17" i="13" s="1"/>
  <c r="K5" i="13"/>
  <c r="B14" i="10" s="1"/>
  <c r="B13" i="10" s="1"/>
  <c r="B12" i="10" s="1"/>
  <c r="K6" i="13"/>
  <c r="B24" i="10" s="1"/>
  <c r="B23" i="10" s="1"/>
  <c r="B53" i="10" s="1"/>
  <c r="L17" i="14"/>
  <c r="K17" i="14"/>
  <c r="K7" i="14" s="1"/>
  <c r="C36" i="10" s="1"/>
  <c r="C33" i="10" s="1"/>
  <c r="C47" i="10" s="1"/>
  <c r="K17" i="16"/>
  <c r="K7" i="16" s="1"/>
  <c r="M17" i="16"/>
  <c r="K6" i="16"/>
  <c r="D24" i="10" s="1"/>
  <c r="N15" i="13"/>
  <c r="K5" i="16"/>
  <c r="D14" i="10" s="1"/>
  <c r="D13" i="10" s="1"/>
  <c r="D12" i="10" s="1"/>
  <c r="L17" i="16"/>
  <c r="N17" i="14" l="1"/>
  <c r="D36" i="10"/>
  <c r="D33" i="10" s="1"/>
  <c r="D55" i="10" s="1"/>
  <c r="K7" i="13"/>
  <c r="B36" i="10" s="1"/>
  <c r="B33" i="10" s="1"/>
  <c r="B55" i="10" s="1"/>
  <c r="C55" i="10"/>
  <c r="C57" i="10" s="1"/>
  <c r="C58" i="10" s="1"/>
  <c r="D23" i="10"/>
  <c r="D53" i="10" s="1"/>
  <c r="E53" i="10" s="1"/>
  <c r="E24" i="10"/>
  <c r="E23" i="10" s="1"/>
  <c r="E14" i="10"/>
  <c r="E13" i="10" s="1"/>
  <c r="E12" i="10" s="1"/>
  <c r="N17" i="16"/>
  <c r="D52" i="10"/>
  <c r="B52" i="10"/>
  <c r="E55" i="10" l="1"/>
  <c r="E36" i="10"/>
  <c r="E33" i="10" s="1"/>
  <c r="E47" i="10" s="1"/>
  <c r="D57" i="10"/>
  <c r="D58" i="10" s="1"/>
  <c r="D47" i="10"/>
  <c r="E52" i="10"/>
  <c r="B57" i="10"/>
  <c r="B58" i="10" s="1"/>
  <c r="B47" i="10"/>
  <c r="E57" i="10" l="1"/>
  <c r="F52" i="10" s="1"/>
  <c r="E58" i="10" l="1"/>
  <c r="F57" i="10"/>
  <c r="F54" i="10"/>
  <c r="F56" i="10"/>
  <c r="F51" i="10"/>
  <c r="F53" i="10"/>
  <c r="F55" i="10"/>
</calcChain>
</file>

<file path=xl/comments1.xml><?xml version="1.0" encoding="utf-8"?>
<comments xmlns="http://schemas.openxmlformats.org/spreadsheetml/2006/main">
  <authors>
    <author>be1</author>
  </authors>
  <commentList>
    <comment ref="N42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46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50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
</t>
        </r>
      </text>
    </comment>
  </commentList>
</comments>
</file>

<file path=xl/comments2.xml><?xml version="1.0" encoding="utf-8"?>
<comments xmlns="http://schemas.openxmlformats.org/spreadsheetml/2006/main">
  <authors>
    <author>陈永琴</author>
  </authors>
  <commentLis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取自客户需求说明书</t>
        </r>
      </text>
    </comment>
  </commentList>
</comments>
</file>

<file path=xl/comments3.xml><?xml version="1.0" encoding="utf-8"?>
<comments xmlns="http://schemas.openxmlformats.org/spreadsheetml/2006/main">
  <authors>
    <author>陈永琴</author>
    <author>ibm</author>
  </authors>
  <commentLis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公共用例库中：
单条删除 9
单选项 2
多选项 4
翻页功能 8
列表页面检查 16
全选功能 6
日期输入框 5
输入框查询功能 13
树形结构、多选 6
数值输入框 16
数字输入框 28
下拉框 5
下拉项查询功能 8
下拉项与输入框组合查询 4
英文字符输入框 11
中文字符输入框 13
字符输入框 24
安装卸载  51
加密用例  36</t>
        </r>
      </text>
    </comment>
    <comment ref="H10" authorId="1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keepAlive="1" name="连接" type="5" refreshedVersion="1" savePassword="1">
    <dbPr connection="Provider=MSOLAP.2;Persist Security Info=True;Data Source=10.71.153.83;Initial Catalog=ipdWorkLog;Client Cache Size=25;Auto Synch Period=10000" command="WorkLogAnalysis" commandType="1"/>
    <olapPr rowDrillCount="1000" serverFill="0" serverNumberFormat="0" serverFont="0" serverFontColor="0"/>
  </connection>
</connections>
</file>

<file path=xl/sharedStrings.xml><?xml version="1.0" encoding="utf-8"?>
<sst xmlns="http://schemas.openxmlformats.org/spreadsheetml/2006/main" count="542" uniqueCount="312">
  <si>
    <t/>
  </si>
  <si>
    <t>Total</t>
  </si>
  <si>
    <t>单元测试</t>
  </si>
  <si>
    <t>集成测试</t>
  </si>
  <si>
    <t>系统测试</t>
  </si>
  <si>
    <t>概要设计</t>
  </si>
  <si>
    <t>详细设计</t>
  </si>
  <si>
    <r>
      <t>任务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活动</t>
    </r>
  </si>
  <si>
    <t>产品ID</t>
  </si>
  <si>
    <t>产品线</t>
  </si>
  <si>
    <t>产品</t>
  </si>
  <si>
    <t>产品R级</t>
  </si>
  <si>
    <t>项目组</t>
  </si>
  <si>
    <t>模块</t>
  </si>
  <si>
    <t>活动编码</t>
  </si>
  <si>
    <t>一级类别</t>
  </si>
  <si>
    <t>二级类别</t>
  </si>
  <si>
    <t>活动名称</t>
  </si>
  <si>
    <t>工时</t>
  </si>
  <si>
    <t>软件开发类</t>
  </si>
  <si>
    <t>质量保证</t>
  </si>
  <si>
    <t>质量审计</t>
  </si>
  <si>
    <t>缺陷预防</t>
  </si>
  <si>
    <t>配置管理</t>
  </si>
  <si>
    <t>项目计划</t>
  </si>
  <si>
    <t>准备</t>
  </si>
  <si>
    <t>评审</t>
  </si>
  <si>
    <t>返工</t>
  </si>
  <si>
    <t>需求规格</t>
  </si>
  <si>
    <t>系统测试计划</t>
  </si>
  <si>
    <t>集成测试计划</t>
  </si>
  <si>
    <t>单元测试计划</t>
  </si>
  <si>
    <t>软件编码</t>
  </si>
  <si>
    <t>测试准备</t>
  </si>
  <si>
    <t>测试执行</t>
  </si>
  <si>
    <t>缺陷修改</t>
  </si>
  <si>
    <t>项目培训活动</t>
  </si>
  <si>
    <t>接受技术培训</t>
  </si>
  <si>
    <t>接受非技术培训</t>
  </si>
  <si>
    <t>准备教材/培训授课</t>
  </si>
  <si>
    <t>指导低级别工程师</t>
  </si>
  <si>
    <t>项目管理</t>
  </si>
  <si>
    <t>重估计，重计划</t>
  </si>
  <si>
    <t>度量活动</t>
  </si>
  <si>
    <t>项目会议</t>
  </si>
  <si>
    <t>沟通，跟踪与监控</t>
  </si>
  <si>
    <t>组间协调</t>
  </si>
  <si>
    <t>周边协调</t>
  </si>
  <si>
    <t>参与用户手册写作评审</t>
  </si>
  <si>
    <t>其他</t>
  </si>
  <si>
    <t>匹配结果</t>
    <phoneticPr fontId="7" type="noConversion"/>
  </si>
  <si>
    <r>
      <t>本列数据</t>
    </r>
    <r>
      <rPr>
        <sz val="12"/>
        <rFont val="Arial"/>
        <family val="2"/>
      </rPr>
      <t>copy</t>
    </r>
    <r>
      <rPr>
        <sz val="12"/>
        <rFont val="宋体"/>
        <family val="3"/>
        <charset val="134"/>
      </rPr>
      <t>到</t>
    </r>
    <r>
      <rPr>
        <sz val="12"/>
        <rFont val="Arial"/>
        <family val="2"/>
      </rPr>
      <t>effort</t>
    </r>
    <r>
      <rPr>
        <sz val="12"/>
        <rFont val="宋体"/>
        <family val="3"/>
        <charset val="134"/>
      </rPr>
      <t>表</t>
    </r>
    <phoneticPr fontId="7" type="noConversion"/>
  </si>
  <si>
    <t>EDU20120101</t>
    <phoneticPr fontId="7" type="noConversion"/>
  </si>
  <si>
    <t>教育产品线</t>
    <phoneticPr fontId="7" type="noConversion"/>
  </si>
  <si>
    <t>培训</t>
    <phoneticPr fontId="7" type="noConversion"/>
  </si>
  <si>
    <t>EDU20120102</t>
  </si>
  <si>
    <t>项目管理</t>
    <phoneticPr fontId="7" type="noConversion"/>
  </si>
  <si>
    <t>EDU20120103</t>
  </si>
  <si>
    <t>质量保证</t>
    <phoneticPr fontId="7" type="noConversion"/>
  </si>
  <si>
    <t>EDU20120104</t>
  </si>
  <si>
    <t>质量审计</t>
    <phoneticPr fontId="7" type="noConversion"/>
  </si>
  <si>
    <t>EDU20120105</t>
  </si>
  <si>
    <t>缺陷预防</t>
    <phoneticPr fontId="7" type="noConversion"/>
  </si>
  <si>
    <t>EDU20120106</t>
  </si>
  <si>
    <t>配置管理</t>
    <phoneticPr fontId="7" type="noConversion"/>
  </si>
  <si>
    <t>EDU20120107</t>
  </si>
  <si>
    <t>组间协调</t>
    <phoneticPr fontId="7" type="noConversion"/>
  </si>
  <si>
    <t>EDU20120108</t>
  </si>
  <si>
    <t>项目计划</t>
    <phoneticPr fontId="7" type="noConversion"/>
  </si>
  <si>
    <t>EDU20120109</t>
  </si>
  <si>
    <t>计划文档准备</t>
    <phoneticPr fontId="7" type="noConversion"/>
  </si>
  <si>
    <t>EDU20120110</t>
  </si>
  <si>
    <t>计划文档</t>
    <phoneticPr fontId="7" type="noConversion"/>
  </si>
  <si>
    <t>EDU20120111</t>
  </si>
  <si>
    <t>计划文档修改</t>
    <phoneticPr fontId="7" type="noConversion"/>
  </si>
  <si>
    <t>EDU20120112</t>
  </si>
  <si>
    <t>软件需求</t>
    <phoneticPr fontId="7" type="noConversion"/>
  </si>
  <si>
    <t>EDU20120113</t>
  </si>
  <si>
    <t>软件需求文档准备</t>
    <phoneticPr fontId="7" type="noConversion"/>
  </si>
  <si>
    <t>EDU20120114</t>
  </si>
  <si>
    <t>软件需求文档审核</t>
    <phoneticPr fontId="7" type="noConversion"/>
  </si>
  <si>
    <t>EDU20120115</t>
  </si>
  <si>
    <t>软件需求文档修改</t>
    <phoneticPr fontId="7" type="noConversion"/>
  </si>
  <si>
    <t>EDU20120116</t>
  </si>
  <si>
    <t>系统测试计划</t>
    <phoneticPr fontId="7" type="noConversion"/>
  </si>
  <si>
    <t>EDU20120117</t>
  </si>
  <si>
    <t>准备系统测试计划</t>
    <phoneticPr fontId="7" type="noConversion"/>
  </si>
  <si>
    <t>EDU20120118</t>
  </si>
  <si>
    <t>系统测试计划审核</t>
    <phoneticPr fontId="7" type="noConversion"/>
  </si>
  <si>
    <t>EDU20120119</t>
  </si>
  <si>
    <t>系统测试计划修改</t>
    <phoneticPr fontId="7" type="noConversion"/>
  </si>
  <si>
    <t>EDU20120120</t>
  </si>
  <si>
    <t>概要设计</t>
    <phoneticPr fontId="7" type="noConversion"/>
  </si>
  <si>
    <t>EDU20120121</t>
  </si>
  <si>
    <t>概要设计文档准备</t>
    <phoneticPr fontId="7" type="noConversion"/>
  </si>
  <si>
    <t>EDU20120122</t>
  </si>
  <si>
    <t>概要设计审核</t>
    <phoneticPr fontId="7" type="noConversion"/>
  </si>
  <si>
    <t>EDU20120123</t>
  </si>
  <si>
    <t>概要设计修改</t>
    <phoneticPr fontId="7" type="noConversion"/>
  </si>
  <si>
    <t>EDU20120124</t>
  </si>
  <si>
    <t>集成测试计划</t>
    <phoneticPr fontId="7" type="noConversion"/>
  </si>
  <si>
    <t>EDU20120125</t>
  </si>
  <si>
    <t>集成测试计划准备</t>
    <phoneticPr fontId="7" type="noConversion"/>
  </si>
  <si>
    <t>EDU20120126</t>
  </si>
  <si>
    <t>集成测试计划审核</t>
    <phoneticPr fontId="7" type="noConversion"/>
  </si>
  <si>
    <t>EDU20120127</t>
  </si>
  <si>
    <t>集成测试计划修改</t>
    <phoneticPr fontId="7" type="noConversion"/>
  </si>
  <si>
    <t>FIN20120101</t>
    <phoneticPr fontId="7" type="noConversion"/>
  </si>
  <si>
    <t>金融产品线</t>
    <phoneticPr fontId="7" type="noConversion"/>
  </si>
  <si>
    <t>详细设计</t>
    <phoneticPr fontId="7" type="noConversion"/>
  </si>
  <si>
    <t>FIN20120102</t>
  </si>
  <si>
    <t>详细设计文档准备</t>
    <phoneticPr fontId="7" type="noConversion"/>
  </si>
  <si>
    <t>FIN20120103</t>
  </si>
  <si>
    <t>详细设计审核</t>
    <phoneticPr fontId="7" type="noConversion"/>
  </si>
  <si>
    <t>FIN20120104</t>
  </si>
  <si>
    <t>详细设计修改</t>
    <phoneticPr fontId="7" type="noConversion"/>
  </si>
  <si>
    <t>FIN20120105</t>
  </si>
  <si>
    <t>单元测试计划</t>
    <phoneticPr fontId="7" type="noConversion"/>
  </si>
  <si>
    <t>FIN20120106</t>
  </si>
  <si>
    <t>单元测试计划准备</t>
    <phoneticPr fontId="7" type="noConversion"/>
  </si>
  <si>
    <t>FIN20120107</t>
  </si>
  <si>
    <t>单元测试计划审核</t>
    <phoneticPr fontId="7" type="noConversion"/>
  </si>
  <si>
    <t>FIN20120108</t>
  </si>
  <si>
    <t>单元测试计划修改</t>
    <phoneticPr fontId="7" type="noConversion"/>
  </si>
  <si>
    <t>FIN20120109</t>
  </si>
  <si>
    <t>编码</t>
    <phoneticPr fontId="7" type="noConversion"/>
  </si>
  <si>
    <t>FIN20120110</t>
  </si>
  <si>
    <r>
      <rPr>
        <sz val="10"/>
        <rFont val="宋体"/>
        <family val="3"/>
        <charset val="134"/>
      </rPr>
      <t>编码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含编译和</t>
    </r>
    <r>
      <rPr>
        <sz val="10"/>
        <rFont val="Times New Roman"/>
        <family val="1"/>
      </rPr>
      <t>PCLINT</t>
    </r>
    <r>
      <rPr>
        <sz val="10"/>
        <rFont val="宋体"/>
        <family val="3"/>
        <charset val="134"/>
      </rPr>
      <t>）</t>
    </r>
    <phoneticPr fontId="7" type="noConversion"/>
  </si>
  <si>
    <t>FIN20120111</t>
  </si>
  <si>
    <t>代码审核</t>
    <phoneticPr fontId="7" type="noConversion"/>
  </si>
  <si>
    <t>FIN20120112</t>
  </si>
  <si>
    <t>代码修改</t>
    <phoneticPr fontId="7" type="noConversion"/>
  </si>
  <si>
    <t>FIN20120113</t>
  </si>
  <si>
    <t>单元测试</t>
    <phoneticPr fontId="7" type="noConversion"/>
  </si>
  <si>
    <t>FIN20120114</t>
  </si>
  <si>
    <t>测试准备</t>
    <phoneticPr fontId="7" type="noConversion"/>
  </si>
  <si>
    <t>FIN20120115</t>
  </si>
  <si>
    <t>单元测试执行</t>
    <phoneticPr fontId="7" type="noConversion"/>
  </si>
  <si>
    <t>FIN20120116</t>
  </si>
  <si>
    <t>缺陷修改</t>
    <phoneticPr fontId="7" type="noConversion"/>
  </si>
  <si>
    <t>FIN20120117</t>
  </si>
  <si>
    <t>集成测试</t>
    <phoneticPr fontId="7" type="noConversion"/>
  </si>
  <si>
    <t>FIN20120118</t>
  </si>
  <si>
    <t>FIN20120119</t>
  </si>
  <si>
    <t>集成测试执行</t>
    <phoneticPr fontId="7" type="noConversion"/>
  </si>
  <si>
    <t>FIN20120120</t>
  </si>
  <si>
    <t>系统测试</t>
    <phoneticPr fontId="7" type="noConversion"/>
  </si>
  <si>
    <r>
      <t xml:space="preserve"> </t>
    </r>
    <r>
      <rPr>
        <sz val="10"/>
        <rFont val="宋体"/>
        <family val="3"/>
        <charset val="134"/>
      </rPr>
      <t>测试准备</t>
    </r>
    <phoneticPr fontId="7" type="noConversion"/>
  </si>
  <si>
    <t>系统测试执行</t>
    <phoneticPr fontId="7" type="noConversion"/>
  </si>
  <si>
    <r>
      <rPr>
        <sz val="11"/>
        <rFont val="宋体"/>
        <family val="3"/>
        <charset val="134"/>
      </rPr>
      <t>密级</t>
    </r>
    <r>
      <rPr>
        <sz val="11"/>
        <rFont val="Times New Roman"/>
        <family val="1"/>
      </rPr>
      <t xml:space="preserve">: </t>
    </r>
    <r>
      <rPr>
        <i/>
        <sz val="11"/>
        <color indexed="48"/>
        <rFont val="Times New Roman"/>
        <family val="1"/>
      </rPr>
      <t>(</t>
    </r>
    <r>
      <rPr>
        <i/>
        <sz val="11"/>
        <color indexed="48"/>
        <rFont val="宋体"/>
        <family val="3"/>
        <charset val="134"/>
      </rPr>
      <t>秘密</t>
    </r>
    <r>
      <rPr>
        <i/>
        <sz val="11"/>
        <color indexed="48"/>
        <rFont val="Times New Roman"/>
        <family val="1"/>
      </rPr>
      <t>)</t>
    </r>
    <phoneticPr fontId="7" type="noConversion"/>
  </si>
  <si>
    <t>项目名称</t>
    <phoneticPr fontId="7" type="noConversion"/>
  </si>
  <si>
    <t>项目经理</t>
    <phoneticPr fontId="7" type="noConversion"/>
  </si>
  <si>
    <t>产品经理</t>
    <phoneticPr fontId="7" type="noConversion"/>
  </si>
  <si>
    <t>项目基本信息</t>
    <phoneticPr fontId="7" type="noConversion"/>
  </si>
  <si>
    <t>项目描述</t>
    <phoneticPr fontId="7" type="noConversion"/>
  </si>
  <si>
    <t>质量保证工程师</t>
    <phoneticPr fontId="7" type="noConversion"/>
  </si>
  <si>
    <t>测试项目经理</t>
    <phoneticPr fontId="7" type="noConversion"/>
  </si>
  <si>
    <t>测试执行</t>
    <phoneticPr fontId="7" type="noConversion"/>
  </si>
  <si>
    <t>测试评估与总结</t>
    <phoneticPr fontId="7" type="noConversion"/>
  </si>
  <si>
    <t>测试用例设计</t>
    <phoneticPr fontId="7" type="noConversion"/>
  </si>
  <si>
    <t>前期参与</t>
    <phoneticPr fontId="7" type="noConversion"/>
  </si>
  <si>
    <t>配置管理员</t>
    <phoneticPr fontId="7" type="noConversion"/>
  </si>
  <si>
    <t>测试团队总人数（生命周期峰值）</t>
    <phoneticPr fontId="7" type="noConversion"/>
  </si>
  <si>
    <t>开发语言</t>
    <phoneticPr fontId="7" type="noConversion"/>
  </si>
  <si>
    <t>估计3</t>
    <phoneticPr fontId="7" type="noConversion"/>
  </si>
  <si>
    <t>估计时间</t>
    <phoneticPr fontId="7" type="noConversion"/>
  </si>
  <si>
    <t>估计方法</t>
    <phoneticPr fontId="7" type="noConversion"/>
  </si>
  <si>
    <t>占测试工作量比例</t>
    <phoneticPr fontId="7" type="noConversion"/>
  </si>
  <si>
    <t>经验估计法</t>
  </si>
  <si>
    <t>按活动/阶段</t>
    <phoneticPr fontId="7" type="noConversion"/>
  </si>
  <si>
    <t>测试需求分析与计划</t>
    <phoneticPr fontId="7" type="noConversion"/>
  </si>
  <si>
    <t>总时数</t>
    <phoneticPr fontId="7" type="noConversion"/>
  </si>
  <si>
    <t>测试项目工作量预估表单</t>
    <phoneticPr fontId="7" type="noConversion"/>
  </si>
  <si>
    <t>预估汇总表单</t>
    <phoneticPr fontId="7" type="noConversion"/>
  </si>
  <si>
    <r>
      <rPr>
        <i/>
        <sz val="9"/>
        <color indexed="10"/>
        <rFont val="宋体"/>
        <family val="3"/>
        <charset val="134"/>
      </rPr>
      <t>仅在黄色区域</t>
    </r>
    <r>
      <rPr>
        <i/>
        <sz val="9"/>
        <color indexed="10"/>
        <rFont val="Times New Roman"/>
        <family val="1"/>
      </rPr>
      <t>/</t>
    </r>
    <r>
      <rPr>
        <i/>
        <sz val="9"/>
        <color indexed="10"/>
        <rFont val="宋体"/>
        <family val="3"/>
        <charset val="134"/>
      </rPr>
      <t>单元填写数据或文本</t>
    </r>
    <phoneticPr fontId="7" type="noConversion"/>
  </si>
  <si>
    <t>估计方法</t>
    <phoneticPr fontId="7" type="noConversion"/>
  </si>
  <si>
    <t>估计日期</t>
    <phoneticPr fontId="7" type="noConversion"/>
  </si>
  <si>
    <t>规模统计</t>
    <phoneticPr fontId="7" type="noConversion"/>
  </si>
  <si>
    <t>分析复杂系数</t>
    <phoneticPr fontId="7" type="noConversion"/>
  </si>
  <si>
    <t>需求分析工作量(人时)</t>
    <phoneticPr fontId="7" type="noConversion"/>
  </si>
  <si>
    <t>设计效率(用例个数/人时)</t>
    <phoneticPr fontId="7" type="noConversion"/>
  </si>
  <si>
    <t>设计复杂系数</t>
    <phoneticPr fontId="7" type="noConversion"/>
  </si>
  <si>
    <t>用例设计工作量(人时)</t>
    <phoneticPr fontId="7" type="noConversion"/>
  </si>
  <si>
    <t>执行效率(用例个数/人时)</t>
    <phoneticPr fontId="7" type="noConversion"/>
  </si>
  <si>
    <t>执行复杂系数</t>
    <phoneticPr fontId="7" type="noConversion"/>
  </si>
  <si>
    <t>用例执行工作量(人时)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</si>
  <si>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</si>
  <si>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</si>
  <si>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</si>
  <si>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</si>
  <si>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</si>
  <si>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任务难度系数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</si>
  <si>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</si>
  <si>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</si>
  <si>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</si>
  <si>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</si>
  <si>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预估表单3</t>
    <phoneticPr fontId="7" type="noConversion"/>
  </si>
  <si>
    <t>估计专家</t>
    <phoneticPr fontId="7" type="noConversion"/>
  </si>
  <si>
    <t>预估1</t>
    <phoneticPr fontId="7" type="noConversion"/>
  </si>
  <si>
    <t>预估2</t>
    <phoneticPr fontId="7" type="noConversion"/>
  </si>
  <si>
    <t>估计成员</t>
    <phoneticPr fontId="7" type="noConversion"/>
  </si>
  <si>
    <t>平均</t>
    <phoneticPr fontId="7" type="noConversion"/>
  </si>
  <si>
    <t>预估表单1</t>
    <phoneticPr fontId="7" type="noConversion"/>
  </si>
  <si>
    <t>估计方法</t>
    <phoneticPr fontId="7" type="noConversion"/>
  </si>
  <si>
    <t>估计日期</t>
    <phoneticPr fontId="7" type="noConversion"/>
  </si>
  <si>
    <t>估计专家</t>
    <phoneticPr fontId="7" type="noConversion"/>
  </si>
  <si>
    <t>规模统计</t>
    <phoneticPr fontId="7" type="noConversion"/>
  </si>
  <si>
    <t>测试规格总数</t>
    <phoneticPr fontId="7" type="noConversion"/>
  </si>
  <si>
    <t>用例规模总数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</si>
  <si>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</si>
  <si>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</si>
  <si>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</si>
  <si>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</si>
  <si>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</si>
  <si>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</si>
  <si>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</si>
  <si>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</si>
  <si>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</si>
  <si>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UI界面测试</t>
    <phoneticPr fontId="7" type="noConversion"/>
  </si>
  <si>
    <t>估计测试需求数</t>
    <phoneticPr fontId="7" type="noConversion"/>
  </si>
  <si>
    <t>汇总（人时）</t>
    <phoneticPr fontId="7" type="noConversion"/>
  </si>
  <si>
    <t>汇总（人天）</t>
    <phoneticPr fontId="7" type="noConversion"/>
  </si>
  <si>
    <t>备注</t>
    <phoneticPr fontId="7" type="noConversion"/>
  </si>
  <si>
    <t>估计1</t>
    <phoneticPr fontId="7" type="noConversion"/>
  </si>
  <si>
    <t>估计2</t>
    <phoneticPr fontId="7" type="noConversion"/>
  </si>
  <si>
    <t>估计编写用例数</t>
    <phoneticPr fontId="7" type="noConversion"/>
  </si>
  <si>
    <t>测试需求总数</t>
    <phoneticPr fontId="7" type="noConversion"/>
  </si>
  <si>
    <t>测试用例总数</t>
    <phoneticPr fontId="7" type="noConversion"/>
  </si>
  <si>
    <t>测试需求总数</t>
    <phoneticPr fontId="7" type="noConversion"/>
  </si>
  <si>
    <t>测试用例总数</t>
    <phoneticPr fontId="7" type="noConversion"/>
  </si>
  <si>
    <t>执行用例总数</t>
    <phoneticPr fontId="7" type="noConversion"/>
  </si>
  <si>
    <t>预估表单2</t>
    <phoneticPr fontId="7" type="noConversion"/>
  </si>
  <si>
    <t>估算假设需要执行的用例数</t>
    <phoneticPr fontId="7" type="noConversion"/>
  </si>
  <si>
    <t>前期参与</t>
    <phoneticPr fontId="7" type="noConversion"/>
  </si>
  <si>
    <t>测试需求分析与计划</t>
    <phoneticPr fontId="7" type="noConversion"/>
  </si>
  <si>
    <t>测试用例设计</t>
    <phoneticPr fontId="7" type="noConversion"/>
  </si>
  <si>
    <t>UI界面测试</t>
    <phoneticPr fontId="7" type="noConversion"/>
  </si>
  <si>
    <t>测试执行</t>
    <phoneticPr fontId="7" type="noConversion"/>
  </si>
  <si>
    <t>测试评估与总结</t>
    <phoneticPr fontId="7" type="noConversion"/>
  </si>
  <si>
    <t xml:space="preserve"> 测试需求分析</t>
    <phoneticPr fontId="7" type="noConversion"/>
  </si>
  <si>
    <t xml:space="preserve">  初稿</t>
    <phoneticPr fontId="7" type="noConversion"/>
  </si>
  <si>
    <t xml:space="preserve">  评审</t>
    <phoneticPr fontId="7" type="noConversion"/>
  </si>
  <si>
    <t xml:space="preserve">  修改</t>
    <phoneticPr fontId="7" type="noConversion"/>
  </si>
  <si>
    <t xml:space="preserve"> 系统测试计划</t>
    <phoneticPr fontId="7" type="noConversion"/>
  </si>
  <si>
    <t xml:space="preserve">  初稿</t>
    <phoneticPr fontId="7" type="noConversion"/>
  </si>
  <si>
    <t xml:space="preserve">  修改</t>
    <phoneticPr fontId="7" type="noConversion"/>
  </si>
  <si>
    <t xml:space="preserve"> 沟通协调</t>
    <phoneticPr fontId="7" type="noConversion"/>
  </si>
  <si>
    <t xml:space="preserve"> 项目管理</t>
    <phoneticPr fontId="7" type="noConversion"/>
  </si>
  <si>
    <t xml:space="preserve"> 熟悉需求</t>
    <phoneticPr fontId="7" type="noConversion"/>
  </si>
  <si>
    <t xml:space="preserve"> 需求评审</t>
    <phoneticPr fontId="7" type="noConversion"/>
  </si>
  <si>
    <t xml:space="preserve"> 参与项目估计与WBS计划制定</t>
    <phoneticPr fontId="7" type="noConversion"/>
  </si>
  <si>
    <t xml:space="preserve"> 培训</t>
    <phoneticPr fontId="7" type="noConversion"/>
  </si>
  <si>
    <t xml:space="preserve"> 初稿</t>
    <phoneticPr fontId="7" type="noConversion"/>
  </si>
  <si>
    <t xml:space="preserve"> 评审</t>
    <phoneticPr fontId="7" type="noConversion"/>
  </si>
  <si>
    <t xml:space="preserve"> 修改</t>
    <phoneticPr fontId="7" type="noConversion"/>
  </si>
  <si>
    <t xml:space="preserve"> 测试执行</t>
    <phoneticPr fontId="7" type="noConversion"/>
  </si>
  <si>
    <t xml:space="preserve"> 准入测试（预估轮次所有准入）</t>
    <phoneticPr fontId="7" type="noConversion"/>
  </si>
  <si>
    <t xml:space="preserve"> 功能测试执行</t>
    <phoneticPr fontId="7" type="noConversion"/>
  </si>
  <si>
    <t xml:space="preserve"> 性能测试脚本录制及执行</t>
    <phoneticPr fontId="7" type="noConversion"/>
  </si>
  <si>
    <t xml:space="preserve"> BUG回归验证</t>
    <phoneticPr fontId="7" type="noConversion"/>
  </si>
  <si>
    <t xml:space="preserve"> 编写测试报告</t>
    <phoneticPr fontId="7" type="noConversion"/>
  </si>
  <si>
    <t xml:space="preserve"> 修改</t>
    <phoneticPr fontId="7" type="noConversion"/>
  </si>
  <si>
    <t xml:space="preserve"> 测试总结</t>
    <phoneticPr fontId="7" type="noConversion"/>
  </si>
  <si>
    <t>估算假设需要执行的用例数</t>
    <phoneticPr fontId="7" type="noConversion"/>
  </si>
  <si>
    <t>分析效率(分析数/人时)</t>
    <phoneticPr fontId="7" type="noConversion"/>
  </si>
  <si>
    <t>用例执行效率</t>
    <phoneticPr fontId="7" type="noConversion"/>
  </si>
  <si>
    <t>用例编写效率</t>
    <phoneticPr fontId="7" type="noConversion"/>
  </si>
  <si>
    <t>需求分析效率</t>
    <phoneticPr fontId="7" type="noConversion"/>
  </si>
  <si>
    <t>需求分析效率（条/人天）</t>
    <phoneticPr fontId="7" type="noConversion"/>
  </si>
  <si>
    <t>用例编写效率（条/人天）</t>
    <phoneticPr fontId="7" type="noConversion"/>
  </si>
  <si>
    <t>用例执行效率（条/人天）</t>
    <phoneticPr fontId="7" type="noConversion"/>
  </si>
  <si>
    <t>项目规模</t>
    <phoneticPr fontId="7" type="noConversion"/>
  </si>
  <si>
    <t>所属开发中心</t>
    <phoneticPr fontId="7" type="noConversion"/>
  </si>
  <si>
    <t>国际商务公司模拟实训平台 V1.2</t>
    <phoneticPr fontId="7" type="noConversion"/>
  </si>
  <si>
    <t>微型</t>
  </si>
  <si>
    <t>升级项目</t>
  </si>
  <si>
    <t>实训</t>
  </si>
  <si>
    <t>王远见</t>
    <phoneticPr fontId="7" type="noConversion"/>
  </si>
  <si>
    <t>田茂川</t>
    <phoneticPr fontId="7" type="noConversion"/>
  </si>
  <si>
    <t>唐倩</t>
    <phoneticPr fontId="7" type="noConversion"/>
  </si>
  <si>
    <t>吴子文</t>
    <phoneticPr fontId="7" type="noConversion"/>
  </si>
  <si>
    <r>
      <t>3</t>
    </r>
    <r>
      <rPr>
        <sz val="10"/>
        <rFont val="宋体"/>
        <family val="3"/>
        <charset val="134"/>
      </rPr>
      <t>人</t>
    </r>
    <phoneticPr fontId="7" type="noConversion"/>
  </si>
  <si>
    <t>C#</t>
    <phoneticPr fontId="7" type="noConversion"/>
  </si>
  <si>
    <t>使用平台和数据库</t>
    <phoneticPr fontId="7" type="noConversion"/>
  </si>
  <si>
    <r>
      <t>.net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sqlserver2008</t>
    </r>
    <phoneticPr fontId="7" type="noConversion"/>
  </si>
  <si>
    <t>吴沂迅</t>
    <phoneticPr fontId="7" type="noConversion"/>
  </si>
  <si>
    <t>项目类型</t>
    <phoneticPr fontId="7" type="noConversion"/>
  </si>
  <si>
    <t>合同型</t>
  </si>
  <si>
    <t>产品类型</t>
    <phoneticPr fontId="7" type="noConversion"/>
  </si>
  <si>
    <t>本产品为上海市区重点职业高中定制产品，本产品的开发起因是基于一套公司模拟课程进行配套开发（课程也为我公司开发），主要目的是在教学中，让学生能够更好的体验和理解企业业务，在实训过程中，将知识和业务结合，从而提高实训教学效果。配套课程实现线上线下、以典型企业工作任务为驱动，方便课程的组织和管理，除此之外，我们的开发设计还包括了邮件系统和帮助系统（用于绑定课程资源）等功能模块，实现实训过程的丰富多样性，从业务仿真操作和教学辅助等角度丰富产品功能，以从多个角度满足用户的要求。</t>
    <phoneticPr fontId="7" type="noConversion"/>
  </si>
  <si>
    <t>产品业绩（万）</t>
    <phoneticPr fontId="7" type="noConversion"/>
  </si>
  <si>
    <t xml:space="preserve"> 测试环境准备(功能、性能环境)</t>
    <phoneticPr fontId="7" type="noConversion"/>
  </si>
  <si>
    <t>黄琪</t>
    <phoneticPr fontId="7" type="noConversion"/>
  </si>
  <si>
    <t>商业银行：银行柜面子系统弹窗修改</t>
    <phoneticPr fontId="7" type="noConversion"/>
  </si>
  <si>
    <t>商业银行：银行柜面子系统细节优化汇总</t>
    <phoneticPr fontId="7" type="noConversion"/>
  </si>
  <si>
    <t>商业银行：四个子系统--进入练习/进入考核保留成绩</t>
    <phoneticPr fontId="7" type="noConversion"/>
  </si>
  <si>
    <t>考核成绩保留：20
练习成绩保留：20</t>
    <phoneticPr fontId="7" type="noConversion"/>
  </si>
  <si>
    <t>商业银行：国际业务-查询按钮添加</t>
    <phoneticPr fontId="7" type="noConversion"/>
  </si>
  <si>
    <t>刘燕燕</t>
    <phoneticPr fontId="7" type="noConversion"/>
  </si>
  <si>
    <t>房雷</t>
    <phoneticPr fontId="7" type="noConversion"/>
  </si>
  <si>
    <t>黄琪、刘燕燕、房雷</t>
    <phoneticPr fontId="7" type="noConversion"/>
  </si>
  <si>
    <t>案例面板优化（3个系统各检查两个角色两个入口）：3*3=9
信贷业务--客户管理：2
三级菜单按钮加宽（三个系统）：3
信息输入框编辑要求优化（两个系统）：2*2=4
支付结算--票据查询：7
国际业务--托收--跟单托收--跟单托收申请：2
银行柜面--客户信息--客户账户信息查询：3</t>
    <phoneticPr fontId="7" type="noConversion"/>
  </si>
  <si>
    <t>搜索页面：76*2=152
搜索功能（复用公共用例字符输入框（10条））：10</t>
    <phoneticPr fontId="7" type="noConversion"/>
  </si>
  <si>
    <t>弹窗数据检查（约105个业务）：5*102=510
凭证预览+数据检查（约151个凭证）：2*151=302
凭证打印+数据检查（约151个凭证）：2*151=302</t>
    <phoneticPr fontId="7" type="noConversion"/>
  </si>
  <si>
    <t>平台:教师端-成绩管理--查看成绩响应时间优化</t>
    <phoneticPr fontId="7" type="noConversion"/>
  </si>
  <si>
    <t>查询考试成绩：3</t>
    <phoneticPr fontId="7" type="noConversion"/>
  </si>
  <si>
    <t>浏览器兼容性（chrom、IE11）
分辨率1280*800、1366*768、1440*900、1920*1080分辨率</t>
    <phoneticPr fontId="7" type="noConversion"/>
  </si>
  <si>
    <r>
      <t>1</t>
    </r>
    <r>
      <rPr>
        <sz val="10"/>
        <color indexed="28"/>
        <rFont val="宋体"/>
        <family val="3"/>
        <charset val="134"/>
      </rPr>
      <t>款浏览器（去掉功能测试时占用的一种浏览器），测试浏览器时同时也覆盖到</t>
    </r>
    <r>
      <rPr>
        <sz val="10"/>
        <color indexed="28"/>
        <rFont val="Times New Roman"/>
        <family val="1"/>
      </rPr>
      <t>2</t>
    </r>
    <r>
      <rPr>
        <sz val="10"/>
        <color indexed="28"/>
        <rFont val="宋体"/>
        <family val="3"/>
        <charset val="134"/>
      </rPr>
      <t>种分辨率，主流程用例约</t>
    </r>
    <r>
      <rPr>
        <sz val="10"/>
        <color indexed="28"/>
        <rFont val="Times New Roman"/>
        <family val="1"/>
      </rPr>
      <t>3*1352</t>
    </r>
    <phoneticPr fontId="7" type="noConversion"/>
  </si>
  <si>
    <t>弹窗数据检查（约105个业务）：5*102=510
凭证预览+数据检查（约151个凭证）：2*151=302
凭证打印+数据检查（约151个凭证）：2*151=302</t>
    <phoneticPr fontId="7" type="noConversion"/>
  </si>
  <si>
    <t>商业银行：银行柜面子系统细节优化汇总</t>
    <phoneticPr fontId="7" type="noConversion"/>
  </si>
  <si>
    <t>搜索页面：76*2=152
搜索功能（复用公共用例字符输入框（10条））：10</t>
    <phoneticPr fontId="7" type="noConversion"/>
  </si>
  <si>
    <t>浏览器兼容性（chrom、IE11）
分辨率1280*800、1366*768、1440*900、1920*1080分辨率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</si>
</sst>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"/>
    <numFmt numFmtId="177" formatCode="0.0;[Red]\-0.0"/>
    <numFmt numFmtId="178" formatCode="0.0_);[Red]\(0.0\)"/>
    <numFmt numFmtId="179" formatCode="0.00_);[Red]\(0.00\)"/>
  </numFmts>
  <fonts count="36">
    <font>
      <sz val="12"/>
      <name val="Arial"/>
      <family val="2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11"/>
      <color indexed="48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i/>
      <sz val="11"/>
      <color indexed="48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4"/>
      <name val="宋体"/>
      <family val="3"/>
      <charset val="134"/>
    </font>
    <font>
      <sz val="10"/>
      <color indexed="28"/>
      <name val="Times New Roman"/>
      <family val="1"/>
    </font>
    <font>
      <b/>
      <sz val="10"/>
      <color indexed="28"/>
      <name val="Times New Roman"/>
      <family val="1"/>
    </font>
    <font>
      <sz val="12"/>
      <name val="宋体"/>
      <family val="3"/>
      <charset val="134"/>
    </font>
    <font>
      <sz val="10"/>
      <color indexed="28"/>
      <name val="Arial"/>
      <family val="2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i/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i/>
      <sz val="9"/>
      <color indexed="10"/>
      <name val="Times New Roman"/>
      <family val="1"/>
    </font>
    <font>
      <i/>
      <sz val="9"/>
      <color indexed="10"/>
      <name val="宋体"/>
      <family val="3"/>
      <charset val="134"/>
    </font>
    <font>
      <sz val="10"/>
      <color indexed="28"/>
      <name val="宋体"/>
      <family val="3"/>
      <charset val="134"/>
    </font>
    <font>
      <sz val="10"/>
      <color indexed="28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6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124">
    <xf numFmtId="0" fontId="0" fillId="0" borderId="0" xfId="0"/>
    <xf numFmtId="0" fontId="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5" fillId="0" borderId="3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 wrapText="1"/>
    </xf>
    <xf numFmtId="0" fontId="6" fillId="2" borderId="2" xfId="0" applyNumberFormat="1" applyFont="1" applyFill="1" applyBorder="1" applyAlignment="1">
      <alignment horizontal="left" wrapText="1"/>
    </xf>
    <xf numFmtId="0" fontId="5" fillId="3" borderId="2" xfId="0" applyNumberFormat="1" applyFont="1" applyFill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21" fillId="0" borderId="0" xfId="0" applyNumberFormat="1" applyFont="1" applyAlignment="1">
      <alignment horizontal="left"/>
    </xf>
    <xf numFmtId="0" fontId="21" fillId="2" borderId="4" xfId="0" applyNumberFormat="1" applyFont="1" applyFill="1" applyBorder="1" applyAlignment="1">
      <alignment horizontal="left" vertical="center"/>
    </xf>
    <xf numFmtId="177" fontId="20" fillId="5" borderId="4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Protection="1">
      <protection hidden="1"/>
    </xf>
    <xf numFmtId="0" fontId="0" fillId="0" borderId="8" xfId="0" applyBorder="1"/>
    <xf numFmtId="178" fontId="26" fillId="5" borderId="8" xfId="0" applyNumberFormat="1" applyFont="1" applyFill="1" applyBorder="1" applyAlignment="1">
      <alignment horizontal="center"/>
    </xf>
    <xf numFmtId="0" fontId="0" fillId="0" borderId="0" xfId="0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0" borderId="0" xfId="0" applyFill="1" applyProtection="1"/>
    <xf numFmtId="0" fontId="0" fillId="0" borderId="0" xfId="0" applyFill="1" applyBorder="1"/>
    <xf numFmtId="0" fontId="0" fillId="0" borderId="0" xfId="0" applyFill="1"/>
    <xf numFmtId="0" fontId="6" fillId="2" borderId="2" xfId="0" applyNumberFormat="1" applyFont="1" applyFill="1" applyBorder="1" applyAlignment="1">
      <alignment horizontal="left"/>
    </xf>
    <xf numFmtId="0" fontId="9" fillId="2" borderId="4" xfId="0" applyNumberFormat="1" applyFont="1" applyFill="1" applyBorder="1" applyAlignment="1">
      <alignment horizontal="left" vertical="center"/>
    </xf>
    <xf numFmtId="0" fontId="6" fillId="2" borderId="4" xfId="0" applyNumberFormat="1" applyFont="1" applyFill="1" applyBorder="1" applyAlignment="1">
      <alignment horizontal="left" vertical="center"/>
    </xf>
    <xf numFmtId="0" fontId="1" fillId="0" borderId="0" xfId="0" applyFont="1" applyBorder="1"/>
    <xf numFmtId="0" fontId="1" fillId="0" borderId="0" xfId="0" applyFont="1"/>
    <xf numFmtId="0" fontId="6" fillId="0" borderId="0" xfId="1" applyFont="1" applyAlignment="1">
      <alignment vertical="center" wrapText="1"/>
    </xf>
    <xf numFmtId="0" fontId="29" fillId="2" borderId="2" xfId="0" applyNumberFormat="1" applyFont="1" applyFill="1" applyBorder="1" applyAlignment="1">
      <alignment horizontal="left"/>
    </xf>
    <xf numFmtId="0" fontId="6" fillId="2" borderId="13" xfId="0" applyNumberFormat="1" applyFont="1" applyFill="1" applyBorder="1" applyAlignment="1">
      <alignment horizontal="left"/>
    </xf>
    <xf numFmtId="0" fontId="23" fillId="3" borderId="1" xfId="0" applyNumberFormat="1" applyFont="1" applyFill="1" applyBorder="1" applyAlignment="1" applyProtection="1">
      <alignment horizontal="center"/>
      <protection locked="0"/>
    </xf>
    <xf numFmtId="178" fontId="23" fillId="5" borderId="1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vertical="center" wrapText="1"/>
      <protection hidden="1"/>
    </xf>
    <xf numFmtId="0" fontId="9" fillId="4" borderId="6" xfId="0" applyFont="1" applyFill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6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wrapText="1"/>
      <protection hidden="1"/>
    </xf>
    <xf numFmtId="0" fontId="30" fillId="0" borderId="0" xfId="0" applyFont="1" applyProtection="1">
      <protection hidden="1"/>
    </xf>
    <xf numFmtId="0" fontId="6" fillId="0" borderId="0" xfId="0" applyFont="1" applyAlignment="1" applyProtection="1">
      <alignment wrapText="1"/>
      <protection hidden="1"/>
    </xf>
    <xf numFmtId="0" fontId="24" fillId="5" borderId="6" xfId="0" applyNumberFormat="1" applyFont="1" applyFill="1" applyBorder="1" applyAlignment="1" applyProtection="1">
      <alignment horizontal="center"/>
      <protection hidden="1"/>
    </xf>
    <xf numFmtId="179" fontId="24" fillId="5" borderId="6" xfId="0" applyNumberFormat="1" applyFont="1" applyFill="1" applyBorder="1" applyAlignment="1" applyProtection="1">
      <alignment horizontal="center"/>
      <protection hidden="1"/>
    </xf>
    <xf numFmtId="14" fontId="23" fillId="3" borderId="6" xfId="0" applyNumberFormat="1" applyFont="1" applyFill="1" applyBorder="1" applyAlignment="1" applyProtection="1">
      <alignment horizontal="center"/>
      <protection locked="0"/>
    </xf>
    <xf numFmtId="0" fontId="21" fillId="0" borderId="0" xfId="0" applyNumberFormat="1" applyFont="1" applyProtection="1">
      <protection hidden="1"/>
    </xf>
    <xf numFmtId="10" fontId="24" fillId="5" borderId="6" xfId="0" applyNumberFormat="1" applyFont="1" applyFill="1" applyBorder="1" applyAlignment="1" applyProtection="1">
      <alignment horizontal="center"/>
      <protection hidden="1"/>
    </xf>
    <xf numFmtId="176" fontId="21" fillId="0" borderId="0" xfId="0" applyNumberFormat="1" applyFont="1" applyAlignment="1" applyProtection="1">
      <alignment horizontal="left"/>
      <protection hidden="1"/>
    </xf>
    <xf numFmtId="177" fontId="9" fillId="5" borderId="6" xfId="0" applyNumberFormat="1" applyFont="1" applyFill="1" applyBorder="1" applyAlignment="1" applyProtection="1">
      <alignment horizontal="left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NumberFormat="1" applyFont="1" applyBorder="1" applyAlignment="1">
      <alignment horizontal="left"/>
    </xf>
    <xf numFmtId="0" fontId="21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0" fontId="15" fillId="0" borderId="0" xfId="0" applyNumberFormat="1" applyFont="1" applyBorder="1" applyAlignment="1">
      <alignment horizontal="centerContinuous"/>
    </xf>
    <xf numFmtId="0" fontId="16" fillId="0" borderId="0" xfId="0" applyNumberFormat="1" applyFont="1" applyBorder="1" applyAlignment="1">
      <alignment horizontal="centerContinuous"/>
    </xf>
    <xf numFmtId="0" fontId="16" fillId="0" borderId="16" xfId="0" applyNumberFormat="1" applyFont="1" applyBorder="1" applyAlignment="1">
      <alignment horizontal="centerContinuous"/>
    </xf>
    <xf numFmtId="0" fontId="15" fillId="0" borderId="0" xfId="0" applyNumberFormat="1" applyFont="1" applyBorder="1" applyAlignment="1" applyProtection="1">
      <alignment horizontal="centerContinuous"/>
      <protection locked="0"/>
    </xf>
    <xf numFmtId="0" fontId="15" fillId="0" borderId="16" xfId="0" applyNumberFormat="1" applyFont="1" applyBorder="1" applyAlignment="1" applyProtection="1">
      <alignment horizontal="centerContinuous"/>
      <protection locked="0"/>
    </xf>
    <xf numFmtId="0" fontId="16" fillId="0" borderId="0" xfId="0" applyNumberFormat="1" applyFont="1" applyBorder="1" applyAlignment="1">
      <alignment horizontal="left"/>
    </xf>
    <xf numFmtId="0" fontId="19" fillId="0" borderId="0" xfId="0" applyNumberFormat="1" applyFont="1" applyBorder="1" applyAlignment="1">
      <alignment horizontal="center"/>
    </xf>
    <xf numFmtId="0" fontId="18" fillId="0" borderId="16" xfId="0" applyNumberFormat="1" applyFont="1" applyBorder="1" applyAlignment="1">
      <alignment horizontal="center"/>
    </xf>
    <xf numFmtId="0" fontId="5" fillId="3" borderId="18" xfId="0" applyNumberFormat="1" applyFont="1" applyFill="1" applyBorder="1" applyAlignment="1" applyProtection="1">
      <alignment horizontal="left" wrapText="1"/>
      <protection locked="0"/>
    </xf>
    <xf numFmtId="0" fontId="5" fillId="3" borderId="19" xfId="0" applyNumberFormat="1" applyFont="1" applyFill="1" applyBorder="1" applyAlignment="1" applyProtection="1">
      <alignment horizontal="left" wrapText="1"/>
      <protection locked="0"/>
    </xf>
    <xf numFmtId="0" fontId="5" fillId="3" borderId="20" xfId="0" applyNumberFormat="1" applyFont="1" applyFill="1" applyBorder="1" applyAlignment="1" applyProtection="1">
      <alignment horizontal="left" wrapText="1"/>
      <protection locked="0"/>
    </xf>
    <xf numFmtId="0" fontId="5" fillId="0" borderId="16" xfId="0" applyNumberFormat="1" applyFont="1" applyBorder="1" applyAlignment="1">
      <alignment horizontal="left"/>
    </xf>
    <xf numFmtId="0" fontId="32" fillId="0" borderId="0" xfId="0" applyNumberFormat="1" applyFont="1" applyBorder="1" applyAlignment="1">
      <alignment horizontal="left" vertical="top"/>
    </xf>
    <xf numFmtId="0" fontId="6" fillId="3" borderId="2" xfId="0" applyNumberFormat="1" applyFont="1" applyFill="1" applyBorder="1" applyAlignment="1" applyProtection="1">
      <alignment horizontal="left" wrapText="1"/>
      <protection locked="0"/>
    </xf>
    <xf numFmtId="0" fontId="34" fillId="3" borderId="6" xfId="0" applyNumberFormat="1" applyFont="1" applyFill="1" applyBorder="1" applyAlignment="1" applyProtection="1">
      <alignment horizontal="center"/>
      <protection locked="0"/>
    </xf>
    <xf numFmtId="0" fontId="34" fillId="3" borderId="1" xfId="0" applyNumberFormat="1" applyFont="1" applyFill="1" applyBorder="1" applyAlignment="1" applyProtection="1">
      <alignment horizontal="left" wrapText="1"/>
      <protection locked="0"/>
    </xf>
    <xf numFmtId="0" fontId="6" fillId="3" borderId="19" xfId="0" applyNumberFormat="1" applyFont="1" applyFill="1" applyBorder="1" applyAlignment="1" applyProtection="1">
      <alignment horizontal="left" wrapText="1"/>
      <protection locked="0"/>
    </xf>
    <xf numFmtId="0" fontId="23" fillId="3" borderId="14" xfId="0" applyNumberFormat="1" applyFont="1" applyFill="1" applyBorder="1" applyAlignment="1" applyProtection="1">
      <protection locked="0"/>
    </xf>
    <xf numFmtId="0" fontId="35" fillId="3" borderId="1" xfId="0" applyNumberFormat="1" applyFont="1" applyFill="1" applyBorder="1" applyAlignment="1" applyProtection="1">
      <alignment wrapText="1"/>
      <protection locked="0"/>
    </xf>
    <xf numFmtId="0" fontId="35" fillId="3" borderId="1" xfId="0" applyNumberFormat="1" applyFont="1" applyFill="1" applyBorder="1" applyAlignment="1" applyProtection="1">
      <alignment vertical="center" wrapText="1"/>
      <protection locked="0"/>
    </xf>
    <xf numFmtId="0" fontId="23" fillId="3" borderId="1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 applyProtection="1"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23" fillId="3" borderId="14" xfId="0" applyNumberFormat="1" applyFont="1" applyFill="1" applyBorder="1" applyAlignment="1" applyProtection="1">
      <alignment horizontal="center" wrapText="1"/>
      <protection locked="0"/>
    </xf>
    <xf numFmtId="178" fontId="24" fillId="5" borderId="6" xfId="0" applyNumberFormat="1" applyFont="1" applyFill="1" applyBorder="1" applyAlignment="1" applyProtection="1">
      <alignment horizontal="center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1" fillId="0" borderId="6" xfId="0" applyNumberFormat="1" applyFont="1" applyBorder="1" applyProtection="1">
      <protection hidden="1"/>
    </xf>
    <xf numFmtId="176" fontId="21" fillId="0" borderId="6" xfId="0" applyNumberFormat="1" applyFont="1" applyBorder="1" applyAlignment="1" applyProtection="1">
      <alignment horizontal="left"/>
      <protection hidden="1"/>
    </xf>
    <xf numFmtId="0" fontId="9" fillId="2" borderId="6" xfId="0" applyNumberFormat="1" applyFont="1" applyFill="1" applyBorder="1" applyAlignment="1" applyProtection="1">
      <alignment horizontal="left" vertical="center"/>
      <protection hidden="1"/>
    </xf>
    <xf numFmtId="179" fontId="23" fillId="5" borderId="6" xfId="0" applyNumberFormat="1" applyFont="1" applyFill="1" applyBorder="1" applyAlignment="1" applyProtection="1">
      <alignment horizontal="center"/>
      <protection hidden="1"/>
    </xf>
    <xf numFmtId="178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/>
      <protection hidden="1"/>
    </xf>
    <xf numFmtId="179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 wrapText="1"/>
      <protection hidden="1"/>
    </xf>
    <xf numFmtId="179" fontId="23" fillId="6" borderId="6" xfId="0" applyNumberFormat="1" applyFont="1" applyFill="1" applyBorder="1" applyAlignment="1" applyProtection="1">
      <alignment horizontal="center"/>
      <protection hidden="1"/>
    </xf>
    <xf numFmtId="178" fontId="34" fillId="3" borderId="6" xfId="0" applyNumberFormat="1" applyFont="1" applyFill="1" applyBorder="1" applyAlignment="1" applyProtection="1">
      <alignment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3" fillId="3" borderId="6" xfId="0" applyNumberFormat="1" applyFont="1" applyFill="1" applyBorder="1" applyAlignment="1" applyProtection="1">
      <alignment horizontal="center"/>
      <protection locked="0"/>
    </xf>
    <xf numFmtId="179" fontId="6" fillId="3" borderId="19" xfId="0" applyNumberFormat="1" applyFont="1" applyFill="1" applyBorder="1" applyAlignment="1" applyProtection="1">
      <alignment horizontal="left" wrapText="1"/>
      <protection locked="0"/>
    </xf>
    <xf numFmtId="0" fontId="34" fillId="3" borderId="1" xfId="0" applyNumberFormat="1" applyFont="1" applyFill="1" applyBorder="1" applyAlignment="1" applyProtection="1">
      <alignment horizontal="left" vertical="center" wrapText="1"/>
      <protection locked="0"/>
    </xf>
    <xf numFmtId="0" fontId="10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4" fillId="0" borderId="16" xfId="0" applyFont="1" applyBorder="1" applyAlignment="1"/>
    <xf numFmtId="0" fontId="6" fillId="3" borderId="6" xfId="0" applyNumberFormat="1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 vertical="top" wrapText="1"/>
    </xf>
    <xf numFmtId="0" fontId="15" fillId="0" borderId="0" xfId="0" applyNumberFormat="1" applyFont="1" applyBorder="1" applyAlignment="1">
      <alignment horizontal="center"/>
    </xf>
    <xf numFmtId="0" fontId="15" fillId="0" borderId="16" xfId="0" applyNumberFormat="1" applyFont="1" applyBorder="1" applyAlignment="1">
      <alignment horizontal="center"/>
    </xf>
    <xf numFmtId="0" fontId="27" fillId="2" borderId="11" xfId="0" applyNumberFormat="1" applyFont="1" applyFill="1" applyBorder="1" applyAlignment="1">
      <alignment horizontal="center"/>
    </xf>
    <xf numFmtId="0" fontId="27" fillId="2" borderId="15" xfId="0" applyNumberFormat="1" applyFont="1" applyFill="1" applyBorder="1" applyAlignment="1">
      <alignment horizontal="center"/>
    </xf>
    <xf numFmtId="0" fontId="9" fillId="2" borderId="3" xfId="0" applyNumberFormat="1" applyFont="1" applyFill="1" applyBorder="1" applyAlignment="1">
      <alignment horizontal="center"/>
    </xf>
    <xf numFmtId="0" fontId="28" fillId="2" borderId="3" xfId="0" applyNumberFormat="1" applyFont="1" applyFill="1" applyBorder="1" applyAlignment="1">
      <alignment horizontal="center"/>
    </xf>
    <xf numFmtId="0" fontId="28" fillId="2" borderId="17" xfId="0" applyNumberFormat="1" applyFont="1" applyFill="1" applyBorder="1" applyAlignment="1">
      <alignment horizontal="center"/>
    </xf>
    <xf numFmtId="0" fontId="10" fillId="0" borderId="6" xfId="0" applyNumberFormat="1" applyFont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20" fillId="2" borderId="6" xfId="0" applyNumberFormat="1" applyFont="1" applyFill="1" applyBorder="1" applyAlignment="1" applyProtection="1">
      <alignment horizontal="center"/>
      <protection hidden="1"/>
    </xf>
    <xf numFmtId="0" fontId="8" fillId="2" borderId="6" xfId="0" applyNumberFormat="1" applyFont="1" applyFill="1" applyBorder="1" applyAlignment="1" applyProtection="1">
      <alignment horizontal="center" vertical="center"/>
      <protection hidden="1"/>
    </xf>
    <xf numFmtId="0" fontId="31" fillId="0" borderId="12" xfId="0" applyFont="1" applyFill="1" applyBorder="1" applyAlignment="1" applyProtection="1">
      <alignment horizontal="center" wrapText="1"/>
      <protection hidden="1"/>
    </xf>
    <xf numFmtId="178" fontId="24" fillId="5" borderId="7" xfId="0" applyNumberFormat="1" applyFont="1" applyFill="1" applyBorder="1" applyAlignment="1" applyProtection="1">
      <alignment horizontal="center"/>
      <protection hidden="1"/>
    </xf>
    <xf numFmtId="178" fontId="24" fillId="5" borderId="9" xfId="0" applyNumberFormat="1" applyFont="1" applyFill="1" applyBorder="1" applyAlignment="1" applyProtection="1">
      <alignment horizontal="center"/>
      <protection hidden="1"/>
    </xf>
    <xf numFmtId="178" fontId="24" fillId="5" borderId="10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9" fillId="0" borderId="5" xfId="0" applyFont="1" applyFill="1" applyBorder="1" applyAlignment="1" applyProtection="1">
      <alignment horizontal="center" wrapText="1"/>
      <protection hidden="1"/>
    </xf>
    <xf numFmtId="0" fontId="10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4" fontId="23" fillId="3" borderId="7" xfId="0" applyNumberFormat="1" applyFont="1" applyFill="1" applyBorder="1" applyAlignment="1" applyProtection="1">
      <alignment horizontal="center"/>
      <protection locked="0"/>
    </xf>
    <xf numFmtId="0" fontId="23" fillId="3" borderId="10" xfId="0" applyNumberFormat="1" applyFont="1" applyFill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hidden="1"/>
    </xf>
  </cellXfs>
  <cellStyles count="2">
    <cellStyle name="常规" xfId="0" builtinId="0"/>
    <cellStyle name="常规_sheet" xfId="1"/>
  </cellStyles>
  <dxfs count="0"/>
  <tableStyles count="0" defaultTableStyle="TableStyleMedium9" defaultPivotStyle="PivotStyleLight16"/>
  <colors>
    <mruColors>
      <color rgb="FF660066"/>
      <color rgb="FF6600FF"/>
      <color rgb="FF6600CC"/>
      <color rgb="FF9900FF"/>
      <color rgb="FF9933FF"/>
      <color rgb="FFFFFFCC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1323975</xdr:colOff>
      <xdr:row>1</xdr:row>
      <xdr:rowOff>212944</xdr:rowOff>
    </xdr:to>
    <xdr:pic>
      <xdr:nvPicPr>
        <xdr:cNvPr id="2" name="图片 6" descr="{747997C0-A311-4779-AEEA-BBAD0C3D1E51}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239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83"/>
  <sheetViews>
    <sheetView workbookViewId="0">
      <selection activeCell="F21" sqref="F21"/>
    </sheetView>
  </sheetViews>
  <sheetFormatPr defaultRowHeight="15"/>
  <cols>
    <col min="13" max="13" width="10.6640625" customWidth="1"/>
    <col min="14" max="14" width="18.21875" customWidth="1"/>
  </cols>
  <sheetData>
    <row r="1" spans="1:17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M1" s="26" t="s">
        <v>50</v>
      </c>
      <c r="N1" s="14"/>
      <c r="O1" s="14"/>
      <c r="P1" s="26" t="s">
        <v>51</v>
      </c>
    </row>
    <row r="2" spans="1:17">
      <c r="A2" t="s">
        <v>52</v>
      </c>
      <c r="B2" s="27" t="s">
        <v>53</v>
      </c>
      <c r="H2" t="s">
        <v>19</v>
      </c>
      <c r="I2" t="s">
        <v>20</v>
      </c>
      <c r="J2" t="s">
        <v>21</v>
      </c>
      <c r="K2">
        <v>1</v>
      </c>
      <c r="L2" s="15"/>
      <c r="M2" s="16"/>
      <c r="N2" s="24" t="s">
        <v>54</v>
      </c>
      <c r="O2" s="17">
        <f>SUMIF(G$2:G$2000,111401,K$2:K$2000)+SUMIF(G$2:G$2000,111402,K$2:K$2000)+SUMIF(G$2:G$2000,111403,K$2:K$2000)+SUMIF(G$2:G$2000,111404,K$2:K$2000)</f>
        <v>0</v>
      </c>
      <c r="P2" s="16" t="str">
        <f t="shared" ref="P2:P53" si="0">IF(O2=0,"",O2)</f>
        <v/>
      </c>
      <c r="Q2" s="14"/>
    </row>
    <row r="3" spans="1:17">
      <c r="A3" t="s">
        <v>55</v>
      </c>
      <c r="B3" s="27" t="s">
        <v>53</v>
      </c>
      <c r="H3" t="s">
        <v>19</v>
      </c>
      <c r="I3" t="s">
        <v>20</v>
      </c>
      <c r="J3" t="s">
        <v>22</v>
      </c>
      <c r="K3">
        <v>1</v>
      </c>
      <c r="L3" s="15"/>
      <c r="M3" s="16"/>
      <c r="N3" s="24" t="s">
        <v>56</v>
      </c>
      <c r="O3" s="17">
        <f>SUMIF(G$2:G$2000,111501,K$2:K$2000)+SUMIF(G$2:G$2000,111502,K$2:K$2000)+SUMIF(G$2:G$2000,111503,K$2:K$2000)+SUMIF(G$2:G$2000,111504,K$2:K$2000)</f>
        <v>0</v>
      </c>
      <c r="P3" s="16" t="str">
        <f t="shared" si="0"/>
        <v/>
      </c>
      <c r="Q3" s="14"/>
    </row>
    <row r="4" spans="1:17">
      <c r="A4" t="s">
        <v>57</v>
      </c>
      <c r="B4" s="27" t="s">
        <v>53</v>
      </c>
      <c r="H4" t="s">
        <v>19</v>
      </c>
      <c r="I4" t="s">
        <v>23</v>
      </c>
      <c r="J4" t="s">
        <v>23</v>
      </c>
      <c r="K4">
        <v>3.5</v>
      </c>
      <c r="L4" s="15"/>
      <c r="M4" s="16"/>
      <c r="N4" s="24" t="s">
        <v>58</v>
      </c>
      <c r="O4" s="17">
        <f>SUM(O5:O6)</f>
        <v>0</v>
      </c>
      <c r="P4" s="16" t="str">
        <f t="shared" si="0"/>
        <v/>
      </c>
      <c r="Q4" s="14"/>
    </row>
    <row r="5" spans="1:17">
      <c r="A5" t="s">
        <v>59</v>
      </c>
      <c r="B5" s="27" t="s">
        <v>53</v>
      </c>
      <c r="H5" t="s">
        <v>19</v>
      </c>
      <c r="I5" t="s">
        <v>24</v>
      </c>
      <c r="J5" t="s">
        <v>25</v>
      </c>
      <c r="K5">
        <v>2</v>
      </c>
      <c r="L5" s="15"/>
      <c r="M5" s="16"/>
      <c r="N5" s="25" t="s">
        <v>60</v>
      </c>
      <c r="O5" s="17">
        <f>SUMIF(G$2:G$2000,M5,K$2:K$2000)</f>
        <v>0</v>
      </c>
      <c r="P5" s="16" t="str">
        <f t="shared" si="0"/>
        <v/>
      </c>
      <c r="Q5" s="14"/>
    </row>
    <row r="6" spans="1:17">
      <c r="A6" t="s">
        <v>61</v>
      </c>
      <c r="B6" s="27" t="s">
        <v>53</v>
      </c>
      <c r="H6" t="s">
        <v>19</v>
      </c>
      <c r="I6" t="s">
        <v>24</v>
      </c>
      <c r="J6" t="s">
        <v>26</v>
      </c>
      <c r="K6">
        <v>0</v>
      </c>
      <c r="L6" s="15"/>
      <c r="M6" s="16"/>
      <c r="N6" s="25" t="s">
        <v>62</v>
      </c>
      <c r="O6" s="17">
        <f>SUMIF(G$2:G$2000,M6,K$2:K$2000)</f>
        <v>0</v>
      </c>
      <c r="P6" s="16" t="str">
        <f t="shared" si="0"/>
        <v/>
      </c>
      <c r="Q6" s="14"/>
    </row>
    <row r="7" spans="1:17">
      <c r="A7" t="s">
        <v>63</v>
      </c>
      <c r="B7" s="27" t="s">
        <v>53</v>
      </c>
      <c r="H7" t="s">
        <v>19</v>
      </c>
      <c r="I7" t="s">
        <v>24</v>
      </c>
      <c r="J7" t="s">
        <v>27</v>
      </c>
      <c r="K7">
        <v>0</v>
      </c>
      <c r="L7" s="15"/>
      <c r="M7" s="16"/>
      <c r="N7" s="24" t="s">
        <v>64</v>
      </c>
      <c r="O7" s="17">
        <f>SUMIF(G$2:G$2000,M7,K$2:K$2000)</f>
        <v>0</v>
      </c>
      <c r="P7" s="16" t="str">
        <f t="shared" si="0"/>
        <v/>
      </c>
      <c r="Q7" s="14"/>
    </row>
    <row r="8" spans="1:17">
      <c r="A8" t="s">
        <v>65</v>
      </c>
      <c r="B8" s="27" t="s">
        <v>53</v>
      </c>
      <c r="H8" t="s">
        <v>19</v>
      </c>
      <c r="I8" t="s">
        <v>28</v>
      </c>
      <c r="J8" t="s">
        <v>25</v>
      </c>
      <c r="K8">
        <v>1</v>
      </c>
      <c r="L8" s="15"/>
      <c r="M8" s="16"/>
      <c r="N8" s="24" t="s">
        <v>66</v>
      </c>
      <c r="O8" s="17">
        <f>SUMIF(G$2:G$2000,111601,K$2:K$2000)+SUMIF(G$2:G$2000,111602,K$2:K$2000)</f>
        <v>0</v>
      </c>
      <c r="P8" s="16" t="str">
        <f t="shared" si="0"/>
        <v/>
      </c>
      <c r="Q8" s="14"/>
    </row>
    <row r="9" spans="1:17">
      <c r="A9" t="s">
        <v>67</v>
      </c>
      <c r="B9" s="27" t="s">
        <v>53</v>
      </c>
      <c r="H9" t="s">
        <v>19</v>
      </c>
      <c r="I9" t="s">
        <v>28</v>
      </c>
      <c r="J9" t="s">
        <v>26</v>
      </c>
      <c r="K9">
        <v>0</v>
      </c>
      <c r="L9" s="15"/>
      <c r="M9" s="16"/>
      <c r="N9" s="24" t="s">
        <v>68</v>
      </c>
      <c r="O9" s="17">
        <f>SUM(O10:O12)</f>
        <v>0</v>
      </c>
      <c r="P9" s="16" t="str">
        <f t="shared" si="0"/>
        <v/>
      </c>
      <c r="Q9" s="14"/>
    </row>
    <row r="10" spans="1:17">
      <c r="A10" t="s">
        <v>69</v>
      </c>
      <c r="B10" s="27" t="s">
        <v>53</v>
      </c>
      <c r="H10" t="s">
        <v>19</v>
      </c>
      <c r="I10" t="s">
        <v>28</v>
      </c>
      <c r="J10" t="s">
        <v>27</v>
      </c>
      <c r="K10">
        <v>4</v>
      </c>
      <c r="L10" s="15"/>
      <c r="M10" s="16"/>
      <c r="N10" s="25" t="s">
        <v>70</v>
      </c>
      <c r="O10" s="17">
        <f>SUMIF(G$2:G$2000,M10,K$2:K$2000)</f>
        <v>0</v>
      </c>
      <c r="P10" s="16" t="str">
        <f t="shared" si="0"/>
        <v/>
      </c>
      <c r="Q10" s="14"/>
    </row>
    <row r="11" spans="1:17">
      <c r="A11" t="s">
        <v>71</v>
      </c>
      <c r="B11" s="27" t="s">
        <v>53</v>
      </c>
      <c r="H11" t="s">
        <v>19</v>
      </c>
      <c r="I11" t="s">
        <v>29</v>
      </c>
      <c r="J11" t="s">
        <v>25</v>
      </c>
      <c r="K11">
        <v>0</v>
      </c>
      <c r="L11" s="18"/>
      <c r="M11" s="16"/>
      <c r="N11" s="25" t="s">
        <v>72</v>
      </c>
      <c r="O11" s="17">
        <f>SUMIF(G$2:G$2000,M11,K$2:K$2000)</f>
        <v>0</v>
      </c>
      <c r="P11" s="16" t="str">
        <f t="shared" si="0"/>
        <v/>
      </c>
      <c r="Q11" s="14"/>
    </row>
    <row r="12" spans="1:17">
      <c r="A12" t="s">
        <v>73</v>
      </c>
      <c r="B12" s="27" t="s">
        <v>53</v>
      </c>
      <c r="H12" t="s">
        <v>19</v>
      </c>
      <c r="I12" t="s">
        <v>29</v>
      </c>
      <c r="J12" t="s">
        <v>26</v>
      </c>
      <c r="K12">
        <v>8.5</v>
      </c>
      <c r="L12" s="18"/>
      <c r="M12" s="16"/>
      <c r="N12" s="25" t="s">
        <v>74</v>
      </c>
      <c r="O12" s="17">
        <f>SUMIF(G$2:G$2000,M12,K$2:K$2000)</f>
        <v>0</v>
      </c>
      <c r="P12" s="16" t="str">
        <f t="shared" si="0"/>
        <v/>
      </c>
      <c r="Q12" s="14"/>
    </row>
    <row r="13" spans="1:17">
      <c r="A13" t="s">
        <v>75</v>
      </c>
      <c r="B13" s="27" t="s">
        <v>53</v>
      </c>
      <c r="H13" t="s">
        <v>19</v>
      </c>
      <c r="I13" t="s">
        <v>29</v>
      </c>
      <c r="J13" t="s">
        <v>27</v>
      </c>
      <c r="K13">
        <v>0</v>
      </c>
      <c r="L13" s="18"/>
      <c r="M13" s="16"/>
      <c r="N13" s="24" t="s">
        <v>76</v>
      </c>
      <c r="O13" s="17">
        <f>SUM(O14:O16)</f>
        <v>0</v>
      </c>
      <c r="P13" s="16" t="str">
        <f t="shared" si="0"/>
        <v/>
      </c>
      <c r="Q13" s="14"/>
    </row>
    <row r="14" spans="1:17">
      <c r="A14" t="s">
        <v>77</v>
      </c>
      <c r="B14" s="27" t="s">
        <v>53</v>
      </c>
      <c r="H14" t="s">
        <v>19</v>
      </c>
      <c r="I14" t="s">
        <v>5</v>
      </c>
      <c r="J14" t="s">
        <v>25</v>
      </c>
      <c r="K14">
        <v>0</v>
      </c>
      <c r="L14" s="18"/>
      <c r="M14" s="16"/>
      <c r="N14" s="25" t="s">
        <v>78</v>
      </c>
      <c r="O14" s="17">
        <f>SUMIF(G$2:G$2000,M14,K$2:K$2000)</f>
        <v>0</v>
      </c>
      <c r="P14" s="16" t="str">
        <f t="shared" si="0"/>
        <v/>
      </c>
      <c r="Q14" s="14"/>
    </row>
    <row r="15" spans="1:17">
      <c r="A15" t="s">
        <v>79</v>
      </c>
      <c r="B15" s="27" t="s">
        <v>53</v>
      </c>
      <c r="H15" t="s">
        <v>19</v>
      </c>
      <c r="I15" t="s">
        <v>5</v>
      </c>
      <c r="J15" t="s">
        <v>26</v>
      </c>
      <c r="K15">
        <v>0</v>
      </c>
      <c r="L15" s="18"/>
      <c r="M15" s="16"/>
      <c r="N15" s="25" t="s">
        <v>80</v>
      </c>
      <c r="O15" s="17">
        <f>SUMIF(G$2:G$2000,M15,K$2:K$2000)</f>
        <v>0</v>
      </c>
      <c r="P15" s="16" t="str">
        <f t="shared" si="0"/>
        <v/>
      </c>
      <c r="Q15" s="14"/>
    </row>
    <row r="16" spans="1:17">
      <c r="A16" t="s">
        <v>81</v>
      </c>
      <c r="B16" s="27" t="s">
        <v>53</v>
      </c>
      <c r="H16" t="s">
        <v>19</v>
      </c>
      <c r="I16" t="s">
        <v>5</v>
      </c>
      <c r="J16" t="s">
        <v>27</v>
      </c>
      <c r="K16">
        <v>0</v>
      </c>
      <c r="L16" s="18"/>
      <c r="M16" s="16"/>
      <c r="N16" s="25" t="s">
        <v>82</v>
      </c>
      <c r="O16" s="17">
        <f>SUMIF(G$2:G$2000,M16,K$2:K$2000)</f>
        <v>0</v>
      </c>
      <c r="P16" s="16" t="str">
        <f t="shared" si="0"/>
        <v/>
      </c>
      <c r="Q16" s="14"/>
    </row>
    <row r="17" spans="1:17">
      <c r="A17" t="s">
        <v>83</v>
      </c>
      <c r="B17" s="27" t="s">
        <v>53</v>
      </c>
      <c r="H17" t="s">
        <v>19</v>
      </c>
      <c r="I17" t="s">
        <v>30</v>
      </c>
      <c r="J17" t="s">
        <v>25</v>
      </c>
      <c r="K17">
        <v>0</v>
      </c>
      <c r="L17" s="18"/>
      <c r="M17" s="16"/>
      <c r="N17" s="24" t="s">
        <v>84</v>
      </c>
      <c r="O17" s="17">
        <f>SUM(O18:O20)</f>
        <v>0</v>
      </c>
      <c r="P17" s="16" t="str">
        <f t="shared" si="0"/>
        <v/>
      </c>
      <c r="Q17" s="14"/>
    </row>
    <row r="18" spans="1:17">
      <c r="A18" t="s">
        <v>85</v>
      </c>
      <c r="B18" s="27" t="s">
        <v>53</v>
      </c>
      <c r="H18" t="s">
        <v>19</v>
      </c>
      <c r="I18" t="s">
        <v>30</v>
      </c>
      <c r="J18" t="s">
        <v>26</v>
      </c>
      <c r="K18">
        <v>0</v>
      </c>
      <c r="L18" s="18"/>
      <c r="M18" s="16"/>
      <c r="N18" s="25" t="s">
        <v>86</v>
      </c>
      <c r="O18" s="17">
        <f>SUMIF(G$2:G$2000,M18,K$2:K$2000)</f>
        <v>0</v>
      </c>
      <c r="P18" s="16" t="str">
        <f t="shared" si="0"/>
        <v/>
      </c>
      <c r="Q18" s="14"/>
    </row>
    <row r="19" spans="1:17">
      <c r="A19" t="s">
        <v>87</v>
      </c>
      <c r="B19" s="27" t="s">
        <v>53</v>
      </c>
      <c r="H19" t="s">
        <v>19</v>
      </c>
      <c r="I19" t="s">
        <v>30</v>
      </c>
      <c r="J19" t="s">
        <v>27</v>
      </c>
      <c r="K19">
        <v>0</v>
      </c>
      <c r="L19" s="18"/>
      <c r="M19" s="16"/>
      <c r="N19" s="25" t="s">
        <v>88</v>
      </c>
      <c r="O19" s="17">
        <f>SUMIF(G$2:G$2000,M19,K$2:K$2000)</f>
        <v>0</v>
      </c>
      <c r="P19" s="16" t="str">
        <f t="shared" si="0"/>
        <v/>
      </c>
      <c r="Q19" s="14"/>
    </row>
    <row r="20" spans="1:17">
      <c r="A20" t="s">
        <v>89</v>
      </c>
      <c r="B20" s="27" t="s">
        <v>53</v>
      </c>
      <c r="H20" t="s">
        <v>19</v>
      </c>
      <c r="I20" t="s">
        <v>6</v>
      </c>
      <c r="J20" t="s">
        <v>25</v>
      </c>
      <c r="K20">
        <v>0</v>
      </c>
      <c r="L20" s="18"/>
      <c r="M20" s="16"/>
      <c r="N20" s="25" t="s">
        <v>90</v>
      </c>
      <c r="O20" s="17">
        <f>SUMIF(G$2:G$2000,M20,K$2:K$2000)</f>
        <v>0</v>
      </c>
      <c r="P20" s="16" t="str">
        <f t="shared" si="0"/>
        <v/>
      </c>
      <c r="Q20" s="14"/>
    </row>
    <row r="21" spans="1:17">
      <c r="A21" t="s">
        <v>91</v>
      </c>
      <c r="B21" s="27" t="s">
        <v>53</v>
      </c>
      <c r="H21" t="s">
        <v>19</v>
      </c>
      <c r="I21" t="s">
        <v>6</v>
      </c>
      <c r="J21" t="s">
        <v>26</v>
      </c>
      <c r="K21">
        <v>0</v>
      </c>
      <c r="L21" s="18"/>
      <c r="M21" s="16"/>
      <c r="N21" s="24" t="s">
        <v>92</v>
      </c>
      <c r="O21" s="17">
        <f>SUM(O22:O24)</f>
        <v>0</v>
      </c>
      <c r="P21" s="16" t="str">
        <f t="shared" si="0"/>
        <v/>
      </c>
      <c r="Q21" s="14"/>
    </row>
    <row r="22" spans="1:17">
      <c r="A22" t="s">
        <v>93</v>
      </c>
      <c r="B22" s="27" t="s">
        <v>53</v>
      </c>
      <c r="H22" t="s">
        <v>19</v>
      </c>
      <c r="I22" t="s">
        <v>6</v>
      </c>
      <c r="J22" t="s">
        <v>27</v>
      </c>
      <c r="K22">
        <v>0</v>
      </c>
      <c r="L22" s="18"/>
      <c r="M22" s="16"/>
      <c r="N22" s="25" t="s">
        <v>94</v>
      </c>
      <c r="O22" s="17">
        <f>SUMIF(G$2:G$2000,M22,K$2:K$2000)</f>
        <v>0</v>
      </c>
      <c r="P22" s="16" t="str">
        <f t="shared" si="0"/>
        <v/>
      </c>
      <c r="Q22" s="14"/>
    </row>
    <row r="23" spans="1:17">
      <c r="A23" t="s">
        <v>95</v>
      </c>
      <c r="B23" s="27" t="s">
        <v>53</v>
      </c>
      <c r="H23" t="s">
        <v>19</v>
      </c>
      <c r="I23" t="s">
        <v>31</v>
      </c>
      <c r="J23" t="s">
        <v>25</v>
      </c>
      <c r="K23">
        <v>3</v>
      </c>
      <c r="L23" s="18"/>
      <c r="M23" s="16"/>
      <c r="N23" s="25" t="s">
        <v>96</v>
      </c>
      <c r="O23" s="17">
        <f>SUMIF(G$2:G$2000,M23,K$2:K$2000)</f>
        <v>0</v>
      </c>
      <c r="P23" s="16" t="str">
        <f t="shared" si="0"/>
        <v/>
      </c>
      <c r="Q23" s="14"/>
    </row>
    <row r="24" spans="1:17">
      <c r="A24" t="s">
        <v>97</v>
      </c>
      <c r="B24" s="27" t="s">
        <v>53</v>
      </c>
      <c r="H24" t="s">
        <v>19</v>
      </c>
      <c r="I24" t="s">
        <v>31</v>
      </c>
      <c r="J24" t="s">
        <v>26</v>
      </c>
      <c r="K24">
        <v>0</v>
      </c>
      <c r="L24" s="18"/>
      <c r="M24" s="16"/>
      <c r="N24" s="25" t="s">
        <v>98</v>
      </c>
      <c r="O24" s="17">
        <f>SUMIF(G$2:G$2000,M24,K$2:K$2000)</f>
        <v>0</v>
      </c>
      <c r="P24" s="16" t="str">
        <f t="shared" si="0"/>
        <v/>
      </c>
      <c r="Q24" s="14"/>
    </row>
    <row r="25" spans="1:17">
      <c r="A25" t="s">
        <v>99</v>
      </c>
      <c r="B25" s="27" t="s">
        <v>53</v>
      </c>
      <c r="H25" t="s">
        <v>19</v>
      </c>
      <c r="I25" t="s">
        <v>31</v>
      </c>
      <c r="J25" t="s">
        <v>27</v>
      </c>
      <c r="K25">
        <v>2.7</v>
      </c>
      <c r="L25" s="18"/>
      <c r="M25" s="16"/>
      <c r="N25" s="24" t="s">
        <v>100</v>
      </c>
      <c r="O25" s="17">
        <f>SUM(O26:O28)</f>
        <v>0</v>
      </c>
      <c r="P25" s="16" t="str">
        <f t="shared" si="0"/>
        <v/>
      </c>
      <c r="Q25" s="14"/>
    </row>
    <row r="26" spans="1:17">
      <c r="A26" t="s">
        <v>101</v>
      </c>
      <c r="B26" s="27" t="s">
        <v>53</v>
      </c>
      <c r="H26" t="s">
        <v>19</v>
      </c>
      <c r="I26" t="s">
        <v>32</v>
      </c>
      <c r="J26" t="s">
        <v>25</v>
      </c>
      <c r="K26">
        <v>53.8</v>
      </c>
      <c r="L26" s="18"/>
      <c r="M26" s="16"/>
      <c r="N26" s="25" t="s">
        <v>102</v>
      </c>
      <c r="O26" s="17">
        <f>SUMIF(G$2:G$2000,M26,K$2:K$2000)</f>
        <v>0</v>
      </c>
      <c r="P26" s="16" t="str">
        <f t="shared" si="0"/>
        <v/>
      </c>
      <c r="Q26" s="14"/>
    </row>
    <row r="27" spans="1:17">
      <c r="A27" t="s">
        <v>103</v>
      </c>
      <c r="B27" s="27" t="s">
        <v>53</v>
      </c>
      <c r="H27" t="s">
        <v>19</v>
      </c>
      <c r="I27" t="s">
        <v>32</v>
      </c>
      <c r="J27" t="s">
        <v>26</v>
      </c>
      <c r="K27">
        <v>128.5</v>
      </c>
      <c r="L27" s="18"/>
      <c r="M27" s="16"/>
      <c r="N27" s="25" t="s">
        <v>104</v>
      </c>
      <c r="O27" s="17">
        <f>SUMIF(G$2:G$2000,M27,K$2:K$2000)</f>
        <v>0</v>
      </c>
      <c r="P27" s="16" t="str">
        <f t="shared" si="0"/>
        <v/>
      </c>
      <c r="Q27" s="14"/>
    </row>
    <row r="28" spans="1:17">
      <c r="A28" t="s">
        <v>105</v>
      </c>
      <c r="B28" s="27" t="s">
        <v>53</v>
      </c>
      <c r="H28" t="s">
        <v>19</v>
      </c>
      <c r="I28" t="s">
        <v>32</v>
      </c>
      <c r="J28" t="s">
        <v>27</v>
      </c>
      <c r="K28">
        <v>66</v>
      </c>
      <c r="L28" s="18"/>
      <c r="M28" s="16"/>
      <c r="N28" s="25" t="s">
        <v>106</v>
      </c>
      <c r="O28" s="17">
        <f>SUMIF(G$2:G$2000,M28,K$2:K$2000)</f>
        <v>0</v>
      </c>
      <c r="P28" s="16" t="str">
        <f t="shared" si="0"/>
        <v/>
      </c>
      <c r="Q28" s="14"/>
    </row>
    <row r="29" spans="1:17">
      <c r="A29" t="s">
        <v>107</v>
      </c>
      <c r="B29" s="27" t="s">
        <v>108</v>
      </c>
      <c r="H29" t="s">
        <v>19</v>
      </c>
      <c r="I29" t="s">
        <v>2</v>
      </c>
      <c r="J29" t="s">
        <v>33</v>
      </c>
      <c r="K29">
        <v>74.7</v>
      </c>
      <c r="L29" s="18"/>
      <c r="M29" s="16"/>
      <c r="N29" s="24" t="s">
        <v>109</v>
      </c>
      <c r="O29" s="17">
        <f>SUM(O30:O32)</f>
        <v>0</v>
      </c>
      <c r="P29" s="16" t="str">
        <f t="shared" si="0"/>
        <v/>
      </c>
      <c r="Q29" s="14"/>
    </row>
    <row r="30" spans="1:17">
      <c r="A30" t="s">
        <v>110</v>
      </c>
      <c r="B30" s="27" t="s">
        <v>108</v>
      </c>
      <c r="H30" t="s">
        <v>19</v>
      </c>
      <c r="I30" t="s">
        <v>2</v>
      </c>
      <c r="J30" t="s">
        <v>34</v>
      </c>
      <c r="K30">
        <v>208.1</v>
      </c>
      <c r="L30" s="18"/>
      <c r="M30" s="16"/>
      <c r="N30" s="25" t="s">
        <v>111</v>
      </c>
      <c r="O30" s="17">
        <f>SUMIF(G$2:G$2000,M30,K$2:K$2000)</f>
        <v>0</v>
      </c>
      <c r="P30" s="16" t="str">
        <f t="shared" si="0"/>
        <v/>
      </c>
      <c r="Q30" s="14"/>
    </row>
    <row r="31" spans="1:17">
      <c r="A31" t="s">
        <v>112</v>
      </c>
      <c r="B31" s="27" t="s">
        <v>108</v>
      </c>
      <c r="H31" t="s">
        <v>19</v>
      </c>
      <c r="I31" t="s">
        <v>2</v>
      </c>
      <c r="J31" t="s">
        <v>35</v>
      </c>
      <c r="K31">
        <v>18</v>
      </c>
      <c r="L31" s="18"/>
      <c r="M31" s="16"/>
      <c r="N31" s="25" t="s">
        <v>113</v>
      </c>
      <c r="O31" s="17">
        <f>SUMIF(G$2:G$2000,M31,K$2:K$2000)</f>
        <v>0</v>
      </c>
      <c r="P31" s="16" t="str">
        <f t="shared" si="0"/>
        <v/>
      </c>
      <c r="Q31" s="14"/>
    </row>
    <row r="32" spans="1:17">
      <c r="A32" t="s">
        <v>114</v>
      </c>
      <c r="B32" s="27" t="s">
        <v>108</v>
      </c>
      <c r="H32" t="s">
        <v>19</v>
      </c>
      <c r="I32" t="s">
        <v>3</v>
      </c>
      <c r="J32" t="s">
        <v>33</v>
      </c>
      <c r="K32">
        <v>0</v>
      </c>
      <c r="L32" s="18"/>
      <c r="M32" s="16"/>
      <c r="N32" s="25" t="s">
        <v>115</v>
      </c>
      <c r="O32" s="17">
        <f>SUMIF(G$2:G$2000,M32,K$2:K$2000)</f>
        <v>0</v>
      </c>
      <c r="P32" s="16" t="str">
        <f t="shared" si="0"/>
        <v/>
      </c>
      <c r="Q32" s="14"/>
    </row>
    <row r="33" spans="1:17">
      <c r="A33" t="s">
        <v>116</v>
      </c>
      <c r="B33" s="27" t="s">
        <v>108</v>
      </c>
      <c r="H33" t="s">
        <v>19</v>
      </c>
      <c r="I33" t="s">
        <v>3</v>
      </c>
      <c r="J33" t="s">
        <v>34</v>
      </c>
      <c r="K33">
        <v>0</v>
      </c>
      <c r="L33" s="18"/>
      <c r="M33" s="16"/>
      <c r="N33" s="24" t="s">
        <v>117</v>
      </c>
      <c r="O33" s="17">
        <f>SUM(O34:O36)</f>
        <v>0</v>
      </c>
      <c r="P33" s="16" t="str">
        <f t="shared" si="0"/>
        <v/>
      </c>
      <c r="Q33" s="14"/>
    </row>
    <row r="34" spans="1:17">
      <c r="A34" t="s">
        <v>118</v>
      </c>
      <c r="B34" s="27" t="s">
        <v>108</v>
      </c>
      <c r="H34" t="s">
        <v>19</v>
      </c>
      <c r="I34" t="s">
        <v>3</v>
      </c>
      <c r="J34" t="s">
        <v>35</v>
      </c>
      <c r="K34">
        <v>0</v>
      </c>
      <c r="L34" s="18"/>
      <c r="M34" s="16"/>
      <c r="N34" s="25" t="s">
        <v>119</v>
      </c>
      <c r="O34" s="17">
        <f>SUMIF(G$2:G$2000,M34,K$2:K$2000)</f>
        <v>0</v>
      </c>
      <c r="P34" s="16" t="str">
        <f t="shared" si="0"/>
        <v/>
      </c>
      <c r="Q34" s="14"/>
    </row>
    <row r="35" spans="1:17">
      <c r="A35" t="s">
        <v>120</v>
      </c>
      <c r="B35" s="27" t="s">
        <v>108</v>
      </c>
      <c r="H35" t="s">
        <v>19</v>
      </c>
      <c r="I35" t="s">
        <v>4</v>
      </c>
      <c r="J35" t="s">
        <v>33</v>
      </c>
      <c r="K35">
        <v>0</v>
      </c>
      <c r="L35" s="18"/>
      <c r="M35" s="16"/>
      <c r="N35" s="25" t="s">
        <v>121</v>
      </c>
      <c r="O35" s="17">
        <f>SUMIF(G$2:G$2000,M35,K$2:K$2000)</f>
        <v>0</v>
      </c>
      <c r="P35" s="16" t="str">
        <f t="shared" si="0"/>
        <v/>
      </c>
      <c r="Q35" s="14"/>
    </row>
    <row r="36" spans="1:17">
      <c r="A36" t="s">
        <v>122</v>
      </c>
      <c r="B36" s="27" t="s">
        <v>108</v>
      </c>
      <c r="H36" t="s">
        <v>19</v>
      </c>
      <c r="I36" t="s">
        <v>4</v>
      </c>
      <c r="J36" t="s">
        <v>34</v>
      </c>
      <c r="K36">
        <v>4</v>
      </c>
      <c r="L36" s="18"/>
      <c r="M36" s="16"/>
      <c r="N36" s="25" t="s">
        <v>123</v>
      </c>
      <c r="O36" s="17">
        <f>SUMIF(G$2:G$2000,M36,K$2:K$2000)</f>
        <v>0</v>
      </c>
      <c r="P36" s="16" t="str">
        <f t="shared" si="0"/>
        <v/>
      </c>
      <c r="Q36" s="14"/>
    </row>
    <row r="37" spans="1:17">
      <c r="A37" t="s">
        <v>124</v>
      </c>
      <c r="B37" s="27" t="s">
        <v>108</v>
      </c>
      <c r="H37" t="s">
        <v>19</v>
      </c>
      <c r="I37" t="s">
        <v>4</v>
      </c>
      <c r="J37" t="s">
        <v>35</v>
      </c>
      <c r="K37">
        <v>0</v>
      </c>
      <c r="L37" s="18"/>
      <c r="M37" s="16"/>
      <c r="N37" s="24" t="s">
        <v>125</v>
      </c>
      <c r="O37" s="17">
        <f>SUM(O38:O40)</f>
        <v>0</v>
      </c>
      <c r="P37" s="16" t="str">
        <f t="shared" si="0"/>
        <v/>
      </c>
      <c r="Q37" s="14"/>
    </row>
    <row r="38" spans="1:17">
      <c r="A38" t="s">
        <v>126</v>
      </c>
      <c r="B38" s="27" t="s">
        <v>108</v>
      </c>
      <c r="H38" t="s">
        <v>19</v>
      </c>
      <c r="I38" t="s">
        <v>36</v>
      </c>
      <c r="J38" t="s">
        <v>37</v>
      </c>
      <c r="K38">
        <v>8</v>
      </c>
      <c r="L38" s="18"/>
      <c r="M38" s="16"/>
      <c r="N38" s="12" t="s">
        <v>127</v>
      </c>
      <c r="O38" s="17">
        <f>SUMIF(G$2:G$2000,M38,K$2:K$2000)</f>
        <v>0</v>
      </c>
      <c r="P38" s="16" t="str">
        <f t="shared" si="0"/>
        <v/>
      </c>
      <c r="Q38" s="14"/>
    </row>
    <row r="39" spans="1:17">
      <c r="A39" t="s">
        <v>128</v>
      </c>
      <c r="B39" s="27" t="s">
        <v>108</v>
      </c>
      <c r="H39" t="s">
        <v>19</v>
      </c>
      <c r="I39" t="s">
        <v>36</v>
      </c>
      <c r="J39" t="s">
        <v>38</v>
      </c>
      <c r="K39">
        <v>2</v>
      </c>
      <c r="L39" s="18"/>
      <c r="M39" s="16"/>
      <c r="N39" s="25" t="s">
        <v>129</v>
      </c>
      <c r="O39" s="17">
        <f>SUMIF(G$2:G$2000,M39,K$2:K$2000)</f>
        <v>0</v>
      </c>
      <c r="P39" s="16" t="str">
        <f t="shared" si="0"/>
        <v/>
      </c>
      <c r="Q39" s="14"/>
    </row>
    <row r="40" spans="1:17">
      <c r="A40" t="s">
        <v>130</v>
      </c>
      <c r="B40" s="27" t="s">
        <v>108</v>
      </c>
      <c r="H40" t="s">
        <v>19</v>
      </c>
      <c r="I40" t="s">
        <v>36</v>
      </c>
      <c r="J40" t="s">
        <v>39</v>
      </c>
      <c r="K40">
        <v>0</v>
      </c>
      <c r="L40" s="18"/>
      <c r="M40" s="16"/>
      <c r="N40" s="25" t="s">
        <v>131</v>
      </c>
      <c r="O40" s="17">
        <f>SUMIF(G$2:G$2000,M40,K$2:K$2000)</f>
        <v>0</v>
      </c>
      <c r="P40" s="16" t="str">
        <f t="shared" si="0"/>
        <v/>
      </c>
      <c r="Q40" s="14"/>
    </row>
    <row r="41" spans="1:17">
      <c r="A41" t="s">
        <v>132</v>
      </c>
      <c r="B41" s="27" t="s">
        <v>108</v>
      </c>
      <c r="H41" t="s">
        <v>19</v>
      </c>
      <c r="I41" t="s">
        <v>36</v>
      </c>
      <c r="J41" t="s">
        <v>40</v>
      </c>
      <c r="K41">
        <v>2.5</v>
      </c>
      <c r="L41" s="18"/>
      <c r="M41" s="16"/>
      <c r="N41" s="24" t="s">
        <v>133</v>
      </c>
      <c r="O41" s="17">
        <f>SUM(O42:O44)</f>
        <v>0</v>
      </c>
      <c r="P41" s="16" t="str">
        <f t="shared" si="0"/>
        <v/>
      </c>
      <c r="Q41" s="14"/>
    </row>
    <row r="42" spans="1:17">
      <c r="A42" t="s">
        <v>134</v>
      </c>
      <c r="B42" s="27" t="s">
        <v>108</v>
      </c>
      <c r="H42" t="s">
        <v>19</v>
      </c>
      <c r="I42" t="s">
        <v>41</v>
      </c>
      <c r="J42" t="s">
        <v>42</v>
      </c>
      <c r="K42">
        <v>0</v>
      </c>
      <c r="L42" s="18"/>
      <c r="M42" s="16"/>
      <c r="N42" s="25" t="s">
        <v>135</v>
      </c>
      <c r="O42" s="17">
        <f>SUMIF(G$2:G$2000,M42,K$2:K$2000)</f>
        <v>0</v>
      </c>
      <c r="P42" s="16" t="str">
        <f t="shared" si="0"/>
        <v/>
      </c>
      <c r="Q42" s="14"/>
    </row>
    <row r="43" spans="1:17">
      <c r="A43" t="s">
        <v>136</v>
      </c>
      <c r="B43" s="27" t="s">
        <v>108</v>
      </c>
      <c r="H43" t="s">
        <v>19</v>
      </c>
      <c r="I43" t="s">
        <v>41</v>
      </c>
      <c r="J43" t="s">
        <v>43</v>
      </c>
      <c r="K43">
        <v>3</v>
      </c>
      <c r="L43" s="18"/>
      <c r="M43" s="16"/>
      <c r="N43" s="25" t="s">
        <v>137</v>
      </c>
      <c r="O43" s="17">
        <f>SUMIF(G$2:G$2000,M43,K$2:K$2000)</f>
        <v>0</v>
      </c>
      <c r="P43" s="16" t="str">
        <f t="shared" si="0"/>
        <v/>
      </c>
      <c r="Q43" s="14"/>
    </row>
    <row r="44" spans="1:17">
      <c r="A44" t="s">
        <v>138</v>
      </c>
      <c r="B44" s="27" t="s">
        <v>108</v>
      </c>
      <c r="H44" t="s">
        <v>19</v>
      </c>
      <c r="I44" t="s">
        <v>41</v>
      </c>
      <c r="J44" t="s">
        <v>44</v>
      </c>
      <c r="L44" s="18"/>
      <c r="M44" s="16"/>
      <c r="N44" s="25" t="s">
        <v>139</v>
      </c>
      <c r="O44" s="17">
        <f>SUMIF(G$2:G$2000,M44,K$2:K$2000)</f>
        <v>0</v>
      </c>
      <c r="P44" s="16" t="str">
        <f t="shared" si="0"/>
        <v/>
      </c>
      <c r="Q44" s="14"/>
    </row>
    <row r="45" spans="1:17">
      <c r="A45" t="s">
        <v>140</v>
      </c>
      <c r="B45" s="27" t="s">
        <v>108</v>
      </c>
      <c r="H45" t="s">
        <v>19</v>
      </c>
      <c r="I45" t="s">
        <v>41</v>
      </c>
      <c r="J45" t="s">
        <v>45</v>
      </c>
      <c r="L45" s="18"/>
      <c r="M45" s="16"/>
      <c r="N45" s="24" t="s">
        <v>141</v>
      </c>
      <c r="O45" s="17">
        <f>SUM(O46:O48)</f>
        <v>0</v>
      </c>
      <c r="P45" s="16" t="str">
        <f t="shared" si="0"/>
        <v/>
      </c>
      <c r="Q45" s="14"/>
    </row>
    <row r="46" spans="1:17">
      <c r="A46" t="s">
        <v>142</v>
      </c>
      <c r="B46" s="27" t="s">
        <v>108</v>
      </c>
      <c r="H46" t="s">
        <v>19</v>
      </c>
      <c r="I46" t="s">
        <v>46</v>
      </c>
      <c r="J46" t="s">
        <v>47</v>
      </c>
      <c r="K46">
        <v>7</v>
      </c>
      <c r="L46" s="18"/>
      <c r="M46" s="16"/>
      <c r="N46" s="25" t="s">
        <v>135</v>
      </c>
      <c r="O46" s="17">
        <f>SUMIF(G$2:G$2000,M46,K$2:K$2000)</f>
        <v>0</v>
      </c>
      <c r="P46" s="16" t="str">
        <f t="shared" si="0"/>
        <v/>
      </c>
      <c r="Q46" s="14"/>
    </row>
    <row r="47" spans="1:17">
      <c r="A47" t="s">
        <v>143</v>
      </c>
      <c r="B47" s="27" t="s">
        <v>108</v>
      </c>
      <c r="H47" t="s">
        <v>19</v>
      </c>
      <c r="I47" t="s">
        <v>46</v>
      </c>
      <c r="J47" t="s">
        <v>48</v>
      </c>
      <c r="K47">
        <v>3.5</v>
      </c>
      <c r="L47" s="18"/>
      <c r="M47" s="16"/>
      <c r="N47" s="25" t="s">
        <v>144</v>
      </c>
      <c r="O47" s="17">
        <f>SUMIF(G$2:G$2000,M47,K$2:K$2000)</f>
        <v>0</v>
      </c>
      <c r="P47" s="16" t="str">
        <f t="shared" si="0"/>
        <v/>
      </c>
      <c r="Q47" s="14"/>
    </row>
    <row r="48" spans="1:17">
      <c r="A48" t="s">
        <v>145</v>
      </c>
      <c r="B48" s="27" t="s">
        <v>108</v>
      </c>
      <c r="H48" t="s">
        <v>49</v>
      </c>
      <c r="I48" t="s">
        <v>49</v>
      </c>
      <c r="J48" t="s">
        <v>49</v>
      </c>
      <c r="K48">
        <v>47.5</v>
      </c>
      <c r="L48" s="18"/>
      <c r="M48" s="16"/>
      <c r="N48" s="25" t="s">
        <v>139</v>
      </c>
      <c r="O48" s="17">
        <f>SUMIF(G$2:G$2000,M48,K$2:K$2000)</f>
        <v>0</v>
      </c>
      <c r="P48" s="16" t="str">
        <f t="shared" si="0"/>
        <v/>
      </c>
      <c r="Q48" s="14"/>
    </row>
    <row r="49" spans="12:17">
      <c r="L49" s="18"/>
      <c r="M49" s="16"/>
      <c r="N49" s="24" t="s">
        <v>146</v>
      </c>
      <c r="O49" s="17">
        <f>SUM(O50:O52)</f>
        <v>0</v>
      </c>
      <c r="P49" s="16" t="str">
        <f t="shared" si="0"/>
        <v/>
      </c>
      <c r="Q49" s="14"/>
    </row>
    <row r="50" spans="12:17">
      <c r="L50" s="19"/>
      <c r="M50" s="16"/>
      <c r="N50" s="12" t="s">
        <v>147</v>
      </c>
      <c r="O50" s="17">
        <f>SUMIF(G$2:G$2000,M50,K$2:K$2000)</f>
        <v>0</v>
      </c>
      <c r="P50" s="16" t="str">
        <f t="shared" si="0"/>
        <v/>
      </c>
      <c r="Q50" s="14"/>
    </row>
    <row r="51" spans="12:17">
      <c r="L51" s="20"/>
      <c r="M51" s="16"/>
      <c r="N51" s="25" t="s">
        <v>148</v>
      </c>
      <c r="O51" s="17">
        <f>SUMIF(G$2:G$2000,M51,K$2:K$2000)</f>
        <v>0</v>
      </c>
      <c r="P51" s="16" t="str">
        <f t="shared" si="0"/>
        <v/>
      </c>
      <c r="Q51" s="14"/>
    </row>
    <row r="52" spans="12:17">
      <c r="L52" s="20"/>
      <c r="M52" s="16"/>
      <c r="N52" s="25" t="s">
        <v>139</v>
      </c>
      <c r="O52" s="17">
        <f>SUMIF(G$2:G$2000,M52,K$2:K$2000)</f>
        <v>0</v>
      </c>
      <c r="P52" s="16" t="str">
        <f t="shared" si="0"/>
        <v/>
      </c>
      <c r="Q52" s="14"/>
    </row>
    <row r="53" spans="12:17">
      <c r="L53" s="14"/>
      <c r="M53" s="16"/>
      <c r="N53" s="13" t="s">
        <v>1</v>
      </c>
      <c r="O53" s="17">
        <f>SUM(O2:O3,O5:O8,O10:O12,O14:O16,O18:O20,O22:O24,O26:O28,O30:O32,O34:O36,O38:O40,O42:O44,O46:O48,O50:O52)</f>
        <v>0</v>
      </c>
      <c r="P53" s="16" t="str">
        <f t="shared" si="0"/>
        <v/>
      </c>
      <c r="Q53" s="14"/>
    </row>
    <row r="54" spans="12:17">
      <c r="L54" s="14"/>
      <c r="M54" s="21"/>
      <c r="N54" s="14"/>
      <c r="O54" s="14"/>
      <c r="P54" s="14"/>
      <c r="Q54" s="14"/>
    </row>
    <row r="55" spans="12:17">
      <c r="L55" s="14"/>
      <c r="M55" s="22"/>
      <c r="Q55" s="14"/>
    </row>
    <row r="56" spans="12:17">
      <c r="L56" s="14"/>
      <c r="M56" s="21"/>
      <c r="N56" s="14"/>
      <c r="O56" s="14"/>
      <c r="P56" s="14"/>
      <c r="Q56" s="14"/>
    </row>
    <row r="57" spans="12:17">
      <c r="L57" s="14"/>
      <c r="M57" s="22"/>
      <c r="Q57" s="14"/>
    </row>
    <row r="58" spans="12:17">
      <c r="L58" s="14"/>
      <c r="M58" s="21"/>
      <c r="N58" s="14"/>
      <c r="O58" s="14"/>
      <c r="P58" s="14"/>
      <c r="Q58" s="14"/>
    </row>
    <row r="59" spans="12:17">
      <c r="L59" s="14"/>
      <c r="M59" s="22"/>
      <c r="Q59" s="14"/>
    </row>
    <row r="60" spans="12:17">
      <c r="L60" s="14"/>
      <c r="M60" s="21"/>
      <c r="N60" s="14"/>
      <c r="O60" s="14"/>
      <c r="P60" s="14"/>
      <c r="Q60" s="14"/>
    </row>
    <row r="61" spans="12:17">
      <c r="L61" s="14"/>
      <c r="M61" s="22"/>
      <c r="Q61" s="14"/>
    </row>
    <row r="62" spans="12:17">
      <c r="L62" s="14"/>
      <c r="M62" s="21"/>
      <c r="N62" s="14"/>
      <c r="O62" s="14"/>
      <c r="P62" s="14"/>
      <c r="Q62" s="14"/>
    </row>
    <row r="63" spans="12:17">
      <c r="L63" s="14"/>
      <c r="M63" s="22"/>
      <c r="Q63" s="14"/>
    </row>
    <row r="64" spans="12:17">
      <c r="L64" s="14"/>
      <c r="M64" s="21"/>
      <c r="N64" s="14"/>
      <c r="O64" s="14"/>
      <c r="P64" s="14"/>
      <c r="Q64" s="14"/>
    </row>
    <row r="65" spans="12:17">
      <c r="L65" s="14"/>
      <c r="M65" s="22"/>
      <c r="Q65" s="14"/>
    </row>
    <row r="66" spans="12:17">
      <c r="L66" s="14"/>
      <c r="M66" s="21"/>
      <c r="N66" s="14"/>
      <c r="O66" s="14"/>
      <c r="P66" s="14"/>
      <c r="Q66" s="14"/>
    </row>
    <row r="67" spans="12:17">
      <c r="L67" s="14"/>
      <c r="M67" s="22"/>
      <c r="Q67" s="14"/>
    </row>
    <row r="68" spans="12:17">
      <c r="L68" s="14"/>
      <c r="M68" s="21"/>
      <c r="N68" s="14"/>
      <c r="O68" s="14"/>
      <c r="P68" s="14"/>
      <c r="Q68" s="14"/>
    </row>
    <row r="69" spans="12:17">
      <c r="L69" s="14"/>
      <c r="M69" s="22"/>
      <c r="Q69" s="14"/>
    </row>
    <row r="70" spans="12:17">
      <c r="L70" s="14"/>
      <c r="M70" s="21"/>
      <c r="N70" s="14"/>
      <c r="O70" s="14"/>
      <c r="P70" s="14"/>
      <c r="Q70" s="14"/>
    </row>
    <row r="71" spans="12:17">
      <c r="L71" s="14"/>
      <c r="M71" s="22"/>
      <c r="Q71" s="14"/>
    </row>
    <row r="72" spans="12:17">
      <c r="L72" s="14"/>
      <c r="M72" s="21"/>
      <c r="N72" s="14"/>
      <c r="O72" s="14"/>
      <c r="P72" s="14"/>
      <c r="Q72" s="14"/>
    </row>
    <row r="73" spans="12:17">
      <c r="L73" s="14"/>
      <c r="M73" s="21"/>
      <c r="N73" s="14"/>
      <c r="O73" s="14"/>
      <c r="P73" s="14"/>
      <c r="Q73" s="14"/>
    </row>
    <row r="74" spans="12:17">
      <c r="L74" s="14"/>
      <c r="M74" s="22"/>
      <c r="Q74" s="14"/>
    </row>
    <row r="75" spans="12:17">
      <c r="L75" s="14"/>
      <c r="M75" s="21"/>
      <c r="N75" s="14"/>
      <c r="O75" s="14"/>
      <c r="P75" s="14"/>
      <c r="Q75" s="14"/>
    </row>
    <row r="76" spans="12:17">
      <c r="L76" s="14"/>
      <c r="M76" s="22"/>
      <c r="Q76" s="14"/>
    </row>
    <row r="77" spans="12:17">
      <c r="L77" s="14"/>
      <c r="M77" s="21"/>
      <c r="N77" s="14"/>
      <c r="O77" s="14"/>
      <c r="P77" s="14"/>
      <c r="Q77" s="14"/>
    </row>
    <row r="78" spans="12:17">
      <c r="L78" s="14"/>
      <c r="M78" s="22"/>
      <c r="Q78" s="14"/>
    </row>
    <row r="79" spans="12:17">
      <c r="L79" s="14"/>
      <c r="M79" s="21"/>
      <c r="N79" s="14"/>
      <c r="O79" s="14"/>
      <c r="P79" s="14"/>
      <c r="Q79" s="14"/>
    </row>
    <row r="80" spans="12:17">
      <c r="L80" s="14"/>
      <c r="M80" s="22"/>
      <c r="Q80" s="14"/>
    </row>
    <row r="81" spans="12:17">
      <c r="L81" s="14"/>
      <c r="M81" s="21"/>
      <c r="N81" s="14"/>
      <c r="O81" s="14"/>
      <c r="P81" s="14"/>
      <c r="Q81" s="14"/>
    </row>
    <row r="82" spans="12:17">
      <c r="M82" s="21"/>
      <c r="N82" s="14"/>
      <c r="O82" s="14"/>
      <c r="P82" s="14"/>
    </row>
    <row r="83" spans="12:17">
      <c r="M83" s="22"/>
    </row>
  </sheetData>
  <phoneticPr fontId="7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U17"/>
  <sheetViews>
    <sheetView showGridLines="0" showOutlineSymbols="0" zoomScaleNormal="100" workbookViewId="0">
      <selection activeCell="C10" sqref="C10"/>
    </sheetView>
  </sheetViews>
  <sheetFormatPr defaultColWidth="11.6640625" defaultRowHeight="13.5"/>
  <cols>
    <col min="1" max="1" width="16.5546875" style="2" customWidth="1"/>
    <col min="2" max="2" width="24.88671875" style="2" customWidth="1"/>
    <col min="3" max="3" width="24.21875" style="2" bestFit="1" customWidth="1"/>
    <col min="4" max="4" width="24.88671875" style="2" customWidth="1"/>
    <col min="5" max="5" width="10.88671875" style="2" customWidth="1"/>
    <col min="6" max="129" width="16.6640625" style="2" customWidth="1"/>
    <col min="130" max="252" width="8.6640625" style="2" customWidth="1"/>
    <col min="253" max="16384" width="11.6640625" style="2"/>
  </cols>
  <sheetData>
    <row r="1" spans="1:255" ht="9.9499999999999993" customHeight="1">
      <c r="A1" s="51" t="s">
        <v>0</v>
      </c>
      <c r="B1" s="52"/>
      <c r="C1" s="52"/>
      <c r="D1" s="53"/>
      <c r="E1" s="1"/>
    </row>
    <row r="2" spans="1:255" ht="35.1" customHeight="1">
      <c r="A2" s="96" t="s">
        <v>172</v>
      </c>
      <c r="B2" s="97"/>
      <c r="C2" s="97"/>
      <c r="D2" s="98"/>
      <c r="E2" s="3"/>
    </row>
    <row r="3" spans="1:255" ht="15.75">
      <c r="A3" s="54"/>
      <c r="B3" s="55"/>
      <c r="C3" s="54"/>
      <c r="D3" s="56"/>
    </row>
    <row r="4" spans="1:255" ht="15">
      <c r="A4" s="57" t="s">
        <v>149</v>
      </c>
      <c r="B4" s="57"/>
      <c r="C4" s="57"/>
      <c r="D4" s="58"/>
      <c r="E4" s="10"/>
      <c r="F4" s="10"/>
    </row>
    <row r="5" spans="1:255" ht="15">
      <c r="A5" s="101"/>
      <c r="B5" s="101"/>
      <c r="C5" s="101"/>
      <c r="D5" s="102"/>
      <c r="E5" s="3"/>
    </row>
    <row r="6" spans="1:255" ht="14.25" customHeight="1">
      <c r="A6" s="103" t="s">
        <v>153</v>
      </c>
      <c r="B6" s="103"/>
      <c r="C6" s="103"/>
      <c r="D6" s="104"/>
    </row>
    <row r="7" spans="1:255" ht="15.75">
      <c r="A7" s="66" t="s">
        <v>174</v>
      </c>
      <c r="B7" s="59"/>
      <c r="C7" s="60"/>
      <c r="D7" s="61"/>
      <c r="E7" s="4"/>
    </row>
    <row r="8" spans="1:255" ht="21" customHeight="1">
      <c r="A8" s="23" t="s">
        <v>150</v>
      </c>
      <c r="B8" s="67" t="s">
        <v>273</v>
      </c>
      <c r="C8" s="23" t="s">
        <v>271</v>
      </c>
      <c r="D8" s="62" t="s">
        <v>274</v>
      </c>
    </row>
    <row r="9" spans="1:255" s="7" customFormat="1" ht="12.75">
      <c r="A9" s="8" t="s">
        <v>272</v>
      </c>
      <c r="B9" s="9" t="s">
        <v>276</v>
      </c>
      <c r="C9" s="23" t="s">
        <v>286</v>
      </c>
      <c r="D9" s="62" t="s">
        <v>275</v>
      </c>
      <c r="E9" s="28"/>
      <c r="F9" s="28"/>
    </row>
    <row r="10" spans="1:255" s="7" customFormat="1" ht="12.75">
      <c r="A10" s="8" t="s">
        <v>288</v>
      </c>
      <c r="B10" s="9" t="s">
        <v>287</v>
      </c>
      <c r="C10" s="23" t="s">
        <v>290</v>
      </c>
      <c r="D10" s="94">
        <v>16.8</v>
      </c>
      <c r="E10" s="28"/>
      <c r="F10" s="28"/>
    </row>
    <row r="11" spans="1:255" s="5" customFormat="1" ht="12.75">
      <c r="A11" s="23" t="s">
        <v>152</v>
      </c>
      <c r="B11" s="67" t="s">
        <v>277</v>
      </c>
      <c r="C11" s="23" t="s">
        <v>151</v>
      </c>
      <c r="D11" s="70" t="s">
        <v>278</v>
      </c>
      <c r="E11" s="49"/>
    </row>
    <row r="12" spans="1:255" s="5" customFormat="1" ht="12.75">
      <c r="A12" s="29" t="s">
        <v>156</v>
      </c>
      <c r="B12" s="67" t="s">
        <v>279</v>
      </c>
      <c r="C12" s="23" t="s">
        <v>161</v>
      </c>
      <c r="D12" s="70" t="s">
        <v>280</v>
      </c>
      <c r="E12" s="49"/>
    </row>
    <row r="13" spans="1:255" s="5" customFormat="1" ht="12.75">
      <c r="A13" s="29" t="s">
        <v>155</v>
      </c>
      <c r="B13" s="67" t="s">
        <v>285</v>
      </c>
      <c r="C13" s="23" t="s">
        <v>162</v>
      </c>
      <c r="D13" s="63" t="s">
        <v>281</v>
      </c>
      <c r="E13" s="49"/>
    </row>
    <row r="14" spans="1:255" s="5" customFormat="1" ht="12.75">
      <c r="A14" s="23" t="s">
        <v>283</v>
      </c>
      <c r="B14" s="9" t="s">
        <v>284</v>
      </c>
      <c r="C14" s="30" t="s">
        <v>163</v>
      </c>
      <c r="D14" s="64" t="s">
        <v>282</v>
      </c>
      <c r="E14" s="49"/>
    </row>
    <row r="15" spans="1:255" ht="9" customHeight="1">
      <c r="A15" s="6"/>
      <c r="B15" s="6"/>
      <c r="C15" s="49"/>
      <c r="D15" s="6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</row>
    <row r="16" spans="1:255" s="11" customFormat="1" ht="12.75">
      <c r="A16" s="105" t="s">
        <v>154</v>
      </c>
      <c r="B16" s="106"/>
      <c r="C16" s="106"/>
      <c r="D16" s="107"/>
      <c r="E16" s="50"/>
    </row>
    <row r="17" spans="1:255" ht="139.5" customHeight="1">
      <c r="A17" s="99" t="s">
        <v>289</v>
      </c>
      <c r="B17" s="100"/>
      <c r="C17" s="100"/>
      <c r="D17" s="100"/>
      <c r="E17" s="49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</row>
  </sheetData>
  <sheetProtection formatCells="0" formatColumns="0" formatRows="0" pivotTables="0"/>
  <dataConsolidate/>
  <mergeCells count="5">
    <mergeCell ref="A2:D2"/>
    <mergeCell ref="A17:D17"/>
    <mergeCell ref="A5:D5"/>
    <mergeCell ref="A6:D6"/>
    <mergeCell ref="A16:D16"/>
  </mergeCells>
  <phoneticPr fontId="7" type="noConversion"/>
  <dataValidations count="4">
    <dataValidation type="list" allowBlank="1" showInputMessage="1" showErrorMessage="1" sqref="D9">
      <formula1>"全新项目,升级项目"</formula1>
    </dataValidation>
    <dataValidation type="list" allowBlank="1" showInputMessage="1" showErrorMessage="1" sqref="D8">
      <formula1>"任务型,微型,普通型,大型"</formula1>
    </dataValidation>
    <dataValidation type="list" allowBlank="1" showInputMessage="1" showErrorMessage="1" sqref="B9">
      <formula1>"信息化,实训,资源"</formula1>
    </dataValidation>
    <dataValidation type="list" allowBlank="1" showInputMessage="1" showErrorMessage="1" sqref="B10">
      <formula1>"合同型,推广型,演示型,大赛型"</formula1>
    </dataValidation>
  </dataValidations>
  <pageMargins left="0.5" right="0.5" top="0.5" bottom="0.5" header="0" footer="0"/>
  <pageSetup paperSize="9" orientation="landscape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58"/>
  <sheetViews>
    <sheetView showGridLines="0" topLeftCell="A31" zoomScale="85" zoomScaleNormal="85" workbookViewId="0">
      <selection activeCell="B72" sqref="B72"/>
    </sheetView>
  </sheetViews>
  <sheetFormatPr defaultColWidth="11.6640625" defaultRowHeight="12.75" outlineLevelRow="1"/>
  <cols>
    <col min="1" max="1" width="22.109375" style="44" customWidth="1"/>
    <col min="2" max="2" width="14.77734375" style="46" customWidth="1"/>
    <col min="3" max="3" width="13.6640625" style="46" customWidth="1"/>
    <col min="4" max="4" width="14.5546875" style="46" customWidth="1"/>
    <col min="5" max="5" width="14.33203125" style="44" customWidth="1"/>
    <col min="6" max="6" width="16.6640625" style="44" customWidth="1"/>
    <col min="7" max="16384" width="11.6640625" style="44"/>
  </cols>
  <sheetData>
    <row r="1" spans="1:6" ht="22.5">
      <c r="A1" s="108" t="s">
        <v>173</v>
      </c>
      <c r="B1" s="108"/>
      <c r="C1" s="108"/>
      <c r="D1" s="108"/>
      <c r="E1" s="108"/>
      <c r="F1" s="108"/>
    </row>
    <row r="2" spans="1:6">
      <c r="A2" s="34" t="s">
        <v>166</v>
      </c>
      <c r="B2" s="34" t="s">
        <v>165</v>
      </c>
      <c r="C2" s="43">
        <v>42522</v>
      </c>
      <c r="D2" s="43">
        <v>42541</v>
      </c>
      <c r="E2" s="34" t="s">
        <v>200</v>
      </c>
      <c r="F2" s="91" t="s">
        <v>300</v>
      </c>
    </row>
    <row r="3" spans="1:6">
      <c r="A3" s="82"/>
      <c r="B3" s="83"/>
      <c r="C3" s="83"/>
      <c r="D3" s="83"/>
      <c r="E3" s="82"/>
      <c r="F3" s="82"/>
    </row>
    <row r="4" spans="1:6" ht="15" customHeight="1">
      <c r="A4" s="112" t="s">
        <v>7</v>
      </c>
      <c r="B4" s="111"/>
      <c r="C4" s="111"/>
      <c r="D4" s="111"/>
      <c r="E4" s="111"/>
      <c r="F4" s="109" t="s">
        <v>222</v>
      </c>
    </row>
    <row r="5" spans="1:6" ht="15" customHeight="1">
      <c r="A5" s="112"/>
      <c r="B5" s="80" t="s">
        <v>198</v>
      </c>
      <c r="C5" s="80" t="s">
        <v>199</v>
      </c>
      <c r="D5" s="80" t="s">
        <v>199</v>
      </c>
      <c r="E5" s="81" t="s">
        <v>201</v>
      </c>
      <c r="F5" s="109"/>
    </row>
    <row r="6" spans="1:6">
      <c r="A6" s="84" t="s">
        <v>160</v>
      </c>
      <c r="B6" s="85">
        <f>IF(SUM(B7:B11)=0,"",SUM(B7:B11))</f>
        <v>27</v>
      </c>
      <c r="C6" s="85">
        <f>IF(SUM(C7:C11)=0,"",SUM(C7:C11))</f>
        <v>29</v>
      </c>
      <c r="D6" s="85">
        <f>IF(SUM(D7:D11)=0,"",SUM(D7:D11))</f>
        <v>30</v>
      </c>
      <c r="E6" s="85">
        <f>IF(SUM(E7:E11)=0,"",SUM(E7:E11))</f>
        <v>28.666666666666664</v>
      </c>
      <c r="F6" s="86"/>
    </row>
    <row r="7" spans="1:6" outlineLevel="1">
      <c r="A7" s="87" t="s">
        <v>248</v>
      </c>
      <c r="B7" s="88">
        <v>10</v>
      </c>
      <c r="C7" s="88">
        <v>12</v>
      </c>
      <c r="D7" s="88">
        <v>11</v>
      </c>
      <c r="E7" s="85">
        <f>IF(B7="","",AVERAGE(B7:D7))</f>
        <v>11</v>
      </c>
      <c r="F7" s="86"/>
    </row>
    <row r="8" spans="1:6" outlineLevel="1">
      <c r="A8" s="87" t="s">
        <v>249</v>
      </c>
      <c r="B8" s="88">
        <v>10</v>
      </c>
      <c r="C8" s="88">
        <v>11</v>
      </c>
      <c r="D8" s="88">
        <v>11</v>
      </c>
      <c r="E8" s="85">
        <f>IF(B8="","",AVERAGE(B8:D8))</f>
        <v>10.666666666666666</v>
      </c>
      <c r="F8" s="86"/>
    </row>
    <row r="9" spans="1:6" outlineLevel="1">
      <c r="A9" s="87" t="s">
        <v>250</v>
      </c>
      <c r="B9" s="88">
        <v>5</v>
      </c>
      <c r="C9" s="88">
        <v>5</v>
      </c>
      <c r="D9" s="88">
        <v>6</v>
      </c>
      <c r="E9" s="85">
        <f t="shared" ref="E9:E11" si="0">IF(B9="","",AVERAGE(B9:D9))</f>
        <v>5.333333333333333</v>
      </c>
      <c r="F9" s="86"/>
    </row>
    <row r="10" spans="1:6" outlineLevel="1">
      <c r="A10" s="87" t="s">
        <v>251</v>
      </c>
      <c r="B10" s="88">
        <v>0</v>
      </c>
      <c r="C10" s="88">
        <v>0</v>
      </c>
      <c r="D10" s="88">
        <v>0</v>
      </c>
      <c r="E10" s="85">
        <f t="shared" si="0"/>
        <v>0</v>
      </c>
      <c r="F10" s="86"/>
    </row>
    <row r="11" spans="1:6" outlineLevel="1">
      <c r="A11" s="87" t="s">
        <v>247</v>
      </c>
      <c r="B11" s="88">
        <v>2</v>
      </c>
      <c r="C11" s="88">
        <v>1</v>
      </c>
      <c r="D11" s="88">
        <v>2</v>
      </c>
      <c r="E11" s="85">
        <f t="shared" si="0"/>
        <v>1.6666666666666667</v>
      </c>
      <c r="F11" s="86"/>
    </row>
    <row r="12" spans="1:6">
      <c r="A12" s="84" t="s">
        <v>170</v>
      </c>
      <c r="B12" s="85" t="str">
        <f>IF(SUM(B13,B17,B21:B22)=0,"",SUM(B13,B17,B21:B22))</f>
        <v/>
      </c>
      <c r="C12" s="85" t="str">
        <f>IF(SUM(C13,C17,C21:C22)=0,"",SUM(C13,C17,C21:C22))</f>
        <v/>
      </c>
      <c r="D12" s="85" t="str">
        <f t="shared" ref="D12" si="1">IF(SUM(D13,D17,D21:D22)=0,"",SUM(D13,D17,D21:D22))</f>
        <v/>
      </c>
      <c r="E12" s="85" t="str">
        <f>IF(SUM(E13,E17,E21:E22)=0,"",SUM(E13,E17,E21:E22))</f>
        <v/>
      </c>
      <c r="F12" s="86"/>
    </row>
    <row r="13" spans="1:6" outlineLevel="1">
      <c r="A13" s="84" t="s">
        <v>239</v>
      </c>
      <c r="B13" s="85" t="str">
        <f>IF(SUM(B14:B16)=0,"",SUM(B14:B16))</f>
        <v/>
      </c>
      <c r="C13" s="85" t="str">
        <f t="shared" ref="C13:E13" si="2">IF(SUM(C14:C16)=0,"",SUM(C14:C16))</f>
        <v/>
      </c>
      <c r="D13" s="85" t="str">
        <f t="shared" si="2"/>
        <v/>
      </c>
      <c r="E13" s="85" t="str">
        <f t="shared" si="2"/>
        <v/>
      </c>
      <c r="F13" s="86"/>
    </row>
    <row r="14" spans="1:6" outlineLevel="1">
      <c r="A14" s="87" t="s">
        <v>240</v>
      </c>
      <c r="B14" s="85" t="str">
        <f>IF('预估表单-黄琪'!K5=0,"",'预估表单-黄琪'!K5)</f>
        <v/>
      </c>
      <c r="C14" s="85" t="str">
        <f>IF('预估表单-刘燕燕'!K5=0,"",'预估表单-刘燕燕'!K5)</f>
        <v/>
      </c>
      <c r="D14" s="85" t="str">
        <f>IF('预估表单-房雷'!K5=0,"",'预估表单-房雷'!K5)</f>
        <v/>
      </c>
      <c r="E14" s="85" t="str">
        <f t="shared" ref="E14:E16" si="3">IF(B14="","",AVERAGE(B14:D14))</f>
        <v/>
      </c>
      <c r="F14" s="86"/>
    </row>
    <row r="15" spans="1:6" outlineLevel="1">
      <c r="A15" s="87" t="s">
        <v>241</v>
      </c>
      <c r="B15" s="88"/>
      <c r="C15" s="88"/>
      <c r="D15" s="88"/>
      <c r="E15" s="85" t="str">
        <f t="shared" si="3"/>
        <v/>
      </c>
      <c r="F15" s="86"/>
    </row>
    <row r="16" spans="1:6" outlineLevel="1">
      <c r="A16" s="87" t="s">
        <v>242</v>
      </c>
      <c r="B16" s="88"/>
      <c r="C16" s="88"/>
      <c r="D16" s="88"/>
      <c r="E16" s="85" t="str">
        <f t="shared" si="3"/>
        <v/>
      </c>
      <c r="F16" s="86"/>
    </row>
    <row r="17" spans="1:6" outlineLevel="1">
      <c r="A17" s="84" t="s">
        <v>243</v>
      </c>
      <c r="B17" s="85" t="str">
        <f>IF(SUM(B18:B20)=0,"",SUM(B18:B20))</f>
        <v/>
      </c>
      <c r="C17" s="85" t="str">
        <f>IF(SUM(C18:C20)=0,"",SUM(C18:C20))</f>
        <v/>
      </c>
      <c r="D17" s="85" t="str">
        <f>IF(SUM(D18:D20)=0,"",SUM(D18:D20))</f>
        <v/>
      </c>
      <c r="E17" s="85" t="str">
        <f>IF(SUM(E18:E20)=0,"",SUM(E18:E20))</f>
        <v/>
      </c>
      <c r="F17" s="86"/>
    </row>
    <row r="18" spans="1:6" outlineLevel="1">
      <c r="A18" s="87" t="s">
        <v>244</v>
      </c>
      <c r="B18" s="88"/>
      <c r="C18" s="88"/>
      <c r="D18" s="88"/>
      <c r="E18" s="85" t="str">
        <f t="shared" ref="E18:E22" si="4">IF(B18="","",AVERAGE(B18:D18))</f>
        <v/>
      </c>
      <c r="F18" s="86"/>
    </row>
    <row r="19" spans="1:6" outlineLevel="1">
      <c r="A19" s="87" t="s">
        <v>241</v>
      </c>
      <c r="B19" s="88"/>
      <c r="C19" s="88"/>
      <c r="D19" s="88"/>
      <c r="E19" s="85" t="str">
        <f t="shared" si="4"/>
        <v/>
      </c>
      <c r="F19" s="86"/>
    </row>
    <row r="20" spans="1:6" outlineLevel="1">
      <c r="A20" s="87" t="s">
        <v>245</v>
      </c>
      <c r="B20" s="88"/>
      <c r="C20" s="88"/>
      <c r="D20" s="88"/>
      <c r="E20" s="85" t="str">
        <f t="shared" si="4"/>
        <v/>
      </c>
      <c r="F20" s="86"/>
    </row>
    <row r="21" spans="1:6" outlineLevel="1">
      <c r="A21" s="84" t="s">
        <v>246</v>
      </c>
      <c r="B21" s="88"/>
      <c r="C21" s="88"/>
      <c r="D21" s="88"/>
      <c r="E21" s="85" t="str">
        <f t="shared" si="4"/>
        <v/>
      </c>
      <c r="F21" s="86"/>
    </row>
    <row r="22" spans="1:6" outlineLevel="1">
      <c r="A22" s="84" t="s">
        <v>247</v>
      </c>
      <c r="B22" s="88"/>
      <c r="C22" s="88"/>
      <c r="D22" s="88"/>
      <c r="E22" s="85" t="str">
        <f t="shared" si="4"/>
        <v/>
      </c>
      <c r="F22" s="86"/>
    </row>
    <row r="23" spans="1:6">
      <c r="A23" s="84" t="s">
        <v>159</v>
      </c>
      <c r="B23" s="85">
        <f>IF(SUM(B24:B28)=0,"",SUM(B24:B28))</f>
        <v>102.752</v>
      </c>
      <c r="C23" s="85">
        <f>IF(SUM(C24:C28)=0,"",SUM(C24:C28))</f>
        <v>100.872</v>
      </c>
      <c r="D23" s="85">
        <f>IF(SUM(D24:D28)=0,"",SUM(D24:D28))</f>
        <v>102.872</v>
      </c>
      <c r="E23" s="85">
        <f>IF(SUM(E24:E28)=0,"",SUM(E24:E28))</f>
        <v>102.16533333333332</v>
      </c>
      <c r="F23" s="86"/>
    </row>
    <row r="24" spans="1:6" outlineLevel="1">
      <c r="A24" s="87" t="s">
        <v>252</v>
      </c>
      <c r="B24" s="85">
        <f>IF('预估表单-黄琪'!K$6=0,"",'预估表单-黄琪'!K$6)</f>
        <v>66.751999999999995</v>
      </c>
      <c r="C24" s="85">
        <f>IF('预估表单-刘燕燕'!K$6=0,"",'预估表单-刘燕燕'!K$6)</f>
        <v>66.872</v>
      </c>
      <c r="D24" s="85">
        <f>IF('预估表单-房雷'!K$6=0,"",'预估表单-刘燕燕'!K$6)</f>
        <v>66.872</v>
      </c>
      <c r="E24" s="85">
        <f t="shared" ref="E24:E28" si="5">IF(B24="","",AVERAGE(B24:D24))</f>
        <v>66.831999999999994</v>
      </c>
      <c r="F24" s="86"/>
    </row>
    <row r="25" spans="1:6" outlineLevel="1">
      <c r="A25" s="87" t="s">
        <v>253</v>
      </c>
      <c r="B25" s="88">
        <v>20</v>
      </c>
      <c r="C25" s="88">
        <v>18</v>
      </c>
      <c r="D25" s="88">
        <v>19</v>
      </c>
      <c r="E25" s="85">
        <f t="shared" si="5"/>
        <v>19</v>
      </c>
      <c r="F25" s="86"/>
    </row>
    <row r="26" spans="1:6" outlineLevel="1">
      <c r="A26" s="87" t="s">
        <v>254</v>
      </c>
      <c r="B26" s="88">
        <v>10</v>
      </c>
      <c r="C26" s="88">
        <v>11</v>
      </c>
      <c r="D26" s="88">
        <v>12</v>
      </c>
      <c r="E26" s="85">
        <f t="shared" si="5"/>
        <v>11</v>
      </c>
      <c r="F26" s="86"/>
    </row>
    <row r="27" spans="1:6" outlineLevel="1">
      <c r="A27" s="87" t="s">
        <v>246</v>
      </c>
      <c r="B27" s="88">
        <v>4</v>
      </c>
      <c r="C27" s="88">
        <v>3</v>
      </c>
      <c r="D27" s="88">
        <v>3</v>
      </c>
      <c r="E27" s="85">
        <f t="shared" si="5"/>
        <v>3.3333333333333335</v>
      </c>
      <c r="F27" s="86"/>
    </row>
    <row r="28" spans="1:6" outlineLevel="1">
      <c r="A28" s="87" t="s">
        <v>247</v>
      </c>
      <c r="B28" s="88">
        <v>2</v>
      </c>
      <c r="C28" s="88">
        <v>2</v>
      </c>
      <c r="D28" s="88">
        <v>2</v>
      </c>
      <c r="E28" s="85">
        <f t="shared" si="5"/>
        <v>2</v>
      </c>
      <c r="F28" s="86"/>
    </row>
    <row r="29" spans="1:6">
      <c r="A29" s="84" t="s">
        <v>218</v>
      </c>
      <c r="B29" s="85" t="str">
        <f>IF(SUM(B30:B32)=0,"",SUM(B30:B32))</f>
        <v/>
      </c>
      <c r="C29" s="85" t="str">
        <f t="shared" ref="C29:E29" si="6">IF(SUM(C30:C32)=0,"",SUM(C30:C32))</f>
        <v/>
      </c>
      <c r="D29" s="85" t="str">
        <f t="shared" si="6"/>
        <v/>
      </c>
      <c r="E29" s="85" t="e">
        <f t="shared" si="6"/>
        <v>#DIV/0!</v>
      </c>
      <c r="F29" s="86"/>
    </row>
    <row r="30" spans="1:6" outlineLevel="1">
      <c r="A30" s="87" t="s">
        <v>255</v>
      </c>
      <c r="B30" s="88"/>
      <c r="C30" s="88"/>
      <c r="D30" s="88"/>
      <c r="E30" s="85" t="e">
        <f>IF(AVERAGE(B30:D30)=0,"",AVERAGE(B30:D30))</f>
        <v>#DIV/0!</v>
      </c>
      <c r="F30" s="86"/>
    </row>
    <row r="31" spans="1:6" outlineLevel="1">
      <c r="A31" s="87" t="s">
        <v>246</v>
      </c>
      <c r="B31" s="88"/>
      <c r="C31" s="88"/>
      <c r="D31" s="88"/>
      <c r="E31" s="85" t="str">
        <f t="shared" ref="E31:E32" si="7">IF(B31="","",AVERAGE(B31:D31))</f>
        <v/>
      </c>
      <c r="F31" s="86"/>
    </row>
    <row r="32" spans="1:6" outlineLevel="1">
      <c r="A32" s="87" t="s">
        <v>247</v>
      </c>
      <c r="B32" s="88"/>
      <c r="C32" s="88"/>
      <c r="D32" s="88"/>
      <c r="E32" s="85" t="str">
        <f t="shared" si="7"/>
        <v/>
      </c>
      <c r="F32" s="86"/>
    </row>
    <row r="33" spans="1:6">
      <c r="A33" s="84" t="s">
        <v>157</v>
      </c>
      <c r="B33" s="85">
        <f>IF(SUM(B34:B40)=0,"",SUM(B34:B40))</f>
        <v>148.24</v>
      </c>
      <c r="C33" s="85">
        <f>IF(SUM(C34:C40)=0,"",SUM(C34:C40))</f>
        <v>147.30000000000001</v>
      </c>
      <c r="D33" s="85">
        <f>IF(SUM(D34:D40)=0,"",SUM(D34:D40))</f>
        <v>146.30000000000001</v>
      </c>
      <c r="E33" s="85">
        <f>IF(SUM(E34:E40)=0,"",SUM(E34:E40))</f>
        <v>147.28</v>
      </c>
      <c r="F33" s="86"/>
    </row>
    <row r="34" spans="1:6" outlineLevel="1">
      <c r="A34" s="87" t="s">
        <v>291</v>
      </c>
      <c r="B34" s="88">
        <v>2</v>
      </c>
      <c r="C34" s="88">
        <v>3</v>
      </c>
      <c r="D34" s="88">
        <v>2</v>
      </c>
      <c r="E34" s="85">
        <f t="shared" ref="E34" si="8">IF(B34="","",AVERAGE(B34:D34))</f>
        <v>2.3333333333333335</v>
      </c>
      <c r="F34" s="86"/>
    </row>
    <row r="35" spans="1:6" outlineLevel="1">
      <c r="A35" s="89" t="s">
        <v>256</v>
      </c>
      <c r="B35" s="88">
        <v>8</v>
      </c>
      <c r="C35" s="88">
        <v>8</v>
      </c>
      <c r="D35" s="88">
        <v>8</v>
      </c>
      <c r="E35" s="85">
        <f>IF(B35="","",AVERAGE(B35:D35))</f>
        <v>8</v>
      </c>
      <c r="F35" s="86"/>
    </row>
    <row r="36" spans="1:6" outlineLevel="1">
      <c r="A36" s="87" t="s">
        <v>257</v>
      </c>
      <c r="B36" s="85">
        <f>IF('预估表单-黄琪'!K$7=0,"",'预估表单-黄琪'!K$7)</f>
        <v>98.240000000000009</v>
      </c>
      <c r="C36" s="85">
        <f>IF('预估表单-刘燕燕'!K$7=0,"",'预估表单-刘燕燕'!K$7)</f>
        <v>98.300000000000011</v>
      </c>
      <c r="D36" s="85">
        <f>IF('预估表单-房雷'!K$7=0,"",'预估表单-刘燕燕'!K$7)</f>
        <v>98.300000000000011</v>
      </c>
      <c r="E36" s="85">
        <f t="shared" ref="E36:E40" si="9">IF(B36="","",AVERAGE(B36:D36))</f>
        <v>98.280000000000015</v>
      </c>
      <c r="F36" s="86"/>
    </row>
    <row r="37" spans="1:6" outlineLevel="1">
      <c r="A37" s="87" t="s">
        <v>258</v>
      </c>
      <c r="B37" s="88"/>
      <c r="C37" s="88"/>
      <c r="D37" s="88"/>
      <c r="E37" s="85" t="str">
        <f t="shared" si="9"/>
        <v/>
      </c>
      <c r="F37" s="86"/>
    </row>
    <row r="38" spans="1:6" outlineLevel="1">
      <c r="A38" s="87" t="s">
        <v>259</v>
      </c>
      <c r="B38" s="88">
        <v>32</v>
      </c>
      <c r="C38" s="88">
        <v>30</v>
      </c>
      <c r="D38" s="88">
        <v>30</v>
      </c>
      <c r="E38" s="85">
        <f t="shared" si="9"/>
        <v>30.666666666666668</v>
      </c>
      <c r="F38" s="86"/>
    </row>
    <row r="39" spans="1:6" outlineLevel="1">
      <c r="A39" s="87" t="s">
        <v>246</v>
      </c>
      <c r="B39" s="88">
        <v>4</v>
      </c>
      <c r="C39" s="88">
        <v>4</v>
      </c>
      <c r="D39" s="88">
        <v>4</v>
      </c>
      <c r="E39" s="85">
        <f t="shared" si="9"/>
        <v>4</v>
      </c>
      <c r="F39" s="86"/>
    </row>
    <row r="40" spans="1:6" outlineLevel="1">
      <c r="A40" s="87" t="s">
        <v>247</v>
      </c>
      <c r="B40" s="88">
        <v>4</v>
      </c>
      <c r="C40" s="88">
        <v>4</v>
      </c>
      <c r="D40" s="88">
        <v>4</v>
      </c>
      <c r="E40" s="85">
        <f t="shared" si="9"/>
        <v>4</v>
      </c>
      <c r="F40" s="86"/>
    </row>
    <row r="41" spans="1:6">
      <c r="A41" s="84" t="s">
        <v>158</v>
      </c>
      <c r="B41" s="85">
        <f>IF(SUM(B42:B46)=0,"",SUM(B42:B46))</f>
        <v>12</v>
      </c>
      <c r="C41" s="85">
        <f>IF(SUM(C42:C46)=0,"",SUM(C42:C46))</f>
        <v>11</v>
      </c>
      <c r="D41" s="85">
        <f>IF(SUM(D42:D46)=0,"",SUM(D42:D46))</f>
        <v>11</v>
      </c>
      <c r="E41" s="85">
        <f>IF(SUM(E42:E46)=0,"",SUM(E42:E46))</f>
        <v>11.333333333333332</v>
      </c>
      <c r="F41" s="86"/>
    </row>
    <row r="42" spans="1:6" outlineLevel="1">
      <c r="A42" s="87" t="s">
        <v>260</v>
      </c>
      <c r="B42" s="88">
        <v>5</v>
      </c>
      <c r="C42" s="88">
        <v>4</v>
      </c>
      <c r="D42" s="88">
        <v>4</v>
      </c>
      <c r="E42" s="85">
        <f t="shared" ref="E42:E46" si="10">IF(B42="","",AVERAGE(B42:D42))</f>
        <v>4.333333333333333</v>
      </c>
      <c r="F42" s="86"/>
    </row>
    <row r="43" spans="1:6" outlineLevel="1">
      <c r="A43" s="87" t="s">
        <v>253</v>
      </c>
      <c r="B43" s="88">
        <v>3</v>
      </c>
      <c r="C43" s="88">
        <v>3</v>
      </c>
      <c r="D43" s="88">
        <v>3</v>
      </c>
      <c r="E43" s="85">
        <f t="shared" si="10"/>
        <v>3</v>
      </c>
      <c r="F43" s="86"/>
    </row>
    <row r="44" spans="1:6" outlineLevel="1">
      <c r="A44" s="87" t="s">
        <v>261</v>
      </c>
      <c r="B44" s="88">
        <v>1</v>
      </c>
      <c r="C44" s="88">
        <v>1</v>
      </c>
      <c r="D44" s="88">
        <v>1</v>
      </c>
      <c r="E44" s="85">
        <f t="shared" si="10"/>
        <v>1</v>
      </c>
      <c r="F44" s="86"/>
    </row>
    <row r="45" spans="1:6" outlineLevel="1">
      <c r="A45" s="87" t="s">
        <v>262</v>
      </c>
      <c r="B45" s="88">
        <v>2</v>
      </c>
      <c r="C45" s="88">
        <v>2</v>
      </c>
      <c r="D45" s="88">
        <v>2</v>
      </c>
      <c r="E45" s="85">
        <f t="shared" si="10"/>
        <v>2</v>
      </c>
      <c r="F45" s="86"/>
    </row>
    <row r="46" spans="1:6" outlineLevel="1">
      <c r="A46" s="87" t="s">
        <v>247</v>
      </c>
      <c r="B46" s="88">
        <v>1</v>
      </c>
      <c r="C46" s="88">
        <v>1</v>
      </c>
      <c r="D46" s="88">
        <v>1</v>
      </c>
      <c r="E46" s="85">
        <f t="shared" si="10"/>
        <v>1</v>
      </c>
      <c r="F46" s="86"/>
    </row>
    <row r="47" spans="1:6">
      <c r="A47" s="47" t="s">
        <v>171</v>
      </c>
      <c r="B47" s="42">
        <f>SUM(B6,B12,B23,B33,B41,B29)</f>
        <v>289.99200000000002</v>
      </c>
      <c r="C47" s="42">
        <f>SUM(C6,C12,C23,C33,C41,C29)</f>
        <v>288.17200000000003</v>
      </c>
      <c r="D47" s="42">
        <f>SUM(D6,D12,D23,D33,D41,D29)</f>
        <v>290.17200000000003</v>
      </c>
      <c r="E47" s="42" t="e">
        <f>SUM(E6,E12,E23,E33,E41,E29)</f>
        <v>#DIV/0!</v>
      </c>
      <c r="F47" s="82"/>
    </row>
    <row r="48" spans="1:6">
      <c r="A48" s="82"/>
      <c r="B48" s="83"/>
      <c r="C48" s="83"/>
      <c r="D48" s="83"/>
      <c r="E48" s="82"/>
      <c r="F48" s="82"/>
    </row>
    <row r="49" spans="1:6" ht="15" customHeight="1">
      <c r="A49" s="110" t="s">
        <v>169</v>
      </c>
      <c r="B49" s="111"/>
      <c r="C49" s="111"/>
      <c r="D49" s="111"/>
      <c r="E49" s="111"/>
      <c r="F49" s="109" t="s">
        <v>167</v>
      </c>
    </row>
    <row r="50" spans="1:6">
      <c r="A50" s="110"/>
      <c r="B50" s="80" t="s">
        <v>223</v>
      </c>
      <c r="C50" s="80" t="s">
        <v>224</v>
      </c>
      <c r="D50" s="80" t="s">
        <v>164</v>
      </c>
      <c r="E50" s="81" t="s">
        <v>201</v>
      </c>
      <c r="F50" s="109"/>
    </row>
    <row r="51" spans="1:6">
      <c r="A51" s="84" t="s">
        <v>233</v>
      </c>
      <c r="B51" s="90">
        <f>IF(B6="","",B6)</f>
        <v>27</v>
      </c>
      <c r="C51" s="90">
        <f>IF(C6="","",C6)</f>
        <v>29</v>
      </c>
      <c r="D51" s="90">
        <f>IF(D6="","",D6)</f>
        <v>30</v>
      </c>
      <c r="E51" s="42">
        <f>IF(B51="","",AVERAGE(B51:D51))</f>
        <v>28.666666666666668</v>
      </c>
      <c r="F51" s="45">
        <f t="shared" ref="F51:F57" si="11">IF(E51="","",E51/E$57)</f>
        <v>9.9040002948167546E-2</v>
      </c>
    </row>
    <row r="52" spans="1:6">
      <c r="A52" s="84" t="s">
        <v>234</v>
      </c>
      <c r="B52" s="90" t="str">
        <f>IF(B12="","",B12)</f>
        <v/>
      </c>
      <c r="C52" s="90" t="str">
        <f>IF(C12="","",C12)</f>
        <v/>
      </c>
      <c r="D52" s="90" t="str">
        <f>IF(D12="","",D12)</f>
        <v/>
      </c>
      <c r="E52" s="42" t="str">
        <f t="shared" ref="E52:E56" si="12">IF(B52="","",AVERAGE(B52:D52))</f>
        <v/>
      </c>
      <c r="F52" s="45" t="str">
        <f t="shared" si="11"/>
        <v/>
      </c>
    </row>
    <row r="53" spans="1:6">
      <c r="A53" s="84" t="s">
        <v>235</v>
      </c>
      <c r="B53" s="90">
        <f>IF(B23="","",B23)</f>
        <v>102.752</v>
      </c>
      <c r="C53" s="90">
        <f t="shared" ref="C53:D53" si="13">IF(C23="","",C23)</f>
        <v>100.872</v>
      </c>
      <c r="D53" s="90">
        <f t="shared" si="13"/>
        <v>102.872</v>
      </c>
      <c r="E53" s="42">
        <f t="shared" si="12"/>
        <v>102.16533333333332</v>
      </c>
      <c r="F53" s="45">
        <f t="shared" si="11"/>
        <v>0.35296935748373903</v>
      </c>
    </row>
    <row r="54" spans="1:6">
      <c r="A54" s="84" t="s">
        <v>236</v>
      </c>
      <c r="B54" s="90" t="str">
        <f>IF(B29="","",B29)</f>
        <v/>
      </c>
      <c r="C54" s="90" t="str">
        <f t="shared" ref="C54:D54" si="14">IF(C29="","",C29)</f>
        <v/>
      </c>
      <c r="D54" s="90" t="str">
        <f t="shared" si="14"/>
        <v/>
      </c>
      <c r="E54" s="42" t="str">
        <f t="shared" si="12"/>
        <v/>
      </c>
      <c r="F54" s="45" t="str">
        <f t="shared" si="11"/>
        <v/>
      </c>
    </row>
    <row r="55" spans="1:6">
      <c r="A55" s="84" t="s">
        <v>237</v>
      </c>
      <c r="B55" s="90">
        <f>IF(B33="","",B33)</f>
        <v>148.24</v>
      </c>
      <c r="C55" s="90">
        <f>IF(C33="","",C33)</f>
        <v>147.30000000000001</v>
      </c>
      <c r="D55" s="90">
        <f>IF(D33="","",D33)</f>
        <v>146.30000000000001</v>
      </c>
      <c r="E55" s="42">
        <f t="shared" si="12"/>
        <v>147.28</v>
      </c>
      <c r="F55" s="45">
        <f t="shared" si="11"/>
        <v>0.50883528956532964</v>
      </c>
    </row>
    <row r="56" spans="1:6">
      <c r="A56" s="84" t="s">
        <v>238</v>
      </c>
      <c r="B56" s="90">
        <f>IF(B41="","",B41)</f>
        <v>12</v>
      </c>
      <c r="C56" s="90">
        <f>IF(C41="","",C41)</f>
        <v>11</v>
      </c>
      <c r="D56" s="90">
        <f>IF(D41="","",D41)</f>
        <v>11</v>
      </c>
      <c r="E56" s="42">
        <f t="shared" si="12"/>
        <v>11.333333333333334</v>
      </c>
      <c r="F56" s="45">
        <f t="shared" si="11"/>
        <v>3.915535000276392E-2</v>
      </c>
    </row>
    <row r="57" spans="1:6">
      <c r="A57" s="84" t="s">
        <v>220</v>
      </c>
      <c r="B57" s="42">
        <f>SUM(B51:B56)</f>
        <v>289.99200000000002</v>
      </c>
      <c r="C57" s="42">
        <f>SUM(C51:C56)</f>
        <v>288.17200000000003</v>
      </c>
      <c r="D57" s="42">
        <f>SUM(D51:D56)</f>
        <v>290.17200000000003</v>
      </c>
      <c r="E57" s="42">
        <f>SUM(E51:E56)</f>
        <v>289.44533333333328</v>
      </c>
      <c r="F57" s="45">
        <f t="shared" si="11"/>
        <v>1</v>
      </c>
    </row>
    <row r="58" spans="1:6">
      <c r="A58" s="84" t="s">
        <v>221</v>
      </c>
      <c r="B58" s="42">
        <f>B57/8</f>
        <v>36.249000000000002</v>
      </c>
      <c r="C58" s="42">
        <f>C57/8</f>
        <v>36.021500000000003</v>
      </c>
      <c r="D58" s="42">
        <f>D57/8</f>
        <v>36.271500000000003</v>
      </c>
      <c r="E58" s="42">
        <f>E57/8</f>
        <v>36.18066666666666</v>
      </c>
      <c r="F58" s="82"/>
    </row>
  </sheetData>
  <sheetProtection formatColumns="0" pivotTables="0"/>
  <protectedRanges>
    <protectedRange password="C613" sqref="A34" name="区域1_1"/>
    <protectedRange password="C613" sqref="A22 A27:A28 A31:A32" name="区域1_5"/>
    <protectedRange password="C613" sqref="A7:A11" name="区域1_2_1"/>
    <protectedRange password="C613" sqref="A21 A14:A16" name="区域1_9"/>
    <protectedRange password="C613" sqref="A24:A26 A29:A30 A18:A20" name="区域1_10"/>
    <protectedRange password="C613" sqref="A35:A40" name="区域1_11"/>
    <protectedRange password="C613" sqref="A42:A46" name="区域1_3_1"/>
    <protectedRange password="C613" sqref="A51:A56" name="区域1_13"/>
  </protectedRanges>
  <mergeCells count="7">
    <mergeCell ref="A1:F1"/>
    <mergeCell ref="F4:F5"/>
    <mergeCell ref="A49:A50"/>
    <mergeCell ref="B49:E49"/>
    <mergeCell ref="F49:F50"/>
    <mergeCell ref="A4:A5"/>
    <mergeCell ref="B4:E4"/>
  </mergeCells>
  <phoneticPr fontId="7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1"/>
  <sheetViews>
    <sheetView showGridLines="0" tabSelected="1"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20" sqref="C20"/>
    </sheetView>
  </sheetViews>
  <sheetFormatPr defaultRowHeight="12"/>
  <cols>
    <col min="1" max="1" width="4.44140625" style="35" customWidth="1"/>
    <col min="2" max="2" width="15.33203125" style="35" customWidth="1"/>
    <col min="3" max="3" width="32.109375" style="75" customWidth="1"/>
    <col min="4" max="4" width="6.77734375" style="35" customWidth="1"/>
    <col min="5" max="5" width="5.44140625" style="35" customWidth="1"/>
    <col min="6" max="6" width="4.44140625" style="35" customWidth="1"/>
    <col min="7" max="7" width="7.5546875" style="35" customWidth="1"/>
    <col min="8" max="8" width="4.21875" style="35" customWidth="1"/>
    <col min="9" max="9" width="8.88671875" style="35" customWidth="1"/>
    <col min="10" max="10" width="7.5546875" style="35" customWidth="1"/>
    <col min="11" max="11" width="8.77734375" style="35" customWidth="1"/>
    <col min="12" max="12" width="9.6640625" style="35" customWidth="1"/>
    <col min="13" max="13" width="11" style="35" customWidth="1"/>
    <col min="14" max="14" width="11.44140625" style="35" customWidth="1"/>
    <col min="15" max="16384" width="8.88671875" style="35"/>
  </cols>
  <sheetData>
    <row r="1" spans="1:14" ht="22.5">
      <c r="A1" s="119" t="s">
        <v>202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4" ht="6.75" customHeight="1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4" ht="12.75">
      <c r="B3" s="34" t="s">
        <v>175</v>
      </c>
      <c r="C3" s="71" t="s">
        <v>168</v>
      </c>
      <c r="D3" s="34" t="s">
        <v>176</v>
      </c>
      <c r="E3" s="121">
        <v>43263</v>
      </c>
      <c r="F3" s="122"/>
      <c r="G3" s="34" t="s">
        <v>197</v>
      </c>
      <c r="H3" s="68" t="s">
        <v>292</v>
      </c>
    </row>
    <row r="4" spans="1:14" ht="15.75" customHeight="1">
      <c r="A4" s="123" t="s">
        <v>177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</row>
    <row r="5" spans="1:14" ht="15" customHeight="1">
      <c r="A5" s="33" t="s">
        <v>228</v>
      </c>
      <c r="B5" s="41">
        <f>SUM(D12:D16)</f>
        <v>0</v>
      </c>
      <c r="C5" s="33" t="s">
        <v>264</v>
      </c>
      <c r="D5" s="41">
        <v>25</v>
      </c>
      <c r="E5" s="117" t="s">
        <v>178</v>
      </c>
      <c r="F5" s="117"/>
      <c r="G5" s="117"/>
      <c r="H5" s="41">
        <v>1</v>
      </c>
      <c r="I5" s="117" t="s">
        <v>179</v>
      </c>
      <c r="J5" s="117"/>
      <c r="K5" s="85">
        <f>IF(I17="","",I17)</f>
        <v>0</v>
      </c>
    </row>
    <row r="6" spans="1:14" s="36" customFormat="1" ht="15" customHeight="1">
      <c r="A6" s="33" t="s">
        <v>229</v>
      </c>
      <c r="B6" s="41">
        <f>SUM(E12:E16)</f>
        <v>1352</v>
      </c>
      <c r="C6" s="33" t="s">
        <v>180</v>
      </c>
      <c r="D6" s="41">
        <v>25</v>
      </c>
      <c r="E6" s="117" t="s">
        <v>181</v>
      </c>
      <c r="F6" s="117"/>
      <c r="G6" s="117"/>
      <c r="H6" s="41">
        <v>1</v>
      </c>
      <c r="I6" s="117" t="s">
        <v>182</v>
      </c>
      <c r="J6" s="117"/>
      <c r="K6" s="85">
        <f>IF(J17="","",J17)</f>
        <v>66.751999999999995</v>
      </c>
    </row>
    <row r="7" spans="1:14" s="36" customFormat="1" ht="15" customHeight="1">
      <c r="A7" s="33" t="s">
        <v>230</v>
      </c>
      <c r="B7" s="41">
        <f>SUM(G12:G16)</f>
        <v>5406</v>
      </c>
      <c r="C7" s="33" t="s">
        <v>183</v>
      </c>
      <c r="D7" s="41">
        <v>50</v>
      </c>
      <c r="E7" s="117" t="s">
        <v>184</v>
      </c>
      <c r="F7" s="117"/>
      <c r="G7" s="117"/>
      <c r="H7" s="41">
        <v>1</v>
      </c>
      <c r="I7" s="117" t="s">
        <v>185</v>
      </c>
      <c r="J7" s="117"/>
      <c r="K7" s="85">
        <f>IF(K17="","",K17)</f>
        <v>98.240000000000009</v>
      </c>
    </row>
    <row r="8" spans="1:14" s="36" customFormat="1" ht="12.75" customHeight="1">
      <c r="A8" s="118"/>
      <c r="B8" s="118"/>
      <c r="C8" s="118"/>
      <c r="D8" s="118"/>
      <c r="E8" s="118"/>
      <c r="F8" s="118"/>
      <c r="G8" s="118"/>
      <c r="H8" s="118"/>
      <c r="I8" s="118"/>
      <c r="J8" s="118"/>
      <c r="K8" s="118"/>
    </row>
    <row r="9" spans="1:14" s="36" customFormat="1" ht="16.5" customHeight="1">
      <c r="A9" s="113" t="s">
        <v>186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</row>
    <row r="10" spans="1:14" s="37" customFormat="1" ht="36">
      <c r="A10" s="48" t="s">
        <v>187</v>
      </c>
      <c r="B10" s="48" t="s">
        <v>188</v>
      </c>
      <c r="C10" s="33" t="s">
        <v>189</v>
      </c>
      <c r="D10" s="48" t="s">
        <v>219</v>
      </c>
      <c r="E10" s="48" t="s">
        <v>225</v>
      </c>
      <c r="F10" s="48" t="s">
        <v>190</v>
      </c>
      <c r="G10" s="81" t="s">
        <v>263</v>
      </c>
      <c r="H10" s="48" t="s">
        <v>191</v>
      </c>
      <c r="I10" s="48" t="s">
        <v>192</v>
      </c>
      <c r="J10" s="48" t="s">
        <v>193</v>
      </c>
      <c r="K10" s="48" t="s">
        <v>194</v>
      </c>
      <c r="L10" s="92" t="s">
        <v>268</v>
      </c>
      <c r="M10" s="92" t="s">
        <v>269</v>
      </c>
      <c r="N10" s="92" t="s">
        <v>270</v>
      </c>
    </row>
    <row r="11" spans="1:14" s="38" customFormat="1" ht="48.75" customHeight="1">
      <c r="A11" s="31">
        <v>1</v>
      </c>
      <c r="B11" s="69" t="s">
        <v>304</v>
      </c>
      <c r="C11" s="72" t="s">
        <v>305</v>
      </c>
      <c r="D11" s="31">
        <v>0</v>
      </c>
      <c r="E11" s="31">
        <v>3</v>
      </c>
      <c r="F11" s="31">
        <v>1</v>
      </c>
      <c r="G11" s="31">
        <f>F11*E11</f>
        <v>3</v>
      </c>
      <c r="H11" s="31">
        <v>1</v>
      </c>
      <c r="I11" s="32">
        <f t="shared" ref="I11" si="0">IF(D11="","",D11*H$5*H11/D$5)</f>
        <v>0</v>
      </c>
      <c r="J11" s="32">
        <f t="shared" ref="J11" si="1">IF(E11="","",E11*H$6*H11/D$6)</f>
        <v>0.12</v>
      </c>
      <c r="K11" s="32">
        <f t="shared" ref="K11" si="2">G11*H$7*H11/D$7</f>
        <v>0.06</v>
      </c>
      <c r="L11" s="32" t="e">
        <f t="shared" ref="L11" si="3">D11/I11*8</f>
        <v>#DIV/0!</v>
      </c>
      <c r="M11" s="32">
        <f t="shared" ref="M11" si="4">E11/J11*8</f>
        <v>200</v>
      </c>
      <c r="N11" s="32">
        <f t="shared" ref="N11" si="5">G11/K11*8</f>
        <v>400</v>
      </c>
    </row>
    <row r="12" spans="1:14" s="38" customFormat="1" ht="48.75" customHeight="1">
      <c r="A12" s="31">
        <v>2</v>
      </c>
      <c r="B12" s="69" t="s">
        <v>293</v>
      </c>
      <c r="C12" s="72" t="s">
        <v>308</v>
      </c>
      <c r="D12" s="31">
        <v>0</v>
      </c>
      <c r="E12" s="31">
        <v>1114</v>
      </c>
      <c r="F12" s="31">
        <v>1</v>
      </c>
      <c r="G12" s="31">
        <f>F12*E12</f>
        <v>1114</v>
      </c>
      <c r="H12" s="31">
        <v>1</v>
      </c>
      <c r="I12" s="32">
        <f t="shared" ref="I12:I16" si="6">IF(D12="","",D12*H$5*H12/D$5)</f>
        <v>0</v>
      </c>
      <c r="J12" s="32">
        <f t="shared" ref="J12:J16" si="7">IF(E12="","",E12*H$6*H12/D$6)</f>
        <v>44.56</v>
      </c>
      <c r="K12" s="32">
        <f t="shared" ref="K12:K16" si="8">G12*H$7*H12/D$7</f>
        <v>22.28</v>
      </c>
      <c r="L12" s="32" t="e">
        <f t="shared" ref="L12:L16" si="9">D12/I12*8</f>
        <v>#DIV/0!</v>
      </c>
      <c r="M12" s="32">
        <f t="shared" ref="M12:M16" si="10">E12/J12*8</f>
        <v>200</v>
      </c>
      <c r="N12" s="32">
        <f t="shared" ref="N12:N16" si="11">G12/K12*8</f>
        <v>400</v>
      </c>
    </row>
    <row r="13" spans="1:14" s="38" customFormat="1" ht="48.75" customHeight="1">
      <c r="A13" s="31">
        <v>3</v>
      </c>
      <c r="B13" s="69" t="s">
        <v>309</v>
      </c>
      <c r="C13" s="72" t="s">
        <v>301</v>
      </c>
      <c r="D13" s="31">
        <v>0</v>
      </c>
      <c r="E13" s="31">
        <v>34</v>
      </c>
      <c r="F13" s="31">
        <v>1</v>
      </c>
      <c r="G13" s="31">
        <f t="shared" ref="G13:G15" si="12">F13*E13</f>
        <v>34</v>
      </c>
      <c r="H13" s="31">
        <v>0.8</v>
      </c>
      <c r="I13" s="32">
        <f t="shared" si="6"/>
        <v>0</v>
      </c>
      <c r="J13" s="32">
        <f t="shared" si="7"/>
        <v>1.0880000000000001</v>
      </c>
      <c r="K13" s="32">
        <f t="shared" si="8"/>
        <v>0.54400000000000004</v>
      </c>
      <c r="L13" s="32" t="e">
        <f t="shared" si="9"/>
        <v>#DIV/0!</v>
      </c>
      <c r="M13" s="32">
        <f t="shared" si="10"/>
        <v>249.99999999999997</v>
      </c>
      <c r="N13" s="32">
        <f t="shared" si="11"/>
        <v>499.99999999999994</v>
      </c>
    </row>
    <row r="14" spans="1:14" s="38" customFormat="1" ht="48.75" customHeight="1">
      <c r="A14" s="31">
        <v>4</v>
      </c>
      <c r="B14" s="69" t="s">
        <v>295</v>
      </c>
      <c r="C14" s="73" t="s">
        <v>296</v>
      </c>
      <c r="D14" s="31">
        <v>0</v>
      </c>
      <c r="E14" s="31">
        <v>40</v>
      </c>
      <c r="F14" s="31">
        <v>1</v>
      </c>
      <c r="G14" s="31">
        <f t="shared" si="12"/>
        <v>40</v>
      </c>
      <c r="H14" s="31">
        <v>1</v>
      </c>
      <c r="I14" s="32">
        <f t="shared" si="6"/>
        <v>0</v>
      </c>
      <c r="J14" s="32">
        <f t="shared" si="7"/>
        <v>1.6</v>
      </c>
      <c r="K14" s="32">
        <f t="shared" si="8"/>
        <v>0.8</v>
      </c>
      <c r="L14" s="32" t="e">
        <f t="shared" si="9"/>
        <v>#DIV/0!</v>
      </c>
      <c r="M14" s="32">
        <f t="shared" si="10"/>
        <v>200</v>
      </c>
      <c r="N14" s="32">
        <f t="shared" si="11"/>
        <v>400</v>
      </c>
    </row>
    <row r="15" spans="1:14" s="38" customFormat="1" ht="48.75" customHeight="1">
      <c r="A15" s="31">
        <v>5</v>
      </c>
      <c r="B15" s="69" t="s">
        <v>297</v>
      </c>
      <c r="C15" s="72" t="s">
        <v>310</v>
      </c>
      <c r="D15" s="31">
        <v>0</v>
      </c>
      <c r="E15" s="31">
        <v>162</v>
      </c>
      <c r="F15" s="31">
        <v>1</v>
      </c>
      <c r="G15" s="31">
        <f t="shared" si="12"/>
        <v>162</v>
      </c>
      <c r="H15" s="31">
        <v>3</v>
      </c>
      <c r="I15" s="32">
        <f t="shared" si="6"/>
        <v>0</v>
      </c>
      <c r="J15" s="32">
        <f t="shared" si="7"/>
        <v>19.440000000000001</v>
      </c>
      <c r="K15" s="32">
        <f t="shared" si="8"/>
        <v>9.7200000000000006</v>
      </c>
      <c r="L15" s="32" t="e">
        <f t="shared" si="9"/>
        <v>#DIV/0!</v>
      </c>
      <c r="M15" s="32">
        <f t="shared" si="10"/>
        <v>66.666666666666657</v>
      </c>
      <c r="N15" s="32">
        <f t="shared" si="11"/>
        <v>133.33333333333331</v>
      </c>
    </row>
    <row r="16" spans="1:14" s="38" customFormat="1" ht="48.75" customHeight="1">
      <c r="A16" s="31">
        <v>6</v>
      </c>
      <c r="B16" s="95" t="s">
        <v>311</v>
      </c>
      <c r="C16" s="74" t="s">
        <v>307</v>
      </c>
      <c r="D16" s="31">
        <v>0</v>
      </c>
      <c r="E16" s="31">
        <v>2</v>
      </c>
      <c r="F16" s="31">
        <v>1</v>
      </c>
      <c r="G16" s="31">
        <v>4056</v>
      </c>
      <c r="H16" s="31">
        <v>0.8</v>
      </c>
      <c r="I16" s="32">
        <f t="shared" si="6"/>
        <v>0</v>
      </c>
      <c r="J16" s="32">
        <f t="shared" si="7"/>
        <v>6.4000000000000001E-2</v>
      </c>
      <c r="K16" s="32">
        <f t="shared" si="8"/>
        <v>64.896000000000001</v>
      </c>
      <c r="L16" s="32" t="e">
        <f t="shared" si="9"/>
        <v>#DIV/0!</v>
      </c>
      <c r="M16" s="32">
        <f t="shared" si="10"/>
        <v>250</v>
      </c>
      <c r="N16" s="32">
        <f t="shared" si="11"/>
        <v>500</v>
      </c>
    </row>
    <row r="17" spans="1:14" s="38" customFormat="1" ht="15" customHeight="1">
      <c r="A17" s="114" t="s">
        <v>195</v>
      </c>
      <c r="B17" s="115"/>
      <c r="C17" s="116"/>
      <c r="D17" s="41">
        <f>SUM(D12:D16)</f>
        <v>0</v>
      </c>
      <c r="E17" s="41">
        <f>SUM(E12:E16)</f>
        <v>1352</v>
      </c>
      <c r="F17" s="41"/>
      <c r="G17" s="41">
        <f>SUM(G12:G16)</f>
        <v>5406</v>
      </c>
      <c r="H17" s="41"/>
      <c r="I17" s="42">
        <f>SUM(I12:I16)</f>
        <v>0</v>
      </c>
      <c r="J17" s="42">
        <f>SUM(J12:J16)</f>
        <v>66.751999999999995</v>
      </c>
      <c r="K17" s="42">
        <f>SUM(K12:K16)</f>
        <v>98.240000000000009</v>
      </c>
      <c r="L17" s="42" t="e">
        <f>D17/I17*8</f>
        <v>#DIV/0!</v>
      </c>
      <c r="M17" s="42">
        <f>E17/J17*8</f>
        <v>162.03259827420902</v>
      </c>
      <c r="N17" s="42">
        <f>G17/K17*8</f>
        <v>440.22801302931595</v>
      </c>
    </row>
    <row r="18" spans="1:14">
      <c r="A18" s="39"/>
    </row>
    <row r="19" spans="1:14">
      <c r="A19" s="39"/>
    </row>
    <row r="20" spans="1:14">
      <c r="A20" s="39"/>
      <c r="H20" s="40"/>
    </row>
    <row r="21" spans="1:14">
      <c r="A21" s="39"/>
    </row>
  </sheetData>
  <mergeCells count="13">
    <mergeCell ref="A1:K1"/>
    <mergeCell ref="A2:K2"/>
    <mergeCell ref="E3:F3"/>
    <mergeCell ref="A4:K4"/>
    <mergeCell ref="E5:G5"/>
    <mergeCell ref="I5:J5"/>
    <mergeCell ref="A9:K9"/>
    <mergeCell ref="A17:C17"/>
    <mergeCell ref="E6:G6"/>
    <mergeCell ref="I6:J6"/>
    <mergeCell ref="E7:G7"/>
    <mergeCell ref="I7:J7"/>
    <mergeCell ref="A8:K8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21"/>
  <sheetViews>
    <sheetView showGridLines="0" workbookViewId="0">
      <pane xSplit="1" ySplit="10" topLeftCell="B15" activePane="bottomRight" state="frozen"/>
      <selection pane="topRight" activeCell="B1" sqref="B1"/>
      <selection pane="bottomLeft" activeCell="A11" sqref="A11"/>
      <selection pane="bottomRight" activeCell="C31" sqref="C31"/>
    </sheetView>
  </sheetViews>
  <sheetFormatPr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10.77734375" style="35" bestFit="1" customWidth="1"/>
    <col min="11" max="11" width="14.6640625" style="35" customWidth="1"/>
    <col min="12" max="16384" width="8.88671875" style="35"/>
  </cols>
  <sheetData>
    <row r="1" spans="1:14" ht="22.5">
      <c r="A1" s="119" t="s">
        <v>231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4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4" ht="12.75">
      <c r="B3" s="77" t="s">
        <v>203</v>
      </c>
      <c r="C3" s="78" t="s">
        <v>168</v>
      </c>
      <c r="D3" s="34" t="s">
        <v>204</v>
      </c>
      <c r="E3" s="121">
        <v>43262</v>
      </c>
      <c r="F3" s="122"/>
      <c r="G3" s="34" t="s">
        <v>205</v>
      </c>
      <c r="H3" s="68" t="s">
        <v>298</v>
      </c>
    </row>
    <row r="4" spans="1:14" ht="18.75">
      <c r="A4" s="123" t="s">
        <v>206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</row>
    <row r="5" spans="1:14" ht="12.75" customHeight="1">
      <c r="A5" s="33" t="s">
        <v>207</v>
      </c>
      <c r="B5" s="41">
        <f>SUM(D11:D16)</f>
        <v>0</v>
      </c>
      <c r="C5" s="33" t="s">
        <v>264</v>
      </c>
      <c r="D5" s="93">
        <v>25</v>
      </c>
      <c r="E5" s="117" t="s">
        <v>178</v>
      </c>
      <c r="F5" s="117"/>
      <c r="G5" s="117"/>
      <c r="H5" s="93">
        <v>1</v>
      </c>
      <c r="I5" s="117" t="s">
        <v>179</v>
      </c>
      <c r="J5" s="117"/>
      <c r="K5" s="85">
        <f>IF(I17="","",I17)</f>
        <v>0</v>
      </c>
    </row>
    <row r="6" spans="1:14" s="36" customFormat="1" ht="12.75" customHeight="1">
      <c r="A6" s="33" t="s">
        <v>208</v>
      </c>
      <c r="B6" s="41">
        <f>SUM(E11:E16)</f>
        <v>1355</v>
      </c>
      <c r="C6" s="33" t="s">
        <v>180</v>
      </c>
      <c r="D6" s="93">
        <v>25</v>
      </c>
      <c r="E6" s="117" t="s">
        <v>181</v>
      </c>
      <c r="F6" s="117"/>
      <c r="G6" s="117"/>
      <c r="H6" s="93">
        <v>1</v>
      </c>
      <c r="I6" s="117" t="s">
        <v>182</v>
      </c>
      <c r="J6" s="117"/>
      <c r="K6" s="85">
        <f>IF(J17="","",J17)</f>
        <v>66.872</v>
      </c>
    </row>
    <row r="7" spans="1:14" s="36" customFormat="1" ht="12.75" customHeight="1">
      <c r="A7" s="33" t="s">
        <v>230</v>
      </c>
      <c r="B7" s="41">
        <f>SUM(G11:G16)</f>
        <v>5409</v>
      </c>
      <c r="C7" s="33" t="s">
        <v>183</v>
      </c>
      <c r="D7" s="93">
        <v>50</v>
      </c>
      <c r="E7" s="117" t="s">
        <v>184</v>
      </c>
      <c r="F7" s="117"/>
      <c r="G7" s="117"/>
      <c r="H7" s="93">
        <v>1</v>
      </c>
      <c r="I7" s="117" t="s">
        <v>185</v>
      </c>
      <c r="J7" s="117"/>
      <c r="K7" s="85">
        <f>IF(K17="","",K17)</f>
        <v>98.300000000000011</v>
      </c>
    </row>
    <row r="8" spans="1:14" s="36" customFormat="1" ht="3.75" customHeight="1">
      <c r="A8" s="118"/>
      <c r="B8" s="118"/>
      <c r="C8" s="118"/>
      <c r="D8" s="118"/>
      <c r="E8" s="118"/>
      <c r="F8" s="118"/>
      <c r="G8" s="118"/>
      <c r="H8" s="118"/>
      <c r="I8" s="118"/>
      <c r="J8" s="118"/>
      <c r="K8" s="118"/>
    </row>
    <row r="9" spans="1:14" s="36" customFormat="1" ht="13.5" customHeight="1">
      <c r="A9" s="113" t="s">
        <v>209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</row>
    <row r="10" spans="1:14" s="37" customFormat="1" ht="36">
      <c r="A10" s="76" t="s">
        <v>210</v>
      </c>
      <c r="B10" s="76" t="s">
        <v>211</v>
      </c>
      <c r="C10" s="76" t="s">
        <v>212</v>
      </c>
      <c r="D10" s="76" t="s">
        <v>219</v>
      </c>
      <c r="E10" s="76" t="s">
        <v>225</v>
      </c>
      <c r="F10" s="76" t="s">
        <v>213</v>
      </c>
      <c r="G10" s="81" t="s">
        <v>232</v>
      </c>
      <c r="H10" s="92" t="s">
        <v>191</v>
      </c>
      <c r="I10" s="76" t="s">
        <v>214</v>
      </c>
      <c r="J10" s="76" t="s">
        <v>215</v>
      </c>
      <c r="K10" s="76" t="s">
        <v>216</v>
      </c>
      <c r="L10" s="92" t="s">
        <v>267</v>
      </c>
      <c r="M10" s="92" t="s">
        <v>266</v>
      </c>
      <c r="N10" s="92" t="s">
        <v>265</v>
      </c>
    </row>
    <row r="11" spans="1:14" s="38" customFormat="1" ht="48.75" customHeight="1">
      <c r="A11" s="31">
        <v>1</v>
      </c>
      <c r="B11" s="69" t="s">
        <v>304</v>
      </c>
      <c r="C11" s="72" t="s">
        <v>305</v>
      </c>
      <c r="D11" s="31">
        <v>0</v>
      </c>
      <c r="E11" s="31">
        <v>3</v>
      </c>
      <c r="F11" s="31">
        <v>1</v>
      </c>
      <c r="G11" s="31">
        <f>F11*E11</f>
        <v>3</v>
      </c>
      <c r="H11" s="31">
        <v>1</v>
      </c>
      <c r="I11" s="32">
        <f t="shared" ref="I11:I16" si="0">IF(D11="","",D11*H$5*H11/D$5)</f>
        <v>0</v>
      </c>
      <c r="J11" s="32">
        <f t="shared" ref="J11:J16" si="1">IF(E11="","",E11*H$6*H11/D$6)</f>
        <v>0.12</v>
      </c>
      <c r="K11" s="32">
        <f t="shared" ref="K11:K16" si="2">G11*H$7*H11/D$7</f>
        <v>0.06</v>
      </c>
      <c r="L11" s="32" t="e">
        <f t="shared" ref="L11:M16" si="3">D11/I11*8</f>
        <v>#DIV/0!</v>
      </c>
      <c r="M11" s="32">
        <f t="shared" si="3"/>
        <v>200</v>
      </c>
      <c r="N11" s="32">
        <f t="shared" ref="N11:N16" si="4">G11/K11*8</f>
        <v>400</v>
      </c>
    </row>
    <row r="12" spans="1:14" s="38" customFormat="1" ht="48.75" customHeight="1">
      <c r="A12" s="31">
        <v>2</v>
      </c>
      <c r="B12" s="69" t="s">
        <v>293</v>
      </c>
      <c r="C12" s="72" t="s">
        <v>303</v>
      </c>
      <c r="D12" s="31">
        <v>0</v>
      </c>
      <c r="E12" s="31">
        <v>1114</v>
      </c>
      <c r="F12" s="31">
        <v>1</v>
      </c>
      <c r="G12" s="31">
        <f>F12*E12</f>
        <v>1114</v>
      </c>
      <c r="H12" s="31">
        <v>1</v>
      </c>
      <c r="I12" s="32">
        <f t="shared" si="0"/>
        <v>0</v>
      </c>
      <c r="J12" s="32">
        <f t="shared" si="1"/>
        <v>44.56</v>
      </c>
      <c r="K12" s="32">
        <f t="shared" si="2"/>
        <v>22.28</v>
      </c>
      <c r="L12" s="32" t="e">
        <f t="shared" si="3"/>
        <v>#DIV/0!</v>
      </c>
      <c r="M12" s="32">
        <f t="shared" si="3"/>
        <v>200</v>
      </c>
      <c r="N12" s="32">
        <f t="shared" si="4"/>
        <v>400</v>
      </c>
    </row>
    <row r="13" spans="1:14" s="38" customFormat="1" ht="48.75" customHeight="1">
      <c r="A13" s="31">
        <v>3</v>
      </c>
      <c r="B13" s="69" t="s">
        <v>294</v>
      </c>
      <c r="C13" s="72" t="s">
        <v>301</v>
      </c>
      <c r="D13" s="31">
        <v>0</v>
      </c>
      <c r="E13" s="31">
        <v>34</v>
      </c>
      <c r="F13" s="31">
        <v>1</v>
      </c>
      <c r="G13" s="31">
        <f t="shared" ref="G13:G15" si="5">F13*E13</f>
        <v>34</v>
      </c>
      <c r="H13" s="31">
        <v>0.8</v>
      </c>
      <c r="I13" s="32">
        <f t="shared" si="0"/>
        <v>0</v>
      </c>
      <c r="J13" s="32">
        <f t="shared" si="1"/>
        <v>1.0880000000000001</v>
      </c>
      <c r="K13" s="32">
        <f t="shared" si="2"/>
        <v>0.54400000000000004</v>
      </c>
      <c r="L13" s="32" t="e">
        <f t="shared" si="3"/>
        <v>#DIV/0!</v>
      </c>
      <c r="M13" s="32">
        <f t="shared" si="3"/>
        <v>249.99999999999997</v>
      </c>
      <c r="N13" s="32">
        <f t="shared" si="4"/>
        <v>499.99999999999994</v>
      </c>
    </row>
    <row r="14" spans="1:14" s="38" customFormat="1" ht="48.75" customHeight="1">
      <c r="A14" s="31">
        <v>4</v>
      </c>
      <c r="B14" s="69" t="s">
        <v>295</v>
      </c>
      <c r="C14" s="73" t="s">
        <v>296</v>
      </c>
      <c r="D14" s="31">
        <v>0</v>
      </c>
      <c r="E14" s="31">
        <v>40</v>
      </c>
      <c r="F14" s="31">
        <v>1</v>
      </c>
      <c r="G14" s="31">
        <f t="shared" si="5"/>
        <v>40</v>
      </c>
      <c r="H14" s="31">
        <v>1</v>
      </c>
      <c r="I14" s="32">
        <f t="shared" si="0"/>
        <v>0</v>
      </c>
      <c r="J14" s="32">
        <f t="shared" si="1"/>
        <v>1.6</v>
      </c>
      <c r="K14" s="32">
        <f t="shared" si="2"/>
        <v>0.8</v>
      </c>
      <c r="L14" s="32" t="e">
        <f t="shared" si="3"/>
        <v>#DIV/0!</v>
      </c>
      <c r="M14" s="32">
        <f t="shared" si="3"/>
        <v>200</v>
      </c>
      <c r="N14" s="32">
        <f t="shared" si="4"/>
        <v>400</v>
      </c>
    </row>
    <row r="15" spans="1:14" s="38" customFormat="1" ht="48.75" customHeight="1">
      <c r="A15" s="31">
        <v>5</v>
      </c>
      <c r="B15" s="69" t="s">
        <v>297</v>
      </c>
      <c r="C15" s="72" t="s">
        <v>302</v>
      </c>
      <c r="D15" s="31">
        <v>0</v>
      </c>
      <c r="E15" s="31">
        <v>162</v>
      </c>
      <c r="F15" s="31">
        <v>1</v>
      </c>
      <c r="G15" s="31">
        <f t="shared" si="5"/>
        <v>162</v>
      </c>
      <c r="H15" s="31">
        <v>3</v>
      </c>
      <c r="I15" s="32">
        <f t="shared" si="0"/>
        <v>0</v>
      </c>
      <c r="J15" s="32">
        <f t="shared" si="1"/>
        <v>19.440000000000001</v>
      </c>
      <c r="K15" s="32">
        <f t="shared" si="2"/>
        <v>9.7200000000000006</v>
      </c>
      <c r="L15" s="32" t="e">
        <f t="shared" si="3"/>
        <v>#DIV/0!</v>
      </c>
      <c r="M15" s="32">
        <f t="shared" si="3"/>
        <v>66.666666666666657</v>
      </c>
      <c r="N15" s="32">
        <f t="shared" si="4"/>
        <v>133.33333333333331</v>
      </c>
    </row>
    <row r="16" spans="1:14" s="38" customFormat="1" ht="48.75" customHeight="1">
      <c r="A16" s="31">
        <v>6</v>
      </c>
      <c r="B16" s="95" t="s">
        <v>306</v>
      </c>
      <c r="C16" s="74" t="s">
        <v>307</v>
      </c>
      <c r="D16" s="31">
        <v>0</v>
      </c>
      <c r="E16" s="31">
        <v>2</v>
      </c>
      <c r="F16" s="31">
        <v>1</v>
      </c>
      <c r="G16" s="31">
        <v>4056</v>
      </c>
      <c r="H16" s="31">
        <v>0.8</v>
      </c>
      <c r="I16" s="32">
        <f t="shared" si="0"/>
        <v>0</v>
      </c>
      <c r="J16" s="32">
        <f t="shared" si="1"/>
        <v>6.4000000000000001E-2</v>
      </c>
      <c r="K16" s="32">
        <f t="shared" si="2"/>
        <v>64.896000000000001</v>
      </c>
      <c r="L16" s="32" t="e">
        <f t="shared" si="3"/>
        <v>#DIV/0!</v>
      </c>
      <c r="M16" s="32">
        <f t="shared" si="3"/>
        <v>250</v>
      </c>
      <c r="N16" s="32">
        <f t="shared" si="4"/>
        <v>500</v>
      </c>
    </row>
    <row r="17" spans="1:14" s="38" customFormat="1" ht="12.75">
      <c r="A17" s="114" t="s">
        <v>217</v>
      </c>
      <c r="B17" s="115"/>
      <c r="C17" s="116"/>
      <c r="D17" s="41">
        <f>SUM(D11:D16)</f>
        <v>0</v>
      </c>
      <c r="E17" s="41">
        <f>SUM(E11:E16)</f>
        <v>1355</v>
      </c>
      <c r="F17" s="41"/>
      <c r="G17" s="79">
        <f>SUM(G11:G16)</f>
        <v>5409</v>
      </c>
      <c r="H17" s="41"/>
      <c r="I17" s="42">
        <f>SUM(I11:I16)</f>
        <v>0</v>
      </c>
      <c r="J17" s="42">
        <f>SUM(J11:J16)</f>
        <v>66.872</v>
      </c>
      <c r="K17" s="42">
        <f>SUM(K11:K16)</f>
        <v>98.300000000000011</v>
      </c>
      <c r="L17" s="42" t="e">
        <f t="shared" ref="L17" si="6">D17/I17*8</f>
        <v>#DIV/0!</v>
      </c>
      <c r="M17" s="42">
        <f t="shared" ref="M17" si="7">E17/J17*8</f>
        <v>162.10072975236272</v>
      </c>
      <c r="N17" s="42">
        <f t="shared" ref="N17" si="8">G17/K17*8</f>
        <v>440.20345879959302</v>
      </c>
    </row>
    <row r="18" spans="1:14">
      <c r="A18" s="39"/>
    </row>
    <row r="19" spans="1:14">
      <c r="A19" s="39"/>
    </row>
    <row r="20" spans="1:14">
      <c r="A20" s="39"/>
      <c r="H20" s="40"/>
    </row>
    <row r="21" spans="1:14">
      <c r="A21" s="39"/>
    </row>
  </sheetData>
  <mergeCells count="13">
    <mergeCell ref="A1:K1"/>
    <mergeCell ref="A2:K2"/>
    <mergeCell ref="E3:F3"/>
    <mergeCell ref="A4:K4"/>
    <mergeCell ref="E5:G5"/>
    <mergeCell ref="I5:J5"/>
    <mergeCell ref="A17:C17"/>
    <mergeCell ref="A9:K9"/>
    <mergeCell ref="E6:G6"/>
    <mergeCell ref="I6:J6"/>
    <mergeCell ref="E7:G7"/>
    <mergeCell ref="I7:J7"/>
    <mergeCell ref="A8:K8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21"/>
  <sheetViews>
    <sheetView showGridLines="0" workbookViewId="0">
      <pane xSplit="1" ySplit="10" topLeftCell="B15" activePane="bottomRight" state="frozen"/>
      <selection pane="topRight" activeCell="B1" sqref="B1"/>
      <selection pane="bottomLeft" activeCell="A11" sqref="A11"/>
      <selection pane="bottomRight" activeCell="A16" sqref="A16:XFD16"/>
    </sheetView>
  </sheetViews>
  <sheetFormatPr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9.44140625" style="35" customWidth="1"/>
    <col min="11" max="11" width="11.77734375" style="35" customWidth="1"/>
    <col min="12" max="16384" width="8.88671875" style="35"/>
  </cols>
  <sheetData>
    <row r="1" spans="1:14" ht="22.5">
      <c r="A1" s="119" t="s">
        <v>196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4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4" ht="12.75">
      <c r="B3" s="77" t="s">
        <v>166</v>
      </c>
      <c r="C3" s="78" t="s">
        <v>168</v>
      </c>
      <c r="D3" s="34" t="s">
        <v>176</v>
      </c>
      <c r="E3" s="121">
        <v>42534</v>
      </c>
      <c r="F3" s="122"/>
      <c r="G3" s="34" t="s">
        <v>197</v>
      </c>
      <c r="H3" s="68" t="s">
        <v>299</v>
      </c>
    </row>
    <row r="4" spans="1:14" ht="18.75">
      <c r="A4" s="123" t="s">
        <v>177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</row>
    <row r="5" spans="1:14" ht="12.75" customHeight="1">
      <c r="A5" s="33" t="s">
        <v>226</v>
      </c>
      <c r="B5" s="41">
        <f>SUM(D11:D16)</f>
        <v>0</v>
      </c>
      <c r="C5" s="33" t="s">
        <v>264</v>
      </c>
      <c r="D5" s="93">
        <v>25</v>
      </c>
      <c r="E5" s="117" t="s">
        <v>178</v>
      </c>
      <c r="F5" s="117"/>
      <c r="G5" s="117"/>
      <c r="H5" s="93">
        <v>1</v>
      </c>
      <c r="I5" s="117" t="s">
        <v>179</v>
      </c>
      <c r="J5" s="117"/>
      <c r="K5" s="85">
        <f>IF(I17="","",I17)</f>
        <v>0</v>
      </c>
    </row>
    <row r="6" spans="1:14" s="36" customFormat="1" ht="12.75" customHeight="1">
      <c r="A6" s="33" t="s">
        <v>227</v>
      </c>
      <c r="B6" s="41">
        <f>SUM(E11:E16)</f>
        <v>1355</v>
      </c>
      <c r="C6" s="33" t="s">
        <v>180</v>
      </c>
      <c r="D6" s="93">
        <v>25</v>
      </c>
      <c r="E6" s="117" t="s">
        <v>181</v>
      </c>
      <c r="F6" s="117"/>
      <c r="G6" s="117"/>
      <c r="H6" s="93">
        <v>1</v>
      </c>
      <c r="I6" s="117" t="s">
        <v>182</v>
      </c>
      <c r="J6" s="117"/>
      <c r="K6" s="85">
        <f>IF(J17="","",J17)</f>
        <v>66.872</v>
      </c>
    </row>
    <row r="7" spans="1:14" s="36" customFormat="1" ht="12.75" customHeight="1">
      <c r="A7" s="33" t="s">
        <v>230</v>
      </c>
      <c r="B7" s="41">
        <f>SUM(G11:G16)</f>
        <v>5409</v>
      </c>
      <c r="C7" s="33" t="s">
        <v>183</v>
      </c>
      <c r="D7" s="93">
        <v>50</v>
      </c>
      <c r="E7" s="117" t="s">
        <v>184</v>
      </c>
      <c r="F7" s="117"/>
      <c r="G7" s="117"/>
      <c r="H7" s="93">
        <v>1</v>
      </c>
      <c r="I7" s="117" t="s">
        <v>185</v>
      </c>
      <c r="J7" s="117"/>
      <c r="K7" s="85">
        <f>IF(K17="","",K17)</f>
        <v>98.300000000000011</v>
      </c>
    </row>
    <row r="8" spans="1:14" s="36" customFormat="1" ht="3.75" customHeight="1">
      <c r="A8" s="118"/>
      <c r="B8" s="118"/>
      <c r="C8" s="118"/>
      <c r="D8" s="118"/>
      <c r="E8" s="118"/>
      <c r="F8" s="118"/>
      <c r="G8" s="118"/>
      <c r="H8" s="118"/>
      <c r="I8" s="118"/>
      <c r="J8" s="118"/>
      <c r="K8" s="118"/>
    </row>
    <row r="9" spans="1:14" s="36" customFormat="1" ht="13.5" customHeight="1">
      <c r="A9" s="113" t="s">
        <v>186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</row>
    <row r="10" spans="1:14" s="37" customFormat="1" ht="36">
      <c r="A10" s="81" t="s">
        <v>187</v>
      </c>
      <c r="B10" s="81" t="s">
        <v>188</v>
      </c>
      <c r="C10" s="81" t="s">
        <v>189</v>
      </c>
      <c r="D10" s="81" t="s">
        <v>219</v>
      </c>
      <c r="E10" s="81" t="s">
        <v>225</v>
      </c>
      <c r="F10" s="81" t="s">
        <v>190</v>
      </c>
      <c r="G10" s="81" t="s">
        <v>232</v>
      </c>
      <c r="H10" s="92" t="s">
        <v>191</v>
      </c>
      <c r="I10" s="81" t="s">
        <v>192</v>
      </c>
      <c r="J10" s="81" t="s">
        <v>193</v>
      </c>
      <c r="K10" s="81" t="s">
        <v>194</v>
      </c>
      <c r="L10" s="92" t="s">
        <v>267</v>
      </c>
      <c r="M10" s="92" t="s">
        <v>266</v>
      </c>
      <c r="N10" s="92" t="s">
        <v>265</v>
      </c>
    </row>
    <row r="11" spans="1:14" s="38" customFormat="1" ht="48.75" customHeight="1">
      <c r="A11" s="31">
        <v>1</v>
      </c>
      <c r="B11" s="69" t="s">
        <v>304</v>
      </c>
      <c r="C11" s="72" t="s">
        <v>305</v>
      </c>
      <c r="D11" s="31">
        <v>0</v>
      </c>
      <c r="E11" s="31">
        <v>3</v>
      </c>
      <c r="F11" s="31">
        <v>1</v>
      </c>
      <c r="G11" s="31">
        <f>F11*E11</f>
        <v>3</v>
      </c>
      <c r="H11" s="31">
        <v>1</v>
      </c>
      <c r="I11" s="32">
        <f t="shared" ref="I11:I16" si="0">IF(D11="","",D11*H$5*H11/D$5)</f>
        <v>0</v>
      </c>
      <c r="J11" s="32">
        <f t="shared" ref="J11:J16" si="1">IF(E11="","",E11*H$6*H11/D$6)</f>
        <v>0.12</v>
      </c>
      <c r="K11" s="32">
        <f t="shared" ref="K11:K16" si="2">G11*H$7*H11/D$7</f>
        <v>0.06</v>
      </c>
      <c r="L11" s="32" t="e">
        <f t="shared" ref="L11:M16" si="3">D11/I11*8</f>
        <v>#DIV/0!</v>
      </c>
      <c r="M11" s="32">
        <f t="shared" si="3"/>
        <v>200</v>
      </c>
      <c r="N11" s="32">
        <f t="shared" ref="N11:N16" si="4">G11/K11*8</f>
        <v>400</v>
      </c>
    </row>
    <row r="12" spans="1:14" s="38" customFormat="1" ht="48.75" customHeight="1">
      <c r="A12" s="31">
        <v>2</v>
      </c>
      <c r="B12" s="69" t="s">
        <v>293</v>
      </c>
      <c r="C12" s="72" t="s">
        <v>303</v>
      </c>
      <c r="D12" s="31">
        <v>0</v>
      </c>
      <c r="E12" s="31">
        <v>1114</v>
      </c>
      <c r="F12" s="31">
        <v>1</v>
      </c>
      <c r="G12" s="31">
        <f>F12*E12</f>
        <v>1114</v>
      </c>
      <c r="H12" s="31">
        <v>1</v>
      </c>
      <c r="I12" s="32">
        <f t="shared" si="0"/>
        <v>0</v>
      </c>
      <c r="J12" s="32">
        <f t="shared" si="1"/>
        <v>44.56</v>
      </c>
      <c r="K12" s="32">
        <f t="shared" si="2"/>
        <v>22.28</v>
      </c>
      <c r="L12" s="32" t="e">
        <f t="shared" si="3"/>
        <v>#DIV/0!</v>
      </c>
      <c r="M12" s="32">
        <f t="shared" si="3"/>
        <v>200</v>
      </c>
      <c r="N12" s="32">
        <f t="shared" si="4"/>
        <v>400</v>
      </c>
    </row>
    <row r="13" spans="1:14" s="38" customFormat="1" ht="48.75" customHeight="1">
      <c r="A13" s="31">
        <v>3</v>
      </c>
      <c r="B13" s="69" t="s">
        <v>294</v>
      </c>
      <c r="C13" s="72" t="s">
        <v>301</v>
      </c>
      <c r="D13" s="31">
        <v>0</v>
      </c>
      <c r="E13" s="31">
        <v>34</v>
      </c>
      <c r="F13" s="31">
        <v>1</v>
      </c>
      <c r="G13" s="31">
        <f t="shared" ref="G13:G15" si="5">F13*E13</f>
        <v>34</v>
      </c>
      <c r="H13" s="31">
        <v>0.8</v>
      </c>
      <c r="I13" s="32">
        <f t="shared" si="0"/>
        <v>0</v>
      </c>
      <c r="J13" s="32">
        <f t="shared" si="1"/>
        <v>1.0880000000000001</v>
      </c>
      <c r="K13" s="32">
        <f t="shared" si="2"/>
        <v>0.54400000000000004</v>
      </c>
      <c r="L13" s="32" t="e">
        <f t="shared" si="3"/>
        <v>#DIV/0!</v>
      </c>
      <c r="M13" s="32">
        <f t="shared" si="3"/>
        <v>249.99999999999997</v>
      </c>
      <c r="N13" s="32">
        <f t="shared" si="4"/>
        <v>499.99999999999994</v>
      </c>
    </row>
    <row r="14" spans="1:14" s="38" customFormat="1" ht="48.75" customHeight="1">
      <c r="A14" s="31">
        <v>4</v>
      </c>
      <c r="B14" s="69" t="s">
        <v>295</v>
      </c>
      <c r="C14" s="73" t="s">
        <v>296</v>
      </c>
      <c r="D14" s="31">
        <v>0</v>
      </c>
      <c r="E14" s="31">
        <v>40</v>
      </c>
      <c r="F14" s="31">
        <v>1</v>
      </c>
      <c r="G14" s="31">
        <f t="shared" si="5"/>
        <v>40</v>
      </c>
      <c r="H14" s="31">
        <v>1</v>
      </c>
      <c r="I14" s="32">
        <f t="shared" si="0"/>
        <v>0</v>
      </c>
      <c r="J14" s="32">
        <f t="shared" si="1"/>
        <v>1.6</v>
      </c>
      <c r="K14" s="32">
        <f t="shared" si="2"/>
        <v>0.8</v>
      </c>
      <c r="L14" s="32" t="e">
        <f t="shared" si="3"/>
        <v>#DIV/0!</v>
      </c>
      <c r="M14" s="32">
        <f t="shared" si="3"/>
        <v>200</v>
      </c>
      <c r="N14" s="32">
        <f t="shared" si="4"/>
        <v>400</v>
      </c>
    </row>
    <row r="15" spans="1:14" s="38" customFormat="1" ht="48.75" customHeight="1">
      <c r="A15" s="31">
        <v>5</v>
      </c>
      <c r="B15" s="69" t="s">
        <v>297</v>
      </c>
      <c r="C15" s="72" t="s">
        <v>302</v>
      </c>
      <c r="D15" s="31">
        <v>0</v>
      </c>
      <c r="E15" s="31">
        <v>162</v>
      </c>
      <c r="F15" s="31">
        <v>1</v>
      </c>
      <c r="G15" s="31">
        <f t="shared" si="5"/>
        <v>162</v>
      </c>
      <c r="H15" s="31">
        <v>3</v>
      </c>
      <c r="I15" s="32">
        <f t="shared" si="0"/>
        <v>0</v>
      </c>
      <c r="J15" s="32">
        <f t="shared" si="1"/>
        <v>19.440000000000001</v>
      </c>
      <c r="K15" s="32">
        <f t="shared" si="2"/>
        <v>9.7200000000000006</v>
      </c>
      <c r="L15" s="32" t="e">
        <f t="shared" si="3"/>
        <v>#DIV/0!</v>
      </c>
      <c r="M15" s="32">
        <f t="shared" si="3"/>
        <v>66.666666666666657</v>
      </c>
      <c r="N15" s="32">
        <f t="shared" si="4"/>
        <v>133.33333333333331</v>
      </c>
    </row>
    <row r="16" spans="1:14" s="38" customFormat="1" ht="48.75" customHeight="1">
      <c r="A16" s="31">
        <v>6</v>
      </c>
      <c r="B16" s="95" t="s">
        <v>306</v>
      </c>
      <c r="C16" s="74" t="s">
        <v>307</v>
      </c>
      <c r="D16" s="31">
        <v>0</v>
      </c>
      <c r="E16" s="31">
        <v>2</v>
      </c>
      <c r="F16" s="31">
        <v>1</v>
      </c>
      <c r="G16" s="31">
        <v>4056</v>
      </c>
      <c r="H16" s="31">
        <v>0.8</v>
      </c>
      <c r="I16" s="32">
        <f t="shared" si="0"/>
        <v>0</v>
      </c>
      <c r="J16" s="32">
        <f t="shared" si="1"/>
        <v>6.4000000000000001E-2</v>
      </c>
      <c r="K16" s="32">
        <f t="shared" si="2"/>
        <v>64.896000000000001</v>
      </c>
      <c r="L16" s="32" t="e">
        <f t="shared" si="3"/>
        <v>#DIV/0!</v>
      </c>
      <c r="M16" s="32">
        <f t="shared" si="3"/>
        <v>250</v>
      </c>
      <c r="N16" s="32">
        <f t="shared" si="4"/>
        <v>500</v>
      </c>
    </row>
    <row r="17" spans="1:14" s="38" customFormat="1" ht="12.75">
      <c r="A17" s="114" t="s">
        <v>195</v>
      </c>
      <c r="B17" s="115"/>
      <c r="C17" s="116"/>
      <c r="D17" s="41">
        <f>SUM(D11:D16)</f>
        <v>0</v>
      </c>
      <c r="E17" s="41">
        <f>SUM(E11:E16)</f>
        <v>1355</v>
      </c>
      <c r="F17" s="41"/>
      <c r="G17" s="79">
        <f>SUM(G11:G16)</f>
        <v>5409</v>
      </c>
      <c r="H17" s="41"/>
      <c r="I17" s="42">
        <f>SUM(I11:I16)</f>
        <v>0</v>
      </c>
      <c r="J17" s="42">
        <f>SUM(J11:J16)</f>
        <v>66.872</v>
      </c>
      <c r="K17" s="42">
        <f>SUM(K11:K16)</f>
        <v>98.300000000000011</v>
      </c>
      <c r="L17" s="42" t="e">
        <f t="shared" ref="L17" si="6">D17/I17*8</f>
        <v>#DIV/0!</v>
      </c>
      <c r="M17" s="42">
        <f t="shared" ref="M17" si="7">E17/J17*8</f>
        <v>162.10072975236272</v>
      </c>
      <c r="N17" s="42">
        <f t="shared" ref="N17" si="8">G17/K17*8</f>
        <v>440.20345879959302</v>
      </c>
    </row>
    <row r="18" spans="1:14">
      <c r="A18" s="39"/>
    </row>
    <row r="19" spans="1:14">
      <c r="A19" s="39"/>
    </row>
    <row r="20" spans="1:14">
      <c r="A20" s="39"/>
      <c r="H20" s="40"/>
    </row>
    <row r="21" spans="1:14">
      <c r="A21" s="39"/>
    </row>
  </sheetData>
  <mergeCells count="13">
    <mergeCell ref="A1:K1"/>
    <mergeCell ref="A2:K2"/>
    <mergeCell ref="E3:F3"/>
    <mergeCell ref="A4:K4"/>
    <mergeCell ref="E5:G5"/>
    <mergeCell ref="I5:J5"/>
    <mergeCell ref="A17:C17"/>
    <mergeCell ref="E6:G6"/>
    <mergeCell ref="I6:J6"/>
    <mergeCell ref="E7:G7"/>
    <mergeCell ref="I7:J7"/>
    <mergeCell ref="A8:K8"/>
    <mergeCell ref="A9:K9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工作量匹配</vt:lpstr>
      <vt:lpstr>项目基本信息</vt:lpstr>
      <vt:lpstr>预估汇总表单</vt:lpstr>
      <vt:lpstr>预估表单-黄琪</vt:lpstr>
      <vt:lpstr>预估表单-刘燕燕</vt:lpstr>
      <vt:lpstr>预估表单-房雷</vt:lpstr>
    </vt:vector>
  </TitlesOfParts>
  <Manager>dujm@gtadata.com</Manager>
  <Company>GTA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XXX产品XXX版本测试工作量预估表单</dc:title>
  <dc:subject>工作量估计</dc:subject>
  <dc:creator>dujm@gtadata.com</dc:creator>
  <cp:lastModifiedBy>黄琪(测试四部)</cp:lastModifiedBy>
  <cp:lastPrinted>2006-03-25T02:48:30Z</cp:lastPrinted>
  <dcterms:created xsi:type="dcterms:W3CDTF">2002-10-29T01:50:32Z</dcterms:created>
  <dcterms:modified xsi:type="dcterms:W3CDTF">2018-06-25T01:41:47Z</dcterms:modified>
  <cp:category>表单</cp:category>
</cp:coreProperties>
</file>