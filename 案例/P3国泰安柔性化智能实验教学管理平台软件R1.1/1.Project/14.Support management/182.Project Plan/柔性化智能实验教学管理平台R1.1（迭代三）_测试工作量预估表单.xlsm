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 hidePivotFieldList="1" defaultThemeVersion="124226"/>
  <bookViews>
    <workbookView xWindow="0" yWindow="0" windowWidth="20730" windowHeight="10530" tabRatio="697" firstSheet="1" activeTab="2"/>
  </bookViews>
  <sheets>
    <sheet name="工作量匹配" sheetId="11" state="hidden" r:id="rId1"/>
    <sheet name="项目基本信息" sheetId="1" r:id="rId2"/>
    <sheet name="预估汇总表单" sheetId="10" r:id="rId3"/>
    <sheet name="预估表单-黄琪" sheetId="13" r:id="rId4"/>
    <sheet name="预估表单-刘燕燕" sheetId="14" r:id="rId5"/>
    <sheet name="预估表单-房雷" sheetId="16" r:id="rId6"/>
  </sheets>
  <definedNames>
    <definedName name="_1OVERALL_DV" localSheetId="5">#REF!</definedName>
    <definedName name="_1OVERALL_DV">#REF!</definedName>
    <definedName name="_2OVERALL_SL" localSheetId="5">#REF!</definedName>
    <definedName name="_2OVERALL_SL">#REF!</definedName>
    <definedName name="_3PHASE_HELP" localSheetId="5">#REF!</definedName>
    <definedName name="_3PHASE_HELP">#REF!</definedName>
    <definedName name="_4TOTAL_EFFORT" localSheetId="5">#REF!</definedName>
    <definedName name="_4TOTAL_EFFORT">#REF!</definedName>
    <definedName name="CURRENTPHASE" localSheetId="5">项目基本信息!#REF!</definedName>
    <definedName name="CURRENTPHASE">项目基本信息!#REF!</definedName>
    <definedName name="DURATION" localSheetId="5">#REF!</definedName>
    <definedName name="DURATION">#REF!</definedName>
    <definedName name="HOLIDAYS" localSheetId="5">#REF!</definedName>
    <definedName name="HOLIDAYS">#REF!</definedName>
    <definedName name="Phase" localSheetId="5">#REF!</definedName>
    <definedName name="Phase">#REF!</definedName>
    <definedName name="PHASE_DUR" localSheetId="5">#REF!</definedName>
    <definedName name="PHASE_DUR">#REF!</definedName>
    <definedName name="PHASEDATA" localSheetId="5">#REF!</definedName>
    <definedName name="PHASEDATA">#REF!</definedName>
    <definedName name="_xlnm.Print_Titles">#N/A</definedName>
    <definedName name="PROGRESS" localSheetId="5">#REF!</definedName>
    <definedName name="PROGRESS">#REF!</definedName>
    <definedName name="WEEK" localSheetId="5">#REF!</definedName>
    <definedName name="WEEK">#REF!</definedName>
    <definedName name="定义" localSheetId="5">#REF!</definedName>
    <definedName name="定义">#REF!</definedName>
    <definedName name="度量分析" localSheetId="5">#REF!</definedName>
    <definedName name="度量分析">#REF!</definedName>
    <definedName name="工作量" localSheetId="5">#REF!</definedName>
    <definedName name="工作量">#REF!</definedName>
    <definedName name="工作日" localSheetId="5">#REF!</definedName>
    <definedName name="工作日">#REF!</definedName>
    <definedName name="进度" localSheetId="5">#REF!</definedName>
    <definedName name="进度">#REF!</definedName>
    <definedName name="缺陷" localSheetId="5">#REF!</definedName>
    <definedName name="缺陷">#REF!</definedName>
    <definedName name="缺陷分布图" localSheetId="5">#REF!</definedName>
    <definedName name="缺陷分布图">#REF!</definedName>
    <definedName name="缺陷分析" localSheetId="5">#REF!</definedName>
    <definedName name="缺陷分析">#REF!</definedName>
    <definedName name="需求" localSheetId="5">#REF!</definedName>
    <definedName name="需求">#REF!</definedName>
  </definedNames>
  <calcPr calcId="145621"/>
</workbook>
</file>

<file path=xl/calcChain.xml><?xml version="1.0" encoding="utf-8"?>
<calcChain xmlns="http://schemas.openxmlformats.org/spreadsheetml/2006/main">
  <c r="G69" i="16" l="1"/>
  <c r="G68" i="16"/>
  <c r="G67" i="16"/>
  <c r="G66" i="16"/>
  <c r="G65" i="16"/>
  <c r="G64" i="16"/>
  <c r="G63" i="16"/>
  <c r="G62" i="16"/>
  <c r="G61" i="16"/>
  <c r="G60" i="16"/>
  <c r="G59" i="16"/>
  <c r="G58" i="16"/>
  <c r="G57" i="16"/>
  <c r="D57" i="16"/>
  <c r="G56" i="16"/>
  <c r="G55" i="16"/>
  <c r="D55" i="16"/>
  <c r="G54" i="16"/>
  <c r="G53" i="16"/>
  <c r="G52" i="16"/>
  <c r="G51" i="16"/>
  <c r="G50" i="16"/>
  <c r="D50" i="16"/>
  <c r="G49" i="16"/>
  <c r="D49" i="16"/>
  <c r="G48" i="16"/>
  <c r="D48" i="16"/>
  <c r="G47" i="16"/>
  <c r="G46" i="16"/>
  <c r="D46" i="16"/>
  <c r="G45" i="16"/>
  <c r="G44" i="16"/>
  <c r="G43" i="16"/>
  <c r="G42" i="16"/>
  <c r="G41" i="16"/>
  <c r="G40" i="16"/>
  <c r="G39" i="16"/>
  <c r="G38" i="16"/>
  <c r="G37" i="16"/>
  <c r="G36" i="16"/>
  <c r="G35" i="16"/>
  <c r="G34" i="16"/>
  <c r="G33" i="16"/>
  <c r="G32" i="16"/>
  <c r="D32" i="16"/>
  <c r="G31" i="16"/>
  <c r="G29" i="16"/>
  <c r="G28" i="16"/>
  <c r="G27" i="16"/>
  <c r="G26" i="16"/>
  <c r="G25" i="16"/>
  <c r="G24" i="16"/>
  <c r="G23" i="16"/>
  <c r="G22" i="16"/>
  <c r="D22" i="16"/>
  <c r="G21" i="16"/>
  <c r="D21" i="16"/>
  <c r="G20" i="16"/>
  <c r="D19" i="16"/>
  <c r="G18" i="16"/>
  <c r="G17" i="16"/>
  <c r="D17" i="16"/>
  <c r="G16" i="16"/>
  <c r="D16" i="16"/>
  <c r="G15" i="16"/>
  <c r="G14" i="16"/>
  <c r="G13" i="16"/>
  <c r="G12" i="16"/>
  <c r="G11" i="16"/>
  <c r="G69" i="14"/>
  <c r="G68" i="14"/>
  <c r="G67" i="14"/>
  <c r="G66" i="14"/>
  <c r="G65" i="14"/>
  <c r="G64" i="14"/>
  <c r="G63" i="14"/>
  <c r="G62" i="14"/>
  <c r="G61" i="14"/>
  <c r="G60" i="14"/>
  <c r="G59" i="14"/>
  <c r="G58" i="14"/>
  <c r="G57" i="14"/>
  <c r="D57" i="14"/>
  <c r="G56" i="14"/>
  <c r="G55" i="14"/>
  <c r="D55" i="14"/>
  <c r="G54" i="14"/>
  <c r="G53" i="14"/>
  <c r="G52" i="14"/>
  <c r="G51" i="14"/>
  <c r="G50" i="14"/>
  <c r="D50" i="14"/>
  <c r="G49" i="14"/>
  <c r="D49" i="14"/>
  <c r="G48" i="14"/>
  <c r="D48" i="14"/>
  <c r="G47" i="14"/>
  <c r="G46" i="14"/>
  <c r="D46" i="14"/>
  <c r="G45" i="14"/>
  <c r="G44" i="14"/>
  <c r="G43" i="14"/>
  <c r="G42" i="14"/>
  <c r="G41" i="14"/>
  <c r="G40" i="14"/>
  <c r="G39" i="14"/>
  <c r="G38" i="14"/>
  <c r="G37" i="14"/>
  <c r="G36" i="14"/>
  <c r="G35" i="14"/>
  <c r="G34" i="14"/>
  <c r="G33" i="14"/>
  <c r="G32" i="14"/>
  <c r="D32" i="14"/>
  <c r="G31" i="14"/>
  <c r="G29" i="14"/>
  <c r="G28" i="14"/>
  <c r="G27" i="14"/>
  <c r="G26" i="14"/>
  <c r="G25" i="14"/>
  <c r="G24" i="14"/>
  <c r="G23" i="14"/>
  <c r="G22" i="14"/>
  <c r="D22" i="14"/>
  <c r="G21" i="14"/>
  <c r="D21" i="14"/>
  <c r="G20" i="14"/>
  <c r="D19" i="14"/>
  <c r="G18" i="14"/>
  <c r="G17" i="14"/>
  <c r="D17" i="14"/>
  <c r="G16" i="14"/>
  <c r="D16" i="14"/>
  <c r="G15" i="14"/>
  <c r="G14" i="14"/>
  <c r="G13" i="14"/>
  <c r="G12" i="14"/>
  <c r="G11" i="14"/>
  <c r="J71" i="13"/>
  <c r="I71" i="13"/>
  <c r="K68" i="16"/>
  <c r="K66" i="16"/>
  <c r="K64" i="16"/>
  <c r="K62" i="16"/>
  <c r="K60" i="16"/>
  <c r="I57" i="16"/>
  <c r="L57" i="16" s="1"/>
  <c r="K54" i="16"/>
  <c r="K52" i="16"/>
  <c r="K50" i="16"/>
  <c r="K48" i="16"/>
  <c r="K47" i="16"/>
  <c r="K44" i="16"/>
  <c r="K42" i="16"/>
  <c r="K40" i="16"/>
  <c r="N40" i="16" s="1"/>
  <c r="K38" i="16"/>
  <c r="K36" i="16"/>
  <c r="K34" i="16"/>
  <c r="K32" i="16"/>
  <c r="N32" i="16" s="1"/>
  <c r="K28" i="16"/>
  <c r="K26" i="16"/>
  <c r="K24" i="16"/>
  <c r="K22" i="16"/>
  <c r="K14" i="16"/>
  <c r="J47" i="13"/>
  <c r="M47" i="13" s="1"/>
  <c r="I47" i="13"/>
  <c r="L47" i="13" s="1"/>
  <c r="G47" i="13"/>
  <c r="M46" i="13"/>
  <c r="J46" i="13"/>
  <c r="G46" i="13"/>
  <c r="D46" i="13"/>
  <c r="I46" i="13" s="1"/>
  <c r="J45" i="13"/>
  <c r="M45" i="13" s="1"/>
  <c r="I45" i="13"/>
  <c r="L45" i="13" s="1"/>
  <c r="G45" i="13"/>
  <c r="K45" i="13" s="1"/>
  <c r="J44" i="13"/>
  <c r="M44" i="13" s="1"/>
  <c r="I44" i="13"/>
  <c r="L44" i="13" s="1"/>
  <c r="G44" i="13"/>
  <c r="J43" i="13"/>
  <c r="M43" i="13" s="1"/>
  <c r="I43" i="13"/>
  <c r="L43" i="13" s="1"/>
  <c r="G43" i="13"/>
  <c r="J42" i="13"/>
  <c r="M42" i="13" s="1"/>
  <c r="I42" i="13"/>
  <c r="L42" i="13" s="1"/>
  <c r="G42" i="13"/>
  <c r="K41" i="13"/>
  <c r="J41" i="13"/>
  <c r="M41" i="13" s="1"/>
  <c r="I41" i="13"/>
  <c r="L41" i="13" s="1"/>
  <c r="G41" i="13"/>
  <c r="J40" i="13"/>
  <c r="M40" i="13" s="1"/>
  <c r="I40" i="13"/>
  <c r="L40" i="13" s="1"/>
  <c r="G40" i="13"/>
  <c r="L39" i="13"/>
  <c r="J39" i="13"/>
  <c r="M39" i="13" s="1"/>
  <c r="G39" i="13"/>
  <c r="K39" i="13" s="1"/>
  <c r="M38" i="13"/>
  <c r="J38" i="13"/>
  <c r="I38" i="13"/>
  <c r="L38" i="13" s="1"/>
  <c r="G38" i="13"/>
  <c r="J37" i="13"/>
  <c r="M37" i="13" s="1"/>
  <c r="I37" i="13"/>
  <c r="L37" i="13" s="1"/>
  <c r="G37" i="13"/>
  <c r="J36" i="13"/>
  <c r="M36" i="13" s="1"/>
  <c r="I36" i="13"/>
  <c r="L36" i="13" s="1"/>
  <c r="G36" i="13"/>
  <c r="K36" i="13" s="1"/>
  <c r="E71" i="16"/>
  <c r="K70" i="16"/>
  <c r="N70" i="16" s="1"/>
  <c r="J70" i="16"/>
  <c r="M70" i="16" s="1"/>
  <c r="I70" i="16"/>
  <c r="L70" i="16" s="1"/>
  <c r="K69" i="16"/>
  <c r="J69" i="16"/>
  <c r="M69" i="16" s="1"/>
  <c r="I69" i="16"/>
  <c r="L69" i="16" s="1"/>
  <c r="J68" i="16"/>
  <c r="M68" i="16" s="1"/>
  <c r="I68" i="16"/>
  <c r="L68" i="16" s="1"/>
  <c r="K67" i="16"/>
  <c r="J67" i="16"/>
  <c r="M67" i="16" s="1"/>
  <c r="I67" i="16"/>
  <c r="L67" i="16" s="1"/>
  <c r="J66" i="16"/>
  <c r="M66" i="16" s="1"/>
  <c r="I66" i="16"/>
  <c r="L66" i="16" s="1"/>
  <c r="K65" i="16"/>
  <c r="J65" i="16"/>
  <c r="M65" i="16" s="1"/>
  <c r="I65" i="16"/>
  <c r="L65" i="16" s="1"/>
  <c r="J64" i="16"/>
  <c r="M64" i="16" s="1"/>
  <c r="I64" i="16"/>
  <c r="L64" i="16" s="1"/>
  <c r="K63" i="16"/>
  <c r="J63" i="16"/>
  <c r="M63" i="16" s="1"/>
  <c r="I63" i="16"/>
  <c r="L63" i="16" s="1"/>
  <c r="J62" i="16"/>
  <c r="M62" i="16" s="1"/>
  <c r="I62" i="16"/>
  <c r="L62" i="16" s="1"/>
  <c r="K61" i="16"/>
  <c r="J61" i="16"/>
  <c r="M61" i="16" s="1"/>
  <c r="I61" i="16"/>
  <c r="L61" i="16" s="1"/>
  <c r="J60" i="16"/>
  <c r="M60" i="16" s="1"/>
  <c r="I60" i="16"/>
  <c r="L60" i="16" s="1"/>
  <c r="K59" i="16"/>
  <c r="J59" i="16"/>
  <c r="M59" i="16" s="1"/>
  <c r="I59" i="16"/>
  <c r="L59" i="16" s="1"/>
  <c r="J58" i="16"/>
  <c r="M58" i="16" s="1"/>
  <c r="K58" i="16"/>
  <c r="N58" i="16" s="1"/>
  <c r="I58" i="16"/>
  <c r="L58" i="16" s="1"/>
  <c r="J57" i="16"/>
  <c r="M57" i="16" s="1"/>
  <c r="K57" i="16"/>
  <c r="K56" i="16"/>
  <c r="J56" i="16"/>
  <c r="M56" i="16" s="1"/>
  <c r="N56" i="16"/>
  <c r="K55" i="16"/>
  <c r="N55" i="16" s="1"/>
  <c r="J55" i="16"/>
  <c r="M55" i="16" s="1"/>
  <c r="I55" i="16"/>
  <c r="L55" i="16" s="1"/>
  <c r="J54" i="16"/>
  <c r="M54" i="16" s="1"/>
  <c r="I54" i="16"/>
  <c r="L54" i="16" s="1"/>
  <c r="K53" i="16"/>
  <c r="J53" i="16"/>
  <c r="M53" i="16" s="1"/>
  <c r="I53" i="16"/>
  <c r="L53" i="16" s="1"/>
  <c r="J52" i="16"/>
  <c r="M52" i="16" s="1"/>
  <c r="I52" i="16"/>
  <c r="L52" i="16" s="1"/>
  <c r="K51" i="16"/>
  <c r="J51" i="16"/>
  <c r="M51" i="16" s="1"/>
  <c r="N51" i="16"/>
  <c r="J50" i="16"/>
  <c r="M50" i="16" s="1"/>
  <c r="K49" i="16"/>
  <c r="J49" i="16"/>
  <c r="M49" i="16" s="1"/>
  <c r="N49" i="16"/>
  <c r="J48" i="16"/>
  <c r="M48" i="16" s="1"/>
  <c r="I48" i="16"/>
  <c r="L48" i="16" s="1"/>
  <c r="J47" i="16"/>
  <c r="M47" i="16" s="1"/>
  <c r="I47" i="16"/>
  <c r="L47" i="16" s="1"/>
  <c r="J46" i="16"/>
  <c r="M46" i="16" s="1"/>
  <c r="I46" i="16"/>
  <c r="L46" i="16" s="1"/>
  <c r="K46" i="16"/>
  <c r="K45" i="16"/>
  <c r="J45" i="16"/>
  <c r="M45" i="16" s="1"/>
  <c r="I45" i="16"/>
  <c r="L45" i="16" s="1"/>
  <c r="J44" i="16"/>
  <c r="M44" i="16" s="1"/>
  <c r="I44" i="16"/>
  <c r="L44" i="16" s="1"/>
  <c r="K43" i="16"/>
  <c r="J43" i="16"/>
  <c r="M43" i="16" s="1"/>
  <c r="I43" i="16"/>
  <c r="L43" i="16" s="1"/>
  <c r="J42" i="16"/>
  <c r="M42" i="16" s="1"/>
  <c r="I42" i="16"/>
  <c r="L42" i="16" s="1"/>
  <c r="K41" i="16"/>
  <c r="J41" i="16"/>
  <c r="M41" i="16" s="1"/>
  <c r="I41" i="16"/>
  <c r="L41" i="16" s="1"/>
  <c r="L40" i="16"/>
  <c r="J40" i="16"/>
  <c r="M40" i="16" s="1"/>
  <c r="J39" i="16"/>
  <c r="M39" i="16" s="1"/>
  <c r="I39" i="16"/>
  <c r="L39" i="16" s="1"/>
  <c r="K39" i="16"/>
  <c r="J38" i="16"/>
  <c r="M38" i="16" s="1"/>
  <c r="I38" i="16"/>
  <c r="L38" i="16" s="1"/>
  <c r="J37" i="16"/>
  <c r="M37" i="16" s="1"/>
  <c r="I37" i="16"/>
  <c r="L37" i="16" s="1"/>
  <c r="K37" i="16"/>
  <c r="J36" i="16"/>
  <c r="M36" i="16" s="1"/>
  <c r="I36" i="16"/>
  <c r="L36" i="16" s="1"/>
  <c r="J35" i="16"/>
  <c r="M35" i="16" s="1"/>
  <c r="I35" i="16"/>
  <c r="L35" i="16" s="1"/>
  <c r="K35" i="16"/>
  <c r="J34" i="16"/>
  <c r="M34" i="16" s="1"/>
  <c r="K33" i="16"/>
  <c r="J33" i="16"/>
  <c r="M33" i="16" s="1"/>
  <c r="I33" i="16"/>
  <c r="L33" i="16" s="1"/>
  <c r="J32" i="16"/>
  <c r="M32" i="16" s="1"/>
  <c r="I32" i="16"/>
  <c r="L32" i="16" s="1"/>
  <c r="J31" i="16"/>
  <c r="M31" i="16" s="1"/>
  <c r="I31" i="16"/>
  <c r="L31" i="16" s="1"/>
  <c r="K30" i="16"/>
  <c r="N30" i="16" s="1"/>
  <c r="J30" i="16"/>
  <c r="M30" i="16" s="1"/>
  <c r="I30" i="16"/>
  <c r="L30" i="16" s="1"/>
  <c r="K29" i="16"/>
  <c r="J29" i="16"/>
  <c r="M29" i="16" s="1"/>
  <c r="I29" i="16"/>
  <c r="L29" i="16" s="1"/>
  <c r="J28" i="16"/>
  <c r="M28" i="16" s="1"/>
  <c r="I28" i="16"/>
  <c r="L28" i="16" s="1"/>
  <c r="K27" i="16"/>
  <c r="N27" i="16" s="1"/>
  <c r="J27" i="16"/>
  <c r="M27" i="16" s="1"/>
  <c r="I27" i="16"/>
  <c r="L27" i="16" s="1"/>
  <c r="J26" i="16"/>
  <c r="M26" i="16" s="1"/>
  <c r="I26" i="16"/>
  <c r="L26" i="16" s="1"/>
  <c r="K25" i="16"/>
  <c r="J25" i="16"/>
  <c r="M25" i="16" s="1"/>
  <c r="I25" i="16"/>
  <c r="L25" i="16" s="1"/>
  <c r="J24" i="16"/>
  <c r="M24" i="16" s="1"/>
  <c r="I24" i="16"/>
  <c r="L24" i="16" s="1"/>
  <c r="K23" i="16"/>
  <c r="N23" i="16" s="1"/>
  <c r="J23" i="16"/>
  <c r="M23" i="16" s="1"/>
  <c r="I23" i="16"/>
  <c r="L23" i="16" s="1"/>
  <c r="J22" i="16"/>
  <c r="M22" i="16" s="1"/>
  <c r="I22" i="16"/>
  <c r="L22" i="16" s="1"/>
  <c r="J21" i="16"/>
  <c r="M21" i="16" s="1"/>
  <c r="K21" i="16"/>
  <c r="I21" i="16"/>
  <c r="L21" i="16" s="1"/>
  <c r="J20" i="16"/>
  <c r="M20" i="16" s="1"/>
  <c r="I20" i="16"/>
  <c r="L20" i="16" s="1"/>
  <c r="K20" i="16"/>
  <c r="K19" i="16"/>
  <c r="N19" i="16" s="1"/>
  <c r="J19" i="16"/>
  <c r="M19" i="16" s="1"/>
  <c r="I19" i="16"/>
  <c r="J18" i="16"/>
  <c r="M18" i="16" s="1"/>
  <c r="I18" i="16"/>
  <c r="L18" i="16" s="1"/>
  <c r="K18" i="16"/>
  <c r="K17" i="16"/>
  <c r="J17" i="16"/>
  <c r="M17" i="16" s="1"/>
  <c r="N17" i="16"/>
  <c r="K16" i="16"/>
  <c r="J16" i="16"/>
  <c r="M16" i="16" s="1"/>
  <c r="K15" i="16"/>
  <c r="J15" i="16"/>
  <c r="M15" i="16" s="1"/>
  <c r="I15" i="16"/>
  <c r="L15" i="16" s="1"/>
  <c r="J14" i="16"/>
  <c r="M14" i="16" s="1"/>
  <c r="I14" i="16"/>
  <c r="L14" i="16" s="1"/>
  <c r="K13" i="16"/>
  <c r="J13" i="16"/>
  <c r="M13" i="16" s="1"/>
  <c r="I13" i="16"/>
  <c r="L13" i="16" s="1"/>
  <c r="J12" i="16"/>
  <c r="M12" i="16" s="1"/>
  <c r="I12" i="16"/>
  <c r="L12" i="16" s="1"/>
  <c r="K11" i="16"/>
  <c r="J11" i="16"/>
  <c r="M11" i="16" s="1"/>
  <c r="I11" i="16"/>
  <c r="B6" i="16"/>
  <c r="E71" i="14"/>
  <c r="K70" i="14"/>
  <c r="N70" i="14" s="1"/>
  <c r="J70" i="14"/>
  <c r="M70" i="14" s="1"/>
  <c r="I70" i="14"/>
  <c r="L70" i="14" s="1"/>
  <c r="K69" i="14"/>
  <c r="J69" i="14"/>
  <c r="M69" i="14" s="1"/>
  <c r="I69" i="14"/>
  <c r="L69" i="14" s="1"/>
  <c r="N69" i="14"/>
  <c r="J68" i="14"/>
  <c r="M68" i="14" s="1"/>
  <c r="I68" i="14"/>
  <c r="L68" i="14" s="1"/>
  <c r="K68" i="14"/>
  <c r="J67" i="14"/>
  <c r="M67" i="14" s="1"/>
  <c r="I67" i="14"/>
  <c r="L67" i="14" s="1"/>
  <c r="K66" i="14"/>
  <c r="N66" i="14" s="1"/>
  <c r="J66" i="14"/>
  <c r="M66" i="14" s="1"/>
  <c r="I66" i="14"/>
  <c r="L66" i="14" s="1"/>
  <c r="J65" i="14"/>
  <c r="M65" i="14" s="1"/>
  <c r="I65" i="14"/>
  <c r="L65" i="14" s="1"/>
  <c r="K64" i="14"/>
  <c r="N64" i="14" s="1"/>
  <c r="J64" i="14"/>
  <c r="M64" i="14" s="1"/>
  <c r="I64" i="14"/>
  <c r="L64" i="14" s="1"/>
  <c r="J63" i="14"/>
  <c r="M63" i="14" s="1"/>
  <c r="I63" i="14"/>
  <c r="L63" i="14" s="1"/>
  <c r="K62" i="14"/>
  <c r="N62" i="14" s="1"/>
  <c r="J62" i="14"/>
  <c r="M62" i="14" s="1"/>
  <c r="I62" i="14"/>
  <c r="L62" i="14" s="1"/>
  <c r="J61" i="14"/>
  <c r="M61" i="14" s="1"/>
  <c r="I61" i="14"/>
  <c r="L61" i="14" s="1"/>
  <c r="K60" i="14"/>
  <c r="N60" i="14" s="1"/>
  <c r="J60" i="14"/>
  <c r="M60" i="14" s="1"/>
  <c r="I60" i="14"/>
  <c r="L60" i="14" s="1"/>
  <c r="J59" i="14"/>
  <c r="M59" i="14" s="1"/>
  <c r="I59" i="14"/>
  <c r="L59" i="14" s="1"/>
  <c r="K58" i="14"/>
  <c r="J58" i="14"/>
  <c r="M58" i="14" s="1"/>
  <c r="N58" i="14"/>
  <c r="I58" i="14"/>
  <c r="K57" i="14"/>
  <c r="J57" i="14"/>
  <c r="M57" i="14" s="1"/>
  <c r="I57" i="14"/>
  <c r="L57" i="14" s="1"/>
  <c r="N57" i="14"/>
  <c r="J56" i="14"/>
  <c r="M56" i="14" s="1"/>
  <c r="I56" i="14"/>
  <c r="L56" i="14" s="1"/>
  <c r="J55" i="14"/>
  <c r="M55" i="14" s="1"/>
  <c r="I55" i="14"/>
  <c r="L55" i="14" s="1"/>
  <c r="K54" i="14"/>
  <c r="J54" i="14"/>
  <c r="M54" i="14" s="1"/>
  <c r="I54" i="14"/>
  <c r="L54" i="14" s="1"/>
  <c r="N54" i="14"/>
  <c r="J53" i="14"/>
  <c r="M53" i="14" s="1"/>
  <c r="I53" i="14"/>
  <c r="L53" i="14" s="1"/>
  <c r="K52" i="14"/>
  <c r="J52" i="14"/>
  <c r="M52" i="14" s="1"/>
  <c r="I52" i="14"/>
  <c r="L52" i="14" s="1"/>
  <c r="N52" i="14"/>
  <c r="J51" i="14"/>
  <c r="M51" i="14" s="1"/>
  <c r="I51" i="14"/>
  <c r="L51" i="14" s="1"/>
  <c r="J50" i="14"/>
  <c r="M50" i="14" s="1"/>
  <c r="I50" i="14"/>
  <c r="L50" i="14" s="1"/>
  <c r="J49" i="14"/>
  <c r="M49" i="14" s="1"/>
  <c r="I49" i="14"/>
  <c r="L49" i="14" s="1"/>
  <c r="J48" i="14"/>
  <c r="M48" i="14" s="1"/>
  <c r="I48" i="14"/>
  <c r="L48" i="14" s="1"/>
  <c r="K47" i="14"/>
  <c r="J47" i="14"/>
  <c r="M47" i="14" s="1"/>
  <c r="N47" i="14"/>
  <c r="I47" i="14"/>
  <c r="K46" i="14"/>
  <c r="N46" i="14" s="1"/>
  <c r="J46" i="14"/>
  <c r="M46" i="14" s="1"/>
  <c r="I46" i="14"/>
  <c r="L46" i="14" s="1"/>
  <c r="J45" i="14"/>
  <c r="M45" i="14" s="1"/>
  <c r="I45" i="14"/>
  <c r="L45" i="14" s="1"/>
  <c r="J44" i="14"/>
  <c r="M44" i="14" s="1"/>
  <c r="I44" i="14"/>
  <c r="L44" i="14" s="1"/>
  <c r="J43" i="14"/>
  <c r="M43" i="14" s="1"/>
  <c r="I43" i="14"/>
  <c r="L43" i="14" s="1"/>
  <c r="K42" i="14"/>
  <c r="J42" i="14"/>
  <c r="M42" i="14" s="1"/>
  <c r="N42" i="14"/>
  <c r="I42" i="14"/>
  <c r="K41" i="14"/>
  <c r="N41" i="14" s="1"/>
  <c r="J41" i="14"/>
  <c r="M41" i="14" s="1"/>
  <c r="I41" i="14"/>
  <c r="L41" i="14" s="1"/>
  <c r="L40" i="14"/>
  <c r="J40" i="14"/>
  <c r="M40" i="14" s="1"/>
  <c r="K40" i="14"/>
  <c r="N40" i="14" s="1"/>
  <c r="J39" i="14"/>
  <c r="M39" i="14" s="1"/>
  <c r="I39" i="14"/>
  <c r="L39" i="14" s="1"/>
  <c r="K38" i="14"/>
  <c r="N38" i="14" s="1"/>
  <c r="J38" i="14"/>
  <c r="M38" i="14" s="1"/>
  <c r="I38" i="14"/>
  <c r="L38" i="14" s="1"/>
  <c r="J37" i="14"/>
  <c r="M37" i="14" s="1"/>
  <c r="I37" i="14"/>
  <c r="L37" i="14" s="1"/>
  <c r="J36" i="14"/>
  <c r="M36" i="14" s="1"/>
  <c r="I36" i="14"/>
  <c r="L36" i="14" s="1"/>
  <c r="K35" i="14"/>
  <c r="N35" i="14" s="1"/>
  <c r="J35" i="14"/>
  <c r="M35" i="14" s="1"/>
  <c r="I35" i="14"/>
  <c r="L35" i="14" s="1"/>
  <c r="J34" i="14"/>
  <c r="M34" i="14" s="1"/>
  <c r="I34" i="14"/>
  <c r="L34" i="14" s="1"/>
  <c r="J33" i="14"/>
  <c r="M33" i="14" s="1"/>
  <c r="I33" i="14"/>
  <c r="L33" i="14" s="1"/>
  <c r="K32" i="14"/>
  <c r="J32" i="14"/>
  <c r="M32" i="14" s="1"/>
  <c r="N32" i="14"/>
  <c r="I32" i="14"/>
  <c r="K31" i="14"/>
  <c r="J31" i="14"/>
  <c r="M31" i="14" s="1"/>
  <c r="I31" i="14"/>
  <c r="L31" i="14" s="1"/>
  <c r="N31" i="14"/>
  <c r="K30" i="14"/>
  <c r="N30" i="14" s="1"/>
  <c r="J30" i="14"/>
  <c r="M30" i="14" s="1"/>
  <c r="I30" i="14"/>
  <c r="L30" i="14" s="1"/>
  <c r="J29" i="14"/>
  <c r="M29" i="14" s="1"/>
  <c r="I29" i="14"/>
  <c r="L29" i="14" s="1"/>
  <c r="K28" i="14"/>
  <c r="N28" i="14" s="1"/>
  <c r="J28" i="14"/>
  <c r="M28" i="14" s="1"/>
  <c r="I28" i="14"/>
  <c r="L28" i="14" s="1"/>
  <c r="J27" i="14"/>
  <c r="M27" i="14" s="1"/>
  <c r="I27" i="14"/>
  <c r="L27" i="14" s="1"/>
  <c r="K26" i="14"/>
  <c r="N26" i="14" s="1"/>
  <c r="J26" i="14"/>
  <c r="M26" i="14" s="1"/>
  <c r="I26" i="14"/>
  <c r="L26" i="14" s="1"/>
  <c r="J25" i="14"/>
  <c r="M25" i="14" s="1"/>
  <c r="I25" i="14"/>
  <c r="L25" i="14" s="1"/>
  <c r="K24" i="14"/>
  <c r="N24" i="14" s="1"/>
  <c r="J24" i="14"/>
  <c r="M24" i="14" s="1"/>
  <c r="I24" i="14"/>
  <c r="L24" i="14" s="1"/>
  <c r="J23" i="14"/>
  <c r="M23" i="14" s="1"/>
  <c r="I23" i="14"/>
  <c r="L23" i="14" s="1"/>
  <c r="K22" i="14"/>
  <c r="J22" i="14"/>
  <c r="M22" i="14" s="1"/>
  <c r="N22" i="14"/>
  <c r="I22" i="14"/>
  <c r="K21" i="14"/>
  <c r="J21" i="14"/>
  <c r="M21" i="14" s="1"/>
  <c r="N21" i="14"/>
  <c r="I21" i="14"/>
  <c r="K20" i="14"/>
  <c r="N20" i="14" s="1"/>
  <c r="J20" i="14"/>
  <c r="M20" i="14" s="1"/>
  <c r="I20" i="14"/>
  <c r="L20" i="14" s="1"/>
  <c r="K19" i="14"/>
  <c r="N19" i="14" s="1"/>
  <c r="J19" i="14"/>
  <c r="M19" i="14" s="1"/>
  <c r="K18" i="14"/>
  <c r="N18" i="14" s="1"/>
  <c r="J18" i="14"/>
  <c r="M18" i="14" s="1"/>
  <c r="I18" i="14"/>
  <c r="L18" i="14" s="1"/>
  <c r="J17" i="14"/>
  <c r="M17" i="14" s="1"/>
  <c r="I17" i="14"/>
  <c r="L17" i="14" s="1"/>
  <c r="J16" i="14"/>
  <c r="M16" i="14" s="1"/>
  <c r="D71" i="14"/>
  <c r="J15" i="14"/>
  <c r="M15" i="14" s="1"/>
  <c r="I15" i="14"/>
  <c r="L15" i="14" s="1"/>
  <c r="K14" i="14"/>
  <c r="N14" i="14" s="1"/>
  <c r="J14" i="14"/>
  <c r="M14" i="14" s="1"/>
  <c r="I14" i="14"/>
  <c r="L14" i="14" s="1"/>
  <c r="J13" i="14"/>
  <c r="M13" i="14" s="1"/>
  <c r="I13" i="14"/>
  <c r="L13" i="14" s="1"/>
  <c r="K12" i="14"/>
  <c r="N12" i="14" s="1"/>
  <c r="J12" i="14"/>
  <c r="M12" i="14" s="1"/>
  <c r="I12" i="14"/>
  <c r="L12" i="14" s="1"/>
  <c r="J11" i="14"/>
  <c r="I11" i="14"/>
  <c r="L11" i="14" s="1"/>
  <c r="B7" i="14"/>
  <c r="B6" i="14"/>
  <c r="B5" i="14"/>
  <c r="E71" i="13"/>
  <c r="K70" i="13"/>
  <c r="N70" i="13" s="1"/>
  <c r="J70" i="13"/>
  <c r="M70" i="13" s="1"/>
  <c r="I70" i="13"/>
  <c r="L70" i="13" s="1"/>
  <c r="J69" i="13"/>
  <c r="M69" i="13" s="1"/>
  <c r="I69" i="13"/>
  <c r="L69" i="13" s="1"/>
  <c r="G69" i="13"/>
  <c r="K69" i="13" s="1"/>
  <c r="J68" i="13"/>
  <c r="M68" i="13" s="1"/>
  <c r="I68" i="13"/>
  <c r="L68" i="13" s="1"/>
  <c r="G68" i="13"/>
  <c r="K68" i="13" s="1"/>
  <c r="J67" i="13"/>
  <c r="M67" i="13" s="1"/>
  <c r="I67" i="13"/>
  <c r="L67" i="13" s="1"/>
  <c r="G67" i="13"/>
  <c r="K67" i="13" s="1"/>
  <c r="K66" i="13"/>
  <c r="J66" i="13"/>
  <c r="M66" i="13" s="1"/>
  <c r="I66" i="13"/>
  <c r="L66" i="13" s="1"/>
  <c r="G66" i="13"/>
  <c r="J65" i="13"/>
  <c r="M65" i="13" s="1"/>
  <c r="I65" i="13"/>
  <c r="L65" i="13" s="1"/>
  <c r="G65" i="13"/>
  <c r="K65" i="13" s="1"/>
  <c r="J64" i="13"/>
  <c r="M64" i="13" s="1"/>
  <c r="I64" i="13"/>
  <c r="L64" i="13" s="1"/>
  <c r="G64" i="13"/>
  <c r="K64" i="13" s="1"/>
  <c r="J63" i="13"/>
  <c r="M63" i="13" s="1"/>
  <c r="I63" i="13"/>
  <c r="L63" i="13" s="1"/>
  <c r="G63" i="13"/>
  <c r="K63" i="13" s="1"/>
  <c r="K62" i="13"/>
  <c r="J62" i="13"/>
  <c r="M62" i="13" s="1"/>
  <c r="I62" i="13"/>
  <c r="L62" i="13" s="1"/>
  <c r="G62" i="13"/>
  <c r="J61" i="13"/>
  <c r="M61" i="13" s="1"/>
  <c r="I61" i="13"/>
  <c r="L61" i="13" s="1"/>
  <c r="G61" i="13"/>
  <c r="K61" i="13" s="1"/>
  <c r="J60" i="13"/>
  <c r="M60" i="13" s="1"/>
  <c r="I60" i="13"/>
  <c r="L60" i="13" s="1"/>
  <c r="G60" i="13"/>
  <c r="K60" i="13" s="1"/>
  <c r="J59" i="13"/>
  <c r="M59" i="13" s="1"/>
  <c r="I59" i="13"/>
  <c r="L59" i="13" s="1"/>
  <c r="G59" i="13"/>
  <c r="K59" i="13" s="1"/>
  <c r="K58" i="13"/>
  <c r="J58" i="13"/>
  <c r="M58" i="13" s="1"/>
  <c r="I58" i="13"/>
  <c r="L58" i="13" s="1"/>
  <c r="G58" i="13"/>
  <c r="J57" i="13"/>
  <c r="M57" i="13" s="1"/>
  <c r="G57" i="13"/>
  <c r="K57" i="13" s="1"/>
  <c r="D57" i="13"/>
  <c r="J56" i="13"/>
  <c r="M56" i="13" s="1"/>
  <c r="I56" i="13"/>
  <c r="L56" i="13" s="1"/>
  <c r="G56" i="13"/>
  <c r="K56" i="13" s="1"/>
  <c r="J55" i="13"/>
  <c r="M55" i="13" s="1"/>
  <c r="G55" i="13"/>
  <c r="D55" i="13"/>
  <c r="K54" i="13"/>
  <c r="J54" i="13"/>
  <c r="M54" i="13" s="1"/>
  <c r="I54" i="13"/>
  <c r="L54" i="13" s="1"/>
  <c r="G54" i="13"/>
  <c r="J53" i="13"/>
  <c r="M53" i="13" s="1"/>
  <c r="I53" i="13"/>
  <c r="L53" i="13" s="1"/>
  <c r="G53" i="13"/>
  <c r="K53" i="13" s="1"/>
  <c r="J52" i="13"/>
  <c r="M52" i="13" s="1"/>
  <c r="I52" i="13"/>
  <c r="L52" i="13" s="1"/>
  <c r="G52" i="13"/>
  <c r="K52" i="13" s="1"/>
  <c r="J51" i="13"/>
  <c r="M51" i="13" s="1"/>
  <c r="I51" i="13"/>
  <c r="L51" i="13" s="1"/>
  <c r="G51" i="13"/>
  <c r="K51" i="13" s="1"/>
  <c r="J50" i="13"/>
  <c r="M50" i="13" s="1"/>
  <c r="G50" i="13"/>
  <c r="K50" i="13" s="1"/>
  <c r="D50" i="13"/>
  <c r="J49" i="13"/>
  <c r="M49" i="13" s="1"/>
  <c r="G49" i="13"/>
  <c r="D49" i="13"/>
  <c r="J48" i="13"/>
  <c r="M48" i="13" s="1"/>
  <c r="G48" i="13"/>
  <c r="D48" i="13"/>
  <c r="J35" i="13"/>
  <c r="M35" i="13" s="1"/>
  <c r="I35" i="13"/>
  <c r="L35" i="13" s="1"/>
  <c r="G35" i="13"/>
  <c r="K35" i="13" s="1"/>
  <c r="J34" i="13"/>
  <c r="M34" i="13" s="1"/>
  <c r="I34" i="13"/>
  <c r="L34" i="13" s="1"/>
  <c r="G34" i="13"/>
  <c r="K34" i="13" s="1"/>
  <c r="K33" i="13"/>
  <c r="J33" i="13"/>
  <c r="M33" i="13" s="1"/>
  <c r="I33" i="13"/>
  <c r="L33" i="13" s="1"/>
  <c r="G33" i="13"/>
  <c r="J32" i="13"/>
  <c r="M32" i="13" s="1"/>
  <c r="G32" i="13"/>
  <c r="K32" i="13" s="1"/>
  <c r="D32" i="13"/>
  <c r="I32" i="13" s="1"/>
  <c r="L32" i="13" s="1"/>
  <c r="J31" i="13"/>
  <c r="M31" i="13" s="1"/>
  <c r="I31" i="13"/>
  <c r="L31" i="13" s="1"/>
  <c r="G31" i="13"/>
  <c r="K31" i="13" s="1"/>
  <c r="K30" i="13"/>
  <c r="N30" i="13" s="1"/>
  <c r="J30" i="13"/>
  <c r="M30" i="13" s="1"/>
  <c r="I30" i="13"/>
  <c r="L30" i="13" s="1"/>
  <c r="J29" i="13"/>
  <c r="M29" i="13" s="1"/>
  <c r="I29" i="13"/>
  <c r="L29" i="13" s="1"/>
  <c r="G29" i="13"/>
  <c r="K29" i="13" s="1"/>
  <c r="J28" i="13"/>
  <c r="M28" i="13" s="1"/>
  <c r="I28" i="13"/>
  <c r="L28" i="13" s="1"/>
  <c r="G28" i="13"/>
  <c r="K28" i="13" s="1"/>
  <c r="K27" i="13"/>
  <c r="J27" i="13"/>
  <c r="M27" i="13" s="1"/>
  <c r="I27" i="13"/>
  <c r="L27" i="13" s="1"/>
  <c r="G27" i="13"/>
  <c r="J26" i="13"/>
  <c r="M26" i="13" s="1"/>
  <c r="I26" i="13"/>
  <c r="L26" i="13" s="1"/>
  <c r="G26" i="13"/>
  <c r="K26" i="13" s="1"/>
  <c r="J25" i="13"/>
  <c r="M25" i="13" s="1"/>
  <c r="I25" i="13"/>
  <c r="L25" i="13" s="1"/>
  <c r="G25" i="13"/>
  <c r="K25" i="13" s="1"/>
  <c r="J24" i="13"/>
  <c r="M24" i="13" s="1"/>
  <c r="I24" i="13"/>
  <c r="L24" i="13" s="1"/>
  <c r="G24" i="13"/>
  <c r="K24" i="13" s="1"/>
  <c r="K23" i="13"/>
  <c r="J23" i="13"/>
  <c r="M23" i="13" s="1"/>
  <c r="I23" i="13"/>
  <c r="L23" i="13" s="1"/>
  <c r="G23" i="13"/>
  <c r="J22" i="13"/>
  <c r="M22" i="13" s="1"/>
  <c r="G22" i="13"/>
  <c r="K22" i="13" s="1"/>
  <c r="D22" i="13"/>
  <c r="I22" i="13" s="1"/>
  <c r="L22" i="13" s="1"/>
  <c r="J21" i="13"/>
  <c r="M21" i="13" s="1"/>
  <c r="G21" i="13"/>
  <c r="K21" i="13" s="1"/>
  <c r="D21" i="13"/>
  <c r="I21" i="13" s="1"/>
  <c r="L21" i="13" s="1"/>
  <c r="J20" i="13"/>
  <c r="M20" i="13" s="1"/>
  <c r="I20" i="13"/>
  <c r="L20" i="13" s="1"/>
  <c r="G20" i="13"/>
  <c r="K20" i="13" s="1"/>
  <c r="K19" i="13"/>
  <c r="N19" i="13" s="1"/>
  <c r="J19" i="13"/>
  <c r="M19" i="13" s="1"/>
  <c r="D19" i="13"/>
  <c r="I19" i="13" s="1"/>
  <c r="J18" i="13"/>
  <c r="M18" i="13" s="1"/>
  <c r="I18" i="13"/>
  <c r="L18" i="13" s="1"/>
  <c r="G18" i="13"/>
  <c r="K18" i="13" s="1"/>
  <c r="J17" i="13"/>
  <c r="M17" i="13" s="1"/>
  <c r="G17" i="13"/>
  <c r="D17" i="13"/>
  <c r="J16" i="13"/>
  <c r="M16" i="13" s="1"/>
  <c r="G16" i="13"/>
  <c r="D16" i="13"/>
  <c r="K15" i="13"/>
  <c r="J15" i="13"/>
  <c r="M15" i="13" s="1"/>
  <c r="I15" i="13"/>
  <c r="L15" i="13" s="1"/>
  <c r="G15" i="13"/>
  <c r="J14" i="13"/>
  <c r="M14" i="13" s="1"/>
  <c r="I14" i="13"/>
  <c r="L14" i="13" s="1"/>
  <c r="G14" i="13"/>
  <c r="K14" i="13" s="1"/>
  <c r="J13" i="13"/>
  <c r="M13" i="13" s="1"/>
  <c r="I13" i="13"/>
  <c r="L13" i="13" s="1"/>
  <c r="G13" i="13"/>
  <c r="K13" i="13" s="1"/>
  <c r="J12" i="13"/>
  <c r="M12" i="13" s="1"/>
  <c r="I12" i="13"/>
  <c r="L12" i="13" s="1"/>
  <c r="G12" i="13"/>
  <c r="K12" i="13" s="1"/>
  <c r="K11" i="13"/>
  <c r="J11" i="13"/>
  <c r="M11" i="13" s="1"/>
  <c r="I11" i="13"/>
  <c r="G11" i="13"/>
  <c r="B6" i="13"/>
  <c r="B5" i="13"/>
  <c r="E46" i="10"/>
  <c r="E45" i="10"/>
  <c r="E44" i="10"/>
  <c r="E43" i="10"/>
  <c r="E42" i="10"/>
  <c r="E41" i="10"/>
  <c r="D41" i="10"/>
  <c r="D56" i="10" s="1"/>
  <c r="C41" i="10"/>
  <c r="C56" i="10" s="1"/>
  <c r="B41" i="10"/>
  <c r="B56" i="10" s="1"/>
  <c r="E56" i="10" s="1"/>
  <c r="E40" i="10"/>
  <c r="E39" i="10"/>
  <c r="E38" i="10"/>
  <c r="E37" i="10"/>
  <c r="E35" i="10"/>
  <c r="E34" i="10"/>
  <c r="E32" i="10"/>
  <c r="E31" i="10"/>
  <c r="E30" i="10"/>
  <c r="E29" i="10" s="1"/>
  <c r="D29" i="10"/>
  <c r="D54" i="10" s="1"/>
  <c r="C29" i="10"/>
  <c r="C54" i="10" s="1"/>
  <c r="B29" i="10"/>
  <c r="B54" i="10" s="1"/>
  <c r="E54" i="10" s="1"/>
  <c r="E28" i="10"/>
  <c r="E27" i="10"/>
  <c r="E26" i="10"/>
  <c r="E25" i="10"/>
  <c r="E22" i="10"/>
  <c r="E21" i="10"/>
  <c r="E20" i="10"/>
  <c r="E19" i="10"/>
  <c r="E18" i="10"/>
  <c r="E17" i="10"/>
  <c r="D17" i="10"/>
  <c r="C17" i="10"/>
  <c r="B17" i="10"/>
  <c r="E16" i="10"/>
  <c r="E15" i="10"/>
  <c r="E11" i="10"/>
  <c r="E10" i="10"/>
  <c r="E9" i="10"/>
  <c r="E8" i="10"/>
  <c r="E7" i="10"/>
  <c r="E6" i="10" s="1"/>
  <c r="D6" i="10"/>
  <c r="C6" i="10"/>
  <c r="C51" i="10" s="1"/>
  <c r="B6" i="10"/>
  <c r="O52" i="11"/>
  <c r="P52" i="11" s="1"/>
  <c r="O51" i="11"/>
  <c r="P51" i="11" s="1"/>
  <c r="O50" i="11"/>
  <c r="P50" i="11" s="1"/>
  <c r="O49" i="11"/>
  <c r="P49" i="11" s="1"/>
  <c r="O48" i="11"/>
  <c r="P48" i="11" s="1"/>
  <c r="O47" i="11"/>
  <c r="P47" i="11" s="1"/>
  <c r="O46" i="11"/>
  <c r="P46" i="11" s="1"/>
  <c r="O45" i="11"/>
  <c r="P45" i="11" s="1"/>
  <c r="O44" i="11"/>
  <c r="P44" i="11" s="1"/>
  <c r="O43" i="11"/>
  <c r="P43" i="11" s="1"/>
  <c r="O42" i="11"/>
  <c r="P42" i="11" s="1"/>
  <c r="P40" i="11"/>
  <c r="O40" i="11"/>
  <c r="P39" i="11"/>
  <c r="O39" i="11"/>
  <c r="P38" i="11"/>
  <c r="O38" i="11"/>
  <c r="P37" i="11"/>
  <c r="O37" i="11"/>
  <c r="P36" i="11"/>
  <c r="O36" i="11"/>
  <c r="O35" i="11"/>
  <c r="P35" i="11" s="1"/>
  <c r="O34" i="11"/>
  <c r="P34" i="11" s="1"/>
  <c r="O33" i="11"/>
  <c r="P33" i="11" s="1"/>
  <c r="O32" i="11"/>
  <c r="P32" i="11" s="1"/>
  <c r="O31" i="11"/>
  <c r="P31" i="11" s="1"/>
  <c r="O30" i="11"/>
  <c r="P30" i="11" s="1"/>
  <c r="O29" i="11"/>
  <c r="P29" i="11" s="1"/>
  <c r="O28" i="11"/>
  <c r="P28" i="11" s="1"/>
  <c r="O27" i="11"/>
  <c r="P27" i="11" s="1"/>
  <c r="O26" i="11"/>
  <c r="P26" i="11" s="1"/>
  <c r="O24" i="11"/>
  <c r="P24" i="11" s="1"/>
  <c r="O23" i="11"/>
  <c r="P23" i="11" s="1"/>
  <c r="O22" i="11"/>
  <c r="O21" i="11" s="1"/>
  <c r="P21" i="11" s="1"/>
  <c r="O20" i="11"/>
  <c r="P20" i="11" s="1"/>
  <c r="O19" i="11"/>
  <c r="P19" i="11" s="1"/>
  <c r="O18" i="11"/>
  <c r="P18" i="11" s="1"/>
  <c r="O16" i="11"/>
  <c r="P16" i="11" s="1"/>
  <c r="O15" i="11"/>
  <c r="P15" i="11" s="1"/>
  <c r="O14" i="11"/>
  <c r="P14" i="11" s="1"/>
  <c r="O12" i="11"/>
  <c r="P12" i="11" s="1"/>
  <c r="O11" i="11"/>
  <c r="P11" i="11" s="1"/>
  <c r="O10" i="11"/>
  <c r="O9" i="11" s="1"/>
  <c r="P9" i="11" s="1"/>
  <c r="O8" i="11"/>
  <c r="P8" i="11" s="1"/>
  <c r="O7" i="11"/>
  <c r="P7" i="11" s="1"/>
  <c r="O6" i="11"/>
  <c r="P6" i="11" s="1"/>
  <c r="O5" i="11"/>
  <c r="O4" i="11" s="1"/>
  <c r="P4" i="11" s="1"/>
  <c r="O3" i="11"/>
  <c r="P3" i="11" s="1"/>
  <c r="O2" i="11"/>
  <c r="O53" i="11" s="1"/>
  <c r="P53" i="11" s="1"/>
  <c r="N50" i="16" l="1"/>
  <c r="D71" i="13"/>
  <c r="N33" i="13"/>
  <c r="N54" i="13"/>
  <c r="N13" i="13"/>
  <c r="K16" i="13"/>
  <c r="N16" i="13" s="1"/>
  <c r="K17" i="13"/>
  <c r="N17" i="13" s="1"/>
  <c r="L19" i="13"/>
  <c r="N25" i="13"/>
  <c r="N29" i="13"/>
  <c r="N55" i="13"/>
  <c r="K55" i="13"/>
  <c r="J71" i="14"/>
  <c r="K6" i="14" s="1"/>
  <c r="C24" i="10" s="1"/>
  <c r="C23" i="10" s="1"/>
  <c r="C53" i="10" s="1"/>
  <c r="K48" i="13"/>
  <c r="N48" i="13" s="1"/>
  <c r="K49" i="13"/>
  <c r="N49" i="13" s="1"/>
  <c r="K38" i="13"/>
  <c r="N38" i="13" s="1"/>
  <c r="N41" i="13"/>
  <c r="K43" i="13"/>
  <c r="N43" i="13" s="1"/>
  <c r="N45" i="13"/>
  <c r="K46" i="13"/>
  <c r="N46" i="13" s="1"/>
  <c r="N50" i="13"/>
  <c r="N36" i="13"/>
  <c r="K37" i="13"/>
  <c r="N37" i="13" s="1"/>
  <c r="N39" i="13"/>
  <c r="K40" i="13"/>
  <c r="N40" i="13" s="1"/>
  <c r="K42" i="13"/>
  <c r="N42" i="13" s="1"/>
  <c r="K44" i="13"/>
  <c r="N44" i="13" s="1"/>
  <c r="L46" i="13"/>
  <c r="K47" i="13"/>
  <c r="N47" i="13" s="1"/>
  <c r="N15" i="13"/>
  <c r="N23" i="13"/>
  <c r="N27" i="13"/>
  <c r="N35" i="13"/>
  <c r="N52" i="13"/>
  <c r="L19" i="16"/>
  <c r="N25" i="16"/>
  <c r="N29" i="16"/>
  <c r="N48" i="16"/>
  <c r="N53" i="16"/>
  <c r="O13" i="11"/>
  <c r="P13" i="11" s="1"/>
  <c r="O17" i="11"/>
  <c r="P17" i="11" s="1"/>
  <c r="O25" i="11"/>
  <c r="P25" i="11" s="1"/>
  <c r="P2" i="11"/>
  <c r="P5" i="11"/>
  <c r="P10" i="11"/>
  <c r="P22" i="11"/>
  <c r="O41" i="11"/>
  <c r="P41" i="11" s="1"/>
  <c r="B51" i="10"/>
  <c r="D51" i="10"/>
  <c r="N12" i="13"/>
  <c r="N14" i="13"/>
  <c r="I16" i="13"/>
  <c r="I17" i="13"/>
  <c r="L17" i="13" s="1"/>
  <c r="N18" i="13"/>
  <c r="N20" i="13"/>
  <c r="N21" i="13"/>
  <c r="N22" i="13"/>
  <c r="N24" i="13"/>
  <c r="N26" i="13"/>
  <c r="N28" i="13"/>
  <c r="N31" i="13"/>
  <c r="N32" i="13"/>
  <c r="N34" i="13"/>
  <c r="I48" i="13"/>
  <c r="L48" i="13" s="1"/>
  <c r="I49" i="13"/>
  <c r="L49" i="13" s="1"/>
  <c r="I50" i="13"/>
  <c r="L50" i="13" s="1"/>
  <c r="N51" i="13"/>
  <c r="N53" i="13"/>
  <c r="I55" i="13"/>
  <c r="L55" i="13" s="1"/>
  <c r="N56" i="13"/>
  <c r="N57" i="13"/>
  <c r="N59" i="13"/>
  <c r="N61" i="13"/>
  <c r="N63" i="13"/>
  <c r="N65" i="13"/>
  <c r="N67" i="13"/>
  <c r="N69" i="13"/>
  <c r="B7" i="13"/>
  <c r="G71" i="13"/>
  <c r="K6" i="13"/>
  <c r="B24" i="10" s="1"/>
  <c r="L11" i="13"/>
  <c r="N11" i="13"/>
  <c r="L16" i="13"/>
  <c r="I57" i="13"/>
  <c r="L57" i="13" s="1"/>
  <c r="N58" i="13"/>
  <c r="N60" i="13"/>
  <c r="N62" i="13"/>
  <c r="N64" i="13"/>
  <c r="N66" i="13"/>
  <c r="N68" i="13"/>
  <c r="K11" i="14"/>
  <c r="M11" i="14"/>
  <c r="K13" i="14"/>
  <c r="N13" i="14" s="1"/>
  <c r="K15" i="14"/>
  <c r="N15" i="14" s="1"/>
  <c r="I16" i="14"/>
  <c r="L16" i="14" s="1"/>
  <c r="K16" i="14"/>
  <c r="N16" i="14" s="1"/>
  <c r="K17" i="14"/>
  <c r="N17" i="14" s="1"/>
  <c r="I19" i="14"/>
  <c r="L19" i="14" s="1"/>
  <c r="L21" i="14"/>
  <c r="L22" i="14"/>
  <c r="K23" i="14"/>
  <c r="N23" i="14" s="1"/>
  <c r="K25" i="14"/>
  <c r="N25" i="14" s="1"/>
  <c r="K27" i="14"/>
  <c r="N27" i="14" s="1"/>
  <c r="K29" i="14"/>
  <c r="N29" i="14" s="1"/>
  <c r="L32" i="14"/>
  <c r="K33" i="14"/>
  <c r="N33" i="14" s="1"/>
  <c r="K34" i="14"/>
  <c r="N34" i="14" s="1"/>
  <c r="K36" i="14"/>
  <c r="N36" i="14" s="1"/>
  <c r="K37" i="14"/>
  <c r="N37" i="14" s="1"/>
  <c r="K39" i="14"/>
  <c r="N39" i="14" s="1"/>
  <c r="L42" i="14"/>
  <c r="K43" i="14"/>
  <c r="N43" i="14" s="1"/>
  <c r="K44" i="14"/>
  <c r="N44" i="14" s="1"/>
  <c r="K45" i="14"/>
  <c r="N45" i="14" s="1"/>
  <c r="L47" i="14"/>
  <c r="K48" i="14"/>
  <c r="N48" i="14" s="1"/>
  <c r="K49" i="14"/>
  <c r="N49" i="14" s="1"/>
  <c r="K50" i="14"/>
  <c r="N50" i="14" s="1"/>
  <c r="K51" i="14"/>
  <c r="N51" i="14" s="1"/>
  <c r="K53" i="14"/>
  <c r="N53" i="14" s="1"/>
  <c r="K55" i="14"/>
  <c r="N55" i="14" s="1"/>
  <c r="K56" i="14"/>
  <c r="N56" i="14" s="1"/>
  <c r="L58" i="14"/>
  <c r="K59" i="14"/>
  <c r="N59" i="14" s="1"/>
  <c r="K61" i="14"/>
  <c r="N61" i="14" s="1"/>
  <c r="K63" i="14"/>
  <c r="N63" i="14" s="1"/>
  <c r="K65" i="14"/>
  <c r="N65" i="14" s="1"/>
  <c r="K67" i="14"/>
  <c r="N67" i="14" s="1"/>
  <c r="N68" i="14"/>
  <c r="G71" i="14"/>
  <c r="N11" i="16"/>
  <c r="J71" i="16"/>
  <c r="K6" i="16" s="1"/>
  <c r="D24" i="10" s="1"/>
  <c r="D23" i="10" s="1"/>
  <c r="D53" i="10" s="1"/>
  <c r="N13" i="16"/>
  <c r="N15" i="16"/>
  <c r="N16" i="16"/>
  <c r="M71" i="14"/>
  <c r="L11" i="16"/>
  <c r="K12" i="16"/>
  <c r="B7" i="16"/>
  <c r="N12" i="16"/>
  <c r="N14" i="16"/>
  <c r="B5" i="16"/>
  <c r="D71" i="16"/>
  <c r="I16" i="16"/>
  <c r="L16" i="16" s="1"/>
  <c r="I17" i="16"/>
  <c r="L17" i="16" s="1"/>
  <c r="N18" i="16"/>
  <c r="N20" i="16"/>
  <c r="N21" i="16"/>
  <c r="N22" i="16"/>
  <c r="N24" i="16"/>
  <c r="N26" i="16"/>
  <c r="N28" i="16"/>
  <c r="I34" i="16"/>
  <c r="L34" i="16" s="1"/>
  <c r="N35" i="16"/>
  <c r="N37" i="16"/>
  <c r="N39" i="16"/>
  <c r="N42" i="16"/>
  <c r="N44" i="16"/>
  <c r="N46" i="16"/>
  <c r="N60" i="16"/>
  <c r="N62" i="16"/>
  <c r="N64" i="16"/>
  <c r="N66" i="16"/>
  <c r="N68" i="16"/>
  <c r="G71" i="16"/>
  <c r="K31" i="16"/>
  <c r="N31" i="16" s="1"/>
  <c r="N33" i="16"/>
  <c r="N34" i="16"/>
  <c r="N36" i="16"/>
  <c r="N38" i="16"/>
  <c r="N41" i="16"/>
  <c r="N43" i="16"/>
  <c r="N45" i="16"/>
  <c r="N47" i="16"/>
  <c r="I49" i="16"/>
  <c r="L49" i="16" s="1"/>
  <c r="I50" i="16"/>
  <c r="L50" i="16" s="1"/>
  <c r="I51" i="16"/>
  <c r="L51" i="16" s="1"/>
  <c r="N52" i="16"/>
  <c r="N54" i="16"/>
  <c r="I56" i="16"/>
  <c r="L56" i="16" s="1"/>
  <c r="N57" i="16"/>
  <c r="N59" i="16"/>
  <c r="N61" i="16"/>
  <c r="N63" i="16"/>
  <c r="N65" i="16"/>
  <c r="N67" i="16"/>
  <c r="N69" i="16"/>
  <c r="M71" i="16"/>
  <c r="K5" i="13" l="1"/>
  <c r="B14" i="10" s="1"/>
  <c r="I71" i="16"/>
  <c r="K5" i="16" s="1"/>
  <c r="D14" i="10" s="1"/>
  <c r="D13" i="10" s="1"/>
  <c r="D12" i="10" s="1"/>
  <c r="D52" i="10" s="1"/>
  <c r="K71" i="16"/>
  <c r="K7" i="16" s="1"/>
  <c r="K71" i="14"/>
  <c r="K7" i="14" s="1"/>
  <c r="C36" i="10" s="1"/>
  <c r="C33" i="10" s="1"/>
  <c r="C55" i="10" s="1"/>
  <c r="E24" i="10"/>
  <c r="E23" i="10" s="1"/>
  <c r="B23" i="10"/>
  <c r="B53" i="10" s="1"/>
  <c r="E53" i="10" s="1"/>
  <c r="N11" i="14"/>
  <c r="K71" i="13"/>
  <c r="K7" i="13" s="1"/>
  <c r="B36" i="10" s="1"/>
  <c r="I71" i="14"/>
  <c r="M71" i="13"/>
  <c r="E51" i="10"/>
  <c r="N71" i="16" l="1"/>
  <c r="N71" i="14"/>
  <c r="L71" i="13"/>
  <c r="N71" i="13"/>
  <c r="L71" i="16"/>
  <c r="B33" i="10"/>
  <c r="B55" i="10" s="1"/>
  <c r="K5" i="14"/>
  <c r="C14" i="10" s="1"/>
  <c r="C13" i="10" s="1"/>
  <c r="C12" i="10" s="1"/>
  <c r="L71" i="14"/>
  <c r="B13" i="10"/>
  <c r="B12" i="10" s="1"/>
  <c r="D36" i="10"/>
  <c r="D33" i="10" s="1"/>
  <c r="B52" i="10" l="1"/>
  <c r="B47" i="10"/>
  <c r="D55" i="10"/>
  <c r="D57" i="10" s="1"/>
  <c r="D58" i="10" s="1"/>
  <c r="D47" i="10"/>
  <c r="E14" i="10"/>
  <c r="E13" i="10" s="1"/>
  <c r="E12" i="10" s="1"/>
  <c r="E36" i="10"/>
  <c r="E33" i="10" s="1"/>
  <c r="C52" i="10"/>
  <c r="C57" i="10" s="1"/>
  <c r="C58" i="10" s="1"/>
  <c r="C47" i="10"/>
  <c r="E55" i="10"/>
  <c r="E47" i="10" l="1"/>
  <c r="E52" i="10"/>
  <c r="B57" i="10"/>
  <c r="B58" i="10" s="1"/>
  <c r="E57" i="10" l="1"/>
  <c r="F52" i="10" s="1"/>
  <c r="E58" i="10" l="1"/>
  <c r="F57" i="10"/>
  <c r="F56" i="10"/>
  <c r="F54" i="10"/>
  <c r="F53" i="10"/>
  <c r="F51" i="10"/>
  <c r="F55" i="10"/>
</calcChain>
</file>

<file path=xl/comments1.xml><?xml version="1.0" encoding="utf-8"?>
<comments xmlns="http://schemas.openxmlformats.org/spreadsheetml/2006/main">
  <authors>
    <author>be1</author>
  </authors>
  <commentList>
    <comment ref="N42" authorId="0">
      <text>
        <r>
          <rPr>
            <b/>
            <sz val="9"/>
            <rFont val="宋体"/>
            <charset val="134"/>
          </rPr>
          <t>be1:</t>
        </r>
        <r>
          <rPr>
            <sz val="9"/>
            <rFont val="宋体"/>
            <charset val="134"/>
          </rPr>
          <t xml:space="preserve">
Including testing code development
含测试代码开发</t>
        </r>
      </text>
    </comment>
    <comment ref="N46" authorId="0">
      <text>
        <r>
          <rPr>
            <b/>
            <sz val="9"/>
            <rFont val="宋体"/>
            <charset val="134"/>
          </rPr>
          <t>be1:</t>
        </r>
        <r>
          <rPr>
            <sz val="9"/>
            <rFont val="宋体"/>
            <charset val="134"/>
          </rPr>
          <t xml:space="preserve">
Including testing code development
含测试代码开发</t>
        </r>
      </text>
    </comment>
    <comment ref="N50" authorId="0">
      <text>
        <r>
          <rPr>
            <b/>
            <sz val="9"/>
            <rFont val="宋体"/>
            <charset val="134"/>
          </rPr>
          <t>be1:</t>
        </r>
        <r>
          <rPr>
            <sz val="9"/>
            <rFont val="宋体"/>
            <charset val="134"/>
          </rPr>
          <t xml:space="preserve">
Including testing code development
含测试代码开发
</t>
        </r>
      </text>
    </comment>
  </commentList>
</comments>
</file>

<file path=xl/comments2.xml><?xml version="1.0" encoding="utf-8"?>
<comments xmlns="http://schemas.openxmlformats.org/spreadsheetml/2006/main">
  <authors>
    <author>陈永琴</author>
  </authors>
  <commentList>
    <comment ref="A16" authorId="0">
      <text>
        <r>
          <rPr>
            <b/>
            <sz val="9"/>
            <rFont val="宋体"/>
            <charset val="134"/>
          </rPr>
          <t>取自客户需求说明书</t>
        </r>
      </text>
    </comment>
  </commentList>
</comments>
</file>

<file path=xl/comments3.xml><?xml version="1.0" encoding="utf-8"?>
<comments xmlns="http://schemas.openxmlformats.org/spreadsheetml/2006/main">
  <authors>
    <author>陈永琴</author>
    <author>ibm</author>
  </authors>
  <commentList>
    <comment ref="C5" authorId="0">
      <text>
        <r>
          <rPr>
            <b/>
            <sz val="9"/>
            <rFont val="宋体"/>
            <charset val="134"/>
          </rPr>
          <t>测试中心确定的标准；固定不变</t>
        </r>
      </text>
    </comment>
    <comment ref="H5" authorId="0">
      <text>
        <r>
          <rPr>
            <b/>
            <sz val="9"/>
            <rFont val="宋体"/>
            <charset val="134"/>
          </rPr>
          <t>测试中心确定的标准；固定不变</t>
        </r>
        <r>
          <rPr>
            <sz val="9"/>
            <rFont val="宋体"/>
            <charset val="134"/>
          </rPr>
          <t xml:space="preserve">
</t>
        </r>
      </text>
    </comment>
    <comment ref="C6" authorId="0">
      <text>
        <r>
          <rPr>
            <b/>
            <sz val="9"/>
            <rFont val="宋体"/>
            <charset val="134"/>
          </rPr>
          <t>测试中心确定的标准；固定不变</t>
        </r>
      </text>
    </comment>
    <comment ref="H6" authorId="0">
      <text>
        <r>
          <rPr>
            <b/>
            <sz val="9"/>
            <rFont val="宋体"/>
            <charset val="134"/>
          </rPr>
          <t>测试中心确定的标准；固定不变</t>
        </r>
        <r>
          <rPr>
            <sz val="9"/>
            <rFont val="宋体"/>
            <charset val="134"/>
          </rPr>
          <t xml:space="preserve">
</t>
        </r>
      </text>
    </comment>
    <comment ref="C7" authorId="0">
      <text>
        <r>
          <rPr>
            <b/>
            <sz val="9"/>
            <rFont val="宋体"/>
            <charset val="134"/>
          </rPr>
          <t>测试中心确定的标准；固定不变</t>
        </r>
        <r>
          <rPr>
            <sz val="9"/>
            <rFont val="宋体"/>
            <charset val="134"/>
          </rPr>
          <t xml:space="preserve">
</t>
        </r>
      </text>
    </comment>
    <comment ref="H7" authorId="0">
      <text>
        <r>
          <rPr>
            <b/>
            <sz val="9"/>
            <rFont val="宋体"/>
            <charset val="134"/>
          </rPr>
          <t>测试中心确定的标准；固定不变</t>
        </r>
        <r>
          <rPr>
            <sz val="9"/>
            <rFont val="宋体"/>
            <charset val="134"/>
          </rPr>
          <t xml:space="preserve">
</t>
        </r>
      </text>
    </comment>
    <comment ref="C10" authorId="0">
      <text>
        <r>
          <rPr>
            <b/>
            <sz val="9"/>
            <rFont val="宋体"/>
            <charset val="134"/>
          </rPr>
          <t>公共用例库中：
单条删除 9
单选项 2
多选项 4
翻页功能 8
列表页面检查 16
全选功能 6
日期输入框 5
输入框查询功能 13
树形结构、多选 6
数值输入框 16
数字输入框 28
下拉框 5
下拉项查询功能 8
下拉项与输入框组合查询 4
英文字符输入框 11
中文字符输入框 13
字符输入框 24
安装卸载  51
加密用例  36</t>
        </r>
      </text>
    </comment>
    <comment ref="H10" authorId="1">
      <text>
        <r>
          <rPr>
            <b/>
            <sz val="9"/>
            <rFont val="宋体"/>
            <charset val="134"/>
          </rPr>
          <t>取值范围:0~3
默认值1,即测试中心确定的标准效率（200，400）
例如：取值3则效率（66.7，133.3）
取值2则效率（100，200）
取值0.8则效率（250，500）</t>
        </r>
        <r>
          <rPr>
            <sz val="9"/>
            <rFont val="宋体"/>
            <charset val="13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ibm</author>
  </authors>
  <commentList>
    <comment ref="H10" authorId="0">
      <text>
        <r>
          <rPr>
            <b/>
            <sz val="9"/>
            <rFont val="宋体"/>
            <charset val="134"/>
          </rPr>
          <t>取值范围:0~3
默认值1,即测试中心确定的标准效率（200，400）
例如：取值3则效率（66.7，133.3）
取值2则效率（100，200）
取值0.8则效率（250，500）</t>
        </r>
        <r>
          <rPr>
            <sz val="9"/>
            <rFont val="宋体"/>
            <charset val="134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ibm</author>
  </authors>
  <commentList>
    <comment ref="H10" authorId="0">
      <text>
        <r>
          <rPr>
            <b/>
            <sz val="9"/>
            <rFont val="宋体"/>
            <charset val="134"/>
          </rPr>
          <t>取值范围:0~3
默认值1,即测试中心确定的标准效率（200，400）
例如：取值3则效率（66.7，133.3）
取值2则效率（100，200）
取值0.8则效率（250，500）</t>
        </r>
        <r>
          <rPr>
            <sz val="9"/>
            <rFont val="宋体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<sst xmlns="http://schemas.openxmlformats.org/spreadsheetml/2006/main" count="1046" uniqueCount="432">
  <si>
    <t>产品ID</t>
  </si>
  <si>
    <t>产品线</t>
  </si>
  <si>
    <t>产品</t>
  </si>
  <si>
    <t>产品R级</t>
  </si>
  <si>
    <t>项目组</t>
  </si>
  <si>
    <t>模块</t>
  </si>
  <si>
    <t>活动编码</t>
  </si>
  <si>
    <t>一级类别</t>
  </si>
  <si>
    <t>二级类别</t>
  </si>
  <si>
    <t>活动名称</t>
  </si>
  <si>
    <t>工时</t>
  </si>
  <si>
    <t>匹配结果</t>
  </si>
  <si>
    <r>
      <rPr>
        <sz val="12"/>
        <rFont val="宋体"/>
        <charset val="134"/>
      </rPr>
      <t>本列数据</t>
    </r>
    <r>
      <rPr>
        <sz val="12"/>
        <rFont val="Arial"/>
        <family val="2"/>
      </rPr>
      <t>copy</t>
    </r>
    <r>
      <rPr>
        <sz val="12"/>
        <rFont val="宋体"/>
        <charset val="134"/>
      </rPr>
      <t>到</t>
    </r>
    <r>
      <rPr>
        <sz val="12"/>
        <rFont val="Arial"/>
        <family val="2"/>
      </rPr>
      <t>effort</t>
    </r>
    <r>
      <rPr>
        <sz val="12"/>
        <rFont val="宋体"/>
        <charset val="134"/>
      </rPr>
      <t>表</t>
    </r>
  </si>
  <si>
    <t>EDU20120101</t>
  </si>
  <si>
    <t>教育产品线</t>
  </si>
  <si>
    <t>软件开发类</t>
  </si>
  <si>
    <t>质量保证</t>
  </si>
  <si>
    <t>质量审计</t>
  </si>
  <si>
    <t>培训</t>
  </si>
  <si>
    <t>EDU20120102</t>
  </si>
  <si>
    <t>缺陷预防</t>
  </si>
  <si>
    <t>项目管理</t>
  </si>
  <si>
    <t>EDU20120103</t>
  </si>
  <si>
    <t>配置管理</t>
  </si>
  <si>
    <t>EDU20120104</t>
  </si>
  <si>
    <t>项目计划</t>
  </si>
  <si>
    <t>准备</t>
  </si>
  <si>
    <t>EDU20120105</t>
  </si>
  <si>
    <t>评审</t>
  </si>
  <si>
    <t>EDU20120106</t>
  </si>
  <si>
    <t>返工</t>
  </si>
  <si>
    <t>EDU20120107</t>
  </si>
  <si>
    <t>需求规格</t>
  </si>
  <si>
    <t>组间协调</t>
  </si>
  <si>
    <t>EDU20120108</t>
  </si>
  <si>
    <t>EDU20120109</t>
  </si>
  <si>
    <t>计划文档准备</t>
  </si>
  <si>
    <t>EDU20120110</t>
  </si>
  <si>
    <t>系统测试计划</t>
  </si>
  <si>
    <t>计划文档</t>
  </si>
  <si>
    <t>EDU20120111</t>
  </si>
  <si>
    <t>计划文档修改</t>
  </si>
  <si>
    <t>EDU20120112</t>
  </si>
  <si>
    <t>软件需求</t>
  </si>
  <si>
    <t>EDU20120113</t>
  </si>
  <si>
    <t>概要设计</t>
  </si>
  <si>
    <t>软件需求文档准备</t>
  </si>
  <si>
    <t>EDU20120114</t>
  </si>
  <si>
    <t>软件需求文档审核</t>
  </si>
  <si>
    <t>EDU20120115</t>
  </si>
  <si>
    <t>软件需求文档修改</t>
  </si>
  <si>
    <t>EDU20120116</t>
  </si>
  <si>
    <t>集成测试计划</t>
  </si>
  <si>
    <t>EDU20120117</t>
  </si>
  <si>
    <t>准备系统测试计划</t>
  </si>
  <si>
    <t>EDU20120118</t>
  </si>
  <si>
    <t>系统测试计划审核</t>
  </si>
  <si>
    <t>EDU20120119</t>
  </si>
  <si>
    <t>详细设计</t>
  </si>
  <si>
    <t>系统测试计划修改</t>
  </si>
  <si>
    <t>EDU20120120</t>
  </si>
  <si>
    <t>EDU20120121</t>
  </si>
  <si>
    <t>概要设计文档准备</t>
  </si>
  <si>
    <t>EDU20120122</t>
  </si>
  <si>
    <t>单元测试计划</t>
  </si>
  <si>
    <t>概要设计审核</t>
  </si>
  <si>
    <t>EDU20120123</t>
  </si>
  <si>
    <t>概要设计修改</t>
  </si>
  <si>
    <t>EDU20120124</t>
  </si>
  <si>
    <t>EDU20120125</t>
  </si>
  <si>
    <t>软件编码</t>
  </si>
  <si>
    <t>集成测试计划准备</t>
  </si>
  <si>
    <t>EDU20120126</t>
  </si>
  <si>
    <t>集成测试计划审核</t>
  </si>
  <si>
    <t>EDU20120127</t>
  </si>
  <si>
    <t>集成测试计划修改</t>
  </si>
  <si>
    <t>FIN20120101</t>
  </si>
  <si>
    <t>金融产品线</t>
  </si>
  <si>
    <t>单元测试</t>
  </si>
  <si>
    <t>测试准备</t>
  </si>
  <si>
    <t>FIN20120102</t>
  </si>
  <si>
    <t>测试执行</t>
  </si>
  <si>
    <t>详细设计文档准备</t>
  </si>
  <si>
    <t>FIN20120103</t>
  </si>
  <si>
    <t>缺陷修改</t>
  </si>
  <si>
    <t>详细设计审核</t>
  </si>
  <si>
    <t>FIN20120104</t>
  </si>
  <si>
    <t>集成测试</t>
  </si>
  <si>
    <t>详细设计修改</t>
  </si>
  <si>
    <t>FIN20120105</t>
  </si>
  <si>
    <t>FIN20120106</t>
  </si>
  <si>
    <t>单元测试计划准备</t>
  </si>
  <si>
    <t>FIN20120107</t>
  </si>
  <si>
    <t>系统测试</t>
  </si>
  <si>
    <t>单元测试计划审核</t>
  </si>
  <si>
    <t>FIN20120108</t>
  </si>
  <si>
    <t>单元测试计划修改</t>
  </si>
  <si>
    <t>FIN20120109</t>
  </si>
  <si>
    <t>编码</t>
  </si>
  <si>
    <t>FIN20120110</t>
  </si>
  <si>
    <t>项目培训活动</t>
  </si>
  <si>
    <t>接受技术培训</t>
  </si>
  <si>
    <r>
      <rPr>
        <sz val="10"/>
        <rFont val="宋体"/>
        <charset val="134"/>
      </rPr>
      <t>编码</t>
    </r>
    <r>
      <rPr>
        <sz val="10"/>
        <rFont val="Times New Roman"/>
        <family val="1"/>
      </rPr>
      <t>(</t>
    </r>
    <r>
      <rPr>
        <sz val="10"/>
        <rFont val="宋体"/>
        <charset val="134"/>
      </rPr>
      <t>含编译和</t>
    </r>
    <r>
      <rPr>
        <sz val="10"/>
        <rFont val="Times New Roman"/>
        <family val="1"/>
      </rPr>
      <t>PCLINT</t>
    </r>
    <r>
      <rPr>
        <sz val="10"/>
        <rFont val="宋体"/>
        <charset val="134"/>
      </rPr>
      <t>）</t>
    </r>
  </si>
  <si>
    <t>FIN20120111</t>
  </si>
  <si>
    <t>接受非技术培训</t>
  </si>
  <si>
    <t>代码审核</t>
  </si>
  <si>
    <t>FIN20120112</t>
  </si>
  <si>
    <t>准备教材/培训授课</t>
  </si>
  <si>
    <t>代码修改</t>
  </si>
  <si>
    <t>FIN20120113</t>
  </si>
  <si>
    <t>指导低级别工程师</t>
  </si>
  <si>
    <t>FIN20120114</t>
  </si>
  <si>
    <t>重估计，重计划</t>
  </si>
  <si>
    <t>FIN20120115</t>
  </si>
  <si>
    <t>度量活动</t>
  </si>
  <si>
    <t>单元测试执行</t>
  </si>
  <si>
    <t>FIN20120116</t>
  </si>
  <si>
    <t>项目会议</t>
  </si>
  <si>
    <t>FIN20120117</t>
  </si>
  <si>
    <t>沟通，跟踪与监控</t>
  </si>
  <si>
    <t>FIN20120118</t>
  </si>
  <si>
    <t>周边协调</t>
  </si>
  <si>
    <t>FIN20120119</t>
  </si>
  <si>
    <t>参与用户手册写作评审</t>
  </si>
  <si>
    <t>集成测试执行</t>
  </si>
  <si>
    <t>FIN20120120</t>
  </si>
  <si>
    <t>其他</t>
  </si>
  <si>
    <r>
      <rPr>
        <sz val="10"/>
        <rFont val="Times New Roman"/>
        <family val="1"/>
      </rPr>
      <t xml:space="preserve"> </t>
    </r>
    <r>
      <rPr>
        <sz val="10"/>
        <rFont val="宋体"/>
        <charset val="134"/>
      </rPr>
      <t>测试准备</t>
    </r>
  </si>
  <si>
    <t>系统测试执行</t>
  </si>
  <si>
    <t>Total</t>
  </si>
  <si>
    <t/>
  </si>
  <si>
    <t>测试项目工作量预估表单</t>
  </si>
  <si>
    <r>
      <rPr>
        <sz val="11"/>
        <rFont val="宋体"/>
        <charset val="134"/>
      </rPr>
      <t>密级</t>
    </r>
    <r>
      <rPr>
        <sz val="11"/>
        <rFont val="Times New Roman"/>
        <family val="1"/>
      </rPr>
      <t xml:space="preserve">: </t>
    </r>
    <r>
      <rPr>
        <i/>
        <sz val="11"/>
        <color indexed="48"/>
        <rFont val="Times New Roman"/>
        <family val="1"/>
      </rPr>
      <t>(</t>
    </r>
    <r>
      <rPr>
        <i/>
        <sz val="11"/>
        <color indexed="48"/>
        <rFont val="宋体"/>
        <charset val="134"/>
      </rPr>
      <t>秘密</t>
    </r>
    <r>
      <rPr>
        <i/>
        <sz val="11"/>
        <color indexed="48"/>
        <rFont val="Times New Roman"/>
        <family val="1"/>
      </rPr>
      <t>)</t>
    </r>
  </si>
  <si>
    <t>项目基本信息</t>
  </si>
  <si>
    <r>
      <rPr>
        <i/>
        <sz val="9"/>
        <color indexed="10"/>
        <rFont val="宋体"/>
        <charset val="134"/>
      </rPr>
      <t>仅在黄色区域</t>
    </r>
    <r>
      <rPr>
        <i/>
        <sz val="9"/>
        <color indexed="10"/>
        <rFont val="Times New Roman"/>
        <family val="1"/>
      </rPr>
      <t>/</t>
    </r>
    <r>
      <rPr>
        <i/>
        <sz val="9"/>
        <color indexed="10"/>
        <rFont val="宋体"/>
        <charset val="134"/>
      </rPr>
      <t>单元填写数据或文本</t>
    </r>
  </si>
  <si>
    <t>项目名称</t>
  </si>
  <si>
    <t>国际商务公司模拟实训平台 V1.2</t>
  </si>
  <si>
    <t>项目规模</t>
  </si>
  <si>
    <t>微型</t>
  </si>
  <si>
    <t>所属开发中心</t>
  </si>
  <si>
    <t>实训</t>
  </si>
  <si>
    <t>项目类型</t>
  </si>
  <si>
    <t>升级项目</t>
  </si>
  <si>
    <t>产品类型</t>
  </si>
  <si>
    <t>合同型</t>
  </si>
  <si>
    <t>产品业绩（万）</t>
  </si>
  <si>
    <t>产品经理</t>
  </si>
  <si>
    <t>王远见</t>
  </si>
  <si>
    <t>项目经理</t>
  </si>
  <si>
    <t>田茂川</t>
  </si>
  <si>
    <t>测试项目经理</t>
  </si>
  <si>
    <t>唐倩</t>
  </si>
  <si>
    <t>配置管理员</t>
  </si>
  <si>
    <t>吴子文</t>
  </si>
  <si>
    <t>质量保证工程师</t>
  </si>
  <si>
    <t>吴沂迅</t>
  </si>
  <si>
    <t>测试团队总人数（生命周期峰值）</t>
  </si>
  <si>
    <r>
      <rPr>
        <sz val="10"/>
        <rFont val="Arial"/>
        <family val="2"/>
      </rPr>
      <t>3</t>
    </r>
    <r>
      <rPr>
        <sz val="10"/>
        <rFont val="宋体"/>
        <charset val="134"/>
      </rPr>
      <t>人</t>
    </r>
  </si>
  <si>
    <t>使用平台和数据库</t>
  </si>
  <si>
    <r>
      <rPr>
        <sz val="10"/>
        <rFont val="Arial"/>
        <family val="2"/>
      </rPr>
      <t>.net</t>
    </r>
    <r>
      <rPr>
        <sz val="10"/>
        <rFont val="宋体"/>
        <charset val="134"/>
      </rPr>
      <t>、</t>
    </r>
    <r>
      <rPr>
        <sz val="10"/>
        <rFont val="Arial"/>
        <family val="2"/>
      </rPr>
      <t>sqlserver2008</t>
    </r>
  </si>
  <si>
    <t>开发语言</t>
  </si>
  <si>
    <t>C#</t>
  </si>
  <si>
    <t>项目描述</t>
  </si>
  <si>
    <t>本产品为上海市区重点职业高中定制产品，本产品的开发起因是基于一套公司模拟课程进行配套开发（课程也为我公司开发），主要目的是在教学中，让学生能够更好的体验和理解企业业务，在实训过程中，将知识和业务结合，从而提高实训教学效果。配套课程实现线上线下、以典型企业工作任务为驱动，方便课程的组织和管理，除此之外，我们的开发设计还包括了邮件系统和帮助系统（用于绑定课程资源）等功能模块，实现实训过程的丰富多样性，从业务仿真操作和教学辅助等角度丰富产品功能，以从多个角度满足用户的要求。</t>
  </si>
  <si>
    <t>预估汇总表单</t>
  </si>
  <si>
    <t>估计方法</t>
  </si>
  <si>
    <t>估计时间</t>
  </si>
  <si>
    <t>估计成员</t>
  </si>
  <si>
    <t>黄琪、刘燕燕、房雷</t>
  </si>
  <si>
    <r>
      <rPr>
        <sz val="10"/>
        <rFont val="宋体"/>
        <charset val="134"/>
      </rPr>
      <t>任务</t>
    </r>
    <r>
      <rPr>
        <sz val="10"/>
        <rFont val="Times New Roman"/>
        <family val="1"/>
      </rPr>
      <t>/</t>
    </r>
    <r>
      <rPr>
        <sz val="10"/>
        <rFont val="宋体"/>
        <charset val="134"/>
      </rPr>
      <t>活动</t>
    </r>
  </si>
  <si>
    <t>备注</t>
  </si>
  <si>
    <t>预估1</t>
  </si>
  <si>
    <t>预估2</t>
  </si>
  <si>
    <t>平均</t>
  </si>
  <si>
    <t>前期参与</t>
  </si>
  <si>
    <t xml:space="preserve"> 熟悉需求</t>
  </si>
  <si>
    <t xml:space="preserve"> 需求评审</t>
  </si>
  <si>
    <t xml:space="preserve"> 参与项目估计与WBS计划制定</t>
  </si>
  <si>
    <t xml:space="preserve"> 培训</t>
  </si>
  <si>
    <t xml:space="preserve"> 项目管理</t>
  </si>
  <si>
    <t>测试需求分析与计划</t>
  </si>
  <si>
    <t xml:space="preserve"> 测试需求分析</t>
  </si>
  <si>
    <t xml:space="preserve">  初稿</t>
  </si>
  <si>
    <t xml:space="preserve">  评审</t>
  </si>
  <si>
    <t xml:space="preserve">  修改</t>
  </si>
  <si>
    <t xml:space="preserve"> 系统测试计划</t>
  </si>
  <si>
    <t xml:space="preserve"> 沟通协调</t>
  </si>
  <si>
    <t>测试用例设计</t>
  </si>
  <si>
    <t xml:space="preserve"> 初稿</t>
  </si>
  <si>
    <t xml:space="preserve"> 评审</t>
  </si>
  <si>
    <t xml:space="preserve"> 修改</t>
  </si>
  <si>
    <t>UI界面测试</t>
  </si>
  <si>
    <t xml:space="preserve"> 测试执行</t>
  </si>
  <si>
    <t xml:space="preserve"> 测试环境准备(功能、性能环境)</t>
  </si>
  <si>
    <t xml:space="preserve"> 准入测试（预估轮次所有准入）</t>
  </si>
  <si>
    <t xml:space="preserve"> 功能测试执行</t>
  </si>
  <si>
    <t xml:space="preserve"> 性能测试脚本录制及执行</t>
  </si>
  <si>
    <t xml:space="preserve"> BUG回归验证</t>
  </si>
  <si>
    <t>测试评估与总结</t>
  </si>
  <si>
    <t xml:space="preserve"> 编写测试报告</t>
  </si>
  <si>
    <t xml:space="preserve"> 测试总结</t>
  </si>
  <si>
    <t>总时数</t>
  </si>
  <si>
    <t>按活动/阶段</t>
  </si>
  <si>
    <t>占测试工作量比例</t>
  </si>
  <si>
    <t>估计1</t>
  </si>
  <si>
    <t>估计2</t>
  </si>
  <si>
    <t>估计3</t>
  </si>
  <si>
    <t>汇总（人时）</t>
  </si>
  <si>
    <t>汇总（人天）</t>
  </si>
  <si>
    <t>预估表单1</t>
  </si>
  <si>
    <t>经验估计法</t>
  </si>
  <si>
    <t>估计日期</t>
  </si>
  <si>
    <t>估计专家</t>
  </si>
  <si>
    <t>黄琪</t>
  </si>
  <si>
    <t>规模统计</t>
  </si>
  <si>
    <t>测试需求总数</t>
  </si>
  <si>
    <t>分析效率(分析数/人时)</t>
  </si>
  <si>
    <t>分析复杂系数</t>
  </si>
  <si>
    <t>需求分析工作量(人时)</t>
  </si>
  <si>
    <t>测试用例总数</t>
  </si>
  <si>
    <t>设计效率(用例个数/人时)</t>
  </si>
  <si>
    <t>设计复杂系数</t>
  </si>
  <si>
    <t>用例设计工作量(人时)</t>
  </si>
  <si>
    <t>执行用例总数</t>
  </si>
  <si>
    <t>执行效率(用例个数/人时)</t>
  </si>
  <si>
    <t>执行复杂系数</t>
  </si>
  <si>
    <t>用例执行工作量(人时)</t>
  </si>
  <si>
    <t>测试项目规模估计</t>
  </si>
  <si>
    <t>序号</t>
  </si>
  <si>
    <t>需求特性</t>
  </si>
  <si>
    <t>需求描述</t>
  </si>
  <si>
    <t>估计测试需求数</t>
  </si>
  <si>
    <t>估计编写用例数</t>
  </si>
  <si>
    <t>预估测试轮次</t>
  </si>
  <si>
    <t>估算假设需要执行的用例数</t>
  </si>
  <si>
    <t>任务难度系数</t>
  </si>
  <si>
    <t>需求分析的工作量(人时)</t>
  </si>
  <si>
    <t>用例设计的工作量(人时)</t>
  </si>
  <si>
    <t>用例执行的工作量(人时)</t>
  </si>
  <si>
    <t>需求分析效率（条/人天）</t>
  </si>
  <si>
    <t>用例编写效率（条/人天）</t>
  </si>
  <si>
    <t>用例执行效率（条/人天）</t>
  </si>
  <si>
    <t>01</t>
  </si>
  <si>
    <t>保险综合：学生端-查看详情</t>
  </si>
  <si>
    <t>实训考核：
入口检查：1
界面内容检查：1+1
项目练习：
入口检查：1
界面内容检查：1+1
查看详情按钮功能检查：1</t>
  </si>
  <si>
    <t>02</t>
  </si>
  <si>
    <t>保险综合：学生端-团队实训考核成绩</t>
  </si>
  <si>
    <t>成绩数据正确性检查：2</t>
  </si>
  <si>
    <t>03</t>
  </si>
  <si>
    <r>
      <rPr>
        <sz val="10"/>
        <color indexed="28"/>
        <rFont val="宋体"/>
        <charset val="134"/>
      </rPr>
      <t>保险综合：学生端</t>
    </r>
    <r>
      <rPr>
        <sz val="10"/>
        <color indexed="28"/>
        <rFont val="Times New Roman"/>
        <family val="1"/>
      </rPr>
      <t>-</t>
    </r>
    <r>
      <rPr>
        <sz val="10"/>
        <color indexed="28"/>
        <rFont val="宋体"/>
        <charset val="134"/>
      </rPr>
      <t>查看实训成绩</t>
    </r>
  </si>
  <si>
    <t>实训考核：
成绩数据正确性检查：2
考核点内容检查：7
案例内容检查：7
项目练习：
成绩数据正确性检查：2
考核点内容检查：7
案例内容检查：7</t>
  </si>
  <si>
    <t>04</t>
  </si>
  <si>
    <t>保险综合：学生端-个人练习</t>
  </si>
  <si>
    <t>按钮名称检查：1</t>
  </si>
  <si>
    <t>05</t>
  </si>
  <si>
    <t>保险综合：学生端-个人练习-自由练习</t>
  </si>
  <si>
    <t>自由练习按钮功能检查：1
子系统页面内容正确性检查：2</t>
  </si>
  <si>
    <t>06</t>
  </si>
  <si>
    <t>保险综合：学生端-团队练习</t>
  </si>
  <si>
    <t>团队按钮功能检查：1
子系统团队创建：6（我的团队+团部团队）
子系统团队加入：10（人满加入+一个人多个角色加入）
子系统进入练习：15（组成员选三种类型）
界面显示内容检查：1</t>
  </si>
  <si>
    <t>07</t>
  </si>
  <si>
    <t>保险综合：学生端-进入考核</t>
  </si>
  <si>
    <r>
      <rPr>
        <sz val="10"/>
        <color indexed="28"/>
        <rFont val="宋体"/>
        <charset val="134"/>
      </rPr>
      <t>进入考核按钮功能检查：</t>
    </r>
    <r>
      <rPr>
        <sz val="10"/>
        <color indexed="28"/>
        <rFont val="Times New Roman"/>
        <family val="1"/>
      </rPr>
      <t xml:space="preserve">1
</t>
    </r>
    <r>
      <rPr>
        <sz val="10"/>
        <color indexed="28"/>
        <rFont val="宋体"/>
        <charset val="134"/>
      </rPr>
      <t>弹窗模式</t>
    </r>
    <r>
      <rPr>
        <sz val="10"/>
        <color indexed="28"/>
        <rFont val="Times New Roman"/>
        <family val="1"/>
      </rPr>
      <t>-</t>
    </r>
    <r>
      <rPr>
        <sz val="10"/>
        <color indexed="28"/>
        <rFont val="宋体"/>
        <charset val="134"/>
      </rPr>
      <t>个人考核按钮显示和功能检查：</t>
    </r>
    <r>
      <rPr>
        <sz val="10"/>
        <color indexed="28"/>
        <rFont val="Times New Roman"/>
        <family val="1"/>
      </rPr>
      <t xml:space="preserve">3
</t>
    </r>
    <r>
      <rPr>
        <sz val="10"/>
        <color indexed="28"/>
        <rFont val="宋体"/>
        <charset val="134"/>
      </rPr>
      <t>弹窗模式</t>
    </r>
    <r>
      <rPr>
        <sz val="10"/>
        <color indexed="28"/>
        <rFont val="Times New Roman"/>
        <family val="1"/>
      </rPr>
      <t>-</t>
    </r>
    <r>
      <rPr>
        <sz val="10"/>
        <color indexed="28"/>
        <rFont val="宋体"/>
        <charset val="134"/>
      </rPr>
      <t>团队考核按钮显示和功能检查：</t>
    </r>
    <r>
      <rPr>
        <sz val="10"/>
        <color indexed="28"/>
        <rFont val="Times New Roman"/>
        <family val="1"/>
      </rPr>
      <t xml:space="preserve">3
</t>
    </r>
    <r>
      <rPr>
        <sz val="10"/>
        <color indexed="28"/>
        <rFont val="宋体"/>
        <charset val="134"/>
      </rPr>
      <t>进入个人考核子系统页面内容检查：</t>
    </r>
    <r>
      <rPr>
        <sz val="10"/>
        <color indexed="28"/>
        <rFont val="Times New Roman"/>
        <family val="1"/>
      </rPr>
      <t xml:space="preserve">1
</t>
    </r>
    <r>
      <rPr>
        <sz val="10"/>
        <color indexed="28"/>
        <rFont val="宋体"/>
        <charset val="134"/>
      </rPr>
      <t>进入团队考核子系统页面内容检查：</t>
    </r>
    <r>
      <rPr>
        <sz val="10"/>
        <color indexed="28"/>
        <rFont val="Times New Roman"/>
        <family val="1"/>
      </rPr>
      <t>1</t>
    </r>
  </si>
  <si>
    <t>08</t>
  </si>
  <si>
    <t>保险综合：教师端-发布考核</t>
  </si>
  <si>
    <r>
      <rPr>
        <sz val="10"/>
        <color indexed="28"/>
        <rFont val="宋体"/>
        <charset val="134"/>
      </rPr>
      <t>发布考核按钮功能检查：</t>
    </r>
    <r>
      <rPr>
        <sz val="10"/>
        <color indexed="28"/>
        <rFont val="Times New Roman"/>
        <family val="1"/>
      </rPr>
      <t xml:space="preserve">1
</t>
    </r>
    <r>
      <rPr>
        <sz val="10"/>
        <color indexed="28"/>
        <rFont val="宋体"/>
        <charset val="134"/>
      </rPr>
      <t>弹窗模式</t>
    </r>
    <r>
      <rPr>
        <sz val="10"/>
        <color indexed="28"/>
        <rFont val="Times New Roman"/>
        <family val="1"/>
      </rPr>
      <t>-</t>
    </r>
    <r>
      <rPr>
        <sz val="10"/>
        <color indexed="28"/>
        <rFont val="宋体"/>
        <charset val="134"/>
      </rPr>
      <t>个人考核按钮功能检查：</t>
    </r>
    <r>
      <rPr>
        <sz val="10"/>
        <color indexed="28"/>
        <rFont val="Times New Roman"/>
        <family val="1"/>
      </rPr>
      <t xml:space="preserve">1
</t>
    </r>
    <r>
      <rPr>
        <sz val="10"/>
        <color indexed="28"/>
        <rFont val="宋体"/>
        <charset val="134"/>
      </rPr>
      <t>团队考核按钮功能检查：</t>
    </r>
    <r>
      <rPr>
        <sz val="10"/>
        <color indexed="28"/>
        <rFont val="Times New Roman"/>
        <family val="1"/>
      </rPr>
      <t xml:space="preserve">1
</t>
    </r>
    <r>
      <rPr>
        <sz val="10"/>
        <color indexed="28"/>
        <rFont val="宋体"/>
        <charset val="134"/>
      </rPr>
      <t>子系统</t>
    </r>
    <r>
      <rPr>
        <sz val="10"/>
        <color indexed="28"/>
        <rFont val="Times New Roman"/>
        <family val="1"/>
      </rPr>
      <t>-</t>
    </r>
    <r>
      <rPr>
        <sz val="10"/>
        <color indexed="28"/>
        <rFont val="宋体"/>
        <charset val="134"/>
      </rPr>
      <t>教师端团队考核页面检查：</t>
    </r>
    <r>
      <rPr>
        <sz val="10"/>
        <color indexed="28"/>
        <rFont val="Times New Roman"/>
        <family val="1"/>
      </rPr>
      <t xml:space="preserve">1
</t>
    </r>
    <r>
      <rPr>
        <sz val="10"/>
        <color indexed="28"/>
        <rFont val="宋体"/>
        <charset val="134"/>
      </rPr>
      <t>考核发布后学生端检查：</t>
    </r>
    <r>
      <rPr>
        <sz val="10"/>
        <color indexed="28"/>
        <rFont val="Times New Roman"/>
        <family val="1"/>
      </rPr>
      <t>4</t>
    </r>
  </si>
  <si>
    <t>09</t>
  </si>
  <si>
    <t>保险综合：教师端-发布个人考核-考核时间</t>
  </si>
  <si>
    <t>考核名称输入框：10（公共用例）
实时启动模式-数字输入框：13（公共用例）
定时发布模式-时间控件：29（公共用例）</t>
  </si>
  <si>
    <t>10</t>
  </si>
  <si>
    <t>保险综合：教师端-发布考核-选择考核</t>
  </si>
  <si>
    <r>
      <rPr>
        <sz val="10"/>
        <color indexed="28"/>
        <rFont val="宋体"/>
        <charset val="134"/>
      </rPr>
      <t>选择考核按钮功能检查：</t>
    </r>
    <r>
      <rPr>
        <sz val="10"/>
        <color indexed="28"/>
        <rFont val="Times New Roman"/>
        <family val="1"/>
      </rPr>
      <t xml:space="preserve">1
</t>
    </r>
    <r>
      <rPr>
        <sz val="10"/>
        <color indexed="28"/>
        <rFont val="宋体"/>
        <charset val="134"/>
      </rPr>
      <t>选择考核数据源正确性检查：</t>
    </r>
    <r>
      <rPr>
        <sz val="10"/>
        <color indexed="28"/>
        <rFont val="Times New Roman"/>
        <family val="1"/>
      </rPr>
      <t>4</t>
    </r>
  </si>
  <si>
    <t>11</t>
  </si>
  <si>
    <t>保险综合：教师端-发布考核-自定义考核</t>
  </si>
  <si>
    <r>
      <rPr>
        <sz val="10"/>
        <color indexed="28"/>
        <rFont val="宋体"/>
        <charset val="134"/>
      </rPr>
      <t>自定义考核按钮功能检查：</t>
    </r>
    <r>
      <rPr>
        <sz val="10"/>
        <color indexed="28"/>
        <rFont val="Times New Roman"/>
        <family val="1"/>
      </rPr>
      <t xml:space="preserve">1
</t>
    </r>
    <r>
      <rPr>
        <sz val="10"/>
        <color indexed="28"/>
        <rFont val="宋体"/>
        <charset val="134"/>
      </rPr>
      <t>自定义考核弹窗</t>
    </r>
    <r>
      <rPr>
        <sz val="10"/>
        <color indexed="28"/>
        <rFont val="Times New Roman"/>
        <family val="1"/>
      </rPr>
      <t>-</t>
    </r>
    <r>
      <rPr>
        <sz val="10"/>
        <color indexed="28"/>
        <rFont val="宋体"/>
        <charset val="134"/>
      </rPr>
      <t>界面布局：</t>
    </r>
    <r>
      <rPr>
        <sz val="10"/>
        <color indexed="28"/>
        <rFont val="Times New Roman"/>
        <family val="1"/>
      </rPr>
      <t xml:space="preserve">1
</t>
    </r>
    <r>
      <rPr>
        <sz val="10"/>
        <color indexed="28"/>
        <rFont val="宋体"/>
        <charset val="134"/>
      </rPr>
      <t>自定义考核弹窗</t>
    </r>
    <r>
      <rPr>
        <sz val="10"/>
        <color indexed="28"/>
        <rFont val="Times New Roman"/>
        <family val="1"/>
      </rPr>
      <t>-</t>
    </r>
    <r>
      <rPr>
        <sz val="10"/>
        <color indexed="28"/>
        <rFont val="宋体"/>
        <charset val="134"/>
      </rPr>
      <t>字符输入框：</t>
    </r>
    <r>
      <rPr>
        <sz val="10"/>
        <color indexed="28"/>
        <rFont val="Times New Roman"/>
        <family val="1"/>
      </rPr>
      <t>10</t>
    </r>
    <r>
      <rPr>
        <sz val="10"/>
        <color indexed="28"/>
        <rFont val="宋体"/>
        <charset val="134"/>
      </rPr>
      <t>（公共用例）
自定义考核弹窗</t>
    </r>
    <r>
      <rPr>
        <sz val="10"/>
        <color indexed="28"/>
        <rFont val="Times New Roman"/>
        <family val="1"/>
      </rPr>
      <t>-</t>
    </r>
    <r>
      <rPr>
        <sz val="10"/>
        <color indexed="28"/>
        <rFont val="宋体"/>
        <charset val="134"/>
      </rPr>
      <t>页面按钮功能检查：</t>
    </r>
    <r>
      <rPr>
        <sz val="10"/>
        <color indexed="28"/>
        <rFont val="Times New Roman"/>
        <family val="1"/>
      </rPr>
      <t>12</t>
    </r>
  </si>
  <si>
    <t>12</t>
  </si>
  <si>
    <t>保险综合：教师端-考核列表</t>
  </si>
  <si>
    <r>
      <rPr>
        <sz val="10"/>
        <color indexed="28"/>
        <rFont val="宋体"/>
        <charset val="134"/>
      </rPr>
      <t>按钮功能检查：</t>
    </r>
    <r>
      <rPr>
        <sz val="10"/>
        <color indexed="28"/>
        <rFont val="Times New Roman"/>
        <family val="1"/>
      </rPr>
      <t xml:space="preserve">1
</t>
    </r>
    <r>
      <rPr>
        <sz val="10"/>
        <color indexed="28"/>
        <rFont val="宋体"/>
        <charset val="134"/>
      </rPr>
      <t>考核列表界面和数据正确性检查：</t>
    </r>
    <r>
      <rPr>
        <sz val="10"/>
        <color indexed="28"/>
        <rFont val="Times New Roman"/>
        <family val="1"/>
      </rPr>
      <t xml:space="preserve">6
</t>
    </r>
    <r>
      <rPr>
        <sz val="10"/>
        <color indexed="28"/>
        <rFont val="宋体"/>
        <charset val="134"/>
      </rPr>
      <t>团队信息查看：</t>
    </r>
    <r>
      <rPr>
        <sz val="10"/>
        <color indexed="28"/>
        <rFont val="Times New Roman"/>
        <family val="1"/>
      </rPr>
      <t>3</t>
    </r>
  </si>
  <si>
    <t>13</t>
  </si>
  <si>
    <t>保险综合：教师端-进入练习</t>
  </si>
  <si>
    <r>
      <rPr>
        <sz val="10"/>
        <color indexed="28"/>
        <rFont val="宋体"/>
        <charset val="134"/>
      </rPr>
      <t>进入练习子系统按钮功能检查：</t>
    </r>
    <r>
      <rPr>
        <sz val="10"/>
        <color indexed="28"/>
        <rFont val="Times New Roman"/>
        <family val="1"/>
      </rPr>
      <t xml:space="preserve">1
</t>
    </r>
    <r>
      <rPr>
        <sz val="10"/>
        <color indexed="28"/>
        <rFont val="宋体"/>
        <charset val="134"/>
      </rPr>
      <t>进入子系统后数据正确性检查：</t>
    </r>
    <r>
      <rPr>
        <sz val="10"/>
        <color indexed="28"/>
        <rFont val="Times New Roman"/>
        <family val="1"/>
      </rPr>
      <t xml:space="preserve">2
</t>
    </r>
    <r>
      <rPr>
        <sz val="10"/>
        <color indexed="28"/>
        <rFont val="宋体"/>
        <charset val="134"/>
      </rPr>
      <t>团队练习成绩查看：</t>
    </r>
    <r>
      <rPr>
        <sz val="10"/>
        <color indexed="28"/>
        <rFont val="Times New Roman"/>
        <family val="1"/>
      </rPr>
      <t>5</t>
    </r>
  </si>
  <si>
    <t>14</t>
  </si>
  <si>
    <t>保险综合：教师端-后台</t>
  </si>
  <si>
    <t>后台进入保险综合系统检查：3</t>
  </si>
  <si>
    <t>15</t>
  </si>
  <si>
    <t>保险综合：超管端-创建应用</t>
  </si>
  <si>
    <t>第一步填写基本信息：1
第二步配置应用内容：4
第三步配置资源内容：2
第四步完成：1</t>
  </si>
  <si>
    <t>16</t>
  </si>
  <si>
    <t>保险综合：超管端-应用后台（内置项目接口）</t>
  </si>
  <si>
    <r>
      <rPr>
        <sz val="10"/>
        <color indexed="28"/>
        <rFont val="宋体"/>
        <charset val="134"/>
      </rPr>
      <t>入口检查：</t>
    </r>
    <r>
      <rPr>
        <sz val="10"/>
        <color indexed="28"/>
        <rFont val="Times New Roman"/>
        <family val="1"/>
      </rPr>
      <t xml:space="preserve">1
</t>
    </r>
    <r>
      <rPr>
        <sz val="10"/>
        <color indexed="28"/>
        <rFont val="宋体"/>
        <charset val="134"/>
      </rPr>
      <t>增删查改操作：</t>
    </r>
    <r>
      <rPr>
        <sz val="10"/>
        <color indexed="28"/>
        <rFont val="Times New Roman"/>
        <family val="1"/>
      </rPr>
      <t>8</t>
    </r>
    <r>
      <rPr>
        <sz val="10"/>
        <color indexed="28"/>
        <rFont val="宋体"/>
        <charset val="134"/>
      </rPr>
      <t>（练习</t>
    </r>
    <r>
      <rPr>
        <sz val="10"/>
        <color indexed="28"/>
        <rFont val="Times New Roman"/>
        <family val="1"/>
      </rPr>
      <t>+</t>
    </r>
    <r>
      <rPr>
        <sz val="10"/>
        <color indexed="28"/>
        <rFont val="宋体"/>
        <charset val="134"/>
      </rPr>
      <t>考核）</t>
    </r>
    <r>
      <rPr>
        <sz val="10"/>
        <color indexed="28"/>
        <rFont val="Times New Roman"/>
        <family val="1"/>
      </rPr>
      <t xml:space="preserve">
</t>
    </r>
    <r>
      <rPr>
        <sz val="10"/>
        <color indexed="28"/>
        <rFont val="宋体"/>
        <charset val="134"/>
      </rPr>
      <t>数据同步平台正确性检查：</t>
    </r>
    <r>
      <rPr>
        <sz val="10"/>
        <color indexed="28"/>
        <rFont val="Times New Roman"/>
        <family val="1"/>
      </rPr>
      <t>8</t>
    </r>
    <r>
      <rPr>
        <sz val="10"/>
        <color indexed="28"/>
        <rFont val="宋体"/>
        <charset val="134"/>
      </rPr>
      <t>（练习</t>
    </r>
    <r>
      <rPr>
        <sz val="10"/>
        <color indexed="28"/>
        <rFont val="Times New Roman"/>
        <family val="1"/>
      </rPr>
      <t>+</t>
    </r>
    <r>
      <rPr>
        <sz val="10"/>
        <color indexed="28"/>
        <rFont val="宋体"/>
        <charset val="134"/>
      </rPr>
      <t>考核）</t>
    </r>
  </si>
  <si>
    <t>17</t>
  </si>
  <si>
    <t>保险综合：应用练习/考核成绩同步接口</t>
  </si>
  <si>
    <t>实训（练习+考核）成绩同步到平台数据正确性检查：4</t>
  </si>
  <si>
    <t>18</t>
  </si>
  <si>
    <t>保险综合：进入练习/考核登录接口</t>
  </si>
  <si>
    <t>跳转到保险综合子系统正确性检查：2（练习和考核）</t>
  </si>
  <si>
    <t>19</t>
  </si>
  <si>
    <t>保险综合：创建应用考核接口</t>
  </si>
  <si>
    <t>同步实训考核数据正确性检查：2</t>
  </si>
  <si>
    <t>20</t>
  </si>
  <si>
    <t>保险综合：主流程（子系统）</t>
  </si>
  <si>
    <t>主流程</t>
  </si>
  <si>
    <t>21</t>
  </si>
  <si>
    <t>商业银行：国际业务子系统-教师端-教学/后台-我的应用--发布考核--自定义案例</t>
  </si>
  <si>
    <t>超管、教师端案例管理：26*2=52
超管、教师端项目管理：37*2=74</t>
  </si>
  <si>
    <t>22</t>
  </si>
  <si>
    <t>商业银行：国际业务子系统-教师端/学生端-教学/学习--我的应用--案例面板（进入系统后）</t>
  </si>
  <si>
    <t>练习案例面板案例数据检查（两个角色）：28*2=56
练习案例面板考核点验证（两个角色）：31*2=62
考核案例面板案例数据检查：28
考核案例面板考核点验证：31</t>
  </si>
  <si>
    <t>23</t>
  </si>
  <si>
    <t>商业银行：国际业务子系统-学生端-我的成绩/我的应用-考核详情/进入练习-查看/历史成绩</t>
  </si>
  <si>
    <t>学生端练习历史成绩查看：20
学生端考核成绩查看导出：20
教师端考核成绩查看导出：20</t>
  </si>
  <si>
    <t>24</t>
  </si>
  <si>
    <t>商业银行：国际业务子系统细节优化汇总</t>
  </si>
  <si>
    <t>公司客户信息建立,增加币种和注册国家：3
汇付--汇出汇款申请：2
汇入汇款--取款通知书：2
所有签名、签字、签署处（业务操作界面右下角）增加必填项星号标志：20
托收--光票托收--光票托收申请：2
托收--出口跟单托收--跟单托收申请：6
托收--光票托收--光票托收登记：2
托收--光票托收--光票托收金额：2
托收--出口跟单托收--跟单托收申请：6
托收--代收业务--代收登记：2</t>
  </si>
  <si>
    <t>25</t>
  </si>
  <si>
    <t>商业银行：柜面业务子系统细节优化</t>
  </si>
  <si>
    <t>账户服务--挂失管理--凭证挂失：5
所有公司账户开立，增加填写支取密码的空格：7
个人定期业务账户开立，更新凭证类型：12
公共交易--外汇管理局：1</t>
  </si>
  <si>
    <t>27</t>
  </si>
  <si>
    <t>大赛系统：教师端-竞赛列表</t>
  </si>
  <si>
    <t>1、查询输入：35
2、翻页：4
3、界面显示：4
4、操作：4</t>
  </si>
  <si>
    <t>28</t>
  </si>
  <si>
    <t>大赛系统：教师端-竞赛列表-查看详情</t>
  </si>
  <si>
    <t>1、查询输入：4
2、翻页：4
3、界面显示：4
4、操作（查询、返回、导出、翻页）：20</t>
  </si>
  <si>
    <t>29</t>
  </si>
  <si>
    <t>大赛系统：教师端-我的竞赛</t>
  </si>
  <si>
    <t>1、查询输入：42
2、翻页：4
3、界面显示：4
4、发布竞赛、查看、删除、成绩排名：15
5、修改：280（报名时间开始前，同创建竞赛）+3（竞赛最后一个阶段前）</t>
  </si>
  <si>
    <t>30</t>
  </si>
  <si>
    <t>大赛系统：教师端-我的竞赛-创建竞赛</t>
  </si>
  <si>
    <t>基本资料：
1、输入框：13
2、单选框：11
3、下拉框：6
4、按钮：3
5、其他判断：32
选择比赛内容：
1、输入框：3+6（输入数据判断）
2、下拉框：8
3、按钮：10
4、其他判断：7
完成：
1、界面显示：1
2、按钮：1
选择考核：
1）、下拉框：5（5个实训系统）
2）、选择考核按钮：（界面显示：5+界面操作：11*5（个实训系统））=60
3）、自定义考核按钮：20*5（个实训系统）=100</t>
  </si>
  <si>
    <t>31</t>
  </si>
  <si>
    <t>大赛系统：教师端-竞赛排名</t>
  </si>
  <si>
    <t>1、查询输入框：7
2、按钮：4
3、下拉框：2
4、导出数据、导入数据：4
5、翻页：12
6、界面显示：6
7、其他判断：45
8、excel导入：24</t>
  </si>
  <si>
    <t>32</t>
  </si>
  <si>
    <t>大赛系统：学生端-竞赛列表</t>
  </si>
  <si>
    <t>1、查询输入：35
2、翻页：4
3、界面显示：4
4、操作：4+2（置灰判断）</t>
  </si>
  <si>
    <t>33</t>
  </si>
  <si>
    <t>大赛系统：学生端-竞赛列表-查看详情</t>
  </si>
  <si>
    <t>1、标签界面切换：2
2、基本信息界面显示：1
3、参赛人信息界面：1+1（未参加比赛阶段显示）
4、返回按钮：2</t>
  </si>
  <si>
    <t>34</t>
  </si>
  <si>
    <t>大赛系统：学生端-竞赛列表-我要报名</t>
  </si>
  <si>
    <t>个人赛
1、邀请码：10
团队赛
1、邀请码：7
2、报名界面：
1）、界面显示：3（人数未满+人数已满）
2）、查询输入框：3
3）、翻页：4
4）、新增团队：14
3、房间码：9</t>
  </si>
  <si>
    <t>35</t>
  </si>
  <si>
    <t>大赛系统：学生端-我的竞赛</t>
  </si>
  <si>
    <t>1、查询输入：26
2、翻页：4
3、界面显示：4
4、进入竞赛、查看详情、成绩排名：7+1（不在任何阶段“进入竞赛”置灰判断）</t>
  </si>
  <si>
    <t>36</t>
  </si>
  <si>
    <t>大赛系统：学生端-竞赛排名</t>
  </si>
  <si>
    <t>1、查询输入框：7
2、按钮：2（返回）
3、下拉框：2
5、翻页：12
6、界面显示：6
7、其他判断：47（不任何阶段显示“-”）</t>
  </si>
  <si>
    <t>37</t>
  </si>
  <si>
    <t>大赛系统：高校排行榜</t>
  </si>
  <si>
    <t>1、界面显示：1
高校风云榜
1、数据计算：5
2、更多链接：3
3、翻页：4
个人风云榜
1、数据计算：4
2、更多链接：3
3、翻页：4</t>
  </si>
  <si>
    <t>38</t>
  </si>
  <si>
    <t>大赛系统：平台对接需求</t>
  </si>
  <si>
    <t>1、实训项目数据比对：6
2、理论题目数据比对：1
3、教师权限判断：4
4、学生权限判断：2</t>
  </si>
  <si>
    <t>39</t>
  </si>
  <si>
    <t>平台：用户注册功能</t>
  </si>
  <si>
    <t>增加学生注册入口：2
学生注册页面输入框验证：复用公共用例单选框（5条）+复用公共用例字符输入框（10条）*7+复用公共用例下拉框（9条）*3=102
获取验证码：4
提交注册：验证码验证3+必填项1+手机号判重1+邮箱判重1+提示信息5+重复注册2+学号绑定4=17
注册成功后功能查看：7
注册成功学生登录：3
学生个人中心-绑定账号验证：13
学生个人中心-修改资料：弹窗信息和数据检查2+复用公共用例字符输入框（10条）*3+提交判定2=32
学生个人中心-修改学号：弹窗信息和数据检查4+复用公共用例字符输入框（10条）*1+提交后绑定验证8=22
学生个人中心-修改密码：弹窗信息1+复用公共用例字符输入框（10条）*3+新旧密码验证3=34
注册教师账号：4
注册时增加账号和手机判重功能：4</t>
  </si>
  <si>
    <t>40</t>
  </si>
  <si>
    <t>平台：（学校管理员）管理-用户管理</t>
  </si>
  <si>
    <t>列表拆分：3
教师列表原功能验证：9
教师新增：1
教师列表新增列：1
教师、学生账号搜索：复用公共用例查询操作（28条）*2=56
学生列表原功能验证：8
教师、班级、学生批量导入：复用公共用例导入导出（57条）*3=171
班级架构：4
学生列表新增账号列：1
查看学生弹窗新增学号：1
专业年级班级三个字段可输入符号：复用公共用例字符输入框（10条）*3=30
教师学生添加账号均为默认密码：3*2=6
添加学生去除邮箱和电话：2</t>
  </si>
  <si>
    <t>41</t>
  </si>
  <si>
    <r>
      <rPr>
        <sz val="10"/>
        <color indexed="28"/>
        <rFont val="宋体"/>
        <charset val="134"/>
      </rPr>
      <t>平台：应用分类</t>
    </r>
    <r>
      <rPr>
        <sz val="10"/>
        <color indexed="28"/>
        <rFont val="Times New Roman"/>
        <family val="1"/>
      </rPr>
      <t>-</t>
    </r>
    <r>
      <rPr>
        <sz val="10"/>
        <color indexed="28"/>
        <rFont val="宋体"/>
        <charset val="134"/>
      </rPr>
      <t>应用类型</t>
    </r>
  </si>
  <si>
    <t>超管、学校管理员、教师增加全部应用筛选：5*3=15</t>
  </si>
  <si>
    <t>42</t>
  </si>
  <si>
    <t>平台：细节优化汇总</t>
  </si>
  <si>
    <t>认证考试页面细节优化：4
超管页面菜单层级调整：4
超管应用管理页面字段文字修改：1
教师查看成绩响应时间优化：4
学生端查看成绩详情页面按钮名称修改：2
教师端首页调整：购物车2+去掉教师端的教学首页1+实训达人页面2+最新动态页面3=8
学生端首页调整：去掉学生端的学习首页1+实训达人页面2+最新动态页面3=6</t>
  </si>
  <si>
    <t>43</t>
  </si>
  <si>
    <r>
      <rPr>
        <sz val="10"/>
        <color indexed="28"/>
        <rFont val="宋体"/>
        <charset val="134"/>
      </rPr>
      <t>平台：发布考核</t>
    </r>
    <r>
      <rPr>
        <sz val="10"/>
        <color indexed="28"/>
        <rFont val="Times New Roman"/>
        <family val="1"/>
      </rPr>
      <t>-</t>
    </r>
    <r>
      <rPr>
        <sz val="10"/>
        <color indexed="28"/>
        <rFont val="宋体"/>
        <charset val="134"/>
      </rPr>
      <t>团队模式</t>
    </r>
  </si>
  <si>
    <t>保险综合系统增加个人考核和团队考核按钮：2
个人考核原功能：3
团队考核弹框：4
团队考核分组弹框：16
手动分组：添加分组4+学生分组6+小组人数4+设置组长6+删除小组4=24
一键分组：分组后查看4+重新分组2+手动更改3=9
提交分组：6
重新分组：6
特殊情况：7
考核列表：2
分组后进保险综柜验证人员分配情况：4</t>
  </si>
  <si>
    <t>44</t>
  </si>
  <si>
    <r>
      <rPr>
        <sz val="10"/>
        <color indexed="28"/>
        <rFont val="宋体"/>
        <charset val="134"/>
      </rPr>
      <t>平台：（超管）应用</t>
    </r>
    <r>
      <rPr>
        <sz val="10"/>
        <color indexed="28"/>
        <rFont val="Times New Roman"/>
        <family val="1"/>
      </rPr>
      <t>-</t>
    </r>
    <r>
      <rPr>
        <sz val="10"/>
        <color indexed="28"/>
        <rFont val="宋体"/>
        <charset val="134"/>
      </rPr>
      <t>应用管理</t>
    </r>
    <r>
      <rPr>
        <sz val="10"/>
        <color indexed="28"/>
        <rFont val="Times New Roman"/>
        <family val="1"/>
      </rPr>
      <t>-</t>
    </r>
    <r>
      <rPr>
        <sz val="10"/>
        <color indexed="28"/>
        <rFont val="宋体"/>
        <charset val="134"/>
      </rPr>
      <t>创建应用</t>
    </r>
  </si>
  <si>
    <t>实训应用：提示语1+相应匹配选项1+原功能1=3
理论应用：提示语1+相应匹配选项1+原功能1=3
工具应用：提示语1+相应匹配选项1+新功能4=6
新增“应用来源”：2
添加不同应用：5</t>
  </si>
  <si>
    <t>45</t>
  </si>
  <si>
    <r>
      <rPr>
        <sz val="10"/>
        <color indexed="28"/>
        <rFont val="宋体"/>
        <charset val="134"/>
      </rPr>
      <t>平台：（接口模式应用）教学</t>
    </r>
    <r>
      <rPr>
        <sz val="10"/>
        <color indexed="28"/>
        <rFont val="Times New Roman"/>
        <family val="1"/>
      </rPr>
      <t>-</t>
    </r>
    <r>
      <rPr>
        <sz val="10"/>
        <color indexed="28"/>
        <rFont val="宋体"/>
        <charset val="134"/>
      </rPr>
      <t>我的应用</t>
    </r>
  </si>
  <si>
    <t>应用入口：6
进入应用：1</t>
  </si>
  <si>
    <t>46</t>
  </si>
  <si>
    <t>平台：（接口模式应用）学习-我的应用</t>
  </si>
  <si>
    <t>应用入口：2
进入应用：1</t>
  </si>
  <si>
    <t>47</t>
  </si>
  <si>
    <t>平台：（超管）应用-应用后台-理财规划</t>
  </si>
  <si>
    <t>理财规划后台入口：2
考核列表：列表检查4+查询（复用公共用例查询操作（28条））+列表操作2+翻页4=38
新增、修改考核：原功能主流程验证5
创建理财应用：5</t>
  </si>
  <si>
    <t>48</t>
  </si>
  <si>
    <r>
      <rPr>
        <sz val="10"/>
        <color indexed="28"/>
        <rFont val="宋体"/>
        <charset val="134"/>
      </rPr>
      <t>平台：（教师）教学</t>
    </r>
    <r>
      <rPr>
        <sz val="10"/>
        <color indexed="28"/>
        <rFont val="Times New Roman"/>
        <family val="1"/>
      </rPr>
      <t>-</t>
    </r>
    <r>
      <rPr>
        <sz val="10"/>
        <color indexed="28"/>
        <rFont val="宋体"/>
        <charset val="134"/>
      </rPr>
      <t>成绩管理</t>
    </r>
    <r>
      <rPr>
        <sz val="10"/>
        <color indexed="28"/>
        <rFont val="Times New Roman"/>
        <family val="1"/>
      </rPr>
      <t>-</t>
    </r>
    <r>
      <rPr>
        <sz val="10"/>
        <color indexed="28"/>
        <rFont val="宋体"/>
        <charset val="134"/>
      </rPr>
      <t>查看学生成绩详情</t>
    </r>
  </si>
  <si>
    <t>功能入口路径（6子系统）：6
成绩详情页面：页面数据检查3+导出报告3=6
成绩数据校验（不同子系统不同人不同考试）=3</t>
  </si>
  <si>
    <t>49</t>
  </si>
  <si>
    <t>平台：银行子系统-自由模式练习</t>
  </si>
  <si>
    <t>50</t>
  </si>
  <si>
    <t>平台：（教师）发布考核</t>
  </si>
  <si>
    <t>发布定时考核判定：8
发布实时考核判定：8</t>
  </si>
  <si>
    <t>51</t>
  </si>
  <si>
    <t>平台：（教师）考核列表</t>
  </si>
  <si>
    <t>增加考核时间：9
优化结束考核：学生都已提交5+学生未提交6=11</t>
  </si>
  <si>
    <t>52</t>
  </si>
  <si>
    <t>平台：（教师）教学-我的应用-应用信息</t>
  </si>
  <si>
    <t>我的应用弹框检查（8种子系统）：5*8=40
进入应用（8种子系统）：8*2=16
开启考勤（8种子系统）：8*2=16
考勤记录（8种子系统）：8*2=16
个人考核（7种子系统）：7*2=14
团队考核（1种子系统）：2
考核列表（7种子系统）：7*2=14
案例管理（5个子系统）：5*2=10
产品管理（1个子系统）：2</t>
  </si>
  <si>
    <t>53</t>
  </si>
  <si>
    <r>
      <rPr>
        <sz val="10"/>
        <color indexed="28"/>
        <rFont val="宋体"/>
        <charset val="134"/>
      </rPr>
      <t>平台：（学生）学习</t>
    </r>
    <r>
      <rPr>
        <sz val="10"/>
        <color indexed="28"/>
        <rFont val="Times New Roman"/>
        <family val="1"/>
      </rPr>
      <t>-</t>
    </r>
    <r>
      <rPr>
        <sz val="10"/>
        <color indexed="28"/>
        <rFont val="宋体"/>
        <charset val="134"/>
      </rPr>
      <t>我的应用</t>
    </r>
    <r>
      <rPr>
        <sz val="10"/>
        <color indexed="28"/>
        <rFont val="Times New Roman"/>
        <family val="1"/>
      </rPr>
      <t>-</t>
    </r>
    <r>
      <rPr>
        <sz val="10"/>
        <color indexed="28"/>
        <rFont val="宋体"/>
        <charset val="134"/>
      </rPr>
      <t>应用信息</t>
    </r>
  </si>
  <si>
    <t>我的应用弹框检查（8种子系统）：5*8=40
进入应用（8种子系统）：8*2=16
我要签到（8种子系统）：8*2=16
考勤记录（8种子系统）：8*2=16
个人练习（7种子系统）：7*2=14
团队练习（1种子系统）：2
自由练习（4种子系统）：4*2=8
个人考核（7种子系统）：7*2=14
团队考核（1种子系统）：2</t>
  </si>
  <si>
    <t>54</t>
  </si>
  <si>
    <t>平台：（超管）应用-应用管理-理论应用-配置应用内容</t>
  </si>
  <si>
    <t xml:space="preserve">第二步配置应用界面检查：5
选择练习试卷弹窗：6
练习试卷应用分类：5
练习试卷搜索：3
练习试卷列表：9
已选择练习试卷列表：5
选择考核试卷弹窗：6
练习考核应用分类：5
练习考核搜索：3
练习考核列表：9
已选择考核试卷列表：5
新增试卷信息内容验证：10
手动选题功能检查：30
随机选题功能检查：20
设置分值功能检查：5
创建完成内容检查：4
</t>
  </si>
  <si>
    <t xml:space="preserve">
</t>
  </si>
  <si>
    <t>55</t>
  </si>
  <si>
    <t>平台：（理论应用）教学-我的应用-发布考核</t>
  </si>
  <si>
    <t xml:space="preserve">发布考核界面检查：16（字符输入框10）
考核时间功能检查：59（字符、数字输入框23+日期/时间输入框29）
选择考核试卷：15
自定义试卷：155（复用理论考核系统-试卷管理页面）
发布班级：10
考核列表功能检查：190
</t>
  </si>
  <si>
    <t>56</t>
  </si>
  <si>
    <r>
      <rPr>
        <sz val="10"/>
        <color indexed="28"/>
        <rFont val="宋体"/>
        <charset val="134"/>
      </rPr>
      <t>平台：（理论应用）学习</t>
    </r>
    <r>
      <rPr>
        <sz val="10"/>
        <color indexed="28"/>
        <rFont val="Times New Roman"/>
        <family val="1"/>
      </rPr>
      <t>-</t>
    </r>
    <r>
      <rPr>
        <sz val="10"/>
        <color indexed="28"/>
        <rFont val="宋体"/>
        <charset val="134"/>
      </rPr>
      <t>我的应用</t>
    </r>
    <r>
      <rPr>
        <sz val="10"/>
        <color indexed="28"/>
        <rFont val="Times New Roman"/>
        <family val="1"/>
      </rPr>
      <t>-</t>
    </r>
    <r>
      <rPr>
        <sz val="10"/>
        <color indexed="28"/>
        <rFont val="宋体"/>
        <charset val="134"/>
      </rPr>
      <t>进入考核</t>
    </r>
  </si>
  <si>
    <t>【进入考核】界面检查：3
考核答题页面功能检查：45</t>
  </si>
  <si>
    <t>57</t>
  </si>
  <si>
    <t>平台：：（理论应用）教学/学习-查看成绩</t>
  </si>
  <si>
    <t xml:space="preserve">教师查看成绩：
理论应用成绩选择：4
成绩概况功能检查：8
成绩统计图功能检查：6
错题统计功能检查：20
成绩详情功能统计：20
学生查看成绩：20
</t>
  </si>
  <si>
    <t>58</t>
  </si>
  <si>
    <t>平台：教学/学习-理论练习</t>
  </si>
  <si>
    <t xml:space="preserve">教师：
练习试题列表检查：8
进入项目功能检查：38
查看历史成绩：16
学生：
练习试题列表检查：8
进入项目功能检查：38
查看历史成绩：26
</t>
  </si>
  <si>
    <t>59</t>
  </si>
  <si>
    <t>平台：理论试题管理系统</t>
  </si>
  <si>
    <t xml:space="preserve">超管：
分类筛选：27
试题新增功能检查：123(字符输入框10*9)
试题导入功能检查：26
试题搜索功能检查：30（查询操作28）
试题列表功能检查：86
科目管理：20
教师：
分类筛选：27
试题新增功能检查：123(字符输入框10*9)
试题导入功能检查：26
试题搜索功能检查：30（查询操作28）
试题列表功能检查：86
科目管理：20
</t>
  </si>
  <si>
    <t>平台：理论考试系统-试卷管理</t>
  </si>
  <si>
    <t>超管端：
试卷管理页面检查：5
试卷筛选：6
试卷搜索：3
列表数据检查：4
列表数据操作：20
新增试卷：70
教师端：
超管端：
超管端：
试卷管理页面检查：5
试卷筛选：6
试卷搜索：3
列表数据检查：4
列表数据操作：20
新增试卷：70</t>
  </si>
  <si>
    <t>60</t>
  </si>
  <si>
    <t>浏览器兼容性（chrom、IE11）
分辨率1280*800、1366*768、1440*900、1920*1080</t>
  </si>
  <si>
    <r>
      <rPr>
        <sz val="10"/>
        <color indexed="28"/>
        <rFont val="Times New Roman"/>
        <family val="1"/>
      </rPr>
      <t>1</t>
    </r>
    <r>
      <rPr>
        <sz val="10"/>
        <color indexed="28"/>
        <rFont val="宋体"/>
        <charset val="134"/>
      </rPr>
      <t>款浏览器（去掉功能测试时占用的一种浏览器），测试浏览器时同时也覆盖到</t>
    </r>
    <r>
      <rPr>
        <sz val="10"/>
        <color indexed="28"/>
        <rFont val="Times New Roman"/>
        <family val="1"/>
      </rPr>
      <t>2</t>
    </r>
    <r>
      <rPr>
        <sz val="10"/>
        <color indexed="28"/>
        <rFont val="宋体"/>
        <charset val="134"/>
      </rPr>
      <t>种分辨率，主流程用例约</t>
    </r>
    <r>
      <rPr>
        <sz val="10"/>
        <color indexed="28"/>
        <rFont val="Times New Roman"/>
        <family val="1"/>
      </rPr>
      <t>3*2000</t>
    </r>
  </si>
  <si>
    <t>合计</t>
  </si>
  <si>
    <t>预估表单2</t>
  </si>
  <si>
    <t>刘燕燕</t>
  </si>
  <si>
    <t>测试规格总数</t>
  </si>
  <si>
    <t>用例规模总数</t>
  </si>
  <si>
    <t>需求分析效率</t>
  </si>
  <si>
    <t>用例编写效率</t>
  </si>
  <si>
    <t>用例执行效率</t>
  </si>
  <si>
    <t>26</t>
  </si>
  <si>
    <t>预估表单3</t>
  </si>
  <si>
    <t>房雷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</si>
</sst>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8" formatCode="0.0_);[Red]\(0.0\)"/>
    <numFmt numFmtId="179" formatCode="0.00_);[Red]\(0.00\)"/>
    <numFmt numFmtId="180" formatCode="0.0"/>
    <numFmt numFmtId="181" formatCode="0.0;[Red]\-0.0"/>
  </numFmts>
  <fonts count="31">
    <font>
      <sz val="12"/>
      <name val="Arial"/>
      <charset val="134"/>
    </font>
    <font>
      <sz val="10"/>
      <name val="宋体"/>
      <charset val="134"/>
    </font>
    <font>
      <b/>
      <sz val="10"/>
      <name val="宋体"/>
      <charset val="134"/>
    </font>
    <font>
      <b/>
      <sz val="18"/>
      <name val="宋体"/>
      <charset val="134"/>
    </font>
    <font>
      <sz val="10"/>
      <color indexed="28"/>
      <name val="Times New Roman"/>
      <family val="1"/>
    </font>
    <font>
      <sz val="10"/>
      <color indexed="28"/>
      <name val="宋体"/>
      <charset val="134"/>
    </font>
    <font>
      <b/>
      <sz val="14"/>
      <name val="宋体"/>
      <charset val="134"/>
    </font>
    <font>
      <b/>
      <sz val="10"/>
      <color indexed="28"/>
      <name val="Times New Roman"/>
      <family val="1"/>
    </font>
    <font>
      <b/>
      <sz val="12"/>
      <name val="宋体"/>
      <charset val="134"/>
    </font>
    <font>
      <sz val="10"/>
      <color indexed="28"/>
      <name val="宋体"/>
      <charset val="134"/>
      <scheme val="minor"/>
    </font>
    <font>
      <i/>
      <sz val="10"/>
      <color indexed="12"/>
      <name val="宋体"/>
      <charset val="134"/>
    </font>
    <font>
      <sz val="10"/>
      <name val="Times New Roman"/>
      <family val="1"/>
    </font>
    <font>
      <b/>
      <sz val="10"/>
      <name val="Times New Roman"/>
      <family val="1"/>
    </font>
    <font>
      <sz val="10"/>
      <name val="Arial"/>
      <family val="2"/>
    </font>
    <font>
      <sz val="11"/>
      <name val="宋体"/>
      <charset val="134"/>
    </font>
    <font>
      <b/>
      <sz val="11"/>
      <name val="宋体"/>
      <charset val="134"/>
    </font>
    <font>
      <b/>
      <sz val="12"/>
      <name val="Times New Roman"/>
      <family val="1"/>
    </font>
    <font>
      <sz val="11"/>
      <name val="Times New Roman"/>
      <family val="1"/>
    </font>
    <font>
      <sz val="12"/>
      <name val="Times New Roman"/>
      <family val="1"/>
    </font>
    <font>
      <i/>
      <sz val="9"/>
      <color indexed="10"/>
      <name val="Times New Roman"/>
      <family val="1"/>
    </font>
    <font>
      <b/>
      <sz val="11"/>
      <color indexed="10"/>
      <name val="Times New Roman"/>
      <family val="1"/>
    </font>
    <font>
      <b/>
      <sz val="11"/>
      <name val="Times New Roman"/>
      <family val="1"/>
    </font>
    <font>
      <sz val="12"/>
      <name val="宋体"/>
      <charset val="134"/>
    </font>
    <font>
      <sz val="10"/>
      <color indexed="28"/>
      <name val="Arial"/>
      <family val="2"/>
    </font>
    <font>
      <i/>
      <sz val="11"/>
      <color indexed="48"/>
      <name val="Times New Roman"/>
      <family val="1"/>
    </font>
    <font>
      <i/>
      <sz val="11"/>
      <color indexed="48"/>
      <name val="宋体"/>
      <charset val="134"/>
    </font>
    <font>
      <i/>
      <sz val="9"/>
      <color indexed="10"/>
      <name val="宋体"/>
      <charset val="134"/>
    </font>
    <font>
      <sz val="12"/>
      <name val="Arial"/>
      <family val="2"/>
    </font>
    <font>
      <b/>
      <sz val="9"/>
      <name val="宋体"/>
      <charset val="134"/>
    </font>
    <font>
      <sz val="9"/>
      <name val="宋体"/>
      <charset val="134"/>
    </font>
    <font>
      <sz val="9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indexed="8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/>
      <right/>
      <top style="thin">
        <color indexed="8"/>
      </top>
      <bottom/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8"/>
      </left>
      <right/>
      <top style="thin">
        <color indexed="63"/>
      </top>
      <bottom/>
      <diagonal/>
    </border>
  </borders>
  <cellStyleXfs count="2">
    <xf numFmtId="0" fontId="0" fillId="0" borderId="0"/>
    <xf numFmtId="0" fontId="22" fillId="0" borderId="0">
      <alignment vertical="center"/>
    </xf>
  </cellStyleXfs>
  <cellXfs count="124">
    <xf numFmtId="0" fontId="0" fillId="0" borderId="0" xfId="0"/>
    <xf numFmtId="0" fontId="1" fillId="0" borderId="0" xfId="0" applyFont="1" applyFill="1" applyProtection="1">
      <protection hidden="1"/>
    </xf>
    <xf numFmtId="0" fontId="2" fillId="0" borderId="0" xfId="0" applyFont="1" applyFill="1" applyAlignment="1" applyProtection="1">
      <alignment horizontal="center" vertical="center" wrapText="1"/>
      <protection hidden="1"/>
    </xf>
    <xf numFmtId="0" fontId="1" fillId="0" borderId="0" xfId="0" applyFont="1" applyFill="1" applyAlignment="1" applyProtection="1">
      <alignment wrapText="1"/>
      <protection hidden="1"/>
    </xf>
    <xf numFmtId="0" fontId="1" fillId="0" borderId="0" xfId="0" applyFont="1" applyProtection="1">
      <protection hidden="1"/>
    </xf>
    <xf numFmtId="0" fontId="1" fillId="0" borderId="0" xfId="0" applyFont="1" applyAlignment="1" applyProtection="1">
      <alignment wrapText="1"/>
      <protection hidden="1"/>
    </xf>
    <xf numFmtId="0" fontId="2" fillId="2" borderId="1" xfId="0" applyFont="1" applyFill="1" applyBorder="1" applyAlignment="1" applyProtection="1">
      <alignment horizontal="center" wrapText="1"/>
      <protection hidden="1"/>
    </xf>
    <xf numFmtId="0" fontId="4" fillId="3" borderId="2" xfId="0" applyNumberFormat="1" applyFont="1" applyFill="1" applyBorder="1" applyAlignment="1" applyProtection="1">
      <alignment horizontal="center" wrapText="1"/>
      <protection locked="0"/>
    </xf>
    <xf numFmtId="0" fontId="2" fillId="2" borderId="1" xfId="0" applyFont="1" applyFill="1" applyBorder="1" applyAlignment="1" applyProtection="1">
      <alignment horizontal="center"/>
      <protection hidden="1"/>
    </xf>
    <xf numFmtId="0" fontId="5" fillId="3" borderId="1" xfId="0" applyNumberFormat="1" applyFont="1" applyFill="1" applyBorder="1" applyAlignment="1" applyProtection="1">
      <alignment horizontal="center"/>
      <protection locked="0"/>
    </xf>
    <xf numFmtId="0" fontId="2" fillId="2" borderId="1" xfId="0" applyFont="1" applyFill="1" applyBorder="1" applyAlignment="1" applyProtection="1">
      <alignment vertical="center" wrapText="1"/>
      <protection hidden="1"/>
    </xf>
    <xf numFmtId="0" fontId="7" fillId="4" borderId="1" xfId="0" applyNumberFormat="1" applyFont="1" applyFill="1" applyBorder="1" applyAlignment="1" applyProtection="1">
      <alignment horizontal="center"/>
      <protection hidden="1"/>
    </xf>
    <xf numFmtId="0" fontId="4" fillId="3" borderId="1" xfId="0" applyNumberFormat="1" applyFont="1" applyFill="1" applyBorder="1" applyAlignment="1" applyProtection="1">
      <alignment horizontal="center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hidden="1"/>
    </xf>
    <xf numFmtId="0" fontId="4" fillId="3" borderId="7" xfId="0" applyNumberFormat="1" applyFont="1" applyFill="1" applyBorder="1" applyAlignment="1" applyProtection="1">
      <alignment horizontal="center"/>
      <protection locked="0"/>
    </xf>
    <xf numFmtId="0" fontId="5" fillId="3" borderId="7" xfId="0" applyNumberFormat="1" applyFont="1" applyFill="1" applyBorder="1" applyAlignment="1" applyProtection="1">
      <alignment horizontal="left" wrapText="1"/>
      <protection locked="0"/>
    </xf>
    <xf numFmtId="0" fontId="9" fillId="3" borderId="7" xfId="0" applyNumberFormat="1" applyFont="1" applyFill="1" applyBorder="1" applyAlignment="1" applyProtection="1">
      <alignment wrapText="1"/>
      <protection locked="0"/>
    </xf>
    <xf numFmtId="0" fontId="4" fillId="3" borderId="7" xfId="0" applyNumberFormat="1" applyFont="1" applyFill="1" applyBorder="1" applyAlignment="1" applyProtection="1">
      <alignment horizontal="left" wrapText="1"/>
      <protection locked="0"/>
    </xf>
    <xf numFmtId="0" fontId="9" fillId="3" borderId="7" xfId="0" applyNumberFormat="1" applyFont="1" applyFill="1" applyBorder="1" applyAlignment="1" applyProtection="1">
      <alignment vertical="center" wrapText="1"/>
      <protection locked="0"/>
    </xf>
    <xf numFmtId="0" fontId="5" fillId="3" borderId="7" xfId="0" applyNumberFormat="1" applyFont="1" applyFill="1" applyBorder="1" applyAlignment="1" applyProtection="1">
      <alignment wrapText="1"/>
      <protection locked="0"/>
    </xf>
    <xf numFmtId="0" fontId="4" fillId="3" borderId="7" xfId="0" applyNumberFormat="1" applyFont="1" applyFill="1" applyBorder="1" applyAlignment="1" applyProtection="1">
      <alignment vertical="center" wrapText="1"/>
      <protection locked="0"/>
    </xf>
    <xf numFmtId="0" fontId="4" fillId="3" borderId="7" xfId="0" applyNumberFormat="1" applyFont="1" applyFill="1" applyBorder="1" applyAlignment="1" applyProtection="1">
      <alignment wrapText="1"/>
      <protection locked="0"/>
    </xf>
    <xf numFmtId="0" fontId="5" fillId="3" borderId="7" xfId="0" applyNumberFormat="1" applyFont="1" applyFill="1" applyBorder="1" applyAlignment="1" applyProtection="1">
      <alignment horizontal="left" vertical="center" wrapText="1"/>
      <protection locked="0"/>
    </xf>
    <xf numFmtId="0" fontId="5" fillId="3" borderId="7" xfId="0" applyNumberFormat="1" applyFont="1" applyFill="1" applyBorder="1" applyAlignment="1" applyProtection="1">
      <alignment vertical="center" wrapText="1"/>
      <protection locked="0"/>
    </xf>
    <xf numFmtId="0" fontId="9" fillId="3" borderId="7" xfId="0" applyNumberFormat="1" applyFont="1" applyFill="1" applyBorder="1" applyAlignment="1" applyProtection="1">
      <alignment horizontal="left" wrapText="1"/>
      <protection locked="0"/>
    </xf>
    <xf numFmtId="0" fontId="9" fillId="3" borderId="7" xfId="0" applyNumberFormat="1" applyFont="1" applyFill="1" applyBorder="1" applyAlignment="1" applyProtection="1">
      <alignment horizontal="left" vertical="top" wrapText="1"/>
      <protection locked="0"/>
    </xf>
    <xf numFmtId="179" fontId="4" fillId="4" borderId="1" xfId="0" applyNumberFormat="1" applyFont="1" applyFill="1" applyBorder="1" applyAlignment="1" applyProtection="1">
      <alignment horizontal="center"/>
      <protection hidden="1"/>
    </xf>
    <xf numFmtId="178" fontId="4" fillId="4" borderId="7" xfId="0" applyNumberFormat="1" applyFont="1" applyFill="1" applyBorder="1" applyAlignment="1" applyProtection="1">
      <alignment horizontal="center"/>
      <protection hidden="1"/>
    </xf>
    <xf numFmtId="0" fontId="9" fillId="3" borderId="7" xfId="0" applyNumberFormat="1" applyFont="1" applyFill="1" applyBorder="1" applyAlignment="1" applyProtection="1">
      <alignment vertical="top" wrapText="1"/>
      <protection locked="0"/>
    </xf>
    <xf numFmtId="178" fontId="7" fillId="4" borderId="1" xfId="0" applyNumberFormat="1" applyFont="1" applyFill="1" applyBorder="1" applyAlignment="1" applyProtection="1">
      <alignment horizontal="center"/>
      <protection hidden="1"/>
    </xf>
    <xf numFmtId="0" fontId="10" fillId="0" borderId="0" xfId="0" applyFont="1" applyProtection="1">
      <protection hidden="1"/>
    </xf>
    <xf numFmtId="179" fontId="7" fillId="4" borderId="1" xfId="0" applyNumberFormat="1" applyFont="1" applyFill="1" applyBorder="1" applyAlignment="1" applyProtection="1">
      <alignment horizontal="center"/>
      <protection hidden="1"/>
    </xf>
    <xf numFmtId="0" fontId="1" fillId="0" borderId="0" xfId="0" applyFont="1" applyAlignment="1" applyProtection="1">
      <protection hidden="1"/>
    </xf>
    <xf numFmtId="0" fontId="4" fillId="3" borderId="2" xfId="0" applyNumberFormat="1" applyFont="1" applyFill="1" applyBorder="1" applyAlignment="1" applyProtection="1">
      <protection locked="0"/>
    </xf>
    <xf numFmtId="0" fontId="11" fillId="0" borderId="0" xfId="0" applyNumberFormat="1" applyFont="1" applyProtection="1">
      <protection hidden="1"/>
    </xf>
    <xf numFmtId="180" fontId="11" fillId="0" borderId="0" xfId="0" applyNumberFormat="1" applyFont="1" applyAlignment="1" applyProtection="1">
      <alignment horizontal="left"/>
      <protection hidden="1"/>
    </xf>
    <xf numFmtId="14" fontId="4" fillId="3" borderId="1" xfId="0" applyNumberFormat="1" applyFont="1" applyFill="1" applyBorder="1" applyAlignment="1" applyProtection="1">
      <alignment horizontal="center"/>
      <protection locked="0"/>
    </xf>
    <xf numFmtId="178" fontId="5" fillId="3" borderId="1" xfId="0" applyNumberFormat="1" applyFont="1" applyFill="1" applyBorder="1" applyAlignment="1" applyProtection="1">
      <alignment wrapText="1"/>
      <protection locked="0"/>
    </xf>
    <xf numFmtId="0" fontId="11" fillId="0" borderId="1" xfId="0" applyNumberFormat="1" applyFont="1" applyBorder="1" applyProtection="1">
      <protection hidden="1"/>
    </xf>
    <xf numFmtId="180" fontId="11" fillId="0" borderId="1" xfId="0" applyNumberFormat="1" applyFont="1" applyBorder="1" applyAlignment="1" applyProtection="1">
      <alignment horizontal="left"/>
      <protection hidden="1"/>
    </xf>
    <xf numFmtId="0" fontId="1" fillId="5" borderId="1" xfId="0" applyNumberFormat="1" applyFont="1" applyFill="1" applyBorder="1" applyAlignment="1" applyProtection="1">
      <alignment horizontal="center" vertical="center"/>
      <protection hidden="1"/>
    </xf>
    <xf numFmtId="0" fontId="2" fillId="5" borderId="1" xfId="0" applyNumberFormat="1" applyFont="1" applyFill="1" applyBorder="1" applyAlignment="1" applyProtection="1">
      <alignment horizontal="left" vertical="center"/>
      <protection hidden="1"/>
    </xf>
    <xf numFmtId="178" fontId="4" fillId="3" borderId="1" xfId="0" applyNumberFormat="1" applyFont="1" applyFill="1" applyBorder="1" applyAlignment="1" applyProtection="1">
      <alignment horizontal="center"/>
      <protection locked="0"/>
    </xf>
    <xf numFmtId="0" fontId="1" fillId="5" borderId="1" xfId="0" applyNumberFormat="1" applyFont="1" applyFill="1" applyBorder="1" applyAlignment="1" applyProtection="1">
      <alignment horizontal="left" vertical="center"/>
      <protection hidden="1"/>
    </xf>
    <xf numFmtId="179" fontId="4" fillId="3" borderId="1" xfId="0" applyNumberFormat="1" applyFont="1" applyFill="1" applyBorder="1" applyAlignment="1" applyProtection="1">
      <alignment horizontal="center"/>
      <protection locked="0"/>
    </xf>
    <xf numFmtId="0" fontId="1" fillId="5" borderId="1" xfId="0" applyNumberFormat="1" applyFont="1" applyFill="1" applyBorder="1" applyAlignment="1" applyProtection="1">
      <alignment horizontal="left" vertical="center" wrapText="1"/>
      <protection hidden="1"/>
    </xf>
    <xf numFmtId="181" fontId="2" fillId="4" borderId="1" xfId="0" applyNumberFormat="1" applyFont="1" applyFill="1" applyBorder="1" applyAlignment="1" applyProtection="1">
      <alignment horizontal="left" vertical="center"/>
      <protection hidden="1"/>
    </xf>
    <xf numFmtId="179" fontId="4" fillId="6" borderId="1" xfId="0" applyNumberFormat="1" applyFont="1" applyFill="1" applyBorder="1" applyAlignment="1" applyProtection="1">
      <alignment horizontal="center"/>
      <protection hidden="1"/>
    </xf>
    <xf numFmtId="10" fontId="7" fillId="4" borderId="1" xfId="0" applyNumberFormat="1" applyFont="1" applyFill="1" applyBorder="1" applyAlignment="1" applyProtection="1">
      <alignment horizontal="center"/>
      <protection hidden="1"/>
    </xf>
    <xf numFmtId="0" fontId="13" fillId="0" borderId="0" xfId="0" applyNumberFormat="1" applyFont="1" applyAlignment="1">
      <alignment horizontal="left" wrapText="1"/>
    </xf>
    <xf numFmtId="0" fontId="13" fillId="0" borderId="0" xfId="0" applyNumberFormat="1" applyFont="1" applyAlignment="1">
      <alignment horizontal="left"/>
    </xf>
    <xf numFmtId="0" fontId="11" fillId="0" borderId="0" xfId="0" applyNumberFormat="1" applyFont="1" applyAlignment="1">
      <alignment horizontal="left"/>
    </xf>
    <xf numFmtId="0" fontId="14" fillId="0" borderId="0" xfId="0" applyNumberFormat="1" applyFont="1" applyAlignment="1">
      <alignment horizontal="left"/>
    </xf>
    <xf numFmtId="0" fontId="15" fillId="0" borderId="0" xfId="0" applyNumberFormat="1" applyFont="1" applyBorder="1" applyAlignment="1">
      <alignment horizontal="left"/>
    </xf>
    <xf numFmtId="0" fontId="15" fillId="0" borderId="0" xfId="0" applyNumberFormat="1" applyFont="1" applyBorder="1" applyAlignment="1">
      <alignment horizontal="center"/>
    </xf>
    <xf numFmtId="0" fontId="15" fillId="0" borderId="9" xfId="0" applyNumberFormat="1" applyFont="1" applyBorder="1" applyAlignment="1">
      <alignment horizontal="center"/>
    </xf>
    <xf numFmtId="0" fontId="15" fillId="0" borderId="0" xfId="0" applyNumberFormat="1" applyFont="1" applyAlignment="1">
      <alignment horizontal="center"/>
    </xf>
    <xf numFmtId="0" fontId="14" fillId="0" borderId="0" xfId="0" applyNumberFormat="1" applyFont="1" applyAlignment="1">
      <alignment horizontal="center"/>
    </xf>
    <xf numFmtId="0" fontId="17" fillId="0" borderId="0" xfId="0" applyNumberFormat="1" applyFont="1" applyBorder="1" applyAlignment="1">
      <alignment horizontal="centerContinuous"/>
    </xf>
    <xf numFmtId="0" fontId="18" fillId="0" borderId="0" xfId="0" applyNumberFormat="1" applyFont="1" applyBorder="1" applyAlignment="1">
      <alignment horizontal="centerContinuous"/>
    </xf>
    <xf numFmtId="0" fontId="18" fillId="0" borderId="9" xfId="0" applyNumberFormat="1" applyFont="1" applyBorder="1" applyAlignment="1">
      <alignment horizontal="centerContinuous"/>
    </xf>
    <xf numFmtId="0" fontId="17" fillId="0" borderId="0" xfId="0" applyNumberFormat="1" applyFont="1" applyBorder="1" applyAlignment="1" applyProtection="1">
      <alignment horizontal="centerContinuous"/>
      <protection locked="0"/>
    </xf>
    <xf numFmtId="0" fontId="17" fillId="0" borderId="9" xfId="0" applyNumberFormat="1" applyFont="1" applyBorder="1" applyAlignment="1" applyProtection="1">
      <alignment horizontal="centerContinuous"/>
      <protection locked="0"/>
    </xf>
    <xf numFmtId="0" fontId="0" fillId="0" borderId="0" xfId="0" applyBorder="1" applyAlignment="1" applyProtection="1">
      <alignment vertical="center"/>
      <protection locked="0"/>
    </xf>
    <xf numFmtId="0" fontId="19" fillId="0" borderId="0" xfId="0" applyNumberFormat="1" applyFont="1" applyBorder="1" applyAlignment="1">
      <alignment horizontal="left" vertical="top"/>
    </xf>
    <xf numFmtId="0" fontId="18" fillId="0" borderId="0" xfId="0" applyNumberFormat="1" applyFont="1" applyBorder="1" applyAlignment="1">
      <alignment horizontal="left"/>
    </xf>
    <xf numFmtId="0" fontId="20" fillId="0" borderId="0" xfId="0" applyNumberFormat="1" applyFont="1" applyBorder="1" applyAlignment="1">
      <alignment horizontal="center"/>
    </xf>
    <xf numFmtId="0" fontId="21" fillId="0" borderId="9" xfId="0" applyNumberFormat="1" applyFont="1" applyBorder="1" applyAlignment="1">
      <alignment horizontal="center"/>
    </xf>
    <xf numFmtId="0" fontId="1" fillId="5" borderId="12" xfId="0" applyNumberFormat="1" applyFont="1" applyFill="1" applyBorder="1" applyAlignment="1">
      <alignment horizontal="left"/>
    </xf>
    <xf numFmtId="0" fontId="1" fillId="3" borderId="12" xfId="0" applyNumberFormat="1" applyFont="1" applyFill="1" applyBorder="1" applyAlignment="1" applyProtection="1">
      <alignment horizontal="left" wrapText="1"/>
      <protection locked="0"/>
    </xf>
    <xf numFmtId="0" fontId="13" fillId="3" borderId="13" xfId="0" applyNumberFormat="1" applyFont="1" applyFill="1" applyBorder="1" applyAlignment="1" applyProtection="1">
      <alignment horizontal="left" wrapText="1"/>
      <protection locked="0"/>
    </xf>
    <xf numFmtId="0" fontId="1" fillId="5" borderId="12" xfId="0" applyNumberFormat="1" applyFont="1" applyFill="1" applyBorder="1" applyAlignment="1">
      <alignment horizontal="left" wrapText="1"/>
    </xf>
    <xf numFmtId="0" fontId="13" fillId="3" borderId="12" xfId="0" applyNumberFormat="1" applyFont="1" applyFill="1" applyBorder="1" applyAlignment="1" applyProtection="1">
      <alignment horizontal="left" wrapText="1"/>
      <protection locked="0"/>
    </xf>
    <xf numFmtId="0" fontId="1" fillId="0" borderId="0" xfId="1" applyFont="1" applyAlignment="1">
      <alignment vertical="center" wrapText="1"/>
    </xf>
    <xf numFmtId="179" fontId="1" fillId="3" borderId="14" xfId="0" applyNumberFormat="1" applyFont="1" applyFill="1" applyBorder="1" applyAlignment="1" applyProtection="1">
      <alignment horizontal="left" wrapText="1"/>
      <protection locked="0"/>
    </xf>
    <xf numFmtId="0" fontId="1" fillId="3" borderId="14" xfId="0" applyNumberFormat="1" applyFont="1" applyFill="1" applyBorder="1" applyAlignment="1" applyProtection="1">
      <alignment horizontal="left" wrapText="1"/>
      <protection locked="0"/>
    </xf>
    <xf numFmtId="0" fontId="13" fillId="0" borderId="0" xfId="0" applyNumberFormat="1" applyFont="1" applyBorder="1" applyAlignment="1">
      <alignment horizontal="left"/>
    </xf>
    <xf numFmtId="0" fontId="13" fillId="3" borderId="14" xfId="0" applyNumberFormat="1" applyFont="1" applyFill="1" applyBorder="1" applyAlignment="1" applyProtection="1">
      <alignment horizontal="left" wrapText="1"/>
      <protection locked="0"/>
    </xf>
    <xf numFmtId="0" fontId="1" fillId="5" borderId="15" xfId="0" applyNumberFormat="1" applyFont="1" applyFill="1" applyBorder="1" applyAlignment="1">
      <alignment horizontal="left"/>
    </xf>
    <xf numFmtId="0" fontId="13" fillId="3" borderId="16" xfId="0" applyNumberFormat="1" applyFont="1" applyFill="1" applyBorder="1" applyAlignment="1" applyProtection="1">
      <alignment horizontal="left" wrapText="1"/>
      <protection locked="0"/>
    </xf>
    <xf numFmtId="0" fontId="13" fillId="0" borderId="17" xfId="0" applyNumberFormat="1" applyFont="1" applyBorder="1" applyAlignment="1">
      <alignment horizontal="left"/>
    </xf>
    <xf numFmtId="0" fontId="13" fillId="0" borderId="9" xfId="0" applyNumberFormat="1" applyFont="1" applyBorder="1" applyAlignment="1">
      <alignment horizontal="left"/>
    </xf>
    <xf numFmtId="0" fontId="11" fillId="0" borderId="0" xfId="0" applyNumberFormat="1" applyFont="1" applyBorder="1" applyAlignment="1">
      <alignment horizontal="left"/>
    </xf>
    <xf numFmtId="0" fontId="22" fillId="0" borderId="0" xfId="0" applyFont="1"/>
    <xf numFmtId="0" fontId="22" fillId="0" borderId="0" xfId="0" applyFont="1" applyBorder="1"/>
    <xf numFmtId="0" fontId="0" fillId="0" borderId="0" xfId="0" applyBorder="1"/>
    <xf numFmtId="0" fontId="0" fillId="0" borderId="0" xfId="0" applyFill="1" applyProtection="1">
      <protection hidden="1"/>
    </xf>
    <xf numFmtId="0" fontId="0" fillId="0" borderId="19" xfId="0" applyBorder="1"/>
    <xf numFmtId="0" fontId="2" fillId="5" borderId="20" xfId="0" applyNumberFormat="1" applyFont="1" applyFill="1" applyBorder="1" applyAlignment="1">
      <alignment horizontal="left" vertical="center"/>
    </xf>
    <xf numFmtId="178" fontId="23" fillId="4" borderId="19" xfId="0" applyNumberFormat="1" applyFont="1" applyFill="1" applyBorder="1" applyAlignment="1">
      <alignment horizontal="center"/>
    </xf>
    <xf numFmtId="0" fontId="1" fillId="5" borderId="20" xfId="0" applyNumberFormat="1" applyFont="1" applyFill="1" applyBorder="1" applyAlignment="1">
      <alignment horizontal="left" vertical="center"/>
    </xf>
    <xf numFmtId="0" fontId="0" fillId="0" borderId="0" xfId="0" applyFill="1" applyBorder="1" applyProtection="1">
      <protection hidden="1"/>
    </xf>
    <xf numFmtId="0" fontId="11" fillId="5" borderId="20" xfId="0" applyNumberFormat="1" applyFont="1" applyFill="1" applyBorder="1" applyAlignment="1">
      <alignment horizontal="left" vertical="center"/>
    </xf>
    <xf numFmtId="0" fontId="0" fillId="0" borderId="0" xfId="0" applyFill="1" applyBorder="1" applyProtection="1">
      <protection locked="0"/>
    </xf>
    <xf numFmtId="0" fontId="0" fillId="0" borderId="0" xfId="0" applyFill="1" applyProtection="1"/>
    <xf numFmtId="181" fontId="12" fillId="4" borderId="20" xfId="0" applyNumberFormat="1" applyFont="1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ill="1"/>
    <xf numFmtId="0" fontId="3" fillId="0" borderId="0" xfId="0" applyNumberFormat="1" applyFont="1" applyBorder="1" applyAlignment="1">
      <alignment horizontal="center"/>
    </xf>
    <xf numFmtId="0" fontId="16" fillId="0" borderId="0" xfId="0" applyFont="1" applyBorder="1" applyAlignment="1"/>
    <xf numFmtId="0" fontId="16" fillId="0" borderId="9" xfId="0" applyFont="1" applyBorder="1" applyAlignment="1"/>
    <xf numFmtId="0" fontId="17" fillId="0" borderId="0" xfId="0" applyNumberFormat="1" applyFont="1" applyBorder="1" applyAlignment="1">
      <alignment horizontal="center"/>
    </xf>
    <xf numFmtId="0" fontId="17" fillId="0" borderId="9" xfId="0" applyNumberFormat="1" applyFont="1" applyBorder="1" applyAlignment="1">
      <alignment horizontal="center"/>
    </xf>
    <xf numFmtId="0" fontId="15" fillId="5" borderId="10" xfId="0" applyNumberFormat="1" applyFont="1" applyFill="1" applyBorder="1" applyAlignment="1">
      <alignment horizontal="center"/>
    </xf>
    <xf numFmtId="0" fontId="15" fillId="5" borderId="11" xfId="0" applyNumberFormat="1" applyFont="1" applyFill="1" applyBorder="1" applyAlignment="1">
      <alignment horizontal="center"/>
    </xf>
    <xf numFmtId="0" fontId="2" fillId="5" borderId="17" xfId="0" applyNumberFormat="1" applyFont="1" applyFill="1" applyBorder="1" applyAlignment="1">
      <alignment horizontal="center"/>
    </xf>
    <xf numFmtId="0" fontId="2" fillId="5" borderId="18" xfId="0" applyNumberFormat="1" applyFont="1" applyFill="1" applyBorder="1" applyAlignment="1">
      <alignment horizontal="center"/>
    </xf>
    <xf numFmtId="0" fontId="1" fillId="3" borderId="1" xfId="0" applyNumberFormat="1" applyFont="1" applyFill="1" applyBorder="1" applyAlignment="1" applyProtection="1">
      <alignment horizontal="left" vertical="top" wrapText="1"/>
      <protection locked="0"/>
    </xf>
    <xf numFmtId="0" fontId="0" fillId="0" borderId="1" xfId="0" applyBorder="1" applyAlignment="1">
      <alignment horizontal="left" vertical="top" wrapText="1"/>
    </xf>
    <xf numFmtId="0" fontId="3" fillId="0" borderId="1" xfId="0" applyNumberFormat="1" applyFont="1" applyBorder="1" applyAlignment="1" applyProtection="1">
      <alignment horizontal="center"/>
      <protection hidden="1"/>
    </xf>
    <xf numFmtId="0" fontId="12" fillId="5" borderId="1" xfId="0" applyNumberFormat="1" applyFont="1" applyFill="1" applyBorder="1" applyAlignment="1" applyProtection="1">
      <alignment horizontal="center"/>
      <protection hidden="1"/>
    </xf>
    <xf numFmtId="0" fontId="1" fillId="5" borderId="1" xfId="0" applyNumberFormat="1" applyFont="1" applyFill="1" applyBorder="1" applyAlignment="1" applyProtection="1">
      <alignment horizontal="center" vertical="center"/>
      <protection hidden="1"/>
    </xf>
    <xf numFmtId="0" fontId="2" fillId="2" borderId="1" xfId="0" applyFont="1" applyFill="1" applyBorder="1" applyAlignment="1" applyProtection="1">
      <alignment horizontal="center" vertical="center" wrapText="1"/>
      <protection hidden="1"/>
    </xf>
    <xf numFmtId="0" fontId="3" fillId="0" borderId="0" xfId="0" applyNumberFormat="1" applyFont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hidden="1"/>
    </xf>
    <xf numFmtId="14" fontId="4" fillId="3" borderId="3" xfId="0" applyNumberFormat="1" applyFont="1" applyFill="1" applyBorder="1" applyAlignment="1" applyProtection="1">
      <alignment horizontal="center"/>
      <protection locked="0"/>
    </xf>
    <xf numFmtId="0" fontId="4" fillId="3" borderId="4" xfId="0" applyNumberFormat="1" applyFont="1" applyFill="1" applyBorder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hidden="1"/>
    </xf>
    <xf numFmtId="0" fontId="2" fillId="2" borderId="1" xfId="0" applyFont="1" applyFill="1" applyBorder="1" applyAlignment="1" applyProtection="1">
      <alignment horizontal="center" wrapText="1"/>
      <protection hidden="1"/>
    </xf>
    <xf numFmtId="0" fontId="2" fillId="0" borderId="5" xfId="0" applyFont="1" applyFill="1" applyBorder="1" applyAlignment="1" applyProtection="1">
      <alignment horizontal="center" wrapText="1"/>
      <protection hidden="1"/>
    </xf>
    <xf numFmtId="0" fontId="8" fillId="0" borderId="6" xfId="0" applyFont="1" applyFill="1" applyBorder="1" applyAlignment="1" applyProtection="1">
      <alignment horizontal="center" wrapText="1"/>
      <protection hidden="1"/>
    </xf>
    <xf numFmtId="178" fontId="7" fillId="4" borderId="3" xfId="0" applyNumberFormat="1" applyFont="1" applyFill="1" applyBorder="1" applyAlignment="1" applyProtection="1">
      <alignment horizontal="center"/>
      <protection hidden="1"/>
    </xf>
    <xf numFmtId="178" fontId="7" fillId="4" borderId="8" xfId="0" applyNumberFormat="1" applyFont="1" applyFill="1" applyBorder="1" applyAlignment="1" applyProtection="1">
      <alignment horizontal="center"/>
      <protection hidden="1"/>
    </xf>
    <xf numFmtId="178" fontId="7" fillId="4" borderId="4" xfId="0" applyNumberFormat="1" applyFont="1" applyFill="1" applyBorder="1" applyAlignment="1" applyProtection="1">
      <alignment horizontal="center"/>
      <protection hidden="1"/>
    </xf>
  </cellXfs>
  <cellStyles count="2">
    <cellStyle name="常规" xfId="0" builtinId="0"/>
    <cellStyle name="常规_sheet" xfId="1"/>
  </cellStyles>
  <dxfs count="0"/>
  <tableStyles count="0" defaultTableStyle="TableStyleMedium9" defaultPivotStyle="PivotStyleLight16"/>
  <colors>
    <mruColors>
      <color rgb="FF660066"/>
      <color rgb="FF6600FF"/>
      <color rgb="FF6600CC"/>
      <color rgb="FF9900FF"/>
      <color rgb="FF9933FF"/>
      <color rgb="FFFFFFCC"/>
      <color rgb="FFFFCC66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1323975</xdr:colOff>
      <xdr:row>1</xdr:row>
      <xdr:rowOff>212944</xdr:rowOff>
    </xdr:to>
    <xdr:pic>
      <xdr:nvPicPr>
        <xdr:cNvPr id="2" name="图片 6" descr="{747997C0-A311-4779-AEEA-BBAD0C3D1E51}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>
        <a:xfrm>
          <a:off x="0" y="0"/>
          <a:ext cx="1323975" cy="3390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Q83"/>
  <sheetViews>
    <sheetView workbookViewId="0">
      <selection activeCell="F21" sqref="F21"/>
    </sheetView>
  </sheetViews>
  <sheetFormatPr defaultColWidth="9" defaultRowHeight="15"/>
  <cols>
    <col min="13" max="13" width="10.6640625" customWidth="1"/>
    <col min="14" max="14" width="18.21875" customWidth="1"/>
  </cols>
  <sheetData>
    <row r="1" spans="1:1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M1" s="84" t="s">
        <v>11</v>
      </c>
      <c r="N1" s="85"/>
      <c r="O1" s="85"/>
      <c r="P1" s="84" t="s">
        <v>12</v>
      </c>
    </row>
    <row r="2" spans="1:17">
      <c r="A2" t="s">
        <v>13</v>
      </c>
      <c r="B2" s="83" t="s">
        <v>14</v>
      </c>
      <c r="H2" t="s">
        <v>15</v>
      </c>
      <c r="I2" t="s">
        <v>16</v>
      </c>
      <c r="J2" t="s">
        <v>17</v>
      </c>
      <c r="K2">
        <v>1</v>
      </c>
      <c r="L2" s="86"/>
      <c r="M2" s="87"/>
      <c r="N2" s="88" t="s">
        <v>18</v>
      </c>
      <c r="O2" s="89">
        <f>SUMIF(G$2:G$2000,111401,K$2:K$2000)+SUMIF(G$2:G$2000,111402,K$2:K$2000)+SUMIF(G$2:G$2000,111403,K$2:K$2000)+SUMIF(G$2:G$2000,111404,K$2:K$2000)</f>
        <v>0</v>
      </c>
      <c r="P2" s="87" t="str">
        <f t="shared" ref="P2:P53" si="0">IF(O2=0,"",O2)</f>
        <v/>
      </c>
      <c r="Q2" s="85"/>
    </row>
    <row r="3" spans="1:17">
      <c r="A3" t="s">
        <v>19</v>
      </c>
      <c r="B3" s="83" t="s">
        <v>14</v>
      </c>
      <c r="H3" t="s">
        <v>15</v>
      </c>
      <c r="I3" t="s">
        <v>16</v>
      </c>
      <c r="J3" t="s">
        <v>20</v>
      </c>
      <c r="K3">
        <v>1</v>
      </c>
      <c r="L3" s="86"/>
      <c r="M3" s="87"/>
      <c r="N3" s="88" t="s">
        <v>21</v>
      </c>
      <c r="O3" s="89">
        <f>SUMIF(G$2:G$2000,111501,K$2:K$2000)+SUMIF(G$2:G$2000,111502,K$2:K$2000)+SUMIF(G$2:G$2000,111503,K$2:K$2000)+SUMIF(G$2:G$2000,111504,K$2:K$2000)</f>
        <v>0</v>
      </c>
      <c r="P3" s="87" t="str">
        <f t="shared" si="0"/>
        <v/>
      </c>
      <c r="Q3" s="85"/>
    </row>
    <row r="4" spans="1:17">
      <c r="A4" t="s">
        <v>22</v>
      </c>
      <c r="B4" s="83" t="s">
        <v>14</v>
      </c>
      <c r="H4" t="s">
        <v>15</v>
      </c>
      <c r="I4" t="s">
        <v>23</v>
      </c>
      <c r="J4" t="s">
        <v>23</v>
      </c>
      <c r="K4">
        <v>3.5</v>
      </c>
      <c r="L4" s="86"/>
      <c r="M4" s="87"/>
      <c r="N4" s="88" t="s">
        <v>16</v>
      </c>
      <c r="O4" s="89">
        <f>SUM(O5:O6)</f>
        <v>0</v>
      </c>
      <c r="P4" s="87" t="str">
        <f t="shared" si="0"/>
        <v/>
      </c>
      <c r="Q4" s="85"/>
    </row>
    <row r="5" spans="1:17">
      <c r="A5" t="s">
        <v>24</v>
      </c>
      <c r="B5" s="83" t="s">
        <v>14</v>
      </c>
      <c r="H5" t="s">
        <v>15</v>
      </c>
      <c r="I5" t="s">
        <v>25</v>
      </c>
      <c r="J5" t="s">
        <v>26</v>
      </c>
      <c r="K5">
        <v>2</v>
      </c>
      <c r="L5" s="86"/>
      <c r="M5" s="87"/>
      <c r="N5" s="90" t="s">
        <v>17</v>
      </c>
      <c r="O5" s="89">
        <f>SUMIF(G$2:G$2000,M5,K$2:K$2000)</f>
        <v>0</v>
      </c>
      <c r="P5" s="87" t="str">
        <f t="shared" si="0"/>
        <v/>
      </c>
      <c r="Q5" s="85"/>
    </row>
    <row r="6" spans="1:17">
      <c r="A6" t="s">
        <v>27</v>
      </c>
      <c r="B6" s="83" t="s">
        <v>14</v>
      </c>
      <c r="H6" t="s">
        <v>15</v>
      </c>
      <c r="I6" t="s">
        <v>25</v>
      </c>
      <c r="J6" t="s">
        <v>28</v>
      </c>
      <c r="K6">
        <v>0</v>
      </c>
      <c r="L6" s="86"/>
      <c r="M6" s="87"/>
      <c r="N6" s="90" t="s">
        <v>20</v>
      </c>
      <c r="O6" s="89">
        <f>SUMIF(G$2:G$2000,M6,K$2:K$2000)</f>
        <v>0</v>
      </c>
      <c r="P6" s="87" t="str">
        <f t="shared" si="0"/>
        <v/>
      </c>
      <c r="Q6" s="85"/>
    </row>
    <row r="7" spans="1:17">
      <c r="A7" t="s">
        <v>29</v>
      </c>
      <c r="B7" s="83" t="s">
        <v>14</v>
      </c>
      <c r="H7" t="s">
        <v>15</v>
      </c>
      <c r="I7" t="s">
        <v>25</v>
      </c>
      <c r="J7" t="s">
        <v>30</v>
      </c>
      <c r="K7">
        <v>0</v>
      </c>
      <c r="L7" s="86"/>
      <c r="M7" s="87"/>
      <c r="N7" s="88" t="s">
        <v>23</v>
      </c>
      <c r="O7" s="89">
        <f>SUMIF(G$2:G$2000,M7,K$2:K$2000)</f>
        <v>0</v>
      </c>
      <c r="P7" s="87" t="str">
        <f t="shared" si="0"/>
        <v/>
      </c>
      <c r="Q7" s="85"/>
    </row>
    <row r="8" spans="1:17">
      <c r="A8" t="s">
        <v>31</v>
      </c>
      <c r="B8" s="83" t="s">
        <v>14</v>
      </c>
      <c r="H8" t="s">
        <v>15</v>
      </c>
      <c r="I8" t="s">
        <v>32</v>
      </c>
      <c r="J8" t="s">
        <v>26</v>
      </c>
      <c r="K8">
        <v>1</v>
      </c>
      <c r="L8" s="86"/>
      <c r="M8" s="87"/>
      <c r="N8" s="88" t="s">
        <v>33</v>
      </c>
      <c r="O8" s="89">
        <f>SUMIF(G$2:G$2000,111601,K$2:K$2000)+SUMIF(G$2:G$2000,111602,K$2:K$2000)</f>
        <v>0</v>
      </c>
      <c r="P8" s="87" t="str">
        <f t="shared" si="0"/>
        <v/>
      </c>
      <c r="Q8" s="85"/>
    </row>
    <row r="9" spans="1:17">
      <c r="A9" t="s">
        <v>34</v>
      </c>
      <c r="B9" s="83" t="s">
        <v>14</v>
      </c>
      <c r="H9" t="s">
        <v>15</v>
      </c>
      <c r="I9" t="s">
        <v>32</v>
      </c>
      <c r="J9" t="s">
        <v>28</v>
      </c>
      <c r="K9">
        <v>0</v>
      </c>
      <c r="L9" s="86"/>
      <c r="M9" s="87"/>
      <c r="N9" s="88" t="s">
        <v>25</v>
      </c>
      <c r="O9" s="89">
        <f>SUM(O10:O12)</f>
        <v>0</v>
      </c>
      <c r="P9" s="87" t="str">
        <f t="shared" si="0"/>
        <v/>
      </c>
      <c r="Q9" s="85"/>
    </row>
    <row r="10" spans="1:17">
      <c r="A10" t="s">
        <v>35</v>
      </c>
      <c r="B10" s="83" t="s">
        <v>14</v>
      </c>
      <c r="H10" t="s">
        <v>15</v>
      </c>
      <c r="I10" t="s">
        <v>32</v>
      </c>
      <c r="J10" t="s">
        <v>30</v>
      </c>
      <c r="K10">
        <v>4</v>
      </c>
      <c r="L10" s="86"/>
      <c r="M10" s="87"/>
      <c r="N10" s="90" t="s">
        <v>36</v>
      </c>
      <c r="O10" s="89">
        <f>SUMIF(G$2:G$2000,M10,K$2:K$2000)</f>
        <v>0</v>
      </c>
      <c r="P10" s="87" t="str">
        <f t="shared" si="0"/>
        <v/>
      </c>
      <c r="Q10" s="85"/>
    </row>
    <row r="11" spans="1:17">
      <c r="A11" t="s">
        <v>37</v>
      </c>
      <c r="B11" s="83" t="s">
        <v>14</v>
      </c>
      <c r="H11" t="s">
        <v>15</v>
      </c>
      <c r="I11" t="s">
        <v>38</v>
      </c>
      <c r="J11" t="s">
        <v>26</v>
      </c>
      <c r="K11">
        <v>0</v>
      </c>
      <c r="L11" s="91"/>
      <c r="M11" s="87"/>
      <c r="N11" s="90" t="s">
        <v>39</v>
      </c>
      <c r="O11" s="89">
        <f>SUMIF(G$2:G$2000,M11,K$2:K$2000)</f>
        <v>0</v>
      </c>
      <c r="P11" s="87" t="str">
        <f t="shared" si="0"/>
        <v/>
      </c>
      <c r="Q11" s="85"/>
    </row>
    <row r="12" spans="1:17">
      <c r="A12" t="s">
        <v>40</v>
      </c>
      <c r="B12" s="83" t="s">
        <v>14</v>
      </c>
      <c r="H12" t="s">
        <v>15</v>
      </c>
      <c r="I12" t="s">
        <v>38</v>
      </c>
      <c r="J12" t="s">
        <v>28</v>
      </c>
      <c r="K12">
        <v>8.5</v>
      </c>
      <c r="L12" s="91"/>
      <c r="M12" s="87"/>
      <c r="N12" s="90" t="s">
        <v>41</v>
      </c>
      <c r="O12" s="89">
        <f>SUMIF(G$2:G$2000,M12,K$2:K$2000)</f>
        <v>0</v>
      </c>
      <c r="P12" s="87" t="str">
        <f t="shared" si="0"/>
        <v/>
      </c>
      <c r="Q12" s="85"/>
    </row>
    <row r="13" spans="1:17">
      <c r="A13" t="s">
        <v>42</v>
      </c>
      <c r="B13" s="83" t="s">
        <v>14</v>
      </c>
      <c r="H13" t="s">
        <v>15</v>
      </c>
      <c r="I13" t="s">
        <v>38</v>
      </c>
      <c r="J13" t="s">
        <v>30</v>
      </c>
      <c r="K13">
        <v>0</v>
      </c>
      <c r="L13" s="91"/>
      <c r="M13" s="87"/>
      <c r="N13" s="88" t="s">
        <v>43</v>
      </c>
      <c r="O13" s="89">
        <f>SUM(O14:O16)</f>
        <v>0</v>
      </c>
      <c r="P13" s="87" t="str">
        <f t="shared" si="0"/>
        <v/>
      </c>
      <c r="Q13" s="85"/>
    </row>
    <row r="14" spans="1:17">
      <c r="A14" t="s">
        <v>44</v>
      </c>
      <c r="B14" s="83" t="s">
        <v>14</v>
      </c>
      <c r="H14" t="s">
        <v>15</v>
      </c>
      <c r="I14" t="s">
        <v>45</v>
      </c>
      <c r="J14" t="s">
        <v>26</v>
      </c>
      <c r="K14">
        <v>0</v>
      </c>
      <c r="L14" s="91"/>
      <c r="M14" s="87"/>
      <c r="N14" s="90" t="s">
        <v>46</v>
      </c>
      <c r="O14" s="89">
        <f>SUMIF(G$2:G$2000,M14,K$2:K$2000)</f>
        <v>0</v>
      </c>
      <c r="P14" s="87" t="str">
        <f t="shared" si="0"/>
        <v/>
      </c>
      <c r="Q14" s="85"/>
    </row>
    <row r="15" spans="1:17">
      <c r="A15" t="s">
        <v>47</v>
      </c>
      <c r="B15" s="83" t="s">
        <v>14</v>
      </c>
      <c r="H15" t="s">
        <v>15</v>
      </c>
      <c r="I15" t="s">
        <v>45</v>
      </c>
      <c r="J15" t="s">
        <v>28</v>
      </c>
      <c r="K15">
        <v>0</v>
      </c>
      <c r="L15" s="91"/>
      <c r="M15" s="87"/>
      <c r="N15" s="90" t="s">
        <v>48</v>
      </c>
      <c r="O15" s="89">
        <f>SUMIF(G$2:G$2000,M15,K$2:K$2000)</f>
        <v>0</v>
      </c>
      <c r="P15" s="87" t="str">
        <f t="shared" si="0"/>
        <v/>
      </c>
      <c r="Q15" s="85"/>
    </row>
    <row r="16" spans="1:17">
      <c r="A16" t="s">
        <v>49</v>
      </c>
      <c r="B16" s="83" t="s">
        <v>14</v>
      </c>
      <c r="H16" t="s">
        <v>15</v>
      </c>
      <c r="I16" t="s">
        <v>45</v>
      </c>
      <c r="J16" t="s">
        <v>30</v>
      </c>
      <c r="K16">
        <v>0</v>
      </c>
      <c r="L16" s="91"/>
      <c r="M16" s="87"/>
      <c r="N16" s="90" t="s">
        <v>50</v>
      </c>
      <c r="O16" s="89">
        <f>SUMIF(G$2:G$2000,M16,K$2:K$2000)</f>
        <v>0</v>
      </c>
      <c r="P16" s="87" t="str">
        <f t="shared" si="0"/>
        <v/>
      </c>
      <c r="Q16" s="85"/>
    </row>
    <row r="17" spans="1:17">
      <c r="A17" t="s">
        <v>51</v>
      </c>
      <c r="B17" s="83" t="s">
        <v>14</v>
      </c>
      <c r="H17" t="s">
        <v>15</v>
      </c>
      <c r="I17" t="s">
        <v>52</v>
      </c>
      <c r="J17" t="s">
        <v>26</v>
      </c>
      <c r="K17">
        <v>0</v>
      </c>
      <c r="L17" s="91"/>
      <c r="M17" s="87"/>
      <c r="N17" s="88" t="s">
        <v>38</v>
      </c>
      <c r="O17" s="89">
        <f>SUM(O18:O20)</f>
        <v>0</v>
      </c>
      <c r="P17" s="87" t="str">
        <f t="shared" si="0"/>
        <v/>
      </c>
      <c r="Q17" s="85"/>
    </row>
    <row r="18" spans="1:17">
      <c r="A18" t="s">
        <v>53</v>
      </c>
      <c r="B18" s="83" t="s">
        <v>14</v>
      </c>
      <c r="H18" t="s">
        <v>15</v>
      </c>
      <c r="I18" t="s">
        <v>52</v>
      </c>
      <c r="J18" t="s">
        <v>28</v>
      </c>
      <c r="K18">
        <v>0</v>
      </c>
      <c r="L18" s="91"/>
      <c r="M18" s="87"/>
      <c r="N18" s="90" t="s">
        <v>54</v>
      </c>
      <c r="O18" s="89">
        <f>SUMIF(G$2:G$2000,M18,K$2:K$2000)</f>
        <v>0</v>
      </c>
      <c r="P18" s="87" t="str">
        <f t="shared" si="0"/>
        <v/>
      </c>
      <c r="Q18" s="85"/>
    </row>
    <row r="19" spans="1:17">
      <c r="A19" t="s">
        <v>55</v>
      </c>
      <c r="B19" s="83" t="s">
        <v>14</v>
      </c>
      <c r="H19" t="s">
        <v>15</v>
      </c>
      <c r="I19" t="s">
        <v>52</v>
      </c>
      <c r="J19" t="s">
        <v>30</v>
      </c>
      <c r="K19">
        <v>0</v>
      </c>
      <c r="L19" s="91"/>
      <c r="M19" s="87"/>
      <c r="N19" s="90" t="s">
        <v>56</v>
      </c>
      <c r="O19" s="89">
        <f>SUMIF(G$2:G$2000,M19,K$2:K$2000)</f>
        <v>0</v>
      </c>
      <c r="P19" s="87" t="str">
        <f t="shared" si="0"/>
        <v/>
      </c>
      <c r="Q19" s="85"/>
    </row>
    <row r="20" spans="1:17">
      <c r="A20" t="s">
        <v>57</v>
      </c>
      <c r="B20" s="83" t="s">
        <v>14</v>
      </c>
      <c r="H20" t="s">
        <v>15</v>
      </c>
      <c r="I20" t="s">
        <v>58</v>
      </c>
      <c r="J20" t="s">
        <v>26</v>
      </c>
      <c r="K20">
        <v>0</v>
      </c>
      <c r="L20" s="91"/>
      <c r="M20" s="87"/>
      <c r="N20" s="90" t="s">
        <v>59</v>
      </c>
      <c r="O20" s="89">
        <f>SUMIF(G$2:G$2000,M20,K$2:K$2000)</f>
        <v>0</v>
      </c>
      <c r="P20" s="87" t="str">
        <f t="shared" si="0"/>
        <v/>
      </c>
      <c r="Q20" s="85"/>
    </row>
    <row r="21" spans="1:17">
      <c r="A21" t="s">
        <v>60</v>
      </c>
      <c r="B21" s="83" t="s">
        <v>14</v>
      </c>
      <c r="H21" t="s">
        <v>15</v>
      </c>
      <c r="I21" t="s">
        <v>58</v>
      </c>
      <c r="J21" t="s">
        <v>28</v>
      </c>
      <c r="K21">
        <v>0</v>
      </c>
      <c r="L21" s="91"/>
      <c r="M21" s="87"/>
      <c r="N21" s="88" t="s">
        <v>45</v>
      </c>
      <c r="O21" s="89">
        <f>SUM(O22:O24)</f>
        <v>0</v>
      </c>
      <c r="P21" s="87" t="str">
        <f t="shared" si="0"/>
        <v/>
      </c>
      <c r="Q21" s="85"/>
    </row>
    <row r="22" spans="1:17">
      <c r="A22" t="s">
        <v>61</v>
      </c>
      <c r="B22" s="83" t="s">
        <v>14</v>
      </c>
      <c r="H22" t="s">
        <v>15</v>
      </c>
      <c r="I22" t="s">
        <v>58</v>
      </c>
      <c r="J22" t="s">
        <v>30</v>
      </c>
      <c r="K22">
        <v>0</v>
      </c>
      <c r="L22" s="91"/>
      <c r="M22" s="87"/>
      <c r="N22" s="90" t="s">
        <v>62</v>
      </c>
      <c r="O22" s="89">
        <f>SUMIF(G$2:G$2000,M22,K$2:K$2000)</f>
        <v>0</v>
      </c>
      <c r="P22" s="87" t="str">
        <f t="shared" si="0"/>
        <v/>
      </c>
      <c r="Q22" s="85"/>
    </row>
    <row r="23" spans="1:17">
      <c r="A23" t="s">
        <v>63</v>
      </c>
      <c r="B23" s="83" t="s">
        <v>14</v>
      </c>
      <c r="H23" t="s">
        <v>15</v>
      </c>
      <c r="I23" t="s">
        <v>64</v>
      </c>
      <c r="J23" t="s">
        <v>26</v>
      </c>
      <c r="K23">
        <v>3</v>
      </c>
      <c r="L23" s="91"/>
      <c r="M23" s="87"/>
      <c r="N23" s="90" t="s">
        <v>65</v>
      </c>
      <c r="O23" s="89">
        <f>SUMIF(G$2:G$2000,M23,K$2:K$2000)</f>
        <v>0</v>
      </c>
      <c r="P23" s="87" t="str">
        <f t="shared" si="0"/>
        <v/>
      </c>
      <c r="Q23" s="85"/>
    </row>
    <row r="24" spans="1:17">
      <c r="A24" t="s">
        <v>66</v>
      </c>
      <c r="B24" s="83" t="s">
        <v>14</v>
      </c>
      <c r="H24" t="s">
        <v>15</v>
      </c>
      <c r="I24" t="s">
        <v>64</v>
      </c>
      <c r="J24" t="s">
        <v>28</v>
      </c>
      <c r="K24">
        <v>0</v>
      </c>
      <c r="L24" s="91"/>
      <c r="M24" s="87"/>
      <c r="N24" s="90" t="s">
        <v>67</v>
      </c>
      <c r="O24" s="89">
        <f>SUMIF(G$2:G$2000,M24,K$2:K$2000)</f>
        <v>0</v>
      </c>
      <c r="P24" s="87" t="str">
        <f t="shared" si="0"/>
        <v/>
      </c>
      <c r="Q24" s="85"/>
    </row>
    <row r="25" spans="1:17">
      <c r="A25" t="s">
        <v>68</v>
      </c>
      <c r="B25" s="83" t="s">
        <v>14</v>
      </c>
      <c r="H25" t="s">
        <v>15</v>
      </c>
      <c r="I25" t="s">
        <v>64</v>
      </c>
      <c r="J25" t="s">
        <v>30</v>
      </c>
      <c r="K25">
        <v>2.7</v>
      </c>
      <c r="L25" s="91"/>
      <c r="M25" s="87"/>
      <c r="N25" s="88" t="s">
        <v>52</v>
      </c>
      <c r="O25" s="89">
        <f>SUM(O26:O28)</f>
        <v>0</v>
      </c>
      <c r="P25" s="87" t="str">
        <f t="shared" si="0"/>
        <v/>
      </c>
      <c r="Q25" s="85"/>
    </row>
    <row r="26" spans="1:17">
      <c r="A26" t="s">
        <v>69</v>
      </c>
      <c r="B26" s="83" t="s">
        <v>14</v>
      </c>
      <c r="H26" t="s">
        <v>15</v>
      </c>
      <c r="I26" t="s">
        <v>70</v>
      </c>
      <c r="J26" t="s">
        <v>26</v>
      </c>
      <c r="K26">
        <v>53.8</v>
      </c>
      <c r="L26" s="91"/>
      <c r="M26" s="87"/>
      <c r="N26" s="90" t="s">
        <v>71</v>
      </c>
      <c r="O26" s="89">
        <f>SUMIF(G$2:G$2000,M26,K$2:K$2000)</f>
        <v>0</v>
      </c>
      <c r="P26" s="87" t="str">
        <f t="shared" si="0"/>
        <v/>
      </c>
      <c r="Q26" s="85"/>
    </row>
    <row r="27" spans="1:17">
      <c r="A27" t="s">
        <v>72</v>
      </c>
      <c r="B27" s="83" t="s">
        <v>14</v>
      </c>
      <c r="H27" t="s">
        <v>15</v>
      </c>
      <c r="I27" t="s">
        <v>70</v>
      </c>
      <c r="J27" t="s">
        <v>28</v>
      </c>
      <c r="K27">
        <v>128.5</v>
      </c>
      <c r="L27" s="91"/>
      <c r="M27" s="87"/>
      <c r="N27" s="90" t="s">
        <v>73</v>
      </c>
      <c r="O27" s="89">
        <f>SUMIF(G$2:G$2000,M27,K$2:K$2000)</f>
        <v>0</v>
      </c>
      <c r="P27" s="87" t="str">
        <f t="shared" si="0"/>
        <v/>
      </c>
      <c r="Q27" s="85"/>
    </row>
    <row r="28" spans="1:17">
      <c r="A28" t="s">
        <v>74</v>
      </c>
      <c r="B28" s="83" t="s">
        <v>14</v>
      </c>
      <c r="H28" t="s">
        <v>15</v>
      </c>
      <c r="I28" t="s">
        <v>70</v>
      </c>
      <c r="J28" t="s">
        <v>30</v>
      </c>
      <c r="K28">
        <v>66</v>
      </c>
      <c r="L28" s="91"/>
      <c r="M28" s="87"/>
      <c r="N28" s="90" t="s">
        <v>75</v>
      </c>
      <c r="O28" s="89">
        <f>SUMIF(G$2:G$2000,M28,K$2:K$2000)</f>
        <v>0</v>
      </c>
      <c r="P28" s="87" t="str">
        <f t="shared" si="0"/>
        <v/>
      </c>
      <c r="Q28" s="85"/>
    </row>
    <row r="29" spans="1:17">
      <c r="A29" t="s">
        <v>76</v>
      </c>
      <c r="B29" s="83" t="s">
        <v>77</v>
      </c>
      <c r="H29" t="s">
        <v>15</v>
      </c>
      <c r="I29" t="s">
        <v>78</v>
      </c>
      <c r="J29" t="s">
        <v>79</v>
      </c>
      <c r="K29">
        <v>74.7</v>
      </c>
      <c r="L29" s="91"/>
      <c r="M29" s="87"/>
      <c r="N29" s="88" t="s">
        <v>58</v>
      </c>
      <c r="O29" s="89">
        <f>SUM(O30:O32)</f>
        <v>0</v>
      </c>
      <c r="P29" s="87" t="str">
        <f t="shared" si="0"/>
        <v/>
      </c>
      <c r="Q29" s="85"/>
    </row>
    <row r="30" spans="1:17">
      <c r="A30" t="s">
        <v>80</v>
      </c>
      <c r="B30" s="83" t="s">
        <v>77</v>
      </c>
      <c r="H30" t="s">
        <v>15</v>
      </c>
      <c r="I30" t="s">
        <v>78</v>
      </c>
      <c r="J30" t="s">
        <v>81</v>
      </c>
      <c r="K30">
        <v>208.1</v>
      </c>
      <c r="L30" s="91"/>
      <c r="M30" s="87"/>
      <c r="N30" s="90" t="s">
        <v>82</v>
      </c>
      <c r="O30" s="89">
        <f>SUMIF(G$2:G$2000,M30,K$2:K$2000)</f>
        <v>0</v>
      </c>
      <c r="P30" s="87" t="str">
        <f t="shared" si="0"/>
        <v/>
      </c>
      <c r="Q30" s="85"/>
    </row>
    <row r="31" spans="1:17">
      <c r="A31" t="s">
        <v>83</v>
      </c>
      <c r="B31" s="83" t="s">
        <v>77</v>
      </c>
      <c r="H31" t="s">
        <v>15</v>
      </c>
      <c r="I31" t="s">
        <v>78</v>
      </c>
      <c r="J31" t="s">
        <v>84</v>
      </c>
      <c r="K31">
        <v>18</v>
      </c>
      <c r="L31" s="91"/>
      <c r="M31" s="87"/>
      <c r="N31" s="90" t="s">
        <v>85</v>
      </c>
      <c r="O31" s="89">
        <f>SUMIF(G$2:G$2000,M31,K$2:K$2000)</f>
        <v>0</v>
      </c>
      <c r="P31" s="87" t="str">
        <f t="shared" si="0"/>
        <v/>
      </c>
      <c r="Q31" s="85"/>
    </row>
    <row r="32" spans="1:17">
      <c r="A32" t="s">
        <v>86</v>
      </c>
      <c r="B32" s="83" t="s">
        <v>77</v>
      </c>
      <c r="H32" t="s">
        <v>15</v>
      </c>
      <c r="I32" t="s">
        <v>87</v>
      </c>
      <c r="J32" t="s">
        <v>79</v>
      </c>
      <c r="K32">
        <v>0</v>
      </c>
      <c r="L32" s="91"/>
      <c r="M32" s="87"/>
      <c r="N32" s="90" t="s">
        <v>88</v>
      </c>
      <c r="O32" s="89">
        <f>SUMIF(G$2:G$2000,M32,K$2:K$2000)</f>
        <v>0</v>
      </c>
      <c r="P32" s="87" t="str">
        <f t="shared" si="0"/>
        <v/>
      </c>
      <c r="Q32" s="85"/>
    </row>
    <row r="33" spans="1:17">
      <c r="A33" t="s">
        <v>89</v>
      </c>
      <c r="B33" s="83" t="s">
        <v>77</v>
      </c>
      <c r="H33" t="s">
        <v>15</v>
      </c>
      <c r="I33" t="s">
        <v>87</v>
      </c>
      <c r="J33" t="s">
        <v>81</v>
      </c>
      <c r="K33">
        <v>0</v>
      </c>
      <c r="L33" s="91"/>
      <c r="M33" s="87"/>
      <c r="N33" s="88" t="s">
        <v>64</v>
      </c>
      <c r="O33" s="89">
        <f>SUM(O34:O36)</f>
        <v>0</v>
      </c>
      <c r="P33" s="87" t="str">
        <f t="shared" si="0"/>
        <v/>
      </c>
      <c r="Q33" s="85"/>
    </row>
    <row r="34" spans="1:17">
      <c r="A34" t="s">
        <v>90</v>
      </c>
      <c r="B34" s="83" t="s">
        <v>77</v>
      </c>
      <c r="H34" t="s">
        <v>15</v>
      </c>
      <c r="I34" t="s">
        <v>87</v>
      </c>
      <c r="J34" t="s">
        <v>84</v>
      </c>
      <c r="K34">
        <v>0</v>
      </c>
      <c r="L34" s="91"/>
      <c r="M34" s="87"/>
      <c r="N34" s="90" t="s">
        <v>91</v>
      </c>
      <c r="O34" s="89">
        <f>SUMIF(G$2:G$2000,M34,K$2:K$2000)</f>
        <v>0</v>
      </c>
      <c r="P34" s="87" t="str">
        <f t="shared" si="0"/>
        <v/>
      </c>
      <c r="Q34" s="85"/>
    </row>
    <row r="35" spans="1:17">
      <c r="A35" t="s">
        <v>92</v>
      </c>
      <c r="B35" s="83" t="s">
        <v>77</v>
      </c>
      <c r="H35" t="s">
        <v>15</v>
      </c>
      <c r="I35" t="s">
        <v>93</v>
      </c>
      <c r="J35" t="s">
        <v>79</v>
      </c>
      <c r="K35">
        <v>0</v>
      </c>
      <c r="L35" s="91"/>
      <c r="M35" s="87"/>
      <c r="N35" s="90" t="s">
        <v>94</v>
      </c>
      <c r="O35" s="89">
        <f>SUMIF(G$2:G$2000,M35,K$2:K$2000)</f>
        <v>0</v>
      </c>
      <c r="P35" s="87" t="str">
        <f t="shared" si="0"/>
        <v/>
      </c>
      <c r="Q35" s="85"/>
    </row>
    <row r="36" spans="1:17">
      <c r="A36" t="s">
        <v>95</v>
      </c>
      <c r="B36" s="83" t="s">
        <v>77</v>
      </c>
      <c r="H36" t="s">
        <v>15</v>
      </c>
      <c r="I36" t="s">
        <v>93</v>
      </c>
      <c r="J36" t="s">
        <v>81</v>
      </c>
      <c r="K36">
        <v>4</v>
      </c>
      <c r="L36" s="91"/>
      <c r="M36" s="87"/>
      <c r="N36" s="90" t="s">
        <v>96</v>
      </c>
      <c r="O36" s="89">
        <f>SUMIF(G$2:G$2000,M36,K$2:K$2000)</f>
        <v>0</v>
      </c>
      <c r="P36" s="87" t="str">
        <f t="shared" si="0"/>
        <v/>
      </c>
      <c r="Q36" s="85"/>
    </row>
    <row r="37" spans="1:17">
      <c r="A37" t="s">
        <v>97</v>
      </c>
      <c r="B37" s="83" t="s">
        <v>77</v>
      </c>
      <c r="H37" t="s">
        <v>15</v>
      </c>
      <c r="I37" t="s">
        <v>93</v>
      </c>
      <c r="J37" t="s">
        <v>84</v>
      </c>
      <c r="K37">
        <v>0</v>
      </c>
      <c r="L37" s="91"/>
      <c r="M37" s="87"/>
      <c r="N37" s="88" t="s">
        <v>98</v>
      </c>
      <c r="O37" s="89">
        <f>SUM(O38:O40)</f>
        <v>0</v>
      </c>
      <c r="P37" s="87" t="str">
        <f t="shared" si="0"/>
        <v/>
      </c>
      <c r="Q37" s="85"/>
    </row>
    <row r="38" spans="1:17">
      <c r="A38" t="s">
        <v>99</v>
      </c>
      <c r="B38" s="83" t="s">
        <v>77</v>
      </c>
      <c r="H38" t="s">
        <v>15</v>
      </c>
      <c r="I38" t="s">
        <v>100</v>
      </c>
      <c r="J38" t="s">
        <v>101</v>
      </c>
      <c r="K38">
        <v>8</v>
      </c>
      <c r="L38" s="91"/>
      <c r="M38" s="87"/>
      <c r="N38" s="92" t="s">
        <v>102</v>
      </c>
      <c r="O38" s="89">
        <f>SUMIF(G$2:G$2000,M38,K$2:K$2000)</f>
        <v>0</v>
      </c>
      <c r="P38" s="87" t="str">
        <f t="shared" si="0"/>
        <v/>
      </c>
      <c r="Q38" s="85"/>
    </row>
    <row r="39" spans="1:17">
      <c r="A39" t="s">
        <v>103</v>
      </c>
      <c r="B39" s="83" t="s">
        <v>77</v>
      </c>
      <c r="H39" t="s">
        <v>15</v>
      </c>
      <c r="I39" t="s">
        <v>100</v>
      </c>
      <c r="J39" t="s">
        <v>104</v>
      </c>
      <c r="K39">
        <v>2</v>
      </c>
      <c r="L39" s="91"/>
      <c r="M39" s="87"/>
      <c r="N39" s="90" t="s">
        <v>105</v>
      </c>
      <c r="O39" s="89">
        <f>SUMIF(G$2:G$2000,M39,K$2:K$2000)</f>
        <v>0</v>
      </c>
      <c r="P39" s="87" t="str">
        <f t="shared" si="0"/>
        <v/>
      </c>
      <c r="Q39" s="85"/>
    </row>
    <row r="40" spans="1:17">
      <c r="A40" t="s">
        <v>106</v>
      </c>
      <c r="B40" s="83" t="s">
        <v>77</v>
      </c>
      <c r="H40" t="s">
        <v>15</v>
      </c>
      <c r="I40" t="s">
        <v>100</v>
      </c>
      <c r="J40" t="s">
        <v>107</v>
      </c>
      <c r="K40">
        <v>0</v>
      </c>
      <c r="L40" s="91"/>
      <c r="M40" s="87"/>
      <c r="N40" s="90" t="s">
        <v>108</v>
      </c>
      <c r="O40" s="89">
        <f>SUMIF(G$2:G$2000,M40,K$2:K$2000)</f>
        <v>0</v>
      </c>
      <c r="P40" s="87" t="str">
        <f t="shared" si="0"/>
        <v/>
      </c>
      <c r="Q40" s="85"/>
    </row>
    <row r="41" spans="1:17">
      <c r="A41" t="s">
        <v>109</v>
      </c>
      <c r="B41" s="83" t="s">
        <v>77</v>
      </c>
      <c r="H41" t="s">
        <v>15</v>
      </c>
      <c r="I41" t="s">
        <v>100</v>
      </c>
      <c r="J41" t="s">
        <v>110</v>
      </c>
      <c r="K41">
        <v>2.5</v>
      </c>
      <c r="L41" s="91"/>
      <c r="M41" s="87"/>
      <c r="N41" s="88" t="s">
        <v>78</v>
      </c>
      <c r="O41" s="89">
        <f>SUM(O42:O44)</f>
        <v>0</v>
      </c>
      <c r="P41" s="87" t="str">
        <f t="shared" si="0"/>
        <v/>
      </c>
      <c r="Q41" s="85"/>
    </row>
    <row r="42" spans="1:17">
      <c r="A42" t="s">
        <v>111</v>
      </c>
      <c r="B42" s="83" t="s">
        <v>77</v>
      </c>
      <c r="H42" t="s">
        <v>15</v>
      </c>
      <c r="I42" t="s">
        <v>21</v>
      </c>
      <c r="J42" t="s">
        <v>112</v>
      </c>
      <c r="K42">
        <v>0</v>
      </c>
      <c r="L42" s="91"/>
      <c r="M42" s="87"/>
      <c r="N42" s="90" t="s">
        <v>79</v>
      </c>
      <c r="O42" s="89">
        <f>SUMIF(G$2:G$2000,M42,K$2:K$2000)</f>
        <v>0</v>
      </c>
      <c r="P42" s="87" t="str">
        <f t="shared" si="0"/>
        <v/>
      </c>
      <c r="Q42" s="85"/>
    </row>
    <row r="43" spans="1:17">
      <c r="A43" t="s">
        <v>113</v>
      </c>
      <c r="B43" s="83" t="s">
        <v>77</v>
      </c>
      <c r="H43" t="s">
        <v>15</v>
      </c>
      <c r="I43" t="s">
        <v>21</v>
      </c>
      <c r="J43" t="s">
        <v>114</v>
      </c>
      <c r="K43">
        <v>3</v>
      </c>
      <c r="L43" s="91"/>
      <c r="M43" s="87"/>
      <c r="N43" s="90" t="s">
        <v>115</v>
      </c>
      <c r="O43" s="89">
        <f>SUMIF(G$2:G$2000,M43,K$2:K$2000)</f>
        <v>0</v>
      </c>
      <c r="P43" s="87" t="str">
        <f t="shared" si="0"/>
        <v/>
      </c>
      <c r="Q43" s="85"/>
    </row>
    <row r="44" spans="1:17">
      <c r="A44" t="s">
        <v>116</v>
      </c>
      <c r="B44" s="83" t="s">
        <v>77</v>
      </c>
      <c r="H44" t="s">
        <v>15</v>
      </c>
      <c r="I44" t="s">
        <v>21</v>
      </c>
      <c r="J44" t="s">
        <v>117</v>
      </c>
      <c r="L44" s="91"/>
      <c r="M44" s="87"/>
      <c r="N44" s="90" t="s">
        <v>84</v>
      </c>
      <c r="O44" s="89">
        <f>SUMIF(G$2:G$2000,M44,K$2:K$2000)</f>
        <v>0</v>
      </c>
      <c r="P44" s="87" t="str">
        <f t="shared" si="0"/>
        <v/>
      </c>
      <c r="Q44" s="85"/>
    </row>
    <row r="45" spans="1:17">
      <c r="A45" t="s">
        <v>118</v>
      </c>
      <c r="B45" s="83" t="s">
        <v>77</v>
      </c>
      <c r="H45" t="s">
        <v>15</v>
      </c>
      <c r="I45" t="s">
        <v>21</v>
      </c>
      <c r="J45" t="s">
        <v>119</v>
      </c>
      <c r="L45" s="91"/>
      <c r="M45" s="87"/>
      <c r="N45" s="88" t="s">
        <v>87</v>
      </c>
      <c r="O45" s="89">
        <f>SUM(O46:O48)</f>
        <v>0</v>
      </c>
      <c r="P45" s="87" t="str">
        <f t="shared" si="0"/>
        <v/>
      </c>
      <c r="Q45" s="85"/>
    </row>
    <row r="46" spans="1:17">
      <c r="A46" t="s">
        <v>120</v>
      </c>
      <c r="B46" s="83" t="s">
        <v>77</v>
      </c>
      <c r="H46" t="s">
        <v>15</v>
      </c>
      <c r="I46" t="s">
        <v>33</v>
      </c>
      <c r="J46" t="s">
        <v>121</v>
      </c>
      <c r="K46">
        <v>7</v>
      </c>
      <c r="L46" s="91"/>
      <c r="M46" s="87"/>
      <c r="N46" s="90" t="s">
        <v>79</v>
      </c>
      <c r="O46" s="89">
        <f>SUMIF(G$2:G$2000,M46,K$2:K$2000)</f>
        <v>0</v>
      </c>
      <c r="P46" s="87" t="str">
        <f t="shared" si="0"/>
        <v/>
      </c>
      <c r="Q46" s="85"/>
    </row>
    <row r="47" spans="1:17">
      <c r="A47" t="s">
        <v>122</v>
      </c>
      <c r="B47" s="83" t="s">
        <v>77</v>
      </c>
      <c r="H47" t="s">
        <v>15</v>
      </c>
      <c r="I47" t="s">
        <v>33</v>
      </c>
      <c r="J47" t="s">
        <v>123</v>
      </c>
      <c r="K47">
        <v>3.5</v>
      </c>
      <c r="L47" s="91"/>
      <c r="M47" s="87"/>
      <c r="N47" s="90" t="s">
        <v>124</v>
      </c>
      <c r="O47" s="89">
        <f>SUMIF(G$2:G$2000,M47,K$2:K$2000)</f>
        <v>0</v>
      </c>
      <c r="P47" s="87" t="str">
        <f t="shared" si="0"/>
        <v/>
      </c>
      <c r="Q47" s="85"/>
    </row>
    <row r="48" spans="1:17">
      <c r="A48" t="s">
        <v>125</v>
      </c>
      <c r="B48" s="83" t="s">
        <v>77</v>
      </c>
      <c r="H48" t="s">
        <v>126</v>
      </c>
      <c r="I48" t="s">
        <v>126</v>
      </c>
      <c r="J48" t="s">
        <v>126</v>
      </c>
      <c r="K48">
        <v>47.5</v>
      </c>
      <c r="L48" s="91"/>
      <c r="M48" s="87"/>
      <c r="N48" s="90" t="s">
        <v>84</v>
      </c>
      <c r="O48" s="89">
        <f>SUMIF(G$2:G$2000,M48,K$2:K$2000)</f>
        <v>0</v>
      </c>
      <c r="P48" s="87" t="str">
        <f t="shared" si="0"/>
        <v/>
      </c>
      <c r="Q48" s="85"/>
    </row>
    <row r="49" spans="12:17">
      <c r="L49" s="91"/>
      <c r="M49" s="87"/>
      <c r="N49" s="88" t="s">
        <v>93</v>
      </c>
      <c r="O49" s="89">
        <f>SUM(O50:O52)</f>
        <v>0</v>
      </c>
      <c r="P49" s="87" t="str">
        <f t="shared" si="0"/>
        <v/>
      </c>
      <c r="Q49" s="85"/>
    </row>
    <row r="50" spans="12:17">
      <c r="L50" s="93"/>
      <c r="M50" s="87"/>
      <c r="N50" s="92" t="s">
        <v>127</v>
      </c>
      <c r="O50" s="89">
        <f>SUMIF(G$2:G$2000,M50,K$2:K$2000)</f>
        <v>0</v>
      </c>
      <c r="P50" s="87" t="str">
        <f t="shared" si="0"/>
        <v/>
      </c>
      <c r="Q50" s="85"/>
    </row>
    <row r="51" spans="12:17">
      <c r="L51" s="94"/>
      <c r="M51" s="87"/>
      <c r="N51" s="90" t="s">
        <v>128</v>
      </c>
      <c r="O51" s="89">
        <f>SUMIF(G$2:G$2000,M51,K$2:K$2000)</f>
        <v>0</v>
      </c>
      <c r="P51" s="87" t="str">
        <f t="shared" si="0"/>
        <v/>
      </c>
      <c r="Q51" s="85"/>
    </row>
    <row r="52" spans="12:17">
      <c r="L52" s="94"/>
      <c r="M52" s="87"/>
      <c r="N52" s="90" t="s">
        <v>84</v>
      </c>
      <c r="O52" s="89">
        <f>SUMIF(G$2:G$2000,M52,K$2:K$2000)</f>
        <v>0</v>
      </c>
      <c r="P52" s="87" t="str">
        <f t="shared" si="0"/>
        <v/>
      </c>
      <c r="Q52" s="85"/>
    </row>
    <row r="53" spans="12:17">
      <c r="L53" s="85"/>
      <c r="M53" s="87"/>
      <c r="N53" s="95" t="s">
        <v>129</v>
      </c>
      <c r="O53" s="89">
        <f>SUM(O2:O3,O5:O8,O10:O12,O14:O16,O18:O20,O22:O24,O26:O28,O30:O32,O34:O36,O38:O40,O42:O44,O46:O48,O50:O52)</f>
        <v>0</v>
      </c>
      <c r="P53" s="87" t="str">
        <f t="shared" si="0"/>
        <v/>
      </c>
      <c r="Q53" s="85"/>
    </row>
    <row r="54" spans="12:17">
      <c r="L54" s="85"/>
      <c r="M54" s="96"/>
      <c r="N54" s="85"/>
      <c r="O54" s="85"/>
      <c r="P54" s="85"/>
      <c r="Q54" s="85"/>
    </row>
    <row r="55" spans="12:17">
      <c r="L55" s="85"/>
      <c r="M55" s="97"/>
      <c r="Q55" s="85"/>
    </row>
    <row r="56" spans="12:17">
      <c r="L56" s="85"/>
      <c r="M56" s="96"/>
      <c r="N56" s="85"/>
      <c r="O56" s="85"/>
      <c r="P56" s="85"/>
      <c r="Q56" s="85"/>
    </row>
    <row r="57" spans="12:17">
      <c r="L57" s="85"/>
      <c r="M57" s="97"/>
      <c r="Q57" s="85"/>
    </row>
    <row r="58" spans="12:17">
      <c r="L58" s="85"/>
      <c r="M58" s="96"/>
      <c r="N58" s="85"/>
      <c r="O58" s="85"/>
      <c r="P58" s="85"/>
      <c r="Q58" s="85"/>
    </row>
    <row r="59" spans="12:17">
      <c r="L59" s="85"/>
      <c r="M59" s="97"/>
      <c r="Q59" s="85"/>
    </row>
    <row r="60" spans="12:17">
      <c r="L60" s="85"/>
      <c r="M60" s="96"/>
      <c r="N60" s="85"/>
      <c r="O60" s="85"/>
      <c r="P60" s="85"/>
      <c r="Q60" s="85"/>
    </row>
    <row r="61" spans="12:17">
      <c r="L61" s="85"/>
      <c r="M61" s="97"/>
      <c r="Q61" s="85"/>
    </row>
    <row r="62" spans="12:17">
      <c r="L62" s="85"/>
      <c r="M62" s="96"/>
      <c r="N62" s="85"/>
      <c r="O62" s="85"/>
      <c r="P62" s="85"/>
      <c r="Q62" s="85"/>
    </row>
    <row r="63" spans="12:17">
      <c r="L63" s="85"/>
      <c r="M63" s="97"/>
      <c r="Q63" s="85"/>
    </row>
    <row r="64" spans="12:17">
      <c r="L64" s="85"/>
      <c r="M64" s="96"/>
      <c r="N64" s="85"/>
      <c r="O64" s="85"/>
      <c r="P64" s="85"/>
      <c r="Q64" s="85"/>
    </row>
    <row r="65" spans="12:17">
      <c r="L65" s="85"/>
      <c r="M65" s="97"/>
      <c r="Q65" s="85"/>
    </row>
    <row r="66" spans="12:17">
      <c r="L66" s="85"/>
      <c r="M66" s="96"/>
      <c r="N66" s="85"/>
      <c r="O66" s="85"/>
      <c r="P66" s="85"/>
      <c r="Q66" s="85"/>
    </row>
    <row r="67" spans="12:17">
      <c r="L67" s="85"/>
      <c r="M67" s="97"/>
      <c r="Q67" s="85"/>
    </row>
    <row r="68" spans="12:17">
      <c r="L68" s="85"/>
      <c r="M68" s="96"/>
      <c r="N68" s="85"/>
      <c r="O68" s="85"/>
      <c r="P68" s="85"/>
      <c r="Q68" s="85"/>
    </row>
    <row r="69" spans="12:17">
      <c r="L69" s="85"/>
      <c r="M69" s="97"/>
      <c r="Q69" s="85"/>
    </row>
    <row r="70" spans="12:17">
      <c r="L70" s="85"/>
      <c r="M70" s="96"/>
      <c r="N70" s="85"/>
      <c r="O70" s="85"/>
      <c r="P70" s="85"/>
      <c r="Q70" s="85"/>
    </row>
    <row r="71" spans="12:17">
      <c r="L71" s="85"/>
      <c r="M71" s="97"/>
      <c r="Q71" s="85"/>
    </row>
    <row r="72" spans="12:17">
      <c r="L72" s="85"/>
      <c r="M72" s="96"/>
      <c r="N72" s="85"/>
      <c r="O72" s="85"/>
      <c r="P72" s="85"/>
      <c r="Q72" s="85"/>
    </row>
    <row r="73" spans="12:17">
      <c r="L73" s="85"/>
      <c r="M73" s="96"/>
      <c r="N73" s="85"/>
      <c r="O73" s="85"/>
      <c r="P73" s="85"/>
      <c r="Q73" s="85"/>
    </row>
    <row r="74" spans="12:17">
      <c r="L74" s="85"/>
      <c r="M74" s="97"/>
      <c r="Q74" s="85"/>
    </row>
    <row r="75" spans="12:17">
      <c r="L75" s="85"/>
      <c r="M75" s="96"/>
      <c r="N75" s="85"/>
      <c r="O75" s="85"/>
      <c r="P75" s="85"/>
      <c r="Q75" s="85"/>
    </row>
    <row r="76" spans="12:17">
      <c r="L76" s="85"/>
      <c r="M76" s="97"/>
      <c r="Q76" s="85"/>
    </row>
    <row r="77" spans="12:17">
      <c r="L77" s="85"/>
      <c r="M77" s="96"/>
      <c r="N77" s="85"/>
      <c r="O77" s="85"/>
      <c r="P77" s="85"/>
      <c r="Q77" s="85"/>
    </row>
    <row r="78" spans="12:17">
      <c r="L78" s="85"/>
      <c r="M78" s="97"/>
      <c r="Q78" s="85"/>
    </row>
    <row r="79" spans="12:17">
      <c r="L79" s="85"/>
      <c r="M79" s="96"/>
      <c r="N79" s="85"/>
      <c r="O79" s="85"/>
      <c r="P79" s="85"/>
      <c r="Q79" s="85"/>
    </row>
    <row r="80" spans="12:17">
      <c r="L80" s="85"/>
      <c r="M80" s="97"/>
      <c r="Q80" s="85"/>
    </row>
    <row r="81" spans="12:17">
      <c r="L81" s="85"/>
      <c r="M81" s="96"/>
      <c r="N81" s="85"/>
      <c r="O81" s="85"/>
      <c r="P81" s="85"/>
      <c r="Q81" s="85"/>
    </row>
    <row r="82" spans="12:17">
      <c r="M82" s="96"/>
      <c r="N82" s="85"/>
      <c r="O82" s="85"/>
      <c r="P82" s="85"/>
    </row>
    <row r="83" spans="12:17">
      <c r="M83" s="97"/>
    </row>
  </sheetData>
  <phoneticPr fontId="30" type="noConversion"/>
  <pageMargins left="0.75" right="0.75" top="1" bottom="1" header="0.5" footer="0.5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U17"/>
  <sheetViews>
    <sheetView showGridLines="0" showOutlineSymbols="0" workbookViewId="0">
      <selection activeCell="C10" sqref="C10"/>
    </sheetView>
  </sheetViews>
  <sheetFormatPr defaultColWidth="11.6640625" defaultRowHeight="13.5"/>
  <cols>
    <col min="1" max="1" width="16.5546875" style="52" customWidth="1"/>
    <col min="2" max="2" width="24.88671875" style="52" customWidth="1"/>
    <col min="3" max="3" width="24.21875" style="52" customWidth="1"/>
    <col min="4" max="4" width="24.88671875" style="52" customWidth="1"/>
    <col min="5" max="5" width="10.88671875" style="52" customWidth="1"/>
    <col min="6" max="129" width="16.6640625" style="52" customWidth="1"/>
    <col min="130" max="252" width="8.6640625" style="52" customWidth="1"/>
    <col min="253" max="16384" width="11.6640625" style="52"/>
  </cols>
  <sheetData>
    <row r="1" spans="1:255" ht="9.9499999999999993" customHeight="1">
      <c r="A1" s="53" t="s">
        <v>130</v>
      </c>
      <c r="B1" s="54"/>
      <c r="C1" s="54"/>
      <c r="D1" s="55"/>
      <c r="E1" s="56"/>
    </row>
    <row r="2" spans="1:255" ht="35.1" customHeight="1">
      <c r="A2" s="98" t="s">
        <v>131</v>
      </c>
      <c r="B2" s="99"/>
      <c r="C2" s="99"/>
      <c r="D2" s="100"/>
      <c r="E2" s="57"/>
    </row>
    <row r="3" spans="1:255" ht="15.75">
      <c r="A3" s="58"/>
      <c r="B3" s="59"/>
      <c r="C3" s="58"/>
      <c r="D3" s="60"/>
    </row>
    <row r="4" spans="1:255" ht="15">
      <c r="A4" s="61" t="s">
        <v>132</v>
      </c>
      <c r="B4" s="61"/>
      <c r="C4" s="61"/>
      <c r="D4" s="62"/>
      <c r="E4" s="63"/>
      <c r="F4" s="63"/>
    </row>
    <row r="5" spans="1:255" ht="15">
      <c r="A5" s="101"/>
      <c r="B5" s="101"/>
      <c r="C5" s="101"/>
      <c r="D5" s="102"/>
      <c r="E5" s="57"/>
    </row>
    <row r="6" spans="1:255" ht="14.25" customHeight="1">
      <c r="A6" s="103" t="s">
        <v>133</v>
      </c>
      <c r="B6" s="103"/>
      <c r="C6" s="103"/>
      <c r="D6" s="104"/>
    </row>
    <row r="7" spans="1:255" ht="15.75">
      <c r="A7" s="64" t="s">
        <v>134</v>
      </c>
      <c r="B7" s="65"/>
      <c r="C7" s="66"/>
      <c r="D7" s="67"/>
    </row>
    <row r="8" spans="1:255" ht="21" customHeight="1">
      <c r="A8" s="68" t="s">
        <v>135</v>
      </c>
      <c r="B8" s="69" t="s">
        <v>136</v>
      </c>
      <c r="C8" s="68" t="s">
        <v>137</v>
      </c>
      <c r="D8" s="70" t="s">
        <v>138</v>
      </c>
    </row>
    <row r="9" spans="1:255" s="49" customFormat="1" ht="12.75">
      <c r="A9" s="71" t="s">
        <v>139</v>
      </c>
      <c r="B9" s="72" t="s">
        <v>140</v>
      </c>
      <c r="C9" s="68" t="s">
        <v>141</v>
      </c>
      <c r="D9" s="70" t="s">
        <v>142</v>
      </c>
      <c r="E9" s="73"/>
      <c r="F9" s="73"/>
    </row>
    <row r="10" spans="1:255" s="49" customFormat="1" ht="12.75">
      <c r="A10" s="71" t="s">
        <v>143</v>
      </c>
      <c r="B10" s="72" t="s">
        <v>144</v>
      </c>
      <c r="C10" s="68" t="s">
        <v>145</v>
      </c>
      <c r="D10" s="74">
        <v>16.8</v>
      </c>
      <c r="E10" s="73"/>
      <c r="F10" s="73"/>
    </row>
    <row r="11" spans="1:255" s="50" customFormat="1" ht="12.75">
      <c r="A11" s="68" t="s">
        <v>146</v>
      </c>
      <c r="B11" s="69" t="s">
        <v>147</v>
      </c>
      <c r="C11" s="68" t="s">
        <v>148</v>
      </c>
      <c r="D11" s="75" t="s">
        <v>149</v>
      </c>
      <c r="E11" s="76"/>
    </row>
    <row r="12" spans="1:255" s="50" customFormat="1" ht="12.75">
      <c r="A12" s="68" t="s">
        <v>150</v>
      </c>
      <c r="B12" s="69" t="s">
        <v>151</v>
      </c>
      <c r="C12" s="68" t="s">
        <v>152</v>
      </c>
      <c r="D12" s="75" t="s">
        <v>153</v>
      </c>
      <c r="E12" s="76"/>
    </row>
    <row r="13" spans="1:255" s="50" customFormat="1" ht="12.75">
      <c r="A13" s="68" t="s">
        <v>154</v>
      </c>
      <c r="B13" s="69" t="s">
        <v>155</v>
      </c>
      <c r="C13" s="68" t="s">
        <v>156</v>
      </c>
      <c r="D13" s="77" t="s">
        <v>157</v>
      </c>
      <c r="E13" s="76"/>
    </row>
    <row r="14" spans="1:255" s="50" customFormat="1" ht="12.75">
      <c r="A14" s="68" t="s">
        <v>158</v>
      </c>
      <c r="B14" s="72" t="s">
        <v>159</v>
      </c>
      <c r="C14" s="78" t="s">
        <v>160</v>
      </c>
      <c r="D14" s="79" t="s">
        <v>161</v>
      </c>
      <c r="E14" s="76"/>
    </row>
    <row r="15" spans="1:255" ht="9" customHeight="1">
      <c r="A15" s="80"/>
      <c r="B15" s="80"/>
      <c r="C15" s="76"/>
      <c r="D15" s="81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  <c r="AQ15" s="50"/>
      <c r="AR15" s="50"/>
      <c r="AS15" s="50"/>
      <c r="AT15" s="50"/>
      <c r="AU15" s="50"/>
      <c r="AV15" s="50"/>
      <c r="AW15" s="50"/>
      <c r="AX15" s="50"/>
      <c r="AY15" s="50"/>
      <c r="AZ15" s="50"/>
      <c r="BA15" s="50"/>
      <c r="BB15" s="50"/>
      <c r="BC15" s="50"/>
      <c r="BD15" s="50"/>
      <c r="BE15" s="50"/>
      <c r="BF15" s="50"/>
      <c r="BG15" s="50"/>
      <c r="BH15" s="50"/>
      <c r="BI15" s="50"/>
      <c r="BJ15" s="50"/>
      <c r="BK15" s="50"/>
      <c r="BL15" s="50"/>
      <c r="BM15" s="50"/>
      <c r="BN15" s="50"/>
      <c r="BO15" s="50"/>
      <c r="BP15" s="50"/>
      <c r="BQ15" s="50"/>
      <c r="BR15" s="50"/>
      <c r="BS15" s="50"/>
      <c r="BT15" s="50"/>
      <c r="BU15" s="50"/>
      <c r="BV15" s="50"/>
      <c r="BW15" s="50"/>
      <c r="BX15" s="50"/>
      <c r="BY15" s="50"/>
      <c r="BZ15" s="50"/>
      <c r="CA15" s="50"/>
      <c r="CB15" s="50"/>
      <c r="CC15" s="50"/>
      <c r="CD15" s="50"/>
      <c r="CE15" s="50"/>
      <c r="CF15" s="50"/>
      <c r="CG15" s="50"/>
      <c r="CH15" s="50"/>
      <c r="CI15" s="50"/>
      <c r="CJ15" s="50"/>
      <c r="CK15" s="50"/>
      <c r="CL15" s="50"/>
      <c r="CM15" s="50"/>
      <c r="CN15" s="50"/>
      <c r="CO15" s="50"/>
      <c r="CP15" s="50"/>
      <c r="CQ15" s="50"/>
      <c r="CR15" s="50"/>
      <c r="CS15" s="50"/>
      <c r="CT15" s="50"/>
      <c r="CU15" s="50"/>
      <c r="CV15" s="50"/>
      <c r="CW15" s="50"/>
      <c r="CX15" s="50"/>
      <c r="CY15" s="50"/>
      <c r="CZ15" s="50"/>
      <c r="DA15" s="50"/>
      <c r="DB15" s="50"/>
      <c r="DC15" s="50"/>
      <c r="DD15" s="50"/>
      <c r="DE15" s="50"/>
      <c r="DF15" s="50"/>
      <c r="DG15" s="50"/>
      <c r="DH15" s="50"/>
      <c r="DI15" s="50"/>
      <c r="DJ15" s="50"/>
      <c r="DK15" s="50"/>
      <c r="DL15" s="50"/>
      <c r="DM15" s="50"/>
      <c r="DN15" s="50"/>
      <c r="DO15" s="50"/>
      <c r="DP15" s="50"/>
      <c r="DQ15" s="50"/>
      <c r="DR15" s="50"/>
      <c r="DS15" s="50"/>
      <c r="DT15" s="50"/>
      <c r="DU15" s="50"/>
      <c r="DV15" s="50"/>
      <c r="DW15" s="50"/>
      <c r="DX15" s="50"/>
      <c r="DY15" s="50"/>
      <c r="DZ15" s="50"/>
      <c r="EA15" s="50"/>
      <c r="EB15" s="50"/>
      <c r="EC15" s="50"/>
      <c r="ED15" s="50"/>
      <c r="EE15" s="50"/>
      <c r="EF15" s="50"/>
      <c r="EG15" s="50"/>
      <c r="EH15" s="50"/>
      <c r="EI15" s="50"/>
      <c r="EJ15" s="50"/>
      <c r="EK15" s="50"/>
      <c r="EL15" s="50"/>
      <c r="EM15" s="50"/>
      <c r="EN15" s="50"/>
      <c r="EO15" s="50"/>
      <c r="EP15" s="50"/>
      <c r="EQ15" s="50"/>
      <c r="ER15" s="50"/>
      <c r="ES15" s="50"/>
      <c r="ET15" s="50"/>
      <c r="EU15" s="50"/>
      <c r="EV15" s="50"/>
      <c r="EW15" s="50"/>
      <c r="EX15" s="50"/>
      <c r="EY15" s="50"/>
      <c r="EZ15" s="50"/>
      <c r="FA15" s="50"/>
      <c r="FB15" s="50"/>
      <c r="FC15" s="50"/>
      <c r="FD15" s="50"/>
      <c r="FE15" s="50"/>
      <c r="FF15" s="50"/>
      <c r="FG15" s="50"/>
      <c r="FH15" s="50"/>
      <c r="FI15" s="50"/>
      <c r="FJ15" s="50"/>
      <c r="FK15" s="50"/>
      <c r="FL15" s="50"/>
      <c r="FM15" s="50"/>
      <c r="FN15" s="50"/>
      <c r="FO15" s="50"/>
      <c r="FP15" s="50"/>
      <c r="FQ15" s="50"/>
      <c r="FR15" s="50"/>
      <c r="FS15" s="50"/>
      <c r="FT15" s="50"/>
      <c r="FU15" s="50"/>
      <c r="FV15" s="50"/>
      <c r="FW15" s="50"/>
      <c r="FX15" s="50"/>
      <c r="FY15" s="50"/>
      <c r="FZ15" s="50"/>
      <c r="GA15" s="50"/>
      <c r="GB15" s="50"/>
      <c r="GC15" s="50"/>
      <c r="GD15" s="50"/>
      <c r="GE15" s="50"/>
      <c r="GF15" s="50"/>
      <c r="GG15" s="50"/>
      <c r="GH15" s="50"/>
      <c r="GI15" s="50"/>
      <c r="GJ15" s="50"/>
      <c r="GK15" s="50"/>
      <c r="GL15" s="50"/>
      <c r="GM15" s="50"/>
      <c r="GN15" s="50"/>
      <c r="GO15" s="50"/>
      <c r="GP15" s="50"/>
      <c r="GQ15" s="50"/>
      <c r="GR15" s="50"/>
      <c r="GS15" s="50"/>
      <c r="GT15" s="50"/>
      <c r="GU15" s="50"/>
      <c r="GV15" s="50"/>
      <c r="GW15" s="50"/>
      <c r="GX15" s="50"/>
      <c r="GY15" s="50"/>
      <c r="GZ15" s="50"/>
      <c r="HA15" s="50"/>
      <c r="HB15" s="50"/>
      <c r="HC15" s="50"/>
      <c r="HD15" s="50"/>
      <c r="HE15" s="50"/>
      <c r="HF15" s="50"/>
      <c r="HG15" s="50"/>
      <c r="HH15" s="50"/>
      <c r="HI15" s="50"/>
      <c r="HJ15" s="50"/>
      <c r="HK15" s="50"/>
      <c r="HL15" s="50"/>
      <c r="HM15" s="50"/>
      <c r="HN15" s="50"/>
      <c r="HO15" s="50"/>
      <c r="HP15" s="50"/>
      <c r="HQ15" s="50"/>
      <c r="HR15" s="50"/>
      <c r="HS15" s="50"/>
      <c r="HT15" s="50"/>
      <c r="HU15" s="50"/>
      <c r="HV15" s="50"/>
      <c r="HW15" s="50"/>
      <c r="HX15" s="50"/>
      <c r="HY15" s="50"/>
      <c r="HZ15" s="50"/>
      <c r="IA15" s="50"/>
      <c r="IB15" s="50"/>
      <c r="IC15" s="50"/>
      <c r="ID15" s="50"/>
      <c r="IE15" s="50"/>
      <c r="IF15" s="50"/>
      <c r="IG15" s="50"/>
      <c r="IH15" s="50"/>
      <c r="II15" s="50"/>
      <c r="IJ15" s="50"/>
      <c r="IK15" s="50"/>
      <c r="IL15" s="50"/>
      <c r="IM15" s="50"/>
      <c r="IN15" s="50"/>
      <c r="IO15" s="50"/>
      <c r="IP15" s="50"/>
      <c r="IQ15" s="50"/>
      <c r="IR15" s="50"/>
      <c r="IS15" s="50"/>
      <c r="IT15" s="50"/>
      <c r="IU15" s="50"/>
    </row>
    <row r="16" spans="1:255" s="51" customFormat="1" ht="12.75">
      <c r="A16" s="105" t="s">
        <v>162</v>
      </c>
      <c r="B16" s="105"/>
      <c r="C16" s="105"/>
      <c r="D16" s="106"/>
      <c r="E16" s="82"/>
    </row>
    <row r="17" spans="1:255" ht="139.5" customHeight="1">
      <c r="A17" s="107" t="s">
        <v>163</v>
      </c>
      <c r="B17" s="108"/>
      <c r="C17" s="108"/>
      <c r="D17" s="108"/>
      <c r="E17" s="76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0"/>
      <c r="CA17" s="50"/>
      <c r="CB17" s="50"/>
      <c r="CC17" s="50"/>
      <c r="CD17" s="50"/>
      <c r="CE17" s="50"/>
      <c r="CF17" s="50"/>
      <c r="CG17" s="50"/>
      <c r="CH17" s="50"/>
      <c r="CI17" s="50"/>
      <c r="CJ17" s="50"/>
      <c r="CK17" s="50"/>
      <c r="CL17" s="50"/>
      <c r="CM17" s="50"/>
      <c r="CN17" s="50"/>
      <c r="CO17" s="50"/>
      <c r="CP17" s="50"/>
      <c r="CQ17" s="50"/>
      <c r="CR17" s="50"/>
      <c r="CS17" s="50"/>
      <c r="CT17" s="50"/>
      <c r="CU17" s="50"/>
      <c r="CV17" s="50"/>
      <c r="CW17" s="50"/>
      <c r="CX17" s="50"/>
      <c r="CY17" s="50"/>
      <c r="CZ17" s="50"/>
      <c r="DA17" s="50"/>
      <c r="DB17" s="50"/>
      <c r="DC17" s="50"/>
      <c r="DD17" s="50"/>
      <c r="DE17" s="50"/>
      <c r="DF17" s="50"/>
      <c r="DG17" s="50"/>
      <c r="DH17" s="50"/>
      <c r="DI17" s="50"/>
      <c r="DJ17" s="50"/>
      <c r="DK17" s="50"/>
      <c r="DL17" s="50"/>
      <c r="DM17" s="50"/>
      <c r="DN17" s="50"/>
      <c r="DO17" s="50"/>
      <c r="DP17" s="50"/>
      <c r="DQ17" s="50"/>
      <c r="DR17" s="50"/>
      <c r="DS17" s="50"/>
      <c r="DT17" s="50"/>
      <c r="DU17" s="50"/>
      <c r="DV17" s="50"/>
      <c r="DW17" s="50"/>
      <c r="DX17" s="50"/>
      <c r="DY17" s="50"/>
      <c r="DZ17" s="50"/>
      <c r="EA17" s="50"/>
      <c r="EB17" s="50"/>
      <c r="EC17" s="50"/>
      <c r="ED17" s="50"/>
      <c r="EE17" s="50"/>
      <c r="EF17" s="50"/>
      <c r="EG17" s="50"/>
      <c r="EH17" s="50"/>
      <c r="EI17" s="50"/>
      <c r="EJ17" s="50"/>
      <c r="EK17" s="50"/>
      <c r="EL17" s="50"/>
      <c r="EM17" s="50"/>
      <c r="EN17" s="50"/>
      <c r="EO17" s="50"/>
      <c r="EP17" s="50"/>
      <c r="EQ17" s="50"/>
      <c r="ER17" s="50"/>
      <c r="ES17" s="50"/>
      <c r="ET17" s="50"/>
      <c r="EU17" s="50"/>
      <c r="EV17" s="50"/>
      <c r="EW17" s="50"/>
      <c r="EX17" s="50"/>
      <c r="EY17" s="50"/>
      <c r="EZ17" s="50"/>
      <c r="FA17" s="50"/>
      <c r="FB17" s="50"/>
      <c r="FC17" s="50"/>
      <c r="FD17" s="50"/>
      <c r="FE17" s="50"/>
      <c r="FF17" s="50"/>
      <c r="FG17" s="50"/>
      <c r="FH17" s="50"/>
      <c r="FI17" s="50"/>
      <c r="FJ17" s="50"/>
      <c r="FK17" s="50"/>
      <c r="FL17" s="50"/>
      <c r="FM17" s="50"/>
      <c r="FN17" s="50"/>
      <c r="FO17" s="50"/>
      <c r="FP17" s="50"/>
      <c r="FQ17" s="50"/>
      <c r="FR17" s="50"/>
      <c r="FS17" s="50"/>
      <c r="FT17" s="50"/>
      <c r="FU17" s="50"/>
      <c r="FV17" s="50"/>
      <c r="FW17" s="50"/>
      <c r="FX17" s="50"/>
      <c r="FY17" s="50"/>
      <c r="FZ17" s="50"/>
      <c r="GA17" s="50"/>
      <c r="GB17" s="50"/>
      <c r="GC17" s="50"/>
      <c r="GD17" s="50"/>
      <c r="GE17" s="50"/>
      <c r="GF17" s="50"/>
      <c r="GG17" s="50"/>
      <c r="GH17" s="50"/>
      <c r="GI17" s="50"/>
      <c r="GJ17" s="50"/>
      <c r="GK17" s="50"/>
      <c r="GL17" s="50"/>
      <c r="GM17" s="50"/>
      <c r="GN17" s="50"/>
      <c r="GO17" s="50"/>
      <c r="GP17" s="50"/>
      <c r="GQ17" s="50"/>
      <c r="GR17" s="50"/>
      <c r="GS17" s="50"/>
      <c r="GT17" s="50"/>
      <c r="GU17" s="50"/>
      <c r="GV17" s="50"/>
      <c r="GW17" s="50"/>
      <c r="GX17" s="50"/>
      <c r="GY17" s="50"/>
      <c r="GZ17" s="50"/>
      <c r="HA17" s="50"/>
      <c r="HB17" s="50"/>
      <c r="HC17" s="50"/>
      <c r="HD17" s="50"/>
      <c r="HE17" s="50"/>
      <c r="HF17" s="50"/>
      <c r="HG17" s="50"/>
      <c r="HH17" s="50"/>
      <c r="HI17" s="50"/>
      <c r="HJ17" s="50"/>
      <c r="HK17" s="50"/>
      <c r="HL17" s="50"/>
      <c r="HM17" s="50"/>
      <c r="HN17" s="50"/>
      <c r="HO17" s="50"/>
      <c r="HP17" s="50"/>
      <c r="HQ17" s="50"/>
      <c r="HR17" s="50"/>
      <c r="HS17" s="50"/>
      <c r="HT17" s="50"/>
      <c r="HU17" s="50"/>
      <c r="HV17" s="50"/>
      <c r="HW17" s="50"/>
      <c r="HX17" s="50"/>
      <c r="HY17" s="50"/>
      <c r="HZ17" s="50"/>
      <c r="IA17" s="50"/>
      <c r="IB17" s="50"/>
      <c r="IC17" s="50"/>
      <c r="ID17" s="50"/>
      <c r="IE17" s="50"/>
      <c r="IF17" s="50"/>
      <c r="IG17" s="50"/>
      <c r="IH17" s="50"/>
      <c r="II17" s="50"/>
      <c r="IJ17" s="50"/>
      <c r="IK17" s="50"/>
      <c r="IL17" s="50"/>
      <c r="IM17" s="50"/>
      <c r="IN17" s="50"/>
      <c r="IO17" s="50"/>
      <c r="IP17" s="50"/>
      <c r="IQ17" s="50"/>
      <c r="IR17" s="50"/>
      <c r="IS17" s="50"/>
      <c r="IT17" s="50"/>
      <c r="IU17" s="50"/>
    </row>
  </sheetData>
  <sheetProtection formatCells="0" formatColumns="0" formatRows="0" pivotTables="0"/>
  <mergeCells count="5">
    <mergeCell ref="A2:D2"/>
    <mergeCell ref="A5:D5"/>
    <mergeCell ref="A6:D6"/>
    <mergeCell ref="A16:D16"/>
    <mergeCell ref="A17:D17"/>
  </mergeCells>
  <phoneticPr fontId="30" type="noConversion"/>
  <dataValidations count="4">
    <dataValidation type="list" allowBlank="1" showInputMessage="1" showErrorMessage="1" sqref="D8">
      <formula1>"任务型,微型,普通型,大型"</formula1>
    </dataValidation>
    <dataValidation type="list" allowBlank="1" showInputMessage="1" showErrorMessage="1" sqref="B9">
      <formula1>"信息化,实训,资源"</formula1>
    </dataValidation>
    <dataValidation type="list" allowBlank="1" showInputMessage="1" showErrorMessage="1" sqref="D9">
      <formula1>"全新项目,升级项目"</formula1>
    </dataValidation>
    <dataValidation type="list" allowBlank="1" showInputMessage="1" showErrorMessage="1" sqref="B10">
      <formula1>"合同型,推广型,演示型,大赛型"</formula1>
    </dataValidation>
  </dataValidations>
  <pageMargins left="0.5" right="0.5" top="0.5" bottom="0.5" header="0" footer="0"/>
  <pageSetup paperSize="9" orientation="landscape"/>
  <headerFooter alignWithMargins="0">
    <oddHeader>&amp;L&amp;G&amp;CQAM05F01-METRICS SHEET FOR DEVELOPMENT PROJECT&amp;R华为机密，未经许可不得扩散</oddHeader>
    <oddFooter>&amp;L&amp;D&amp;C华为机密，未经许可不得扩散&amp;R第&amp;P页，共&amp;N页</oddFooter>
  </headerFooter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/>
  </sheetPr>
  <dimension ref="A1:F58"/>
  <sheetViews>
    <sheetView showGridLines="0" tabSelected="1" topLeftCell="A34" zoomScale="85" zoomScaleNormal="85" workbookViewId="0">
      <selection activeCell="H62" sqref="H62"/>
    </sheetView>
  </sheetViews>
  <sheetFormatPr defaultColWidth="11.6640625" defaultRowHeight="12.75" outlineLevelRow="1"/>
  <cols>
    <col min="1" max="1" width="22.109375" style="34" customWidth="1"/>
    <col min="2" max="2" width="14.77734375" style="35" customWidth="1"/>
    <col min="3" max="3" width="13.6640625" style="35" customWidth="1"/>
    <col min="4" max="4" width="14.5546875" style="35" customWidth="1"/>
    <col min="5" max="5" width="14.33203125" style="34" customWidth="1"/>
    <col min="6" max="6" width="16.6640625" style="34" customWidth="1"/>
    <col min="7" max="16384" width="11.6640625" style="34"/>
  </cols>
  <sheetData>
    <row r="1" spans="1:6" ht="22.5">
      <c r="A1" s="109" t="s">
        <v>164</v>
      </c>
      <c r="B1" s="109"/>
      <c r="C1" s="109"/>
      <c r="D1" s="109"/>
      <c r="E1" s="109"/>
      <c r="F1" s="109"/>
    </row>
    <row r="2" spans="1:6">
      <c r="A2" s="8" t="s">
        <v>165</v>
      </c>
      <c r="B2" s="8" t="s">
        <v>166</v>
      </c>
      <c r="C2" s="36">
        <v>42522</v>
      </c>
      <c r="D2" s="36">
        <v>42541</v>
      </c>
      <c r="E2" s="8" t="s">
        <v>167</v>
      </c>
      <c r="F2" s="37" t="s">
        <v>168</v>
      </c>
    </row>
    <row r="3" spans="1:6">
      <c r="A3" s="38"/>
      <c r="B3" s="39"/>
      <c r="C3" s="39"/>
      <c r="D3" s="39"/>
      <c r="E3" s="38"/>
      <c r="F3" s="38"/>
    </row>
    <row r="4" spans="1:6" ht="15" customHeight="1">
      <c r="A4" s="111" t="s">
        <v>169</v>
      </c>
      <c r="B4" s="110"/>
      <c r="C4" s="110"/>
      <c r="D4" s="110"/>
      <c r="E4" s="110"/>
      <c r="F4" s="112" t="s">
        <v>170</v>
      </c>
    </row>
    <row r="5" spans="1:6" ht="15" customHeight="1">
      <c r="A5" s="111"/>
      <c r="B5" s="40" t="s">
        <v>171</v>
      </c>
      <c r="C5" s="40" t="s">
        <v>172</v>
      </c>
      <c r="D5" s="40" t="s">
        <v>172</v>
      </c>
      <c r="E5" s="13" t="s">
        <v>173</v>
      </c>
      <c r="F5" s="112"/>
    </row>
    <row r="6" spans="1:6">
      <c r="A6" s="41" t="s">
        <v>174</v>
      </c>
      <c r="B6" s="26">
        <f>IF(SUM(B7:B11)=0,"",SUM(B7:B11))</f>
        <v>139</v>
      </c>
      <c r="C6" s="26">
        <f>IF(SUM(C7:C11)=0,"",SUM(C7:C11))</f>
        <v>139</v>
      </c>
      <c r="D6" s="26">
        <f>IF(SUM(D7:D11)=0,"",SUM(D7:D11))</f>
        <v>139</v>
      </c>
      <c r="E6" s="26">
        <f>IF(SUM(E7:E11)=0,"",SUM(E7:E11))</f>
        <v>139</v>
      </c>
      <c r="F6" s="42"/>
    </row>
    <row r="7" spans="1:6" outlineLevel="1">
      <c r="A7" s="43" t="s">
        <v>175</v>
      </c>
      <c r="B7" s="44">
        <v>39</v>
      </c>
      <c r="C7" s="44">
        <v>39</v>
      </c>
      <c r="D7" s="44">
        <v>39</v>
      </c>
      <c r="E7" s="26">
        <f>IF(B7="","",AVERAGE(B7:D7))</f>
        <v>39</v>
      </c>
      <c r="F7" s="42"/>
    </row>
    <row r="8" spans="1:6" outlineLevel="1">
      <c r="A8" s="43" t="s">
        <v>176</v>
      </c>
      <c r="B8" s="44">
        <v>60</v>
      </c>
      <c r="C8" s="44">
        <v>60</v>
      </c>
      <c r="D8" s="44">
        <v>60</v>
      </c>
      <c r="E8" s="26">
        <f>IF(B8="","",AVERAGE(B8:D8))</f>
        <v>60</v>
      </c>
      <c r="F8" s="42"/>
    </row>
    <row r="9" spans="1:6" outlineLevel="1">
      <c r="A9" s="43" t="s">
        <v>177</v>
      </c>
      <c r="B9" s="44">
        <v>35</v>
      </c>
      <c r="C9" s="44">
        <v>35</v>
      </c>
      <c r="D9" s="44">
        <v>35</v>
      </c>
      <c r="E9" s="26">
        <f t="shared" ref="E9:E11" si="0">IF(B9="","",AVERAGE(B9:D9))</f>
        <v>35</v>
      </c>
      <c r="F9" s="42"/>
    </row>
    <row r="10" spans="1:6" outlineLevel="1">
      <c r="A10" s="43" t="s">
        <v>178</v>
      </c>
      <c r="B10" s="44">
        <v>0</v>
      </c>
      <c r="C10" s="44">
        <v>0</v>
      </c>
      <c r="D10" s="44">
        <v>0</v>
      </c>
      <c r="E10" s="26">
        <f t="shared" si="0"/>
        <v>0</v>
      </c>
      <c r="F10" s="42"/>
    </row>
    <row r="11" spans="1:6" outlineLevel="1">
      <c r="A11" s="43" t="s">
        <v>179</v>
      </c>
      <c r="B11" s="44">
        <v>5</v>
      </c>
      <c r="C11" s="44">
        <v>5</v>
      </c>
      <c r="D11" s="44">
        <v>5</v>
      </c>
      <c r="E11" s="26">
        <f t="shared" si="0"/>
        <v>5</v>
      </c>
      <c r="F11" s="42"/>
    </row>
    <row r="12" spans="1:6">
      <c r="A12" s="41" t="s">
        <v>180</v>
      </c>
      <c r="B12" s="26">
        <f>IF(SUM(B13,B17,B21:B22)=0,"",SUM(B13,B17,B21:B22))</f>
        <v>103.97199999999999</v>
      </c>
      <c r="C12" s="26">
        <f>IF(SUM(C13,C17,C21:C22)=0,"",SUM(C13,C17,C21:C22))</f>
        <v>103.45199999999998</v>
      </c>
      <c r="D12" s="26">
        <f t="shared" ref="D12:E12" si="1">IF(SUM(D13,D17,D21:D22)=0,"",SUM(D13,D17,D21:D22))</f>
        <v>105.45199999999998</v>
      </c>
      <c r="E12" s="26">
        <f t="shared" si="1"/>
        <v>104.29199999999999</v>
      </c>
      <c r="F12" s="42"/>
    </row>
    <row r="13" spans="1:6" outlineLevel="1">
      <c r="A13" s="41" t="s">
        <v>181</v>
      </c>
      <c r="B13" s="26">
        <f>IF(SUM(B14:B16)=0,"",SUM(B14:B16))</f>
        <v>89.971999999999994</v>
      </c>
      <c r="C13" s="26">
        <f t="shared" ref="C13:E13" si="2">IF(SUM(C14:C16)=0,"",SUM(C14:C16))</f>
        <v>89.451999999999984</v>
      </c>
      <c r="D13" s="26">
        <f t="shared" si="2"/>
        <v>92.451999999999984</v>
      </c>
      <c r="E13" s="26">
        <f t="shared" si="2"/>
        <v>90.62533333333333</v>
      </c>
      <c r="F13" s="42"/>
    </row>
    <row r="14" spans="1:6" outlineLevel="1">
      <c r="A14" s="43" t="s">
        <v>182</v>
      </c>
      <c r="B14" s="26">
        <f>IF('预估表单-黄琪'!K5=0,"",'预估表单-黄琪'!K5)</f>
        <v>67.971999999999994</v>
      </c>
      <c r="C14" s="26">
        <f>IF('预估表单-刘燕燕'!K5=0,"",'预估表单-刘燕燕'!K5)</f>
        <v>71.451999999999984</v>
      </c>
      <c r="D14" s="26">
        <f>IF('预估表单-房雷'!K5=0,"",'预估表单-房雷'!K5)</f>
        <v>71.451999999999984</v>
      </c>
      <c r="E14" s="26">
        <f t="shared" ref="E14:E16" si="3">IF(B14="","",AVERAGE(B14:D14))</f>
        <v>70.291999999999987</v>
      </c>
      <c r="F14" s="42"/>
    </row>
    <row r="15" spans="1:6" outlineLevel="1">
      <c r="A15" s="43" t="s">
        <v>183</v>
      </c>
      <c r="B15" s="44">
        <v>16</v>
      </c>
      <c r="C15" s="44">
        <v>13</v>
      </c>
      <c r="D15" s="44">
        <v>15</v>
      </c>
      <c r="E15" s="26">
        <f t="shared" si="3"/>
        <v>14.666666666666666</v>
      </c>
      <c r="F15" s="42"/>
    </row>
    <row r="16" spans="1:6" outlineLevel="1">
      <c r="A16" s="43" t="s">
        <v>184</v>
      </c>
      <c r="B16" s="44">
        <v>6</v>
      </c>
      <c r="C16" s="44">
        <v>5</v>
      </c>
      <c r="D16" s="44">
        <v>6</v>
      </c>
      <c r="E16" s="26">
        <f t="shared" si="3"/>
        <v>5.666666666666667</v>
      </c>
      <c r="F16" s="42"/>
    </row>
    <row r="17" spans="1:6" outlineLevel="1">
      <c r="A17" s="41" t="s">
        <v>185</v>
      </c>
      <c r="B17" s="26">
        <f>IF(SUM(B18:B20)=0,"",SUM(B18:B20))</f>
        <v>10</v>
      </c>
      <c r="C17" s="26">
        <f>IF(SUM(C18:C20)=0,"",SUM(C18:C20))</f>
        <v>11</v>
      </c>
      <c r="D17" s="26">
        <f>IF(SUM(D18:D20)=0,"",SUM(D18:D20))</f>
        <v>10</v>
      </c>
      <c r="E17" s="26">
        <f>IF(SUM(E18:E20)=0,"",SUM(E18:E20))</f>
        <v>10.333333333333332</v>
      </c>
      <c r="F17" s="42"/>
    </row>
    <row r="18" spans="1:6" outlineLevel="1">
      <c r="A18" s="43" t="s">
        <v>182</v>
      </c>
      <c r="B18" s="44">
        <v>6</v>
      </c>
      <c r="C18" s="44">
        <v>8</v>
      </c>
      <c r="D18" s="44">
        <v>8</v>
      </c>
      <c r="E18" s="26">
        <f t="shared" ref="E18:E22" si="4">IF(B18="","",AVERAGE(B18:D18))</f>
        <v>7.333333333333333</v>
      </c>
      <c r="F18" s="42"/>
    </row>
    <row r="19" spans="1:6" outlineLevel="1">
      <c r="A19" s="43" t="s">
        <v>183</v>
      </c>
      <c r="B19" s="44">
        <v>2</v>
      </c>
      <c r="C19" s="44">
        <v>1.5</v>
      </c>
      <c r="D19" s="44">
        <v>1</v>
      </c>
      <c r="E19" s="26">
        <f t="shared" si="4"/>
        <v>1.5</v>
      </c>
      <c r="F19" s="42"/>
    </row>
    <row r="20" spans="1:6" outlineLevel="1">
      <c r="A20" s="43" t="s">
        <v>184</v>
      </c>
      <c r="B20" s="44">
        <v>2</v>
      </c>
      <c r="C20" s="44">
        <v>1.5</v>
      </c>
      <c r="D20" s="44">
        <v>1</v>
      </c>
      <c r="E20" s="26">
        <f t="shared" si="4"/>
        <v>1.5</v>
      </c>
      <c r="F20" s="42"/>
    </row>
    <row r="21" spans="1:6" outlineLevel="1">
      <c r="A21" s="41" t="s">
        <v>186</v>
      </c>
      <c r="B21" s="44">
        <v>2</v>
      </c>
      <c r="C21" s="44">
        <v>2</v>
      </c>
      <c r="D21" s="44">
        <v>2</v>
      </c>
      <c r="E21" s="26">
        <f t="shared" si="4"/>
        <v>2</v>
      </c>
      <c r="F21" s="42"/>
    </row>
    <row r="22" spans="1:6" outlineLevel="1">
      <c r="A22" s="41" t="s">
        <v>179</v>
      </c>
      <c r="B22" s="44">
        <v>2</v>
      </c>
      <c r="C22" s="44">
        <v>1</v>
      </c>
      <c r="D22" s="44">
        <v>1</v>
      </c>
      <c r="E22" s="26">
        <f t="shared" si="4"/>
        <v>1.3333333333333333</v>
      </c>
      <c r="F22" s="42"/>
    </row>
    <row r="23" spans="1:6">
      <c r="A23" s="41" t="s">
        <v>187</v>
      </c>
      <c r="B23" s="26">
        <f>IF(SUM(B24:B28)=0,"",SUM(B24:B28))</f>
        <v>230.624</v>
      </c>
      <c r="C23" s="26">
        <f>IF(SUM(C24:C28)=0,"",SUM(C24:C28))</f>
        <v>228.624</v>
      </c>
      <c r="D23" s="26">
        <f>IF(SUM(D24:D28)=0,"",SUM(D24:D28))</f>
        <v>230.624</v>
      </c>
      <c r="E23" s="26">
        <f>IF(SUM(E24:E28)=0,"",SUM(E24:E28))</f>
        <v>229.95733333333334</v>
      </c>
      <c r="F23" s="42"/>
    </row>
    <row r="24" spans="1:6" outlineLevel="1">
      <c r="A24" s="43" t="s">
        <v>188</v>
      </c>
      <c r="B24" s="26">
        <f>IF('预估表单-黄琪'!K$6=0,"",'预估表单-黄琪'!K$6)</f>
        <v>194.624</v>
      </c>
      <c r="C24" s="26">
        <f>IF('预估表单-刘燕燕'!K$6=0,"",'预估表单-刘燕燕'!K$6)</f>
        <v>194.624</v>
      </c>
      <c r="D24" s="26">
        <f>IF('预估表单-房雷'!K$6=0,"",'预估表单-刘燕燕'!K$6)</f>
        <v>194.624</v>
      </c>
      <c r="E24" s="26">
        <f t="shared" ref="E24:E28" si="5">IF(B24="","",AVERAGE(B24:D24))</f>
        <v>194.624</v>
      </c>
      <c r="F24" s="42"/>
    </row>
    <row r="25" spans="1:6" outlineLevel="1">
      <c r="A25" s="43" t="s">
        <v>189</v>
      </c>
      <c r="B25" s="44">
        <v>20</v>
      </c>
      <c r="C25" s="44">
        <v>18</v>
      </c>
      <c r="D25" s="44">
        <v>19</v>
      </c>
      <c r="E25" s="26">
        <f t="shared" si="5"/>
        <v>19</v>
      </c>
      <c r="F25" s="42"/>
    </row>
    <row r="26" spans="1:6" outlineLevel="1">
      <c r="A26" s="43" t="s">
        <v>190</v>
      </c>
      <c r="B26" s="44">
        <v>10</v>
      </c>
      <c r="C26" s="44">
        <v>11</v>
      </c>
      <c r="D26" s="44">
        <v>12</v>
      </c>
      <c r="E26" s="26">
        <f t="shared" si="5"/>
        <v>11</v>
      </c>
      <c r="F26" s="42"/>
    </row>
    <row r="27" spans="1:6" outlineLevel="1">
      <c r="A27" s="43" t="s">
        <v>186</v>
      </c>
      <c r="B27" s="44">
        <v>4</v>
      </c>
      <c r="C27" s="44">
        <v>3</v>
      </c>
      <c r="D27" s="44">
        <v>3</v>
      </c>
      <c r="E27" s="26">
        <f t="shared" si="5"/>
        <v>3.3333333333333335</v>
      </c>
      <c r="F27" s="42"/>
    </row>
    <row r="28" spans="1:6" outlineLevel="1">
      <c r="A28" s="43" t="s">
        <v>179</v>
      </c>
      <c r="B28" s="44">
        <v>2</v>
      </c>
      <c r="C28" s="44">
        <v>2</v>
      </c>
      <c r="D28" s="44">
        <v>2</v>
      </c>
      <c r="E28" s="26">
        <f t="shared" si="5"/>
        <v>2</v>
      </c>
      <c r="F28" s="42"/>
    </row>
    <row r="29" spans="1:6">
      <c r="A29" s="41" t="s">
        <v>191</v>
      </c>
      <c r="B29" s="26">
        <f>IF(SUM(B30:B32)=0,"",SUM(B30:B32))</f>
        <v>10</v>
      </c>
      <c r="C29" s="26">
        <f t="shared" ref="C29:E29" si="6">IF(SUM(C30:C32)=0,"",SUM(C30:C32))</f>
        <v>10</v>
      </c>
      <c r="D29" s="26">
        <f t="shared" si="6"/>
        <v>12</v>
      </c>
      <c r="E29" s="26">
        <f t="shared" si="6"/>
        <v>10.666666666666666</v>
      </c>
      <c r="F29" s="42"/>
    </row>
    <row r="30" spans="1:6" outlineLevel="1">
      <c r="A30" s="43" t="s">
        <v>192</v>
      </c>
      <c r="B30" s="44">
        <v>6</v>
      </c>
      <c r="C30" s="44">
        <v>5</v>
      </c>
      <c r="D30" s="44">
        <v>7</v>
      </c>
      <c r="E30" s="26">
        <f>IF(AVERAGE(B30:D30)=0,"",AVERAGE(B30:D30))</f>
        <v>6</v>
      </c>
      <c r="F30" s="42"/>
    </row>
    <row r="31" spans="1:6" outlineLevel="1">
      <c r="A31" s="43" t="s">
        <v>186</v>
      </c>
      <c r="B31" s="44">
        <v>2</v>
      </c>
      <c r="C31" s="44">
        <v>3</v>
      </c>
      <c r="D31" s="44">
        <v>3</v>
      </c>
      <c r="E31" s="26">
        <f t="shared" ref="E31:E32" si="7">IF(B31="","",AVERAGE(B31:D31))</f>
        <v>2.6666666666666665</v>
      </c>
      <c r="F31" s="42"/>
    </row>
    <row r="32" spans="1:6" outlineLevel="1">
      <c r="A32" s="43" t="s">
        <v>179</v>
      </c>
      <c r="B32" s="44">
        <v>2</v>
      </c>
      <c r="C32" s="44">
        <v>2</v>
      </c>
      <c r="D32" s="44">
        <v>2</v>
      </c>
      <c r="E32" s="26">
        <f t="shared" si="7"/>
        <v>2</v>
      </c>
      <c r="F32" s="42"/>
    </row>
    <row r="33" spans="1:6">
      <c r="A33" s="41" t="s">
        <v>81</v>
      </c>
      <c r="B33" s="26">
        <f>IF(SUM(B34:B40)=0,"",SUM(B34:B40))</f>
        <v>686.71399999999994</v>
      </c>
      <c r="C33" s="26">
        <f>IF(SUM(C34:C40)=0,"",SUM(C34:C40))</f>
        <v>690.71399999999994</v>
      </c>
      <c r="D33" s="26">
        <f>IF(SUM(D34:D40)=0,"",SUM(D34:D40))</f>
        <v>692.71399999999994</v>
      </c>
      <c r="E33" s="26">
        <f>IF(SUM(E34:E40)=0,"",SUM(E34:E40))</f>
        <v>690.04733333333331</v>
      </c>
      <c r="F33" s="42"/>
    </row>
    <row r="34" spans="1:6" outlineLevel="1">
      <c r="A34" s="43" t="s">
        <v>193</v>
      </c>
      <c r="B34" s="44">
        <v>6</v>
      </c>
      <c r="C34" s="44">
        <v>7</v>
      </c>
      <c r="D34" s="44">
        <v>6</v>
      </c>
      <c r="E34" s="26">
        <f t="shared" ref="E34:E35" si="8">IF(B34="","",AVERAGE(B34:D34))</f>
        <v>6.333333333333333</v>
      </c>
      <c r="F34" s="42"/>
    </row>
    <row r="35" spans="1:6" outlineLevel="1">
      <c r="A35" s="45" t="s">
        <v>194</v>
      </c>
      <c r="B35" s="44">
        <v>64</v>
      </c>
      <c r="C35" s="44">
        <v>65</v>
      </c>
      <c r="D35" s="44">
        <v>66</v>
      </c>
      <c r="E35" s="26">
        <f t="shared" si="8"/>
        <v>65</v>
      </c>
      <c r="F35" s="42"/>
    </row>
    <row r="36" spans="1:6" outlineLevel="1">
      <c r="A36" s="43" t="s">
        <v>195</v>
      </c>
      <c r="B36" s="26">
        <f>IF('预估表单-黄琪'!K$7=0,"",'预估表单-黄琪'!K$7)</f>
        <v>556.71399999999994</v>
      </c>
      <c r="C36" s="26">
        <f>IF('预估表单-刘燕燕'!K$7=0,"",'预估表单-刘燕燕'!K$7)</f>
        <v>556.71399999999994</v>
      </c>
      <c r="D36" s="26">
        <f>IF('预估表单-房雷'!K$7=0,"",'预估表单-刘燕燕'!K$7)</f>
        <v>556.71399999999994</v>
      </c>
      <c r="E36" s="26">
        <f t="shared" ref="E36:E40" si="9">IF(B36="","",AVERAGE(B36:D36))</f>
        <v>556.71399999999994</v>
      </c>
      <c r="F36" s="42"/>
    </row>
    <row r="37" spans="1:6" outlineLevel="1">
      <c r="A37" s="43" t="s">
        <v>196</v>
      </c>
      <c r="B37" s="44">
        <v>20</v>
      </c>
      <c r="C37" s="44">
        <v>24</v>
      </c>
      <c r="D37" s="44">
        <v>26</v>
      </c>
      <c r="E37" s="26">
        <f t="shared" si="9"/>
        <v>23.333333333333332</v>
      </c>
      <c r="F37" s="42"/>
    </row>
    <row r="38" spans="1:6" outlineLevel="1">
      <c r="A38" s="43" t="s">
        <v>197</v>
      </c>
      <c r="B38" s="44">
        <v>32</v>
      </c>
      <c r="C38" s="44">
        <v>30</v>
      </c>
      <c r="D38" s="44">
        <v>30</v>
      </c>
      <c r="E38" s="26">
        <f t="shared" si="9"/>
        <v>30.666666666666668</v>
      </c>
      <c r="F38" s="42"/>
    </row>
    <row r="39" spans="1:6" outlineLevel="1">
      <c r="A39" s="43" t="s">
        <v>186</v>
      </c>
      <c r="B39" s="44">
        <v>4</v>
      </c>
      <c r="C39" s="44">
        <v>4</v>
      </c>
      <c r="D39" s="44">
        <v>4</v>
      </c>
      <c r="E39" s="26">
        <f t="shared" si="9"/>
        <v>4</v>
      </c>
      <c r="F39" s="42"/>
    </row>
    <row r="40" spans="1:6" outlineLevel="1">
      <c r="A40" s="43" t="s">
        <v>179</v>
      </c>
      <c r="B40" s="44">
        <v>4</v>
      </c>
      <c r="C40" s="44">
        <v>4</v>
      </c>
      <c r="D40" s="44">
        <v>4</v>
      </c>
      <c r="E40" s="26">
        <f t="shared" si="9"/>
        <v>4</v>
      </c>
      <c r="F40" s="42"/>
    </row>
    <row r="41" spans="1:6">
      <c r="A41" s="41" t="s">
        <v>198</v>
      </c>
      <c r="B41" s="26">
        <f>IF(SUM(B42:B46)=0,"",SUM(B42:B46))</f>
        <v>12</v>
      </c>
      <c r="C41" s="26">
        <f>IF(SUM(C42:C46)=0,"",SUM(C42:C46))</f>
        <v>11</v>
      </c>
      <c r="D41" s="26">
        <f>IF(SUM(D42:D46)=0,"",SUM(D42:D46))</f>
        <v>11</v>
      </c>
      <c r="E41" s="26">
        <f>IF(SUM(E42:E46)=0,"",SUM(E42:E46))</f>
        <v>11.333333333333332</v>
      </c>
      <c r="F41" s="42"/>
    </row>
    <row r="42" spans="1:6" outlineLevel="1">
      <c r="A42" s="43" t="s">
        <v>199</v>
      </c>
      <c r="B42" s="44">
        <v>5</v>
      </c>
      <c r="C42" s="44">
        <v>4</v>
      </c>
      <c r="D42" s="44">
        <v>4</v>
      </c>
      <c r="E42" s="26">
        <f t="shared" ref="E42:E46" si="10">IF(B42="","",AVERAGE(B42:D42))</f>
        <v>4.333333333333333</v>
      </c>
      <c r="F42" s="42"/>
    </row>
    <row r="43" spans="1:6" outlineLevel="1">
      <c r="A43" s="43" t="s">
        <v>189</v>
      </c>
      <c r="B43" s="44">
        <v>3</v>
      </c>
      <c r="C43" s="44">
        <v>3</v>
      </c>
      <c r="D43" s="44">
        <v>3</v>
      </c>
      <c r="E43" s="26">
        <f t="shared" si="10"/>
        <v>3</v>
      </c>
      <c r="F43" s="42"/>
    </row>
    <row r="44" spans="1:6" outlineLevel="1">
      <c r="A44" s="43" t="s">
        <v>190</v>
      </c>
      <c r="B44" s="44">
        <v>1</v>
      </c>
      <c r="C44" s="44">
        <v>1</v>
      </c>
      <c r="D44" s="44">
        <v>1</v>
      </c>
      <c r="E44" s="26">
        <f t="shared" si="10"/>
        <v>1</v>
      </c>
      <c r="F44" s="42"/>
    </row>
    <row r="45" spans="1:6" outlineLevel="1">
      <c r="A45" s="43" t="s">
        <v>200</v>
      </c>
      <c r="B45" s="44">
        <v>2</v>
      </c>
      <c r="C45" s="44">
        <v>2</v>
      </c>
      <c r="D45" s="44">
        <v>2</v>
      </c>
      <c r="E45" s="26">
        <f t="shared" si="10"/>
        <v>2</v>
      </c>
      <c r="F45" s="42"/>
    </row>
    <row r="46" spans="1:6" outlineLevel="1">
      <c r="A46" s="43" t="s">
        <v>179</v>
      </c>
      <c r="B46" s="44">
        <v>1</v>
      </c>
      <c r="C46" s="44">
        <v>1</v>
      </c>
      <c r="D46" s="44">
        <v>1</v>
      </c>
      <c r="E46" s="26">
        <f t="shared" si="10"/>
        <v>1</v>
      </c>
      <c r="F46" s="42"/>
    </row>
    <row r="47" spans="1:6">
      <c r="A47" s="46" t="s">
        <v>201</v>
      </c>
      <c r="B47" s="31">
        <f>SUM(B6,B12,B23,B33,B41,B29)</f>
        <v>1182.31</v>
      </c>
      <c r="C47" s="31">
        <f>SUM(C6,C12,C23,C33,C41,C29)</f>
        <v>1182.79</v>
      </c>
      <c r="D47" s="31">
        <f>SUM(D6,D12,D23,D33,D41,D29)</f>
        <v>1190.79</v>
      </c>
      <c r="E47" s="31">
        <f>SUM(E6,E12,E23,E33,E41,E29)</f>
        <v>1185.2966666666666</v>
      </c>
      <c r="F47" s="38"/>
    </row>
    <row r="48" spans="1:6">
      <c r="A48" s="38"/>
      <c r="B48" s="39"/>
      <c r="C48" s="39"/>
      <c r="D48" s="39"/>
      <c r="E48" s="38"/>
      <c r="F48" s="38"/>
    </row>
    <row r="49" spans="1:6" ht="15" customHeight="1">
      <c r="A49" s="111" t="s">
        <v>202</v>
      </c>
      <c r="B49" s="110"/>
      <c r="C49" s="110"/>
      <c r="D49" s="110"/>
      <c r="E49" s="110"/>
      <c r="F49" s="112" t="s">
        <v>203</v>
      </c>
    </row>
    <row r="50" spans="1:6">
      <c r="A50" s="111"/>
      <c r="B50" s="40" t="s">
        <v>204</v>
      </c>
      <c r="C50" s="40" t="s">
        <v>205</v>
      </c>
      <c r="D50" s="40" t="s">
        <v>206</v>
      </c>
      <c r="E50" s="13" t="s">
        <v>173</v>
      </c>
      <c r="F50" s="112"/>
    </row>
    <row r="51" spans="1:6">
      <c r="A51" s="41" t="s">
        <v>174</v>
      </c>
      <c r="B51" s="47">
        <f>IF(B6="","",B6)</f>
        <v>139</v>
      </c>
      <c r="C51" s="47">
        <f>IF(C6="","",C6)</f>
        <v>139</v>
      </c>
      <c r="D51" s="47">
        <f>IF(D6="","",D6)</f>
        <v>139</v>
      </c>
      <c r="E51" s="31">
        <f>IF(B51="","",AVERAGE(B51:D51))</f>
        <v>139</v>
      </c>
      <c r="F51" s="48">
        <f t="shared" ref="F51:F57" si="11">IF(E51="","",E51/E$57)</f>
        <v>0.11727021926999992</v>
      </c>
    </row>
    <row r="52" spans="1:6">
      <c r="A52" s="41" t="s">
        <v>180</v>
      </c>
      <c r="B52" s="47">
        <f>IF(B12="","",B12)</f>
        <v>103.97199999999999</v>
      </c>
      <c r="C52" s="47">
        <f>IF(C12="","",C12)</f>
        <v>103.45199999999998</v>
      </c>
      <c r="D52" s="47">
        <f>IF(D12="","",D12)</f>
        <v>105.45199999999998</v>
      </c>
      <c r="E52" s="31">
        <f t="shared" ref="E52:E56" si="12">IF(B52="","",AVERAGE(B52:D52))</f>
        <v>104.29199999999999</v>
      </c>
      <c r="F52" s="48">
        <f t="shared" si="11"/>
        <v>8.7988098619473598E-2</v>
      </c>
    </row>
    <row r="53" spans="1:6">
      <c r="A53" s="41" t="s">
        <v>187</v>
      </c>
      <c r="B53" s="47">
        <f>IF(B23="","",B23)</f>
        <v>230.624</v>
      </c>
      <c r="C53" s="47">
        <f t="shared" ref="C53:D53" si="13">IF(C23="","",C23)</f>
        <v>228.624</v>
      </c>
      <c r="D53" s="47">
        <f t="shared" si="13"/>
        <v>230.624</v>
      </c>
      <c r="E53" s="31">
        <f t="shared" si="12"/>
        <v>229.95733333333331</v>
      </c>
      <c r="F53" s="48">
        <f t="shared" si="11"/>
        <v>0.19400825109888101</v>
      </c>
    </row>
    <row r="54" spans="1:6">
      <c r="A54" s="41" t="s">
        <v>191</v>
      </c>
      <c r="B54" s="47">
        <f>IF(B29="","",B29)</f>
        <v>10</v>
      </c>
      <c r="C54" s="47">
        <f t="shared" ref="C54:D54" si="14">IF(C29="","",C29)</f>
        <v>10</v>
      </c>
      <c r="D54" s="47">
        <f t="shared" si="14"/>
        <v>12</v>
      </c>
      <c r="E54" s="31">
        <f t="shared" si="12"/>
        <v>10.666666666666666</v>
      </c>
      <c r="F54" s="48">
        <f t="shared" si="11"/>
        <v>8.9991535171222957E-3</v>
      </c>
    </row>
    <row r="55" spans="1:6">
      <c r="A55" s="41" t="s">
        <v>81</v>
      </c>
      <c r="B55" s="47">
        <f>IF(B33="","",B33)</f>
        <v>686.71399999999994</v>
      </c>
      <c r="C55" s="47">
        <f>IF(C33="","",C33)</f>
        <v>690.71399999999994</v>
      </c>
      <c r="D55" s="47">
        <f>IF(D33="","",D33)</f>
        <v>692.71399999999994</v>
      </c>
      <c r="E55" s="31">
        <f t="shared" si="12"/>
        <v>690.04733333333331</v>
      </c>
      <c r="F55" s="48">
        <f t="shared" si="11"/>
        <v>0.58217267688258079</v>
      </c>
    </row>
    <row r="56" spans="1:6">
      <c r="A56" s="41" t="s">
        <v>198</v>
      </c>
      <c r="B56" s="47">
        <f>IF(B41="","",B41)</f>
        <v>12</v>
      </c>
      <c r="C56" s="47">
        <f>IF(C41="","",C41)</f>
        <v>11</v>
      </c>
      <c r="D56" s="47">
        <f>IF(D41="","",D41)</f>
        <v>11</v>
      </c>
      <c r="E56" s="31">
        <f t="shared" si="12"/>
        <v>11.333333333333334</v>
      </c>
      <c r="F56" s="48">
        <f t="shared" si="11"/>
        <v>9.5616006119424394E-3</v>
      </c>
    </row>
    <row r="57" spans="1:6">
      <c r="A57" s="41" t="s">
        <v>207</v>
      </c>
      <c r="B57" s="31">
        <f>SUM(B51:B56)</f>
        <v>1182.31</v>
      </c>
      <c r="C57" s="31">
        <f>SUM(C51:C56)</f>
        <v>1182.79</v>
      </c>
      <c r="D57" s="31">
        <f>SUM(D51:D56)</f>
        <v>1190.79</v>
      </c>
      <c r="E57" s="31">
        <f>SUM(E51:E56)</f>
        <v>1185.2966666666666</v>
      </c>
      <c r="F57" s="48">
        <f t="shared" si="11"/>
        <v>1</v>
      </c>
    </row>
    <row r="58" spans="1:6">
      <c r="A58" s="41" t="s">
        <v>208</v>
      </c>
      <c r="B58" s="31">
        <f>B57/8</f>
        <v>147.78874999999999</v>
      </c>
      <c r="C58" s="31">
        <f>C57/8</f>
        <v>147.84875</v>
      </c>
      <c r="D58" s="31">
        <f>D57/8</f>
        <v>148.84875</v>
      </c>
      <c r="E58" s="31">
        <f>E57/8</f>
        <v>148.16208333333333</v>
      </c>
      <c r="F58" s="38"/>
    </row>
  </sheetData>
  <sheetProtection formatColumns="0" pivotTables="0"/>
  <protectedRanges>
    <protectedRange password="C613" sqref="A34" name="区域1_1" securityDescriptor=""/>
    <protectedRange password="C613" sqref="A22 A27:A28 A31:A32" name="区域1_5" securityDescriptor=""/>
    <protectedRange password="C613" sqref="A7:A11" name="区域1_2_1" securityDescriptor=""/>
    <protectedRange password="C613" sqref="A21 A14:A16" name="区域1_9" securityDescriptor=""/>
    <protectedRange password="C613" sqref="A24:A26 A29:A30 A18:A20" name="区域1_10" securityDescriptor=""/>
    <protectedRange password="C613" sqref="A35:A40" name="区域1_11" securityDescriptor=""/>
    <protectedRange password="C613" sqref="A42:A46" name="区域1_3_1" securityDescriptor=""/>
    <protectedRange password="C613" sqref="A51:A56" name="区域1_13" securityDescriptor=""/>
  </protectedRanges>
  <mergeCells count="7">
    <mergeCell ref="A1:F1"/>
    <mergeCell ref="B4:E4"/>
    <mergeCell ref="B49:E49"/>
    <mergeCell ref="A4:A5"/>
    <mergeCell ref="A49:A50"/>
    <mergeCell ref="F4:F5"/>
    <mergeCell ref="F49:F50"/>
  </mergeCells>
  <phoneticPr fontId="30" type="noConversion"/>
  <pageMargins left="0.75" right="0.75" top="1" bottom="1" header="0.5" footer="0.5"/>
  <pageSetup paperSize="9" orientation="portrait" horizontalDpi="1200" verticalDpi="1200" r:id="rId1"/>
  <headerFooter alignWithMargins="0">
    <oddHeader>&amp;L&amp;G&amp;CQAM05F01-METRICS SHEET FOR DEVELOPMENT PROJECT&amp;R华为机密，未经许可不得扩散</oddHeader>
    <oddFooter>&amp;L&amp;D&amp;C华为机密，未经许可不得扩散&amp;R第&amp;P页，共&amp;N页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75"/>
  <sheetViews>
    <sheetView showGridLines="0" workbookViewId="0">
      <pane xSplit="1" ySplit="10" topLeftCell="B69" activePane="bottomRight" state="frozen"/>
      <selection pane="topRight"/>
      <selection pane="bottomLeft"/>
      <selection pane="bottomRight" activeCell="I74" sqref="I74"/>
    </sheetView>
  </sheetViews>
  <sheetFormatPr defaultColWidth="8.88671875" defaultRowHeight="12"/>
  <cols>
    <col min="1" max="1" width="4.44140625" style="4" customWidth="1"/>
    <col min="2" max="2" width="15.33203125" style="4" customWidth="1"/>
    <col min="3" max="3" width="32.109375" style="32" customWidth="1"/>
    <col min="4" max="4" width="6.77734375" style="4" customWidth="1"/>
    <col min="5" max="5" width="5.44140625" style="4" customWidth="1"/>
    <col min="6" max="6" width="4.44140625" style="4" customWidth="1"/>
    <col min="7" max="7" width="7.5546875" style="4" customWidth="1"/>
    <col min="8" max="8" width="4.21875" style="4" customWidth="1"/>
    <col min="9" max="9" width="8.88671875" style="4" customWidth="1"/>
    <col min="10" max="10" width="7.5546875" style="4" customWidth="1"/>
    <col min="11" max="11" width="8.77734375" style="4" customWidth="1"/>
    <col min="12" max="12" width="9.6640625" style="4" customWidth="1"/>
    <col min="13" max="13" width="11" style="4" customWidth="1"/>
    <col min="14" max="14" width="11.44140625" style="4" customWidth="1"/>
    <col min="15" max="16384" width="8.88671875" style="4"/>
  </cols>
  <sheetData>
    <row r="1" spans="1:14" ht="22.5">
      <c r="A1" s="113" t="s">
        <v>209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</row>
    <row r="2" spans="1:14" ht="6.75" customHeight="1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</row>
    <row r="3" spans="1:14" ht="12.75">
      <c r="B3" s="8" t="s">
        <v>165</v>
      </c>
      <c r="C3" s="33" t="s">
        <v>210</v>
      </c>
      <c r="D3" s="8" t="s">
        <v>211</v>
      </c>
      <c r="E3" s="115">
        <v>43298</v>
      </c>
      <c r="F3" s="116"/>
      <c r="G3" s="8" t="s">
        <v>212</v>
      </c>
      <c r="H3" s="9" t="s">
        <v>213</v>
      </c>
    </row>
    <row r="4" spans="1:14" ht="15.75" customHeight="1">
      <c r="A4" s="117" t="s">
        <v>214</v>
      </c>
      <c r="B4" s="117"/>
      <c r="C4" s="117"/>
      <c r="D4" s="117"/>
      <c r="E4" s="117"/>
      <c r="F4" s="117"/>
      <c r="G4" s="117"/>
      <c r="H4" s="117"/>
      <c r="I4" s="117"/>
      <c r="J4" s="117"/>
      <c r="K4" s="117"/>
    </row>
    <row r="5" spans="1:14" ht="15" customHeight="1">
      <c r="A5" s="10" t="s">
        <v>215</v>
      </c>
      <c r="B5" s="11">
        <f>SUM(D31:D70)</f>
        <v>1592</v>
      </c>
      <c r="C5" s="10" t="s">
        <v>216</v>
      </c>
      <c r="D5" s="11">
        <v>25</v>
      </c>
      <c r="E5" s="118" t="s">
        <v>217</v>
      </c>
      <c r="F5" s="118"/>
      <c r="G5" s="118"/>
      <c r="H5" s="11">
        <v>1</v>
      </c>
      <c r="I5" s="118" t="s">
        <v>218</v>
      </c>
      <c r="J5" s="118"/>
      <c r="K5" s="26">
        <f>IF(I71="","",I71)</f>
        <v>67.971999999999994</v>
      </c>
    </row>
    <row r="6" spans="1:14" s="1" customFormat="1" ht="15" customHeight="1">
      <c r="A6" s="10" t="s">
        <v>219</v>
      </c>
      <c r="B6" s="11">
        <f>SUM(E31:E70)</f>
        <v>4567</v>
      </c>
      <c r="C6" s="10" t="s">
        <v>220</v>
      </c>
      <c r="D6" s="11">
        <v>25</v>
      </c>
      <c r="E6" s="118" t="s">
        <v>221</v>
      </c>
      <c r="F6" s="118"/>
      <c r="G6" s="118"/>
      <c r="H6" s="11">
        <v>1</v>
      </c>
      <c r="I6" s="118" t="s">
        <v>222</v>
      </c>
      <c r="J6" s="118"/>
      <c r="K6" s="26">
        <f>IF(J71="","",J71)</f>
        <v>194.624</v>
      </c>
    </row>
    <row r="7" spans="1:14" s="1" customFormat="1" ht="15" customHeight="1">
      <c r="A7" s="10" t="s">
        <v>223</v>
      </c>
      <c r="B7" s="11">
        <f>SUM(G31:G70)</f>
        <v>22816</v>
      </c>
      <c r="C7" s="10" t="s">
        <v>224</v>
      </c>
      <c r="D7" s="11">
        <v>50</v>
      </c>
      <c r="E7" s="118" t="s">
        <v>225</v>
      </c>
      <c r="F7" s="118"/>
      <c r="G7" s="118"/>
      <c r="H7" s="11">
        <v>1</v>
      </c>
      <c r="I7" s="118" t="s">
        <v>226</v>
      </c>
      <c r="J7" s="118"/>
      <c r="K7" s="26">
        <f>IF(K71="","",K71)</f>
        <v>556.71399999999994</v>
      </c>
    </row>
    <row r="8" spans="1:14" s="1" customFormat="1" ht="12.75" customHeight="1">
      <c r="A8" s="119"/>
      <c r="B8" s="119"/>
      <c r="C8" s="119"/>
      <c r="D8" s="119"/>
      <c r="E8" s="119"/>
      <c r="F8" s="119"/>
      <c r="G8" s="119"/>
      <c r="H8" s="119"/>
      <c r="I8" s="119"/>
      <c r="J8" s="119"/>
      <c r="K8" s="119"/>
    </row>
    <row r="9" spans="1:14" s="1" customFormat="1" ht="16.5" customHeight="1">
      <c r="A9" s="120" t="s">
        <v>227</v>
      </c>
      <c r="B9" s="120"/>
      <c r="C9" s="120"/>
      <c r="D9" s="120"/>
      <c r="E9" s="120"/>
      <c r="F9" s="120"/>
      <c r="G9" s="120"/>
      <c r="H9" s="120"/>
      <c r="I9" s="120"/>
      <c r="J9" s="120"/>
      <c r="K9" s="120"/>
    </row>
    <row r="10" spans="1:14" s="2" customFormat="1" ht="36">
      <c r="A10" s="13" t="s">
        <v>228</v>
      </c>
      <c r="B10" s="13" t="s">
        <v>229</v>
      </c>
      <c r="C10" s="10" t="s">
        <v>230</v>
      </c>
      <c r="D10" s="13" t="s">
        <v>231</v>
      </c>
      <c r="E10" s="13" t="s">
        <v>232</v>
      </c>
      <c r="F10" s="13" t="s">
        <v>233</v>
      </c>
      <c r="G10" s="13" t="s">
        <v>234</v>
      </c>
      <c r="H10" s="13" t="s">
        <v>235</v>
      </c>
      <c r="I10" s="13" t="s">
        <v>236</v>
      </c>
      <c r="J10" s="13" t="s">
        <v>237</v>
      </c>
      <c r="K10" s="13" t="s">
        <v>238</v>
      </c>
      <c r="L10" s="13" t="s">
        <v>239</v>
      </c>
      <c r="M10" s="13" t="s">
        <v>240</v>
      </c>
      <c r="N10" s="13" t="s">
        <v>241</v>
      </c>
    </row>
    <row r="11" spans="1:14" s="3" customFormat="1" ht="48.75" customHeight="1">
      <c r="A11" s="14" t="s">
        <v>242</v>
      </c>
      <c r="B11" s="15" t="s">
        <v>243</v>
      </c>
      <c r="C11" s="16" t="s">
        <v>244</v>
      </c>
      <c r="D11" s="14">
        <v>5</v>
      </c>
      <c r="E11" s="14">
        <v>7</v>
      </c>
      <c r="F11" s="14">
        <v>2</v>
      </c>
      <c r="G11" s="14">
        <f>E11*F11</f>
        <v>14</v>
      </c>
      <c r="H11" s="14">
        <v>0.8</v>
      </c>
      <c r="I11" s="27">
        <f t="shared" ref="I11:I30" si="0">IF(D11="","",D11*H$5*H11/D$5)</f>
        <v>0.16</v>
      </c>
      <c r="J11" s="27">
        <f t="shared" ref="J11:J30" si="1">IF(E11="","",E11*H$6*H11/D$6)</f>
        <v>0.22400000000000003</v>
      </c>
      <c r="K11" s="27">
        <f t="shared" ref="K11:K30" si="2">G11*H$7*H11/D$7</f>
        <v>0.22400000000000003</v>
      </c>
      <c r="L11" s="27">
        <f t="shared" ref="L11:M30" si="3">D11/I11*8</f>
        <v>250</v>
      </c>
      <c r="M11" s="27">
        <f t="shared" si="3"/>
        <v>249.99999999999997</v>
      </c>
      <c r="N11" s="27">
        <f t="shared" ref="N11:N30" si="4">G11/K11*8</f>
        <v>499.99999999999994</v>
      </c>
    </row>
    <row r="12" spans="1:14" s="3" customFormat="1" ht="48.75" customHeight="1">
      <c r="A12" s="14" t="s">
        <v>245</v>
      </c>
      <c r="B12" s="15" t="s">
        <v>246</v>
      </c>
      <c r="C12" s="16" t="s">
        <v>247</v>
      </c>
      <c r="D12" s="14">
        <v>2</v>
      </c>
      <c r="E12" s="14">
        <v>2</v>
      </c>
      <c r="F12" s="14">
        <v>2.5</v>
      </c>
      <c r="G12" s="14">
        <f>E12*F12</f>
        <v>5</v>
      </c>
      <c r="H12" s="14">
        <v>1.2</v>
      </c>
      <c r="I12" s="27">
        <f t="shared" si="0"/>
        <v>9.6000000000000002E-2</v>
      </c>
      <c r="J12" s="27">
        <f t="shared" si="1"/>
        <v>9.6000000000000002E-2</v>
      </c>
      <c r="K12" s="27">
        <f t="shared" si="2"/>
        <v>0.12</v>
      </c>
      <c r="L12" s="27">
        <f t="shared" si="3"/>
        <v>166.66666666666666</v>
      </c>
      <c r="M12" s="27">
        <f t="shared" si="3"/>
        <v>166.66666666666666</v>
      </c>
      <c r="N12" s="27">
        <f t="shared" si="4"/>
        <v>333.33333333333337</v>
      </c>
    </row>
    <row r="13" spans="1:14" s="3" customFormat="1" ht="48.75" customHeight="1">
      <c r="A13" s="14" t="s">
        <v>248</v>
      </c>
      <c r="B13" s="17" t="s">
        <v>249</v>
      </c>
      <c r="C13" s="18" t="s">
        <v>250</v>
      </c>
      <c r="D13" s="14">
        <v>11</v>
      </c>
      <c r="E13" s="14">
        <v>32</v>
      </c>
      <c r="F13" s="14">
        <v>2.5</v>
      </c>
      <c r="G13" s="14">
        <f>E13*F13</f>
        <v>80</v>
      </c>
      <c r="H13" s="14">
        <v>1</v>
      </c>
      <c r="I13" s="27">
        <f t="shared" si="0"/>
        <v>0.44</v>
      </c>
      <c r="J13" s="27">
        <f t="shared" si="1"/>
        <v>1.28</v>
      </c>
      <c r="K13" s="27">
        <f t="shared" si="2"/>
        <v>1.6</v>
      </c>
      <c r="L13" s="27">
        <f t="shared" si="3"/>
        <v>200</v>
      </c>
      <c r="M13" s="27">
        <f t="shared" si="3"/>
        <v>200</v>
      </c>
      <c r="N13" s="27">
        <f t="shared" si="4"/>
        <v>400</v>
      </c>
    </row>
    <row r="14" spans="1:14" s="3" customFormat="1" ht="48.75" customHeight="1">
      <c r="A14" s="14" t="s">
        <v>251</v>
      </c>
      <c r="B14" s="15" t="s">
        <v>252</v>
      </c>
      <c r="C14" s="16" t="s">
        <v>253</v>
      </c>
      <c r="D14" s="14">
        <v>1</v>
      </c>
      <c r="E14" s="14">
        <v>1</v>
      </c>
      <c r="F14" s="14">
        <v>2</v>
      </c>
      <c r="G14" s="14">
        <f t="shared" ref="G14:G29" si="5">E14*F14</f>
        <v>2</v>
      </c>
      <c r="H14" s="14">
        <v>0.8</v>
      </c>
      <c r="I14" s="27">
        <f t="shared" si="0"/>
        <v>3.2000000000000001E-2</v>
      </c>
      <c r="J14" s="27">
        <f t="shared" si="1"/>
        <v>3.2000000000000001E-2</v>
      </c>
      <c r="K14" s="27">
        <f t="shared" si="2"/>
        <v>3.2000000000000001E-2</v>
      </c>
      <c r="L14" s="27">
        <f t="shared" si="3"/>
        <v>250</v>
      </c>
      <c r="M14" s="27">
        <f t="shared" si="3"/>
        <v>250</v>
      </c>
      <c r="N14" s="27">
        <f t="shared" si="4"/>
        <v>500</v>
      </c>
    </row>
    <row r="15" spans="1:14" s="3" customFormat="1" ht="48.75" customHeight="1">
      <c r="A15" s="14" t="s">
        <v>254</v>
      </c>
      <c r="B15" s="15" t="s">
        <v>255</v>
      </c>
      <c r="C15" s="19" t="s">
        <v>256</v>
      </c>
      <c r="D15" s="14">
        <v>3</v>
      </c>
      <c r="E15" s="14">
        <v>3</v>
      </c>
      <c r="F15" s="14">
        <v>1.5</v>
      </c>
      <c r="G15" s="14">
        <f t="shared" si="5"/>
        <v>4.5</v>
      </c>
      <c r="H15" s="14">
        <v>1</v>
      </c>
      <c r="I15" s="27">
        <f t="shared" si="0"/>
        <v>0.12</v>
      </c>
      <c r="J15" s="27">
        <f t="shared" si="1"/>
        <v>0.12</v>
      </c>
      <c r="K15" s="27">
        <f t="shared" si="2"/>
        <v>0.09</v>
      </c>
      <c r="L15" s="27">
        <f t="shared" si="3"/>
        <v>200</v>
      </c>
      <c r="M15" s="27">
        <f t="shared" si="3"/>
        <v>200</v>
      </c>
      <c r="N15" s="27">
        <f t="shared" si="4"/>
        <v>400</v>
      </c>
    </row>
    <row r="16" spans="1:14" s="3" customFormat="1" ht="48.75" customHeight="1">
      <c r="A16" s="14" t="s">
        <v>257</v>
      </c>
      <c r="B16" s="15" t="s">
        <v>258</v>
      </c>
      <c r="C16" s="19" t="s">
        <v>259</v>
      </c>
      <c r="D16" s="14">
        <f t="shared" ref="D16:D57" si="6">E16/3</f>
        <v>11</v>
      </c>
      <c r="E16" s="14">
        <v>33</v>
      </c>
      <c r="F16" s="14">
        <v>2.5</v>
      </c>
      <c r="G16" s="14">
        <f t="shared" si="5"/>
        <v>82.5</v>
      </c>
      <c r="H16" s="14">
        <v>1</v>
      </c>
      <c r="I16" s="27">
        <f t="shared" si="0"/>
        <v>0.44</v>
      </c>
      <c r="J16" s="27">
        <f t="shared" si="1"/>
        <v>1.32</v>
      </c>
      <c r="K16" s="27">
        <f t="shared" si="2"/>
        <v>1.65</v>
      </c>
      <c r="L16" s="27">
        <f t="shared" si="3"/>
        <v>200</v>
      </c>
      <c r="M16" s="27">
        <f t="shared" si="3"/>
        <v>200</v>
      </c>
      <c r="N16" s="27">
        <f t="shared" si="4"/>
        <v>400</v>
      </c>
    </row>
    <row r="17" spans="1:14" s="3" customFormat="1" ht="48.75" customHeight="1">
      <c r="A17" s="14" t="s">
        <v>260</v>
      </c>
      <c r="B17" s="15" t="s">
        <v>261</v>
      </c>
      <c r="C17" s="20" t="s">
        <v>262</v>
      </c>
      <c r="D17" s="14">
        <f t="shared" si="6"/>
        <v>3</v>
      </c>
      <c r="E17" s="14">
        <v>9</v>
      </c>
      <c r="F17" s="14">
        <v>2.5</v>
      </c>
      <c r="G17" s="14">
        <f t="shared" si="5"/>
        <v>22.5</v>
      </c>
      <c r="H17" s="14">
        <v>1</v>
      </c>
      <c r="I17" s="27">
        <f t="shared" si="0"/>
        <v>0.12</v>
      </c>
      <c r="J17" s="27">
        <f t="shared" si="1"/>
        <v>0.36</v>
      </c>
      <c r="K17" s="27">
        <f t="shared" si="2"/>
        <v>0.45</v>
      </c>
      <c r="L17" s="27">
        <f t="shared" si="3"/>
        <v>200</v>
      </c>
      <c r="M17" s="27">
        <f t="shared" si="3"/>
        <v>200</v>
      </c>
      <c r="N17" s="27">
        <f t="shared" si="4"/>
        <v>400</v>
      </c>
    </row>
    <row r="18" spans="1:14" s="3" customFormat="1" ht="48.75" customHeight="1">
      <c r="A18" s="14" t="s">
        <v>263</v>
      </c>
      <c r="B18" s="15" t="s">
        <v>264</v>
      </c>
      <c r="C18" s="21" t="s">
        <v>265</v>
      </c>
      <c r="D18" s="14">
        <v>3</v>
      </c>
      <c r="E18" s="14">
        <v>8</v>
      </c>
      <c r="F18" s="14">
        <v>2.5</v>
      </c>
      <c r="G18" s="14">
        <f t="shared" si="5"/>
        <v>20</v>
      </c>
      <c r="H18" s="14">
        <v>1</v>
      </c>
      <c r="I18" s="27">
        <f t="shared" si="0"/>
        <v>0.12</v>
      </c>
      <c r="J18" s="27">
        <f t="shared" si="1"/>
        <v>0.32</v>
      </c>
      <c r="K18" s="27">
        <f t="shared" si="2"/>
        <v>0.4</v>
      </c>
      <c r="L18" s="27">
        <f t="shared" si="3"/>
        <v>200</v>
      </c>
      <c r="M18" s="27">
        <f t="shared" si="3"/>
        <v>200</v>
      </c>
      <c r="N18" s="27">
        <f t="shared" si="4"/>
        <v>400</v>
      </c>
    </row>
    <row r="19" spans="1:14" s="3" customFormat="1" ht="48.75" customHeight="1">
      <c r="A19" s="14" t="s">
        <v>266</v>
      </c>
      <c r="B19" s="15" t="s">
        <v>267</v>
      </c>
      <c r="C19" s="19" t="s">
        <v>268</v>
      </c>
      <c r="D19" s="14">
        <f t="shared" si="6"/>
        <v>0</v>
      </c>
      <c r="E19" s="14">
        <v>0</v>
      </c>
      <c r="F19" s="14">
        <v>2</v>
      </c>
      <c r="G19" s="14">
        <v>52</v>
      </c>
      <c r="H19" s="14">
        <v>1</v>
      </c>
      <c r="I19" s="27">
        <f t="shared" si="0"/>
        <v>0</v>
      </c>
      <c r="J19" s="27">
        <f t="shared" si="1"/>
        <v>0</v>
      </c>
      <c r="K19" s="27">
        <f t="shared" si="2"/>
        <v>1.04</v>
      </c>
      <c r="L19" s="27" t="e">
        <f t="shared" si="3"/>
        <v>#DIV/0!</v>
      </c>
      <c r="M19" s="27" t="e">
        <f t="shared" si="3"/>
        <v>#DIV/0!</v>
      </c>
      <c r="N19" s="27">
        <f t="shared" si="4"/>
        <v>400</v>
      </c>
    </row>
    <row r="20" spans="1:14" s="3" customFormat="1" ht="48.75" customHeight="1">
      <c r="A20" s="14" t="s">
        <v>269</v>
      </c>
      <c r="B20" s="15" t="s">
        <v>270</v>
      </c>
      <c r="C20" s="21" t="s">
        <v>271</v>
      </c>
      <c r="D20" s="14">
        <v>2</v>
      </c>
      <c r="E20" s="14">
        <v>5</v>
      </c>
      <c r="F20" s="14">
        <v>2.5</v>
      </c>
      <c r="G20" s="14">
        <f t="shared" si="5"/>
        <v>12.5</v>
      </c>
      <c r="H20" s="14">
        <v>1.2</v>
      </c>
      <c r="I20" s="27">
        <f t="shared" si="0"/>
        <v>9.6000000000000002E-2</v>
      </c>
      <c r="J20" s="27">
        <f t="shared" si="1"/>
        <v>0.24</v>
      </c>
      <c r="K20" s="27">
        <f t="shared" si="2"/>
        <v>0.3</v>
      </c>
      <c r="L20" s="27">
        <f t="shared" si="3"/>
        <v>166.66666666666666</v>
      </c>
      <c r="M20" s="27">
        <f t="shared" si="3"/>
        <v>166.66666666666669</v>
      </c>
      <c r="N20" s="27">
        <f t="shared" si="4"/>
        <v>333.33333333333337</v>
      </c>
    </row>
    <row r="21" spans="1:14" s="3" customFormat="1" ht="48.75" customHeight="1">
      <c r="A21" s="14" t="s">
        <v>272</v>
      </c>
      <c r="B21" s="15" t="s">
        <v>273</v>
      </c>
      <c r="C21" s="21" t="s">
        <v>274</v>
      </c>
      <c r="D21" s="14">
        <f t="shared" si="6"/>
        <v>4</v>
      </c>
      <c r="E21" s="14">
        <v>12</v>
      </c>
      <c r="F21" s="14">
        <v>2.5</v>
      </c>
      <c r="G21" s="14">
        <f t="shared" si="5"/>
        <v>30</v>
      </c>
      <c r="H21" s="14">
        <v>1</v>
      </c>
      <c r="I21" s="27">
        <f t="shared" si="0"/>
        <v>0.16</v>
      </c>
      <c r="J21" s="27">
        <f t="shared" si="1"/>
        <v>0.48</v>
      </c>
      <c r="K21" s="27">
        <f t="shared" si="2"/>
        <v>0.6</v>
      </c>
      <c r="L21" s="27">
        <f t="shared" si="3"/>
        <v>200</v>
      </c>
      <c r="M21" s="27">
        <f t="shared" si="3"/>
        <v>200</v>
      </c>
      <c r="N21" s="27">
        <f t="shared" si="4"/>
        <v>400</v>
      </c>
    </row>
    <row r="22" spans="1:14" s="3" customFormat="1" ht="48.75" customHeight="1">
      <c r="A22" s="14" t="s">
        <v>275</v>
      </c>
      <c r="B22" s="15" t="s">
        <v>276</v>
      </c>
      <c r="C22" s="21" t="s">
        <v>277</v>
      </c>
      <c r="D22" s="14">
        <f t="shared" si="6"/>
        <v>3</v>
      </c>
      <c r="E22" s="14">
        <v>9</v>
      </c>
      <c r="F22" s="14">
        <v>2.5</v>
      </c>
      <c r="G22" s="14">
        <f t="shared" si="5"/>
        <v>22.5</v>
      </c>
      <c r="H22" s="14">
        <v>1.2</v>
      </c>
      <c r="I22" s="27">
        <f t="shared" si="0"/>
        <v>0.14399999999999999</v>
      </c>
      <c r="J22" s="27">
        <f t="shared" si="1"/>
        <v>0.43199999999999994</v>
      </c>
      <c r="K22" s="27">
        <f t="shared" si="2"/>
        <v>0.54</v>
      </c>
      <c r="L22" s="27">
        <f t="shared" si="3"/>
        <v>166.66666666666669</v>
      </c>
      <c r="M22" s="27">
        <f t="shared" si="3"/>
        <v>166.66666666666669</v>
      </c>
      <c r="N22" s="27">
        <f t="shared" si="4"/>
        <v>333.33333333333331</v>
      </c>
    </row>
    <row r="23" spans="1:14" s="3" customFormat="1" ht="48.75" customHeight="1">
      <c r="A23" s="14" t="s">
        <v>278</v>
      </c>
      <c r="B23" s="15" t="s">
        <v>279</v>
      </c>
      <c r="C23" s="21" t="s">
        <v>280</v>
      </c>
      <c r="D23" s="14">
        <v>3</v>
      </c>
      <c r="E23" s="14">
        <v>8</v>
      </c>
      <c r="F23" s="14">
        <v>3</v>
      </c>
      <c r="G23" s="14">
        <f t="shared" si="5"/>
        <v>24</v>
      </c>
      <c r="H23" s="14">
        <v>1.2</v>
      </c>
      <c r="I23" s="27">
        <f t="shared" si="0"/>
        <v>0.14399999999999999</v>
      </c>
      <c r="J23" s="27">
        <f t="shared" si="1"/>
        <v>0.38400000000000001</v>
      </c>
      <c r="K23" s="27">
        <f t="shared" si="2"/>
        <v>0.57599999999999996</v>
      </c>
      <c r="L23" s="27">
        <f t="shared" si="3"/>
        <v>166.66666666666669</v>
      </c>
      <c r="M23" s="27">
        <f t="shared" si="3"/>
        <v>166.66666666666666</v>
      </c>
      <c r="N23" s="27">
        <f t="shared" si="4"/>
        <v>333.33333333333337</v>
      </c>
    </row>
    <row r="24" spans="1:14" s="3" customFormat="1" ht="48.75" customHeight="1">
      <c r="A24" s="14" t="s">
        <v>281</v>
      </c>
      <c r="B24" s="15" t="s">
        <v>282</v>
      </c>
      <c r="C24" s="19" t="s">
        <v>283</v>
      </c>
      <c r="D24" s="14">
        <v>3</v>
      </c>
      <c r="E24" s="14">
        <v>3</v>
      </c>
      <c r="F24" s="14">
        <v>1.5</v>
      </c>
      <c r="G24" s="14">
        <f t="shared" si="5"/>
        <v>4.5</v>
      </c>
      <c r="H24" s="14">
        <v>0.8</v>
      </c>
      <c r="I24" s="27">
        <f t="shared" si="0"/>
        <v>9.6000000000000016E-2</v>
      </c>
      <c r="J24" s="27">
        <f t="shared" si="1"/>
        <v>9.6000000000000016E-2</v>
      </c>
      <c r="K24" s="27">
        <f t="shared" si="2"/>
        <v>7.2000000000000008E-2</v>
      </c>
      <c r="L24" s="27">
        <f t="shared" si="3"/>
        <v>249.99999999999997</v>
      </c>
      <c r="M24" s="27">
        <f t="shared" si="3"/>
        <v>249.99999999999997</v>
      </c>
      <c r="N24" s="27">
        <f t="shared" si="4"/>
        <v>499.99999999999994</v>
      </c>
    </row>
    <row r="25" spans="1:14" s="3" customFormat="1" ht="48.75" customHeight="1">
      <c r="A25" s="14" t="s">
        <v>284</v>
      </c>
      <c r="B25" s="15" t="s">
        <v>285</v>
      </c>
      <c r="C25" s="19" t="s">
        <v>286</v>
      </c>
      <c r="D25" s="14">
        <v>5</v>
      </c>
      <c r="E25" s="14">
        <v>8</v>
      </c>
      <c r="F25" s="14">
        <v>2</v>
      </c>
      <c r="G25" s="14">
        <f t="shared" si="5"/>
        <v>16</v>
      </c>
      <c r="H25" s="14">
        <v>1.2</v>
      </c>
      <c r="I25" s="27">
        <f t="shared" si="0"/>
        <v>0.24</v>
      </c>
      <c r="J25" s="27">
        <f t="shared" si="1"/>
        <v>0.38400000000000001</v>
      </c>
      <c r="K25" s="27">
        <f t="shared" si="2"/>
        <v>0.38400000000000001</v>
      </c>
      <c r="L25" s="27">
        <f t="shared" si="3"/>
        <v>166.66666666666669</v>
      </c>
      <c r="M25" s="27">
        <f t="shared" si="3"/>
        <v>166.66666666666666</v>
      </c>
      <c r="N25" s="27">
        <f t="shared" si="4"/>
        <v>333.33333333333331</v>
      </c>
    </row>
    <row r="26" spans="1:14" s="3" customFormat="1" ht="48.75" customHeight="1">
      <c r="A26" s="14" t="s">
        <v>287</v>
      </c>
      <c r="B26" s="15" t="s">
        <v>288</v>
      </c>
      <c r="C26" s="21" t="s">
        <v>289</v>
      </c>
      <c r="D26" s="14">
        <v>6</v>
      </c>
      <c r="E26" s="14">
        <v>17</v>
      </c>
      <c r="F26" s="14">
        <v>3</v>
      </c>
      <c r="G26" s="14">
        <f t="shared" si="5"/>
        <v>51</v>
      </c>
      <c r="H26" s="14">
        <v>1</v>
      </c>
      <c r="I26" s="27">
        <f t="shared" si="0"/>
        <v>0.24</v>
      </c>
      <c r="J26" s="27">
        <f t="shared" si="1"/>
        <v>0.68</v>
      </c>
      <c r="K26" s="27">
        <f t="shared" si="2"/>
        <v>1.02</v>
      </c>
      <c r="L26" s="27">
        <f t="shared" si="3"/>
        <v>200</v>
      </c>
      <c r="M26" s="27">
        <f t="shared" si="3"/>
        <v>199.99999999999997</v>
      </c>
      <c r="N26" s="27">
        <f t="shared" si="4"/>
        <v>400</v>
      </c>
    </row>
    <row r="27" spans="1:14" s="3" customFormat="1" ht="48.75" customHeight="1">
      <c r="A27" s="14" t="s">
        <v>290</v>
      </c>
      <c r="B27" s="15" t="s">
        <v>291</v>
      </c>
      <c r="C27" s="19" t="s">
        <v>292</v>
      </c>
      <c r="D27" s="14">
        <v>4</v>
      </c>
      <c r="E27" s="14">
        <v>4</v>
      </c>
      <c r="F27" s="14">
        <v>3</v>
      </c>
      <c r="G27" s="14">
        <f t="shared" si="5"/>
        <v>12</v>
      </c>
      <c r="H27" s="14">
        <v>1.2</v>
      </c>
      <c r="I27" s="27">
        <f t="shared" si="0"/>
        <v>0.192</v>
      </c>
      <c r="J27" s="27">
        <f t="shared" si="1"/>
        <v>0.192</v>
      </c>
      <c r="K27" s="27">
        <f t="shared" si="2"/>
        <v>0.28799999999999998</v>
      </c>
      <c r="L27" s="27">
        <f t="shared" si="3"/>
        <v>166.66666666666666</v>
      </c>
      <c r="M27" s="27">
        <f t="shared" si="3"/>
        <v>166.66666666666666</v>
      </c>
      <c r="N27" s="27">
        <f t="shared" si="4"/>
        <v>333.33333333333337</v>
      </c>
    </row>
    <row r="28" spans="1:14" s="3" customFormat="1" ht="48.75" customHeight="1">
      <c r="A28" s="14" t="s">
        <v>293</v>
      </c>
      <c r="B28" s="15" t="s">
        <v>294</v>
      </c>
      <c r="C28" s="19" t="s">
        <v>295</v>
      </c>
      <c r="D28" s="14">
        <v>2</v>
      </c>
      <c r="E28" s="14">
        <v>2</v>
      </c>
      <c r="F28" s="14">
        <v>2</v>
      </c>
      <c r="G28" s="14">
        <f t="shared" si="5"/>
        <v>4</v>
      </c>
      <c r="H28" s="14">
        <v>0.8</v>
      </c>
      <c r="I28" s="27">
        <f t="shared" si="0"/>
        <v>6.4000000000000001E-2</v>
      </c>
      <c r="J28" s="27">
        <f t="shared" si="1"/>
        <v>6.4000000000000001E-2</v>
      </c>
      <c r="K28" s="27">
        <f t="shared" si="2"/>
        <v>6.4000000000000001E-2</v>
      </c>
      <c r="L28" s="27">
        <f t="shared" si="3"/>
        <v>250</v>
      </c>
      <c r="M28" s="27">
        <f t="shared" si="3"/>
        <v>250</v>
      </c>
      <c r="N28" s="27">
        <f t="shared" si="4"/>
        <v>500</v>
      </c>
    </row>
    <row r="29" spans="1:14" s="3" customFormat="1" ht="48.75" customHeight="1">
      <c r="A29" s="14" t="s">
        <v>296</v>
      </c>
      <c r="B29" s="22" t="s">
        <v>297</v>
      </c>
      <c r="C29" s="23" t="s">
        <v>298</v>
      </c>
      <c r="D29" s="14">
        <v>2</v>
      </c>
      <c r="E29" s="14">
        <v>2</v>
      </c>
      <c r="F29" s="14">
        <v>2</v>
      </c>
      <c r="G29" s="14">
        <f t="shared" si="5"/>
        <v>4</v>
      </c>
      <c r="H29" s="14">
        <v>1.2</v>
      </c>
      <c r="I29" s="27">
        <f t="shared" si="0"/>
        <v>9.6000000000000002E-2</v>
      </c>
      <c r="J29" s="27">
        <f t="shared" si="1"/>
        <v>9.6000000000000002E-2</v>
      </c>
      <c r="K29" s="27">
        <f t="shared" si="2"/>
        <v>9.6000000000000002E-2</v>
      </c>
      <c r="L29" s="27">
        <f t="shared" si="3"/>
        <v>166.66666666666666</v>
      </c>
      <c r="M29" s="27">
        <f t="shared" si="3"/>
        <v>166.66666666666666</v>
      </c>
      <c r="N29" s="27">
        <f t="shared" si="4"/>
        <v>333.33333333333331</v>
      </c>
    </row>
    <row r="30" spans="1:14" s="3" customFormat="1" ht="48.75" customHeight="1">
      <c r="A30" s="14" t="s">
        <v>299</v>
      </c>
      <c r="B30" s="15" t="s">
        <v>300</v>
      </c>
      <c r="C30" s="19" t="s">
        <v>301</v>
      </c>
      <c r="D30" s="14">
        <v>1</v>
      </c>
      <c r="E30" s="14">
        <v>1</v>
      </c>
      <c r="F30" s="14">
        <v>1</v>
      </c>
      <c r="G30" s="14">
        <v>4977</v>
      </c>
      <c r="H30" s="14">
        <v>1</v>
      </c>
      <c r="I30" s="27">
        <f t="shared" si="0"/>
        <v>0.04</v>
      </c>
      <c r="J30" s="27">
        <f t="shared" si="1"/>
        <v>0.04</v>
      </c>
      <c r="K30" s="27">
        <f t="shared" si="2"/>
        <v>99.54</v>
      </c>
      <c r="L30" s="27">
        <f t="shared" si="3"/>
        <v>200</v>
      </c>
      <c r="M30" s="27">
        <f t="shared" si="3"/>
        <v>200</v>
      </c>
      <c r="N30" s="27">
        <f t="shared" si="4"/>
        <v>400</v>
      </c>
    </row>
    <row r="31" spans="1:14" s="3" customFormat="1" ht="48.75" customHeight="1">
      <c r="A31" s="14" t="s">
        <v>302</v>
      </c>
      <c r="B31" s="15" t="s">
        <v>303</v>
      </c>
      <c r="C31" s="16" t="s">
        <v>304</v>
      </c>
      <c r="D31" s="14">
        <v>42</v>
      </c>
      <c r="E31" s="14">
        <v>126</v>
      </c>
      <c r="F31" s="14">
        <v>3</v>
      </c>
      <c r="G31" s="14">
        <f>F31*E31</f>
        <v>378</v>
      </c>
      <c r="H31" s="14">
        <v>1</v>
      </c>
      <c r="I31" s="27">
        <f t="shared" ref="I31:I70" si="7">IF(D31="","",D31*H$5*H31/D$5)</f>
        <v>1.68</v>
      </c>
      <c r="J31" s="27">
        <f t="shared" ref="J31:J70" si="8">IF(E31="","",E31*H$6*H31/D$6)</f>
        <v>5.04</v>
      </c>
      <c r="K31" s="27">
        <f t="shared" ref="K31:K70" si="9">G31*H$7*H31/D$7</f>
        <v>7.56</v>
      </c>
      <c r="L31" s="27">
        <f t="shared" ref="L31:M70" si="10">D31/I31*8</f>
        <v>200</v>
      </c>
      <c r="M31" s="27">
        <f t="shared" ref="M31:M71" si="11">E31/J31*8</f>
        <v>200</v>
      </c>
      <c r="N31" s="27">
        <f t="shared" ref="N31:N71" si="12">G31/K31*8</f>
        <v>400</v>
      </c>
    </row>
    <row r="32" spans="1:14" s="3" customFormat="1" ht="48.75" customHeight="1">
      <c r="A32" s="14" t="s">
        <v>305</v>
      </c>
      <c r="B32" s="15" t="s">
        <v>306</v>
      </c>
      <c r="C32" s="16" t="s">
        <v>307</v>
      </c>
      <c r="D32" s="14">
        <f t="shared" si="6"/>
        <v>59</v>
      </c>
      <c r="E32" s="14">
        <v>177</v>
      </c>
      <c r="F32" s="14">
        <v>4</v>
      </c>
      <c r="G32" s="14">
        <f t="shared" ref="G32:G35" si="13">F32*E32</f>
        <v>708</v>
      </c>
      <c r="H32" s="14">
        <v>0.8</v>
      </c>
      <c r="I32" s="27">
        <f t="shared" si="7"/>
        <v>1.8880000000000001</v>
      </c>
      <c r="J32" s="27">
        <f t="shared" si="8"/>
        <v>5.6639999999999997</v>
      </c>
      <c r="K32" s="27">
        <f t="shared" si="9"/>
        <v>11.327999999999999</v>
      </c>
      <c r="L32" s="27">
        <f t="shared" si="10"/>
        <v>249.99999999999997</v>
      </c>
      <c r="M32" s="27">
        <f t="shared" si="11"/>
        <v>250</v>
      </c>
      <c r="N32" s="27">
        <f t="shared" si="12"/>
        <v>500</v>
      </c>
    </row>
    <row r="33" spans="1:14" s="3" customFormat="1" ht="48.75" customHeight="1">
      <c r="A33" s="14" t="s">
        <v>308</v>
      </c>
      <c r="B33" s="15" t="s">
        <v>309</v>
      </c>
      <c r="C33" s="18" t="s">
        <v>310</v>
      </c>
      <c r="D33" s="14">
        <v>20</v>
      </c>
      <c r="E33" s="14">
        <v>60</v>
      </c>
      <c r="F33" s="14">
        <v>4</v>
      </c>
      <c r="G33" s="14">
        <f t="shared" si="13"/>
        <v>240</v>
      </c>
      <c r="H33" s="14">
        <v>1</v>
      </c>
      <c r="I33" s="27">
        <f t="shared" si="7"/>
        <v>0.8</v>
      </c>
      <c r="J33" s="27">
        <f t="shared" si="8"/>
        <v>2.4</v>
      </c>
      <c r="K33" s="27">
        <f t="shared" si="9"/>
        <v>4.8</v>
      </c>
      <c r="L33" s="27">
        <f t="shared" si="10"/>
        <v>200</v>
      </c>
      <c r="M33" s="27">
        <f t="shared" si="11"/>
        <v>200</v>
      </c>
      <c r="N33" s="27">
        <f t="shared" si="12"/>
        <v>400</v>
      </c>
    </row>
    <row r="34" spans="1:14" s="3" customFormat="1" ht="48.75" customHeight="1">
      <c r="A34" s="14" t="s">
        <v>311</v>
      </c>
      <c r="B34" s="15" t="s">
        <v>312</v>
      </c>
      <c r="C34" s="16" t="s">
        <v>313</v>
      </c>
      <c r="D34" s="14">
        <v>15</v>
      </c>
      <c r="E34" s="14">
        <v>47</v>
      </c>
      <c r="F34" s="14">
        <v>4</v>
      </c>
      <c r="G34" s="14">
        <f t="shared" si="13"/>
        <v>188</v>
      </c>
      <c r="H34" s="14">
        <v>3</v>
      </c>
      <c r="I34" s="27">
        <f t="shared" si="7"/>
        <v>1.8</v>
      </c>
      <c r="J34" s="27">
        <f t="shared" si="8"/>
        <v>5.64</v>
      </c>
      <c r="K34" s="27">
        <f t="shared" si="9"/>
        <v>11.28</v>
      </c>
      <c r="L34" s="27">
        <f t="shared" si="10"/>
        <v>66.666666666666671</v>
      </c>
      <c r="M34" s="27">
        <f t="shared" si="11"/>
        <v>66.666666666666671</v>
      </c>
      <c r="N34" s="27">
        <f t="shared" si="12"/>
        <v>133.33333333333334</v>
      </c>
    </row>
    <row r="35" spans="1:14" s="3" customFormat="1" ht="48.75" customHeight="1">
      <c r="A35" s="14" t="s">
        <v>314</v>
      </c>
      <c r="B35" s="15" t="s">
        <v>315</v>
      </c>
      <c r="C35" s="19" t="s">
        <v>316</v>
      </c>
      <c r="D35" s="14">
        <v>8</v>
      </c>
      <c r="E35" s="14">
        <v>25</v>
      </c>
      <c r="F35" s="14">
        <v>3</v>
      </c>
      <c r="G35" s="14">
        <f t="shared" si="13"/>
        <v>75</v>
      </c>
      <c r="H35" s="14">
        <v>1</v>
      </c>
      <c r="I35" s="27">
        <f t="shared" si="7"/>
        <v>0.32</v>
      </c>
      <c r="J35" s="27">
        <f t="shared" si="8"/>
        <v>1</v>
      </c>
      <c r="K35" s="27">
        <f t="shared" si="9"/>
        <v>1.5</v>
      </c>
      <c r="L35" s="27">
        <f t="shared" si="10"/>
        <v>200</v>
      </c>
      <c r="M35" s="27">
        <f t="shared" si="11"/>
        <v>200</v>
      </c>
      <c r="N35" s="27">
        <f t="shared" si="12"/>
        <v>400</v>
      </c>
    </row>
    <row r="36" spans="1:14" s="3" customFormat="1" ht="48.75" customHeight="1">
      <c r="A36" s="14" t="s">
        <v>429</v>
      </c>
      <c r="B36" s="15" t="s">
        <v>318</v>
      </c>
      <c r="C36" s="24" t="s">
        <v>319</v>
      </c>
      <c r="D36" s="14">
        <v>25</v>
      </c>
      <c r="E36" s="14">
        <v>65</v>
      </c>
      <c r="F36" s="14">
        <v>4</v>
      </c>
      <c r="G36" s="14">
        <f t="shared" ref="G36:G47" si="14">E36*F36</f>
        <v>260</v>
      </c>
      <c r="H36" s="14">
        <v>1</v>
      </c>
      <c r="I36" s="27">
        <f t="shared" si="7"/>
        <v>1</v>
      </c>
      <c r="J36" s="27">
        <f t="shared" si="8"/>
        <v>2.6</v>
      </c>
      <c r="K36" s="27">
        <f t="shared" si="9"/>
        <v>5.2</v>
      </c>
      <c r="L36" s="27">
        <f t="shared" si="10"/>
        <v>200</v>
      </c>
      <c r="M36" s="27">
        <f t="shared" si="10"/>
        <v>200</v>
      </c>
      <c r="N36" s="27">
        <f t="shared" si="12"/>
        <v>400</v>
      </c>
    </row>
    <row r="37" spans="1:14" s="3" customFormat="1" ht="48.75" customHeight="1">
      <c r="A37" s="14" t="s">
        <v>317</v>
      </c>
      <c r="B37" s="15" t="s">
        <v>321</v>
      </c>
      <c r="C37" s="24" t="s">
        <v>322</v>
      </c>
      <c r="D37" s="14">
        <v>18</v>
      </c>
      <c r="E37" s="14">
        <v>42</v>
      </c>
      <c r="F37" s="14">
        <v>4</v>
      </c>
      <c r="G37" s="14">
        <f t="shared" si="14"/>
        <v>168</v>
      </c>
      <c r="H37" s="14">
        <v>1</v>
      </c>
      <c r="I37" s="27">
        <f t="shared" si="7"/>
        <v>0.72</v>
      </c>
      <c r="J37" s="27">
        <f t="shared" si="8"/>
        <v>1.68</v>
      </c>
      <c r="K37" s="27">
        <f t="shared" si="9"/>
        <v>3.36</v>
      </c>
      <c r="L37" s="27">
        <f t="shared" si="10"/>
        <v>200</v>
      </c>
      <c r="M37" s="27">
        <f t="shared" si="10"/>
        <v>200</v>
      </c>
      <c r="N37" s="27">
        <f t="shared" si="12"/>
        <v>400</v>
      </c>
    </row>
    <row r="38" spans="1:14" s="3" customFormat="1" ht="48.75" customHeight="1">
      <c r="A38" s="14" t="s">
        <v>320</v>
      </c>
      <c r="B38" s="15" t="s">
        <v>324</v>
      </c>
      <c r="C38" s="24" t="s">
        <v>325</v>
      </c>
      <c r="D38" s="14">
        <v>134</v>
      </c>
      <c r="E38" s="14">
        <v>385</v>
      </c>
      <c r="F38" s="14">
        <v>4</v>
      </c>
      <c r="G38" s="14">
        <f t="shared" si="14"/>
        <v>1540</v>
      </c>
      <c r="H38" s="14">
        <v>1</v>
      </c>
      <c r="I38" s="27">
        <f t="shared" si="7"/>
        <v>5.36</v>
      </c>
      <c r="J38" s="27">
        <f t="shared" si="8"/>
        <v>15.4</v>
      </c>
      <c r="K38" s="27">
        <f t="shared" si="9"/>
        <v>30.8</v>
      </c>
      <c r="L38" s="27">
        <f t="shared" si="10"/>
        <v>200</v>
      </c>
      <c r="M38" s="27">
        <f t="shared" si="10"/>
        <v>200</v>
      </c>
      <c r="N38" s="27">
        <f t="shared" si="12"/>
        <v>400</v>
      </c>
    </row>
    <row r="39" spans="1:14" s="3" customFormat="1" ht="48.75" customHeight="1">
      <c r="A39" s="14" t="s">
        <v>323</v>
      </c>
      <c r="B39" s="15" t="s">
        <v>327</v>
      </c>
      <c r="C39" s="24" t="s">
        <v>328</v>
      </c>
      <c r="D39" s="14">
        <v>106</v>
      </c>
      <c r="E39" s="14">
        <v>316</v>
      </c>
      <c r="F39" s="14">
        <v>4</v>
      </c>
      <c r="G39" s="14">
        <f t="shared" si="14"/>
        <v>1264</v>
      </c>
      <c r="H39" s="14">
        <v>1</v>
      </c>
      <c r="I39" s="27">
        <v>0.5</v>
      </c>
      <c r="J39" s="27">
        <f t="shared" si="8"/>
        <v>12.64</v>
      </c>
      <c r="K39" s="27">
        <f t="shared" si="9"/>
        <v>25.28</v>
      </c>
      <c r="L39" s="27">
        <f t="shared" si="10"/>
        <v>1696</v>
      </c>
      <c r="M39" s="27">
        <f t="shared" si="10"/>
        <v>200</v>
      </c>
      <c r="N39" s="27">
        <f t="shared" si="12"/>
        <v>400</v>
      </c>
    </row>
    <row r="40" spans="1:14" s="3" customFormat="1" ht="48.75" customHeight="1">
      <c r="A40" s="14" t="s">
        <v>326</v>
      </c>
      <c r="B40" s="15" t="s">
        <v>330</v>
      </c>
      <c r="C40" s="24" t="s">
        <v>331</v>
      </c>
      <c r="D40" s="14">
        <v>42</v>
      </c>
      <c r="E40" s="14">
        <v>122</v>
      </c>
      <c r="F40" s="14">
        <v>4</v>
      </c>
      <c r="G40" s="14">
        <f t="shared" si="14"/>
        <v>488</v>
      </c>
      <c r="H40" s="14">
        <v>1</v>
      </c>
      <c r="I40" s="27">
        <f t="shared" ref="I40:I47" si="15">IF(D40="","",D40*H$5*H40/D$5)</f>
        <v>1.68</v>
      </c>
      <c r="J40" s="27">
        <f t="shared" si="8"/>
        <v>4.88</v>
      </c>
      <c r="K40" s="27">
        <f t="shared" si="9"/>
        <v>9.76</v>
      </c>
      <c r="L40" s="27">
        <f t="shared" si="10"/>
        <v>200</v>
      </c>
      <c r="M40" s="27">
        <f t="shared" si="10"/>
        <v>200</v>
      </c>
      <c r="N40" s="27">
        <f t="shared" si="12"/>
        <v>400</v>
      </c>
    </row>
    <row r="41" spans="1:14" s="3" customFormat="1" ht="48.75" customHeight="1">
      <c r="A41" s="14" t="s">
        <v>329</v>
      </c>
      <c r="B41" s="15" t="s">
        <v>333</v>
      </c>
      <c r="C41" s="24" t="s">
        <v>334</v>
      </c>
      <c r="D41" s="14">
        <v>42</v>
      </c>
      <c r="E41" s="14">
        <v>98</v>
      </c>
      <c r="F41" s="14">
        <v>4</v>
      </c>
      <c r="G41" s="14">
        <f t="shared" si="14"/>
        <v>392</v>
      </c>
      <c r="H41" s="14">
        <v>1</v>
      </c>
      <c r="I41" s="27">
        <f t="shared" si="15"/>
        <v>1.68</v>
      </c>
      <c r="J41" s="27">
        <f t="shared" si="8"/>
        <v>3.92</v>
      </c>
      <c r="K41" s="27">
        <f t="shared" si="9"/>
        <v>7.84</v>
      </c>
      <c r="L41" s="27">
        <f t="shared" si="10"/>
        <v>200</v>
      </c>
      <c r="M41" s="27">
        <f t="shared" si="10"/>
        <v>200</v>
      </c>
      <c r="N41" s="27">
        <f t="shared" si="12"/>
        <v>400</v>
      </c>
    </row>
    <row r="42" spans="1:14" s="3" customFormat="1" ht="48.75" customHeight="1">
      <c r="A42" s="14" t="s">
        <v>332</v>
      </c>
      <c r="B42" s="15" t="s">
        <v>336</v>
      </c>
      <c r="C42" s="24" t="s">
        <v>337</v>
      </c>
      <c r="D42" s="14">
        <v>51</v>
      </c>
      <c r="E42" s="14">
        <v>73</v>
      </c>
      <c r="F42" s="14">
        <v>4</v>
      </c>
      <c r="G42" s="14">
        <f t="shared" si="14"/>
        <v>292</v>
      </c>
      <c r="H42" s="14">
        <v>1</v>
      </c>
      <c r="I42" s="27">
        <f t="shared" si="15"/>
        <v>2.04</v>
      </c>
      <c r="J42" s="27">
        <f t="shared" si="8"/>
        <v>2.92</v>
      </c>
      <c r="K42" s="27">
        <f t="shared" si="9"/>
        <v>5.84</v>
      </c>
      <c r="L42" s="27">
        <f t="shared" si="10"/>
        <v>200</v>
      </c>
      <c r="M42" s="27">
        <f t="shared" si="10"/>
        <v>200</v>
      </c>
      <c r="N42" s="27">
        <f t="shared" si="12"/>
        <v>400</v>
      </c>
    </row>
    <row r="43" spans="1:14" s="3" customFormat="1" ht="48.75" customHeight="1">
      <c r="A43" s="14" t="s">
        <v>335</v>
      </c>
      <c r="B43" s="15" t="s">
        <v>339</v>
      </c>
      <c r="C43" s="24" t="s">
        <v>340</v>
      </c>
      <c r="D43" s="14">
        <v>32</v>
      </c>
      <c r="E43" s="14">
        <v>75</v>
      </c>
      <c r="F43" s="14">
        <v>4</v>
      </c>
      <c r="G43" s="14">
        <f t="shared" si="14"/>
        <v>300</v>
      </c>
      <c r="H43" s="14">
        <v>1</v>
      </c>
      <c r="I43" s="27">
        <f t="shared" si="15"/>
        <v>1.28</v>
      </c>
      <c r="J43" s="27">
        <f t="shared" si="8"/>
        <v>3</v>
      </c>
      <c r="K43" s="27">
        <f t="shared" si="9"/>
        <v>6</v>
      </c>
      <c r="L43" s="27">
        <f t="shared" si="10"/>
        <v>200</v>
      </c>
      <c r="M43" s="27">
        <f t="shared" si="10"/>
        <v>200</v>
      </c>
      <c r="N43" s="27">
        <f t="shared" si="12"/>
        <v>400</v>
      </c>
    </row>
    <row r="44" spans="1:14" s="3" customFormat="1" ht="48.75" customHeight="1">
      <c r="A44" s="14" t="s">
        <v>338</v>
      </c>
      <c r="B44" s="15" t="s">
        <v>342</v>
      </c>
      <c r="C44" s="24" t="s">
        <v>343</v>
      </c>
      <c r="D44" s="14">
        <v>27</v>
      </c>
      <c r="E44" s="14">
        <v>71</v>
      </c>
      <c r="F44" s="14">
        <v>4</v>
      </c>
      <c r="G44" s="14">
        <f t="shared" si="14"/>
        <v>284</v>
      </c>
      <c r="H44" s="14">
        <v>1</v>
      </c>
      <c r="I44" s="27">
        <f t="shared" si="15"/>
        <v>1.08</v>
      </c>
      <c r="J44" s="27">
        <f t="shared" si="8"/>
        <v>2.84</v>
      </c>
      <c r="K44" s="27">
        <f t="shared" si="9"/>
        <v>5.68</v>
      </c>
      <c r="L44" s="27">
        <f t="shared" si="10"/>
        <v>200</v>
      </c>
      <c r="M44" s="27">
        <f t="shared" si="10"/>
        <v>200</v>
      </c>
      <c r="N44" s="27">
        <f t="shared" si="12"/>
        <v>400</v>
      </c>
    </row>
    <row r="45" spans="1:14" s="3" customFormat="1" ht="48.75" customHeight="1">
      <c r="A45" s="14" t="s">
        <v>341</v>
      </c>
      <c r="B45" s="15" t="s">
        <v>345</v>
      </c>
      <c r="C45" s="24" t="s">
        <v>346</v>
      </c>
      <c r="D45" s="14">
        <v>58</v>
      </c>
      <c r="E45" s="14">
        <v>130</v>
      </c>
      <c r="F45" s="14">
        <v>4</v>
      </c>
      <c r="G45" s="14">
        <f t="shared" si="14"/>
        <v>520</v>
      </c>
      <c r="H45" s="14">
        <v>1</v>
      </c>
      <c r="I45" s="27">
        <f t="shared" si="15"/>
        <v>2.3199999999999998</v>
      </c>
      <c r="J45" s="27">
        <f t="shared" si="8"/>
        <v>5.2</v>
      </c>
      <c r="K45" s="27">
        <f t="shared" si="9"/>
        <v>10.4</v>
      </c>
      <c r="L45" s="27">
        <f t="shared" si="10"/>
        <v>200</v>
      </c>
      <c r="M45" s="27">
        <f t="shared" si="10"/>
        <v>200</v>
      </c>
      <c r="N45" s="27">
        <f t="shared" si="12"/>
        <v>400</v>
      </c>
    </row>
    <row r="46" spans="1:14" s="3" customFormat="1" ht="48.75" customHeight="1">
      <c r="A46" s="14" t="s">
        <v>344</v>
      </c>
      <c r="B46" s="15" t="s">
        <v>348</v>
      </c>
      <c r="C46" s="24" t="s">
        <v>349</v>
      </c>
      <c r="D46" s="14">
        <f>E46/3</f>
        <v>11</v>
      </c>
      <c r="E46" s="14">
        <v>33</v>
      </c>
      <c r="F46" s="14">
        <v>4</v>
      </c>
      <c r="G46" s="14">
        <f t="shared" si="14"/>
        <v>132</v>
      </c>
      <c r="H46" s="14">
        <v>1</v>
      </c>
      <c r="I46" s="27">
        <f t="shared" si="15"/>
        <v>0.44</v>
      </c>
      <c r="J46" s="27">
        <f t="shared" si="8"/>
        <v>1.32</v>
      </c>
      <c r="K46" s="27">
        <f t="shared" si="9"/>
        <v>2.64</v>
      </c>
      <c r="L46" s="27">
        <f t="shared" si="10"/>
        <v>200</v>
      </c>
      <c r="M46" s="27">
        <f t="shared" si="10"/>
        <v>200</v>
      </c>
      <c r="N46" s="27">
        <f t="shared" si="12"/>
        <v>400</v>
      </c>
    </row>
    <row r="47" spans="1:14" s="3" customFormat="1" ht="48.75" customHeight="1">
      <c r="A47" s="14" t="s">
        <v>347</v>
      </c>
      <c r="B47" s="15" t="s">
        <v>351</v>
      </c>
      <c r="C47" s="24" t="s">
        <v>352</v>
      </c>
      <c r="D47" s="14">
        <v>7</v>
      </c>
      <c r="E47" s="14">
        <v>19</v>
      </c>
      <c r="F47" s="14">
        <v>4</v>
      </c>
      <c r="G47" s="14">
        <f t="shared" si="14"/>
        <v>76</v>
      </c>
      <c r="H47" s="14">
        <v>1</v>
      </c>
      <c r="I47" s="27">
        <f t="shared" si="15"/>
        <v>0.28000000000000003</v>
      </c>
      <c r="J47" s="27">
        <f t="shared" si="8"/>
        <v>0.76</v>
      </c>
      <c r="K47" s="27">
        <f t="shared" si="9"/>
        <v>1.52</v>
      </c>
      <c r="L47" s="27">
        <f t="shared" si="10"/>
        <v>199.99999999999997</v>
      </c>
      <c r="M47" s="27">
        <f t="shared" si="10"/>
        <v>200</v>
      </c>
      <c r="N47" s="27">
        <f t="shared" si="12"/>
        <v>400</v>
      </c>
    </row>
    <row r="48" spans="1:14" s="3" customFormat="1" ht="48.75" customHeight="1">
      <c r="A48" s="14" t="s">
        <v>350</v>
      </c>
      <c r="B48" s="15" t="s">
        <v>354</v>
      </c>
      <c r="C48" s="24" t="s">
        <v>355</v>
      </c>
      <c r="D48" s="14">
        <f t="shared" si="6"/>
        <v>80</v>
      </c>
      <c r="E48" s="14">
        <v>240</v>
      </c>
      <c r="F48" s="14">
        <v>4</v>
      </c>
      <c r="G48" s="14">
        <f t="shared" ref="G36:G69" si="16">E48*F48</f>
        <v>960</v>
      </c>
      <c r="H48" s="14">
        <v>1</v>
      </c>
      <c r="I48" s="27">
        <f t="shared" ref="I40:I61" si="17">IF(D48="","",D48*H$5*H48/D$5)</f>
        <v>3.2</v>
      </c>
      <c r="J48" s="27">
        <f t="shared" si="8"/>
        <v>9.6</v>
      </c>
      <c r="K48" s="27">
        <f t="shared" si="9"/>
        <v>19.2</v>
      </c>
      <c r="L48" s="27">
        <f t="shared" si="10"/>
        <v>200</v>
      </c>
      <c r="M48" s="27">
        <f t="shared" si="10"/>
        <v>200</v>
      </c>
      <c r="N48" s="27">
        <f t="shared" si="12"/>
        <v>400</v>
      </c>
    </row>
    <row r="49" spans="1:15" s="3" customFormat="1" ht="48.75" customHeight="1">
      <c r="A49" s="14" t="s">
        <v>353</v>
      </c>
      <c r="B49" s="15" t="s">
        <v>357</v>
      </c>
      <c r="C49" s="24" t="s">
        <v>358</v>
      </c>
      <c r="D49" s="14">
        <f t="shared" si="6"/>
        <v>99</v>
      </c>
      <c r="E49" s="14">
        <v>297</v>
      </c>
      <c r="F49" s="14">
        <v>4</v>
      </c>
      <c r="G49" s="14">
        <f t="shared" si="16"/>
        <v>1188</v>
      </c>
      <c r="H49" s="14">
        <v>1</v>
      </c>
      <c r="I49" s="27">
        <f t="shared" si="17"/>
        <v>3.96</v>
      </c>
      <c r="J49" s="27">
        <f t="shared" si="8"/>
        <v>11.88</v>
      </c>
      <c r="K49" s="27">
        <f t="shared" si="9"/>
        <v>23.76</v>
      </c>
      <c r="L49" s="27">
        <f t="shared" si="10"/>
        <v>200</v>
      </c>
      <c r="M49" s="27">
        <f t="shared" si="10"/>
        <v>200</v>
      </c>
      <c r="N49" s="27">
        <f t="shared" si="12"/>
        <v>400</v>
      </c>
    </row>
    <row r="50" spans="1:15" s="3" customFormat="1" ht="48.75" customHeight="1">
      <c r="A50" s="14" t="s">
        <v>356</v>
      </c>
      <c r="B50" s="17" t="s">
        <v>360</v>
      </c>
      <c r="C50" s="24" t="s">
        <v>361</v>
      </c>
      <c r="D50" s="14">
        <f t="shared" si="6"/>
        <v>5</v>
      </c>
      <c r="E50" s="14">
        <v>15</v>
      </c>
      <c r="F50" s="14">
        <v>4</v>
      </c>
      <c r="G50" s="14">
        <f t="shared" si="16"/>
        <v>60</v>
      </c>
      <c r="H50" s="14">
        <v>1</v>
      </c>
      <c r="I50" s="27">
        <f t="shared" si="17"/>
        <v>0.2</v>
      </c>
      <c r="J50" s="27">
        <f t="shared" si="8"/>
        <v>0.6</v>
      </c>
      <c r="K50" s="27">
        <f t="shared" si="9"/>
        <v>1.2</v>
      </c>
      <c r="L50" s="27">
        <f t="shared" si="10"/>
        <v>200</v>
      </c>
      <c r="M50" s="27">
        <f t="shared" si="10"/>
        <v>200</v>
      </c>
      <c r="N50" s="27">
        <f t="shared" si="12"/>
        <v>400</v>
      </c>
    </row>
    <row r="51" spans="1:15" s="3" customFormat="1" ht="48.75" customHeight="1">
      <c r="A51" s="14" t="s">
        <v>359</v>
      </c>
      <c r="B51" s="15" t="s">
        <v>363</v>
      </c>
      <c r="C51" s="24" t="s">
        <v>364</v>
      </c>
      <c r="D51" s="14">
        <v>4</v>
      </c>
      <c r="E51" s="14">
        <v>8</v>
      </c>
      <c r="F51" s="14">
        <v>4</v>
      </c>
      <c r="G51" s="14">
        <f t="shared" si="16"/>
        <v>32</v>
      </c>
      <c r="H51" s="14">
        <v>1</v>
      </c>
      <c r="I51" s="27">
        <f t="shared" si="17"/>
        <v>0.16</v>
      </c>
      <c r="J51" s="27">
        <f t="shared" si="8"/>
        <v>0.32</v>
      </c>
      <c r="K51" s="27">
        <f t="shared" si="9"/>
        <v>0.64</v>
      </c>
      <c r="L51" s="27">
        <f t="shared" si="10"/>
        <v>200</v>
      </c>
      <c r="M51" s="27">
        <f t="shared" si="10"/>
        <v>200</v>
      </c>
      <c r="N51" s="27">
        <f t="shared" si="12"/>
        <v>400</v>
      </c>
    </row>
    <row r="52" spans="1:15" s="3" customFormat="1" ht="48.75" customHeight="1">
      <c r="A52" s="14" t="s">
        <v>362</v>
      </c>
      <c r="B52" s="17" t="s">
        <v>366</v>
      </c>
      <c r="C52" s="24" t="s">
        <v>367</v>
      </c>
      <c r="D52" s="14">
        <v>28</v>
      </c>
      <c r="E52" s="14">
        <v>83</v>
      </c>
      <c r="F52" s="14">
        <v>4</v>
      </c>
      <c r="G52" s="14">
        <f t="shared" si="16"/>
        <v>332</v>
      </c>
      <c r="H52" s="14">
        <v>1</v>
      </c>
      <c r="I52" s="27">
        <f t="shared" si="17"/>
        <v>1.1200000000000001</v>
      </c>
      <c r="J52" s="27">
        <f t="shared" si="8"/>
        <v>3.32</v>
      </c>
      <c r="K52" s="27">
        <f t="shared" si="9"/>
        <v>6.64</v>
      </c>
      <c r="L52" s="27">
        <f t="shared" si="10"/>
        <v>199.99999999999997</v>
      </c>
      <c r="M52" s="27">
        <f t="shared" si="10"/>
        <v>200</v>
      </c>
      <c r="N52" s="27">
        <f t="shared" si="12"/>
        <v>400</v>
      </c>
    </row>
    <row r="53" spans="1:15" s="3" customFormat="1" ht="48.75" customHeight="1">
      <c r="A53" s="14" t="s">
        <v>365</v>
      </c>
      <c r="B53" s="17" t="s">
        <v>369</v>
      </c>
      <c r="C53" s="24" t="s">
        <v>370</v>
      </c>
      <c r="D53" s="14">
        <v>8</v>
      </c>
      <c r="E53" s="14">
        <v>19</v>
      </c>
      <c r="F53" s="14">
        <v>4</v>
      </c>
      <c r="G53" s="14">
        <f t="shared" si="16"/>
        <v>76</v>
      </c>
      <c r="H53" s="14">
        <v>1</v>
      </c>
      <c r="I53" s="27">
        <f t="shared" si="17"/>
        <v>0.32</v>
      </c>
      <c r="J53" s="27">
        <f t="shared" si="8"/>
        <v>0.76</v>
      </c>
      <c r="K53" s="27">
        <f t="shared" si="9"/>
        <v>1.52</v>
      </c>
      <c r="L53" s="27">
        <f t="shared" si="10"/>
        <v>200</v>
      </c>
      <c r="M53" s="27">
        <f t="shared" si="10"/>
        <v>200</v>
      </c>
      <c r="N53" s="27">
        <f t="shared" si="12"/>
        <v>400</v>
      </c>
    </row>
    <row r="54" spans="1:15" s="3" customFormat="1" ht="48.75" customHeight="1">
      <c r="A54" s="14" t="s">
        <v>368</v>
      </c>
      <c r="B54" s="17" t="s">
        <v>372</v>
      </c>
      <c r="C54" s="24" t="s">
        <v>373</v>
      </c>
      <c r="D54" s="14">
        <v>5</v>
      </c>
      <c r="E54" s="14">
        <v>7</v>
      </c>
      <c r="F54" s="14">
        <v>4</v>
      </c>
      <c r="G54" s="14">
        <f t="shared" si="16"/>
        <v>28</v>
      </c>
      <c r="H54" s="14">
        <v>1</v>
      </c>
      <c r="I54" s="27">
        <f t="shared" si="17"/>
        <v>0.2</v>
      </c>
      <c r="J54" s="27">
        <f t="shared" si="8"/>
        <v>0.28000000000000003</v>
      </c>
      <c r="K54" s="27">
        <f t="shared" si="9"/>
        <v>0.56000000000000005</v>
      </c>
      <c r="L54" s="27">
        <f t="shared" si="10"/>
        <v>200</v>
      </c>
      <c r="M54" s="27">
        <f t="shared" si="10"/>
        <v>199.99999999999997</v>
      </c>
      <c r="N54" s="27">
        <f t="shared" si="12"/>
        <v>399.99999999999994</v>
      </c>
    </row>
    <row r="55" spans="1:15" s="3" customFormat="1" ht="48.75" customHeight="1">
      <c r="A55" s="14" t="s">
        <v>371</v>
      </c>
      <c r="B55" s="15" t="s">
        <v>375</v>
      </c>
      <c r="C55" s="24" t="s">
        <v>376</v>
      </c>
      <c r="D55" s="14">
        <f t="shared" si="6"/>
        <v>1</v>
      </c>
      <c r="E55" s="14">
        <v>3</v>
      </c>
      <c r="F55" s="14">
        <v>4</v>
      </c>
      <c r="G55" s="14">
        <f t="shared" si="16"/>
        <v>12</v>
      </c>
      <c r="H55" s="14">
        <v>1</v>
      </c>
      <c r="I55" s="27">
        <f t="shared" si="17"/>
        <v>0.04</v>
      </c>
      <c r="J55" s="27">
        <f t="shared" si="8"/>
        <v>0.12</v>
      </c>
      <c r="K55" s="27">
        <f t="shared" si="9"/>
        <v>0.24</v>
      </c>
      <c r="L55" s="27">
        <f t="shared" si="10"/>
        <v>200</v>
      </c>
      <c r="M55" s="27">
        <f t="shared" si="10"/>
        <v>200</v>
      </c>
      <c r="N55" s="27">
        <f t="shared" si="12"/>
        <v>400</v>
      </c>
    </row>
    <row r="56" spans="1:15" s="3" customFormat="1" ht="48.75" customHeight="1">
      <c r="A56" s="14" t="s">
        <v>374</v>
      </c>
      <c r="B56" s="15" t="s">
        <v>378</v>
      </c>
      <c r="C56" s="24" t="s">
        <v>379</v>
      </c>
      <c r="D56" s="14">
        <v>17</v>
      </c>
      <c r="E56" s="14">
        <v>50</v>
      </c>
      <c r="F56" s="14">
        <v>3.5</v>
      </c>
      <c r="G56" s="14">
        <f t="shared" si="16"/>
        <v>175</v>
      </c>
      <c r="H56" s="14">
        <v>1</v>
      </c>
      <c r="I56" s="27">
        <f t="shared" si="17"/>
        <v>0.68</v>
      </c>
      <c r="J56" s="27">
        <f t="shared" si="8"/>
        <v>2</v>
      </c>
      <c r="K56" s="27">
        <f t="shared" si="9"/>
        <v>3.5</v>
      </c>
      <c r="L56" s="27">
        <f t="shared" si="10"/>
        <v>199.99999999999997</v>
      </c>
      <c r="M56" s="27">
        <f t="shared" si="10"/>
        <v>200</v>
      </c>
      <c r="N56" s="27">
        <f t="shared" si="12"/>
        <v>400</v>
      </c>
    </row>
    <row r="57" spans="1:15" s="3" customFormat="1" ht="48.75" customHeight="1">
      <c r="A57" s="14" t="s">
        <v>377</v>
      </c>
      <c r="B57" s="17" t="s">
        <v>381</v>
      </c>
      <c r="C57" s="24" t="s">
        <v>382</v>
      </c>
      <c r="D57" s="14">
        <f t="shared" si="6"/>
        <v>5</v>
      </c>
      <c r="E57" s="14">
        <v>15</v>
      </c>
      <c r="F57" s="14">
        <v>4</v>
      </c>
      <c r="G57" s="14">
        <f t="shared" si="16"/>
        <v>60</v>
      </c>
      <c r="H57" s="14">
        <v>2</v>
      </c>
      <c r="I57" s="27">
        <f t="shared" si="17"/>
        <v>0.4</v>
      </c>
      <c r="J57" s="27">
        <f t="shared" si="8"/>
        <v>1.2</v>
      </c>
      <c r="K57" s="27">
        <f t="shared" si="9"/>
        <v>2.4</v>
      </c>
      <c r="L57" s="27">
        <f t="shared" si="10"/>
        <v>100</v>
      </c>
      <c r="M57" s="27">
        <f t="shared" si="10"/>
        <v>100</v>
      </c>
      <c r="N57" s="27">
        <f t="shared" si="12"/>
        <v>200</v>
      </c>
    </row>
    <row r="58" spans="1:15" s="3" customFormat="1" ht="48.75" customHeight="1">
      <c r="A58" s="14" t="s">
        <v>380</v>
      </c>
      <c r="B58" s="15" t="s">
        <v>384</v>
      </c>
      <c r="C58" s="24">
        <v>2</v>
      </c>
      <c r="D58" s="14">
        <v>2</v>
      </c>
      <c r="E58" s="14">
        <v>2</v>
      </c>
      <c r="F58" s="14">
        <v>3.5</v>
      </c>
      <c r="G58" s="14">
        <f t="shared" si="16"/>
        <v>7</v>
      </c>
      <c r="H58" s="14">
        <v>1</v>
      </c>
      <c r="I58" s="27">
        <f t="shared" si="17"/>
        <v>0.08</v>
      </c>
      <c r="J58" s="27">
        <f t="shared" si="8"/>
        <v>0.08</v>
      </c>
      <c r="K58" s="27">
        <f t="shared" si="9"/>
        <v>0.14000000000000001</v>
      </c>
      <c r="L58" s="27">
        <f t="shared" si="10"/>
        <v>200</v>
      </c>
      <c r="M58" s="27">
        <f t="shared" si="10"/>
        <v>200</v>
      </c>
      <c r="N58" s="27">
        <f t="shared" si="12"/>
        <v>399.99999999999994</v>
      </c>
    </row>
    <row r="59" spans="1:15" s="3" customFormat="1" ht="48.75" customHeight="1">
      <c r="A59" s="14" t="s">
        <v>383</v>
      </c>
      <c r="B59" s="15" t="s">
        <v>386</v>
      </c>
      <c r="C59" s="24" t="s">
        <v>387</v>
      </c>
      <c r="D59" s="14">
        <v>6</v>
      </c>
      <c r="E59" s="14">
        <v>16</v>
      </c>
      <c r="F59" s="14">
        <v>4</v>
      </c>
      <c r="G59" s="14">
        <f t="shared" si="16"/>
        <v>64</v>
      </c>
      <c r="H59" s="14">
        <v>1</v>
      </c>
      <c r="I59" s="27">
        <f t="shared" si="17"/>
        <v>0.24</v>
      </c>
      <c r="J59" s="27">
        <f t="shared" si="8"/>
        <v>0.64</v>
      </c>
      <c r="K59" s="27">
        <f t="shared" si="9"/>
        <v>1.28</v>
      </c>
      <c r="L59" s="27">
        <f t="shared" si="10"/>
        <v>200</v>
      </c>
      <c r="M59" s="27">
        <f t="shared" si="10"/>
        <v>200</v>
      </c>
      <c r="N59" s="27">
        <f t="shared" si="12"/>
        <v>400</v>
      </c>
    </row>
    <row r="60" spans="1:15" s="3" customFormat="1" ht="48.75" customHeight="1">
      <c r="A60" s="14" t="s">
        <v>385</v>
      </c>
      <c r="B60" s="15" t="s">
        <v>389</v>
      </c>
      <c r="C60" s="24" t="s">
        <v>390</v>
      </c>
      <c r="D60" s="14">
        <v>7</v>
      </c>
      <c r="E60" s="14">
        <v>20</v>
      </c>
      <c r="F60" s="14">
        <v>4</v>
      </c>
      <c r="G60" s="14">
        <f t="shared" si="16"/>
        <v>80</v>
      </c>
      <c r="H60" s="14">
        <v>1</v>
      </c>
      <c r="I60" s="27">
        <f t="shared" si="17"/>
        <v>0.28000000000000003</v>
      </c>
      <c r="J60" s="27">
        <f t="shared" si="8"/>
        <v>0.8</v>
      </c>
      <c r="K60" s="27">
        <f t="shared" si="9"/>
        <v>1.6</v>
      </c>
      <c r="L60" s="27">
        <f t="shared" si="10"/>
        <v>199.99999999999997</v>
      </c>
      <c r="M60" s="27">
        <f t="shared" si="10"/>
        <v>200</v>
      </c>
      <c r="N60" s="27">
        <f t="shared" si="12"/>
        <v>400</v>
      </c>
    </row>
    <row r="61" spans="1:15" s="3" customFormat="1" ht="48.75" customHeight="1">
      <c r="A61" s="14" t="s">
        <v>388</v>
      </c>
      <c r="B61" s="15" t="s">
        <v>392</v>
      </c>
      <c r="C61" s="24" t="s">
        <v>393</v>
      </c>
      <c r="D61" s="14">
        <v>44</v>
      </c>
      <c r="E61" s="14">
        <v>130</v>
      </c>
      <c r="F61" s="14">
        <v>4</v>
      </c>
      <c r="G61" s="14">
        <f t="shared" si="16"/>
        <v>520</v>
      </c>
      <c r="H61" s="14">
        <v>1</v>
      </c>
      <c r="I61" s="27">
        <f t="shared" si="17"/>
        <v>1.76</v>
      </c>
      <c r="J61" s="27">
        <f t="shared" si="8"/>
        <v>5.2</v>
      </c>
      <c r="K61" s="27">
        <f t="shared" si="9"/>
        <v>10.4</v>
      </c>
      <c r="L61" s="27">
        <f t="shared" si="10"/>
        <v>200</v>
      </c>
      <c r="M61" s="27">
        <f t="shared" si="10"/>
        <v>200</v>
      </c>
      <c r="N61" s="27">
        <f t="shared" si="12"/>
        <v>400</v>
      </c>
    </row>
    <row r="62" spans="1:15" s="3" customFormat="1" ht="48.75" customHeight="1">
      <c r="A62" s="14" t="s">
        <v>391</v>
      </c>
      <c r="B62" s="17" t="s">
        <v>395</v>
      </c>
      <c r="C62" s="24" t="s">
        <v>396</v>
      </c>
      <c r="D62" s="14">
        <v>43</v>
      </c>
      <c r="E62" s="14">
        <v>128</v>
      </c>
      <c r="F62" s="14">
        <v>4</v>
      </c>
      <c r="G62" s="14">
        <f t="shared" si="16"/>
        <v>512</v>
      </c>
      <c r="H62" s="14">
        <v>1</v>
      </c>
      <c r="I62" s="27">
        <f>IF(E62="","",E62*H$5*H62/D$5)</f>
        <v>5.12</v>
      </c>
      <c r="J62" s="27">
        <f t="shared" si="8"/>
        <v>5.12</v>
      </c>
      <c r="K62" s="27">
        <f t="shared" si="9"/>
        <v>10.24</v>
      </c>
      <c r="L62" s="27">
        <f t="shared" si="10"/>
        <v>67.1875</v>
      </c>
      <c r="M62" s="27">
        <f t="shared" si="10"/>
        <v>200</v>
      </c>
      <c r="N62" s="27">
        <f t="shared" si="12"/>
        <v>400</v>
      </c>
    </row>
    <row r="63" spans="1:15" s="3" customFormat="1" ht="48.75" customHeight="1">
      <c r="A63" s="14" t="s">
        <v>394</v>
      </c>
      <c r="B63" s="15" t="s">
        <v>398</v>
      </c>
      <c r="C63" s="25" t="s">
        <v>399</v>
      </c>
      <c r="D63" s="14">
        <v>40</v>
      </c>
      <c r="E63" s="14">
        <v>130</v>
      </c>
      <c r="F63" s="14">
        <v>4</v>
      </c>
      <c r="G63" s="14">
        <f t="shared" si="16"/>
        <v>520</v>
      </c>
      <c r="H63" s="14">
        <v>1.2</v>
      </c>
      <c r="I63" s="27">
        <f t="shared" ref="I63:I68" si="18">IF(D63="","",D63*H$5*H63/D$5)</f>
        <v>1.92</v>
      </c>
      <c r="J63" s="27">
        <f t="shared" si="8"/>
        <v>6.24</v>
      </c>
      <c r="K63" s="27">
        <f t="shared" si="9"/>
        <v>12.48</v>
      </c>
      <c r="L63" s="27">
        <f t="shared" si="10"/>
        <v>166.66666666666669</v>
      </c>
      <c r="M63" s="27">
        <f t="shared" si="10"/>
        <v>166.66666666666666</v>
      </c>
      <c r="N63" s="27">
        <f t="shared" si="12"/>
        <v>333.33333333333331</v>
      </c>
      <c r="O63" s="3" t="s">
        <v>400</v>
      </c>
    </row>
    <row r="64" spans="1:15" s="3" customFormat="1" ht="48.75" customHeight="1">
      <c r="A64" s="14" t="s">
        <v>397</v>
      </c>
      <c r="B64" s="15" t="s">
        <v>402</v>
      </c>
      <c r="C64" s="28" t="s">
        <v>403</v>
      </c>
      <c r="D64" s="14">
        <v>150</v>
      </c>
      <c r="E64" s="14">
        <v>438</v>
      </c>
      <c r="F64" s="14">
        <v>4</v>
      </c>
      <c r="G64" s="14">
        <f t="shared" si="16"/>
        <v>1752</v>
      </c>
      <c r="H64" s="14">
        <v>0.8</v>
      </c>
      <c r="I64" s="27">
        <f t="shared" si="18"/>
        <v>4.8</v>
      </c>
      <c r="J64" s="27">
        <f t="shared" si="8"/>
        <v>14.016000000000002</v>
      </c>
      <c r="K64" s="27">
        <f t="shared" si="9"/>
        <v>28.032000000000004</v>
      </c>
      <c r="L64" s="27">
        <f t="shared" si="10"/>
        <v>250</v>
      </c>
      <c r="M64" s="27">
        <f t="shared" si="10"/>
        <v>249.99999999999997</v>
      </c>
      <c r="N64" s="27">
        <f t="shared" si="12"/>
        <v>499.99999999999994</v>
      </c>
    </row>
    <row r="65" spans="1:14" s="3" customFormat="1" ht="48.75" customHeight="1">
      <c r="A65" s="14" t="s">
        <v>401</v>
      </c>
      <c r="B65" s="17" t="s">
        <v>405</v>
      </c>
      <c r="C65" s="18" t="s">
        <v>406</v>
      </c>
      <c r="D65" s="14">
        <v>14</v>
      </c>
      <c r="E65" s="14">
        <v>48</v>
      </c>
      <c r="F65" s="14">
        <v>4</v>
      </c>
      <c r="G65" s="14">
        <f t="shared" si="16"/>
        <v>192</v>
      </c>
      <c r="H65" s="14">
        <v>0.8</v>
      </c>
      <c r="I65" s="27">
        <f t="shared" si="18"/>
        <v>0.44800000000000006</v>
      </c>
      <c r="J65" s="27">
        <f t="shared" si="8"/>
        <v>1.5360000000000003</v>
      </c>
      <c r="K65" s="27">
        <f t="shared" si="9"/>
        <v>3.0720000000000005</v>
      </c>
      <c r="L65" s="27">
        <f t="shared" si="10"/>
        <v>249.99999999999997</v>
      </c>
      <c r="M65" s="27">
        <f t="shared" si="10"/>
        <v>249.99999999999997</v>
      </c>
      <c r="N65" s="27">
        <f t="shared" si="12"/>
        <v>499.99999999999994</v>
      </c>
    </row>
    <row r="66" spans="1:14" s="3" customFormat="1" ht="48.75" customHeight="1">
      <c r="A66" s="14" t="s">
        <v>404</v>
      </c>
      <c r="B66" s="15" t="s">
        <v>408</v>
      </c>
      <c r="C66" s="16" t="s">
        <v>409</v>
      </c>
      <c r="D66" s="14">
        <v>22</v>
      </c>
      <c r="E66" s="14">
        <v>78</v>
      </c>
      <c r="F66" s="14">
        <v>4</v>
      </c>
      <c r="G66" s="14">
        <f t="shared" si="16"/>
        <v>312</v>
      </c>
      <c r="H66" s="14">
        <v>0.8</v>
      </c>
      <c r="I66" s="27">
        <f t="shared" si="18"/>
        <v>0.70400000000000007</v>
      </c>
      <c r="J66" s="27">
        <f t="shared" si="8"/>
        <v>2.4960000000000004</v>
      </c>
      <c r="K66" s="27">
        <f t="shared" si="9"/>
        <v>4.9920000000000009</v>
      </c>
      <c r="L66" s="27">
        <f t="shared" si="10"/>
        <v>249.99999999999997</v>
      </c>
      <c r="M66" s="27">
        <f t="shared" si="10"/>
        <v>249.99999999999994</v>
      </c>
      <c r="N66" s="27">
        <f t="shared" si="12"/>
        <v>499.99999999999989</v>
      </c>
    </row>
    <row r="67" spans="1:14" s="3" customFormat="1" ht="48.75" customHeight="1">
      <c r="A67" s="14" t="s">
        <v>407</v>
      </c>
      <c r="B67" s="15" t="s">
        <v>411</v>
      </c>
      <c r="C67" s="19" t="s">
        <v>412</v>
      </c>
      <c r="D67" s="14">
        <v>41</v>
      </c>
      <c r="E67" s="14">
        <v>134</v>
      </c>
      <c r="F67" s="14">
        <v>4</v>
      </c>
      <c r="G67" s="14">
        <f t="shared" si="16"/>
        <v>536</v>
      </c>
      <c r="H67" s="14">
        <v>0.8</v>
      </c>
      <c r="I67" s="27">
        <f t="shared" si="18"/>
        <v>1.3120000000000003</v>
      </c>
      <c r="J67" s="27">
        <f t="shared" si="8"/>
        <v>4.2880000000000003</v>
      </c>
      <c r="K67" s="27">
        <f t="shared" si="9"/>
        <v>8.5760000000000005</v>
      </c>
      <c r="L67" s="27">
        <f t="shared" si="10"/>
        <v>249.99999999999994</v>
      </c>
      <c r="M67" s="27">
        <f t="shared" si="10"/>
        <v>249.99999999999997</v>
      </c>
      <c r="N67" s="27">
        <f t="shared" si="12"/>
        <v>499.99999999999994</v>
      </c>
    </row>
    <row r="68" spans="1:14" s="3" customFormat="1" ht="48.75" customHeight="1">
      <c r="A68" s="14" t="s">
        <v>410</v>
      </c>
      <c r="B68" s="15" t="s">
        <v>414</v>
      </c>
      <c r="C68" s="19" t="s">
        <v>415</v>
      </c>
      <c r="D68" s="14">
        <v>200</v>
      </c>
      <c r="E68" s="14">
        <v>624</v>
      </c>
      <c r="F68" s="14">
        <v>4</v>
      </c>
      <c r="G68" s="14">
        <f t="shared" si="16"/>
        <v>2496</v>
      </c>
      <c r="H68" s="14">
        <v>1.2</v>
      </c>
      <c r="I68" s="27">
        <f t="shared" si="18"/>
        <v>9.6</v>
      </c>
      <c r="J68" s="27">
        <f t="shared" si="8"/>
        <v>29.951999999999998</v>
      </c>
      <c r="K68" s="27">
        <f t="shared" si="9"/>
        <v>59.903999999999996</v>
      </c>
      <c r="L68" s="27">
        <f t="shared" si="10"/>
        <v>166.66666666666669</v>
      </c>
      <c r="M68" s="27">
        <f t="shared" si="10"/>
        <v>166.66666666666669</v>
      </c>
      <c r="N68" s="27">
        <f t="shared" si="12"/>
        <v>333.33333333333337</v>
      </c>
    </row>
    <row r="69" spans="1:14" s="3" customFormat="1" ht="48.75" customHeight="1">
      <c r="A69" s="14" t="s">
        <v>413</v>
      </c>
      <c r="B69" s="15" t="s">
        <v>416</v>
      </c>
      <c r="C69" s="19" t="s">
        <v>417</v>
      </c>
      <c r="D69" s="14">
        <v>72</v>
      </c>
      <c r="E69" s="14">
        <v>216</v>
      </c>
      <c r="F69" s="14">
        <v>4</v>
      </c>
      <c r="G69" s="14">
        <f t="shared" si="16"/>
        <v>864</v>
      </c>
      <c r="H69" s="14">
        <v>1.2</v>
      </c>
      <c r="I69" s="27">
        <f t="shared" ref="I69" si="19">IF(D69="","",D69*H$5*H69/D$5)</f>
        <v>3.4559999999999995</v>
      </c>
      <c r="J69" s="27">
        <f t="shared" ref="J69" si="20">IF(E69="","",E69*H$6*H69/D$6)</f>
        <v>10.368</v>
      </c>
      <c r="K69" s="27">
        <f t="shared" ref="K69" si="21">G69*H$7*H69/D$7</f>
        <v>20.736000000000001</v>
      </c>
      <c r="L69" s="27">
        <f t="shared" ref="L69" si="22">D69/I69*8</f>
        <v>166.66666666666669</v>
      </c>
      <c r="M69" s="27">
        <f t="shared" ref="M69" si="23">E69/J69*8</f>
        <v>166.66666666666666</v>
      </c>
      <c r="N69" s="27">
        <f t="shared" ref="N69" si="24">G69/K69*8</f>
        <v>333.33333333333331</v>
      </c>
    </row>
    <row r="70" spans="1:14" s="3" customFormat="1" ht="48.75" customHeight="1">
      <c r="A70" s="14" t="s">
        <v>418</v>
      </c>
      <c r="B70" s="22" t="s">
        <v>419</v>
      </c>
      <c r="C70" s="20" t="s">
        <v>420</v>
      </c>
      <c r="D70" s="14">
        <v>2</v>
      </c>
      <c r="E70" s="14">
        <v>2</v>
      </c>
      <c r="F70" s="14">
        <v>2</v>
      </c>
      <c r="G70" s="14">
        <v>4733</v>
      </c>
      <c r="H70" s="14">
        <v>0.8</v>
      </c>
      <c r="I70" s="27">
        <f t="shared" si="7"/>
        <v>6.4000000000000001E-2</v>
      </c>
      <c r="J70" s="27">
        <f t="shared" si="8"/>
        <v>6.4000000000000001E-2</v>
      </c>
      <c r="K70" s="27">
        <f t="shared" si="9"/>
        <v>75.728000000000009</v>
      </c>
      <c r="L70" s="27">
        <f t="shared" si="10"/>
        <v>250</v>
      </c>
      <c r="M70" s="27">
        <f t="shared" si="11"/>
        <v>250</v>
      </c>
      <c r="N70" s="27">
        <f t="shared" si="12"/>
        <v>499.99999999999994</v>
      </c>
    </row>
    <row r="71" spans="1:14" s="3" customFormat="1" ht="15" customHeight="1">
      <c r="A71" s="121" t="s">
        <v>421</v>
      </c>
      <c r="B71" s="122"/>
      <c r="C71" s="123"/>
      <c r="D71" s="11">
        <f>SUM(D11:D70)</f>
        <v>1666</v>
      </c>
      <c r="E71" s="11">
        <f>SUM(E11:E70)</f>
        <v>4733</v>
      </c>
      <c r="F71" s="11"/>
      <c r="G71" s="11">
        <f>SUM(G11:G70)</f>
        <v>28256</v>
      </c>
      <c r="H71" s="11"/>
      <c r="I71" s="31">
        <f>SUM(I11:I70)</f>
        <v>67.971999999999994</v>
      </c>
      <c r="J71" s="31">
        <f>SUM(J11:J70)</f>
        <v>194.624</v>
      </c>
      <c r="K71" s="31">
        <f>SUM(K11:K70)</f>
        <v>556.71399999999994</v>
      </c>
      <c r="L71" s="31">
        <f>D71/I71*8</f>
        <v>196.0807391278762</v>
      </c>
      <c r="M71" s="31">
        <f t="shared" si="11"/>
        <v>194.54949029924367</v>
      </c>
      <c r="N71" s="31">
        <f t="shared" si="12"/>
        <v>406.03972596342112</v>
      </c>
    </row>
    <row r="72" spans="1:14">
      <c r="A72" s="30"/>
    </row>
    <row r="73" spans="1:14">
      <c r="A73" s="30"/>
    </row>
    <row r="74" spans="1:14">
      <c r="A74" s="30"/>
      <c r="H74" s="5"/>
    </row>
    <row r="75" spans="1:14">
      <c r="A75" s="30"/>
    </row>
  </sheetData>
  <mergeCells count="13">
    <mergeCell ref="A9:K9"/>
    <mergeCell ref="A71:C71"/>
    <mergeCell ref="E6:G6"/>
    <mergeCell ref="I6:J6"/>
    <mergeCell ref="E7:G7"/>
    <mergeCell ref="I7:J7"/>
    <mergeCell ref="A8:K8"/>
    <mergeCell ref="A1:K1"/>
    <mergeCell ref="A2:K2"/>
    <mergeCell ref="E3:F3"/>
    <mergeCell ref="A4:K4"/>
    <mergeCell ref="E5:G5"/>
    <mergeCell ref="I5:J5"/>
  </mergeCells>
  <phoneticPr fontId="30" type="noConversion"/>
  <dataValidations count="1">
    <dataValidation type="list" allowBlank="1" showInputMessage="1" showErrorMessage="1" sqref="C3">
      <formula1>"经验估计法,类比法,WBS估算法,Delphi法,PERT估计法"</formula1>
    </dataValidation>
  </dataValidations>
  <pageMargins left="0.69930555555555596" right="0.69930555555555596" top="0.75" bottom="0.75" header="0.3" footer="0.3"/>
  <pageSetup paperSize="9" orientation="portrait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75"/>
  <sheetViews>
    <sheetView showGridLines="0" workbookViewId="0">
      <pane xSplit="1" ySplit="10" topLeftCell="D71" activePane="bottomRight" state="frozen"/>
      <selection pane="topRight"/>
      <selection pane="bottomLeft"/>
      <selection pane="bottomRight" activeCell="A11" sqref="A11:H70"/>
    </sheetView>
  </sheetViews>
  <sheetFormatPr defaultColWidth="8.88671875" defaultRowHeight="12"/>
  <cols>
    <col min="1" max="1" width="9.88671875" style="4" customWidth="1"/>
    <col min="2" max="2" width="23.44140625" style="5" customWidth="1"/>
    <col min="3" max="3" width="31.77734375" style="5" customWidth="1"/>
    <col min="4" max="4" width="7.21875" style="4" customWidth="1"/>
    <col min="5" max="5" width="6.5546875" style="4" customWidth="1"/>
    <col min="6" max="6" width="6" style="4" customWidth="1"/>
    <col min="7" max="7" width="6.77734375" style="4" customWidth="1"/>
    <col min="8" max="8" width="10.33203125" style="4" customWidth="1"/>
    <col min="9" max="9" width="10" style="4" customWidth="1"/>
    <col min="10" max="10" width="10.77734375" style="4" customWidth="1"/>
    <col min="11" max="11" width="14.6640625" style="4" customWidth="1"/>
    <col min="12" max="16384" width="8.88671875" style="4"/>
  </cols>
  <sheetData>
    <row r="1" spans="1:14" ht="22.5">
      <c r="A1" s="113" t="s">
        <v>422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</row>
    <row r="2" spans="1:14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</row>
    <row r="3" spans="1:14" ht="12.75">
      <c r="B3" s="6" t="s">
        <v>165</v>
      </c>
      <c r="C3" s="7" t="s">
        <v>210</v>
      </c>
      <c r="D3" s="8" t="s">
        <v>211</v>
      </c>
      <c r="E3" s="115">
        <v>43298</v>
      </c>
      <c r="F3" s="116"/>
      <c r="G3" s="8" t="s">
        <v>212</v>
      </c>
      <c r="H3" s="9" t="s">
        <v>423</v>
      </c>
    </row>
    <row r="4" spans="1:14" ht="18.75">
      <c r="A4" s="117" t="s">
        <v>214</v>
      </c>
      <c r="B4" s="117"/>
      <c r="C4" s="117"/>
      <c r="D4" s="117"/>
      <c r="E4" s="117"/>
      <c r="F4" s="117"/>
      <c r="G4" s="117"/>
      <c r="H4" s="117"/>
      <c r="I4" s="117"/>
      <c r="J4" s="117"/>
      <c r="K4" s="117"/>
    </row>
    <row r="5" spans="1:14" ht="12.75" customHeight="1">
      <c r="A5" s="10" t="s">
        <v>424</v>
      </c>
      <c r="B5" s="11">
        <f>SUM(D11:D70)</f>
        <v>1666</v>
      </c>
      <c r="C5" s="10" t="s">
        <v>216</v>
      </c>
      <c r="D5" s="12">
        <v>25</v>
      </c>
      <c r="E5" s="118" t="s">
        <v>217</v>
      </c>
      <c r="F5" s="118"/>
      <c r="G5" s="118"/>
      <c r="H5" s="12">
        <v>1</v>
      </c>
      <c r="I5" s="118" t="s">
        <v>218</v>
      </c>
      <c r="J5" s="118"/>
      <c r="K5" s="26">
        <f>IF(I71="","",I71)</f>
        <v>71.451999999999984</v>
      </c>
    </row>
    <row r="6" spans="1:14" s="1" customFormat="1" ht="12.75" customHeight="1">
      <c r="A6" s="10" t="s">
        <v>425</v>
      </c>
      <c r="B6" s="11">
        <f>SUM(E11:E70)</f>
        <v>4733</v>
      </c>
      <c r="C6" s="10" t="s">
        <v>220</v>
      </c>
      <c r="D6" s="12">
        <v>25</v>
      </c>
      <c r="E6" s="118" t="s">
        <v>221</v>
      </c>
      <c r="F6" s="118"/>
      <c r="G6" s="118"/>
      <c r="H6" s="12">
        <v>1</v>
      </c>
      <c r="I6" s="118" t="s">
        <v>222</v>
      </c>
      <c r="J6" s="118"/>
      <c r="K6" s="26">
        <f>IF(J71="","",J71)</f>
        <v>194.624</v>
      </c>
    </row>
    <row r="7" spans="1:14" s="1" customFormat="1" ht="12.75" customHeight="1">
      <c r="A7" s="10" t="s">
        <v>223</v>
      </c>
      <c r="B7" s="11">
        <f>SUM(G11:G70)</f>
        <v>28256</v>
      </c>
      <c r="C7" s="10" t="s">
        <v>224</v>
      </c>
      <c r="D7" s="12">
        <v>50</v>
      </c>
      <c r="E7" s="118" t="s">
        <v>225</v>
      </c>
      <c r="F7" s="118"/>
      <c r="G7" s="118"/>
      <c r="H7" s="12">
        <v>1</v>
      </c>
      <c r="I7" s="118" t="s">
        <v>226</v>
      </c>
      <c r="J7" s="118"/>
      <c r="K7" s="26">
        <f>IF(K71="","",K71)</f>
        <v>556.71399999999994</v>
      </c>
    </row>
    <row r="8" spans="1:14" s="1" customFormat="1" ht="3.75" customHeight="1">
      <c r="A8" s="119"/>
      <c r="B8" s="119"/>
      <c r="C8" s="119"/>
      <c r="D8" s="119"/>
      <c r="E8" s="119"/>
      <c r="F8" s="119"/>
      <c r="G8" s="119"/>
      <c r="H8" s="119"/>
      <c r="I8" s="119"/>
      <c r="J8" s="119"/>
      <c r="K8" s="119"/>
    </row>
    <row r="9" spans="1:14" s="1" customFormat="1" ht="13.5" customHeight="1">
      <c r="A9" s="120" t="s">
        <v>227</v>
      </c>
      <c r="B9" s="120"/>
      <c r="C9" s="120"/>
      <c r="D9" s="120"/>
      <c r="E9" s="120"/>
      <c r="F9" s="120"/>
      <c r="G9" s="120"/>
      <c r="H9" s="120"/>
      <c r="I9" s="120"/>
      <c r="J9" s="120"/>
      <c r="K9" s="120"/>
    </row>
    <row r="10" spans="1:14" s="2" customFormat="1" ht="36">
      <c r="A10" s="13" t="s">
        <v>228</v>
      </c>
      <c r="B10" s="13" t="s">
        <v>229</v>
      </c>
      <c r="C10" s="13" t="s">
        <v>230</v>
      </c>
      <c r="D10" s="13" t="s">
        <v>231</v>
      </c>
      <c r="E10" s="13" t="s">
        <v>232</v>
      </c>
      <c r="F10" s="13" t="s">
        <v>233</v>
      </c>
      <c r="G10" s="13" t="s">
        <v>234</v>
      </c>
      <c r="H10" s="13" t="s">
        <v>235</v>
      </c>
      <c r="I10" s="13" t="s">
        <v>236</v>
      </c>
      <c r="J10" s="13" t="s">
        <v>237</v>
      </c>
      <c r="K10" s="13" t="s">
        <v>238</v>
      </c>
      <c r="L10" s="13" t="s">
        <v>426</v>
      </c>
      <c r="M10" s="13" t="s">
        <v>427</v>
      </c>
      <c r="N10" s="13" t="s">
        <v>428</v>
      </c>
    </row>
    <row r="11" spans="1:14" s="3" customFormat="1" ht="48.75" customHeight="1">
      <c r="A11" s="14" t="s">
        <v>242</v>
      </c>
      <c r="B11" s="15" t="s">
        <v>243</v>
      </c>
      <c r="C11" s="16" t="s">
        <v>244</v>
      </c>
      <c r="D11" s="14">
        <v>5</v>
      </c>
      <c r="E11" s="14">
        <v>7</v>
      </c>
      <c r="F11" s="14">
        <v>2</v>
      </c>
      <c r="G11" s="14">
        <f>E11*F11</f>
        <v>14</v>
      </c>
      <c r="H11" s="14">
        <v>0.8</v>
      </c>
      <c r="I11" s="27">
        <f t="shared" ref="I11:I70" si="0">IF(D11="","",D11*H$5*H11/D$5)</f>
        <v>0.16</v>
      </c>
      <c r="J11" s="27">
        <f t="shared" ref="J11:J70" si="1">IF(E11="","",E11*H$6*H11/D$6)</f>
        <v>0.22400000000000003</v>
      </c>
      <c r="K11" s="27">
        <f t="shared" ref="K11:K70" si="2">G11*H$7*H11/D$7</f>
        <v>0.22400000000000003</v>
      </c>
      <c r="L11" s="27">
        <f t="shared" ref="L11:M30" si="3">D11/I11*8</f>
        <v>250</v>
      </c>
      <c r="M11" s="27">
        <f t="shared" si="3"/>
        <v>249.99999999999997</v>
      </c>
      <c r="N11" s="27">
        <f t="shared" ref="N11:N70" si="4">G11/K11*8</f>
        <v>499.99999999999994</v>
      </c>
    </row>
    <row r="12" spans="1:14" s="3" customFormat="1" ht="48.75" customHeight="1">
      <c r="A12" s="14" t="s">
        <v>245</v>
      </c>
      <c r="B12" s="15" t="s">
        <v>246</v>
      </c>
      <c r="C12" s="16" t="s">
        <v>247</v>
      </c>
      <c r="D12" s="14">
        <v>2</v>
      </c>
      <c r="E12" s="14">
        <v>2</v>
      </c>
      <c r="F12" s="14">
        <v>2.5</v>
      </c>
      <c r="G12" s="14">
        <f>E12*F12</f>
        <v>5</v>
      </c>
      <c r="H12" s="14">
        <v>1.2</v>
      </c>
      <c r="I12" s="27">
        <f t="shared" si="0"/>
        <v>9.6000000000000002E-2</v>
      </c>
      <c r="J12" s="27">
        <f t="shared" si="1"/>
        <v>9.6000000000000002E-2</v>
      </c>
      <c r="K12" s="27">
        <f t="shared" si="2"/>
        <v>0.12</v>
      </c>
      <c r="L12" s="27">
        <f t="shared" si="3"/>
        <v>166.66666666666666</v>
      </c>
      <c r="M12" s="27">
        <f t="shared" si="3"/>
        <v>166.66666666666666</v>
      </c>
      <c r="N12" s="27">
        <f t="shared" si="4"/>
        <v>333.33333333333337</v>
      </c>
    </row>
    <row r="13" spans="1:14" s="3" customFormat="1" ht="48.75" customHeight="1">
      <c r="A13" s="14" t="s">
        <v>248</v>
      </c>
      <c r="B13" s="17" t="s">
        <v>249</v>
      </c>
      <c r="C13" s="18" t="s">
        <v>250</v>
      </c>
      <c r="D13" s="14">
        <v>11</v>
      </c>
      <c r="E13" s="14">
        <v>32</v>
      </c>
      <c r="F13" s="14">
        <v>2.5</v>
      </c>
      <c r="G13" s="14">
        <f>E13*F13</f>
        <v>80</v>
      </c>
      <c r="H13" s="14">
        <v>1</v>
      </c>
      <c r="I13" s="27">
        <f t="shared" si="0"/>
        <v>0.44</v>
      </c>
      <c r="J13" s="27">
        <f t="shared" si="1"/>
        <v>1.28</v>
      </c>
      <c r="K13" s="27">
        <f t="shared" si="2"/>
        <v>1.6</v>
      </c>
      <c r="L13" s="27">
        <f t="shared" si="3"/>
        <v>200</v>
      </c>
      <c r="M13" s="27">
        <f t="shared" si="3"/>
        <v>200</v>
      </c>
      <c r="N13" s="27">
        <f t="shared" si="4"/>
        <v>400</v>
      </c>
    </row>
    <row r="14" spans="1:14" s="3" customFormat="1" ht="48.75" customHeight="1">
      <c r="A14" s="14" t="s">
        <v>251</v>
      </c>
      <c r="B14" s="15" t="s">
        <v>252</v>
      </c>
      <c r="C14" s="16" t="s">
        <v>253</v>
      </c>
      <c r="D14" s="14">
        <v>1</v>
      </c>
      <c r="E14" s="14">
        <v>1</v>
      </c>
      <c r="F14" s="14">
        <v>2</v>
      </c>
      <c r="G14" s="14">
        <f t="shared" ref="G14:G29" si="5">E14*F14</f>
        <v>2</v>
      </c>
      <c r="H14" s="14">
        <v>0.8</v>
      </c>
      <c r="I14" s="27">
        <f t="shared" si="0"/>
        <v>3.2000000000000001E-2</v>
      </c>
      <c r="J14" s="27">
        <f t="shared" si="1"/>
        <v>3.2000000000000001E-2</v>
      </c>
      <c r="K14" s="27">
        <f t="shared" si="2"/>
        <v>3.2000000000000001E-2</v>
      </c>
      <c r="L14" s="27">
        <f t="shared" si="3"/>
        <v>250</v>
      </c>
      <c r="M14" s="27">
        <f t="shared" si="3"/>
        <v>250</v>
      </c>
      <c r="N14" s="27">
        <f t="shared" si="4"/>
        <v>500</v>
      </c>
    </row>
    <row r="15" spans="1:14" s="3" customFormat="1" ht="48.75" customHeight="1">
      <c r="A15" s="14" t="s">
        <v>254</v>
      </c>
      <c r="B15" s="15" t="s">
        <v>255</v>
      </c>
      <c r="C15" s="19" t="s">
        <v>256</v>
      </c>
      <c r="D15" s="14">
        <v>3</v>
      </c>
      <c r="E15" s="14">
        <v>3</v>
      </c>
      <c r="F15" s="14">
        <v>1.5</v>
      </c>
      <c r="G15" s="14">
        <f t="shared" si="5"/>
        <v>4.5</v>
      </c>
      <c r="H15" s="14">
        <v>1</v>
      </c>
      <c r="I15" s="27">
        <f t="shared" si="0"/>
        <v>0.12</v>
      </c>
      <c r="J15" s="27">
        <f t="shared" si="1"/>
        <v>0.12</v>
      </c>
      <c r="K15" s="27">
        <f t="shared" si="2"/>
        <v>0.09</v>
      </c>
      <c r="L15" s="27">
        <f t="shared" si="3"/>
        <v>200</v>
      </c>
      <c r="M15" s="27">
        <f t="shared" si="3"/>
        <v>200</v>
      </c>
      <c r="N15" s="27">
        <f t="shared" si="4"/>
        <v>400</v>
      </c>
    </row>
    <row r="16" spans="1:14" s="3" customFormat="1" ht="48.75" customHeight="1">
      <c r="A16" s="14" t="s">
        <v>257</v>
      </c>
      <c r="B16" s="15" t="s">
        <v>258</v>
      </c>
      <c r="C16" s="19" t="s">
        <v>259</v>
      </c>
      <c r="D16" s="14">
        <f t="shared" ref="D16:D57" si="6">E16/3</f>
        <v>11</v>
      </c>
      <c r="E16" s="14">
        <v>33</v>
      </c>
      <c r="F16" s="14">
        <v>2.5</v>
      </c>
      <c r="G16" s="14">
        <f t="shared" si="5"/>
        <v>82.5</v>
      </c>
      <c r="H16" s="14">
        <v>1</v>
      </c>
      <c r="I16" s="27">
        <f t="shared" si="0"/>
        <v>0.44</v>
      </c>
      <c r="J16" s="27">
        <f t="shared" si="1"/>
        <v>1.32</v>
      </c>
      <c r="K16" s="27">
        <f t="shared" si="2"/>
        <v>1.65</v>
      </c>
      <c r="L16" s="27">
        <f t="shared" si="3"/>
        <v>200</v>
      </c>
      <c r="M16" s="27">
        <f t="shared" si="3"/>
        <v>200</v>
      </c>
      <c r="N16" s="27">
        <f t="shared" si="4"/>
        <v>400</v>
      </c>
    </row>
    <row r="17" spans="1:14" s="3" customFormat="1" ht="48.75" customHeight="1">
      <c r="A17" s="14" t="s">
        <v>260</v>
      </c>
      <c r="B17" s="15" t="s">
        <v>261</v>
      </c>
      <c r="C17" s="20" t="s">
        <v>262</v>
      </c>
      <c r="D17" s="14">
        <f t="shared" si="6"/>
        <v>3</v>
      </c>
      <c r="E17" s="14">
        <v>9</v>
      </c>
      <c r="F17" s="14">
        <v>2.5</v>
      </c>
      <c r="G17" s="14">
        <f t="shared" si="5"/>
        <v>22.5</v>
      </c>
      <c r="H17" s="14">
        <v>1</v>
      </c>
      <c r="I17" s="27">
        <f t="shared" si="0"/>
        <v>0.12</v>
      </c>
      <c r="J17" s="27">
        <f t="shared" si="1"/>
        <v>0.36</v>
      </c>
      <c r="K17" s="27">
        <f t="shared" si="2"/>
        <v>0.45</v>
      </c>
      <c r="L17" s="27">
        <f t="shared" si="3"/>
        <v>200</v>
      </c>
      <c r="M17" s="27">
        <f t="shared" si="3"/>
        <v>200</v>
      </c>
      <c r="N17" s="27">
        <f t="shared" si="4"/>
        <v>400</v>
      </c>
    </row>
    <row r="18" spans="1:14" s="3" customFormat="1" ht="48.75" customHeight="1">
      <c r="A18" s="14" t="s">
        <v>263</v>
      </c>
      <c r="B18" s="15" t="s">
        <v>264</v>
      </c>
      <c r="C18" s="21" t="s">
        <v>265</v>
      </c>
      <c r="D18" s="14">
        <v>3</v>
      </c>
      <c r="E18" s="14">
        <v>8</v>
      </c>
      <c r="F18" s="14">
        <v>2.5</v>
      </c>
      <c r="G18" s="14">
        <f t="shared" si="5"/>
        <v>20</v>
      </c>
      <c r="H18" s="14">
        <v>1</v>
      </c>
      <c r="I18" s="27">
        <f t="shared" si="0"/>
        <v>0.12</v>
      </c>
      <c r="J18" s="27">
        <f t="shared" si="1"/>
        <v>0.32</v>
      </c>
      <c r="K18" s="27">
        <f t="shared" si="2"/>
        <v>0.4</v>
      </c>
      <c r="L18" s="27">
        <f t="shared" si="3"/>
        <v>200</v>
      </c>
      <c r="M18" s="27">
        <f t="shared" si="3"/>
        <v>200</v>
      </c>
      <c r="N18" s="27">
        <f t="shared" si="4"/>
        <v>400</v>
      </c>
    </row>
    <row r="19" spans="1:14" s="3" customFormat="1" ht="48.75" customHeight="1">
      <c r="A19" s="14" t="s">
        <v>266</v>
      </c>
      <c r="B19" s="15" t="s">
        <v>267</v>
      </c>
      <c r="C19" s="19" t="s">
        <v>268</v>
      </c>
      <c r="D19" s="14">
        <f t="shared" si="6"/>
        <v>0</v>
      </c>
      <c r="E19" s="14">
        <v>0</v>
      </c>
      <c r="F19" s="14">
        <v>2</v>
      </c>
      <c r="G19" s="14">
        <v>52</v>
      </c>
      <c r="H19" s="14">
        <v>1</v>
      </c>
      <c r="I19" s="27">
        <f t="shared" si="0"/>
        <v>0</v>
      </c>
      <c r="J19" s="27">
        <f t="shared" si="1"/>
        <v>0</v>
      </c>
      <c r="K19" s="27">
        <f t="shared" si="2"/>
        <v>1.04</v>
      </c>
      <c r="L19" s="27" t="e">
        <f t="shared" si="3"/>
        <v>#DIV/0!</v>
      </c>
      <c r="M19" s="27" t="e">
        <f t="shared" si="3"/>
        <v>#DIV/0!</v>
      </c>
      <c r="N19" s="27">
        <f t="shared" si="4"/>
        <v>400</v>
      </c>
    </row>
    <row r="20" spans="1:14" s="3" customFormat="1" ht="48.75" customHeight="1">
      <c r="A20" s="14" t="s">
        <v>269</v>
      </c>
      <c r="B20" s="15" t="s">
        <v>270</v>
      </c>
      <c r="C20" s="21" t="s">
        <v>271</v>
      </c>
      <c r="D20" s="14">
        <v>2</v>
      </c>
      <c r="E20" s="14">
        <v>5</v>
      </c>
      <c r="F20" s="14">
        <v>2.5</v>
      </c>
      <c r="G20" s="14">
        <f t="shared" si="5"/>
        <v>12.5</v>
      </c>
      <c r="H20" s="14">
        <v>1.2</v>
      </c>
      <c r="I20" s="27">
        <f t="shared" si="0"/>
        <v>9.6000000000000002E-2</v>
      </c>
      <c r="J20" s="27">
        <f t="shared" si="1"/>
        <v>0.24</v>
      </c>
      <c r="K20" s="27">
        <f t="shared" si="2"/>
        <v>0.3</v>
      </c>
      <c r="L20" s="27">
        <f t="shared" si="3"/>
        <v>166.66666666666666</v>
      </c>
      <c r="M20" s="27">
        <f t="shared" si="3"/>
        <v>166.66666666666669</v>
      </c>
      <c r="N20" s="27">
        <f t="shared" si="4"/>
        <v>333.33333333333337</v>
      </c>
    </row>
    <row r="21" spans="1:14" s="3" customFormat="1" ht="48.75" customHeight="1">
      <c r="A21" s="14" t="s">
        <v>272</v>
      </c>
      <c r="B21" s="15" t="s">
        <v>273</v>
      </c>
      <c r="C21" s="21" t="s">
        <v>274</v>
      </c>
      <c r="D21" s="14">
        <f t="shared" si="6"/>
        <v>4</v>
      </c>
      <c r="E21" s="14">
        <v>12</v>
      </c>
      <c r="F21" s="14">
        <v>2.5</v>
      </c>
      <c r="G21" s="14">
        <f t="shared" si="5"/>
        <v>30</v>
      </c>
      <c r="H21" s="14">
        <v>1</v>
      </c>
      <c r="I21" s="27">
        <f t="shared" si="0"/>
        <v>0.16</v>
      </c>
      <c r="J21" s="27">
        <f t="shared" si="1"/>
        <v>0.48</v>
      </c>
      <c r="K21" s="27">
        <f t="shared" si="2"/>
        <v>0.6</v>
      </c>
      <c r="L21" s="27">
        <f t="shared" si="3"/>
        <v>200</v>
      </c>
      <c r="M21" s="27">
        <f t="shared" si="3"/>
        <v>200</v>
      </c>
      <c r="N21" s="27">
        <f t="shared" si="4"/>
        <v>400</v>
      </c>
    </row>
    <row r="22" spans="1:14" s="3" customFormat="1" ht="48.75" customHeight="1">
      <c r="A22" s="14" t="s">
        <v>275</v>
      </c>
      <c r="B22" s="15" t="s">
        <v>276</v>
      </c>
      <c r="C22" s="21" t="s">
        <v>277</v>
      </c>
      <c r="D22" s="14">
        <f t="shared" si="6"/>
        <v>3</v>
      </c>
      <c r="E22" s="14">
        <v>9</v>
      </c>
      <c r="F22" s="14">
        <v>2.5</v>
      </c>
      <c r="G22" s="14">
        <f t="shared" si="5"/>
        <v>22.5</v>
      </c>
      <c r="H22" s="14">
        <v>1.2</v>
      </c>
      <c r="I22" s="27">
        <f t="shared" si="0"/>
        <v>0.14399999999999999</v>
      </c>
      <c r="J22" s="27">
        <f t="shared" si="1"/>
        <v>0.43199999999999994</v>
      </c>
      <c r="K22" s="27">
        <f t="shared" si="2"/>
        <v>0.54</v>
      </c>
      <c r="L22" s="27">
        <f t="shared" si="3"/>
        <v>166.66666666666669</v>
      </c>
      <c r="M22" s="27">
        <f t="shared" si="3"/>
        <v>166.66666666666669</v>
      </c>
      <c r="N22" s="27">
        <f t="shared" si="4"/>
        <v>333.33333333333331</v>
      </c>
    </row>
    <row r="23" spans="1:14" s="3" customFormat="1" ht="48.75" customHeight="1">
      <c r="A23" s="14" t="s">
        <v>278</v>
      </c>
      <c r="B23" s="15" t="s">
        <v>279</v>
      </c>
      <c r="C23" s="21" t="s">
        <v>280</v>
      </c>
      <c r="D23" s="14">
        <v>3</v>
      </c>
      <c r="E23" s="14">
        <v>8</v>
      </c>
      <c r="F23" s="14">
        <v>3</v>
      </c>
      <c r="G23" s="14">
        <f t="shared" si="5"/>
        <v>24</v>
      </c>
      <c r="H23" s="14">
        <v>1.2</v>
      </c>
      <c r="I23" s="27">
        <f t="shared" si="0"/>
        <v>0.14399999999999999</v>
      </c>
      <c r="J23" s="27">
        <f t="shared" si="1"/>
        <v>0.38400000000000001</v>
      </c>
      <c r="K23" s="27">
        <f t="shared" si="2"/>
        <v>0.57599999999999996</v>
      </c>
      <c r="L23" s="27">
        <f t="shared" si="3"/>
        <v>166.66666666666669</v>
      </c>
      <c r="M23" s="27">
        <f t="shared" si="3"/>
        <v>166.66666666666666</v>
      </c>
      <c r="N23" s="27">
        <f t="shared" si="4"/>
        <v>333.33333333333337</v>
      </c>
    </row>
    <row r="24" spans="1:14" s="3" customFormat="1" ht="48.75" customHeight="1">
      <c r="A24" s="14" t="s">
        <v>281</v>
      </c>
      <c r="B24" s="15" t="s">
        <v>282</v>
      </c>
      <c r="C24" s="19" t="s">
        <v>283</v>
      </c>
      <c r="D24" s="14">
        <v>3</v>
      </c>
      <c r="E24" s="14">
        <v>3</v>
      </c>
      <c r="F24" s="14">
        <v>1.5</v>
      </c>
      <c r="G24" s="14">
        <f t="shared" si="5"/>
        <v>4.5</v>
      </c>
      <c r="H24" s="14">
        <v>0.8</v>
      </c>
      <c r="I24" s="27">
        <f t="shared" si="0"/>
        <v>9.6000000000000016E-2</v>
      </c>
      <c r="J24" s="27">
        <f t="shared" si="1"/>
        <v>9.6000000000000016E-2</v>
      </c>
      <c r="K24" s="27">
        <f t="shared" si="2"/>
        <v>7.2000000000000008E-2</v>
      </c>
      <c r="L24" s="27">
        <f t="shared" si="3"/>
        <v>249.99999999999997</v>
      </c>
      <c r="M24" s="27">
        <f t="shared" si="3"/>
        <v>249.99999999999997</v>
      </c>
      <c r="N24" s="27">
        <f t="shared" si="4"/>
        <v>499.99999999999994</v>
      </c>
    </row>
    <row r="25" spans="1:14" s="3" customFormat="1" ht="48.75" customHeight="1">
      <c r="A25" s="14" t="s">
        <v>284</v>
      </c>
      <c r="B25" s="15" t="s">
        <v>285</v>
      </c>
      <c r="C25" s="19" t="s">
        <v>286</v>
      </c>
      <c r="D25" s="14">
        <v>5</v>
      </c>
      <c r="E25" s="14">
        <v>8</v>
      </c>
      <c r="F25" s="14">
        <v>2</v>
      </c>
      <c r="G25" s="14">
        <f t="shared" si="5"/>
        <v>16</v>
      </c>
      <c r="H25" s="14">
        <v>1.2</v>
      </c>
      <c r="I25" s="27">
        <f t="shared" si="0"/>
        <v>0.24</v>
      </c>
      <c r="J25" s="27">
        <f t="shared" si="1"/>
        <v>0.38400000000000001</v>
      </c>
      <c r="K25" s="27">
        <f t="shared" si="2"/>
        <v>0.38400000000000001</v>
      </c>
      <c r="L25" s="27">
        <f t="shared" si="3"/>
        <v>166.66666666666669</v>
      </c>
      <c r="M25" s="27">
        <f t="shared" si="3"/>
        <v>166.66666666666666</v>
      </c>
      <c r="N25" s="27">
        <f t="shared" si="4"/>
        <v>333.33333333333331</v>
      </c>
    </row>
    <row r="26" spans="1:14" s="3" customFormat="1" ht="48.75" customHeight="1">
      <c r="A26" s="14" t="s">
        <v>287</v>
      </c>
      <c r="B26" s="15" t="s">
        <v>288</v>
      </c>
      <c r="C26" s="21" t="s">
        <v>289</v>
      </c>
      <c r="D26" s="14">
        <v>6</v>
      </c>
      <c r="E26" s="14">
        <v>17</v>
      </c>
      <c r="F26" s="14">
        <v>3</v>
      </c>
      <c r="G26" s="14">
        <f t="shared" si="5"/>
        <v>51</v>
      </c>
      <c r="H26" s="14">
        <v>1</v>
      </c>
      <c r="I26" s="27">
        <f t="shared" si="0"/>
        <v>0.24</v>
      </c>
      <c r="J26" s="27">
        <f t="shared" si="1"/>
        <v>0.68</v>
      </c>
      <c r="K26" s="27">
        <f t="shared" si="2"/>
        <v>1.02</v>
      </c>
      <c r="L26" s="27">
        <f t="shared" si="3"/>
        <v>200</v>
      </c>
      <c r="M26" s="27">
        <f t="shared" si="3"/>
        <v>199.99999999999997</v>
      </c>
      <c r="N26" s="27">
        <f t="shared" si="4"/>
        <v>400</v>
      </c>
    </row>
    <row r="27" spans="1:14" s="3" customFormat="1" ht="48.75" customHeight="1">
      <c r="A27" s="14" t="s">
        <v>290</v>
      </c>
      <c r="B27" s="15" t="s">
        <v>291</v>
      </c>
      <c r="C27" s="19" t="s">
        <v>292</v>
      </c>
      <c r="D27" s="14">
        <v>4</v>
      </c>
      <c r="E27" s="14">
        <v>4</v>
      </c>
      <c r="F27" s="14">
        <v>3</v>
      </c>
      <c r="G27" s="14">
        <f t="shared" si="5"/>
        <v>12</v>
      </c>
      <c r="H27" s="14">
        <v>1.2</v>
      </c>
      <c r="I27" s="27">
        <f t="shared" si="0"/>
        <v>0.192</v>
      </c>
      <c r="J27" s="27">
        <f t="shared" si="1"/>
        <v>0.192</v>
      </c>
      <c r="K27" s="27">
        <f t="shared" si="2"/>
        <v>0.28799999999999998</v>
      </c>
      <c r="L27" s="27">
        <f t="shared" si="3"/>
        <v>166.66666666666666</v>
      </c>
      <c r="M27" s="27">
        <f t="shared" si="3"/>
        <v>166.66666666666666</v>
      </c>
      <c r="N27" s="27">
        <f t="shared" si="4"/>
        <v>333.33333333333337</v>
      </c>
    </row>
    <row r="28" spans="1:14" s="3" customFormat="1" ht="48.75" customHeight="1">
      <c r="A28" s="14" t="s">
        <v>293</v>
      </c>
      <c r="B28" s="15" t="s">
        <v>294</v>
      </c>
      <c r="C28" s="19" t="s">
        <v>295</v>
      </c>
      <c r="D28" s="14">
        <v>2</v>
      </c>
      <c r="E28" s="14">
        <v>2</v>
      </c>
      <c r="F28" s="14">
        <v>2</v>
      </c>
      <c r="G28" s="14">
        <f t="shared" si="5"/>
        <v>4</v>
      </c>
      <c r="H28" s="14">
        <v>0.8</v>
      </c>
      <c r="I28" s="27">
        <f t="shared" si="0"/>
        <v>6.4000000000000001E-2</v>
      </c>
      <c r="J28" s="27">
        <f t="shared" si="1"/>
        <v>6.4000000000000001E-2</v>
      </c>
      <c r="K28" s="27">
        <f t="shared" si="2"/>
        <v>6.4000000000000001E-2</v>
      </c>
      <c r="L28" s="27">
        <f t="shared" si="3"/>
        <v>250</v>
      </c>
      <c r="M28" s="27">
        <f t="shared" si="3"/>
        <v>250</v>
      </c>
      <c r="N28" s="27">
        <f t="shared" si="4"/>
        <v>500</v>
      </c>
    </row>
    <row r="29" spans="1:14" s="3" customFormat="1" ht="48.75" customHeight="1">
      <c r="A29" s="14" t="s">
        <v>296</v>
      </c>
      <c r="B29" s="22" t="s">
        <v>297</v>
      </c>
      <c r="C29" s="23" t="s">
        <v>298</v>
      </c>
      <c r="D29" s="14">
        <v>2</v>
      </c>
      <c r="E29" s="14">
        <v>2</v>
      </c>
      <c r="F29" s="14">
        <v>2</v>
      </c>
      <c r="G29" s="14">
        <f t="shared" si="5"/>
        <v>4</v>
      </c>
      <c r="H29" s="14">
        <v>1.2</v>
      </c>
      <c r="I29" s="27">
        <f t="shared" si="0"/>
        <v>9.6000000000000002E-2</v>
      </c>
      <c r="J29" s="27">
        <f t="shared" si="1"/>
        <v>9.6000000000000002E-2</v>
      </c>
      <c r="K29" s="27">
        <f t="shared" si="2"/>
        <v>9.6000000000000002E-2</v>
      </c>
      <c r="L29" s="27">
        <f t="shared" si="3"/>
        <v>166.66666666666666</v>
      </c>
      <c r="M29" s="27">
        <f t="shared" si="3"/>
        <v>166.66666666666666</v>
      </c>
      <c r="N29" s="27">
        <f t="shared" si="4"/>
        <v>333.33333333333331</v>
      </c>
    </row>
    <row r="30" spans="1:14" s="3" customFormat="1" ht="48.75" customHeight="1">
      <c r="A30" s="14" t="s">
        <v>299</v>
      </c>
      <c r="B30" s="15" t="s">
        <v>300</v>
      </c>
      <c r="C30" s="19" t="s">
        <v>301</v>
      </c>
      <c r="D30" s="14">
        <v>1</v>
      </c>
      <c r="E30" s="14">
        <v>1</v>
      </c>
      <c r="F30" s="14">
        <v>1</v>
      </c>
      <c r="G30" s="14">
        <v>4977</v>
      </c>
      <c r="H30" s="14">
        <v>1</v>
      </c>
      <c r="I30" s="27">
        <f t="shared" si="0"/>
        <v>0.04</v>
      </c>
      <c r="J30" s="27">
        <f t="shared" si="1"/>
        <v>0.04</v>
      </c>
      <c r="K30" s="27">
        <f t="shared" si="2"/>
        <v>99.54</v>
      </c>
      <c r="L30" s="27">
        <f t="shared" si="3"/>
        <v>200</v>
      </c>
      <c r="M30" s="27">
        <f t="shared" si="3"/>
        <v>200</v>
      </c>
      <c r="N30" s="27">
        <f t="shared" si="4"/>
        <v>400</v>
      </c>
    </row>
    <row r="31" spans="1:14" s="3" customFormat="1" ht="48.75" customHeight="1">
      <c r="A31" s="14" t="s">
        <v>302</v>
      </c>
      <c r="B31" s="15" t="s">
        <v>303</v>
      </c>
      <c r="C31" s="16" t="s">
        <v>304</v>
      </c>
      <c r="D31" s="14">
        <v>42</v>
      </c>
      <c r="E31" s="14">
        <v>126</v>
      </c>
      <c r="F31" s="14">
        <v>3</v>
      </c>
      <c r="G31" s="14">
        <f>F31*E31</f>
        <v>378</v>
      </c>
      <c r="H31" s="14">
        <v>1</v>
      </c>
      <c r="I31" s="27">
        <f t="shared" si="0"/>
        <v>1.68</v>
      </c>
      <c r="J31" s="27">
        <f t="shared" si="1"/>
        <v>5.04</v>
      </c>
      <c r="K31" s="27">
        <f t="shared" si="2"/>
        <v>7.56</v>
      </c>
      <c r="L31" s="27">
        <f t="shared" ref="L31:M70" si="7">D31/I31*8</f>
        <v>200</v>
      </c>
      <c r="M31" s="27">
        <f t="shared" si="7"/>
        <v>200</v>
      </c>
      <c r="N31" s="27">
        <f t="shared" si="4"/>
        <v>400</v>
      </c>
    </row>
    <row r="32" spans="1:14" s="3" customFormat="1" ht="48.75" customHeight="1">
      <c r="A32" s="14" t="s">
        <v>305</v>
      </c>
      <c r="B32" s="15" t="s">
        <v>306</v>
      </c>
      <c r="C32" s="16" t="s">
        <v>307</v>
      </c>
      <c r="D32" s="14">
        <f t="shared" si="6"/>
        <v>59</v>
      </c>
      <c r="E32" s="14">
        <v>177</v>
      </c>
      <c r="F32" s="14">
        <v>4</v>
      </c>
      <c r="G32" s="14">
        <f t="shared" ref="G32:G35" si="8">F32*E32</f>
        <v>708</v>
      </c>
      <c r="H32" s="14">
        <v>0.8</v>
      </c>
      <c r="I32" s="27">
        <f t="shared" si="0"/>
        <v>1.8880000000000001</v>
      </c>
      <c r="J32" s="27">
        <f t="shared" si="1"/>
        <v>5.6639999999999997</v>
      </c>
      <c r="K32" s="27">
        <f t="shared" si="2"/>
        <v>11.327999999999999</v>
      </c>
      <c r="L32" s="27">
        <f t="shared" si="7"/>
        <v>249.99999999999997</v>
      </c>
      <c r="M32" s="27">
        <f t="shared" si="7"/>
        <v>250</v>
      </c>
      <c r="N32" s="27">
        <f t="shared" si="4"/>
        <v>500</v>
      </c>
    </row>
    <row r="33" spans="1:14" s="3" customFormat="1" ht="48.75" customHeight="1">
      <c r="A33" s="14" t="s">
        <v>308</v>
      </c>
      <c r="B33" s="15" t="s">
        <v>309</v>
      </c>
      <c r="C33" s="18" t="s">
        <v>310</v>
      </c>
      <c r="D33" s="14">
        <v>20</v>
      </c>
      <c r="E33" s="14">
        <v>60</v>
      </c>
      <c r="F33" s="14">
        <v>4</v>
      </c>
      <c r="G33" s="14">
        <f t="shared" si="8"/>
        <v>240</v>
      </c>
      <c r="H33" s="14">
        <v>1</v>
      </c>
      <c r="I33" s="27">
        <f t="shared" si="0"/>
        <v>0.8</v>
      </c>
      <c r="J33" s="27">
        <f t="shared" si="1"/>
        <v>2.4</v>
      </c>
      <c r="K33" s="27">
        <f t="shared" si="2"/>
        <v>4.8</v>
      </c>
      <c r="L33" s="27">
        <f t="shared" si="7"/>
        <v>200</v>
      </c>
      <c r="M33" s="27">
        <f t="shared" si="7"/>
        <v>200</v>
      </c>
      <c r="N33" s="27">
        <f t="shared" si="4"/>
        <v>400</v>
      </c>
    </row>
    <row r="34" spans="1:14" s="3" customFormat="1" ht="48.75" customHeight="1">
      <c r="A34" s="14" t="s">
        <v>311</v>
      </c>
      <c r="B34" s="15" t="s">
        <v>312</v>
      </c>
      <c r="C34" s="16" t="s">
        <v>313</v>
      </c>
      <c r="D34" s="14">
        <v>15</v>
      </c>
      <c r="E34" s="14">
        <v>47</v>
      </c>
      <c r="F34" s="14">
        <v>4</v>
      </c>
      <c r="G34" s="14">
        <f t="shared" si="8"/>
        <v>188</v>
      </c>
      <c r="H34" s="14">
        <v>3</v>
      </c>
      <c r="I34" s="27">
        <f t="shared" si="0"/>
        <v>1.8</v>
      </c>
      <c r="J34" s="27">
        <f t="shared" si="1"/>
        <v>5.64</v>
      </c>
      <c r="K34" s="27">
        <f t="shared" si="2"/>
        <v>11.28</v>
      </c>
      <c r="L34" s="27">
        <f t="shared" si="7"/>
        <v>66.666666666666671</v>
      </c>
      <c r="M34" s="27">
        <f t="shared" si="7"/>
        <v>66.666666666666671</v>
      </c>
      <c r="N34" s="27">
        <f t="shared" si="4"/>
        <v>133.33333333333334</v>
      </c>
    </row>
    <row r="35" spans="1:14" s="3" customFormat="1" ht="48.75" customHeight="1">
      <c r="A35" s="14" t="s">
        <v>314</v>
      </c>
      <c r="B35" s="15" t="s">
        <v>315</v>
      </c>
      <c r="C35" s="19" t="s">
        <v>316</v>
      </c>
      <c r="D35" s="14">
        <v>8</v>
      </c>
      <c r="E35" s="14">
        <v>25</v>
      </c>
      <c r="F35" s="14">
        <v>3</v>
      </c>
      <c r="G35" s="14">
        <f t="shared" si="8"/>
        <v>75</v>
      </c>
      <c r="H35" s="14">
        <v>1</v>
      </c>
      <c r="I35" s="27">
        <f t="shared" si="0"/>
        <v>0.32</v>
      </c>
      <c r="J35" s="27">
        <f t="shared" si="1"/>
        <v>1</v>
      </c>
      <c r="K35" s="27">
        <f t="shared" si="2"/>
        <v>1.5</v>
      </c>
      <c r="L35" s="27">
        <f t="shared" si="7"/>
        <v>200</v>
      </c>
      <c r="M35" s="27">
        <f t="shared" si="7"/>
        <v>200</v>
      </c>
      <c r="N35" s="27">
        <f t="shared" si="4"/>
        <v>400</v>
      </c>
    </row>
    <row r="36" spans="1:14" s="3" customFormat="1" ht="48.75" customHeight="1">
      <c r="A36" s="14" t="s">
        <v>429</v>
      </c>
      <c r="B36" s="15" t="s">
        <v>318</v>
      </c>
      <c r="C36" s="24" t="s">
        <v>319</v>
      </c>
      <c r="D36" s="14">
        <v>25</v>
      </c>
      <c r="E36" s="14">
        <v>65</v>
      </c>
      <c r="F36" s="14">
        <v>4</v>
      </c>
      <c r="G36" s="14">
        <f t="shared" ref="G36:G69" si="9">E36*F36</f>
        <v>260</v>
      </c>
      <c r="H36" s="14">
        <v>1</v>
      </c>
      <c r="I36" s="27">
        <f t="shared" si="0"/>
        <v>1</v>
      </c>
      <c r="J36" s="27">
        <f t="shared" si="1"/>
        <v>2.6</v>
      </c>
      <c r="K36" s="27">
        <f t="shared" si="2"/>
        <v>5.2</v>
      </c>
      <c r="L36" s="27">
        <f t="shared" si="7"/>
        <v>200</v>
      </c>
      <c r="M36" s="27">
        <f t="shared" si="7"/>
        <v>200</v>
      </c>
      <c r="N36" s="27">
        <f t="shared" si="4"/>
        <v>400</v>
      </c>
    </row>
    <row r="37" spans="1:14" s="3" customFormat="1" ht="48.75" customHeight="1">
      <c r="A37" s="14" t="s">
        <v>317</v>
      </c>
      <c r="B37" s="15" t="s">
        <v>321</v>
      </c>
      <c r="C37" s="24" t="s">
        <v>322</v>
      </c>
      <c r="D37" s="14">
        <v>18</v>
      </c>
      <c r="E37" s="14">
        <v>42</v>
      </c>
      <c r="F37" s="14">
        <v>4</v>
      </c>
      <c r="G37" s="14">
        <f t="shared" si="9"/>
        <v>168</v>
      </c>
      <c r="H37" s="14">
        <v>1</v>
      </c>
      <c r="I37" s="27">
        <f t="shared" si="0"/>
        <v>0.72</v>
      </c>
      <c r="J37" s="27">
        <f t="shared" si="1"/>
        <v>1.68</v>
      </c>
      <c r="K37" s="27">
        <f t="shared" si="2"/>
        <v>3.36</v>
      </c>
      <c r="L37" s="27">
        <f t="shared" si="7"/>
        <v>200</v>
      </c>
      <c r="M37" s="27">
        <f t="shared" si="7"/>
        <v>200</v>
      </c>
      <c r="N37" s="27">
        <f t="shared" si="4"/>
        <v>400</v>
      </c>
    </row>
    <row r="38" spans="1:14" s="3" customFormat="1" ht="48.75" customHeight="1">
      <c r="A38" s="14" t="s">
        <v>320</v>
      </c>
      <c r="B38" s="15" t="s">
        <v>324</v>
      </c>
      <c r="C38" s="24" t="s">
        <v>325</v>
      </c>
      <c r="D38" s="14">
        <v>134</v>
      </c>
      <c r="E38" s="14">
        <v>385</v>
      </c>
      <c r="F38" s="14">
        <v>4</v>
      </c>
      <c r="G38" s="14">
        <f t="shared" si="9"/>
        <v>1540</v>
      </c>
      <c r="H38" s="14">
        <v>1</v>
      </c>
      <c r="I38" s="27">
        <f t="shared" si="0"/>
        <v>5.36</v>
      </c>
      <c r="J38" s="27">
        <f t="shared" si="1"/>
        <v>15.4</v>
      </c>
      <c r="K38" s="27">
        <f t="shared" si="2"/>
        <v>30.8</v>
      </c>
      <c r="L38" s="27">
        <f t="shared" si="7"/>
        <v>200</v>
      </c>
      <c r="M38" s="27">
        <f t="shared" si="7"/>
        <v>200</v>
      </c>
      <c r="N38" s="27">
        <f t="shared" si="4"/>
        <v>400</v>
      </c>
    </row>
    <row r="39" spans="1:14" s="3" customFormat="1" ht="48.75" customHeight="1">
      <c r="A39" s="14" t="s">
        <v>323</v>
      </c>
      <c r="B39" s="15" t="s">
        <v>327</v>
      </c>
      <c r="C39" s="24" t="s">
        <v>328</v>
      </c>
      <c r="D39" s="14">
        <v>106</v>
      </c>
      <c r="E39" s="14">
        <v>316</v>
      </c>
      <c r="F39" s="14">
        <v>4</v>
      </c>
      <c r="G39" s="14">
        <f t="shared" si="9"/>
        <v>1264</v>
      </c>
      <c r="H39" s="14">
        <v>1</v>
      </c>
      <c r="I39" s="27">
        <f t="shared" si="0"/>
        <v>4.24</v>
      </c>
      <c r="J39" s="27">
        <f t="shared" si="1"/>
        <v>12.64</v>
      </c>
      <c r="K39" s="27">
        <f t="shared" si="2"/>
        <v>25.28</v>
      </c>
      <c r="L39" s="27">
        <f t="shared" si="7"/>
        <v>200</v>
      </c>
      <c r="M39" s="27">
        <f t="shared" si="7"/>
        <v>200</v>
      </c>
      <c r="N39" s="27">
        <f t="shared" si="4"/>
        <v>400</v>
      </c>
    </row>
    <row r="40" spans="1:14" s="3" customFormat="1" ht="48.75" customHeight="1">
      <c r="A40" s="14" t="s">
        <v>326</v>
      </c>
      <c r="B40" s="15" t="s">
        <v>330</v>
      </c>
      <c r="C40" s="24" t="s">
        <v>331</v>
      </c>
      <c r="D40" s="14">
        <v>42</v>
      </c>
      <c r="E40" s="14">
        <v>122</v>
      </c>
      <c r="F40" s="14">
        <v>4</v>
      </c>
      <c r="G40" s="14">
        <f t="shared" si="9"/>
        <v>488</v>
      </c>
      <c r="H40" s="14">
        <v>1</v>
      </c>
      <c r="I40" s="27">
        <v>0.5</v>
      </c>
      <c r="J40" s="27">
        <f t="shared" si="1"/>
        <v>4.88</v>
      </c>
      <c r="K40" s="27">
        <f t="shared" si="2"/>
        <v>9.76</v>
      </c>
      <c r="L40" s="27">
        <f t="shared" si="7"/>
        <v>672</v>
      </c>
      <c r="M40" s="27">
        <f t="shared" si="7"/>
        <v>200</v>
      </c>
      <c r="N40" s="27">
        <f t="shared" si="4"/>
        <v>400</v>
      </c>
    </row>
    <row r="41" spans="1:14" s="3" customFormat="1" ht="48.75" customHeight="1">
      <c r="A41" s="14" t="s">
        <v>329</v>
      </c>
      <c r="B41" s="15" t="s">
        <v>333</v>
      </c>
      <c r="C41" s="24" t="s">
        <v>334</v>
      </c>
      <c r="D41" s="14">
        <v>42</v>
      </c>
      <c r="E41" s="14">
        <v>98</v>
      </c>
      <c r="F41" s="14">
        <v>4</v>
      </c>
      <c r="G41" s="14">
        <f t="shared" si="9"/>
        <v>392</v>
      </c>
      <c r="H41" s="14">
        <v>1</v>
      </c>
      <c r="I41" s="27">
        <f t="shared" ref="I41:I62" si="10">IF(D41="","",D41*H$5*H41/D$5)</f>
        <v>1.68</v>
      </c>
      <c r="J41" s="27">
        <f t="shared" si="1"/>
        <v>3.92</v>
      </c>
      <c r="K41" s="27">
        <f t="shared" si="2"/>
        <v>7.84</v>
      </c>
      <c r="L41" s="27">
        <f t="shared" si="7"/>
        <v>200</v>
      </c>
      <c r="M41" s="27">
        <f t="shared" si="7"/>
        <v>200</v>
      </c>
      <c r="N41" s="27">
        <f t="shared" si="4"/>
        <v>400</v>
      </c>
    </row>
    <row r="42" spans="1:14" s="3" customFormat="1" ht="48.75" customHeight="1">
      <c r="A42" s="14" t="s">
        <v>332</v>
      </c>
      <c r="B42" s="15" t="s">
        <v>336</v>
      </c>
      <c r="C42" s="24" t="s">
        <v>337</v>
      </c>
      <c r="D42" s="14">
        <v>51</v>
      </c>
      <c r="E42" s="14">
        <v>73</v>
      </c>
      <c r="F42" s="14">
        <v>4</v>
      </c>
      <c r="G42" s="14">
        <f t="shared" si="9"/>
        <v>292</v>
      </c>
      <c r="H42" s="14">
        <v>1</v>
      </c>
      <c r="I42" s="27">
        <f t="shared" si="10"/>
        <v>2.04</v>
      </c>
      <c r="J42" s="27">
        <f t="shared" si="1"/>
        <v>2.92</v>
      </c>
      <c r="K42" s="27">
        <f t="shared" si="2"/>
        <v>5.84</v>
      </c>
      <c r="L42" s="27">
        <f t="shared" si="7"/>
        <v>200</v>
      </c>
      <c r="M42" s="27">
        <f t="shared" si="7"/>
        <v>200</v>
      </c>
      <c r="N42" s="27">
        <f t="shared" si="4"/>
        <v>400</v>
      </c>
    </row>
    <row r="43" spans="1:14" s="3" customFormat="1" ht="48.75" customHeight="1">
      <c r="A43" s="14" t="s">
        <v>335</v>
      </c>
      <c r="B43" s="15" t="s">
        <v>339</v>
      </c>
      <c r="C43" s="24" t="s">
        <v>340</v>
      </c>
      <c r="D43" s="14">
        <v>32</v>
      </c>
      <c r="E43" s="14">
        <v>75</v>
      </c>
      <c r="F43" s="14">
        <v>4</v>
      </c>
      <c r="G43" s="14">
        <f t="shared" si="9"/>
        <v>300</v>
      </c>
      <c r="H43" s="14">
        <v>1</v>
      </c>
      <c r="I43" s="27">
        <f t="shared" si="10"/>
        <v>1.28</v>
      </c>
      <c r="J43" s="27">
        <f t="shared" si="1"/>
        <v>3</v>
      </c>
      <c r="K43" s="27">
        <f t="shared" si="2"/>
        <v>6</v>
      </c>
      <c r="L43" s="27">
        <f t="shared" si="7"/>
        <v>200</v>
      </c>
      <c r="M43" s="27">
        <f t="shared" si="7"/>
        <v>200</v>
      </c>
      <c r="N43" s="27">
        <f t="shared" si="4"/>
        <v>400</v>
      </c>
    </row>
    <row r="44" spans="1:14" s="3" customFormat="1" ht="48.75" customHeight="1">
      <c r="A44" s="14" t="s">
        <v>338</v>
      </c>
      <c r="B44" s="15" t="s">
        <v>342</v>
      </c>
      <c r="C44" s="24" t="s">
        <v>343</v>
      </c>
      <c r="D44" s="14">
        <v>27</v>
      </c>
      <c r="E44" s="14">
        <v>71</v>
      </c>
      <c r="F44" s="14">
        <v>4</v>
      </c>
      <c r="G44" s="14">
        <f t="shared" si="9"/>
        <v>284</v>
      </c>
      <c r="H44" s="14">
        <v>1</v>
      </c>
      <c r="I44" s="27">
        <f t="shared" si="10"/>
        <v>1.08</v>
      </c>
      <c r="J44" s="27">
        <f t="shared" si="1"/>
        <v>2.84</v>
      </c>
      <c r="K44" s="27">
        <f t="shared" si="2"/>
        <v>5.68</v>
      </c>
      <c r="L44" s="27">
        <f t="shared" si="7"/>
        <v>200</v>
      </c>
      <c r="M44" s="27">
        <f t="shared" si="7"/>
        <v>200</v>
      </c>
      <c r="N44" s="27">
        <f t="shared" si="4"/>
        <v>400</v>
      </c>
    </row>
    <row r="45" spans="1:14" s="3" customFormat="1" ht="48.75" customHeight="1">
      <c r="A45" s="14" t="s">
        <v>341</v>
      </c>
      <c r="B45" s="15" t="s">
        <v>345</v>
      </c>
      <c r="C45" s="24" t="s">
        <v>346</v>
      </c>
      <c r="D45" s="14">
        <v>58</v>
      </c>
      <c r="E45" s="14">
        <v>130</v>
      </c>
      <c r="F45" s="14">
        <v>4</v>
      </c>
      <c r="G45" s="14">
        <f t="shared" si="9"/>
        <v>520</v>
      </c>
      <c r="H45" s="14">
        <v>1</v>
      </c>
      <c r="I45" s="27">
        <f t="shared" si="10"/>
        <v>2.3199999999999998</v>
      </c>
      <c r="J45" s="27">
        <f t="shared" si="1"/>
        <v>5.2</v>
      </c>
      <c r="K45" s="27">
        <f t="shared" si="2"/>
        <v>10.4</v>
      </c>
      <c r="L45" s="27">
        <f t="shared" si="7"/>
        <v>200</v>
      </c>
      <c r="M45" s="27">
        <f t="shared" si="7"/>
        <v>200</v>
      </c>
      <c r="N45" s="27">
        <f t="shared" si="4"/>
        <v>400</v>
      </c>
    </row>
    <row r="46" spans="1:14" s="3" customFormat="1" ht="48.75" customHeight="1">
      <c r="A46" s="14" t="s">
        <v>344</v>
      </c>
      <c r="B46" s="15" t="s">
        <v>348</v>
      </c>
      <c r="C46" s="24" t="s">
        <v>349</v>
      </c>
      <c r="D46" s="14">
        <f>E46/3</f>
        <v>11</v>
      </c>
      <c r="E46" s="14">
        <v>33</v>
      </c>
      <c r="F46" s="14">
        <v>4</v>
      </c>
      <c r="G46" s="14">
        <f t="shared" si="9"/>
        <v>132</v>
      </c>
      <c r="H46" s="14">
        <v>1</v>
      </c>
      <c r="I46" s="27">
        <f t="shared" si="10"/>
        <v>0.44</v>
      </c>
      <c r="J46" s="27">
        <f t="shared" si="1"/>
        <v>1.32</v>
      </c>
      <c r="K46" s="27">
        <f t="shared" si="2"/>
        <v>2.64</v>
      </c>
      <c r="L46" s="27">
        <f t="shared" si="7"/>
        <v>200</v>
      </c>
      <c r="M46" s="27">
        <f t="shared" si="7"/>
        <v>200</v>
      </c>
      <c r="N46" s="27">
        <f t="shared" si="4"/>
        <v>400</v>
      </c>
    </row>
    <row r="47" spans="1:14" s="3" customFormat="1" ht="48.75" customHeight="1">
      <c r="A47" s="14" t="s">
        <v>347</v>
      </c>
      <c r="B47" s="15" t="s">
        <v>351</v>
      </c>
      <c r="C47" s="24" t="s">
        <v>352</v>
      </c>
      <c r="D47" s="14">
        <v>7</v>
      </c>
      <c r="E47" s="14">
        <v>19</v>
      </c>
      <c r="F47" s="14">
        <v>4</v>
      </c>
      <c r="G47" s="14">
        <f t="shared" si="9"/>
        <v>76</v>
      </c>
      <c r="H47" s="14">
        <v>1</v>
      </c>
      <c r="I47" s="27">
        <f t="shared" si="10"/>
        <v>0.28000000000000003</v>
      </c>
      <c r="J47" s="27">
        <f t="shared" si="1"/>
        <v>0.76</v>
      </c>
      <c r="K47" s="27">
        <f t="shared" si="2"/>
        <v>1.52</v>
      </c>
      <c r="L47" s="27">
        <f t="shared" si="7"/>
        <v>199.99999999999997</v>
      </c>
      <c r="M47" s="27">
        <f t="shared" si="7"/>
        <v>200</v>
      </c>
      <c r="N47" s="27">
        <f t="shared" si="4"/>
        <v>400</v>
      </c>
    </row>
    <row r="48" spans="1:14" s="3" customFormat="1" ht="48.75" customHeight="1">
      <c r="A48" s="14" t="s">
        <v>350</v>
      </c>
      <c r="B48" s="15" t="s">
        <v>354</v>
      </c>
      <c r="C48" s="24" t="s">
        <v>355</v>
      </c>
      <c r="D48" s="14">
        <f t="shared" si="6"/>
        <v>80</v>
      </c>
      <c r="E48" s="14">
        <v>240</v>
      </c>
      <c r="F48" s="14">
        <v>4</v>
      </c>
      <c r="G48" s="14">
        <f t="shared" si="9"/>
        <v>960</v>
      </c>
      <c r="H48" s="14">
        <v>1</v>
      </c>
      <c r="I48" s="27">
        <f t="shared" si="10"/>
        <v>3.2</v>
      </c>
      <c r="J48" s="27">
        <f t="shared" si="1"/>
        <v>9.6</v>
      </c>
      <c r="K48" s="27">
        <f t="shared" si="2"/>
        <v>19.2</v>
      </c>
      <c r="L48" s="27">
        <f t="shared" si="7"/>
        <v>200</v>
      </c>
      <c r="M48" s="27">
        <f t="shared" si="7"/>
        <v>200</v>
      </c>
      <c r="N48" s="27">
        <f t="shared" si="4"/>
        <v>400</v>
      </c>
    </row>
    <row r="49" spans="1:15" s="3" customFormat="1" ht="48.75" customHeight="1">
      <c r="A49" s="14" t="s">
        <v>353</v>
      </c>
      <c r="B49" s="15" t="s">
        <v>357</v>
      </c>
      <c r="C49" s="24" t="s">
        <v>358</v>
      </c>
      <c r="D49" s="14">
        <f t="shared" si="6"/>
        <v>99</v>
      </c>
      <c r="E49" s="14">
        <v>297</v>
      </c>
      <c r="F49" s="14">
        <v>4</v>
      </c>
      <c r="G49" s="14">
        <f t="shared" si="9"/>
        <v>1188</v>
      </c>
      <c r="H49" s="14">
        <v>1</v>
      </c>
      <c r="I49" s="27">
        <f t="shared" si="10"/>
        <v>3.96</v>
      </c>
      <c r="J49" s="27">
        <f t="shared" si="1"/>
        <v>11.88</v>
      </c>
      <c r="K49" s="27">
        <f t="shared" si="2"/>
        <v>23.76</v>
      </c>
      <c r="L49" s="27">
        <f t="shared" si="7"/>
        <v>200</v>
      </c>
      <c r="M49" s="27">
        <f t="shared" si="7"/>
        <v>200</v>
      </c>
      <c r="N49" s="27">
        <f t="shared" si="4"/>
        <v>400</v>
      </c>
    </row>
    <row r="50" spans="1:15" s="3" customFormat="1" ht="48.75" customHeight="1">
      <c r="A50" s="14" t="s">
        <v>356</v>
      </c>
      <c r="B50" s="17" t="s">
        <v>360</v>
      </c>
      <c r="C50" s="24" t="s">
        <v>361</v>
      </c>
      <c r="D50" s="14">
        <f t="shared" si="6"/>
        <v>5</v>
      </c>
      <c r="E50" s="14">
        <v>15</v>
      </c>
      <c r="F50" s="14">
        <v>4</v>
      </c>
      <c r="G50" s="14">
        <f t="shared" si="9"/>
        <v>60</v>
      </c>
      <c r="H50" s="14">
        <v>1</v>
      </c>
      <c r="I50" s="27">
        <f t="shared" si="10"/>
        <v>0.2</v>
      </c>
      <c r="J50" s="27">
        <f t="shared" si="1"/>
        <v>0.6</v>
      </c>
      <c r="K50" s="27">
        <f t="shared" si="2"/>
        <v>1.2</v>
      </c>
      <c r="L50" s="27">
        <f t="shared" si="7"/>
        <v>200</v>
      </c>
      <c r="M50" s="27">
        <f t="shared" si="7"/>
        <v>200</v>
      </c>
      <c r="N50" s="27">
        <f t="shared" si="4"/>
        <v>400</v>
      </c>
    </row>
    <row r="51" spans="1:15" s="3" customFormat="1" ht="48.75" customHeight="1">
      <c r="A51" s="14" t="s">
        <v>359</v>
      </c>
      <c r="B51" s="15" t="s">
        <v>363</v>
      </c>
      <c r="C51" s="24" t="s">
        <v>364</v>
      </c>
      <c r="D51" s="14">
        <v>4</v>
      </c>
      <c r="E51" s="14">
        <v>8</v>
      </c>
      <c r="F51" s="14">
        <v>4</v>
      </c>
      <c r="G51" s="14">
        <f t="shared" si="9"/>
        <v>32</v>
      </c>
      <c r="H51" s="14">
        <v>1</v>
      </c>
      <c r="I51" s="27">
        <f t="shared" si="10"/>
        <v>0.16</v>
      </c>
      <c r="J51" s="27">
        <f t="shared" si="1"/>
        <v>0.32</v>
      </c>
      <c r="K51" s="27">
        <f t="shared" si="2"/>
        <v>0.64</v>
      </c>
      <c r="L51" s="27">
        <f t="shared" si="7"/>
        <v>200</v>
      </c>
      <c r="M51" s="27">
        <f t="shared" si="7"/>
        <v>200</v>
      </c>
      <c r="N51" s="27">
        <f t="shared" si="4"/>
        <v>400</v>
      </c>
    </row>
    <row r="52" spans="1:15" s="3" customFormat="1" ht="48.75" customHeight="1">
      <c r="A52" s="14" t="s">
        <v>362</v>
      </c>
      <c r="B52" s="17" t="s">
        <v>366</v>
      </c>
      <c r="C52" s="24" t="s">
        <v>367</v>
      </c>
      <c r="D52" s="14">
        <v>28</v>
      </c>
      <c r="E52" s="14">
        <v>83</v>
      </c>
      <c r="F52" s="14">
        <v>4</v>
      </c>
      <c r="G52" s="14">
        <f t="shared" si="9"/>
        <v>332</v>
      </c>
      <c r="H52" s="14">
        <v>1</v>
      </c>
      <c r="I52" s="27">
        <f t="shared" si="10"/>
        <v>1.1200000000000001</v>
      </c>
      <c r="J52" s="27">
        <f t="shared" si="1"/>
        <v>3.32</v>
      </c>
      <c r="K52" s="27">
        <f t="shared" si="2"/>
        <v>6.64</v>
      </c>
      <c r="L52" s="27">
        <f t="shared" si="7"/>
        <v>199.99999999999997</v>
      </c>
      <c r="M52" s="27">
        <f t="shared" si="7"/>
        <v>200</v>
      </c>
      <c r="N52" s="27">
        <f t="shared" si="4"/>
        <v>400</v>
      </c>
    </row>
    <row r="53" spans="1:15" s="3" customFormat="1" ht="48.75" customHeight="1">
      <c r="A53" s="14" t="s">
        <v>365</v>
      </c>
      <c r="B53" s="17" t="s">
        <v>369</v>
      </c>
      <c r="C53" s="24" t="s">
        <v>370</v>
      </c>
      <c r="D53" s="14">
        <v>8</v>
      </c>
      <c r="E53" s="14">
        <v>19</v>
      </c>
      <c r="F53" s="14">
        <v>4</v>
      </c>
      <c r="G53" s="14">
        <f t="shared" si="9"/>
        <v>76</v>
      </c>
      <c r="H53" s="14">
        <v>1</v>
      </c>
      <c r="I53" s="27">
        <f t="shared" si="10"/>
        <v>0.32</v>
      </c>
      <c r="J53" s="27">
        <f t="shared" si="1"/>
        <v>0.76</v>
      </c>
      <c r="K53" s="27">
        <f t="shared" si="2"/>
        <v>1.52</v>
      </c>
      <c r="L53" s="27">
        <f t="shared" si="7"/>
        <v>200</v>
      </c>
      <c r="M53" s="27">
        <f t="shared" si="7"/>
        <v>200</v>
      </c>
      <c r="N53" s="27">
        <f t="shared" si="4"/>
        <v>400</v>
      </c>
    </row>
    <row r="54" spans="1:15" s="3" customFormat="1" ht="48.75" customHeight="1">
      <c r="A54" s="14" t="s">
        <v>368</v>
      </c>
      <c r="B54" s="17" t="s">
        <v>372</v>
      </c>
      <c r="C54" s="24" t="s">
        <v>373</v>
      </c>
      <c r="D54" s="14">
        <v>5</v>
      </c>
      <c r="E54" s="14">
        <v>7</v>
      </c>
      <c r="F54" s="14">
        <v>4</v>
      </c>
      <c r="G54" s="14">
        <f t="shared" si="9"/>
        <v>28</v>
      </c>
      <c r="H54" s="14">
        <v>1</v>
      </c>
      <c r="I54" s="27">
        <f t="shared" si="10"/>
        <v>0.2</v>
      </c>
      <c r="J54" s="27">
        <f t="shared" si="1"/>
        <v>0.28000000000000003</v>
      </c>
      <c r="K54" s="27">
        <f t="shared" si="2"/>
        <v>0.56000000000000005</v>
      </c>
      <c r="L54" s="27">
        <f t="shared" si="7"/>
        <v>200</v>
      </c>
      <c r="M54" s="27">
        <f t="shared" si="7"/>
        <v>199.99999999999997</v>
      </c>
      <c r="N54" s="27">
        <f t="shared" si="4"/>
        <v>399.99999999999994</v>
      </c>
    </row>
    <row r="55" spans="1:15" s="3" customFormat="1" ht="48.75" customHeight="1">
      <c r="A55" s="14" t="s">
        <v>371</v>
      </c>
      <c r="B55" s="15" t="s">
        <v>375</v>
      </c>
      <c r="C55" s="24" t="s">
        <v>376</v>
      </c>
      <c r="D55" s="14">
        <f t="shared" si="6"/>
        <v>1</v>
      </c>
      <c r="E55" s="14">
        <v>3</v>
      </c>
      <c r="F55" s="14">
        <v>4</v>
      </c>
      <c r="G55" s="14">
        <f t="shared" si="9"/>
        <v>12</v>
      </c>
      <c r="H55" s="14">
        <v>1</v>
      </c>
      <c r="I55" s="27">
        <f t="shared" si="10"/>
        <v>0.04</v>
      </c>
      <c r="J55" s="27">
        <f t="shared" si="1"/>
        <v>0.12</v>
      </c>
      <c r="K55" s="27">
        <f t="shared" si="2"/>
        <v>0.24</v>
      </c>
      <c r="L55" s="27">
        <f t="shared" si="7"/>
        <v>200</v>
      </c>
      <c r="M55" s="27">
        <f t="shared" si="7"/>
        <v>200</v>
      </c>
      <c r="N55" s="27">
        <f t="shared" si="4"/>
        <v>400</v>
      </c>
    </row>
    <row r="56" spans="1:15" s="3" customFormat="1" ht="48.75" customHeight="1">
      <c r="A56" s="14" t="s">
        <v>374</v>
      </c>
      <c r="B56" s="15" t="s">
        <v>378</v>
      </c>
      <c r="C56" s="24" t="s">
        <v>379</v>
      </c>
      <c r="D56" s="14">
        <v>17</v>
      </c>
      <c r="E56" s="14">
        <v>50</v>
      </c>
      <c r="F56" s="14">
        <v>3.5</v>
      </c>
      <c r="G56" s="14">
        <f t="shared" si="9"/>
        <v>175</v>
      </c>
      <c r="H56" s="14">
        <v>1</v>
      </c>
      <c r="I56" s="27">
        <f t="shared" si="10"/>
        <v>0.68</v>
      </c>
      <c r="J56" s="27">
        <f t="shared" si="1"/>
        <v>2</v>
      </c>
      <c r="K56" s="27">
        <f t="shared" si="2"/>
        <v>3.5</v>
      </c>
      <c r="L56" s="27">
        <f t="shared" si="7"/>
        <v>199.99999999999997</v>
      </c>
      <c r="M56" s="27">
        <f t="shared" si="7"/>
        <v>200</v>
      </c>
      <c r="N56" s="27">
        <f t="shared" si="4"/>
        <v>400</v>
      </c>
    </row>
    <row r="57" spans="1:15" s="3" customFormat="1" ht="48.75" customHeight="1">
      <c r="A57" s="14" t="s">
        <v>377</v>
      </c>
      <c r="B57" s="17" t="s">
        <v>381</v>
      </c>
      <c r="C57" s="24" t="s">
        <v>382</v>
      </c>
      <c r="D57" s="14">
        <f t="shared" si="6"/>
        <v>5</v>
      </c>
      <c r="E57" s="14">
        <v>15</v>
      </c>
      <c r="F57" s="14">
        <v>4</v>
      </c>
      <c r="G57" s="14">
        <f t="shared" si="9"/>
        <v>60</v>
      </c>
      <c r="H57" s="14">
        <v>2</v>
      </c>
      <c r="I57" s="27">
        <f t="shared" si="10"/>
        <v>0.4</v>
      </c>
      <c r="J57" s="27">
        <f t="shared" si="1"/>
        <v>1.2</v>
      </c>
      <c r="K57" s="27">
        <f t="shared" si="2"/>
        <v>2.4</v>
      </c>
      <c r="L57" s="27">
        <f t="shared" si="7"/>
        <v>100</v>
      </c>
      <c r="M57" s="27">
        <f t="shared" si="7"/>
        <v>100</v>
      </c>
      <c r="N57" s="27">
        <f t="shared" si="4"/>
        <v>200</v>
      </c>
    </row>
    <row r="58" spans="1:15" s="3" customFormat="1" ht="48.75" customHeight="1">
      <c r="A58" s="14" t="s">
        <v>380</v>
      </c>
      <c r="B58" s="15" t="s">
        <v>384</v>
      </c>
      <c r="C58" s="24">
        <v>2</v>
      </c>
      <c r="D58" s="14">
        <v>2</v>
      </c>
      <c r="E58" s="14">
        <v>2</v>
      </c>
      <c r="F58" s="14">
        <v>3.5</v>
      </c>
      <c r="G58" s="14">
        <f t="shared" si="9"/>
        <v>7</v>
      </c>
      <c r="H58" s="14">
        <v>1</v>
      </c>
      <c r="I58" s="27">
        <f t="shared" si="10"/>
        <v>0.08</v>
      </c>
      <c r="J58" s="27">
        <f t="shared" si="1"/>
        <v>0.08</v>
      </c>
      <c r="K58" s="27">
        <f t="shared" si="2"/>
        <v>0.14000000000000001</v>
      </c>
      <c r="L58" s="27">
        <f t="shared" si="7"/>
        <v>200</v>
      </c>
      <c r="M58" s="27">
        <f t="shared" si="7"/>
        <v>200</v>
      </c>
      <c r="N58" s="27">
        <f t="shared" si="4"/>
        <v>399.99999999999994</v>
      </c>
    </row>
    <row r="59" spans="1:15" s="3" customFormat="1" ht="48.75" customHeight="1">
      <c r="A59" s="14" t="s">
        <v>383</v>
      </c>
      <c r="B59" s="15" t="s">
        <v>386</v>
      </c>
      <c r="C59" s="24" t="s">
        <v>387</v>
      </c>
      <c r="D59" s="14">
        <v>6</v>
      </c>
      <c r="E59" s="14">
        <v>16</v>
      </c>
      <c r="F59" s="14">
        <v>4</v>
      </c>
      <c r="G59" s="14">
        <f t="shared" si="9"/>
        <v>64</v>
      </c>
      <c r="H59" s="14">
        <v>1</v>
      </c>
      <c r="I59" s="27">
        <f t="shared" si="10"/>
        <v>0.24</v>
      </c>
      <c r="J59" s="27">
        <f t="shared" si="1"/>
        <v>0.64</v>
      </c>
      <c r="K59" s="27">
        <f t="shared" si="2"/>
        <v>1.28</v>
      </c>
      <c r="L59" s="27">
        <f t="shared" si="7"/>
        <v>200</v>
      </c>
      <c r="M59" s="27">
        <f t="shared" si="7"/>
        <v>200</v>
      </c>
      <c r="N59" s="27">
        <f t="shared" si="4"/>
        <v>400</v>
      </c>
    </row>
    <row r="60" spans="1:15" s="3" customFormat="1" ht="48.75" customHeight="1">
      <c r="A60" s="14" t="s">
        <v>385</v>
      </c>
      <c r="B60" s="15" t="s">
        <v>389</v>
      </c>
      <c r="C60" s="24" t="s">
        <v>390</v>
      </c>
      <c r="D60" s="14">
        <v>7</v>
      </c>
      <c r="E60" s="14">
        <v>20</v>
      </c>
      <c r="F60" s="14">
        <v>4</v>
      </c>
      <c r="G60" s="14">
        <f t="shared" si="9"/>
        <v>80</v>
      </c>
      <c r="H60" s="14">
        <v>1</v>
      </c>
      <c r="I60" s="27">
        <f t="shared" si="10"/>
        <v>0.28000000000000003</v>
      </c>
      <c r="J60" s="27">
        <f t="shared" si="1"/>
        <v>0.8</v>
      </c>
      <c r="K60" s="27">
        <f t="shared" si="2"/>
        <v>1.6</v>
      </c>
      <c r="L60" s="27">
        <f t="shared" si="7"/>
        <v>199.99999999999997</v>
      </c>
      <c r="M60" s="27">
        <f t="shared" si="7"/>
        <v>200</v>
      </c>
      <c r="N60" s="27">
        <f t="shared" si="4"/>
        <v>400</v>
      </c>
    </row>
    <row r="61" spans="1:15" s="3" customFormat="1" ht="48.75" customHeight="1">
      <c r="A61" s="14" t="s">
        <v>388</v>
      </c>
      <c r="B61" s="15" t="s">
        <v>392</v>
      </c>
      <c r="C61" s="24" t="s">
        <v>393</v>
      </c>
      <c r="D61" s="14">
        <v>44</v>
      </c>
      <c r="E61" s="14">
        <v>130</v>
      </c>
      <c r="F61" s="14">
        <v>4</v>
      </c>
      <c r="G61" s="14">
        <f t="shared" si="9"/>
        <v>520</v>
      </c>
      <c r="H61" s="14">
        <v>1</v>
      </c>
      <c r="I61" s="27">
        <f t="shared" si="10"/>
        <v>1.76</v>
      </c>
      <c r="J61" s="27">
        <f t="shared" si="1"/>
        <v>5.2</v>
      </c>
      <c r="K61" s="27">
        <f t="shared" si="2"/>
        <v>10.4</v>
      </c>
      <c r="L61" s="27">
        <f t="shared" si="7"/>
        <v>200</v>
      </c>
      <c r="M61" s="27">
        <f t="shared" si="7"/>
        <v>200</v>
      </c>
      <c r="N61" s="27">
        <f t="shared" si="4"/>
        <v>400</v>
      </c>
    </row>
    <row r="62" spans="1:15" s="3" customFormat="1" ht="48.75" customHeight="1">
      <c r="A62" s="14" t="s">
        <v>391</v>
      </c>
      <c r="B62" s="17" t="s">
        <v>395</v>
      </c>
      <c r="C62" s="24" t="s">
        <v>396</v>
      </c>
      <c r="D62" s="14">
        <v>43</v>
      </c>
      <c r="E62" s="14">
        <v>128</v>
      </c>
      <c r="F62" s="14">
        <v>4</v>
      </c>
      <c r="G62" s="14">
        <f t="shared" si="9"/>
        <v>512</v>
      </c>
      <c r="H62" s="14">
        <v>1</v>
      </c>
      <c r="I62" s="27">
        <f t="shared" si="10"/>
        <v>1.72</v>
      </c>
      <c r="J62" s="27">
        <f t="shared" si="1"/>
        <v>5.12</v>
      </c>
      <c r="K62" s="27">
        <f t="shared" si="2"/>
        <v>10.24</v>
      </c>
      <c r="L62" s="27">
        <f t="shared" si="7"/>
        <v>200</v>
      </c>
      <c r="M62" s="27">
        <f t="shared" si="7"/>
        <v>200</v>
      </c>
      <c r="N62" s="27">
        <f t="shared" si="4"/>
        <v>400</v>
      </c>
    </row>
    <row r="63" spans="1:15" s="3" customFormat="1" ht="48.75" customHeight="1">
      <c r="A63" s="14" t="s">
        <v>394</v>
      </c>
      <c r="B63" s="15" t="s">
        <v>398</v>
      </c>
      <c r="C63" s="25" t="s">
        <v>399</v>
      </c>
      <c r="D63" s="14">
        <v>40</v>
      </c>
      <c r="E63" s="14">
        <v>130</v>
      </c>
      <c r="F63" s="14">
        <v>4</v>
      </c>
      <c r="G63" s="14">
        <f t="shared" si="9"/>
        <v>520</v>
      </c>
      <c r="H63" s="14">
        <v>1.2</v>
      </c>
      <c r="I63" s="27">
        <f>IF(E63="","",E63*H$5*H63/D$5)</f>
        <v>6.24</v>
      </c>
      <c r="J63" s="27">
        <f t="shared" si="1"/>
        <v>6.24</v>
      </c>
      <c r="K63" s="27">
        <f t="shared" si="2"/>
        <v>12.48</v>
      </c>
      <c r="L63" s="27">
        <f t="shared" si="7"/>
        <v>51.282051282051277</v>
      </c>
      <c r="M63" s="27">
        <f t="shared" si="7"/>
        <v>166.66666666666666</v>
      </c>
      <c r="N63" s="27">
        <f t="shared" si="4"/>
        <v>333.33333333333331</v>
      </c>
    </row>
    <row r="64" spans="1:15" s="3" customFormat="1" ht="48.75" customHeight="1">
      <c r="A64" s="14" t="s">
        <v>397</v>
      </c>
      <c r="B64" s="15" t="s">
        <v>402</v>
      </c>
      <c r="C64" s="28" t="s">
        <v>403</v>
      </c>
      <c r="D64" s="14">
        <v>150</v>
      </c>
      <c r="E64" s="14">
        <v>438</v>
      </c>
      <c r="F64" s="14">
        <v>4</v>
      </c>
      <c r="G64" s="14">
        <f t="shared" si="9"/>
        <v>1752</v>
      </c>
      <c r="H64" s="14">
        <v>0.8</v>
      </c>
      <c r="I64" s="27">
        <f t="shared" ref="I64:I69" si="11">IF(D64="","",D64*H$5*H64/D$5)</f>
        <v>4.8</v>
      </c>
      <c r="J64" s="27">
        <f t="shared" si="1"/>
        <v>14.016000000000002</v>
      </c>
      <c r="K64" s="27">
        <f t="shared" si="2"/>
        <v>28.032000000000004</v>
      </c>
      <c r="L64" s="27">
        <f t="shared" si="7"/>
        <v>250</v>
      </c>
      <c r="M64" s="27">
        <f t="shared" si="7"/>
        <v>249.99999999999997</v>
      </c>
      <c r="N64" s="27">
        <f t="shared" si="4"/>
        <v>499.99999999999994</v>
      </c>
      <c r="O64" s="3" t="s">
        <v>400</v>
      </c>
    </row>
    <row r="65" spans="1:14" s="3" customFormat="1" ht="48.75" customHeight="1">
      <c r="A65" s="14" t="s">
        <v>401</v>
      </c>
      <c r="B65" s="17" t="s">
        <v>405</v>
      </c>
      <c r="C65" s="18" t="s">
        <v>406</v>
      </c>
      <c r="D65" s="14">
        <v>14</v>
      </c>
      <c r="E65" s="14">
        <v>48</v>
      </c>
      <c r="F65" s="14">
        <v>4</v>
      </c>
      <c r="G65" s="14">
        <f t="shared" si="9"/>
        <v>192</v>
      </c>
      <c r="H65" s="14">
        <v>0.8</v>
      </c>
      <c r="I65" s="27">
        <f t="shared" si="11"/>
        <v>0.44800000000000006</v>
      </c>
      <c r="J65" s="27">
        <f t="shared" si="1"/>
        <v>1.5360000000000003</v>
      </c>
      <c r="K65" s="27">
        <f t="shared" si="2"/>
        <v>3.0720000000000005</v>
      </c>
      <c r="L65" s="27">
        <f t="shared" si="7"/>
        <v>249.99999999999997</v>
      </c>
      <c r="M65" s="27">
        <f t="shared" si="7"/>
        <v>249.99999999999997</v>
      </c>
      <c r="N65" s="27">
        <f t="shared" si="4"/>
        <v>499.99999999999994</v>
      </c>
    </row>
    <row r="66" spans="1:14" s="3" customFormat="1" ht="48.75" customHeight="1">
      <c r="A66" s="14" t="s">
        <v>404</v>
      </c>
      <c r="B66" s="15" t="s">
        <v>408</v>
      </c>
      <c r="C66" s="16" t="s">
        <v>409</v>
      </c>
      <c r="D66" s="14">
        <v>22</v>
      </c>
      <c r="E66" s="14">
        <v>78</v>
      </c>
      <c r="F66" s="14">
        <v>4</v>
      </c>
      <c r="G66" s="14">
        <f t="shared" si="9"/>
        <v>312</v>
      </c>
      <c r="H66" s="14">
        <v>0.8</v>
      </c>
      <c r="I66" s="27">
        <f t="shared" si="11"/>
        <v>0.70400000000000007</v>
      </c>
      <c r="J66" s="27">
        <f t="shared" si="1"/>
        <v>2.4960000000000004</v>
      </c>
      <c r="K66" s="27">
        <f t="shared" si="2"/>
        <v>4.9920000000000009</v>
      </c>
      <c r="L66" s="27">
        <f t="shared" si="7"/>
        <v>249.99999999999997</v>
      </c>
      <c r="M66" s="27">
        <f t="shared" si="7"/>
        <v>249.99999999999994</v>
      </c>
      <c r="N66" s="27">
        <f t="shared" si="4"/>
        <v>499.99999999999989</v>
      </c>
    </row>
    <row r="67" spans="1:14" s="3" customFormat="1" ht="48.75" customHeight="1">
      <c r="A67" s="14" t="s">
        <v>407</v>
      </c>
      <c r="B67" s="15" t="s">
        <v>411</v>
      </c>
      <c r="C67" s="19" t="s">
        <v>412</v>
      </c>
      <c r="D67" s="14">
        <v>41</v>
      </c>
      <c r="E67" s="14">
        <v>134</v>
      </c>
      <c r="F67" s="14">
        <v>4</v>
      </c>
      <c r="G67" s="14">
        <f t="shared" si="9"/>
        <v>536</v>
      </c>
      <c r="H67" s="14">
        <v>0.8</v>
      </c>
      <c r="I67" s="27">
        <f t="shared" si="11"/>
        <v>1.3120000000000003</v>
      </c>
      <c r="J67" s="27">
        <f t="shared" si="1"/>
        <v>4.2880000000000003</v>
      </c>
      <c r="K67" s="27">
        <f t="shared" si="2"/>
        <v>8.5760000000000005</v>
      </c>
      <c r="L67" s="27">
        <f t="shared" si="7"/>
        <v>249.99999999999994</v>
      </c>
      <c r="M67" s="27">
        <f t="shared" si="7"/>
        <v>249.99999999999997</v>
      </c>
      <c r="N67" s="27">
        <f t="shared" si="4"/>
        <v>499.99999999999994</v>
      </c>
    </row>
    <row r="68" spans="1:14" s="3" customFormat="1" ht="48.75" customHeight="1">
      <c r="A68" s="14" t="s">
        <v>410</v>
      </c>
      <c r="B68" s="15" t="s">
        <v>414</v>
      </c>
      <c r="C68" s="19" t="s">
        <v>415</v>
      </c>
      <c r="D68" s="14">
        <v>200</v>
      </c>
      <c r="E68" s="14">
        <v>624</v>
      </c>
      <c r="F68" s="14">
        <v>4</v>
      </c>
      <c r="G68" s="14">
        <f t="shared" si="9"/>
        <v>2496</v>
      </c>
      <c r="H68" s="14">
        <v>1.2</v>
      </c>
      <c r="I68" s="27">
        <f t="shared" si="11"/>
        <v>9.6</v>
      </c>
      <c r="J68" s="27">
        <f t="shared" si="1"/>
        <v>29.951999999999998</v>
      </c>
      <c r="K68" s="27">
        <f t="shared" si="2"/>
        <v>59.903999999999996</v>
      </c>
      <c r="L68" s="27">
        <f t="shared" si="7"/>
        <v>166.66666666666669</v>
      </c>
      <c r="M68" s="27">
        <f t="shared" si="7"/>
        <v>166.66666666666669</v>
      </c>
      <c r="N68" s="27">
        <f t="shared" si="4"/>
        <v>333.33333333333337</v>
      </c>
    </row>
    <row r="69" spans="1:14" s="3" customFormat="1" ht="48.75" customHeight="1">
      <c r="A69" s="14" t="s">
        <v>413</v>
      </c>
      <c r="B69" s="15" t="s">
        <v>416</v>
      </c>
      <c r="C69" s="19" t="s">
        <v>417</v>
      </c>
      <c r="D69" s="14">
        <v>72</v>
      </c>
      <c r="E69" s="14">
        <v>216</v>
      </c>
      <c r="F69" s="14">
        <v>4</v>
      </c>
      <c r="G69" s="14">
        <f t="shared" si="9"/>
        <v>864</v>
      </c>
      <c r="H69" s="14">
        <v>1.2</v>
      </c>
      <c r="I69" s="27">
        <f t="shared" si="11"/>
        <v>3.4559999999999995</v>
      </c>
      <c r="J69" s="27">
        <f t="shared" si="1"/>
        <v>10.368</v>
      </c>
      <c r="K69" s="27">
        <f t="shared" si="2"/>
        <v>20.736000000000001</v>
      </c>
      <c r="L69" s="27">
        <f t="shared" si="7"/>
        <v>166.66666666666669</v>
      </c>
      <c r="M69" s="27">
        <f t="shared" si="7"/>
        <v>166.66666666666666</v>
      </c>
      <c r="N69" s="27">
        <f t="shared" si="4"/>
        <v>333.33333333333331</v>
      </c>
    </row>
    <row r="70" spans="1:14" s="3" customFormat="1" ht="48.75" customHeight="1">
      <c r="A70" s="14" t="s">
        <v>418</v>
      </c>
      <c r="B70" s="22" t="s">
        <v>419</v>
      </c>
      <c r="C70" s="20" t="s">
        <v>420</v>
      </c>
      <c r="D70" s="14">
        <v>2</v>
      </c>
      <c r="E70" s="14">
        <v>2</v>
      </c>
      <c r="F70" s="14">
        <v>2</v>
      </c>
      <c r="G70" s="14">
        <v>4733</v>
      </c>
      <c r="H70" s="14">
        <v>0.8</v>
      </c>
      <c r="I70" s="27">
        <f t="shared" si="0"/>
        <v>6.4000000000000001E-2</v>
      </c>
      <c r="J70" s="27">
        <f t="shared" si="1"/>
        <v>6.4000000000000001E-2</v>
      </c>
      <c r="K70" s="27">
        <f t="shared" si="2"/>
        <v>75.728000000000009</v>
      </c>
      <c r="L70" s="27">
        <f t="shared" si="7"/>
        <v>250</v>
      </c>
      <c r="M70" s="27">
        <f t="shared" si="7"/>
        <v>250</v>
      </c>
      <c r="N70" s="27">
        <f t="shared" si="4"/>
        <v>499.99999999999994</v>
      </c>
    </row>
    <row r="71" spans="1:14" s="3" customFormat="1" ht="12.75">
      <c r="A71" s="121" t="s">
        <v>421</v>
      </c>
      <c r="B71" s="122"/>
      <c r="C71" s="123"/>
      <c r="D71" s="11">
        <f>SUM(D11:D70)</f>
        <v>1666</v>
      </c>
      <c r="E71" s="11">
        <f>SUM(E11:E70)</f>
        <v>4733</v>
      </c>
      <c r="F71" s="11"/>
      <c r="G71" s="29">
        <f>SUM(G11:G70)</f>
        <v>28256</v>
      </c>
      <c r="H71" s="11"/>
      <c r="I71" s="31">
        <f>SUM(I11:I70)</f>
        <v>71.451999999999984</v>
      </c>
      <c r="J71" s="31">
        <f>SUM(J11:J70)</f>
        <v>194.624</v>
      </c>
      <c r="K71" s="31">
        <f>SUM(K11:K70)</f>
        <v>556.71399999999994</v>
      </c>
      <c r="L71" s="31">
        <f t="shared" ref="L71" si="12">D71/I71*8</f>
        <v>186.53081789173154</v>
      </c>
      <c r="M71" s="31">
        <f t="shared" ref="M71" si="13">E71/J71*8</f>
        <v>194.54949029924367</v>
      </c>
      <c r="N71" s="31">
        <f t="shared" ref="N71" si="14">G71/K71*8</f>
        <v>406.03972596342112</v>
      </c>
    </row>
    <row r="72" spans="1:14">
      <c r="A72" s="30"/>
    </row>
    <row r="73" spans="1:14">
      <c r="A73" s="30"/>
    </row>
    <row r="74" spans="1:14">
      <c r="A74" s="30"/>
      <c r="H74" s="5"/>
    </row>
    <row r="75" spans="1:14">
      <c r="A75" s="30"/>
    </row>
  </sheetData>
  <mergeCells count="13">
    <mergeCell ref="A9:K9"/>
    <mergeCell ref="A71:C71"/>
    <mergeCell ref="E6:G6"/>
    <mergeCell ref="I6:J6"/>
    <mergeCell ref="E7:G7"/>
    <mergeCell ref="I7:J7"/>
    <mergeCell ref="A8:K8"/>
    <mergeCell ref="A1:K1"/>
    <mergeCell ref="A2:K2"/>
    <mergeCell ref="E3:F3"/>
    <mergeCell ref="A4:K4"/>
    <mergeCell ref="E5:G5"/>
    <mergeCell ref="I5:J5"/>
  </mergeCells>
  <phoneticPr fontId="30" type="noConversion"/>
  <dataValidations count="1">
    <dataValidation type="list" allowBlank="1" showInputMessage="1" showErrorMessage="1" sqref="C3">
      <formula1>"经验估计法,类比法,WBS估算法,Delphi法,PERT估计法"</formula1>
    </dataValidation>
  </dataValidations>
  <pageMargins left="0.69930555555555596" right="0.69930555555555596" top="0.75" bottom="0.75" header="0.3" footer="0.3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O75"/>
  <sheetViews>
    <sheetView showGridLines="0" workbookViewId="0">
      <pane xSplit="1" ySplit="10" topLeftCell="B68" activePane="bottomRight" state="frozen"/>
      <selection pane="topRight"/>
      <selection pane="bottomLeft"/>
      <selection pane="bottomRight" activeCell="F69" sqref="F69"/>
    </sheetView>
  </sheetViews>
  <sheetFormatPr defaultColWidth="8.88671875" defaultRowHeight="12"/>
  <cols>
    <col min="1" max="1" width="9.88671875" style="4" customWidth="1"/>
    <col min="2" max="2" width="23.44140625" style="5" customWidth="1"/>
    <col min="3" max="3" width="31.77734375" style="5" customWidth="1"/>
    <col min="4" max="4" width="7.21875" style="4" customWidth="1"/>
    <col min="5" max="5" width="6.5546875" style="4" customWidth="1"/>
    <col min="6" max="6" width="6" style="4" customWidth="1"/>
    <col min="7" max="7" width="6.77734375" style="4" customWidth="1"/>
    <col min="8" max="8" width="10.33203125" style="4" customWidth="1"/>
    <col min="9" max="9" width="10" style="4" customWidth="1"/>
    <col min="10" max="10" width="9.44140625" style="4" customWidth="1"/>
    <col min="11" max="11" width="11.77734375" style="4" customWidth="1"/>
    <col min="12" max="16384" width="8.88671875" style="4"/>
  </cols>
  <sheetData>
    <row r="1" spans="1:14" ht="22.5">
      <c r="A1" s="113" t="s">
        <v>430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</row>
    <row r="2" spans="1:14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</row>
    <row r="3" spans="1:14" ht="12.75">
      <c r="B3" s="6" t="s">
        <v>165</v>
      </c>
      <c r="C3" s="7" t="s">
        <v>210</v>
      </c>
      <c r="D3" s="8" t="s">
        <v>211</v>
      </c>
      <c r="E3" s="115">
        <v>43298</v>
      </c>
      <c r="F3" s="116"/>
      <c r="G3" s="8" t="s">
        <v>212</v>
      </c>
      <c r="H3" s="9" t="s">
        <v>431</v>
      </c>
    </row>
    <row r="4" spans="1:14" ht="18.75">
      <c r="A4" s="117" t="s">
        <v>214</v>
      </c>
      <c r="B4" s="117"/>
      <c r="C4" s="117"/>
      <c r="D4" s="117"/>
      <c r="E4" s="117"/>
      <c r="F4" s="117"/>
      <c r="G4" s="117"/>
      <c r="H4" s="117"/>
      <c r="I4" s="117"/>
      <c r="J4" s="117"/>
      <c r="K4" s="117"/>
    </row>
    <row r="5" spans="1:14" ht="12.75" customHeight="1">
      <c r="A5" s="10" t="s">
        <v>215</v>
      </c>
      <c r="B5" s="11">
        <f>SUM(D11:D70)</f>
        <v>1666</v>
      </c>
      <c r="C5" s="10" t="s">
        <v>216</v>
      </c>
      <c r="D5" s="12">
        <v>25</v>
      </c>
      <c r="E5" s="118" t="s">
        <v>217</v>
      </c>
      <c r="F5" s="118"/>
      <c r="G5" s="118"/>
      <c r="H5" s="12">
        <v>1</v>
      </c>
      <c r="I5" s="118" t="s">
        <v>218</v>
      </c>
      <c r="J5" s="118"/>
      <c r="K5" s="26">
        <f>IF(I71="","",I71)</f>
        <v>71.451999999999984</v>
      </c>
    </row>
    <row r="6" spans="1:14" s="1" customFormat="1" ht="12.75" customHeight="1">
      <c r="A6" s="10" t="s">
        <v>219</v>
      </c>
      <c r="B6" s="11">
        <f>SUM(E11:E70)</f>
        <v>4733</v>
      </c>
      <c r="C6" s="10" t="s">
        <v>220</v>
      </c>
      <c r="D6" s="12">
        <v>25</v>
      </c>
      <c r="E6" s="118" t="s">
        <v>221</v>
      </c>
      <c r="F6" s="118"/>
      <c r="G6" s="118"/>
      <c r="H6" s="12">
        <v>1</v>
      </c>
      <c r="I6" s="118" t="s">
        <v>222</v>
      </c>
      <c r="J6" s="118"/>
      <c r="K6" s="26">
        <f>IF(J71="","",J71)</f>
        <v>194.624</v>
      </c>
    </row>
    <row r="7" spans="1:14" s="1" customFormat="1" ht="12.75" customHeight="1">
      <c r="A7" s="10" t="s">
        <v>223</v>
      </c>
      <c r="B7" s="11">
        <f>SUM(G11:G70)</f>
        <v>28256</v>
      </c>
      <c r="C7" s="10" t="s">
        <v>224</v>
      </c>
      <c r="D7" s="12">
        <v>50</v>
      </c>
      <c r="E7" s="118" t="s">
        <v>225</v>
      </c>
      <c r="F7" s="118"/>
      <c r="G7" s="118"/>
      <c r="H7" s="12">
        <v>1</v>
      </c>
      <c r="I7" s="118" t="s">
        <v>226</v>
      </c>
      <c r="J7" s="118"/>
      <c r="K7" s="26">
        <f>IF(K71="","",K71)</f>
        <v>556.71399999999994</v>
      </c>
    </row>
    <row r="8" spans="1:14" s="1" customFormat="1" ht="3.75" customHeight="1">
      <c r="A8" s="119"/>
      <c r="B8" s="119"/>
      <c r="C8" s="119"/>
      <c r="D8" s="119"/>
      <c r="E8" s="119"/>
      <c r="F8" s="119"/>
      <c r="G8" s="119"/>
      <c r="H8" s="119"/>
      <c r="I8" s="119"/>
      <c r="J8" s="119"/>
      <c r="K8" s="119"/>
    </row>
    <row r="9" spans="1:14" s="1" customFormat="1" ht="13.5" customHeight="1">
      <c r="A9" s="120" t="s">
        <v>227</v>
      </c>
      <c r="B9" s="120"/>
      <c r="C9" s="120"/>
      <c r="D9" s="120"/>
      <c r="E9" s="120"/>
      <c r="F9" s="120"/>
      <c r="G9" s="120"/>
      <c r="H9" s="120"/>
      <c r="I9" s="120"/>
      <c r="J9" s="120"/>
      <c r="K9" s="120"/>
    </row>
    <row r="10" spans="1:14" s="2" customFormat="1" ht="36">
      <c r="A10" s="13" t="s">
        <v>228</v>
      </c>
      <c r="B10" s="13" t="s">
        <v>229</v>
      </c>
      <c r="C10" s="13" t="s">
        <v>230</v>
      </c>
      <c r="D10" s="13" t="s">
        <v>231</v>
      </c>
      <c r="E10" s="13" t="s">
        <v>232</v>
      </c>
      <c r="F10" s="13" t="s">
        <v>233</v>
      </c>
      <c r="G10" s="13" t="s">
        <v>234</v>
      </c>
      <c r="H10" s="13" t="s">
        <v>235</v>
      </c>
      <c r="I10" s="13" t="s">
        <v>236</v>
      </c>
      <c r="J10" s="13" t="s">
        <v>237</v>
      </c>
      <c r="K10" s="13" t="s">
        <v>238</v>
      </c>
      <c r="L10" s="13" t="s">
        <v>426</v>
      </c>
      <c r="M10" s="13" t="s">
        <v>427</v>
      </c>
      <c r="N10" s="13" t="s">
        <v>428</v>
      </c>
    </row>
    <row r="11" spans="1:14" s="3" customFormat="1" ht="48.75" customHeight="1">
      <c r="A11" s="14" t="s">
        <v>242</v>
      </c>
      <c r="B11" s="15" t="s">
        <v>243</v>
      </c>
      <c r="C11" s="16" t="s">
        <v>244</v>
      </c>
      <c r="D11" s="14">
        <v>5</v>
      </c>
      <c r="E11" s="14">
        <v>7</v>
      </c>
      <c r="F11" s="14">
        <v>2</v>
      </c>
      <c r="G11" s="14">
        <f>E11*F11</f>
        <v>14</v>
      </c>
      <c r="H11" s="14">
        <v>0.8</v>
      </c>
      <c r="I11" s="27">
        <f t="shared" ref="I11:I70" si="0">IF(D11="","",D11*H$5*H11/D$5)</f>
        <v>0.16</v>
      </c>
      <c r="J11" s="27">
        <f t="shared" ref="J11:J70" si="1">IF(E11="","",E11*H$6*H11/D$6)</f>
        <v>0.22400000000000003</v>
      </c>
      <c r="K11" s="27">
        <f t="shared" ref="K11:K70" si="2">G11*H$7*H11/D$7</f>
        <v>0.22400000000000003</v>
      </c>
      <c r="L11" s="27">
        <f t="shared" ref="L11:M30" si="3">D11/I11*8</f>
        <v>250</v>
      </c>
      <c r="M11" s="27">
        <f t="shared" si="3"/>
        <v>249.99999999999997</v>
      </c>
      <c r="N11" s="27">
        <f t="shared" ref="N11:N70" si="4">G11/K11*8</f>
        <v>499.99999999999994</v>
      </c>
    </row>
    <row r="12" spans="1:14" s="3" customFormat="1" ht="48.75" customHeight="1">
      <c r="A12" s="14" t="s">
        <v>245</v>
      </c>
      <c r="B12" s="15" t="s">
        <v>246</v>
      </c>
      <c r="C12" s="16" t="s">
        <v>247</v>
      </c>
      <c r="D12" s="14">
        <v>2</v>
      </c>
      <c r="E12" s="14">
        <v>2</v>
      </c>
      <c r="F12" s="14">
        <v>2.5</v>
      </c>
      <c r="G12" s="14">
        <f>E12*F12</f>
        <v>5</v>
      </c>
      <c r="H12" s="14">
        <v>1.2</v>
      </c>
      <c r="I12" s="27">
        <f t="shared" si="0"/>
        <v>9.6000000000000002E-2</v>
      </c>
      <c r="J12" s="27">
        <f t="shared" si="1"/>
        <v>9.6000000000000002E-2</v>
      </c>
      <c r="K12" s="27">
        <f t="shared" si="2"/>
        <v>0.12</v>
      </c>
      <c r="L12" s="27">
        <f t="shared" si="3"/>
        <v>166.66666666666666</v>
      </c>
      <c r="M12" s="27">
        <f t="shared" si="3"/>
        <v>166.66666666666666</v>
      </c>
      <c r="N12" s="27">
        <f t="shared" si="4"/>
        <v>333.33333333333337</v>
      </c>
    </row>
    <row r="13" spans="1:14" s="3" customFormat="1" ht="48.75" customHeight="1">
      <c r="A13" s="14" t="s">
        <v>248</v>
      </c>
      <c r="B13" s="17" t="s">
        <v>249</v>
      </c>
      <c r="C13" s="18" t="s">
        <v>250</v>
      </c>
      <c r="D13" s="14">
        <v>11</v>
      </c>
      <c r="E13" s="14">
        <v>32</v>
      </c>
      <c r="F13" s="14">
        <v>2.5</v>
      </c>
      <c r="G13" s="14">
        <f>E13*F13</f>
        <v>80</v>
      </c>
      <c r="H13" s="14">
        <v>1</v>
      </c>
      <c r="I13" s="27">
        <f t="shared" si="0"/>
        <v>0.44</v>
      </c>
      <c r="J13" s="27">
        <f t="shared" si="1"/>
        <v>1.28</v>
      </c>
      <c r="K13" s="27">
        <f t="shared" si="2"/>
        <v>1.6</v>
      </c>
      <c r="L13" s="27">
        <f t="shared" si="3"/>
        <v>200</v>
      </c>
      <c r="M13" s="27">
        <f t="shared" si="3"/>
        <v>200</v>
      </c>
      <c r="N13" s="27">
        <f t="shared" si="4"/>
        <v>400</v>
      </c>
    </row>
    <row r="14" spans="1:14" s="3" customFormat="1" ht="48.75" customHeight="1">
      <c r="A14" s="14" t="s">
        <v>251</v>
      </c>
      <c r="B14" s="15" t="s">
        <v>252</v>
      </c>
      <c r="C14" s="16" t="s">
        <v>253</v>
      </c>
      <c r="D14" s="14">
        <v>1</v>
      </c>
      <c r="E14" s="14">
        <v>1</v>
      </c>
      <c r="F14" s="14">
        <v>2</v>
      </c>
      <c r="G14" s="14">
        <f t="shared" ref="G14:G29" si="5">E14*F14</f>
        <v>2</v>
      </c>
      <c r="H14" s="14">
        <v>0.8</v>
      </c>
      <c r="I14" s="27">
        <f t="shared" si="0"/>
        <v>3.2000000000000001E-2</v>
      </c>
      <c r="J14" s="27">
        <f t="shared" si="1"/>
        <v>3.2000000000000001E-2</v>
      </c>
      <c r="K14" s="27">
        <f t="shared" si="2"/>
        <v>3.2000000000000001E-2</v>
      </c>
      <c r="L14" s="27">
        <f t="shared" si="3"/>
        <v>250</v>
      </c>
      <c r="M14" s="27">
        <f t="shared" si="3"/>
        <v>250</v>
      </c>
      <c r="N14" s="27">
        <f t="shared" si="4"/>
        <v>500</v>
      </c>
    </row>
    <row r="15" spans="1:14" s="3" customFormat="1" ht="48.75" customHeight="1">
      <c r="A15" s="14" t="s">
        <v>254</v>
      </c>
      <c r="B15" s="15" t="s">
        <v>255</v>
      </c>
      <c r="C15" s="19" t="s">
        <v>256</v>
      </c>
      <c r="D15" s="14">
        <v>3</v>
      </c>
      <c r="E15" s="14">
        <v>3</v>
      </c>
      <c r="F15" s="14">
        <v>1.5</v>
      </c>
      <c r="G15" s="14">
        <f t="shared" si="5"/>
        <v>4.5</v>
      </c>
      <c r="H15" s="14">
        <v>1</v>
      </c>
      <c r="I15" s="27">
        <f t="shared" si="0"/>
        <v>0.12</v>
      </c>
      <c r="J15" s="27">
        <f t="shared" si="1"/>
        <v>0.12</v>
      </c>
      <c r="K15" s="27">
        <f t="shared" si="2"/>
        <v>0.09</v>
      </c>
      <c r="L15" s="27">
        <f t="shared" si="3"/>
        <v>200</v>
      </c>
      <c r="M15" s="27">
        <f t="shared" si="3"/>
        <v>200</v>
      </c>
      <c r="N15" s="27">
        <f t="shared" si="4"/>
        <v>400</v>
      </c>
    </row>
    <row r="16" spans="1:14" s="3" customFormat="1" ht="48.75" customHeight="1">
      <c r="A16" s="14" t="s">
        <v>257</v>
      </c>
      <c r="B16" s="15" t="s">
        <v>258</v>
      </c>
      <c r="C16" s="19" t="s">
        <v>259</v>
      </c>
      <c r="D16" s="14">
        <f t="shared" ref="D16:D57" si="6">E16/3</f>
        <v>11</v>
      </c>
      <c r="E16" s="14">
        <v>33</v>
      </c>
      <c r="F16" s="14">
        <v>2.5</v>
      </c>
      <c r="G16" s="14">
        <f t="shared" si="5"/>
        <v>82.5</v>
      </c>
      <c r="H16" s="14">
        <v>1</v>
      </c>
      <c r="I16" s="27">
        <f t="shared" si="0"/>
        <v>0.44</v>
      </c>
      <c r="J16" s="27">
        <f t="shared" si="1"/>
        <v>1.32</v>
      </c>
      <c r="K16" s="27">
        <f t="shared" si="2"/>
        <v>1.65</v>
      </c>
      <c r="L16" s="27">
        <f t="shared" si="3"/>
        <v>200</v>
      </c>
      <c r="M16" s="27">
        <f t="shared" si="3"/>
        <v>200</v>
      </c>
      <c r="N16" s="27">
        <f t="shared" si="4"/>
        <v>400</v>
      </c>
    </row>
    <row r="17" spans="1:14" s="3" customFormat="1" ht="48.75" customHeight="1">
      <c r="A17" s="14" t="s">
        <v>260</v>
      </c>
      <c r="B17" s="15" t="s">
        <v>261</v>
      </c>
      <c r="C17" s="20" t="s">
        <v>262</v>
      </c>
      <c r="D17" s="14">
        <f t="shared" si="6"/>
        <v>3</v>
      </c>
      <c r="E17" s="14">
        <v>9</v>
      </c>
      <c r="F17" s="14">
        <v>2.5</v>
      </c>
      <c r="G17" s="14">
        <f t="shared" si="5"/>
        <v>22.5</v>
      </c>
      <c r="H17" s="14">
        <v>1</v>
      </c>
      <c r="I17" s="27">
        <f t="shared" si="0"/>
        <v>0.12</v>
      </c>
      <c r="J17" s="27">
        <f t="shared" si="1"/>
        <v>0.36</v>
      </c>
      <c r="K17" s="27">
        <f t="shared" si="2"/>
        <v>0.45</v>
      </c>
      <c r="L17" s="27">
        <f t="shared" si="3"/>
        <v>200</v>
      </c>
      <c r="M17" s="27">
        <f t="shared" si="3"/>
        <v>200</v>
      </c>
      <c r="N17" s="27">
        <f t="shared" si="4"/>
        <v>400</v>
      </c>
    </row>
    <row r="18" spans="1:14" s="3" customFormat="1" ht="48.75" customHeight="1">
      <c r="A18" s="14" t="s">
        <v>263</v>
      </c>
      <c r="B18" s="15" t="s">
        <v>264</v>
      </c>
      <c r="C18" s="21" t="s">
        <v>265</v>
      </c>
      <c r="D18" s="14">
        <v>3</v>
      </c>
      <c r="E18" s="14">
        <v>8</v>
      </c>
      <c r="F18" s="14">
        <v>2.5</v>
      </c>
      <c r="G18" s="14">
        <f t="shared" si="5"/>
        <v>20</v>
      </c>
      <c r="H18" s="14">
        <v>1</v>
      </c>
      <c r="I18" s="27">
        <f t="shared" si="0"/>
        <v>0.12</v>
      </c>
      <c r="J18" s="27">
        <f t="shared" si="1"/>
        <v>0.32</v>
      </c>
      <c r="K18" s="27">
        <f t="shared" si="2"/>
        <v>0.4</v>
      </c>
      <c r="L18" s="27">
        <f t="shared" si="3"/>
        <v>200</v>
      </c>
      <c r="M18" s="27">
        <f t="shared" si="3"/>
        <v>200</v>
      </c>
      <c r="N18" s="27">
        <f t="shared" si="4"/>
        <v>400</v>
      </c>
    </row>
    <row r="19" spans="1:14" s="3" customFormat="1" ht="48.75" customHeight="1">
      <c r="A19" s="14" t="s">
        <v>266</v>
      </c>
      <c r="B19" s="15" t="s">
        <v>267</v>
      </c>
      <c r="C19" s="19" t="s">
        <v>268</v>
      </c>
      <c r="D19" s="14">
        <f t="shared" si="6"/>
        <v>0</v>
      </c>
      <c r="E19" s="14">
        <v>0</v>
      </c>
      <c r="F19" s="14">
        <v>2</v>
      </c>
      <c r="G19" s="14">
        <v>52</v>
      </c>
      <c r="H19" s="14">
        <v>1</v>
      </c>
      <c r="I19" s="27">
        <f t="shared" si="0"/>
        <v>0</v>
      </c>
      <c r="J19" s="27">
        <f t="shared" si="1"/>
        <v>0</v>
      </c>
      <c r="K19" s="27">
        <f t="shared" si="2"/>
        <v>1.04</v>
      </c>
      <c r="L19" s="27" t="e">
        <f t="shared" si="3"/>
        <v>#DIV/0!</v>
      </c>
      <c r="M19" s="27" t="e">
        <f t="shared" si="3"/>
        <v>#DIV/0!</v>
      </c>
      <c r="N19" s="27">
        <f t="shared" si="4"/>
        <v>400</v>
      </c>
    </row>
    <row r="20" spans="1:14" s="3" customFormat="1" ht="48.75" customHeight="1">
      <c r="A20" s="14" t="s">
        <v>269</v>
      </c>
      <c r="B20" s="15" t="s">
        <v>270</v>
      </c>
      <c r="C20" s="21" t="s">
        <v>271</v>
      </c>
      <c r="D20" s="14">
        <v>2</v>
      </c>
      <c r="E20" s="14">
        <v>5</v>
      </c>
      <c r="F20" s="14">
        <v>2.5</v>
      </c>
      <c r="G20" s="14">
        <f t="shared" si="5"/>
        <v>12.5</v>
      </c>
      <c r="H20" s="14">
        <v>1.2</v>
      </c>
      <c r="I20" s="27">
        <f t="shared" si="0"/>
        <v>9.6000000000000002E-2</v>
      </c>
      <c r="J20" s="27">
        <f t="shared" si="1"/>
        <v>0.24</v>
      </c>
      <c r="K20" s="27">
        <f t="shared" si="2"/>
        <v>0.3</v>
      </c>
      <c r="L20" s="27">
        <f t="shared" si="3"/>
        <v>166.66666666666666</v>
      </c>
      <c r="M20" s="27">
        <f t="shared" si="3"/>
        <v>166.66666666666669</v>
      </c>
      <c r="N20" s="27">
        <f t="shared" si="4"/>
        <v>333.33333333333337</v>
      </c>
    </row>
    <row r="21" spans="1:14" s="3" customFormat="1" ht="48.75" customHeight="1">
      <c r="A21" s="14" t="s">
        <v>272</v>
      </c>
      <c r="B21" s="15" t="s">
        <v>273</v>
      </c>
      <c r="C21" s="21" t="s">
        <v>274</v>
      </c>
      <c r="D21" s="14">
        <f t="shared" si="6"/>
        <v>4</v>
      </c>
      <c r="E21" s="14">
        <v>12</v>
      </c>
      <c r="F21" s="14">
        <v>2.5</v>
      </c>
      <c r="G21" s="14">
        <f t="shared" si="5"/>
        <v>30</v>
      </c>
      <c r="H21" s="14">
        <v>1</v>
      </c>
      <c r="I21" s="27">
        <f t="shared" si="0"/>
        <v>0.16</v>
      </c>
      <c r="J21" s="27">
        <f t="shared" si="1"/>
        <v>0.48</v>
      </c>
      <c r="K21" s="27">
        <f t="shared" si="2"/>
        <v>0.6</v>
      </c>
      <c r="L21" s="27">
        <f t="shared" si="3"/>
        <v>200</v>
      </c>
      <c r="M21" s="27">
        <f t="shared" si="3"/>
        <v>200</v>
      </c>
      <c r="N21" s="27">
        <f t="shared" si="4"/>
        <v>400</v>
      </c>
    </row>
    <row r="22" spans="1:14" s="3" customFormat="1" ht="48.75" customHeight="1">
      <c r="A22" s="14" t="s">
        <v>275</v>
      </c>
      <c r="B22" s="15" t="s">
        <v>276</v>
      </c>
      <c r="C22" s="21" t="s">
        <v>277</v>
      </c>
      <c r="D22" s="14">
        <f t="shared" si="6"/>
        <v>3</v>
      </c>
      <c r="E22" s="14">
        <v>9</v>
      </c>
      <c r="F22" s="14">
        <v>2.5</v>
      </c>
      <c r="G22" s="14">
        <f t="shared" si="5"/>
        <v>22.5</v>
      </c>
      <c r="H22" s="14">
        <v>1.2</v>
      </c>
      <c r="I22" s="27">
        <f t="shared" si="0"/>
        <v>0.14399999999999999</v>
      </c>
      <c r="J22" s="27">
        <f t="shared" si="1"/>
        <v>0.43199999999999994</v>
      </c>
      <c r="K22" s="27">
        <f t="shared" si="2"/>
        <v>0.54</v>
      </c>
      <c r="L22" s="27">
        <f t="shared" si="3"/>
        <v>166.66666666666669</v>
      </c>
      <c r="M22" s="27">
        <f t="shared" si="3"/>
        <v>166.66666666666669</v>
      </c>
      <c r="N22" s="27">
        <f t="shared" si="4"/>
        <v>333.33333333333331</v>
      </c>
    </row>
    <row r="23" spans="1:14" s="3" customFormat="1" ht="48.75" customHeight="1">
      <c r="A23" s="14" t="s">
        <v>278</v>
      </c>
      <c r="B23" s="15" t="s">
        <v>279</v>
      </c>
      <c r="C23" s="21" t="s">
        <v>280</v>
      </c>
      <c r="D23" s="14">
        <v>3</v>
      </c>
      <c r="E23" s="14">
        <v>8</v>
      </c>
      <c r="F23" s="14">
        <v>3</v>
      </c>
      <c r="G23" s="14">
        <f t="shared" si="5"/>
        <v>24</v>
      </c>
      <c r="H23" s="14">
        <v>1.2</v>
      </c>
      <c r="I23" s="27">
        <f t="shared" si="0"/>
        <v>0.14399999999999999</v>
      </c>
      <c r="J23" s="27">
        <f t="shared" si="1"/>
        <v>0.38400000000000001</v>
      </c>
      <c r="K23" s="27">
        <f t="shared" si="2"/>
        <v>0.57599999999999996</v>
      </c>
      <c r="L23" s="27">
        <f t="shared" si="3"/>
        <v>166.66666666666669</v>
      </c>
      <c r="M23" s="27">
        <f t="shared" si="3"/>
        <v>166.66666666666666</v>
      </c>
      <c r="N23" s="27">
        <f t="shared" si="4"/>
        <v>333.33333333333337</v>
      </c>
    </row>
    <row r="24" spans="1:14" s="3" customFormat="1" ht="48.75" customHeight="1">
      <c r="A24" s="14" t="s">
        <v>281</v>
      </c>
      <c r="B24" s="15" t="s">
        <v>282</v>
      </c>
      <c r="C24" s="19" t="s">
        <v>283</v>
      </c>
      <c r="D24" s="14">
        <v>3</v>
      </c>
      <c r="E24" s="14">
        <v>3</v>
      </c>
      <c r="F24" s="14">
        <v>1.5</v>
      </c>
      <c r="G24" s="14">
        <f t="shared" si="5"/>
        <v>4.5</v>
      </c>
      <c r="H24" s="14">
        <v>0.8</v>
      </c>
      <c r="I24" s="27">
        <f t="shared" si="0"/>
        <v>9.6000000000000016E-2</v>
      </c>
      <c r="J24" s="27">
        <f t="shared" si="1"/>
        <v>9.6000000000000016E-2</v>
      </c>
      <c r="K24" s="27">
        <f t="shared" si="2"/>
        <v>7.2000000000000008E-2</v>
      </c>
      <c r="L24" s="27">
        <f t="shared" si="3"/>
        <v>249.99999999999997</v>
      </c>
      <c r="M24" s="27">
        <f t="shared" si="3"/>
        <v>249.99999999999997</v>
      </c>
      <c r="N24" s="27">
        <f t="shared" si="4"/>
        <v>499.99999999999994</v>
      </c>
    </row>
    <row r="25" spans="1:14" s="3" customFormat="1" ht="48.75" customHeight="1">
      <c r="A25" s="14" t="s">
        <v>284</v>
      </c>
      <c r="B25" s="15" t="s">
        <v>285</v>
      </c>
      <c r="C25" s="19" t="s">
        <v>286</v>
      </c>
      <c r="D25" s="14">
        <v>5</v>
      </c>
      <c r="E25" s="14">
        <v>8</v>
      </c>
      <c r="F25" s="14">
        <v>2</v>
      </c>
      <c r="G25" s="14">
        <f t="shared" si="5"/>
        <v>16</v>
      </c>
      <c r="H25" s="14">
        <v>1.2</v>
      </c>
      <c r="I25" s="27">
        <f t="shared" si="0"/>
        <v>0.24</v>
      </c>
      <c r="J25" s="27">
        <f t="shared" si="1"/>
        <v>0.38400000000000001</v>
      </c>
      <c r="K25" s="27">
        <f t="shared" si="2"/>
        <v>0.38400000000000001</v>
      </c>
      <c r="L25" s="27">
        <f t="shared" si="3"/>
        <v>166.66666666666669</v>
      </c>
      <c r="M25" s="27">
        <f t="shared" si="3"/>
        <v>166.66666666666666</v>
      </c>
      <c r="N25" s="27">
        <f t="shared" si="4"/>
        <v>333.33333333333331</v>
      </c>
    </row>
    <row r="26" spans="1:14" s="3" customFormat="1" ht="48.75" customHeight="1">
      <c r="A26" s="14" t="s">
        <v>287</v>
      </c>
      <c r="B26" s="15" t="s">
        <v>288</v>
      </c>
      <c r="C26" s="21" t="s">
        <v>289</v>
      </c>
      <c r="D26" s="14">
        <v>6</v>
      </c>
      <c r="E26" s="14">
        <v>17</v>
      </c>
      <c r="F26" s="14">
        <v>3</v>
      </c>
      <c r="G26" s="14">
        <f t="shared" si="5"/>
        <v>51</v>
      </c>
      <c r="H26" s="14">
        <v>1</v>
      </c>
      <c r="I26" s="27">
        <f t="shared" si="0"/>
        <v>0.24</v>
      </c>
      <c r="J26" s="27">
        <f t="shared" si="1"/>
        <v>0.68</v>
      </c>
      <c r="K26" s="27">
        <f t="shared" si="2"/>
        <v>1.02</v>
      </c>
      <c r="L26" s="27">
        <f t="shared" si="3"/>
        <v>200</v>
      </c>
      <c r="M26" s="27">
        <f t="shared" si="3"/>
        <v>199.99999999999997</v>
      </c>
      <c r="N26" s="27">
        <f t="shared" si="4"/>
        <v>400</v>
      </c>
    </row>
    <row r="27" spans="1:14" s="3" customFormat="1" ht="48.75" customHeight="1">
      <c r="A27" s="14" t="s">
        <v>290</v>
      </c>
      <c r="B27" s="15" t="s">
        <v>291</v>
      </c>
      <c r="C27" s="19" t="s">
        <v>292</v>
      </c>
      <c r="D27" s="14">
        <v>4</v>
      </c>
      <c r="E27" s="14">
        <v>4</v>
      </c>
      <c r="F27" s="14">
        <v>3</v>
      </c>
      <c r="G27" s="14">
        <f t="shared" si="5"/>
        <v>12</v>
      </c>
      <c r="H27" s="14">
        <v>1.2</v>
      </c>
      <c r="I27" s="27">
        <f t="shared" si="0"/>
        <v>0.192</v>
      </c>
      <c r="J27" s="27">
        <f t="shared" si="1"/>
        <v>0.192</v>
      </c>
      <c r="K27" s="27">
        <f t="shared" si="2"/>
        <v>0.28799999999999998</v>
      </c>
      <c r="L27" s="27">
        <f t="shared" si="3"/>
        <v>166.66666666666666</v>
      </c>
      <c r="M27" s="27">
        <f t="shared" si="3"/>
        <v>166.66666666666666</v>
      </c>
      <c r="N27" s="27">
        <f t="shared" si="4"/>
        <v>333.33333333333337</v>
      </c>
    </row>
    <row r="28" spans="1:14" s="3" customFormat="1" ht="48.75" customHeight="1">
      <c r="A28" s="14" t="s">
        <v>293</v>
      </c>
      <c r="B28" s="15" t="s">
        <v>294</v>
      </c>
      <c r="C28" s="19" t="s">
        <v>295</v>
      </c>
      <c r="D28" s="14">
        <v>2</v>
      </c>
      <c r="E28" s="14">
        <v>2</v>
      </c>
      <c r="F28" s="14">
        <v>2</v>
      </c>
      <c r="G28" s="14">
        <f t="shared" si="5"/>
        <v>4</v>
      </c>
      <c r="H28" s="14">
        <v>0.8</v>
      </c>
      <c r="I28" s="27">
        <f t="shared" si="0"/>
        <v>6.4000000000000001E-2</v>
      </c>
      <c r="J28" s="27">
        <f t="shared" si="1"/>
        <v>6.4000000000000001E-2</v>
      </c>
      <c r="K28" s="27">
        <f t="shared" si="2"/>
        <v>6.4000000000000001E-2</v>
      </c>
      <c r="L28" s="27">
        <f t="shared" si="3"/>
        <v>250</v>
      </c>
      <c r="M28" s="27">
        <f t="shared" si="3"/>
        <v>250</v>
      </c>
      <c r="N28" s="27">
        <f t="shared" si="4"/>
        <v>500</v>
      </c>
    </row>
    <row r="29" spans="1:14" s="3" customFormat="1" ht="48.75" customHeight="1">
      <c r="A29" s="14" t="s">
        <v>296</v>
      </c>
      <c r="B29" s="22" t="s">
        <v>297</v>
      </c>
      <c r="C29" s="23" t="s">
        <v>298</v>
      </c>
      <c r="D29" s="14">
        <v>2</v>
      </c>
      <c r="E29" s="14">
        <v>2</v>
      </c>
      <c r="F29" s="14">
        <v>2</v>
      </c>
      <c r="G29" s="14">
        <f t="shared" si="5"/>
        <v>4</v>
      </c>
      <c r="H29" s="14">
        <v>1.2</v>
      </c>
      <c r="I29" s="27">
        <f t="shared" si="0"/>
        <v>9.6000000000000002E-2</v>
      </c>
      <c r="J29" s="27">
        <f t="shared" si="1"/>
        <v>9.6000000000000002E-2</v>
      </c>
      <c r="K29" s="27">
        <f t="shared" si="2"/>
        <v>9.6000000000000002E-2</v>
      </c>
      <c r="L29" s="27">
        <f t="shared" si="3"/>
        <v>166.66666666666666</v>
      </c>
      <c r="M29" s="27">
        <f t="shared" si="3"/>
        <v>166.66666666666666</v>
      </c>
      <c r="N29" s="27">
        <f t="shared" si="4"/>
        <v>333.33333333333331</v>
      </c>
    </row>
    <row r="30" spans="1:14" s="3" customFormat="1" ht="48.75" customHeight="1">
      <c r="A30" s="14" t="s">
        <v>299</v>
      </c>
      <c r="B30" s="15" t="s">
        <v>300</v>
      </c>
      <c r="C30" s="19" t="s">
        <v>301</v>
      </c>
      <c r="D30" s="14">
        <v>1</v>
      </c>
      <c r="E30" s="14">
        <v>1</v>
      </c>
      <c r="F30" s="14">
        <v>1</v>
      </c>
      <c r="G30" s="14">
        <v>4977</v>
      </c>
      <c r="H30" s="14">
        <v>1</v>
      </c>
      <c r="I30" s="27">
        <f t="shared" si="0"/>
        <v>0.04</v>
      </c>
      <c r="J30" s="27">
        <f t="shared" si="1"/>
        <v>0.04</v>
      </c>
      <c r="K30" s="27">
        <f t="shared" si="2"/>
        <v>99.54</v>
      </c>
      <c r="L30" s="27">
        <f t="shared" si="3"/>
        <v>200</v>
      </c>
      <c r="M30" s="27">
        <f t="shared" si="3"/>
        <v>200</v>
      </c>
      <c r="N30" s="27">
        <f t="shared" si="4"/>
        <v>400</v>
      </c>
    </row>
    <row r="31" spans="1:14" s="3" customFormat="1" ht="48.75" customHeight="1">
      <c r="A31" s="14" t="s">
        <v>302</v>
      </c>
      <c r="B31" s="15" t="s">
        <v>303</v>
      </c>
      <c r="C31" s="16" t="s">
        <v>304</v>
      </c>
      <c r="D31" s="14">
        <v>42</v>
      </c>
      <c r="E31" s="14">
        <v>126</v>
      </c>
      <c r="F31" s="14">
        <v>3</v>
      </c>
      <c r="G31" s="14">
        <f>F31*E31</f>
        <v>378</v>
      </c>
      <c r="H31" s="14">
        <v>1</v>
      </c>
      <c r="I31" s="27">
        <f t="shared" si="0"/>
        <v>1.68</v>
      </c>
      <c r="J31" s="27">
        <f t="shared" si="1"/>
        <v>5.04</v>
      </c>
      <c r="K31" s="27">
        <f t="shared" si="2"/>
        <v>7.56</v>
      </c>
      <c r="L31" s="27">
        <f t="shared" ref="L31:M70" si="7">D31/I31*8</f>
        <v>200</v>
      </c>
      <c r="M31" s="27">
        <f t="shared" si="7"/>
        <v>200</v>
      </c>
      <c r="N31" s="27">
        <f t="shared" si="4"/>
        <v>400</v>
      </c>
    </row>
    <row r="32" spans="1:14" s="3" customFormat="1" ht="48.75" customHeight="1">
      <c r="A32" s="14" t="s">
        <v>305</v>
      </c>
      <c r="B32" s="15" t="s">
        <v>306</v>
      </c>
      <c r="C32" s="16" t="s">
        <v>307</v>
      </c>
      <c r="D32" s="14">
        <f t="shared" si="6"/>
        <v>59</v>
      </c>
      <c r="E32" s="14">
        <v>177</v>
      </c>
      <c r="F32" s="14">
        <v>4</v>
      </c>
      <c r="G32" s="14">
        <f t="shared" ref="G32:G35" si="8">F32*E32</f>
        <v>708</v>
      </c>
      <c r="H32" s="14">
        <v>0.8</v>
      </c>
      <c r="I32" s="27">
        <f t="shared" si="0"/>
        <v>1.8880000000000001</v>
      </c>
      <c r="J32" s="27">
        <f t="shared" si="1"/>
        <v>5.6639999999999997</v>
      </c>
      <c r="K32" s="27">
        <f t="shared" si="2"/>
        <v>11.327999999999999</v>
      </c>
      <c r="L32" s="27">
        <f t="shared" si="7"/>
        <v>249.99999999999997</v>
      </c>
      <c r="M32" s="27">
        <f t="shared" si="7"/>
        <v>250</v>
      </c>
      <c r="N32" s="27">
        <f t="shared" si="4"/>
        <v>500</v>
      </c>
    </row>
    <row r="33" spans="1:14" s="3" customFormat="1" ht="48.75" customHeight="1">
      <c r="A33" s="14" t="s">
        <v>308</v>
      </c>
      <c r="B33" s="15" t="s">
        <v>309</v>
      </c>
      <c r="C33" s="18" t="s">
        <v>310</v>
      </c>
      <c r="D33" s="14">
        <v>20</v>
      </c>
      <c r="E33" s="14">
        <v>60</v>
      </c>
      <c r="F33" s="14">
        <v>4</v>
      </c>
      <c r="G33" s="14">
        <f t="shared" si="8"/>
        <v>240</v>
      </c>
      <c r="H33" s="14">
        <v>1</v>
      </c>
      <c r="I33" s="27">
        <f t="shared" si="0"/>
        <v>0.8</v>
      </c>
      <c r="J33" s="27">
        <f t="shared" si="1"/>
        <v>2.4</v>
      </c>
      <c r="K33" s="27">
        <f t="shared" si="2"/>
        <v>4.8</v>
      </c>
      <c r="L33" s="27">
        <f t="shared" si="7"/>
        <v>200</v>
      </c>
      <c r="M33" s="27">
        <f t="shared" si="7"/>
        <v>200</v>
      </c>
      <c r="N33" s="27">
        <f t="shared" si="4"/>
        <v>400</v>
      </c>
    </row>
    <row r="34" spans="1:14" s="3" customFormat="1" ht="48.75" customHeight="1">
      <c r="A34" s="14" t="s">
        <v>311</v>
      </c>
      <c r="B34" s="15" t="s">
        <v>312</v>
      </c>
      <c r="C34" s="16" t="s">
        <v>313</v>
      </c>
      <c r="D34" s="14">
        <v>15</v>
      </c>
      <c r="E34" s="14">
        <v>47</v>
      </c>
      <c r="F34" s="14">
        <v>4</v>
      </c>
      <c r="G34" s="14">
        <f t="shared" si="8"/>
        <v>188</v>
      </c>
      <c r="H34" s="14">
        <v>3</v>
      </c>
      <c r="I34" s="27">
        <f t="shared" si="0"/>
        <v>1.8</v>
      </c>
      <c r="J34" s="27">
        <f t="shared" si="1"/>
        <v>5.64</v>
      </c>
      <c r="K34" s="27">
        <f t="shared" si="2"/>
        <v>11.28</v>
      </c>
      <c r="L34" s="27">
        <f t="shared" si="7"/>
        <v>66.666666666666671</v>
      </c>
      <c r="M34" s="27">
        <f t="shared" si="7"/>
        <v>66.666666666666671</v>
      </c>
      <c r="N34" s="27">
        <f t="shared" si="4"/>
        <v>133.33333333333334</v>
      </c>
    </row>
    <row r="35" spans="1:14" s="3" customFormat="1" ht="48.75" customHeight="1">
      <c r="A35" s="14" t="s">
        <v>314</v>
      </c>
      <c r="B35" s="15" t="s">
        <v>315</v>
      </c>
      <c r="C35" s="19" t="s">
        <v>316</v>
      </c>
      <c r="D35" s="14">
        <v>8</v>
      </c>
      <c r="E35" s="14">
        <v>25</v>
      </c>
      <c r="F35" s="14">
        <v>3</v>
      </c>
      <c r="G35" s="14">
        <f t="shared" si="8"/>
        <v>75</v>
      </c>
      <c r="H35" s="14">
        <v>1</v>
      </c>
      <c r="I35" s="27">
        <f t="shared" si="0"/>
        <v>0.32</v>
      </c>
      <c r="J35" s="27">
        <f t="shared" si="1"/>
        <v>1</v>
      </c>
      <c r="K35" s="27">
        <f t="shared" si="2"/>
        <v>1.5</v>
      </c>
      <c r="L35" s="27">
        <f t="shared" si="7"/>
        <v>200</v>
      </c>
      <c r="M35" s="27">
        <f t="shared" si="7"/>
        <v>200</v>
      </c>
      <c r="N35" s="27">
        <f t="shared" si="4"/>
        <v>400</v>
      </c>
    </row>
    <row r="36" spans="1:14" s="3" customFormat="1" ht="48.75" customHeight="1">
      <c r="A36" s="14" t="s">
        <v>429</v>
      </c>
      <c r="B36" s="15" t="s">
        <v>318</v>
      </c>
      <c r="C36" s="24" t="s">
        <v>319</v>
      </c>
      <c r="D36" s="14">
        <v>25</v>
      </c>
      <c r="E36" s="14">
        <v>65</v>
      </c>
      <c r="F36" s="14">
        <v>4</v>
      </c>
      <c r="G36" s="14">
        <f t="shared" ref="G36:G69" si="9">E36*F36</f>
        <v>260</v>
      </c>
      <c r="H36" s="14">
        <v>1</v>
      </c>
      <c r="I36" s="27">
        <f t="shared" si="0"/>
        <v>1</v>
      </c>
      <c r="J36" s="27">
        <f t="shared" si="1"/>
        <v>2.6</v>
      </c>
      <c r="K36" s="27">
        <f t="shared" si="2"/>
        <v>5.2</v>
      </c>
      <c r="L36" s="27">
        <f t="shared" si="7"/>
        <v>200</v>
      </c>
      <c r="M36" s="27">
        <f t="shared" si="7"/>
        <v>200</v>
      </c>
      <c r="N36" s="27">
        <f t="shared" si="4"/>
        <v>400</v>
      </c>
    </row>
    <row r="37" spans="1:14" s="3" customFormat="1" ht="48.75" customHeight="1">
      <c r="A37" s="14" t="s">
        <v>317</v>
      </c>
      <c r="B37" s="15" t="s">
        <v>321</v>
      </c>
      <c r="C37" s="24" t="s">
        <v>322</v>
      </c>
      <c r="D37" s="14">
        <v>18</v>
      </c>
      <c r="E37" s="14">
        <v>42</v>
      </c>
      <c r="F37" s="14">
        <v>4</v>
      </c>
      <c r="G37" s="14">
        <f t="shared" si="9"/>
        <v>168</v>
      </c>
      <c r="H37" s="14">
        <v>1</v>
      </c>
      <c r="I37" s="27">
        <f t="shared" si="0"/>
        <v>0.72</v>
      </c>
      <c r="J37" s="27">
        <f t="shared" si="1"/>
        <v>1.68</v>
      </c>
      <c r="K37" s="27">
        <f t="shared" si="2"/>
        <v>3.36</v>
      </c>
      <c r="L37" s="27">
        <f t="shared" si="7"/>
        <v>200</v>
      </c>
      <c r="M37" s="27">
        <f t="shared" si="7"/>
        <v>200</v>
      </c>
      <c r="N37" s="27">
        <f t="shared" si="4"/>
        <v>400</v>
      </c>
    </row>
    <row r="38" spans="1:14" s="3" customFormat="1" ht="48.75" customHeight="1">
      <c r="A38" s="14" t="s">
        <v>320</v>
      </c>
      <c r="B38" s="15" t="s">
        <v>324</v>
      </c>
      <c r="C38" s="24" t="s">
        <v>325</v>
      </c>
      <c r="D38" s="14">
        <v>134</v>
      </c>
      <c r="E38" s="14">
        <v>385</v>
      </c>
      <c r="F38" s="14">
        <v>4</v>
      </c>
      <c r="G38" s="14">
        <f t="shared" si="9"/>
        <v>1540</v>
      </c>
      <c r="H38" s="14">
        <v>1</v>
      </c>
      <c r="I38" s="27">
        <f t="shared" si="0"/>
        <v>5.36</v>
      </c>
      <c r="J38" s="27">
        <f t="shared" si="1"/>
        <v>15.4</v>
      </c>
      <c r="K38" s="27">
        <f t="shared" si="2"/>
        <v>30.8</v>
      </c>
      <c r="L38" s="27">
        <f t="shared" si="7"/>
        <v>200</v>
      </c>
      <c r="M38" s="27">
        <f t="shared" si="7"/>
        <v>200</v>
      </c>
      <c r="N38" s="27">
        <f t="shared" si="4"/>
        <v>400</v>
      </c>
    </row>
    <row r="39" spans="1:14" s="3" customFormat="1" ht="48.75" customHeight="1">
      <c r="A39" s="14" t="s">
        <v>323</v>
      </c>
      <c r="B39" s="15" t="s">
        <v>327</v>
      </c>
      <c r="C39" s="24" t="s">
        <v>328</v>
      </c>
      <c r="D39" s="14">
        <v>106</v>
      </c>
      <c r="E39" s="14">
        <v>316</v>
      </c>
      <c r="F39" s="14">
        <v>4</v>
      </c>
      <c r="G39" s="14">
        <f t="shared" si="9"/>
        <v>1264</v>
      </c>
      <c r="H39" s="14">
        <v>1</v>
      </c>
      <c r="I39" s="27">
        <f t="shared" si="0"/>
        <v>4.24</v>
      </c>
      <c r="J39" s="27">
        <f t="shared" si="1"/>
        <v>12.64</v>
      </c>
      <c r="K39" s="27">
        <f t="shared" si="2"/>
        <v>25.28</v>
      </c>
      <c r="L39" s="27">
        <f t="shared" si="7"/>
        <v>200</v>
      </c>
      <c r="M39" s="27">
        <f t="shared" si="7"/>
        <v>200</v>
      </c>
      <c r="N39" s="27">
        <f t="shared" si="4"/>
        <v>400</v>
      </c>
    </row>
    <row r="40" spans="1:14" s="3" customFormat="1" ht="48.75" customHeight="1">
      <c r="A40" s="14" t="s">
        <v>326</v>
      </c>
      <c r="B40" s="15" t="s">
        <v>330</v>
      </c>
      <c r="C40" s="24" t="s">
        <v>331</v>
      </c>
      <c r="D40" s="14">
        <v>42</v>
      </c>
      <c r="E40" s="14">
        <v>122</v>
      </c>
      <c r="F40" s="14">
        <v>4</v>
      </c>
      <c r="G40" s="14">
        <f t="shared" si="9"/>
        <v>488</v>
      </c>
      <c r="H40" s="14">
        <v>1</v>
      </c>
      <c r="I40" s="27">
        <v>0.5</v>
      </c>
      <c r="J40" s="27">
        <f t="shared" si="1"/>
        <v>4.88</v>
      </c>
      <c r="K40" s="27">
        <f t="shared" si="2"/>
        <v>9.76</v>
      </c>
      <c r="L40" s="27">
        <f t="shared" si="7"/>
        <v>672</v>
      </c>
      <c r="M40" s="27">
        <f t="shared" si="7"/>
        <v>200</v>
      </c>
      <c r="N40" s="27">
        <f t="shared" si="4"/>
        <v>400</v>
      </c>
    </row>
    <row r="41" spans="1:14" s="3" customFormat="1" ht="48.75" customHeight="1">
      <c r="A41" s="14" t="s">
        <v>329</v>
      </c>
      <c r="B41" s="15" t="s">
        <v>333</v>
      </c>
      <c r="C41" s="24" t="s">
        <v>334</v>
      </c>
      <c r="D41" s="14">
        <v>42</v>
      </c>
      <c r="E41" s="14">
        <v>98</v>
      </c>
      <c r="F41" s="14">
        <v>4</v>
      </c>
      <c r="G41" s="14">
        <f t="shared" si="9"/>
        <v>392</v>
      </c>
      <c r="H41" s="14">
        <v>1</v>
      </c>
      <c r="I41" s="27">
        <f t="shared" ref="I41:I62" si="10">IF(D41="","",D41*H$5*H41/D$5)</f>
        <v>1.68</v>
      </c>
      <c r="J41" s="27">
        <f t="shared" si="1"/>
        <v>3.92</v>
      </c>
      <c r="K41" s="27">
        <f t="shared" si="2"/>
        <v>7.84</v>
      </c>
      <c r="L41" s="27">
        <f t="shared" si="7"/>
        <v>200</v>
      </c>
      <c r="M41" s="27">
        <f t="shared" si="7"/>
        <v>200</v>
      </c>
      <c r="N41" s="27">
        <f t="shared" si="4"/>
        <v>400</v>
      </c>
    </row>
    <row r="42" spans="1:14" s="3" customFormat="1" ht="48.75" customHeight="1">
      <c r="A42" s="14" t="s">
        <v>332</v>
      </c>
      <c r="B42" s="15" t="s">
        <v>336</v>
      </c>
      <c r="C42" s="24" t="s">
        <v>337</v>
      </c>
      <c r="D42" s="14">
        <v>51</v>
      </c>
      <c r="E42" s="14">
        <v>73</v>
      </c>
      <c r="F42" s="14">
        <v>4</v>
      </c>
      <c r="G42" s="14">
        <f t="shared" si="9"/>
        <v>292</v>
      </c>
      <c r="H42" s="14">
        <v>1</v>
      </c>
      <c r="I42" s="27">
        <f t="shared" si="10"/>
        <v>2.04</v>
      </c>
      <c r="J42" s="27">
        <f t="shared" si="1"/>
        <v>2.92</v>
      </c>
      <c r="K42" s="27">
        <f t="shared" si="2"/>
        <v>5.84</v>
      </c>
      <c r="L42" s="27">
        <f t="shared" si="7"/>
        <v>200</v>
      </c>
      <c r="M42" s="27">
        <f t="shared" si="7"/>
        <v>200</v>
      </c>
      <c r="N42" s="27">
        <f t="shared" si="4"/>
        <v>400</v>
      </c>
    </row>
    <row r="43" spans="1:14" s="3" customFormat="1" ht="48.75" customHeight="1">
      <c r="A43" s="14" t="s">
        <v>335</v>
      </c>
      <c r="B43" s="15" t="s">
        <v>339</v>
      </c>
      <c r="C43" s="24" t="s">
        <v>340</v>
      </c>
      <c r="D43" s="14">
        <v>32</v>
      </c>
      <c r="E43" s="14">
        <v>75</v>
      </c>
      <c r="F43" s="14">
        <v>4</v>
      </c>
      <c r="G43" s="14">
        <f t="shared" si="9"/>
        <v>300</v>
      </c>
      <c r="H43" s="14">
        <v>1</v>
      </c>
      <c r="I43" s="27">
        <f t="shared" si="10"/>
        <v>1.28</v>
      </c>
      <c r="J43" s="27">
        <f t="shared" si="1"/>
        <v>3</v>
      </c>
      <c r="K43" s="27">
        <f t="shared" si="2"/>
        <v>6</v>
      </c>
      <c r="L43" s="27">
        <f t="shared" si="7"/>
        <v>200</v>
      </c>
      <c r="M43" s="27">
        <f t="shared" si="7"/>
        <v>200</v>
      </c>
      <c r="N43" s="27">
        <f t="shared" si="4"/>
        <v>400</v>
      </c>
    </row>
    <row r="44" spans="1:14" s="3" customFormat="1" ht="48.75" customHeight="1">
      <c r="A44" s="14" t="s">
        <v>338</v>
      </c>
      <c r="B44" s="15" t="s">
        <v>342</v>
      </c>
      <c r="C44" s="24" t="s">
        <v>343</v>
      </c>
      <c r="D44" s="14">
        <v>27</v>
      </c>
      <c r="E44" s="14">
        <v>71</v>
      </c>
      <c r="F44" s="14">
        <v>4</v>
      </c>
      <c r="G44" s="14">
        <f t="shared" si="9"/>
        <v>284</v>
      </c>
      <c r="H44" s="14">
        <v>1</v>
      </c>
      <c r="I44" s="27">
        <f t="shared" si="10"/>
        <v>1.08</v>
      </c>
      <c r="J44" s="27">
        <f t="shared" si="1"/>
        <v>2.84</v>
      </c>
      <c r="K44" s="27">
        <f t="shared" si="2"/>
        <v>5.68</v>
      </c>
      <c r="L44" s="27">
        <f t="shared" si="7"/>
        <v>200</v>
      </c>
      <c r="M44" s="27">
        <f t="shared" si="7"/>
        <v>200</v>
      </c>
      <c r="N44" s="27">
        <f t="shared" si="4"/>
        <v>400</v>
      </c>
    </row>
    <row r="45" spans="1:14" s="3" customFormat="1" ht="48.75" customHeight="1">
      <c r="A45" s="14" t="s">
        <v>341</v>
      </c>
      <c r="B45" s="15" t="s">
        <v>345</v>
      </c>
      <c r="C45" s="24" t="s">
        <v>346</v>
      </c>
      <c r="D45" s="14">
        <v>58</v>
      </c>
      <c r="E45" s="14">
        <v>130</v>
      </c>
      <c r="F45" s="14">
        <v>4</v>
      </c>
      <c r="G45" s="14">
        <f t="shared" si="9"/>
        <v>520</v>
      </c>
      <c r="H45" s="14">
        <v>1</v>
      </c>
      <c r="I45" s="27">
        <f t="shared" si="10"/>
        <v>2.3199999999999998</v>
      </c>
      <c r="J45" s="27">
        <f t="shared" si="1"/>
        <v>5.2</v>
      </c>
      <c r="K45" s="27">
        <f t="shared" si="2"/>
        <v>10.4</v>
      </c>
      <c r="L45" s="27">
        <f t="shared" si="7"/>
        <v>200</v>
      </c>
      <c r="M45" s="27">
        <f t="shared" si="7"/>
        <v>200</v>
      </c>
      <c r="N45" s="27">
        <f t="shared" si="4"/>
        <v>400</v>
      </c>
    </row>
    <row r="46" spans="1:14" s="3" customFormat="1" ht="48.75" customHeight="1">
      <c r="A46" s="14" t="s">
        <v>344</v>
      </c>
      <c r="B46" s="15" t="s">
        <v>348</v>
      </c>
      <c r="C46" s="24" t="s">
        <v>349</v>
      </c>
      <c r="D46" s="14">
        <f>E46/3</f>
        <v>11</v>
      </c>
      <c r="E46" s="14">
        <v>33</v>
      </c>
      <c r="F46" s="14">
        <v>4</v>
      </c>
      <c r="G46" s="14">
        <f t="shared" si="9"/>
        <v>132</v>
      </c>
      <c r="H46" s="14">
        <v>1</v>
      </c>
      <c r="I46" s="27">
        <f t="shared" si="10"/>
        <v>0.44</v>
      </c>
      <c r="J46" s="27">
        <f t="shared" si="1"/>
        <v>1.32</v>
      </c>
      <c r="K46" s="27">
        <f t="shared" si="2"/>
        <v>2.64</v>
      </c>
      <c r="L46" s="27">
        <f t="shared" si="7"/>
        <v>200</v>
      </c>
      <c r="M46" s="27">
        <f t="shared" si="7"/>
        <v>200</v>
      </c>
      <c r="N46" s="27">
        <f t="shared" si="4"/>
        <v>400</v>
      </c>
    </row>
    <row r="47" spans="1:14" s="3" customFormat="1" ht="48.75" customHeight="1">
      <c r="A47" s="14" t="s">
        <v>347</v>
      </c>
      <c r="B47" s="15" t="s">
        <v>351</v>
      </c>
      <c r="C47" s="24" t="s">
        <v>352</v>
      </c>
      <c r="D47" s="14">
        <v>7</v>
      </c>
      <c r="E47" s="14">
        <v>19</v>
      </c>
      <c r="F47" s="14">
        <v>4</v>
      </c>
      <c r="G47" s="14">
        <f t="shared" si="9"/>
        <v>76</v>
      </c>
      <c r="H47" s="14">
        <v>1</v>
      </c>
      <c r="I47" s="27">
        <f t="shared" si="10"/>
        <v>0.28000000000000003</v>
      </c>
      <c r="J47" s="27">
        <f t="shared" si="1"/>
        <v>0.76</v>
      </c>
      <c r="K47" s="27">
        <f t="shared" si="2"/>
        <v>1.52</v>
      </c>
      <c r="L47" s="27">
        <f t="shared" si="7"/>
        <v>199.99999999999997</v>
      </c>
      <c r="M47" s="27">
        <f t="shared" si="7"/>
        <v>200</v>
      </c>
      <c r="N47" s="27">
        <f t="shared" si="4"/>
        <v>400</v>
      </c>
    </row>
    <row r="48" spans="1:14" s="3" customFormat="1" ht="48.75" customHeight="1">
      <c r="A48" s="14" t="s">
        <v>350</v>
      </c>
      <c r="B48" s="15" t="s">
        <v>354</v>
      </c>
      <c r="C48" s="24" t="s">
        <v>355</v>
      </c>
      <c r="D48" s="14">
        <f t="shared" si="6"/>
        <v>80</v>
      </c>
      <c r="E48" s="14">
        <v>240</v>
      </c>
      <c r="F48" s="14">
        <v>4</v>
      </c>
      <c r="G48" s="14">
        <f t="shared" si="9"/>
        <v>960</v>
      </c>
      <c r="H48" s="14">
        <v>1</v>
      </c>
      <c r="I48" s="27">
        <f t="shared" si="10"/>
        <v>3.2</v>
      </c>
      <c r="J48" s="27">
        <f t="shared" si="1"/>
        <v>9.6</v>
      </c>
      <c r="K48" s="27">
        <f t="shared" si="2"/>
        <v>19.2</v>
      </c>
      <c r="L48" s="27">
        <f t="shared" si="7"/>
        <v>200</v>
      </c>
      <c r="M48" s="27">
        <f t="shared" si="7"/>
        <v>200</v>
      </c>
      <c r="N48" s="27">
        <f t="shared" si="4"/>
        <v>400</v>
      </c>
    </row>
    <row r="49" spans="1:15" s="3" customFormat="1" ht="48.75" customHeight="1">
      <c r="A49" s="14" t="s">
        <v>353</v>
      </c>
      <c r="B49" s="15" t="s">
        <v>357</v>
      </c>
      <c r="C49" s="24" t="s">
        <v>358</v>
      </c>
      <c r="D49" s="14">
        <f t="shared" si="6"/>
        <v>99</v>
      </c>
      <c r="E49" s="14">
        <v>297</v>
      </c>
      <c r="F49" s="14">
        <v>4</v>
      </c>
      <c r="G49" s="14">
        <f t="shared" si="9"/>
        <v>1188</v>
      </c>
      <c r="H49" s="14">
        <v>1</v>
      </c>
      <c r="I49" s="27">
        <f t="shared" si="10"/>
        <v>3.96</v>
      </c>
      <c r="J49" s="27">
        <f t="shared" si="1"/>
        <v>11.88</v>
      </c>
      <c r="K49" s="27">
        <f t="shared" si="2"/>
        <v>23.76</v>
      </c>
      <c r="L49" s="27">
        <f t="shared" si="7"/>
        <v>200</v>
      </c>
      <c r="M49" s="27">
        <f t="shared" si="7"/>
        <v>200</v>
      </c>
      <c r="N49" s="27">
        <f t="shared" si="4"/>
        <v>400</v>
      </c>
    </row>
    <row r="50" spans="1:15" s="3" customFormat="1" ht="48.75" customHeight="1">
      <c r="A50" s="14" t="s">
        <v>356</v>
      </c>
      <c r="B50" s="17" t="s">
        <v>360</v>
      </c>
      <c r="C50" s="24" t="s">
        <v>361</v>
      </c>
      <c r="D50" s="14">
        <f t="shared" si="6"/>
        <v>5</v>
      </c>
      <c r="E50" s="14">
        <v>15</v>
      </c>
      <c r="F50" s="14">
        <v>4</v>
      </c>
      <c r="G50" s="14">
        <f t="shared" si="9"/>
        <v>60</v>
      </c>
      <c r="H50" s="14">
        <v>1</v>
      </c>
      <c r="I50" s="27">
        <f t="shared" si="10"/>
        <v>0.2</v>
      </c>
      <c r="J50" s="27">
        <f t="shared" si="1"/>
        <v>0.6</v>
      </c>
      <c r="K50" s="27">
        <f t="shared" si="2"/>
        <v>1.2</v>
      </c>
      <c r="L50" s="27">
        <f t="shared" si="7"/>
        <v>200</v>
      </c>
      <c r="M50" s="27">
        <f t="shared" si="7"/>
        <v>200</v>
      </c>
      <c r="N50" s="27">
        <f t="shared" si="4"/>
        <v>400</v>
      </c>
    </row>
    <row r="51" spans="1:15" s="3" customFormat="1" ht="48.75" customHeight="1">
      <c r="A51" s="14" t="s">
        <v>359</v>
      </c>
      <c r="B51" s="15" t="s">
        <v>363</v>
      </c>
      <c r="C51" s="24" t="s">
        <v>364</v>
      </c>
      <c r="D51" s="14">
        <v>4</v>
      </c>
      <c r="E51" s="14">
        <v>8</v>
      </c>
      <c r="F51" s="14">
        <v>4</v>
      </c>
      <c r="G51" s="14">
        <f t="shared" si="9"/>
        <v>32</v>
      </c>
      <c r="H51" s="14">
        <v>1</v>
      </c>
      <c r="I51" s="27">
        <f t="shared" si="10"/>
        <v>0.16</v>
      </c>
      <c r="J51" s="27">
        <f t="shared" si="1"/>
        <v>0.32</v>
      </c>
      <c r="K51" s="27">
        <f t="shared" si="2"/>
        <v>0.64</v>
      </c>
      <c r="L51" s="27">
        <f t="shared" si="7"/>
        <v>200</v>
      </c>
      <c r="M51" s="27">
        <f t="shared" si="7"/>
        <v>200</v>
      </c>
      <c r="N51" s="27">
        <f t="shared" si="4"/>
        <v>400</v>
      </c>
    </row>
    <row r="52" spans="1:15" s="3" customFormat="1" ht="48.75" customHeight="1">
      <c r="A52" s="14" t="s">
        <v>362</v>
      </c>
      <c r="B52" s="17" t="s">
        <v>366</v>
      </c>
      <c r="C52" s="24" t="s">
        <v>367</v>
      </c>
      <c r="D52" s="14">
        <v>28</v>
      </c>
      <c r="E52" s="14">
        <v>83</v>
      </c>
      <c r="F52" s="14">
        <v>4</v>
      </c>
      <c r="G52" s="14">
        <f t="shared" si="9"/>
        <v>332</v>
      </c>
      <c r="H52" s="14">
        <v>1</v>
      </c>
      <c r="I52" s="27">
        <f t="shared" si="10"/>
        <v>1.1200000000000001</v>
      </c>
      <c r="J52" s="27">
        <f t="shared" si="1"/>
        <v>3.32</v>
      </c>
      <c r="K52" s="27">
        <f t="shared" si="2"/>
        <v>6.64</v>
      </c>
      <c r="L52" s="27">
        <f t="shared" si="7"/>
        <v>199.99999999999997</v>
      </c>
      <c r="M52" s="27">
        <f t="shared" si="7"/>
        <v>200</v>
      </c>
      <c r="N52" s="27">
        <f t="shared" si="4"/>
        <v>400</v>
      </c>
    </row>
    <row r="53" spans="1:15" s="3" customFormat="1" ht="48.75" customHeight="1">
      <c r="A53" s="14" t="s">
        <v>365</v>
      </c>
      <c r="B53" s="17" t="s">
        <v>369</v>
      </c>
      <c r="C53" s="24" t="s">
        <v>370</v>
      </c>
      <c r="D53" s="14">
        <v>8</v>
      </c>
      <c r="E53" s="14">
        <v>19</v>
      </c>
      <c r="F53" s="14">
        <v>4</v>
      </c>
      <c r="G53" s="14">
        <f t="shared" si="9"/>
        <v>76</v>
      </c>
      <c r="H53" s="14">
        <v>1</v>
      </c>
      <c r="I53" s="27">
        <f t="shared" si="10"/>
        <v>0.32</v>
      </c>
      <c r="J53" s="27">
        <f t="shared" si="1"/>
        <v>0.76</v>
      </c>
      <c r="K53" s="27">
        <f t="shared" si="2"/>
        <v>1.52</v>
      </c>
      <c r="L53" s="27">
        <f t="shared" si="7"/>
        <v>200</v>
      </c>
      <c r="M53" s="27">
        <f t="shared" si="7"/>
        <v>200</v>
      </c>
      <c r="N53" s="27">
        <f t="shared" si="4"/>
        <v>400</v>
      </c>
    </row>
    <row r="54" spans="1:15" s="3" customFormat="1" ht="48.75" customHeight="1">
      <c r="A54" s="14" t="s">
        <v>368</v>
      </c>
      <c r="B54" s="17" t="s">
        <v>372</v>
      </c>
      <c r="C54" s="24" t="s">
        <v>373</v>
      </c>
      <c r="D54" s="14">
        <v>5</v>
      </c>
      <c r="E54" s="14">
        <v>7</v>
      </c>
      <c r="F54" s="14">
        <v>4</v>
      </c>
      <c r="G54" s="14">
        <f t="shared" si="9"/>
        <v>28</v>
      </c>
      <c r="H54" s="14">
        <v>1</v>
      </c>
      <c r="I54" s="27">
        <f t="shared" si="10"/>
        <v>0.2</v>
      </c>
      <c r="J54" s="27">
        <f t="shared" si="1"/>
        <v>0.28000000000000003</v>
      </c>
      <c r="K54" s="27">
        <f t="shared" si="2"/>
        <v>0.56000000000000005</v>
      </c>
      <c r="L54" s="27">
        <f t="shared" si="7"/>
        <v>200</v>
      </c>
      <c r="M54" s="27">
        <f t="shared" si="7"/>
        <v>199.99999999999997</v>
      </c>
      <c r="N54" s="27">
        <f t="shared" si="4"/>
        <v>399.99999999999994</v>
      </c>
    </row>
    <row r="55" spans="1:15" s="3" customFormat="1" ht="48.75" customHeight="1">
      <c r="A55" s="14" t="s">
        <v>371</v>
      </c>
      <c r="B55" s="15" t="s">
        <v>375</v>
      </c>
      <c r="C55" s="24" t="s">
        <v>376</v>
      </c>
      <c r="D55" s="14">
        <f t="shared" si="6"/>
        <v>1</v>
      </c>
      <c r="E55" s="14">
        <v>3</v>
      </c>
      <c r="F55" s="14">
        <v>4</v>
      </c>
      <c r="G55" s="14">
        <f t="shared" si="9"/>
        <v>12</v>
      </c>
      <c r="H55" s="14">
        <v>1</v>
      </c>
      <c r="I55" s="27">
        <f t="shared" si="10"/>
        <v>0.04</v>
      </c>
      <c r="J55" s="27">
        <f t="shared" si="1"/>
        <v>0.12</v>
      </c>
      <c r="K55" s="27">
        <f t="shared" si="2"/>
        <v>0.24</v>
      </c>
      <c r="L55" s="27">
        <f t="shared" si="7"/>
        <v>200</v>
      </c>
      <c r="M55" s="27">
        <f t="shared" si="7"/>
        <v>200</v>
      </c>
      <c r="N55" s="27">
        <f t="shared" si="4"/>
        <v>400</v>
      </c>
    </row>
    <row r="56" spans="1:15" s="3" customFormat="1" ht="48.75" customHeight="1">
      <c r="A56" s="14" t="s">
        <v>374</v>
      </c>
      <c r="B56" s="15" t="s">
        <v>378</v>
      </c>
      <c r="C56" s="24" t="s">
        <v>379</v>
      </c>
      <c r="D56" s="14">
        <v>17</v>
      </c>
      <c r="E56" s="14">
        <v>50</v>
      </c>
      <c r="F56" s="14">
        <v>3.5</v>
      </c>
      <c r="G56" s="14">
        <f t="shared" si="9"/>
        <v>175</v>
      </c>
      <c r="H56" s="14">
        <v>1</v>
      </c>
      <c r="I56" s="27">
        <f t="shared" si="10"/>
        <v>0.68</v>
      </c>
      <c r="J56" s="27">
        <f t="shared" si="1"/>
        <v>2</v>
      </c>
      <c r="K56" s="27">
        <f t="shared" si="2"/>
        <v>3.5</v>
      </c>
      <c r="L56" s="27">
        <f t="shared" si="7"/>
        <v>199.99999999999997</v>
      </c>
      <c r="M56" s="27">
        <f t="shared" si="7"/>
        <v>200</v>
      </c>
      <c r="N56" s="27">
        <f t="shared" si="4"/>
        <v>400</v>
      </c>
    </row>
    <row r="57" spans="1:15" s="3" customFormat="1" ht="48.75" customHeight="1">
      <c r="A57" s="14" t="s">
        <v>377</v>
      </c>
      <c r="B57" s="17" t="s">
        <v>381</v>
      </c>
      <c r="C57" s="24" t="s">
        <v>382</v>
      </c>
      <c r="D57" s="14">
        <f t="shared" si="6"/>
        <v>5</v>
      </c>
      <c r="E57" s="14">
        <v>15</v>
      </c>
      <c r="F57" s="14">
        <v>4</v>
      </c>
      <c r="G57" s="14">
        <f t="shared" si="9"/>
        <v>60</v>
      </c>
      <c r="H57" s="14">
        <v>2</v>
      </c>
      <c r="I57" s="27">
        <f t="shared" si="10"/>
        <v>0.4</v>
      </c>
      <c r="J57" s="27">
        <f t="shared" si="1"/>
        <v>1.2</v>
      </c>
      <c r="K57" s="27">
        <f t="shared" si="2"/>
        <v>2.4</v>
      </c>
      <c r="L57" s="27">
        <f t="shared" si="7"/>
        <v>100</v>
      </c>
      <c r="M57" s="27">
        <f t="shared" si="7"/>
        <v>100</v>
      </c>
      <c r="N57" s="27">
        <f t="shared" si="4"/>
        <v>200</v>
      </c>
    </row>
    <row r="58" spans="1:15" s="3" customFormat="1" ht="48.75" customHeight="1">
      <c r="A58" s="14" t="s">
        <v>380</v>
      </c>
      <c r="B58" s="15" t="s">
        <v>384</v>
      </c>
      <c r="C58" s="24">
        <v>2</v>
      </c>
      <c r="D58" s="14">
        <v>2</v>
      </c>
      <c r="E58" s="14">
        <v>2</v>
      </c>
      <c r="F58" s="14">
        <v>3.5</v>
      </c>
      <c r="G58" s="14">
        <f t="shared" si="9"/>
        <v>7</v>
      </c>
      <c r="H58" s="14">
        <v>1</v>
      </c>
      <c r="I58" s="27">
        <f t="shared" si="10"/>
        <v>0.08</v>
      </c>
      <c r="J58" s="27">
        <f t="shared" si="1"/>
        <v>0.08</v>
      </c>
      <c r="K58" s="27">
        <f t="shared" si="2"/>
        <v>0.14000000000000001</v>
      </c>
      <c r="L58" s="27">
        <f t="shared" si="7"/>
        <v>200</v>
      </c>
      <c r="M58" s="27">
        <f t="shared" si="7"/>
        <v>200</v>
      </c>
      <c r="N58" s="27">
        <f t="shared" si="4"/>
        <v>399.99999999999994</v>
      </c>
    </row>
    <row r="59" spans="1:15" s="3" customFormat="1" ht="48.75" customHeight="1">
      <c r="A59" s="14" t="s">
        <v>383</v>
      </c>
      <c r="B59" s="15" t="s">
        <v>386</v>
      </c>
      <c r="C59" s="24" t="s">
        <v>387</v>
      </c>
      <c r="D59" s="14">
        <v>6</v>
      </c>
      <c r="E59" s="14">
        <v>16</v>
      </c>
      <c r="F59" s="14">
        <v>4</v>
      </c>
      <c r="G59" s="14">
        <f t="shared" si="9"/>
        <v>64</v>
      </c>
      <c r="H59" s="14">
        <v>1</v>
      </c>
      <c r="I59" s="27">
        <f t="shared" si="10"/>
        <v>0.24</v>
      </c>
      <c r="J59" s="27">
        <f t="shared" si="1"/>
        <v>0.64</v>
      </c>
      <c r="K59" s="27">
        <f t="shared" si="2"/>
        <v>1.28</v>
      </c>
      <c r="L59" s="27">
        <f t="shared" si="7"/>
        <v>200</v>
      </c>
      <c r="M59" s="27">
        <f t="shared" si="7"/>
        <v>200</v>
      </c>
      <c r="N59" s="27">
        <f t="shared" si="4"/>
        <v>400</v>
      </c>
    </row>
    <row r="60" spans="1:15" s="3" customFormat="1" ht="48.75" customHeight="1">
      <c r="A60" s="14" t="s">
        <v>385</v>
      </c>
      <c r="B60" s="15" t="s">
        <v>389</v>
      </c>
      <c r="C60" s="24" t="s">
        <v>390</v>
      </c>
      <c r="D60" s="14">
        <v>7</v>
      </c>
      <c r="E60" s="14">
        <v>20</v>
      </c>
      <c r="F60" s="14">
        <v>4</v>
      </c>
      <c r="G60" s="14">
        <f t="shared" si="9"/>
        <v>80</v>
      </c>
      <c r="H60" s="14">
        <v>1</v>
      </c>
      <c r="I60" s="27">
        <f t="shared" si="10"/>
        <v>0.28000000000000003</v>
      </c>
      <c r="J60" s="27">
        <f t="shared" si="1"/>
        <v>0.8</v>
      </c>
      <c r="K60" s="27">
        <f t="shared" si="2"/>
        <v>1.6</v>
      </c>
      <c r="L60" s="27">
        <f t="shared" si="7"/>
        <v>199.99999999999997</v>
      </c>
      <c r="M60" s="27">
        <f t="shared" si="7"/>
        <v>200</v>
      </c>
      <c r="N60" s="27">
        <f t="shared" si="4"/>
        <v>400</v>
      </c>
    </row>
    <row r="61" spans="1:15" s="3" customFormat="1" ht="48.75" customHeight="1">
      <c r="A61" s="14" t="s">
        <v>388</v>
      </c>
      <c r="B61" s="15" t="s">
        <v>392</v>
      </c>
      <c r="C61" s="24" t="s">
        <v>393</v>
      </c>
      <c r="D61" s="14">
        <v>44</v>
      </c>
      <c r="E61" s="14">
        <v>130</v>
      </c>
      <c r="F61" s="14">
        <v>4</v>
      </c>
      <c r="G61" s="14">
        <f t="shared" si="9"/>
        <v>520</v>
      </c>
      <c r="H61" s="14">
        <v>1</v>
      </c>
      <c r="I61" s="27">
        <f t="shared" si="10"/>
        <v>1.76</v>
      </c>
      <c r="J61" s="27">
        <f t="shared" si="1"/>
        <v>5.2</v>
      </c>
      <c r="K61" s="27">
        <f t="shared" si="2"/>
        <v>10.4</v>
      </c>
      <c r="L61" s="27">
        <f t="shared" si="7"/>
        <v>200</v>
      </c>
      <c r="M61" s="27">
        <f t="shared" si="7"/>
        <v>200</v>
      </c>
      <c r="N61" s="27">
        <f t="shared" si="4"/>
        <v>400</v>
      </c>
    </row>
    <row r="62" spans="1:15" s="3" customFormat="1" ht="48.75" customHeight="1">
      <c r="A62" s="14" t="s">
        <v>391</v>
      </c>
      <c r="B62" s="17" t="s">
        <v>395</v>
      </c>
      <c r="C62" s="24" t="s">
        <v>396</v>
      </c>
      <c r="D62" s="14">
        <v>43</v>
      </c>
      <c r="E62" s="14">
        <v>128</v>
      </c>
      <c r="F62" s="14">
        <v>4</v>
      </c>
      <c r="G62" s="14">
        <f t="shared" si="9"/>
        <v>512</v>
      </c>
      <c r="H62" s="14">
        <v>1</v>
      </c>
      <c r="I62" s="27">
        <f t="shared" si="10"/>
        <v>1.72</v>
      </c>
      <c r="J62" s="27">
        <f t="shared" si="1"/>
        <v>5.12</v>
      </c>
      <c r="K62" s="27">
        <f t="shared" si="2"/>
        <v>10.24</v>
      </c>
      <c r="L62" s="27">
        <f t="shared" si="7"/>
        <v>200</v>
      </c>
      <c r="M62" s="27">
        <f t="shared" si="7"/>
        <v>200</v>
      </c>
      <c r="N62" s="27">
        <f t="shared" si="4"/>
        <v>400</v>
      </c>
    </row>
    <row r="63" spans="1:15" s="3" customFormat="1" ht="48.75" customHeight="1">
      <c r="A63" s="14" t="s">
        <v>394</v>
      </c>
      <c r="B63" s="15" t="s">
        <v>398</v>
      </c>
      <c r="C63" s="25" t="s">
        <v>399</v>
      </c>
      <c r="D63" s="14">
        <v>40</v>
      </c>
      <c r="E63" s="14">
        <v>130</v>
      </c>
      <c r="F63" s="14">
        <v>4</v>
      </c>
      <c r="G63" s="14">
        <f t="shared" si="9"/>
        <v>520</v>
      </c>
      <c r="H63" s="14">
        <v>1.2</v>
      </c>
      <c r="I63" s="27">
        <f>IF(E63="","",E63*H$5*H63/D$5)</f>
        <v>6.24</v>
      </c>
      <c r="J63" s="27">
        <f t="shared" si="1"/>
        <v>6.24</v>
      </c>
      <c r="K63" s="27">
        <f t="shared" si="2"/>
        <v>12.48</v>
      </c>
      <c r="L63" s="27">
        <f t="shared" si="7"/>
        <v>51.282051282051277</v>
      </c>
      <c r="M63" s="27">
        <f t="shared" si="7"/>
        <v>166.66666666666666</v>
      </c>
      <c r="N63" s="27">
        <f t="shared" si="4"/>
        <v>333.33333333333331</v>
      </c>
    </row>
    <row r="64" spans="1:15" s="3" customFormat="1" ht="48.75" customHeight="1">
      <c r="A64" s="14" t="s">
        <v>397</v>
      </c>
      <c r="B64" s="15" t="s">
        <v>402</v>
      </c>
      <c r="C64" s="28" t="s">
        <v>403</v>
      </c>
      <c r="D64" s="14">
        <v>150</v>
      </c>
      <c r="E64" s="14">
        <v>438</v>
      </c>
      <c r="F64" s="14">
        <v>4</v>
      </c>
      <c r="G64" s="14">
        <f t="shared" si="9"/>
        <v>1752</v>
      </c>
      <c r="H64" s="14">
        <v>0.8</v>
      </c>
      <c r="I64" s="27">
        <f t="shared" ref="I64:I69" si="11">IF(D64="","",D64*H$5*H64/D$5)</f>
        <v>4.8</v>
      </c>
      <c r="J64" s="27">
        <f t="shared" si="1"/>
        <v>14.016000000000002</v>
      </c>
      <c r="K64" s="27">
        <f t="shared" si="2"/>
        <v>28.032000000000004</v>
      </c>
      <c r="L64" s="27">
        <f t="shared" si="7"/>
        <v>250</v>
      </c>
      <c r="M64" s="27">
        <f t="shared" si="7"/>
        <v>249.99999999999997</v>
      </c>
      <c r="N64" s="27">
        <f t="shared" si="4"/>
        <v>499.99999999999994</v>
      </c>
      <c r="O64" s="3" t="s">
        <v>400</v>
      </c>
    </row>
    <row r="65" spans="1:14" s="3" customFormat="1" ht="48.75" customHeight="1">
      <c r="A65" s="14" t="s">
        <v>401</v>
      </c>
      <c r="B65" s="17" t="s">
        <v>405</v>
      </c>
      <c r="C65" s="18" t="s">
        <v>406</v>
      </c>
      <c r="D65" s="14">
        <v>14</v>
      </c>
      <c r="E65" s="14">
        <v>48</v>
      </c>
      <c r="F65" s="14">
        <v>4</v>
      </c>
      <c r="G65" s="14">
        <f t="shared" si="9"/>
        <v>192</v>
      </c>
      <c r="H65" s="14">
        <v>0.8</v>
      </c>
      <c r="I65" s="27">
        <f t="shared" si="11"/>
        <v>0.44800000000000006</v>
      </c>
      <c r="J65" s="27">
        <f t="shared" si="1"/>
        <v>1.5360000000000003</v>
      </c>
      <c r="K65" s="27">
        <f t="shared" si="2"/>
        <v>3.0720000000000005</v>
      </c>
      <c r="L65" s="27">
        <f t="shared" si="7"/>
        <v>249.99999999999997</v>
      </c>
      <c r="M65" s="27">
        <f t="shared" si="7"/>
        <v>249.99999999999997</v>
      </c>
      <c r="N65" s="27">
        <f t="shared" si="4"/>
        <v>499.99999999999994</v>
      </c>
    </row>
    <row r="66" spans="1:14" s="3" customFormat="1" ht="48.75" customHeight="1">
      <c r="A66" s="14" t="s">
        <v>404</v>
      </c>
      <c r="B66" s="15" t="s">
        <v>408</v>
      </c>
      <c r="C66" s="16" t="s">
        <v>409</v>
      </c>
      <c r="D66" s="14">
        <v>22</v>
      </c>
      <c r="E66" s="14">
        <v>78</v>
      </c>
      <c r="F66" s="14">
        <v>4</v>
      </c>
      <c r="G66" s="14">
        <f t="shared" si="9"/>
        <v>312</v>
      </c>
      <c r="H66" s="14">
        <v>0.8</v>
      </c>
      <c r="I66" s="27">
        <f t="shared" si="11"/>
        <v>0.70400000000000007</v>
      </c>
      <c r="J66" s="27">
        <f t="shared" si="1"/>
        <v>2.4960000000000004</v>
      </c>
      <c r="K66" s="27">
        <f t="shared" si="2"/>
        <v>4.9920000000000009</v>
      </c>
      <c r="L66" s="27">
        <f t="shared" si="7"/>
        <v>249.99999999999997</v>
      </c>
      <c r="M66" s="27">
        <f t="shared" si="7"/>
        <v>249.99999999999994</v>
      </c>
      <c r="N66" s="27">
        <f t="shared" si="4"/>
        <v>499.99999999999989</v>
      </c>
    </row>
    <row r="67" spans="1:14" s="3" customFormat="1" ht="48.75" customHeight="1">
      <c r="A67" s="14" t="s">
        <v>407</v>
      </c>
      <c r="B67" s="15" t="s">
        <v>411</v>
      </c>
      <c r="C67" s="19" t="s">
        <v>412</v>
      </c>
      <c r="D67" s="14">
        <v>41</v>
      </c>
      <c r="E67" s="14">
        <v>134</v>
      </c>
      <c r="F67" s="14">
        <v>4</v>
      </c>
      <c r="G67" s="14">
        <f t="shared" si="9"/>
        <v>536</v>
      </c>
      <c r="H67" s="14">
        <v>0.8</v>
      </c>
      <c r="I67" s="27">
        <f t="shared" si="11"/>
        <v>1.3120000000000003</v>
      </c>
      <c r="J67" s="27">
        <f t="shared" si="1"/>
        <v>4.2880000000000003</v>
      </c>
      <c r="K67" s="27">
        <f t="shared" si="2"/>
        <v>8.5760000000000005</v>
      </c>
      <c r="L67" s="27">
        <f t="shared" si="7"/>
        <v>249.99999999999994</v>
      </c>
      <c r="M67" s="27">
        <f t="shared" si="7"/>
        <v>249.99999999999997</v>
      </c>
      <c r="N67" s="27">
        <f t="shared" si="4"/>
        <v>499.99999999999994</v>
      </c>
    </row>
    <row r="68" spans="1:14" s="3" customFormat="1" ht="48.75" customHeight="1">
      <c r="A68" s="14" t="s">
        <v>410</v>
      </c>
      <c r="B68" s="15" t="s">
        <v>414</v>
      </c>
      <c r="C68" s="19" t="s">
        <v>415</v>
      </c>
      <c r="D68" s="14">
        <v>200</v>
      </c>
      <c r="E68" s="14">
        <v>624</v>
      </c>
      <c r="F68" s="14">
        <v>4</v>
      </c>
      <c r="G68" s="14">
        <f t="shared" si="9"/>
        <v>2496</v>
      </c>
      <c r="H68" s="14">
        <v>1.2</v>
      </c>
      <c r="I68" s="27">
        <f t="shared" si="11"/>
        <v>9.6</v>
      </c>
      <c r="J68" s="27">
        <f t="shared" si="1"/>
        <v>29.951999999999998</v>
      </c>
      <c r="K68" s="27">
        <f t="shared" si="2"/>
        <v>59.903999999999996</v>
      </c>
      <c r="L68" s="27">
        <f t="shared" si="7"/>
        <v>166.66666666666669</v>
      </c>
      <c r="M68" s="27">
        <f t="shared" si="7"/>
        <v>166.66666666666669</v>
      </c>
      <c r="N68" s="27">
        <f t="shared" si="4"/>
        <v>333.33333333333337</v>
      </c>
    </row>
    <row r="69" spans="1:14" s="3" customFormat="1" ht="48.75" customHeight="1">
      <c r="A69" s="14" t="s">
        <v>413</v>
      </c>
      <c r="B69" s="15" t="s">
        <v>416</v>
      </c>
      <c r="C69" s="19" t="s">
        <v>417</v>
      </c>
      <c r="D69" s="14">
        <v>72</v>
      </c>
      <c r="E69" s="14">
        <v>216</v>
      </c>
      <c r="F69" s="14">
        <v>4</v>
      </c>
      <c r="G69" s="14">
        <f t="shared" si="9"/>
        <v>864</v>
      </c>
      <c r="H69" s="14">
        <v>1.2</v>
      </c>
      <c r="I69" s="27">
        <f t="shared" si="11"/>
        <v>3.4559999999999995</v>
      </c>
      <c r="J69" s="27">
        <f t="shared" si="1"/>
        <v>10.368</v>
      </c>
      <c r="K69" s="27">
        <f t="shared" si="2"/>
        <v>20.736000000000001</v>
      </c>
      <c r="L69" s="27">
        <f t="shared" si="7"/>
        <v>166.66666666666669</v>
      </c>
      <c r="M69" s="27">
        <f t="shared" si="7"/>
        <v>166.66666666666666</v>
      </c>
      <c r="N69" s="27">
        <f t="shared" si="4"/>
        <v>333.33333333333331</v>
      </c>
    </row>
    <row r="70" spans="1:14" s="3" customFormat="1" ht="48.75" customHeight="1">
      <c r="A70" s="14" t="s">
        <v>418</v>
      </c>
      <c r="B70" s="22" t="s">
        <v>419</v>
      </c>
      <c r="C70" s="20" t="s">
        <v>420</v>
      </c>
      <c r="D70" s="14">
        <v>2</v>
      </c>
      <c r="E70" s="14">
        <v>2</v>
      </c>
      <c r="F70" s="14">
        <v>2</v>
      </c>
      <c r="G70" s="14">
        <v>4733</v>
      </c>
      <c r="H70" s="14">
        <v>0.8</v>
      </c>
      <c r="I70" s="27">
        <f t="shared" si="0"/>
        <v>6.4000000000000001E-2</v>
      </c>
      <c r="J70" s="27">
        <f t="shared" si="1"/>
        <v>6.4000000000000001E-2</v>
      </c>
      <c r="K70" s="27">
        <f t="shared" si="2"/>
        <v>75.728000000000009</v>
      </c>
      <c r="L70" s="27">
        <f t="shared" si="7"/>
        <v>250</v>
      </c>
      <c r="M70" s="27">
        <f t="shared" si="7"/>
        <v>250</v>
      </c>
      <c r="N70" s="27">
        <f t="shared" si="4"/>
        <v>499.99999999999994</v>
      </c>
    </row>
    <row r="71" spans="1:14" s="3" customFormat="1" ht="12.75">
      <c r="A71" s="121" t="s">
        <v>421</v>
      </c>
      <c r="B71" s="122"/>
      <c r="C71" s="123"/>
      <c r="D71" s="11">
        <f>SUM(D11:D70)</f>
        <v>1666</v>
      </c>
      <c r="E71" s="11">
        <f>SUM(E11:E70)</f>
        <v>4733</v>
      </c>
      <c r="F71" s="11"/>
      <c r="G71" s="29">
        <f>SUM(G11:G70)</f>
        <v>28256</v>
      </c>
      <c r="H71" s="11"/>
      <c r="I71" s="31">
        <f>SUM(I11:I70)</f>
        <v>71.451999999999984</v>
      </c>
      <c r="J71" s="31">
        <f>SUM(J11:J70)</f>
        <v>194.624</v>
      </c>
      <c r="K71" s="31">
        <f>SUM(K11:K70)</f>
        <v>556.71399999999994</v>
      </c>
      <c r="L71" s="31">
        <f t="shared" ref="L71" si="12">D71/I71*8</f>
        <v>186.53081789173154</v>
      </c>
      <c r="M71" s="31">
        <f t="shared" ref="M71" si="13">E71/J71*8</f>
        <v>194.54949029924367</v>
      </c>
      <c r="N71" s="31">
        <f t="shared" ref="N71" si="14">G71/K71*8</f>
        <v>406.03972596342112</v>
      </c>
    </row>
    <row r="72" spans="1:14">
      <c r="A72" s="30"/>
    </row>
    <row r="73" spans="1:14">
      <c r="A73" s="30"/>
    </row>
    <row r="74" spans="1:14">
      <c r="A74" s="30"/>
      <c r="H74" s="5"/>
    </row>
    <row r="75" spans="1:14">
      <c r="A75" s="30"/>
    </row>
  </sheetData>
  <mergeCells count="13">
    <mergeCell ref="A9:K9"/>
    <mergeCell ref="A71:C71"/>
    <mergeCell ref="E6:G6"/>
    <mergeCell ref="I6:J6"/>
    <mergeCell ref="E7:G7"/>
    <mergeCell ref="I7:J7"/>
    <mergeCell ref="A8:K8"/>
    <mergeCell ref="A1:K1"/>
    <mergeCell ref="A2:K2"/>
    <mergeCell ref="E3:F3"/>
    <mergeCell ref="A4:K4"/>
    <mergeCell ref="E5:G5"/>
    <mergeCell ref="I5:J5"/>
  </mergeCells>
  <phoneticPr fontId="30" type="noConversion"/>
  <dataValidations count="1">
    <dataValidation type="list" allowBlank="1" showInputMessage="1" showErrorMessage="1" sqref="C3">
      <formula1>"经验估计法,类比法,WBS估算法,Delphi法,PERT估计法"</formula1>
    </dataValidation>
  </dataValidations>
  <pageMargins left="0.69930555555555596" right="0.69930555555555596" top="0.75" bottom="0.75" header="0.3" footer="0.3"/>
  <pageSetup paperSize="9" orientation="portrait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工作量匹配</vt:lpstr>
      <vt:lpstr>项目基本信息</vt:lpstr>
      <vt:lpstr>预估汇总表单</vt:lpstr>
      <vt:lpstr>预估表单-黄琪</vt:lpstr>
      <vt:lpstr>预估表单-刘燕燕</vt:lpstr>
      <vt:lpstr>预估表单-房雷</vt:lpstr>
    </vt:vector>
  </TitlesOfParts>
  <Manager>dujm@gtadata.com</Manager>
  <Company>GTA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XXX产品XXX版本测试工作量预估表单</dc:title>
  <dc:subject>工作量估计</dc:subject>
  <dc:creator>dujm@gtadata.com</dc:creator>
  <cp:lastModifiedBy>黄琪(测试四部)</cp:lastModifiedBy>
  <cp:lastPrinted>2006-03-25T02:48:00Z</cp:lastPrinted>
  <dcterms:created xsi:type="dcterms:W3CDTF">2002-10-29T01:50:00Z</dcterms:created>
  <dcterms:modified xsi:type="dcterms:W3CDTF">2018-07-17T08:28:50Z</dcterms:modified>
  <cp:category>表单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2052-10.1.0.7022</vt:lpwstr>
  </property>
</Properties>
</file>