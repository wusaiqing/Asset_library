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E:\workfiles\QA\敏捷度量表\"/>
    </mc:Choice>
  </mc:AlternateContent>
  <bookViews>
    <workbookView xWindow="0" yWindow="0" windowWidth="21600" windowHeight="10500" tabRatio="879" firstSheet="1" activeTab="5"/>
  </bookViews>
  <sheets>
    <sheet name="CB_DATA_" sheetId="5" state="veryHidden" r:id="rId1"/>
    <sheet name="报告封面" sheetId="25" r:id="rId2"/>
    <sheet name="填写说明" sheetId="30" r:id="rId3"/>
    <sheet name="故事" sheetId="24" r:id="rId4"/>
    <sheet name="工作量分布" sheetId="28" r:id="rId5"/>
    <sheet name="测试及验收缺陷度量" sheetId="22" r:id="rId6"/>
  </sheets>
  <externalReferences>
    <externalReference r:id="rId7"/>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3b7fc0a952824749a7a123081e56bd5a" localSheetId="0" hidden="1">#N/A</definedName>
    <definedName name="CB_8f037fb5059742769ccd74434d8102df" localSheetId="0" hidden="1">#N/A</definedName>
    <definedName name="CB_9e4ed787d34c466b837959029a3f7097" localSheetId="0" hidden="1">#N/A</definedName>
    <definedName name="CB_ba82796bf54740a6bac0ab276199f0f4" localSheetId="0" hidden="1">#N/A</definedName>
    <definedName name="CB_Block_00000000000000000000000000000000" localSheetId="0" hidden="1">"'7.0.0.0"</definedName>
    <definedName name="CB_Block_00000000000000000000000000000001" localSheetId="0" hidden="1">"'635711967294162543"</definedName>
    <definedName name="CB_Block_00000000000000000000000000000003" localSheetId="0" hidden="1">"'11.1.2391.0"</definedName>
    <definedName name="CB_BlockExt_00000000000000000000000000000003" localSheetId="0" hidden="1">"'11.1.2.1.000"</definedName>
    <definedName name="CB_d4563f781c39494e8534ca99376a494d" localSheetId="0" hidden="1">#N/A</definedName>
    <definedName name="CBCR_2d88abcb2eea4a479ada8dd81e1edb8a" localSheetId="0" hidden="1">CB_DATA_!$A$10003</definedName>
    <definedName name="CBCR_397fa0bc92d24e3090fe6f89e330fd99" localSheetId="0" hidden="1">CB_DATA_!$A$10002</definedName>
    <definedName name="CBCR_4f427fef9b4240d0a6e30858423c0076" localSheetId="0" hidden="1">CB_DATA_!$A$10004</definedName>
    <definedName name="CBCR_642cc9dd1d1a43bf91713ae7a49d521c" localSheetId="0" hidden="1">CB_DATA_!$A$10001</definedName>
    <definedName name="CBCR_d7422f91d4824e1aad5e9c1756553551" localSheetId="0" hidden="1">CB_DATA_!$A$10005</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Ref" localSheetId="0" hidden="1">CB_DATA_!$A$14</definedName>
    <definedName name="CBx_StorageType" localSheetId="0" hidden="1">2</definedName>
    <definedName name="Diskname">#REF!</definedName>
    <definedName name="for_add">#REF!</definedName>
    <definedName name="for_Creview">#REF!</definedName>
    <definedName name="for_CRreview">#REF!</definedName>
    <definedName name="for_Dreview">#REF!</definedName>
    <definedName name="for_FRreview">#REF!</definedName>
    <definedName name="for_set_all1">#REF!</definedName>
    <definedName name="for_set_all2">#REF!</definedName>
    <definedName name="for_set_all3">#REF!</definedName>
    <definedName name="for_set_all4">#REF!</definedName>
    <definedName name="for_set_all5">#REF!</definedName>
    <definedName name="for_set_all6">测试及验收缺陷度量!$I$15</definedName>
    <definedName name="for_set_calculate1">#REF!</definedName>
    <definedName name="for_set_calculate2">#REF!</definedName>
    <definedName name="for_set_calculate3">#REF!</definedName>
    <definedName name="for_set_calculate4">#REF!</definedName>
    <definedName name="for_set_calculate5">#REF!</definedName>
    <definedName name="for_set_calculate6">测试及验收缺陷度量!$J$15</definedName>
    <definedName name="for_set_PPB">#REF!</definedName>
    <definedName name="for_set_PPB1">#REF!</definedName>
    <definedName name="for_set_PPB2">#REF!</definedName>
    <definedName name="for_set_PPB3">#REF!</definedName>
    <definedName name="for_set_PPB4">#REF!</definedName>
    <definedName name="for_set_PPB5">#REF!</definedName>
    <definedName name="for_set_PPB6">测试及验收缺陷度量!$K$15:$M$15</definedName>
    <definedName name="for_set_review1">#REF!</definedName>
    <definedName name="for_set_review2">#REF!</definedName>
    <definedName name="for_set_review3">#REF!</definedName>
    <definedName name="for_set_review4">#REF!</definedName>
    <definedName name="for_set_review5">#REF!</definedName>
    <definedName name="for_set_test">测试及验收缺陷度量!$A$9</definedName>
    <definedName name="for_set_week">#REF!</definedName>
    <definedName name="for_TCreview">#REF!</definedName>
    <definedName name="for_Test">测试及验收缺陷度量!$A$15:$M$15</definedName>
    <definedName name="PDeviation">#REF!</definedName>
    <definedName name="Username">#REF!</definedName>
    <definedName name="VCreview">#REF!</definedName>
    <definedName name="VCRreview">#REF!</definedName>
    <definedName name="VDeviation">#REF!</definedName>
    <definedName name="VDreview">#REF!</definedName>
    <definedName name="VFRreview">#REF!</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#REF!</definedName>
    <definedName name="VTest">测试及验收缺陷度量!$A$15</definedName>
    <definedName name="Vweek">#REF!</definedName>
    <definedName name="W" hidden="1">#REF!</definedName>
    <definedName name="测试加权缺陷密度的均值于画图">OFFSET(测试及验收缺陷度量!$L$9,,,COUNTA(测试及验收缺陷度量!$M$9:$M$15)-1)</definedName>
    <definedName name="测试加权缺陷密度的上限于画图">OFFSET(测试及验收缺陷度量!$M$9,,,COUNTA(测试及验收缺陷度量!$N$9:$N$15)-1)</definedName>
    <definedName name="测试加权缺陷密度的下限于画图">OFFSET(测试及验收缺陷度量!$K$9,,,COUNTA(测试及验收缺陷度量!$L$9:$L$15)-1)</definedName>
    <definedName name="测试加权缺陷密度于画图">OFFSET(测试及验收缺陷度量!$J$9,,,COUNTA(测试及验收缺陷度量!$K$9:$K$15)-1)</definedName>
    <definedName name="测试轮次于画图">OFFSET(测试及验收缺陷度量!$A$9,,,COUNTA(测试及验收缺陷度量!$A$9:$A$15)-1)</definedName>
    <definedName name="测试用例评审次数于画图">OFFSET(#REF!,,,COUNTA(#REF!)-1)</definedName>
    <definedName name="测试用例评审缺陷密度的均值于画图">OFFSET(#REF!,,,COUNTA(#REF!)-1)</definedName>
    <definedName name="测试用例评审缺陷密度的上限于画图">OFFSET(#REF!,,,COUNTA(#REF!)-1)</definedName>
    <definedName name="测试用例评审缺陷密度的下限于画图">OFFSET(#REF!,,,COUNTA(#REF!)-1)</definedName>
    <definedName name="测试用例评审缺陷密度于画图">OFFSET(#REF!,,,COUNTA(#REF!)-1)</definedName>
    <definedName name="代码走查次数于画图">OFFSET(#REF!,,,COUNTA(#REF!)-1)</definedName>
    <definedName name="代码走查缺陷密度的均值于画图">OFFSET(#REF!,,,COUNTA(#REF!)-1)</definedName>
    <definedName name="代码走查缺陷密度的上限于画图">OFFSET(#REF!,,,COUNTA(#REF!)-1)</definedName>
    <definedName name="代码走查缺陷密度的下限于画图">OFFSET(#REF!,,,COUNTA(#REF!)-1)</definedName>
    <definedName name="代码走查缺陷密度于画图">OFFSET(#REF!,,,COUNTA(#REF!)-1)</definedName>
    <definedName name="进度偏差的均值于画图">OFFSET(#REF!,,,,COUNTA(#REF!)-1)</definedName>
    <definedName name="进度偏差的上限于画图">OFFSET(#REF!,,,,COUNTA(#REF!)-1)</definedName>
    <definedName name="进度偏差的下限于画图">OFFSET(#REF!,,,,COUNTA(#REF!)-1)</definedName>
    <definedName name="客户需求评审次数">OFFSET(#REF!,,,COUNTA(#REF!)-1)</definedName>
    <definedName name="客户需求评审缺陷密度">OFFSET(#REF!,,,COUNTA(#REF!)-1)</definedName>
    <definedName name="客户需求评审缺陷密度的均值">OFFSET(#REF!,,,COUNTA(#REF!)-1)</definedName>
    <definedName name="客户需求评审缺陷密度的上限">OFFSET(#REF!,,,COUNTA(#REF!)-1)</definedName>
    <definedName name="客户需求评审缺陷密度的下限">OFFSET(#REF!,,,COUNTA(#REF!)-1)</definedName>
    <definedName name="人员">OFFSET(#REF!,,,COUNTA(#REF!)+COUNTBLANK(#REF!))</definedName>
    <definedName name="设计评审次数于画图">OFFSET(#REF!,,,COUNTA(#REF!)-1)</definedName>
    <definedName name="设计评审缺陷密度的均值于画图">OFFSET(#REF!,,,COUNTA(#REF!)-1)</definedName>
    <definedName name="设计评审缺陷密度的上限于画图">OFFSET(#REF!,,,COUNTA(#REF!)-1)</definedName>
    <definedName name="设计评审缺陷密度的下限于画图">OFFSET(#REF!,,,COUNTA(#REF!)-1)</definedName>
    <definedName name="设计评审缺陷密度于画图">OFFSET(#REF!,,,COUNTA(#REF!)-1)</definedName>
    <definedName name="需求规格评审次数于画图">OFFSET(#REF!,,,COUNTA(#REF!)-1)</definedName>
    <definedName name="需求规格评审缺陷密度的均值于画图">OFFSET(#REF!,,,COUNTA(#REF!)-1)</definedName>
    <definedName name="需求规格评审缺陷密度的上限于画图">OFFSET(#REF!,,,COUNTA(#REF!)-1)</definedName>
    <definedName name="需求规格评审缺陷密度的下限于画图">OFFSET(#REF!,,,COUNTA(#REF!)-1)</definedName>
    <definedName name="需求规格评审缺陷密度于画图">OFFSET(#REF!,,,COUNTA(#REF!)-1)</definedName>
    <definedName name="周次">OFFSET(#REF!,,,,COUNTA(#REF!))</definedName>
    <definedName name="周次于画图">OFFSET(#REF!,,,,COUNTA(#REF!)-1)</definedName>
    <definedName name="周进度偏差于画图">OFFSET(#REF!,,,,COUNTA(#REF!)-1)</definedName>
    <definedName name="最后一周">OFFSET(#REF!,,,COUNTA(#REF!)+COUNTBLANK(#REF!))</definedName>
  </definedNames>
  <calcPr calcId="152511"/>
</workbook>
</file>

<file path=xl/calcChain.xml><?xml version="1.0" encoding="utf-8"?>
<calcChain xmlns="http://schemas.openxmlformats.org/spreadsheetml/2006/main">
  <c r="J48" i="22" l="1"/>
  <c r="J46" i="22"/>
  <c r="J45" i="22"/>
  <c r="J44" i="22"/>
  <c r="J43" i="22"/>
  <c r="J42" i="22"/>
  <c r="I35" i="22"/>
  <c r="J35" i="22"/>
  <c r="J34" i="22"/>
  <c r="J33" i="22"/>
  <c r="J31" i="22"/>
  <c r="J30" i="22"/>
  <c r="J29" i="22"/>
  <c r="J28" i="22"/>
  <c r="J27" i="22"/>
  <c r="J16" i="22"/>
  <c r="J13" i="22"/>
  <c r="J12" i="22"/>
  <c r="J11" i="22"/>
  <c r="J10" i="22"/>
  <c r="J9" i="22"/>
  <c r="I34" i="22"/>
  <c r="H48" i="22" l="1"/>
  <c r="F47" i="22"/>
  <c r="F48" i="22" s="1"/>
  <c r="E47" i="22"/>
  <c r="E48" i="22" s="1"/>
  <c r="D47" i="22"/>
  <c r="D48" i="22" s="1"/>
  <c r="C47" i="22"/>
  <c r="C48" i="22" s="1"/>
  <c r="B47" i="22"/>
  <c r="B48" i="22" s="1"/>
  <c r="I46" i="22"/>
  <c r="I45" i="22"/>
  <c r="I44" i="22"/>
  <c r="I43" i="22"/>
  <c r="I42" i="22"/>
  <c r="H33" i="22"/>
  <c r="F32" i="22"/>
  <c r="F33" i="22" s="1"/>
  <c r="E32" i="22"/>
  <c r="E33" i="22" s="1"/>
  <c r="D32" i="22"/>
  <c r="D33" i="22" s="1"/>
  <c r="C32" i="22"/>
  <c r="C33" i="22" s="1"/>
  <c r="B32" i="22"/>
  <c r="B33" i="22" s="1"/>
  <c r="I31" i="22"/>
  <c r="I30" i="22"/>
  <c r="I29" i="22"/>
  <c r="I28" i="22"/>
  <c r="I27" i="22"/>
  <c r="H16" i="22"/>
  <c r="F15" i="22"/>
  <c r="F16" i="22" s="1"/>
  <c r="E15" i="22"/>
  <c r="E16" i="22" s="1"/>
  <c r="D15" i="22"/>
  <c r="C15" i="22"/>
  <c r="C16" i="22" s="1"/>
  <c r="B15" i="22"/>
  <c r="B16" i="22" s="1"/>
  <c r="I14" i="22"/>
  <c r="K14" i="22" s="1"/>
  <c r="I13" i="22"/>
  <c r="I12" i="22"/>
  <c r="I11" i="22"/>
  <c r="I10" i="22"/>
  <c r="I9" i="22"/>
  <c r="O17" i="28"/>
  <c r="Q13" i="28"/>
  <c r="P13" i="28"/>
  <c r="O15" i="28" s="1"/>
  <c r="O13" i="28"/>
  <c r="N13" i="28"/>
  <c r="M15" i="28" s="1"/>
  <c r="M13" i="28"/>
  <c r="L13" i="28"/>
  <c r="K15" i="28" s="1"/>
  <c r="K13" i="28"/>
  <c r="J13" i="28"/>
  <c r="I15" i="28" s="1"/>
  <c r="I13" i="28"/>
  <c r="H13" i="28"/>
  <c r="G15" i="28" s="1"/>
  <c r="G13" i="28"/>
  <c r="F13" i="28"/>
  <c r="M16" i="28" s="1"/>
  <c r="E13" i="28"/>
  <c r="D13" i="28"/>
  <c r="I16" i="28" s="1"/>
  <c r="C13" i="28"/>
  <c r="R12" i="28"/>
  <c r="S12" i="28" s="1"/>
  <c r="S11" i="28"/>
  <c r="R11" i="28"/>
  <c r="R10" i="28"/>
  <c r="S9" i="28"/>
  <c r="R9" i="28"/>
  <c r="R8" i="28"/>
  <c r="F15" i="24"/>
  <c r="E15" i="24"/>
  <c r="G14" i="24"/>
  <c r="G13" i="24"/>
  <c r="G12" i="24"/>
  <c r="G11" i="24"/>
  <c r="G10" i="24"/>
  <c r="A10005" i="5"/>
  <c r="A10004" i="5"/>
  <c r="A10003" i="5"/>
  <c r="A10002" i="5"/>
  <c r="A10001" i="5"/>
  <c r="C11" i="5"/>
  <c r="A11" i="5"/>
  <c r="P2" i="5"/>
  <c r="G28" i="22" l="1"/>
  <c r="G30" i="22"/>
  <c r="G10" i="22"/>
  <c r="G12" i="22"/>
  <c r="G14" i="22"/>
  <c r="G43" i="22"/>
  <c r="G45" i="22"/>
  <c r="I17" i="28"/>
  <c r="E17" i="28"/>
  <c r="S8" i="28"/>
  <c r="K17" i="28"/>
  <c r="G17" i="28"/>
  <c r="C17" i="28"/>
  <c r="R13" i="28"/>
  <c r="S10" i="28"/>
  <c r="I33" i="22"/>
  <c r="G15" i="24"/>
  <c r="T11" i="28"/>
  <c r="I16" i="22"/>
  <c r="I48" i="22"/>
  <c r="T12" i="28"/>
  <c r="E14" i="28"/>
  <c r="I14" i="28"/>
  <c r="M14" i="28"/>
  <c r="E15" i="28"/>
  <c r="C16" i="28"/>
  <c r="G16" i="28"/>
  <c r="K16" i="28"/>
  <c r="Q16" i="28" s="1"/>
  <c r="O16" i="28"/>
  <c r="I15" i="22"/>
  <c r="J15" i="22" s="1"/>
  <c r="I32" i="22"/>
  <c r="J32" i="22" s="1"/>
  <c r="I47" i="22"/>
  <c r="J47" i="22" s="1"/>
  <c r="C14" i="28"/>
  <c r="G14" i="28"/>
  <c r="K14" i="28"/>
  <c r="O14" i="28"/>
  <c r="C15" i="28"/>
  <c r="E16" i="28"/>
  <c r="G9" i="22"/>
  <c r="G11" i="22"/>
  <c r="G13" i="22"/>
  <c r="G27" i="22"/>
  <c r="G29" i="22"/>
  <c r="G31" i="22"/>
  <c r="G42" i="22"/>
  <c r="G44" i="22"/>
  <c r="G46" i="22"/>
  <c r="G48" i="22" l="1"/>
  <c r="G16" i="22"/>
  <c r="Q15" i="28"/>
  <c r="Q14" i="28"/>
  <c r="G33" i="22"/>
  <c r="T8" i="28"/>
  <c r="M17" i="28" s="1"/>
  <c r="T15" i="28"/>
  <c r="T10" i="28"/>
  <c r="T9" i="28"/>
</calcChain>
</file>

<file path=xl/comments1.xml><?xml version="1.0" encoding="utf-8"?>
<comments xmlns="http://schemas.openxmlformats.org/spreadsheetml/2006/main">
  <authors>
    <author>gta</author>
    <author>作者</author>
  </authors>
  <commentList>
    <comment ref="C8" authorId="0" shapeId="0">
      <text>
        <r>
          <rPr>
            <b/>
            <sz val="9"/>
            <rFont val="宋体"/>
            <family val="3"/>
            <charset val="134"/>
          </rPr>
          <t>gta:</t>
        </r>
        <r>
          <rPr>
            <sz val="9"/>
            <rFont val="宋体"/>
            <family val="3"/>
            <charset val="134"/>
          </rPr>
          <t xml:space="preserve">
数据来源于Devsuite计划与任务模块</t>
        </r>
      </text>
    </comment>
    <comment ref="D8" authorId="0" shapeId="0">
      <text>
        <r>
          <rPr>
            <b/>
            <sz val="9"/>
            <rFont val="宋体"/>
            <family val="3"/>
            <charset val="134"/>
          </rPr>
          <t>gta:</t>
        </r>
        <r>
          <rPr>
            <sz val="9"/>
            <rFont val="宋体"/>
            <family val="3"/>
            <charset val="134"/>
          </rPr>
          <t xml:space="preserve">
数据来源于Devsuite计划与任务模块</t>
        </r>
      </text>
    </comment>
    <comment ref="E8" authorId="1" shapeId="0">
      <text>
        <r>
          <rPr>
            <b/>
            <sz val="9"/>
            <rFont val="宋体"/>
            <family val="3"/>
            <charset val="134"/>
          </rPr>
          <t>作者:</t>
        </r>
        <r>
          <rPr>
            <sz val="9"/>
            <rFont val="宋体"/>
            <family val="3"/>
            <charset val="134"/>
          </rPr>
          <t xml:space="preserve">
数据来源于Devsuite，迭代计划会议时确定计划完成故事数</t>
        </r>
      </text>
    </comment>
    <comment ref="F8" authorId="0" shapeId="0">
      <text>
        <r>
          <rPr>
            <b/>
            <sz val="9"/>
            <rFont val="宋体"/>
            <family val="3"/>
            <charset val="134"/>
          </rPr>
          <t>gta:</t>
        </r>
        <r>
          <rPr>
            <sz val="9"/>
            <rFont val="宋体"/>
            <family val="3"/>
            <charset val="134"/>
          </rPr>
          <t xml:space="preserve">
数据来源于Devsuite，迭代演示会议时确定实际完成故事数</t>
        </r>
      </text>
    </comment>
    <comment ref="I8" authorId="0" shapeId="0">
      <text>
        <r>
          <rPr>
            <b/>
            <sz val="9"/>
            <rFont val="宋体"/>
            <family val="3"/>
            <charset val="134"/>
          </rPr>
          <t>gta:</t>
        </r>
        <r>
          <rPr>
            <sz val="9"/>
            <rFont val="宋体"/>
            <family val="3"/>
            <charset val="134"/>
          </rPr>
          <t xml:space="preserve">
数据来源于</t>
        </r>
      </text>
    </comment>
  </commentList>
</comments>
</file>

<file path=xl/comments2.xml><?xml version="1.0" encoding="utf-8"?>
<comments xmlns="http://schemas.openxmlformats.org/spreadsheetml/2006/main">
  <authors>
    <author>Windows 用户</author>
    <author>gta</author>
  </authors>
  <commentList>
    <comment ref="C7" authorId="0" shapeId="0">
      <text>
        <r>
          <rPr>
            <b/>
            <sz val="9"/>
            <rFont val="宋体"/>
            <family val="3"/>
            <charset val="134"/>
          </rPr>
          <t>Windows 用户:</t>
        </r>
        <r>
          <rPr>
            <sz val="9"/>
            <rFont val="宋体"/>
            <family val="3"/>
            <charset val="134"/>
          </rPr>
          <t xml:space="preserve">
来源于用户故事列表总体版本计划</t>
        </r>
      </text>
    </comment>
    <comment ref="D7" authorId="1" shapeId="0">
      <text>
        <r>
          <rPr>
            <b/>
            <sz val="9"/>
            <rFont val="宋体"/>
            <family val="3"/>
            <charset val="134"/>
          </rPr>
          <t>gta:</t>
        </r>
        <r>
          <rPr>
            <sz val="9"/>
            <rFont val="宋体"/>
            <family val="3"/>
            <charset val="134"/>
          </rPr>
          <t xml:space="preserve">
来源于工时系统</t>
        </r>
      </text>
    </comment>
    <comment ref="E7" authorId="0" shapeId="0">
      <text>
        <r>
          <rPr>
            <b/>
            <sz val="9"/>
            <rFont val="宋体"/>
            <family val="3"/>
            <charset val="134"/>
          </rPr>
          <t>Windows 用户:</t>
        </r>
        <r>
          <rPr>
            <sz val="9"/>
            <rFont val="宋体"/>
            <family val="3"/>
            <charset val="134"/>
          </rPr>
          <t xml:space="preserve">
来源于用户故事列表总体版本计划</t>
        </r>
      </text>
    </comment>
    <comment ref="F7" authorId="1" shapeId="0">
      <text>
        <r>
          <rPr>
            <b/>
            <sz val="9"/>
            <rFont val="宋体"/>
            <family val="3"/>
            <charset val="134"/>
          </rPr>
          <t>gta:</t>
        </r>
        <r>
          <rPr>
            <sz val="9"/>
            <rFont val="宋体"/>
            <family val="3"/>
            <charset val="134"/>
          </rPr>
          <t xml:space="preserve">
来源于工时系统</t>
        </r>
      </text>
    </comment>
    <comment ref="G7" authorId="0" shapeId="0">
      <text>
        <r>
          <rPr>
            <b/>
            <sz val="9"/>
            <rFont val="宋体"/>
            <family val="3"/>
            <charset val="134"/>
          </rPr>
          <t>Windows 用户:</t>
        </r>
        <r>
          <rPr>
            <sz val="9"/>
            <rFont val="宋体"/>
            <family val="3"/>
            <charset val="134"/>
          </rPr>
          <t xml:space="preserve">
来源于用户故事列表总体版本计划</t>
        </r>
      </text>
    </comment>
    <comment ref="H7" authorId="1" shapeId="0">
      <text>
        <r>
          <rPr>
            <b/>
            <sz val="9"/>
            <rFont val="宋体"/>
            <family val="3"/>
            <charset val="134"/>
          </rPr>
          <t>gta:</t>
        </r>
        <r>
          <rPr>
            <sz val="9"/>
            <rFont val="宋体"/>
            <family val="3"/>
            <charset val="134"/>
          </rPr>
          <t xml:space="preserve">
来源于工时系统</t>
        </r>
      </text>
    </comment>
    <comment ref="I7" authorId="0" shapeId="0">
      <text>
        <r>
          <rPr>
            <b/>
            <sz val="9"/>
            <rFont val="宋体"/>
            <family val="3"/>
            <charset val="134"/>
          </rPr>
          <t>Windows 用户:</t>
        </r>
        <r>
          <rPr>
            <sz val="9"/>
            <rFont val="宋体"/>
            <family val="3"/>
            <charset val="134"/>
          </rPr>
          <t xml:space="preserve">
来源于用户故事列表总体版本计划</t>
        </r>
      </text>
    </comment>
    <comment ref="J7" authorId="1" shapeId="0">
      <text>
        <r>
          <rPr>
            <b/>
            <sz val="9"/>
            <rFont val="宋体"/>
            <family val="3"/>
            <charset val="134"/>
          </rPr>
          <t>gta:</t>
        </r>
        <r>
          <rPr>
            <sz val="9"/>
            <rFont val="宋体"/>
            <family val="3"/>
            <charset val="134"/>
          </rPr>
          <t xml:space="preserve">
来源于工时系统</t>
        </r>
      </text>
    </comment>
    <comment ref="K7" authorId="0" shapeId="0">
      <text>
        <r>
          <rPr>
            <b/>
            <sz val="9"/>
            <rFont val="宋体"/>
            <family val="3"/>
            <charset val="134"/>
          </rPr>
          <t>Windows 用户:</t>
        </r>
        <r>
          <rPr>
            <sz val="9"/>
            <rFont val="宋体"/>
            <family val="3"/>
            <charset val="134"/>
          </rPr>
          <t xml:space="preserve">
来源于用户故事列表总体版本计划</t>
        </r>
      </text>
    </comment>
    <comment ref="L7" authorId="1" shapeId="0">
      <text>
        <r>
          <rPr>
            <b/>
            <sz val="9"/>
            <rFont val="宋体"/>
            <family val="3"/>
            <charset val="134"/>
          </rPr>
          <t>gta:</t>
        </r>
        <r>
          <rPr>
            <sz val="9"/>
            <rFont val="宋体"/>
            <family val="3"/>
            <charset val="134"/>
          </rPr>
          <t xml:space="preserve">
来源于工时系统</t>
        </r>
      </text>
    </comment>
    <comment ref="M7" authorId="0" shapeId="0">
      <text>
        <r>
          <rPr>
            <b/>
            <sz val="9"/>
            <rFont val="宋体"/>
            <family val="3"/>
            <charset val="134"/>
          </rPr>
          <t>Windows 用户:</t>
        </r>
        <r>
          <rPr>
            <sz val="9"/>
            <rFont val="宋体"/>
            <family val="3"/>
            <charset val="134"/>
          </rPr>
          <t xml:space="preserve">
来源于用户故事列表总体版本计划</t>
        </r>
      </text>
    </comment>
    <comment ref="N7" authorId="1" shapeId="0">
      <text>
        <r>
          <rPr>
            <b/>
            <sz val="9"/>
            <rFont val="宋体"/>
            <family val="3"/>
            <charset val="134"/>
          </rPr>
          <t>gta:</t>
        </r>
        <r>
          <rPr>
            <sz val="9"/>
            <rFont val="宋体"/>
            <family val="3"/>
            <charset val="134"/>
          </rPr>
          <t xml:space="preserve">
来源于工时系统</t>
        </r>
      </text>
    </comment>
    <comment ref="O7" authorId="0" shapeId="0">
      <text>
        <r>
          <rPr>
            <b/>
            <sz val="9"/>
            <rFont val="宋体"/>
            <family val="3"/>
            <charset val="134"/>
          </rPr>
          <t>Windows 用户:</t>
        </r>
        <r>
          <rPr>
            <sz val="9"/>
            <rFont val="宋体"/>
            <family val="3"/>
            <charset val="134"/>
          </rPr>
          <t xml:space="preserve">
来源于用户故事列表总体版本计划</t>
        </r>
      </text>
    </comment>
    <comment ref="P7" authorId="1" shapeId="0">
      <text>
        <r>
          <rPr>
            <b/>
            <sz val="9"/>
            <rFont val="宋体"/>
            <family val="3"/>
            <charset val="134"/>
          </rPr>
          <t>gta:</t>
        </r>
        <r>
          <rPr>
            <sz val="9"/>
            <rFont val="宋体"/>
            <family val="3"/>
            <charset val="134"/>
          </rPr>
          <t xml:space="preserve">
来源于工时系统</t>
        </r>
      </text>
    </comment>
    <comment ref="Q7" authorId="0" shapeId="0">
      <text>
        <r>
          <rPr>
            <b/>
            <sz val="9"/>
            <rFont val="宋体"/>
            <family val="3"/>
            <charset val="134"/>
          </rPr>
          <t>Windows 用户:</t>
        </r>
        <r>
          <rPr>
            <sz val="9"/>
            <rFont val="宋体"/>
            <family val="3"/>
            <charset val="134"/>
          </rPr>
          <t xml:space="preserve">
来源于用户故事列表总体版本计划</t>
        </r>
      </text>
    </comment>
  </commentList>
</comments>
</file>

<file path=xl/sharedStrings.xml><?xml version="1.0" encoding="utf-8"?>
<sst xmlns="http://schemas.openxmlformats.org/spreadsheetml/2006/main" count="225" uniqueCount="155">
  <si>
    <t>Crystal Ball Data</t>
  </si>
  <si>
    <t>Workbook Variables</t>
  </si>
  <si>
    <t>Last Var Column</t>
  </si>
  <si>
    <t xml:space="preserve">    Name:</t>
  </si>
  <si>
    <t xml:space="preserve">    Value:</t>
  </si>
  <si>
    <t>Worksheet Data</t>
  </si>
  <si>
    <t>Last Data Column Used</t>
  </si>
  <si>
    <t>Sheet Ref</t>
  </si>
  <si>
    <t>Sheet Guid</t>
  </si>
  <si>
    <t>420f52c2-b41f-4b27-a52a-cc0b293d1261</t>
  </si>
  <si>
    <t>6f70a6af-b6ea-4d81-9f3d-65fedc0ff3aa</t>
  </si>
  <si>
    <t>Deleted sheet count</t>
  </si>
  <si>
    <t>Last row used</t>
  </si>
  <si>
    <t>Data blocks</t>
  </si>
  <si>
    <t>CB_Block_0</t>
  </si>
  <si>
    <t>CB_Block_7.0.0.0:3</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</si>
  <si>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</si>
  <si>
    <t>㜸〱捤㕢〹㜴㕢搵㤹搶㤵慤㘷㍤搹㡥〵㐹㈰挳ㅡ挰㈹㠴愴㐶慢㉤㤵昱㌸㕥ㄲ㘳戲〱づ攱捣㥣㑥搵㈷扤愷㔸㐴㑢㉡挹㐹っ愵改㑣愱ぢ搰㠴㐰㐳㈹㥤㤲戰㌴愵㉣㈱㉣捤㐹㠰ㄶ㘸㝢愰攵㤴戲㑣摢改捣㜴愱㌴㘹〲戴㄰㑡捦㉣㘷㍡㘴扥敦扥昷㘴㉤捦㑥愰捣㌹扣㔸扦晥晢摦晦㙥摦晤摦晤晦㝢慦攲ㄲ㉥㤷敢〸ㅥ㝥昳㘹㈶㜳捡攸㐴愹㙣攴扡〶ぢ搹慣㤱㉡㘷ち昹㔲㔷㝦戱愸㑤㉣换㤴捡㑤㔰㔰ㄲㄹ攴㤷㍣㠹㔲收ち挳㥢㔸㙦ㄴ㑢㔰昲戸㕣㕥慦敡㐶㍥㌸昹昱摢〹㤵愵搴㘶ㄲ收愹ち㐹ぢ㐸㥢ㄷ㘴搵攰挰捡攴攵㘸㘹戴㕣㈸ㅡぢ攷慥㌶敢敢つ〶扢㠲㕤愱㜰㍣搸ㄵ㔸㌸㜷㜰㍣㕢ㅥ㉦ㅡ扤㜹㘳扣㕣搴戲ぢ攷㕥㌴㥥捣㘶㔲㑢㡤㠹㔵㠵戵㐶扥搷㐸〶挲㐹㉤ㄲぢ㐶愲搱㜴㍣ㅥ㙢㔳㔱昳㡡挱㠱㡢㡡㐶扡昴㝥搵改㘳㥤㉢〷〷扡㔶ㄸ攵昷慢捥㔶搴㠹㉡㠷ち㌹㉤㤳㝦㥦㉡昵㄰敦攸㤰㤱捡㜰㘲っ愳㤸挹慦改㐲户㙢㠰㐶慡愷慢扦㔴ㅡ捦慤攳ㅣてㅡ搹散㈵㐶㥡ㄳ愲收㠶㑡攵㡢戴㘲慥搴㤶㈳㝥㐶搱挸愷㡣搲㡣摣攲㡤㈹㈳㙢㈹㤶扣戹搵㕡㜱㠵㤶㌳㥡挹㜴攴捣㌹ㅣ搱㡤㝣㌹㔳㥥㘸捦㕤㕡㌲㉥搱昲㙢っ慡㜸㜲挳攳ㄹ㕤㌴㌷攳捦搵㜴戶㔳捦攴㐴愱㍦戹挱㌱慤㔸㤶㈹㑥㘱搰㐹户捡㕣攴㈸㙡晢㠵㔲㜳敢㑡㜱捥㐶㌳戹愵㐶㌱㙦㘴搹〸㘷㜲㐱㥤㤲〴挸㥣㠷ち㔲昶㜰㌸㑢愲搵㝡㌱㌸ㄶ攲愴戴㠱挴㔷ㄴ㡡㌹ㄸ㘴㜰㕥㙦愰㉢搰ㅤ〸〴㠲愱㔸愰㍢ㄶ㡦〴㝢㠲挱搸挲㜸扣㉢ㄶ㘵㕥㜷㌸ㄴ㡡㐶㝢㈲挱㔰戴㍢ㄴ㡥㐵㠳㙡㍢㡡慢㌳㔸㔱〷㐸㜳敦㜰㈸慡晡㈹㍢づ㐴㌴扦㠱ㄷ戳扡㐹昶挱㥤搰摣㠹愴㍢㤱㜲㈷㜴㜷挲㜰㈷搲敥挴ㅡ㜷㘲捣㥤挸戸ㄳ㤷扢ㄳ㙢愱㘳㍦摥㤶ㄶ户昵㑣㥣㜹摦㕢攱愷摥㕡㜱敤㤳㔷捥昹晥昲攸㈲挱㜷㔱扥捡㌳挱㥣㙤つ㘱戹愱攵㝢扢ㄷ㡥㤶昵㈱㘳㝤㙦戰㉢ㅡ挷㐰攲攱㐸ㄴ㘳改㡥㜵㠷搴㔹㔰㔶㘷㠳㈸㈷㠰㌴昷㉥つ㐷搵ㄳ㈹㥢〳㈲挴㐱㜴㤸㥤摥㜹敡㌳捦㈵户㕣㌱昸㤵㈵晦昵扢㔹昱ㄵ戳〵㕦㝡搹摡㐹㘰㝡慤搶㘲㕤戱㤸挴㉣㄰㡣㠴㈲攱㔸㌸ㄴ㡢〵攳挱㐸㉣摡㉤㐱㤳㤹愱㜰㈸ㅥ㡤㐵㠱㔷㌸ㄸっ㠵㠳㈱昵㘴戶㜷ち㠸㜲㉡㐸摢挱㕤㥦㍥㜰晤捤㠷㜶㝤攷搰慥摢搵搳㤸㜷㍡㠸㄰㉦㕢㝤㜹㘶摦㡥敤㍦㝢㔵っ㝥㝢攵㑢晦㍣晥挰昰㠹㠲㙢㡦散换ㄹ㘰㍥㔲㍤昲㐰㔷〸搳ㄳ愸晡ぢ搹㔸〴扡㈲㍤戱㜰㌴ㄲ〸挶攲㤸㍦昴㈹愲㥥挹挶捥〲㔱㍡㐱㥡㝢㐷挲㜱㜵ㅥ㘵ㅦ〲ㄱ攲㕦慤づ捣㜹散慡昵慢扦晣愹攱慤户晤㑤挷摢晡㌷㌷ぢ慥㝢戲〳攷㠰改戱㍡㄰㤶㐸㠴扢㝢㐲〰扡扢㈷ㄲち〷㐲挱戸〹〴慣〷㑢㘰㈰ㅡ挱㔲ㄸ㡤㐱㈱ㄸ㡢慡昳搹搲戹㈰捡〲㄰摡㑥㔰㕤㐸搹㠷㐱㠴㜸挹㙡㍤昵愱㉦昷㕥㝥攳㘹㡢敦扡改搰戳㤷㉥㥣戳戹敤㍣㘴㕦㙣搹昱㔰㔱摢㠰㤵㘱㜲搱〹㜵挱㠴㡦㘵戵挵㘲㥢㡥愶㝢搲挱愰ㅥつ㘸㘱捤㐳㔳㍥搶搷㥡㈶摥㤶扥㉣㤳搷ぢㅢ攴㝢㝥捡㠰㔶㌲㈶㕦晢〵㔶摥㐰㘱㍣慦㤷㑥㜶捥ㅣ㉤㙢㘵攳愴晡扣挹㑡ㅡ㡡㡤㘲ㄵ㌴㑡戲扤搳敡㡢慤搶戲攳㐶晦挶㡣㤹㝤㙡㕤㌶搶挰㐲㜲敡摣㈵㐵攳ㄳ㤵摣㠶ㅥ昵挳㠱慥㤷㜵㌷㡣搲捣㌲晢㌵㜷㜰慣㔰㌲昲戲㝢ぢ㜲ㄷ㘵㔲㙢㡤攲愸㐱昷㙢攸㜲愸戳㤹㘵㉤挴ぢ㔶收㌱㔰㉣慤晡㤹搵搲昴攲㡤㘵㈳慦ㅢ㍡晡扢捥㈸㤶㈷㔶㘹挹慣㜱㐲㡤㡡搹㈶㌲晥慡㐶扣愴㤰ㅡ㉦つㄶ昲攵㘲㈱㕢㥢搳慦慦搷戰昸敢换ぢ扡㠱戵扢㤹㡦㑢戸㥡㥡㠴㜰㥤敢戴㠰戲摥㔲㤷㥣㠸慡㈹收㔲㍥愷搶散扡㉥挱攸㌰㡡慣㐱㥢㜴㜷ㅥ愵㌲㔹㉦慢㤹㍦戵㘲搵㤸ㄸ慢㔰晢㥣愹戵㘵ㅦ㉢㌳昷晦慢散㜶捦戴㐶扦㜸㍤ㅣ攴〵㕡㕥捦ㅡ挵㘹㈳㉤挱ㅥ愹〱㄰捦昳㜸㥢愷㐴㡦㑢戹搸㈸㈶㍣ㅢ㌲㝡㜹㑣ㄹ㌳㌲㙢挶捡㤰㈱ㅡ昳㝡〹㙤挳愳㠶㈰㔲挳㈴ㄱ㄰㥦捦愵㐴愹愴昸搴㙥㌳敤愱㔷㝡昷慥㤷昱㥥㉡㕤㍤攲戲㤲㈷户愴㔰㉣㌵㌵㌹㡤昲〲慤㌴㔶愶㜹㑥㥢㈹㠳㤱ㅥ㔶ㅡ〳昱㜰攱㌸慡㘷㤷慥㤴〱㑣㝢㙥挸㐸㙢〸ㅢ攵摢㉤㌴㑦捥㡣㐴㠶㡣㔲㑡㘵挸㌲㠲㜷㘵愳〲づ㉦㝦㕢㡥搶㙦㙣㉣て㘹㘵慤㈵㠷攰〷戳愴㐲㘹㠱㉣㘵㜲㉣搹㉥㘵㜶㘹㥦㤵㐲つ㝥挹㔶搵搲㉡〵㘶㑤㜸㜱昰扥戸㥡㉣㍡晤㈰搰㜷㠶㈷㑡扤愱搷〶㌱㠸慤昴㘱㈳扦㙡㘲㥤㔱愲扡㔷㤹ㄶ捡晡搷㡢㤵慤㑣㈵㉦㉤㘷戲愵㉥昴㜴戸㔸ㄸ㕦昷㝥搶挳扡搴㌸㠸晤㜸㥥㠶ㄵㅦ晢㤸戸ㄳ㘹㔹捦戹㐹㈴㕣㕥搶㐶㠹㜲㍥㠸ㄹ㈹搱㘴㔱攳ㄱ㝣挹㐷敤挵㤷㑦愵㠲敡㥣攷㘱㕣昵㙥愲㍥挶㉤㙤㌹挰戴慡㘸挸㌸搶㉢ㄳ㠰扣㍤㜷㔹愱戸㌶㔹㈸慣愵㔱捤㤰愹搲㤸㘱㤴ㄹㅢ戶㕡戱戰㡣㜹㠵㘸㙡慡㠹攲慡㠲㐸㐶㜴㑡㍦㐸㝢㝦㌶㍢搷慥戱愴っ㐰搴㠴㈸㔵ㄹ〴㌳㜴㘰摢㘷昷敦扤昵搵㥢昶ㅣ扡晤晡㠳昷㕥户晦摢㌷晤㙥摢㔷づ摣扦昳挰扥㠷て㙣搹扤㍡摣ㄵ㑣扣㝡晢扥㠳㕦摤㜵攰搱㥤慦㝥㙥换愱摢敦㑥ㅣ晣昴搶〳㝢㍦㜳攰昱㉤攷〴攷㜷㙤捣㤶㌶㡡挷㠱ㄴ㘳戳〷㜶慥㉢扣戶攷ㅦ㤶㙦敦㌵摥昹㐵挷摢昷㠸挷慣㡣㠶㄰㤱挱㥥㡣㔰㤷㠰ㄱ晢愰挶㘵〸㝣敤愳㕥㠰戴㍡㐲㜲㈱〸ㄶㄳ㠹㍥搶㤲㘵㘶㔲㌰㘰攴㝡愲㉥㈷㔹〱㈲ㄸ㌴捡㐸㜷㈵ㄸ晢ㄱ扢㔱㍦㡤㐴㑥昴挵㄰㥢ㄱ㘶挳㘴㡥㈲换愷㔲愱㜱愲㘵㥥㘰㍣捡挹㔶〹慥㑡㌸㔵㐲㈹㜶愲㜶㐷ㄴ扥㙥㘵㌴㠴慥っ㌷㈵ちㅦ㘵昹㍢愱收㡣挲挷搸㐶㠲攴攳㈰㔵㈸㈴捤愴㘰挸㉡㔱㐸㠱㔱㜵㄰挱㜰㔵愲㘰㠰戱ㅦ㜱㉢摡戰㔱㔰ㄹ攳㌶づ㌲〳愹㙦扡㍣挱㈰搸〹㠰ㅢ愶〲㘰㡢㤵搱㄰㉦㥦㠹㥡㈴〰㐵㌰攲㡢㔳〲㐰㤷愳㡥㤳慣〷愹〲㘰愳㤹ㄴ㘷攱㕢〲㌰㐱愵㉢㐰〴挳㘵〹挰㤵㘰散㐷㕣㕤〵㠰㜲ㄵ挴㘶㙣摤㘰〶㥢㤰攵㔳愹搰㠸㤰捣ㄳ㡣挴㥤㔰戸㘲㉡ㄴ㈶慣㡣㠶愰㝤㍥㙡㤲㈸㝣ㅥ㡣搸㌰㈵ち搷戲㌷搷㤱㕣て㔲㠵挲㘶㌳㈹捥挵户㐴㘱ぢ㤵㙥〰ㄱっ摢㈵ち㕢挱搸㡦挸㔷愳㜰ㄳ挴㘶㡣摦㠰挲㌶㘴昹㔴㉡㌴愲㈰昳挴㠷㤱攷㠴㠲㍥ㄵち㈹㉢愳㝥昳攰〹愰愶㜷ㄱ昴㜱㜹㔳搳慢㌳挶〶㝡愹ㄹ㘹㥣〸っ㡥㤷捡〵改㔲摢搳㐳㠵ㄵ㠵昲㔰愶戴㉥慢㑤捣㑣㕢捣㘵㘳㐶ㅥ〱㙦ㄱ㜱㙦㥤慣戰㙥㥤愱慢改搱挲㜸㌱㘵㡣っ㝤㄰〲㘲㡣て昳㈷㘳㘱户挰昳摥㘲㍣㙣搷〴㑣〵㡦换挳挸慣摥㔵换㜳㠹慡戰㕡戲㌴㤸㡥㐹㐴㔷㘵捡㔹愳㌵㉤㐳㕡挹㝢搳㐰ㄱ扢〸扤㈵扤㙡っ摥㙢愸㍤㍤㕣捣攸搹㑣摥攰㘴捣㌲㔵㤷ㄹ㙢戰㘳戸愸㔰捡昰〸愸㍤扤慡愸攵㑢敢ㄸ晣愴㈶㡥慦㐹挹㈸挹㤳ㅥ挸攴㑢㘸㐶捥㈲昹㡥昴攸㔸㘱〳㑥ち挷㜳昹㘱㙤㕤改〳㌱㉢昴ㅦ收㈳愷㐶戸㠵摢㉤扣㙥敦㝢㥤ㅦ攵㌶搴㌶搳摣愹捦㠵㥤㤶㡢㤹攴㌸〱㤳㡤㜰捡㥡㐹攴ㅣ扡㍣㘱㜰昵㘱㑥搵ㄴ搶敤㔱搸搷㥡㔳㌶挷㜰戹㜲晣㉡昷〴摢㔹㘶〷挸㠵挳㤷㡥㑣敥摥晦愲昳㔲て㜷〲挷扣㔹㥡つ攵ㄹ愶〹㜱〳㐵㡢挲㥢〹㑢㘰慡摥㉣㝤㘹愹㐳ぢ㥤㌱挹㉥㐱扣摤㤶㕥愶㈵㡤㉣戶〹㌹慤㍣挳㑣㜰扦㠶昳戴㤲㤵㌷㔸挸攵㌴㥡ㅣ㑦〵㐷㔳㕡搶昰愶晢挷换㠵攵㤹扣㥡〶㤱㜶㘹㠹戴㡤㄰㘹ㅢ捤㠰㍥㝤〹㡦て㈴捦扡ち㙢戴㘲愶㍣㤶换愴扣㑣㜰㡢晦㠱戰㔵慣ㅦ摣挰搹㡦扤㤶搴敦㄰捣㌸ㅤ搳摤㠵㑤㌵愱摢㠱ㄲ戰㘸户㔰昰㑦扣挷摤㈵㔶ㅥ改㌴搴㍢㔰㥢挷つ挲愵㐸㍥㠷敤㍢㠱挳㥢㈰㤱㡢㤳攰收㤰搹敡㥤ㄶ挳㐴㌳昷㘷搳㙥㍤㜸攰攵㕢㔶搰昴㈵㕡ち㈷晣㉤搶昹扥ㄷ㔳换愵愶攸攷㘶㜰㄰攷ぢ㌸户㔸㥦搱㡤愲㤷㠲㔱摣㉤㌴㜳ㅢ愹㤸㜳㠸㠸戸挹攵昱戴㝡㥤摡ㅡ戱敢敡戴愲敢敡扢㡢㤱㠶晡㝦㝦㜱慣慦㠹扤昲㐹ㄷ㜵ㄷ㔸昵敢㈰㠲摢㑣㡥愷㑥㘱㈷ㄵ扥〱攲攱㠶愶㝥㙥㙡昷㘵搸扤昱㈵㙤㤶㈷攳摣㌱㝡戱扢㤲㕢㑤㡦ㅣ㐸㙢搵ㄶ㔱㌱㜷㠷㕥晢戸㕤ㄹ㠵㤵ㅢ扡捦㕣㕦戹ㄵ攵㜴戸摤捤㤸㙡愵晥㜸慤愱㔹㔴㤶ㅢ㌵攴摥㔱昸搰〵攵㙥㤰㔶扥㉣愸㍦㌱ㅣ敡㘹〸㄰㝣㍥昵ㅥ攸戸㝣㠲㝢㈷㝢攰㍣愴戵㤰戹ㄷ慣㝡ㅦ㠸攰㈶㠰敥扦捡㔹〹㐶晥㜲攱㔳敥〷㜷慣ぢ愴ㄸ㠱㌲ㄷ㐹㜵ㄷ㠸戸㄰㠴㙢㑦挵ㄶ㜷㠳㍦扡㉤㜲㜳㈱㙤昱㐱㡢㘱㐲㉣〷戱㠷挱搷捡ㅡ挶㐳㘰搵㠷愹戰挲㔹攱ㄱ㉡㝣㡢ち摣㤰㜰㤲㤵㍤㈰ㄵ昰㤶㠶ㅤ挱摢ぢㅤ㠰㌷ち㙡户㕡〵摥㍥㠸搵㐷㐱〴昷づ昵攰㜱挳㘰㠲昷ㄸ戸㘳〶㉦〱㘵〹摥攳㘰挴挷㐱㙡挰晢づ〴㐷〷㉦挹戲昸愸㑦㔸㡣〴㡦ㅢㄳ㝢ㄸ㕣ぢ㉣昰㥥〴慢㍥〵㈲戸㘹㜱㔰昸㉥ㄵ扥㐷〵敥㘳㈴㜸摦〷㌳换戶扣㥡㈳晡㈸㜲㄰㕥ㅥ挱㤷㝣㘰㠲㑦㤳昱㠹っ愸㕤㍢㌷昱㔶昳捦㠰㔵㝦〰㈲㡡㈰昵㈸㤶㈱㌳㔱晣㈱戸㘳㐶㜱ㅣ捡ㄲ挵㘷挱〸㙥㔸㙡㔰晣ㄱ〴㐷㐷㤱ㅢㅢ㠹攲㜳ㄶ㈳㔱㥣㐰挲ㅥ㐶ㄵ㡡㍦㠶㔸㝤㥥㡡摣昹㌸㈸扣㐰㠵ㄷ愹挰捤㤰㐴昱㈵㌰ㄵㄳㅣ㠹〴㥤摥摦㥦㐰〷攰㙤〲戵㉢慤㌲挱㥦㐲慣晥っ㐴㜰摦㔲て摥戵㤰㤹攰晤ぢ戸㘳〶㡦摢ㅢ〹摥捦挱㠸敢㐱㙡挰晢㌷〸㡥づ摥㘶㤶挵㐷晤㜷㡢㤱攰㜱㔳㘴て㐳扡つ㜳㠱晥〵ㄵ㝦㐹挵ㅢ㥣ㄵ㝥㐵㠵㕦㔳㘱㉢㠸〴敦㘵㌰ㄵ昰㠶㐳㘱㈷昰㕥㠱づ挰摢〶㙡户㕡〵摥㙦㈱㔶昷㠳㠸敤㈴㑣ㅤ戰ㄸ㍡て捦ㅤ㈰昵扥愰挱㑦换㔵㈸㑤㡦㍤㕡㥥挸㈲㑡㈲㑢摦㘰㜲昴㜲㍥㈹㠳挷㉡ㄴ㜱晦摥㕣㝦搰㕢㈹㝢ㅥ摡㙢㥤㔵㜷㠸㉥㡢㌱㘷〷㍥㥥㤳昰㘶㑤㔹㥥㈳㤸㍣㔱㘳ㄹ㍥捡㐱㤰㔹换㌳愹㘲愱㔴㐸㤷攷㡥㘲〷㌰㤷㤷ㄲ㘹ㄸ㑣扦㘷づ㙡㜴㙣㤳〳㙢捥昳㙥㜷㍤て改㝣㙢昳㠵つ㜹搹ㅢ㑦㠹㜷㌳ㄲ慦㤶ㄶ㌶攳挳㐷㍥㘷〱㐵晦㥤㘰㔹㔸㝤ㄵ愴扤挹㝦ㄷ扥愸慣扣〶㌲㙦㜰㘰昰㤲㐴㉣㥤㑡㠶㔲愱戰ㄶ〹挴㜰㌷ㄸ㡤敢㤱戸搶搳ㅤ㡥㐷愳愱㥥戸ㄶ昳㑢㘷つ㜵昵㜵㄰㍦摤戳㙣敥昷㑣搱㑦换ㄴ昳㍣昷㠰ㅣ慢攷㘴慦㐴㔲愴㠴㉥㡣收㤶ㄶ㌱慦敥敥愰挱攳㔶づ㕦ㄵ㠵㘳昴ㅣて戰㡥慤㄰㍢㌸㌹ㄷ㉣㑣㤳㔲摦㈴㌹っ攲昳搳昵㔲愶扣〵㜲摣攰㐰愲昶㝥㕤昹㈳挴㙤㄰换愰〲ㄷ昷㈵攵㙤㐸㘶㐰㔲戵挳昰摦〷㤹慣昹㑦㘰攴㕤戳扣㜵ㄶ搲昵㔲昴㥦㈰散っ㤵挴㙥㄰㕡戵昰㘲㈰戴㈵昰㉥㤵〶㐲㕢㄰ち㈴戴〷㜶㔷㍥㜲㍥改㠰攵㝣晥てㄸ捣攷㐳昸攲挲愷晣ㄹ挴㥡㑦㈳ㅥ搵愲㕡㈴㤲ち愴㈳㐶㍡愶愵㡤㔴㉡摤慤㈵㔳挱㜰㜷㉡愹㉢晦㕢㔱㡤〷㔳攱㙥捤㐸㐶㠳戱㔰挴搰㠳㜱つ愴㍢ㄵ㡦愷扡㘳㤱愰㤱昶㍦㙣㔵慦扥〳㐶㘵て晤㡦搸㈲㡥㐴㘵挸攴晦㤶㉤慡㘸〹㍡㙢㕡㠳昸昳㍢㐷㡥㜰愶㈴㉥ㅥㄶ㔱㐰㝣晥㝤挸㤴㌲㈲慥ㄲ㕦㤵㤰晡ㅦ戵攵㍥敡捥愶㝣ㄶ㠸㤰ㅥ㤸愹㜶挸昱㘷㝥攸㠱㈵㠶㝦㐴㌳㌶㠶㑡〷昲愷㝣挹挴㘱愸㌶〲晢〴㙡㤲挰ㅥ㠷挲〰昶㐹愴昹昸㥦㌲扦㕤晥敦摡捣昷㉣㐶搰㤷捡㐱扥㔱㍤挸㤹愸㐰㥤〵攲昳㍦〳〵づ㔲㤹㡤愴㠳㔹㥤〰㜱慤㔹㥤〸㐹扤㔹搱ㅦ㑢愸收㈰㔳摥挶换㝢㜹昱㉣攴㤰戸搴㤳㐱挹㔰㐹搰㥤㑡㐸昶㔷㐱㌲㘹㔶慦㌸㡥㥥㑥㔵㡥晥㜴搴㠳搱搳㠱㑡戳㥡㡢戴㘵㔶㝡㌸愹ㅢ㠱㐸戲愷㈷㄰改搱㔳㌱㈳㥡ち㠴愲戱㥥㐸㍣ㄸ散づ〴㤵㌳㉡慡〱㘸ㄸ㍤㍤㝡ㄴ㤷敡㤱㤰ㄱ㡤㠷〲㐹㈳慡ㅢ㘹㕤㠷㐹㐶搳晥攷慤敡搵㌳㔱㐶㍤ぢ挴晦㠲㉤敡愴㘸ㅥ㐵㉦摡愲㡡㤶昸〹㐴ㄲ昱㥦㔷㈳㍥㥦㐵捥〵昱昹改㠳㈵㔶㜵㘶㐵户㉣攵㕤搴㍤ぢ㈹昹㤳〲㈱扤㉡㔳㐱挸昱㘷㘲㐸慦㉡㌱晣戱㈳㠶㍦㜲挴㤰扥㔵㘲ㄸ㐵㍤挰㤰㝥㤴㌵㉡摤愰㈶㠶愱㙥㑤て㠵㌴扤扢〷敦㔷㍡慤㘹㐶㍡愰㐷㜵慣戹㜱扣愲㝡户㕦扡㕤㤴㔱㝢㔰挶㑦㐷换ㅡ搴ㄸ㔳扦戶㔳捣ㄳ慦㈰㈵㤱㜸扡ㅡ㠹昳㤱愵晥㌵㠸捦晦㕢㈸㌸㈱戱摦㤶㉦愲敥戹㐸挹㥦㌷昸改㙤㘵昷〷㈱㙦㙦昲搰㘱㥣㕦户㈶㍢㥦慣㉣愸扦ち㕦㡣慢敤〹㥡㑦ㄳ戶㤴收㐶慣搹晤㤱昷㔶㤷㍣敤㘰㈷昱昱㍣㡥戱晥〵昵㘰㘰㔵㝥㠰㌵㥥捥㥡ㄷ㐳敥愱晦ち㌸㜵㜱扡㥦㍦㈹㈸㌴㍢㌷㔲㠲㐷挰捦攸㔶ㄵ晡㉢扦挱㍡捥昶ㄴぢ散ㅢ摡㜹㤳㤲晥㘴〹㘷㜸㘵挳㉥戶戲㔸㈹㠷ㅢ㑦昸㜷㘴㉣攰㝤敥散挹㔴搵㐶昶攴㐹改㐸扥㠴摦ㅥㄸ扡㕤㘳〹ㅢ扢㘶㜷㤳㜰㍣㌷戶㝥㙤㠵慢㉥扢㠲挵昹昱㕣㉢挶㜰戲挳㐶㝥㈰㔳㤶〷㘱㕥攴ぢ昵㌵㔰㘵ㄸ㐰㈹扤㥤挳㥤愱愸㘷㉦愶攲㕤戴㔲ぢ㍤摢攴攳㔳㐷㤰㈱ㄸ㐹戰㍥㡡㍡攸㤵㍤昸㄰摢慡攷㜰㥦㤵㔸㜴攵慣㕤挳扦戹攲敡扥愷㥥扤㝤昱㥥户摦散敢愰ぢ㤷㈵晥㕥㥣㜱㘳扦攷攵㑤摢摦扡攷晣㜹㕦㝢攰㠸昵扤愹昰挶收晤㥦摣扢慢敦㠷慦㘷昵㜵攷敦敦ㄳ昴捦挷攱㔳㝦㘳昵㌰㍡攱㜸㘳昵㤰㤵㔱㝦㙦攷愷㐷㤷㙦捤㑡っ愴扤㐹搰㉤昳捤ㄱ扢㔱㠲收㉡㉤散㘲㡥㤲捥㤱㔶㈶㔴晡㙡㘵ㄴ㌲㠰戹戴㌳摣攳戹て㡡㡥挷㠱搶㤴昱戰㠱〶㠰ㅦ㡣㡣攸㈸㔷㘵挵㠴㤲慦㥡㑦扤㤴㡤㄰㐳戳ㄱ㝡㜹攵戲㑡㈳㔱㜱㌷ㅡ戱㔱昶愹㝦㑢㙤慥㉥㙣㥢ㄵ挸挳㈸㍢扦㠳㥥㝡摡㔹㐰〹㍣摥㐵昲换攵㕦搴㐱户㍥敤㉣㤸㥡㜳ㄶ慤晥搳㉤昳ㅦ摣晡摦㝤㠲ㅥ摥㘹ㄶ敥㐴㡦ㅣ㘷攱づ㉢愳晥摥搰捦㤸㐰捥㐲〲っ㘶㠱㍥㕣捥挲づ㤴愸捣㠲〶㘹〷扤昳戴〳敢晦挷㔷㥥戹攵戱㍤㝤㙢㝥㝡昰昲〵晦〱昳愲㉢㥦㜶㘰㑦㍣昰搶愱愵慢㉦敢㍢昱て㌷㍦扥敤挵攷晡〴晤戴搳挰扥㍡搵挰㙥戵㌲敡敦〳晤昴散㜲㘰㙢挰㘰㘰㜴捦㜲㘰户㔴て㉣〳愹愰㤳㌴㘷㝥㉥㌸㘵㉤㐹㙦攷㠵㥤㤱愰昸ㄲ㤴㌹捤㜴〷㍥㌵㐷㙤晡㕣㔳㥢㙥㕢㈹㤸摡㈳㥤攱戸戸〱㥡戶ㅤ昸搴㑦㔰㥢㍥搹慥㐰搰㌷摢昹ㅤ㜴扤搳挲㘹捥㝡㤵㥤搰㑦㑦ぢ攷捤㉤㥤慦㝦㜴攲㠵扥摥㍦晣㘰攱摦㝤敤㔷㝤㠲㉥摢〹捥敢搰㔱㐷㍢戹搶捡愸扦㔸昴搳挹㑢㌸㌷㠰〱㥣昴搴ㄲ捥捦愳㐴挵㑥㈶㈰ㄵ㜴戲㈶㐰㜴摦捡㤵㈴㜲改ぢ㡡慢㙢〰扡㡡摡㜴搰ㄵ㑣攸㠴愷挵㘴敦㘹搷扣㝥昱摥摢㈶㔷㌰㝡散㘹㌱㜹敡㌷戳捦晥攵㜳㜷昴扤㜹晣ㅢㅦㅢ㍥攱㜰㥦愰昳㜶挲㘴搳㔴㤸㝣捡捡㘸戸㘶愴扢㜷㕣挸慢㉥挱慡㝥捥搷㠱〹昵愴戹愷㙥㑤㥢㘲㝡㘸散慡㌳搹慣摣㤰戶攱㔶愰㠸ㅦ搴㉤挳攵ㄷ敥〲昰㐳㘰㙢㉦㠵㑢㌱ㅥ戲摡攷捥慡㑣戱戰㤲㕥㔹挴㐱㜴㑢㝡愴㠴㑢㑢摤㡢ㅦ〴㤵换昸昱昰〷攱捡〰㐷〴捤㕣ㅤㄱ换昰㐷㜸㙥挷摤昹㜹挸㜶㕣扥㑤〸㈷昱戰㝦㈷攷收㘵挲㝢扢扦㔴㍥㠳昹戲㑦㡦昴慡敢戱㘶昱㐹㑣戱戹戱昹戴㑢晡㔲㝡〶昵ㅡ攸㉢㥦〵攱㙦㕣戸攰挳㕣戱ち㝣づ㥣㜹ㅤㄱ愵挸挳㈰愸㝥㜰㍣㉦㔹挲搱搷晤摡慤戵㤵㈳戶㥦㘶晡昰改㈲〸㉥㍢㉤戹㠴挶晦搵攰捤㈵戲㐶㝥㑤㜹慣昲㍦ㄹ㕡攴㙦攷搴㉦愰ㄲ㌶㈵㕤ㄱ㥤㈹敤㔲戹ㄶ挴㜹戰攳㡥㠳扤㥥㠵扥〸㔲㍢搸捤㤰㔴つ㔶搰ㅦ㜳挰昶㈳攸㍢㌹っ昵〶㤰㑡㌷攸㈳愵㜴㙢戵㤴㍥㐶㜶敥㐶㌰捥㥤换㌹㜶敥㑢搰㔷戶㠱搴㜶敥㘶㐸慡㍢㐷㌷㔵搳㌹慥晤戲挱㕢挰㌸㌷戸挶戱挱㕢㔹㌳愷㝥㜲摡晦㠹㈲捥戸㈴㉥㤱㐱扡愶㌱㝡〷㌹收摢挰㔴㤰愰ㄷ㤰搲敤搵㔲慥愲戲㘳㍢挰㌸㜷㉣攱搸戱㍢愰慦㜲㥡㈶㍢㜶ㄷ㐵㔵ㅤ攳㈲㕣搳㌱慥戳戲ぢ㍢挱搸ㅤ昳㕣㠳挴㌱扦㝡搰㜵捤挴㈲㘵晤㐷㥢〱㕣㑢㉥挸昲扦搹㌸摤㜲搵摥〲㝦〳㘵〵摦ㄹ搶愱摥㙤㌱㑣㜴㝣挱㑡㜸㘹攷㠲ㄶ挸㑥愹摦愴㤸㠶㠷㍦㤷㝡㡦挵㌰搱㐱㈳㈳㈳㑢㜴搰戸㉡㈹㐱㈳㤱攵敦愵㤸戶挱㍣昵㍥㡢㘱㐲㜰㕥愵捥晤㤴㜲㑡㈹㔶㜷㔹っㄳㅤ㥣㍥㌲㘶ㅢ㥣戶㑡㑡㄰㝥㔹晥〱㡡㠹㍣昳搴摤ㄶ挳㐴〷㔱㈶㘳㡥㑡づ㥦㍡て㔲㘶㍤㝥挲㈰摤改㐳㘰攰㑥攵㤰㤱㔹慢挵愱㑢慤㐷㑣㉤㌹戰〶㉤づ㔰㙡敤㌱戵攴搰ㅡ戴㌸㐴愹戵搷搴㤲〳㘸搰攲㐰愴搶愳㔲换㙦㜷㕡戰㥦搲摦㉦㠶㔹搲摦て愰慣ㄷ㘱㌰扢㈶㌳㠶敡㌲搸ㅢ㤹㌱㔸㤷挱づ挸㡣㠱扡っ戶㈹㌳晡㙢㌳㕡晦て㡦㔹㈲搹</t>
  </si>
  <si>
    <t>Decisioneering:7.0.0.0</t>
  </si>
  <si>
    <t>CB_Block_7.4.0.0:1</t>
  </si>
  <si>
    <t>㜸〱攵㔹㝤㙣ㅣ挵ㄵ扦扤昳敤摤㥥敤㘴昹㉡愸〹㘰㈰ㄴ㥣㠴换㝤挶㜷〱㌷戵㉦㑥㜰㠸敤㘰㥢搰昴㡦㉥㝢户㜳挹挵昷攱摣慥㡤つ㑥挱愱㌴㉤㠱愶㐰㈳㥡㐰㐹㔳㠹㈴㙤〲㔴㉡㠱㄰ㄱㄵ㤰㡡㘸〰愹㙡㉢㔵㉤㔴㔴㙤ㅣ㈷㈵㠸㑡㝣戴㝦㤵扥摦散敥昹㙣摦ㅤ〵㈵慤㔰㑦昲昳捣㝢扦㜹昳昶捤㥢昷㘶㘷ㅤ㠲挳攱昸㤸㝥昸㡦㕦ㅤㅡ昳晢㐶㜵㠳攵晣㠹㐲㌶换㔲㐶愶㤰搷晤㙤挵愲㍡扡㈶愳ㅢ㉥〲㠸㑡㠶攴扡㕢搱㌳㜷㌰慦㌲捣㡡㍡㠱摣づ㠷搷㉢㌹㐹㑥㉤晥㈷摢ㅤ〹愳愴㍡㄰挸㈴ㄱ挴㐳愴挱㑢愴㍦搱摥㤳摣㐴㌳昵ㄹ㠵㈲㕢摣戴捥搴搷ㅡっ晡㠳晥㔰㌸ㅥ昴〷ㄶ㌷㈵㠶戲挶㔰㤱戵收搹㤰㔱㔴戳㡢㥢搶づ㈵戳㤹搴㑤㙣戴扦㌰挰昲慤㉣ㄹ〸㈷搵㐸㉣ㄸ㠹㐶搳昱㜸慣㐱㈲捤摤㍤㠹㜶㝦㌷㌳捥㤲㑥㌷ㅥ㈳戸㠲愵㌲㜸㕥挶㡡㤹晣〶㍦捤㌰捤㝥㝦捦愰攱敦改敢㘵㥢㠷㌲㐵㤶㘳㜹㠳㍦愸戲戶挸搲慣挸昲㈹愶捦㔱㍡㐶㔲㉣㥢㘰搹㙣㉦㑢敢昵捡慡㘲㘱㘸戰㌳慦戱㤱㍡㘵㥤㕡昴㉡慢㠶㌲㕡㤷㍡搸㤸扢㐵㘷扤㙡㝥〳敢㔶㜳捣㥤〳摢㔹攷愸㜳㌹㕣㥦㘸㐶愲扤挵㍦㙤ㅡ戸摡摢㌴挳㝡㌸㠸っ扥㠹ㄵ昳㉣敢㈷愳攱戶㑡〱㜰愳慡㙦㌴搴㘴㤶〹昵㔶㜸挰ㄸ攸昴㐹㍥愲昸㐹昵㈰つ㐴㠴扡昷㈹慡捡㤱㄰㌹ㄵ搵愹㈴㥤㑡捡愹㘸㑥㠵㌹㤵戴㔳搹攰㔴㌶㍡㤵㡣㔳搹攴㔴〶〸㘳晦扣ㅥ㡦搳晡㡤㉣㕦昷扢昸晣敥捥㝢㈳挷㜷戵㙣敡散ㄲ㄰㐸㔸ち㥦㌴挷㠲㑢㜳愹㈱挹㐴〴攱㍤㥡ㄹ戳て㡣㙥㍤扡敡挳㝤㕦㌹晡攲挱㙢搴㕤㝦晦挰㡤搰㕢㌲攳昹慢慣㥥ㄹ㡦㤹㘱昶昹㔹㍢㌲昹戳慣摤昹戶〷㉦㠰〷㉦攴ㅥ㝣挷昲攰攱扢㕣㍢ㅥ㜱て户㍦昶㠶㤱攸ㅡ㜷扥㉤㘰摦㥡㡥晦㠲㍤散㘲っ扢㠴て㥢戴㠶㙤晢㝤昷攳㙢㝥㍢戰昲㥥搱昵捥摤换〷ㅦㄱ攰㐴㜳搸ㄷ敤㘱昳㌰㙣㍥ㅦ昶㔷㙢搸㑦㕥扣敢晡慤扤㥤慢昶敦扤捡㝢搹扡㘳㕦㜳㈳慣㍥㝤㤸㈳攷㐸㝣愷㔰㙥搰摤戹㤵㠵愲敥㜲搵っ改㥡㐲㠴戸㜴ㄹ挸攵㐴摣㠸攳㑦摣㐴昰㡥愰ち㐹㑦㡥昶㔶搷㠶愲㍢㘷敥摦ㄵ㑣㑦㐹㌹摡攱㝣慦㡢搴捡づ戱㠶㕣愲㤰㌷搸㠸戱㐲㌵㔴㑦㙥慤㑡㐹挲㤸㐳〳〹户挸㔲搰㘰㜷愱愷搴㠱㍡搹㤶搸㕡ㅢ愷ㄸ愴晣〲扢㔷㌶㐷㐹户㌹㤵挴攷㠱㘲戳〵慤㡤㥣㘷慢昴㔹㍤搲㈷昳㘶㤹戲㝡捥㌰㌵愱㝥㔰〱㜱搵㔹晦捣㡥㈸㕥㌵㘳搳㑤㑦㍡㘴㈱戹〸戱敢ㄵ㙢慥挴㠲㑡㙡㔲挹㕢㡣㑣㔶昷㤳ㄹ㍣㡢㐲捦㝦㝢扥戳㘵㌷㙣㌷㝦晦晣搸晥敦ㄳ㥢愸㈹㑦㉢㈸换㈲换挴㉢〰愰㥤㘳〱㈹㍣慦㈴㠶捦㈷㌵搱㍦〹搲搹挲㕡戲㍡愴敤㥡敥挷㉥昶慤㈹愸摡㑡㌵㐵㠵摡㘳㤵㘹㙦愲㤰ㅢ愴㤸㉤捡㈸ㄱ㠹㠲挶搶ㄶぢ挳ㄹ㡤ㄵ扤㘰昴搱ㄱ愱づ㍢㔱攴挱慥㔳㜸戸ㅣ㙥㜷扤户搲㕣㥤戶慥〵ㄵ㡥㈰㥤戳昴㥦戹㌹戶ㅣ㐹摤攷攳㠵愷㤹㥡搲㐲㈲〲捡〲戲㠷戴〸㘴㌱㔸㈸㄰㐰㤹扦㜲晦㕥㐷慣ㄹ晥つ㉤㥢敤挱㈵〴㈳昷〲㕤㐵㔸㑢㈶愰㌶挱挵㌳㙣㕥ち㜵㉤㐴〴㈴㘲㙥㜳っ慣㌸ㄱ㌷㔲㜲敤㕣㐳㐹晦晦㌴搷搴搹㐹㘶㕡慥㘹慥㤴㈲㑡挷㥢㔲㔵㕦㌹㤴挷㕥㕢昴㥦愱晢㐷〷㤹晥扦挸㉢㥦攷㍣收㜳扦㐲〹攸搳㜸ㄸ慦ㅥ㥥㘱㔴㐴㐵㜱㜸攱㙦㜰㝣攲昵㐴敢㝢晡㑡㡢㌷㝢昷戵〲攷㤳〰慣㈲慣㈵ㄳ㜰攸戱户㈶愶戵搲挹ち愸敢㈰㈲㘰㡢昱慤戹ㄲ慣㔵㘰攱搸㔳㌹㥤摣㐸㤲挶㘹改㝡戶㑤慢〹㐳〶〳㕡㐵㔸㑢㈶攰戸㘵ㅢ㕣㤶晦㙥㠶扡㕥㈲〲㡥㔹摣攰㍥戰晡挱挲㠱慢戲挱户㤰㘴㐶晥ぢ㔷挸㝦户ㄲ㡣㙣〶㝡戶捤㕣㔸㑢㈶攰慣㔷挱收慦㐳㥤㐲㐴挰ㄱ换〶昰㠵㌷㤳晡㙤〰愸〰攰昸㔵〱㤰〴㈰〵〰ち愰つ挰㐹搵㕡㐷つ〰㐶㐴㙥㈶〲搵㕥㉦ㄱ㠷扣搰敡㑡㘹㌴㔰㉡散搱㘵昳㙦㈰戶戴ㄱ㠰挵㤵〱ㄹ〰㌶〱㠰ち㘱㙢㈸㥢㝦〰㠰㉣ㄱㄹ挹扥㙣㝥㥥昶㈱捣㠱㡦戴㙦㡦㉥㥢㍦て㐰〱〰㤴㠴ち㠰㐱〰㌶〳㠰㙤㘰〳㄰㥦搶昳ㄷ〱愰扡敢㤰ㄱ搱㘵昳昳搸㠶搰〰ㅦ戱㙤㡦㉥㥢㝦〸㠰㘱〰㄰昷ㄵ〰户〳㌰〲〰愲摡〶㤴㍤晦㈸〰㜷㄰㤱ㄱ愰㘵昳昳㔰㠵昰㑥昰ㄱ慡昶攸戲昹挷〰搸〲〰挲戸〲攰ㅢ〰摣〵〰㠲搰〶㤴捤㝦㌷〰攳㐴㘴〴㕢搹晣㍣散㈰摣ち攱㙤㤶㔰扣㠷ㅡ㔷㈷摡ㄳ扤㡡搶ㄲ〹㠵搲昱愰ㄶ㠹㠵㈲㉣愸慡㕡㤴挵㔳挱㤶攸搲㘸㌴ㅣ㡤〶㘵搵ㅡ㈳㝤㤳ㅡ㌲㈲ㄱ敡愵㝢搱攳㈱㠹ㅥ㤷㈱〸戱㔵挵㙤㐴捥㑢戴㉢㘶㍡敢搴攸慣㥦㌱㐶挵㙦ㄳ扢ㄱ散㐱㠳㕥摡戳㐳ㅡㄳ扦㐳慣㌹㈶慢㡦㉥ㄳ㜰㜳㈰摥㌷〵㙢搳㠶晢っ搵㄰户ㄳ换愳㜴㙣愶㔳搷愰㡣㌰挷㌴搲晤㐴扣〲㐵㍡㝦敦ㄲㅦ愰敥敤㜷㡥昵ㄶち挶ㄸ扤㄰戱㤴慡ㅢ晡搸挴捥㙦㥤㌸戲晢昴挳捦㥥摡㝢晦攴挱敤㈷㡥㍤㝣㜲攷慥㠹㈷昷㑤㍣晦昳㠹ㅤ㍦㕢ㄷ昶〷㤵搳㝢㥦㥦㝣昴愹㠹愳晢㑥㙦摢㜱㙡敦〱㘵昲敥〷㈷㡥摣㌳昱挲㡥㙢㠳捤晥㤱慣㍥㌲㜶昲挰摥㠹挷户㡦㥤ㅥ㝦㘴㜲攷慥挹ㄷ㡥㥥摥昵㥣扦慢愳慤㝢㑢搳つ慤㑤〱㝦㈰敡㐹搳攴摣㌱㑥晡敦㉡扦ㄴ㄰㡡㔴㈳昰慥晥昶㥡㌳昷昵扤扢愷晢挸㤲戱㑢扦摡昵挰㥢挲㘶㑢昰昴扥挱挲摦㥥ㅤ敦摡搳捡晥昵搶摣昷㝦㉡㘳㍦挲挹攲昷㠸㤸换ㄴ搲㘲㌱㌵㤹㑡㠶ㄸ㔳㈳㙡愴㈵慥㙡㙡㑣搳㘲㐱ㄶ㘴㕡㌲愶捡㝣晢ㄲ㕣㝡㤰㠸㡣つ换㤷改㈱昴昸捥㉤挹戰㔷戹晦戰㑣ㄲㄶ㐵挲㌲㐸昰扢〴㑦换㔹㈲ㅣ戱㡢ㅡ摣挳搰攵ㄳ㜷ㄳㅤ㍤愷ㅥ㍥昵㡢㐷㘹ㅤ㈶挶㜷㑣㍣昷搴㌴て挷挳㌱て㔲㐸ㄵㅦ㌳换㤵㘷慥㝦敡收㕦ㅥ扦㜰昵戱㍦攷ㄳ㍦扡昴戵㐱㐱慢收㘳攴ㅣ敥攳ㅦ㔲挳昴昱搲㐸㈸㤵㡡㙢㕡㔰ぢ慡㤱㜰㤲㌶㐵㑢㌰慣戲ㄶ㌵ㄲ搷愲愱㘰㑡收㈹㡡攰搲攳㐴㘴㈴㈵敥攳㍤攸昱散㔴㤲㈱ㅦ㜱て挲㥦ㄲ㜷昴㤴㡦攱㜲ㄹ挹ち〸㜱ㅦ㤱㜱攱㥣㝡㜵攲戹㈷㑥㍥戶挷㥦攸攸敤㙦敢散敥㕦㝦敤㜵㜴敢ㄸ散㔸ㄴづ戴㉣づ昸㘳㠱㐰扣㜹㡢戴㥦散㌰㡢㠶㜸㠰㥡昵戴搷㤲㙡㌲㤳愵㥤㑢㈱攰㐱晥慣攲晣㕢㉤ㅦ摦㌷摦㜳愸慢昰搱㥡㘷づ扣㜴挳㤱㤱㈷晥㈸慣慢收㝣㈴㕣敥晣㠳搴㌰㥤ㅦ㡥户愴搵㐰㌲ㄵて㘹㤴㠷挲㠱㜸㈰捤㤶愶㘳㜱ㄶづ〷搲㕡㍣㉥昳晣㑣㜰改㄰ㄱㄹㄹ㤹㍢晦㐹昴㜸㙡㉥挹㤰㡣㙢〷㌸㌲㌵㐷㍣㐳つㅥ攰昴㥦〲晣㌰搱攱㜳扡ㄴ㤳摦摦㜳攲攸晥挹敦㙥戳愲晢换挸ㅦ攱㜰㉣敡㐱㠱愸攲攰搵㤶ㅦ捦㝢㙢换戵愱敥㘸攲㐸㤷晥愱㤲㝢昵㍤愱戳㥡㠳㔱㔱戸㠳㡦㔰挳㜴㜰㈴ㅤ〹戵愴㔹㍡㥥㡣㠴㈲〱㉤愰㉥㈵㉦挷愲戱㐸㈸㥣ち〴㕡㤶捡扣〰ㄱ㕣㝡㥥㠸㡣㤲挳ㅤ㝣ㄴ㍤㕥㝢㑡戲扢愹㔵摢挱攳㌶攲㈵㙡㜰〷㈳㉦晡挴㤷㠹㡥㥣㔳〷㥦㍣扣晤搴搳㍢愷攵㘸敥攳㘸㌰攴搹㑡戳㔷㜱㜱慢攵挹攵ㄷ散て扦昱㠳昵㙤㍦㝥愸㘳攱攱㍤㙢慥ㄴ㙥愸攲㘲㌷㑡㕥㘰挶换搵慣㥢搶㤹ㄷ搴㈸搹ㄷ攵㍡㜵扡ㄲ愷て〰晤㠵戶搲挵昷㜹晣敡㠰昸㡢散㝢扤慢愷㌸㙤㐹扤㤰ㅤ㌲㤸㍤慣愷㔸ㅡ㐷户㔸昴㌶挱挷㔱搱扢㘸慡㔷㜶㝦㌵㙦㡡摢㤹搷㔹搱㘰㥡慤㔱愷换攴㍡愷㑢㠸㝥搲㤳㔰搱愶ㅢ㝦敢愶捤扥搵昷搲攳捣慢㜰㡤搱㥥㌱昸挷ㄴ挸〵〹㠷つ昱ㄵ㈲㔲敢㠲戶〵挱㐰㈰㄰㜵挷挹慤㥦㙤㑥〴攵搴㉢ㄴ㘶挰捦㈷扤㑡㔴戸㤷〸㔴㠳搵昰㉢㈲㜴つ户愲㤰㔳㌳昹戳昵㜹〴㠷㡥㤹㙦㝣㝣搹捤㘹㑡摦㐹散㔳て昶㐹㐳慥㈷㤵散㉦㌲晥㠵挳换㍢昴扡摤㤸扢戵㔰ㅣ㐸ㄶち〳戸㤷㥣挳㝢晡㐶挶っ㝣㜴愸捦㤹㠷㈷戴〵㐱㜰㑤㍢㔲㤴ㅦ㉦昰㤰攲㜱㈲㡤㙤搹㙣㤳慤㔱ㄷ㕦㈳㤶㡢扥㜵㠸慦㔳㘳挵搹㌸〵〹㘱㙢㉢扣摣㍢户晤昲㘷慥戹改㠹㠵慦搷㌷户㥥慦ち㈱㑢㌰敢㈳〶捥㈲搸㈷㠲㠴㤳㡣昸㙢㈲愵ㄸ〸ぢ㑢㘸㤸扤㔸㍥改㌷挰攱戸㘲戳〴㥣㍥攰㙥〹㡦㈷攱㠱㈴㍣㡣戰戰㥡ㅤ捤㤶㘰收㔷ㄱ〱昵摡戴〳搵㕥晣〳㔴搹戱ㄸㄴ扥㌴捤㡥㌷㌱〵㑡㝡挹づ㔴挶㤲ㅤ攲㥦愸攷愲挵㌱㙤戹愲㥡㉤㑤㤶㘰搶昷㠵㐳㌴摥戴〵挵㑦晣ぢ㤱㤲㉤㈱攱搲㘹戶㥣㈰愱㠰ち㔷戲〵〵慢㘴㑢㤹㑦㉥愹㘶挷挵㤶㘰搶〷ぢ㘴㜹搳づ搴〸昱ㅤ㈲㈵㍢㈲挲㠵搳散㜸㤷㠴〲ち㐱挹づ攴昵㑡㜶捣慤㘶挷ㅣ㑢㌰昳ぢ㐸ㅤ昶㙤慤ㅣ㠲挳扤㈷愷愸昸㌸敢捤㈹㔹㤶摦㘰㙣㉣㝤㤰昵攰搰攲㤵摥㈷㄰㉡っ㝥〲㈲〹㕡愵て㠸㤴戸㔸㔷捥晤戰㥣ぢて㜳敥㐷攵㕣㍣㉦攷晥愳㡣㍢ㄷ㤳㈰晢㜸改捦㌱ㄷ捡愷㝡㔰㍡搵㠳戲愹ㅥ㤴㤴㝡昵晦〶㕦㌳挳㐴</t>
  </si>
  <si>
    <t>㜸〱敤㕣㙢㙣ㅣ㔷扤摦㌳摥㔹敦慣敤搸㡤搳㐷㑡㘹㕤㑡㈹搴挱㡤㤳㠶㔲㈰〴㍦㥡挴挵㠹摤搸㐹㐱㠰㌶攳摤㌳昶㌴㍢㌳敥捣慣ㄳ㤷㑡慤愰愵㈰㕥ㄲ㉦㔱㈸昷愲敡ち改㝥戹ㄷ扥㜰攱挲ㄷ㈴〴〸ㄵ挱〷昸㠰〴㔲㜹〸㠴㐰㈸ㄲ㕦昸㠰〴扦摦㤹㤹摤搹㕤敦搸摤戶攰㈲㥦㜴晦㍥㜳㕥㜳捥昹㍦捦晦㝦愶㌹㤱换攵晥㡥挴扦㑣㜹㘶㙥㕡摡っ㐲改㑣捣㜸戵㥡慣㠴戶攷〶ㄳ㔳扥㙦㙥捥摢㐱搸㠷〶㠵戲㡤晡㐰㉦〷昶㈳戲㔸摥㤰㝥㠰㐶㝡㉥㔷㉣ㅡㅡ敡㌹〸㝦㈳挹㠳挱㕥㠳㜹㠰攵㤹改㠵㤵㠷㌰敡㔲攸昹昲搰搸㠵愸敦昱挹挹㠹挹㠹㈳㐷敦㥤㥣㌸㝣㘸㙣愶㕥ぢ敢扥㍣敥捡㝡攸㥢戵㐳㘳㡢昵㤵㥡㕤㜹愷摣㕣昶㉥㐹昷戸㕣㌹㝣㜴挵扣晢捤㤳㜷ㅦ㍢㘶摤㝢敦㥢〷昱敡摣搹㤹改㐵㕦㕡挱㑢㌴愶捥㈹摦㍤㉢㉢㌶搷㈶愵㙦扢慢ㄳ㌳搳昸㉦㌵㝦㍣摤㌳戱戴㈶㘵挸㔷㑢㕦扡ㄵㄹㄸ攸㌸攰㑣〵㐱摤㔹攷收ㄹ捥㐹㉣戵㘲〶愱敥捣挸㕡捤㜰㤲㔱㡢捥〲昶慥㘶㙥づ㍡㑢搲つ散搰摥戰挳捤㠲戳㡣㠱慡㐳捥昹㐰㥥㌳摤㔵㜹搶㜴愴敥㥣慡摢搵㝣㤴㜲㝤㜷㈴㐳愴㈷愶㤶㍦㌱ㄵ㌸㌳㙢愶慦㘶ㄴ㜰㘳㌲摡㥥昴㉢慤㙤㙦敢㍥㉥愷慥摥挰㌱㙦敦摥づ㌵ㄷ㑣扦搱㜲扣㝢换㜸昱慤㌳戸慢㝢晢搴ㅥ戵昶㜹㐳昷㍥㙡㉢㕢㕢㡢㠱㤸扥搵㡥㘲㌱㐶㠱愰㥦愰㐸㐰〴ㅡ㈵㠲〱㠲㐱〰㤱晦ぢ戸㈴摤㤱㔵㕡搹搴捡㉢㕡戹愲㤵慢㕡㔹㙡㘵㑢㉢慦㙡攵㌵慤㙣㙢攵㠷戴昲㈵戴㐹㔲戱扦㕦㡢搳捡㙦㥥㉣摤㝡攴挷㜳ㅦ晥攵昷晥戰晡㠳愳㈳㠳晢搰攸㠱㜸㔲戳扥㜹ㄹ愴搶愴攲㈳ㄳ㠷昹㙦㝢慥〰㔳㔸挷慣㝢慣挹挹敡戱挳收㔱㔳攷戲㌲㤰摦㐲㈸㈳㘸㍢㘸㍤㘸扢㔵敦戲挲摤㑤搳㘶㈰㥢ㅢ㌷ㅥ搷㑤㝢㜵户ㅡ扣㙡敢捡愵搰っ攵㡤敤㜵捤㐱㍡扡㉤㠱慤㘴愰摥㜷㜳㝢户ぢ㘶慤㉥愷慥搸㔱昵慢摢慡㥤㐵摦㕢改㕥㝢搲㤷て㌷㙡㍢㘶㌴〵愱戶愱挶敥㔸㘵㔴ㄵ捤㙢㙣㘶捤ぢ愴慢愶㌷敥㉣摡㤵㑢搲㕦㤲ㄴ㠹戲慡㤶㝡㉤慢㘲慥ㅦ㕦㜰戱㔰㜰㙢昵㌵改㔲敢扥㉢㈱㤸㔹㔶㌱摦㜵改㠷㥢换收㑡㑤㕥搷搲㈴㝡㈷㉡づ戶ㄴ㥦昴㉡昵㘰挶㜳㐳摦慢戵搶㑣㔵㌷㑣㐸㥡敡ㄹ慦㉡昳昹㥣ㄲち㄰戸㝤㝤㐲攴敥散捥ぢちㄱ㈹ㄴ㤳㤱㙦㘸㈵扢㠹㜳㔸ㅤ㔶㔱㤳愴㐹敤戵摢っ挶昹㉡ㄹ㤳挱㠱愹㌵㔱㝦昰愵慦摦㘶搸〶收㕥摥挶㥡㌶ㅡ慦晥扥つ改㠶愷㑤户㕡㤳㝥愶昶ㄳ㥣㤱㌱っ愰㕦㠵㐰攸扡㝢㔴㜵攲㡡搸搴㉦摢搵㜰慤戰㈶敤搵戵㄰㘵搰㤰挵㈲户戶㈳ㄹ搷愰挸搸㑦㌰ち㔰㉡攵ち〷搸愸㔰㐲捡改㤴㑥ㄹ扣摣㈲挸搹慦㠵㤷〷慤㤳㜶㉤㤴㤱㔰ㅥ戶㠰㤱㐸慢㈹昴つ㤱㐴㝤戳ㄲ㈹㡣〳搶っ愸搴戴摤㜰戳挹户ㅤ㕣ㄲㄱ搱㥥㉣搸㜵戲㠰愲愰㔵ㅥ㘴昰ㅡ㠸愶㑤ㅡ㘴㌷㑥ㄱㄱ搹㈰㐳戳㘳攴㔶㈲㘳晢っㄹ㠱昶㘹㈲㘴敢挳摤㘵〴㠹扤㤳㐸搹愹㉢㍦敥㐹戳慤㙣昹㐸㥡㕤㡢㡤㌳慥㈳戸㥥攰〶㠲㠳〰攲㜷㤰㜰㤴㜲挸户㈶攳㔵㜸㌶㙥㈲㜸㌵〰攴㤳㐱㤹ㄳ㡢㉡摡㔰㍢戱㈳搹㙥〸㜶戲㌲㡡㈳㔱㐴换戸㘱㘷づ㌹ち搱戱搵戹㍢㜴㙤㕥改搸搷㜵愷捤昴㜲㐸㤱ㄹ㑤搳㙢摤愶㘹㝡㈳搸戴㐷扤㜵ぢ扡ㅡ㘳〴户〲㤴㡣搷㄰㐲戹搰攰摤㤹㐵㑦㤳昲ㄵ㘱ㄶ㐵挶㔰㡦ち㍥㈶㘴ㅥ〱㌲㠴㕣挷昱㘵捦㠶愶㌹㌸㙥扤攲㙤攸㐳摤昹㍢㐶㝡㥢摥摣搳㍢昴ㄷ扤㐰㉢晡㌶戰㤷昸㐵㔷ㅤ㜳㍢慡㡤搷ㄱ摣〱搰愶㘳㜸晡㝥愱㥥〲㘵ㄶ㍢㈹捣敤愷搷㐵㔹戹换㥢敢㔲㘹愰㐱㙢搹昴㔷㘵〸て挶摣㉣㙣㘱捦昷㘵つ㠷摡慡㉡攰昹攵晡搶挲攰愴敦㌹㉣摦戳㤱㠳㔷㠴㘲挸攷戵扥㕣㥢㡤㥣㘱㙢愶㝣㑥㈹捡愱づ㍥摡㕤㐸愴㍡戵㤲ㄷ晢㘵㥦㉦昷㈴㐹て㤲攴つ搸㔶攳㑥〰㐸〹昱戳慥ㄲ攵㄰㥢扤㔱㌵㙢戵㔸改攱换㌸㥤戴昹㄰㍢攴挸㐰攴戰㥤㠶晦㈰ㄸ㜲㤶㙣愷㈱㉣〶㥣㐵改㔷攰㕢戰㙢戲ㄴ戹㘵㈹㙡昶㘴挵㉢㐴㔶昴昵㜵㥣愷㌳晣㙢㡡㑥摡愴㐴㈶户㘷㔶㘶㥣挵㥢㐴㐵㌷㈴㠵㑡㠶㙢愸㈱㠱㐸㜹㙣扢㈷㘲㝡㄰㌱㜷㘱攳㡣挳〴㤳〴㐷〰昴ㅦ㐱搲散㜴攳ㄹづ敢摦愰㑢扢㕣捥ㄵ㠹〶攵㈲㝣慥慢戰㍡挶搷扣㠹攰ㅥ㠰㌶昳㠷づ挸っ㐲㔴㈸㑦ㄱ愲ち㘳㔸ㄷ㙣㜹㤹㌴戰捦㐲㘰㘹愶ㅥ㠴㥥挳挸搲㤰㌵敢㥤昵挲㔹㍢㔸㐷㈴㙡搴㡡㌳て慥㐹ㄷ搴攵挳昶㘹㉢昳搶搷㘵搵戰㤶扣㍡㐴摢摣散㙥㌸㤸㘳㍢㘰㑢慡戳戹㈶㤰㝡㍢ㅦ㘳〸㠱㥤㔶晥㔶㝡㘳㜷攴晤收愱㙦戸戹愳换㜶㔸㤳〳㔶挴㜴捣ㄷ㉤散㈲㈲〷搵㝥㙢㜹捤㤷㜲㜶挸㍡攵摢搵㥡敤㑡㈲〳㌶㈶㠳㜵昳㜲ㄵ㔱㠲㐵㡦㌱㐰捦ㅤ戲㤶㝤搳つ搶㑤〶ㄴ㌷昷户㍣愹戰㠸㙥㑤摢㙥㠰搷㈸㉣㌲㍦㙣㉤慤㜹㤷ㄱ戱慤㍢敥㈹㜳㍤搸ㄵ㔸㈱搱㐷㐹愱㐶㘸㐲搳㐴㔱㉢昶㡡ㅦㅥ挸㜳㌹昲㕥㥥㐰攱㉡愷搳㘷㥥愱扤㘹搷挷㌱ㅡ摡改㥣搳㈰愲㐷㡤挲扥㑣㈹㑣㑥㌵敥㘵㥦户〰摣㝦敡晣㕣㌳㌲昷愲㘲搶㍡扤晣ㄹ㌲㕥㤱㐵㈳㄰㐲ㅦ摤扥㠸㔴㔸㐶捡〱〷〲攳㝣㙡㈷扦㤲愵摡㤰晡昶㌵戳㈷ㄱ㐹ㅡ戴收捤ㄵ㔹㐳㍣摡㌱挳㝤搱〳捤㔸挷慣〵㜱摤㡣攷㌸㈶㐹㡢㘴戹㔴㌱㐹挱㔳昵搰㍢㘳扢㠶〵愰攸㉦㉥㌲慦愰挸扣愲㡡〶慤㜳っつ慡㍣挷昲㔶㑤摦づ搷ㅣ扢㔲攴〳挳㜷扢㠲㈶挱攴㤴扣㐹㑡㘴挶㔸㥢㌵㝦ㅥ㈶㕢㌰〱㜴㑦㐰㡥㜲敢㠸㝥㔰慥㈶ち昸㈷㝡㜴㉣㐱挰㈸㑦愹昱㌶㡣愶慢摢ㄱ㄰㌹㉡㕤㑤敥㘰㕣㝤っ㈵㤱㄰㈲搶㌳㐸〴㕥挱㤴㤰愷㡢扢㘰㥤㜷敤㄰搸㈳挶㑥摡攱㙣〰㤴〳㈰慢㡥户㌷㉡慣愶㍡㡤㌷戴挲㉤㥤㔵㉤㙡攲收捥晡戴摥㜸敤ㄶ搵㤱㐶㐹㈹㤲敤ㅡ㈹捤戲挵ㅣ㜷㤳慡ㄱ㑡㜱㈷摡㐶㘴戹㑤㥢晢㑥㈹昲㈲ㄴ㤳愲㤹㥣昱㜶㐵㈸〸昴挶㍡㡡㍥晢㙣昲㐸㐵㙣㘸〳㤴愸愷愲戲愱㌸㈴㌸㠷㙢㈷㔵㔹㡡㥦挰摦晢攲散㐲㍤㙣愹㌱慦㡣挶㌵㔳戵摡㠲ぢ㉢愱㘲晡搵㕤挲搲㔸㕢愴㘱ㄴ㜷昶慡晤愳敤㑤㌱㘲捣㠶っ㡢㘴昸㠱挱㠶㘰慥㔴㐴㤵搶搹㄰户扡㔱㕣攴搳ㄹ㘹扡ち〳㑢㘱㜵㔶㙥㈸㌳慣㘹挹㡦慡づ㡤搳愲㤲愳㠶㌵戵ㄲ㐰愵㠷㤴攳㜱㑥㌱戸㘱㥤愳㕢ち㤷ㄸ㈰㜶攳摣㘲㈵㐴㘸户㌱〰㑦〶扢〷㍢搸㤱㈸㜴㐲敢㡣ㄲ戴㤰㐱戸慤㡢㈰敦昴㠸㔱〸㔲㑢愵㍦㥦㄰㕦㜸㥡改扦㑦攴㤲㑣捣㐴っ㜷㘵㔸て㐰㙥㍡㌲㐹㉥ㅡ㑤〲收㤱㘴㔳㐲㙢㌰㈹愳㠹㌱㐴㤳捦て㜱㡢㠷戱慣㘱戲㑤つ昷摣㐲ㅢ摡戴戶戹捦㥡㜳㉢戵㝡㔵㉡㔵㥣挸㙡愵㤱㜷〵扥搴ㄵ挰㠸㥢㌲昶㈵摥㤴㌹ㅣ愵戸㘴㈲愹㜷扢摢㌸㠱敥㑡挸㘱㡣㐸昵㌱〰㤹攱㤶㔳〱戱㡥㝢ち戴て昷㌷㉦㌰愸换㜳㄰㘹ㅤ㐵㤴㘵昳戸㡦搷㠸㈲㉢㙥㑢㌵㥢昷收㍤摡散愹愲搳㜶㔴戴㉢㜰㠴㜵㐶〲慦㔰㠰㌱搲㈳㜷㜰㤰摣搵㌸扡㝢昵㌱昵㤸扢ち㔴㈸っ〸挶㜸㜹ち捡㘱㔷挱㐸㌴戸戵愶搵㉤ㄸ晤愵攵㙤㑣〱〸㠶㠱㘹搰愲㘵㘴攰捣㈰扦扤㠱㜳ぢ㕡㘵㐴㐸搳挱㔴挶㈸㐷攱戰〷搲挰㑤㍣㐸㉦㝢㔰㐲攱〱㜵㌱㉣戹㥢㌸敥攰〸攴昹搷戵ㄵ㉥㥡㈱慥扦戸〷摢㡡愷慡㔵㥡扢昰捦敤ち慣攲敡㐶㘴㡥ㅥ㘸扢㤴愵搶㐴晢敥戶戶㡡昸戲攰㤱搹㠹搳㘶㔸㔹㕢ち㌷愳㡢㕢扤㤲㠴晥㙤昸㈳戶㝣㍢㙤收扣换㡢愸ㅢ摣晢搲㈵搷扢散慡㜹改〱㙦晤㠱㐲㜰㠵戲㥦㤳㉣攵晥㡥㝦㉡㘹㌹晤㕢ㄸ㜱㈷搳收〰㑤〷〹挷㔱㈹㤲〶㘳挸㘷搰〹㙣昷挶慤〱搲挹㠱㌶㍡㔱㠲㘰㡦㔰摣搵㤷㡣㔰挴晦〳慤㈴㤶攸㐸㡥㍤晦ち㔸㕦㝣ㄳ㈵㐴㌸㥥㘳㌱愲摦㡡㕣〶敡㤴㈰㡦慦㜸昰㐲挸扦て㤶ㄲ㙥摥㤲㥤晥〹捣㉣扥搱㡥愲㥢㠹愲晦敢㐰㤱攰㌵㄰挵扦昷㈳㤳㈴㥤攱搹ㄷㄴ〸攷㥡昶づ愰㉦晢㠵摦㝦攱〱㜴㍥㈶づ㘵愳㈱搴㜶㍢㥥ㅢ㈶㐲㕦㠷㠹挰攰扤㌲ㄱ捥㈰㈳ㄸ挵㡦㑣㠴搸〷戲㠰㠲敤㑤〴挶昶㌲っ挱㔴愸㌵攵搶攰〹散㍡㠷晥戱搳戸㜸㉢〳挴昳愱戴㠲ㄹ㜸愴慥敦㉣㕥㌴㝤搳㌹愸捡㑦昹ㄲ捡捣㕦挶㑤㙥搵㠵㍤㙥摣戲㐶㜵摡挲㔷㤱㜸搹昷晣㈹㍢扢扦づ㑣㐵㈹㜲摦㡢愲㈸扣〸㑦㠹攰戹㈱昷晥〳晦㜳敡㔷㡦㍣㜱㠲户搵㘲㕡搵敦㐴扥㤷㤰㍤敤〹〴㜵㔳ㄷ㐵慥攵㠷㌹㘷昰㠹㤲扤㕥㤳搳愶慦慣愰挰㜰㤲㙣㐴㜸㈹挲㡣㠸㙦㌷㤸㤸戸昷㄰㤹㤸ㄳ㙤敥㑥昵㘱㤳㜲ㄱ㑥愴㈶慥㝣㝡㐹搸㔰㜴㔵㘴㍤㕡㥢晡㔷愱㡡㕥攰㐴㕡慤㐴㥥㍡㤹㠴昸摦㜶㕤㜷㡣扡㉥㍡挸㌰散㥦㐸㈹挴ㅦ㐸㈱改㠳っ㉦〴㈸㈹㜵づㄹ晤㉥㠰㡣挸㕡㝢㠸㤷晥㠰㍤㈱㈰ㅢ㤷晥㝡晣㠸〵扢〸㉣㈶扥昸㕥㑦戴戴㐵ㄳ搵挴㔰慤戲㘹㤶㤰㔱㠷ㄷㄶ㑣㈶愵换挸㈴㐹㍦㠲摣㡥摤㔱㝣挹㤰ㄳ〵摥㈲挶搶ㅤ晡摡㑡捥㝤㙥ㅤ㌷㍦愰㘷ち㑡㘱戸晢㔹㡣〳愹㡡搱㐵㑤㑢㔱ㄱ攱㜰㤴㙤㜴ㅡ㠸慢愰戳摣㠳㌸㤵㈲昸挷㉦㠵㔸㍦摥ㅣ晡摡昶ㅡ敡㌸户ㅦぢ攴て昶搷捤ㄹ㡣㡤户㤲㘳㈰㘱㜷搴慡ㄸ㕤て㍦㡦㉥㕣㜴㑥ㄸ捤慣㝡ㄶ挷昰㈷攱慣㍥慤㐳晦㌳㝡慤㌸敢〲㝢㌳㡣摤愲晦摦㠵㠲㙤昵扦㘰散㑤㈱昲摤㜱㠶て㍡攳㈷摢㠶㙣戸㈳昰㙣㈳㜸愳づ挶㠶捡㌲攴ㅤ攵㤶昰昱㙡㔴慤㈴㌸晣㕥昹昶慢ㄱ㡤扥戴㙤〷扡ち㐰挶㠶昴慦㐰〴㜵敤摦㉡户㤲搳㙤攱㍤攸㜸攰㡣㕤昱扤挰戳挲戱㈵〴㝤挷昸敤㤹〵㥢㘷㑡晣㔷扢㔰扢つ㍢㌱昸㍥昴㌹扢〰㠱㝤㔶㠶㉦㔵㉣㤲㤱㠵㥤㐵㌲昸ㅤ搲㐸㉡扣㐴敤㄰㕣㘳㍤㔰㌷㙢昸㜴㜵〱扥捥㤰㐵扢㐲搹㐵ㅥ攷昶ㅢㅡ摣㍡摣搱㝡㈷晣㐱戲㌶㠱攰㤸㕡挲㝢摥挷㝤㙤摦㠳搶戶昱摡〲戶散捤攷㔶搲㥦〵㑥㜷昶㤶㔶㤲攱㍢昹㐵㜲挹㈸ㄳ攲搲晥〹晣摤戹㠳㤶愳㡤㠲捥攳て扡改〸ㅢ慦挱㝤戶㠳攸昷㐵㜴ㄵ㔳〴昸ㄹ㘶㥣攱㠳愰㤷㡦慣㈸晥〳换㈲〳㈰㥦㉢㔴〰扡㔳昵㌳㕢㔱昵挸晤散㠹㈴㜸挶㈰㌹㤶挴ㄷ搱㤰摢ㄵ㉤ㅢ㉣挱㘵ぢ㜵㤶㐰摥㐸㝡㈰㥦ㄳ㍣㑢愸㠹㝣ㅥㅤㅡㄳ戱㔱摡㝤㈲㥦摢㙡㈲㠲㔶㠰㕡㘸㝡晣㤱㐴㡢ㄸ㌵㔴ㅢづ㠱㑢攰〱㡣㈴捡㘴㤸昲㤱㐲愷㄰挵ㄸ扥㐹ㄴ㈱晤㈴晥晢晣㠹ㅦ㍤挷昴愷ㄳ㐲㐹㐴㔴戵慥㠲ㄲ㔱慤攲㤳改㔵昸㈸敤扥㡡㡦㙦戵㡡ㄱち㑢捥挴〸〱㠶晡㐴ㄹ㝦搴慡敡挸㜰㐳昹ㄳㄷ〹昰㙢㤹挵㠸㠹ㄲ搵昷㌲㌲攸换㥤㔷慤慥㈰㤳昴搵戹ㄱㄹ㕦昹㈸㐳㠹㌷㈲改搴㈹㐴㕥搹㐲愴ㅥ㡢㑥散㡥摤ㄵ㐲〲㑢攲㘷戳㕤㘵㝢愱挷㔰扦㜸㉡㐱捣改搳挹㈷㔴㕡ㅣ㝣〲㘱㐴愶㈹〹㠹ㅢ㈹㍥㤴㌴晥摡搷㥢扥㔳㔴㈰㠱㝡愲挶㈴㌸搵昸挹愴昱ㄱ㝣㥥愵摡攴㜸㤵㠰改昹愴㌱〹㔳㌵㝥㈲㘹晣挷㈳〷ㅢ㡤ㄳ㍡㡣㐶搶㐹㈴ㄹ㐶慦㍡〶愴㍥搵ㅥ㐶㜳摤愲㈲ㅤ戰愲㘲㡡㔰ㄵ㐳慥㈹㔵㍡㠸㕢㈱㍥㍥㤶㥥挷㈵㈷摣〵㠱戴㡤晥㥦〹㜳戸晣㌴㙢㠶㈶扥㠵摥㐰搴搹㌷搴ㄳ㍢ㄷ慣〵ㅦ〵晤搶㕣㠰挳㔵㜵㔷㤱〸散㠲㝣戴扦摢㜸攷㌳㙣挸收㝥㈴搱㌲㡤㤷㐹㝡搳㈲㉡挲㤲ㄷㅦ㐸㌰㥢㝢扣㐹㌳挶㘳㐰づ挴㈴㈰㌳挶攳㠰㔱㐴收〰ぢ㐶挸晦㡡戹㍦挰㡡てㄲ㍣〱㔰ㄲ㘴㜶搲㐱攱㐹㠰攱攴晦㔸㌱戶愱ㅣ㈷㥡㜸㈴㜹㔹㥡㡣㡣愷搸攱挳〰㝤昰攳㡡㤸〸㑢挶㐷㔰㤲㝥㈹〵㠷㝡改㐷㔹昱㌱㠲㡦〳㤴㜴㑥㜶挷扢挶㌵昵愸挲㍥㠱慥攲㜱〲晣㡣㑦挶ㄹ㍥攸摣㠷户㜶㌷㥡㜹㈶㑥扥昰㐷捣戳攵㔳晥晢昰㘹晥㈶ㄷ摤㠷晦㌳㠹慥㉣晣扣昶㤶摥挶㈲ㄳ搰㌸㔷扦㜵㙣昶㡢ㄸ㠷敢㙡㠶㔲㌸㈲㤵㑡㔱㉢〸攲㥢ぢㄶㅥ摥挰户ㅣ㔷ㄵ㐲㤰〶㔴㠵ㅢ㔷㥣㐰㠱昱㘹㌶㈵㡥㠹㈷攳㌳㝣㈲㙡搵㈶㝥㌶捥昰㐱㄰慦慡晢㐳㜱昷攴㠵挴戵慡戰摢㕥㐸晣慢㡡戵昴ぢ㥦收㘰ち㔹挸戴㙡㈵㈲㑤搱搰ㄷ㤱ㄹ敡ㅢ收摣ㅥ挴㑦扢㈲㉡ㄷ慢ㄷ㉦晥㜵㌸㍦㜶㘳晥㕤敦ㄸ㝣晡昹ㅦ晥晡㔳㍦㝤敦昱摦晦敤㤹㘷㝥晡摢㑦㍤昷户㙦慦ㅣ晦晥戳捦㝥昷晥晦㝣敥搷晢慤㉦㙢㕦晦敢晣㤷ㅦ㥤扣昴攸挳搶昹㍢㑦㍤晡敥㠷ㅥ㤸㕣扣㘶扣慦慦扦晦㡥搱ㅦ摣昰晡㤱挷ㅦ晥㠶昸捥捦慦㜷㠵㕡㉥㕥搰㍡つ㉥㕢㑤攳㑢挸㘰ㅡ㥣昱换㍡つ㉥㔷㙤搴㑡扣㔱搳㈸㈸挲戹挱〹愸ち戳戵㘲攰ㅦ挸㤳戳㜲</t>
  </si>
  <si>
    <t>Decisioneering:7.4.0.0</t>
  </si>
  <si>
    <t>CB_Block_7.0.0.0:2</t>
  </si>
  <si>
    <t>㜸〱敤㝤〷㤸ㄴ挵搶昶搶戲摢㙣て㘱㠷㘰挲〴挸慡㠸慥㤳㘷〷挵〵㤶㈸㈰㔹㐵㍦㕤㘷㜷㘶㘰㘵〳敥㉥挹㡣ㄱ昳㌵㡢ㄱ㜳㐲㑣㔷㐵捣搷㜰戹ㄸ慦㘲扣敡㌵㠰㠸昹㥡慦攱晡扦敦改慥㤹㥥㤹㥥㘵昵昳晥㡦晦昳晣捤散愱敡㥣㔳愷慡摥慡慥慥慥㍡摤㕤愴㡡㡡㡡㝥挱挱晦㜹㤴㌰戰摤昴挵㙤敤挹愶捡㥡㤶挶挶㘴㝤㝢㐳㑢㜳㕢攵㠸搶搶昸攲㠹つ㙤敤㕤愰㘰搴㌶㐰摥㔶㕡摢搶㜰㘴戲慣㜶㐱戲戵つ㑡愵㐵㐵㘵㘵㘶㌱攴摢搸㝦㕥ㅤ㌱㤹捡㉣㈱㠱㔶㤱㘹㤰㜴㈵㈹㈳㌱㐹㍣㈴摤㐸扡㤳昴㈰改㐹㔲㑥攲㈵改㐵搲㥢愴て㐹㕦㤲㉤㐸戶㈴搹㡡㘴㙢ㄲ收㙦昶㈳搹ㄶ愴晢㜶㈰㌳㙡㐶㑥慥㍢ㅣ戵㤹摥摥搲㥡摣扤晦晥㔶㤹㠷昹晤㤵晥捡㐰㌰收慦昴敤摥扦㘶㝥㘳晢晣搶攴戰收攴晣昶搶㜸攳敥晤愷捣慦㙢㙣愸㥦㤰㕣㍣愳㘵㙥戲㜹㔸戲捥ㄷ慣㡢㠷慡晣愱㜰㌸ㄵ㡢㔵㜵摦ㅥ㤶昷慢ㄹ㌹愵㌵㤹㙡晢扤㙣敥㐰㥢㤳㙢㐶㔶敥㤷㙣晦扤㙣敥〸㥢㌰㌹慡愵㈹摥搰晣㍢ㄹ㉤㘵㥢㠶㐷㈵敢ㅢ搸昸挹㘴㙢㐳昳散㑡ㄴ㍢ぢ㘸挴愲㤵㈳摡摡收㌷捤㘳㍦慡㐹㌶㌶㑥㑢愶愴搱㥢㐶戵戵㑦㠹户㌶戵㜵㙦㈲㝥挹搶㘴㜳㝤戲慤㘷搳攸㐵昵挹㐶㕢戱慤慣㘹晦㜸敢㝥昱愶㘴〹〳攵㑤㔶ㅢ㡥㑦㈴㥢摢ㅢ摡ㄷ昷㘸㥡搹㤶㥣ㄶ㙦㥥㥤愴㑡㘹搳搸昹つ〹㔵㔲㠲㕦㔱㤷㕤摣㑡㈶つ㠵昲㌴搵捣㠹户戶㑢㡣㑤攸㜷搳㜵㜴ㄷ愹㐵㔶戹搸愵晡攷愴㘲㥢㑤㙦㘸㥡㤰㙣㙤㑥㌶㌲ㄳ戶攴㤰ㅣ㈵〱挸㙡㠷㌴㔲扡㍡㙣㈵搵捤㍥昹㔸ㄷ收㘲昴〷ㄹ戶㕦㑢㙢ㄳ㍡愴㍦㔸ㄹ慥ㄸ收慢昴昹晣戱㔸㈴散て㐶㠳昸ぢ挷挲㤱搰敥戱㔸㘵㔵ㄵ㠵挱愸㍦㕣ㄵづ㠷〲挱㘰㉣ㅡ慢昲〷捣〱㌰㘱づ愴戱㥤㐰㑡㠶㡤づ晡捣㐱攴㔵㠰愸㤲㌷㌰〰㌸戳攵㐹㔸㕣ㅢ㉦慥慤㉢慥慤㉦慥㑤ㄴ搷㈶㡢㙢㔳挵戵戳㡢㙢攷ㄴ搷㌶ㄴ搷ㅥ㕥㕣㍢ㄷ㍡晡㈸敢摡戵搸㍥扡㥣晢搴换摦扣㜸昰戸ㅢ晢捥㌸㜶㝤㑦晦挵㡡攷扣っㄹ扢㈰戰㤷㕤㡤㐹挹㜸㌳ち敡て㠶㠳㔵扥戰ㅦ攷㤳㉦攸昳晢慡㜶㥦摥㥥ㄸ㤵㕣挰ち戲㙡挱慡㔸搸敦㡢〵挲㔱㄰㜳㔷ㄸ㌰〷㠳ㄸ扢㠱㤴っㅢㅢ㡣㤹㐳挸摢ㅤ㐴愹㤷㔰〹㔶攴搱㌷㘷㐵㘷捤㌸㘸昴㑤敤敦㍦㔰搵昰昶晥愵ㅣ㜰㍡搵挰㘸㈹昴㌱㐷ㄷ敤挹敥㔵㌳扦慤扤愵㠹晤敢昷敤愷㐵㜶㍦㔵ㄵ㙥㍤挴敡愸㔶㠹晥㤷摤㜴愷ㅣ晢散愶㤳攷戵摢摤搴捡攲㜷改愹捡慣㘴㜳散〹㘲昸㐰㝡晡挲㥢㙥㌹昳㠳ぢ敥摤㜴挹扤ㅦ慣扣挷昴㔳ㅡ〰㔱敡㔹扢戱摥㍣扢摦愴搹㌷㑥ㅦ㝦搵㠱搳㈷ㅦ㜳㑢㘹㌷挵ぢ㠳㜴㤷㄰〲㔱扢扢〴愵换㐷挳ㄱ㝦㉣攲㡢愲捦昸慢㈲攸摥搲攳攵㜴㐰捣〷㜶挸ㄷ〹㐶〳㔵㝥㌳捣㥣㈲㈰㐶ㄴ愴㘴搸〴昴昷㉡昲㘲㈰㑡㍤㘵攷摥攷挹搳昷㜸昷㠴㝤㠶㥦扣昳㥡㡦晡㝥㤵㕡愲㜸㐵㤲摣昷㐲㘰㘸㜶㘷つ㠶愲㝥㕦㌸㄰慡昲〵晤㤱㘰㌰ㅣ挹㜴㔶扦㍦ㅣ昰㠵㜰㑤㠸挴晣挱㠸て〵搸㥢㤹つ〳㌱昶〱ㄹ㘴〱昰昹㠳㑢㌷㥣㜵攱晡㠷捥晡晣挱搳㍥扣昱愴て㙥扡㝡挳㝤搷慦㝦攸昲㑤愷㥥㌳㌴㌰搴慣㘶㥡攱㈰㑡㍤㘲ㄷ戰昸㑥摦捣㈵㍢摦㌷敡㠲攷收扤㔹㜲攱扡ㅦㄴ〷㑥㈹攰㐸〴㜶捦㉥㘰㔵㈰㥣㈹㔲㈰ㄴ昳〵愲㠱㜰㉣㕡ㄵ㐱㤱愲ㄱ戳〶㈹捣㔱㈰挶㘸ㅡㄹㅢっ㥡㘳挸ㅡぢ愲搴㉡㍢挷つ攳挶昸扤挶散攱户㝥㜹敦㐳㜵㝦㘹摥扥㤴㤷收㘰㑥て㜲ㅤ攴挷攰戲㕡ㅦ㙦㙢户捦ㅦ㐲昹晢㥥㌰㥢ㅦ搷挷戴搶晦昷挷㜵㘴昲扢㥣㉤收㜸愲扦㉦㠸㌱㠱㔸㝤㜰捦ㄹㅦ摥㝥攱挶〷㔷㙦㕡㜶㥦㌹㤱戲㐹㈰㑡摤㘵户㑣㜵㥦ㅢ㠳捦㕥㌲㙢挴㌵攷㡤摥敤㥥慢㈶づ㔴㥣㉦㐹㕦㤸㡣挰㉥捥扥㤰敥〷㤸搹㐴挳㈱っ戰㈱㝦愴㉡㠸づㄲ㌰愷搰昲㔴㄰㘳ㅡ挸愰つ㉢慦摣戴散㘴㉢敦て㑥扢昱挳慢捦晣昰愱㤵ㅦ慣戸㥡㝤昵昴攵ㅦ㕣㜱㈲晡慡㌹㥤㘹㘶㠰㈸㜵慢㕤㥡㍤㠶㙥㜹昲户晦㥣㌷昱捣ㄷ〶ㅥ㜱㜴㑤㤷㕦㔴㌷㠸愵㌴晢㈳戰慢戳㌴晥㤰敥㤶愱㑡㤴㈱㔰ㄵ挳挹攲㡢㐵㜱㤵㡡㥡〷搰昴㠱㈰挶㉣㤰慤㙤㄰㉥戸㘹晤挳㘷㝣㜸挳㈹ㅢ㉦扢㘸挳敤愷㙣㔸㝤㠳㜹㄰昵づ〶㔱敡㍡扢〸㕦晥㍣昶愹戶搶㕢㈷㥤戹晦ㄷ㍦㤵㉤㝣昱㉥挵㘹愳ㄴ攱㄰〴〶㍢㡢攰慢っ攱㕣〸晡愳㤱㔸搰ㄷ㡥㐵〲㡥㉢㑤搸㍣㤴戶㙢㐱㡣挳㐰㝡㕢㈷敢㠷㡦㕣㠶㝣㌷㉣㌹㘷挳㝤㉢捤㌸㌵敡㐰㤴扡挲捥㝤㘳摦挷〷㡦ㅥ昳挰愸摢㕥戹敤㡢㑦て扦㍤愲㌸㕦㤵摣ㄳ〸戸㕤慦愳搱㔸㈴敡㡢挶㠲戱㠸摦㕦㔵㤵㜵扤挶㌹ㅡ慥ち㠶㈲㌱㌶㔴挴㑣㌲扦ㄴ㠸㌱ㅢ挴㘷㤵挸ㅡ㍢慣㠱㘳攳愵㈷㙤㍡昵慣つ攷㉣挷〸昲挱攵㔷戱戵晥㜴敥晡㔵㘷愰戵㌸㤴捣㘱晡〶㄰愵㉥戲换扢攷ㅢ㍦㡥㥦㌱戲㜹攴㠵戵㥦搷㍣晣㕣敤㙢㡡㔳㙢㈹敦㕣〴慡戲搱慡昲挵㜰捤つ晢晣㤱㐰㈰ㄲぢ攸昶昳㜱愲㕣㔵攵㡦㠶晤戱㄰晡㤳㉦收㌷ㅢ㤹㔵ㄳ㠸搱っ搲㠹㤱㉥㌸搴㙣㘱㥡㜹㈰㑡㥤㘳ㄷ敦挸㑦㘶慣㌱摦㝡㘹摦㕢晥戵晢捣㑦㥥㕡㜰㥢攲愴㕦㡡搷㡡挰摥㜶昱㈲㤵㌲挱挱散㈷ㄲ昱昹㐳戸ㅡ㠴愳㔵戱㉡㑣挸㌳搷〲㈲攸ぢ㘱㡣挶㔸㕣攵昳㐷晤㘶ㅢ戳㙢〷㌱收㌳戴攱挱㍢慤㙥㘶㉥㘰㜴㈱㠸㔲㑢敤㜲㐴敡晢扣摥㜷㜵㙣挲挵晤扦ㅡ㌹戰㘱搹㕢㡡昷ㅤ㔲㡥挵〸攸㘶戵攷㉦㍥㘴敦㡦攲搲ㄳ㐰愶㤱〸挶㝦挷㐵〱攰㐴㜹挹ち㠴愲㘸搵㜰㈴㄰㌶㡦㘴㝥㐷㠱ㄸ㐷㠳㤴っㅢ㡦换搲㌱攴ㅤぢ愲搴ㄲ扢っ捦㥦㍥敥晢㉤㥥扣㙡挴〹㠹攷㤷㝥ㅦ㝢昵〱挵摢ㅥ㈹挳昱〸散㤱摤㔴攸捣改搳ㅤ敤ㄳぢ〵㐳晥愸慦㉡㠸㠹㥦捦ㄷ愸㌲㤷㈰㠹㜹〲㠸㜱㈲〸㘷㑤㍥昳㈴昲㑥〶㔱敡㐸㍢捦ㄹ㐷㕤㍤愶挷挵㑢㈷㉤戹昳摣愱搳㡥㤹户㡦㤲扢㉣敡㥤㑡戲ㄴ挴㌸つ愴㝢搶㜹㜱㍡㘵㘷㠰㈸搵㙥ㅢ晡㘴慦㤵㔳㥦㕣摢㜷摦㠷摥㘹慥㔹扥晤搳昳ㄴ敦搴愴昰㘷㈱愰ㅢㄲ㜷㕢扡㈵挳㈱㑥㔲㝤攸㘸攸㔸㍥挷㌴㌶ㄲ慡慡ち攰㍡ㅢぢ挷晣㠱㘸㈸ㅡ㌲捦㘶㜶攷㠰ㄸ㝦〲改晤挱昲㔵ㅢㅥ㌹㜱晤〳搷㙥㕣扥攴挳㝢敥昸攰慡敢捤㜳愹㜱ㅥ㠸㔲㑤㜶㠱ㅥ㕢㝡挳㜱〳㘶㙦㌷㘱挵散摢㙦敥㜹㘲㤷ㄳ㤵摣㌵㔲敦〲㤲ぢ㐱㡣㡢ㄸ摡㜸挱㔵敢㔷摦戸昱散㔳捤㡢ㄹ扤〴㐴愹搹戶㤵㕥㙦ㅥ戳㙢㘰扦㜰捤慡㐹㙤摦搴㌶慤昹㕣昱戶㔳慡㜵㈹〲㌹昳㕡㥣攴㈱㕣㜲㘳㤸愶昸㝤攸愰晥㔸收っ昲〷挲㌸捤愳㔱捣㝢㔱摢慡㐰挴扣㡣戹㕤づ㘲㕣〱搲㤵扤㠲攷昰㤵㘴㕦〵愲搴㘱㜶㈱㝥晡晡搳㈷㤷摤㜴搸㝥户㝥㌵攴敢户攷㔴㉥㔱㕢㐲㉣㠵戸ㅡ〱㍤㕦〹搹户〸㐴ㄳ㜳ㄶ㕥晤㘳搱㐰㌰㤰㍥㐷晣㤵挸ㄷ㠳㜰〴㘷㡥㉦㄰挲㘸㘸㕥挳捣慥〵㌱慥〳ㄹ戰搹昹㡡㜹㍤ㄳ摣〰愲搴㉣扢㜴扤㕦㥡扡㘱挸攷㍦㡥扢攷㠶扢㌷晣㜸㐳改搶㙡㉢㠸愵㜴㌷㈱愰㈱㡡㔴㐶敤ㅢㄸ㡣㈱㍣㝤〲晥戰ㅦ〵㡣㠶攵ㄴ愶っ攷㉦挶挲㈸攰㡢㠶㝤㈱っ㡤收捤捣敤ㄶ㄰攳㔶㠶㌶㍣戸摡㍥㠳㔷㌰㝡ㅢ㠸㔲搳散㘲㝣搹㔴搷㝦搱㜷㜷㑤戸㜵㤸敡昷慡㜱㘹㜷挵ㄵ㠱㔲慡㤸户㔳晢づ㄰攳㑥㤰㥥㍥晦愶换㡦晦攰捥ㄳ慣摡㥡㜷㔱㝡㌷㠸㔲ㄳ㙤㕢㐷昷敥㌳扣㜱捣搲㌱户晡㙦敥㜷攳搴愳㍥㔳㕣㔸㤰㉡摤㠳㠰〶摣㙦㔵〸搷戵㐰搰ㅦ昳㔵㘱搰っ㔵愱摦㘶挶愴〰㉥扤愸㉢㝡㜱㌸ㄶっ㘲㤲㙡摥换捣敥〳㌱㔶㠱㜴㘲搸っつ㌵敦㘷㥡搵㈰㑡㡤戶ぢ昸晡愷㐷ㅥ晦昱摢㉦㡥扥㜹㔵换搳捦扣搶敢㥦慡ㅦ挴㔲挰〷ㄱ搰㤸晢㜴㡦㠸㐵㠲㤸ㄱ〲㔹㡣愰〱摣㔳㘵㑡ㄸ㡡戲㥢㠴慤摢㐹㕦㌴ㄴ㌴ㅦ㘲㙥て㠳ㄸ㡦㠰㜴ㅤ㌶㌶㄰㘶户㝣㤴散挷㐰㤴摡挷㉥挴〳ㄷ㈴㘷敤昳㐲昱挴ㄳ㙢户晣晣愷愳ㅡ㝥㔰摢㐲㉣㠵㜸ㅣ〱㡤㤲慦㌲㙡摤扡〶㌰㠵て㠷慡㜸㡡〴晣搱㘰挸挲愹㘲㤸扦㌲ㄲ挲㠴ㄵ挴ㅦ慡㡡㘲㍡㕤㘵㍥挱捣㥥〴㌱㥥〲攱攰ㄵ㌶晦㑡摥ㅡ㄰愵愲㜶〱戶昸㙡㤷ㄷ捡㉥ㅡ㍤㘹昹晥捦ㄸ慢昷扥晤捣敥㙢㈱㥥㙡摦㐷㡦㙡㡤㉦挴捡㐴㘶搱㈳㔰㠹摢换捥慣昶㘰戱㈷ㄵ㑥㐵㔳㝥㝦㈲散㡢〷攳愵〳㘰戶戳换ち扣㙥㜴㑦ㅤ搰搰㥣㘸㔹㈸㌷㜰摢㡤㡣攳㘶㌲扤散㌰挴㤶㡤㙣㤹摦㥣㘸摢搶㕤㌸扤㍤摥㥥散㤷㉢换ㄸ挹㑢㌶ㅤ慢㌰挹㌶挹㙦㠷摣㘴晢挷ㅢ攷㈷㐷㉣㙡戰挴摢攷㠸戱〶搳㔲㔷㔸㍡愶㌵㜹㐴㕡㥡㔷愲ㄱ㔸㈴㕣㈰戶昳㙡㘹㠹慣㜲昵慦㤹搳搲㤶㙣㤶攲つ㘹㥡搲㔰㍦㌷搹㍡㍤挹㈵挶㘴㐲慡扡〵㐵昶㐲搰㤰挹捤愸㈸㤶㜶ㄲ〳㥤摣搴攸㐵敤挹收㐴㌲㠱昲捥㑢戶戶㉦㥥ㄱ慦㙢㑣㙥㤹愵㘲攵〹挱㌶㔹散㌱㉤昵昳摢㙡㕡㥡摢㕢㕢ㅡ戳㈵㈳ㄲぢ攲㔸㝣㑡㑣㙡㐹㈴戱㜶㔴挲愳㐸ㄵ㜵改愲㔴搱㙥㙥㌷㍦戴摢㔶㈹つ攱㘸攲敤搱收㕢㘷㜷扢捡㘹愸ㅤ㙡搱㤸㘴㥦㉣ㅥ戴ㄹ㘳㘲㤷㘶〶ㄷ㔶㜴搴㠹敢戱搴摥戵戰戶㤴㌱摤㜲晦㕤攵攲攲㍥㜶敤㐷㉦挰〲摤戸㜸㜳愲㌱搹摡攱㙡戲㘲㠹捣愷㐱㑡㐳㌸㥢ぢ愲㔷〲つ戵㐸㉤㉥㕤搸㤰㘸㥦㘳捣㐹㌶捣㥥挳㈹ㅤ㔶㥣换捡〸㙤摥㘱㍥ぢ㤶昹ㅣ挹昳㈰ㅥ㑦㤱昱〲㤵っ㡦昹㜷㉢㕥㍡㄰晦㜷㙡㘵㈸㙢改慦ㄸ愹㑣㔹㙡挴扡㜰㕢㘹ㄳ㙥㝣摢扡㜴㜱慢攵戸㜸摢㥣㜶㜶捦㡥㠵戴昷㈲挹㑢㈰愵㠳㐰㌶扢戲㔸づ愵ㄲ㉥愰昶㘸ㅡ㤵㑣挵戱㙣㉤㘷户㡡㤷捡㑡㔵㈹戸㙤昵㈶㤷㑣挷攳㕣㔹㘴㈰㠴㤳扦㝢ㄳ㝢㝦㜲㔱晢愸㜸㝢扣㙢ㄳㄶ㕦搱㑡㈶㤴㠶㐸㉡㉢挴㤴㍤㠴愷㔳㝢散ㄸ㉣㜸㈵攸戰搲㑤ㄸ㤶㈵㥣㌸㌸㕦㡡扡搸戴攳㑡愰散㍢愰ㄲ㐶㙥㐷捦㕥㐴挵摡㙥㘲㙣戲㜹挶攲㜹挹㌶慡㤷ㄹㅤ㐲㤹㝢㝡挹㔲㔷㝤摤捣昶㠶挶戶㑡㤴㜴㙣㙢换晣㜹扦愷ㅤ摡㌲搷㠱攸愳㜴〸㝡㜱攷敢〴戸㡡扡㉥㘰摢搴搶ㄶ㤵搱ㅡ㌹挶㉢㈰搶㉡㉤扢㉣㉣晥㠲晦攴㌰㕦挳㝦ㅥ㤳ち愶扢慣戴〲戲㕦戳敡捣戹㔱昷愶挹昵㜵㌳㕡㤳戲㡥㕥㈶ㄱ㐰摥愳改㠰㤶搶戹㜵㉤㉤㜳戹晣搹㔳㘲㙤㜳㤲挹㜶慥㑤㜷戳搷攲㘵捤㕤愹㉥㕤戲㔶㤰ㅤ㡢搸㍢挲扥昱㈶㐸㡦ㄱ㡤㡤晤戵挵㌶攳㉤戰扡㘰㤵摣㜸ㅢ㠱㔱ㅢ㉥㍣㘵晤慡㑢㌷㥤㝦㉦㤶㈰㌶摥㝡挶晡㠷捥晦攰挲㘵ㅢ㙥扢㘱挳晤㜷㙦㌸攷㡥晤㠳㤵晥摡㑤㔷摦扦昱戲㤵戸㉢挷㠲搹㠷㔷摦㔴扢昱昸㜳㌷慣㍡㜱挳㠳攷散敡ㅦ㕣戹愸戱㙤㤱ㅡ〰愴戸〶㝣晢つ昳㕡㍥扡㜷挹愴慢㠶㈵晦昳㘶昹㔷户愸晥戶㈰㙦㜹㝡㔷攴捤换扡昹㉥㠸摡〱㙡ㅣ㠶㄰捥㍥捣昷ㄱ㌷搷㤳㙣〰挱㘰㈲攸㘳㉣搹㘸㐵搵㘰晣捦昱挴晣㤰㘴ㄳ㠸ㅡ〲挲戳搹晣〸㐴ㅦ㙡ぢ搸㘷㈷㘱㐳㥢扢㤱攴戵攳㘷攰㝡㍡㤲愹摤愱挱㜶㌶㠹慢㐹㈴㑤愲愸扡挱戰㉢〰ㅥ㕢㤰户㍡㕥㠹㘴㥤㕢㠱㌶愰昹晦挴ㄵ摣扡㙥晦挶㙢㤱攱挱㔱愴昶㐴㘵愵㌹扦㐳挰晣ㅥ愴搴て搲㤹戵㜴摥㈳愸戸慡㔳昵㉡愱㤲㕤㥢戰搶㍥㘹㜶敢慦ㅦ㤸㝢㈲愱㡣慥㤶㠱敥㍡㉡㕢ㄱ㍡挲搱摡慢㈳搰㤶攱扥㐷㠶㠱㤱愵㡦㡥㌹㠶敤戴敤摦晢ㅡ㠰扡㘳攸戲㉥〳㔹㔷〳㠳㐷挷昰愱㥣〰㡡㠳攰敦㌵捣晦摦捥敦昷㉡㌷㌱戰㡥㉦慡戳晦㉦ㅡ㥥ㅤ㝦攷ㄱ㡦改〳㉢㝦㄰昹ㄱ㕣㑦㠷挲㡥ㄲ慡〰㤲愷㐷ㄸ愳ぢ㐶㉢〳㤳㑣昴㌰㙢愰昹昱㍦〵〶㥡ㅦ㙣㐱摥捥㑥ㄸ〶㘵愴敤ち㕢敡㝢愸戹㡦戴㈶挴愶㠷愴ㅢ㠸㘳愴敤㘱㐵㔵〴㠶攴搴散㐹愵㜲㄰㔵〵㤶㡣戴㕥挴昴愱㍥㐷ㅥ㝡愴㌵㝡㐳㘲㙤〴攵つ户㝤㈱昲㤸㔴挸㐷㔱㘴㉡〶㥢㘹㌰ㅣ挳敤㠶㐲㈸慣户〵㜹㍢㑣㝢挳搲〰晣㤹摢㈳㍢昵㕥㐱ㄴ㜶㘴㘹晡㤳っ〰㜱愰戰㤳ㄵ㔵挳㘰㐴㔰ㄸ㐴愵ち㄰挵慥㈲㈸散㡣㤸㍥搴敢づㄴ捣㝤挰捥慦攴㙥戴搹㤱㑣つ㐷㍡㌷〰㥥㉦〴挰㜳戶㈰㙦〷慢〶㤶〶戰ㄴ㐱ㄶ昹㤹㠲〰㠴㈱㌶㈳㈴㔱㄰〷〰㌱㉢慡㐶挱㠸〰㌰㤴㑡㝢㠱愸㌱㘰〹〰㝢㈳愶て昵戸ㄳ㠰搱㘰攷〳㌰㥣㌶捤づ㘴㙡㉣搲戹〱㜰㝦㈱〰㔶搹㠲扣つ戵昱戰搴挱㈲㐲搶ㅥㄶ㤷㉡戳ㄶㄱ扡愷挶㌴㌴戶㈷㕢攵㍥戱㍣㠵晦㉣敦ぢ㠹昷攰扤㜱㙢扣摥昲㙢攸㥢慡挱敤㌱摣㍤摡ㄷ㘷ㄶっ昲㙥捦慤扢搷晦扦〸昱㠷㕢㠴㤰㈵㠸慣㠵㠸づ㙥昲搱㘹㜲㤶㈱㍡㔶㜶㜴㈲摥㝦扢摥㉤㐸㤷慡㠴攵散㑥㐶晤摣晢ㅢ搹て㑥敢㍢㍢㈱戵㝤㠵ㄷ㈷搸搹昳㍢㈹ㄳㄵ㕣〸攰扤晥晦㕦㐶挹㜵捡戳㤶㔱挶㜳㈴摣㤷㘴〲挹㐴㤲㐹㈰敡㉥㝢㤸㍤〵㤱㔳〰攰ㄳ挵㐵㐵敦㈳㕣㘴㑥愶捥ㄴ㤲愹㈰㡥㘱㜶㍡愲挶っ㤰㜲扤戱摦摦敡㘲㤸ㅣ敦㡢㤴㌲昴捥㘴挲晤㐱扡ㅦ〰戲摦戸㘴㈳㤶攴㝥㉦㐷戸搲㠹挸愶攳㐵〴昴㥦摥㔰摡戲㘹晡攲收晡㌹慤㉤捤㜰㐷攴摡挶㠸㝡㜸㤲戵愹戸搱㌴戱愵㘶㝥扢搱㌴慥〱晦㜵㙦㥡㤶㥣㤷㡣户搷㘰挹ㄵぢ㈷ㄳ攱慣㈰换㈲攳ㄳ㡢㝥晤散晣昷㕢㌶㈹㉡㐱ㄵ㡡ㄴ〰搴㉢㈷㉡昷散戵ㄶ㌰㙣㜸㉢㐷戵挰㉢㌱㈹づ㤹㠴摤㌰戰〴昶〷㕣ㄷ挱扥㍥㑡㜷搵扦㙥搹慢攲㡡摢㝦戱晦㍦づ昷愱㜲㤸ㄳ㔰改晣㉢昱挱㐸攲改㐸愶㈶㈱㕤晡㑡㙣ㅣ㐶搸搰つ慣㔹改㤵㠵慥挶㔷搸㠲㍣㈷㡡㈹戰㌶㠰㈵㐹挰㤰扡捣㍥㑦挰挸㍥捣ㄴ挴收㙣㤲㌹㈰㡥昳攴㜰㉢慡愶㈲㠱㥣ㄳ㜳愹搴〸愲愶㠳㈵搳㤱㈶挴昴愱捥㐳ㅥ㝡㔶㙡㑥〳㍢ㅦ㠴㈳㘸戳㈳㤹㥡㠱㜴㘹㄰ㅣㄳ搲愵㠵〰㌸搵ㄶ攴昹㙤ㅣ〰㑢〳㔸㡡㈳㔹攴㤳㙤〰戸扦挲扦捣㐰㜱㌴挴收㌱㈴挷㠲㌸〰㌸摥㡡慡〳愱㉥〰㉣愱搲〹㈰敡㈰戰〴㠰ㄳㄱ搳㠷㍡摡〹挰㉣戰昳〱㌸㤵㌶捤づ㘴敡㘰愴㜳〳愰戵㄰〰㐷搸㠲㍣慦㤱㐳㘱㘹〰㑢昱㈷ㄶ戹挵〶〰㡣散挳㍣て㘲昳㝣㤲ぢ㐰ㅣ〰㕣㘴㐵㔵㉤ㄲ〸〰ㄷ㔳改ㄲ㄰ㄵ〷㑢〰㔸㠶㤸㍥㔴捡〹挰㘱㘰攷〳㜰〵昴㍤㘶〷㌲㔵㠷㜴㙥〰晣㑦㈱〰づ戶〵㜹㡥㉢㐹㔸ㅡ挰㔲摣㠰㑣搵慣㠲〰摣〴戱㜹㌳挹㉤㈰づ〰㔶㔸㔱㤵㠲ㄱ〱攰㌶㉡慤〴㔱㜳挰ㄲ〰㙥㐷㑣ㅦ㙡㡡ㄳ㠰搹㘰攷〳㜰㌷㙤㥡ㅤ挸㔴〳搲戹〱㌰愶㄰〰愳㙤㐱㥥㈷っ㕤㔸〶戰ㄴて戲挸㌵〵〱㜸ㄸ㘲昳ㄱ㤲㐷㐱ㅣ〰晣挵㡡慡㈶ㄸㄱ〰ㅥ愷搲ㄳ㈰慡〵㉣〱攰㐹挴昴愱㠶㍡〱㘸〶㍢ㅦ㠰扦搱愶搹㠱㑣捤㐳㍡㌷〰㝣㠵〰搸搳ㄶ攴昹摡戴挱搲〰㤶攲㐵ㄶ㜹㡦㠲〰慣㠳搸㝣㤹攴ㄵ㄰〷〰慦㔹㔱挵ㅤㄹ〱攰㜵㉡扤〱愲ㄶ㠰㈵〰晣〳㌱㝤愸㐱㑥〰收㠳㥤て挰㍦㘹搳散㐰愶ㄶ㈲㥤ㅢ〰晤ち〱戰㡤㉤挸㜳昲㌹ㄲ㤶〶戰ㄴㅦ戲挸㕢ㄵ〴攰㈳㠸捤㡦㐹㍥〱㜱〰昰㤹ㄵ㔵㐷挱㠸〰昰㌹㤵扥〰㔱挷㠰㈵〰晣ぢ㌱㝤愸㥥㑥〰㡥〶㍢ㅦ㠰㙦㘸搳散㐰愶㡥㐵㍡㌷〰㑡ち〱搰挵ㄶ攴㜹ㄸ㉤㠱愵〱㉣挵㝦㤰愹㔲〵〱㈸㉡㠶㡥㈲㈹〶㜱〰㔰㘲㐵搵〹㌰㌲㤰㠶㑡挱㌰つ㄰㜵ㄲ愲〲㐰㔷挴昴愱扥晦㌹㜳ㄹ㌴昸搰㠸攵㥡㤴户㌸搳つ㈲㡦㐹㠵㝣㠴㐴愶㑥㠶㑤㌷ㄴ㍥㐳づ慥㙢攱㥦摡㠲㍣㥦愷㔳㘱㠹户攷㘶㕦㘶户〵挹㤶㈴㕢㤱㙣つ愲㌶㈲㈹㤷慤戸㔳㜷〷晥㌲搷挷㝥搴搹㤶㘴㍢㄰〷㌲㍢㤰挷㠹㌴㈶捥㑢㤱㘴㈰㌳攸㑦收〰㄰㜵㍡愲㥣攸挲㍦ㅦ搱㠲戳愵搳愸㤱〷㑥〵㤲㜸捣づ㘴敡っ愴换㠰挳搹㤲㌵㔳㕡㔷〸㥣㤷㙣㐱㥥ㅦ搷搹戰㈴㕤愴㤲挵晥扢つ〴㤸搹㠷改㠳搸昴㤳〴㔸扡捣㑥㐹挸㡡慡㜳㤰㘰㈰晥捣㌰㤵㈲㈰敡㕣㐴愵㡢㐴ㄱ搳㠷㕡㠳㍣搲㌳愵㍦㠱㥤て挰㕥搰昷㤸ㅤ挸搴㜹㐸㤷〱攰㉤㕡㜹ㅢ㐴㍤㕣〸㠰㠷㙣㐱㥥摦搸〵㐸㈶扤㘳ㄴ换㍤㥡㘴っ挹㔸㤲㜱㈰敡㍥ㅢ㤴て愱昹㈸晥㌲扤㘳㕦敡㑣㈰㤹〸攲〰㘵㍦㐴㡤挹㈰㉥户㔹ㄷ挲挴㐰晣㤹㔳㈰㌷愷㠲愸㡢ㄱ戵㝡换㌴㐴ぢ昶㤶㡢㤸㉡慦户捣㐴ㄲ㡦搹㠱㑣㕤㠲㜴ㄹ戰㌲扤攵扡㐲㘰㕤㙢ぢ昲摣攳㉥㠳㈵改㉤㠷戲搸㔷摢挰㠰㤹㝤㤸㠷㐱㙣挶㐹敡㔸扡㑣㙦㐹㔸㔱㜵㌹ㄲっ挴㥦㤹愴㔲ち㐴㕤㠹愸昴㤶搹㠸改㐳㕤㠲㍣搲扤攵ち戰昳〱㤸ぢ㝤㡦搹㠱㑣㕤㠵㜴ㄹ〰㌲扤攵散㐲〰㥣㘵ぢ昲㕣昳慥㠱㈵〱愰㥤㐵㍥愳㈰〰ぢ㈰㌶ㄷ㤲㉣〲㜱〰㜰愴ㄵ㔵搷挲搰㐰㔶攷㈸㉡ㅤつ愲慥㐷㔴〰㌸〶㌱㝤愸ㄳ㥣〰㕣〷㜶㍥〰㑢愰敦㌱㍢㤰愹ㅢ㤰捥つ㠰㐵㠵〰㔸㘸ぢ昲扣晦㙥㠶㈵〱攰㜴ㄶ㜹㝥㐱〰捥㠴搸㍣㡢攴㙣㤶㉥搳〳晥㘴㐵搵㉤㌰㌴㤰搵㌹㤷㑡攷㠱愸ㄵ㠸ち〰攷㈳愶て搵攸〴攰㔶戰昳〱戸ㄸ晡ㅥ戳〳㤹愲㌳愱ㅢ〰㜵㠵〰㠸摢㠲㍣扦挳摢㘱㠹扢慢昶㡥攲ㅤ〸づ挴㥦戹ㅣ㘵㌰慦〶㔱㜷㈱捡㕤㐵敢攸捣㔶捦㥤㔰捤慦搵㜵慣㤵挷散㐰搸㤱㑣摤つ愳㤹㉡㜷㔱挸㐲㠶挸㘹㠵慡㍣搵ㄶ攴戹㐷摥ぢ㑢搲收㜷戰㝡㤳愱收扥挷㜳ㄷ㈱戸㥢攴捦㔲㜴慢㑥搸㑤扦搷㡡慡晢㘰㘸㈰敢㝡ㅦ㤵㔶㠱愸晢ㄱ㤵㌶扦ㅦ㌱㝤愸㌱挸㈳㝤搶慦〲㍢ㅦ㥤㠷愰敦㌱㍢㤰㈹晡㔴㘶〰挸㥣昵㝢ㄷ〲㘰㉦㕢㤰攷㝥昹㄰㉣〹〰㑦戱挸戱㠲〰慣㠱搸晣ㅢ挹㕡㤶㉥搳改㥦戱愲敡㘱ㄸㅡ挸敡㍣㑢愵攷㐰搴愳㠸ち〰捦㈳愶て攵㜳〰㘰晣ㅤ㤲戴愷㘶摥昸晦ㄲ愴㜰㝥〲捤〷㐹㘴敡㌱㤸㜵〳㘲攷㐲㐰㔴搸㠲㍣ㄷ搰㈷㘰㐹㠰㜸ㄳ搹愹㥤ち〲昱㌶㑢昳㑦㤲㜷㐰ㅣ㐰扣㘷㐵搵㤳㌰㌴㄰㝦收晢㔴㕡て愲晥㡡愸〰戱〱㌱㝤愸㝥㑥㈰㌶㐲㘲戹㡢收愱戰〹㈲戸㙤㠰收愳㈰㌲挵㠵て㌷ㄴ扣㠵㔰㈸户〵戹㝥愸愵㑦挳搲慦昰ㅦ散〶㜵㌳戵㝦㐳㜲㈱ㅤ㥥㝡愶戲㥥㍥散㤱ㅡ搵戲㕦㑢晢愸㠶戶㜹㡤昱挵㝤㔲㜶攰㠰㌹挹㘶昸㑥戶挲㠵㌲㠷搷㌲㙦㕥㌲㘱愶愶户捣㙦慤㑦㡥ㅦ昵㐷昰慤㤴挶㠲慢㤰㔲㐵挵ち挷㙦㜳ㄷ㉣㐲㑡㜴ㄵ晡㘹㤴搲挹㉦搷敢换戱ㅤ㤱搹昹昲㐲戱㍣㠳攸㡣㠶昶挶㘴户㤴挸㈵㕣㤶〲㡡㜰㐸㑤㜴㑤捤㤸〳㐷愸㔱㍤㔲㘳㕢ㅢㄲ㡤つ捤㐹㌶〶㜶搳攸扡㍢㌱㌹ㅢ捥愷㔳㕡摡ㅡ昸㌴㜳㡦搴㡣搶㜸㜳摢㍣晡搱搵㉦敥㥤ㄵ㤳㤵攵搲搴挸㠶收㌶㘴㈳捦㤰㌲㕣㥥㥡㍥愷㘵㈱ㅥ慣㥦摦搴㍣㌶㍥慦敤て搱㉡㑡摡㠵㐴㥡㐶ㄵ慢攲㘲㔵㔶㕣昶㕢摢挷昸ㄲ㘷㔷ㅦ敢㌹㤵晥攸愷敤慤つ㜵昳〹㤸攴ㄳ〰㉤㈱㤱㌶㉣㉡㝤づ愱づ㜶㤴戸慦㘴扢〴搳摤㤵㘵捤㝡慥搰搵昳㌲晤戶㠲敤愱㙥㝥㠵攲㜴晦ㅡ㘴摦戱㌳挷㘷ㅣ挱晦㔷㡦晥㤷㍥て换戹敢昴戹㍤㉦敤㜷扢〵㤴㝢㕡㕤㠸㍣昶㈸㥣㤹攸〹㡣攵㜶㑢㑦㑡㜴搸㐳㝢㘶㠲㘳攰扡搹㍤㌵㌱㕥㤷㙣挴㡥㑣㔳扣扤愷ㄵ攱敥ㅡㅥつ㙦戳㘵㌵㉤㑤㑤㜱㜶㌹㜶搷改昵昱挶㘴㔹㙡挴晣昶㤶㐹つ捤㘶ち㐴晡愵捤㡡㉦〲㉢扥㐸㔸摤㔳搳攸㠹㉥㘱摡㙡㤹ㅤ㙦㙤㘸㥦搳搴㔰㕦挶〸扤挵晦㄰㝤ㄵ攳㝦〹挰搴㠷ㅥ㑢㜲昷㠹慣ㅤㄳ㌴㜷㈵㜶慤〸ㅤ㥢ㅦ㍤扡㔸ㄹ昸愷㝥愳㜳ㄸ㐶ㅥ戹㘸㤸摦挲㕡㈹晥㘴㈸㤲戲㝣㈱づ㝤〸㝥㜱ㅣ扡愸っ㑥敡敦㔴挰㥦昹ㅤ㔴ㄹ攰㕦挹㡢㈰ㅤ㝡戱㜶㠵㠲㘷㘲㑢㍣㌱〶㝢昹㉤慤㕤敤㔷㔵㤴愱㘹㌹搴戴㝡改㔷㕣〳㔷㜵戸挰㉦㘸㐸㈴㕢换挸㤸㡥扤慦ㄲ㝡㈴ㅢ㔶ㅢ昲㘴㉥㉡㉤敤㔶收㤶搷㜸㙤㙢㤰敤愸改㝣搵挷昸㍣晢㥦㑣慤慡㘶搹㍤ㅥ戹㐴㝤㡦敡㤸晦㘶㥤戸づ挲晡攴㈸晣㐰㠵ㅦ㐱㑡搷㐱㤸摢㌶搹㉥扥㜰〴㌶愱㔴㐲户戶ㄲ扡戳㤵㘹㌷戶㔲愹㐸㌷㠷摢㥡㘱戹慢㤵改㌷㐷ㄸ搳搱换㤳〹㡦㌵扥㜲攷て㔷㠶愲攲攲ㄲ㌴戵㤱敢㘴㤱㤷㉤㡣㌵㑤㑦㡡ㅢ戲摡〱㐵㌰㝥㐲㠹扢昱㘴㠱晤摡搱挱㐰摥〴〱㤳散晦㐰愷挸愳㕥〳搵ㄵ摦㡥ㅣぢ㤹㕦㔸㜱㍥晢愲摥〵㤳㤷㝦挷挵㑡扤㡦㈸㉦㔸㐵㠶㠲㑡㘷〷㐸戵ㅥ㈹㌸㐸㥡挵㌴扣〱㈱㡥㍤改扥㔸〲敥收晢攲㐶愶挰㥦挹搷㜶㌰㈰㝦㕣愹搰搵㤰㡡㔹搵㌰愰㘳㜶愵攲㈶㜷㠵㌲㉡昰愵㉥敡㈳㈸戰㤱つて㘲㘹昰挶㠶晣㙥攰㜵㠷づ挰晢捣㘱㤴て㉣搹攰昵愰搱㥥㌴晡㥤㐳〱㐱慤㔰㑥〵㉦ㄵ扥㜷㔷攸㐵㠵摥㔴愰昷㥢慥搸㕡㔴搵攳搹ちㅣ戳てㄵ晡㔲㠱㕥㘸戹敤㐳搷㌳慢㝤戶㠰㑡愷摢挷㠳㘴搲㍥㕢搲㌰扤搶戲摡㘷㙢㜰㌷摦㍥昴㙥挳て敦慥愱ㄱ〴攴㡦㉥㙥扡ㅡ愵㘰摡㐸昵㠳㡥戹㉤ㄵ改晥收愲戰ㅤㄵ戶愷〲㍤攲愴㝤㜶㐰㉣摤㍥ㄳ摣㍢㜷㝦攸愰㝤晡㍡㡣㍡摡㘷〰㡤づ愴㔱㍡慦攵㠲户㈳㜸ㄶ㜸㍢㐱愵搳攰昵㐷㌲〱㙦㄰つて㐰㉣ぢ扣㥤挱摤㍣㜸㍢㈱ㄹ㝥㐵收㉥㌴愲挱愳㘷㥣挶㠶㑣ㅢ扣㕤愱㘳づ愶㈲扤收㕣ㄴ㜶愳挲㄰㉡散っ〵〱㙦㜷挴㜶搷㈳挳㘶㥦㡥攴㜳㜲戹昷ㅤㄸ㍡㉡㘱〴攸敥收挸搵㠱敥㥥捣搵挷㕣改ㄹ㈷攸攲ㄴ㐷愱㌹捦㔵㜴㠷戳搰昵㐳愵搳攸搲㠱㑥搰つ搰㌰㍤改戲搰つ㠱扢㜹㜴改㜱㠷ㅦㄶ㙣㘹㐴愳㑢户㍢つ㥥㘳攸㠸㐰挷㡣㔲㤱㉥㜹㉥ち㔵㔴㠸㔱㠱㕥㝡㠲敥㔰挴搲㕤㤳㉦愶㜰〱㙦㙦攸〰扣攱づ愳づ昰㠶搱攸㍥㈰愵昴㠱改㘰㕡〶㔷〱㠷愷㔴㑦搸㌴㔲㌳㥢ㅢ摡㌱㘳㘲昳㡥㘹㘸挷搸摦㍤〵㠲愰戸㌴昵㤳㤹㤴㈳搱㤰昴ㅤ摡㡥昹愲慣㕢戶ㅤ昲攵捥㝢戸㐱㉥㘲敢敥捥㜱㔳户㌹㈵戹换㜳㈹攳ㅦ改戶㑦㔹㉥㉥㐵搶㥤㕦㠷㉦扣挹攰捥㤹晢晦攲㈶㔱晡㄰摥愷挲㙥愳昰て攷摦〸㠴㜹捦戸敦㘶扢㠸挳㍦慥ㅢ扢ㅤ敦ㅢ㉤㕥て摢〱㜳㝣㜳ㅢ㘶㕥ㅥ㍢㠶㜹㜵㑦㍢㌸㜹㝥㝢㤶㈴扥愸㡦㉤挱搳㉦㤳㥢㜱㌷㔴ㅦ㙦㑤晣㐱愶搲愸㥢㜵挷㈷戳攲摦㜸㌷づ㈳㍣ㅣㄳ㘰慣慦㡣戴戱愶㈳摡慦㜱㉦㉣㠷愵ㅥ㠴㍢敤㜵㔸挶ㄸ㕦戸㈰慤㘰扤㈰㑡㤶㐶愶㈴戱慥㠱搷㠰㌵㈶晢㐸㠲㜴㔴愶㡤㘶㙡㐴㕤ㅢ㙥戳摢㜹て㘵㠷攴㐴㌷㔳搳㤲㡤㜱㍥慦㡡㕢ㅥ㍢㌴愵扥ㅤ捥戴㘹〳㝣ㄶ昵㡦搳㐲㐰愴挴㙥㈵㈵敤㘴㜴㌰扥㘵㔷㠲攷搰㙦㙣㔵戴㕢㑡㡥捦慡搵愵换㜸摣㕣㕤愴〳搶㐵愹㤴づ㠶ㅤ摣戹㘳慣㜵晡㠲昲㑣敡愳㕤㤴慤ㄱ㑥〶慦敥㥡挷摢晢ㅥ㕣㠶㘹㙤挷〳摢㝣㡦㔰㌹㑦㥤㐶摣晦戴㌷攰㑥戶㜱㜱捦搴昸收晡挶昹㠹愴摣〶敢㌱㕢敥㠶晦㄰敤㔵〲㐰散㌳慡〳㕣㙣㔰挶攳ㄵ㡡晡〱摥摦扥ㄶ㘶搶攰㑣㤳挱づ㌶攰挳㙥㥦㜷㜴晢晣搵㡥户ㅥ㤴扥㜷挶㙤㕣㕥慣㠷愱㉤㡦挵㌱㡤摥㤳㌵摡㜷㔷捥㌸㠷摡挴㤶㠹㉤㕣㑢㜳戰挶㌵㔸慣㍦㐴㍢愱㥥㔶㌳攱㤹愴摦扣ち㐹㈳㌸戶扤昲搰挱㑦㝢扢つ㕦扤攲㤱ㄳ㔷ㅥ昱㜹㌵㕡㐱㘶㙣昴慣㤵ㄹ㥢㜸㌳捡挴㈹〰昵㘲ㄲ㤹搵ㄵ㈹晡摤捡散㙣㉣㕡㑤搱〱搷㥡㥤㔹敤㘹㡥〷㜷昳戳㌳㍡敡攲〷挷㕦ㅡ㐱㐰晥攸㤹慢㈷㕦㔶㠶㍣晤捣〹搰㌱㈷㔲㤱㕥扢㉥ち㤳愸戰ㅦ㐸㈹㥤㌷㜳〷㥡㠲㝥愸㐸㔰㠴㠷㡥㜱〳㕥搶挴㠵〸㥣愶〶ㅥ㌶㠶㥦㉤ㄶ㌳㡣㙥㘵昴㔳㌵㈷㐳敢搹㘷㥥ㄹ挶昲㈸㍡㝡敡晣戹㤸㙦㑦捥愷㌰晦愹㈰㜸㜶㉥晦ㅥ㠳㕥㤸搶㉣㜸ㅡ㔴㍡㍤ぢ愶摦愶攰㍣㥤㠶改挰㤹㌵ぢ㥥〹敥收㜱㍥ㅣ挹昰㠳扦㌳㡤戰ち晣愳户愷慥㠶㘳ㄶ㝣〰㜴捣〳愹㐸㑦㔰ㄷ㠵㔹㔴㌸㠸ち㜴づ㤵㔹昰挱㠸愵敦㌱㍡昵㕥㉥㤷㘹昲㈱㌰㠲㘹㌲㍤㐸㜵慥㡥㘹昲愱捣戵㤶戹搲摢㔳敥㌱㌲㙢改㡡㉥㥥ㄶ扡㠷㐱愵搳攸搲㈹㔴搰㡤搳㌰扤㐳戳搰慤〷㜷昳攸ㅥ㡦㘴昸挱て㤷㐶㌴扡㑢㄰搲搵〰㕦㜷㤲㈴挲㘶㡡㡡㜴㌳㜵㔱㤸㑤㠵㌹㔴愰攷愹愰摢㠰㔸㝦㝤〷㔷昰㌵㘳㉥㠸捥㐵㐲㈰㑡㤷㔴㥤㤳〳搱㐶收搴挴㥣攸㍥㥡㡢㈸㝤㐶㉤㐴㥢愱搲㘹㐴改㘵㉡㠸戶搰昰〵㠸㘵㈱㝡〴戸㥢㐷㤴㙥愹昸ㄵ㤹慤㌴愲ㄱ愵㙦慡慥〶㤹昶㘹搷〶ㅤ㤳慦昶㔵昴㕢㜵㔱㤸㑦㠵〵㔴愰㉢慢㈰扡㄰戱㝥ㅡ㔱敢㥥㌸敢攵㔰㉥㔸㉥㐶ㄲ㘰㐹敦㔶㥤㠷〳换㈳㤹挷㔱捣㠳㥥愸戹㔸搲晤搴挲昲㘸愸㜴ㅡ㑢㍡慣ち㤶挷搰昰㉤㠸㘵㘱㜹ㅣ戸㥢挷㤲ㅥ慥昸ㄵ㤹挷搳㠸挶㤲㙥慥扡ㅡ㡥㜳㝦〹㜴捣ㄳ愸㐸ㄷ㔸ㄷ㠵ㄳ愹㜰ㄲㄵ攸ㄵ㉢㔸㥥㡣㔸㔵㌶㤶扦攲㜵㙦㉥㐸㥦ち㠳㐰㥡㙥戴扡〴㐳挹戱搶昷㤶戲〴愷戱〴㜴㜹捤㐵㥡㝥慥ㄶ搲愷㐳愵搳㐸㍦㠲㘴㠲昴ㄹ㌴晣㈸㘲㔹㐸㥦〵敥收㤱愶㉢㉤㝥㜰〶愱ㄱ㡤㌴晤㘹㜵㌵挸戴慢㜱づ㜴捣㍦㔱㤱扥戶㉥ち攷㔲攱㍣㉡搰晤㔶㤰㍥ㅦ戱昴㈸扢昹㤵ㅣ扣慤捥〵摤ぢ㘱〴攸搲㐷㔷攷敡攸挷ㄷ㌱搷㡢㤹㉢晤㘹㜳搱㕤〷㥥㠵敥㈵㔰改㌴扡㜴扢ㄵ㜴㤷搱㌰晤㙦戳搰扤っ摣捤愳㑢㍦㕤晣昰扡㌱ㅡ搱攸搲㔹㔷㔷挳搱㡦慦㠰㡥㜹㈵ㄵ改挸敢愲㜰ㄵㄵ㤶㔳㠱扥扤㠲敥搵㠸昵搲晤㌸昳愲㍤ㄷ〸慦㠵㈶㈰晣愷挳戴愳㠳㕥㐷搳搷搳㌴㍤㜲㜳㈱晣〸㍣ぢ挲ㅢ愰搲㘹〸改戸㉢㄰摥㐸挳昴攰捤㠲昰㘶㜰㌷て㈱㍤㝤昱㠳ㄳ㍣㡤㘸〸改敥慢ㄱ〲㕦㜷搰㕢ㄱ㌶㔷㔰㤱慥挰㉥ち户㔱㘱㈵ㄵ攸ㅤ㉣㄰摥㡥㔸㝡㌱㙣扣晢㍡敤㥤搰〱㜸昴㄰搶㐶ㅤ晤敦㉥ㅡ扤㥢㐶改捤㥢ぢ㕥ㄱ㥡搸〲敦捦㔰改㌴㜸ち挹〴扣㝢㘸㤸摥扦㔹攰摤〷敥收挱㉢㐱㌲ㄴ〹ㅥ㍤㌴愲挱㘳㍡㕤つ昰㌵㜸昷㈳㙣慥愶㈲摤㠸㕤ㄴㅥ愰挲㠳㔴攸ち〵〱敦㈱挴搲攰㡤㜵〷敦ㄱ攸〰㍣㍡て㙢愳づ昰ㅥ愵搱挷㘸戴㉦ㄴ戸㥡㘸慦㈴㍤捥㘴昶㑡搲ㄳ〸㜳㔵㤶㉥挲㕣㑤搲㐷昶ㅡ挸㤳戶搶㤶搰攲㍡〸㙢扣戹㝢㙡戵ㄵ㤴㜹㕦㕤㘴㍥㠵攴㤹ㅢ扢㌵戶㌱扡㈱昳收捥㍡扥昸挵扡㈵扦扦扡晢㡥㝦㝤㘴户戳㍥慦㉥戲㙦㍦攸㡦㉣捤㉣敥挱㤲㜷〰㘹㥣户ㅦ昴㔶㤶㈶㕤ぢ摢㡡㙥换㔶㤳摡户ㅦ捦㠰扢昹㈶愵㝢戳ㄴ昷㔹ㅡ㐱づ昲搷ㅦ㕣つ㉥㑢㙡て搸捦㐱挷㝣㥥㡡〳摣ㄵ㕥愰挲摦愹㐰㙦㘸摥㠲㤸㉦㈲㤶扥㙢愸㜰㈴㜳摣㌵扣挴㘴敢㤸㡣捥挹戹㍤㥥ㅥ挹㔶㡦㝦ㄹ㉡㥤敥昱㝥㈴ㄳ㜸㕥愱攱〰㘲㔹㍤晥㌵㜰㌷て㑦〸挹〴㥥搷㘹㐴挳㐳捦㘷つて㠲ㅡ㥥㌷愰㘳晥㠳㡡ㄱ㜷㠵㌷愹昰ㄶㄵ愲㔰㤰ㅥ晦㌶㘲改㔹㤸换ㅢ㌱㕤㠶摥㜷㤰〴㈷〰㝤愷㜵㈱昶捡ㄴ攲㕤收昱ㅥ昳ㄸ〵〵挷〹戰㥥挹散ㄳ㘰〳挲㍣〱㐶㐳愵昰〹昰㠱慤㐵㌷改㑥㥦〰㘳愱㙣㥤〰ㅢ㤱㍣㜳〲㙣戲㡤搱搳摡㜹〲愰㔰㌸扥㌸捥晥ㅦ㉦㐱戰敥扦改㜲㙤㥤〰昴㜸㘶挹㡢㜲㑦〰㍡㘴㑢ぢ㝦っ摢㡡㥥搹㔹㈷挰愷攰㙥扥㠵改挱㉤㉤晣ㄹ㡤㔸ㄹ攱搶ㅥ㕣つ㉥㜳户㑦㠰捦愱㘳㝥㐱挵愹敥ち晦愲挲㤷㔴㤸〶〵㌹〱扥㐲㉣㝤〲搰㠷㕢摢㜵㥣〰㕦㌳搹㌷㑣㐶㝦敢摣ㄳ攰㌰昰慣ㄳ攰㕢愸㜴晡〴㠸㈳㤹挰昳ㅤつ搳㍦㍢敢〴昸㌷戸㥢㠷㈷㠱㘴〲捦て㌴愲攱㐹㠲慢慢㠱愰㠶攷㐷攸㤸㍦㔱㤱㡥摥㉥ち㍦㔳攱㍦㔴㤸つ〵㌹〱㝥㐱㉣㍤攴㡦㜷摦㍣ㄲ㤷ㄱ㡦愲晦户㌶敡ㄸ昲攱㉥㔰㘴㜶〱㔱敤㔰挸〵㙦〱㜸ㄶ㜸㜸㈷㘰攷挱㕢㠸㘴〲㕥㈹つ搳户㍢ぢ扣慥攰㙥ㅥ㍣晡㠰ぢ㜸㘵㌴愲挱愳㈳戸慥〶昸ㅡ㍣㝥㕥挵昴㔰㤱㑥攲㉥ち摤愸搰㥤ち昴ㅢㄷ昰㝡㈰㌶㔸捦搷㌶㍢ㅢ㜶㥢ち㤷挳〲〶㤳㈵㡥㉣ㅤ搰㝡㤹㘵㉦㘶㐹㉦昰㕣㘸改晡㙤㐱摢ㅢ㉡㥤敥㤷㜴ㄶㄷ㘸晢搰㌰扤挶戳愰摤〲摣捤㐳㑢敦㜲㠱㜶㑢ㅡ搱搰㥥ぢ慥㐶づ㐱つ敤㔶搰㌱户愶攲㜹敥ち摢㔰愱ㅦㄵ捥㠷㠲㐰扢㉤㘲㡥愹戰㝥㘳慤换㜸扣㍤㌴〱攱挵づ搳㐳㌳㜹敦㐰搳㍢搲昴㜲㠷〲攴扡㜰晤愹㌰㠰ち㔷扢㉢っ愴挲㑥㔴戸捥愱戰ㅥ㤵戶扤㈲〶㔱愱㠲ち昴摢捥㙤愵扢挰戳㕡㘹㘷愸㜴扡㤵敥㐶㌲㘹愵㕤㘸昸捦㠸㘵戵搲㘰㜰㌷摦㑡昷㈲㤹戴搲㙥㌴㠲㍡换摦㝤攰扡戴搲㄰攸㤸扢㔳㤱づ攳㉥ち㝢㔰愱㤲ち昴㈱㤷㔶摡ㄳ戱㕦㜱㍢㠸户昰扡㌴愰ㅦ㐶搰㠰㜴㌴搷戹㍡捥㠱〰㜳つ㌲㔷㍡㠵攷愲㑢㑦㜰ぢ摤㄰㔴㍡㡤㉥㝤挷〵摤㌰つ搳㠹㍣ぢ摤㈸戸㥢㐷㤷捥收㠲㙥ㄵ㡤㘸㜴改㜱慥慢㠱戱㔵㜷戳ㄸ㜴捣愱㔴愴㌷扡㡢挲㕥㔴搸㥢ち㜴㔰ㄷ㜴㠷㈱㤶ㅥ㥢挷攲㍤搳㉥攰㔵㐳〷攰搱〱㕤ㅢ㜵㠰㌷㥣㐶㐷搰㈸ㅤ挹㜳挱愳昷戸〵摥㐸愸㜴ㅡ㍣晡㥢ぢ㜸㌵㌴晣づ㘲㔹攰㡤〶㜷昳攰搱㐱㕤挰ㅢ㐳㈳ㅡ㍣㝡愹敢㙡㌸挰ㅢぢㅤ㜳ㅣㄵ搷扢㉢㡣愷挲扥㔴搸〰〵〱㙦〲㘲ㄹ昰昰捥㘸ㄷ昰㈶㐱〷攰搱㙦㕤攷敡〰㙦㍦ㅡ㥤㑣愳昴㠰㤵挲㑥㘱捣㉥㙣改户攰收㍡攷攵㌹㑥㑡づ㈹扡㔰㑥㙦㕦摣〸户㔵〶改慣㘷㠵戸摡㡦㙤㜰昰攰㐲搸搲㡡ㅤ戰㤲摣㜷户愴搳慥㐵挶摤晡收扣㈰㔷㤲㔱昲㌵㑡㔳㝡晢㡦昹㉦㠱㑤愷㘷挱㌳㙦换㘴ㅡㅥ挶㌴ㄴ戱敦愴㠶晡搶㤶戶㤶㔴㝢晦改㜰挹敥捦ㄷづ攳㜹㜴摦㠸搲摢㘰搱㌵㑦㔶慣愴ㄹㄵ㈹㕤挰ㄷ㜰㝡收㌶户㉣㙣㤶搲㤴戶昱扤换㠲㔷搷慥捣挶挳㝣㜸散〴昰扣摦愱愰㑣㙣捥〰敤搱挵㑢㜷㐸㉡ㅢ㌳ㄱ慦愸ㄹ㔹㌳慤㌶㤰昰晢ㄲ㜵晣㈸㐰㈰㠱㙦〳㠴敡㐲㜸攱戶ㅦ慦收㡦㈷挲㤱㐴㈰攴ㄵ敦㐹摡搸ㅦ㘹扣昴㤷㤴散づ㘰㡣㡥㤳ㄲ愳慣㤴づ㠷㥤㜵㘵㠴㍥㈶㙡搶㡢〷㑢扡㜶捤昳戴挸㜳㠱㑣扦㔸搵㌰攸〱㔹㝡㈳挰捡㝤ㅢ愴㝢㈲ㄶ㌰搳ㄶ㑣捣敥㙥ㅥ㠴㈲㤸〷㠳㜸扣昴㠵㈴捦昸ㅦ㐴㝢搵㡣慣捤晥㜶㤷㜱〸搸摤挱㤶捤挳㘹㜸㥦戲㜱㈸㌸㍤挱㜱戸㝣㝢㘹㐲㉣搷㐲㘸づ㘴ㅥ〳㐰㔴㌱㤸〲㔲ㅤ昸っ㔰㐹㤵㠰戲㔷慢㉢㔰ㄱ昶㈵㌰㡢㡣〴㔴ち㜶㄰㜵ㄹ搴搸㐹戲ㅢ戹ㄴ㤶㤰っ晢っ愰㘸㘴〳㜱ㄸ挶ㄷ㌹㄰户ㅡ㌹㤲㠸攲㔳㕢㔵搱㈴摥㔹ㅥ㑡㐵慢敡敡ㄲ㤱㄰扥㔶攵ぢ挷㤳愱㔰扤捦㤸㤳㔶挵㜷慣晣㜵㜸㌳㍣摥晡㡦慦㝣昸㔳㌱㝣ㄵ㈲㔵㔵㥦㑡挴㘳攱㐴㝤㔵搴摢搵㌶㙦㌶㈰㡤㜹㌸㠸户㑣戳收㤲搵㐸㤶愹㔹㘹㉤搵ㅤ㉣㜶ㄱ㜵㉥慡挰收㐳ㅣㅦ搷㘰㤲㈳㐰㍣摥ㅥ㘰㤰㘷戴㈲敡搲っ㙤㘰㘷㌷㐳㍢㌸戹捤搰搳戶㘲捥㠷㔰扥挲㈵摦攳昲㤶搳㌴づ慦㔷〷㝡改㐰㙦ㅤ攸㠳〰㝤㥡㡤㐵㐸敢㐵晢㘶㌹㐹ㄹ㡢挱敤㔱㙢戹昰㑡㕦㘸㌳㡥捣㉦㠱㜱ㄴ搵愴扢戴㡥㐸㈴㕡昱㝥ㅦ攳㘸戰㕣㙡㜴っ搸搹㌵㍡ㄶ㥣㙥戵搶晢ぢ搹攵扤㝤敤㈲㤵㜱捦扣㤲㘵㍢ㅥ㉡搳㜶㌹昸昷㜸つ敤㈱晣戲搳㤵㘷散㌲㘰㍡扦扦〱扢昲㐹慣戲㌲昶㔲戵㈵㜲㤶㝥㝢㈲〴改㝥扢㌵戸搲㙦㡦㐶ぢ敡㝥㙢戲摦㜲っ㔳㐷㠲㥢摦㐵户㐱㈲㙡㤸愷㠲愲㡢昶戳㑤ㅢ㑢ㄱ户扡㘸㉡㕥ㄷ㠹㠷㔲昸晡㐰㈴ㄵ慡㡢〵敢㐲戱㘰㌲㥥㐸搴〷敡㠳攸㜷〱敦戶扡㌸愷㈱㡤㜷㍢ㅤ㍢㥤戱敤㜵㡣㌲搵ㅦ㌱改㘸敤捥㡥㜶ㄶ㐴收搹㈰ㅥ敦〰㈸攰㠷つ㈷昲搸慤㑣昶㈴敦㐰捤㍦㡦慣〸㌵挲㈰㙡㄰昸㠲挴㠵攰愷㤱搸ㄹ㕣㐱攲㜰㔷㈴收戸㈲戱ぢㄲ挱㐸㤱戹っㄴ㐸散㙡㥢㌶㉥㐵摣㐲愲㉥ㄶて愷㐲攱晡㜸㕤〲㕦㠷㐹㔵㔵挵晤扥㘴㉣㤸㡡㈵㔲㌱㝣㘴愴捥㍢㔸ㄷ攷㌲愴昱敥愶㘳㤷㌳㌶㐴挷㈸㔳㤵㠸〹ㄲ㜵㑥㈴慥㠲挸㕣づ攲昱敥〹〵晣昲㤰昰㘹晥㜵搴攵㍥戸㝣㈸㑣〵挰ㄷ㈴㙥愴㜹戰㤹㔸㠵㐰〵㠹〳㕤㤱搸摦ㄵ㠹㌰ㄲ挱㐸㤱㜹㉢㈸㤰㠸㈰㉥挳搶ち挴㉤㈴㠲愱㜸㔵㔵㈸攵㑦搴〷昱㘱㥡扡㐸㔵㝤㈰改㡢愷㔲〱㜴ぢ㝦㌸ㄹ㌰㙥㑢慢㐶敡攲挹㠰扦㍥改て㈶㈳愱㐴㌰㔰㠵慦昴㈵敡昱攱㠶㜸㍣㥥昰昹㈲摥愸㙤摥㕣㠹㌴收敤㈰摥㉡捤扡㠳慣㍢挹㡡㘹ㄶㄵ㐴㔵敤つ㤶㘰㌸搱㠹攱㍤㤴摦ぢ攲昱づ㠳〲㝥㜹ㄸ敥愳昹慢愹㍢㡡ㅡ㌵㈰愵挳挱捦扤㜲㌹ㅥ挷㜱㌸㜴㜲㈸昲㍡扣㍤攵ㅡ搸㉢㌵㜵㝥扣ㄱ㥦㤴㥣っ㤷愳㜶戲晥〸㡥㉡㈵㤶攳搷㘶㉦晦㔲㠵㠳て攱㔵㌸ㄷ㠳散慢户㕤㌷㜹㤷晡㙦㜳っ昳㤴搶愰挵㍡㤷ぢ扢㜲晥ㅣ挱㘳㍥捣ㄶ挶敡攱〸戴㤹昴晢㐷挰搰㠷ㅡ改挶㉤慤〱户昳㍥㔵戴摡〷㜳㌹晢昳戵㝣㝡㘹㐸㈳摣换㍡昱戰搸愳㈸㡢ㅡ敤㔶〶㌵㔶㜳晦㐲ㅤ㘴㠱㜸㤱ㅡて㉡攷改㌰挷㜹㙡㍣〱㤵挲㜳㡥扤㕣㑦摥㝤㘱㠹㐸㤸㑦㠱攲攴㥤㐰晢㌸扣ㄳ㜵㘰㤲づ散㘷〷捡㈷㈳挰㤹㡢㈱㥡扦㈳昱㑥㠱㘵收㘲晣ㄵ愵㜱戹捣慥〱㍢晢㌲晢㌷㜰㜲㈷づ㔳㙤㉢收㕡〸攵㜳㜷昲攱㍢㌵ㅤ㝣㘹晢㘷挱㘷㐰晥㘶㠲㉢㔸〶ㅣ㔸㘶慥㠳㍥㔷搸昶㐷㈲ㄸ挱挶〱㈸㘰㍢〰㜱ㄹ昳㕥㐴摣ㅥ晤㤳昸攲㕡㕤㈲㥡〸㈶ㄲ昸昶㕣㌰敥慦㡦〷〲挹㐰㉡ㅣて愶攲挱戰昱㔲㕡㌵㠱㘹㥤㉦敥㡦㠷攳昵昸挶㘴搸㔷㤷㐸㔵挵攲挹扡㘴㄰㔷づ㥦㉦攸㍤搰㌶㙦慥㐳ㅡ昳㘵㄰敦㉣捤㝡㠵慣㔷挹㍡㐸戳愸㈰慡敡㄰戰㘴捣摢ㄹ搵㐸㑦搵晥㐱昹㥢㈰ㅥ敦愱㔰挰㉦㙦捣慢搵晣㜷愸㍢㤵ㅡ㔳㠸㔸ㅣ㝣挱昰㝤昰㔹㘳晣㔷愴敡挱ㄵっ户㜳挵戰㥦㉢㠶〹㈴㘲㙡㜳㈳㈸㌰㑣摡愶㡤てㄱ户㌰っ攱ちㅡ挶ㄵ㈳㕥㥦㡡㠶㈲扥扡㜸〰搰㠴愳攱㜸〸㤳㕤㝣晡捣㥢搲挵搹㠴㌴摥搹㍡昶ㄱ㘳㜳㜴㡣㌲㌵ㄷ㌱㐱愲慦ㄳ㠹㑦㈱㌲㍦〳昱㜸ㅢ愱㠰㕦ㅥㄲ㑤㥡晦㈵㜵て愴挶〱慣㜳ぢ昸㠲挴㌷㌴㑦づ晦㡥〰㔷㤰昰戸㈲㔱收㡡㐴㉢ㄲ挱〸ㅥ㜰〳〵ㄲ㙤戶㘹攳〷挴㉤㈴敡㤳昵㜵戸㠹挳愷㘹昱挱扥㔰㉡㔱ㄷ慣挷愷㡣晣昸㥣㉤慥愲晥㐴㤵户㕤ㄷ攷㐷愴昱捥搷戱㥦ㄸ㕢愰㘳㤴愹挵㠸〹ㄲ挵㑥㈴㝥㠱挸攴㐷慢㍣摥㈳愱㠰㕦ㅥㄲ㐷㘹㝥〹搴攴敢㠵昲ㅤ㐳㜵っ昸㠲㐴㔷昰搳㐸ㅣ〷慥㈰昱晤て㤹昹愵挱㙦㜱ㄷㅥ愳扥㠵㙡晥愴昳㜸㔸㐲改昰㜶㙥㈴〶㍣㑢㄰攷攱㍤㐱〷㑥搴㠱㤳散㠰㍡ㄵ〱愹攴搷㌰㤹敥昸㍤㔸昰㥥㈰ㅥ敦㔲㈸㔰搹攴㡣摥攴晣摤攴㉤㠰昷㌴捤敦㑤㕤摣捦攳㌵㌰㈰敡っ昰愵㤲㕢㠰捦〰ㄳ慢戳㐰愵㤲ㅦ㌹㉡㤹ㄹ㍣㍥㜴慤捦搹㐸㈴昵搹〶愶㔰㥦㜳㙣搳㐶㍦挴慤收㑥㈶愲㈹㡣ちㄱ㝦㝤㌴ㄲ㡡㐶㔳㜱ㅦ愶捦㈱㝣㙦㌶ㄲ昷㘳㐶攴昳晥挹㑥㘳㙥㡢㌴摥㜳㜵㙣㍢挶捥搳㌱捡搴㠵㠸〹ㄲ敦㌹㤱搸ㄱ㈲戳㍦㠸挷㝢ㄱㄴ昰换㙢敥㡢㌵㝦㄰㜵㥢愸挱搷搶愹㘵攰ぢㄲ扢搰㍣㌹晣扢っ㕣㐱攲㌵〷ㄲ挶㘰愸ㄴ㙥敥㔷㕣攱戹ㅣ㤶〴㥥㈱㐸っ㜸慥㐰㥣㠷昷㑡ㅤ戸㑡〷㤶摢〱㜵㉤〲㔲挹㜵捥㑡敥挱㠲㔷㠲㜸扣搷㐱㠱捡挶㥥㠸扡㕣㔹㝣㘰㘷㕦㔹晣攰攴㕥㔹慥户慤㤸〱〸攵晢㡥昲愵㐷㜵㈳昸〲㐹ㄸ晣㌴㈴㌷㠳㉢㤰慣㜵㐰㤲改ㅣ㙢㕣㙢㑦ㅦて愹㝤っ愶㔰晢㕢㙤搳挶㔰挴慤捥ㄱ㑦㠶敢㈲昸㈲㜱㈲ㄴ愸ぢ㈵昰㐹捣㘰ㄵ慥㉥戸戲㈴愲昵㤱晡㔸搲扢㐲ㄷ㘷㉦愴昱摥愶㘳㝢㌳戶㔲挷㈸㔳㜷㈲㈶戸晤挵㠹㕢㌵㐴收㜰㄰㡦昷㉥㈸攰㤷搷㌹敥搶晣㔱搴攵㍢攸攴㔳㤳敡ㅥ昰〵㠹戱㌴て㌶ㄳ慢晢㐰〵㠹㔵慥㐸摣敢㡡挴㉡㈴ㄲ㈴㈶挰ㄴ㤰戸ㅦ㜱㕡㌳㈶㈲㙥㈱㤱㡡挷㤲晥㍡㔴摥㥦慣挷㠲㔷戲㉡㔸ㄷ昳㠵敢〳扥扡㄰㍥攸ㄶ昳ㄹ㤳搲慡挱㝡㈸㠶昱摤扦㉡㝣搶搱攷慦慢挲㝤㔹㌸ㅣ挴㡤㔹㌲㤲㡣愷挲挶㝥㘹搵㐴㈲ㄱ慣㡡㈷昰〹㐸摣戴㈴〲昵㜵〸㈵㤲昸㐰㈰扥〵ㅤ慦慢㑦㝡㔷摢㈵㌱㈷㈳㡤㌹㠵㘴㉡㠸昷〱捤㥦㐶搶㜴㤲ㄹ攴㍦愸昹㘹㔵㐹愹ㅥ〱㕦搰扦挹㠹晥㉣愶㍢〸挴攳㝤㔴㈷捣戹扦㝤㑣昳て愵敥〹㐴㝦〹㜱㝥ㅣ晣攱昸昳愸慢㘰㤱戳㘶㐴昰㘸㑣ㅤ慤㘱昶晢〴愲搲㍡㔹戳摦㈷㕤戹㑦㠱㕢㠳㍦㌳㠱挴㙡㡤慢㡥㜸㜱㌰昷ㄴ㜵㄰㠰ㄶ摥戰て㉡慤扤捣搹摡㥣㥤捡捡挲挵慥慤晤㉣ㄲ㐹㙢ㅦづ㔳㘸敤攷㘸ち㠷昷㜹ㅤ㜸㐱〷晥㙥〷捡㕦㐴攰扦㌳ㄱ㝤〹㤶㤹㡢挹㠹愸挹㘹愷挹㤹愶㜷㥤收㌷愳㤴昲㠹㔲昹㔸愹㝡〵㝣〱昶〸ㅢ〸㐶搴㙢攰ち㄰㘷㍢㠱攰㤸㈸㐰㥣改ち挴敢㐸㈴㐰捣户㠰㜸〳㜱ㅥ摥㝦攸挰㥢㍡昰㤶ㅤ㔰敦㈰㈰ㅤ改㜴㤸㑣㕦敤ㄶ戲㡣㡢㐰㍣摥㜷愱㐰㘵㤳挳㥦挹挱捥攴昸收㝤㑦昳㡦㈶敢ㅣ㙡㥣つ愲搶㠳㍦ㅣ㝦搸㘵㠵挵㑣㐷㍡ㅥ㙡散㐸ㅢ㈰㤳晡㉥〱㐳ㅦ敡〳㔷敥㐶㜰愵㈳㥤〰㕤戵挹㔵攷㘳捤㍤㠹㍡㌰㠸㜸㤱晡ㄴ㔴昰㍢捡㠱㥦㜱ち㔴ち㕦㔳ㄶ扢㠲晡ㄹ㉣〹愸㑢㤱ㄸ扤敢㜳摡挷攱晤㐲〷晥愵〳㕦摡㠱昲慦㄰昸敦昴慥慦㘱㤹戹ㄸ愷愱㌴㉥ㄷ愳搳挱捥扥ㄸ㥤〱㑥敥挵攸ㅢ摢㡡㜹㈶㠴昲㔱㔹昹扣慣晡づ㝣㘹㥢㜳挰㑦㘳昹㙦㜰〵换㜹づ㉣㌳ㄷ愳㘶㔷搸㝥㐰㈲㠱敤㝣㤸〲㙣㍦㈲㉥户㌹ㄷ㈰㙥つ挱㜵晥㘴戲㍥ㄸ㑡晡㠲㔸㠰慥慢昳搵㈵ㄳ昵昵㜱㤹扢㜰㠵㍡㘲㕣攸㔰つ愷㜰㝦ㄳ愹ぢ㔴㈵㐳㠹晡ㄸ挶搸㘸㌴㔲㤷挰捡㑥捡ㅦ㑢挴扣㍦搹收捤㡢㤰挶扣ㄸ挴晢戳㘶㕤㐲搶㌲戲攸㡢挱㐲㘴戴ㄴ㥤㉤愴晦㈷㔰㡤㜴晦扦㠲㐹慥〴昱㜸㡢愱㠰㘴㜹㤷戱㉥㥡㝦つ㜵昹攲㍦昹㌶慥ㄲてち挶慥〷㥦ㄸ捡㕦㔷㘸ぢ㠶〷戹㘲㜸愰㉢㠶㘵㐸㠴ㅦ摥㘳っ㔳挰搰㘴〴㠷搷愳〳摤㜴㠰㡥ㄲ㍣㔴㌹〲㔲㥦晤㥤昵戹㤵㘵㕣〱攲昱搲挹挱慤㍥扤㌴晦づ敡㕥ぢ㕢收㌵㌴搸〷㝣改ㄳ㜷㠳㥦慥捦ㄶ攰㑡㝤㈶㍡敢㘳㐲㐵挶愷㝤㕤敢戳㈵ㄲ攱㠷昷愴㐱て昵愱愳〲て㉦㥤ㄵ㈴戰㡤づ昴戳〳㙡㝢〴愴㍥攳㥣昵戹㥦㘵㕣つ攲昱搲攳㐰敡㤳㌳ㅢ摦㔱昳ㅦ愶敥㉤㌰㉦ㅦ收昵昶户㉤㝢改㠴㈰㤹づ搴㠱㥤㜴㘰㄰〲㕣㜸㌳戹〷㘰㜲挹㕦㘶昸收㔱っ㘵昲攱㐲扤㤷㥥〸搴㤵挵昹摢ㄱ㌰晥㠶っ㝦晦挵昹㤰戹㤶ㄵ戹㠳㔹㔹㡢昳扢㈰㘷㘹㤹㘷㈰㘰㠰㌰愸挱攰㑡换〴㥤㉤㤳〰㔷㕡挶敦摡㌲扢㐱㑣つ昳〵㤸㐲换っㄱ㜵搴㡥づち㍣扣㝢攸㐰愵ㅤ㔰㝥〴愴㘵昶㜴戶捣㡢㉣攴㑢㈰ㅥ㙦〰ち㙥㍤㉤愸昹慦㔲㤷㉦捦㤳てっ慢㌰昸㔲㥦㌷挰㑦搷㠷捥〱㔲㥦ち搷晡散攴㕡ㅦ扡〸攰㠷㔷〳挲ㄴ敡ㄳ戳㑤ㅢ晦㐴摣ㅡ㝤戰敤攵て㘱晡ㄶ愸ち挵㐲㔸㔰挶㝥㔸㌸ㄹぢ㈵攲㠱㜸㥤摦ㄷ㡦㝡㠷摡㘹捣㜷㤰挶扢㤷㡥扤换搸摥㍡㐶㤹慡㐶㑣㤰搸摥㠹挴㝡㠸捣つ㈰ㅥ敦㜰㈸戸㈱㐱㔷〱攱㙦愲敥挳㉣昰㐳㈰慡㐶㥢晦㠴收挱㤱㤶攵㑥扦㈰搱挷ㄵ㠹㕥慥㐸㜰扦ㅦ㍦昸昱挱ㄴ㤰ㄸ㙢㥢㌶晥㠵戸㠵㠴扦摥ㄷ挰昶㑡㥤㉦ㄹ㡦㠴昰つ敢慡㜰搲ㅦて搵㐵慢愲㜵㌱摥㐴㝡挷搹㘹捣㉦㤱挶㍢㕥挷扥㘲㙣㕦ㅤ愳㑣㑤㐲㑣㤰攸收㐴攲㕢㠸捣敦㐰㍣摥晤愰攰㠶〴昷晤㠵晦㈳㜵㥦㘴㠱㥦〰昱搲〳〰㍦戸搱㠱摦愳㑢㈹㌷戱昷㉡晣㠹ㄶ挷㕥散㄰㍣戸㥡昵改摤搱昸㤴敥㘲㡥晥㕤昰摥㈱敢㙤㍤㈵挵㐳㝦㥢㉤㉥㘱昳㜱㘵晥㤵㉡搴昵㝦㘱㠷敤㥢㔹㜷愶挵ㅤ昱㘷㜲㡤戴㤴㝢敡慥て挶㕡扢搳搳昱挲愵㘴㘵捤挸㘸愵昳㥢慦㕣㕣摤愲㘹㝣ㅢ㜶愹昱㝤㤳ㄹ㉤㈳攴搱㔸㍡㐱昴搲扢搷㐳昴ㄷ㘱㉢㌲ㅣ晤摣戹㑥㌶戹㌵㥤づ㕦㔸㠵捦〱〴㐳昸晤搸㉤㌲㌱挷摢㡥戶捤㜰昱扡〱㍣㙢㥢㑣㘸㡢㙤㜸㌵㐸㐹㜱ㄷ攵晡㜲挱㔱㉤㑤昸散㔳㈵㍥慤愹つ㡣㙥㥥摦㐴〸戶㜵㜹摢搳挸㠶㜶㜹㕢ㅡ摦㘲愴捣㤹㠰挷㈸㐶㝤㡤㘱㠳㐶てち晡㑡㝦晥昷㉦扦晣㡡㕣戲愱㘷㥥㍣㍣㘶〹㑣㉡㝡㌷搰ㅥ㔹攵〷㈱㠲ㅥ㤸扢㜰慤摦㠲㕡㌴㝣摣扢㐷昶㕤㌹昶戱敡搹㉦㙦㍣㝣挸户㥦㔷㤷ㅦ慣㔳ㅣ愲〶㥣㌷愲昴㥤攳㜲摦㝦扣挲晦㜲挵㝦づ㍡慣㝡㙤ㄷ戵扡攷㥡㔷慢㔵㉤㔲㔴㈰㡦摣捦㘴㝥㡦㐲扣㠱搷㜸攷㝤㈷昴㍢㕢㤰晢㥤㔰㉦扤っ昰㠳㠳㈵㉡搲愳㡢愲㔷〰捦ㅣ昵つ㔲戰扢㑡て敢捥㕡㌶㠰捤㕥愶捣搹愰㐶㑦ぢ捣㜱㠳㐲晥搲㝦㐱㌹昷㤹㕡搹愴戲㥢㡣㙦愴㘲〷挰〷慡挷昳昹㔷㐷㉦愶㝤㥥捥ㅥ搳换㑣づ㑦㘷㌲㠷㤹昴戶㌲ㄹ㍢㈸ㄸ㔳㥦㈲ㄳ㡤戲挷散㑢敤戹搰㘱摥㌲攸搱㤳㐰换换改㈸搰㘱㉢㈰㑢ㅣ㘵挳攵扦㈲敦昰昲㈳㜴㡡㐲慤戰攱㤹㙦户摥㜹挶㘳搵㙦㡥㕥ㅤ㌸愹晦㤹搵㙡㍥㔲戸戵挲㠷㈸㤱㙢㉢㙣戴〵戹ㅦ㉢㔵摣㑣捦㔸捡扣愹昶晤㐲㤶摥戳〵戹㕦㈳昴㥥〸㑢昸挱戳ㄲ昸愰㍤㑦㐵㐴摡昳ㅤ愴㐸户攷〰㠲㜷ㅡ㐴㔶㝢㉥㐵挸搸挹㠲㝡〲㑥づ昵㈶㤴㌵㤴ㅥ戳㠲摡愷㐳㐷戳捡捦㐲愴㐳㜴㔷敤㜰昲挷㔳㔷㕤㔹晤搸摡慢㐷摦晢ㄵ晡昸搹㍡㐵㈱㜴搵搶㔳㡥㜹敥攰扢慢敦㍦昵攳愹挵㥦慤慦㔶攷㈱㐵〶㤳户㔸愷户㐱搴慢㠵㌰㜹挵ㄶ攴㝥㥢搰㝢㈱㉣攱㠷㜷ㅦ㔹㤸㉣㐳㐴㌰㔹攷挴㘴て搶昲㌲㠸㉣㑣㉥㐵挸搸搳挲㘴摣愰㐰㐴扤〰㘵摤搷㍣愶㥦摡㤷㐳㐷戳捡慦㐲愴㐳㑣㔰〲ㅣ㡥ㅥ户㕣愷㈸㠴挹㌵㤱㐱㥦㝤ㅦ㜹愵晡愲ㄱ㘷㥡㥥㘳ㅦ慡㔶搷㈱㠵ㅢ㈶㑦ㄷ挲㘴慤㉤挸晤㕣愱昷㐶㔸挲て慦㌴戲㌰戹ㄵㄱ挱㘴㡤ㄳ㤳ㄸ㙢戹ㄲ㈲ぢㄳ敥戵ㅢ㝢㔹㤸攰㤴っ慡㈷㙣㑣㜸慤昴㤸挳愸捤慤㜰㑢晢㌶㙡㔷㕢摡攳愸晤愸慤㙤㥤敥㈳愸捤扤㜴㡤愰扡搳㡥搰㕡昹㍤㠸晣㍡㌸敦搵㈹ち挱㘹㍤愳昴㔱戵㙦攷㠹摥晥敦㍣㕦慤㔶㈳㠵ㅢ㥣て搸愸攵つ愳慢㙤㐱敥挷てㄵ㜷㝥㌹慥㤹㘳㔱㉢搶㡦㝦摥㐷挰攵愱ㅥ搵㘲捤㘱ㄵ扤摣㙤愵㠶㌹ㅥ㠹㜰慥㜲㜷㔴摡攰㕥㘴㤳㍥㔷㈷㄰愷戵㄰㘵㑡㝡ㄸ戲戲㑥㠶㍢ぢ㤵昴づ㕢㤰晢㘱㈸敦戳㍡搳愹㔶愶㝦搷㤹慥㜴㘶㍡㥤㤹慥㠳挸㙡捡ㄷㄱ㌲㘶㠲㠷慢攷愴㐱挱㠸扡〵捡㙣㌷慢攱て愰昶换㘹㙤敥㌹ㅡ戳㉣敤晤愸㝤㠳慤㙤㌵晣挱搴㝥〵㍡改㠶攷挶愲戶㔶晥て㐴㝥㕤挳扦愹㔳ㄴ㙡㜸戶〱㤶㜳㠶扦㜳攴㙡摦昰㌹㕦㔷慢㜷㤰㈲〳㘷㘶㙣戹ㅡ〵㜵ㅤ戹㤷摢㠲摣捦㑣㜹摦㠷㈵晣㡡捣㌸㙡㘵搶㠱昴㈸㔶ㅢ挱㤱㠶扣〲挹搲つ㤹㘰扤㌷㐱㘴㘱晡㈱㐲㐶ち㍣㘰㡡㐱㌷愲㤶搹㈸㔹㤸捥愱昶㐷搰㐹〳昳㈹㈲扦づ㤸捦㜴㡡㡥㠱搹㝤昸敤㙦㠴㕥㕣㜰㙡慦攱敡㑢愴㜰〳收㠲㐲挰㥣㙦ぢ㜲㍦㍦攵晤〶㤶昰㉢㌲㥢㠹㐹ㄷ昵㙦㐴〴㤳㜳㥤㤸捣㘳㉤㝦㠴挸挲攴〷㠴㡣㔶ぢ㤳㝤〷㠵㝣敡㉣ㅢㄳ慢攷戴㔳晢㈷攸攸㥥㔳晥ぢ㈲扦づㄳ慡㑢㡡㐲㤸っ㍢昴㥦敦㝦㌳散敤㙡㜶㤹愲愲㜷慡㔵〹搴㉢㄰捣㥤㙣㉤㉤㠴挹愹戶㈰昷㡢㔴㕥㙥㕤愲挰㔸㈲戰㌰改㠶戸㘰㜲戲ㄳ㤳愳㈱㉣攷㈶㈲㝥扦㘲ㄶ挹ㅤ㐷㐹㔱愸㘲㕦㝣㤶昸㜹敢搰㘱搵㡢搶晦昲摣㝡捥㈲㝢㐳扤挲愵㘲挷ㄷ慡搸㜱戶㈰昷㑢㔳㕥㙥㔷㑡挵㑥戰㉡戶つ攲㔲戱㘳㥣ㄵ㍢㠹捤挷敤㐲慢戱晢㈱㘴㥣〲ㅥ㑥〰㕣ㅦ㈲㙡㌱㤴㜵换㝡捣愵搴收㔶愳㘶㤵㜳㍢ㄱ扦挲㤸㐰㠶挳㜱㠵敤慦㔳ㄴ挲㘴户㤷㤶㈶㡢㍥摣㔴晤挵挸挷㝦㍣攲捦捦㔵慢㐱㐸㔱〱㈳戹㡤摤㕥〸㤳㌶㕢㤰晢昱㈹㉦㌷㉥〵㤳戳㉤㑣㠶㈰㉥㤸ㅣ攱挴攴㑦㄰㤶㜳ぢㄱ扦挲ㄵ扢晣㠹晥㜷戴捥戹㌳㌳㥤攲㝥愳愴㈸㔴戱㠷ㄷ扦攱摤㍤㜸㜰昵㝥挷ㅣ摢攵㤳ㄵ㙦㔴慢〰搴㉢㕣㉡搶㔸愸㘲㜳㙤㐱敥㐷愵扣摣㝥㤴㡡㕤㘴㔵㉣㠶戸㔴慣挱㔹戱㑢搸㝣摣晥戳ㅡ㝢㈸㐲挶愵攰愱戱挷㜳㡡㤹㠴戲㥥㑦㝡捣换愹捤慤㐳捤㉡攷昶㈰㝥㠵㌱㠱っ㠷愳戱㠷敢ㄴ㠵㌰㔹㝥摦戱攳〶捥㕤㔸晤攷昸㤰㌱㤷ㅤ㝢㕦戵ㅡ㠵ㄴㄵ㌰㤲摢搸㠷ㄵ挲愴搶ㄶ攴㝥㘷捡换㡤㐸挱攴ㅡぢ㤳〹㠸ぢ㈶㠷㌸㌱戹㡥戵攴㜶㥥㠵挹㐴㠴㡣ㅢ㉣㑣㌰㥤昲愹㔹㔹㤸摣㐴敤㈹㘹㙤敥㌲ㅡ户㔸摡㌸㕤〲㙡㈶戴昵戹攱㌱㔷㔰㥢ㅢ㠴㤶㙤㙥㌴ㅡ㉢搳戶〳㙡慡慤㙤㕤㕤敥愰昶㌴攸㘸〳㙡扡ㅤ愱㕣㜱㐳㌱摤ㄲ戳㄰挱敦㔷戴挴㐱㍡㐵愱㤶挰㘳㥦㌸㍥慢㝥攴㉦㉦㕦㝡散㉢㉦㔶慢㐳㤱愲挲愵㈵㈶愲搴慥ㄷ攴〹戶㈰敦㕢㔷摣㠵㤴㤹搸扤愸愲㥥㠹愹㠴收㘶㑤挰戸愱㈸慤戶ち扡戸㐶㜱㔷㔰㕡㙤㉣慣愷慦摢慢㠹ㄵ户攲㉡搲〵捣㑣挰㐶ㄶ㉡攰〸㕢㤰晢扤㈹㉦㌷敦㈴搳㐷慤㑣戹〳㈷㤹㔶㍢㌳晤ぢ㠴攵ぢ㈱挲慦㌰昲㉢㕦慢㕤㌰㜹㠷㔳㌲㑢〹摣㠸㤳ㄴ㠵㤰㍦㝣愷㥢扦㥥㤶㤸㔵㝤挹挵㑢慦ㅦ晣㌸㙥戳戸㈷㔷㤱慥㔸㘶㉡㌴戴㔰挵㘲戶㈰敦㍢㔲挷挳㤲㈰扦〶㘵搷挸㝢㤷戰㌸㌸㤴㙣捣㈱㘰㙡づ㝢㥡昷㈴㠸〵㡤戵ㄶㅡ摣㍡ㄳ㌴挲㑥㌴㥥㠱㔰㥤〹㔱〵つ扣㐹㤲㘹〲㕦愱㤲敥㘹ぢ㜲㍦攲攴攵㥥㤵㘴晡愲㤵改昹㍡搳㍤㥣㤹慥㘳愶摣㈴戲捥㈸敥㐶ㄹ慦㠰㠷ㄱ㙣㕦摥捥っ㠶戲㍥㝤㍣收㙢搴扥㌸慤捤つ㈹攳つ㑢㕢挶扢ち㘸敢㔳捡㘳扥㐹㙤敥㌶㘹〳㙡ㄹ㈲㕡㕥捥㑤㈵晣ち㌷㍣㘴㌸ㅣ㠳摦㤵㍡㐵愱㠶摦㘹扢㑢㝥㈹㥦昱攷敡戹摢摣戵㈶㔱晥㘸戵攲㘶㔴〵㡣攴づ㝥晤㙤搴昲㙥㝥㜶戴〵戹㥦㠴昲㜲晢㑡攰㝣て戵挲㘹挴㍤㈸㘹挳敤㤱㈲㝤ㅡ慤㠷戰晣㔶㠸昰㉢㕣㌱捦慢搷捥ㅢ收戹㌱㜳愵㕢愱㔳ㄴ慡搸㍥㤳扤㠷づ㘹㍦户扡㈵昸㝥㡦㙥慢扦慢㔶摣㤵慡㜰愹搸搶㠵㉡戶㤵㉤挸晤搴㤳昷㙥㔸㤲㡡㝤㘴㔵散㍥挴愵㘲㕢㌸㉢昶〹㉢㜶㍦㐴昸ㄵ慥搸搷㍦慦㕢戴㘹攷㍢慢昷敦戹挷㕤㔷㝣㡥ㄵ㤱搵㍡㐵愱㡡慤㌹㜴挹㤵挹昳愶㔷昷扦收㥡㙥愹扦㙤愸㔶て㈳㐵㠵㑢挵扣㠵㉡㔶㙥ぢ昲㍥攱挴晤愱㡣愵捣㝡㔳户㐲㤶㍣戶㈰昷换㐸摥㘷㘰㐹㈰晡捥㠲㠸扢㐲〲㔱ㄹ㔲愴摢晥摦㠴攸㐵㠸昰㉢っ搱㔱㔸ㄶ㝤昷挸㤳㌲㙤晦㤲㑥㔱〸愲㠵㈳收㈵摦ㅡ㝤㐲昵㜵〳ㅡ㡦㌹㝣ぢ㕣㐷㕥㐵㡡ちㄷ㠸扡ㄴ慡㔸戱㉤挸晤攲㤱昷つ㔸㤲㡡晤㘲㔵散㙤挴愵㘲㐵捥㡡㈹散攷愹㜷㈰戲挶〸敥ㄹㄹ㕤挰挳ㄸ㌱㜶㔰㈰慣㝥晡摥㜹搶㤷㔲晢㕤攸愴㑦昴昵㠸攰户㌹㑣摡㌳㤸㜰㥢㐸㔲ㄴ挲㘴摥㍥㑦て㘹摦昶㠲敡㠷搶つ㥤扦攵愲户慢ㄵ㜷㡣㉡㕣㌰昹づ㘵㜳扤戶㝥㙢ぢ㜲㍦㝥攴晤〴㤶〴㤳㙥愸〸㑥㜴㙥ㄴ〹㈶㕦㈳㐵扡戱㝢戰㤶㕦㐲㘴㘱挲摤㈳愳㕣㘳ㄲっ慢㉦戲㌰改㐵敤慦愰㤳挶㠴㝢㐰昸ㄵ挶挴㕡㕣㍣㌶㜳㉡㝤愷㔳ㄴ挲㘴㡢㕢摦㥡昲改昰ぢ慢户敤搶戴㘷㥦㜱㍦㔴㉢敥ㅤ㔵戸㘰昲㜱㈱㑣㍥戲〵㜹㥦㐲晡て㉣戹敥㈳㜰㠳愹慤㔲㕥㠵捤㠷㌶㤳㙤挲㈸㐷愶愵㈹敥戰㜴㑢㔹㙣㙥㄰挹晢㤶ㅢ攵ㄹ捤敥昸㜲㐹敢摣㘴敢㐴㝣愰〷摦㉢㤹摥搰㘴㍦㕥㠸て昷昰㍤㤴晡摢ㄸ愶挴㤸搸㐸㑤㙥挵挷㌲扡愶挶户攱〱戴㐴㔹搳㤴㜸㝢㝢戲戵昹㡦昰愰〷㥥㥡㉤攱㜵ㅥㄳ〲昹㌸㤲敢〳慢㙢㈱㜶摤㍤戰㈰捣攰愱摦㉡㕢捣て㥥晣戶挷㍣㡣慤搰摦昴〳搵〹挷㈷㝣㑡搴㠷㘸㘲换㉦昸昸㈲搹捡愱〷㠸戹つ㝢㙥㍦㤰㉥搸㜷㤲昹つ㠸挷摣ㄶㅣ㜹㜰㔹〸晡㉢㐶㠹摣捡昱ㄱ㘲扥㈲愶愸㜴㘱㐳愲㝤㡥㌱㈷搹㌰㝢㑥㍢㥥搸敢挶ㅡ敢愳愴〴㐹㍢摡挰攲㔴慡㙢㔳㙤扣戵㌵扥戸慣愹戶㌱搹㍣扢㝤㑥㔹敤〲散搸攱搳㐳㈸㐷㔹㔹㤹戹㍤晥㘷㔶晣㔳摣换㘱扦㌴㜶〰搷扤戲敦扡㔶戶㍦昴㡤〱㈰搹㤵ㅤ〸㡥愳戲㡡摢㐱捥搳㔳㜱敢㠶搵㌰〷㐱㌳㕤っ㙥搱〸户挲挹攵挶㠴ㄴ㙥㘷㜰摤ぢ昷扡㙢攱㜶㠵扥㌱ㄸ㈴扢㜰扢㠱攳㉣ㅣ昷㌶戲ち挷敤ぢ㈹挶敥搰㑣ㄷ㡥㝢〱㔲㡣㍤挰㜵㉦挶㡢慥挵搸㤳昹ㄱ愳㑣㘷昰㤳挵愷搸慤捥愰戸㤵㤰㔵〴敥ㄶ㐸ㄱ㠲搰㑣ㄷ㠱㑢敦㔲㠴㄰戸敥㐵㜸摡戵〸ㄱ收㐷㈴㌲㐵愸㈲换㔱〴慥摣㘷ㄵ㠱㡢昳㔲㠴愱搰㑣ㄷ㠱㡢昰挲摤换挱昵㜲ㄱ㕢挶昹扤㘹㜵ㄸ挹㍥㈰ㅥ挵㠵㙡㈹㜱㌵愲㤹㉦扢㉥攰㥥㙦㕢戱㝡㔴㤷昶攳挰㌶㤹㌳㘸〴搳ㅦ㠶㍢〳挵㙣攵散愹㈱换㔱㕡慥㜱戳戴㌳㤶慤ㅥ晥㜳昰㤰ㄱ㡡㡢搳㤲搱㘸㘸扡㐳戳㕡㘷㔶攴㍣㕤挷搲㜲㌶㌴攳㜳㌲攳摡㜶ㄶ㌴㕣扥ㄶ㄰㈶㐰㌳つつ㤷愹㠵㍢搱挹攵㌲慦ㄴ㙣ㄲ戸扤㐶戴戵捤㙦㥡挷㉦㠰昵搷ㄸ摣愵㡢㤵㠵挱㘴㘸ㅢ㔳㐰愴敦愶㜱㤸ち㡥ㄳ㠷㍡㙤㝤㍡〴敥搵㕥愱敤㘷㔵㝢㈶つ㔹搵收㉤ㄸ㐷愸〳㜲㙣㈷㘰㍢ぢ㘳慥㌰㑢〵㘷㐱㌳㕤㙤㉥搷㑡〵て㉡㔸㠴敢㕤㡢昰㍦捣㉦晢扣㌸㌴愷〸㕣敤捤㐲㥥ぢ扡㔲㠴挳㥣㐵攰敡愸ㄴ㈱㕥戰〸㔷扡ㄶ愱ㅥ晡㐶〲㈴㝢㠴㐸㠲攳㐴㤹ぢ慣㔹挵㌸㐱㘷㌸扢㘰㠶㤷戸㘶搸㐰换搹㜵㥥㥢㤳搹㐹戹㤹㜱㕤㔳敡摣〴捤㌴散㕣㈴㤴㍡㜳㐰㜷㙦昹㜳㕤㡢㌰て晡挶ㄱ㈰搹㜵㙥〵挷㔹㘷慥㌳㘶搵㤹㡢㜷㤲㈱摦㘴敤㥥攱ㄹ慥ㄹ㉥愰攵散㍡㉦捡挹㡣㙢㝦㔹㤹㜱㜹㑦敡㝣㈴㌴搳㜵扥㐶ㄷ攱愸㠲㐵㌸挹戵〸挷㌰扦散㤳晣戸㥣㈲㕣㤷㕢〴慥愶㐹ㄱ㤶㌸㡢挰㔵㌳攱㥥攰攴㜲㜵㑣戸㈷㍡戸㕥㉥㈸挹愸㜸ㄲ昳㍡㤹攴ㄴ㄰㡦攲敡ㄱ愱㌴㌹㉡ㄶ慢㐵扡捣㔹㈳挰㘹搴捦ㅥ〵捦㈰换㌱ち㜲愱㠹戰愵㐷挱㐷㙤挳挶㔹搰㜴㙦愳㔶㥤㔹搶㜰㜰づ㉤戳㔳㘰㈴㄰攲㌱捦捤挹散㉦㜶㘶㤴昳昰㜲搵㐶慡㜷㍥㌵㉦㈰戹㄰挴愳戸㌲攳愸㕥㠳捥㌱慢㝡㤷㔰㍦扢㝡㤷㤲攵愸ㅥㄷ㜱戲慡挷搵ㄷ改㠲㤷㐳搳扤㝡昵㍡戳慣敡㕤㐹换搹㕤㜰㜹㑥㘶㕣扣挹敡㠲㕣㥦㤱㌶扤〶㥡改㉥挸㜵ㄸ攱㕥敢攴扥愷ぢ㜶ㅤ戸敥〵㍢搸戵㘰㌷戰ㄴ搹ㅤ昳㈶戲ㅣ㈸慣捦㉤ㄸ搷ㄶ〴㠵㕢ち㘶㌶搳㌵戳ㄵ戴捣搱㉥搳挸㉢㜳㌲攳搲㐴ㄶち扣㑢㤷捣敥㈸㤸搹㘴搷捣敥愲攵㙣挸晦㥣㤳ㄹ㙦昲戳㌲攳㥤戳㘴㜶㙦挱捣挶扢㘶戶㉡㍦戳搵㌹㤹㈹挴戳㌲㉢〵㐳㕡昲㐱〴搲敤换ㅢ㔵㈹挲㐳〸戸户攴㐸搷㈲㍣〲晤㥣晡㍥㐶㤶愳㈵㝢㈰㥥㔵㠴㕥㘰㐸ㄱㅥ㐷㐰ㄷ愱㤴㌷㄰㥤扥扢攱改晡ㅢ㥦敦㝥〲昹㈸摥㤶搰㠶昹愴ㅤ㘰愴㥣㌷〷っ㤴昱㔶㐲㜱㤲捦㐲㤹㑦㤱捤戹扤愴昸慢ㅤ㤰ㄴ㠳散㠸愴㈸慦㜰挶ㄴ攷攱㤲㝥つ搹㥣㝥㑢晡扦搹〱㐹捦愹㌶〳㔶㡥㥣㌲㑢㡡戵㘴晢㙤㤹昹戴ㅤ㤰ㄴ㥣ㄹ㘷㔲㜰㠶㉢㈹㥥㈱㥢㤳㕢捡捣㘷敤㠰愴ㄸ㙡㐷慣㌲㜲〲㥢㐹捦㠹慢慣㑣〴搰扡㕣㤹搸㥢㠵㈹㌶ㄴ㈷戳㈲昰摢㠲㘱㈲㔰㡡ㄳ㕣ㄱ昸㙣〱㌷㠰捤扦搳敡〸㄰㈹捣㡢㡣搵㤰㔰昶㤲ㅤ㘰㐴㜱摥㈹㍡敢挸ㅤ慦㜵㕥㜶攸㤴㑦戰㈳㔶㠱㌹慤捣ㄴ㤸ㄳ㐴㐹晦ち搹㔳㙤㤹昹慡ㅤ㤰㍣㌸挹ㄳ㥤搷挸攵晣㑥捡昱扡㐳愷㝣㤶ㅤ戱㠰攷㥣㑣㔲扣㐱㌶愷㘳㤲攲ㅦ㜶㠰㤱㜲㑥扤ㄸ戰㔲搴㈳㈶㈹摥㈴㍢㘹换捣户散〰ㄵ㔵㠳搶㜹㥢摣戹㕡攷㥦づ㥤㜲㑥㙥㌲㔶㌹㐹ㄱ慢敦㤰捤戹〹㘵收扢㜶㐰慣㜲㕥㈱㍡敦㤱扢㐸敢扣敦搰㈹㍦搲㡥㔸㘵㍤〶㌱㐹戱㥥㙣捥〰挴敡〶㍢挰㐸昹ㄲ㍢㘲㘱捥慢㍣搹㔶散㐴㘷㑣㥤㠴㤸㜴㠰㝥㌹㕤收㘴㉤搸㈶愷换昰敡㉦㈹戶㜶㜶㤹㑤戴㝡ㅡ㠸ㄴ敤㈳挶捥㈰㘱㠵㍦戶〳㡣㈸㕥愴㐵攷ㄳ㜲捦搵㍡㥦㍡㜵㜸㉤㤶㉣㝡攷ㄴ㡡搷㘷ㄱ昴捡㈹ㄴ慦搹㈲昰㍡ぢ昵㉦ㅡ扤〴㐴㌲晣㤲戱㑢㐹㔸愸慦散㠰ㄴ㡡㤷㔶搱昹㥡㕣㕥㔵㐵攷ㅢ㠷㑥㌹慦愰攴㕡㈸㕥敢㡣㈹㕥〱㈵晤户㘴昳攲㈷改扦戳〳㤲挷ち慤昳㍤戹扣㘶㠹捥扦㥤㍡扣摥㠸㥤ㅦ挸攵愵㐶㜴㝥㜴敡慣搲㍡㍦㤱扢㕡敢晣散搰㈹㝦搰㡥㔸㍤㠶愳扡㔸晤て搹ㅣ搰挵敡㉦㜶㠰㤱昲挷敤㠸㤵㐲㐶㔵愲㔴㔴〶㙡ㅦ摥㈷愱㈳㜳㈵〵㉥ㄶ㐲㘵㈴㠵搰㉣㜶㙡㜱㐴ㄵ慤㉥㤶㤶㡣㤷㜹㕡㝦搳㕡愵㤶㤶㡣㤱㜹㕡㑦㙢慤慥㤶㤶㡣㡢㜹㕡ㅣㅦ㈵㐷㔳戴捡㌹㝣昱㍤〲挵㡢㔴晤㘱㠹挳づ晢扥扣愴㝦扦㤲〳㠷㜷㕦昶捥摡昷捥㕢昷㍦挳㌶晥㜴昹攵敢搶㥦昷捣㑦て搶つ晢敢㌵搷㍣戱敦㔵捦扣搷㍢戵扣昸摥敦㈷㉥㍦摡㍦昷攸㈳㔲㌳㜷ㅢ㝢昴慣挳愷晡愷昴ㅡ搲愵㑢搷慥扢昴㔹戳昵慥摥攳㡦㔸愵ㅥ㝢㝤慢㘶㈵㈳㈲㡢愱昷㔵ㄱ㉥昲㜲㘴㤴㘲㜴戳ち㉢㘳㈲戵扡㈳慥て㉦挷㐶搱敡㘱㘹挹挸㐷慤㥥㑥㉤㡥㠰愲㔵㙥㘹扤㠶戸㌴㥡搷愹昵扡搶敡㘵㘹扤愱戵戲㜲攴戸㈷戶晡㔸㕡㌲挶㌱挷扥㑥㕢ㅣ敢㐴㙢ぢ㑢㑢㐶㌹㙡㘵㌵㉥㐷㍢搱摡捡搲㤲㤱㡤㕡㕢㍢㙤㜱㠴ㄳ慤㙤㉣㉤ㄹ摢愸搵捦愹昵扥搶摡搶搲㤲昱㉣㉦㐷㡥㙢㘲㙢㝢搱㉡攷㐰昳㕦㙤㕣ㄹ扢㔸㡣慣挶攵ㄸ㈶挵搸搱㉡慣㡣㕥㜹ㄵ攷㈸㈶㕡〳慣挲㜲〰晡慦ㄶ㔶挶㌴ㄶ㘳〹敥挴昴攱攵搸㈶挵搸挹㉡慣㡣㙡搴捡㙡㑢㡥㙥愲㔵㘱㘹挹搸㐵慤㥤ㄱ搷㠷㤷㘳㤸㘸敤㘲㘹挹攸㐵慤㉣㕢ㅣ挵㐴㙢戰愵㈵攳㔷㥥ㄶ挷㌱搱ㅡ㘲㘹挹〸㤶愷挵㤱㑣戴昶戰戴㘴搴捡搳攲攸㈵㕡㝢㡡㤶㔷㡦㔴㡡㠳㤳㕣ち㕥昸捥㥡〴㡤㐴㕡㍣㄰收搵〵㔶ㅣ㤸㐴攳昹㙣つ挵戱㐸〴捦攵〸㌸晣㠸攰搹ㅣ〱㐷ㅣㄱ㍣㤳㈳攰ㄸ㈰㠲愷戳〵㕥㝤㙡㉡㥥晦愲戱㌶㐷㐳て〴㡡攷扥㘸晣㉤㐷㐳て〲㡡攷扤㘸慣挹搶㔰㍣搵㐵昰搷㙣㠱㔷㥦昳㡡愷戹㘸㍣㤵慤愱㜸㘶㡢攰挹㙣㠱㔷㥦攲㡡㘷戵㘸㍣㤱愳愱㑦㙦挵㌳㕡㌴ㅥ捦搶㔰㍣㠹㐵昰㤷ㅣ〱㑦㉢ㄱ㍣㤶㈳攰㤹㈴㠲㐷㜳〴散摢㈲㜸㈴㐷挰敥㉣㠲㠷戳〵㕥摤慦ㄵ扢戲㘸㍣㤴慤愱搸㝢㐵昰㘰㡥㠰ㅤ㔶〴て攴〸搸㐷㐵戰㍡㐷挰㙥㈹㠲晢戳〵摤晥て搰愲㔷捤</t>
  </si>
  <si>
    <t>CB_Block_7.0.0.0:1</t>
  </si>
  <si>
    <t>㜸〱敤扤〹㝣ㄴ㐵ㄶ㍦㍥ㄵ㤲㈱㍤ㅣㄹ〴㉦㔴〴〴〵挱㌰㔷㌲ㄹㄴ〳㠴晢扥扤つ㤳㘴〶㈲㌹㌰ㄹ㉥挵ㄳ〴ㄵㄱ㡦挵㙢ㄱ㐴扣㙦㔱ㄱㄵ㜵㔵㍣㔶㕤㕤慦㕤慦昵づ㠷扢摥昷晤晦㝥㕦㜷㑤㝡㘶㝡㐲㜴摤晦捦摦攷昳㙢㈶㡦慡㔷慦㕥搵晢㔶㜵㜵㜵搵敢㙥㤷㜲戹㕣扦攰攰晦㍣㜲ㄹ搸㜷敡愲挶㐴慣戶戰慣扥愶㈶㔶㤹愸慥慦㙢㉣ㅣ搲搰㄰㕤㌴慥扡㌱搱〶〲敥昲㙡愴㌷收㤵㌷㔶㥦ㄴ换㉦㥦ㅦ㙢㘸㠴㔰㥥换㤵㥦㙦攴㈰㝤㙦敢捦慢㈳〶㜳ㄹ戹㈴㤰㜲ㄹ㙥㤲戶㈴昹㈴〶㠹㠷愴ㅤ㐹㝢㤲づ㈴ㅤ㐹ち㐸扣㈴㥤㐸㜶㈳改㑣搲㠵㘴㜷㤲㍤㐸昶㈴搹㡢㠴攵ㅢ㕤㐹昶〱㘹扦㉦挸戴戲愱ㄳ㉢㑥㠰㌵㔳ㄳ昵つ戱晥摤㘷㤸㜵ㅥ攴昷ㄷ晡ぢ〳挱㠸扦搰搷扦㝢搹扣㥡挴扣㠶搸愰扡搸扣㐴㐳戴愶㝦昷㐹昳㉡㙡慡㉢挷挶ㄶ㑤慢㥦ㄳ慢ㅢㄴ慢昰〵㉢愲愱ㄲ㝦愸愸㈸ㅥ㠹㤴戴摦て㥡㈷㤴つ㥤搴㄰㡢㌷晥㕥㍡扢㔱攷挴戲愱㠵ㄳ㘲㠹摦㑢攷晥搰〹㤵挳敡㙢愳搵㜵扦㤳搲㍣戶㘹搱戰㔸㘵㌵ㅢ㍦ㄶ㙢愸慥㥢㔵㠸㙡愷〰㡤㔸戸㜰㐸㘳攳扣摡戹散㐷㘵戱㥡㥡㈹戱戸㌴㝡敤戰挶挴愴㘸㐳㙤㘳晢㕡攲ㄷ㙢㠸搵㔵挶ㅡ㍢搶づ㕦㔸ㄹ慢戱〴ㅢ昳㙢㘷㐴ㅢ㈶㐴㙢㘳戹っㄴ搴㥡㙤㌸扡㉡㔶㤷愸㑥㉣敡㔰㍢扤㌱㌶㈵㕡㌷㉢㐶㤱扣摡㤱昳慡慢㔴㙥㉥㝥慥㌶〷㌹搵㑣ㅡち昵愹㉤㥢ㅤ㙤㐸㐸㡣㑤攸㜷㤲戵㜵ㄷ戱㈲愵㕥散㔲摤搳㜲戱捤愶㔶搷㡥㡤㌵搴挵㙡㔸〸㕢戲㕦㥡㤰〰㘴戶㐳ㄲ㈹㙤づ㕢㐹戵戳㑥㍥摡挲㔲摣摤㐱づ㥢㔰摦㔰㡢づ㌹㍥ㄶ慤ㅢ攴㉢昴ㄵ〵㑡㡡㑢〲㤱㘰㌰ㄸ昲〷㐳扥㤲愲晥㔳ㄳ㔵挳㘲昳㤹收てㄷㄵㄷ〷㡢挳晥㐸搸㕦ㄲ㠹㠴晣㐶て㘸㌰㝡㔲搷〱㈰敤㥢慥戹㘴攷㤲ㅢ㜶摥㜴摥戶㍦㙤㌲㝡㌱慤㌷㠸捡㝤ㅤ攳㠰扤㜴㥥㡢㌹攵搱㥣昲㡡㥣昲捡㥣昲慡㥣昲㔸㑥㜹㍣愷㝣㔶㑥昹散㥣昲敡㥣昲ㄳ㜲捡攷㐰㐶ㅦ昹㙤摢收㔸挷㔷愷敥㐸㥣昸散㤵愳㉥㤹㍥昳ㅣ昷昶晢愱ㅣ㐲㌲㜲ㅣ㠴㐰挴戲㈶搴㥢昵昵昹晤㐱㕦㌸㄰㈸づ㠵㡢晣㐱㝦愰愸戸㝦㈴㔲ㄸ㘶㥡㍦攰㉦㉥ちㄵ㠷挳扥㜰㈸攲ぢ〶㡢㡣㍥挸㙥昴〵㜱ㅦっ搲扥㘹搹㔹捤愶昴㘳㕡㝦㄰愵㕥㠲㈹㌴愷昳㥥㉢搷㤷戹㑦ㄸ戳愴㕢晢摢摢慤㝤戸㡦攲攸㈳昵㈸㐴㐰愳敡㉢っ〷捤慡昸㠸愶㉦ㄲ㉣〲挲愱㤲ㄲ愹㐹㐹ㄱ搳㡡㝣㈵㠱愰㍦ㅣ㉡㈹づㄵ㠱昸㡢㡣〱㉣捥〷攲昶㌳戴㙤捤㑤㍢敥戹㘳摢扡㙢㡤〰愳㐱㄰愵㥥戵敡戱昹㤵挹ㅤ㝣㐳慢㈷摥㍤㝤挳昸㜹搷㉣扡㕢㜱〰㤴㝡ㄴ㈱㌰搰挲挳㙦㔶愲挸ㄷ㉣ち㠵㑢㐲㘱㕦㜱㈰㄰っ㠶㡢㠸㐷㐴搲㡡㑢挲㈵㈵攱㐸㐹㐹戰〸㈹扥㜰㤱㔱捣挲挲㈰敥ㄲ㤰摤捣㔶摤扥攵晥㥤㤷摦摢㜴晢戲愶晢慦㌳㈲㤴ㄸ〸愲搴攳㔶㜵㥥㕢㍢㜵昷つ愵〷て扤㘶㠹晢攰㜹昷敥搹㑥㜱㈸㤶敡ㅣ㠶挰愱扡㍡挱㐲㌱ㅤ㉤ㄴ〹㠷㈳挵㘸㠵㐸㌰㔲散㉦づ戲㐲㈵㈵慣㔱㌰㡣㘸㜱㔱㐹㌰㔴㡣㥥㔶㕣㘲っ㘲㘹㠷㠳戸㑢㐱摡づㅡㅥ昴つっっ㌴〶㤳㍤〴㐴愹㠷慣㑡㝣昷搲㡥㠳㤶㤷ㅤ㌷晣㑦㠷昵㝥㝣㑡挳扡晤ㄵ㐷〵愹㐴ㄹ〲扡㙤㡡ち〳㈶㉡扥ㄲㅣ攸ㅣ㠱愰慦㈴攴て㐴搰攷㜵㌷㐱㔳ㄵ㠷〲晥㔰㠹捦ㄷ㉣㐶ㄳ〶㡣㘱㉣㙥㌸㠸㝢〴㠸㙦摢㔵㥢㥢ㅥ㕥戲敤㠶昵㑤㔷㕥扡攳戶㠷㜶摣戶扥㝢㥦愶㔵㌷敤扣攸散愶摢敦㌳ㄳ㥢捥㕤户㘳挹㠳㘶㘲㕦㘳㈴昳㡦〲㔱敡㕥慢扡搵㕢て㔹㤶㜸昸㙦㘳捦㕣晦挵昱捦慢㝦㑦捤攳㐵㉢攸㜴㜶愷てㅣ㈳㜰挱愹㡣㌶㈶慣㌱㡤㔸晦扥㐳摥慥㐷扣ㄱつ㤵晦晢ㄱて㠵晣㉥㈳㥥㌱㠶攸㡦〵㜱㡦㈳㔶㍢捦戸㜴晢敡换捤㍥㙤㡣㘷摡〴㄰愵敥戴㕡收敤㜱晦㌹㜷敡㐷敢㈶㙣ㅥ戰㜸扦㈳挷慦㝣㐳㜱㈶㈱ㅤ㘹ㄲ〲挹摥㙣㥤㕤ㄸㄷ㐳攱㠸慦搸敦挷攸攸㉢㈹づ摢㍢㜳〸㘷㜸〰摤扣愸愴愸㌸㕣ㄴ㌲㈶戳戴㈹㈰敥愹㈰扥㥤㤷㙤摡㜶摢㍤㑤㉢㔷㝦昰攰捡ㅤ搷㉦㐵㠷摡㝥挵搲㥤换㔷㌶慤扡慡改摥㙢户慤㔹昷挹㤶戳㥢㉥戸昰㠳捤㉢㍥搹㜲捥挰攰㐰㘳ㅡ昳㑦〷㔱敡㈶慢戶〷昴㜸㜳㕢㐹愴㑢搹摤户捤㕤昲慦搸㐹㥢㔵㍢㈴㑢㙤㡦㐰㐰て〵㐱敢㠴昷昹搰户㌱㥣晢㈲愱愲㘲っ㍢晥㤰㜹昲昱㥣〸㐵㐲㠱戰扦㈸㡣搹ぢ敡㕡㙣ㅣ挹挲㡥〲㜱ㅦつ搲㝥攷㥡搳户摤㜹㈶慢㜹搵ㄶ攳ㄸ愶ㅤぢ愲搴〶慢㈲㜷㠵扢㥦昲㕣搱ぢ㘳㉥㌸㘷㙢晦㉥㔳捥㙥愳㌸敤㤲㡡ㅣ㡦㐰㜳㐵捣㌱挰㡦㘱ㅡ㤷ㄶ晣㘱昴昱㠵㠳ㄱ㠱捤㑣ぢ晢㐲ㄱ㝦㌰散昳ㄵ㘳㝣っ㤴ㄸ攵㉣㙣㈶㠸㍢ち㤲㍢㘸㙣㌰㘲㔴㤰㔷〹愲搴ㅡ慢〲㙢摥扥昵晤㥤㕢ㄳ㘳㤷㥦扤敥扡㌷㐷扤㌷㐴㜱捡㈷ㄵ㠸㈱㌰挸ㅡ㠵㤲㠳㔰㌰㔰㔲ㄴ㉥挲昸攷㉢昱㠵㌰昸㤵搸㙡㄰ち〷挳挵挱㔰挸ㅦ〹愲晤㠲愱愰ㄱ㘷㜹戳㐰摣戳㐱㜶戳昷㈱㙢㕣慣愶挴〹㈰㑡慤戶㙡搴㜰攱㠰捦晢㙣慣ㅥ㝤换㐷攳摣搷晡㥦扣㐸㜱晥㈹㌵慡㐱㈰搹㤳ち㡢慤㈱〹㈳㕦㌰攰ぢ攰ち㠵〹㈱〶挹〰慢㘴昶戳攲愲㈲㌴㕣㈸ㄲ挱㘸ㅤ㉣ちㅡ戵㉣慤づ挴㕤て㜲挸慦敡㐹挶㕣㘶㍥ㄱ㐴愹昳慤慡㥥㍣敥戲㔵㍦扣㕡㍤晣㥥㥣捦㥢㙥摣昱挵㔳㡡戳㘴愹㙡㈳〲〷㔹攰挹㝣㈱愴㈷〷㤸攸〶㜰㈱㉤㐲户攷㜸㡤㡥㘳㈴愸㜹ㅥ㠸㝢㍥㐸敥愰昱戸挶㉥㈰㙦㈱㠸㔲换慤搲㕥㡡㝦㔲扤晤㐱㘳挲㤵〷昴戸㝥摤扥㕢㔷㉢㑥挷愵戴㤳㄰搸〵㌰〱㑣㔲戲〳㜳㌲㑢㕢っ攲㍥〵㈴㜷搰昰㐰㤱㜱㉡㜹愷㠱㈸㜵扡㔵㠳攵戳㘶㉥摦㙢敢昵㘵攷扣昱摥㐵㡤㥢ㄳ换ㄴ敦〵愴〶㘷㈰愰慦ㄶㄱ㝤挵昲昹㡢㡢㑢㑡㈲㈵ㄱ㕣㐴㈳挱攲㠸㔴㐰慥㔸扥㈲戴ㄵ扡ぢ㈶㑥ㄱ㥣㔲㠱㔰㤱㜱㈶㡢㕢〲攲㕥ち昲㉢捦昲搰㐰攳㉣收㕦〶愲搴㈲慢扡昷摤戳㘷摦昹㌷㡦ㅤ戶㜴搹敡て㕦ㅤ扦㙦愳攲㕤㡢㔴昷㙣〴㜴摦㉥㈹搴昳㡥㐰㤸㔵つ〴挳㈵㐵㌸扦搰换愵㜳㥢㤷搸〸㉥㙥㤸ㄲ愰改挲㐵愸戳摦㌸㠷攵㥤ぢ攲㕥〱㜲㘰搳㔹㌷㔸ㄷ戵敥㝤戶慤摤戴㙤敤㔲㌳摡㙦晢㕤て㙣㝦㘰㥤扥愶㥤挷㕣㉢㐱㤴㙡戰㙡㔹戳晦㠸㌳㝥ㅣ㜰捣攰㌳て晣戴昴攷㕥㡢㔵ㅥ㙦慢㕡㌵ㄹ挶㜵て昳㜱摢㜴扥㈳愷攲㘵昳ㅡㄳ昵戵㥣㡢晦扥ㄷ㌸㤷㜵㠵㔳扤㥤慥户收愴摥慣搱㝦㌹愵㍦㈰㑤㍦愷昴ㄳ攷㈶慣㈹扤㔹挴敦㜲㡤㔳挶㉡㌶挷〵㈰敥ぢ㐱㍡晡㐲摢敥㔹戱攳昶搵收挰㘰㕣挴搴㡢㐱㤴慡戱ㅡ换昷昶攸㥢ち敡㙦ㄸ戹㈵㝦晣㠳愵㈷㍥㍥㔹昱昶㔷扡搴㙡〴㜴㤷挲愴㔹㑦摡㜰攵㠸㘰戸挶攵㉥㠸㕢〵扦㙤搶㠶攱ㄳ扣㔰㈸㠸搳〴㐳户摦㙦㕣挲昲㉥〵㜱㕦〶搲戹改晣㜵㑤㙢㔷昴㑢戹㠴㕣㑥㤱㉢㐰㤴㡡㔹㔵ㅡ㌳㌱㘷敥㤲㡤ㅤ㠷摤㜰㜲户㘵ㅦ慤㜸㝥て戵㍢㤲愵㑡㙢㄰搰㔵㑡㡥攰㝥㡥摤㤱㘰〰搷㡢㜰挸ㄷ昰㥢㤷㕥戳扡㈱捣㉦㜱㔶㐶〲㐵ㄸ㉤挲愸戳㜱㈵换㕢ぢ攲㕥〷挲愱㈹㘲㕣㐵摥㝡㄰愵㡥户敡昰昰㠲搸昷㌳㍣ㄳ〶㙦晡㙥挳搷㡢㕦㜹敦㈱㈵㙢〱㤴摢㐰㜲つ㠸晢㕡ㄲ昳ち㙤㕣㐷敥昵㈰㑡ㅤ㘹愹㌸㜷摦戶户㡣慦晦㝡摣摤㌷㍣㜲搸收㠵搷扥慥昶㐴戲㤸㜱㈳〲摡㡣㙣㘳㑢㌰㘸㥥慣㜲㑤挸ㅣ㕣㙥㘲㜹㌷㠳戸㙦〱挱昸〶㌳㙥㈵敦㌶㄰愵㈶㕢㜵ㄸ扥晦㑢敦晥昳慡㜷㐶㥣㝥晣㤶㐱愳ㅥ扢敤㜱戵ㄷ㤲愵づ㜷㈰昰㕦㡤戰㜷戲戴㡤㈰敥扢㐰㌰㈵てㄴ㜱㑡㝥㌷搹昷㠰㈸㌵挶慡挴攱㌷慥㜸晣扢摣㥡㈱㔷㉦扤㝦搳ぢ㑢昷㝥㐷㜱㈱㠵㘳㠲㌲敥愵昴㘶㄰昷㝤㈰ㅤ㝤挱愶㉤愷㌷慤扡搰敡慥昷㌳昵〱㄰愵㠶㔹扡昶搸昳挰慥攵〳摦㥥㜸敤㔳㜳㜶㉢愹㉡晣户敡㡡㘴㔳搷㠳㤴㝥〸挴晤㌰㐸㐷㕦挰ㅣ愲㉣㕤㝦㘱敡㈳㈰㑡ㅤ㙥改㝡晢搵〱敢昲㐶〷㐶㕣㜹摣㡥戰㙦昶挶㝤ㄴ㤷㜵〴㥣挷㄰㐸㠲攳㌴挳昳敢戱摦扡㕤㐹㤹攱〵挳挶㔶㤶昶㌸㠸晢〹㄰㌶㑦㤱昱㈴㜹㑦㠱㈸ㄵ戶㙡昰换㜱㤷扤昷搷㝢户っ扦㌲戴攵㠵改㤷㙦㘹㘸晦㌴㤲㈷㕢户敡挳ㅡ愲ぢ戰昸搱扣慥ㄲ㈸挴㝤㙤㙢ㄶ㤴戰㥥ㄴ㉦㡡㠷攳㝥㝦㔵㤱㉦ㅡ㡣收昵㠰摡搶慥㕣昰ㅡ摣㍥㝥㐴㜵㕤㔵晤〲ㄹ昷昶ㅤㅡ挵ㄸ㥣㕣搹攸㘷愵つ慤㥦㔷㔷搵戸㡦㜳攲搴㐴㌴ㄱ敢㥡㥥搶慣㈴㈳摢㔴㉣昴挴ㅡ愵扣㙥改搹㘶㐴㙢收挵㠶㉣慣㌶㤳昷㑢㑢挶㌲㑦㝤㐵昶搴ㄱつ戱ㄳ㤳愹ㄹ㌵ㅡ㠲㜵挸昹愲㍢挳㑡㌳挹慣㔷昷戲搹昵㡤戱㍡愹㕥扦摡㐹搵㤵㜳㘲つ㔳㘳㕣挵㡣㔵㠹愹扢㌳挹㕡㙢敡㌷戱づ㠶㘲昵愸慡愷㥤ㅢㅦ扥㌰ㄱ慢慢㡡㔵愱扥㜳㘳つ㠹㐵搳愲ㄵ㌵戱㍤㔲㐴捣㌲㤱戰㜷ち㝢㐴㝤攵扣挶戲晡扡㐴㐳㝤㑤㙡捡㤰慡昹㔱慣㙦㔵㡤慦慦㡡㘱㜹㉡㤷㠷㑢戹摡戴㔱捡㜵㜰摡㔵㐷搶㠸愸户戱㔰ㅡ挲搶挴晢愱捤昷㑡敤㜶㠵㔳㘰ㅤ慣愸㠹戱㑦收昴摡㠵㌲搱㑢㌵㝤戳ぢ摡㙣攲㤲㉦愵晢㘴㤷㤶㍡㈶㕢敥㝦㉢㥣㤳搳搹戲㝥昸㝣慣〱㡥㡡搶㔵搵挴ㅡ㕡㕣戰㔶慣㤱昱っ㐸㕥〸㘷㜳㔶昴㜲㈱愱ㄶ慡㐵㜹ぢ慡慢ㄲ戳摤戳㘳搵戳㘶㜳㝡㡣㐵敤晣㝣㐲㥢㜱ㄸ㝦〳换㜸㡥攴㜹㄰㡦挷攵晥㍢㠵摣ㅥ攳〵㌳㥥挷㔵户㔶㑤愸㔲㔶ㄷ㜳㤰换㤰搵㑣㉣㍤㌷收搵㘲〵愱戱㑤ㅢ㈷㉢㐷㐵ㅢ㘷㈷搸㍤㕢㑥愴扥ㄷ㐹㕥〲挹敢〵戲换挵㑢摥㑦攴㜲㡤戶㐳敤戰㔸㍣㡡㤵㜱㌹扢㔵㌴㑦㈶㜸㜹攰㌶㔶ㅡ㕣㤵ㅤ㡤㜳㘵愱ㅢ㈱㥣晣敤㙢搹晢㘳ぢㄳ挳愲㠹㘸摢㕡慣敦愲㤵っ〸昵㤳㕣㘶㠸㌹㍢〸㑦攷昶㔸㌱㘸昰㑡搰愶愵㥤㌰㑣㑤㌸㜱㜰扥戸摡㔸戴㘵㈳㔰㜷捥搵摣改ㅤ㍤㜵㥤ㄶ换挷㔵㈳㘳㜵搳ㄶ捤㡤㌵㔲㍣摦摤㈲㤴改愷㤷捣㄰㉢㉢愶㈷慡㙢ㅡぢ㔱搳㤱つ昵昳收晥㥥㝡愸换㜸ㄹ㐴ㅦ㜹晤搰㡢㕢㙦ㄳ攰㜲戵㥤捦戶㈹㉦㜷攵㔳ㅢ㌹挶〱㈴散慤㔰昶ぢ晥㤳挳㜸ㄵ晦㜹㕡㑡换敢つ㠹㕦戳愶㥤〷昹昶戵ㄳ㉢㉢愶㌵挴㘴㤵㍥㕦㈲㐰扢㐳敤ㄱ昵つ㜳㉡敡敢攷昰㠶愱愳挴ㅡ㘷挷㘲〹慥㝣户戳㔶晡㘵㐵㕦愹㌶㙤㔲ㄶ愶㙤㑢攴晢㐳扦晢㑤㤰づ㐳㙡㙡扡㙢㡤㡤敥㝦㠱搵〶㙢昰敥户㄰ㄸ搶戴㝡搹〷㥢慦搸㜹昱愶ㅤ敢捦摢㝥昳㡡てㅥ扣㜸摢敡换㥢㙥扤慥改扥扢㥡㔶摤㌱㈳㔸攸㉦摦戹晥扥敤㝦扥つぢ愶㍢㤷慦摡戱晥㠶昲敤愷㕦搸戴㜹㐹搳㤶㔵㝤晣㝤ぢㄷ搶㌴㉥㔴㍤㠰ㄴㄷ㤵㙦扦㙥㙥晤㠷㥢捥ㄸ扦㙥㔰散攷㌷ぢ扥戸㐹㜵户ㄲ㌲㔶扤晢愰㙣㕥搱㡤㜷㐱㔴㌷㠸㜱〴㐲㌸昵㌰摥㐷摣昸㠰愴〹〴攳㠸戴っ㠶㤱敤㘶㔴昵挵晦ㅣ㑡㡣ㅤ㈴㍢㐱㔴㍦㄰㥥挸挶㠷㈰晡㔰扢㐳㍦晢㠷戴昱挱㘰㘷戶昱挷攰㝡㡣ㄶ搲㔴㝦㐸戰㥤つ攲㙡㄰㐹㠳㈸慡㜶㔰散〸㠰挷㑡挸㔸㙥ㅦ㠰㙣〲挰㌷捣㥦て㌱㘷〰扥㘳ㄹ摦㤳晣〰㘲〳攰㈷㌳慡㝣昸㕦〰昸㤹㐲㠴㔰〵㐰〴〰改搰㠸昰㔰扦晣㙣〳挰て㑥㈶〰摣攳昴ㄸ㉤愴愹㈰昲㌹〱昰ㄵ㤴㍢〲昰愵㤵㤰戱捥捦攵㜹〱愰〳ち㔵㥦㐳捣ㄹ㠰〲㈴ㅢ㕥㤲㑥㈰㌶〰㍡㥢㔱ㄵ㠶㈲〱愰ぢ㠵㜶〷㔱ㄱ戰〴㠰㍤㄰搳㠷摡㘹〷愰〴散㑣〰扡㔲愷搱㐲㥡ㅡ㠸㝣㑥〰扣㥤つ㠰户慣㠴㡣㥤㠵㐱搰搴㠳戵㌸㠰㔵㝥㌳㉢〰扤㤱㙣ㅣ㐸㜲㄰㠸つ㠰扥㘶㔴ㅤづ㈵〲挰挱ㄴ敡〷愲〶㠳㈵〰昴㐷㑣ㅦ敡㈵ㅢ〰敥㐲愴㈴㌷㈱㌲㠶㍢ㅦ㔲㍤〶㘵㌲㐱㤲㌴㌵〴㙡㥤㠰昸㙢㌶㈰㥥戲ㄲ㌲㜶㌷㠶㐱㔳て晣ㄹㄱㄴ愷㥥挸ち挴愱慣捤㘱㈴㠳㐰㙣㐰㤴㥡㔱㌵ㅣ㑡〴㠸挱ㄴㅡ〲愲㐶㠲㈵㐰っ㐵㑣ㅦ敡㐱ㅢ㄰挶〸戰㌳㡤ㅣ㐱㥤㉤愵愹㔱挸攷〴挰㕤搹〰搸㘸㈵㘴散㤷㡣㠱愶ㄶ㙥㙤㔲戶㈸戸戴㤱㜲㙢搳㍥㍥愲扡㈶ㄱ㙢㤰搹㙢㐱ㅣ晦㤹摢捥ㄲ敦挰ㄹ㝢㐳戴搲摣搰敤ㄲ㉦挳愴ㅤ晢摣㠹㐵㌲㌳ㄵ㤱㡣㥢〶㜳㑥晤晦㙥㡤晥㜰户㐶㜲㘳㤴㜲㝢搴挲慤〷㍡㑤摡捤㔱换挲戶㑥戴ㅦ扡㤸攳㐴㐶晡㑢㈱㌴愷㜶㌲捡愷捦扡㙣㌷㙡㤰户㜷㐲㑡晢戲摦㌲戱戳㘷㜶㔲㘶捡㝡㝢昲㌴ㄲ晦摦捤㕤扡㌷㤲㜹㜳㌷㤱㈳攱㈴㤲挹㈴㔳㐸愶㠲愸㕢慣㘱㤶㔷㤷㠷〱攰搶ㅣ㤷敢〳㠴戱㈹㐷㤹ㄹ㈴㐷㠰搸㠶搹愳㄰㜵ㅦつ㔲愰昷㙤扢㥢㕤捣攳㔲㘳㤱㔳㠶摥㘳㤸昱㔸㤰昶挷㠱㑣ㄸㄵ慢挱㐲挱敦攵〱㤴㌷ㅥ挵戴㝣㙢㠳晥戳ㅢ㠴昶愸㥤扡愸慥㜲㜶㐳㝤ㅤ晣戰㜸挷㌵愴ㄲ㉥㌴㡤㉡敡慥ㅤ㔷㕦㌶㉦攱慥ㅤ㔵㡤晦摡搷㑥㠹捤㡤㐵ㄳ㘵㔸〸挲敤摣㌸散㐵换捤摡攸慡㠵晦㈷㙦收㕣戹㌰挱愵〰愰扥㥦㔳改㘷慦㜹㕢㘵挱㕢㌸慣ㅥ敥㔸㌱昱㐴㈳散㙥㌷㙥捣晦㠰㜷㙢㉥攳㜸搴㙥摤㘷㌷ㅤ摡晢捡摢㝦戱晥㍦つ㜳㕦㌹㡣㜱㌰㍡昳㑡ㅣ㐵ㄶ㑦㑢㘹㙡〲昲㈵慦挴敥㌸㘱㐳㌷㌰㘷收㤷㘵扢ㅡ㕦㙡㈵㘴散㤱㑦㠶戶ㅥ慣挹〹㔰愴㔶㕢攷〹ㄸ愹㠷㔱㠳㘴愳㤶愴づ挴㜶㥥捣㌵愳㙡ち㌲挸㌹㜱㈲㠵ㅡ㐰搴㌴戰㘴㍡搲㠸㤸㍥搴㜹㈸㈳㜹㙢㌲ㄵ散㑣㄰ㄶ㔰愷搱㐲㥡㥡㡥㝣㐹㄰㙣户㈶㘷㘶〳攰っ㉢㈱㘳摢晤㐸㘸敡挱㕡㥣捥㉡㥦㤶ㄵ㠰㌳㤱㙣㉣㈱㔹ち㘲〳㘰㤹ㄹ㔵㐷㐱㠹〰戰㥣㐲㘷㠳愸㘳挰ㄲ〰捥㐱㑣ㅦ㙡扥ㅤ㠰愳挱捥〴㘰㈵㜵ㅡ㉤愴愹㘳㤱捦〹㠰㥡㙣〰捣戱ㄲ㌲戶晢换愱愹〷㙢㜱〹慢㕣㥤ㄵ㠰换㤰㙣㕣㑥㜲〵㠸つ㠰㌵㘶㔴捤㠴ㄲ〱攰㑡ち慤〵㔱ㄵ㘰〹〰敢㄰搳㠷㥡㘹〳挰扤ㅥ㈹愶㙢㐰挶戴㝣〳㤲㍣〶〵㌲ㄱ㤲㌴㔵〹㥤㑥㈸捣挸㠶挲㜴㉢㈱挳攷㈰づ㑤㍤昰㘷摣㠲攲搴搴慣㈸摣挶摡摣㑥㜲〷㠸つ㠵㡤㘶㔴捤㠲ㄲ㐱攱㉥ち摤つ愲慡挱ㄲㄴ敥㐱㑣ㅦ㙡㡣つ〵㘳㌶搸㤹㐶摥㐷㥤㉤愵愹ㄳ㤰捦〹㠰挱搹〰㈸戵ㄲ㌲㕣ㅣ㙡愱愹〷㙢昱㈸慢㍣㈸㉢〰㕢㤱㙣㍣㑥昲〴㠸つ㠰愷捣愸慡㠳ㄲ〱攰慦ㄴ㝡ㅡ㐴捤〵㑢〰㜸〶㌱㝤愸㤰ㅤ㠰㝡戰㌳〱㜸㥥㍡㡤ㄶ搲搴㠹挸攷〴挰挱搹〰攸㙢㈵㘴㌸㑥㜰㡤户〷㙢昱㉡慢㝣㔰㔶〰㕥㐷戲昱〶挹㥢㈰㌶〰摥㌲愳㙡ㅥ㤴〸〰㙦㔳攸ㅤ㄰戵〰㉣〱攰㕤挴昴愱扡搹〰㜰扦㡦ㄴ搳敦㈲攳㍣㘸㐲㤲挷愰㐰㈶㐲㤲愶ㄶ㐲愷ㄳち㕤戲愱搰搹㑡挸㜰攸㌸ㄹ㥡㝡攰捦昸ㄸ挵愹㑥㔹㔱昸㤴戵昹㡣攴㜳㄰ㅢち㕦㥡㔱戵ㄸ㑡〴㠵慦㈸昴㌵㠸㍡ㄵ㉣㐱攱ㅢ挴昴愱昲㙤㈸ㄸ愷㠰㥤㘹攴て搴搹㔲㥡㍡つ昹㥣〰昸昹愷㉣㉢㌵㍦㔹〹ㄹ晥㈴㘷㐲㔳て搶㈲㌷〷㔵晥〱㘲捥㉢㌵㙥㈴ㅢ㙤㐹昲㐱㙣〰㜸捣愸㕡〲㈵㍤愹愸ㅤ㠵摡㠳愸戳㄰ㄵ〰㍡㈰愶て昵㌹捡㐸㕥㄰㤷㠲㥤〹㐰㈷挸㝢㡣ㄶ搲搴㌲攴㜳〲㘰㐷㌶〰戶㕢〹ㄹㅥ㉡攷㐰㤳〰搰㤵㔵㙥捡ち挰扥㐸㌶昶㈳改挶摡㌵㉦㔶㜶㌷愳敡㕣㈸敡㐹㜳㝡㔰愸㈷㠸㍡て㔱〱攰〰挴昴愱摥戴〳戰〲散㑣〰づ㠲扣挷㘸㈱㑤慤㐴㍥㈷〰㕥捣〶挰ぢ㔶㐲㠶昳换㉡㙡捡㝥捦㠶ㄴ慣敦换摤愱ㅢ㤲晦㔷散㌴㥡晢㡢扦㜱捦捣敤挱攱㔲ㄷ挰搸㥥昸㌳㝣㘸ぢ挳て㤲㜷ㄱ愲慤㜱㤵搹ㅢ㜲㉡慡㉡㔴愵慡㔲戱戶戵㜰愵ㄹ㍦慢攱搷摦㜳㜴㐴㐶搹〵㌲ㄵ戴搷㔱昱㌴搲ㄱ敥㉡㜹㜵〴搲戲㉤搵愱㤹㠱ㅤ㤰捥㍡㘶摢㕥㑡敡晥扤昷慡㘰㍢㐶㜶㠵㈱慣つ摣㤷攴㍦㤳扡㜹戴っㅦ敡〹愰扡㐱挱敦㜵㠳昳晦㜷㜹扦㔷扤㠹㠱㜹㝣㕡㙡〵〶愷晥慦昹敦㍣散㌱㉥㐴㔲收㈰ㄲ攲㈰搲㘲㘲㑢ㄹ搵挵㔰㥡ㅣ㘱摣㠷㐱㤹摢ㅣぢ捣㝢慦㐷戳つ㌴㡦㔸〹ㄹ㡥㕢㜴戶㤲㤱㜶㌰㜴愹㠷㈱收㝣愹ㄹ㡡㘴愳㡣㘴ㄸ㠸㙤愴ㅤ㘱㐶搵愵㔰搴㤳㈶㡦愴搰㈸㄰㜵㌹愲㌲搲㡥㐶㑣ㅦ㙡ㄳ捡㐸㕥㙡㉥〳㍢ㄳ愴昱㤰昷ㄸ㉤愴愹㉢㤰㉦㠹㠳敤摥敢㤶㙣〰摣㙣㈵㘴戸㠹㕤〹㑤〲挰っ㔶昹挶慣〰ㅣ㠹㘴攳㈸㤲愳㔹扢收㑢捤戱㘶㔴慤㠵愲㥥㌴攷㌸ちㅤて愲慥㐲㔴〰㈸㐷㑣ㅦ敡㉡ㅢ〰敥㈸㔲㑣㝦戲㡣㈹㔷㈵㤲㍣〶〵㌲ㄱ㤲㌴戵ㅥ㍡㥤㔰戸㈴ㅢち慢慤㠴っ㐷戵つ搰挴㐵㜱愳㠶挵搵㤲搴㤱搴㤳捣〵㔱慢㉣㘴㜸㈳挱晢㔵㉥㕦㜱㍡㠸晢㙣捡㌴㤲㈴㐰㙣挸捣㈷㡦换㔷ㄸ戹慦㠱㘴㑦㑡㉦㈴㜳ㄱ㠸扡づ㔱㉥㉦戹㡣㤳㄰捤扡㐶㜱㉤㈵㌲挰㌹〵㔹㍣㐶ぢ㘹敡㝡攴㙢〶㠷㙢ㄴ收㌹戲㌸ㅢ㌸㈷㕢〹ㄹ㉥㜸㌷㐱㔳て搶㘲ㄹ慢扤挸〲〲㡣搴挳㌸ㅢ挹挶㌹㈴攷戲㜶捤㕤攴㍣㌳慡㙥㐶㠶㥥昸㌳㔶㔲攸㝣㄰㜵㉢愲搲㐵㔶㈱愶て㌵ㄷ㘵攸㜳挴㝤㈱㔲㑣㕦扤っㄴ㉥㐶ㄲ〶ㄳ搰㑣㠴㈴㑤摤〶㥤捤㈸晣ぢ㌱ㄳ㠵㜸㌶ㄴ㘲㔶㐲㠶ㄳ攰㥤挸㉢㈸慣㐱㜱慡㌲㉢ち㙢㔹㥢㜵㈴㔷㠱搸㔰戸摡㡣慡㡤㔰搴㤳ㄵ搹㐰愱㙢㐰搴摤㠸ちち搷㈲愶て㜵戴つ〵攳㉥戰㌳㡤扣ㄱ昲㥥㤶搲ㄴ扤ち㥤〰㤸㤴つ㠰㠹㔶㐲㠶〳攲扤搰挴㜹㤹㌵ㄷ搹㡣㘰㑦晣ㄹㅢ㔱〷攳㉥㄰㜵㍦愲㥣㡦㤸㠷扥ㄸ戸〶㕢っ敢㝦捤攷㐵攲㍥㈴㘵㕡戵〹捡㜰㤱㘸㈱戱愵㌴昵〰㤴㌶㥢捣㡢㠴搹收㠳戳㤹㕣㙡㈵㘴昸㐹㍥〸㑤㌶㤳ㅦ㐲戴㈷㙢晣㈸㜵㍥〶愲晥㠲㘸愶挹昹㠳挱挶愱晦户㥢捣戵敦㑣㤳㥦㠰㌲㤸摣㐲㘲㑢㘹敡ㄱ㈸㜵㌲搹㤷捤攴〱㔶㐲㠶㍢攷㔶㘸㤲㙥晥㈲捤㍢〴㘲捥ㄷ挴㤷〹挱㉢㈴晦㤰慡㥢㌶挱㑦攲㔵㌳慡ㅥ㠷愲㥥戴昵㌵ち扤づ愲㥥㐴㔴扡昹ㅢ㠸改㐳昵㐲ㄹ挹㤳晤㕦㐸㌱㍤㍦㌳㑥昶户㤱攴㌱㈸㤰〹㥦愴愹愷愰戳ㄹ㠵收㤳扤㙢㌶ㄴ昶戶ㄲ搲㕤㑡昳㥥㠱愶㕦攱ち搸づ攲㐶㝣㐶㜵㙣〱㝤㤷㍡挶㔳晣敦㍢挴㠷搵㑦愸㑦っ慢㙥㥣㕢ㄳ㕤搴㌹㙥〵㡥㤸ㅤ慢㠳ㅢ㘴〳扣㈱搳㜸昵㜳攷挶慡㡣昸搴晡㜹つ㤵戱搱挳晥〸㙥㤲搲㔸㜰晤㔱捡㤵愳㜰晣㌶捦㍦ㄷ㜲愲㤷昳㔶㈶敦㙦㔰㤹敥挰㘵摢挳㙢摥㉥昶㐲戰愰ㄹ搱㘹搵㠹㥡㔸扢戸愴㑢㌸㍦づㄴ攱㕢㕡搵㌶㍥㙤㌶ㅣ㥢㠶㜵㠸㡦㙣愸慥慡愹慥㡢戱㌱戰〵㑤㉦摣㜱戱㔹昰㈳㥤㔴摦㔸捤㘷㥦㍢挴愷㌵㐴敢ㅡ攷搲㈵慥㜲搱㙥㈹㌱搹㡥挹㡢て慤慥㙢㐴㌱昲ㄴ〵挳〵昱愹戳敢ㄷ攰㌱晣㜹戵㜵㈳愳㜳ㅢ晦㄰慤愲愴㕤㐸愴㘹㔴㡥捡挹㔱昹㌹昹扦戵㝤摣㍢㜰㜶㜵㌶ㅦ㔸敡㡥㝥㥡㘸愸慥㤸㐷挰愴㥣〰㘸㉥㠹戴愱㉢敦㌹㠴㕡搸㠶攵敤戹攵摤㑢捦㔵搶㌵攵㔱ㄴ㐷㈷捡攴扢つ昶㠳戸戱ㄳ搵㘹晦㈱挸㤸㤱搳㐷㌷晢㜴晦㔷㉦ち挸㝢ㅥ㥡搳㌷户搲㝢㕥搲㠵㜶㜷〸㜷㌴扢㄰㜹散㔱㌸㌳搱ㄳㄸ㑢敦㤶㥥戸挸戰㠷㜶㙣づ㡥㠰ㄷ㘶晢昸戸㘸㐵慣〶摢㤸戵搱㐴㐷㌳挲攵つ㍣㐸摥㘸愵㤵搵搷搶㐶搹攵搸㕤愷㔶㐶㙢㘲昹昱㈱昳ㄲ昵攳慢敢㡣㌸㠸昴㑢㡢ㄵ㕤〸㔶㜴愱戰摡挷愷搰愹㕣挲搴㔵㍦㉢摡㔰㥤㤸㕤㕢㕤㤹捦〸ㅤ扦晦㄰㝤ㄵ攳㝦㉥挰搴㠷ㅥ㑢搲㌷㔷捤㙤㐶㌴㜷㈱戶㝡〹ㅤ㥢ㅦ㍤㍡㐷戹昱㑦晤挶昵ㄳ㡣㍣㜲搱㌰晥〳㙤㜹昸㤳愱㐸敡昲愹㌸攸㈱昸改㘹攸愲㌲㌸愹ㄷ㈸㠰㍦攳㈳㠸㌲挰扦摣ㄷ㐱㕡㜴㐸㙤ぢ〱捦戸晡㘸搵〸㌸挰搴㌷戴戵㕥㙣㤱㡦愶攵㔰搳攰愵㡢㜰ㄹ扣捥攱捤㍥扦扡㉡搶㤰㑦挶㔴㙣ㄸ攷搲戹搸㙤戶㈱㑦㘶㔷㕥㕥扢㝣愷戲㐶㙢㕤扤㉣挷㑢晢㡢㐱㐶㘷攸晦捦攴㤲㔲搶摤攳㤱㑢搴挷㌰挷昸㠴㌶扤〴㈶敤㐹ㄳ昸㤴〲㥦㠱攴扤㡣挴昴戶㐹昵搶㠵㑦慦〱愱㕣慥晣攴㜲挵㈷㕦慦昴攴㠹㈱敤㙣㉢㍢㙥㜳㐵㈷㕦扦㘷挲㍤ㄵ扤㍣㔶攵㌱挷㔷㙥㤷攳捡攰捡挹挹㐵㔳扢搳㍤㤳㌲㡡㠵戲摡愹㌱昱㈸㔶㕣㤴㜰㝦㡥ㅡ㜷攱挹〲晤攵㈹敦㔴㐸㥦㐵㘰㡥昵㈵㠴㕤ㅥ昵㉡愸㐶攰㔰㜲㑣㠸扥㈲〲㕦㠳愸㜷挱攴㍣挰㜶搵㔲敦㈳捡㉢㤷换晤つ㐴㕡㍢㔲慡て㤰㠳愳愵昱㉤ㄵ㌷㈱挴㐱㈸搹㈹扦〷㜷搷㥤㜲㍢㜳攰捦昸㠱㑡慣㠸愲ㄷ慡㌶〳㝣㙤挶㡦〸ㅢ㍦㔱㜰愷戳挰捦ㄴ昸㠵〲ㅦ㐲㠰慤敤收㘳㍣捤㈸摡㕦攷攰㠰㘲づ㠴㠱攲挷㌶敤㌶ㄴ搱㠳戱㝡て愲扥㠱㐰㍡㡡摦㠱㘷愲挸ㄷ㤷戴ㅡ挵敦㤱㑤㔰㜴㔳昱て㠸愵愰㤸て敥慥㔱晣〹搹〴㐵扥〷㈷㠹攲捦攰㍡愰攸㠱㡣搱㡥㠲扦㌸ぢ戴愷㐰〷搱〴㕤㠲㘲㐷挴㍡改扥搸晣㈶ち〷〸扤㤰〴㠴戹挸愹换㍥㡣ㅣ戳㈳㜶愲敡摤愸㥡晥慡改㄰搲㐹搵㠴戰㌳㐴㕡つ愱ㄷ搹〴挲㉥㔴㑣晦搶ㄴ〸昷〰㜷搷㄰搲てㄶ㍦扣攵㠷㑡㄰㤰㍦㍡挳㙡㌳搰慤戴ㄹ㝢㐱挶搸㥢㠲㜴㤴㜵㄰攸㑡㠱㝤㈸㐰摦㔹㠱㜰㕦挴扡㙡〸ㅤ㕥愳攱㠰㘵㌷㘴〱㤶㕤㙤㘵散搳㕣㠹晤㔹㐶㜷㤶㜱〰〴搲戱愴㐷㤲㠹㘵て㠸戴ㅡ换〳㤱㑤戰散㐹挵㜴㤵㑤挱戲ㄷ戸扢挶㤲㉥戵昸攱扤㉦㔴㠲㠰晣搱慦㔶㐳〵扥挶昲㐰㠴㡤㠳㈸㐸㥦㕢〷㠱㍥ㄴ攸㑢〱扡攱ち㤶〷㈳搶㑥㘳㌹㍣ㄸ捣戸㜷挲㠸搸ㅦ㌲〰捦㘷㔳扡㙦㜳愹㠷㔰㘹㈱㤵搲㕤㌶ㅤ㍣晡挸㥡攰つ㠰㐸慢挱愳㔷慤㠰攷愳㘲扡搷愶㠰ㄷ〰㜷搷攰昱搲㠶ㅦ摥昰㐲㈵〸挸摦㘰㔰㡤㡤慤㈳㠶㈰㘳ㄴ㔱㜰㠸戳㐰㌱〵挲ㄴ愰敢慥㠰㔷㠲㔸㠹〶敦㔷扦戹挴愱㥢づ㠴㐲㈰㍤挲㔶〳摢愸㜹㈸㙢㜰ㄸ㐸ㅥ扤攸㕡㤸愳挲搹挸收㙢搹ㄱ㍡摤昱改㜵搵〹㑣ㅦ㔹摢ㄱ搵〹㕣〸摢挷㐱㄰㤴㙤戲慥㌲慤戴㘵敡㤷扣㕤摤㍦㌳㈹攵晥戵㕢㘶扡晤㠶戶㤷㐳戲㜹慢㙢扢挳摤㤵㤰摣昲㍡搴昱㡦㜴て慣㑣㈷㌹㤷㜹ㅢ摣攲昳敦捤戸昳㌶收扦戸㘳㤶戳ㄵ㉦昱㘱户㔱昸㠷㤳戵ㄴ㘱摥㐰㑦摡㘵ㄷ戱㜹搸戶㘳户攳㑤戴挹敢㘰戹㜰㡦慥㙢挴㌴搴㘳挵㜰㤳搱搱ち㑥㥣㤷㐸㐹㠹㉥散㙣愵攰搱㥥㠹㜵戸㌵慣㡣㌶㔴晤㐱敥㉢㘰㥢㜹晢㉢户〸扦㜱㘹〲㑡㜸搸敥〶戰搸㌴搸挲㥡慥慣扦挶㐱戹〰㥡㍡㄰敥愴摦㜲㍥㘳㝣〵㠸戴㠲昹㠶㌰㔹㈷㥡ㄴ挳㈲て摥愰㔶ㄳ敢㉣ㄹ㤲㔱㤹㐳ㅢ昱㈱ㄵ㡤㔸㜳㐸昰㠶搲ち挹㠹㙥挴愷挴㙡愲㝣づㄷ昷㝦㔶㘸㔲㘵〲敥昸㐹〵㝣挶昶㡦搳㐲㐰㈴搷㙡㈵㈵敤攴㙥㘱㝣㑢㌵㠲攷搰㙦㙣㔵戴㕢㕣㡥㡦㑢搵ㄵ㤷昳戸戱搴愵〳搶㑡ㄴ㕤㤴㕢㔸挶挰㔸㙢昷㈶攷㤹搴㔹㍦攴㘰㡥㜰㌲㜸戵搷㍣慥㜵㜴攰㥡㔴㐳〲て愲昳戵ㅣ〵㍣㜵㙡㜰㌳㤸愸挶㙤㝤捤愲㡥昱搱㜵㤵㌵昳慡㘲戲㈶愰挷㙣㔹ㅡ昸㐳戴ㄷ㈷愴搶ㄹ搵〲㉥ㄶ㈸愳昱昶㐹晤㘰昲㙦㕦ㄸ㌴㠶攰㑣㤳挱づ㍡㍣㐶㤹㜵摥搱㜱晣㔷扢敥㝢㔰晢摤㥡ㅦ㍣㤱㜷ㄲ㘲㘸换㘰㜱㑣愳晦㜵㤹昶晥㤷㌳捥㈶㌶慥㝥㕣㍤ㄷㄶ㙤慣㔱搵㈶敢て搱㑥戰搳㙣㈶昸㌰晣收㈵㔹㉡挱愸㈷晦㘱〹挴晡扦㤴搷ㄸ㕣㘵ㄴ㝤昳㘵㝡㈷晥搰㌲挳ち㐰㈶㠷挴ㄲ愱攷扥㑣攵㠶愳搵ㄴ㕤昸捤愹㥣搹㥥挶㐸㜰㜷㍤㤵愳慢㍦㝥搸㌹愷ㄲ〴攴㡦扥晤㝡㉡㘷ㄶ挸搳捦ㄸつㄹ㘳っ〵改昷敦㈰㌰㤶〲攳㐰昲攸晥㥤㍥搰㘴昵㘴㐷〶ㄷㅥ愶挶㙡㐴㝥㉤㔷㘵㜰㥡扡昱㄰㌵㍣昵戱戲攳㙥㤷㑦㑦㜷㘳㍣愴晥昶散戳㠳㔸ㅦ㌸搴㌴㤷捦㥤つ敢摥㙤〲换㥦〸愲攸搲㥤㍥㘵愶ㅦ户㌹㘵㥥〴㤱㔶㑦㤹改昹㉤㌸㑦愶㘲扡㠰愷㑣㤹愷㠲扢㙢㥣攷㈲ㅢ㝥㉥㘳ㅡ㤵搰〴晥搱㕦㕣挳㘸㥢㌲㑦㠷㡣㌱㠳㠲昴㈵㜷㄰㌸㠲〲㐷㔲㠰敥攵㌲㘵㍥ち戱攴㤴昹㔷扤㕡㡢㉦㘹㜳㤸㌲ㅦ〳㠵㤸㌲搳ㅦ㕤搷挰㜶㤷㝣㉣㙢㜰ㅣ㙢㜰㍡〴搲㤱愶挳戸㠹昴昱㄰㘹㌵搲㑢㤰㑤㤰㉥愷攲愵㠸愵㈰ㅤ〵㜷搷㐸㉦㐳㌶晣㕣㐶〵㤵㘸愴改㤸慥捤戰㈱㕤〹ㄹ愳㡡㠲㜴㕡㜷㄰㠸㔱㈰㑥〱晡戱ぢ搲戳㄰㑢㉥搷愴扣ㅥ挸〱挵㙡〸〳㐵㍡戵㙢敤〳挹㌱搷ㅡ㑥愰昶㌹搴㑥〷昴㜴ㄴ改㜵㙥愲㔸〳㤱㔶愳㐸㍦㜵㐱戱㤶㡡改戰㥥㠲㘲㍤戸扢㐶㤱㡥敤昸挱〹㠳㑡㌴㡡昴㙥搷㘶攴㌵㥢㜱㈲㘴㡣〶ち搲昳摤㐱愰㤱〲㝣㙤戲㕡〷〱㐱㜱ㅥ㘲挹晢攳戱㜸㐳慢〳㜸ぢ㈰〳昰㌶搸㤴摡ㄶㄷㄶ㔲改㈲㉡愵摦㝡㍡㜸㜴㔶㌷挱㍢〹㈲慤〶㡦敥敤〲摥挹㔴㝣〷㘲㈹攰㥤〲敥慥挱愳㍦㍣㝥㉥攳㔴㉡搱攰搱㈹㕥㘳㐳敦㐹慢て㥣〶ㄹ攳㜴ち搲㘱摥㐱攰っち㥣㐹〱晡搰ぢ㜸㑢㄰㙢㕥愸戱扤ㅢ搲㝡慦㥦〳㤶㘷㈱ぢ戰愴㕢扤㉥挳戶搶戰㡣㘵㉣㘷ㄹ㜴㠱㑦挷㜲㉢㜸㈶㤶㘷㐳愴搵㔸搲㔳㕥戰㍣㠷㡡㥦㐰㉣〵换ㄵ攰敥ㅡ㑢扡搶攳攷㌲捥愳ㄲ㡤㈵晤敢戵ㄹ戶搳㜹㈵㘴㡣昳㈹㐸摦㝢〷㠱㔵ㄴ戸㠰〲㜴挷ㄷ㉣㉦㐴慣㐸慦㌵晣慡㠱搳愹换㕥っ㙤㠰㤹捥晢扡㜸摢㐲挳㥦㔸晣㙡ㄶ㑦㐷晢㜴㤸改㕤㙦挲㝣〹㐴㕡つ㌳晤昱〵收㑢愹㤸㡥昹㈹㌰㕦づ敥慥㘱愶〳㍦㝥㜸挰㠵㑡㌴捣㙦㈳愴捤〰㕦㜷搹㍦㈳㙣慣愱攰㍢捥〲㔷㔲㘰㉤〵摥㠵㠰挰扣づ戱攴昹㍥ㅥ㙦㥤㜲攸愳敢㈱〳昰攸搷慦㑢敤摡㕣敡搵㔴扡㠱㑡改㥦㥦づ摥愷攰㤹攰㕤〳㤱㔶㠳㐷㌷㝥〱敦㕡㉡愶㍦㝦ち㜸搷㠳扢㙢昰攸昷㡦㥦换戸㠱㑡㄰㤰㍦㍡晦㙢㌳挰搷攰摤㠸戰㜱ㄳ〵昹㘰㠰㠳挰捤ㄴ戸㠵〲㝣㔶㐰挰扢ㄵ戱㈴㜸挳昱㝡㔱〷昰㙥㠷っ挰攳昳〲㕡愹敤〴扦㠳㑡敦愴㔲晡昶愷㠳㐷㠷㝥ㄳ扣㡤㄰㘹㌵㜸㝣〴㐰挰扢㡢㡡昹㉣㐰ち㜸昷㠰扢㙢昰昸捣〰敡散㌲㌶㔱㠹〶㡦てづ㘸㌳㄰搴攰摤ぢㄹ㘳㌳〵昹㔰㠱㠳挰㝤ㄴ戸㥦〲ㅤ㈰㈰攰㍤㠰搸㙦㥣ㄹ攱挵㤶づ㐸㍦〸㠵㐰扡㤳慤〶戶㙢晡㐳慣挱挳慣㐱㔷〸愴㈳扤㉦㜸㈶搲㝦㠱㐸慢㤱摥て搹〴改㐷愸㤸てㅤ愴㈰晤ㄸ戸扢㐶㥡て㈷〸搲㕢愹㐴㈳摤〳㕣〷㈰ㅦ㠷㡣昱〴〵昹昴㠲㠳挰㤳ㄴ㜸㡡〲〷㐰㐰㤰晥㉢㘲㠵㝡㈸㙤攵㉢㌹ㅤ昰㝤〶㙡㠰㉦㥦㝢搰攵摡挶搰㘷㔹敥摦㔸㉥㥤昱戵〰㜲攸㍥昲ㅣ〵㥥愷㠰摦㔹攰敦ㄴ㜸㠱〲昴㡡搶ㅡ㜸㐱昰㜸昶㠴ㅥ攳㐵ち扣㐴〱㝡㈷愷㌷㈱㕤㤲捤㈶㝣ㄹ㈲慤㙥挲㌲㘴㤳㈶㝣㠵㡡改捤㥣搲㠴晦〴㜷搷㑤㐸慦㘷㘹挲㔷愹〴㜵㤵㍦扡㍥㙢㌳㙣㐰扣〶ㄹ攳㜵ち搲㉤摡㐱攰つち扣㐹〱㝡㑡㑢ㄳ晥ぢ戱㝤㤲㑤攸昰ち㑣㠷昶㝡ㅢ㜹搰㕥攳㙤㠵ㅣ㑥㡥㌹挷㝤㠷㠵扣换㐲㘶㐰㈰ㅤ㑣扡㌷㥢㘰扥〷㤱㔶㠳㐹㠷㘸〱昳㝤㉡㍥ㅡ戱ㄴ㌰㥢挰摤㌵㤸挷㈲㥢㠰戹㡤㑡㌴㤸挷㠱慢戱ㄲ挷〲搳㡣敤㤰㌱㜶㔰㤰㉥搶づ〲㍢㈹昰㈱〵捡㈱㈰㘰晥ㅢ戱攴戰㍤摥㜹㡥晢ㄱ㘴〰㕥愵㑤愹㙤搸晥㤸㑡㍦愱㔲㍡㐸㜳㜷㐲〶㈴昸ち㌰㥢戵㌲晤㌹挲㕣㌳愸㠵〸㔷愷昵㤱扡愶晡㠵㈵㐵晦㙡慥慢搲攲㕤慤搱㈹晡㘱㜳㥤捥㘵㝣㠹散㔲戶㉣ㄴ㝤㙤㈹愳㡢㌶ㄷ㡢昴攱㍥㘳㜵搹㡡㥡昷㑢昳㡢ㄳㄳ捦晢晢㡥㔲㉣㉡挹㜲〶㝤戵愵㤹挵㜵㕡捡づ㈰㡦㝤㌹㠳㥥摣搲愴摦㐲户愲㑢户搹愴搶㜲挶昷攰敥扡㐹攷㈳㥢㔴昷〷㉡㐱〹昲㐷摦㙦摤㘲慣愹搵㌳㝦㠴㡣昱ㄳ〵改ㄷ敥㈰昰㌳〵㝥愱挰㐹㄰攰㤲㠶挱扤㠸攴㉡挴㈹戶㙣戶㉢〰晤㙤っ戸㔴戸ㄴㅤ户搳㝢㍣扤戵捤ㅥ摦〶㈲慤敥昱昴敦ㄶ㜸昰捥㐴㤷愲愳㜷㑡㡦㜷㠳扢㙢㜸攸㄰㉥昰戴愵ㄲつ捦㑡㜰戵昵㌰㔶挳㤳てㄹ㠳ㅦ慣㔱昴ㄸ㜷㄰昰㔰愰ㅤ〵攸㐴㉥㍤扥㍤㘲挹ㅥ㍦摣戹挷㜷㠴っ㝡㍣晤挴戵㔲慥㌴㕢㡤㔲㐰愵㕥㉡㕤〳㠱㜴昰攸攴㙤㠲搷〹㈲慤〶㙦ㅤ戲〹㜸扢㔱㌱晤挳㔳挰敢〲敥慥挱愳ㅦ戹㠰户㍢㤵㘸昰㌶㠰慢捤戰㠱户〷㘴㡣㍤㈹㐸㐷㜳〷㠱扤㈸戰㌷〵慥㠵㠰㠰搷ㄵ戱㘶昰〲㡥㔳攴㝤㈱〳昰攸㝦慥㤵搲ㄳ挷〲㙦㍦㉡敤㐶愵㜴づ搷〲㐸搷〲晢㔳愰㍢〵攸㌸敥㈰搰㠳〲㍤㈹戰挹㈶戰ㅤ收㕡搷挶〳㈸搰㡢〲㜴挶㜶搰搰㥢〲〷㔲攰㌱㘷㠱㠳㈸搰㠷〲㜴扥搶ㅡ㕥㘸㉥愲㉦〵づ愶〰㝤愱搳扢〰ㅤ愰捤㉥搰て㈲慤敥〲㜴㤹㤶㉥搰㥦㡡晦㠱㔸㑡ㄷ㈸〴㜷搷㕤㠰㍥搶搲〵〶㔰〹㘰㤵㍦㍡㕡㙢㌳㙣㕤挰〷ㄹ挳㑦挱搷㥤〵〲ㄴ〸㔲㠰㝥搹搲〵㐲㠸㌵㜷〱攷扢愴㘲挸愰ぢ搰昵㕡㤷㙡㍢㝦挲㔴㕡㐲愵㜴攲㤴捡㐶ㄸ戳㉡㥢㐷㐷扣㜴晦戲っ摦㍦㈹㈱㑥㉦挰愹㠹㐵㌵昰扣㘴㤰晥㘶㘶㠸㙢戴搸扣〴て㕥㜰昵つ搸户挸㑤㝦㘷㑦㌲敦搳㈸戸㕤㤷戴搷戵㑡㌶愶搰挹㌰敦㠹ㅦ㌲㕦㐹㥡捣捦㡡㌷扦扢㤱㜹㜸戸て㐵ㄵ扢㡣慦慥㙣愸㙦慣㡦㈷扡㑦㠵㔷㜱㜷扥晥㌶㡥㡤㡢㈱㜹㕢愱搱戱㑣ㅡ㤶㕢〷㐳昲收昳㜵㤰㥥㌹㜵昵ぢ敡愴㌶㜹㡤㝣ぢ戰攰搵戶㉤㡢昱戰ㅣㅥ〷〰㍣敦㐷愸㈸㌳ㅢ㠳㐰㍢戴昱搲愳㡦挲敥挳ㄱ敦㕤㌶戴㙣㑡㜹戰戸㌸㔲ㄲ㠸晡攲扥㘸㈴㔴ㄱぢ㤷攰㍢㍥㔱㝦㐹㘵㌴ㅡ愹ち挶㉡㘲㕥㜱〰愴㡥㔲攴昱搲攵㑦㡡ㅢ捣ㄸ㝤晦㈴挶戴㍣扡捡戵搶ㅢて昲㜸搹㠴昹㜸㘹㙥摢戶ㄹ晢攳ㄹ㕥㝣挹搷㝣扡摤ㅣ㍡昲ㅥ〲㔸改捦晣㍡㘷㘲〵㥢摢㠲㤹搹摤㡤㌲㔴挱ㄸ〶攲昱搲㡢㡦㍣昷㜰㐴㍢㤵つ㉤㑦晤㔸㤵㝢〴搸敤挱㤶㉤㥦㈹㜸扢慦㝢㈴㌸ㅤ挱戱㜹㉤㝢扦戶戴ㄸ愳㤰㘸昴㘴ㄹ㍤㐰㤴㜸昱㌱㌶ㄶ㝣㔶㠶㐵愹敦㈱捤㕥慤敥㠶㈱散㑢㘰扡っ㜶㄰昶〵戵ㄱㅣ昶㠷搴昶愴㉦ㅦ㈵㡣㠹愰㘸㑦晡敤昱昰搲㜷㑦〲㜴搴㤳〰㥤昵㜸愸ㅣㄴ挷㤶㔱㜷㐰ㅤ㔱ㄳ敢㈷㐳㠱㌱〵挴攳㙤〳㠶昰㘸扤㐱㕢つ㥡攷捤搵晣ㄹ㘴昵㠵㉥昹㠸㤳㜲㠳㉦㡤㝥ㄴ昸っ挸㕦㍥戸㘲捦㜵㈸㈲搳㥥㙢挰捤戴挷㐰㈶㈸挱㥡㍣㈸散昱㈰捥挳摢㑥〷摡敢㐰〷㉢愰扣〸㠸㍤㔷摢敤㈹㘷ㅤ㘷㠲㜸扣㥤㈰㐰㘱㈳捤㥥摤㌴扦㡡戲㍥㑡っ〰㔱㕤挰ㄷ㝢㘶㠱捦〰㌳慢㍤㐰挵㥥换㙣昶戸慢㈱㤲昵〴㔶㤷㌸ㅡ戹㈷㌴㈱ㅢ㤶捣㐱㘱攴㕥搴㡦挳扢户づ㜴搵㠱㝤慣㠰敡㠶㠰ㄸ昹㈷扢㤱戵㔰㘰搴㠱㜸扣晢㐳㠰挲敥㝡㐴ㅤ扡散㕣戰㔳扢散㠹攰愴㜷搹敥㤶ㄶ愳〱㠹昲㌱㉡昹㉣㤵敡〹扥㐰㌲て晣㈴㈴扤挰ㄵ㐸捥戵㐳戲〰㈲搹㈱㌹摢ㄱ㤲摥搰㠴㙣㔸〸〷〵㈴〷㕡攵戹㑦㐲摣ㅣ㤷昰㠹㥣ち㝣㉥㉡㔶攱挷㐷㘳㘲晥㐰㐹㈸ㄲ慥㡣挶㝣扥㔸挰㔷ㄱ㠸㔶㝡て搲㜵㍣ㄹ㜹扣㝤㜴㙣㌱㘳㝤㜵㡣㘹慡㍦㘲〲收㤹㜶㌰㑦㐳㤲㜱㍡㠸挷㝢〸〴昰㜳戹捦㐰搴〱捣㌳挱㑥〵㜳〹㌸改㘰ㄶ㕡㕡㡣愵㐸㤴㉦㘹挹㌷戵㤴て㝣〱㜳㌹昸っ挸㕦〰㕣〱㜳愱つ捣收昳㝦扥㈳㙥㐱㘴㠲ㄲ㤷戱〲ㄴ戸㠵㄰攷攱㉤搲㠱㘲ㅤ〸㕢〱㌵㄰〱戱㍥㘱户㝥㈵敢㜸㍥㠸挷㝢㈸〴㈸㥣㝥扥ㅣ愶昹ㄷ㔱㜶㌸㈵㠶㠱攴ㅤづ㝥晡挸㙢㝢㈲挲收㐶挶ㅢ㔱慦捤挷㑣挶昰㑥昱挹昳愲㌵昸〶攰㐴㌸㍡㈴挸晡㈳㙣㡦攷㥡敥㈶扢扣㝣㠹〹挷ㅣ挷慢㐸㍡〶愹㔷ㅦ换㌶㜹㌳昵㙦㜳㐷昱攴捤㐱㡢戵慥ㄴ㜶愹捣㙢㥣挷戸㠴㉤㡣㥢散㔲戴㤹昴挱㑢挱搰㠷ㅡ散挴捤ㅢ〲㙥敢㍤㌹愸戵㌳收㈲搶昷㐶昹〰㐹扦ㅡ㌸戵戴攲㜹㥤换㔰ㄷ㔵收㔴〷㌵㕣㜳慦愰っ㡡㐰ㅣ㙦㑢〵㤵㜳㈶㘶㍢㘷摣㙢㈰㤲㝤〰慡㜴㍣㤱㐶㐱ㄳ㤱㌰搶㠲攲㐴ㅡ㑤晤㌸扣㘳㜴㘰慣づ㡣戳〲〵攳ㄱ攰攵㤸扢㘰扦敢攱㥤〰捤㉣挵扤づ戵㜱ㄸ㝦慥〲㍢㜵晣㔹て㑥晡昸㌳搱搲㘲㕣㡤㐴昹ち㥢㝣㡦㑤㑤〶㕦摡晥㕡昰ㄹ㤰扦愹攰ち㤶㐷摢戰㙣ㅥ㝦㡥㜴㠴㙤ㅡ㌲㐱㠹换戸ㄱㄴ戰㑤㐷㥣㠷㜷㠶づㅣ愱〳㐷㕡〱㜵っ〲㌲晥捣㠰捡攴晣攳㘶搶昱ㄶ㄰㡦昷㔸〸㔰㌸㝤晣㌹㑥昳敦愰散ㄴ㑡㑣〶㔱攵攰㡢㍤㜷㠱㥦戴㈷ち慥搸㌳捥搱㥥㌱㡥昶㔴㈰ㄳ㤴戸㡣㝢㐱㘱㑦㈵攲㍣扣㔵㍡㄰搳㠱戸ㄵ㔰搵〸㠸㍤愳散昶摣挷㍡摥て攲昱㥥〰〱ち愷摢㌳㐷昳ㅦ愲散㔱㤴攰慢〱㔴㉤昸㘲捦㈳攰㌳挰捣慡ㅥ㔴散㌹摣㙥て攷ㅦ㌲㍦㍣捣搱㥥戹挸㐴〹攳㜱㔰搸㜳愲愵摡晤〴攲收㜵㌵ㄴ㡢㔶挵㠲搱㔸㍣㔰ㄵぢ挵㘲愱㡡㜸㉣ㅥ昱㠷昰㘱摣戸㉦攸慢㉣昲㌶㔸㜹㡣㈷㤱挷摢愸㘳㑦㌱㤶搰㌱愶愹〵㠸〹ㄲ挵㜶㈴㥥㐱㤲昱㉣㠸挷扢㄰〲昸攱挵〸攴㜱㑡㘲㜰ㄶ攲㕤愴昹㝦㈷㙢㈶㈵捡㐱搴挹攰ぢㄲ㉦㠱㥦㐴攲ㄴ㜰〵㠹晥㡥㐸ㅣ散㠸挴愹挸〴㈵㉥攳㥦愰㐰攲㌴挴㜹㜸㑦搷㠱㌳㜴攰㑣㉢愰捥㐲㐰散改㘳户攷㌵搶昱㜵㄰㡦㜷ㄹ〴㈸㥣㙥捦㜲捤㝦㡢戲戳㈸㠱㍢㍡㌸㕦㠰㉦昶扣ぢ㍥〳昲户〲㕣戱愷㥢摤㥥攴捣㝦㕦㐷㝢捥㐳㈶㈸挱㝢收㐱㘱捦㑡挴㜹㜸捦搷㠱㔵㍡㜰㠱ㄵ㔰ㄷ㈳㈰昶㜴戵摢戳㥤㜵摣〱攲昱晥〹〲ㄴ㑥敦愹慢㌵晦㍦㤴慤愳㐴㉤㠸扡ㄴ㝣戱攷ㄳ昰ㄹ㘰㘶㜵㌹愸搸攳戵摢㤳散愹ㅤㅤ敤戹〲㤹愰挴㘵㝣〱ち㝢晥㡣㌸戵戹扦㐴摣散愹㔱㝦挰㔷㔴㔴ㄹ㉣㠹〴愲愱㔸〰㥦扢慡昴㠷㡢㐳挱攲㔸㉣㕥ㅣ㡢挶摣㕦㌵㡢㠶㝤昱㔰㥣㥦㔵㡣ㄷ㠵㐲㤵昱㘸㈴㔸㔹ㄵ〹ㄷ〷㝣㝥挴㐳㔵敥慦㤳愲ㄵ挵昸搴㈰㘶㤶㔵㔵㔱㕦愸捡ㅦ㡥㔶㠴攳挱〸扥㙢ㄵ慤㡡㐷晤戱㠸㜷㡤㔵ㄳ攳ㅢ攴㌱扥㈵昹づ挴㝢愵收㝦㑦搶て㈴㍦㤲扦㔶昳㈹㘵捡㌳愷㕡て扥愰敦戲愳慦攰㠰㘲攴㠰㜸扣㔷敢㡣㘹㘷挷〶捤㜷㔳㤶敦愶㤳㡦晤愹㙢挱ㄷ昴昹㈵㙥改㐹㐴晦㝡㜰〵晤慦扦户摤㜷㉤㐰つ㘴㥣昸ㄲ摣捣晢慥ㅢ㤰㠹ㄲ㐶〷愸〲晡㌷㕡慡摤ㅤㄱ户搶〵㉡〲㔵愱㐸戴挸敦て㔷㠴〸ㅡ㐶ち㐰㠴㡦㔶攲ㅢ慥戱㠸摦㝢㤳慥㑥〱昲㜸㙦搶㌱㉦㘳户攸ㄸ搳搴敤㠸〹ㄲㅦ愳㌲挹㉢㐰㘷㈴ㄹ㕤㐰㍣摥㍢㈰㠰㥦换攰晣摢攰㙣摢攰〴摢㝢愷收敦㐵搹挵㤴㌸ㄹ㐴摤〵扥㈰戱て搵㤳挳扦㝢挰ㄵ㈴㍥戰㈳㤱㍣慦摥㜳㐴㘲ㄳ㌲〹ㄲ晢㐳ㄵ㤰戸ㄷ㜱ㅥ摥捤㍡㜰㥦づ摣㙦〵搴㠳〸㠸㍤敦搸敤改挱㍡昶〴昱㜸ㅦ㠲〰㠵搳捦慢㠷㌵晦㐰捡㉥愱挴㤹㈰敡ㄱ昰挵㥥扥攰㈷敤㜹っ㕣戱攷ㅦ㡥昶扣散㘸て㌷㐹挵㥥㐳愰ち昶㍣㡥㌸て敦ㄳ㍡昰愴づ㍣㘵〵搴㌳〸㠸㍤㉦摡敤ㄹ挰㍡晡㐰㍣摥㘷㈱㐰攱㜴㝢晥愶昹㈱捡㥥㑢㠹㜳㔸搶㜳ㄴ㘶攰㜹ㅤ昸扢づ扣愰〳㉦㈲挰晢〳㜷ㄸ㜹扤㔸㑡㐹㜹㡡挴㕤〲㙥㠷㜲昳㠱㑦㔹㜶㘹㤴㐵〹昷㐰昲㘵㈹愶㘱㐸㔵㔵〳摥㤹摣㕣㈹昷㈰㈴戶㉢㌷㕦昱挴㠹扡昷㈵慢㤰㝣扡〹慦㘲㘹愵㄰㤹㜲搰㌱扦挷㘷㐵㡥攳㘷㠹搷慥㌸愸挷㔴㉣㝡て㠶㕥昹㈸㘰㝥扥㌴攰㉢㈸㔹㥡㜴㈸ㄲ㤲㑤晡㑦㜰愵㐹ㅦ戴㌵愹㝢ㄸ㐴戲㑦㘰ㅦ㜰㙣攷㔷愱㐹摡㜹〴㌲愳㥤㕦㐳㥣㠷昷㜵ㅤ㜸㐳〷摥戴〲敡㙤〴愴㥤敦戳户昳㈸搶㝣㌴㠸挷晢づ〴㈸散ㅥ㠳愸挳㍣㜴㉣搸愹昳搰㜱攰愴捦㐳摦戵戴ㄸ攳㤱㈸㥦㈶㤴㡦ㄴ慡昷挱ㄷ㐸㈶㠱捦〰㡢㔲㑤愰〲挹敤㌶㐸㡣攴搵攳㔶㐷敢户㈱㤳㔸㍦つ慡㘰晤㜶㑢戵㝢㍡攲收昸ㄵ㠸〵挳㔱㝣㈹搸㕦ㄲ挵搷㘵昱つ敡㜸㐵㘵㍣㔴㔲㔹ㅣ愹挰㈲㐲㐹搰扢挳捡㘳捣㐰ㅥ敦㑥ㅤ㍢㠲戱て㜵㡣㘹敡㈳挴〴户敢敤戸ㅤ㡤㈴攳ㄸ㄰㡦昷㘳〸攰㤷㌱㉦昸㐴昳换㈹扢㤶ㄲ㔷搲收捦挰攷㕤戴㐷慤㠵㐶摥攵㌱户挷愸愴㌶摣慤㝤㡥愸㈰㔵〵㠶㍥搴ㄷ㡥摣㉦挱ㅤ㠲㍦㈳〶㔹昵戵愳捣户㥡㍢㡢㌲㔰㠸㌸㔶㈰㐱〵昹换㙣挸扢慢㈱㤲扤㌳㕥攲搸ㅣ㍦㐰㤳㌴挷ㅣ㘴㐶㜳晣㐸晤㌸扣㍦改挰捦㍡㈰㤶㈲愹㠰ㄹ晥㌷㜷㔳ち㥡㔹㕣昳挰㘰慥㘷收㘸㝥㍤㙡㘹㕣㐳㠹つ㈰㉡ㄷ㝣㐱扢挱㡥㡥ㅢ㕣㐱㘷愵つㅤ㈳㜹㕤㕤攱〸㐴㕢㘴挲捦㘵捣㌷㠱挸户㔴扢ㄷ㈰㙥昶㑢㝣㉦㌰㠲挹㡣て㥦㍢㡦㠵㉡〳㈵ㄵ晣昸㝡㈴㄰㠹ㄴ挷㘳㠱㐸愰挴㙢㔸㜹㡣㠵挸攳攵㙥愵㔴㙥ㄱ㘳敤㜴㡣㘹㡡㕢㤲搲㉦捦㐲㘵㤲搷搵挵㐸㌲㑥〱昱㜸ぢ㈰㈰㐸愴㕤㔷扤㐹㍥㘵㙦㘶㠵㙦㈲ㄲ扢㘹昵㑢愹㥥ㅣ晥㜱㥦㔱㤰㌸搹ㄱ㠹㐵㡥㐸㜰户ㄱ㍦扣㔶ㅢ慡搰㈵昶戰㔴扢捦㐱摣㐴㈲ㄴ昷昹挲扥ち㝣攳户〲㜳㌶摣㤳㐴〲愱㌰扥㐸ㅦ〸㔴ㄵ攱㠳昰㐵摥㍤慤㍣挶戹挸攳攵搶愳㈰戱㠲戱扤㜵㡣㘹㡡晢㡢㠲㐴愳ㅤ㠹昳㤱㘴慣〲昱㜸戹挵攸㠴㐴㌷捤扦㤸戲ㅢ㔹㘱扥戹换扢㍦昸㍣扣摤㜵愰㠷づ昴搴〱敥㈹昲ち㘶昰ち㘶昰㠲㈵晤捣攰㈵捡搶昷㜸㔱昲昶戲㘴攵㐲挴㔷㘳戹搷㠲晤晢㕦㠸㡡㡤㜵㉣㥤㙦摢㌲㉦㐴摥摥扡扡〷敡挰㐱㍡搰㐷〷晡㈲搰㕡㑢戸挳㐹㔹戱攴㐱㕡㜲攳晦挴㤲㈲攳㈶㕡昲㔰搲ㄲ搵ㅦ㈵㑢〷戸〵〹っ戰㐱ㄵ户㐰愵㜷㑥㜵散㥤㤳ㅤ㝢攷〰㘴挲て慦〴㠷㉡昴㑥㥦愵摡㝤㈷攲㘶敦昴㔵㐵昱愵改㡡慡㐸㌴攴ぢ㐵㡢愳ㄵ挵戱㜰㘵愴戸ち㥦㜵てㄷ昹〳㘱慦散㤱㔲挷㐶攴昱〶㉣つ挶㕤㡣挹昶愸㑥㔳挵㐸㤳摥㌹搶摥㍢㌷㐱搰戸ㄷ挴攳つ㐳挰愹㜷㜲㐳㔴昸て㔰昶㜱㉡摣ち攲㡤㠰㡦ㅦ搰〱扦㐳㥢㍣敥敥ㅤ捡ㄷ挴㌴攲攵㍢㌱散㈷搶捤㉡戴慤挸摡㌶愹晡攱㌹慣㤴㉦㘴づ挷ㄷ㉦改㐷攲㙡㠳㜷㡡㤸㙦攲挸捤ㄹ昸摢㜴㜱捡挵㍤㕤晥攵つ㠱慤晦㠵ㅥ戶㙦昳㠲㈶㌵敥㡦㍦攳㉦㌰㌸慦ㄴ收㍡㍥攷㘵㙥摢㑤挵换㔴㘲戰㍦㕣㘸晦㌴㈳㔷敤㜶慦ㅤ摤㠸敤㍢㝣昰㘳㕡晤㄰㜹搲㡢扢挳㥤昴戶㕥㍦晤攱挶摥捤ㅣ晤ㄸ愵捥㌶戱㈱㤹てㅦ㐲挴㘶㉣ㄲ晡昱㌳㡦扢㌷挷㙣㙦㌲搹愷㤹㡢愷㘷昱攸㔸慣㑡㙢㙣挴ぢ㍤㜲㜳摡㘴㝣㌹㐳ㅡ㙥㔸㝤㉤扥㠳㔴挸㔷㤷㔰ㅢ㍥㑡㍡扡㡡〰散攳昰ㅥ㤷愱搵〹㜹てㄲㅤ戰㤴㜱㌸挰㜱㍦ち㤸摣㠳㝡つ敢ㄵ昲攷つ㐲㐳愴㍦搳㤴戵㡣㔴搸㔹㈲晢㥦挷搸ち㠵㙡㌰㔴㔳ㅢ㔹〵摣㍥〵㌳㝤㌵㔴扦扢捥㌵ㄸ㘹㌸昲〷换㝦㉥敦攰㠲㘱㍡挷㜱慡挷㐵㐳昲摥㌹㉤晤㈵㤶敤昶㜹㘰攵捡㑥㌷㤷㥥㕣扥昸昳て㝦扣戰㔴㡤㐲㡥摥挸㥦晥㌹扢ㄲ㔴攲㜵㝣㤳㈳攳㝢㝥㘱㉢㈱晤㝢㝥摥戱搰㠴ㅦ摥㙥㡦㍡㜷㘸愳㈶㈲挲戳㐶ㄵ㈱〷扢慡昴慥㘷㤱㔸挰㥤搱ㄶつ㍢戹换㙤㈳摦㍤改㥡㔲㜱ㅡ摢晥㐹㘹挱ㄴ㥤㈳㥢㘱摦㍤㜸㕢攰戲㘵㔳㑡㥦昵㥤昸捣愳扤ㅥ㉥㔵㌳㤰挳挹㌰㥦㔵晦っ挳〶㔸〹改摦改昳ㅥ〵㑤昸挱晢搳㌴㡣ㅢ愹㘲搸㈱㜶挳㕥愶㘱攵㐸㙡搱戰㜵㠷昵㝦昹㡡㙤愷㤴㍥昲昴晡攱㥢扥㠰㘱㌳㜵㡥㙣㠶ㅤ慥㠶㥤晦攷ぢ㝡㤴㉥敢㌲㙢㘰㝤搹㍢愵慡ち㌹㥣っ敢㤳捤戰㠳慣㠴昴敦敦㜹㘷㐱ㄳ㝥㔸㝡㌳つ㥢㠳㠸ㄸ搶摢㙥搸㥢㌴㡣摢愲㉤ㅡ㘶戶搸搲搲㝥换昷㜸敤戹㙦㘰ㄸ昷㔰㈵㐷㌶挳㍥晣挷㤵㕦㜵戹㉡㔱㝡攸敥搳捥改戵收捥㔲搵㠰ㅣ扤ㅤ扡㘲昷㙣㠶敤㙦㈵愴㝦㔷捦换㉤㔵晣㕣挶㝢愸〱扡攲㈲㐴挴戰晤散㠶㝤㠰㐴挵摤㑢づ㜶捡㌸〹搴扤つ㍣㥣搵挳㝢〵㝤㜹㝢㐳搸昱㤵㠳搶挸㠱て㘸敡愱㘷㜸摤㍣㍥っ㘸ㅢ㑥搹搹㜹㜸㡣ㅤ㉣㠶㕢愶搴㐷㔶挱㘹㠸㠰㤹晤扣ㅥ昵敥㐹㌸〱ㅥ㈹㥤昵捡昶ㄳ晡㝤つ㌰㑦搷㌹戲㠱㌹攳㤳慡㥦昶ち捤㉣㕤昰挱㉦捦㝤昰搴㍦㑢搵㔲攴攸㡤㌲搲捦敢㉥ㄶ㘶ㄹ摤扦戳㤵㤰晥㙤㍥敦㜲㘸挲てㅦ㍦㐰㥤〱收ち㐴〴捣㑥挸㤱㍣慦㍦㐵㘲〱㜷㍣㕢㌴㉣㜲昷㔳昳ㅦ㕡㜷㔳昳㜹捤敤㔱挹㤱捤戰㌱㥢㕦㍣㈵愷晢昸搲搵㝦昲㉣㌹攳愵攷㑢搵㐵挸搱摢挱戰昶搹っ㙢㘷㈵愴㝦㜳㑦㕤〲㑤㙣㌴攳㙢搴㠰〳㉥晦扣㤷㠲换㐳挹搶ㄹ〲㠶收昰ㄲ敥扤〲挹㤴㌰扥㐵㈶愰戱ㄶㄱ㐱愳慤ㅤ㡤敦㤱愸戸㐷搴㕣搳㌸㡡㌲摦㝡㥡㤳慤愶捡㑡㐸晦ㅥ㤱㤷扢㑡㔲㈸扢っち扤㔱ㄷ晡换㜷戶㈶挸㐱㘲挱捤㐸㐲攱搹晢㔶摦㘳㔷㍤晡㔵㥦㉤捤㝤敢ㄶ㥤㈳㕢ㄳ㝣㜸扤㝢摢愸㠵愷㤴㥥搲攵扣㤹ぢ㍦㐷摦扡〳㌹㥡つ晢ㄷ搱㜸ぢ㐴㝤㡦摡扣敥㜴捤昸捥㑡㐸晦捥㤰㤷摢㑢昸攱㜳ㄱ愶㘱昷㈲㈲㘸㝥㘳㌷捣㐳挳敥㐳㔲㡢㠶㤹㈳捦㠶搲ㄹㅤて搹㜸攵㈷㌸㘹敥搷㌹戲ㄹ戶攵敡搱㥤㕦晦愰戴昴摡昳㌷ㅥ摡晢敡户㑢搵㐳挸攱㘴搸攷搹っ晢捣㑡㐸晦㝥㤰昷ㄱ㘸挲てづ慢愶㘱摣㉣ㄲ挳㍥戱ㅢ戶ㅢㄲ搵㤳㐸㌲㐷㈰敥㈰戹扢㠰㠷ㄱ㘸㙣慦㘰㐴晤ㅢ挲㝡搴昰ㄸ㝢㔰晡㈹挸㘸㔶挱㌳㠸戴㠸挹㝦㈶㙦敥㜶搶扦搷㌷㕦㙥㥥搵㌹戲㘱㜲攲昸扤〷㕣㜳昷搲搲㉦㍢敥昹搹收㜶ㅢ㑢ㄵ昷㡦㥣㌰搹㤶つ㤳㈶㉢㈱晤㙢㐲㕥敥㌸攱攷㌲昶㌵㌱昹㈷㈲㠲挹晢㜶㑣扡㈱戱攰㌵㈴晤㍡挳㕥搷㌹戲ㄹ戶㙦晥改㉦㍦昰攱〹愵㙤㡦㝦㜹昲愶㈱㌷㤴慡户㤰挳挹戰户戲ㄹ昶㉦㉢㈱晤㉢㐱摥㜷愱〹㍦㜸扦㥡㠶㜱晦㐸っ㝢挳㙥搸㠱㌴㙣㍢㤲㕡㌴散挷ㅢ㍦㝢㜱㝣挵〵愵㑢晥挲ㄹ〲㝡昱づ㥤㈳㥢㘱㔳慦敡戳愴攳㘷攱搲㍤敥扥户㙡昴搳㜷㤴慡晦㈰㠷㤳㘱晦挸㘶搸㉢㔶㐲晡搷㝦扣㥦㐰ㄳ㝥㉥愳扦㘹ㄸ㌷㤲挴戰㤷散㠶ㄵ㈲㔱㝤㠳㈴戳ㄷ㜳㜷挹敤〳て扤㜸㝣慦㘰㤱㝡ㅥ挲扡换㝡㡣〰愵戹攵㘳㑡㜳㠳挹ㅤ㑡㑡㠷搵㌳㤰收っ㤸愳慤挷㈸愶昴㜷㐹改慦㈹㕤㘲㑡㑦攸ㄵっ慢㈷㉤㘹㜳ち㍤㤰搲摦㐳㐶㑦愱ㄵ昷㤰戴㌶挵扤㈴㕤㤱〲㠵㘶㘸戱㈵㔰㍥づ摢攴㍡㐷攷挸搶ㄲ㘶づ敦攰愳〶㌴㍤晣攲㠶㉦㑡ㄵ㜷㤷㝡㠳㥢㝥ㄱ㝥ㄴ戵㜶ㅣ㈸ㅦ戱ㄲ搲扦㐰攴㌵愰〹戵㜷ㄹ㠳㘱㈲慥〰摣㔴㤲㤶㜸ㄸ㌹㤲ㄷ攱愱戴扦〰㐹㈶戶摣㘹㜲て㌳搱ㅡ摥㉢㔰愴ㅥ㠰戰〶〰㕦戶愵戴ㄷ㌲㥡㔵挰晤㈲晣戲㕦㍣㌲㝡㈷㌷㤷㈴㐷㌶㑣㉥㑤敦㥤㝢㐱扣户〳㈶㥢戲㘱㜲㡦㤵戰㝣搶捣攵㝢㙤扤扥散㥣㌷摥扢愸㜱㜳㘲㤹㤷㍢㔳㠲挹㌸ㄳㄳ㙥㉦〹㈶㜷搹㌱㤹㠰挴㠲ㅥ㐸挲㉦扢㘱㔳㌸㑥㑥摥摣㝣昱攸愹㜳㘴㌳散㤸㍢ㅥㅦ搷昴㜶敦㔲攳戱攳敦晡散攳㥢㑢ㄵ㌷㥣㝡㍢ㄸ㜶㕢㌶挳㙥戵ㄲ搲㍦㌶攴敤ぢ㑤㘲搸㌴搳㌰敥㌳㠹㘱㌷摢つ㥢㐱挳〶㈰〹扦散㠶㌵捥扥昰愳挵愵昷㌴㕦敥㝤㍡㐷㌶挳㕥扤㜸㕡晢㈳㐷〵㑡㍦㍥㝣晤挲㉦㡥㝦慤㔴㜱攷愹户㠳㘱搷㘵㌳散㕡㉢㈱晤㈳㐲㙡㜰㡡愶挳㜰㡡㥢ㄳ㠷昵搹㌴㕤㘵㈵愴㝦㈵挴㍢ㄴ㥡〴愲愸〹ㄱ户㘸〴愲戵挸㤱㍣ㅦ㉡〹ㄱ㌷㕦昰换づ搱昷愷㥥戰㈵㜱昱㤱捤㄰㡤搶㌹戲㐱㜴捦摡㕥㙦㉥㍤昶挸搲㍢扢㥣扡㜹昸愳㙦㤴㉡㙥挳昴㜶㠰攸昲㙣㠶㕤㘶㈵愴㝦晤挳㍢〹㥡挴戰㙡搳㌰敥扥㠸㘱㤷搸つ㥢㠳㐴挵㡤ㄳ昳㐴攷㤶㡣扢ㄶ㍣㜳挸㡤愸㡢㈰慣捦㙡㝣㉡㡥搲摣㜴搱慣〲㙥慣攰㤷ㅤ㤳㡣㠹〳㜷㘱㈴㐷㌶㑣㜶㉥㉡㝦摣㜸攱昸搲挵扤㑥㌹㝣㔲晤㡤愵㡡ㅢ㌲扤ㅤ㌰㔹㤹つ㤳昳慣㠴㡣㙦㠱㜰捦㐶㈶敡昳㘰㐸㜲愲慥㌷㙥㤴散捡戰㈰捤㈱㝥㕥敥挳〸㤰ぢ㤰〹㈳㈶昷㑤〴挸戳敤㐰㉥㈲㌴昵㐸敡㥤慣㘹昳㐴㝤㐹戶㥡㥥㘹㈵愴㝦㤸挳换敤つ㈹昴㌴戳㔰敥㔱㐸愱愷摢ぢ㍤㠳㠵㜲㝢挱㙣㍤㙥㕣戸㤷㠰㘷摥㜸㐶搴㘲〸敢愶昲ㄸ㘷㔱㥡㕢ㄳ㥡㔵挰敤〷晣戲户㕥挶㘸挶扤ち挹㤱慤昵捥扥㍤㙤㌴㍢〳攲扤㤳㤸㌴捦昱ㄷ㘴挳㘴扥㤵㤰晥㤹づ敦㔲㘸ㄲ㑣㔶㤸㤸㜰户㐲㌰㐹搸㌱㔹㐹㉢戹搱㘰㘲㜲づ㐲敥㔵ㅡㄳ㕣扡收愶㘰㜲㈱愵戹㐹㤱挴㠴ㅢㄱ昸㘵挷㈴攳搲戵㑡攷挸㠶㐹挶愵㡢ㅢㄸ扤ㅤ㌰㤹㤳つ㤳ㄳ慣㠴㡣㉦㜷㜰〷愱㔹㔳昳㐰ㄸ捦愶㈹㘶㈵㘴㝣㄰㠳㉢昸㑥㥡愲搹㌴捤戴ㄲ搲扦㌳攱攵㤲扦戴搳㝡戳㥤敥㐰㕣摡改㜸攴㐸づ愹ㅢ㠸㍣㤷攳捤㜶攲㘲扥晢㕡摤㑥㤸散ㅤつ㘱摤㈸ㅥ攳㝡㑡㜳戹㕥戳ち戸㈴㡦㕦昶㜶捡戸㍦攵晡扤攴挸搶㑥愳㙦㌰敦㑦㑦搲昷愷㕣捡敦敤搰㑥搳戳㘱㌲捤㑡挸昸敡〴ㄷ晦ㅤ㤷㠰攴ㄵ㥥㠵昲愲㑤㍥㕣ㄴ㙢ㄴ㐶〱ち捤㡢㜳挱扢㕤摣㘴㜳扤㕥摥收㔸㈳捦ㄲ戵挷㑢攲ㅢ收挴ㅡ挶攱㕢〸㜸㌵晣搴敡㕡敢㌱ㄸ㝣㈳㠱㙦戹搲慦㈱㌷㈴挶捣敥昸挴〶扣㤷扣㙤㝣㜴㈳扣㌷慡昲㙢㈷㐵ㄳ㠹㔸㐳摤ㅦ挱愱ㅢ㑦㜷昱㥤ㄱ㌸捣㜷挷㍢㍥㔸昵㌴㤲ㅤ搷挶㑤〸㥢昱搰敦慣换攱扢攵㝦㥢㍢户晢㔶昴㌷晤攰㕦㤵敤㙢〹戹㙡ち㥡搸㜴搲㍡摤㈵慢㜰㜸挶ㄸ摦慣㘵捦扤〳愴つㄶ昳攴ㅡ〳攲㌱敥〴㐷ㅥ㘹㌶㥦愹捥晢ぢ扡㐱扡㜱㝣搴㡤て摤扢昲ㄶ㔴㔷㈵㘶扢㘷挷慡㘷捤㑥挰㌹愶ㅤ㉤搶㐷敥㔶㘴㙤㘹㐷㠱㤷戳戶戵攵搱㠶㠶攸愲晣摡昲㥡㔸摤慣挴散晣昲昹搸㐰挱㐶ㄳ㜶〱昱ㄹ㙦攳㉥搴㠷㐵昱㑦㜱㜹㥤晤搲㝤㌷戸捥挶㡥㜵㌴㜶ㄳ攴摤昷㠲愴ㅡ扢ㄹㅣ㥢戱㡡㉢昴㌴㔸ㅦ㡡换摥㔲攰晤㔹ぢㅣ敥㔸攰ㄶ㙡㈶扡捤挸㍥㤴㔶ㄸ㔷捤㔳ち攳㔲戴ㄴ昶㤷慣㠵㤵㍡ㄶ昶㈸攴摤㡦㠱愴㕡户㌵慤㐰慥㘶愷ㄴ挸㈵㘲㈹昰㠹慣〵㐶ㅣぢ㝣㡡〵晥㌵愳挰愷搳ち晣㈰扤㐰慥〷戳㔷ㄸ捦㐲㌲搹慡㕣㕣㤵㙡晣つ㕣攷㔶つ㌸㔶攳㜹㤶挷㔶㙤〶昹〵戲昸㍡〶戳晢慡㑦搳慡攰攵㠲愷っ昵㉦㔱昲㘵㤲㔷㐰㍣㡡㡢㥡㔲㡢㝦㈰㕡㠰㉤户㔸㈵摥挷搸㝤㍥㜷攱ㅡ㜳㔴㕦㕤㠳㝦〷昶㙥㍥㠹㕥㘵㝥捥㥡ㄴ慤㤱ㄳ攸㜵戲㙣㌵攰㝡㈸㔱㥦㜶昹晤㠳㝦ちㅥ㠷昷㍤㐳㐰ち㝡ㄳ〱㘷㜳て搰㠵戹散㘷散㕢搴㥣摡愷摥㐹㉢㡣敢愰㈹㑤捣挵㐵㈹散㍤〴㥣ぢ摢捦戱戰て愸㌹戵戰㙤㘴搹㉣攳摡㘴㑡㘱㕥㌰愴戰ㅤ〸㌸ㄷ戶愷㘳㘱ㅦ㐲摥晤㙦㤰搴づ晣ㅦ㜰散〵㜲捤㌰愵挰㍤挰㤰晥昴㌱〲挹晥挴㌵㌶愹挶㈷〸㌸㔷挳敢㔸㡤捦㈰㙦戰ㅡ捤晤改ぢ戲㙣㌶㜳㠹㉥愵ち㕣昷㤲挲扥㐲挰戹㌰㡦㘳㘱摦㐰摥晤㉤㐸慡捤摦㠱㘳㉦㤰㑢㘷㈹〵㜲㍤㑡ち晣〱〱攷〲㜳ㅤぢ晣㠹㥡㔳慤晢㠵㉣㥢㜵㕣捥㑡㈹㡣㉢㔶〲戰挲㜰㥣〴戸㔸㜳㜳散㕣慥㐰㠹㙣ㅢ㍢㜷㌰戸㔲摤㕣㜰㥤慢晢挳户㑥搷㈷㌷攴つ㡥㌱捤㡤㤱㑦㤶慤扡㕣昳㐹愹㉥㤷㜵愴ちㅥ㝢ㄵ戸㐶㈲㔵㘸㤷戵ち㕦㍡㔶愱〳换㑢㍤〷ち搲慡挰㈵㤶㤴㉡㜰摤㐲ち敢㤴戵戰㡦ㅤぢ敢㥣㔹搸敥㘹㠵捤㐸㉦㡣㉢〰㔲搸㥥㔹ぢ摢攱㔸搸摥㤹㠵敤㤳㔶ㄸㄷ㄰㔲㉣攳㕤戹ㄴ戶㕦搶挲摥㜳㉣㙣㝦㙡㑥敤㜸㍤搲ち㥢㤳㕥㔸㍤ㄸ搲㤲〷㐰㔲㜷㍣㉦㙦㠲㘵昰敥挵晣扤㐹づ〴挱ぢ㌹慤扡ㄹㅣ扣㜳搴慢扡ㅥ㈹㠳㜵㕦捡愷づ搶晤挸戲昵㈸摥ㄳ搳攸攴㘰捤㥢㔹㌱晡㄰㐸㍡㜷摦ㄷ㜵㘱㈹㠳昵〰㙡㑥敤扥晥戴挲㜸㉦㥣㠲㌰㙦㜷挵攸㈰㈴戵搱㙡㠵慥㐲㈸㙢ㄵ㥥㜱慣㐲㜱㘶ㄵ㑡搲慡挰㕢捦㤴㉡昰敥㔲慡㌰搰㕥〵摥ㄶ〹ち㠷㘶慤挲㔶挷㉡っ捡慣㐲㘹㕡ㄵ㜸㔷㤵㔲〵摥㌸㐹ㄵ㠶搸慡㤰挷改㙡慢攷搲㕣㌱昹㡤㑦つづ㐵愱㡡㤳㘰㔹㜵㈹㘳捣ㅡ㠲ち㌸ㄵ㘵㈴㥦ㄳ㔷戵〹㌱㔶捡ㄸ㐶ㄹ捥㈴㈵挷㜰㕢づ挵㔹愰挸㡣㈰㤷ㄳ㐰㤱ㄹ㘹㤷攱攴㑤㘴㐶㤱换㌹㥢挸㡣戶换㜰扥㈵㌲㘳挸攵㌴㑢㘴挶摡㘴ち㌸愵㈲搷慣摤昳㍡挷㌸捡㜰㔶㈴㌹挶摢㜲㈸捥㠰攴㉥㜷㈳摡㡥㜷戹㠷㌱㝢㡥㕢㜱㔶㈴〹㜷㕡〹㠳㈴㐱㈹捥㤴㈴攱づ㉢愱ㄴ〹挶㘴㉡攵㑣㐸慡㌸㠵㌱㑥㠲愴挰愹昶〲㌹㠱ㄱ㤹㘹攴扥愳㘵愶摢㘵㌸敦㄰㤹ㄹ攴㜲捡㈱㝡㡥戰换㜰扡㈰㌲㐷㤲换㔹㠲挸ㅣ㘵㤳㈹攰㡣㠰㕣ㄳづ㕥搹㈵挷搱㤴攱㐵㕤㜲ㅣ㘳换愱㜸㐱ㄶ㤹㘳挹攵㜵㔸㘴㡥戳换昰ㅡ㉡㌲挷㤳换换愷挸㤴摢㘴ち㜸愹㑣㤶㕣挰㑢㘴㜳㡣㤷挶㘴㑣昱ㄲ㈷摡㘶㤲捤慢㥢㘸㡢㕡〱㐶ち㜸㈵㙢捥挱㉢㤲攴愸㈰㥢ㄷ㈳挹㔱㘹〵ㄸ㔱扣㤰㠸㑣ㄵ戹扣㠶㠸㑣捣㉥挳昱㕦㘴攲攴㜲攸ㄷ㤹㔹㜶ㄹづ摢㈲㌳㥢㕣㡥搸㈲㔳㙤㤳㈹攰攸㑣慥㠹㌲㐷㘵改ㅥ㤷愴㜵㈸㡥搴㤲戰㍡慤㐳㜱昴㤶㠴㍦搹㍢㔴㉤戵㜲戴㤶攲㜹㈷愸㌸㔰㑢昱昵〸㈴㠷㐶づ戲㈲㌳㤷挹ㅣ㕦㐵收㐴㉢挰㐸〱挷搲收㉡㜲㑣㤴ㅣつ㘴㜳㌸㤴ㅣ㡤㔶㐰㜲㜰攸㙢捥挱㈱㑣㜲昰扤摢㡡愳㤷攴㤸㘷〵㈴〷㐷慡收ㅣ㌲㠴愰㘸㘳㍥搸晡昰㜲㈸㤱㙢搷〲〴戰㈸㉢挳〶愵慡㜰扤搱㠷㤷挳㠷㐸㉤㌲愵㘴攰愰㔴㡡㉥づ㈰㈲㜵戲㈹㈵㐳〷愵ㄶ㈳慥て㉦㠷㄰㤱㍡挵㤴㤲挱㠳㔲愷摡愵㌸㠸㠸搴㘹愶㤴っㄸ㤴㑡㈹㤱〳㠷㐸㥤㈱㔲〵㍣攷㡦㠰㔴捥㐲㔵㌹戳㙡收捣㙦ぢ㜲扢㜷捤㍤㜲㜰晢换摦㜹晡扤㡢㕥㍥㜶搰昶ㅦ搷慣㜹昹㠳㡢㥥晤㜱㑢挵愰㈷慦扥㝡敢㤸㜵捦扥户㕢晣慡㥣㑤摦㡥扢㙡戱㝦捥攲ㄳ攳搳てㅥ戹昸愸ㄳ㈶晢㈷㜵敡搷愶㑤摢戶〷㜵㝥㙡慦㍥摥搳㑦摣慣ㅥ㜹㙤捦㍡㈵挳〸慢愱㕤㔰㄰㜶㜹㌹㥣㐸㌵㤶㐸㌵㤴っ㈴㤴㕡㡡戸㍥扣ㅣ㔰㐴敡㉣㔳㙡〶晥㤳㐶㑢㌱㠹㐳㡡㐸㉤㌷愵㘴㌰愱慥ㄴ㄰㌹愸㠸搴㌹愶㤴っ㈰ㄹ㔲ㅣ㐸㐴㙡㠵㈹㈵㐳〸愵㔲㑡攴㔰㈲㔲㉢㑤㈹ㄹ㐴㌲㜴㜱㌰ㄱ愹㔵愶㤴っづㄹ扡㌸㐸㠸搴㠵愶㤴っ〸㤴㑡㐱愲㔲㑢㕤㙣㑡㔵攱扦㑣㈴㌸㌴㠸慥搵愶㤴っちㄹ㈵㜲㜰㄰愹㑢㑤㈹ㄹㄶ㌲㙡捦攱㐱愴㉥ㄷ愹〲㥥换晦搳㡥㈲挳〳慢㜱〵㑡攲挱搲扤ㅣ㈶愴ㅡ㝦㐶挰㔸〳搲㈱㐷挹㈸㠱搴搴ㄳ㠰愳㠵㠸慥愵㔴ㅢ㈵㈳〳愵㔲摡㡥㈳㠴㐸㕤㘵㑡挹㘸㤰愱㡢愳㠲㐸㕤㉤㔲㕥慤㐲昱愴㤷㠱敥㌸㙢愰ㅢ㡡扣㜸㤶㑢昱㍣㤷㠴㘳搳ㄲ㜸㙡㑢挲㌱愹〹㕥摤㍤ㄵ㑦㙢㤱㌸㍡㑤㐲㥦摦㡡愷戴㐸ㅣ㤵㉡愱㜸ㄶ㑢挲㤱㘹〹㍣慦㈴攱㠸搴〴慦敥㔶㡡攷㤴㐸捣㐸㤵㔰㍣㡤㈴㘱㝡㕡〲捦ㅣ㐹㤸㤶㤶挰㤳㐵ㄲ愶愶㈵昰晣㤰㠴㈹㘹〹㍣㈵㈴㘱㜲㕡〲捦〲㐹㤸㤴㤶挰㡥㉦〹ㄳ搳ㄲ搸搷㈵㘱㐲㕡〲扢户㈴㡣㑦㑢㘰㡦㤶㠴㜱愹〹㕥昶㍣戶㝡㠷㕣挵敥㈶㌲㘳㔳㘵ㄴ扢愰㈴㡣戱ㄲ扣散㍣昷㠲慢搸敦㈴㘹㔴㕡ㅥ㜶㌵㐹ㄸ㤹㤶挰摥㈵〹㈳搲ㄲ愸㑦㉥㔶て㈰愰㠴戰ㄸ晢㈵愶摤晦〷㑥㝡攷㑥</t>
  </si>
  <si>
    <t>StartOptEquations</t>
  </si>
  <si>
    <t xml:space="preserve"> XXX敏捷项目度量表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</si>
  <si>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</si>
  <si>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</si>
  <si>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</si>
  <si>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</si>
  <si>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</si>
  <si>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</si>
  <si>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</si>
  <si>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</si>
  <si>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需要</t>
  </si>
  <si>
    <t>创建初始版本</t>
  </si>
  <si>
    <t>重要声明</t>
  </si>
  <si>
    <t>版权声明</t>
  </si>
  <si>
    <r>
      <rPr>
        <sz val="10"/>
        <rFont val="宋体"/>
        <family val="3"/>
        <charset val="134"/>
      </rPr>
      <t>版权所有 © 2014</t>
    </r>
    <r>
      <rPr>
        <sz val="11"/>
        <color theme="1"/>
        <rFont val="宋体"/>
        <family val="3"/>
        <charset val="134"/>
      </rPr>
      <t xml:space="preserve">, 深圳国泰安教育技术股份有限公司，保留所有权利。
</t>
    </r>
  </si>
  <si>
    <t>商标声明</t>
  </si>
  <si>
    <t>深圳国泰安教育技术股份有限公司和深圳国泰安教育技术股份有限公司的产品是深圳国泰安教育技术股份有限公司专有。在提及其他公司及其产品时将使用各自公司所拥有的商标，这种使用的目的仅限于引用。</t>
  </si>
  <si>
    <r>
      <rPr>
        <b/>
        <u/>
        <sz val="12"/>
        <color indexed="8"/>
        <rFont val="宋体"/>
        <family val="3"/>
        <charset val="134"/>
      </rPr>
      <t>不作保证声明</t>
    </r>
    <r>
      <rPr>
        <b/>
        <u/>
        <sz val="12"/>
        <color indexed="8"/>
        <rFont val="Arial"/>
        <family val="2"/>
      </rPr>
      <t xml:space="preserve"> </t>
    </r>
  </si>
  <si>
    <t>深圳国泰安教育技术股份有限公司不对此文档中的任何内容作任何明示或暗示的陈述或保证，而且不对特定目的的适销性及适用性或者任何间接、特殊或连带的损失承担任何责任。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</si>
  <si>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</si>
  <si>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</si>
  <si>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</si>
  <si>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填写说明</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</si>
  <si>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</si>
  <si>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</si>
  <si>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</si>
  <si>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</si>
  <si>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</si>
  <si>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</si>
  <si>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</si>
  <si>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</si>
  <si>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</si>
  <si>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</si>
  <si>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</si>
  <si>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</si>
  <si>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</si>
  <si>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</si>
  <si>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</si>
  <si>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度量一：故事的及时交付率</t>
  </si>
  <si>
    <t>目的：支持对团队开发速度的分析和控制</t>
  </si>
  <si>
    <t>度量单位：迭代阶段计划完成和实际完成的故事数</t>
  </si>
  <si>
    <t>迭代阶段</t>
  </si>
  <si>
    <t>计划开始时间</t>
  </si>
  <si>
    <t>计划完成时间</t>
  </si>
  <si>
    <t>计划完成故事数</t>
  </si>
  <si>
    <t>实际完成故事数</t>
  </si>
  <si>
    <t>故事的及时达成率</t>
  </si>
  <si>
    <t>实际完成时间</t>
  </si>
  <si>
    <t>累计</t>
  </si>
  <si>
    <t>工作量分布</t>
  </si>
  <si>
    <t>度量一:各活动各阶段工作量</t>
  </si>
  <si>
    <t>目的：为重新估算提供参考；为收集组织工作量分布数据提供输入；比较估计工作量的准确性并用以调整计划。</t>
  </si>
  <si>
    <t>度量单位：人时</t>
  </si>
  <si>
    <t>说明：工作量“计划”列数据来源于用户故事列表，各阶段的“实际”列数据来源于工时系统。</t>
  </si>
  <si>
    <t>#</t>
  </si>
  <si>
    <t>度量活动</t>
  </si>
  <si>
    <t>总计</t>
  </si>
  <si>
    <t>各活动类型资源投入率</t>
  </si>
  <si>
    <t>各活动类型工作量比例</t>
  </si>
  <si>
    <t>计划</t>
  </si>
  <si>
    <t>实际</t>
  </si>
  <si>
    <t>软件工程活动</t>
  </si>
  <si>
    <t>项目管理活动</t>
  </si>
  <si>
    <t>配置管理活动</t>
  </si>
  <si>
    <t>质量保证活动</t>
  </si>
  <si>
    <t>其他(风险预留)</t>
  </si>
  <si>
    <t>所有活动各阶段统计值</t>
  </si>
  <si>
    <t>阶段资源投入率</t>
  </si>
  <si>
    <t>项目工作量偏差率</t>
  </si>
  <si>
    <t>开发生产率</t>
  </si>
  <si>
    <t>阶段累计工作量偏差率</t>
  </si>
  <si>
    <t>各阶段工程活动工作量比例</t>
  </si>
  <si>
    <t>测试、演示、验收缺陷度量统计分析报告</t>
  </si>
  <si>
    <t>度量一：测试发现的缺陷</t>
  </si>
  <si>
    <t>目的：评价产品的发布前的质量</t>
  </si>
  <si>
    <t>度量单位：个/故事数</t>
  </si>
  <si>
    <t>说明：本页缺陷数据来源于缺陷库</t>
  </si>
  <si>
    <t>P1(致命)</t>
  </si>
  <si>
    <t>P2(严重)</t>
  </si>
  <si>
    <t>P3(一般)</t>
  </si>
  <si>
    <t>P4(微小)</t>
  </si>
  <si>
    <t>P5(建议)</t>
  </si>
  <si>
    <t>测试缺陷加权分</t>
  </si>
  <si>
    <t>缺陷收集节点</t>
  </si>
  <si>
    <t>缺陷级别</t>
  </si>
  <si>
    <t>缺陷加权分</t>
  </si>
  <si>
    <t>缺陷密度</t>
  </si>
  <si>
    <t>P1(致命)缺陷</t>
  </si>
  <si>
    <t>P2(严重)缺陷</t>
  </si>
  <si>
    <t>P3(一般)缺陷</t>
  </si>
  <si>
    <t>P4(微小)缺陷</t>
  </si>
  <si>
    <t>P5(建议)缺陷</t>
  </si>
  <si>
    <t>迭代一测试</t>
  </si>
  <si>
    <t>测试第N轮</t>
  </si>
  <si>
    <t>-</t>
  </si>
  <si>
    <t>测试合计</t>
  </si>
  <si>
    <t>验收阶段</t>
  </si>
  <si>
    <t>遗留缺陷</t>
  </si>
  <si>
    <t>度量三：演示发现的缺陷</t>
  </si>
  <si>
    <t>解决缺陷加权分</t>
    <phoneticPr fontId="91" type="noConversion"/>
  </si>
  <si>
    <t>遗留缺陷加权分</t>
    <phoneticPr fontId="91" type="noConversion"/>
  </si>
  <si>
    <t>——</t>
    <phoneticPr fontId="91" type="noConversion"/>
  </si>
  <si>
    <t>度量二：PO验收发现的缺陷</t>
    <phoneticPr fontId="91" type="noConversion"/>
  </si>
  <si>
    <t>实际开始时间</t>
    <phoneticPr fontId="91" type="noConversion"/>
  </si>
  <si>
    <t>——</t>
    <phoneticPr fontId="91" type="noConversion"/>
  </si>
  <si>
    <t>迭代1</t>
    <phoneticPr fontId="91" type="noConversion"/>
  </si>
  <si>
    <t>迭代2</t>
    <phoneticPr fontId="91" type="noConversion"/>
  </si>
  <si>
    <t>迭代3</t>
    <phoneticPr fontId="91" type="noConversion"/>
  </si>
  <si>
    <t>迭代4</t>
    <phoneticPr fontId="91" type="noConversion"/>
  </si>
  <si>
    <t>迭代5</t>
    <phoneticPr fontId="91" type="noConversion"/>
  </si>
  <si>
    <t>迭代准备</t>
    <phoneticPr fontId="91" type="noConversion"/>
  </si>
  <si>
    <t>故事及时交付率</t>
    <phoneticPr fontId="91" type="noConversion"/>
  </si>
  <si>
    <t>迭代验收</t>
    <phoneticPr fontId="91" type="noConversion"/>
  </si>
  <si>
    <t>迭代1测试</t>
    <phoneticPr fontId="91" type="noConversion"/>
  </si>
  <si>
    <t>迭代2测试</t>
    <phoneticPr fontId="91" type="noConversion"/>
  </si>
  <si>
    <t>迭代3测试</t>
    <phoneticPr fontId="91" type="noConversion"/>
  </si>
  <si>
    <t>迭代4测试</t>
    <phoneticPr fontId="91" type="noConversion"/>
  </si>
  <si>
    <t>迭代5测试</t>
    <phoneticPr fontId="91" type="noConversion"/>
  </si>
  <si>
    <t>迭代1验收</t>
    <phoneticPr fontId="91" type="noConversion"/>
  </si>
  <si>
    <t>迭代2验收</t>
    <phoneticPr fontId="91" type="noConversion"/>
  </si>
  <si>
    <t>迭代3验收</t>
    <phoneticPr fontId="91" type="noConversion"/>
  </si>
  <si>
    <t>迭代4验收</t>
    <phoneticPr fontId="91" type="noConversion"/>
  </si>
  <si>
    <t>迭代5验收</t>
    <phoneticPr fontId="91" type="noConversion"/>
  </si>
  <si>
    <t>迭代1演示</t>
    <phoneticPr fontId="91" type="noConversion"/>
  </si>
  <si>
    <t>迭代2演示</t>
    <phoneticPr fontId="91" type="noConversion"/>
  </si>
  <si>
    <t>迭代3演示</t>
    <phoneticPr fontId="91" type="noConversion"/>
  </si>
  <si>
    <t>迭代4演示</t>
    <phoneticPr fontId="91" type="noConversion"/>
  </si>
  <si>
    <t>迭代5演示</t>
    <phoneticPr fontId="9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</si>
</sst>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76" formatCode="_(* #,##0.00_);_(* \(#,##0.00\);_(* &quot;-&quot;??_);_(@_)"/>
    <numFmt numFmtId="177" formatCode="0_);[Red]\(0\)"/>
    <numFmt numFmtId="178" formatCode="0.0_ "/>
    <numFmt numFmtId="179" formatCode="_(&quot;$&quot;* #,##0_);_(&quot;$&quot;* \(#,##0\);_(&quot;$&quot;* &quot;-&quot;_);_(@_)"/>
    <numFmt numFmtId="180" formatCode="yyyy/m/d;@"/>
    <numFmt numFmtId="181" formatCode="yyyy\/mm\/dd"/>
    <numFmt numFmtId="182" formatCode="_ &quot;\&quot;* #,##0_ ;_ &quot;\&quot;* \-#,##0_ ;_ &quot;\&quot;* &quot;-&quot;_ ;_ @_ "/>
    <numFmt numFmtId="183" formatCode="0.00_ "/>
    <numFmt numFmtId="184" formatCode="&quot;$&quot;#,##0_);[Red]\(&quot;$&quot;#,##0\)"/>
    <numFmt numFmtId="185" formatCode="0_ "/>
    <numFmt numFmtId="186" formatCode="_ &quot;\&quot;* #,##0.00_ ;_ &quot;\&quot;* \-#,##0.00_ ;_ &quot;\&quot;* &quot;-&quot;??_ ;_ @_ "/>
    <numFmt numFmtId="187" formatCode="_(&quot;$&quot;* #,##0.00_);_(&quot;$&quot;* \(#,##0.00\);_(&quot;$&quot;* &quot;-&quot;??_);_(@_)"/>
    <numFmt numFmtId="188" formatCode="#,##0;\-#,##0;&quot;-&quot;"/>
    <numFmt numFmtId="189" formatCode="_(* #,##0_);_(* \(#,##0\);_(* &quot;-&quot;_);_(@_)"/>
    <numFmt numFmtId="190" formatCode="0.000_);[Red]\(0.000\)"/>
    <numFmt numFmtId="191" formatCode="0.0000_ "/>
  </numFmts>
  <fonts count="92">
    <font>
      <sz val="11"/>
      <color theme="1"/>
      <name val="宋体"/>
      <charset val="134"/>
      <scheme val="minor"/>
    </font>
    <font>
      <sz val="10"/>
      <name val="宋体"/>
      <family val="3"/>
      <charset val="134"/>
    </font>
    <font>
      <sz val="16"/>
      <name val="宋体"/>
      <family val="3"/>
      <charset val="134"/>
    </font>
    <font>
      <sz val="16"/>
      <name val="Times New Roman"/>
      <family val="1"/>
    </font>
    <font>
      <sz val="10"/>
      <name val="Times New Roman"/>
      <family val="1"/>
    </font>
    <font>
      <sz val="10"/>
      <color rgb="FFFF0000"/>
      <name val="宋体"/>
      <family val="3"/>
      <charset val="134"/>
    </font>
    <font>
      <b/>
      <sz val="10"/>
      <name val="宋体"/>
      <family val="3"/>
      <charset val="134"/>
    </font>
    <font>
      <sz val="10"/>
      <color theme="1"/>
      <name val="宋体"/>
      <family val="3"/>
      <charset val="134"/>
      <scheme val="minor"/>
    </font>
    <font>
      <sz val="10"/>
      <color theme="1"/>
      <name val="宋体"/>
      <family val="3"/>
      <charset val="134"/>
    </font>
    <font>
      <sz val="10"/>
      <color indexed="12"/>
      <name val="宋体"/>
      <family val="3"/>
      <charset val="134"/>
    </font>
    <font>
      <sz val="10"/>
      <color rgb="FF0066FF"/>
      <name val="宋体"/>
      <family val="3"/>
      <charset val="134"/>
    </font>
    <font>
      <b/>
      <sz val="12"/>
      <name val="宋体"/>
      <family val="3"/>
      <charset val="134"/>
    </font>
    <font>
      <b/>
      <sz val="16"/>
      <name val="宋体"/>
      <family val="3"/>
      <charset val="134"/>
    </font>
    <font>
      <b/>
      <sz val="9"/>
      <name val="宋体"/>
      <family val="3"/>
      <charset val="134"/>
    </font>
    <font>
      <sz val="12"/>
      <name val="宋体"/>
      <family val="3"/>
      <charset val="13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sz val="11"/>
      <color theme="1"/>
      <name val="宋体"/>
      <family val="3"/>
      <charset val="134"/>
      <scheme val="minor"/>
    </font>
    <font>
      <sz val="12"/>
      <name val="Times New Roman"/>
      <family val="1"/>
    </font>
    <font>
      <sz val="11"/>
      <color indexed="8"/>
      <name val="Calibri"/>
      <family val="2"/>
    </font>
    <font>
      <sz val="10"/>
      <name val="Helv"/>
      <family val="2"/>
    </font>
    <font>
      <sz val="11"/>
      <color indexed="8"/>
      <name val="宋体"/>
      <family val="3"/>
      <charset val="134"/>
    </font>
    <font>
      <sz val="11"/>
      <color indexed="9"/>
      <name val="Calibri"/>
      <family val="2"/>
    </font>
    <font>
      <sz val="11"/>
      <name val="ＭＳ Ｐゴシック"/>
      <family val="2"/>
    </font>
    <font>
      <b/>
      <sz val="11"/>
      <color indexed="52"/>
      <name val="宋体"/>
      <family val="3"/>
      <charset val="134"/>
    </font>
    <font>
      <b/>
      <sz val="18"/>
      <color indexed="62"/>
      <name val="Cambria"/>
      <family val="1"/>
    </font>
    <font>
      <sz val="12"/>
      <name val="M"/>
      <charset val="136"/>
    </font>
    <font>
      <sz val="11"/>
      <color indexed="17"/>
      <name val="微软雅黑"/>
      <family val="2"/>
      <charset val="134"/>
    </font>
    <font>
      <sz val="11"/>
      <color indexed="62"/>
      <name val="Calibri"/>
      <family val="2"/>
    </font>
    <font>
      <sz val="11"/>
      <name val="Times New Roman"/>
      <family val="1"/>
    </font>
    <font>
      <b/>
      <sz val="11"/>
      <color indexed="63"/>
      <name val="宋体"/>
      <family val="3"/>
      <charset val="134"/>
    </font>
    <font>
      <b/>
      <sz val="11"/>
      <color indexed="62"/>
      <name val="Calibri"/>
      <family val="2"/>
    </font>
    <font>
      <sz val="9"/>
      <color indexed="17"/>
      <name val="幼圆"/>
      <family val="3"/>
      <charset val="134"/>
    </font>
    <font>
      <b/>
      <sz val="11"/>
      <color indexed="8"/>
      <name val="Calibri"/>
      <family val="2"/>
    </font>
    <font>
      <sz val="9"/>
      <color indexed="20"/>
      <name val="幼圆"/>
      <family val="3"/>
      <charset val="134"/>
    </font>
    <font>
      <sz val="11"/>
      <color indexed="20"/>
      <name val="宋体"/>
      <family val="3"/>
      <charset val="134"/>
    </font>
    <font>
      <u/>
      <sz val="10"/>
      <color indexed="36"/>
      <name val="ＭＳ Ｐ明朝"/>
      <charset val="134"/>
    </font>
    <font>
      <sz val="9"/>
      <color indexed="17"/>
      <name val="微软雅黑"/>
      <family val="2"/>
      <charset val="134"/>
    </font>
    <font>
      <sz val="7"/>
      <name val="Small Fonts"/>
      <charset val="134"/>
    </font>
    <font>
      <b/>
      <sz val="11"/>
      <color indexed="53"/>
      <name val="Calibri"/>
      <family val="2"/>
    </font>
    <font>
      <sz val="11"/>
      <color indexed="17"/>
      <name val="Calibri"/>
      <family val="2"/>
    </font>
    <font>
      <sz val="11"/>
      <color indexed="60"/>
      <name val="宋体"/>
      <family val="3"/>
      <charset val="134"/>
    </font>
    <font>
      <b/>
      <sz val="13"/>
      <color indexed="56"/>
      <name val="宋体"/>
      <family val="3"/>
      <charset val="134"/>
    </font>
    <font>
      <sz val="12"/>
      <name val="바탕체"/>
      <charset val="134"/>
    </font>
    <font>
      <sz val="8"/>
      <name val="Arial"/>
      <family val="2"/>
    </font>
    <font>
      <b/>
      <sz val="18"/>
      <color indexed="56"/>
      <name val="宋体"/>
      <family val="3"/>
      <charset val="134"/>
    </font>
    <font>
      <b/>
      <sz val="13"/>
      <color indexed="62"/>
      <name val="Calibri"/>
      <family val="2"/>
    </font>
    <font>
      <b/>
      <sz val="15"/>
      <color indexed="62"/>
      <name val="宋体"/>
      <family val="3"/>
      <charset val="134"/>
    </font>
    <font>
      <sz val="11"/>
      <color theme="1"/>
      <name val="宋体"/>
      <family val="3"/>
      <charset val="134"/>
      <scheme val="minor"/>
    </font>
    <font>
      <u/>
      <sz val="10"/>
      <color indexed="12"/>
      <name val="ＭＳ Ｐ明朝"/>
      <charset val="128"/>
    </font>
    <font>
      <sz val="11"/>
      <name val="ＭＳ 明朝"/>
      <charset val="134"/>
    </font>
    <font>
      <u/>
      <sz val="10"/>
      <color indexed="12"/>
      <name val="ＭＳ Ｐ明朝"/>
      <charset val="134"/>
    </font>
    <font>
      <sz val="10"/>
      <name val="Arial"/>
      <family val="2"/>
    </font>
    <font>
      <sz val="11"/>
      <color indexed="10"/>
      <name val="宋体"/>
      <family val="3"/>
      <charset val="134"/>
    </font>
    <font>
      <sz val="11"/>
      <color indexed="20"/>
      <name val="微软雅黑"/>
      <family val="2"/>
      <charset val="134"/>
    </font>
    <font>
      <b/>
      <sz val="18"/>
      <color indexed="56"/>
      <name val="Cambria"/>
      <family val="1"/>
    </font>
    <font>
      <sz val="11"/>
      <color indexed="16"/>
      <name val="Calibri"/>
      <family val="2"/>
    </font>
    <font>
      <b/>
      <sz val="12"/>
      <name val="MS Sans Serif"/>
      <family val="1"/>
    </font>
    <font>
      <sz val="11"/>
      <color indexed="9"/>
      <name val="宋体"/>
      <family val="3"/>
      <charset val="134"/>
    </font>
    <font>
      <sz val="11"/>
      <color indexed="60"/>
      <name val="Calibri"/>
      <family val="2"/>
    </font>
    <font>
      <u/>
      <sz val="10.8"/>
      <color indexed="12"/>
      <name val="宋体"/>
      <family val="3"/>
      <charset val="134"/>
    </font>
    <font>
      <sz val="10"/>
      <name val="MS Sans Serif"/>
      <family val="2"/>
    </font>
    <font>
      <sz val="11"/>
      <color indexed="52"/>
      <name val="宋体"/>
      <family val="3"/>
      <charset val="134"/>
    </font>
    <font>
      <sz val="12"/>
      <name val="MS Sans Serif"/>
      <family val="2"/>
    </font>
    <font>
      <sz val="10"/>
      <color indexed="8"/>
      <name val="Arial"/>
      <family val="2"/>
    </font>
    <font>
      <sz val="11"/>
      <color indexed="10"/>
      <name val="Calibri"/>
      <family val="2"/>
    </font>
    <font>
      <b/>
      <sz val="11"/>
      <color indexed="9"/>
      <name val="Calibri"/>
      <family val="2"/>
    </font>
    <font>
      <b/>
      <sz val="11"/>
      <color indexed="56"/>
      <name val="宋体"/>
      <family val="3"/>
      <charset val="134"/>
    </font>
    <font>
      <i/>
      <sz val="11"/>
      <color indexed="23"/>
      <name val="Calibri"/>
      <family val="2"/>
    </font>
    <font>
      <b/>
      <sz val="12"/>
      <name val="Arial"/>
      <family val="2"/>
    </font>
    <font>
      <b/>
      <sz val="15"/>
      <color indexed="62"/>
      <name val="Calibri"/>
      <family val="2"/>
    </font>
    <font>
      <b/>
      <sz val="11"/>
      <color indexed="63"/>
      <name val="Calibri"/>
      <family val="2"/>
    </font>
    <font>
      <b/>
      <sz val="11"/>
      <color indexed="9"/>
      <name val="宋体"/>
      <family val="3"/>
      <charset val="134"/>
    </font>
    <font>
      <sz val="11"/>
      <color indexed="53"/>
      <name val="Calibri"/>
      <family val="2"/>
    </font>
    <font>
      <sz val="9"/>
      <color indexed="20"/>
      <name val="微软雅黑"/>
      <family val="2"/>
      <charset val="134"/>
    </font>
    <font>
      <b/>
      <sz val="11"/>
      <color indexed="8"/>
      <name val="宋体"/>
      <family val="3"/>
      <charset val="134"/>
    </font>
    <font>
      <sz val="11"/>
      <name val="ＭＳ Ｐゴシック"/>
      <family val="2"/>
    </font>
    <font>
      <i/>
      <sz val="11"/>
      <color indexed="23"/>
      <name val="宋体"/>
      <family val="3"/>
      <charset val="134"/>
    </font>
    <font>
      <b/>
      <sz val="15"/>
      <color indexed="56"/>
      <name val="宋体"/>
      <family val="3"/>
      <charset val="134"/>
    </font>
    <font>
      <b/>
      <sz val="13"/>
      <color indexed="62"/>
      <name val="宋体"/>
      <family val="3"/>
      <charset val="134"/>
    </font>
    <font>
      <u/>
      <sz val="10"/>
      <color indexed="36"/>
      <name val="ＭＳ Ｐ明朝"/>
      <charset val="128"/>
    </font>
    <font>
      <sz val="11"/>
      <color indexed="17"/>
      <name val="宋体"/>
      <family val="3"/>
      <charset val="134"/>
    </font>
    <font>
      <sz val="11"/>
      <color indexed="62"/>
      <name val="宋体"/>
      <family val="3"/>
      <charset val="134"/>
    </font>
    <font>
      <b/>
      <u/>
      <sz val="12"/>
      <color indexed="8"/>
      <name val="Arial"/>
      <family val="2"/>
    </font>
    <font>
      <sz val="11"/>
      <color theme="1"/>
      <name val="宋体"/>
      <family val="3"/>
      <charset val="134"/>
      <scheme val="minor"/>
    </font>
    <font>
      <sz val="11"/>
      <color theme="1"/>
      <name val="宋体"/>
      <family val="3"/>
      <charset val="134"/>
    </font>
    <font>
      <sz val="9"/>
      <name val="宋体"/>
      <family val="3"/>
      <charset val="134"/>
    </font>
    <font>
      <sz val="11"/>
      <color rgb="FFFF0000"/>
      <name val="宋体"/>
      <family val="3"/>
      <charset val="134"/>
    </font>
    <font>
      <sz val="9"/>
      <name val="宋体"/>
      <family val="3"/>
      <charset val="134"/>
      <scheme val="minor"/>
    </font>
  </fonts>
  <fills count="57">
    <fill>
      <patternFill patternType="none"/>
    </fill>
    <fill>
      <patternFill patternType="gray125"/>
    </fill>
    <fill>
      <patternFill patternType="solid">
        <fgColor indexed="9"/>
        <bgColor indexed="64"/>
      </patternFill>
    </fill>
    <fill>
      <patternFill patternType="solid">
        <fgColor rgb="FF00FFFF"/>
        <bgColor indexed="64"/>
      </patternFill>
    </fill>
    <fill>
      <patternFill patternType="solid">
        <fgColor rgb="FFD8E4BC"/>
        <bgColor indexed="64"/>
      </patternFill>
    </fill>
    <fill>
      <patternFill patternType="solid">
        <fgColor rgb="FFCCFFFF"/>
        <bgColor indexed="64"/>
      </patternFill>
    </fill>
    <fill>
      <patternFill patternType="darkTrellis">
        <bgColor indexed="9"/>
      </patternFill>
    </fill>
    <fill>
      <patternFill patternType="darkTrellis">
        <bgColor rgb="FFCCFFFF"/>
      </patternFill>
    </fill>
    <fill>
      <patternFill patternType="solid">
        <fgColor indexed="15"/>
        <bgColor indexed="64"/>
      </patternFill>
    </fill>
    <fill>
      <patternFill patternType="solid">
        <fgColor theme="4" tint="0.39994506668294322"/>
        <bgColor indexed="64"/>
      </patternFill>
    </fill>
    <fill>
      <patternFill patternType="solid">
        <fgColor theme="0"/>
        <bgColor indexed="64"/>
      </patternFill>
    </fill>
    <fill>
      <patternFill patternType="solid">
        <fgColor theme="9" tint="0.79995117038483843"/>
        <bgColor indexed="64"/>
      </patternFill>
    </fill>
    <fill>
      <patternFill patternType="solid">
        <fgColor indexed="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indexed="46"/>
        <bgColor indexed="64"/>
      </patternFill>
    </fill>
    <fill>
      <patternFill patternType="solid">
        <fgColor indexed="22"/>
        <bgColor indexed="22"/>
      </patternFill>
    </fill>
    <fill>
      <patternFill patternType="solid">
        <fgColor indexed="11"/>
        <bgColor indexed="64"/>
      </patternFill>
    </fill>
    <fill>
      <patternFill patternType="solid">
        <fgColor indexed="47"/>
        <bgColor indexed="47"/>
      </patternFill>
    </fill>
    <fill>
      <patternFill patternType="solid">
        <fgColor indexed="26"/>
        <bgColor indexed="26"/>
      </patternFill>
    </fill>
    <fill>
      <patternFill patternType="solid">
        <fgColor indexed="22"/>
        <bgColor indexed="64"/>
      </patternFill>
    </fill>
    <fill>
      <patternFill patternType="solid">
        <fgColor indexed="45"/>
        <bgColor indexed="64"/>
      </patternFill>
    </fill>
    <fill>
      <patternFill patternType="solid">
        <fgColor indexed="44"/>
        <bgColor indexed="64"/>
      </patternFill>
    </fill>
    <fill>
      <patternFill patternType="solid">
        <fgColor indexed="55"/>
        <bgColor indexed="55"/>
      </patternFill>
    </fill>
    <fill>
      <patternFill patternType="lightUp">
        <fgColor indexed="9"/>
        <bgColor indexed="55"/>
      </patternFill>
    </fill>
    <fill>
      <patternFill patternType="solid">
        <fgColor indexed="52"/>
        <bgColor indexed="52"/>
      </patternFill>
    </fill>
    <fill>
      <patternFill patternType="solid">
        <fgColor indexed="51"/>
        <bgColor indexed="64"/>
      </patternFill>
    </fill>
    <fill>
      <patternFill patternType="solid">
        <fgColor indexed="31"/>
        <bgColor indexed="31"/>
      </patternFill>
    </fill>
    <fill>
      <patternFill patternType="solid">
        <fgColor indexed="31"/>
        <bgColor indexed="64"/>
      </patternFill>
    </fill>
    <fill>
      <patternFill patternType="solid">
        <fgColor indexed="9"/>
        <bgColor indexed="9"/>
      </patternFill>
    </fill>
    <fill>
      <patternFill patternType="solid">
        <fgColor indexed="42"/>
        <bgColor indexed="42"/>
      </patternFill>
    </fill>
    <fill>
      <patternFill patternType="gray0625">
        <fgColor indexed="44"/>
        <bgColor indexed="26"/>
      </patternFill>
    </fill>
    <fill>
      <patternFill patternType="solid">
        <fgColor indexed="43"/>
        <bgColor indexed="64"/>
      </patternFill>
    </fill>
    <fill>
      <patternFill patternType="lightUp">
        <fgColor indexed="9"/>
        <bgColor indexed="29"/>
      </patternFill>
    </fill>
    <fill>
      <patternFill patternType="solid">
        <fgColor indexed="27"/>
        <bgColor indexed="64"/>
      </patternFill>
    </fill>
    <fill>
      <patternFill patternType="solid">
        <fgColor indexed="47"/>
        <bgColor indexed="64"/>
      </patternFill>
    </fill>
    <fill>
      <patternFill patternType="solid">
        <fgColor indexed="29"/>
        <bgColor indexed="64"/>
      </patternFill>
    </fill>
    <fill>
      <patternFill patternType="solid">
        <fgColor indexed="30"/>
        <bgColor indexed="64"/>
      </patternFill>
    </fill>
    <fill>
      <patternFill patternType="solid">
        <fgColor indexed="45"/>
        <bgColor indexed="45"/>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43"/>
        <bgColor indexed="43"/>
      </patternFill>
    </fill>
    <fill>
      <patternFill patternType="solid">
        <fgColor indexed="54"/>
        <bgColor indexed="54"/>
      </patternFill>
    </fill>
    <fill>
      <patternFill patternType="solid">
        <fgColor indexed="44"/>
        <bgColor indexed="44"/>
      </patternFill>
    </fill>
    <fill>
      <patternFill patternType="solid">
        <fgColor indexed="25"/>
        <bgColor indexed="25"/>
      </patternFill>
    </fill>
    <fill>
      <patternFill patternType="solid">
        <fgColor indexed="25"/>
        <bgColor indexed="64"/>
      </patternFill>
    </fill>
    <fill>
      <patternFill patternType="solid">
        <fgColor indexed="49"/>
        <bgColor indexed="49"/>
      </patternFill>
    </fill>
    <fill>
      <patternFill patternType="solid">
        <fgColor indexed="27"/>
        <bgColor indexed="27"/>
      </patternFill>
    </fill>
    <fill>
      <patternFill patternType="lightUp">
        <fgColor indexed="9"/>
        <bgColor indexed="22"/>
      </patternFill>
    </fill>
    <fill>
      <patternFill patternType="solid">
        <fgColor indexed="62"/>
        <bgColor indexed="64"/>
      </patternFill>
    </fill>
    <fill>
      <patternFill patternType="solid">
        <fgColor indexed="26"/>
        <bgColor indexed="64"/>
      </patternFill>
    </fill>
    <fill>
      <patternFill patternType="solid">
        <fgColor indexed="55"/>
        <bgColor indexed="64"/>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s>
  <borders count="78">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double">
        <color auto="1"/>
      </left>
      <right style="thin">
        <color auto="1"/>
      </right>
      <top style="double">
        <color auto="1"/>
      </top>
      <bottom style="thin">
        <color auto="1"/>
      </bottom>
      <diagonal/>
    </border>
    <border>
      <left style="thin">
        <color auto="1"/>
      </left>
      <right style="thin">
        <color theme="0"/>
      </right>
      <top style="double">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theme="0"/>
      </left>
      <right style="thin">
        <color theme="0"/>
      </right>
      <top style="double">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double">
        <color auto="1"/>
      </bottom>
      <diagonal/>
    </border>
    <border>
      <left style="double">
        <color indexed="39"/>
      </left>
      <right style="hair">
        <color indexed="39"/>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right style="hair">
        <color indexed="39"/>
      </right>
      <top style="double">
        <color indexed="39"/>
      </top>
      <bottom style="hair">
        <color indexed="39"/>
      </bottom>
      <diagonal/>
    </border>
    <border>
      <left style="double">
        <color indexed="39"/>
      </left>
      <right style="hair">
        <color indexed="39"/>
      </right>
      <top/>
      <bottom style="hair">
        <color indexed="39"/>
      </bottom>
      <diagonal/>
    </border>
    <border>
      <left style="hair">
        <color indexed="39"/>
      </left>
      <right style="hair">
        <color indexed="39"/>
      </right>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hair">
        <color indexed="39"/>
      </bottom>
      <diagonal/>
    </border>
    <border>
      <left style="hair">
        <color indexed="39"/>
      </left>
      <right/>
      <top style="hair">
        <color indexed="39"/>
      </top>
      <bottom style="hair">
        <color indexed="39"/>
      </bottom>
      <diagonal/>
    </border>
    <border>
      <left style="hair">
        <color indexed="39"/>
      </left>
      <right style="hair">
        <color indexed="39"/>
      </right>
      <top style="hair">
        <color indexed="39"/>
      </top>
      <bottom/>
      <diagonal/>
    </border>
    <border>
      <left/>
      <right style="hair">
        <color indexed="39"/>
      </right>
      <top style="hair">
        <color indexed="39"/>
      </top>
      <bottom style="hair">
        <color indexed="39"/>
      </bottom>
      <diagonal/>
    </border>
    <border>
      <left style="double">
        <color indexed="39"/>
      </left>
      <right style="hair">
        <color indexed="39"/>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style="hair">
        <color indexed="39"/>
      </left>
      <right style="double">
        <color indexed="39"/>
      </right>
      <top style="double">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hair">
        <color indexed="39"/>
      </left>
      <right style="hair">
        <color indexed="39"/>
      </right>
      <top/>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right/>
      <top style="thin">
        <color auto="1"/>
      </top>
      <bottom/>
      <diagonal/>
    </border>
    <border>
      <left/>
      <right/>
      <top/>
      <bottom style="thin">
        <color auto="1"/>
      </bottom>
      <diagonal/>
    </border>
    <border>
      <left/>
      <right/>
      <top style="thin">
        <color auto="1"/>
      </top>
      <bottom style="thin">
        <color auto="1"/>
      </bottom>
      <diagonal/>
    </border>
    <border>
      <left/>
      <right style="thin">
        <color auto="1"/>
      </right>
      <top/>
      <bottom/>
      <diagonal/>
    </border>
    <border>
      <left/>
      <right/>
      <top/>
      <bottom style="double">
        <color rgb="FF0000FF"/>
      </bottom>
      <diagonal/>
    </border>
    <border>
      <left/>
      <right style="thin">
        <color auto="1"/>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double">
        <color rgb="FF0000FF"/>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style="thin">
        <color auto="1"/>
      </left>
      <right style="thin">
        <color auto="1"/>
      </right>
      <top style="thin">
        <color auto="1"/>
      </top>
      <bottom style="double">
        <color rgb="FF0000FF"/>
      </bottom>
      <diagonal/>
    </border>
    <border>
      <left/>
      <right style="thin">
        <color auto="1"/>
      </right>
      <top style="thin">
        <color auto="1"/>
      </top>
      <bottom style="double">
        <color rgb="FF0000FF"/>
      </bottom>
      <diagonal/>
    </border>
    <border>
      <left/>
      <right/>
      <top style="double">
        <color rgb="FF0000FF"/>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medium">
        <color indexed="44"/>
      </bottom>
      <diagonal/>
    </border>
    <border>
      <left/>
      <right/>
      <top/>
      <bottom style="thick">
        <color indexed="22"/>
      </bottom>
      <diagonal/>
    </border>
    <border>
      <left/>
      <right/>
      <top/>
      <bottom style="thick">
        <color indexed="49"/>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medium">
        <color auto="1"/>
      </top>
      <bottom style="medium">
        <color auto="1"/>
      </bottom>
      <diagonal/>
    </border>
    <border>
      <left/>
      <right/>
      <top/>
      <bottom style="thick">
        <color indexed="54"/>
      </bottom>
      <diagonal/>
    </border>
    <border>
      <left/>
      <right/>
      <top style="thin">
        <color indexed="62"/>
      </top>
      <bottom style="double">
        <color indexed="62"/>
      </bottom>
      <diagonal/>
    </border>
    <border>
      <left/>
      <right/>
      <top style="thin">
        <color indexed="54"/>
      </top>
      <bottom style="double">
        <color indexed="54"/>
      </bottom>
      <diagonal/>
    </border>
    <border>
      <left/>
      <right/>
      <top/>
      <bottom style="thick">
        <color indexed="62"/>
      </bottom>
      <diagonal/>
    </border>
    <border>
      <left/>
      <right/>
      <top/>
      <bottom style="medium">
        <color indexed="30"/>
      </bottom>
      <diagonal/>
    </border>
  </borders>
  <cellStyleXfs count="318">
    <xf numFmtId="0" fontId="0" fillId="0" borderId="0"/>
    <xf numFmtId="0" fontId="22" fillId="16" borderId="0" applyNumberFormat="0" applyBorder="0" applyAlignment="0" applyProtection="0"/>
    <xf numFmtId="0" fontId="25" fillId="18" borderId="0" applyNumberFormat="0" applyBorder="0" applyAlignment="0" applyProtection="0">
      <alignment vertical="center"/>
    </xf>
    <xf numFmtId="0" fontId="22" fillId="15" borderId="0" applyNumberFormat="0" applyBorder="0" applyAlignment="0" applyProtection="0"/>
    <xf numFmtId="0" fontId="27" fillId="20" borderId="65" applyNumberFormat="0" applyAlignment="0" applyProtection="0">
      <alignment vertical="center"/>
    </xf>
    <xf numFmtId="0" fontId="31" fillId="18" borderId="65" applyNumberFormat="0" applyAlignment="0" applyProtection="0">
      <alignment vertical="center"/>
    </xf>
    <xf numFmtId="180" fontId="32" fillId="0" borderId="19">
      <alignment horizontal="center" vertical="center"/>
      <protection locked="0"/>
    </xf>
    <xf numFmtId="0" fontId="25" fillId="23" borderId="0" applyNumberFormat="0" applyBorder="0" applyAlignment="0" applyProtection="0"/>
    <xf numFmtId="0" fontId="35" fillId="12" borderId="0" applyNumberFormat="0" applyBorder="0" applyAlignment="0" applyProtection="0">
      <alignment vertical="center"/>
    </xf>
    <xf numFmtId="9" fontId="87" fillId="0" borderId="0" applyFont="0" applyFill="0" applyBorder="0" applyAlignment="0" applyProtection="0">
      <alignment vertical="center"/>
    </xf>
    <xf numFmtId="0" fontId="36" fillId="24" borderId="0" applyNumberFormat="0" applyBorder="0" applyAlignment="0" applyProtection="0"/>
    <xf numFmtId="0" fontId="30" fillId="12" borderId="0" applyNumberFormat="0" applyBorder="0" applyAlignment="0" applyProtection="0">
      <alignment vertical="center"/>
    </xf>
    <xf numFmtId="0" fontId="14" fillId="0" borderId="0">
      <alignment vertical="center"/>
    </xf>
    <xf numFmtId="9" fontId="24" fillId="0" borderId="0" applyFont="0" applyFill="0" applyBorder="0" applyAlignment="0" applyProtection="0">
      <alignment vertical="center"/>
    </xf>
    <xf numFmtId="9" fontId="1" fillId="0" borderId="0" applyFont="0" applyFill="0" applyBorder="0" applyAlignment="0" applyProtection="0"/>
    <xf numFmtId="0" fontId="21" fillId="0" borderId="0"/>
    <xf numFmtId="0" fontId="23" fillId="0" borderId="0"/>
    <xf numFmtId="0" fontId="25" fillId="25" borderId="0" applyNumberFormat="0" applyBorder="0" applyAlignment="0" applyProtection="0">
      <alignment vertical="center"/>
    </xf>
    <xf numFmtId="0" fontId="39" fillId="0" borderId="0" applyNumberFormat="0" applyFill="0" applyBorder="0" applyAlignment="0" applyProtection="0">
      <alignment vertical="top"/>
      <protection locked="0"/>
    </xf>
    <xf numFmtId="0" fontId="23" fillId="0" borderId="0">
      <alignment vertical="center"/>
    </xf>
    <xf numFmtId="0" fontId="31" fillId="18" borderId="65" applyNumberFormat="0" applyAlignment="0" applyProtection="0"/>
    <xf numFmtId="0" fontId="24" fillId="15" borderId="0" applyNumberFormat="0" applyBorder="0" applyAlignment="0" applyProtection="0">
      <alignment vertical="center"/>
    </xf>
    <xf numFmtId="0" fontId="22" fillId="21" borderId="0" applyNumberFormat="0" applyBorder="0" applyAlignment="0" applyProtection="0">
      <alignment vertical="center"/>
    </xf>
    <xf numFmtId="0" fontId="4" fillId="0" borderId="0"/>
    <xf numFmtId="0" fontId="34" fillId="0" borderId="67" applyNumberFormat="0" applyFill="0" applyAlignment="0" applyProtection="0"/>
    <xf numFmtId="0" fontId="22" fillId="12" borderId="0" applyNumberFormat="0" applyBorder="0" applyAlignment="0" applyProtection="0">
      <alignment vertical="center"/>
    </xf>
    <xf numFmtId="0" fontId="37" fillId="21" borderId="0" applyNumberFormat="0" applyBorder="0" applyAlignment="0" applyProtection="0">
      <alignment vertical="center"/>
    </xf>
    <xf numFmtId="0" fontId="22" fillId="21" borderId="0" applyNumberFormat="0" applyBorder="0" applyAlignment="0" applyProtection="0"/>
    <xf numFmtId="0" fontId="33" fillId="20" borderId="66" applyNumberFormat="0" applyAlignment="0" applyProtection="0">
      <alignment vertical="center"/>
    </xf>
    <xf numFmtId="0" fontId="22" fillId="12" borderId="0" applyNumberFormat="0" applyBorder="0" applyAlignment="0" applyProtection="0"/>
    <xf numFmtId="0" fontId="22" fillId="1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37" fontId="41" fillId="0" borderId="0"/>
    <xf numFmtId="0" fontId="42" fillId="29" borderId="65" applyNumberFormat="0" applyAlignment="0" applyProtection="0">
      <alignment vertical="center"/>
    </xf>
    <xf numFmtId="0" fontId="23" fillId="0" borderId="0">
      <alignment vertical="center"/>
    </xf>
    <xf numFmtId="0" fontId="32" fillId="31" borderId="19">
      <alignment horizontal="center" vertical="center"/>
    </xf>
    <xf numFmtId="0" fontId="44" fillId="32" borderId="0" applyNumberFormat="0" applyBorder="0" applyAlignment="0" applyProtection="0">
      <alignment vertical="center"/>
    </xf>
    <xf numFmtId="0" fontId="34" fillId="0" borderId="67" applyNumberFormat="0" applyFill="0" applyAlignment="0" applyProtection="0">
      <alignment vertical="center"/>
    </xf>
    <xf numFmtId="0" fontId="36" fillId="33" borderId="0" applyNumberFormat="0" applyBorder="0" applyAlignment="0" applyProtection="0">
      <alignment vertical="center"/>
    </xf>
    <xf numFmtId="0" fontId="23" fillId="0" borderId="0"/>
    <xf numFmtId="0" fontId="22" fillId="27" borderId="0" applyNumberFormat="0" applyBorder="0" applyAlignment="0" applyProtection="0"/>
    <xf numFmtId="0" fontId="22" fillId="28" borderId="0" applyNumberFormat="0" applyBorder="0" applyAlignment="0" applyProtection="0"/>
    <xf numFmtId="0" fontId="42" fillId="29" borderId="65" applyNumberFormat="0" applyAlignment="0" applyProtection="0"/>
    <xf numFmtId="0" fontId="23" fillId="0" borderId="0"/>
    <xf numFmtId="0" fontId="23" fillId="0" borderId="0">
      <alignment vertical="center"/>
    </xf>
    <xf numFmtId="0" fontId="45" fillId="0" borderId="68" applyNumberFormat="0" applyFill="0" applyAlignment="0" applyProtection="0">
      <alignment vertical="center"/>
    </xf>
    <xf numFmtId="38" fontId="47" fillId="20" borderId="0" applyNumberFormat="0" applyBorder="0" applyAlignment="0" applyProtection="0"/>
    <xf numFmtId="0" fontId="21" fillId="0" borderId="0">
      <alignment vertical="center"/>
    </xf>
    <xf numFmtId="0" fontId="14" fillId="0" borderId="0">
      <alignment vertical="center"/>
    </xf>
    <xf numFmtId="0" fontId="22" fillId="15" borderId="0" applyNumberFormat="0" applyBorder="0" applyAlignment="0" applyProtection="0">
      <alignment vertical="center"/>
    </xf>
    <xf numFmtId="0" fontId="22" fillId="34" borderId="0" applyNumberFormat="0" applyBorder="0" applyAlignment="0" applyProtection="0"/>
    <xf numFmtId="0" fontId="22" fillId="34" borderId="0" applyNumberFormat="0" applyBorder="0" applyAlignment="0" applyProtection="0">
      <alignment vertical="center"/>
    </xf>
    <xf numFmtId="0" fontId="22" fillId="35" borderId="0" applyNumberFormat="0" applyBorder="0" applyAlignment="0" applyProtection="0"/>
    <xf numFmtId="0" fontId="22" fillId="35" borderId="0" applyNumberFormat="0" applyBorder="0" applyAlignment="0" applyProtection="0">
      <alignment vertical="center"/>
    </xf>
    <xf numFmtId="0" fontId="24" fillId="28" borderId="0" applyNumberFormat="0" applyBorder="0" applyAlignment="0" applyProtection="0">
      <alignment vertical="center"/>
    </xf>
    <xf numFmtId="0" fontId="24" fillId="21" borderId="0" applyNumberFormat="0" applyBorder="0" applyAlignment="0" applyProtection="0">
      <alignment vertical="center"/>
    </xf>
    <xf numFmtId="0" fontId="49" fillId="0" borderId="68" applyNumberFormat="0" applyFill="0" applyAlignment="0" applyProtection="0"/>
    <xf numFmtId="0" fontId="24" fillId="12" borderId="0" applyNumberFormat="0" applyBorder="0" applyAlignment="0" applyProtection="0">
      <alignment vertical="center"/>
    </xf>
    <xf numFmtId="0" fontId="51" fillId="0" borderId="0">
      <alignment vertical="center"/>
    </xf>
    <xf numFmtId="0" fontId="24" fillId="15" borderId="0" applyNumberFormat="0" applyBorder="0" applyAlignment="0" applyProtection="0">
      <alignment vertical="center"/>
    </xf>
    <xf numFmtId="0" fontId="32" fillId="35" borderId="19">
      <alignment horizontal="center" vertical="center"/>
    </xf>
    <xf numFmtId="0" fontId="24" fillId="34" borderId="0" applyNumberFormat="0" applyBorder="0" applyAlignment="0" applyProtection="0">
      <alignment vertical="center"/>
    </xf>
    <xf numFmtId="0" fontId="24" fillId="35" borderId="0" applyNumberFormat="0" applyBorder="0" applyAlignment="0" applyProtection="0">
      <alignment vertical="center"/>
    </xf>
    <xf numFmtId="0" fontId="22" fillId="22" borderId="0" applyNumberFormat="0" applyBorder="0" applyAlignment="0" applyProtection="0"/>
    <xf numFmtId="0" fontId="22" fillId="22" borderId="0" applyNumberFormat="0" applyBorder="0" applyAlignment="0" applyProtection="0">
      <alignment vertical="center"/>
    </xf>
    <xf numFmtId="0" fontId="22" fillId="36" borderId="0" applyNumberFormat="0" applyBorder="0" applyAlignment="0" applyProtection="0"/>
    <xf numFmtId="0" fontId="22" fillId="36" borderId="0" applyNumberFormat="0" applyBorder="0" applyAlignment="0" applyProtection="0">
      <alignment vertical="center"/>
    </xf>
    <xf numFmtId="0" fontId="22" fillId="17" borderId="0" applyNumberFormat="0" applyBorder="0" applyAlignment="0" applyProtection="0"/>
    <xf numFmtId="0" fontId="22" fillId="17" borderId="0" applyNumberFormat="0" applyBorder="0" applyAlignment="0" applyProtection="0">
      <alignment vertical="center"/>
    </xf>
    <xf numFmtId="0" fontId="52" fillId="0" borderId="0" applyNumberFormat="0" applyFill="0" applyBorder="0" applyAlignment="0" applyProtection="0">
      <alignment vertical="top"/>
      <protection locked="0"/>
    </xf>
    <xf numFmtId="184" fontId="53" fillId="0" borderId="0"/>
    <xf numFmtId="0" fontId="22" fillId="15" borderId="0" applyNumberFormat="0" applyBorder="0" applyAlignment="0" applyProtection="0"/>
    <xf numFmtId="0" fontId="54" fillId="0" borderId="0" applyNumberFormat="0" applyFill="0" applyBorder="0" applyAlignment="0" applyProtection="0">
      <alignment vertical="top"/>
      <protection locked="0"/>
    </xf>
    <xf numFmtId="184" fontId="53" fillId="0" borderId="0">
      <alignment vertical="center"/>
    </xf>
    <xf numFmtId="0" fontId="22" fillId="15" borderId="0" applyNumberFormat="0" applyBorder="0" applyAlignment="0" applyProtection="0">
      <alignment vertical="center"/>
    </xf>
    <xf numFmtId="0" fontId="56" fillId="0" borderId="0" applyNumberFormat="0" applyFill="0" applyBorder="0" applyAlignment="0" applyProtection="0">
      <alignment vertical="center"/>
    </xf>
    <xf numFmtId="0" fontId="22" fillId="22" borderId="0" applyNumberFormat="0" applyBorder="0" applyAlignment="0" applyProtection="0"/>
    <xf numFmtId="0" fontId="22" fillId="22" borderId="0" applyNumberFormat="0" applyBorder="0" applyAlignment="0" applyProtection="0">
      <alignment vertical="center"/>
    </xf>
    <xf numFmtId="176" fontId="46" fillId="0" borderId="0" applyFont="0" applyFill="0" applyBorder="0" applyAlignment="0" applyProtection="0"/>
    <xf numFmtId="0" fontId="22" fillId="26" borderId="0" applyNumberFormat="0" applyBorder="0" applyAlignment="0" applyProtection="0"/>
    <xf numFmtId="0" fontId="14" fillId="0" borderId="0">
      <alignment vertical="center"/>
    </xf>
    <xf numFmtId="0" fontId="22" fillId="26" borderId="0" applyNumberFormat="0" applyBorder="0" applyAlignment="0" applyProtection="0">
      <alignment vertical="center"/>
    </xf>
    <xf numFmtId="0" fontId="55" fillId="0" borderId="0"/>
    <xf numFmtId="0" fontId="24" fillId="22" borderId="0" applyNumberFormat="0" applyBorder="0" applyAlignment="0" applyProtection="0">
      <alignment vertical="center"/>
    </xf>
    <xf numFmtId="0" fontId="24" fillId="36" borderId="0" applyNumberFormat="0" applyBorder="0" applyAlignment="0" applyProtection="0">
      <alignment vertical="center"/>
    </xf>
    <xf numFmtId="0" fontId="24" fillId="17"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5" fillId="37" borderId="0" applyNumberFormat="0" applyBorder="0" applyAlignment="0" applyProtection="0"/>
    <xf numFmtId="0" fontId="25" fillId="37" borderId="0" applyNumberFormat="0" applyBorder="0" applyAlignment="0" applyProtection="0">
      <alignment vertical="center"/>
    </xf>
    <xf numFmtId="0" fontId="14" fillId="0" borderId="0"/>
    <xf numFmtId="0" fontId="58" fillId="0" borderId="0" applyNumberFormat="0" applyFill="0" applyBorder="0" applyAlignment="0" applyProtection="0">
      <alignment vertical="center"/>
    </xf>
    <xf numFmtId="0" fontId="25" fillId="36" borderId="0" applyNumberFormat="0" applyBorder="0" applyAlignment="0" applyProtection="0"/>
    <xf numFmtId="0" fontId="14" fillId="0" borderId="0">
      <alignment vertical="center"/>
    </xf>
    <xf numFmtId="0" fontId="25" fillId="36" borderId="0" applyNumberFormat="0" applyBorder="0" applyAlignment="0" applyProtection="0">
      <alignment vertical="center"/>
    </xf>
    <xf numFmtId="0" fontId="14" fillId="0" borderId="0"/>
    <xf numFmtId="0" fontId="25" fillId="17" borderId="0" applyNumberFormat="0" applyBorder="0" applyAlignment="0" applyProtection="0"/>
    <xf numFmtId="0" fontId="14" fillId="0" borderId="0">
      <alignment vertical="center"/>
    </xf>
    <xf numFmtId="0" fontId="59" fillId="38" borderId="0" applyNumberFormat="0" applyBorder="0" applyAlignment="0" applyProtection="0"/>
    <xf numFmtId="0" fontId="25" fillId="17" borderId="0" applyNumberFormat="0" applyBorder="0" applyAlignment="0" applyProtection="0">
      <alignment vertical="center"/>
    </xf>
    <xf numFmtId="0" fontId="14" fillId="0" borderId="0"/>
    <xf numFmtId="0" fontId="25" fillId="39" borderId="0" applyNumberFormat="0" applyBorder="0" applyAlignment="0" applyProtection="0"/>
    <xf numFmtId="0" fontId="14" fillId="0" borderId="0">
      <alignment vertical="center"/>
    </xf>
    <xf numFmtId="0" fontId="25" fillId="39" borderId="0" applyNumberFormat="0" applyBorder="0" applyAlignment="0" applyProtection="0">
      <alignment vertical="center"/>
    </xf>
    <xf numFmtId="0" fontId="61" fillId="39" borderId="0" applyNumberFormat="0" applyBorder="0" applyAlignment="0" applyProtection="0">
      <alignment vertical="center"/>
    </xf>
    <xf numFmtId="0" fontId="24" fillId="0" borderId="0">
      <alignment vertical="center"/>
    </xf>
    <xf numFmtId="0" fontId="25" fillId="40" borderId="0" applyNumberFormat="0" applyBorder="0" applyAlignment="0" applyProtection="0"/>
    <xf numFmtId="0" fontId="25" fillId="40" borderId="0" applyNumberFormat="0" applyBorder="0" applyAlignment="0" applyProtection="0">
      <alignment vertical="center"/>
    </xf>
    <xf numFmtId="0" fontId="51" fillId="0" borderId="0">
      <alignment vertical="center"/>
    </xf>
    <xf numFmtId="0" fontId="25" fillId="41" borderId="0" applyNumberFormat="0" applyBorder="0" applyAlignment="0" applyProtection="0"/>
    <xf numFmtId="0" fontId="25" fillId="41" borderId="0" applyNumberFormat="0" applyBorder="0" applyAlignment="0" applyProtection="0">
      <alignment vertical="center"/>
    </xf>
    <xf numFmtId="0" fontId="34" fillId="0" borderId="0" applyNumberFormat="0" applyFill="0" applyBorder="0" applyAlignment="0" applyProtection="0"/>
    <xf numFmtId="0" fontId="61" fillId="37" borderId="0" applyNumberFormat="0" applyBorder="0" applyAlignment="0" applyProtection="0">
      <alignment vertical="center"/>
    </xf>
    <xf numFmtId="0" fontId="14" fillId="0" borderId="0">
      <alignment vertical="center"/>
    </xf>
    <xf numFmtId="0" fontId="61" fillId="36" borderId="0" applyNumberFormat="0" applyBorder="0" applyAlignment="0" applyProtection="0">
      <alignment vertical="center"/>
    </xf>
    <xf numFmtId="0" fontId="61" fillId="17" borderId="0" applyNumberFormat="0" applyBorder="0" applyAlignment="0" applyProtection="0">
      <alignment vertical="center"/>
    </xf>
    <xf numFmtId="0" fontId="62" fillId="42" borderId="0" applyNumberFormat="0" applyBorder="0" applyAlignment="0" applyProtection="0"/>
    <xf numFmtId="0" fontId="61" fillId="39" borderId="0" applyNumberFormat="0" applyBorder="0" applyAlignment="0" applyProtection="0">
      <alignment vertical="center"/>
    </xf>
    <xf numFmtId="0" fontId="61" fillId="40" borderId="0" applyNumberFormat="0" applyBorder="0" applyAlignment="0" applyProtection="0">
      <alignment vertical="center"/>
    </xf>
    <xf numFmtId="0" fontId="61" fillId="41" borderId="0" applyNumberFormat="0" applyBorder="0" applyAlignment="0" applyProtection="0">
      <alignment vertical="center"/>
    </xf>
    <xf numFmtId="182" fontId="46" fillId="0" borderId="0" applyFont="0" applyFill="0" applyBorder="0" applyAlignment="0" applyProtection="0"/>
    <xf numFmtId="0" fontId="25" fillId="43"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alignment vertical="center"/>
    </xf>
    <xf numFmtId="0" fontId="25" fillId="44" borderId="0" applyNumberFormat="0" applyBorder="0" applyAlignment="0" applyProtection="0"/>
    <xf numFmtId="0" fontId="25" fillId="44" borderId="0" applyNumberFormat="0" applyBorder="0" applyAlignment="0" applyProtection="0">
      <alignment vertical="center"/>
    </xf>
    <xf numFmtId="0" fontId="25" fillId="43" borderId="0" applyNumberFormat="0" applyBorder="0" applyAlignment="0" applyProtection="0">
      <alignment vertical="center"/>
    </xf>
    <xf numFmtId="0" fontId="30" fillId="12" borderId="0" applyNumberFormat="0" applyBorder="0" applyAlignment="0" applyProtection="0">
      <alignment vertical="center"/>
    </xf>
    <xf numFmtId="187" fontId="21" fillId="0" borderId="0">
      <alignment horizontal="justify" vertical="center"/>
    </xf>
    <xf numFmtId="0" fontId="25" fillId="45"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alignment vertical="center"/>
    </xf>
    <xf numFmtId="0" fontId="63" fillId="0" borderId="0" applyNumberFormat="0" applyFill="0" applyBorder="0" applyProtection="0">
      <alignment vertical="center"/>
    </xf>
    <xf numFmtId="0" fontId="25" fillId="23" borderId="0" applyNumberFormat="0" applyBorder="0" applyAlignment="0" applyProtection="0">
      <alignment vertical="center"/>
    </xf>
    <xf numFmtId="0" fontId="30" fillId="12" borderId="0" applyNumberFormat="0" applyBorder="0" applyAlignment="0" applyProtection="0">
      <alignment vertical="center"/>
    </xf>
    <xf numFmtId="0" fontId="25" fillId="45" borderId="0" applyNumberFormat="0" applyBorder="0" applyAlignment="0" applyProtection="0">
      <alignment vertical="center"/>
    </xf>
    <xf numFmtId="0" fontId="25" fillId="46" borderId="0" applyNumberFormat="0" applyBorder="0" applyAlignment="0" applyProtection="0"/>
    <xf numFmtId="0" fontId="25" fillId="23" borderId="0" applyNumberFormat="0" applyBorder="0" applyAlignment="0" applyProtection="0"/>
    <xf numFmtId="0" fontId="25" fillId="47" borderId="0" applyNumberFormat="0" applyBorder="0" applyAlignment="0" applyProtection="0">
      <alignment vertical="center"/>
    </xf>
    <xf numFmtId="0" fontId="22" fillId="19" borderId="0" applyNumberFormat="0" applyBorder="0" applyAlignment="0" applyProtection="0"/>
    <xf numFmtId="0" fontId="22" fillId="19" borderId="0" applyNumberFormat="0" applyBorder="0" applyAlignment="0" applyProtection="0">
      <alignment vertical="center"/>
    </xf>
    <xf numFmtId="0" fontId="22" fillId="30" borderId="0" applyNumberFormat="0" applyBorder="0" applyAlignment="0" applyProtection="0"/>
    <xf numFmtId="0" fontId="22" fillId="30" borderId="0" applyNumberFormat="0" applyBorder="0" applyAlignment="0" applyProtection="0">
      <alignment vertical="center"/>
    </xf>
    <xf numFmtId="0" fontId="36" fillId="24" borderId="0" applyNumberFormat="0" applyBorder="0" applyAlignment="0" applyProtection="0">
      <alignment vertical="center"/>
    </xf>
    <xf numFmtId="0" fontId="25" fillId="16" borderId="0" applyNumberFormat="0" applyBorder="0" applyAlignment="0" applyProtection="0"/>
    <xf numFmtId="0" fontId="25" fillId="16" borderId="0" applyNumberFormat="0" applyBorder="0" applyAlignment="0" applyProtection="0">
      <alignment vertical="center"/>
    </xf>
    <xf numFmtId="0" fontId="25" fillId="23" borderId="0" applyNumberFormat="0" applyBorder="0" applyAlignment="0" applyProtection="0">
      <alignment vertical="center"/>
    </xf>
    <xf numFmtId="0" fontId="25" fillId="43" borderId="0" applyNumberFormat="0" applyBorder="0" applyAlignment="0" applyProtection="0"/>
    <xf numFmtId="9" fontId="14" fillId="0" borderId="0" applyFont="0" applyFill="0" applyBorder="0" applyAlignment="0" applyProtection="0">
      <alignment vertical="center"/>
    </xf>
    <xf numFmtId="0" fontId="22" fillId="27" borderId="0" applyNumberFormat="0" applyBorder="0" applyAlignment="0" applyProtection="0"/>
    <xf numFmtId="0" fontId="22" fillId="27" borderId="0" applyNumberFormat="0" applyBorder="0" applyAlignment="0" applyProtection="0">
      <alignment vertical="center"/>
    </xf>
    <xf numFmtId="0" fontId="22" fillId="16" borderId="0" applyNumberFormat="0" applyBorder="0" applyAlignment="0" applyProtection="0"/>
    <xf numFmtId="0" fontId="14" fillId="0" borderId="0">
      <alignment vertical="center"/>
    </xf>
    <xf numFmtId="0" fontId="22" fillId="18" borderId="0" applyNumberFormat="0" applyBorder="0" applyAlignment="0" applyProtection="0"/>
    <xf numFmtId="0" fontId="22" fillId="16" borderId="0" applyNumberFormat="0" applyBorder="0" applyAlignment="0" applyProtection="0">
      <alignment vertical="center"/>
    </xf>
    <xf numFmtId="0" fontId="25" fillId="16" borderId="0" applyNumberFormat="0" applyBorder="0" applyAlignment="0" applyProtection="0"/>
    <xf numFmtId="0" fontId="25" fillId="16" borderId="0" applyNumberFormat="0" applyBorder="0" applyAlignment="0" applyProtection="0">
      <alignment vertical="center"/>
    </xf>
    <xf numFmtId="0" fontId="25" fillId="25" borderId="0" applyNumberFormat="0" applyBorder="0" applyAlignment="0" applyProtection="0"/>
    <xf numFmtId="0" fontId="25" fillId="43" borderId="0" applyNumberFormat="0" applyBorder="0" applyAlignment="0" applyProtection="0">
      <alignment vertical="center"/>
    </xf>
    <xf numFmtId="0" fontId="25" fillId="47" borderId="0" applyNumberFormat="0" applyBorder="0" applyAlignment="0" applyProtection="0"/>
    <xf numFmtId="0" fontId="22" fillId="48" borderId="0" applyNumberFormat="0" applyBorder="0" applyAlignment="0" applyProtection="0"/>
    <xf numFmtId="0" fontId="22" fillId="48" borderId="0" applyNumberFormat="0" applyBorder="0" applyAlignment="0" applyProtection="0">
      <alignment vertical="center"/>
    </xf>
    <xf numFmtId="0" fontId="22" fillId="27" borderId="0" applyNumberFormat="0" applyBorder="0" applyAlignment="0" applyProtection="0"/>
    <xf numFmtId="0" fontId="28" fillId="0" borderId="0" applyNumberFormat="0" applyFill="0" applyBorder="0" applyAlignment="0" applyProtection="0"/>
    <xf numFmtId="0" fontId="22" fillId="27" borderId="0" applyNumberFormat="0" applyBorder="0" applyAlignment="0" applyProtection="0">
      <alignment vertical="center"/>
    </xf>
    <xf numFmtId="0" fontId="55" fillId="0" borderId="0"/>
    <xf numFmtId="0" fontId="25" fillId="44" borderId="0" applyNumberFormat="0" applyBorder="0" applyAlignment="0" applyProtection="0"/>
    <xf numFmtId="0" fontId="55" fillId="0" borderId="0">
      <alignment vertical="center"/>
    </xf>
    <xf numFmtId="0" fontId="25" fillId="44" borderId="0" applyNumberFormat="0" applyBorder="0" applyAlignment="0" applyProtection="0">
      <alignment vertical="center"/>
    </xf>
    <xf numFmtId="0" fontId="22" fillId="19" borderId="0" applyNumberFormat="0" applyBorder="0" applyAlignment="0" applyProtection="0"/>
    <xf numFmtId="0" fontId="22" fillId="19" borderId="0" applyNumberFormat="0" applyBorder="0" applyAlignment="0" applyProtection="0">
      <alignment vertical="center"/>
    </xf>
    <xf numFmtId="0" fontId="22" fillId="18" borderId="0" applyNumberFormat="0" applyBorder="0" applyAlignment="0" applyProtection="0">
      <alignment vertical="center"/>
    </xf>
    <xf numFmtId="0" fontId="25" fillId="18" borderId="0" applyNumberFormat="0" applyBorder="0" applyAlignment="0" applyProtection="0"/>
    <xf numFmtId="0" fontId="59" fillId="38" borderId="0" applyNumberFormat="0" applyBorder="0" applyAlignment="0" applyProtection="0">
      <alignment vertical="center"/>
    </xf>
    <xf numFmtId="188" fontId="67" fillId="0" borderId="0" applyFill="0" applyBorder="0" applyAlignment="0"/>
    <xf numFmtId="188" fontId="67" fillId="0" borderId="0" applyFill="0" applyBorder="0" applyAlignment="0">
      <alignment vertical="center"/>
    </xf>
    <xf numFmtId="0" fontId="24" fillId="0" borderId="0">
      <alignment vertical="center"/>
    </xf>
    <xf numFmtId="0" fontId="69" fillId="23" borderId="71" applyNumberFormat="0" applyAlignment="0" applyProtection="0"/>
    <xf numFmtId="0" fontId="24" fillId="0" borderId="0">
      <alignment vertical="center"/>
    </xf>
    <xf numFmtId="0" fontId="69" fillId="23" borderId="71" applyNumberFormat="0" applyAlignment="0" applyProtection="0">
      <alignment vertical="center"/>
    </xf>
    <xf numFmtId="0" fontId="36" fillId="33" borderId="0" applyNumberFormat="0" applyBorder="0" applyAlignment="0" applyProtection="0"/>
    <xf numFmtId="0" fontId="36" fillId="49" borderId="0" applyNumberFormat="0" applyBorder="0" applyAlignment="0" applyProtection="0"/>
    <xf numFmtId="0" fontId="36" fillId="49" borderId="0" applyNumberFormat="0" applyBorder="0" applyAlignment="0" applyProtection="0">
      <alignment vertical="center"/>
    </xf>
    <xf numFmtId="0" fontId="61" fillId="50" borderId="0" applyNumberFormat="0" applyBorder="0" applyAlignment="0" applyProtection="0">
      <alignment vertical="center"/>
    </xf>
    <xf numFmtId="0" fontId="71" fillId="0" borderId="0" applyNumberFormat="0" applyFill="0" applyBorder="0" applyAlignment="0" applyProtection="0"/>
    <xf numFmtId="0" fontId="71" fillId="0" borderId="0" applyNumberFormat="0" applyFill="0" applyBorder="0" applyAlignment="0" applyProtection="0">
      <alignment vertical="center"/>
    </xf>
    <xf numFmtId="0" fontId="63" fillId="0" borderId="0" applyNumberFormat="0" applyFill="0" applyBorder="0" applyAlignment="0" applyProtection="0">
      <alignment vertical="top"/>
      <protection locked="0"/>
    </xf>
    <xf numFmtId="0" fontId="14" fillId="0" borderId="0">
      <alignment vertical="center"/>
    </xf>
    <xf numFmtId="0" fontId="43" fillId="30" borderId="0" applyNumberFormat="0" applyBorder="0" applyAlignment="0" applyProtection="0"/>
    <xf numFmtId="0" fontId="43" fillId="30" borderId="0" applyNumberFormat="0" applyBorder="0" applyAlignment="0" applyProtection="0">
      <alignment vertical="center"/>
    </xf>
    <xf numFmtId="38" fontId="47" fillId="20" borderId="0" applyNumberFormat="0" applyBorder="0" applyAlignment="0" applyProtection="0">
      <alignment vertical="center"/>
    </xf>
    <xf numFmtId="187" fontId="21" fillId="0" borderId="0">
      <alignment horizontal="justify"/>
    </xf>
    <xf numFmtId="0" fontId="72" fillId="0" borderId="72" applyNumberFormat="0" applyAlignment="0" applyProtection="0">
      <alignment horizontal="left" vertical="center"/>
    </xf>
    <xf numFmtId="0" fontId="72" fillId="0" borderId="50">
      <alignment horizontal="left" vertical="center"/>
    </xf>
    <xf numFmtId="176" fontId="55" fillId="0" borderId="0" applyFont="0" applyFill="0" applyBorder="0" applyAlignment="0" applyProtection="0"/>
    <xf numFmtId="0" fontId="57" fillId="21" borderId="0" applyNumberFormat="0" applyBorder="0" applyAlignment="0" applyProtection="0">
      <alignment vertical="center"/>
    </xf>
    <xf numFmtId="0" fontId="73" fillId="0" borderId="73" applyNumberFormat="0" applyFill="0" applyAlignment="0" applyProtection="0"/>
    <xf numFmtId="0" fontId="57" fillId="21" borderId="0" applyNumberFormat="0" applyBorder="0" applyAlignment="0" applyProtection="0">
      <alignment vertical="center"/>
    </xf>
    <xf numFmtId="0" fontId="73" fillId="0" borderId="73" applyNumberFormat="0" applyFill="0" applyAlignment="0" applyProtection="0">
      <alignment vertical="center"/>
    </xf>
    <xf numFmtId="0" fontId="49" fillId="0" borderId="68" applyNumberFormat="0" applyFill="0" applyAlignment="0" applyProtection="0">
      <alignment vertical="center"/>
    </xf>
    <xf numFmtId="0" fontId="34" fillId="0" borderId="0" applyNumberFormat="0" applyFill="0" applyBorder="0" applyAlignment="0" applyProtection="0">
      <alignment vertical="center"/>
    </xf>
    <xf numFmtId="10" fontId="47" fillId="51" borderId="19" applyNumberFormat="0" applyBorder="0" applyAlignment="0" applyProtection="0"/>
    <xf numFmtId="10" fontId="47" fillId="51" borderId="19" applyNumberFormat="0" applyBorder="0" applyAlignment="0" applyProtection="0">
      <alignment vertical="center"/>
    </xf>
    <xf numFmtId="0" fontId="31" fillId="18" borderId="65" applyNumberFormat="0" applyAlignment="0" applyProtection="0"/>
    <xf numFmtId="0" fontId="75" fillId="52" borderId="71" applyNumberFormat="0" applyAlignment="0" applyProtection="0">
      <alignment vertical="center"/>
    </xf>
    <xf numFmtId="0" fontId="76" fillId="0" borderId="70" applyNumberFormat="0" applyFill="0" applyAlignment="0" applyProtection="0"/>
    <xf numFmtId="0" fontId="76" fillId="0" borderId="70" applyNumberFormat="0" applyFill="0" applyAlignment="0" applyProtection="0">
      <alignment vertical="center"/>
    </xf>
    <xf numFmtId="38" fontId="64" fillId="0" borderId="0" applyFont="0" applyFill="0" applyBorder="0" applyAlignment="0" applyProtection="0"/>
    <xf numFmtId="0" fontId="77" fillId="21" borderId="0" applyNumberFormat="0" applyBorder="0" applyAlignment="0" applyProtection="0">
      <alignment vertical="center"/>
    </xf>
    <xf numFmtId="40" fontId="64" fillId="0" borderId="0" applyFont="0" applyFill="0" applyBorder="0" applyAlignment="0" applyProtection="0"/>
    <xf numFmtId="0" fontId="29" fillId="0" borderId="0" applyFont="0" applyFill="0" applyBorder="0" applyAlignment="0" applyProtection="0"/>
    <xf numFmtId="189" fontId="55" fillId="0" borderId="0" applyFont="0" applyFill="0" applyBorder="0" applyAlignment="0" applyProtection="0"/>
    <xf numFmtId="0" fontId="29" fillId="0" borderId="0" applyFont="0" applyFill="0" applyBorder="0" applyAlignment="0" applyProtection="0"/>
    <xf numFmtId="0" fontId="62" fillId="42" borderId="0" applyNumberFormat="0" applyBorder="0" applyAlignment="0" applyProtection="0">
      <alignment vertical="center"/>
    </xf>
    <xf numFmtId="0" fontId="68" fillId="0" borderId="0" applyNumberFormat="0" applyFill="0" applyBorder="0" applyAlignment="0" applyProtection="0"/>
    <xf numFmtId="0" fontId="66" fillId="0" borderId="0" applyNumberFormat="0" applyFill="0">
      <alignment horizontal="left" vertical="center"/>
    </xf>
    <xf numFmtId="37" fontId="41" fillId="0" borderId="0">
      <alignment vertical="center"/>
    </xf>
    <xf numFmtId="0" fontId="79" fillId="19" borderId="64" applyNumberFormat="0" applyFont="0" applyAlignment="0" applyProtection="0"/>
    <xf numFmtId="0" fontId="48" fillId="0" borderId="0" applyNumberFormat="0" applyFill="0" applyBorder="0" applyAlignment="0" applyProtection="0">
      <alignment vertical="center"/>
    </xf>
    <xf numFmtId="0" fontId="26" fillId="19" borderId="64" applyNumberFormat="0" applyFont="0" applyAlignment="0" applyProtection="0">
      <alignment vertical="center"/>
    </xf>
    <xf numFmtId="0" fontId="74" fillId="29" borderId="66" applyNumberFormat="0" applyAlignment="0" applyProtection="0"/>
    <xf numFmtId="0" fontId="74" fillId="29" borderId="66" applyNumberFormat="0" applyAlignment="0" applyProtection="0">
      <alignment vertical="center"/>
    </xf>
    <xf numFmtId="10" fontId="55" fillId="0" borderId="0" applyFont="0" applyFill="0" applyBorder="0" applyAlignment="0" applyProtection="0"/>
    <xf numFmtId="10" fontId="55" fillId="0" borderId="0" applyFont="0" applyFill="0" applyBorder="0" applyAlignment="0" applyProtection="0">
      <alignment vertical="center"/>
    </xf>
    <xf numFmtId="0" fontId="28" fillId="0" borderId="0" applyNumberFormat="0" applyFill="0" applyBorder="0" applyAlignment="0" applyProtection="0">
      <alignment vertical="center"/>
    </xf>
    <xf numFmtId="0" fontId="60" fillId="0" borderId="19">
      <alignment horizontal="center"/>
    </xf>
    <xf numFmtId="0" fontId="57" fillId="21" borderId="0" applyNumberFormat="0" applyBorder="0" applyAlignment="0" applyProtection="0">
      <alignment vertical="center"/>
    </xf>
    <xf numFmtId="0" fontId="21" fillId="0" borderId="0"/>
    <xf numFmtId="0" fontId="21" fillId="0" borderId="0">
      <alignment vertical="center"/>
    </xf>
    <xf numFmtId="0" fontId="60" fillId="0" borderId="19">
      <alignment horizontal="center" vertical="center"/>
    </xf>
    <xf numFmtId="0" fontId="60" fillId="0" borderId="0">
      <alignment horizontal="center" vertical="center"/>
    </xf>
    <xf numFmtId="0" fontId="14" fillId="0" borderId="0"/>
    <xf numFmtId="0" fontId="58" fillId="0" borderId="0" applyNumberFormat="0" applyFill="0" applyBorder="0" applyAlignment="0" applyProtection="0"/>
    <xf numFmtId="0" fontId="36" fillId="0" borderId="75" applyNumberFormat="0" applyFill="0" applyAlignment="0" applyProtection="0"/>
    <xf numFmtId="0" fontId="36" fillId="0" borderId="75" applyNumberFormat="0" applyFill="0" applyAlignment="0" applyProtection="0">
      <alignment vertical="center"/>
    </xf>
    <xf numFmtId="0" fontId="68" fillId="0" borderId="0" applyNumberFormat="0" applyFill="0" applyBorder="0" applyAlignment="0" applyProtection="0">
      <alignment vertical="center"/>
    </xf>
    <xf numFmtId="0" fontId="35" fillId="12" borderId="0" applyNumberFormat="0" applyBorder="0" applyAlignment="0" applyProtection="0">
      <alignment vertical="center"/>
    </xf>
    <xf numFmtId="9" fontId="24" fillId="0" borderId="0" applyFont="0" applyFill="0" applyBorder="0" applyAlignment="0" applyProtection="0">
      <alignment vertical="center"/>
    </xf>
    <xf numFmtId="9" fontId="14" fillId="0" borderId="0" applyFont="0" applyFill="0" applyBorder="0" applyAlignment="0" applyProtection="0"/>
    <xf numFmtId="9" fontId="24" fillId="0" borderId="0" applyFont="0" applyFill="0" applyBorder="0" applyAlignment="0" applyProtection="0">
      <alignment vertical="center"/>
    </xf>
    <xf numFmtId="9" fontId="14" fillId="0" borderId="0" applyFont="0" applyFill="0" applyBorder="0" applyAlignment="0" applyProtection="0">
      <alignment vertical="center"/>
    </xf>
    <xf numFmtId="183" fontId="32" fillId="0" borderId="19">
      <alignment horizontal="center" vertical="center" wrapText="1"/>
    </xf>
    <xf numFmtId="187" fontId="55" fillId="0" borderId="0" applyFont="0" applyFill="0" applyBorder="0" applyAlignment="0" applyProtection="0"/>
    <xf numFmtId="179" fontId="55" fillId="0" borderId="0" applyFont="0" applyFill="0" applyBorder="0" applyAlignment="0" applyProtection="0"/>
    <xf numFmtId="0" fontId="57" fillId="21" borderId="0" applyNumberFormat="0" applyBorder="0" applyAlignment="0" applyProtection="0">
      <alignment vertical="center"/>
    </xf>
    <xf numFmtId="0" fontId="50" fillId="0" borderId="69" applyNumberFormat="0" applyFill="0" applyProtection="0">
      <alignment vertical="center"/>
    </xf>
    <xf numFmtId="0" fontId="81" fillId="0" borderId="76" applyNumberFormat="0" applyFill="0" applyAlignment="0" applyProtection="0">
      <alignment vertical="center"/>
    </xf>
    <xf numFmtId="0" fontId="35" fillId="12" borderId="0" applyNumberFormat="0" applyBorder="0" applyAlignment="0" applyProtection="0">
      <alignment vertical="center"/>
    </xf>
    <xf numFmtId="0" fontId="82" fillId="0" borderId="68" applyNumberFormat="0" applyFill="0" applyProtection="0">
      <alignment vertical="center"/>
    </xf>
    <xf numFmtId="0" fontId="70" fillId="0" borderId="77" applyNumberFormat="0" applyFill="0" applyAlignment="0" applyProtection="0">
      <alignment vertical="center"/>
    </xf>
    <xf numFmtId="0" fontId="70" fillId="0" borderId="0" applyNumberFormat="0" applyFill="0" applyBorder="0" applyAlignment="0" applyProtection="0">
      <alignment vertical="center"/>
    </xf>
    <xf numFmtId="0" fontId="79" fillId="0" borderId="0"/>
    <xf numFmtId="0" fontId="83" fillId="0" borderId="0" applyNumberFormat="0" applyFill="0" applyBorder="0" applyAlignment="0" applyProtection="0">
      <alignment vertical="top"/>
      <protection locked="0"/>
    </xf>
    <xf numFmtId="0" fontId="38" fillId="21" borderId="0" applyNumberFormat="0" applyBorder="0" applyAlignment="0" applyProtection="0">
      <alignment vertical="center"/>
    </xf>
    <xf numFmtId="0" fontId="14" fillId="0" borderId="0">
      <alignment vertical="center"/>
    </xf>
    <xf numFmtId="0" fontId="57" fillId="21" borderId="0" applyNumberFormat="0" applyBorder="0" applyAlignment="0" applyProtection="0">
      <alignment vertical="center"/>
    </xf>
    <xf numFmtId="0" fontId="57" fillId="21" borderId="0" applyNumberFormat="0" applyBorder="0" applyAlignment="0" applyProtection="0">
      <alignment vertical="center"/>
    </xf>
    <xf numFmtId="0" fontId="57" fillId="21" borderId="0" applyNumberFormat="0" applyBorder="0" applyAlignment="0" applyProtection="0">
      <alignment vertical="center"/>
    </xf>
    <xf numFmtId="0" fontId="5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7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63" fillId="0" borderId="0" applyNumberFormat="0" applyFill="0" applyBorder="0" applyAlignment="0" applyProtection="0">
      <alignment vertical="top"/>
      <protection locked="0"/>
    </xf>
    <xf numFmtId="0" fontId="37" fillId="21" borderId="0" applyNumberFormat="0" applyBorder="0" applyAlignment="0" applyProtection="0">
      <alignment vertical="center"/>
    </xf>
    <xf numFmtId="0" fontId="4" fillId="0" borderId="0">
      <alignment vertical="center"/>
    </xf>
    <xf numFmtId="0" fontId="40" fillId="12" borderId="0" applyNumberFormat="0" applyBorder="0" applyAlignment="0" applyProtection="0">
      <alignment vertical="center"/>
    </xf>
    <xf numFmtId="0" fontId="14" fillId="0" borderId="0"/>
    <xf numFmtId="0" fontId="14" fillId="0" borderId="0">
      <alignment vertical="center"/>
    </xf>
    <xf numFmtId="0" fontId="14" fillId="0" borderId="0">
      <alignment vertical="center"/>
    </xf>
    <xf numFmtId="0" fontId="1" fillId="0" borderId="0"/>
    <xf numFmtId="0" fontId="14" fillId="0" borderId="0">
      <alignment vertical="center"/>
    </xf>
    <xf numFmtId="0" fontId="14" fillId="0" borderId="0">
      <alignment vertical="center"/>
    </xf>
    <xf numFmtId="0" fontId="14" fillId="0" borderId="0"/>
    <xf numFmtId="0" fontId="14" fillId="0" borderId="0">
      <alignment vertical="center"/>
    </xf>
    <xf numFmtId="0" fontId="24" fillId="0" borderId="0">
      <alignment vertical="center"/>
    </xf>
    <xf numFmtId="189" fontId="46" fillId="0" borderId="0" applyFon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63"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84"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5" fillId="12" borderId="0" applyNumberFormat="0" applyBorder="0" applyAlignment="0" applyProtection="0">
      <alignment vertical="center"/>
    </xf>
    <xf numFmtId="0" fontId="30" fillId="12" borderId="0" applyNumberFormat="0" applyBorder="0" applyAlignment="0" applyProtection="0">
      <alignment vertical="center"/>
    </xf>
    <xf numFmtId="0" fontId="40"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78" fillId="0" borderId="74" applyNumberFormat="0" applyFill="0" applyAlignment="0" applyProtection="0">
      <alignment vertical="center"/>
    </xf>
    <xf numFmtId="0" fontId="80" fillId="0" borderId="0" applyNumberFormat="0" applyFill="0" applyBorder="0" applyAlignment="0" applyProtection="0">
      <alignment vertical="center"/>
    </xf>
    <xf numFmtId="0" fontId="32" fillId="53" borderId="19">
      <alignment horizontal="center" vertical="center"/>
    </xf>
    <xf numFmtId="0" fontId="65" fillId="0" borderId="70" applyNumberFormat="0" applyFill="0" applyAlignment="0" applyProtection="0">
      <alignment vertical="center"/>
    </xf>
    <xf numFmtId="0" fontId="61" fillId="54" borderId="0" applyNumberFormat="0" applyBorder="0" applyAlignment="0" applyProtection="0">
      <alignment vertical="center"/>
    </xf>
    <xf numFmtId="0" fontId="61" fillId="55" borderId="0" applyNumberFormat="0" applyBorder="0" applyAlignment="0" applyProtection="0">
      <alignment vertical="center"/>
    </xf>
    <xf numFmtId="0" fontId="61" fillId="40" borderId="0" applyNumberFormat="0" applyBorder="0" applyAlignment="0" applyProtection="0">
      <alignment vertical="center"/>
    </xf>
    <xf numFmtId="0" fontId="61" fillId="56" borderId="0" applyNumberFormat="0" applyBorder="0" applyAlignment="0" applyProtection="0">
      <alignment vertical="center"/>
    </xf>
    <xf numFmtId="0" fontId="32" fillId="0" borderId="19">
      <alignment vertical="center" wrapText="1"/>
      <protection locked="0"/>
    </xf>
    <xf numFmtId="0" fontId="85" fillId="35" borderId="65" applyNumberFormat="0" applyAlignment="0" applyProtection="0">
      <alignment vertical="center"/>
    </xf>
    <xf numFmtId="0" fontId="32" fillId="51" borderId="19">
      <alignment horizontal="center" vertical="center" wrapText="1"/>
    </xf>
    <xf numFmtId="0" fontId="21" fillId="0" borderId="0"/>
    <xf numFmtId="0" fontId="21" fillId="0" borderId="0">
      <alignment vertical="center"/>
    </xf>
    <xf numFmtId="0" fontId="46" fillId="0" borderId="0"/>
    <xf numFmtId="0" fontId="55" fillId="0" borderId="0"/>
    <xf numFmtId="0" fontId="14" fillId="51" borderId="64" applyNumberFormat="0" applyFont="0" applyAlignment="0" applyProtection="0">
      <alignment vertical="center"/>
    </xf>
    <xf numFmtId="0" fontId="14" fillId="51" borderId="64" applyNumberFormat="0" applyFont="0" applyAlignment="0" applyProtection="0">
      <alignment vertical="center"/>
    </xf>
    <xf numFmtId="0" fontId="1" fillId="51" borderId="64" applyNumberFormat="0" applyFont="0" applyAlignment="0" applyProtection="0">
      <alignment vertical="center"/>
    </xf>
    <xf numFmtId="186" fontId="46" fillId="0" borderId="0" applyFont="0" applyFill="0" applyBorder="0" applyAlignment="0" applyProtection="0"/>
    <xf numFmtId="0" fontId="46" fillId="0" borderId="0"/>
  </cellStyleXfs>
  <cellXfs count="186">
    <xf numFmtId="0" fontId="0" fillId="0" borderId="0" xfId="0"/>
    <xf numFmtId="0" fontId="1" fillId="0" borderId="0" xfId="272"/>
    <xf numFmtId="0" fontId="1" fillId="3" borderId="1" xfId="272" applyFont="1" applyFill="1" applyBorder="1" applyAlignment="1">
      <alignment horizontal="left"/>
    </xf>
    <xf numFmtId="0" fontId="2" fillId="3" borderId="2" xfId="272" applyFont="1" applyFill="1" applyBorder="1" applyAlignment="1">
      <alignment horizontal="center"/>
    </xf>
    <xf numFmtId="0" fontId="3" fillId="2" borderId="0" xfId="272" applyFont="1" applyFill="1" applyAlignment="1">
      <alignment horizontal="center"/>
    </xf>
    <xf numFmtId="0" fontId="1" fillId="2" borderId="0" xfId="272" applyFont="1" applyFill="1" applyAlignment="1">
      <alignment horizontal="left"/>
    </xf>
    <xf numFmtId="0" fontId="4" fillId="2" borderId="0" xfId="272" applyFont="1" applyFill="1" applyAlignment="1">
      <alignment horizontal="center"/>
    </xf>
    <xf numFmtId="0" fontId="5" fillId="2" borderId="0" xfId="272" applyFont="1" applyFill="1" applyAlignment="1">
      <alignment horizontal="left"/>
    </xf>
    <xf numFmtId="0" fontId="4" fillId="2" borderId="3" xfId="272" applyFont="1" applyFill="1" applyBorder="1" applyAlignment="1">
      <alignment horizontal="center"/>
    </xf>
    <xf numFmtId="58" fontId="6" fillId="4" borderId="4" xfId="272" applyNumberFormat="1" applyFont="1" applyFill="1" applyBorder="1" applyAlignment="1">
      <alignment horizontal="center" vertical="center"/>
    </xf>
    <xf numFmtId="178" fontId="7" fillId="5" borderId="6" xfId="109" applyNumberFormat="1" applyFont="1" applyFill="1" applyBorder="1" applyAlignment="1">
      <alignment horizontal="center" vertical="center" wrapText="1"/>
    </xf>
    <xf numFmtId="58" fontId="6" fillId="4" borderId="11" xfId="272" applyNumberFormat="1" applyFont="1" applyFill="1" applyBorder="1" applyAlignment="1">
      <alignment horizontal="center" vertical="center"/>
    </xf>
    <xf numFmtId="58" fontId="6" fillId="4" borderId="13" xfId="272" applyNumberFormat="1" applyFont="1" applyFill="1" applyBorder="1" applyAlignment="1">
      <alignment horizontal="center" vertical="center"/>
    </xf>
    <xf numFmtId="177" fontId="1" fillId="2" borderId="14" xfId="272" applyNumberFormat="1" applyFont="1" applyFill="1" applyBorder="1" applyAlignment="1">
      <alignment horizontal="center" vertical="center"/>
    </xf>
    <xf numFmtId="177" fontId="1" fillId="2" borderId="15" xfId="272" applyNumberFormat="1" applyFont="1" applyFill="1" applyBorder="1" applyAlignment="1">
      <alignment horizontal="center" vertical="center"/>
    </xf>
    <xf numFmtId="177" fontId="1" fillId="2" borderId="16" xfId="272" applyNumberFormat="1" applyFont="1" applyFill="1" applyBorder="1" applyAlignment="1">
      <alignment horizontal="center" vertical="center"/>
    </xf>
    <xf numFmtId="178" fontId="7" fillId="5" borderId="17" xfId="109" applyNumberFormat="1" applyFont="1" applyFill="1" applyBorder="1" applyAlignment="1">
      <alignment horizontal="center" vertical="center" wrapText="1"/>
    </xf>
    <xf numFmtId="178" fontId="1" fillId="2" borderId="18" xfId="272" applyNumberFormat="1" applyFont="1" applyFill="1" applyBorder="1" applyAlignment="1">
      <alignment horizontal="center" vertical="center"/>
    </xf>
    <xf numFmtId="177" fontId="1" fillId="2" borderId="2" xfId="272" applyNumberFormat="1" applyFont="1" applyFill="1" applyBorder="1" applyAlignment="1">
      <alignment horizontal="center" vertical="center"/>
    </xf>
    <xf numFmtId="177" fontId="1" fillId="2" borderId="19" xfId="272" applyNumberFormat="1" applyFont="1" applyFill="1" applyBorder="1" applyAlignment="1">
      <alignment horizontal="center" vertical="center"/>
    </xf>
    <xf numFmtId="177" fontId="1" fillId="2" borderId="1" xfId="272" applyNumberFormat="1" applyFont="1" applyFill="1" applyBorder="1" applyAlignment="1">
      <alignment horizontal="center" vertical="center"/>
    </xf>
    <xf numFmtId="177" fontId="1" fillId="2" borderId="20" xfId="272" applyNumberFormat="1" applyFont="1" applyFill="1" applyBorder="1" applyAlignment="1">
      <alignment horizontal="center" vertical="center"/>
    </xf>
    <xf numFmtId="177" fontId="1" fillId="2" borderId="21" xfId="272" applyNumberFormat="1" applyFont="1" applyFill="1" applyBorder="1" applyAlignment="1">
      <alignment horizontal="center" vertical="center"/>
    </xf>
    <xf numFmtId="177" fontId="1" fillId="2" borderId="22" xfId="272" applyNumberFormat="1" applyFont="1" applyFill="1" applyBorder="1" applyAlignment="1">
      <alignment horizontal="center" vertical="center"/>
    </xf>
    <xf numFmtId="177" fontId="1" fillId="2" borderId="0" xfId="272" applyNumberFormat="1" applyFont="1" applyFill="1" applyBorder="1" applyAlignment="1">
      <alignment horizontal="center" vertical="center"/>
    </xf>
    <xf numFmtId="58" fontId="6" fillId="4" borderId="18" xfId="272" applyNumberFormat="1" applyFont="1" applyFill="1" applyBorder="1" applyAlignment="1">
      <alignment horizontal="center" vertical="center"/>
    </xf>
    <xf numFmtId="177" fontId="1" fillId="6" borderId="12" xfId="272" applyNumberFormat="1" applyFont="1" applyFill="1" applyBorder="1" applyAlignment="1">
      <alignment horizontal="center" vertical="center"/>
    </xf>
    <xf numFmtId="178" fontId="1" fillId="6" borderId="18" xfId="272" applyNumberFormat="1" applyFont="1" applyFill="1" applyBorder="1" applyAlignment="1">
      <alignment horizontal="center" vertical="center"/>
    </xf>
    <xf numFmtId="185" fontId="7" fillId="5" borderId="18" xfId="109" applyNumberFormat="1" applyFont="1" applyFill="1" applyBorder="1" applyAlignment="1">
      <alignment horizontal="center" vertical="center" wrapText="1"/>
    </xf>
    <xf numFmtId="178" fontId="7" fillId="5" borderId="18" xfId="109" applyNumberFormat="1" applyFont="1" applyFill="1" applyBorder="1" applyAlignment="1">
      <alignment horizontal="center" vertical="center" wrapText="1"/>
    </xf>
    <xf numFmtId="177" fontId="1" fillId="2" borderId="18" xfId="272" applyNumberFormat="1" applyFont="1" applyFill="1" applyBorder="1" applyAlignment="1">
      <alignment horizontal="center" vertical="center"/>
    </xf>
    <xf numFmtId="58" fontId="6" fillId="4" borderId="0" xfId="272" applyNumberFormat="1" applyFont="1" applyFill="1" applyBorder="1" applyAlignment="1">
      <alignment horizontal="center" vertical="center"/>
    </xf>
    <xf numFmtId="0" fontId="1" fillId="3" borderId="2" xfId="272" applyFont="1" applyFill="1" applyBorder="1" applyAlignment="1">
      <alignment horizontal="left" vertical="center"/>
    </xf>
    <xf numFmtId="0" fontId="1" fillId="3" borderId="2" xfId="272" applyFont="1" applyFill="1" applyBorder="1" applyAlignment="1">
      <alignment horizontal="center"/>
    </xf>
    <xf numFmtId="0" fontId="4" fillId="2" borderId="0" xfId="272" applyFont="1" applyFill="1" applyBorder="1" applyAlignment="1">
      <alignment horizontal="center"/>
    </xf>
    <xf numFmtId="0" fontId="4" fillId="2" borderId="0" xfId="272" applyFont="1" applyFill="1" applyAlignment="1">
      <alignment horizontal="left"/>
    </xf>
    <xf numFmtId="58" fontId="6" fillId="4" borderId="23" xfId="272" applyNumberFormat="1" applyFont="1" applyFill="1" applyBorder="1" applyAlignment="1">
      <alignment horizontal="center" vertical="center"/>
    </xf>
    <xf numFmtId="178" fontId="7" fillId="5" borderId="24" xfId="109" applyNumberFormat="1" applyFont="1" applyFill="1" applyBorder="1" applyAlignment="1">
      <alignment horizontal="center" vertical="center" wrapText="1"/>
    </xf>
    <xf numFmtId="190" fontId="8" fillId="5" borderId="18" xfId="272" applyNumberFormat="1" applyFont="1" applyFill="1" applyBorder="1" applyAlignment="1">
      <alignment horizontal="center" vertical="center"/>
    </xf>
    <xf numFmtId="0" fontId="1" fillId="0" borderId="18" xfId="272" applyBorder="1" applyAlignment="1">
      <alignment horizontal="center" vertical="center"/>
    </xf>
    <xf numFmtId="178" fontId="7" fillId="7" borderId="18" xfId="109" applyNumberFormat="1" applyFont="1" applyFill="1" applyBorder="1" applyAlignment="1">
      <alignment horizontal="center" vertical="center" wrapText="1"/>
    </xf>
    <xf numFmtId="190" fontId="8" fillId="7" borderId="18" xfId="272" applyNumberFormat="1" applyFont="1" applyFill="1" applyBorder="1" applyAlignment="1">
      <alignment horizontal="center" vertical="center"/>
    </xf>
    <xf numFmtId="178" fontId="7" fillId="5" borderId="0" xfId="109" applyNumberFormat="1" applyFont="1" applyFill="1" applyBorder="1" applyAlignment="1">
      <alignment horizontal="center" vertical="center" wrapText="1"/>
    </xf>
    <xf numFmtId="191" fontId="1" fillId="0" borderId="0" xfId="272" applyNumberFormat="1"/>
    <xf numFmtId="0" fontId="1" fillId="0" borderId="0" xfId="272" applyFont="1" applyFill="1"/>
    <xf numFmtId="0" fontId="5" fillId="0" borderId="0" xfId="272" applyFont="1" applyFill="1"/>
    <xf numFmtId="0" fontId="1" fillId="2" borderId="0" xfId="272" applyFont="1" applyFill="1" applyAlignment="1">
      <alignment horizontal="center"/>
    </xf>
    <xf numFmtId="0" fontId="1" fillId="2" borderId="0" xfId="272" applyFont="1" applyFill="1"/>
    <xf numFmtId="0" fontId="3" fillId="3" borderId="2" xfId="272" applyFont="1" applyFill="1" applyBorder="1" applyAlignment="1">
      <alignment horizontal="center"/>
    </xf>
    <xf numFmtId="0" fontId="6" fillId="4" borderId="31" xfId="272" applyFont="1" applyFill="1" applyBorder="1" applyAlignment="1">
      <alignment horizontal="center" vertical="center"/>
    </xf>
    <xf numFmtId="0" fontId="6" fillId="4" borderId="32" xfId="272" applyFont="1" applyFill="1" applyBorder="1" applyAlignment="1">
      <alignment horizontal="center"/>
    </xf>
    <xf numFmtId="0" fontId="6" fillId="4" borderId="31" xfId="272" applyFont="1" applyFill="1" applyBorder="1"/>
    <xf numFmtId="0" fontId="1" fillId="2" borderId="33" xfId="272" applyFont="1" applyFill="1" applyBorder="1" applyAlignment="1">
      <alignment horizontal="center"/>
    </xf>
    <xf numFmtId="0" fontId="9" fillId="5" borderId="31" xfId="272" applyFont="1" applyFill="1" applyBorder="1" applyAlignment="1">
      <alignment horizontal="right"/>
    </xf>
    <xf numFmtId="0" fontId="6" fillId="9" borderId="32" xfId="272" applyFont="1" applyFill="1" applyBorder="1" applyAlignment="1">
      <alignment horizontal="center"/>
    </xf>
    <xf numFmtId="0" fontId="6" fillId="9" borderId="34" xfId="272" applyFont="1" applyFill="1" applyBorder="1"/>
    <xf numFmtId="0" fontId="6" fillId="9" borderId="31" xfId="272" applyFont="1" applyFill="1" applyBorder="1"/>
    <xf numFmtId="0" fontId="6" fillId="9" borderId="36" xfId="272" applyFont="1" applyFill="1" applyBorder="1" applyAlignment="1">
      <alignment horizontal="center"/>
    </xf>
    <xf numFmtId="0" fontId="6" fillId="9" borderId="37" xfId="272" applyFont="1" applyFill="1" applyBorder="1"/>
    <xf numFmtId="0" fontId="1" fillId="0" borderId="0" xfId="272" applyFont="1" applyFill="1" applyBorder="1" applyAlignment="1">
      <alignment horizontal="center"/>
    </xf>
    <xf numFmtId="0" fontId="1" fillId="0" borderId="0" xfId="272" applyFont="1" applyFill="1" applyBorder="1"/>
    <xf numFmtId="10" fontId="10" fillId="0" borderId="0" xfId="272" applyNumberFormat="1" applyFont="1" applyFill="1" applyBorder="1" applyAlignment="1">
      <alignment horizontal="center"/>
    </xf>
    <xf numFmtId="0" fontId="11" fillId="2" borderId="0" xfId="272" applyFont="1" applyFill="1"/>
    <xf numFmtId="0" fontId="9" fillId="5" borderId="33" xfId="272" applyFont="1" applyFill="1" applyBorder="1" applyAlignment="1">
      <alignment horizontal="right"/>
    </xf>
    <xf numFmtId="0" fontId="6" fillId="4" borderId="33" xfId="272" applyFont="1" applyFill="1" applyBorder="1" applyAlignment="1">
      <alignment horizontal="center" vertical="center"/>
    </xf>
    <xf numFmtId="0" fontId="7" fillId="10" borderId="31" xfId="109" applyFont="1" applyFill="1" applyBorder="1" applyAlignment="1">
      <alignment horizontal="center" vertical="center" wrapText="1"/>
    </xf>
    <xf numFmtId="0" fontId="9" fillId="5" borderId="33" xfId="272" applyFont="1" applyFill="1" applyBorder="1" applyAlignment="1">
      <alignment horizontal="center"/>
    </xf>
    <xf numFmtId="183" fontId="9" fillId="5" borderId="42" xfId="272" applyNumberFormat="1" applyFont="1" applyFill="1" applyBorder="1" applyAlignment="1">
      <alignment horizontal="center"/>
    </xf>
    <xf numFmtId="9" fontId="10" fillId="5" borderId="41" xfId="272" applyNumberFormat="1" applyFont="1" applyFill="1" applyBorder="1" applyAlignment="1">
      <alignment horizontal="center"/>
    </xf>
    <xf numFmtId="0" fontId="9" fillId="5" borderId="31" xfId="272" applyFont="1" applyFill="1" applyBorder="1"/>
    <xf numFmtId="0" fontId="9" fillId="5" borderId="33" xfId="272" applyFont="1" applyFill="1" applyBorder="1"/>
    <xf numFmtId="9" fontId="10" fillId="5" borderId="43" xfId="272" applyNumberFormat="1" applyFont="1" applyFill="1" applyBorder="1" applyAlignment="1">
      <alignment horizontal="center"/>
    </xf>
    <xf numFmtId="10" fontId="1" fillId="2" borderId="0" xfId="272" applyNumberFormat="1" applyFont="1" applyFill="1"/>
    <xf numFmtId="0" fontId="1" fillId="0" borderId="0" xfId="272" applyAlignment="1">
      <alignment vertical="center"/>
    </xf>
    <xf numFmtId="0" fontId="1" fillId="0" borderId="1" xfId="272" applyFont="1" applyBorder="1" applyAlignment="1">
      <alignment vertical="center"/>
    </xf>
    <xf numFmtId="0" fontId="1" fillId="0" borderId="50" xfId="272" applyFont="1" applyBorder="1" applyAlignment="1">
      <alignment vertical="center"/>
    </xf>
    <xf numFmtId="0" fontId="1" fillId="0" borderId="2" xfId="272" applyFont="1" applyBorder="1" applyAlignment="1">
      <alignment vertical="center"/>
    </xf>
    <xf numFmtId="0" fontId="1" fillId="0" borderId="0" xfId="272" applyFont="1" applyBorder="1" applyAlignment="1">
      <alignment horizontal="left" vertical="center"/>
    </xf>
    <xf numFmtId="0" fontId="1" fillId="0" borderId="51" xfId="272" applyFont="1" applyBorder="1" applyAlignment="1">
      <alignment horizontal="left" vertical="center"/>
    </xf>
    <xf numFmtId="0" fontId="1" fillId="0" borderId="52" xfId="272" applyBorder="1"/>
    <xf numFmtId="0" fontId="1" fillId="0" borderId="53" xfId="272" applyBorder="1"/>
    <xf numFmtId="0" fontId="6" fillId="4" borderId="19" xfId="272" applyFont="1" applyFill="1" applyBorder="1" applyAlignment="1">
      <alignment horizontal="center" vertical="center"/>
    </xf>
    <xf numFmtId="0" fontId="1" fillId="0" borderId="19" xfId="272" applyBorder="1" applyAlignment="1">
      <alignment horizontal="center" vertical="center"/>
    </xf>
    <xf numFmtId="9" fontId="1" fillId="5" borderId="19" xfId="9" applyFont="1" applyFill="1" applyBorder="1" applyAlignment="1">
      <alignment horizontal="center" vertical="center"/>
    </xf>
    <xf numFmtId="0" fontId="0" fillId="0" borderId="19" xfId="0" applyBorder="1"/>
    <xf numFmtId="0" fontId="6" fillId="4" borderId="60" xfId="272" applyFont="1" applyFill="1" applyBorder="1" applyAlignment="1">
      <alignment horizontal="center" vertical="center"/>
    </xf>
    <xf numFmtId="0" fontId="8" fillId="5" borderId="61" xfId="272" applyFont="1" applyFill="1" applyBorder="1" applyAlignment="1">
      <alignment horizontal="center" vertical="center"/>
    </xf>
    <xf numFmtId="0" fontId="8" fillId="5" borderId="60" xfId="272" applyFont="1" applyFill="1" applyBorder="1" applyAlignment="1">
      <alignment horizontal="center" vertical="center"/>
    </xf>
    <xf numFmtId="0" fontId="1" fillId="5" borderId="19" xfId="272" applyFill="1" applyBorder="1" applyAlignment="1">
      <alignment horizontal="center" vertical="center"/>
    </xf>
    <xf numFmtId="0" fontId="12" fillId="0" borderId="48" xfId="272" applyFont="1" applyBorder="1" applyAlignment="1">
      <alignment vertical="center"/>
    </xf>
    <xf numFmtId="0" fontId="12" fillId="0" borderId="0" xfId="272" applyFont="1" applyBorder="1" applyAlignment="1">
      <alignment vertical="center"/>
    </xf>
    <xf numFmtId="0" fontId="1" fillId="0" borderId="0" xfId="272" applyFont="1" applyBorder="1" applyAlignment="1">
      <alignment vertical="center"/>
    </xf>
    <xf numFmtId="0" fontId="0" fillId="0" borderId="19" xfId="0" applyBorder="1" applyAlignment="1">
      <alignment vertical="center"/>
    </xf>
    <xf numFmtId="0" fontId="13" fillId="13" borderId="19" xfId="0" applyFont="1" applyFill="1" applyBorder="1" applyAlignment="1">
      <alignment horizontal="center" vertical="center"/>
    </xf>
    <xf numFmtId="0" fontId="14" fillId="0" borderId="15" xfId="0" applyFont="1" applyBorder="1" applyAlignment="1">
      <alignment vertical="center"/>
    </xf>
    <xf numFmtId="0" fontId="1" fillId="2" borderId="19" xfId="0" applyFont="1" applyFill="1" applyBorder="1" applyAlignment="1">
      <alignment horizontal="center"/>
    </xf>
    <xf numFmtId="0" fontId="9" fillId="5" borderId="19" xfId="0" applyFont="1" applyFill="1" applyBorder="1" applyAlignment="1">
      <alignment horizontal="center"/>
    </xf>
    <xf numFmtId="0" fontId="6" fillId="8" borderId="19" xfId="0" applyFont="1" applyFill="1" applyBorder="1" applyAlignment="1">
      <alignment horizontal="center" vertical="center"/>
    </xf>
    <xf numFmtId="0" fontId="6" fillId="14" borderId="19" xfId="0" applyFont="1" applyFill="1" applyBorder="1" applyAlignment="1">
      <alignment horizontal="center"/>
    </xf>
    <xf numFmtId="0" fontId="1" fillId="0" borderId="0" xfId="272" applyAlignment="1">
      <alignment horizontal="center" vertical="center"/>
    </xf>
    <xf numFmtId="0" fontId="16" fillId="0" borderId="19" xfId="272" applyFont="1" applyBorder="1" applyAlignment="1">
      <alignment horizontal="center" vertical="center"/>
    </xf>
    <xf numFmtId="0" fontId="17" fillId="0" borderId="19" xfId="272" applyFont="1" applyBorder="1" applyAlignment="1">
      <alignment horizontal="center" vertical="center"/>
    </xf>
    <xf numFmtId="49" fontId="1" fillId="0" borderId="19" xfId="272" applyNumberFormat="1" applyBorder="1" applyAlignment="1">
      <alignment horizontal="center" vertical="center"/>
    </xf>
    <xf numFmtId="181" fontId="1" fillId="0" borderId="19" xfId="272" applyNumberFormat="1" applyBorder="1" applyAlignment="1">
      <alignment horizontal="center" vertical="center"/>
    </xf>
    <xf numFmtId="0" fontId="1" fillId="0" borderId="19" xfId="272" applyFont="1" applyBorder="1" applyAlignment="1">
      <alignment horizontal="center" vertical="center"/>
    </xf>
    <xf numFmtId="181" fontId="1" fillId="0" borderId="19" xfId="272" applyNumberFormat="1" applyFont="1" applyBorder="1" applyAlignment="1">
      <alignment horizontal="center" vertical="center"/>
    </xf>
    <xf numFmtId="0" fontId="1" fillId="0" borderId="19" xfId="272" applyFont="1" applyBorder="1" applyAlignment="1">
      <alignment horizontal="center" vertical="center" wrapText="1"/>
    </xf>
    <xf numFmtId="0" fontId="19" fillId="0" borderId="19" xfId="272" applyFont="1" applyBorder="1" applyAlignment="1">
      <alignment horizontal="left" vertical="center" wrapText="1"/>
    </xf>
    <xf numFmtId="0" fontId="14" fillId="2" borderId="0" xfId="272" applyFont="1" applyFill="1" applyBorder="1" applyAlignment="1">
      <alignment vertical="center"/>
    </xf>
    <xf numFmtId="0" fontId="14" fillId="2" borderId="0" xfId="272" applyNumberFormat="1" applyFont="1" applyFill="1" applyBorder="1" applyAlignment="1">
      <alignment horizontal="center" vertical="center"/>
    </xf>
    <xf numFmtId="0" fontId="14" fillId="2" borderId="0" xfId="272" applyNumberFormat="1" applyFont="1" applyFill="1" applyBorder="1" applyAlignment="1">
      <alignment vertical="center"/>
    </xf>
    <xf numFmtId="0" fontId="1" fillId="2" borderId="0" xfId="272" applyNumberFormat="1" applyFill="1" applyBorder="1"/>
    <xf numFmtId="0" fontId="14" fillId="2" borderId="0" xfId="272" applyNumberFormat="1" applyFont="1" applyFill="1" applyBorder="1"/>
    <xf numFmtId="0" fontId="14" fillId="2" borderId="0" xfId="272" applyFont="1" applyFill="1" applyBorder="1"/>
    <xf numFmtId="0" fontId="20" fillId="0" borderId="0" xfId="0" applyFont="1"/>
    <xf numFmtId="0" fontId="0" fillId="0" borderId="0" xfId="0" quotePrefix="1"/>
    <xf numFmtId="58" fontId="6" fillId="4" borderId="5" xfId="272" applyNumberFormat="1" applyFont="1" applyFill="1" applyBorder="1" applyAlignment="1">
      <alignment horizontal="center" vertical="center" wrapText="1"/>
    </xf>
    <xf numFmtId="0" fontId="1" fillId="5" borderId="21" xfId="272" applyFill="1" applyBorder="1" applyAlignment="1">
      <alignment horizontal="center" vertical="center"/>
    </xf>
    <xf numFmtId="9" fontId="1" fillId="0" borderId="19" xfId="9" applyFont="1" applyFill="1" applyBorder="1" applyAlignment="1">
      <alignment horizontal="center" vertical="center"/>
    </xf>
    <xf numFmtId="0" fontId="18" fillId="0" borderId="21" xfId="272" applyFont="1" applyBorder="1" applyAlignment="1">
      <alignment horizontal="left" vertical="center" wrapText="1"/>
    </xf>
    <xf numFmtId="0" fontId="18" fillId="0" borderId="63" xfId="272" applyFont="1" applyBorder="1" applyAlignment="1">
      <alignment horizontal="left" vertical="center" wrapText="1"/>
    </xf>
    <xf numFmtId="0" fontId="18" fillId="0" borderId="15" xfId="272" applyFont="1" applyBorder="1" applyAlignment="1">
      <alignment horizontal="left" vertical="center" wrapText="1"/>
    </xf>
    <xf numFmtId="0" fontId="15" fillId="0" borderId="0" xfId="272" applyFont="1" applyAlignment="1">
      <alignment horizontal="center" vertical="center"/>
    </xf>
    <xf numFmtId="0" fontId="1" fillId="0" borderId="19" xfId="272" applyBorder="1" applyAlignment="1">
      <alignment horizontal="center" vertical="center"/>
    </xf>
    <xf numFmtId="0" fontId="1" fillId="0" borderId="19" xfId="272" applyFont="1" applyBorder="1" applyAlignment="1">
      <alignment horizontal="left" vertical="center" wrapText="1"/>
    </xf>
    <xf numFmtId="0" fontId="1" fillId="0" borderId="19" xfId="272" applyBorder="1" applyAlignment="1">
      <alignment horizontal="left" vertical="center" wrapText="1"/>
    </xf>
    <xf numFmtId="0" fontId="14" fillId="0" borderId="1" xfId="0" applyFont="1" applyBorder="1" applyAlignment="1">
      <alignment horizontal="left" vertical="center"/>
    </xf>
    <xf numFmtId="0" fontId="14" fillId="0" borderId="50" xfId="0" applyFont="1" applyBorder="1" applyAlignment="1">
      <alignment horizontal="left" vertical="center"/>
    </xf>
    <xf numFmtId="0" fontId="14" fillId="0" borderId="2" xfId="0" applyFont="1" applyBorder="1" applyAlignment="1">
      <alignment horizontal="left" vertical="center"/>
    </xf>
    <xf numFmtId="0" fontId="1" fillId="0" borderId="19" xfId="0" applyFont="1" applyBorder="1" applyAlignment="1">
      <alignment horizontal="left" vertical="top" wrapText="1"/>
    </xf>
    <xf numFmtId="0" fontId="0" fillId="0" borderId="19" xfId="0" applyBorder="1" applyAlignment="1">
      <alignment vertical="center"/>
    </xf>
    <xf numFmtId="0" fontId="6" fillId="12" borderId="19" xfId="0" applyFont="1" applyFill="1" applyBorder="1" applyAlignment="1">
      <alignment horizontal="center" vertical="center"/>
    </xf>
    <xf numFmtId="0" fontId="11" fillId="0" borderId="19" xfId="0" applyFont="1" applyBorder="1" applyAlignment="1">
      <alignment vertical="center"/>
    </xf>
    <xf numFmtId="0" fontId="13" fillId="13" borderId="1" xfId="0" applyFont="1" applyFill="1" applyBorder="1" applyAlignment="1">
      <alignment horizontal="center" vertical="center"/>
    </xf>
    <xf numFmtId="0" fontId="13" fillId="13" borderId="50" xfId="0" applyFont="1" applyFill="1" applyBorder="1" applyAlignment="1">
      <alignment horizontal="center" vertical="center"/>
    </xf>
    <xf numFmtId="0" fontId="13" fillId="13" borderId="2" xfId="0" applyFont="1" applyFill="1" applyBorder="1" applyAlignment="1">
      <alignment horizontal="center" vertical="center"/>
    </xf>
    <xf numFmtId="0" fontId="12" fillId="0" borderId="22" xfId="272" applyFont="1" applyBorder="1" applyAlignment="1">
      <alignment horizontal="center" vertical="center"/>
    </xf>
    <xf numFmtId="0" fontId="12" fillId="0" borderId="48" xfId="272" applyFont="1" applyBorder="1" applyAlignment="1">
      <alignment horizontal="center" vertical="center"/>
    </xf>
    <xf numFmtId="0" fontId="12" fillId="0" borderId="20" xfId="272" applyFont="1" applyBorder="1" applyAlignment="1">
      <alignment horizontal="center" vertical="center"/>
    </xf>
    <xf numFmtId="0" fontId="12" fillId="0" borderId="16" xfId="272" applyFont="1" applyBorder="1" applyAlignment="1">
      <alignment horizontal="center" vertical="center"/>
    </xf>
    <xf numFmtId="0" fontId="12" fillId="0" borderId="49" xfId="272" applyFont="1" applyBorder="1" applyAlignment="1">
      <alignment horizontal="center" vertical="center"/>
    </xf>
    <xf numFmtId="0" fontId="12" fillId="0" borderId="14" xfId="272" applyFont="1" applyBorder="1" applyAlignment="1">
      <alignment horizontal="center" vertical="center"/>
    </xf>
    <xf numFmtId="0" fontId="6" fillId="0" borderId="1" xfId="272" applyFont="1" applyBorder="1" applyAlignment="1">
      <alignment horizontal="left" vertical="top"/>
    </xf>
    <xf numFmtId="0" fontId="6" fillId="0" borderId="50" xfId="272" applyFont="1" applyBorder="1" applyAlignment="1">
      <alignment horizontal="left" vertical="top"/>
    </xf>
    <xf numFmtId="0" fontId="6" fillId="0" borderId="2" xfId="272" applyFont="1" applyBorder="1" applyAlignment="1">
      <alignment horizontal="left" vertical="top"/>
    </xf>
    <xf numFmtId="0" fontId="1" fillId="0" borderId="62" xfId="272" applyBorder="1" applyAlignment="1">
      <alignment horizontal="center"/>
    </xf>
    <xf numFmtId="58" fontId="6" fillId="4" borderId="54" xfId="272" applyNumberFormat="1" applyFont="1" applyFill="1" applyBorder="1" applyAlignment="1">
      <alignment horizontal="center" vertical="center" wrapText="1"/>
    </xf>
    <xf numFmtId="58" fontId="6" fillId="4" borderId="56" xfId="272" applyNumberFormat="1" applyFont="1" applyFill="1" applyBorder="1" applyAlignment="1">
      <alignment horizontal="center" vertical="center" wrapText="1"/>
    </xf>
    <xf numFmtId="0" fontId="6" fillId="4" borderId="57" xfId="272" applyFont="1" applyFill="1" applyBorder="1" applyAlignment="1">
      <alignment horizontal="center" vertical="center" wrapText="1"/>
    </xf>
    <xf numFmtId="0" fontId="6" fillId="4" borderId="58" xfId="272" applyFont="1" applyFill="1" applyBorder="1" applyAlignment="1">
      <alignment horizontal="center" vertical="center" wrapText="1"/>
    </xf>
    <xf numFmtId="0" fontId="6" fillId="4" borderId="59" xfId="272" applyFont="1" applyFill="1" applyBorder="1" applyAlignment="1">
      <alignment horizontal="center" vertical="center" wrapText="1"/>
    </xf>
    <xf numFmtId="58" fontId="6" fillId="4" borderId="55" xfId="272" applyNumberFormat="1" applyFont="1" applyFill="1" applyBorder="1" applyAlignment="1">
      <alignment horizontal="center" vertical="center" wrapText="1"/>
    </xf>
    <xf numFmtId="58" fontId="6" fillId="4" borderId="15" xfId="272" applyNumberFormat="1" applyFont="1" applyFill="1" applyBorder="1" applyAlignment="1">
      <alignment horizontal="center" vertical="center" wrapText="1"/>
    </xf>
    <xf numFmtId="183" fontId="9" fillId="11" borderId="34" xfId="272" applyNumberFormat="1" applyFont="1" applyFill="1" applyBorder="1" applyAlignment="1">
      <alignment horizontal="center" vertical="center"/>
    </xf>
    <xf numFmtId="183" fontId="9" fillId="11" borderId="45" xfId="272" applyNumberFormat="1" applyFont="1" applyFill="1" applyBorder="1" applyAlignment="1">
      <alignment horizontal="center" vertical="center"/>
    </xf>
    <xf numFmtId="183" fontId="9" fillId="11" borderId="46" xfId="272" applyNumberFormat="1" applyFont="1" applyFill="1" applyBorder="1" applyAlignment="1">
      <alignment horizontal="center" vertical="center"/>
    </xf>
    <xf numFmtId="0" fontId="6" fillId="9" borderId="40" xfId="272" applyFont="1" applyFill="1" applyBorder="1" applyAlignment="1">
      <alignment horizontal="center" vertical="center" wrapText="1"/>
    </xf>
    <xf numFmtId="0" fontId="6" fillId="9" borderId="41" xfId="272" applyFont="1" applyFill="1" applyBorder="1" applyAlignment="1">
      <alignment horizontal="center" vertical="center" wrapText="1"/>
    </xf>
    <xf numFmtId="0" fontId="1" fillId="0" borderId="44" xfId="272" applyFont="1" applyFill="1" applyBorder="1" applyAlignment="1">
      <alignment horizontal="center" vertical="center"/>
    </xf>
    <xf numFmtId="0" fontId="1" fillId="0" borderId="43" xfId="272" applyFont="1" applyFill="1" applyBorder="1" applyAlignment="1">
      <alignment horizontal="center" vertical="center"/>
    </xf>
    <xf numFmtId="0" fontId="1" fillId="0" borderId="47" xfId="272" applyFont="1" applyFill="1" applyBorder="1" applyAlignment="1">
      <alignment horizontal="center" vertical="center"/>
    </xf>
    <xf numFmtId="10" fontId="10" fillId="5" borderId="33" xfId="272" applyNumberFormat="1" applyFont="1" applyFill="1" applyBorder="1" applyAlignment="1">
      <alignment horizontal="center"/>
    </xf>
    <xf numFmtId="10" fontId="10" fillId="5" borderId="35" xfId="272" applyNumberFormat="1" applyFont="1" applyFill="1" applyBorder="1" applyAlignment="1">
      <alignment horizontal="center"/>
    </xf>
    <xf numFmtId="10" fontId="10" fillId="5" borderId="38" xfId="272" applyNumberFormat="1" applyFont="1" applyFill="1" applyBorder="1" applyAlignment="1">
      <alignment horizontal="center"/>
    </xf>
    <xf numFmtId="10" fontId="10" fillId="5" borderId="39" xfId="272" applyNumberFormat="1" applyFont="1" applyFill="1" applyBorder="1" applyAlignment="1">
      <alignment horizontal="center"/>
    </xf>
    <xf numFmtId="183" fontId="9" fillId="5" borderId="33" xfId="272" applyNumberFormat="1" applyFont="1" applyFill="1" applyBorder="1" applyAlignment="1">
      <alignment horizontal="center"/>
    </xf>
    <xf numFmtId="183" fontId="9" fillId="5" borderId="35" xfId="272" applyNumberFormat="1" applyFont="1" applyFill="1" applyBorder="1" applyAlignment="1">
      <alignment horizontal="center"/>
    </xf>
    <xf numFmtId="10" fontId="10" fillId="11" borderId="33" xfId="272" applyNumberFormat="1" applyFont="1" applyFill="1" applyBorder="1" applyAlignment="1">
      <alignment horizontal="center"/>
    </xf>
    <xf numFmtId="10" fontId="10" fillId="11" borderId="35" xfId="272" applyNumberFormat="1" applyFont="1" applyFill="1" applyBorder="1" applyAlignment="1">
      <alignment horizontal="center"/>
    </xf>
    <xf numFmtId="0" fontId="2" fillId="2" borderId="0" xfId="272" applyFont="1" applyFill="1" applyAlignment="1">
      <alignment horizontal="center"/>
    </xf>
    <xf numFmtId="0" fontId="6" fillId="4" borderId="27" xfId="272" applyFont="1" applyFill="1" applyBorder="1" applyAlignment="1">
      <alignment horizontal="center" vertical="center"/>
    </xf>
    <xf numFmtId="0" fontId="6" fillId="4" borderId="28" xfId="272" applyFont="1" applyFill="1" applyBorder="1" applyAlignment="1">
      <alignment horizontal="center" vertical="center"/>
    </xf>
    <xf numFmtId="0" fontId="4" fillId="0" borderId="25" xfId="272" applyFont="1" applyFill="1" applyBorder="1" applyAlignment="1">
      <alignment horizontal="center" vertical="center"/>
    </xf>
    <xf numFmtId="0" fontId="4" fillId="0" borderId="29" xfId="272" applyFont="1" applyFill="1" applyBorder="1" applyAlignment="1">
      <alignment horizontal="center" vertical="center"/>
    </xf>
    <xf numFmtId="0" fontId="6" fillId="8" borderId="26" xfId="272" applyFont="1" applyFill="1" applyBorder="1" applyAlignment="1">
      <alignment horizontal="center" vertical="center"/>
    </xf>
    <xf numFmtId="0" fontId="6" fillId="8" borderId="30" xfId="272" applyFont="1" applyFill="1" applyBorder="1" applyAlignment="1">
      <alignment horizontal="center" vertical="center"/>
    </xf>
    <xf numFmtId="0" fontId="6" fillId="9" borderId="26" xfId="272" applyFont="1" applyFill="1" applyBorder="1" applyAlignment="1">
      <alignment horizontal="center" vertical="center" wrapText="1"/>
    </xf>
    <xf numFmtId="0" fontId="6" fillId="9" borderId="30" xfId="272" applyFont="1" applyFill="1" applyBorder="1" applyAlignment="1">
      <alignment horizontal="center" vertical="center" wrapText="1"/>
    </xf>
    <xf numFmtId="58" fontId="6" fillId="4" borderId="11" xfId="272" applyNumberFormat="1" applyFont="1" applyFill="1" applyBorder="1" applyAlignment="1">
      <alignment horizontal="center" vertical="center"/>
    </xf>
    <xf numFmtId="58" fontId="6" fillId="4" borderId="12" xfId="272" applyNumberFormat="1" applyFont="1" applyFill="1" applyBorder="1" applyAlignment="1">
      <alignment horizontal="center" vertical="center"/>
    </xf>
    <xf numFmtId="58" fontId="6" fillId="4" borderId="8" xfId="272" applyNumberFormat="1" applyFont="1" applyFill="1" applyBorder="1" applyAlignment="1">
      <alignment horizontal="center" vertical="center"/>
    </xf>
    <xf numFmtId="58" fontId="6" fillId="4" borderId="9" xfId="272" applyNumberFormat="1" applyFont="1" applyFill="1" applyBorder="1" applyAlignment="1">
      <alignment horizontal="center" vertical="center"/>
    </xf>
    <xf numFmtId="58" fontId="6" fillId="4" borderId="10" xfId="272" applyNumberFormat="1" applyFont="1" applyFill="1" applyBorder="1" applyAlignment="1">
      <alignment horizontal="center" vertical="center"/>
    </xf>
    <xf numFmtId="58" fontId="6" fillId="4" borderId="7" xfId="272" applyNumberFormat="1" applyFont="1" applyFill="1" applyBorder="1" applyAlignment="1">
      <alignment horizontal="center" vertical="center"/>
    </xf>
    <xf numFmtId="58" fontId="6" fillId="4" borderId="11" xfId="272" applyNumberFormat="1" applyFont="1" applyFill="1" applyBorder="1" applyAlignment="1">
      <alignment horizontal="center" vertical="center" wrapText="1"/>
    </xf>
    <xf numFmtId="58" fontId="6" fillId="4" borderId="12" xfId="272" applyNumberFormat="1" applyFont="1" applyFill="1" applyBorder="1" applyAlignment="1">
      <alignment horizontal="center" vertical="center" wrapText="1"/>
    </xf>
  </cellXfs>
  <cellStyles count="318">
    <cellStyle name="_Yanlian-CRS-CMMI ML4-SERVICE PLAN_20080408" xfId="40"/>
    <cellStyle name="_Yanlian-CRS-CMMI ML4-SERVICE PLAN_20080408 2" xfId="19"/>
    <cellStyle name="_项目度量管理模版323" xfId="44"/>
    <cellStyle name="_项目度量管理模版323 2" xfId="35"/>
    <cellStyle name="_项目预算模板(成本)" xfId="16"/>
    <cellStyle name="_项目预算模板(成本) 2" xfId="45"/>
    <cellStyle name="0,0_x000d__x000a_NA_x000d__x000a_" xfId="15"/>
    <cellStyle name="0,0_x000d__x000a_NA_x000d__x000a_ 2" xfId="48"/>
    <cellStyle name="20% - Accent1" xfId="42"/>
    <cellStyle name="20% - Accent1 2" xfId="32"/>
    <cellStyle name="20% - Accent2" xfId="27"/>
    <cellStyle name="20% - Accent2 2" xfId="22"/>
    <cellStyle name="20% - Accent3" xfId="29"/>
    <cellStyle name="20% - Accent3 2" xfId="25"/>
    <cellStyle name="20% - Accent4" xfId="3"/>
    <cellStyle name="20% - Accent4 2" xfId="50"/>
    <cellStyle name="20% - Accent5" xfId="51"/>
    <cellStyle name="20% - Accent5 2" xfId="52"/>
    <cellStyle name="20% - Accent6" xfId="53"/>
    <cellStyle name="20% - Accent6 2" xfId="54"/>
    <cellStyle name="20% - 强调文字颜色 1 2" xfId="55"/>
    <cellStyle name="20% - 强调文字颜色 2 2" xfId="56"/>
    <cellStyle name="20% - 强调文字颜色 3 2" xfId="58"/>
    <cellStyle name="20% - 强调文字颜色 4 2" xfId="60"/>
    <cellStyle name="20% - 强调文字颜色 5 2" xfId="62"/>
    <cellStyle name="20% - 强调文字颜色 6 2" xfId="63"/>
    <cellStyle name="40% - Accent1" xfId="64"/>
    <cellStyle name="40% - Accent1 2" xfId="65"/>
    <cellStyle name="40% - Accent2" xfId="66"/>
    <cellStyle name="40% - Accent2 2" xfId="67"/>
    <cellStyle name="40% - Accent3" xfId="68"/>
    <cellStyle name="40% - Accent3 2" xfId="69"/>
    <cellStyle name="40% - Accent4" xfId="72"/>
    <cellStyle name="40% - Accent4 2" xfId="75"/>
    <cellStyle name="40% - Accent5" xfId="77"/>
    <cellStyle name="40% - Accent5 2" xfId="78"/>
    <cellStyle name="40% - Accent6" xfId="80"/>
    <cellStyle name="40% - Accent6 2" xfId="82"/>
    <cellStyle name="40% - 强调文字颜色 1 2" xfId="84"/>
    <cellStyle name="40% - 强调文字颜色 2 2" xfId="85"/>
    <cellStyle name="40% - 强调文字颜色 3 2" xfId="86"/>
    <cellStyle name="40% - 强调文字颜色 4 2" xfId="21"/>
    <cellStyle name="40% - 强调文字颜色 5 2" xfId="87"/>
    <cellStyle name="40% - 强调文字颜色 6 2" xfId="88"/>
    <cellStyle name="60% - Accent1" xfId="89"/>
    <cellStyle name="60% - Accent1 2" xfId="90"/>
    <cellStyle name="60% - Accent2" xfId="93"/>
    <cellStyle name="60% - Accent2 2" xfId="95"/>
    <cellStyle name="60% - Accent3" xfId="97"/>
    <cellStyle name="60% - Accent3 2" xfId="100"/>
    <cellStyle name="60% - Accent4" xfId="102"/>
    <cellStyle name="60% - Accent4 2" xfId="104"/>
    <cellStyle name="60% - Accent5" xfId="107"/>
    <cellStyle name="60% - Accent5 2" xfId="108"/>
    <cellStyle name="60% - Accent6" xfId="110"/>
    <cellStyle name="60% - Accent6 2" xfId="111"/>
    <cellStyle name="60% - 强调文字颜色 1 2" xfId="113"/>
    <cellStyle name="60% - 强调文字颜色 2 2" xfId="115"/>
    <cellStyle name="60% - 强调文字颜色 3 2" xfId="116"/>
    <cellStyle name="60% - 强调文字颜色 4 2" xfId="118"/>
    <cellStyle name="60% - 强调文字颜色 5 2" xfId="119"/>
    <cellStyle name="60% - 强调文字颜色 6 2" xfId="120"/>
    <cellStyle name="Accent1" xfId="122"/>
    <cellStyle name="Accent1 - 20%" xfId="41"/>
    <cellStyle name="Accent1 - 20% 2" xfId="31"/>
    <cellStyle name="Accent1 - 40%" xfId="123"/>
    <cellStyle name="Accent1 - 40% 2" xfId="124"/>
    <cellStyle name="Accent1 - 60%" xfId="125"/>
    <cellStyle name="Accent1 - 60% 2" xfId="126"/>
    <cellStyle name="Accent1 2" xfId="127"/>
    <cellStyle name="Accent2" xfId="130"/>
    <cellStyle name="Accent2 - 20%" xfId="131"/>
    <cellStyle name="Accent2 - 20% 2" xfId="132"/>
    <cellStyle name="Accent2 - 40%" xfId="1"/>
    <cellStyle name="Accent2 - 40% 2" xfId="30"/>
    <cellStyle name="Accent2 - 60%" xfId="7"/>
    <cellStyle name="Accent2 - 60% 2" xfId="134"/>
    <cellStyle name="Accent2 2" xfId="136"/>
    <cellStyle name="Accent2 3" xfId="137"/>
    <cellStyle name="Accent3" xfId="138"/>
    <cellStyle name="Accent3 - 20%" xfId="140"/>
    <cellStyle name="Accent3 - 20% 2" xfId="141"/>
    <cellStyle name="Accent3 - 40%" xfId="142"/>
    <cellStyle name="Accent3 - 40% 2" xfId="143"/>
    <cellStyle name="Accent3 - 60%" xfId="145"/>
    <cellStyle name="Accent3 - 60% 2" xfId="146"/>
    <cellStyle name="Accent3 2" xfId="147"/>
    <cellStyle name="Accent4" xfId="148"/>
    <cellStyle name="Accent4 - 20%" xfId="150"/>
    <cellStyle name="Accent4 - 20% 2" xfId="151"/>
    <cellStyle name="Accent4 - 40%" xfId="152"/>
    <cellStyle name="Accent4 - 40% 2" xfId="155"/>
    <cellStyle name="Accent4 - 60%" xfId="156"/>
    <cellStyle name="Accent4 - 60% 2" xfId="157"/>
    <cellStyle name="Accent4 2" xfId="159"/>
    <cellStyle name="Accent5" xfId="160"/>
    <cellStyle name="Accent5 - 20%" xfId="161"/>
    <cellStyle name="Accent5 - 20% 2" xfId="162"/>
    <cellStyle name="Accent5 - 40%" xfId="163"/>
    <cellStyle name="Accent5 - 40% 2" xfId="165"/>
    <cellStyle name="Accent5 - 60%" xfId="167"/>
    <cellStyle name="Accent5 - 60% 2" xfId="169"/>
    <cellStyle name="Accent5 2" xfId="139"/>
    <cellStyle name="Accent6" xfId="158"/>
    <cellStyle name="Accent6 - 20%" xfId="170"/>
    <cellStyle name="Accent6 - 20% 2" xfId="171"/>
    <cellStyle name="Accent6 - 40%" xfId="154"/>
    <cellStyle name="Accent6 - 40% 2" xfId="172"/>
    <cellStyle name="Accent6 - 60%" xfId="173"/>
    <cellStyle name="Accent6 - 60% 2" xfId="2"/>
    <cellStyle name="Accent6 2" xfId="17"/>
    <cellStyle name="Bad" xfId="99"/>
    <cellStyle name="Bad 2" xfId="174"/>
    <cellStyle name="Calc Currency (0)" xfId="175"/>
    <cellStyle name="Calc Currency (0) 2" xfId="176"/>
    <cellStyle name="Calculation" xfId="43"/>
    <cellStyle name="Calculation 2" xfId="34"/>
    <cellStyle name="Check Cell" xfId="178"/>
    <cellStyle name="Check Cell 2" xfId="180"/>
    <cellStyle name="Emphasis 1" xfId="10"/>
    <cellStyle name="Emphasis 1 2" xfId="144"/>
    <cellStyle name="Emphasis 2" xfId="181"/>
    <cellStyle name="Emphasis 2 2" xfId="39"/>
    <cellStyle name="Emphasis 3" xfId="182"/>
    <cellStyle name="Emphasis 3 2" xfId="183"/>
    <cellStyle name="Explanatory Text" xfId="185"/>
    <cellStyle name="Explanatory Text 2" xfId="186"/>
    <cellStyle name="Good" xfId="189"/>
    <cellStyle name="Good 2" xfId="190"/>
    <cellStyle name="Grey" xfId="47"/>
    <cellStyle name="Grey 2" xfId="191"/>
    <cellStyle name="Header1" xfId="193"/>
    <cellStyle name="Header2" xfId="194"/>
    <cellStyle name="Heading 1" xfId="197"/>
    <cellStyle name="Heading 1 2" xfId="199"/>
    <cellStyle name="Heading 2" xfId="57"/>
    <cellStyle name="Heading 2 2" xfId="200"/>
    <cellStyle name="Heading 3" xfId="24"/>
    <cellStyle name="Heading 3 2" xfId="38"/>
    <cellStyle name="Heading 4" xfId="112"/>
    <cellStyle name="Heading 4 2" xfId="201"/>
    <cellStyle name="Input" xfId="20"/>
    <cellStyle name="Input [yellow]" xfId="202"/>
    <cellStyle name="Input [yellow] 2" xfId="203"/>
    <cellStyle name="Input 2" xfId="5"/>
    <cellStyle name="Input_2011年佰钧成组织度量数据表-提交" xfId="204"/>
    <cellStyle name="Linked Cell" xfId="206"/>
    <cellStyle name="Linked Cell 2" xfId="207"/>
    <cellStyle name="LISAM" xfId="192"/>
    <cellStyle name="LISAM 2" xfId="129"/>
    <cellStyle name="Milliers [0]_1" xfId="208"/>
    <cellStyle name="Milliers_1" xfId="210"/>
    <cellStyle name="Mon閠aire [0]_1OP" xfId="211"/>
    <cellStyle name="Mon閠aire_10]" xfId="213"/>
    <cellStyle name="Neutral" xfId="117"/>
    <cellStyle name="Neutral 2" xfId="214"/>
    <cellStyle name="no dec" xfId="33"/>
    <cellStyle name="no dec 2" xfId="217"/>
    <cellStyle name="Normal - Style1" xfId="71"/>
    <cellStyle name="Normal - Style1 2" xfId="74"/>
    <cellStyle name="Normal_#18-Internet" xfId="83"/>
    <cellStyle name="Note" xfId="218"/>
    <cellStyle name="Note 2" xfId="220"/>
    <cellStyle name="Output" xfId="221"/>
    <cellStyle name="Output 2" xfId="222"/>
    <cellStyle name="Percent [2]" xfId="223"/>
    <cellStyle name="Percent [2] 2" xfId="224"/>
    <cellStyle name="Sheet Title" xfId="164"/>
    <cellStyle name="Sheet Title 2" xfId="225"/>
    <cellStyle name="style" xfId="226"/>
    <cellStyle name="Style 1" xfId="228"/>
    <cellStyle name="Style 1 2" xfId="229"/>
    <cellStyle name="style 2" xfId="230"/>
    <cellStyle name="style1" xfId="231"/>
    <cellStyle name="style2" xfId="216"/>
    <cellStyle name="Title" xfId="233"/>
    <cellStyle name="Title 2" xfId="92"/>
    <cellStyle name="Total" xfId="234"/>
    <cellStyle name="Total 2" xfId="235"/>
    <cellStyle name="Warning Text" xfId="215"/>
    <cellStyle name="Warning Text 2" xfId="236"/>
    <cellStyle name="ハイパーリンク" xfId="70"/>
    <cellStyle name="ハイパーリンク 2" xfId="73"/>
    <cellStyle name="百分比" xfId="9" builtinId="5"/>
    <cellStyle name="百分比 2" xfId="238"/>
    <cellStyle name="百分比 2 2" xfId="239"/>
    <cellStyle name="百分比 2 2 2" xfId="149"/>
    <cellStyle name="百分比 2 3" xfId="240"/>
    <cellStyle name="百分比 3" xfId="241"/>
    <cellStyle name="百分比 4" xfId="13"/>
    <cellStyle name="百分比 5" xfId="14"/>
    <cellStyle name="版本" xfId="242"/>
    <cellStyle name="捠壿 [0.00]_1997 Turns杮" xfId="243"/>
    <cellStyle name="捠壿_1997 Turns7 Tu" xfId="244"/>
    <cellStyle name="标题 1 1" xfId="246"/>
    <cellStyle name="标题 1 2" xfId="247"/>
    <cellStyle name="标题 2 1" xfId="249"/>
    <cellStyle name="标题 2 2" xfId="46"/>
    <cellStyle name="标题 3 2" xfId="250"/>
    <cellStyle name="标题 4 2" xfId="251"/>
    <cellStyle name="标题 5" xfId="219"/>
    <cellStyle name="標準_22_画面設計書" xfId="252"/>
    <cellStyle name="表示済みのハイパーリンク" xfId="253"/>
    <cellStyle name="表示済みのハイパーリンク 2" xfId="18"/>
    <cellStyle name="差 2" xfId="254"/>
    <cellStyle name="差_CIENET-CRS-CMMI ML5-SERVICE PLAN_20071027" xfId="256"/>
    <cellStyle name="差_CIENET-CRS-CMMI ML5-SERVICE PLAN_20071027 2" xfId="257"/>
    <cellStyle name="差_CIENET-CRS-CMMI ML5-SERVICE PLAN_20071209" xfId="258"/>
    <cellStyle name="差_CIENET-CRS-CMMI ML5-SERVICE PLAN_20071209 2" xfId="227"/>
    <cellStyle name="差_MySoft-CRS-CMMI ML3-ServicePlan-20080118" xfId="196"/>
    <cellStyle name="差_MySoft-CRS-CMMI ML3-ServicePlan-20080118 2" xfId="198"/>
    <cellStyle name="差_NEWYULONG-CRS-CMMI ML5-SERVICE PLAN_20071125" xfId="245"/>
    <cellStyle name="差_NEWYULONG-CRS-CMMI ML5-SERVICE PLAN_20071125 2" xfId="259"/>
    <cellStyle name="差_PROJ-04-T02C 项目里程碑报告" xfId="260"/>
    <cellStyle name="差_PROJ-04-T02C 项目里程碑报告 2" xfId="261"/>
    <cellStyle name="差_REF-TEMP-PMC-项目周报" xfId="262"/>
    <cellStyle name="差_REF-TEMP-PMC-项目周报 2" xfId="209"/>
    <cellStyle name="差_YD_OPM_STANDARD_OSSP过程文档体系文件编写规范_样式" xfId="263"/>
    <cellStyle name="差_YD_OPM_STANDARD_OSSP过程文档体系文件编写规范_样式 2" xfId="264"/>
    <cellStyle name="差_决策分析" xfId="266"/>
    <cellStyle name="差_决策分析 2" xfId="26"/>
    <cellStyle name="常规" xfId="0" builtinId="0"/>
    <cellStyle name="常规 10" xfId="188"/>
    <cellStyle name="常规 11" xfId="267"/>
    <cellStyle name="常规 12" xfId="166"/>
    <cellStyle name="常规 12 2" xfId="168"/>
    <cellStyle name="常规 13" xfId="269"/>
    <cellStyle name="常规 13 2" xfId="255"/>
    <cellStyle name="常规 14" xfId="270"/>
    <cellStyle name="常规 14 2" xfId="271"/>
    <cellStyle name="常规 15" xfId="177"/>
    <cellStyle name="常规 16" xfId="272"/>
    <cellStyle name="常规 2" xfId="232"/>
    <cellStyle name="常规 2 2" xfId="91"/>
    <cellStyle name="常规 2 2 12" xfId="273"/>
    <cellStyle name="常规 2 2 2" xfId="94"/>
    <cellStyle name="常规 2 3" xfId="96"/>
    <cellStyle name="常规 2 3 2" xfId="98"/>
    <cellStyle name="常规 2 4" xfId="101"/>
    <cellStyle name="常规 2 4 2" xfId="103"/>
    <cellStyle name="常规 2 5" xfId="106"/>
    <cellStyle name="常规 2 6" xfId="109"/>
    <cellStyle name="常规 2_ODC属性分类和评估" xfId="274"/>
    <cellStyle name="常规 3" xfId="59"/>
    <cellStyle name="常规 3 2" xfId="275"/>
    <cellStyle name="常规 3 2 2" xfId="276"/>
    <cellStyle name="常规 3 3" xfId="153"/>
    <cellStyle name="常规 3 4" xfId="277"/>
    <cellStyle name="常规 3_2011年佰钧成组织度量数据表-提交" xfId="179"/>
    <cellStyle name="常规 4" xfId="49"/>
    <cellStyle name="常规 4 2" xfId="279"/>
    <cellStyle name="常规 4_测试和验收流程" xfId="280"/>
    <cellStyle name="常规 5" xfId="114"/>
    <cellStyle name="常规 6" xfId="12"/>
    <cellStyle name="常规 7" xfId="281"/>
    <cellStyle name="常规 8" xfId="81"/>
    <cellStyle name="常规 9" xfId="282"/>
    <cellStyle name="超链接 2" xfId="133"/>
    <cellStyle name="超链接 3" xfId="283"/>
    <cellStyle name="超链接 4" xfId="284"/>
    <cellStyle name="超链接 5" xfId="285"/>
    <cellStyle name="超链接 6" xfId="286"/>
    <cellStyle name="超链接 7" xfId="287"/>
    <cellStyle name="超链接 8" xfId="265"/>
    <cellStyle name="超链接 9" xfId="187"/>
    <cellStyle name="好 2" xfId="288"/>
    <cellStyle name="好_CIENET-CRS-CMMI ML5-SERVICE PLAN_20071027" xfId="289"/>
    <cellStyle name="好_CIENET-CRS-CMMI ML5-SERVICE PLAN_20071027 2" xfId="290"/>
    <cellStyle name="好_CIENET-CRS-CMMI ML5-SERVICE PLAN_20071209" xfId="291"/>
    <cellStyle name="好_CIENET-CRS-CMMI ML5-SERVICE PLAN_20071209 2" xfId="292"/>
    <cellStyle name="好_MySoft-CRS-CMMI ML3-ServicePlan-20080118" xfId="128"/>
    <cellStyle name="好_MySoft-CRS-CMMI ML3-ServicePlan-20080118 2" xfId="135"/>
    <cellStyle name="好_NEWYULONG-CRS-CMMI ML5-SERVICE PLAN_20071125" xfId="294"/>
    <cellStyle name="好_NEWYULONG-CRS-CMMI ML5-SERVICE PLAN_20071125 2" xfId="11"/>
    <cellStyle name="好_PROJ-04-T02C 项目里程碑报告" xfId="8"/>
    <cellStyle name="好_PROJ-04-T02C 项目里程碑报告 2" xfId="237"/>
    <cellStyle name="好_REF-TEMP-PMC-项目周报" xfId="295"/>
    <cellStyle name="好_REF-TEMP-PMC-项目周报 2" xfId="268"/>
    <cellStyle name="好_YD_OPM_STANDARD_OSSP过程文档体系文件编写规范_样式" xfId="248"/>
    <cellStyle name="好_YD_OPM_STANDARD_OSSP过程文档体系文件编写规范_样式 2" xfId="293"/>
    <cellStyle name="好_决策分析" xfId="296"/>
    <cellStyle name="好_决策分析 2" xfId="297"/>
    <cellStyle name="汇总 2" xfId="298"/>
    <cellStyle name="计算 2" xfId="4"/>
    <cellStyle name="检查单元格 2" xfId="205"/>
    <cellStyle name="解释性文本 2" xfId="299"/>
    <cellStyle name="禁止写入" xfId="300"/>
    <cellStyle name="警告文本 2" xfId="76"/>
    <cellStyle name="链接单元格 2" xfId="301"/>
    <cellStyle name="普通_expenses_AR-ITD (2)" xfId="23"/>
    <cellStyle name="强调文字颜色 1 2" xfId="184"/>
    <cellStyle name="强调文字颜色 2 2" xfId="302"/>
    <cellStyle name="强调文字颜色 3 2" xfId="303"/>
    <cellStyle name="强调文字颜色 4 2" xfId="105"/>
    <cellStyle name="强调文字颜色 5 2" xfId="304"/>
    <cellStyle name="强调文字颜色 6 2" xfId="305"/>
    <cellStyle name="日期" xfId="6"/>
    <cellStyle name="适中 2" xfId="37"/>
    <cellStyle name="输出 2" xfId="28"/>
    <cellStyle name="输入 2" xfId="307"/>
    <cellStyle name="填充色1" xfId="308"/>
    <cellStyle name="填充色2" xfId="61"/>
    <cellStyle name="样式 1" xfId="309"/>
    <cellStyle name="样式 1 2" xfId="310"/>
    <cellStyle name="一般_CPK" xfId="311"/>
    <cellStyle name="昗弨_1997 Turns7 Tu" xfId="312"/>
    <cellStyle name="正文" xfId="306"/>
    <cellStyle name="寘嬫愗傝 [0.00]_1997 Turnsyns Wins" xfId="195"/>
    <cellStyle name="寘嬫愗傝_1997 Turns7 Turnsy" xfId="212"/>
    <cellStyle name="注释 2" xfId="313"/>
    <cellStyle name="注释 2 2" xfId="314"/>
    <cellStyle name="注释 3" xfId="315"/>
    <cellStyle name="自动填写" xfId="36"/>
    <cellStyle name="콤마 [0]_laroux" xfId="278"/>
    <cellStyle name="콤마_laroux" xfId="79"/>
    <cellStyle name="통화 [0]_laroux" xfId="121"/>
    <cellStyle name="통화_laroux" xfId="316"/>
    <cellStyle name="표준_AP" xfId="317"/>
  </cellStyles>
  <dxfs count="9">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s>
  <tableStyles count="0" defaultTableStyle="TableStyleMedium2"/>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故事!$E$8</c:f>
              <c:strCache>
                <c:ptCount val="1"/>
                <c:pt idx="0">
                  <c:v>计划完成故事数</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故事!$B$10:$B$14</c:f>
              <c:strCache>
                <c:ptCount val="5"/>
                <c:pt idx="0">
                  <c:v>迭代1</c:v>
                </c:pt>
                <c:pt idx="1">
                  <c:v>迭代2</c:v>
                </c:pt>
                <c:pt idx="2">
                  <c:v>迭代3</c:v>
                </c:pt>
                <c:pt idx="3">
                  <c:v>迭代4</c:v>
                </c:pt>
                <c:pt idx="4">
                  <c:v>迭代5</c:v>
                </c:pt>
              </c:strCache>
            </c:strRef>
          </c:cat>
          <c:val>
            <c:numRef>
              <c:f>故事!$E$10:$E$14</c:f>
              <c:numCache>
                <c:formatCode>General</c:formatCode>
                <c:ptCount val="5"/>
                <c:pt idx="0">
                  <c:v>5</c:v>
                </c:pt>
                <c:pt idx="1">
                  <c:v>12</c:v>
                </c:pt>
                <c:pt idx="2">
                  <c:v>10</c:v>
                </c:pt>
                <c:pt idx="3">
                  <c:v>8</c:v>
                </c:pt>
                <c:pt idx="4">
                  <c:v>7</c:v>
                </c:pt>
              </c:numCache>
            </c:numRef>
          </c:val>
        </c:ser>
        <c:ser>
          <c:idx val="1"/>
          <c:order val="1"/>
          <c:tx>
            <c:strRef>
              <c:f>故事!$F$8</c:f>
              <c:strCache>
                <c:ptCount val="1"/>
                <c:pt idx="0">
                  <c:v>实际完成故事数</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故事!$B$10:$B$14</c:f>
              <c:strCache>
                <c:ptCount val="5"/>
                <c:pt idx="0">
                  <c:v>迭代1</c:v>
                </c:pt>
                <c:pt idx="1">
                  <c:v>迭代2</c:v>
                </c:pt>
                <c:pt idx="2">
                  <c:v>迭代3</c:v>
                </c:pt>
                <c:pt idx="3">
                  <c:v>迭代4</c:v>
                </c:pt>
                <c:pt idx="4">
                  <c:v>迭代5</c:v>
                </c:pt>
              </c:strCache>
            </c:strRef>
          </c:cat>
          <c:val>
            <c:numRef>
              <c:f>故事!$F$10:$F$14</c:f>
              <c:numCache>
                <c:formatCode>General</c:formatCode>
                <c:ptCount val="5"/>
                <c:pt idx="0">
                  <c:v>5</c:v>
                </c:pt>
                <c:pt idx="1">
                  <c:v>6</c:v>
                </c:pt>
                <c:pt idx="2">
                  <c:v>8</c:v>
                </c:pt>
                <c:pt idx="3">
                  <c:v>8</c:v>
                </c:pt>
                <c:pt idx="4">
                  <c:v>7</c:v>
                </c:pt>
              </c:numCache>
            </c:numRef>
          </c:val>
        </c:ser>
        <c:dLbls>
          <c:showLegendKey val="0"/>
          <c:showVal val="0"/>
          <c:showCatName val="0"/>
          <c:showSerName val="0"/>
          <c:showPercent val="0"/>
          <c:showBubbleSize val="0"/>
        </c:dLbls>
        <c:gapWidth val="219"/>
        <c:overlap val="-27"/>
        <c:axId val="175584992"/>
        <c:axId val="175585552"/>
      </c:barChart>
      <c:catAx>
        <c:axId val="17558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75585552"/>
        <c:crosses val="autoZero"/>
        <c:auto val="1"/>
        <c:lblAlgn val="ctr"/>
        <c:lblOffset val="100"/>
        <c:noMultiLvlLbl val="0"/>
      </c:catAx>
      <c:valAx>
        <c:axId val="17558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75584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152402</xdr:colOff>
      <xdr:row>0</xdr:row>
      <xdr:rowOff>0</xdr:rowOff>
    </xdr:from>
    <xdr:to>
      <xdr:col>1</xdr:col>
      <xdr:colOff>314325</xdr:colOff>
      <xdr:row>4</xdr:row>
      <xdr:rowOff>32408</xdr:rowOff>
    </xdr:to>
    <xdr:pic>
      <xdr:nvPicPr>
        <xdr:cNvPr id="3" name="图片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0"/>
          <a:ext cx="1352550" cy="680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552450</xdr:colOff>
      <xdr:row>2</xdr:row>
      <xdr:rowOff>171450</xdr:rowOff>
    </xdr:from>
    <xdr:to>
      <xdr:col>16</xdr:col>
      <xdr:colOff>152400</xdr:colOff>
      <xdr:row>14</xdr:row>
      <xdr:rowOff>66675</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19</xdr:row>
          <xdr:rowOff>28575</xdr:rowOff>
        </xdr:from>
        <xdr:to>
          <xdr:col>1</xdr:col>
          <xdr:colOff>66675</xdr:colOff>
          <xdr:row>20</xdr:row>
          <xdr:rowOff>95250</xdr:rowOff>
        </xdr:to>
        <xdr:sp macro="" textlink="">
          <xdr:nvSpPr>
            <xdr:cNvPr id="63492" name="Button 4" hidden="1">
              <a:extLst>
                <a:ext uri="{63B3BB69-23CF-44E3-9099-C40C66FF867C}">
                  <a14:compatExt spid="_x0000_s63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17</xdr:row>
          <xdr:rowOff>28575</xdr:rowOff>
        </xdr:from>
        <xdr:to>
          <xdr:col>1</xdr:col>
          <xdr:colOff>76200</xdr:colOff>
          <xdr:row>17</xdr:row>
          <xdr:rowOff>257175</xdr:rowOff>
        </xdr:to>
        <xdr:sp macro="" textlink="">
          <xdr:nvSpPr>
            <xdr:cNvPr id="63491" name="Button 3" hidden="1">
              <a:extLst>
                <a:ext uri="{63B3BB69-23CF-44E3-9099-C40C66FF867C}">
                  <a14:compatExt spid="_x0000_s63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005"/>
  <sheetViews>
    <sheetView workbookViewId="0"/>
  </sheetViews>
  <sheetFormatPr defaultColWidth="9" defaultRowHeight="13.5"/>
  <cols>
    <col min="1" max="3" width="36.625" customWidth="1"/>
  </cols>
  <sheetData>
    <row r="1" spans="1:16">
      <c r="A1" s="114" t="s">
        <v>0</v>
      </c>
    </row>
    <row r="2" spans="1:16">
      <c r="P2" t="e">
        <f ca="1">CB.RecalcCounterFN()</f>
        <v>#NAME?</v>
      </c>
    </row>
    <row r="3" spans="1:16">
      <c r="A3" t="s">
        <v>1</v>
      </c>
      <c r="B3" t="s">
        <v>2</v>
      </c>
      <c r="C3">
        <v>0</v>
      </c>
    </row>
    <row r="4" spans="1:16">
      <c r="A4" t="s">
        <v>3</v>
      </c>
    </row>
    <row r="5" spans="1:16">
      <c r="A5" t="s">
        <v>4</v>
      </c>
    </row>
    <row r="7" spans="1:16">
      <c r="A7" s="114" t="s">
        <v>5</v>
      </c>
      <c r="B7" t="s">
        <v>6</v>
      </c>
    </row>
    <row r="8" spans="1:16">
      <c r="B8">
        <v>3</v>
      </c>
    </row>
    <row r="10" spans="1:16">
      <c r="A10" t="s">
        <v>7</v>
      </c>
    </row>
    <row r="11" spans="1:16">
      <c r="A11" t="e">
        <f>CB_DATA_!#REF!</f>
        <v>#REF!</v>
      </c>
      <c r="C11" t="e">
        <f>#REF!</f>
        <v>#REF!</v>
      </c>
    </row>
    <row r="13" spans="1:16">
      <c r="A13" t="s">
        <v>8</v>
      </c>
    </row>
    <row r="14" spans="1:16">
      <c r="A14" t="s">
        <v>9</v>
      </c>
      <c r="C14" s="115" t="s">
        <v>10</v>
      </c>
    </row>
    <row r="16" spans="1:16">
      <c r="A16" t="s">
        <v>11</v>
      </c>
    </row>
    <row r="17" spans="1:3">
      <c r="C17">
        <v>3</v>
      </c>
    </row>
    <row r="19" spans="1:3">
      <c r="A19" t="s">
        <v>12</v>
      </c>
    </row>
    <row r="20" spans="1:3">
      <c r="A20">
        <v>31</v>
      </c>
      <c r="C20">
        <v>37</v>
      </c>
    </row>
    <row r="25" spans="1:3">
      <c r="A25" s="114" t="s">
        <v>13</v>
      </c>
    </row>
    <row r="26" spans="1:3">
      <c r="A26" s="115" t="s">
        <v>14</v>
      </c>
      <c r="C26" s="115" t="s">
        <v>15</v>
      </c>
    </row>
    <row r="27" spans="1:3">
      <c r="A27" t="s">
        <v>16</v>
      </c>
      <c r="C27" t="s">
        <v>17</v>
      </c>
    </row>
    <row r="28" spans="1:3">
      <c r="A28" s="115" t="s">
        <v>18</v>
      </c>
      <c r="C28" s="115" t="s">
        <v>18</v>
      </c>
    </row>
    <row r="29" spans="1:3">
      <c r="A29" s="115" t="s">
        <v>19</v>
      </c>
      <c r="C29" s="115" t="s">
        <v>14</v>
      </c>
    </row>
    <row r="30" spans="1:3">
      <c r="A30" t="s">
        <v>20</v>
      </c>
      <c r="C30" t="s">
        <v>21</v>
      </c>
    </row>
    <row r="31" spans="1:3">
      <c r="A31" s="115" t="s">
        <v>22</v>
      </c>
      <c r="C31" s="115" t="s">
        <v>18</v>
      </c>
    </row>
    <row r="32" spans="1:3">
      <c r="C32" s="115" t="s">
        <v>23</v>
      </c>
    </row>
    <row r="33" spans="3:3">
      <c r="C33" t="s">
        <v>24</v>
      </c>
    </row>
    <row r="34" spans="3:3">
      <c r="C34" s="115" t="s">
        <v>18</v>
      </c>
    </row>
    <row r="35" spans="3:3">
      <c r="C35" s="115" t="s">
        <v>25</v>
      </c>
    </row>
    <row r="36" spans="3:3">
      <c r="C36" t="s">
        <v>26</v>
      </c>
    </row>
    <row r="37" spans="3:3">
      <c r="C37" s="115" t="s">
        <v>18</v>
      </c>
    </row>
    <row r="10000" spans="1:1">
      <c r="A10000" t="s">
        <v>27</v>
      </c>
    </row>
    <row r="10001" spans="1:1">
      <c r="A10001" t="str">
        <f>"{0.CERTAINTY(-1.11E+307,0.8009)}"</f>
        <v>{0.CERTAINTY(-1.11E+307,0.8009)}</v>
      </c>
    </row>
    <row r="10002" spans="1:1">
      <c r="A10002" t="b">
        <f>"{0.MEAN}"&gt;=0.3385</f>
        <v>1</v>
      </c>
    </row>
    <row r="10003" spans="1:1">
      <c r="A10003" t="b">
        <f>"{0.MEAN}"&lt;=0.0938</f>
        <v>0</v>
      </c>
    </row>
    <row r="10004" spans="1:1">
      <c r="A10004" t="b">
        <f>"{0.MEAN}"&gt;=0.512</f>
        <v>1</v>
      </c>
    </row>
    <row r="10005" spans="1:1">
      <c r="A10005" t="b">
        <f>"{0.MEAN}"&lt;=0.05</f>
        <v>0</v>
      </c>
    </row>
  </sheetData>
  <phoneticPr fontId="91"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
  <sheetViews>
    <sheetView showGridLines="0" workbookViewId="0">
      <selection activeCell="H9" sqref="H9"/>
    </sheetView>
  </sheetViews>
  <sheetFormatPr defaultColWidth="9" defaultRowHeight="12"/>
  <cols>
    <col min="1" max="1" width="15.625" style="1" customWidth="1"/>
    <col min="2" max="2" width="14.25" style="1" customWidth="1"/>
    <col min="3" max="3" width="11.625" style="1" customWidth="1"/>
    <col min="4" max="5" width="9" style="1"/>
    <col min="6" max="6" width="26.375" style="1" customWidth="1"/>
    <col min="7" max="256" width="9" style="1"/>
    <col min="257" max="257" width="15.625" style="1" customWidth="1"/>
    <col min="258" max="258" width="14.25" style="1" customWidth="1"/>
    <col min="259" max="259" width="11.625" style="1" customWidth="1"/>
    <col min="260" max="261" width="9" style="1"/>
    <col min="262" max="262" width="26.375" style="1" customWidth="1"/>
    <col min="263" max="512" width="9" style="1"/>
    <col min="513" max="513" width="15.625" style="1" customWidth="1"/>
    <col min="514" max="514" width="14.25" style="1" customWidth="1"/>
    <col min="515" max="515" width="11.625" style="1" customWidth="1"/>
    <col min="516" max="517" width="9" style="1"/>
    <col min="518" max="518" width="26.375" style="1" customWidth="1"/>
    <col min="519" max="768" width="9" style="1"/>
    <col min="769" max="769" width="15.625" style="1" customWidth="1"/>
    <col min="770" max="770" width="14.25" style="1" customWidth="1"/>
    <col min="771" max="771" width="11.625" style="1" customWidth="1"/>
    <col min="772" max="773" width="9" style="1"/>
    <col min="774" max="774" width="26.375" style="1" customWidth="1"/>
    <col min="775" max="1024" width="9" style="1"/>
    <col min="1025" max="1025" width="15.625" style="1" customWidth="1"/>
    <col min="1026" max="1026" width="14.25" style="1" customWidth="1"/>
    <col min="1027" max="1027" width="11.625" style="1" customWidth="1"/>
    <col min="1028" max="1029" width="9" style="1"/>
    <col min="1030" max="1030" width="26.375" style="1" customWidth="1"/>
    <col min="1031" max="1280" width="9" style="1"/>
    <col min="1281" max="1281" width="15.625" style="1" customWidth="1"/>
    <col min="1282" max="1282" width="14.25" style="1" customWidth="1"/>
    <col min="1283" max="1283" width="11.625" style="1" customWidth="1"/>
    <col min="1284" max="1285" width="9" style="1"/>
    <col min="1286" max="1286" width="26.375" style="1" customWidth="1"/>
    <col min="1287" max="1536" width="9" style="1"/>
    <col min="1537" max="1537" width="15.625" style="1" customWidth="1"/>
    <col min="1538" max="1538" width="14.25" style="1" customWidth="1"/>
    <col min="1539" max="1539" width="11.625" style="1" customWidth="1"/>
    <col min="1540" max="1541" width="9" style="1"/>
    <col min="1542" max="1542" width="26.375" style="1" customWidth="1"/>
    <col min="1543" max="1792" width="9" style="1"/>
    <col min="1793" max="1793" width="15.625" style="1" customWidth="1"/>
    <col min="1794" max="1794" width="14.25" style="1" customWidth="1"/>
    <col min="1795" max="1795" width="11.625" style="1" customWidth="1"/>
    <col min="1796" max="1797" width="9" style="1"/>
    <col min="1798" max="1798" width="26.375" style="1" customWidth="1"/>
    <col min="1799" max="2048" width="9" style="1"/>
    <col min="2049" max="2049" width="15.625" style="1" customWidth="1"/>
    <col min="2050" max="2050" width="14.25" style="1" customWidth="1"/>
    <col min="2051" max="2051" width="11.625" style="1" customWidth="1"/>
    <col min="2052" max="2053" width="9" style="1"/>
    <col min="2054" max="2054" width="26.375" style="1" customWidth="1"/>
    <col min="2055" max="2304" width="9" style="1"/>
    <col min="2305" max="2305" width="15.625" style="1" customWidth="1"/>
    <col min="2306" max="2306" width="14.25" style="1" customWidth="1"/>
    <col min="2307" max="2307" width="11.625" style="1" customWidth="1"/>
    <col min="2308" max="2309" width="9" style="1"/>
    <col min="2310" max="2310" width="26.375" style="1" customWidth="1"/>
    <col min="2311" max="2560" width="9" style="1"/>
    <col min="2561" max="2561" width="15.625" style="1" customWidth="1"/>
    <col min="2562" max="2562" width="14.25" style="1" customWidth="1"/>
    <col min="2563" max="2563" width="11.625" style="1" customWidth="1"/>
    <col min="2564" max="2565" width="9" style="1"/>
    <col min="2566" max="2566" width="26.375" style="1" customWidth="1"/>
    <col min="2567" max="2816" width="9" style="1"/>
    <col min="2817" max="2817" width="15.625" style="1" customWidth="1"/>
    <col min="2818" max="2818" width="14.25" style="1" customWidth="1"/>
    <col min="2819" max="2819" width="11.625" style="1" customWidth="1"/>
    <col min="2820" max="2821" width="9" style="1"/>
    <col min="2822" max="2822" width="26.375" style="1" customWidth="1"/>
    <col min="2823" max="3072" width="9" style="1"/>
    <col min="3073" max="3073" width="15.625" style="1" customWidth="1"/>
    <col min="3074" max="3074" width="14.25" style="1" customWidth="1"/>
    <col min="3075" max="3075" width="11.625" style="1" customWidth="1"/>
    <col min="3076" max="3077" width="9" style="1"/>
    <col min="3078" max="3078" width="26.375" style="1" customWidth="1"/>
    <col min="3079" max="3328" width="9" style="1"/>
    <col min="3329" max="3329" width="15.625" style="1" customWidth="1"/>
    <col min="3330" max="3330" width="14.25" style="1" customWidth="1"/>
    <col min="3331" max="3331" width="11.625" style="1" customWidth="1"/>
    <col min="3332" max="3333" width="9" style="1"/>
    <col min="3334" max="3334" width="26.375" style="1" customWidth="1"/>
    <col min="3335" max="3584" width="9" style="1"/>
    <col min="3585" max="3585" width="15.625" style="1" customWidth="1"/>
    <col min="3586" max="3586" width="14.25" style="1" customWidth="1"/>
    <col min="3587" max="3587" width="11.625" style="1" customWidth="1"/>
    <col min="3588" max="3589" width="9" style="1"/>
    <col min="3590" max="3590" width="26.375" style="1" customWidth="1"/>
    <col min="3591" max="3840" width="9" style="1"/>
    <col min="3841" max="3841" width="15.625" style="1" customWidth="1"/>
    <col min="3842" max="3842" width="14.25" style="1" customWidth="1"/>
    <col min="3843" max="3843" width="11.625" style="1" customWidth="1"/>
    <col min="3844" max="3845" width="9" style="1"/>
    <col min="3846" max="3846" width="26.375" style="1" customWidth="1"/>
    <col min="3847" max="4096" width="9" style="1"/>
    <col min="4097" max="4097" width="15.625" style="1" customWidth="1"/>
    <col min="4098" max="4098" width="14.25" style="1" customWidth="1"/>
    <col min="4099" max="4099" width="11.625" style="1" customWidth="1"/>
    <col min="4100" max="4101" width="9" style="1"/>
    <col min="4102" max="4102" width="26.375" style="1" customWidth="1"/>
    <col min="4103" max="4352" width="9" style="1"/>
    <col min="4353" max="4353" width="15.625" style="1" customWidth="1"/>
    <col min="4354" max="4354" width="14.25" style="1" customWidth="1"/>
    <col min="4355" max="4355" width="11.625" style="1" customWidth="1"/>
    <col min="4356" max="4357" width="9" style="1"/>
    <col min="4358" max="4358" width="26.375" style="1" customWidth="1"/>
    <col min="4359" max="4608" width="9" style="1"/>
    <col min="4609" max="4609" width="15.625" style="1" customWidth="1"/>
    <col min="4610" max="4610" width="14.25" style="1" customWidth="1"/>
    <col min="4611" max="4611" width="11.625" style="1" customWidth="1"/>
    <col min="4612" max="4613" width="9" style="1"/>
    <col min="4614" max="4614" width="26.375" style="1" customWidth="1"/>
    <col min="4615" max="4864" width="9" style="1"/>
    <col min="4865" max="4865" width="15.625" style="1" customWidth="1"/>
    <col min="4866" max="4866" width="14.25" style="1" customWidth="1"/>
    <col min="4867" max="4867" width="11.625" style="1" customWidth="1"/>
    <col min="4868" max="4869" width="9" style="1"/>
    <col min="4870" max="4870" width="26.375" style="1" customWidth="1"/>
    <col min="4871" max="5120" width="9" style="1"/>
    <col min="5121" max="5121" width="15.625" style="1" customWidth="1"/>
    <col min="5122" max="5122" width="14.25" style="1" customWidth="1"/>
    <col min="5123" max="5123" width="11.625" style="1" customWidth="1"/>
    <col min="5124" max="5125" width="9" style="1"/>
    <col min="5126" max="5126" width="26.375" style="1" customWidth="1"/>
    <col min="5127" max="5376" width="9" style="1"/>
    <col min="5377" max="5377" width="15.625" style="1" customWidth="1"/>
    <col min="5378" max="5378" width="14.25" style="1" customWidth="1"/>
    <col min="5379" max="5379" width="11.625" style="1" customWidth="1"/>
    <col min="5380" max="5381" width="9" style="1"/>
    <col min="5382" max="5382" width="26.375" style="1" customWidth="1"/>
    <col min="5383" max="5632" width="9" style="1"/>
    <col min="5633" max="5633" width="15.625" style="1" customWidth="1"/>
    <col min="5634" max="5634" width="14.25" style="1" customWidth="1"/>
    <col min="5635" max="5635" width="11.625" style="1" customWidth="1"/>
    <col min="5636" max="5637" width="9" style="1"/>
    <col min="5638" max="5638" width="26.375" style="1" customWidth="1"/>
    <col min="5639" max="5888" width="9" style="1"/>
    <col min="5889" max="5889" width="15.625" style="1" customWidth="1"/>
    <col min="5890" max="5890" width="14.25" style="1" customWidth="1"/>
    <col min="5891" max="5891" width="11.625" style="1" customWidth="1"/>
    <col min="5892" max="5893" width="9" style="1"/>
    <col min="5894" max="5894" width="26.375" style="1" customWidth="1"/>
    <col min="5895" max="6144" width="9" style="1"/>
    <col min="6145" max="6145" width="15.625" style="1" customWidth="1"/>
    <col min="6146" max="6146" width="14.25" style="1" customWidth="1"/>
    <col min="6147" max="6147" width="11.625" style="1" customWidth="1"/>
    <col min="6148" max="6149" width="9" style="1"/>
    <col min="6150" max="6150" width="26.375" style="1" customWidth="1"/>
    <col min="6151" max="6400" width="9" style="1"/>
    <col min="6401" max="6401" width="15.625" style="1" customWidth="1"/>
    <col min="6402" max="6402" width="14.25" style="1" customWidth="1"/>
    <col min="6403" max="6403" width="11.625" style="1" customWidth="1"/>
    <col min="6404" max="6405" width="9" style="1"/>
    <col min="6406" max="6406" width="26.375" style="1" customWidth="1"/>
    <col min="6407" max="6656" width="9" style="1"/>
    <col min="6657" max="6657" width="15.625" style="1" customWidth="1"/>
    <col min="6658" max="6658" width="14.25" style="1" customWidth="1"/>
    <col min="6659" max="6659" width="11.625" style="1" customWidth="1"/>
    <col min="6660" max="6661" width="9" style="1"/>
    <col min="6662" max="6662" width="26.375" style="1" customWidth="1"/>
    <col min="6663" max="6912" width="9" style="1"/>
    <col min="6913" max="6913" width="15.625" style="1" customWidth="1"/>
    <col min="6914" max="6914" width="14.25" style="1" customWidth="1"/>
    <col min="6915" max="6915" width="11.625" style="1" customWidth="1"/>
    <col min="6916" max="6917" width="9" style="1"/>
    <col min="6918" max="6918" width="26.375" style="1" customWidth="1"/>
    <col min="6919" max="7168" width="9" style="1"/>
    <col min="7169" max="7169" width="15.625" style="1" customWidth="1"/>
    <col min="7170" max="7170" width="14.25" style="1" customWidth="1"/>
    <col min="7171" max="7171" width="11.625" style="1" customWidth="1"/>
    <col min="7172" max="7173" width="9" style="1"/>
    <col min="7174" max="7174" width="26.375" style="1" customWidth="1"/>
    <col min="7175" max="7424" width="9" style="1"/>
    <col min="7425" max="7425" width="15.625" style="1" customWidth="1"/>
    <col min="7426" max="7426" width="14.25" style="1" customWidth="1"/>
    <col min="7427" max="7427" width="11.625" style="1" customWidth="1"/>
    <col min="7428" max="7429" width="9" style="1"/>
    <col min="7430" max="7430" width="26.375" style="1" customWidth="1"/>
    <col min="7431" max="7680" width="9" style="1"/>
    <col min="7681" max="7681" width="15.625" style="1" customWidth="1"/>
    <col min="7682" max="7682" width="14.25" style="1" customWidth="1"/>
    <col min="7683" max="7683" width="11.625" style="1" customWidth="1"/>
    <col min="7684" max="7685" width="9" style="1"/>
    <col min="7686" max="7686" width="26.375" style="1" customWidth="1"/>
    <col min="7687" max="7936" width="9" style="1"/>
    <col min="7937" max="7937" width="15.625" style="1" customWidth="1"/>
    <col min="7938" max="7938" width="14.25" style="1" customWidth="1"/>
    <col min="7939" max="7939" width="11.625" style="1" customWidth="1"/>
    <col min="7940" max="7941" width="9" style="1"/>
    <col min="7942" max="7942" width="26.375" style="1" customWidth="1"/>
    <col min="7943" max="8192" width="9" style="1"/>
    <col min="8193" max="8193" width="15.625" style="1" customWidth="1"/>
    <col min="8194" max="8194" width="14.25" style="1" customWidth="1"/>
    <col min="8195" max="8195" width="11.625" style="1" customWidth="1"/>
    <col min="8196" max="8197" width="9" style="1"/>
    <col min="8198" max="8198" width="26.375" style="1" customWidth="1"/>
    <col min="8199" max="8448" width="9" style="1"/>
    <col min="8449" max="8449" width="15.625" style="1" customWidth="1"/>
    <col min="8450" max="8450" width="14.25" style="1" customWidth="1"/>
    <col min="8451" max="8451" width="11.625" style="1" customWidth="1"/>
    <col min="8452" max="8453" width="9" style="1"/>
    <col min="8454" max="8454" width="26.375" style="1" customWidth="1"/>
    <col min="8455" max="8704" width="9" style="1"/>
    <col min="8705" max="8705" width="15.625" style="1" customWidth="1"/>
    <col min="8706" max="8706" width="14.25" style="1" customWidth="1"/>
    <col min="8707" max="8707" width="11.625" style="1" customWidth="1"/>
    <col min="8708" max="8709" width="9" style="1"/>
    <col min="8710" max="8710" width="26.375" style="1" customWidth="1"/>
    <col min="8711" max="8960" width="9" style="1"/>
    <col min="8961" max="8961" width="15.625" style="1" customWidth="1"/>
    <col min="8962" max="8962" width="14.25" style="1" customWidth="1"/>
    <col min="8963" max="8963" width="11.625" style="1" customWidth="1"/>
    <col min="8964" max="8965" width="9" style="1"/>
    <col min="8966" max="8966" width="26.375" style="1" customWidth="1"/>
    <col min="8967" max="9216" width="9" style="1"/>
    <col min="9217" max="9217" width="15.625" style="1" customWidth="1"/>
    <col min="9218" max="9218" width="14.25" style="1" customWidth="1"/>
    <col min="9219" max="9219" width="11.625" style="1" customWidth="1"/>
    <col min="9220" max="9221" width="9" style="1"/>
    <col min="9222" max="9222" width="26.375" style="1" customWidth="1"/>
    <col min="9223" max="9472" width="9" style="1"/>
    <col min="9473" max="9473" width="15.625" style="1" customWidth="1"/>
    <col min="9474" max="9474" width="14.25" style="1" customWidth="1"/>
    <col min="9475" max="9475" width="11.625" style="1" customWidth="1"/>
    <col min="9476" max="9477" width="9" style="1"/>
    <col min="9478" max="9478" width="26.375" style="1" customWidth="1"/>
    <col min="9479" max="9728" width="9" style="1"/>
    <col min="9729" max="9729" width="15.625" style="1" customWidth="1"/>
    <col min="9730" max="9730" width="14.25" style="1" customWidth="1"/>
    <col min="9731" max="9731" width="11.625" style="1" customWidth="1"/>
    <col min="9732" max="9733" width="9" style="1"/>
    <col min="9734" max="9734" width="26.375" style="1" customWidth="1"/>
    <col min="9735" max="9984" width="9" style="1"/>
    <col min="9985" max="9985" width="15.625" style="1" customWidth="1"/>
    <col min="9986" max="9986" width="14.25" style="1" customWidth="1"/>
    <col min="9987" max="9987" width="11.625" style="1" customWidth="1"/>
    <col min="9988" max="9989" width="9" style="1"/>
    <col min="9990" max="9990" width="26.375" style="1" customWidth="1"/>
    <col min="9991" max="10240" width="9" style="1"/>
    <col min="10241" max="10241" width="15.625" style="1" customWidth="1"/>
    <col min="10242" max="10242" width="14.25" style="1" customWidth="1"/>
    <col min="10243" max="10243" width="11.625" style="1" customWidth="1"/>
    <col min="10244" max="10245" width="9" style="1"/>
    <col min="10246" max="10246" width="26.375" style="1" customWidth="1"/>
    <col min="10247" max="10496" width="9" style="1"/>
    <col min="10497" max="10497" width="15.625" style="1" customWidth="1"/>
    <col min="10498" max="10498" width="14.25" style="1" customWidth="1"/>
    <col min="10499" max="10499" width="11.625" style="1" customWidth="1"/>
    <col min="10500" max="10501" width="9" style="1"/>
    <col min="10502" max="10502" width="26.375" style="1" customWidth="1"/>
    <col min="10503" max="10752" width="9" style="1"/>
    <col min="10753" max="10753" width="15.625" style="1" customWidth="1"/>
    <col min="10754" max="10754" width="14.25" style="1" customWidth="1"/>
    <col min="10755" max="10755" width="11.625" style="1" customWidth="1"/>
    <col min="10756" max="10757" width="9" style="1"/>
    <col min="10758" max="10758" width="26.375" style="1" customWidth="1"/>
    <col min="10759" max="11008" width="9" style="1"/>
    <col min="11009" max="11009" width="15.625" style="1" customWidth="1"/>
    <col min="11010" max="11010" width="14.25" style="1" customWidth="1"/>
    <col min="11011" max="11011" width="11.625" style="1" customWidth="1"/>
    <col min="11012" max="11013" width="9" style="1"/>
    <col min="11014" max="11014" width="26.375" style="1" customWidth="1"/>
    <col min="11015" max="11264" width="9" style="1"/>
    <col min="11265" max="11265" width="15.625" style="1" customWidth="1"/>
    <col min="11266" max="11266" width="14.25" style="1" customWidth="1"/>
    <col min="11267" max="11267" width="11.625" style="1" customWidth="1"/>
    <col min="11268" max="11269" width="9" style="1"/>
    <col min="11270" max="11270" width="26.375" style="1" customWidth="1"/>
    <col min="11271" max="11520" width="9" style="1"/>
    <col min="11521" max="11521" width="15.625" style="1" customWidth="1"/>
    <col min="11522" max="11522" width="14.25" style="1" customWidth="1"/>
    <col min="11523" max="11523" width="11.625" style="1" customWidth="1"/>
    <col min="11524" max="11525" width="9" style="1"/>
    <col min="11526" max="11526" width="26.375" style="1" customWidth="1"/>
    <col min="11527" max="11776" width="9" style="1"/>
    <col min="11777" max="11777" width="15.625" style="1" customWidth="1"/>
    <col min="11778" max="11778" width="14.25" style="1" customWidth="1"/>
    <col min="11779" max="11779" width="11.625" style="1" customWidth="1"/>
    <col min="11780" max="11781" width="9" style="1"/>
    <col min="11782" max="11782" width="26.375" style="1" customWidth="1"/>
    <col min="11783" max="12032" width="9" style="1"/>
    <col min="12033" max="12033" width="15.625" style="1" customWidth="1"/>
    <col min="12034" max="12034" width="14.25" style="1" customWidth="1"/>
    <col min="12035" max="12035" width="11.625" style="1" customWidth="1"/>
    <col min="12036" max="12037" width="9" style="1"/>
    <col min="12038" max="12038" width="26.375" style="1" customWidth="1"/>
    <col min="12039" max="12288" width="9" style="1"/>
    <col min="12289" max="12289" width="15.625" style="1" customWidth="1"/>
    <col min="12290" max="12290" width="14.25" style="1" customWidth="1"/>
    <col min="12291" max="12291" width="11.625" style="1" customWidth="1"/>
    <col min="12292" max="12293" width="9" style="1"/>
    <col min="12294" max="12294" width="26.375" style="1" customWidth="1"/>
    <col min="12295" max="12544" width="9" style="1"/>
    <col min="12545" max="12545" width="15.625" style="1" customWidth="1"/>
    <col min="12546" max="12546" width="14.25" style="1" customWidth="1"/>
    <col min="12547" max="12547" width="11.625" style="1" customWidth="1"/>
    <col min="12548" max="12549" width="9" style="1"/>
    <col min="12550" max="12550" width="26.375" style="1" customWidth="1"/>
    <col min="12551" max="12800" width="9" style="1"/>
    <col min="12801" max="12801" width="15.625" style="1" customWidth="1"/>
    <col min="12802" max="12802" width="14.25" style="1" customWidth="1"/>
    <col min="12803" max="12803" width="11.625" style="1" customWidth="1"/>
    <col min="12804" max="12805" width="9" style="1"/>
    <col min="12806" max="12806" width="26.375" style="1" customWidth="1"/>
    <col min="12807" max="13056" width="9" style="1"/>
    <col min="13057" max="13057" width="15.625" style="1" customWidth="1"/>
    <col min="13058" max="13058" width="14.25" style="1" customWidth="1"/>
    <col min="13059" max="13059" width="11.625" style="1" customWidth="1"/>
    <col min="13060" max="13061" width="9" style="1"/>
    <col min="13062" max="13062" width="26.375" style="1" customWidth="1"/>
    <col min="13063" max="13312" width="9" style="1"/>
    <col min="13313" max="13313" width="15.625" style="1" customWidth="1"/>
    <col min="13314" max="13314" width="14.25" style="1" customWidth="1"/>
    <col min="13315" max="13315" width="11.625" style="1" customWidth="1"/>
    <col min="13316" max="13317" width="9" style="1"/>
    <col min="13318" max="13318" width="26.375" style="1" customWidth="1"/>
    <col min="13319" max="13568" width="9" style="1"/>
    <col min="13569" max="13569" width="15.625" style="1" customWidth="1"/>
    <col min="13570" max="13570" width="14.25" style="1" customWidth="1"/>
    <col min="13571" max="13571" width="11.625" style="1" customWidth="1"/>
    <col min="13572" max="13573" width="9" style="1"/>
    <col min="13574" max="13574" width="26.375" style="1" customWidth="1"/>
    <col min="13575" max="13824" width="9" style="1"/>
    <col min="13825" max="13825" width="15.625" style="1" customWidth="1"/>
    <col min="13826" max="13826" width="14.25" style="1" customWidth="1"/>
    <col min="13827" max="13827" width="11.625" style="1" customWidth="1"/>
    <col min="13828" max="13829" width="9" style="1"/>
    <col min="13830" max="13830" width="26.375" style="1" customWidth="1"/>
    <col min="13831" max="14080" width="9" style="1"/>
    <col min="14081" max="14081" width="15.625" style="1" customWidth="1"/>
    <col min="14082" max="14082" width="14.25" style="1" customWidth="1"/>
    <col min="14083" max="14083" width="11.625" style="1" customWidth="1"/>
    <col min="14084" max="14085" width="9" style="1"/>
    <col min="14086" max="14086" width="26.375" style="1" customWidth="1"/>
    <col min="14087" max="14336" width="9" style="1"/>
    <col min="14337" max="14337" width="15.625" style="1" customWidth="1"/>
    <col min="14338" max="14338" width="14.25" style="1" customWidth="1"/>
    <col min="14339" max="14339" width="11.625" style="1" customWidth="1"/>
    <col min="14340" max="14341" width="9" style="1"/>
    <col min="14342" max="14342" width="26.375" style="1" customWidth="1"/>
    <col min="14343" max="14592" width="9" style="1"/>
    <col min="14593" max="14593" width="15.625" style="1" customWidth="1"/>
    <col min="14594" max="14594" width="14.25" style="1" customWidth="1"/>
    <col min="14595" max="14595" width="11.625" style="1" customWidth="1"/>
    <col min="14596" max="14597" width="9" style="1"/>
    <col min="14598" max="14598" width="26.375" style="1" customWidth="1"/>
    <col min="14599" max="14848" width="9" style="1"/>
    <col min="14849" max="14849" width="15.625" style="1" customWidth="1"/>
    <col min="14850" max="14850" width="14.25" style="1" customWidth="1"/>
    <col min="14851" max="14851" width="11.625" style="1" customWidth="1"/>
    <col min="14852" max="14853" width="9" style="1"/>
    <col min="14854" max="14854" width="26.375" style="1" customWidth="1"/>
    <col min="14855" max="15104" width="9" style="1"/>
    <col min="15105" max="15105" width="15.625" style="1" customWidth="1"/>
    <col min="15106" max="15106" width="14.25" style="1" customWidth="1"/>
    <col min="15107" max="15107" width="11.625" style="1" customWidth="1"/>
    <col min="15108" max="15109" width="9" style="1"/>
    <col min="15110" max="15110" width="26.375" style="1" customWidth="1"/>
    <col min="15111" max="15360" width="9" style="1"/>
    <col min="15361" max="15361" width="15.625" style="1" customWidth="1"/>
    <col min="15362" max="15362" width="14.25" style="1" customWidth="1"/>
    <col min="15363" max="15363" width="11.625" style="1" customWidth="1"/>
    <col min="15364" max="15365" width="9" style="1"/>
    <col min="15366" max="15366" width="26.375" style="1" customWidth="1"/>
    <col min="15367" max="15616" width="9" style="1"/>
    <col min="15617" max="15617" width="15.625" style="1" customWidth="1"/>
    <col min="15618" max="15618" width="14.25" style="1" customWidth="1"/>
    <col min="15619" max="15619" width="11.625" style="1" customWidth="1"/>
    <col min="15620" max="15621" width="9" style="1"/>
    <col min="15622" max="15622" width="26.375" style="1" customWidth="1"/>
    <col min="15623" max="15872" width="9" style="1"/>
    <col min="15873" max="15873" width="15.625" style="1" customWidth="1"/>
    <col min="15874" max="15874" width="14.25" style="1" customWidth="1"/>
    <col min="15875" max="15875" width="11.625" style="1" customWidth="1"/>
    <col min="15876" max="15877" width="9" style="1"/>
    <col min="15878" max="15878" width="26.375" style="1" customWidth="1"/>
    <col min="15879" max="16128" width="9" style="1"/>
    <col min="16129" max="16129" width="15.625" style="1" customWidth="1"/>
    <col min="16130" max="16130" width="14.25" style="1" customWidth="1"/>
    <col min="16131" max="16131" width="11.625" style="1" customWidth="1"/>
    <col min="16132" max="16133" width="9" style="1"/>
    <col min="16134" max="16134" width="26.375" style="1" customWidth="1"/>
    <col min="16135" max="16384" width="9" style="1"/>
  </cols>
  <sheetData>
    <row r="1" spans="1:6">
      <c r="A1" s="122" t="s">
        <v>28</v>
      </c>
      <c r="B1" s="122"/>
      <c r="C1" s="122"/>
      <c r="D1" s="122"/>
      <c r="E1" s="122"/>
      <c r="F1" s="122"/>
    </row>
    <row r="2" spans="1:6">
      <c r="A2" s="122"/>
      <c r="B2" s="122"/>
      <c r="C2" s="122"/>
      <c r="D2" s="122"/>
      <c r="E2" s="122"/>
      <c r="F2" s="122"/>
    </row>
    <row r="3" spans="1:6" ht="15" customHeight="1">
      <c r="A3" s="99"/>
      <c r="B3" s="99"/>
      <c r="C3" s="99"/>
      <c r="D3" s="99"/>
      <c r="E3" s="99"/>
      <c r="F3" s="99"/>
    </row>
    <row r="4" spans="1:6">
      <c r="A4" s="73"/>
      <c r="B4" s="123" t="s">
        <v>29</v>
      </c>
      <c r="C4" s="123"/>
      <c r="D4" s="123"/>
      <c r="E4" s="123"/>
      <c r="F4" s="123"/>
    </row>
    <row r="5" spans="1:6" ht="13.5">
      <c r="A5" s="73"/>
      <c r="B5" s="100" t="s">
        <v>30</v>
      </c>
      <c r="C5" s="100" t="s">
        <v>31</v>
      </c>
      <c r="D5" s="101" t="s">
        <v>32</v>
      </c>
      <c r="E5" s="100" t="s">
        <v>33</v>
      </c>
      <c r="F5" s="100" t="s">
        <v>34</v>
      </c>
    </row>
    <row r="6" spans="1:6" ht="12.75" customHeight="1">
      <c r="A6" s="73"/>
      <c r="B6" s="102" t="s">
        <v>35</v>
      </c>
      <c r="C6" s="103">
        <v>42821</v>
      </c>
      <c r="D6" s="104" t="s">
        <v>36</v>
      </c>
      <c r="E6" s="104" t="s">
        <v>37</v>
      </c>
      <c r="F6" s="104" t="s">
        <v>38</v>
      </c>
    </row>
    <row r="7" spans="1:6" ht="12.75" customHeight="1">
      <c r="A7" s="73"/>
      <c r="B7" s="82"/>
      <c r="C7" s="105"/>
      <c r="D7" s="104"/>
      <c r="E7" s="104"/>
      <c r="F7" s="104"/>
    </row>
    <row r="8" spans="1:6" ht="27.75" customHeight="1">
      <c r="A8" s="73"/>
      <c r="B8" s="104"/>
      <c r="C8" s="105"/>
      <c r="D8" s="104"/>
      <c r="E8" s="104"/>
      <c r="F8" s="106"/>
    </row>
    <row r="9" spans="1:6" ht="18.75" customHeight="1">
      <c r="A9" s="73"/>
      <c r="B9" s="104"/>
      <c r="C9" s="105"/>
      <c r="D9" s="104"/>
      <c r="E9" s="104"/>
      <c r="F9" s="106"/>
    </row>
    <row r="10" spans="1:6" ht="21" customHeight="1">
      <c r="A10" s="73"/>
      <c r="B10" s="104"/>
      <c r="C10" s="105"/>
      <c r="D10" s="104"/>
      <c r="E10" s="104"/>
      <c r="F10" s="106"/>
    </row>
    <row r="11" spans="1:6">
      <c r="A11" s="73"/>
      <c r="B11" s="73"/>
      <c r="C11" s="73"/>
      <c r="D11" s="73"/>
      <c r="E11" s="73"/>
      <c r="F11" s="73"/>
    </row>
    <row r="12" spans="1:6" ht="68.25" customHeight="1">
      <c r="A12" s="119" t="s">
        <v>39</v>
      </c>
      <c r="B12" s="107" t="s">
        <v>40</v>
      </c>
      <c r="C12" s="124" t="s">
        <v>41</v>
      </c>
      <c r="D12" s="125"/>
      <c r="E12" s="125"/>
      <c r="F12" s="125"/>
    </row>
    <row r="13" spans="1:6" ht="68.25" customHeight="1">
      <c r="A13" s="120"/>
      <c r="B13" s="107" t="s">
        <v>42</v>
      </c>
      <c r="C13" s="125" t="s">
        <v>43</v>
      </c>
      <c r="D13" s="125"/>
      <c r="E13" s="125"/>
      <c r="F13" s="125"/>
    </row>
    <row r="14" spans="1:6" ht="68.25" customHeight="1">
      <c r="A14" s="120"/>
      <c r="B14" s="107" t="s">
        <v>44</v>
      </c>
      <c r="C14" s="125" t="s">
        <v>45</v>
      </c>
      <c r="D14" s="125"/>
      <c r="E14" s="125"/>
      <c r="F14" s="125"/>
    </row>
    <row r="15" spans="1:6" ht="68.25" customHeight="1">
      <c r="A15" s="121"/>
      <c r="B15" s="107" t="s">
        <v>46</v>
      </c>
      <c r="C15" s="125" t="s">
        <v>47</v>
      </c>
      <c r="D15" s="125"/>
      <c r="E15" s="125"/>
      <c r="F15" s="125"/>
    </row>
    <row r="16" spans="1:6" ht="14.25">
      <c r="A16" s="108"/>
    </row>
    <row r="17" spans="1:1" ht="14.25">
      <c r="A17" s="109"/>
    </row>
    <row r="18" spans="1:1" ht="14.25">
      <c r="A18" s="110" t="s">
        <v>48</v>
      </c>
    </row>
    <row r="19" spans="1:1">
      <c r="A19" s="111"/>
    </row>
    <row r="20" spans="1:1" ht="14.25">
      <c r="A20" s="112"/>
    </row>
    <row r="21" spans="1:1" ht="14.25">
      <c r="A21" s="113"/>
    </row>
  </sheetData>
  <mergeCells count="7">
    <mergeCell ref="A12:A15"/>
    <mergeCell ref="A1:F2"/>
    <mergeCell ref="B4:F4"/>
    <mergeCell ref="C12:F12"/>
    <mergeCell ref="C13:F13"/>
    <mergeCell ref="C14:F14"/>
    <mergeCell ref="C15:F15"/>
  </mergeCells>
  <phoneticPr fontId="91"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I16"/>
  <sheetViews>
    <sheetView workbookViewId="0">
      <selection activeCell="F24" sqref="F24"/>
    </sheetView>
  </sheetViews>
  <sheetFormatPr defaultColWidth="9" defaultRowHeight="13.5"/>
  <sheetData>
    <row r="1" spans="1:9" ht="14.25">
      <c r="A1" s="131" t="s">
        <v>49</v>
      </c>
      <c r="B1" s="132"/>
      <c r="C1" s="132"/>
      <c r="D1" s="132"/>
      <c r="E1" s="132"/>
      <c r="F1" s="132"/>
      <c r="G1" s="132"/>
      <c r="H1" s="132"/>
      <c r="I1" s="132"/>
    </row>
    <row r="2" spans="1:9">
      <c r="A2" s="129" t="s">
        <v>50</v>
      </c>
      <c r="B2" s="130"/>
      <c r="C2" s="130"/>
      <c r="D2" s="130"/>
      <c r="E2" s="130"/>
      <c r="F2" s="130"/>
      <c r="G2" s="130"/>
      <c r="H2" s="130"/>
      <c r="I2" s="130"/>
    </row>
    <row r="3" spans="1:9">
      <c r="A3" s="130"/>
      <c r="B3" s="130"/>
      <c r="C3" s="130"/>
      <c r="D3" s="130"/>
      <c r="E3" s="130"/>
      <c r="F3" s="130"/>
      <c r="G3" s="130"/>
      <c r="H3" s="130"/>
      <c r="I3" s="130"/>
    </row>
    <row r="4" spans="1:9">
      <c r="A4" s="130"/>
      <c r="B4" s="130"/>
      <c r="C4" s="130"/>
      <c r="D4" s="130"/>
      <c r="E4" s="130"/>
      <c r="F4" s="130"/>
      <c r="G4" s="130"/>
      <c r="H4" s="130"/>
      <c r="I4" s="130"/>
    </row>
    <row r="5" spans="1:9">
      <c r="A5" s="130"/>
      <c r="B5" s="130"/>
      <c r="C5" s="130"/>
      <c r="D5" s="130"/>
      <c r="E5" s="130"/>
      <c r="F5" s="130"/>
      <c r="G5" s="130"/>
      <c r="H5" s="130"/>
      <c r="I5" s="130"/>
    </row>
    <row r="6" spans="1:9">
      <c r="A6" s="130"/>
      <c r="B6" s="130"/>
      <c r="C6" s="130"/>
      <c r="D6" s="130"/>
      <c r="E6" s="130"/>
      <c r="F6" s="130"/>
      <c r="G6" s="130"/>
      <c r="H6" s="130"/>
      <c r="I6" s="130"/>
    </row>
    <row r="7" spans="1:9">
      <c r="A7" s="130"/>
      <c r="B7" s="130"/>
      <c r="C7" s="130"/>
      <c r="D7" s="130"/>
      <c r="E7" s="130"/>
      <c r="F7" s="130"/>
      <c r="G7" s="130"/>
      <c r="H7" s="130"/>
      <c r="I7" s="130"/>
    </row>
    <row r="8" spans="1:9">
      <c r="A8" s="130"/>
      <c r="B8" s="130"/>
      <c r="C8" s="130"/>
      <c r="D8" s="130"/>
      <c r="E8" s="130"/>
      <c r="F8" s="130"/>
      <c r="G8" s="130"/>
      <c r="H8" s="130"/>
      <c r="I8" s="130"/>
    </row>
    <row r="9" spans="1:9">
      <c r="A9" s="130"/>
      <c r="B9" s="130"/>
      <c r="C9" s="130"/>
      <c r="D9" s="130"/>
      <c r="E9" s="130"/>
      <c r="F9" s="130"/>
      <c r="G9" s="130"/>
      <c r="H9" s="130"/>
      <c r="I9" s="130"/>
    </row>
    <row r="10" spans="1:9" ht="14.25">
      <c r="A10" s="131" t="s">
        <v>51</v>
      </c>
      <c r="B10" s="132"/>
      <c r="C10" s="132"/>
      <c r="D10" s="132"/>
      <c r="E10" s="132"/>
      <c r="F10" s="132"/>
      <c r="G10" s="132"/>
      <c r="H10" s="132"/>
      <c r="I10" s="132"/>
    </row>
    <row r="11" spans="1:9">
      <c r="A11" s="93" t="s">
        <v>52</v>
      </c>
      <c r="B11" s="93" t="s">
        <v>53</v>
      </c>
      <c r="C11" s="133" t="s">
        <v>54</v>
      </c>
      <c r="D11" s="134"/>
      <c r="E11" s="134"/>
      <c r="F11" s="134"/>
      <c r="G11" s="134"/>
      <c r="H11" s="134"/>
      <c r="I11" s="135"/>
    </row>
    <row r="12" spans="1:9" ht="14.25">
      <c r="A12" s="94">
        <v>1</v>
      </c>
      <c r="B12" s="95" t="s">
        <v>55</v>
      </c>
      <c r="C12" s="126" t="s">
        <v>56</v>
      </c>
      <c r="D12" s="127"/>
      <c r="E12" s="127"/>
      <c r="F12" s="127"/>
      <c r="G12" s="127"/>
      <c r="H12" s="127"/>
      <c r="I12" s="128"/>
    </row>
    <row r="13" spans="1:9" ht="14.25">
      <c r="A13" s="92">
        <v>2</v>
      </c>
      <c r="B13" s="96" t="s">
        <v>57</v>
      </c>
      <c r="C13" s="126" t="s">
        <v>58</v>
      </c>
      <c r="D13" s="127"/>
      <c r="E13" s="127"/>
      <c r="F13" s="127"/>
      <c r="G13" s="127"/>
      <c r="H13" s="127"/>
      <c r="I13" s="128"/>
    </row>
    <row r="14" spans="1:9" ht="14.25">
      <c r="A14" s="92">
        <v>3</v>
      </c>
      <c r="B14" s="93" t="s">
        <v>59</v>
      </c>
      <c r="C14" s="126" t="s">
        <v>60</v>
      </c>
      <c r="D14" s="127"/>
      <c r="E14" s="127"/>
      <c r="F14" s="127"/>
      <c r="G14" s="127"/>
      <c r="H14" s="127"/>
      <c r="I14" s="128"/>
    </row>
    <row r="15" spans="1:9" ht="14.25">
      <c r="A15" s="92">
        <v>4</v>
      </c>
      <c r="B15" s="97" t="s">
        <v>61</v>
      </c>
      <c r="C15" s="126" t="s">
        <v>62</v>
      </c>
      <c r="D15" s="127"/>
      <c r="E15" s="127"/>
      <c r="F15" s="127"/>
      <c r="G15" s="127"/>
      <c r="H15" s="127"/>
      <c r="I15" s="128"/>
    </row>
    <row r="16" spans="1:9" ht="14.25">
      <c r="A16" s="92">
        <v>5</v>
      </c>
      <c r="B16" s="98" t="s">
        <v>63</v>
      </c>
      <c r="C16" s="126" t="s">
        <v>64</v>
      </c>
      <c r="D16" s="127"/>
      <c r="E16" s="127"/>
      <c r="F16" s="127"/>
      <c r="G16" s="127"/>
      <c r="H16" s="127"/>
      <c r="I16" s="128"/>
    </row>
  </sheetData>
  <mergeCells count="10">
    <mergeCell ref="A1:I1"/>
    <mergeCell ref="A9:I9"/>
    <mergeCell ref="A10:I10"/>
    <mergeCell ref="C11:I11"/>
    <mergeCell ref="C12:I12"/>
    <mergeCell ref="C13:I13"/>
    <mergeCell ref="C14:I14"/>
    <mergeCell ref="C15:I15"/>
    <mergeCell ref="C16:I16"/>
    <mergeCell ref="A2:I8"/>
  </mergeCells>
  <phoneticPr fontId="91"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Q23"/>
  <sheetViews>
    <sheetView showGridLines="0" workbookViewId="0">
      <selection activeCell="F10" sqref="F10"/>
    </sheetView>
  </sheetViews>
  <sheetFormatPr defaultColWidth="9" defaultRowHeight="12"/>
  <cols>
    <col min="1" max="1" width="9" style="1"/>
    <col min="2" max="2" width="12.25" style="1" customWidth="1"/>
    <col min="3" max="4" width="10" style="1" customWidth="1"/>
    <col min="5" max="7" width="11.375" style="1" customWidth="1"/>
    <col min="8" max="8" width="10" style="1" customWidth="1"/>
    <col min="9" max="9" width="11" style="1" customWidth="1"/>
    <col min="10" max="10" width="11.25" style="1" customWidth="1"/>
    <col min="11" max="16384" width="9" style="1"/>
  </cols>
  <sheetData>
    <row r="1" spans="1:17" ht="12" customHeight="1">
      <c r="A1" s="136" t="s">
        <v>138</v>
      </c>
      <c r="B1" s="137"/>
      <c r="C1" s="137"/>
      <c r="D1" s="137"/>
      <c r="E1" s="137"/>
      <c r="F1" s="137"/>
      <c r="G1" s="137"/>
      <c r="H1" s="137"/>
      <c r="I1" s="138"/>
      <c r="J1" s="89"/>
      <c r="K1" s="89"/>
      <c r="L1" s="89"/>
      <c r="M1" s="89"/>
      <c r="N1" s="89"/>
      <c r="O1" s="89"/>
      <c r="P1" s="89"/>
      <c r="Q1" s="89"/>
    </row>
    <row r="2" spans="1:17" ht="12" customHeight="1">
      <c r="A2" s="139"/>
      <c r="B2" s="140"/>
      <c r="C2" s="140"/>
      <c r="D2" s="140"/>
      <c r="E2" s="140"/>
      <c r="F2" s="140"/>
      <c r="G2" s="140"/>
      <c r="H2" s="140"/>
      <c r="I2" s="141"/>
      <c r="J2" s="90"/>
      <c r="K2" s="90"/>
      <c r="L2" s="90"/>
      <c r="M2" s="90"/>
      <c r="N2" s="90"/>
      <c r="O2" s="90"/>
      <c r="P2" s="90"/>
      <c r="Q2" s="90"/>
    </row>
    <row r="3" spans="1:17" ht="20.25">
      <c r="A3" s="142"/>
      <c r="B3" s="143"/>
      <c r="C3" s="143"/>
      <c r="D3" s="143"/>
      <c r="E3" s="143"/>
      <c r="F3" s="143"/>
      <c r="G3" s="143"/>
      <c r="H3" s="143"/>
      <c r="I3" s="144"/>
      <c r="J3" s="90"/>
      <c r="K3" s="90"/>
      <c r="L3" s="90"/>
      <c r="M3" s="90"/>
      <c r="N3" s="90"/>
      <c r="O3" s="90"/>
      <c r="P3" s="90"/>
      <c r="Q3" s="90"/>
    </row>
    <row r="4" spans="1:17" ht="11.25" customHeight="1">
      <c r="A4" s="74"/>
      <c r="B4" s="75"/>
      <c r="C4" s="75"/>
      <c r="D4" s="75"/>
      <c r="E4" s="75"/>
      <c r="F4" s="75"/>
      <c r="G4" s="75"/>
      <c r="H4" s="75"/>
      <c r="I4" s="76"/>
      <c r="J4" s="91"/>
      <c r="K4" s="91"/>
      <c r="L4" s="91"/>
      <c r="M4" s="91"/>
      <c r="N4" s="91"/>
      <c r="O4" s="91"/>
      <c r="P4" s="91"/>
      <c r="Q4" s="91"/>
    </row>
    <row r="5" spans="1:17" ht="13.5" customHeight="1">
      <c r="A5" s="2" t="s">
        <v>65</v>
      </c>
      <c r="B5" s="32"/>
      <c r="C5" s="77"/>
      <c r="D5" s="77"/>
      <c r="E5" s="77"/>
      <c r="F5" s="77"/>
      <c r="G5" s="77"/>
      <c r="H5" s="77"/>
      <c r="I5" s="78"/>
    </row>
    <row r="6" spans="1:17" ht="12" customHeight="1">
      <c r="A6" s="5" t="s">
        <v>66</v>
      </c>
      <c r="B6" s="77"/>
      <c r="C6" s="77"/>
      <c r="D6" s="77"/>
      <c r="E6" s="77"/>
      <c r="F6" s="77"/>
      <c r="G6" s="77"/>
      <c r="H6" s="77"/>
      <c r="I6" s="78"/>
    </row>
    <row r="7" spans="1:17" ht="15.75" customHeight="1" thickBot="1">
      <c r="A7" s="5" t="s">
        <v>67</v>
      </c>
      <c r="B7" s="79"/>
      <c r="C7" s="79"/>
      <c r="D7" s="79"/>
      <c r="E7" s="79"/>
      <c r="F7" s="79"/>
      <c r="G7" s="79"/>
      <c r="H7" s="79"/>
      <c r="I7" s="80"/>
    </row>
    <row r="8" spans="1:17" ht="16.5" customHeight="1" thickTop="1">
      <c r="A8" s="146" t="s">
        <v>63</v>
      </c>
      <c r="B8" s="151" t="s">
        <v>68</v>
      </c>
      <c r="C8" s="151" t="s">
        <v>69</v>
      </c>
      <c r="D8" s="151" t="s">
        <v>70</v>
      </c>
      <c r="E8" s="151" t="s">
        <v>71</v>
      </c>
      <c r="F8" s="151" t="s">
        <v>72</v>
      </c>
      <c r="G8" s="151" t="s">
        <v>73</v>
      </c>
      <c r="H8" s="151" t="s">
        <v>130</v>
      </c>
      <c r="I8" s="151" t="s">
        <v>74</v>
      </c>
    </row>
    <row r="9" spans="1:17" ht="23.1" customHeight="1">
      <c r="A9" s="147"/>
      <c r="B9" s="152"/>
      <c r="C9" s="152"/>
      <c r="D9" s="152"/>
      <c r="E9" s="152"/>
      <c r="F9" s="152"/>
      <c r="G9" s="152"/>
      <c r="H9" s="152"/>
      <c r="I9" s="152"/>
    </row>
    <row r="10" spans="1:17" s="73" customFormat="1" ht="23.1" customHeight="1">
      <c r="A10" s="148" t="s">
        <v>138</v>
      </c>
      <c r="B10" s="81" t="s">
        <v>132</v>
      </c>
      <c r="C10" s="82"/>
      <c r="D10" s="82"/>
      <c r="E10" s="82">
        <v>5</v>
      </c>
      <c r="F10" s="82">
        <v>5</v>
      </c>
      <c r="G10" s="83">
        <f>F10/E10</f>
        <v>1</v>
      </c>
      <c r="H10" s="118"/>
      <c r="I10" s="82"/>
    </row>
    <row r="11" spans="1:17" s="73" customFormat="1" ht="23.1" customHeight="1">
      <c r="A11" s="149"/>
      <c r="B11" s="81" t="s">
        <v>133</v>
      </c>
      <c r="C11" s="84"/>
      <c r="D11" s="84"/>
      <c r="E11" s="82">
        <v>12</v>
      </c>
      <c r="F11" s="82">
        <v>6</v>
      </c>
      <c r="G11" s="83">
        <f t="shared" ref="G11:G15" si="0">F11/E11</f>
        <v>0.5</v>
      </c>
      <c r="H11" s="118"/>
      <c r="I11" s="84"/>
    </row>
    <row r="12" spans="1:17" s="73" customFormat="1" ht="23.1" customHeight="1">
      <c r="A12" s="149"/>
      <c r="B12" s="81" t="s">
        <v>134</v>
      </c>
      <c r="C12" s="84"/>
      <c r="D12" s="84"/>
      <c r="E12" s="82">
        <v>10</v>
      </c>
      <c r="F12" s="82">
        <v>8</v>
      </c>
      <c r="G12" s="83">
        <f t="shared" si="0"/>
        <v>0.8</v>
      </c>
      <c r="H12" s="118"/>
      <c r="I12" s="84"/>
    </row>
    <row r="13" spans="1:17" s="73" customFormat="1" ht="23.1" customHeight="1">
      <c r="A13" s="149"/>
      <c r="B13" s="81" t="s">
        <v>135</v>
      </c>
      <c r="C13" s="84"/>
      <c r="D13" s="84"/>
      <c r="E13" s="82">
        <v>8</v>
      </c>
      <c r="F13" s="82">
        <v>8</v>
      </c>
      <c r="G13" s="83">
        <f t="shared" si="0"/>
        <v>1</v>
      </c>
      <c r="H13" s="118"/>
      <c r="I13" s="84"/>
      <c r="P13" s="1"/>
    </row>
    <row r="14" spans="1:17" s="73" customFormat="1" ht="23.1" customHeight="1">
      <c r="A14" s="149"/>
      <c r="B14" s="81" t="s">
        <v>136</v>
      </c>
      <c r="C14" s="84"/>
      <c r="D14" s="84"/>
      <c r="E14" s="82">
        <v>7</v>
      </c>
      <c r="F14" s="82">
        <v>7</v>
      </c>
      <c r="G14" s="83">
        <f t="shared" si="0"/>
        <v>1</v>
      </c>
      <c r="H14" s="118"/>
      <c r="I14" s="82"/>
      <c r="P14" s="1"/>
    </row>
    <row r="15" spans="1:17" ht="18.75" customHeight="1" thickBot="1">
      <c r="A15" s="150"/>
      <c r="B15" s="85" t="s">
        <v>75</v>
      </c>
      <c r="C15" s="87" t="s">
        <v>128</v>
      </c>
      <c r="D15" s="87" t="s">
        <v>128</v>
      </c>
      <c r="E15" s="86">
        <f>SUM(E10:E14)</f>
        <v>42</v>
      </c>
      <c r="F15" s="87">
        <f>SUM(F10:F14)</f>
        <v>34</v>
      </c>
      <c r="G15" s="88">
        <f t="shared" si="0"/>
        <v>0.80952380952380953</v>
      </c>
      <c r="H15" s="117" t="s">
        <v>131</v>
      </c>
      <c r="I15" s="117" t="s">
        <v>131</v>
      </c>
      <c r="N15" s="73"/>
    </row>
    <row r="16" spans="1:17" ht="18.75" customHeight="1" thickTop="1">
      <c r="A16" s="145"/>
      <c r="B16" s="145"/>
      <c r="C16" s="145"/>
      <c r="D16" s="145"/>
      <c r="E16" s="145"/>
      <c r="F16" s="145"/>
      <c r="G16" s="145"/>
      <c r="H16" s="145"/>
      <c r="I16" s="145"/>
    </row>
    <row r="20" spans="2:8" ht="13.5">
      <c r="B20"/>
      <c r="C20"/>
      <c r="D20"/>
      <c r="E20"/>
      <c r="F20"/>
      <c r="G20"/>
      <c r="H20"/>
    </row>
    <row r="21" spans="2:8" ht="13.5">
      <c r="B21"/>
      <c r="C21"/>
      <c r="D21"/>
      <c r="E21"/>
      <c r="F21"/>
      <c r="G21"/>
      <c r="H21"/>
    </row>
    <row r="22" spans="2:8" ht="13.5">
      <c r="B22"/>
      <c r="C22"/>
      <c r="D22"/>
      <c r="E22"/>
      <c r="F22"/>
      <c r="G22"/>
      <c r="H22"/>
    </row>
    <row r="23" spans="2:8" ht="13.5">
      <c r="B23"/>
      <c r="C23"/>
      <c r="D23"/>
      <c r="E23"/>
      <c r="F23"/>
      <c r="G23"/>
      <c r="H23"/>
    </row>
  </sheetData>
  <mergeCells count="13">
    <mergeCell ref="A1:I2"/>
    <mergeCell ref="A3:I3"/>
    <mergeCell ref="A16:I16"/>
    <mergeCell ref="A8:A9"/>
    <mergeCell ref="A10:A15"/>
    <mergeCell ref="B8:B9"/>
    <mergeCell ref="C8:C9"/>
    <mergeCell ref="D8:D9"/>
    <mergeCell ref="E8:E9"/>
    <mergeCell ref="F8:F9"/>
    <mergeCell ref="G8:G9"/>
    <mergeCell ref="I8:I9"/>
    <mergeCell ref="H8:H9"/>
  </mergeCells>
  <phoneticPr fontId="91" type="noConversion"/>
  <pageMargins left="0.69930555555555596" right="0.69930555555555596" top="0.75" bottom="0.75" header="0.3" footer="0.3"/>
  <pageSetup paperSize="9"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X45"/>
  <sheetViews>
    <sheetView showGridLines="0" workbookViewId="0">
      <selection activeCell="N11" sqref="N11"/>
    </sheetView>
  </sheetViews>
  <sheetFormatPr defaultColWidth="9" defaultRowHeight="12"/>
  <cols>
    <col min="1" max="1" width="3.875" style="46" customWidth="1"/>
    <col min="2" max="2" width="21.125" style="47" customWidth="1"/>
    <col min="3" max="7" width="7.25" style="47" customWidth="1"/>
    <col min="8" max="8" width="8.375" style="47" customWidth="1"/>
    <col min="9" max="18" width="7.25" style="47" customWidth="1"/>
    <col min="19" max="19" width="11.125" style="47" customWidth="1"/>
    <col min="20" max="20" width="13.25" style="47" customWidth="1"/>
    <col min="21" max="21" width="4.375" style="47" customWidth="1"/>
    <col min="22" max="22" width="10.75" style="47" customWidth="1"/>
    <col min="23" max="260" width="9" style="47"/>
    <col min="261" max="261" width="3.875" style="47" customWidth="1"/>
    <col min="262" max="262" width="21.125" style="47" customWidth="1"/>
    <col min="263" max="267" width="7.25" style="47" customWidth="1"/>
    <col min="268" max="268" width="8.375" style="47" customWidth="1"/>
    <col min="269" max="274" width="7.25" style="47" customWidth="1"/>
    <col min="275" max="275" width="18.625" style="47" customWidth="1"/>
    <col min="276" max="276" width="19.125" style="47" customWidth="1"/>
    <col min="277" max="277" width="4.375" style="47" customWidth="1"/>
    <col min="278" max="278" width="10.75" style="47" customWidth="1"/>
    <col min="279" max="516" width="9" style="47"/>
    <col min="517" max="517" width="3.875" style="47" customWidth="1"/>
    <col min="518" max="518" width="21.125" style="47" customWidth="1"/>
    <col min="519" max="523" width="7.25" style="47" customWidth="1"/>
    <col min="524" max="524" width="8.375" style="47" customWidth="1"/>
    <col min="525" max="530" width="7.25" style="47" customWidth="1"/>
    <col min="531" max="531" width="18.625" style="47" customWidth="1"/>
    <col min="532" max="532" width="19.125" style="47" customWidth="1"/>
    <col min="533" max="533" width="4.375" style="47" customWidth="1"/>
    <col min="534" max="534" width="10.75" style="47" customWidth="1"/>
    <col min="535" max="772" width="9" style="47"/>
    <col min="773" max="773" width="3.875" style="47" customWidth="1"/>
    <col min="774" max="774" width="21.125" style="47" customWidth="1"/>
    <col min="775" max="779" width="7.25" style="47" customWidth="1"/>
    <col min="780" max="780" width="8.375" style="47" customWidth="1"/>
    <col min="781" max="786" width="7.25" style="47" customWidth="1"/>
    <col min="787" max="787" width="18.625" style="47" customWidth="1"/>
    <col min="788" max="788" width="19.125" style="47" customWidth="1"/>
    <col min="789" max="789" width="4.375" style="47" customWidth="1"/>
    <col min="790" max="790" width="10.75" style="47" customWidth="1"/>
    <col min="791" max="1028" width="9" style="47"/>
    <col min="1029" max="1029" width="3.875" style="47" customWidth="1"/>
    <col min="1030" max="1030" width="21.125" style="47" customWidth="1"/>
    <col min="1031" max="1035" width="7.25" style="47" customWidth="1"/>
    <col min="1036" max="1036" width="8.375" style="47" customWidth="1"/>
    <col min="1037" max="1042" width="7.25" style="47" customWidth="1"/>
    <col min="1043" max="1043" width="18.625" style="47" customWidth="1"/>
    <col min="1044" max="1044" width="19.125" style="47" customWidth="1"/>
    <col min="1045" max="1045" width="4.375" style="47" customWidth="1"/>
    <col min="1046" max="1046" width="10.75" style="47" customWidth="1"/>
    <col min="1047" max="1284" width="9" style="47"/>
    <col min="1285" max="1285" width="3.875" style="47" customWidth="1"/>
    <col min="1286" max="1286" width="21.125" style="47" customWidth="1"/>
    <col min="1287" max="1291" width="7.25" style="47" customWidth="1"/>
    <col min="1292" max="1292" width="8.375" style="47" customWidth="1"/>
    <col min="1293" max="1298" width="7.25" style="47" customWidth="1"/>
    <col min="1299" max="1299" width="18.625" style="47" customWidth="1"/>
    <col min="1300" max="1300" width="19.125" style="47" customWidth="1"/>
    <col min="1301" max="1301" width="4.375" style="47" customWidth="1"/>
    <col min="1302" max="1302" width="10.75" style="47" customWidth="1"/>
    <col min="1303" max="1540" width="9" style="47"/>
    <col min="1541" max="1541" width="3.875" style="47" customWidth="1"/>
    <col min="1542" max="1542" width="21.125" style="47" customWidth="1"/>
    <col min="1543" max="1547" width="7.25" style="47" customWidth="1"/>
    <col min="1548" max="1548" width="8.375" style="47" customWidth="1"/>
    <col min="1549" max="1554" width="7.25" style="47" customWidth="1"/>
    <col min="1555" max="1555" width="18.625" style="47" customWidth="1"/>
    <col min="1556" max="1556" width="19.125" style="47" customWidth="1"/>
    <col min="1557" max="1557" width="4.375" style="47" customWidth="1"/>
    <col min="1558" max="1558" width="10.75" style="47" customWidth="1"/>
    <col min="1559" max="1796" width="9" style="47"/>
    <col min="1797" max="1797" width="3.875" style="47" customWidth="1"/>
    <col min="1798" max="1798" width="21.125" style="47" customWidth="1"/>
    <col min="1799" max="1803" width="7.25" style="47" customWidth="1"/>
    <col min="1804" max="1804" width="8.375" style="47" customWidth="1"/>
    <col min="1805" max="1810" width="7.25" style="47" customWidth="1"/>
    <col min="1811" max="1811" width="18.625" style="47" customWidth="1"/>
    <col min="1812" max="1812" width="19.125" style="47" customWidth="1"/>
    <col min="1813" max="1813" width="4.375" style="47" customWidth="1"/>
    <col min="1814" max="1814" width="10.75" style="47" customWidth="1"/>
    <col min="1815" max="2052" width="9" style="47"/>
    <col min="2053" max="2053" width="3.875" style="47" customWidth="1"/>
    <col min="2054" max="2054" width="21.125" style="47" customWidth="1"/>
    <col min="2055" max="2059" width="7.25" style="47" customWidth="1"/>
    <col min="2060" max="2060" width="8.375" style="47" customWidth="1"/>
    <col min="2061" max="2066" width="7.25" style="47" customWidth="1"/>
    <col min="2067" max="2067" width="18.625" style="47" customWidth="1"/>
    <col min="2068" max="2068" width="19.125" style="47" customWidth="1"/>
    <col min="2069" max="2069" width="4.375" style="47" customWidth="1"/>
    <col min="2070" max="2070" width="10.75" style="47" customWidth="1"/>
    <col min="2071" max="2308" width="9" style="47"/>
    <col min="2309" max="2309" width="3.875" style="47" customWidth="1"/>
    <col min="2310" max="2310" width="21.125" style="47" customWidth="1"/>
    <col min="2311" max="2315" width="7.25" style="47" customWidth="1"/>
    <col min="2316" max="2316" width="8.375" style="47" customWidth="1"/>
    <col min="2317" max="2322" width="7.25" style="47" customWidth="1"/>
    <col min="2323" max="2323" width="18.625" style="47" customWidth="1"/>
    <col min="2324" max="2324" width="19.125" style="47" customWidth="1"/>
    <col min="2325" max="2325" width="4.375" style="47" customWidth="1"/>
    <col min="2326" max="2326" width="10.75" style="47" customWidth="1"/>
    <col min="2327" max="2564" width="9" style="47"/>
    <col min="2565" max="2565" width="3.875" style="47" customWidth="1"/>
    <col min="2566" max="2566" width="21.125" style="47" customWidth="1"/>
    <col min="2567" max="2571" width="7.25" style="47" customWidth="1"/>
    <col min="2572" max="2572" width="8.375" style="47" customWidth="1"/>
    <col min="2573" max="2578" width="7.25" style="47" customWidth="1"/>
    <col min="2579" max="2579" width="18.625" style="47" customWidth="1"/>
    <col min="2580" max="2580" width="19.125" style="47" customWidth="1"/>
    <col min="2581" max="2581" width="4.375" style="47" customWidth="1"/>
    <col min="2582" max="2582" width="10.75" style="47" customWidth="1"/>
    <col min="2583" max="2820" width="9" style="47"/>
    <col min="2821" max="2821" width="3.875" style="47" customWidth="1"/>
    <col min="2822" max="2822" width="21.125" style="47" customWidth="1"/>
    <col min="2823" max="2827" width="7.25" style="47" customWidth="1"/>
    <col min="2828" max="2828" width="8.375" style="47" customWidth="1"/>
    <col min="2829" max="2834" width="7.25" style="47" customWidth="1"/>
    <col min="2835" max="2835" width="18.625" style="47" customWidth="1"/>
    <col min="2836" max="2836" width="19.125" style="47" customWidth="1"/>
    <col min="2837" max="2837" width="4.375" style="47" customWidth="1"/>
    <col min="2838" max="2838" width="10.75" style="47" customWidth="1"/>
    <col min="2839" max="3076" width="9" style="47"/>
    <col min="3077" max="3077" width="3.875" style="47" customWidth="1"/>
    <col min="3078" max="3078" width="21.125" style="47" customWidth="1"/>
    <col min="3079" max="3083" width="7.25" style="47" customWidth="1"/>
    <col min="3084" max="3084" width="8.375" style="47" customWidth="1"/>
    <col min="3085" max="3090" width="7.25" style="47" customWidth="1"/>
    <col min="3091" max="3091" width="18.625" style="47" customWidth="1"/>
    <col min="3092" max="3092" width="19.125" style="47" customWidth="1"/>
    <col min="3093" max="3093" width="4.375" style="47" customWidth="1"/>
    <col min="3094" max="3094" width="10.75" style="47" customWidth="1"/>
    <col min="3095" max="3332" width="9" style="47"/>
    <col min="3333" max="3333" width="3.875" style="47" customWidth="1"/>
    <col min="3334" max="3334" width="21.125" style="47" customWidth="1"/>
    <col min="3335" max="3339" width="7.25" style="47" customWidth="1"/>
    <col min="3340" max="3340" width="8.375" style="47" customWidth="1"/>
    <col min="3341" max="3346" width="7.25" style="47" customWidth="1"/>
    <col min="3347" max="3347" width="18.625" style="47" customWidth="1"/>
    <col min="3348" max="3348" width="19.125" style="47" customWidth="1"/>
    <col min="3349" max="3349" width="4.375" style="47" customWidth="1"/>
    <col min="3350" max="3350" width="10.75" style="47" customWidth="1"/>
    <col min="3351" max="3588" width="9" style="47"/>
    <col min="3589" max="3589" width="3.875" style="47" customWidth="1"/>
    <col min="3590" max="3590" width="21.125" style="47" customWidth="1"/>
    <col min="3591" max="3595" width="7.25" style="47" customWidth="1"/>
    <col min="3596" max="3596" width="8.375" style="47" customWidth="1"/>
    <col min="3597" max="3602" width="7.25" style="47" customWidth="1"/>
    <col min="3603" max="3603" width="18.625" style="47" customWidth="1"/>
    <col min="3604" max="3604" width="19.125" style="47" customWidth="1"/>
    <col min="3605" max="3605" width="4.375" style="47" customWidth="1"/>
    <col min="3606" max="3606" width="10.75" style="47" customWidth="1"/>
    <col min="3607" max="3844" width="9" style="47"/>
    <col min="3845" max="3845" width="3.875" style="47" customWidth="1"/>
    <col min="3846" max="3846" width="21.125" style="47" customWidth="1"/>
    <col min="3847" max="3851" width="7.25" style="47" customWidth="1"/>
    <col min="3852" max="3852" width="8.375" style="47" customWidth="1"/>
    <col min="3853" max="3858" width="7.25" style="47" customWidth="1"/>
    <col min="3859" max="3859" width="18.625" style="47" customWidth="1"/>
    <col min="3860" max="3860" width="19.125" style="47" customWidth="1"/>
    <col min="3861" max="3861" width="4.375" style="47" customWidth="1"/>
    <col min="3862" max="3862" width="10.75" style="47" customWidth="1"/>
    <col min="3863" max="4100" width="9" style="47"/>
    <col min="4101" max="4101" width="3.875" style="47" customWidth="1"/>
    <col min="4102" max="4102" width="21.125" style="47" customWidth="1"/>
    <col min="4103" max="4107" width="7.25" style="47" customWidth="1"/>
    <col min="4108" max="4108" width="8.375" style="47" customWidth="1"/>
    <col min="4109" max="4114" width="7.25" style="47" customWidth="1"/>
    <col min="4115" max="4115" width="18.625" style="47" customWidth="1"/>
    <col min="4116" max="4116" width="19.125" style="47" customWidth="1"/>
    <col min="4117" max="4117" width="4.375" style="47" customWidth="1"/>
    <col min="4118" max="4118" width="10.75" style="47" customWidth="1"/>
    <col min="4119" max="4356" width="9" style="47"/>
    <col min="4357" max="4357" width="3.875" style="47" customWidth="1"/>
    <col min="4358" max="4358" width="21.125" style="47" customWidth="1"/>
    <col min="4359" max="4363" width="7.25" style="47" customWidth="1"/>
    <col min="4364" max="4364" width="8.375" style="47" customWidth="1"/>
    <col min="4365" max="4370" width="7.25" style="47" customWidth="1"/>
    <col min="4371" max="4371" width="18.625" style="47" customWidth="1"/>
    <col min="4372" max="4372" width="19.125" style="47" customWidth="1"/>
    <col min="4373" max="4373" width="4.375" style="47" customWidth="1"/>
    <col min="4374" max="4374" width="10.75" style="47" customWidth="1"/>
    <col min="4375" max="4612" width="9" style="47"/>
    <col min="4613" max="4613" width="3.875" style="47" customWidth="1"/>
    <col min="4614" max="4614" width="21.125" style="47" customWidth="1"/>
    <col min="4615" max="4619" width="7.25" style="47" customWidth="1"/>
    <col min="4620" max="4620" width="8.375" style="47" customWidth="1"/>
    <col min="4621" max="4626" width="7.25" style="47" customWidth="1"/>
    <col min="4627" max="4627" width="18.625" style="47" customWidth="1"/>
    <col min="4628" max="4628" width="19.125" style="47" customWidth="1"/>
    <col min="4629" max="4629" width="4.375" style="47" customWidth="1"/>
    <col min="4630" max="4630" width="10.75" style="47" customWidth="1"/>
    <col min="4631" max="4868" width="9" style="47"/>
    <col min="4869" max="4869" width="3.875" style="47" customWidth="1"/>
    <col min="4870" max="4870" width="21.125" style="47" customWidth="1"/>
    <col min="4871" max="4875" width="7.25" style="47" customWidth="1"/>
    <col min="4876" max="4876" width="8.375" style="47" customWidth="1"/>
    <col min="4877" max="4882" width="7.25" style="47" customWidth="1"/>
    <col min="4883" max="4883" width="18.625" style="47" customWidth="1"/>
    <col min="4884" max="4884" width="19.125" style="47" customWidth="1"/>
    <col min="4885" max="4885" width="4.375" style="47" customWidth="1"/>
    <col min="4886" max="4886" width="10.75" style="47" customWidth="1"/>
    <col min="4887" max="5124" width="9" style="47"/>
    <col min="5125" max="5125" width="3.875" style="47" customWidth="1"/>
    <col min="5126" max="5126" width="21.125" style="47" customWidth="1"/>
    <col min="5127" max="5131" width="7.25" style="47" customWidth="1"/>
    <col min="5132" max="5132" width="8.375" style="47" customWidth="1"/>
    <col min="5133" max="5138" width="7.25" style="47" customWidth="1"/>
    <col min="5139" max="5139" width="18.625" style="47" customWidth="1"/>
    <col min="5140" max="5140" width="19.125" style="47" customWidth="1"/>
    <col min="5141" max="5141" width="4.375" style="47" customWidth="1"/>
    <col min="5142" max="5142" width="10.75" style="47" customWidth="1"/>
    <col min="5143" max="5380" width="9" style="47"/>
    <col min="5381" max="5381" width="3.875" style="47" customWidth="1"/>
    <col min="5382" max="5382" width="21.125" style="47" customWidth="1"/>
    <col min="5383" max="5387" width="7.25" style="47" customWidth="1"/>
    <col min="5388" max="5388" width="8.375" style="47" customWidth="1"/>
    <col min="5389" max="5394" width="7.25" style="47" customWidth="1"/>
    <col min="5395" max="5395" width="18.625" style="47" customWidth="1"/>
    <col min="5396" max="5396" width="19.125" style="47" customWidth="1"/>
    <col min="5397" max="5397" width="4.375" style="47" customWidth="1"/>
    <col min="5398" max="5398" width="10.75" style="47" customWidth="1"/>
    <col min="5399" max="5636" width="9" style="47"/>
    <col min="5637" max="5637" width="3.875" style="47" customWidth="1"/>
    <col min="5638" max="5638" width="21.125" style="47" customWidth="1"/>
    <col min="5639" max="5643" width="7.25" style="47" customWidth="1"/>
    <col min="5644" max="5644" width="8.375" style="47" customWidth="1"/>
    <col min="5645" max="5650" width="7.25" style="47" customWidth="1"/>
    <col min="5651" max="5651" width="18.625" style="47" customWidth="1"/>
    <col min="5652" max="5652" width="19.125" style="47" customWidth="1"/>
    <col min="5653" max="5653" width="4.375" style="47" customWidth="1"/>
    <col min="5654" max="5654" width="10.75" style="47" customWidth="1"/>
    <col min="5655" max="5892" width="9" style="47"/>
    <col min="5893" max="5893" width="3.875" style="47" customWidth="1"/>
    <col min="5894" max="5894" width="21.125" style="47" customWidth="1"/>
    <col min="5895" max="5899" width="7.25" style="47" customWidth="1"/>
    <col min="5900" max="5900" width="8.375" style="47" customWidth="1"/>
    <col min="5901" max="5906" width="7.25" style="47" customWidth="1"/>
    <col min="5907" max="5907" width="18.625" style="47" customWidth="1"/>
    <col min="5908" max="5908" width="19.125" style="47" customWidth="1"/>
    <col min="5909" max="5909" width="4.375" style="47" customWidth="1"/>
    <col min="5910" max="5910" width="10.75" style="47" customWidth="1"/>
    <col min="5911" max="6148" width="9" style="47"/>
    <col min="6149" max="6149" width="3.875" style="47" customWidth="1"/>
    <col min="6150" max="6150" width="21.125" style="47" customWidth="1"/>
    <col min="6151" max="6155" width="7.25" style="47" customWidth="1"/>
    <col min="6156" max="6156" width="8.375" style="47" customWidth="1"/>
    <col min="6157" max="6162" width="7.25" style="47" customWidth="1"/>
    <col min="6163" max="6163" width="18.625" style="47" customWidth="1"/>
    <col min="6164" max="6164" width="19.125" style="47" customWidth="1"/>
    <col min="6165" max="6165" width="4.375" style="47" customWidth="1"/>
    <col min="6166" max="6166" width="10.75" style="47" customWidth="1"/>
    <col min="6167" max="6404" width="9" style="47"/>
    <col min="6405" max="6405" width="3.875" style="47" customWidth="1"/>
    <col min="6406" max="6406" width="21.125" style="47" customWidth="1"/>
    <col min="6407" max="6411" width="7.25" style="47" customWidth="1"/>
    <col min="6412" max="6412" width="8.375" style="47" customWidth="1"/>
    <col min="6413" max="6418" width="7.25" style="47" customWidth="1"/>
    <col min="6419" max="6419" width="18.625" style="47" customWidth="1"/>
    <col min="6420" max="6420" width="19.125" style="47" customWidth="1"/>
    <col min="6421" max="6421" width="4.375" style="47" customWidth="1"/>
    <col min="6422" max="6422" width="10.75" style="47" customWidth="1"/>
    <col min="6423" max="6660" width="9" style="47"/>
    <col min="6661" max="6661" width="3.875" style="47" customWidth="1"/>
    <col min="6662" max="6662" width="21.125" style="47" customWidth="1"/>
    <col min="6663" max="6667" width="7.25" style="47" customWidth="1"/>
    <col min="6668" max="6668" width="8.375" style="47" customWidth="1"/>
    <col min="6669" max="6674" width="7.25" style="47" customWidth="1"/>
    <col min="6675" max="6675" width="18.625" style="47" customWidth="1"/>
    <col min="6676" max="6676" width="19.125" style="47" customWidth="1"/>
    <col min="6677" max="6677" width="4.375" style="47" customWidth="1"/>
    <col min="6678" max="6678" width="10.75" style="47" customWidth="1"/>
    <col min="6679" max="6916" width="9" style="47"/>
    <col min="6917" max="6917" width="3.875" style="47" customWidth="1"/>
    <col min="6918" max="6918" width="21.125" style="47" customWidth="1"/>
    <col min="6919" max="6923" width="7.25" style="47" customWidth="1"/>
    <col min="6924" max="6924" width="8.375" style="47" customWidth="1"/>
    <col min="6925" max="6930" width="7.25" style="47" customWidth="1"/>
    <col min="6931" max="6931" width="18.625" style="47" customWidth="1"/>
    <col min="6932" max="6932" width="19.125" style="47" customWidth="1"/>
    <col min="6933" max="6933" width="4.375" style="47" customWidth="1"/>
    <col min="6934" max="6934" width="10.75" style="47" customWidth="1"/>
    <col min="6935" max="7172" width="9" style="47"/>
    <col min="7173" max="7173" width="3.875" style="47" customWidth="1"/>
    <col min="7174" max="7174" width="21.125" style="47" customWidth="1"/>
    <col min="7175" max="7179" width="7.25" style="47" customWidth="1"/>
    <col min="7180" max="7180" width="8.375" style="47" customWidth="1"/>
    <col min="7181" max="7186" width="7.25" style="47" customWidth="1"/>
    <col min="7187" max="7187" width="18.625" style="47" customWidth="1"/>
    <col min="7188" max="7188" width="19.125" style="47" customWidth="1"/>
    <col min="7189" max="7189" width="4.375" style="47" customWidth="1"/>
    <col min="7190" max="7190" width="10.75" style="47" customWidth="1"/>
    <col min="7191" max="7428" width="9" style="47"/>
    <col min="7429" max="7429" width="3.875" style="47" customWidth="1"/>
    <col min="7430" max="7430" width="21.125" style="47" customWidth="1"/>
    <col min="7431" max="7435" width="7.25" style="47" customWidth="1"/>
    <col min="7436" max="7436" width="8.375" style="47" customWidth="1"/>
    <col min="7437" max="7442" width="7.25" style="47" customWidth="1"/>
    <col min="7443" max="7443" width="18.625" style="47" customWidth="1"/>
    <col min="7444" max="7444" width="19.125" style="47" customWidth="1"/>
    <col min="7445" max="7445" width="4.375" style="47" customWidth="1"/>
    <col min="7446" max="7446" width="10.75" style="47" customWidth="1"/>
    <col min="7447" max="7684" width="9" style="47"/>
    <col min="7685" max="7685" width="3.875" style="47" customWidth="1"/>
    <col min="7686" max="7686" width="21.125" style="47" customWidth="1"/>
    <col min="7687" max="7691" width="7.25" style="47" customWidth="1"/>
    <col min="7692" max="7692" width="8.375" style="47" customWidth="1"/>
    <col min="7693" max="7698" width="7.25" style="47" customWidth="1"/>
    <col min="7699" max="7699" width="18.625" style="47" customWidth="1"/>
    <col min="7700" max="7700" width="19.125" style="47" customWidth="1"/>
    <col min="7701" max="7701" width="4.375" style="47" customWidth="1"/>
    <col min="7702" max="7702" width="10.75" style="47" customWidth="1"/>
    <col min="7703" max="7940" width="9" style="47"/>
    <col min="7941" max="7941" width="3.875" style="47" customWidth="1"/>
    <col min="7942" max="7942" width="21.125" style="47" customWidth="1"/>
    <col min="7943" max="7947" width="7.25" style="47" customWidth="1"/>
    <col min="7948" max="7948" width="8.375" style="47" customWidth="1"/>
    <col min="7949" max="7954" width="7.25" style="47" customWidth="1"/>
    <col min="7955" max="7955" width="18.625" style="47" customWidth="1"/>
    <col min="7956" max="7956" width="19.125" style="47" customWidth="1"/>
    <col min="7957" max="7957" width="4.375" style="47" customWidth="1"/>
    <col min="7958" max="7958" width="10.75" style="47" customWidth="1"/>
    <col min="7959" max="8196" width="9" style="47"/>
    <col min="8197" max="8197" width="3.875" style="47" customWidth="1"/>
    <col min="8198" max="8198" width="21.125" style="47" customWidth="1"/>
    <col min="8199" max="8203" width="7.25" style="47" customWidth="1"/>
    <col min="8204" max="8204" width="8.375" style="47" customWidth="1"/>
    <col min="8205" max="8210" width="7.25" style="47" customWidth="1"/>
    <col min="8211" max="8211" width="18.625" style="47" customWidth="1"/>
    <col min="8212" max="8212" width="19.125" style="47" customWidth="1"/>
    <col min="8213" max="8213" width="4.375" style="47" customWidth="1"/>
    <col min="8214" max="8214" width="10.75" style="47" customWidth="1"/>
    <col min="8215" max="8452" width="9" style="47"/>
    <col min="8453" max="8453" width="3.875" style="47" customWidth="1"/>
    <col min="8454" max="8454" width="21.125" style="47" customWidth="1"/>
    <col min="8455" max="8459" width="7.25" style="47" customWidth="1"/>
    <col min="8460" max="8460" width="8.375" style="47" customWidth="1"/>
    <col min="8461" max="8466" width="7.25" style="47" customWidth="1"/>
    <col min="8467" max="8467" width="18.625" style="47" customWidth="1"/>
    <col min="8468" max="8468" width="19.125" style="47" customWidth="1"/>
    <col min="8469" max="8469" width="4.375" style="47" customWidth="1"/>
    <col min="8470" max="8470" width="10.75" style="47" customWidth="1"/>
    <col min="8471" max="8708" width="9" style="47"/>
    <col min="8709" max="8709" width="3.875" style="47" customWidth="1"/>
    <col min="8710" max="8710" width="21.125" style="47" customWidth="1"/>
    <col min="8711" max="8715" width="7.25" style="47" customWidth="1"/>
    <col min="8716" max="8716" width="8.375" style="47" customWidth="1"/>
    <col min="8717" max="8722" width="7.25" style="47" customWidth="1"/>
    <col min="8723" max="8723" width="18.625" style="47" customWidth="1"/>
    <col min="8724" max="8724" width="19.125" style="47" customWidth="1"/>
    <col min="8725" max="8725" width="4.375" style="47" customWidth="1"/>
    <col min="8726" max="8726" width="10.75" style="47" customWidth="1"/>
    <col min="8727" max="8964" width="9" style="47"/>
    <col min="8965" max="8965" width="3.875" style="47" customWidth="1"/>
    <col min="8966" max="8966" width="21.125" style="47" customWidth="1"/>
    <col min="8967" max="8971" width="7.25" style="47" customWidth="1"/>
    <col min="8972" max="8972" width="8.375" style="47" customWidth="1"/>
    <col min="8973" max="8978" width="7.25" style="47" customWidth="1"/>
    <col min="8979" max="8979" width="18.625" style="47" customWidth="1"/>
    <col min="8980" max="8980" width="19.125" style="47" customWidth="1"/>
    <col min="8981" max="8981" width="4.375" style="47" customWidth="1"/>
    <col min="8982" max="8982" width="10.75" style="47" customWidth="1"/>
    <col min="8983" max="9220" width="9" style="47"/>
    <col min="9221" max="9221" width="3.875" style="47" customWidth="1"/>
    <col min="9222" max="9222" width="21.125" style="47" customWidth="1"/>
    <col min="9223" max="9227" width="7.25" style="47" customWidth="1"/>
    <col min="9228" max="9228" width="8.375" style="47" customWidth="1"/>
    <col min="9229" max="9234" width="7.25" style="47" customWidth="1"/>
    <col min="9235" max="9235" width="18.625" style="47" customWidth="1"/>
    <col min="9236" max="9236" width="19.125" style="47" customWidth="1"/>
    <col min="9237" max="9237" width="4.375" style="47" customWidth="1"/>
    <col min="9238" max="9238" width="10.75" style="47" customWidth="1"/>
    <col min="9239" max="9476" width="9" style="47"/>
    <col min="9477" max="9477" width="3.875" style="47" customWidth="1"/>
    <col min="9478" max="9478" width="21.125" style="47" customWidth="1"/>
    <col min="9479" max="9483" width="7.25" style="47" customWidth="1"/>
    <col min="9484" max="9484" width="8.375" style="47" customWidth="1"/>
    <col min="9485" max="9490" width="7.25" style="47" customWidth="1"/>
    <col min="9491" max="9491" width="18.625" style="47" customWidth="1"/>
    <col min="9492" max="9492" width="19.125" style="47" customWidth="1"/>
    <col min="9493" max="9493" width="4.375" style="47" customWidth="1"/>
    <col min="9494" max="9494" width="10.75" style="47" customWidth="1"/>
    <col min="9495" max="9732" width="9" style="47"/>
    <col min="9733" max="9733" width="3.875" style="47" customWidth="1"/>
    <col min="9734" max="9734" width="21.125" style="47" customWidth="1"/>
    <col min="9735" max="9739" width="7.25" style="47" customWidth="1"/>
    <col min="9740" max="9740" width="8.375" style="47" customWidth="1"/>
    <col min="9741" max="9746" width="7.25" style="47" customWidth="1"/>
    <col min="9747" max="9747" width="18.625" style="47" customWidth="1"/>
    <col min="9748" max="9748" width="19.125" style="47" customWidth="1"/>
    <col min="9749" max="9749" width="4.375" style="47" customWidth="1"/>
    <col min="9750" max="9750" width="10.75" style="47" customWidth="1"/>
    <col min="9751" max="9988" width="9" style="47"/>
    <col min="9989" max="9989" width="3.875" style="47" customWidth="1"/>
    <col min="9990" max="9990" width="21.125" style="47" customWidth="1"/>
    <col min="9991" max="9995" width="7.25" style="47" customWidth="1"/>
    <col min="9996" max="9996" width="8.375" style="47" customWidth="1"/>
    <col min="9997" max="10002" width="7.25" style="47" customWidth="1"/>
    <col min="10003" max="10003" width="18.625" style="47" customWidth="1"/>
    <col min="10004" max="10004" width="19.125" style="47" customWidth="1"/>
    <col min="10005" max="10005" width="4.375" style="47" customWidth="1"/>
    <col min="10006" max="10006" width="10.75" style="47" customWidth="1"/>
    <col min="10007" max="10244" width="9" style="47"/>
    <col min="10245" max="10245" width="3.875" style="47" customWidth="1"/>
    <col min="10246" max="10246" width="21.125" style="47" customWidth="1"/>
    <col min="10247" max="10251" width="7.25" style="47" customWidth="1"/>
    <col min="10252" max="10252" width="8.375" style="47" customWidth="1"/>
    <col min="10253" max="10258" width="7.25" style="47" customWidth="1"/>
    <col min="10259" max="10259" width="18.625" style="47" customWidth="1"/>
    <col min="10260" max="10260" width="19.125" style="47" customWidth="1"/>
    <col min="10261" max="10261" width="4.375" style="47" customWidth="1"/>
    <col min="10262" max="10262" width="10.75" style="47" customWidth="1"/>
    <col min="10263" max="10500" width="9" style="47"/>
    <col min="10501" max="10501" width="3.875" style="47" customWidth="1"/>
    <col min="10502" max="10502" width="21.125" style="47" customWidth="1"/>
    <col min="10503" max="10507" width="7.25" style="47" customWidth="1"/>
    <col min="10508" max="10508" width="8.375" style="47" customWidth="1"/>
    <col min="10509" max="10514" width="7.25" style="47" customWidth="1"/>
    <col min="10515" max="10515" width="18.625" style="47" customWidth="1"/>
    <col min="10516" max="10516" width="19.125" style="47" customWidth="1"/>
    <col min="10517" max="10517" width="4.375" style="47" customWidth="1"/>
    <col min="10518" max="10518" width="10.75" style="47" customWidth="1"/>
    <col min="10519" max="10756" width="9" style="47"/>
    <col min="10757" max="10757" width="3.875" style="47" customWidth="1"/>
    <col min="10758" max="10758" width="21.125" style="47" customWidth="1"/>
    <col min="10759" max="10763" width="7.25" style="47" customWidth="1"/>
    <col min="10764" max="10764" width="8.375" style="47" customWidth="1"/>
    <col min="10765" max="10770" width="7.25" style="47" customWidth="1"/>
    <col min="10771" max="10771" width="18.625" style="47" customWidth="1"/>
    <col min="10772" max="10772" width="19.125" style="47" customWidth="1"/>
    <col min="10773" max="10773" width="4.375" style="47" customWidth="1"/>
    <col min="10774" max="10774" width="10.75" style="47" customWidth="1"/>
    <col min="10775" max="11012" width="9" style="47"/>
    <col min="11013" max="11013" width="3.875" style="47" customWidth="1"/>
    <col min="11014" max="11014" width="21.125" style="47" customWidth="1"/>
    <col min="11015" max="11019" width="7.25" style="47" customWidth="1"/>
    <col min="11020" max="11020" width="8.375" style="47" customWidth="1"/>
    <col min="11021" max="11026" width="7.25" style="47" customWidth="1"/>
    <col min="11027" max="11027" width="18.625" style="47" customWidth="1"/>
    <col min="11028" max="11028" width="19.125" style="47" customWidth="1"/>
    <col min="11029" max="11029" width="4.375" style="47" customWidth="1"/>
    <col min="11030" max="11030" width="10.75" style="47" customWidth="1"/>
    <col min="11031" max="11268" width="9" style="47"/>
    <col min="11269" max="11269" width="3.875" style="47" customWidth="1"/>
    <col min="11270" max="11270" width="21.125" style="47" customWidth="1"/>
    <col min="11271" max="11275" width="7.25" style="47" customWidth="1"/>
    <col min="11276" max="11276" width="8.375" style="47" customWidth="1"/>
    <col min="11277" max="11282" width="7.25" style="47" customWidth="1"/>
    <col min="11283" max="11283" width="18.625" style="47" customWidth="1"/>
    <col min="11284" max="11284" width="19.125" style="47" customWidth="1"/>
    <col min="11285" max="11285" width="4.375" style="47" customWidth="1"/>
    <col min="11286" max="11286" width="10.75" style="47" customWidth="1"/>
    <col min="11287" max="11524" width="9" style="47"/>
    <col min="11525" max="11525" width="3.875" style="47" customWidth="1"/>
    <col min="11526" max="11526" width="21.125" style="47" customWidth="1"/>
    <col min="11527" max="11531" width="7.25" style="47" customWidth="1"/>
    <col min="11532" max="11532" width="8.375" style="47" customWidth="1"/>
    <col min="11533" max="11538" width="7.25" style="47" customWidth="1"/>
    <col min="11539" max="11539" width="18.625" style="47" customWidth="1"/>
    <col min="11540" max="11540" width="19.125" style="47" customWidth="1"/>
    <col min="11541" max="11541" width="4.375" style="47" customWidth="1"/>
    <col min="11542" max="11542" width="10.75" style="47" customWidth="1"/>
    <col min="11543" max="11780" width="9" style="47"/>
    <col min="11781" max="11781" width="3.875" style="47" customWidth="1"/>
    <col min="11782" max="11782" width="21.125" style="47" customWidth="1"/>
    <col min="11783" max="11787" width="7.25" style="47" customWidth="1"/>
    <col min="11788" max="11788" width="8.375" style="47" customWidth="1"/>
    <col min="11789" max="11794" width="7.25" style="47" customWidth="1"/>
    <col min="11795" max="11795" width="18.625" style="47" customWidth="1"/>
    <col min="11796" max="11796" width="19.125" style="47" customWidth="1"/>
    <col min="11797" max="11797" width="4.375" style="47" customWidth="1"/>
    <col min="11798" max="11798" width="10.75" style="47" customWidth="1"/>
    <col min="11799" max="12036" width="9" style="47"/>
    <col min="12037" max="12037" width="3.875" style="47" customWidth="1"/>
    <col min="12038" max="12038" width="21.125" style="47" customWidth="1"/>
    <col min="12039" max="12043" width="7.25" style="47" customWidth="1"/>
    <col min="12044" max="12044" width="8.375" style="47" customWidth="1"/>
    <col min="12045" max="12050" width="7.25" style="47" customWidth="1"/>
    <col min="12051" max="12051" width="18.625" style="47" customWidth="1"/>
    <col min="12052" max="12052" width="19.125" style="47" customWidth="1"/>
    <col min="12053" max="12053" width="4.375" style="47" customWidth="1"/>
    <col min="12054" max="12054" width="10.75" style="47" customWidth="1"/>
    <col min="12055" max="12292" width="9" style="47"/>
    <col min="12293" max="12293" width="3.875" style="47" customWidth="1"/>
    <col min="12294" max="12294" width="21.125" style="47" customWidth="1"/>
    <col min="12295" max="12299" width="7.25" style="47" customWidth="1"/>
    <col min="12300" max="12300" width="8.375" style="47" customWidth="1"/>
    <col min="12301" max="12306" width="7.25" style="47" customWidth="1"/>
    <col min="12307" max="12307" width="18.625" style="47" customWidth="1"/>
    <col min="12308" max="12308" width="19.125" style="47" customWidth="1"/>
    <col min="12309" max="12309" width="4.375" style="47" customWidth="1"/>
    <col min="12310" max="12310" width="10.75" style="47" customWidth="1"/>
    <col min="12311" max="12548" width="9" style="47"/>
    <col min="12549" max="12549" width="3.875" style="47" customWidth="1"/>
    <col min="12550" max="12550" width="21.125" style="47" customWidth="1"/>
    <col min="12551" max="12555" width="7.25" style="47" customWidth="1"/>
    <col min="12556" max="12556" width="8.375" style="47" customWidth="1"/>
    <col min="12557" max="12562" width="7.25" style="47" customWidth="1"/>
    <col min="12563" max="12563" width="18.625" style="47" customWidth="1"/>
    <col min="12564" max="12564" width="19.125" style="47" customWidth="1"/>
    <col min="12565" max="12565" width="4.375" style="47" customWidth="1"/>
    <col min="12566" max="12566" width="10.75" style="47" customWidth="1"/>
    <col min="12567" max="12804" width="9" style="47"/>
    <col min="12805" max="12805" width="3.875" style="47" customWidth="1"/>
    <col min="12806" max="12806" width="21.125" style="47" customWidth="1"/>
    <col min="12807" max="12811" width="7.25" style="47" customWidth="1"/>
    <col min="12812" max="12812" width="8.375" style="47" customWidth="1"/>
    <col min="12813" max="12818" width="7.25" style="47" customWidth="1"/>
    <col min="12819" max="12819" width="18.625" style="47" customWidth="1"/>
    <col min="12820" max="12820" width="19.125" style="47" customWidth="1"/>
    <col min="12821" max="12821" width="4.375" style="47" customWidth="1"/>
    <col min="12822" max="12822" width="10.75" style="47" customWidth="1"/>
    <col min="12823" max="13060" width="9" style="47"/>
    <col min="13061" max="13061" width="3.875" style="47" customWidth="1"/>
    <col min="13062" max="13062" width="21.125" style="47" customWidth="1"/>
    <col min="13063" max="13067" width="7.25" style="47" customWidth="1"/>
    <col min="13068" max="13068" width="8.375" style="47" customWidth="1"/>
    <col min="13069" max="13074" width="7.25" style="47" customWidth="1"/>
    <col min="13075" max="13075" width="18.625" style="47" customWidth="1"/>
    <col min="13076" max="13076" width="19.125" style="47" customWidth="1"/>
    <col min="13077" max="13077" width="4.375" style="47" customWidth="1"/>
    <col min="13078" max="13078" width="10.75" style="47" customWidth="1"/>
    <col min="13079" max="13316" width="9" style="47"/>
    <col min="13317" max="13317" width="3.875" style="47" customWidth="1"/>
    <col min="13318" max="13318" width="21.125" style="47" customWidth="1"/>
    <col min="13319" max="13323" width="7.25" style="47" customWidth="1"/>
    <col min="13324" max="13324" width="8.375" style="47" customWidth="1"/>
    <col min="13325" max="13330" width="7.25" style="47" customWidth="1"/>
    <col min="13331" max="13331" width="18.625" style="47" customWidth="1"/>
    <col min="13332" max="13332" width="19.125" style="47" customWidth="1"/>
    <col min="13333" max="13333" width="4.375" style="47" customWidth="1"/>
    <col min="13334" max="13334" width="10.75" style="47" customWidth="1"/>
    <col min="13335" max="13572" width="9" style="47"/>
    <col min="13573" max="13573" width="3.875" style="47" customWidth="1"/>
    <col min="13574" max="13574" width="21.125" style="47" customWidth="1"/>
    <col min="13575" max="13579" width="7.25" style="47" customWidth="1"/>
    <col min="13580" max="13580" width="8.375" style="47" customWidth="1"/>
    <col min="13581" max="13586" width="7.25" style="47" customWidth="1"/>
    <col min="13587" max="13587" width="18.625" style="47" customWidth="1"/>
    <col min="13588" max="13588" width="19.125" style="47" customWidth="1"/>
    <col min="13589" max="13589" width="4.375" style="47" customWidth="1"/>
    <col min="13590" max="13590" width="10.75" style="47" customWidth="1"/>
    <col min="13591" max="13828" width="9" style="47"/>
    <col min="13829" max="13829" width="3.875" style="47" customWidth="1"/>
    <col min="13830" max="13830" width="21.125" style="47" customWidth="1"/>
    <col min="13831" max="13835" width="7.25" style="47" customWidth="1"/>
    <col min="13836" max="13836" width="8.375" style="47" customWidth="1"/>
    <col min="13837" max="13842" width="7.25" style="47" customWidth="1"/>
    <col min="13843" max="13843" width="18.625" style="47" customWidth="1"/>
    <col min="13844" max="13844" width="19.125" style="47" customWidth="1"/>
    <col min="13845" max="13845" width="4.375" style="47" customWidth="1"/>
    <col min="13846" max="13846" width="10.75" style="47" customWidth="1"/>
    <col min="13847" max="14084" width="9" style="47"/>
    <col min="14085" max="14085" width="3.875" style="47" customWidth="1"/>
    <col min="14086" max="14086" width="21.125" style="47" customWidth="1"/>
    <col min="14087" max="14091" width="7.25" style="47" customWidth="1"/>
    <col min="14092" max="14092" width="8.375" style="47" customWidth="1"/>
    <col min="14093" max="14098" width="7.25" style="47" customWidth="1"/>
    <col min="14099" max="14099" width="18.625" style="47" customWidth="1"/>
    <col min="14100" max="14100" width="19.125" style="47" customWidth="1"/>
    <col min="14101" max="14101" width="4.375" style="47" customWidth="1"/>
    <col min="14102" max="14102" width="10.75" style="47" customWidth="1"/>
    <col min="14103" max="14340" width="9" style="47"/>
    <col min="14341" max="14341" width="3.875" style="47" customWidth="1"/>
    <col min="14342" max="14342" width="21.125" style="47" customWidth="1"/>
    <col min="14343" max="14347" width="7.25" style="47" customWidth="1"/>
    <col min="14348" max="14348" width="8.375" style="47" customWidth="1"/>
    <col min="14349" max="14354" width="7.25" style="47" customWidth="1"/>
    <col min="14355" max="14355" width="18.625" style="47" customWidth="1"/>
    <col min="14356" max="14356" width="19.125" style="47" customWidth="1"/>
    <col min="14357" max="14357" width="4.375" style="47" customWidth="1"/>
    <col min="14358" max="14358" width="10.75" style="47" customWidth="1"/>
    <col min="14359" max="14596" width="9" style="47"/>
    <col min="14597" max="14597" width="3.875" style="47" customWidth="1"/>
    <col min="14598" max="14598" width="21.125" style="47" customWidth="1"/>
    <col min="14599" max="14603" width="7.25" style="47" customWidth="1"/>
    <col min="14604" max="14604" width="8.375" style="47" customWidth="1"/>
    <col min="14605" max="14610" width="7.25" style="47" customWidth="1"/>
    <col min="14611" max="14611" width="18.625" style="47" customWidth="1"/>
    <col min="14612" max="14612" width="19.125" style="47" customWidth="1"/>
    <col min="14613" max="14613" width="4.375" style="47" customWidth="1"/>
    <col min="14614" max="14614" width="10.75" style="47" customWidth="1"/>
    <col min="14615" max="14852" width="9" style="47"/>
    <col min="14853" max="14853" width="3.875" style="47" customWidth="1"/>
    <col min="14854" max="14854" width="21.125" style="47" customWidth="1"/>
    <col min="14855" max="14859" width="7.25" style="47" customWidth="1"/>
    <col min="14860" max="14860" width="8.375" style="47" customWidth="1"/>
    <col min="14861" max="14866" width="7.25" style="47" customWidth="1"/>
    <col min="14867" max="14867" width="18.625" style="47" customWidth="1"/>
    <col min="14868" max="14868" width="19.125" style="47" customWidth="1"/>
    <col min="14869" max="14869" width="4.375" style="47" customWidth="1"/>
    <col min="14870" max="14870" width="10.75" style="47" customWidth="1"/>
    <col min="14871" max="15108" width="9" style="47"/>
    <col min="15109" max="15109" width="3.875" style="47" customWidth="1"/>
    <col min="15110" max="15110" width="21.125" style="47" customWidth="1"/>
    <col min="15111" max="15115" width="7.25" style="47" customWidth="1"/>
    <col min="15116" max="15116" width="8.375" style="47" customWidth="1"/>
    <col min="15117" max="15122" width="7.25" style="47" customWidth="1"/>
    <col min="15123" max="15123" width="18.625" style="47" customWidth="1"/>
    <col min="15124" max="15124" width="19.125" style="47" customWidth="1"/>
    <col min="15125" max="15125" width="4.375" style="47" customWidth="1"/>
    <col min="15126" max="15126" width="10.75" style="47" customWidth="1"/>
    <col min="15127" max="15364" width="9" style="47"/>
    <col min="15365" max="15365" width="3.875" style="47" customWidth="1"/>
    <col min="15366" max="15366" width="21.125" style="47" customWidth="1"/>
    <col min="15367" max="15371" width="7.25" style="47" customWidth="1"/>
    <col min="15372" max="15372" width="8.375" style="47" customWidth="1"/>
    <col min="15373" max="15378" width="7.25" style="47" customWidth="1"/>
    <col min="15379" max="15379" width="18.625" style="47" customWidth="1"/>
    <col min="15380" max="15380" width="19.125" style="47" customWidth="1"/>
    <col min="15381" max="15381" width="4.375" style="47" customWidth="1"/>
    <col min="15382" max="15382" width="10.75" style="47" customWidth="1"/>
    <col min="15383" max="15620" width="9" style="47"/>
    <col min="15621" max="15621" width="3.875" style="47" customWidth="1"/>
    <col min="15622" max="15622" width="21.125" style="47" customWidth="1"/>
    <col min="15623" max="15627" width="7.25" style="47" customWidth="1"/>
    <col min="15628" max="15628" width="8.375" style="47" customWidth="1"/>
    <col min="15629" max="15634" width="7.25" style="47" customWidth="1"/>
    <col min="15635" max="15635" width="18.625" style="47" customWidth="1"/>
    <col min="15636" max="15636" width="19.125" style="47" customWidth="1"/>
    <col min="15637" max="15637" width="4.375" style="47" customWidth="1"/>
    <col min="15638" max="15638" width="10.75" style="47" customWidth="1"/>
    <col min="15639" max="15876" width="9" style="47"/>
    <col min="15877" max="15877" width="3.875" style="47" customWidth="1"/>
    <col min="15878" max="15878" width="21.125" style="47" customWidth="1"/>
    <col min="15879" max="15883" width="7.25" style="47" customWidth="1"/>
    <col min="15884" max="15884" width="8.375" style="47" customWidth="1"/>
    <col min="15885" max="15890" width="7.25" style="47" customWidth="1"/>
    <col min="15891" max="15891" width="18.625" style="47" customWidth="1"/>
    <col min="15892" max="15892" width="19.125" style="47" customWidth="1"/>
    <col min="15893" max="15893" width="4.375" style="47" customWidth="1"/>
    <col min="15894" max="15894" width="10.75" style="47" customWidth="1"/>
    <col min="15895" max="16132" width="9" style="47"/>
    <col min="16133" max="16133" width="3.875" style="47" customWidth="1"/>
    <col min="16134" max="16134" width="21.125" style="47" customWidth="1"/>
    <col min="16135" max="16139" width="7.25" style="47" customWidth="1"/>
    <col min="16140" max="16140" width="8.375" style="47" customWidth="1"/>
    <col min="16141" max="16146" width="7.25" style="47" customWidth="1"/>
    <col min="16147" max="16147" width="18.625" style="47" customWidth="1"/>
    <col min="16148" max="16148" width="19.125" style="47" customWidth="1"/>
    <col min="16149" max="16149" width="4.375" style="47" customWidth="1"/>
    <col min="16150" max="16150" width="10.75" style="47" customWidth="1"/>
    <col min="16151" max="16384" width="9" style="47"/>
  </cols>
  <sheetData>
    <row r="1" spans="1:24" ht="24" customHeight="1">
      <c r="A1" s="169" t="s">
        <v>76</v>
      </c>
      <c r="B1" s="169"/>
      <c r="C1" s="169"/>
      <c r="D1" s="169"/>
      <c r="E1" s="169"/>
      <c r="F1" s="169"/>
      <c r="G1" s="169"/>
      <c r="H1" s="169"/>
      <c r="I1" s="169"/>
      <c r="J1" s="169"/>
      <c r="K1" s="169"/>
      <c r="L1" s="169"/>
      <c r="M1" s="169"/>
      <c r="N1" s="169"/>
      <c r="O1" s="169"/>
      <c r="P1" s="169"/>
      <c r="Q1" s="169"/>
      <c r="R1" s="169"/>
      <c r="S1" s="169"/>
      <c r="T1" s="169"/>
    </row>
    <row r="2" spans="1:24" ht="24" customHeight="1">
      <c r="A2" s="2" t="s">
        <v>77</v>
      </c>
      <c r="B2" s="48"/>
      <c r="C2" s="4"/>
      <c r="D2" s="4"/>
      <c r="E2" s="4"/>
      <c r="F2" s="4"/>
      <c r="G2" s="4"/>
      <c r="H2" s="4"/>
      <c r="I2" s="4"/>
      <c r="J2" s="4"/>
      <c r="K2" s="4"/>
      <c r="L2" s="4"/>
      <c r="M2" s="4"/>
      <c r="N2" s="4"/>
      <c r="O2" s="4"/>
      <c r="P2" s="4"/>
      <c r="Q2" s="4"/>
      <c r="R2" s="4"/>
      <c r="S2" s="4"/>
      <c r="T2" s="4"/>
    </row>
    <row r="3" spans="1:24" s="5" customFormat="1" ht="14.25" customHeight="1">
      <c r="A3" s="5" t="s">
        <v>78</v>
      </c>
      <c r="B3" s="6"/>
      <c r="C3" s="6"/>
      <c r="D3" s="35"/>
      <c r="E3" s="35"/>
      <c r="F3" s="35"/>
      <c r="G3" s="35"/>
    </row>
    <row r="4" spans="1:24">
      <c r="A4" s="5" t="s">
        <v>79</v>
      </c>
    </row>
    <row r="5" spans="1:24" ht="13.5">
      <c r="A5" s="7" t="s">
        <v>80</v>
      </c>
      <c r="V5"/>
      <c r="W5"/>
      <c r="X5"/>
    </row>
    <row r="6" spans="1:24" ht="15" customHeight="1">
      <c r="A6" s="172" t="s">
        <v>81</v>
      </c>
      <c r="B6" s="174" t="s">
        <v>82</v>
      </c>
      <c r="C6" s="170" t="s">
        <v>137</v>
      </c>
      <c r="D6" s="171"/>
      <c r="E6" s="170" t="s">
        <v>132</v>
      </c>
      <c r="F6" s="171"/>
      <c r="G6" s="170" t="s">
        <v>133</v>
      </c>
      <c r="H6" s="171"/>
      <c r="I6" s="170" t="s">
        <v>134</v>
      </c>
      <c r="J6" s="171"/>
      <c r="K6" s="170" t="s">
        <v>135</v>
      </c>
      <c r="L6" s="171"/>
      <c r="M6" s="170" t="s">
        <v>136</v>
      </c>
      <c r="N6" s="171"/>
      <c r="O6" s="170" t="s">
        <v>139</v>
      </c>
      <c r="P6" s="171"/>
      <c r="Q6" s="170" t="s">
        <v>83</v>
      </c>
      <c r="R6" s="171"/>
      <c r="S6" s="176" t="s">
        <v>84</v>
      </c>
      <c r="T6" s="156" t="s">
        <v>85</v>
      </c>
      <c r="V6"/>
      <c r="W6"/>
      <c r="X6"/>
    </row>
    <row r="7" spans="1:24" ht="15" customHeight="1">
      <c r="A7" s="173"/>
      <c r="B7" s="175"/>
      <c r="C7" s="49" t="s">
        <v>86</v>
      </c>
      <c r="D7" s="49" t="s">
        <v>87</v>
      </c>
      <c r="E7" s="49" t="s">
        <v>86</v>
      </c>
      <c r="F7" s="49" t="s">
        <v>87</v>
      </c>
      <c r="G7" s="49" t="s">
        <v>86</v>
      </c>
      <c r="H7" s="49" t="s">
        <v>87</v>
      </c>
      <c r="I7" s="49" t="s">
        <v>86</v>
      </c>
      <c r="J7" s="49" t="s">
        <v>87</v>
      </c>
      <c r="K7" s="49" t="s">
        <v>86</v>
      </c>
      <c r="L7" s="49" t="s">
        <v>87</v>
      </c>
      <c r="M7" s="49" t="s">
        <v>86</v>
      </c>
      <c r="N7" s="49" t="s">
        <v>87</v>
      </c>
      <c r="O7" s="49" t="s">
        <v>86</v>
      </c>
      <c r="P7" s="49" t="s">
        <v>87</v>
      </c>
      <c r="Q7" s="49" t="s">
        <v>86</v>
      </c>
      <c r="R7" s="64" t="s">
        <v>87</v>
      </c>
      <c r="S7" s="177"/>
      <c r="T7" s="157"/>
      <c r="V7"/>
      <c r="W7"/>
      <c r="X7"/>
    </row>
    <row r="8" spans="1:24" ht="15" customHeight="1">
      <c r="A8" s="50">
        <v>1</v>
      </c>
      <c r="B8" s="51" t="s">
        <v>88</v>
      </c>
      <c r="C8" s="52"/>
      <c r="D8" s="52"/>
      <c r="E8" s="52"/>
      <c r="F8" s="52"/>
      <c r="G8" s="52"/>
      <c r="H8" s="52"/>
      <c r="I8" s="52"/>
      <c r="J8" s="52"/>
      <c r="K8" s="52"/>
      <c r="L8" s="52"/>
      <c r="M8" s="52"/>
      <c r="N8" s="52"/>
      <c r="O8" s="52"/>
      <c r="P8" s="52"/>
      <c r="Q8" s="65"/>
      <c r="R8" s="66">
        <f>SUM(D8+F8+H8+J8+L8+N8+P8)</f>
        <v>0</v>
      </c>
      <c r="S8" s="67" t="e">
        <f t="shared" ref="S8:S12" si="0">R8/Q8</f>
        <v>#DIV/0!</v>
      </c>
      <c r="T8" s="68" t="e">
        <f t="shared" ref="T8:T12" si="1">R8/$R$13</f>
        <v>#DIV/0!</v>
      </c>
      <c r="V8"/>
      <c r="W8"/>
      <c r="X8"/>
    </row>
    <row r="9" spans="1:24" ht="15" customHeight="1">
      <c r="A9" s="50">
        <v>2</v>
      </c>
      <c r="B9" s="51" t="s">
        <v>89</v>
      </c>
      <c r="C9" s="52"/>
      <c r="D9" s="52"/>
      <c r="E9" s="52"/>
      <c r="F9" s="52"/>
      <c r="G9" s="52"/>
      <c r="H9" s="52"/>
      <c r="I9" s="52"/>
      <c r="J9" s="52"/>
      <c r="K9" s="52"/>
      <c r="L9" s="52"/>
      <c r="M9" s="52"/>
      <c r="N9" s="52"/>
      <c r="O9" s="52"/>
      <c r="P9" s="52"/>
      <c r="Q9" s="65"/>
      <c r="R9" s="66">
        <f t="shared" ref="R9:R12" si="2">SUM(D9+F9+H9+J9+L9+N9+P9)</f>
        <v>0</v>
      </c>
      <c r="S9" s="67" t="e">
        <f t="shared" si="0"/>
        <v>#DIV/0!</v>
      </c>
      <c r="T9" s="68" t="e">
        <f t="shared" si="1"/>
        <v>#DIV/0!</v>
      </c>
      <c r="V9"/>
      <c r="W9"/>
      <c r="X9"/>
    </row>
    <row r="10" spans="1:24" ht="15" customHeight="1">
      <c r="A10" s="50">
        <v>3</v>
      </c>
      <c r="B10" s="51" t="s">
        <v>90</v>
      </c>
      <c r="C10" s="52"/>
      <c r="D10" s="52"/>
      <c r="E10" s="52"/>
      <c r="F10" s="52"/>
      <c r="G10" s="52"/>
      <c r="H10" s="52"/>
      <c r="I10" s="52"/>
      <c r="J10" s="52"/>
      <c r="K10" s="52"/>
      <c r="L10" s="52"/>
      <c r="M10" s="52"/>
      <c r="N10" s="52"/>
      <c r="O10" s="52"/>
      <c r="P10" s="52"/>
      <c r="Q10" s="65"/>
      <c r="R10" s="66">
        <f t="shared" si="2"/>
        <v>0</v>
      </c>
      <c r="S10" s="67" t="e">
        <f t="shared" si="0"/>
        <v>#DIV/0!</v>
      </c>
      <c r="T10" s="68" t="e">
        <f t="shared" si="1"/>
        <v>#DIV/0!</v>
      </c>
      <c r="V10"/>
      <c r="W10"/>
      <c r="X10"/>
    </row>
    <row r="11" spans="1:24" ht="15" customHeight="1">
      <c r="A11" s="50">
        <v>4</v>
      </c>
      <c r="B11" s="51" t="s">
        <v>91</v>
      </c>
      <c r="C11" s="52"/>
      <c r="D11" s="52"/>
      <c r="E11" s="52"/>
      <c r="F11" s="52"/>
      <c r="G11" s="52"/>
      <c r="H11" s="52"/>
      <c r="I11" s="52"/>
      <c r="J11" s="52"/>
      <c r="K11" s="52"/>
      <c r="L11" s="52"/>
      <c r="M11" s="52"/>
      <c r="N11" s="52"/>
      <c r="O11" s="52"/>
      <c r="P11" s="52"/>
      <c r="Q11" s="65"/>
      <c r="R11" s="66">
        <f t="shared" si="2"/>
        <v>0</v>
      </c>
      <c r="S11" s="67" t="e">
        <f t="shared" si="0"/>
        <v>#DIV/0!</v>
      </c>
      <c r="T11" s="68" t="e">
        <f t="shared" si="1"/>
        <v>#DIV/0!</v>
      </c>
      <c r="V11"/>
      <c r="W11"/>
      <c r="X11"/>
    </row>
    <row r="12" spans="1:24" ht="15" customHeight="1">
      <c r="A12" s="50">
        <v>5</v>
      </c>
      <c r="B12" s="51" t="s">
        <v>92</v>
      </c>
      <c r="C12" s="52"/>
      <c r="D12" s="52"/>
      <c r="E12" s="52"/>
      <c r="F12" s="52"/>
      <c r="G12" s="52"/>
      <c r="H12" s="52"/>
      <c r="I12" s="52"/>
      <c r="J12" s="52"/>
      <c r="K12" s="52"/>
      <c r="L12" s="52"/>
      <c r="M12" s="52"/>
      <c r="N12" s="52"/>
      <c r="O12" s="52"/>
      <c r="P12" s="52"/>
      <c r="Q12" s="65"/>
      <c r="R12" s="66">
        <f t="shared" si="2"/>
        <v>0</v>
      </c>
      <c r="S12" s="67" t="e">
        <f t="shared" si="0"/>
        <v>#DIV/0!</v>
      </c>
      <c r="T12" s="68" t="e">
        <f t="shared" si="1"/>
        <v>#DIV/0!</v>
      </c>
      <c r="V12"/>
      <c r="W12"/>
      <c r="X12"/>
    </row>
    <row r="13" spans="1:24" ht="15" customHeight="1">
      <c r="A13" s="50">
        <v>6</v>
      </c>
      <c r="B13" s="51" t="s">
        <v>93</v>
      </c>
      <c r="C13" s="53">
        <f t="shared" ref="C13:I13" si="3">SUM(C8:C12)</f>
        <v>0</v>
      </c>
      <c r="D13" s="53">
        <f t="shared" si="3"/>
        <v>0</v>
      </c>
      <c r="E13" s="53">
        <f t="shared" si="3"/>
        <v>0</v>
      </c>
      <c r="F13" s="53">
        <f t="shared" si="3"/>
        <v>0</v>
      </c>
      <c r="G13" s="53">
        <f t="shared" si="3"/>
        <v>0</v>
      </c>
      <c r="H13" s="53">
        <f t="shared" si="3"/>
        <v>0</v>
      </c>
      <c r="I13" s="63">
        <f t="shared" si="3"/>
        <v>0</v>
      </c>
      <c r="J13" s="63">
        <f t="shared" ref="J13:R13" si="4">SUM(J8:J12)</f>
        <v>0</v>
      </c>
      <c r="K13" s="63">
        <f t="shared" si="4"/>
        <v>0</v>
      </c>
      <c r="L13" s="63">
        <f t="shared" si="4"/>
        <v>0</v>
      </c>
      <c r="M13" s="63">
        <f t="shared" si="4"/>
        <v>0</v>
      </c>
      <c r="N13" s="63">
        <f t="shared" si="4"/>
        <v>0</v>
      </c>
      <c r="O13" s="63">
        <f t="shared" si="4"/>
        <v>0</v>
      </c>
      <c r="P13" s="63">
        <f t="shared" si="4"/>
        <v>0</v>
      </c>
      <c r="Q13" s="69">
        <f t="shared" si="4"/>
        <v>0</v>
      </c>
      <c r="R13" s="70">
        <f t="shared" si="4"/>
        <v>0</v>
      </c>
      <c r="S13" s="67"/>
      <c r="T13" s="68"/>
      <c r="V13"/>
      <c r="W13"/>
      <c r="X13"/>
    </row>
    <row r="14" spans="1:24" s="44" customFormat="1" ht="15" customHeight="1">
      <c r="A14" s="54">
        <v>8</v>
      </c>
      <c r="B14" s="55" t="s">
        <v>94</v>
      </c>
      <c r="C14" s="165" t="e">
        <f t="shared" ref="C14:G14" si="5">D13/C13</f>
        <v>#DIV/0!</v>
      </c>
      <c r="D14" s="166"/>
      <c r="E14" s="165" t="e">
        <f t="shared" si="5"/>
        <v>#DIV/0!</v>
      </c>
      <c r="F14" s="166"/>
      <c r="G14" s="165" t="e">
        <f t="shared" si="5"/>
        <v>#DIV/0!</v>
      </c>
      <c r="H14" s="166"/>
      <c r="I14" s="165" t="e">
        <f t="shared" ref="I14:M14" si="6">J13/I13</f>
        <v>#DIV/0!</v>
      </c>
      <c r="J14" s="166"/>
      <c r="K14" s="165" t="e">
        <f t="shared" si="6"/>
        <v>#DIV/0!</v>
      </c>
      <c r="L14" s="166"/>
      <c r="M14" s="165" t="e">
        <f t="shared" si="6"/>
        <v>#DIV/0!</v>
      </c>
      <c r="N14" s="166"/>
      <c r="O14" s="165" t="e">
        <f>P13/O13</f>
        <v>#DIV/0!</v>
      </c>
      <c r="P14" s="166"/>
      <c r="Q14" s="165" t="e">
        <f>R13/Q13</f>
        <v>#DIV/0!</v>
      </c>
      <c r="R14" s="166"/>
      <c r="S14" s="67"/>
      <c r="T14" s="71"/>
      <c r="V14"/>
      <c r="W14"/>
      <c r="X14"/>
    </row>
    <row r="15" spans="1:24" s="44" customFormat="1" ht="15" customHeight="1">
      <c r="A15" s="54">
        <v>9</v>
      </c>
      <c r="B15" s="55" t="s">
        <v>95</v>
      </c>
      <c r="C15" s="161" t="e">
        <f t="shared" ref="C15:G15" si="7">D13/C13-1</f>
        <v>#DIV/0!</v>
      </c>
      <c r="D15" s="162"/>
      <c r="E15" s="161" t="e">
        <f t="shared" si="7"/>
        <v>#DIV/0!</v>
      </c>
      <c r="F15" s="162"/>
      <c r="G15" s="161" t="e">
        <f t="shared" si="7"/>
        <v>#DIV/0!</v>
      </c>
      <c r="H15" s="162"/>
      <c r="I15" s="161" t="e">
        <f t="shared" ref="I15:M15" si="8">J13/I13-1</f>
        <v>#DIV/0!</v>
      </c>
      <c r="J15" s="162"/>
      <c r="K15" s="161" t="e">
        <f t="shared" si="8"/>
        <v>#DIV/0!</v>
      </c>
      <c r="L15" s="162"/>
      <c r="M15" s="161" t="e">
        <f t="shared" si="8"/>
        <v>#DIV/0!</v>
      </c>
      <c r="N15" s="162"/>
      <c r="O15" s="161" t="e">
        <f>P13/O13-1</f>
        <v>#DIV/0!</v>
      </c>
      <c r="P15" s="162"/>
      <c r="Q15" s="167" t="e">
        <f>R13/Q13-1</f>
        <v>#DIV/0!</v>
      </c>
      <c r="R15" s="168"/>
      <c r="S15" s="153" t="s">
        <v>96</v>
      </c>
      <c r="T15" s="158" t="e">
        <f>故事!F15/工作量分布!R13</f>
        <v>#DIV/0!</v>
      </c>
      <c r="V15"/>
      <c r="W15"/>
      <c r="X15"/>
    </row>
    <row r="16" spans="1:24" s="45" customFormat="1" ht="15" customHeight="1">
      <c r="A16" s="54">
        <v>10</v>
      </c>
      <c r="B16" s="56" t="s">
        <v>97</v>
      </c>
      <c r="C16" s="161" t="e">
        <f>D13/C13-100%</f>
        <v>#DIV/0!</v>
      </c>
      <c r="D16" s="162"/>
      <c r="E16" s="161" t="e">
        <f>(D13+F13)/(C13+E13)-100%</f>
        <v>#DIV/0!</v>
      </c>
      <c r="F16" s="162"/>
      <c r="G16" s="161" t="e">
        <f>(D13+F13+H13)/(C13+E13+G13)-100%</f>
        <v>#DIV/0!</v>
      </c>
      <c r="H16" s="162"/>
      <c r="I16" s="161" t="e">
        <f>(D13+F13+H13+J13)/(C13+E13+G13+I13)-100%</f>
        <v>#DIV/0!</v>
      </c>
      <c r="J16" s="162"/>
      <c r="K16" s="161" t="e">
        <f t="shared" ref="K16:O16" si="9">(D13+F13+H13+J13+L13)/(C13+E13+G13+I13+K13)-100%</f>
        <v>#DIV/0!</v>
      </c>
      <c r="L16" s="162"/>
      <c r="M16" s="161" t="e">
        <f t="shared" si="9"/>
        <v>#DIV/0!</v>
      </c>
      <c r="N16" s="162"/>
      <c r="O16" s="161" t="e">
        <f t="shared" si="9"/>
        <v>#DIV/0!</v>
      </c>
      <c r="P16" s="162"/>
      <c r="Q16" s="161" t="e">
        <f>K16</f>
        <v>#DIV/0!</v>
      </c>
      <c r="R16" s="162"/>
      <c r="S16" s="154"/>
      <c r="T16" s="159"/>
      <c r="V16"/>
      <c r="W16"/>
      <c r="X16"/>
    </row>
    <row r="17" spans="1:23" s="45" customFormat="1" ht="15" customHeight="1">
      <c r="A17" s="57">
        <v>11</v>
      </c>
      <c r="B17" s="58" t="s">
        <v>98</v>
      </c>
      <c r="C17" s="163" t="e">
        <f t="shared" ref="C17:G17" si="10">D8/$R8</f>
        <v>#DIV/0!</v>
      </c>
      <c r="D17" s="164"/>
      <c r="E17" s="163" t="e">
        <f t="shared" si="10"/>
        <v>#DIV/0!</v>
      </c>
      <c r="F17" s="164"/>
      <c r="G17" s="163" t="e">
        <f t="shared" si="10"/>
        <v>#DIV/0!</v>
      </c>
      <c r="H17" s="164"/>
      <c r="I17" s="163" t="e">
        <f>J8/R8</f>
        <v>#DIV/0!</v>
      </c>
      <c r="J17" s="164"/>
      <c r="K17" s="163" t="e">
        <f t="shared" ref="K17:O17" si="11">L8/R8</f>
        <v>#DIV/0!</v>
      </c>
      <c r="L17" s="164"/>
      <c r="M17" s="163" t="e">
        <f t="shared" si="11"/>
        <v>#DIV/0!</v>
      </c>
      <c r="N17" s="164"/>
      <c r="O17" s="163" t="e">
        <f t="shared" si="11"/>
        <v>#DIV/0!</v>
      </c>
      <c r="P17" s="164"/>
      <c r="Q17" s="163"/>
      <c r="R17" s="164"/>
      <c r="S17" s="155"/>
      <c r="T17" s="160"/>
      <c r="V17" s="47"/>
      <c r="W17" s="47"/>
    </row>
    <row r="18" spans="1:23">
      <c r="A18" s="59"/>
      <c r="B18" s="60"/>
      <c r="C18" s="61"/>
      <c r="D18" s="61"/>
      <c r="E18" s="61"/>
      <c r="F18" s="61"/>
      <c r="G18" s="61"/>
      <c r="H18" s="61"/>
      <c r="I18" s="61"/>
      <c r="J18" s="61"/>
      <c r="K18" s="61"/>
      <c r="L18" s="61"/>
      <c r="M18" s="61"/>
      <c r="N18" s="61"/>
      <c r="O18" s="61"/>
      <c r="P18" s="61"/>
      <c r="Q18" s="61"/>
      <c r="R18" s="61"/>
      <c r="S18" s="61"/>
      <c r="T18" s="60"/>
    </row>
    <row r="19" spans="1:23" ht="13.5">
      <c r="A19"/>
      <c r="B19"/>
      <c r="C19"/>
      <c r="D19"/>
      <c r="E19"/>
      <c r="F19"/>
      <c r="G19"/>
      <c r="H19"/>
      <c r="I19"/>
    </row>
    <row r="20" spans="1:23" ht="12" customHeight="1">
      <c r="A20"/>
      <c r="B20"/>
      <c r="C20"/>
      <c r="D20"/>
      <c r="E20"/>
      <c r="F20"/>
      <c r="G20"/>
      <c r="H20"/>
      <c r="I20"/>
    </row>
    <row r="21" spans="1:23" ht="13.5">
      <c r="A21"/>
      <c r="B21"/>
      <c r="C21"/>
      <c r="D21"/>
      <c r="E21"/>
      <c r="F21"/>
      <c r="G21"/>
      <c r="H21"/>
      <c r="I21"/>
      <c r="T21" s="72"/>
    </row>
    <row r="22" spans="1:23" ht="13.5">
      <c r="A22"/>
      <c r="B22"/>
      <c r="C22"/>
      <c r="D22"/>
      <c r="E22"/>
      <c r="F22"/>
      <c r="G22"/>
      <c r="H22"/>
      <c r="I22"/>
      <c r="T22" s="72"/>
    </row>
    <row r="23" spans="1:23" ht="13.5">
      <c r="A23"/>
      <c r="B23"/>
      <c r="C23"/>
      <c r="D23"/>
      <c r="E23"/>
      <c r="F23"/>
      <c r="G23"/>
      <c r="H23"/>
      <c r="I23"/>
      <c r="T23" s="72"/>
    </row>
    <row r="24" spans="1:23" ht="13.5">
      <c r="A24"/>
      <c r="B24"/>
      <c r="C24"/>
      <c r="D24"/>
      <c r="E24"/>
      <c r="F24"/>
      <c r="G24"/>
      <c r="H24"/>
      <c r="I24"/>
      <c r="T24" s="72"/>
    </row>
    <row r="25" spans="1:23">
      <c r="T25" s="72"/>
    </row>
    <row r="26" spans="1:23">
      <c r="T26" s="72"/>
    </row>
    <row r="27" spans="1:23">
      <c r="T27" s="72"/>
    </row>
    <row r="30" spans="1:23">
      <c r="T30" s="72"/>
    </row>
    <row r="31" spans="1:23">
      <c r="T31" s="72"/>
    </row>
    <row r="32" spans="1:23">
      <c r="T32" s="72"/>
    </row>
    <row r="33" spans="1:20">
      <c r="T33" s="72"/>
    </row>
    <row r="34" spans="1:20">
      <c r="T34" s="72"/>
    </row>
    <row r="35" spans="1:20">
      <c r="T35" s="72"/>
    </row>
    <row r="36" spans="1:20" ht="14.25" customHeight="1"/>
    <row r="38" spans="1:20" ht="14.25">
      <c r="A38" s="62"/>
    </row>
    <row r="42" spans="1:20" ht="12" customHeight="1"/>
    <row r="45" spans="1:20" ht="13.5" customHeight="1"/>
  </sheetData>
  <mergeCells count="47">
    <mergeCell ref="A1:T1"/>
    <mergeCell ref="C6:D6"/>
    <mergeCell ref="E6:F6"/>
    <mergeCell ref="G6:H6"/>
    <mergeCell ref="I6:J6"/>
    <mergeCell ref="K6:L6"/>
    <mergeCell ref="M6:N6"/>
    <mergeCell ref="O6:P6"/>
    <mergeCell ref="Q6:R6"/>
    <mergeCell ref="A6:A7"/>
    <mergeCell ref="B6:B7"/>
    <mergeCell ref="S6:S7"/>
    <mergeCell ref="C14:D14"/>
    <mergeCell ref="E14:F14"/>
    <mergeCell ref="G14:H14"/>
    <mergeCell ref="I14:J14"/>
    <mergeCell ref="K14:L14"/>
    <mergeCell ref="C15:D15"/>
    <mergeCell ref="E15:F15"/>
    <mergeCell ref="G15:H15"/>
    <mergeCell ref="I15:J15"/>
    <mergeCell ref="K15:L15"/>
    <mergeCell ref="C16:D16"/>
    <mergeCell ref="E16:F16"/>
    <mergeCell ref="G16:H16"/>
    <mergeCell ref="I16:J16"/>
    <mergeCell ref="K16:L16"/>
    <mergeCell ref="C17:D17"/>
    <mergeCell ref="E17:F17"/>
    <mergeCell ref="G17:H17"/>
    <mergeCell ref="I17:J17"/>
    <mergeCell ref="K17:L17"/>
    <mergeCell ref="S15:S17"/>
    <mergeCell ref="T6:T7"/>
    <mergeCell ref="T15:T17"/>
    <mergeCell ref="M16:N16"/>
    <mergeCell ref="O16:P16"/>
    <mergeCell ref="Q16:R16"/>
    <mergeCell ref="M17:N17"/>
    <mergeCell ref="O17:P17"/>
    <mergeCell ref="Q17:R17"/>
    <mergeCell ref="M14:N14"/>
    <mergeCell ref="O14:P14"/>
    <mergeCell ref="Q14:R14"/>
    <mergeCell ref="M15:N15"/>
    <mergeCell ref="O15:P15"/>
    <mergeCell ref="Q15:R15"/>
  </mergeCells>
  <phoneticPr fontId="91" type="noConversion"/>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N48"/>
  <sheetViews>
    <sheetView showGridLines="0" tabSelected="1" workbookViewId="0">
      <selection activeCell="N35" sqref="N35"/>
    </sheetView>
  </sheetViews>
  <sheetFormatPr defaultColWidth="9" defaultRowHeight="12"/>
  <cols>
    <col min="1" max="1" width="12" style="1" customWidth="1"/>
    <col min="2" max="2" width="12.625" style="1" customWidth="1"/>
    <col min="3" max="3" width="12" style="1" customWidth="1"/>
    <col min="4" max="4" width="10.875" style="1" customWidth="1"/>
    <col min="5" max="5" width="14" style="1" customWidth="1"/>
    <col min="6" max="6" width="12.875" style="1" customWidth="1"/>
    <col min="7" max="7" width="9.25" style="1" customWidth="1"/>
    <col min="8" max="8" width="8.875" style="1" customWidth="1"/>
    <col min="9" max="9" width="10" style="1" customWidth="1"/>
    <col min="10" max="10" width="12.5" style="1" customWidth="1"/>
    <col min="11" max="11" width="10.5" style="1" customWidth="1"/>
    <col min="12" max="12" width="10.75" style="1" customWidth="1"/>
    <col min="13" max="13" width="9" style="1" customWidth="1"/>
    <col min="14" max="14" width="9.625" style="1" customWidth="1"/>
    <col min="15" max="15" width="16.25" style="1" customWidth="1"/>
    <col min="16" max="256" width="9" style="1"/>
    <col min="257" max="257" width="12" style="1" customWidth="1"/>
    <col min="258" max="258" width="17.25" style="1" customWidth="1"/>
    <col min="259" max="259" width="8.75" style="1" customWidth="1"/>
    <col min="260" max="260" width="8.375" style="1" customWidth="1"/>
    <col min="261" max="261" width="10.375" style="1" customWidth="1"/>
    <col min="262" max="262" width="9.125" style="1" customWidth="1"/>
    <col min="263" max="263" width="9.25" style="1" customWidth="1"/>
    <col min="264" max="264" width="8.875" style="1" customWidth="1"/>
    <col min="265" max="265" width="10" style="1" customWidth="1"/>
    <col min="266" max="266" width="9.875" style="1" customWidth="1"/>
    <col min="267" max="267" width="9" style="1" customWidth="1"/>
    <col min="268" max="268" width="10.75" style="1" customWidth="1"/>
    <col min="269" max="269" width="9" style="1" customWidth="1"/>
    <col min="270" max="270" width="9.625" style="1" customWidth="1"/>
    <col min="271" max="271" width="16.25" style="1" customWidth="1"/>
    <col min="272" max="512" width="9" style="1"/>
    <col min="513" max="513" width="12" style="1" customWidth="1"/>
    <col min="514" max="514" width="17.25" style="1" customWidth="1"/>
    <col min="515" max="515" width="8.75" style="1" customWidth="1"/>
    <col min="516" max="516" width="8.375" style="1" customWidth="1"/>
    <col min="517" max="517" width="10.375" style="1" customWidth="1"/>
    <col min="518" max="518" width="9.125" style="1" customWidth="1"/>
    <col min="519" max="519" width="9.25" style="1" customWidth="1"/>
    <col min="520" max="520" width="8.875" style="1" customWidth="1"/>
    <col min="521" max="521" width="10" style="1" customWidth="1"/>
    <col min="522" max="522" width="9.875" style="1" customWidth="1"/>
    <col min="523" max="523" width="9" style="1" customWidth="1"/>
    <col min="524" max="524" width="10.75" style="1" customWidth="1"/>
    <col min="525" max="525" width="9" style="1" customWidth="1"/>
    <col min="526" max="526" width="9.625" style="1" customWidth="1"/>
    <col min="527" max="527" width="16.25" style="1" customWidth="1"/>
    <col min="528" max="768" width="9" style="1"/>
    <col min="769" max="769" width="12" style="1" customWidth="1"/>
    <col min="770" max="770" width="17.25" style="1" customWidth="1"/>
    <col min="771" max="771" width="8.75" style="1" customWidth="1"/>
    <col min="772" max="772" width="8.375" style="1" customWidth="1"/>
    <col min="773" max="773" width="10.375" style="1" customWidth="1"/>
    <col min="774" max="774" width="9.125" style="1" customWidth="1"/>
    <col min="775" max="775" width="9.25" style="1" customWidth="1"/>
    <col min="776" max="776" width="8.875" style="1" customWidth="1"/>
    <col min="777" max="777" width="10" style="1" customWidth="1"/>
    <col min="778" max="778" width="9.875" style="1" customWidth="1"/>
    <col min="779" max="779" width="9" style="1" customWidth="1"/>
    <col min="780" max="780" width="10.75" style="1" customWidth="1"/>
    <col min="781" max="781" width="9" style="1" customWidth="1"/>
    <col min="782" max="782" width="9.625" style="1" customWidth="1"/>
    <col min="783" max="783" width="16.25" style="1" customWidth="1"/>
    <col min="784" max="1024" width="9" style="1"/>
    <col min="1025" max="1025" width="12" style="1" customWidth="1"/>
    <col min="1026" max="1026" width="17.25" style="1" customWidth="1"/>
    <col min="1027" max="1027" width="8.75" style="1" customWidth="1"/>
    <col min="1028" max="1028" width="8.375" style="1" customWidth="1"/>
    <col min="1029" max="1029" width="10.375" style="1" customWidth="1"/>
    <col min="1030" max="1030" width="9.125" style="1" customWidth="1"/>
    <col min="1031" max="1031" width="9.25" style="1" customWidth="1"/>
    <col min="1032" max="1032" width="8.875" style="1" customWidth="1"/>
    <col min="1033" max="1033" width="10" style="1" customWidth="1"/>
    <col min="1034" max="1034" width="9.875" style="1" customWidth="1"/>
    <col min="1035" max="1035" width="9" style="1" customWidth="1"/>
    <col min="1036" max="1036" width="10.75" style="1" customWidth="1"/>
    <col min="1037" max="1037" width="9" style="1" customWidth="1"/>
    <col min="1038" max="1038" width="9.625" style="1" customWidth="1"/>
    <col min="1039" max="1039" width="16.25" style="1" customWidth="1"/>
    <col min="1040" max="1280" width="9" style="1"/>
    <col min="1281" max="1281" width="12" style="1" customWidth="1"/>
    <col min="1282" max="1282" width="17.25" style="1" customWidth="1"/>
    <col min="1283" max="1283" width="8.75" style="1" customWidth="1"/>
    <col min="1284" max="1284" width="8.375" style="1" customWidth="1"/>
    <col min="1285" max="1285" width="10.375" style="1" customWidth="1"/>
    <col min="1286" max="1286" width="9.125" style="1" customWidth="1"/>
    <col min="1287" max="1287" width="9.25" style="1" customWidth="1"/>
    <col min="1288" max="1288" width="8.875" style="1" customWidth="1"/>
    <col min="1289" max="1289" width="10" style="1" customWidth="1"/>
    <col min="1290" max="1290" width="9.875" style="1" customWidth="1"/>
    <col min="1291" max="1291" width="9" style="1" customWidth="1"/>
    <col min="1292" max="1292" width="10.75" style="1" customWidth="1"/>
    <col min="1293" max="1293" width="9" style="1" customWidth="1"/>
    <col min="1294" max="1294" width="9.625" style="1" customWidth="1"/>
    <col min="1295" max="1295" width="16.25" style="1" customWidth="1"/>
    <col min="1296" max="1536" width="9" style="1"/>
    <col min="1537" max="1537" width="12" style="1" customWidth="1"/>
    <col min="1538" max="1538" width="17.25" style="1" customWidth="1"/>
    <col min="1539" max="1539" width="8.75" style="1" customWidth="1"/>
    <col min="1540" max="1540" width="8.375" style="1" customWidth="1"/>
    <col min="1541" max="1541" width="10.375" style="1" customWidth="1"/>
    <col min="1542" max="1542" width="9.125" style="1" customWidth="1"/>
    <col min="1543" max="1543" width="9.25" style="1" customWidth="1"/>
    <col min="1544" max="1544" width="8.875" style="1" customWidth="1"/>
    <col min="1545" max="1545" width="10" style="1" customWidth="1"/>
    <col min="1546" max="1546" width="9.875" style="1" customWidth="1"/>
    <col min="1547" max="1547" width="9" style="1" customWidth="1"/>
    <col min="1548" max="1548" width="10.75" style="1" customWidth="1"/>
    <col min="1549" max="1549" width="9" style="1" customWidth="1"/>
    <col min="1550" max="1550" width="9.625" style="1" customWidth="1"/>
    <col min="1551" max="1551" width="16.25" style="1" customWidth="1"/>
    <col min="1552" max="1792" width="9" style="1"/>
    <col min="1793" max="1793" width="12" style="1" customWidth="1"/>
    <col min="1794" max="1794" width="17.25" style="1" customWidth="1"/>
    <col min="1795" max="1795" width="8.75" style="1" customWidth="1"/>
    <col min="1796" max="1796" width="8.375" style="1" customWidth="1"/>
    <col min="1797" max="1797" width="10.375" style="1" customWidth="1"/>
    <col min="1798" max="1798" width="9.125" style="1" customWidth="1"/>
    <col min="1799" max="1799" width="9.25" style="1" customWidth="1"/>
    <col min="1800" max="1800" width="8.875" style="1" customWidth="1"/>
    <col min="1801" max="1801" width="10" style="1" customWidth="1"/>
    <col min="1802" max="1802" width="9.875" style="1" customWidth="1"/>
    <col min="1803" max="1803" width="9" style="1" customWidth="1"/>
    <col min="1804" max="1804" width="10.75" style="1" customWidth="1"/>
    <col min="1805" max="1805" width="9" style="1" customWidth="1"/>
    <col min="1806" max="1806" width="9.625" style="1" customWidth="1"/>
    <col min="1807" max="1807" width="16.25" style="1" customWidth="1"/>
    <col min="1808" max="2048" width="9" style="1"/>
    <col min="2049" max="2049" width="12" style="1" customWidth="1"/>
    <col min="2050" max="2050" width="17.25" style="1" customWidth="1"/>
    <col min="2051" max="2051" width="8.75" style="1" customWidth="1"/>
    <col min="2052" max="2052" width="8.375" style="1" customWidth="1"/>
    <col min="2053" max="2053" width="10.375" style="1" customWidth="1"/>
    <col min="2054" max="2054" width="9.125" style="1" customWidth="1"/>
    <col min="2055" max="2055" width="9.25" style="1" customWidth="1"/>
    <col min="2056" max="2056" width="8.875" style="1" customWidth="1"/>
    <col min="2057" max="2057" width="10" style="1" customWidth="1"/>
    <col min="2058" max="2058" width="9.875" style="1" customWidth="1"/>
    <col min="2059" max="2059" width="9" style="1" customWidth="1"/>
    <col min="2060" max="2060" width="10.75" style="1" customWidth="1"/>
    <col min="2061" max="2061" width="9" style="1" customWidth="1"/>
    <col min="2062" max="2062" width="9.625" style="1" customWidth="1"/>
    <col min="2063" max="2063" width="16.25" style="1" customWidth="1"/>
    <col min="2064" max="2304" width="9" style="1"/>
    <col min="2305" max="2305" width="12" style="1" customWidth="1"/>
    <col min="2306" max="2306" width="17.25" style="1" customWidth="1"/>
    <col min="2307" max="2307" width="8.75" style="1" customWidth="1"/>
    <col min="2308" max="2308" width="8.375" style="1" customWidth="1"/>
    <col min="2309" max="2309" width="10.375" style="1" customWidth="1"/>
    <col min="2310" max="2310" width="9.125" style="1" customWidth="1"/>
    <col min="2311" max="2311" width="9.25" style="1" customWidth="1"/>
    <col min="2312" max="2312" width="8.875" style="1" customWidth="1"/>
    <col min="2313" max="2313" width="10" style="1" customWidth="1"/>
    <col min="2314" max="2314" width="9.875" style="1" customWidth="1"/>
    <col min="2315" max="2315" width="9" style="1" customWidth="1"/>
    <col min="2316" max="2316" width="10.75" style="1" customWidth="1"/>
    <col min="2317" max="2317" width="9" style="1" customWidth="1"/>
    <col min="2318" max="2318" width="9.625" style="1" customWidth="1"/>
    <col min="2319" max="2319" width="16.25" style="1" customWidth="1"/>
    <col min="2320" max="2560" width="9" style="1"/>
    <col min="2561" max="2561" width="12" style="1" customWidth="1"/>
    <col min="2562" max="2562" width="17.25" style="1" customWidth="1"/>
    <col min="2563" max="2563" width="8.75" style="1" customWidth="1"/>
    <col min="2564" max="2564" width="8.375" style="1" customWidth="1"/>
    <col min="2565" max="2565" width="10.375" style="1" customWidth="1"/>
    <col min="2566" max="2566" width="9.125" style="1" customWidth="1"/>
    <col min="2567" max="2567" width="9.25" style="1" customWidth="1"/>
    <col min="2568" max="2568" width="8.875" style="1" customWidth="1"/>
    <col min="2569" max="2569" width="10" style="1" customWidth="1"/>
    <col min="2570" max="2570" width="9.875" style="1" customWidth="1"/>
    <col min="2571" max="2571" width="9" style="1" customWidth="1"/>
    <col min="2572" max="2572" width="10.75" style="1" customWidth="1"/>
    <col min="2573" max="2573" width="9" style="1" customWidth="1"/>
    <col min="2574" max="2574" width="9.625" style="1" customWidth="1"/>
    <col min="2575" max="2575" width="16.25" style="1" customWidth="1"/>
    <col min="2576" max="2816" width="9" style="1"/>
    <col min="2817" max="2817" width="12" style="1" customWidth="1"/>
    <col min="2818" max="2818" width="17.25" style="1" customWidth="1"/>
    <col min="2819" max="2819" width="8.75" style="1" customWidth="1"/>
    <col min="2820" max="2820" width="8.375" style="1" customWidth="1"/>
    <col min="2821" max="2821" width="10.375" style="1" customWidth="1"/>
    <col min="2822" max="2822" width="9.125" style="1" customWidth="1"/>
    <col min="2823" max="2823" width="9.25" style="1" customWidth="1"/>
    <col min="2824" max="2824" width="8.875" style="1" customWidth="1"/>
    <col min="2825" max="2825" width="10" style="1" customWidth="1"/>
    <col min="2826" max="2826" width="9.875" style="1" customWidth="1"/>
    <col min="2827" max="2827" width="9" style="1" customWidth="1"/>
    <col min="2828" max="2828" width="10.75" style="1" customWidth="1"/>
    <col min="2829" max="2829" width="9" style="1" customWidth="1"/>
    <col min="2830" max="2830" width="9.625" style="1" customWidth="1"/>
    <col min="2831" max="2831" width="16.25" style="1" customWidth="1"/>
    <col min="2832" max="3072" width="9" style="1"/>
    <col min="3073" max="3073" width="12" style="1" customWidth="1"/>
    <col min="3074" max="3074" width="17.25" style="1" customWidth="1"/>
    <col min="3075" max="3075" width="8.75" style="1" customWidth="1"/>
    <col min="3076" max="3076" width="8.375" style="1" customWidth="1"/>
    <col min="3077" max="3077" width="10.375" style="1" customWidth="1"/>
    <col min="3078" max="3078" width="9.125" style="1" customWidth="1"/>
    <col min="3079" max="3079" width="9.25" style="1" customWidth="1"/>
    <col min="3080" max="3080" width="8.875" style="1" customWidth="1"/>
    <col min="3081" max="3081" width="10" style="1" customWidth="1"/>
    <col min="3082" max="3082" width="9.875" style="1" customWidth="1"/>
    <col min="3083" max="3083" width="9" style="1" customWidth="1"/>
    <col min="3084" max="3084" width="10.75" style="1" customWidth="1"/>
    <col min="3085" max="3085" width="9" style="1" customWidth="1"/>
    <col min="3086" max="3086" width="9.625" style="1" customWidth="1"/>
    <col min="3087" max="3087" width="16.25" style="1" customWidth="1"/>
    <col min="3088" max="3328" width="9" style="1"/>
    <col min="3329" max="3329" width="12" style="1" customWidth="1"/>
    <col min="3330" max="3330" width="17.25" style="1" customWidth="1"/>
    <col min="3331" max="3331" width="8.75" style="1" customWidth="1"/>
    <col min="3332" max="3332" width="8.375" style="1" customWidth="1"/>
    <col min="3333" max="3333" width="10.375" style="1" customWidth="1"/>
    <col min="3334" max="3334" width="9.125" style="1" customWidth="1"/>
    <col min="3335" max="3335" width="9.25" style="1" customWidth="1"/>
    <col min="3336" max="3336" width="8.875" style="1" customWidth="1"/>
    <col min="3337" max="3337" width="10" style="1" customWidth="1"/>
    <col min="3338" max="3338" width="9.875" style="1" customWidth="1"/>
    <col min="3339" max="3339" width="9" style="1" customWidth="1"/>
    <col min="3340" max="3340" width="10.75" style="1" customWidth="1"/>
    <col min="3341" max="3341" width="9" style="1" customWidth="1"/>
    <col min="3342" max="3342" width="9.625" style="1" customWidth="1"/>
    <col min="3343" max="3343" width="16.25" style="1" customWidth="1"/>
    <col min="3344" max="3584" width="9" style="1"/>
    <col min="3585" max="3585" width="12" style="1" customWidth="1"/>
    <col min="3586" max="3586" width="17.25" style="1" customWidth="1"/>
    <col min="3587" max="3587" width="8.75" style="1" customWidth="1"/>
    <col min="3588" max="3588" width="8.375" style="1" customWidth="1"/>
    <col min="3589" max="3589" width="10.375" style="1" customWidth="1"/>
    <col min="3590" max="3590" width="9.125" style="1" customWidth="1"/>
    <col min="3591" max="3591" width="9.25" style="1" customWidth="1"/>
    <col min="3592" max="3592" width="8.875" style="1" customWidth="1"/>
    <col min="3593" max="3593" width="10" style="1" customWidth="1"/>
    <col min="3594" max="3594" width="9.875" style="1" customWidth="1"/>
    <col min="3595" max="3595" width="9" style="1" customWidth="1"/>
    <col min="3596" max="3596" width="10.75" style="1" customWidth="1"/>
    <col min="3597" max="3597" width="9" style="1" customWidth="1"/>
    <col min="3598" max="3598" width="9.625" style="1" customWidth="1"/>
    <col min="3599" max="3599" width="16.25" style="1" customWidth="1"/>
    <col min="3600" max="3840" width="9" style="1"/>
    <col min="3841" max="3841" width="12" style="1" customWidth="1"/>
    <col min="3842" max="3842" width="17.25" style="1" customWidth="1"/>
    <col min="3843" max="3843" width="8.75" style="1" customWidth="1"/>
    <col min="3844" max="3844" width="8.375" style="1" customWidth="1"/>
    <col min="3845" max="3845" width="10.375" style="1" customWidth="1"/>
    <col min="3846" max="3846" width="9.125" style="1" customWidth="1"/>
    <col min="3847" max="3847" width="9.25" style="1" customWidth="1"/>
    <col min="3848" max="3848" width="8.875" style="1" customWidth="1"/>
    <col min="3849" max="3849" width="10" style="1" customWidth="1"/>
    <col min="3850" max="3850" width="9.875" style="1" customWidth="1"/>
    <col min="3851" max="3851" width="9" style="1" customWidth="1"/>
    <col min="3852" max="3852" width="10.75" style="1" customWidth="1"/>
    <col min="3853" max="3853" width="9" style="1" customWidth="1"/>
    <col min="3854" max="3854" width="9.625" style="1" customWidth="1"/>
    <col min="3855" max="3855" width="16.25" style="1" customWidth="1"/>
    <col min="3856" max="4096" width="9" style="1"/>
    <col min="4097" max="4097" width="12" style="1" customWidth="1"/>
    <col min="4098" max="4098" width="17.25" style="1" customWidth="1"/>
    <col min="4099" max="4099" width="8.75" style="1" customWidth="1"/>
    <col min="4100" max="4100" width="8.375" style="1" customWidth="1"/>
    <col min="4101" max="4101" width="10.375" style="1" customWidth="1"/>
    <col min="4102" max="4102" width="9.125" style="1" customWidth="1"/>
    <col min="4103" max="4103" width="9.25" style="1" customWidth="1"/>
    <col min="4104" max="4104" width="8.875" style="1" customWidth="1"/>
    <col min="4105" max="4105" width="10" style="1" customWidth="1"/>
    <col min="4106" max="4106" width="9.875" style="1" customWidth="1"/>
    <col min="4107" max="4107" width="9" style="1" customWidth="1"/>
    <col min="4108" max="4108" width="10.75" style="1" customWidth="1"/>
    <col min="4109" max="4109" width="9" style="1" customWidth="1"/>
    <col min="4110" max="4110" width="9.625" style="1" customWidth="1"/>
    <col min="4111" max="4111" width="16.25" style="1" customWidth="1"/>
    <col min="4112" max="4352" width="9" style="1"/>
    <col min="4353" max="4353" width="12" style="1" customWidth="1"/>
    <col min="4354" max="4354" width="17.25" style="1" customWidth="1"/>
    <col min="4355" max="4355" width="8.75" style="1" customWidth="1"/>
    <col min="4356" max="4356" width="8.375" style="1" customWidth="1"/>
    <col min="4357" max="4357" width="10.375" style="1" customWidth="1"/>
    <col min="4358" max="4358" width="9.125" style="1" customWidth="1"/>
    <col min="4359" max="4359" width="9.25" style="1" customWidth="1"/>
    <col min="4360" max="4360" width="8.875" style="1" customWidth="1"/>
    <col min="4361" max="4361" width="10" style="1" customWidth="1"/>
    <col min="4362" max="4362" width="9.875" style="1" customWidth="1"/>
    <col min="4363" max="4363" width="9" style="1" customWidth="1"/>
    <col min="4364" max="4364" width="10.75" style="1" customWidth="1"/>
    <col min="4365" max="4365" width="9" style="1" customWidth="1"/>
    <col min="4366" max="4366" width="9.625" style="1" customWidth="1"/>
    <col min="4367" max="4367" width="16.25" style="1" customWidth="1"/>
    <col min="4368" max="4608" width="9" style="1"/>
    <col min="4609" max="4609" width="12" style="1" customWidth="1"/>
    <col min="4610" max="4610" width="17.25" style="1" customWidth="1"/>
    <col min="4611" max="4611" width="8.75" style="1" customWidth="1"/>
    <col min="4612" max="4612" width="8.375" style="1" customWidth="1"/>
    <col min="4613" max="4613" width="10.375" style="1" customWidth="1"/>
    <col min="4614" max="4614" width="9.125" style="1" customWidth="1"/>
    <col min="4615" max="4615" width="9.25" style="1" customWidth="1"/>
    <col min="4616" max="4616" width="8.875" style="1" customWidth="1"/>
    <col min="4617" max="4617" width="10" style="1" customWidth="1"/>
    <col min="4618" max="4618" width="9.875" style="1" customWidth="1"/>
    <col min="4619" max="4619" width="9" style="1" customWidth="1"/>
    <col min="4620" max="4620" width="10.75" style="1" customWidth="1"/>
    <col min="4621" max="4621" width="9" style="1" customWidth="1"/>
    <col min="4622" max="4622" width="9.625" style="1" customWidth="1"/>
    <col min="4623" max="4623" width="16.25" style="1" customWidth="1"/>
    <col min="4624" max="4864" width="9" style="1"/>
    <col min="4865" max="4865" width="12" style="1" customWidth="1"/>
    <col min="4866" max="4866" width="17.25" style="1" customWidth="1"/>
    <col min="4867" max="4867" width="8.75" style="1" customWidth="1"/>
    <col min="4868" max="4868" width="8.375" style="1" customWidth="1"/>
    <col min="4869" max="4869" width="10.375" style="1" customWidth="1"/>
    <col min="4870" max="4870" width="9.125" style="1" customWidth="1"/>
    <col min="4871" max="4871" width="9.25" style="1" customWidth="1"/>
    <col min="4872" max="4872" width="8.875" style="1" customWidth="1"/>
    <col min="4873" max="4873" width="10" style="1" customWidth="1"/>
    <col min="4874" max="4874" width="9.875" style="1" customWidth="1"/>
    <col min="4875" max="4875" width="9" style="1" customWidth="1"/>
    <col min="4876" max="4876" width="10.75" style="1" customWidth="1"/>
    <col min="4877" max="4877" width="9" style="1" customWidth="1"/>
    <col min="4878" max="4878" width="9.625" style="1" customWidth="1"/>
    <col min="4879" max="4879" width="16.25" style="1" customWidth="1"/>
    <col min="4880" max="5120" width="9" style="1"/>
    <col min="5121" max="5121" width="12" style="1" customWidth="1"/>
    <col min="5122" max="5122" width="17.25" style="1" customWidth="1"/>
    <col min="5123" max="5123" width="8.75" style="1" customWidth="1"/>
    <col min="5124" max="5124" width="8.375" style="1" customWidth="1"/>
    <col min="5125" max="5125" width="10.375" style="1" customWidth="1"/>
    <col min="5126" max="5126" width="9.125" style="1" customWidth="1"/>
    <col min="5127" max="5127" width="9.25" style="1" customWidth="1"/>
    <col min="5128" max="5128" width="8.875" style="1" customWidth="1"/>
    <col min="5129" max="5129" width="10" style="1" customWidth="1"/>
    <col min="5130" max="5130" width="9.875" style="1" customWidth="1"/>
    <col min="5131" max="5131" width="9" style="1" customWidth="1"/>
    <col min="5132" max="5132" width="10.75" style="1" customWidth="1"/>
    <col min="5133" max="5133" width="9" style="1" customWidth="1"/>
    <col min="5134" max="5134" width="9.625" style="1" customWidth="1"/>
    <col min="5135" max="5135" width="16.25" style="1" customWidth="1"/>
    <col min="5136" max="5376" width="9" style="1"/>
    <col min="5377" max="5377" width="12" style="1" customWidth="1"/>
    <col min="5378" max="5378" width="17.25" style="1" customWidth="1"/>
    <col min="5379" max="5379" width="8.75" style="1" customWidth="1"/>
    <col min="5380" max="5380" width="8.375" style="1" customWidth="1"/>
    <col min="5381" max="5381" width="10.375" style="1" customWidth="1"/>
    <col min="5382" max="5382" width="9.125" style="1" customWidth="1"/>
    <col min="5383" max="5383" width="9.25" style="1" customWidth="1"/>
    <col min="5384" max="5384" width="8.875" style="1" customWidth="1"/>
    <col min="5385" max="5385" width="10" style="1" customWidth="1"/>
    <col min="5386" max="5386" width="9.875" style="1" customWidth="1"/>
    <col min="5387" max="5387" width="9" style="1" customWidth="1"/>
    <col min="5388" max="5388" width="10.75" style="1" customWidth="1"/>
    <col min="5389" max="5389" width="9" style="1" customWidth="1"/>
    <col min="5390" max="5390" width="9.625" style="1" customWidth="1"/>
    <col min="5391" max="5391" width="16.25" style="1" customWidth="1"/>
    <col min="5392" max="5632" width="9" style="1"/>
    <col min="5633" max="5633" width="12" style="1" customWidth="1"/>
    <col min="5634" max="5634" width="17.25" style="1" customWidth="1"/>
    <col min="5635" max="5635" width="8.75" style="1" customWidth="1"/>
    <col min="5636" max="5636" width="8.375" style="1" customWidth="1"/>
    <col min="5637" max="5637" width="10.375" style="1" customWidth="1"/>
    <col min="5638" max="5638" width="9.125" style="1" customWidth="1"/>
    <col min="5639" max="5639" width="9.25" style="1" customWidth="1"/>
    <col min="5640" max="5640" width="8.875" style="1" customWidth="1"/>
    <col min="5641" max="5641" width="10" style="1" customWidth="1"/>
    <col min="5642" max="5642" width="9.875" style="1" customWidth="1"/>
    <col min="5643" max="5643" width="9" style="1" customWidth="1"/>
    <col min="5644" max="5644" width="10.75" style="1" customWidth="1"/>
    <col min="5645" max="5645" width="9" style="1" customWidth="1"/>
    <col min="5646" max="5646" width="9.625" style="1" customWidth="1"/>
    <col min="5647" max="5647" width="16.25" style="1" customWidth="1"/>
    <col min="5648" max="5888" width="9" style="1"/>
    <col min="5889" max="5889" width="12" style="1" customWidth="1"/>
    <col min="5890" max="5890" width="17.25" style="1" customWidth="1"/>
    <col min="5891" max="5891" width="8.75" style="1" customWidth="1"/>
    <col min="5892" max="5892" width="8.375" style="1" customWidth="1"/>
    <col min="5893" max="5893" width="10.375" style="1" customWidth="1"/>
    <col min="5894" max="5894" width="9.125" style="1" customWidth="1"/>
    <col min="5895" max="5895" width="9.25" style="1" customWidth="1"/>
    <col min="5896" max="5896" width="8.875" style="1" customWidth="1"/>
    <col min="5897" max="5897" width="10" style="1" customWidth="1"/>
    <col min="5898" max="5898" width="9.875" style="1" customWidth="1"/>
    <col min="5899" max="5899" width="9" style="1" customWidth="1"/>
    <col min="5900" max="5900" width="10.75" style="1" customWidth="1"/>
    <col min="5901" max="5901" width="9" style="1" customWidth="1"/>
    <col min="5902" max="5902" width="9.625" style="1" customWidth="1"/>
    <col min="5903" max="5903" width="16.25" style="1" customWidth="1"/>
    <col min="5904" max="6144" width="9" style="1"/>
    <col min="6145" max="6145" width="12" style="1" customWidth="1"/>
    <col min="6146" max="6146" width="17.25" style="1" customWidth="1"/>
    <col min="6147" max="6147" width="8.75" style="1" customWidth="1"/>
    <col min="6148" max="6148" width="8.375" style="1" customWidth="1"/>
    <col min="6149" max="6149" width="10.375" style="1" customWidth="1"/>
    <col min="6150" max="6150" width="9.125" style="1" customWidth="1"/>
    <col min="6151" max="6151" width="9.25" style="1" customWidth="1"/>
    <col min="6152" max="6152" width="8.875" style="1" customWidth="1"/>
    <col min="6153" max="6153" width="10" style="1" customWidth="1"/>
    <col min="6154" max="6154" width="9.875" style="1" customWidth="1"/>
    <col min="6155" max="6155" width="9" style="1" customWidth="1"/>
    <col min="6156" max="6156" width="10.75" style="1" customWidth="1"/>
    <col min="6157" max="6157" width="9" style="1" customWidth="1"/>
    <col min="6158" max="6158" width="9.625" style="1" customWidth="1"/>
    <col min="6159" max="6159" width="16.25" style="1" customWidth="1"/>
    <col min="6160" max="6400" width="9" style="1"/>
    <col min="6401" max="6401" width="12" style="1" customWidth="1"/>
    <col min="6402" max="6402" width="17.25" style="1" customWidth="1"/>
    <col min="6403" max="6403" width="8.75" style="1" customWidth="1"/>
    <col min="6404" max="6404" width="8.375" style="1" customWidth="1"/>
    <col min="6405" max="6405" width="10.375" style="1" customWidth="1"/>
    <col min="6406" max="6406" width="9.125" style="1" customWidth="1"/>
    <col min="6407" max="6407" width="9.25" style="1" customWidth="1"/>
    <col min="6408" max="6408" width="8.875" style="1" customWidth="1"/>
    <col min="6409" max="6409" width="10" style="1" customWidth="1"/>
    <col min="6410" max="6410" width="9.875" style="1" customWidth="1"/>
    <col min="6411" max="6411" width="9" style="1" customWidth="1"/>
    <col min="6412" max="6412" width="10.75" style="1" customWidth="1"/>
    <col min="6413" max="6413" width="9" style="1" customWidth="1"/>
    <col min="6414" max="6414" width="9.625" style="1" customWidth="1"/>
    <col min="6415" max="6415" width="16.25" style="1" customWidth="1"/>
    <col min="6416" max="6656" width="9" style="1"/>
    <col min="6657" max="6657" width="12" style="1" customWidth="1"/>
    <col min="6658" max="6658" width="17.25" style="1" customWidth="1"/>
    <col min="6659" max="6659" width="8.75" style="1" customWidth="1"/>
    <col min="6660" max="6660" width="8.375" style="1" customWidth="1"/>
    <col min="6661" max="6661" width="10.375" style="1" customWidth="1"/>
    <col min="6662" max="6662" width="9.125" style="1" customWidth="1"/>
    <col min="6663" max="6663" width="9.25" style="1" customWidth="1"/>
    <col min="6664" max="6664" width="8.875" style="1" customWidth="1"/>
    <col min="6665" max="6665" width="10" style="1" customWidth="1"/>
    <col min="6666" max="6666" width="9.875" style="1" customWidth="1"/>
    <col min="6667" max="6667" width="9" style="1" customWidth="1"/>
    <col min="6668" max="6668" width="10.75" style="1" customWidth="1"/>
    <col min="6669" max="6669" width="9" style="1" customWidth="1"/>
    <col min="6670" max="6670" width="9.625" style="1" customWidth="1"/>
    <col min="6671" max="6671" width="16.25" style="1" customWidth="1"/>
    <col min="6672" max="6912" width="9" style="1"/>
    <col min="6913" max="6913" width="12" style="1" customWidth="1"/>
    <col min="6914" max="6914" width="17.25" style="1" customWidth="1"/>
    <col min="6915" max="6915" width="8.75" style="1" customWidth="1"/>
    <col min="6916" max="6916" width="8.375" style="1" customWidth="1"/>
    <col min="6917" max="6917" width="10.375" style="1" customWidth="1"/>
    <col min="6918" max="6918" width="9.125" style="1" customWidth="1"/>
    <col min="6919" max="6919" width="9.25" style="1" customWidth="1"/>
    <col min="6920" max="6920" width="8.875" style="1" customWidth="1"/>
    <col min="6921" max="6921" width="10" style="1" customWidth="1"/>
    <col min="6922" max="6922" width="9.875" style="1" customWidth="1"/>
    <col min="6923" max="6923" width="9" style="1" customWidth="1"/>
    <col min="6924" max="6924" width="10.75" style="1" customWidth="1"/>
    <col min="6925" max="6925" width="9" style="1" customWidth="1"/>
    <col min="6926" max="6926" width="9.625" style="1" customWidth="1"/>
    <col min="6927" max="6927" width="16.25" style="1" customWidth="1"/>
    <col min="6928" max="7168" width="9" style="1"/>
    <col min="7169" max="7169" width="12" style="1" customWidth="1"/>
    <col min="7170" max="7170" width="17.25" style="1" customWidth="1"/>
    <col min="7171" max="7171" width="8.75" style="1" customWidth="1"/>
    <col min="7172" max="7172" width="8.375" style="1" customWidth="1"/>
    <col min="7173" max="7173" width="10.375" style="1" customWidth="1"/>
    <col min="7174" max="7174" width="9.125" style="1" customWidth="1"/>
    <col min="7175" max="7175" width="9.25" style="1" customWidth="1"/>
    <col min="7176" max="7176" width="8.875" style="1" customWidth="1"/>
    <col min="7177" max="7177" width="10" style="1" customWidth="1"/>
    <col min="7178" max="7178" width="9.875" style="1" customWidth="1"/>
    <col min="7179" max="7179" width="9" style="1" customWidth="1"/>
    <col min="7180" max="7180" width="10.75" style="1" customWidth="1"/>
    <col min="7181" max="7181" width="9" style="1" customWidth="1"/>
    <col min="7182" max="7182" width="9.625" style="1" customWidth="1"/>
    <col min="7183" max="7183" width="16.25" style="1" customWidth="1"/>
    <col min="7184" max="7424" width="9" style="1"/>
    <col min="7425" max="7425" width="12" style="1" customWidth="1"/>
    <col min="7426" max="7426" width="17.25" style="1" customWidth="1"/>
    <col min="7427" max="7427" width="8.75" style="1" customWidth="1"/>
    <col min="7428" max="7428" width="8.375" style="1" customWidth="1"/>
    <col min="7429" max="7429" width="10.375" style="1" customWidth="1"/>
    <col min="7430" max="7430" width="9.125" style="1" customWidth="1"/>
    <col min="7431" max="7431" width="9.25" style="1" customWidth="1"/>
    <col min="7432" max="7432" width="8.875" style="1" customWidth="1"/>
    <col min="7433" max="7433" width="10" style="1" customWidth="1"/>
    <col min="7434" max="7434" width="9.875" style="1" customWidth="1"/>
    <col min="7435" max="7435" width="9" style="1" customWidth="1"/>
    <col min="7436" max="7436" width="10.75" style="1" customWidth="1"/>
    <col min="7437" max="7437" width="9" style="1" customWidth="1"/>
    <col min="7438" max="7438" width="9.625" style="1" customWidth="1"/>
    <col min="7439" max="7439" width="16.25" style="1" customWidth="1"/>
    <col min="7440" max="7680" width="9" style="1"/>
    <col min="7681" max="7681" width="12" style="1" customWidth="1"/>
    <col min="7682" max="7682" width="17.25" style="1" customWidth="1"/>
    <col min="7683" max="7683" width="8.75" style="1" customWidth="1"/>
    <col min="7684" max="7684" width="8.375" style="1" customWidth="1"/>
    <col min="7685" max="7685" width="10.375" style="1" customWidth="1"/>
    <col min="7686" max="7686" width="9.125" style="1" customWidth="1"/>
    <col min="7687" max="7687" width="9.25" style="1" customWidth="1"/>
    <col min="7688" max="7688" width="8.875" style="1" customWidth="1"/>
    <col min="7689" max="7689" width="10" style="1" customWidth="1"/>
    <col min="7690" max="7690" width="9.875" style="1" customWidth="1"/>
    <col min="7691" max="7691" width="9" style="1" customWidth="1"/>
    <col min="7692" max="7692" width="10.75" style="1" customWidth="1"/>
    <col min="7693" max="7693" width="9" style="1" customWidth="1"/>
    <col min="7694" max="7694" width="9.625" style="1" customWidth="1"/>
    <col min="7695" max="7695" width="16.25" style="1" customWidth="1"/>
    <col min="7696" max="7936" width="9" style="1"/>
    <col min="7937" max="7937" width="12" style="1" customWidth="1"/>
    <col min="7938" max="7938" width="17.25" style="1" customWidth="1"/>
    <col min="7939" max="7939" width="8.75" style="1" customWidth="1"/>
    <col min="7940" max="7940" width="8.375" style="1" customWidth="1"/>
    <col min="7941" max="7941" width="10.375" style="1" customWidth="1"/>
    <col min="7942" max="7942" width="9.125" style="1" customWidth="1"/>
    <col min="7943" max="7943" width="9.25" style="1" customWidth="1"/>
    <col min="7944" max="7944" width="8.875" style="1" customWidth="1"/>
    <col min="7945" max="7945" width="10" style="1" customWidth="1"/>
    <col min="7946" max="7946" width="9.875" style="1" customWidth="1"/>
    <col min="7947" max="7947" width="9" style="1" customWidth="1"/>
    <col min="7948" max="7948" width="10.75" style="1" customWidth="1"/>
    <col min="7949" max="7949" width="9" style="1" customWidth="1"/>
    <col min="7950" max="7950" width="9.625" style="1" customWidth="1"/>
    <col min="7951" max="7951" width="16.25" style="1" customWidth="1"/>
    <col min="7952" max="8192" width="9" style="1"/>
    <col min="8193" max="8193" width="12" style="1" customWidth="1"/>
    <col min="8194" max="8194" width="17.25" style="1" customWidth="1"/>
    <col min="8195" max="8195" width="8.75" style="1" customWidth="1"/>
    <col min="8196" max="8196" width="8.375" style="1" customWidth="1"/>
    <col min="8197" max="8197" width="10.375" style="1" customWidth="1"/>
    <col min="8198" max="8198" width="9.125" style="1" customWidth="1"/>
    <col min="8199" max="8199" width="9.25" style="1" customWidth="1"/>
    <col min="8200" max="8200" width="8.875" style="1" customWidth="1"/>
    <col min="8201" max="8201" width="10" style="1" customWidth="1"/>
    <col min="8202" max="8202" width="9.875" style="1" customWidth="1"/>
    <col min="8203" max="8203" width="9" style="1" customWidth="1"/>
    <col min="8204" max="8204" width="10.75" style="1" customWidth="1"/>
    <col min="8205" max="8205" width="9" style="1" customWidth="1"/>
    <col min="8206" max="8206" width="9.625" style="1" customWidth="1"/>
    <col min="8207" max="8207" width="16.25" style="1" customWidth="1"/>
    <col min="8208" max="8448" width="9" style="1"/>
    <col min="8449" max="8449" width="12" style="1" customWidth="1"/>
    <col min="8450" max="8450" width="17.25" style="1" customWidth="1"/>
    <col min="8451" max="8451" width="8.75" style="1" customWidth="1"/>
    <col min="8452" max="8452" width="8.375" style="1" customWidth="1"/>
    <col min="8453" max="8453" width="10.375" style="1" customWidth="1"/>
    <col min="8454" max="8454" width="9.125" style="1" customWidth="1"/>
    <col min="8455" max="8455" width="9.25" style="1" customWidth="1"/>
    <col min="8456" max="8456" width="8.875" style="1" customWidth="1"/>
    <col min="8457" max="8457" width="10" style="1" customWidth="1"/>
    <col min="8458" max="8458" width="9.875" style="1" customWidth="1"/>
    <col min="8459" max="8459" width="9" style="1" customWidth="1"/>
    <col min="8460" max="8460" width="10.75" style="1" customWidth="1"/>
    <col min="8461" max="8461" width="9" style="1" customWidth="1"/>
    <col min="8462" max="8462" width="9.625" style="1" customWidth="1"/>
    <col min="8463" max="8463" width="16.25" style="1" customWidth="1"/>
    <col min="8464" max="8704" width="9" style="1"/>
    <col min="8705" max="8705" width="12" style="1" customWidth="1"/>
    <col min="8706" max="8706" width="17.25" style="1" customWidth="1"/>
    <col min="8707" max="8707" width="8.75" style="1" customWidth="1"/>
    <col min="8708" max="8708" width="8.375" style="1" customWidth="1"/>
    <col min="8709" max="8709" width="10.375" style="1" customWidth="1"/>
    <col min="8710" max="8710" width="9.125" style="1" customWidth="1"/>
    <col min="8711" max="8711" width="9.25" style="1" customWidth="1"/>
    <col min="8712" max="8712" width="8.875" style="1" customWidth="1"/>
    <col min="8713" max="8713" width="10" style="1" customWidth="1"/>
    <col min="8714" max="8714" width="9.875" style="1" customWidth="1"/>
    <col min="8715" max="8715" width="9" style="1" customWidth="1"/>
    <col min="8716" max="8716" width="10.75" style="1" customWidth="1"/>
    <col min="8717" max="8717" width="9" style="1" customWidth="1"/>
    <col min="8718" max="8718" width="9.625" style="1" customWidth="1"/>
    <col min="8719" max="8719" width="16.25" style="1" customWidth="1"/>
    <col min="8720" max="8960" width="9" style="1"/>
    <col min="8961" max="8961" width="12" style="1" customWidth="1"/>
    <col min="8962" max="8962" width="17.25" style="1" customWidth="1"/>
    <col min="8963" max="8963" width="8.75" style="1" customWidth="1"/>
    <col min="8964" max="8964" width="8.375" style="1" customWidth="1"/>
    <col min="8965" max="8965" width="10.375" style="1" customWidth="1"/>
    <col min="8966" max="8966" width="9.125" style="1" customWidth="1"/>
    <col min="8967" max="8967" width="9.25" style="1" customWidth="1"/>
    <col min="8968" max="8968" width="8.875" style="1" customWidth="1"/>
    <col min="8969" max="8969" width="10" style="1" customWidth="1"/>
    <col min="8970" max="8970" width="9.875" style="1" customWidth="1"/>
    <col min="8971" max="8971" width="9" style="1" customWidth="1"/>
    <col min="8972" max="8972" width="10.75" style="1" customWidth="1"/>
    <col min="8973" max="8973" width="9" style="1" customWidth="1"/>
    <col min="8974" max="8974" width="9.625" style="1" customWidth="1"/>
    <col min="8975" max="8975" width="16.25" style="1" customWidth="1"/>
    <col min="8976" max="9216" width="9" style="1"/>
    <col min="9217" max="9217" width="12" style="1" customWidth="1"/>
    <col min="9218" max="9218" width="17.25" style="1" customWidth="1"/>
    <col min="9219" max="9219" width="8.75" style="1" customWidth="1"/>
    <col min="9220" max="9220" width="8.375" style="1" customWidth="1"/>
    <col min="9221" max="9221" width="10.375" style="1" customWidth="1"/>
    <col min="9222" max="9222" width="9.125" style="1" customWidth="1"/>
    <col min="9223" max="9223" width="9.25" style="1" customWidth="1"/>
    <col min="9224" max="9224" width="8.875" style="1" customWidth="1"/>
    <col min="9225" max="9225" width="10" style="1" customWidth="1"/>
    <col min="9226" max="9226" width="9.875" style="1" customWidth="1"/>
    <col min="9227" max="9227" width="9" style="1" customWidth="1"/>
    <col min="9228" max="9228" width="10.75" style="1" customWidth="1"/>
    <col min="9229" max="9229" width="9" style="1" customWidth="1"/>
    <col min="9230" max="9230" width="9.625" style="1" customWidth="1"/>
    <col min="9231" max="9231" width="16.25" style="1" customWidth="1"/>
    <col min="9232" max="9472" width="9" style="1"/>
    <col min="9473" max="9473" width="12" style="1" customWidth="1"/>
    <col min="9474" max="9474" width="17.25" style="1" customWidth="1"/>
    <col min="9475" max="9475" width="8.75" style="1" customWidth="1"/>
    <col min="9476" max="9476" width="8.375" style="1" customWidth="1"/>
    <col min="9477" max="9477" width="10.375" style="1" customWidth="1"/>
    <col min="9478" max="9478" width="9.125" style="1" customWidth="1"/>
    <col min="9479" max="9479" width="9.25" style="1" customWidth="1"/>
    <col min="9480" max="9480" width="8.875" style="1" customWidth="1"/>
    <col min="9481" max="9481" width="10" style="1" customWidth="1"/>
    <col min="9482" max="9482" width="9.875" style="1" customWidth="1"/>
    <col min="9483" max="9483" width="9" style="1" customWidth="1"/>
    <col min="9484" max="9484" width="10.75" style="1" customWidth="1"/>
    <col min="9485" max="9485" width="9" style="1" customWidth="1"/>
    <col min="9486" max="9486" width="9.625" style="1" customWidth="1"/>
    <col min="9487" max="9487" width="16.25" style="1" customWidth="1"/>
    <col min="9488" max="9728" width="9" style="1"/>
    <col min="9729" max="9729" width="12" style="1" customWidth="1"/>
    <col min="9730" max="9730" width="17.25" style="1" customWidth="1"/>
    <col min="9731" max="9731" width="8.75" style="1" customWidth="1"/>
    <col min="9732" max="9732" width="8.375" style="1" customWidth="1"/>
    <col min="9733" max="9733" width="10.375" style="1" customWidth="1"/>
    <col min="9734" max="9734" width="9.125" style="1" customWidth="1"/>
    <col min="9735" max="9735" width="9.25" style="1" customWidth="1"/>
    <col min="9736" max="9736" width="8.875" style="1" customWidth="1"/>
    <col min="9737" max="9737" width="10" style="1" customWidth="1"/>
    <col min="9738" max="9738" width="9.875" style="1" customWidth="1"/>
    <col min="9739" max="9739" width="9" style="1" customWidth="1"/>
    <col min="9740" max="9740" width="10.75" style="1" customWidth="1"/>
    <col min="9741" max="9741" width="9" style="1" customWidth="1"/>
    <col min="9742" max="9742" width="9.625" style="1" customWidth="1"/>
    <col min="9743" max="9743" width="16.25" style="1" customWidth="1"/>
    <col min="9744" max="9984" width="9" style="1"/>
    <col min="9985" max="9985" width="12" style="1" customWidth="1"/>
    <col min="9986" max="9986" width="17.25" style="1" customWidth="1"/>
    <col min="9987" max="9987" width="8.75" style="1" customWidth="1"/>
    <col min="9988" max="9988" width="8.375" style="1" customWidth="1"/>
    <col min="9989" max="9989" width="10.375" style="1" customWidth="1"/>
    <col min="9990" max="9990" width="9.125" style="1" customWidth="1"/>
    <col min="9991" max="9991" width="9.25" style="1" customWidth="1"/>
    <col min="9992" max="9992" width="8.875" style="1" customWidth="1"/>
    <col min="9993" max="9993" width="10" style="1" customWidth="1"/>
    <col min="9994" max="9994" width="9.875" style="1" customWidth="1"/>
    <col min="9995" max="9995" width="9" style="1" customWidth="1"/>
    <col min="9996" max="9996" width="10.75" style="1" customWidth="1"/>
    <col min="9997" max="9997" width="9" style="1" customWidth="1"/>
    <col min="9998" max="9998" width="9.625" style="1" customWidth="1"/>
    <col min="9999" max="9999" width="16.25" style="1" customWidth="1"/>
    <col min="10000" max="10240" width="9" style="1"/>
    <col min="10241" max="10241" width="12" style="1" customWidth="1"/>
    <col min="10242" max="10242" width="17.25" style="1" customWidth="1"/>
    <col min="10243" max="10243" width="8.75" style="1" customWidth="1"/>
    <col min="10244" max="10244" width="8.375" style="1" customWidth="1"/>
    <col min="10245" max="10245" width="10.375" style="1" customWidth="1"/>
    <col min="10246" max="10246" width="9.125" style="1" customWidth="1"/>
    <col min="10247" max="10247" width="9.25" style="1" customWidth="1"/>
    <col min="10248" max="10248" width="8.875" style="1" customWidth="1"/>
    <col min="10249" max="10249" width="10" style="1" customWidth="1"/>
    <col min="10250" max="10250" width="9.875" style="1" customWidth="1"/>
    <col min="10251" max="10251" width="9" style="1" customWidth="1"/>
    <col min="10252" max="10252" width="10.75" style="1" customWidth="1"/>
    <col min="10253" max="10253" width="9" style="1" customWidth="1"/>
    <col min="10254" max="10254" width="9.625" style="1" customWidth="1"/>
    <col min="10255" max="10255" width="16.25" style="1" customWidth="1"/>
    <col min="10256" max="10496" width="9" style="1"/>
    <col min="10497" max="10497" width="12" style="1" customWidth="1"/>
    <col min="10498" max="10498" width="17.25" style="1" customWidth="1"/>
    <col min="10499" max="10499" width="8.75" style="1" customWidth="1"/>
    <col min="10500" max="10500" width="8.375" style="1" customWidth="1"/>
    <col min="10501" max="10501" width="10.375" style="1" customWidth="1"/>
    <col min="10502" max="10502" width="9.125" style="1" customWidth="1"/>
    <col min="10503" max="10503" width="9.25" style="1" customWidth="1"/>
    <col min="10504" max="10504" width="8.875" style="1" customWidth="1"/>
    <col min="10505" max="10505" width="10" style="1" customWidth="1"/>
    <col min="10506" max="10506" width="9.875" style="1" customWidth="1"/>
    <col min="10507" max="10507" width="9" style="1" customWidth="1"/>
    <col min="10508" max="10508" width="10.75" style="1" customWidth="1"/>
    <col min="10509" max="10509" width="9" style="1" customWidth="1"/>
    <col min="10510" max="10510" width="9.625" style="1" customWidth="1"/>
    <col min="10511" max="10511" width="16.25" style="1" customWidth="1"/>
    <col min="10512" max="10752" width="9" style="1"/>
    <col min="10753" max="10753" width="12" style="1" customWidth="1"/>
    <col min="10754" max="10754" width="17.25" style="1" customWidth="1"/>
    <col min="10755" max="10755" width="8.75" style="1" customWidth="1"/>
    <col min="10756" max="10756" width="8.375" style="1" customWidth="1"/>
    <col min="10757" max="10757" width="10.375" style="1" customWidth="1"/>
    <col min="10758" max="10758" width="9.125" style="1" customWidth="1"/>
    <col min="10759" max="10759" width="9.25" style="1" customWidth="1"/>
    <col min="10760" max="10760" width="8.875" style="1" customWidth="1"/>
    <col min="10761" max="10761" width="10" style="1" customWidth="1"/>
    <col min="10762" max="10762" width="9.875" style="1" customWidth="1"/>
    <col min="10763" max="10763" width="9" style="1" customWidth="1"/>
    <col min="10764" max="10764" width="10.75" style="1" customWidth="1"/>
    <col min="10765" max="10765" width="9" style="1" customWidth="1"/>
    <col min="10766" max="10766" width="9.625" style="1" customWidth="1"/>
    <col min="10767" max="10767" width="16.25" style="1" customWidth="1"/>
    <col min="10768" max="11008" width="9" style="1"/>
    <col min="11009" max="11009" width="12" style="1" customWidth="1"/>
    <col min="11010" max="11010" width="17.25" style="1" customWidth="1"/>
    <col min="11011" max="11011" width="8.75" style="1" customWidth="1"/>
    <col min="11012" max="11012" width="8.375" style="1" customWidth="1"/>
    <col min="11013" max="11013" width="10.375" style="1" customWidth="1"/>
    <col min="11014" max="11014" width="9.125" style="1" customWidth="1"/>
    <col min="11015" max="11015" width="9.25" style="1" customWidth="1"/>
    <col min="11016" max="11016" width="8.875" style="1" customWidth="1"/>
    <col min="11017" max="11017" width="10" style="1" customWidth="1"/>
    <col min="11018" max="11018" width="9.875" style="1" customWidth="1"/>
    <col min="11019" max="11019" width="9" style="1" customWidth="1"/>
    <col min="11020" max="11020" width="10.75" style="1" customWidth="1"/>
    <col min="11021" max="11021" width="9" style="1" customWidth="1"/>
    <col min="11022" max="11022" width="9.625" style="1" customWidth="1"/>
    <col min="11023" max="11023" width="16.25" style="1" customWidth="1"/>
    <col min="11024" max="11264" width="9" style="1"/>
    <col min="11265" max="11265" width="12" style="1" customWidth="1"/>
    <col min="11266" max="11266" width="17.25" style="1" customWidth="1"/>
    <col min="11267" max="11267" width="8.75" style="1" customWidth="1"/>
    <col min="11268" max="11268" width="8.375" style="1" customWidth="1"/>
    <col min="11269" max="11269" width="10.375" style="1" customWidth="1"/>
    <col min="11270" max="11270" width="9.125" style="1" customWidth="1"/>
    <col min="11271" max="11271" width="9.25" style="1" customWidth="1"/>
    <col min="11272" max="11272" width="8.875" style="1" customWidth="1"/>
    <col min="11273" max="11273" width="10" style="1" customWidth="1"/>
    <col min="11274" max="11274" width="9.875" style="1" customWidth="1"/>
    <col min="11275" max="11275" width="9" style="1" customWidth="1"/>
    <col min="11276" max="11276" width="10.75" style="1" customWidth="1"/>
    <col min="11277" max="11277" width="9" style="1" customWidth="1"/>
    <col min="11278" max="11278" width="9.625" style="1" customWidth="1"/>
    <col min="11279" max="11279" width="16.25" style="1" customWidth="1"/>
    <col min="11280" max="11520" width="9" style="1"/>
    <col min="11521" max="11521" width="12" style="1" customWidth="1"/>
    <col min="11522" max="11522" width="17.25" style="1" customWidth="1"/>
    <col min="11523" max="11523" width="8.75" style="1" customWidth="1"/>
    <col min="11524" max="11524" width="8.375" style="1" customWidth="1"/>
    <col min="11525" max="11525" width="10.375" style="1" customWidth="1"/>
    <col min="11526" max="11526" width="9.125" style="1" customWidth="1"/>
    <col min="11527" max="11527" width="9.25" style="1" customWidth="1"/>
    <col min="11528" max="11528" width="8.875" style="1" customWidth="1"/>
    <col min="11529" max="11529" width="10" style="1" customWidth="1"/>
    <col min="11530" max="11530" width="9.875" style="1" customWidth="1"/>
    <col min="11531" max="11531" width="9" style="1" customWidth="1"/>
    <col min="11532" max="11532" width="10.75" style="1" customWidth="1"/>
    <col min="11533" max="11533" width="9" style="1" customWidth="1"/>
    <col min="11534" max="11534" width="9.625" style="1" customWidth="1"/>
    <col min="11535" max="11535" width="16.25" style="1" customWidth="1"/>
    <col min="11536" max="11776" width="9" style="1"/>
    <col min="11777" max="11777" width="12" style="1" customWidth="1"/>
    <col min="11778" max="11778" width="17.25" style="1" customWidth="1"/>
    <col min="11779" max="11779" width="8.75" style="1" customWidth="1"/>
    <col min="11780" max="11780" width="8.375" style="1" customWidth="1"/>
    <col min="11781" max="11781" width="10.375" style="1" customWidth="1"/>
    <col min="11782" max="11782" width="9.125" style="1" customWidth="1"/>
    <col min="11783" max="11783" width="9.25" style="1" customWidth="1"/>
    <col min="11784" max="11784" width="8.875" style="1" customWidth="1"/>
    <col min="11785" max="11785" width="10" style="1" customWidth="1"/>
    <col min="11786" max="11786" width="9.875" style="1" customWidth="1"/>
    <col min="11787" max="11787" width="9" style="1" customWidth="1"/>
    <col min="11788" max="11788" width="10.75" style="1" customWidth="1"/>
    <col min="11789" max="11789" width="9" style="1" customWidth="1"/>
    <col min="11790" max="11790" width="9.625" style="1" customWidth="1"/>
    <col min="11791" max="11791" width="16.25" style="1" customWidth="1"/>
    <col min="11792" max="12032" width="9" style="1"/>
    <col min="12033" max="12033" width="12" style="1" customWidth="1"/>
    <col min="12034" max="12034" width="17.25" style="1" customWidth="1"/>
    <col min="12035" max="12035" width="8.75" style="1" customWidth="1"/>
    <col min="12036" max="12036" width="8.375" style="1" customWidth="1"/>
    <col min="12037" max="12037" width="10.375" style="1" customWidth="1"/>
    <col min="12038" max="12038" width="9.125" style="1" customWidth="1"/>
    <col min="12039" max="12039" width="9.25" style="1" customWidth="1"/>
    <col min="12040" max="12040" width="8.875" style="1" customWidth="1"/>
    <col min="12041" max="12041" width="10" style="1" customWidth="1"/>
    <col min="12042" max="12042" width="9.875" style="1" customWidth="1"/>
    <col min="12043" max="12043" width="9" style="1" customWidth="1"/>
    <col min="12044" max="12044" width="10.75" style="1" customWidth="1"/>
    <col min="12045" max="12045" width="9" style="1" customWidth="1"/>
    <col min="12046" max="12046" width="9.625" style="1" customWidth="1"/>
    <col min="12047" max="12047" width="16.25" style="1" customWidth="1"/>
    <col min="12048" max="12288" width="9" style="1"/>
    <col min="12289" max="12289" width="12" style="1" customWidth="1"/>
    <col min="12290" max="12290" width="17.25" style="1" customWidth="1"/>
    <col min="12291" max="12291" width="8.75" style="1" customWidth="1"/>
    <col min="12292" max="12292" width="8.375" style="1" customWidth="1"/>
    <col min="12293" max="12293" width="10.375" style="1" customWidth="1"/>
    <col min="12294" max="12294" width="9.125" style="1" customWidth="1"/>
    <col min="12295" max="12295" width="9.25" style="1" customWidth="1"/>
    <col min="12296" max="12296" width="8.875" style="1" customWidth="1"/>
    <col min="12297" max="12297" width="10" style="1" customWidth="1"/>
    <col min="12298" max="12298" width="9.875" style="1" customWidth="1"/>
    <col min="12299" max="12299" width="9" style="1" customWidth="1"/>
    <col min="12300" max="12300" width="10.75" style="1" customWidth="1"/>
    <col min="12301" max="12301" width="9" style="1" customWidth="1"/>
    <col min="12302" max="12302" width="9.625" style="1" customWidth="1"/>
    <col min="12303" max="12303" width="16.25" style="1" customWidth="1"/>
    <col min="12304" max="12544" width="9" style="1"/>
    <col min="12545" max="12545" width="12" style="1" customWidth="1"/>
    <col min="12546" max="12546" width="17.25" style="1" customWidth="1"/>
    <col min="12547" max="12547" width="8.75" style="1" customWidth="1"/>
    <col min="12548" max="12548" width="8.375" style="1" customWidth="1"/>
    <col min="12549" max="12549" width="10.375" style="1" customWidth="1"/>
    <col min="12550" max="12550" width="9.125" style="1" customWidth="1"/>
    <col min="12551" max="12551" width="9.25" style="1" customWidth="1"/>
    <col min="12552" max="12552" width="8.875" style="1" customWidth="1"/>
    <col min="12553" max="12553" width="10" style="1" customWidth="1"/>
    <col min="12554" max="12554" width="9.875" style="1" customWidth="1"/>
    <col min="12555" max="12555" width="9" style="1" customWidth="1"/>
    <col min="12556" max="12556" width="10.75" style="1" customWidth="1"/>
    <col min="12557" max="12557" width="9" style="1" customWidth="1"/>
    <col min="12558" max="12558" width="9.625" style="1" customWidth="1"/>
    <col min="12559" max="12559" width="16.25" style="1" customWidth="1"/>
    <col min="12560" max="12800" width="9" style="1"/>
    <col min="12801" max="12801" width="12" style="1" customWidth="1"/>
    <col min="12802" max="12802" width="17.25" style="1" customWidth="1"/>
    <col min="12803" max="12803" width="8.75" style="1" customWidth="1"/>
    <col min="12804" max="12804" width="8.375" style="1" customWidth="1"/>
    <col min="12805" max="12805" width="10.375" style="1" customWidth="1"/>
    <col min="12806" max="12806" width="9.125" style="1" customWidth="1"/>
    <col min="12807" max="12807" width="9.25" style="1" customWidth="1"/>
    <col min="12808" max="12808" width="8.875" style="1" customWidth="1"/>
    <col min="12809" max="12809" width="10" style="1" customWidth="1"/>
    <col min="12810" max="12810" width="9.875" style="1" customWidth="1"/>
    <col min="12811" max="12811" width="9" style="1" customWidth="1"/>
    <col min="12812" max="12812" width="10.75" style="1" customWidth="1"/>
    <col min="12813" max="12813" width="9" style="1" customWidth="1"/>
    <col min="12814" max="12814" width="9.625" style="1" customWidth="1"/>
    <col min="12815" max="12815" width="16.25" style="1" customWidth="1"/>
    <col min="12816" max="13056" width="9" style="1"/>
    <col min="13057" max="13057" width="12" style="1" customWidth="1"/>
    <col min="13058" max="13058" width="17.25" style="1" customWidth="1"/>
    <col min="13059" max="13059" width="8.75" style="1" customWidth="1"/>
    <col min="13060" max="13060" width="8.375" style="1" customWidth="1"/>
    <col min="13061" max="13061" width="10.375" style="1" customWidth="1"/>
    <col min="13062" max="13062" width="9.125" style="1" customWidth="1"/>
    <col min="13063" max="13063" width="9.25" style="1" customWidth="1"/>
    <col min="13064" max="13064" width="8.875" style="1" customWidth="1"/>
    <col min="13065" max="13065" width="10" style="1" customWidth="1"/>
    <col min="13066" max="13066" width="9.875" style="1" customWidth="1"/>
    <col min="13067" max="13067" width="9" style="1" customWidth="1"/>
    <col min="13068" max="13068" width="10.75" style="1" customWidth="1"/>
    <col min="13069" max="13069" width="9" style="1" customWidth="1"/>
    <col min="13070" max="13070" width="9.625" style="1" customWidth="1"/>
    <col min="13071" max="13071" width="16.25" style="1" customWidth="1"/>
    <col min="13072" max="13312" width="9" style="1"/>
    <col min="13313" max="13313" width="12" style="1" customWidth="1"/>
    <col min="13314" max="13314" width="17.25" style="1" customWidth="1"/>
    <col min="13315" max="13315" width="8.75" style="1" customWidth="1"/>
    <col min="13316" max="13316" width="8.375" style="1" customWidth="1"/>
    <col min="13317" max="13317" width="10.375" style="1" customWidth="1"/>
    <col min="13318" max="13318" width="9.125" style="1" customWidth="1"/>
    <col min="13319" max="13319" width="9.25" style="1" customWidth="1"/>
    <col min="13320" max="13320" width="8.875" style="1" customWidth="1"/>
    <col min="13321" max="13321" width="10" style="1" customWidth="1"/>
    <col min="13322" max="13322" width="9.875" style="1" customWidth="1"/>
    <col min="13323" max="13323" width="9" style="1" customWidth="1"/>
    <col min="13324" max="13324" width="10.75" style="1" customWidth="1"/>
    <col min="13325" max="13325" width="9" style="1" customWidth="1"/>
    <col min="13326" max="13326" width="9.625" style="1" customWidth="1"/>
    <col min="13327" max="13327" width="16.25" style="1" customWidth="1"/>
    <col min="13328" max="13568" width="9" style="1"/>
    <col min="13569" max="13569" width="12" style="1" customWidth="1"/>
    <col min="13570" max="13570" width="17.25" style="1" customWidth="1"/>
    <col min="13571" max="13571" width="8.75" style="1" customWidth="1"/>
    <col min="13572" max="13572" width="8.375" style="1" customWidth="1"/>
    <col min="13573" max="13573" width="10.375" style="1" customWidth="1"/>
    <col min="13574" max="13574" width="9.125" style="1" customWidth="1"/>
    <col min="13575" max="13575" width="9.25" style="1" customWidth="1"/>
    <col min="13576" max="13576" width="8.875" style="1" customWidth="1"/>
    <col min="13577" max="13577" width="10" style="1" customWidth="1"/>
    <col min="13578" max="13578" width="9.875" style="1" customWidth="1"/>
    <col min="13579" max="13579" width="9" style="1" customWidth="1"/>
    <col min="13580" max="13580" width="10.75" style="1" customWidth="1"/>
    <col min="13581" max="13581" width="9" style="1" customWidth="1"/>
    <col min="13582" max="13582" width="9.625" style="1" customWidth="1"/>
    <col min="13583" max="13583" width="16.25" style="1" customWidth="1"/>
    <col min="13584" max="13824" width="9" style="1"/>
    <col min="13825" max="13825" width="12" style="1" customWidth="1"/>
    <col min="13826" max="13826" width="17.25" style="1" customWidth="1"/>
    <col min="13827" max="13827" width="8.75" style="1" customWidth="1"/>
    <col min="13828" max="13828" width="8.375" style="1" customWidth="1"/>
    <col min="13829" max="13829" width="10.375" style="1" customWidth="1"/>
    <col min="13830" max="13830" width="9.125" style="1" customWidth="1"/>
    <col min="13831" max="13831" width="9.25" style="1" customWidth="1"/>
    <col min="13832" max="13832" width="8.875" style="1" customWidth="1"/>
    <col min="13833" max="13833" width="10" style="1" customWidth="1"/>
    <col min="13834" max="13834" width="9.875" style="1" customWidth="1"/>
    <col min="13835" max="13835" width="9" style="1" customWidth="1"/>
    <col min="13836" max="13836" width="10.75" style="1" customWidth="1"/>
    <col min="13837" max="13837" width="9" style="1" customWidth="1"/>
    <col min="13838" max="13838" width="9.625" style="1" customWidth="1"/>
    <col min="13839" max="13839" width="16.25" style="1" customWidth="1"/>
    <col min="13840" max="14080" width="9" style="1"/>
    <col min="14081" max="14081" width="12" style="1" customWidth="1"/>
    <col min="14082" max="14082" width="17.25" style="1" customWidth="1"/>
    <col min="14083" max="14083" width="8.75" style="1" customWidth="1"/>
    <col min="14084" max="14084" width="8.375" style="1" customWidth="1"/>
    <col min="14085" max="14085" width="10.375" style="1" customWidth="1"/>
    <col min="14086" max="14086" width="9.125" style="1" customWidth="1"/>
    <col min="14087" max="14087" width="9.25" style="1" customWidth="1"/>
    <col min="14088" max="14088" width="8.875" style="1" customWidth="1"/>
    <col min="14089" max="14089" width="10" style="1" customWidth="1"/>
    <col min="14090" max="14090" width="9.875" style="1" customWidth="1"/>
    <col min="14091" max="14091" width="9" style="1" customWidth="1"/>
    <col min="14092" max="14092" width="10.75" style="1" customWidth="1"/>
    <col min="14093" max="14093" width="9" style="1" customWidth="1"/>
    <col min="14094" max="14094" width="9.625" style="1" customWidth="1"/>
    <col min="14095" max="14095" width="16.25" style="1" customWidth="1"/>
    <col min="14096" max="14336" width="9" style="1"/>
    <col min="14337" max="14337" width="12" style="1" customWidth="1"/>
    <col min="14338" max="14338" width="17.25" style="1" customWidth="1"/>
    <col min="14339" max="14339" width="8.75" style="1" customWidth="1"/>
    <col min="14340" max="14340" width="8.375" style="1" customWidth="1"/>
    <col min="14341" max="14341" width="10.375" style="1" customWidth="1"/>
    <col min="14342" max="14342" width="9.125" style="1" customWidth="1"/>
    <col min="14343" max="14343" width="9.25" style="1" customWidth="1"/>
    <col min="14344" max="14344" width="8.875" style="1" customWidth="1"/>
    <col min="14345" max="14345" width="10" style="1" customWidth="1"/>
    <col min="14346" max="14346" width="9.875" style="1" customWidth="1"/>
    <col min="14347" max="14347" width="9" style="1" customWidth="1"/>
    <col min="14348" max="14348" width="10.75" style="1" customWidth="1"/>
    <col min="14349" max="14349" width="9" style="1" customWidth="1"/>
    <col min="14350" max="14350" width="9.625" style="1" customWidth="1"/>
    <col min="14351" max="14351" width="16.25" style="1" customWidth="1"/>
    <col min="14352" max="14592" width="9" style="1"/>
    <col min="14593" max="14593" width="12" style="1" customWidth="1"/>
    <col min="14594" max="14594" width="17.25" style="1" customWidth="1"/>
    <col min="14595" max="14595" width="8.75" style="1" customWidth="1"/>
    <col min="14596" max="14596" width="8.375" style="1" customWidth="1"/>
    <col min="14597" max="14597" width="10.375" style="1" customWidth="1"/>
    <col min="14598" max="14598" width="9.125" style="1" customWidth="1"/>
    <col min="14599" max="14599" width="9.25" style="1" customWidth="1"/>
    <col min="14600" max="14600" width="8.875" style="1" customWidth="1"/>
    <col min="14601" max="14601" width="10" style="1" customWidth="1"/>
    <col min="14602" max="14602" width="9.875" style="1" customWidth="1"/>
    <col min="14603" max="14603" width="9" style="1" customWidth="1"/>
    <col min="14604" max="14604" width="10.75" style="1" customWidth="1"/>
    <col min="14605" max="14605" width="9" style="1" customWidth="1"/>
    <col min="14606" max="14606" width="9.625" style="1" customWidth="1"/>
    <col min="14607" max="14607" width="16.25" style="1" customWidth="1"/>
    <col min="14608" max="14848" width="9" style="1"/>
    <col min="14849" max="14849" width="12" style="1" customWidth="1"/>
    <col min="14850" max="14850" width="17.25" style="1" customWidth="1"/>
    <col min="14851" max="14851" width="8.75" style="1" customWidth="1"/>
    <col min="14852" max="14852" width="8.375" style="1" customWidth="1"/>
    <col min="14853" max="14853" width="10.375" style="1" customWidth="1"/>
    <col min="14854" max="14854" width="9.125" style="1" customWidth="1"/>
    <col min="14855" max="14855" width="9.25" style="1" customWidth="1"/>
    <col min="14856" max="14856" width="8.875" style="1" customWidth="1"/>
    <col min="14857" max="14857" width="10" style="1" customWidth="1"/>
    <col min="14858" max="14858" width="9.875" style="1" customWidth="1"/>
    <col min="14859" max="14859" width="9" style="1" customWidth="1"/>
    <col min="14860" max="14860" width="10.75" style="1" customWidth="1"/>
    <col min="14861" max="14861" width="9" style="1" customWidth="1"/>
    <col min="14862" max="14862" width="9.625" style="1" customWidth="1"/>
    <col min="14863" max="14863" width="16.25" style="1" customWidth="1"/>
    <col min="14864" max="15104" width="9" style="1"/>
    <col min="15105" max="15105" width="12" style="1" customWidth="1"/>
    <col min="15106" max="15106" width="17.25" style="1" customWidth="1"/>
    <col min="15107" max="15107" width="8.75" style="1" customWidth="1"/>
    <col min="15108" max="15108" width="8.375" style="1" customWidth="1"/>
    <col min="15109" max="15109" width="10.375" style="1" customWidth="1"/>
    <col min="15110" max="15110" width="9.125" style="1" customWidth="1"/>
    <col min="15111" max="15111" width="9.25" style="1" customWidth="1"/>
    <col min="15112" max="15112" width="8.875" style="1" customWidth="1"/>
    <col min="15113" max="15113" width="10" style="1" customWidth="1"/>
    <col min="15114" max="15114" width="9.875" style="1" customWidth="1"/>
    <col min="15115" max="15115" width="9" style="1" customWidth="1"/>
    <col min="15116" max="15116" width="10.75" style="1" customWidth="1"/>
    <col min="15117" max="15117" width="9" style="1" customWidth="1"/>
    <col min="15118" max="15118" width="9.625" style="1" customWidth="1"/>
    <col min="15119" max="15119" width="16.25" style="1" customWidth="1"/>
    <col min="15120" max="15360" width="9" style="1"/>
    <col min="15361" max="15361" width="12" style="1" customWidth="1"/>
    <col min="15362" max="15362" width="17.25" style="1" customWidth="1"/>
    <col min="15363" max="15363" width="8.75" style="1" customWidth="1"/>
    <col min="15364" max="15364" width="8.375" style="1" customWidth="1"/>
    <col min="15365" max="15365" width="10.375" style="1" customWidth="1"/>
    <col min="15366" max="15366" width="9.125" style="1" customWidth="1"/>
    <col min="15367" max="15367" width="9.25" style="1" customWidth="1"/>
    <col min="15368" max="15368" width="8.875" style="1" customWidth="1"/>
    <col min="15369" max="15369" width="10" style="1" customWidth="1"/>
    <col min="15370" max="15370" width="9.875" style="1" customWidth="1"/>
    <col min="15371" max="15371" width="9" style="1" customWidth="1"/>
    <col min="15372" max="15372" width="10.75" style="1" customWidth="1"/>
    <col min="15373" max="15373" width="9" style="1" customWidth="1"/>
    <col min="15374" max="15374" width="9.625" style="1" customWidth="1"/>
    <col min="15375" max="15375" width="16.25" style="1" customWidth="1"/>
    <col min="15376" max="15616" width="9" style="1"/>
    <col min="15617" max="15617" width="12" style="1" customWidth="1"/>
    <col min="15618" max="15618" width="17.25" style="1" customWidth="1"/>
    <col min="15619" max="15619" width="8.75" style="1" customWidth="1"/>
    <col min="15620" max="15620" width="8.375" style="1" customWidth="1"/>
    <col min="15621" max="15621" width="10.375" style="1" customWidth="1"/>
    <col min="15622" max="15622" width="9.125" style="1" customWidth="1"/>
    <col min="15623" max="15623" width="9.25" style="1" customWidth="1"/>
    <col min="15624" max="15624" width="8.875" style="1" customWidth="1"/>
    <col min="15625" max="15625" width="10" style="1" customWidth="1"/>
    <col min="15626" max="15626" width="9.875" style="1" customWidth="1"/>
    <col min="15627" max="15627" width="9" style="1" customWidth="1"/>
    <col min="15628" max="15628" width="10.75" style="1" customWidth="1"/>
    <col min="15629" max="15629" width="9" style="1" customWidth="1"/>
    <col min="15630" max="15630" width="9.625" style="1" customWidth="1"/>
    <col min="15631" max="15631" width="16.25" style="1" customWidth="1"/>
    <col min="15632" max="15872" width="9" style="1"/>
    <col min="15873" max="15873" width="12" style="1" customWidth="1"/>
    <col min="15874" max="15874" width="17.25" style="1" customWidth="1"/>
    <col min="15875" max="15875" width="8.75" style="1" customWidth="1"/>
    <col min="15876" max="15876" width="8.375" style="1" customWidth="1"/>
    <col min="15877" max="15877" width="10.375" style="1" customWidth="1"/>
    <col min="15878" max="15878" width="9.125" style="1" customWidth="1"/>
    <col min="15879" max="15879" width="9.25" style="1" customWidth="1"/>
    <col min="15880" max="15880" width="8.875" style="1" customWidth="1"/>
    <col min="15881" max="15881" width="10" style="1" customWidth="1"/>
    <col min="15882" max="15882" width="9.875" style="1" customWidth="1"/>
    <col min="15883" max="15883" width="9" style="1" customWidth="1"/>
    <col min="15884" max="15884" width="10.75" style="1" customWidth="1"/>
    <col min="15885" max="15885" width="9" style="1" customWidth="1"/>
    <col min="15886" max="15886" width="9.625" style="1" customWidth="1"/>
    <col min="15887" max="15887" width="16.25" style="1" customWidth="1"/>
    <col min="15888" max="16128" width="9" style="1"/>
    <col min="16129" max="16129" width="12" style="1" customWidth="1"/>
    <col min="16130" max="16130" width="17.25" style="1" customWidth="1"/>
    <col min="16131" max="16131" width="8.75" style="1" customWidth="1"/>
    <col min="16132" max="16132" width="8.375" style="1" customWidth="1"/>
    <col min="16133" max="16133" width="10.375" style="1" customWidth="1"/>
    <col min="16134" max="16134" width="9.125" style="1" customWidth="1"/>
    <col min="16135" max="16135" width="9.25" style="1" customWidth="1"/>
    <col min="16136" max="16136" width="8.875" style="1" customWidth="1"/>
    <col min="16137" max="16137" width="10" style="1" customWidth="1"/>
    <col min="16138" max="16138" width="9.875" style="1" customWidth="1"/>
    <col min="16139" max="16139" width="9" style="1" customWidth="1"/>
    <col min="16140" max="16140" width="10.75" style="1" customWidth="1"/>
    <col min="16141" max="16141" width="9" style="1" customWidth="1"/>
    <col min="16142" max="16142" width="9.625" style="1" customWidth="1"/>
    <col min="16143" max="16143" width="16.25" style="1" customWidth="1"/>
    <col min="16144" max="16384" width="9" style="1"/>
  </cols>
  <sheetData>
    <row r="1" spans="1:14" ht="20.25">
      <c r="A1" s="169" t="s">
        <v>99</v>
      </c>
      <c r="B1" s="169"/>
      <c r="C1" s="169"/>
      <c r="D1" s="169"/>
      <c r="E1" s="169"/>
      <c r="F1" s="169"/>
      <c r="G1" s="169"/>
      <c r="H1" s="169"/>
      <c r="I1" s="169"/>
      <c r="J1" s="169"/>
      <c r="K1" s="169"/>
      <c r="L1" s="169"/>
      <c r="M1" s="169"/>
      <c r="N1" s="169"/>
    </row>
    <row r="2" spans="1:14" ht="21">
      <c r="A2" s="2" t="s">
        <v>100</v>
      </c>
      <c r="B2" s="3"/>
      <c r="C2" s="4"/>
      <c r="D2" s="4"/>
      <c r="E2" s="4"/>
      <c r="F2" s="4"/>
      <c r="G2" s="4"/>
      <c r="H2" s="4"/>
      <c r="I2" s="4"/>
      <c r="J2" s="4"/>
      <c r="K2" s="4"/>
      <c r="L2" s="4"/>
      <c r="M2" s="4"/>
      <c r="N2" s="4"/>
    </row>
    <row r="3" spans="1:14" ht="12.75">
      <c r="A3" s="5" t="s">
        <v>101</v>
      </c>
      <c r="B3" s="5"/>
      <c r="C3" s="6"/>
      <c r="D3" s="6"/>
      <c r="E3" s="6"/>
      <c r="F3" s="6"/>
      <c r="G3" s="6"/>
      <c r="H3" s="6"/>
      <c r="I3" s="6"/>
      <c r="J3" s="35"/>
      <c r="K3" s="35"/>
      <c r="L3" s="35"/>
      <c r="M3" s="35"/>
      <c r="N3" s="35"/>
    </row>
    <row r="4" spans="1:14" ht="12.75">
      <c r="A4" s="5" t="s">
        <v>102</v>
      </c>
      <c r="B4" s="5"/>
      <c r="C4" s="6"/>
      <c r="D4" s="6"/>
      <c r="E4" s="6"/>
      <c r="F4" s="6"/>
      <c r="G4" s="6"/>
      <c r="H4" s="6"/>
      <c r="I4" s="6"/>
      <c r="J4" s="35"/>
      <c r="K4" s="35"/>
      <c r="L4" s="35"/>
      <c r="M4" s="35"/>
      <c r="N4" s="35"/>
    </row>
    <row r="5" spans="1:14" ht="12.75">
      <c r="A5" s="7" t="s">
        <v>103</v>
      </c>
      <c r="B5" s="5"/>
      <c r="C5" s="6"/>
      <c r="D5" s="6"/>
      <c r="E5" s="8"/>
      <c r="F5" s="9" t="s">
        <v>104</v>
      </c>
      <c r="G5" s="9" t="s">
        <v>105</v>
      </c>
      <c r="H5" s="9" t="s">
        <v>106</v>
      </c>
      <c r="I5" s="9" t="s">
        <v>107</v>
      </c>
      <c r="J5" s="36" t="s">
        <v>108</v>
      </c>
      <c r="L5" s="5"/>
      <c r="M5" s="5"/>
      <c r="N5" s="5"/>
    </row>
    <row r="6" spans="1:14" ht="19.5" customHeight="1">
      <c r="A6"/>
      <c r="B6"/>
      <c r="C6"/>
      <c r="D6"/>
      <c r="E6" s="116" t="s">
        <v>109</v>
      </c>
      <c r="F6" s="10">
        <v>3</v>
      </c>
      <c r="G6" s="10">
        <v>2</v>
      </c>
      <c r="H6" s="10">
        <v>1</v>
      </c>
      <c r="I6" s="10">
        <v>0.2</v>
      </c>
      <c r="J6" s="37">
        <v>0.1</v>
      </c>
      <c r="L6" s="5"/>
      <c r="M6" s="5"/>
      <c r="N6" s="5"/>
    </row>
    <row r="7" spans="1:14" ht="15" customHeight="1">
      <c r="A7" s="183" t="s">
        <v>110</v>
      </c>
      <c r="B7" s="180" t="s">
        <v>111</v>
      </c>
      <c r="C7" s="181"/>
      <c r="D7" s="181"/>
      <c r="E7" s="181"/>
      <c r="F7" s="182"/>
      <c r="G7" s="184" t="s">
        <v>126</v>
      </c>
      <c r="H7" s="184" t="s">
        <v>127</v>
      </c>
      <c r="I7" s="178" t="s">
        <v>112</v>
      </c>
      <c r="J7" s="178" t="s">
        <v>113</v>
      </c>
      <c r="K7"/>
      <c r="L7"/>
      <c r="M7"/>
    </row>
    <row r="8" spans="1:14" ht="15" customHeight="1">
      <c r="A8" s="179"/>
      <c r="B8" s="11" t="s">
        <v>114</v>
      </c>
      <c r="C8" s="11" t="s">
        <v>115</v>
      </c>
      <c r="D8" s="11" t="s">
        <v>116</v>
      </c>
      <c r="E8" s="11" t="s">
        <v>117</v>
      </c>
      <c r="F8" s="11" t="s">
        <v>118</v>
      </c>
      <c r="G8" s="185"/>
      <c r="H8" s="185"/>
      <c r="I8" s="179"/>
      <c r="J8" s="179"/>
      <c r="K8"/>
      <c r="L8"/>
      <c r="M8"/>
    </row>
    <row r="9" spans="1:14" ht="15" customHeight="1">
      <c r="A9" s="12" t="s">
        <v>140</v>
      </c>
      <c r="B9" s="13"/>
      <c r="C9" s="14"/>
      <c r="D9" s="14"/>
      <c r="E9" s="14"/>
      <c r="F9" s="15"/>
      <c r="G9" s="16">
        <f>I9-H9</f>
        <v>0</v>
      </c>
      <c r="H9" s="17"/>
      <c r="I9" s="29">
        <f>B9*$F$6+C9*$G$6+D9*$H$6+E9*$I$6+F9*$J$6</f>
        <v>0</v>
      </c>
      <c r="J9" s="38">
        <f>I9/故事!$F$10</f>
        <v>0</v>
      </c>
      <c r="K9"/>
      <c r="L9"/>
      <c r="M9"/>
    </row>
    <row r="10" spans="1:14" ht="15" customHeight="1">
      <c r="A10" s="12" t="s">
        <v>141</v>
      </c>
      <c r="B10" s="18"/>
      <c r="C10" s="19"/>
      <c r="D10" s="19"/>
      <c r="E10" s="19"/>
      <c r="F10" s="20"/>
      <c r="G10" s="16">
        <f t="shared" ref="G10:G14" si="0">I10-H10</f>
        <v>0</v>
      </c>
      <c r="H10" s="17"/>
      <c r="I10" s="29">
        <f t="shared" ref="I10:I16" si="1">B10*$F$6+C10*$G$6+D10*$H$6+E10*$I$6+F10*$J$6</f>
        <v>0</v>
      </c>
      <c r="J10" s="38">
        <f>I10/故事!$F$11</f>
        <v>0</v>
      </c>
      <c r="K10"/>
      <c r="L10"/>
      <c r="M10"/>
    </row>
    <row r="11" spans="1:14" ht="18" customHeight="1">
      <c r="A11" s="12" t="s">
        <v>142</v>
      </c>
      <c r="B11" s="18"/>
      <c r="C11" s="19"/>
      <c r="D11" s="19"/>
      <c r="E11" s="19"/>
      <c r="F11" s="20"/>
      <c r="G11" s="16">
        <f t="shared" si="0"/>
        <v>0</v>
      </c>
      <c r="H11" s="17"/>
      <c r="I11" s="29">
        <f t="shared" si="1"/>
        <v>0</v>
      </c>
      <c r="J11" s="38">
        <f>I11/故事!$F$12</f>
        <v>0</v>
      </c>
      <c r="K11"/>
      <c r="L11"/>
      <c r="M11"/>
    </row>
    <row r="12" spans="1:14" ht="16.5" customHeight="1">
      <c r="A12" s="12" t="s">
        <v>143</v>
      </c>
      <c r="B12" s="18"/>
      <c r="C12" s="19"/>
      <c r="D12" s="19"/>
      <c r="E12" s="19"/>
      <c r="F12" s="20"/>
      <c r="G12" s="16">
        <f t="shared" si="0"/>
        <v>0</v>
      </c>
      <c r="H12" s="17"/>
      <c r="I12" s="29">
        <f t="shared" si="1"/>
        <v>0</v>
      </c>
      <c r="J12" s="38">
        <f>I12/故事!$F$13</f>
        <v>0</v>
      </c>
      <c r="K12"/>
      <c r="L12"/>
      <c r="M12"/>
    </row>
    <row r="13" spans="1:14" ht="18" customHeight="1">
      <c r="A13" s="12" t="s">
        <v>144</v>
      </c>
      <c r="B13" s="21"/>
      <c r="C13" s="22"/>
      <c r="D13" s="22"/>
      <c r="E13" s="22"/>
      <c r="F13" s="23"/>
      <c r="G13" s="16">
        <f t="shared" si="0"/>
        <v>0</v>
      </c>
      <c r="H13" s="17"/>
      <c r="I13" s="29">
        <f t="shared" si="1"/>
        <v>0</v>
      </c>
      <c r="J13" s="38">
        <f>I13/故事!$F$14</f>
        <v>0</v>
      </c>
      <c r="K13"/>
      <c r="L13"/>
      <c r="M13"/>
    </row>
    <row r="14" spans="1:14" ht="4.5" hidden="1" customHeight="1">
      <c r="A14" s="12" t="s">
        <v>119</v>
      </c>
      <c r="B14" s="24"/>
      <c r="C14" s="24"/>
      <c r="D14" s="24"/>
      <c r="E14" s="24"/>
      <c r="F14" s="24"/>
      <c r="G14" s="16">
        <f t="shared" si="0"/>
        <v>0</v>
      </c>
      <c r="H14" s="17"/>
      <c r="I14" s="29">
        <f t="shared" si="1"/>
        <v>0</v>
      </c>
      <c r="J14" s="39"/>
      <c r="K14" s="38" t="e">
        <f>I14/J14</f>
        <v>#DIV/0!</v>
      </c>
      <c r="L14"/>
      <c r="M14"/>
      <c r="N14"/>
    </row>
    <row r="15" spans="1:14" ht="12.75" customHeight="1">
      <c r="A15" s="25" t="s">
        <v>120</v>
      </c>
      <c r="B15" s="26" t="str">
        <f t="shared" ref="B15:F15" si="2">"-"</f>
        <v>-</v>
      </c>
      <c r="C15" s="26" t="str">
        <f t="shared" si="2"/>
        <v>-</v>
      </c>
      <c r="D15" s="26" t="str">
        <f t="shared" si="2"/>
        <v>-</v>
      </c>
      <c r="E15" s="26" t="str">
        <f t="shared" si="2"/>
        <v>-</v>
      </c>
      <c r="F15" s="26" t="str">
        <f t="shared" si="2"/>
        <v>-</v>
      </c>
      <c r="G15" s="27" t="s">
        <v>121</v>
      </c>
      <c r="H15" s="27" t="s">
        <v>121</v>
      </c>
      <c r="I15" s="40" t="e">
        <f t="shared" si="1"/>
        <v>#VALUE!</v>
      </c>
      <c r="J15" s="41" t="e">
        <f>I15/#REF!</f>
        <v>#VALUE!</v>
      </c>
      <c r="K15"/>
      <c r="L15"/>
      <c r="M15"/>
    </row>
    <row r="16" spans="1:14" ht="12.75" customHeight="1">
      <c r="A16" s="25" t="s">
        <v>122</v>
      </c>
      <c r="B16" s="28">
        <f t="shared" ref="B16:H16" si="3">SUM(B9:B15)</f>
        <v>0</v>
      </c>
      <c r="C16" s="28">
        <f t="shared" si="3"/>
        <v>0</v>
      </c>
      <c r="D16" s="28">
        <v>1</v>
      </c>
      <c r="E16" s="28">
        <f t="shared" si="3"/>
        <v>0</v>
      </c>
      <c r="F16" s="28">
        <f t="shared" si="3"/>
        <v>0</v>
      </c>
      <c r="G16" s="29">
        <f t="shared" si="3"/>
        <v>0</v>
      </c>
      <c r="H16" s="29">
        <f t="shared" si="3"/>
        <v>0</v>
      </c>
      <c r="I16" s="29">
        <f t="shared" si="1"/>
        <v>1</v>
      </c>
      <c r="J16" s="38">
        <f>I16/故事!$F$15</f>
        <v>2.9411764705882353E-2</v>
      </c>
      <c r="K16"/>
      <c r="L16"/>
      <c r="M16"/>
    </row>
    <row r="17" spans="1:14" ht="16.5" customHeight="1"/>
    <row r="18" spans="1:14" ht="23.1" customHeight="1"/>
    <row r="19" spans="1:14">
      <c r="L19" s="43"/>
      <c r="M19" s="43"/>
      <c r="N19" s="43"/>
    </row>
    <row r="20" spans="1:14" ht="15" customHeight="1">
      <c r="L20" s="43"/>
      <c r="M20" s="43"/>
      <c r="N20" s="43"/>
    </row>
    <row r="21" spans="1:14" ht="12" customHeight="1"/>
    <row r="22" spans="1:14" ht="24.95" customHeight="1">
      <c r="A22" s="32" t="s">
        <v>129</v>
      </c>
      <c r="B22" s="33"/>
      <c r="C22" s="6"/>
      <c r="D22" s="6"/>
      <c r="E22" s="6"/>
      <c r="F22" s="6"/>
      <c r="G22" s="6"/>
      <c r="H22" s="6"/>
      <c r="I22" s="6"/>
      <c r="J22" s="35"/>
      <c r="K22" s="35"/>
    </row>
    <row r="23" spans="1:14" ht="18" customHeight="1">
      <c r="A23" s="5" t="s">
        <v>102</v>
      </c>
      <c r="B23" s="5"/>
      <c r="C23" s="6"/>
      <c r="D23" s="6"/>
      <c r="E23" s="34"/>
      <c r="F23"/>
      <c r="G23"/>
      <c r="H23"/>
      <c r="I23"/>
      <c r="J23"/>
      <c r="K23"/>
    </row>
    <row r="24" spans="1:14" ht="14.25">
      <c r="A24" s="7" t="s">
        <v>103</v>
      </c>
      <c r="B24"/>
      <c r="C24"/>
      <c r="D24"/>
      <c r="E24" s="34"/>
      <c r="F24"/>
      <c r="G24"/>
      <c r="H24"/>
      <c r="I24"/>
      <c r="J24"/>
      <c r="K24"/>
    </row>
    <row r="25" spans="1:14" ht="23.1" customHeight="1">
      <c r="A25" s="183" t="s">
        <v>110</v>
      </c>
      <c r="B25" s="180" t="s">
        <v>111</v>
      </c>
      <c r="C25" s="181"/>
      <c r="D25" s="181"/>
      <c r="E25" s="181"/>
      <c r="F25" s="182"/>
      <c r="G25" s="184" t="s">
        <v>126</v>
      </c>
      <c r="H25" s="184" t="s">
        <v>127</v>
      </c>
      <c r="I25" s="178" t="s">
        <v>112</v>
      </c>
      <c r="J25" s="178" t="s">
        <v>113</v>
      </c>
    </row>
    <row r="26" spans="1:14" ht="23.1" customHeight="1">
      <c r="A26" s="179"/>
      <c r="B26" s="11" t="s">
        <v>114</v>
      </c>
      <c r="C26" s="11" t="s">
        <v>115</v>
      </c>
      <c r="D26" s="11" t="s">
        <v>116</v>
      </c>
      <c r="E26" s="11" t="s">
        <v>117</v>
      </c>
      <c r="F26" s="11" t="s">
        <v>118</v>
      </c>
      <c r="G26" s="185"/>
      <c r="H26" s="185"/>
      <c r="I26" s="179"/>
      <c r="J26" s="179"/>
    </row>
    <row r="27" spans="1:14" ht="23.1" customHeight="1">
      <c r="A27" s="12" t="s">
        <v>145</v>
      </c>
      <c r="B27" s="13"/>
      <c r="C27" s="14"/>
      <c r="D27" s="14"/>
      <c r="E27" s="14"/>
      <c r="F27" s="15"/>
      <c r="G27" s="16">
        <f>I27-H27</f>
        <v>0</v>
      </c>
      <c r="H27" s="17"/>
      <c r="I27" s="29">
        <f>B27*$F$6+C27*$G$6+D27*$H$6+E27*$I$6+F27*$J$6</f>
        <v>0</v>
      </c>
      <c r="J27" s="38">
        <f>I27/故事!$F$10</f>
        <v>0</v>
      </c>
    </row>
    <row r="28" spans="1:14">
      <c r="A28" s="12" t="s">
        <v>146</v>
      </c>
      <c r="B28" s="18"/>
      <c r="C28" s="19"/>
      <c r="D28" s="19"/>
      <c r="E28" s="19"/>
      <c r="F28" s="20"/>
      <c r="G28" s="16">
        <f t="shared" ref="G28:G31" si="4">I28-H28</f>
        <v>0</v>
      </c>
      <c r="H28" s="17"/>
      <c r="I28" s="29">
        <f t="shared" ref="I28:I32" si="5">B28*$F$6+C28*$G$6+D28*$H$6+E28*$I$6+F28*$J$6</f>
        <v>0</v>
      </c>
      <c r="J28" s="38">
        <f>I28/故事!$F$11</f>
        <v>0</v>
      </c>
    </row>
    <row r="29" spans="1:14">
      <c r="A29" s="12" t="s">
        <v>147</v>
      </c>
      <c r="B29" s="18"/>
      <c r="C29" s="19"/>
      <c r="D29" s="19"/>
      <c r="E29" s="19"/>
      <c r="F29" s="20"/>
      <c r="G29" s="16">
        <f t="shared" si="4"/>
        <v>0</v>
      </c>
      <c r="H29" s="17"/>
      <c r="I29" s="29">
        <f t="shared" si="5"/>
        <v>0</v>
      </c>
      <c r="J29" s="38">
        <f>I29/故事!$F$12</f>
        <v>0</v>
      </c>
    </row>
    <row r="30" spans="1:14" ht="15" customHeight="1">
      <c r="A30" s="12" t="s">
        <v>148</v>
      </c>
      <c r="B30" s="18"/>
      <c r="C30" s="19"/>
      <c r="D30" s="19"/>
      <c r="E30" s="19"/>
      <c r="F30" s="20"/>
      <c r="G30" s="16">
        <f t="shared" si="4"/>
        <v>0</v>
      </c>
      <c r="H30" s="17"/>
      <c r="I30" s="29">
        <f t="shared" si="5"/>
        <v>0</v>
      </c>
      <c r="J30" s="38">
        <f>I30/故事!$F$13</f>
        <v>0</v>
      </c>
    </row>
    <row r="31" spans="1:14">
      <c r="A31" s="12" t="s">
        <v>149</v>
      </c>
      <c r="B31" s="21"/>
      <c r="C31" s="22"/>
      <c r="D31" s="22"/>
      <c r="E31" s="22"/>
      <c r="F31" s="23"/>
      <c r="G31" s="16">
        <f t="shared" si="4"/>
        <v>0</v>
      </c>
      <c r="H31" s="17"/>
      <c r="I31" s="29">
        <f t="shared" si="5"/>
        <v>0</v>
      </c>
      <c r="J31" s="38">
        <f>I31/故事!$F$14</f>
        <v>0</v>
      </c>
    </row>
    <row r="32" spans="1:14">
      <c r="A32" s="25" t="s">
        <v>120</v>
      </c>
      <c r="B32" s="26" t="str">
        <f t="shared" ref="B32:F32" si="6">"-"</f>
        <v>-</v>
      </c>
      <c r="C32" s="26" t="str">
        <f t="shared" si="6"/>
        <v>-</v>
      </c>
      <c r="D32" s="26" t="str">
        <f t="shared" si="6"/>
        <v>-</v>
      </c>
      <c r="E32" s="26" t="str">
        <f t="shared" si="6"/>
        <v>-</v>
      </c>
      <c r="F32" s="26" t="str">
        <f t="shared" si="6"/>
        <v>-</v>
      </c>
      <c r="G32" s="27" t="s">
        <v>121</v>
      </c>
      <c r="H32" s="27" t="s">
        <v>121</v>
      </c>
      <c r="I32" s="40" t="e">
        <f t="shared" si="5"/>
        <v>#VALUE!</v>
      </c>
      <c r="J32" s="41" t="e">
        <f>I32/#REF!</f>
        <v>#VALUE!</v>
      </c>
    </row>
    <row r="33" spans="1:11">
      <c r="A33" s="25" t="s">
        <v>122</v>
      </c>
      <c r="B33" s="28">
        <f t="shared" ref="B33:H33" si="7">SUM(B27:B32)</f>
        <v>0</v>
      </c>
      <c r="C33" s="28">
        <f t="shared" si="7"/>
        <v>0</v>
      </c>
      <c r="D33" s="28">
        <f t="shared" si="7"/>
        <v>0</v>
      </c>
      <c r="E33" s="28">
        <f t="shared" si="7"/>
        <v>0</v>
      </c>
      <c r="F33" s="28">
        <f t="shared" si="7"/>
        <v>0</v>
      </c>
      <c r="G33" s="29">
        <f t="shared" si="7"/>
        <v>0</v>
      </c>
      <c r="H33" s="29">
        <f t="shared" si="7"/>
        <v>0</v>
      </c>
      <c r="I33" s="29">
        <f t="shared" ref="I33:I34" si="8">B33*$F$6+C33*$G$6+D33*$H$6+E33*$I$6+F33*$J$6</f>
        <v>0</v>
      </c>
      <c r="J33" s="38">
        <f>I33/故事!$F$15</f>
        <v>0</v>
      </c>
    </row>
    <row r="34" spans="1:11">
      <c r="A34" s="25" t="s">
        <v>123</v>
      </c>
      <c r="B34" s="30"/>
      <c r="C34" s="30"/>
      <c r="D34" s="30"/>
      <c r="E34" s="30"/>
      <c r="F34" s="30"/>
      <c r="G34" s="30"/>
      <c r="H34" s="30"/>
      <c r="I34" s="29">
        <f t="shared" si="8"/>
        <v>0</v>
      </c>
      <c r="J34" s="38">
        <f>I34/故事!$F$15</f>
        <v>0</v>
      </c>
    </row>
    <row r="35" spans="1:11">
      <c r="A35" s="31" t="s">
        <v>124</v>
      </c>
      <c r="B35" s="24" t="s">
        <v>121</v>
      </c>
      <c r="C35" s="24" t="s">
        <v>121</v>
      </c>
      <c r="D35" s="24" t="s">
        <v>121</v>
      </c>
      <c r="E35" s="24" t="s">
        <v>121</v>
      </c>
      <c r="F35" s="24" t="s">
        <v>121</v>
      </c>
      <c r="G35" s="24" t="s">
        <v>121</v>
      </c>
      <c r="H35" s="24" t="s">
        <v>121</v>
      </c>
      <c r="I35" s="42">
        <f>H33+I34+H16+H48</f>
        <v>0</v>
      </c>
      <c r="J35" s="38">
        <f>I35/故事!$F$15</f>
        <v>0</v>
      </c>
    </row>
    <row r="37" spans="1:11" ht="12.75">
      <c r="A37" s="32" t="s">
        <v>125</v>
      </c>
      <c r="B37" s="33"/>
      <c r="C37" s="6"/>
      <c r="D37" s="6"/>
      <c r="E37" s="6"/>
      <c r="F37" s="6"/>
      <c r="G37" s="6"/>
      <c r="H37" s="6"/>
      <c r="I37" s="6"/>
      <c r="J37" s="35"/>
      <c r="K37" s="35"/>
    </row>
    <row r="38" spans="1:11" ht="14.25">
      <c r="A38" s="5" t="s">
        <v>102</v>
      </c>
      <c r="B38" s="5"/>
      <c r="C38" s="6"/>
      <c r="D38" s="6"/>
      <c r="E38" s="34"/>
      <c r="F38"/>
      <c r="G38"/>
      <c r="H38"/>
      <c r="I38"/>
      <c r="J38"/>
      <c r="K38"/>
    </row>
    <row r="39" spans="1:11" ht="14.25">
      <c r="A39" s="7" t="s">
        <v>103</v>
      </c>
      <c r="B39"/>
      <c r="C39"/>
      <c r="D39"/>
      <c r="E39" s="34"/>
      <c r="F39"/>
      <c r="G39"/>
      <c r="H39"/>
      <c r="I39"/>
      <c r="J39"/>
      <c r="K39"/>
    </row>
    <row r="40" spans="1:11" ht="12" customHeight="1">
      <c r="A40" s="183" t="s">
        <v>110</v>
      </c>
      <c r="B40" s="180" t="s">
        <v>111</v>
      </c>
      <c r="C40" s="181"/>
      <c r="D40" s="181"/>
      <c r="E40" s="181"/>
      <c r="F40" s="182"/>
      <c r="G40" s="184" t="s">
        <v>126</v>
      </c>
      <c r="H40" s="184" t="s">
        <v>127</v>
      </c>
      <c r="I40" s="178" t="s">
        <v>112</v>
      </c>
      <c r="J40" s="178" t="s">
        <v>113</v>
      </c>
    </row>
    <row r="41" spans="1:11">
      <c r="A41" s="179"/>
      <c r="B41" s="11" t="s">
        <v>114</v>
      </c>
      <c r="C41" s="11" t="s">
        <v>115</v>
      </c>
      <c r="D41" s="11" t="s">
        <v>116</v>
      </c>
      <c r="E41" s="11" t="s">
        <v>117</v>
      </c>
      <c r="F41" s="11" t="s">
        <v>118</v>
      </c>
      <c r="G41" s="185"/>
      <c r="H41" s="185"/>
      <c r="I41" s="179"/>
      <c r="J41" s="179"/>
    </row>
    <row r="42" spans="1:11">
      <c r="A42" s="12" t="s">
        <v>150</v>
      </c>
      <c r="B42" s="13"/>
      <c r="C42" s="14"/>
      <c r="D42" s="14"/>
      <c r="E42" s="14"/>
      <c r="F42" s="15"/>
      <c r="G42" s="16">
        <f t="shared" ref="G42:G46" si="9">I42-H42</f>
        <v>0</v>
      </c>
      <c r="H42" s="17"/>
      <c r="I42" s="29">
        <f t="shared" ref="I42:I48" si="10">B42*$F$6+C42*$G$6+D42*$H$6+E42*$I$6+F42*$J$6</f>
        <v>0</v>
      </c>
      <c r="J42" s="38">
        <f>I42/故事!$F$10</f>
        <v>0</v>
      </c>
    </row>
    <row r="43" spans="1:11">
      <c r="A43" s="12" t="s">
        <v>151</v>
      </c>
      <c r="B43" s="18"/>
      <c r="C43" s="19"/>
      <c r="D43" s="19"/>
      <c r="E43" s="19"/>
      <c r="F43" s="20"/>
      <c r="G43" s="16">
        <f t="shared" si="9"/>
        <v>0</v>
      </c>
      <c r="H43" s="17"/>
      <c r="I43" s="29">
        <f t="shared" si="10"/>
        <v>0</v>
      </c>
      <c r="J43" s="38">
        <f>I43/故事!$F$11</f>
        <v>0</v>
      </c>
    </row>
    <row r="44" spans="1:11">
      <c r="A44" s="12" t="s">
        <v>152</v>
      </c>
      <c r="B44" s="18"/>
      <c r="C44" s="19"/>
      <c r="D44" s="19"/>
      <c r="E44" s="19"/>
      <c r="F44" s="20"/>
      <c r="G44" s="16">
        <f t="shared" si="9"/>
        <v>0</v>
      </c>
      <c r="H44" s="17"/>
      <c r="I44" s="29">
        <f t="shared" si="10"/>
        <v>0</v>
      </c>
      <c r="J44" s="38">
        <f>I44/故事!$F$12</f>
        <v>0</v>
      </c>
    </row>
    <row r="45" spans="1:11">
      <c r="A45" s="12" t="s">
        <v>153</v>
      </c>
      <c r="B45" s="18"/>
      <c r="C45" s="19"/>
      <c r="D45" s="19"/>
      <c r="E45" s="19"/>
      <c r="F45" s="20"/>
      <c r="G45" s="16">
        <f t="shared" si="9"/>
        <v>0</v>
      </c>
      <c r="H45" s="17"/>
      <c r="I45" s="29">
        <f t="shared" si="10"/>
        <v>0</v>
      </c>
      <c r="J45" s="38">
        <f>I45/故事!$F$13</f>
        <v>0</v>
      </c>
    </row>
    <row r="46" spans="1:11">
      <c r="A46" s="12" t="s">
        <v>154</v>
      </c>
      <c r="B46" s="21"/>
      <c r="C46" s="22"/>
      <c r="D46" s="22"/>
      <c r="E46" s="22"/>
      <c r="F46" s="23"/>
      <c r="G46" s="16">
        <f t="shared" si="9"/>
        <v>0</v>
      </c>
      <c r="H46" s="17"/>
      <c r="I46" s="29">
        <f t="shared" si="10"/>
        <v>0</v>
      </c>
      <c r="J46" s="38">
        <f>I46/故事!$F$14</f>
        <v>0</v>
      </c>
    </row>
    <row r="47" spans="1:11">
      <c r="A47" s="25" t="s">
        <v>120</v>
      </c>
      <c r="B47" s="26" t="str">
        <f t="shared" ref="B47:F47" si="11">"-"</f>
        <v>-</v>
      </c>
      <c r="C47" s="26" t="str">
        <f t="shared" si="11"/>
        <v>-</v>
      </c>
      <c r="D47" s="26" t="str">
        <f t="shared" si="11"/>
        <v>-</v>
      </c>
      <c r="E47" s="26" t="str">
        <f t="shared" si="11"/>
        <v>-</v>
      </c>
      <c r="F47" s="26" t="str">
        <f t="shared" si="11"/>
        <v>-</v>
      </c>
      <c r="G47" s="27" t="s">
        <v>121</v>
      </c>
      <c r="H47" s="27" t="s">
        <v>121</v>
      </c>
      <c r="I47" s="40" t="e">
        <f t="shared" si="10"/>
        <v>#VALUE!</v>
      </c>
      <c r="J47" s="41" t="e">
        <f>I47/#REF!</f>
        <v>#VALUE!</v>
      </c>
    </row>
    <row r="48" spans="1:11">
      <c r="A48" s="25" t="s">
        <v>122</v>
      </c>
      <c r="B48" s="28">
        <f t="shared" ref="B48:H48" si="12">SUM(B42:B47)</f>
        <v>0</v>
      </c>
      <c r="C48" s="28">
        <f t="shared" si="12"/>
        <v>0</v>
      </c>
      <c r="D48" s="28">
        <f t="shared" si="12"/>
        <v>0</v>
      </c>
      <c r="E48" s="28">
        <f t="shared" si="12"/>
        <v>0</v>
      </c>
      <c r="F48" s="28">
        <f t="shared" si="12"/>
        <v>0</v>
      </c>
      <c r="G48" s="29">
        <f t="shared" si="12"/>
        <v>0</v>
      </c>
      <c r="H48" s="29">
        <f t="shared" si="12"/>
        <v>0</v>
      </c>
      <c r="I48" s="29">
        <f t="shared" si="10"/>
        <v>0</v>
      </c>
      <c r="J48" s="38">
        <f>I48/故事!$F$15</f>
        <v>0</v>
      </c>
    </row>
  </sheetData>
  <mergeCells count="19">
    <mergeCell ref="I7:I8"/>
    <mergeCell ref="I25:I26"/>
    <mergeCell ref="I40:I41"/>
    <mergeCell ref="J7:J8"/>
    <mergeCell ref="J25:J26"/>
    <mergeCell ref="J40:J41"/>
    <mergeCell ref="A1:N1"/>
    <mergeCell ref="B7:F7"/>
    <mergeCell ref="B25:F25"/>
    <mergeCell ref="B40:F40"/>
    <mergeCell ref="A7:A8"/>
    <mergeCell ref="A25:A26"/>
    <mergeCell ref="A40:A41"/>
    <mergeCell ref="G7:G8"/>
    <mergeCell ref="G25:G26"/>
    <mergeCell ref="G40:G41"/>
    <mergeCell ref="H7:H8"/>
    <mergeCell ref="H25:H26"/>
    <mergeCell ref="H40:H41"/>
  </mergeCells>
  <phoneticPr fontId="91" type="noConversion"/>
  <conditionalFormatting sqref="J47">
    <cfRule type="cellIs" dxfId="8" priority="9" operator="greaterThan">
      <formula>$M$15</formula>
    </cfRule>
  </conditionalFormatting>
  <conditionalFormatting sqref="K14 J9:J13 J15:J16">
    <cfRule type="cellIs" dxfId="7" priority="759" operator="greaterThan">
      <formula>$M$15</formula>
    </cfRule>
  </conditionalFormatting>
  <conditionalFormatting sqref="J32">
    <cfRule type="cellIs" dxfId="6" priority="15" operator="greaterThan">
      <formula>$M$15</formula>
    </cfRule>
  </conditionalFormatting>
  <conditionalFormatting sqref="J27:J31">
    <cfRule type="cellIs" dxfId="5" priority="6" operator="greaterThan">
      <formula>$M$15</formula>
    </cfRule>
  </conditionalFormatting>
  <conditionalFormatting sqref="J33">
    <cfRule type="cellIs" dxfId="4" priority="5" operator="greaterThan">
      <formula>$M$15</formula>
    </cfRule>
  </conditionalFormatting>
  <conditionalFormatting sqref="J34">
    <cfRule type="cellIs" dxfId="3" priority="4" operator="greaterThan">
      <formula>$M$15</formula>
    </cfRule>
  </conditionalFormatting>
  <conditionalFormatting sqref="J35">
    <cfRule type="cellIs" dxfId="2" priority="3" operator="greaterThan">
      <formula>$M$15</formula>
    </cfRule>
  </conditionalFormatting>
  <conditionalFormatting sqref="J42:J46">
    <cfRule type="cellIs" dxfId="1" priority="2" operator="greaterThan">
      <formula>$M$15</formula>
    </cfRule>
  </conditionalFormatting>
  <conditionalFormatting sqref="J48">
    <cfRule type="cellIs" dxfId="0" priority="1" operator="greaterThan">
      <formula>$M$15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2" r:id="rId4" name="Button 4">
              <controlPr defaultSize="0" print="0" autoPict="0" macro="[0]!Button14_Click_Test_delete">
                <anchor moveWithCells="1">
                  <from>
                    <xdr:col>0</xdr:col>
                    <xdr:colOff>85725</xdr:colOff>
                    <xdr:row>19</xdr:row>
                    <xdr:rowOff>28575</xdr:rowOff>
                  </from>
                  <to>
                    <xdr:col>1</xdr:col>
                    <xdr:colOff>66675</xdr:colOff>
                    <xdr:row>20</xdr:row>
                    <xdr:rowOff>95250</xdr:rowOff>
                  </to>
                </anchor>
              </controlPr>
            </control>
          </mc:Choice>
        </mc:AlternateContent>
        <mc:AlternateContent xmlns:mc="http://schemas.openxmlformats.org/markup-compatibility/2006">
          <mc:Choice Requires="x14">
            <control shapeId="63491" r:id="rId5" name="Button 3">
              <controlPr defaultSize="0" print="0" autoPict="0" macro="[0]!button8_Click_Test_add">
                <anchor moveWithCells="1">
                  <from>
                    <xdr:col>0</xdr:col>
                    <xdr:colOff>95250</xdr:colOff>
                    <xdr:row>17</xdr:row>
                    <xdr:rowOff>28575</xdr:rowOff>
                  </from>
                  <to>
                    <xdr:col>1</xdr:col>
                    <xdr:colOff>76200</xdr:colOff>
                    <xdr:row>17</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vt:i4>
      </vt:variant>
    </vt:vector>
  </HeadingPairs>
  <TitlesOfParts>
    <vt:vector size="11" baseType="lpstr">
      <vt:lpstr>报告封面</vt:lpstr>
      <vt:lpstr>填写说明</vt:lpstr>
      <vt:lpstr>故事</vt:lpstr>
      <vt:lpstr>工作量分布</vt:lpstr>
      <vt:lpstr>测试及验收缺陷度量</vt:lpstr>
      <vt:lpstr>for_set_all6</vt:lpstr>
      <vt:lpstr>for_set_calculate6</vt:lpstr>
      <vt:lpstr>for_set_PPB6</vt:lpstr>
      <vt:lpstr>for_set_test</vt:lpstr>
      <vt:lpstr>for_Test</vt:lpstr>
      <vt:lpstr>VTest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Windows 用户</cp:lastModifiedBy>
  <dcterms:created xsi:type="dcterms:W3CDTF">2006-09-16T00:00:00Z</dcterms:created>
  <dcterms:modified xsi:type="dcterms:W3CDTF">2017-03-30T05:21:56Z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

<file path=userCustomization/customUI.xml>�� 
</file>