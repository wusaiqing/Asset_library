
<file path=[Content_Types].xml><?xml version="1.0" encoding="utf-8"?>
<Types xmlns="http://schemas.openxmlformats.org/package/2006/content-types">
  <Default Extension="png" ContentType="image/png"/>
  <Default Extension="bin" ContentType="application/vnd.ms-office.vbaProject"/>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6.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omments7.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8.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9.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10.xml" ContentType="application/vnd.openxmlformats-officedocument.spreadsheetml.comment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1.xml" ContentType="application/vnd.openxmlformats-officedocument.spreadsheetml.comment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9.xml" ContentType="application/vnd.openxmlformats-officedocument.drawing+xml"/>
  <Override PartName="/xl/charts/chart20.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1840" windowHeight="13050" tabRatio="879" firstSheet="4" activeTab="14"/>
  </bookViews>
  <sheets>
    <sheet name="CB_DATA_" sheetId="1" state="veryHidden" r:id="rId1"/>
    <sheet name="报告封面" sheetId="2" r:id="rId2"/>
    <sheet name="目录" sheetId="3" r:id="rId3"/>
    <sheet name="填写说明" sheetId="4" r:id="rId4"/>
    <sheet name="项目属性" sheetId="5" r:id="rId5"/>
    <sheet name="项目度量分析计划" sheetId="6" r:id="rId6"/>
    <sheet name="模型" sheetId="7" r:id="rId7"/>
    <sheet name="预测-结果" sheetId="8" r:id="rId8"/>
    <sheet name="预测-指导" sheetId="9" r:id="rId9"/>
    <sheet name="需求" sheetId="10" r:id="rId10"/>
    <sheet name="工作量分布" sheetId="11" r:id="rId11"/>
    <sheet name="规模" sheetId="12" r:id="rId12"/>
    <sheet name="项目进度" sheetId="13" r:id="rId13"/>
    <sheet name="过程产出缺陷度量" sheetId="14" r:id="rId14"/>
    <sheet name="测试及验收缺陷度量" sheetId="15" r:id="rId15"/>
    <sheet name="人员统计" sheetId="16" r:id="rId16"/>
    <sheet name="根因分析" sheetId="17" r:id="rId17"/>
    <sheet name="模型数据检查" sheetId="18" r:id="rId18"/>
  </sheets>
  <externalReferences>
    <externalReference r:id="rId19"/>
    <externalReference r:id="rId20"/>
  </externalReferences>
  <definedNames>
    <definedName name="_Dist_Bin" hidden="1">#REF!</definedName>
    <definedName name="_Dist_Values" hidden="1">#REF!</definedName>
    <definedName name="_Fill" hidden="1">#REF!</definedName>
    <definedName name="_Key1" hidden="1">#REF!</definedName>
    <definedName name="_Order1" hidden="1">255</definedName>
    <definedName name="_Sort" hidden="1">#REF!</definedName>
    <definedName name="Access_Button" hidden="1">"BugTBLU0_LMS11_List"</definedName>
    <definedName name="AccessDatabase" hidden="1">"B:\Users\Docomo\バグ管理\BugTBLU0.mdb"</definedName>
    <definedName name="CB_0d51d5b842304f69b455a34d75a479b4" localSheetId="6" hidden="1">模型!$C$33</definedName>
    <definedName name="CB_15539ece3fa3422aa483062a75b7170b" localSheetId="6" hidden="1">模型!$K$40</definedName>
    <definedName name="CB_1a2617163a5f4fdfa5c86b1238642eeb" localSheetId="6" hidden="1">模型!$S$26</definedName>
    <definedName name="CB_20626df2f7784bb2ab3d011ad7069a0c" localSheetId="6" hidden="1">模型!$C$36</definedName>
    <definedName name="CB_27e8d3f94387455d943c25c552729f1f" localSheetId="6" hidden="1">模型!$E$33</definedName>
    <definedName name="CB_287ddc114e324335b84d73f55f6dc8ef" localSheetId="6" hidden="1">模型!$AH$22</definedName>
    <definedName name="CB_2917b5b9ab76444b848695ead84d1c73" localSheetId="6" hidden="1">模型!$E$40</definedName>
    <definedName name="CB_29c314e7464544bbadd6adf0ed6aaf36" localSheetId="6" hidden="1">模型!$I$40</definedName>
    <definedName name="CB_2d8ac51382e1403e8526c8ea14f36681" localSheetId="6" hidden="1">模型!$K$32</definedName>
    <definedName name="CB_314648e506104067abf2b6bd62c26e1d" localSheetId="6" hidden="1">模型!$G$33</definedName>
    <definedName name="CB_33a7133f98cd4159a292452ab59f4c22" localSheetId="6" hidden="1">模型!$AJ$22</definedName>
    <definedName name="CB_3759dcc05459455aa874e3bb3869de56" localSheetId="6" hidden="1">模型!$G$41</definedName>
    <definedName name="CB_3b7fc0a952824749a7a123081e56bd5a" localSheetId="0" hidden="1">#N/A</definedName>
    <definedName name="CB_3d972663926a451ea493e8ca552c188e" localSheetId="6" hidden="1">模型!$G$23</definedName>
    <definedName name="CB_4013127c466c4688ab31a91aa7517bee" localSheetId="6" hidden="1">模型!$S$24</definedName>
    <definedName name="CB_46a17b54970d4d8881b1913a527d703e" localSheetId="6" hidden="1">模型!$G$32</definedName>
    <definedName name="CB_49fbda2f4254426e955fef43bece5fd8" localSheetId="6" hidden="1">模型!$E$31</definedName>
    <definedName name="CB_4d1a8edca76749539f58534f7daa050b" localSheetId="6" hidden="1">模型!$S$28</definedName>
    <definedName name="CB_51ae3beccac54a14bde06e43a01dcb70" localSheetId="6" hidden="1">模型!$AI$22</definedName>
    <definedName name="CB_5530b102268144b794ce70dc0495d4fa" localSheetId="6" hidden="1">模型!$G$26</definedName>
    <definedName name="CB_596594bbd03e4c02835f16effc7b69fa" localSheetId="6" hidden="1">模型!$G$28</definedName>
    <definedName name="CB_69ef66d3bde74e099d2321a79f1cc495" localSheetId="6" hidden="1">模型!$M$37</definedName>
    <definedName name="CB_70024f4ab283440ea87b1e86ed8bcf16" localSheetId="6" hidden="1">模型!$C$22</definedName>
    <definedName name="CB_74e87ef5cc71489d9655608906e7ba00" localSheetId="6" hidden="1">模型!$C$41</definedName>
    <definedName name="CB_767dbb189756477e919e3e0ff364a98e" localSheetId="6" hidden="1">模型!$I$41</definedName>
    <definedName name="CB_7d2037b335ce4ad19089c42c14528803" localSheetId="6" hidden="1">模型!$C$23</definedName>
    <definedName name="CB_7fa688c167214b1cac67afa90e830383" localSheetId="6" hidden="1">模型!$C$32</definedName>
    <definedName name="CB_807aedd9deeb45d2a9b86fcbccd811df" localSheetId="6" hidden="1">模型!$G$40</definedName>
    <definedName name="CB_81461f6c2ffc405b8226f03ffe247c01" localSheetId="6" hidden="1">模型!$C$26</definedName>
    <definedName name="CB_85163a2ddff64c708cd022717c4303ff" localSheetId="6" hidden="1">模型!$M$36</definedName>
    <definedName name="CB_862dc469bf744bcd82a1f35ecf01eb53" localSheetId="6" hidden="1">模型!$C$27</definedName>
    <definedName name="CB_87606787c41843a789dbe29273b87486" localSheetId="6" hidden="1">模型!$E$28</definedName>
    <definedName name="CB_8aec4cdfed534e9fb82f7c1d584d8ddb" localSheetId="6" hidden="1">模型!$AK$22</definedName>
    <definedName name="CB_8f037fb5059742769ccd74434d8102df" localSheetId="0" hidden="1">#N/A</definedName>
    <definedName name="CB_8f984c7bd8fb4569b502f2e5a9e8f3c8" localSheetId="6" hidden="1">模型!$E$26</definedName>
    <definedName name="CB_9e4ed787d34c466b837959029a3f7097" localSheetId="0" hidden="1">#N/A</definedName>
    <definedName name="CB_9f2fd8df490546329d5de8373068b21b" localSheetId="6" hidden="1">模型!$S$25</definedName>
    <definedName name="CB_9fa0b9c7e9d64301bd4fd2d375af4717" localSheetId="6" hidden="1">模型!$C$28</definedName>
    <definedName name="CB_a18d171306434a6a831e0caf0b9ebf28" localSheetId="6" hidden="1">模型!$C$40</definedName>
    <definedName name="CB_aa49df306f0f47a8bc084dbd3f71c551" localSheetId="6" hidden="1">模型!$S$27</definedName>
    <definedName name="CB_ac071c8a6f4d4cf6b4a8c13cb878a5da" localSheetId="6" hidden="1">模型!$AG$22</definedName>
    <definedName name="CB_ba82796bf54740a6bac0ab276199f0f4" localSheetId="0" hidden="1">#N/A</definedName>
    <definedName name="CB_Block_00000000000000000000000000000000" localSheetId="0" hidden="1">"'7.0.0.0"</definedName>
    <definedName name="CB_Block_00000000000000000000000000000000" localSheetId="6" hidden="1">"'7.0.0.0"</definedName>
    <definedName name="CB_Block_00000000000000000000000000000001" localSheetId="0" hidden="1">"'635711967294162543"</definedName>
    <definedName name="CB_Block_00000000000000000000000000000001" localSheetId="6" hidden="1">"'635711967294902617"</definedName>
    <definedName name="CB_Block_00000000000000000000000000000003" localSheetId="0" hidden="1">"'11.1.2391.0"</definedName>
    <definedName name="CB_Block_00000000000000000000000000000003" localSheetId="6" hidden="1">"'11.1.2391.0"</definedName>
    <definedName name="CB_BlockExt_00000000000000000000000000000003" localSheetId="0" hidden="1">"'11.1.2.1.000"</definedName>
    <definedName name="CB_BlockExt_00000000000000000000000000000003" localSheetId="6" hidden="1">"'11.1.2.1.000"</definedName>
    <definedName name="CB_c58ba93e04f9416ca284bab6d18419e0" localSheetId="6" hidden="1">模型!$E$27</definedName>
    <definedName name="CB_c5edf4fca8994e60abf32bf4de682e81" localSheetId="6" hidden="1">模型!$I$33</definedName>
    <definedName name="CB_c647fdf272734dab8c56f0fc0877d2b2" localSheetId="6" hidden="1">模型!$K$36</definedName>
    <definedName name="CB_c854ec7add094ad3aaf12c55ecc676ad" localSheetId="6" hidden="1">模型!$G$36</definedName>
    <definedName name="CB_cdc71da68f62437a9946f8e614394e15" localSheetId="6" hidden="1">模型!$K$37</definedName>
    <definedName name="CB_d027f31596084d45a056cc06ba3caf8c" localSheetId="6" hidden="1">模型!$G$37</definedName>
    <definedName name="CB_d4563f781c39494e8534ca99376a494d" localSheetId="0" hidden="1">#N/A</definedName>
    <definedName name="CB_d5c69103d2f5485ba714547ee40e3197" localSheetId="6" hidden="1">模型!$E$32</definedName>
    <definedName name="CB_d9136336ba144b399720f342226999dd" localSheetId="6" hidden="1">模型!$C$37</definedName>
    <definedName name="CB_e1d31f45a0d746e0805ebc3d48c3aec5" localSheetId="6" hidden="1">模型!$E$41</definedName>
    <definedName name="CB_e2985dffb7c945bc9d34bcd15599bc72" localSheetId="6" hidden="1">模型!$E$37</definedName>
    <definedName name="CB_e3addf9cc4e94b7487889fa6dc48e241" localSheetId="6" hidden="1">模型!$K$41</definedName>
    <definedName name="CB_e551d312ef2b48fbb5a6b3e5fba60518" localSheetId="6" hidden="1">模型!$G$22</definedName>
    <definedName name="CB_e6dc212339384314b4ae7083dd657ab8" localSheetId="6" hidden="1">模型!$E$36</definedName>
    <definedName name="CB_f1ac2279c1334ef18ac07b18c44d3540" localSheetId="6" hidden="1">模型!$G$27</definedName>
    <definedName name="CB_f22f9172b2284969aced4c06a531c792" localSheetId="6" hidden="1">模型!$M$40</definedName>
    <definedName name="CB_f8488acfc515419f8264cf88f839d7bb" localSheetId="6" hidden="1">模型!$I$32</definedName>
    <definedName name="CB_fa6577bf0a56404eb6f9a3f67cd5e2be" localSheetId="6" hidden="1">模型!$M$41</definedName>
    <definedName name="CBCR_0704e77d519642e5920be5defdd0f45f" localSheetId="6" hidden="1">模型!$I$39</definedName>
    <definedName name="CBCR_0da741bd9a404a6ab6e7c96d04875127" localSheetId="6" hidden="1">模型!$E$35</definedName>
    <definedName name="CBCR_1c02dc8b0ea6450485e1a4b787b9c764" localSheetId="6" hidden="1">模型!$G$35</definedName>
    <definedName name="CBCR_1d59e240601e4c28b416892996fe2928" localSheetId="6" hidden="1">模型!$E$39</definedName>
    <definedName name="CBCR_26ad22ad67684ffaaef0d5d4599ccfd6" localSheetId="6" hidden="1">模型!$G$21</definedName>
    <definedName name="CBCR_2d10db16662d4164b40121341ad56d24" localSheetId="6" hidden="1">模型!$E$30</definedName>
    <definedName name="CBCR_2d88abcb2eea4a479ada8dd81e1edb8a" localSheetId="0" hidden="1">CB_DATA_!$A$10003</definedName>
    <definedName name="CBCR_2e37a11818a441088fbcf48c69be0083" localSheetId="6" hidden="1">模型!$M$39</definedName>
    <definedName name="CBCR_34a884f1dc3941b68c2e0aff2ddc15e2" localSheetId="6" hidden="1">模型!$G$33</definedName>
    <definedName name="CBCR_366982a0f0a94be78125a18caa9d3ebe" localSheetId="6" hidden="1">模型!$D$41</definedName>
    <definedName name="CBCR_397fa0bc92d24e3090fe6f89e330fd99" localSheetId="0" hidden="1">CB_DATA_!$A$10002</definedName>
    <definedName name="CBCR_3b2d49a5117b4b6194bfadf572412e91" localSheetId="6" hidden="1">模型!$E$25</definedName>
    <definedName name="CBCR_3c1b35517847401b85ca553043e6eaf5" localSheetId="6" hidden="1">模型!$H$32</definedName>
    <definedName name="CBCR_49a55941acf7460ba2bdf575a444c566" localSheetId="6" hidden="1">模型!$K$36</definedName>
    <definedName name="CBCR_4eade3aef2de4ee4bfef914145f030c5" localSheetId="6" hidden="1">模型!$K$39</definedName>
    <definedName name="CBCR_4f0070b369b44ce3a924765822d58005" localSheetId="6" hidden="1">模型!$E$25</definedName>
    <definedName name="CBCR_4f427fef9b4240d0a6e30858423c0076" localSheetId="0" hidden="1">CB_DATA_!$A$10004</definedName>
    <definedName name="CBCR_5ae14eaf28494affbbd5e94da2ab10a7" localSheetId="6" hidden="1">模型!$G$25</definedName>
    <definedName name="CBCR_642cc9dd1d1a43bf91713ae7a49d521c" localSheetId="0" hidden="1">CB_DATA_!$A$10001</definedName>
    <definedName name="CBCR_6bae21ce13e64d328301dc407aaad006" localSheetId="6" hidden="1">模型!$H$33</definedName>
    <definedName name="CBCR_6d737187e9644f78bbd6492505ae44c0" localSheetId="6" hidden="1">模型!$H$41</definedName>
    <definedName name="CBCR_8d3bde04b77047dc8e5c025874911601" localSheetId="6" hidden="1">模型!$J$41</definedName>
    <definedName name="CBCR_8e95a5a44c0f4ef8afeccf6abc136cbd" localSheetId="6" hidden="1">模型!$K$37</definedName>
    <definedName name="CBCR_8fcb2c23a40842459d49a763955279a8" localSheetId="6" hidden="1">模型!$G$25</definedName>
    <definedName name="CBCR_91c36aeb51824ed19aed16c99c6841ef" localSheetId="6" hidden="1">模型!$K$35</definedName>
    <definedName name="CBCR_942b841eb1804e128497cae00e20b2ac" localSheetId="6" hidden="1">模型!$E$30</definedName>
    <definedName name="CBCR_9511b0868053461f9247f8cfda95dc87" localSheetId="6" hidden="1">模型!$G$39</definedName>
    <definedName name="CBCR_a12055c3892a4e2491c176436eef6eae" localSheetId="6" hidden="1">模型!$M$35</definedName>
    <definedName name="CBCR_a70f4f4942f544cfa93cd9762015444d" localSheetId="6" hidden="1">模型!$M$37</definedName>
    <definedName name="CBCR_ae5b6381d42b4d809383a1e2fd7c6c9e" localSheetId="6" hidden="1">模型!$I$30</definedName>
    <definedName name="CBCR_b15f5426b28e4dc98ad776bdaaaf19d9" localSheetId="6" hidden="1">模型!$I$30</definedName>
    <definedName name="CBCR_b1eec34e03e44bb0bedccad6d6144f76" localSheetId="6" hidden="1">模型!$J$33</definedName>
    <definedName name="CBCR_b6193b84dda04d17ab7f39047adfa1e9" localSheetId="6" hidden="1">模型!$N$37</definedName>
    <definedName name="CBCR_b9a5f45cabd043f88a10e93f9df9356b" localSheetId="6" hidden="1">模型!$H$26</definedName>
    <definedName name="CBCR_be188bd7d3dd4093a1ca22e2f5a3fa35" localSheetId="6" hidden="1">模型!$M$36</definedName>
    <definedName name="CBCR_cecbd241096944fdb3c7211135ff21d8" localSheetId="6" hidden="1">模型!$J$40</definedName>
    <definedName name="CBCR_d6d70a1a5ac54250bdf89aebe3bd0003" localSheetId="6" hidden="1">模型!$N$36</definedName>
    <definedName name="CBCR_d7422f91d4824e1aad5e9c1756553551" localSheetId="0" hidden="1">CB_DATA_!$A$10005</definedName>
    <definedName name="CBCR_ddd38ad912884d2cb912de083196abce" localSheetId="6" hidden="1">模型!$G$32</definedName>
    <definedName name="CBCR_ed7fd6d61c76477fa0c2c45386a18300" localSheetId="6" hidden="1">模型!$H$36</definedName>
    <definedName name="CBCR_fa9e1b3a11ec4b4e83b905c20b414890" localSheetId="6" hidden="1">模型!$G$30</definedName>
    <definedName name="CBCR_fab6a4f2556f4b93b493eaddc2c3dc82" localSheetId="6" hidden="1">模型!$K$30</definedName>
    <definedName name="CBWorkbookPriority" localSheetId="0" hidden="1">-971115964</definedName>
    <definedName name="CBx_420f52c2b41f4b27a52acc0b293d1261" localSheetId="0" hidden="1">"'CB_DATA_'!$A$1"</definedName>
    <definedName name="CBx_6f70a6afb6ea4d819f3d65fedc0ff3aa" localSheetId="0" hidden="1">"'模型'!$A$1"</definedName>
    <definedName name="CBx_Sheet_Guid" localSheetId="0" hidden="1">"'420f52c2-b41f-4b27-a52a-cc0b293d1261"</definedName>
    <definedName name="CBx_Sheet_Guid" localSheetId="6" hidden="1">"'6f70a6af-b6ea-4d81-9f3d-65fedc0ff3aa"</definedName>
    <definedName name="CBx_SheetRef" localSheetId="0" hidden="1">CB_DATA_!$A$14</definedName>
    <definedName name="CBx_SheetRef" localSheetId="6" hidden="1">CB_DATA_!$C$14</definedName>
    <definedName name="CBx_StorageType" localSheetId="0" hidden="1">2</definedName>
    <definedName name="CBx_StorageType" localSheetId="6" hidden="1">2</definedName>
    <definedName name="Diskname">目录!$D$27</definedName>
    <definedName name="for_add">项目进度!$H$12:$H$16</definedName>
    <definedName name="for_Creview">过程产出缺陷度量!$A$112:$N$112</definedName>
    <definedName name="for_CRreview">过程产出缺陷度量!$A$9:$N$9</definedName>
    <definedName name="for_Dreview">过程产出缺陷度量!$A$59:$N$59</definedName>
    <definedName name="for_FRreview">过程产出缺陷度量!$A$33:$N$33</definedName>
    <definedName name="for_set_all1">过程产出缺陷度量!$I$9</definedName>
    <definedName name="for_set_all2">过程产出缺陷度量!$I$33</definedName>
    <definedName name="for_set_all3">过程产出缺陷度量!$I$59</definedName>
    <definedName name="for_set_all4">过程产出缺陷度量!$I$86</definedName>
    <definedName name="for_set_all5">过程产出缺陷度量!$I$112</definedName>
    <definedName name="for_set_all6">测试及验收缺陷度量!$I$14</definedName>
    <definedName name="for_set_calculate1">过程产出缺陷度量!$K$9</definedName>
    <definedName name="for_set_calculate2">过程产出缺陷度量!$K$33</definedName>
    <definedName name="for_set_calculate3">过程产出缺陷度量!$K$59</definedName>
    <definedName name="for_set_calculate4">过程产出缺陷度量!$K$86</definedName>
    <definedName name="for_set_calculate5">过程产出缺陷度量!$K$112</definedName>
    <definedName name="for_set_calculate6">测试及验收缺陷度量!$K$14</definedName>
    <definedName name="for_set_PPB">项目进度!$H$14:$H$16</definedName>
    <definedName name="for_set_PPB1">过程产出缺陷度量!$L$9:$N$9</definedName>
    <definedName name="for_set_PPB2">过程产出缺陷度量!$L$33:$N$33</definedName>
    <definedName name="for_set_PPB3">过程产出缺陷度量!$L$59:$N$59</definedName>
    <definedName name="for_set_PPB4">过程产出缺陷度量!$L$86:$N$86</definedName>
    <definedName name="for_set_PPB5">过程产出缺陷度量!$L$112:$N$112</definedName>
    <definedName name="for_set_PPB6">测试及验收缺陷度量!$L$14:$N$14</definedName>
    <definedName name="for_set_review1">过程产出缺陷度量!$A$7</definedName>
    <definedName name="for_set_review2">过程产出缺陷度量!$A$30</definedName>
    <definedName name="for_set_review3">过程产出缺陷度量!$A$56</definedName>
    <definedName name="for_set_review4">过程产出缺陷度量!$A$83</definedName>
    <definedName name="for_set_review5">过程产出缺陷度量!$A$108</definedName>
    <definedName name="for_set_test">测试及验收缺陷度量!$A$10</definedName>
    <definedName name="for_set_week">项目进度!$C$12</definedName>
    <definedName name="for_TCreview">过程产出缺陷度量!$A$86:$N$86</definedName>
    <definedName name="for_Test">测试及验收缺陷度量!$A$14:$N$14</definedName>
    <definedName name="PDeviation">项目进度!$B$13</definedName>
    <definedName name="Username">目录!$D$28</definedName>
    <definedName name="VCreview">过程产出缺陷度量!$A$112</definedName>
    <definedName name="VCRreview">过程产出缺陷度量!$A$9</definedName>
    <definedName name="VDeviation">项目进度!$H$13</definedName>
    <definedName name="VDreview">过程产出缺陷度量!$A$59</definedName>
    <definedName name="VFRreview">过程产出缺陷度量!$A$33</definedName>
    <definedName name="VSTS_ValidationRange_086a3911343f4d11bfc43cd363c2fc9e" hidden="1">#REF!</definedName>
    <definedName name="VSTS_ValidationRange_098b94c3d2e74b35b85d01a626dc8c6e" hidden="1">#REF!</definedName>
    <definedName name="VSTS_ValidationRange_0cbf0e5b39904da9b68e49269fe6f425" hidden="1">#REF!</definedName>
    <definedName name="VSTS_ValidationRange_2863dc41439048b38dee8105498bdff1" hidden="1">[1]VSTS_ValidationWS_1!$AQ$1:$AQ$2</definedName>
    <definedName name="VSTS_ValidationRange_35e0d0b1eb8145d9a81109072e9d023d" hidden="1">[1]VSTS_ValidationWS_1!$AS$1:$AS$9</definedName>
    <definedName name="VSTS_ValidationRange_391ec9b86867494a9a40de5de5639e05" hidden="1">#REF!</definedName>
    <definedName name="VSTS_ValidationRange_433a8d280ebf46d28ead6c40cb24c52e" hidden="1">#REF!</definedName>
    <definedName name="VSTS_ValidationRange_55808223dcb44866a7f4179f9b2e728f" hidden="1">[1]VSTS_ValidationWS_1!$AT$1:$AT$5</definedName>
    <definedName name="VSTS_ValidationRange_5df4c2ac11c04a8e83728bf4c0726d5d" hidden="1">#REF!</definedName>
    <definedName name="VSTS_ValidationRange_7320edc423744db39b171d7071c5de10" hidden="1">#REF!</definedName>
    <definedName name="VSTS_ValidationRange_874d7a6af0f849d78452c31766d4412c" hidden="1">[1]VSTS_ValidationWS_1!$AU$1:$AU$3</definedName>
    <definedName name="VSTS_ValidationRange_89011b7dc6824fb9bff49aa72c313cde" hidden="1">[1]VSTS_ValidationWS_1!$AR$1:$AR$5</definedName>
    <definedName name="VSTS_ValidationRange_911954e328dd4e9abce7fe2d54dce78d" hidden="1">#REF!</definedName>
    <definedName name="VSTS_ValidationRange_cdd85ef5a4a94d81ba269647e04260a9" hidden="1">#REF!</definedName>
    <definedName name="VSTS_ValidationRange_e972ab3460c64c6aadbc82fe13490467" hidden="1">#REF!</definedName>
    <definedName name="VTCreview">过程产出缺陷度量!$A$86</definedName>
    <definedName name="VTest">测试及验收缺陷度量!$A$14</definedName>
    <definedName name="Vweek">项目进度!$H$12</definedName>
    <definedName name="W" hidden="1">#REF!</definedName>
    <definedName name="测试加权缺陷密度的均值于画图">OFFSET(测试及验收缺陷度量!$M$10,,,COUNTA(测试及验收缺陷度量!$M$10:$M$14)-1)</definedName>
    <definedName name="测试加权缺陷密度的上限于画图">OFFSET(测试及验收缺陷度量!$N$10,,,COUNTA(测试及验收缺陷度量!$N$10:$N$14)-1)</definedName>
    <definedName name="测试加权缺陷密度的下限于画图">OFFSET(测试及验收缺陷度量!$L$10,,,COUNTA(测试及验收缺陷度量!$L$10:$L$14)-1)</definedName>
    <definedName name="测试加权缺陷密度于画图">OFFSET(测试及验收缺陷度量!$K$10,,,COUNTA(测试及验收缺陷度量!$K$10:$K$14)-1)</definedName>
    <definedName name="测试轮次于画图">OFFSET(测试及验收缺陷度量!$A$10,,,COUNTA(测试及验收缺陷度量!$A$10:$A$14)-1)</definedName>
    <definedName name="测试用例评审次数于画图">OFFSET(过程产出缺陷度量!$A$83,,,COUNTA(过程产出缺陷度量!$A$83:$A$86)-1)</definedName>
    <definedName name="测试用例评审缺陷密度的均值于画图">OFFSET(过程产出缺陷度量!$M$83,,,COUNTA(过程产出缺陷度量!$M$83:$M$86)-1)</definedName>
    <definedName name="测试用例评审缺陷密度的上限于画图">OFFSET(过程产出缺陷度量!$N$83,,,COUNTA(过程产出缺陷度量!$N$83:$N$86)-1)</definedName>
    <definedName name="测试用例评审缺陷密度的下限于画图">OFFSET(过程产出缺陷度量!$L$83,,,COUNTA(过程产出缺陷度量!$L$83:$L$86)-1)</definedName>
    <definedName name="测试用例评审缺陷密度于画图">OFFSET(过程产出缺陷度量!$K$83,,,COUNTA(过程产出缺陷度量!$K$83:$K$86)-1)</definedName>
    <definedName name="代码走查次数于画图">OFFSET(过程产出缺陷度量!$A$108,,,COUNTA(过程产出缺陷度量!$A$108:$A$112)-1)</definedName>
    <definedName name="代码走查缺陷密度的均值于画图">OFFSET(过程产出缺陷度量!$M$108,,,COUNTA(过程产出缺陷度量!$M$108:$M$112)-1)</definedName>
    <definedName name="代码走查缺陷密度的上限于画图">OFFSET(过程产出缺陷度量!$N$108,,,COUNTA(过程产出缺陷度量!$N$108:$N$112)-1)</definedName>
    <definedName name="代码走查缺陷密度的下限于画图">OFFSET(过程产出缺陷度量!$L$108,,,COUNTA(过程产出缺陷度量!$L$108:$L$112)-1)</definedName>
    <definedName name="代码走查缺陷密度于画图">OFFSET(过程产出缺陷度量!$K$108,,,COUNTA(过程产出缺陷度量!$K$108:$K$112)-1)</definedName>
    <definedName name="进度偏差的均值于画图">OFFSET(项目进度!$C$15,,,,COUNTA(项目进度!$C$15:$H$15)-1)</definedName>
    <definedName name="进度偏差的上限于画图">OFFSET(项目进度!$C$16,,,,COUNTA(项目进度!$C$16:$H$16)-1)</definedName>
    <definedName name="进度偏差的下限于画图">OFFSET(项目进度!$C$14,,,,COUNTA(项目进度!$C$14:$H$14)-1)</definedName>
    <definedName name="客户需求评审次数">OFFSET(过程产出缺陷度量!$A$7,,,COUNTA(过程产出缺陷度量!$A$7:$A$9)-1)</definedName>
    <definedName name="客户需求评审缺陷密度">OFFSET(过程产出缺陷度量!$K$7,,,COUNTA(过程产出缺陷度量!$K$7:$K$9)-1)</definedName>
    <definedName name="客户需求评审缺陷密度的均值">OFFSET(过程产出缺陷度量!$M$7,,,COUNTA(过程产出缺陷度量!$M$7:$M$9)-1)</definedName>
    <definedName name="客户需求评审缺陷密度的上限">OFFSET(过程产出缺陷度量!$N$7,,,COUNTA(过程产出缺陷度量!$N$7:$N$9)-1)</definedName>
    <definedName name="客户需求评审缺陷密度的下限">OFFSET(过程产出缺陷度量!$L$7,,,COUNTA(过程产出缺陷度量!$L$7:$L$9)-1)</definedName>
    <definedName name="人员">OFFSET(人员统计!$A$7,,,COUNTA(人员统计!$A$7:$A$21)+COUNTBLANK(人员统计!$A$7:$A$21))</definedName>
    <definedName name="设计评审次数于画图">OFFSET(过程产出缺陷度量!$A$56,,,COUNTA(过程产出缺陷度量!$A$56:$A$59)-1)</definedName>
    <definedName name="设计评审缺陷密度的均值于画图">OFFSET(过程产出缺陷度量!$M$56,,,COUNTA(过程产出缺陷度量!$M$56:$M$59)-1)</definedName>
    <definedName name="设计评审缺陷密度的上限于画图">OFFSET(过程产出缺陷度量!$N$56,,,COUNTA(过程产出缺陷度量!$N$56:$N$59)-1)</definedName>
    <definedName name="设计评审缺陷密度的下限于画图">OFFSET(过程产出缺陷度量!$L$56,,,COUNTA(过程产出缺陷度量!$L$56:$L$59)-1)</definedName>
    <definedName name="设计评审缺陷密度于画图">OFFSET(过程产出缺陷度量!$K$56,,,COUNTA(过程产出缺陷度量!$K$56:$K$59)-1)</definedName>
    <definedName name="需求规格评审次数于画图">OFFSET(过程产出缺陷度量!$A$30,,,COUNTA(过程产出缺陷度量!$A$30:$A$33)-1)</definedName>
    <definedName name="需求规格评审缺陷密度的均值于画图">OFFSET(过程产出缺陷度量!$M$30,,,COUNTA(过程产出缺陷度量!$M$30:$M$33)-1)</definedName>
    <definedName name="需求规格评审缺陷密度的上限于画图">OFFSET(过程产出缺陷度量!$N$30,,,COUNTA(过程产出缺陷度量!$N$30:$N$33)-1)</definedName>
    <definedName name="需求规格评审缺陷密度的下限于画图">OFFSET(过程产出缺陷度量!$L$30,,,COUNTA(过程产出缺陷度量!$L$30:$L$33)-1)</definedName>
    <definedName name="需求规格评审缺陷密度于画图">OFFSET(过程产出缺陷度量!$K$30,,,COUNTA(过程产出缺陷度量!$K$30:$K$33)-1)</definedName>
    <definedName name="周次">OFFSET(人员统计!#REF!,,,,COUNTA(人员统计!$J$7:$J$7))</definedName>
    <definedName name="周次于画图">OFFSET(项目进度!$C$12,,,,COUNTA(项目进度!$C$12:$H$12)-1)</definedName>
    <definedName name="周进度偏差于画图">OFFSET(项目进度!$C$13,,,,COUNTA(项目进度!$C$13:$H$13)-1)</definedName>
    <definedName name="最后一周">OFFSET(人员统计!$J$7,,,COUNTA(人员统计!$Q$7:$Q$21)+COUNTBLANK(人员统计!$Q$7:$Q$21))</definedName>
  </definedNames>
  <calcPr calcId="145621"/>
</workbook>
</file>

<file path=xl/calcChain.xml><?xml version="1.0" encoding="utf-8"?>
<calcChain xmlns="http://schemas.openxmlformats.org/spreadsheetml/2006/main">
  <c r="H25" i="18" l="1"/>
  <c r="G25" i="18"/>
  <c r="F25" i="18"/>
  <c r="E25" i="18"/>
  <c r="D25" i="18"/>
  <c r="C25" i="18"/>
  <c r="H24" i="18"/>
  <c r="G24" i="18"/>
  <c r="F24" i="18"/>
  <c r="E24" i="18"/>
  <c r="D24" i="18"/>
  <c r="C24" i="18"/>
  <c r="I21" i="18"/>
  <c r="H21" i="18"/>
  <c r="G21" i="18"/>
  <c r="F21" i="18"/>
  <c r="E21" i="18"/>
  <c r="D21" i="18"/>
  <c r="C21" i="18"/>
  <c r="I20" i="18"/>
  <c r="H20" i="18"/>
  <c r="G20" i="18"/>
  <c r="F20" i="18"/>
  <c r="E20" i="18"/>
  <c r="D20" i="18"/>
  <c r="C20" i="18"/>
  <c r="G17" i="18"/>
  <c r="E17" i="18"/>
  <c r="D17" i="18"/>
  <c r="C17" i="18"/>
  <c r="G16" i="18"/>
  <c r="E16" i="18"/>
  <c r="D16" i="18"/>
  <c r="C16" i="18"/>
  <c r="G15" i="18"/>
  <c r="E15" i="18"/>
  <c r="D15" i="18"/>
  <c r="C15" i="18"/>
  <c r="E12" i="18"/>
  <c r="D12" i="18"/>
  <c r="C12" i="18"/>
  <c r="E11" i="18"/>
  <c r="D11" i="18"/>
  <c r="C11" i="18"/>
  <c r="E10" i="18"/>
  <c r="D10" i="18"/>
  <c r="C10" i="18"/>
  <c r="E7" i="18"/>
  <c r="C7" i="18"/>
  <c r="E6" i="18"/>
  <c r="C6" i="18"/>
  <c r="H82" i="17"/>
  <c r="G8" i="17"/>
  <c r="G7" i="17"/>
  <c r="I65" i="16"/>
  <c r="I64" i="16"/>
  <c r="I63" i="16"/>
  <c r="I62" i="16"/>
  <c r="I61" i="16"/>
  <c r="F53" i="16"/>
  <c r="E53" i="16"/>
  <c r="D53" i="16"/>
  <c r="C53" i="16"/>
  <c r="B53" i="16"/>
  <c r="G53" i="16" s="1"/>
  <c r="H52" i="16"/>
  <c r="G52" i="16"/>
  <c r="J51" i="16"/>
  <c r="H51" i="16"/>
  <c r="K43" i="16" s="1"/>
  <c r="G51" i="16"/>
  <c r="J50" i="16"/>
  <c r="H50" i="16"/>
  <c r="G50" i="16"/>
  <c r="J49" i="16"/>
  <c r="H49" i="16"/>
  <c r="K41" i="16" s="1"/>
  <c r="G49" i="16"/>
  <c r="J48" i="16"/>
  <c r="H48" i="16"/>
  <c r="G48" i="16"/>
  <c r="J47" i="16"/>
  <c r="K44" i="16"/>
  <c r="K42" i="16"/>
  <c r="K40" i="16"/>
  <c r="D40" i="16"/>
  <c r="D39" i="16"/>
  <c r="D38" i="16"/>
  <c r="D37" i="16"/>
  <c r="D36" i="16"/>
  <c r="J29" i="16"/>
  <c r="I29" i="16"/>
  <c r="H29" i="16"/>
  <c r="G29" i="16"/>
  <c r="F29" i="16"/>
  <c r="E29" i="16"/>
  <c r="D29" i="16"/>
  <c r="C29" i="16"/>
  <c r="B29" i="16"/>
  <c r="E21" i="16"/>
  <c r="E20" i="16"/>
  <c r="E19" i="16"/>
  <c r="E18" i="16"/>
  <c r="E17" i="16"/>
  <c r="E16" i="16"/>
  <c r="E15" i="16"/>
  <c r="E14" i="16"/>
  <c r="E13" i="16"/>
  <c r="E12" i="16"/>
  <c r="E11" i="16"/>
  <c r="E10" i="16"/>
  <c r="E9" i="16"/>
  <c r="E8" i="16"/>
  <c r="A29" i="16" s="1"/>
  <c r="J7" i="16"/>
  <c r="I7" i="16"/>
  <c r="H7" i="16"/>
  <c r="G6" i="16"/>
  <c r="D6" i="16"/>
  <c r="Q5" i="16"/>
  <c r="P5" i="16"/>
  <c r="O5" i="16"/>
  <c r="N5" i="16"/>
  <c r="M5" i="16"/>
  <c r="L5" i="16"/>
  <c r="K5" i="16"/>
  <c r="J5" i="16"/>
  <c r="E37" i="15"/>
  <c r="E34" i="15"/>
  <c r="N16" i="15"/>
  <c r="M16" i="15"/>
  <c r="L16" i="15"/>
  <c r="I16" i="15"/>
  <c r="N15" i="15"/>
  <c r="M15" i="15"/>
  <c r="L15" i="15"/>
  <c r="H15" i="15"/>
  <c r="F15" i="15"/>
  <c r="B15" i="15"/>
  <c r="M14" i="15"/>
  <c r="K14" i="15"/>
  <c r="F14" i="15"/>
  <c r="E14" i="15"/>
  <c r="E15" i="15" s="1"/>
  <c r="D14" i="15"/>
  <c r="D15" i="15" s="1"/>
  <c r="C14" i="15"/>
  <c r="C15" i="15" s="1"/>
  <c r="B14" i="15"/>
  <c r="I14" i="15" s="1"/>
  <c r="M13" i="15"/>
  <c r="K13" i="15"/>
  <c r="I13" i="15"/>
  <c r="G13" i="15"/>
  <c r="A13" i="15"/>
  <c r="N12" i="15"/>
  <c r="M12" i="15"/>
  <c r="L12" i="15"/>
  <c r="I12" i="15"/>
  <c r="A12" i="15"/>
  <c r="M11" i="15"/>
  <c r="K11" i="15"/>
  <c r="I11" i="15"/>
  <c r="G11" i="15"/>
  <c r="A11" i="15"/>
  <c r="N10" i="15"/>
  <c r="M10" i="15"/>
  <c r="L10" i="15"/>
  <c r="I10" i="15"/>
  <c r="A10" i="15"/>
  <c r="J113" i="14"/>
  <c r="H113" i="14"/>
  <c r="G113" i="14"/>
  <c r="F113" i="14"/>
  <c r="E113" i="14"/>
  <c r="D113" i="14"/>
  <c r="C113" i="14"/>
  <c r="B113" i="14"/>
  <c r="I112" i="14"/>
  <c r="K112" i="14" s="1"/>
  <c r="I111" i="14"/>
  <c r="K111" i="14" s="1"/>
  <c r="A111" i="14"/>
  <c r="K110" i="14"/>
  <c r="I110" i="14"/>
  <c r="A110" i="14"/>
  <c r="I109" i="14"/>
  <c r="K109" i="14" s="1"/>
  <c r="A109" i="14"/>
  <c r="K108" i="14"/>
  <c r="I108" i="14"/>
  <c r="A108" i="14"/>
  <c r="J87" i="14"/>
  <c r="H87" i="14"/>
  <c r="G87" i="14"/>
  <c r="F87" i="14"/>
  <c r="E87" i="14"/>
  <c r="D87" i="14"/>
  <c r="C87" i="14"/>
  <c r="B87" i="14"/>
  <c r="I86" i="14"/>
  <c r="K86" i="14" s="1"/>
  <c r="I85" i="14"/>
  <c r="K85" i="14" s="1"/>
  <c r="A85" i="14"/>
  <c r="K84" i="14"/>
  <c r="I84" i="14"/>
  <c r="A84" i="14"/>
  <c r="I83" i="14"/>
  <c r="A83" i="14"/>
  <c r="J60" i="14"/>
  <c r="H60" i="14"/>
  <c r="G60" i="14"/>
  <c r="F60" i="14"/>
  <c r="E60" i="14"/>
  <c r="D60" i="14"/>
  <c r="C60" i="14"/>
  <c r="B60" i="14"/>
  <c r="K59" i="14"/>
  <c r="I59" i="14"/>
  <c r="K58" i="14"/>
  <c r="I58" i="14"/>
  <c r="A58" i="14"/>
  <c r="I57" i="14"/>
  <c r="K57" i="14" s="1"/>
  <c r="A57" i="14"/>
  <c r="K56" i="14"/>
  <c r="I56" i="14"/>
  <c r="A56" i="14"/>
  <c r="J34" i="14"/>
  <c r="H34" i="14"/>
  <c r="G34" i="14"/>
  <c r="F34" i="14"/>
  <c r="E34" i="14"/>
  <c r="D34" i="14"/>
  <c r="C34" i="14"/>
  <c r="B34" i="14"/>
  <c r="I33" i="14"/>
  <c r="K33" i="14" s="1"/>
  <c r="I32" i="14"/>
  <c r="K32" i="14" s="1"/>
  <c r="A32" i="14"/>
  <c r="K31" i="14"/>
  <c r="I31" i="14"/>
  <c r="A31" i="14"/>
  <c r="I30" i="14"/>
  <c r="A30" i="14"/>
  <c r="J10" i="14"/>
  <c r="H10" i="14"/>
  <c r="G10" i="14"/>
  <c r="F10" i="14"/>
  <c r="E10" i="14"/>
  <c r="D10" i="14"/>
  <c r="C10" i="14"/>
  <c r="B10" i="14"/>
  <c r="K9" i="14"/>
  <c r="I9" i="14"/>
  <c r="K8" i="14"/>
  <c r="I8" i="14"/>
  <c r="A8" i="14"/>
  <c r="I7" i="14"/>
  <c r="K7" i="14" s="1"/>
  <c r="A7" i="14"/>
  <c r="F44" i="13"/>
  <c r="J43" i="13" s="1"/>
  <c r="J42" i="13"/>
  <c r="F42" i="13"/>
  <c r="C42" i="13"/>
  <c r="J41" i="13" s="1"/>
  <c r="B35" i="13"/>
  <c r="G12" i="13"/>
  <c r="F12" i="13"/>
  <c r="E12" i="13"/>
  <c r="D12" i="13"/>
  <c r="C12" i="13"/>
  <c r="J10" i="13"/>
  <c r="I4" i="13" s="1"/>
  <c r="H10" i="13"/>
  <c r="I10" i="13" s="1"/>
  <c r="I9" i="13"/>
  <c r="H9" i="13"/>
  <c r="J9" i="13" s="1"/>
  <c r="J8" i="13"/>
  <c r="H8" i="13"/>
  <c r="I8" i="13" s="1"/>
  <c r="I7" i="13"/>
  <c r="H7" i="13"/>
  <c r="J7" i="13" s="1"/>
  <c r="J6" i="13"/>
  <c r="H6" i="13"/>
  <c r="I6" i="13" s="1"/>
  <c r="H4" i="13"/>
  <c r="C11" i="12"/>
  <c r="C10" i="12"/>
  <c r="C9" i="12"/>
  <c r="G14" i="11" s="1"/>
  <c r="C8" i="12"/>
  <c r="C7" i="12"/>
  <c r="C14" i="11" s="1"/>
  <c r="E18" i="11"/>
  <c r="I14" i="11"/>
  <c r="E14" i="11"/>
  <c r="M13" i="11"/>
  <c r="L13" i="11"/>
  <c r="J13" i="11"/>
  <c r="C64" i="16" s="1"/>
  <c r="H13" i="11"/>
  <c r="F13" i="11"/>
  <c r="C62" i="16" s="1"/>
  <c r="D13" i="11"/>
  <c r="O12" i="11"/>
  <c r="N12" i="11"/>
  <c r="K12" i="11"/>
  <c r="I12" i="11"/>
  <c r="G12" i="11"/>
  <c r="E12" i="11"/>
  <c r="C12" i="11"/>
  <c r="O11" i="11"/>
  <c r="N11" i="11"/>
  <c r="K11" i="11"/>
  <c r="I11" i="11"/>
  <c r="G11" i="11"/>
  <c r="E11" i="11"/>
  <c r="C11" i="11"/>
  <c r="O10" i="11"/>
  <c r="N10" i="11"/>
  <c r="K10" i="11"/>
  <c r="I10" i="11"/>
  <c r="G10" i="11"/>
  <c r="E10" i="11"/>
  <c r="C10" i="11"/>
  <c r="O9" i="11"/>
  <c r="N9" i="11"/>
  <c r="K9" i="11"/>
  <c r="I9" i="11"/>
  <c r="G9" i="11"/>
  <c r="E9" i="11"/>
  <c r="C9" i="11"/>
  <c r="O8" i="11"/>
  <c r="N8" i="11"/>
  <c r="K8" i="11"/>
  <c r="K13" i="11" s="1"/>
  <c r="I8" i="11"/>
  <c r="I13" i="11" s="1"/>
  <c r="H24" i="11" s="1"/>
  <c r="G8" i="11"/>
  <c r="G13" i="11" s="1"/>
  <c r="B63" i="16" s="1"/>
  <c r="E8" i="11"/>
  <c r="E13" i="11" s="1"/>
  <c r="C8" i="11"/>
  <c r="C13" i="11" s="1"/>
  <c r="I27" i="10"/>
  <c r="H27" i="10"/>
  <c r="F27" i="10"/>
  <c r="E27" i="10"/>
  <c r="D27" i="10"/>
  <c r="C27" i="10"/>
  <c r="N26" i="10"/>
  <c r="G26" i="10"/>
  <c r="N25" i="10"/>
  <c r="G25" i="10"/>
  <c r="N24" i="10"/>
  <c r="G24" i="10"/>
  <c r="N23" i="10"/>
  <c r="G23" i="10"/>
  <c r="C23" i="10"/>
  <c r="C24" i="10" s="1"/>
  <c r="C25" i="10" s="1"/>
  <c r="N22" i="10"/>
  <c r="G22" i="10"/>
  <c r="J22" i="10" s="1"/>
  <c r="O22" i="10" s="1"/>
  <c r="I15" i="10"/>
  <c r="H15" i="10"/>
  <c r="F15" i="10"/>
  <c r="E15" i="10"/>
  <c r="D15" i="10"/>
  <c r="C15" i="10"/>
  <c r="N14" i="10"/>
  <c r="G14" i="10"/>
  <c r="N13" i="10"/>
  <c r="G13" i="10"/>
  <c r="J13" i="10" s="1"/>
  <c r="O13" i="10" s="1"/>
  <c r="N12" i="10"/>
  <c r="G12" i="10"/>
  <c r="C12" i="10"/>
  <c r="C13" i="10" s="1"/>
  <c r="C14" i="10" s="1"/>
  <c r="J14" i="10" s="1"/>
  <c r="O14" i="10" s="1"/>
  <c r="N11" i="10"/>
  <c r="G11" i="10"/>
  <c r="J11" i="10" s="1"/>
  <c r="O11" i="10" s="1"/>
  <c r="C11" i="10"/>
  <c r="N10" i="10"/>
  <c r="J10" i="10"/>
  <c r="O10" i="10" s="1"/>
  <c r="G10" i="10"/>
  <c r="G15" i="10" s="1"/>
  <c r="J15" i="10" s="1"/>
  <c r="O15" i="10" s="1"/>
  <c r="G20" i="9"/>
  <c r="F20" i="9"/>
  <c r="G19" i="9"/>
  <c r="F19" i="9"/>
  <c r="G18" i="9"/>
  <c r="F18" i="9"/>
  <c r="H13" i="9"/>
  <c r="G13" i="9"/>
  <c r="H12" i="9"/>
  <c r="G12" i="9"/>
  <c r="L11" i="9"/>
  <c r="K11" i="9"/>
  <c r="J11" i="9"/>
  <c r="G11" i="9"/>
  <c r="H11" i="9" s="1"/>
  <c r="H6" i="9"/>
  <c r="H5" i="9"/>
  <c r="G4" i="9"/>
  <c r="H4" i="9" s="1"/>
  <c r="AD28" i="7"/>
  <c r="AB28" i="7"/>
  <c r="AK22" i="7" s="1"/>
  <c r="Z28" i="7"/>
  <c r="V28" i="7"/>
  <c r="T28" i="7"/>
  <c r="AD27" i="7"/>
  <c r="AB27" i="7"/>
  <c r="Z27" i="7"/>
  <c r="AI22" i="7" s="1"/>
  <c r="X27" i="7"/>
  <c r="V27" i="7"/>
  <c r="T27" i="7"/>
  <c r="AB26" i="7"/>
  <c r="Z26" i="7"/>
  <c r="X26" i="7"/>
  <c r="V26" i="7"/>
  <c r="T26" i="7"/>
  <c r="V25" i="7"/>
  <c r="T25" i="7"/>
  <c r="X24" i="7"/>
  <c r="T24" i="7"/>
  <c r="AG22" i="7" s="1"/>
  <c r="AJ22" i="7"/>
  <c r="AH22" i="7"/>
  <c r="F73" i="6"/>
  <c r="A10005" i="1"/>
  <c r="A10004" i="1"/>
  <c r="A10003" i="1"/>
  <c r="A10002" i="1"/>
  <c r="A10001" i="1"/>
  <c r="C11" i="1"/>
  <c r="A11" i="1"/>
  <c r="P2" i="1"/>
  <c r="C26" i="10" l="1"/>
  <c r="J26" i="10" s="1"/>
  <c r="O26" i="10" s="1"/>
  <c r="J25" i="10"/>
  <c r="O25" i="10" s="1"/>
  <c r="J24" i="10"/>
  <c r="O24" i="10" s="1"/>
  <c r="E24" i="11"/>
  <c r="B61" i="16"/>
  <c r="I24" i="11"/>
  <c r="J12" i="10"/>
  <c r="O12" i="10" s="1"/>
  <c r="J23" i="10"/>
  <c r="O23" i="10" s="1"/>
  <c r="G27" i="10"/>
  <c r="J27" i="10" s="1"/>
  <c r="I15" i="11"/>
  <c r="E16" i="11"/>
  <c r="I17" i="11"/>
  <c r="P26" i="11" s="1"/>
  <c r="G24" i="11"/>
  <c r="F25" i="11"/>
  <c r="B19" i="12"/>
  <c r="D5" i="12"/>
  <c r="K14" i="11"/>
  <c r="M14" i="11" s="1"/>
  <c r="K10" i="15"/>
  <c r="G10" i="15"/>
  <c r="K12" i="15"/>
  <c r="G12" i="15"/>
  <c r="I15" i="15"/>
  <c r="J15" i="15"/>
  <c r="K16" i="15"/>
  <c r="B65" i="16"/>
  <c r="F24" i="11"/>
  <c r="K18" i="11"/>
  <c r="G18" i="11"/>
  <c r="C18" i="11"/>
  <c r="C61" i="16"/>
  <c r="E25" i="11"/>
  <c r="K17" i="11"/>
  <c r="G17" i="11"/>
  <c r="P25" i="11" s="1"/>
  <c r="C17" i="11"/>
  <c r="P22" i="11" s="1"/>
  <c r="C16" i="11"/>
  <c r="C15" i="11"/>
  <c r="C63" i="16"/>
  <c r="D63" i="16" s="1"/>
  <c r="K56" i="16" s="1"/>
  <c r="G25" i="11"/>
  <c r="G16" i="11"/>
  <c r="G15" i="11"/>
  <c r="C65" i="16"/>
  <c r="D65" i="16" s="1"/>
  <c r="K58" i="16" s="1"/>
  <c r="I25" i="11"/>
  <c r="K16" i="11"/>
  <c r="K15" i="11"/>
  <c r="N13" i="11"/>
  <c r="E15" i="11"/>
  <c r="I16" i="11"/>
  <c r="E17" i="11"/>
  <c r="P23" i="11" s="1"/>
  <c r="I18" i="11"/>
  <c r="H25" i="11"/>
  <c r="I10" i="14"/>
  <c r="K10" i="14" s="1"/>
  <c r="I34" i="14"/>
  <c r="K34" i="14" s="1"/>
  <c r="K30" i="14"/>
  <c r="I60" i="14"/>
  <c r="K60" i="14" s="1"/>
  <c r="I87" i="14"/>
  <c r="K87" i="14" s="1"/>
  <c r="K83" i="14"/>
  <c r="I113" i="14"/>
  <c r="K113" i="14" s="1"/>
  <c r="L14" i="15"/>
  <c r="L13" i="15"/>
  <c r="L11" i="15"/>
  <c r="N14" i="15"/>
  <c r="N13" i="15"/>
  <c r="N11" i="15"/>
  <c r="J16" i="15"/>
  <c r="H53" i="16"/>
  <c r="B62" i="16"/>
  <c r="D62" i="16" s="1"/>
  <c r="K55" i="16" s="1"/>
  <c r="B64" i="16"/>
  <c r="D64" i="16" s="1"/>
  <c r="K57" i="16" s="1"/>
  <c r="C19" i="12" l="1"/>
  <c r="D19" i="12" s="1"/>
  <c r="M15" i="11"/>
  <c r="M16" i="11"/>
  <c r="P8" i="11"/>
  <c r="K17" i="15"/>
  <c r="K15" i="15"/>
  <c r="P11" i="11"/>
  <c r="P10" i="11"/>
  <c r="P27" i="11"/>
  <c r="M17" i="11"/>
  <c r="C66" i="16"/>
  <c r="D66" i="16" s="1"/>
  <c r="D61" i="16"/>
  <c r="K54" i="16" s="1"/>
  <c r="G15" i="15"/>
  <c r="P9" i="11"/>
  <c r="B66" i="16"/>
  <c r="P12" i="11"/>
</calcChain>
</file>

<file path=xl/comments1.xml><?xml version="1.0" encoding="utf-8"?>
<comments xmlns="http://schemas.openxmlformats.org/spreadsheetml/2006/main">
  <authors>
    <author>作者</author>
  </authors>
  <commentList>
    <comment ref="A9" authorId="0">
      <text>
        <r>
          <rPr>
            <b/>
            <sz val="9"/>
            <rFont val="宋体"/>
            <family val="3"/>
            <charset val="134"/>
          </rPr>
          <t>注：每种软件类型都有它自已的劳动率，具有不同的开发成本。</t>
        </r>
        <r>
          <rPr>
            <sz val="9"/>
            <rFont val="宋体"/>
            <family val="3"/>
            <charset val="134"/>
          </rPr>
          <t xml:space="preserve">
</t>
        </r>
      </text>
    </comment>
    <comment ref="A14" authorId="0">
      <text>
        <r>
          <rPr>
            <b/>
            <sz val="9"/>
            <rFont val="宋体"/>
            <family val="3"/>
            <charset val="134"/>
          </rPr>
          <t>立项申请表中获取，包括所有参与项目的总成员数，不包括CCB组长和CCB成员数</t>
        </r>
      </text>
    </comment>
  </commentList>
</comments>
</file>

<file path=xl/comments2.xml><?xml version="1.0" encoding="utf-8"?>
<comments xmlns="http://schemas.openxmlformats.org/spreadsheetml/2006/main">
  <authors>
    <author>作者</author>
    <author>gta</author>
  </authors>
  <commentList>
    <comment ref="D3" authorId="0">
      <text>
        <r>
          <rPr>
            <b/>
            <sz val="9"/>
            <rFont val="宋体"/>
            <family val="3"/>
            <charset val="134"/>
          </rPr>
          <t>EPG:</t>
        </r>
        <r>
          <rPr>
            <sz val="9"/>
            <rFont val="宋体"/>
            <family val="3"/>
            <charset val="134"/>
          </rPr>
          <t xml:space="preserve">
</t>
        </r>
        <r>
          <rPr>
            <sz val="9"/>
            <rFont val="宋体"/>
            <family val="3"/>
            <charset val="134"/>
          </rPr>
          <t>最晚交付时间=计划工期+最大偏差天数</t>
        </r>
      </text>
    </comment>
    <comment ref="D4" authorId="0">
      <text>
        <r>
          <rPr>
            <b/>
            <sz val="9"/>
            <rFont val="宋体"/>
            <family val="3"/>
            <charset val="134"/>
          </rPr>
          <t>EPG:</t>
        </r>
        <r>
          <rPr>
            <sz val="9"/>
            <rFont val="宋体"/>
            <family val="3"/>
            <charset val="134"/>
          </rPr>
          <t xml:space="preserve">
</t>
        </r>
        <r>
          <rPr>
            <sz val="9"/>
            <rFont val="宋体"/>
            <family val="3"/>
            <charset val="134"/>
          </rPr>
          <t>的估算结果。即估算表中项目预计开始日期到项目预计结束日期的工作日数。</t>
        </r>
      </text>
    </comment>
    <comment ref="D5" authorId="0">
      <text>
        <r>
          <rPr>
            <b/>
            <sz val="9"/>
            <rFont val="宋体"/>
            <family val="3"/>
            <charset val="134"/>
          </rPr>
          <t>EPG:</t>
        </r>
        <r>
          <rPr>
            <sz val="9"/>
            <rFont val="宋体"/>
            <family val="3"/>
            <charset val="134"/>
          </rPr>
          <t xml:space="preserve">
</t>
        </r>
        <r>
          <rPr>
            <sz val="9"/>
            <rFont val="宋体"/>
            <family val="3"/>
            <charset val="134"/>
          </rPr>
          <t xml:space="preserve">1.在进度偏差的优先级不是最高的前提下，参照进度偏差率在组织级QPPO中的均值到上限之间进行选取设定（偏差天数=计划天数*所选定的进度偏差率）
</t>
        </r>
        <r>
          <rPr>
            <sz val="9"/>
            <rFont val="宋体"/>
            <family val="3"/>
            <charset val="134"/>
          </rPr>
          <t>2.如果进度偏差优先级高，客户有交付日期要求，则根据估算结果（预计结束日期）和要求的交付日期的偏差确定</t>
        </r>
      </text>
    </comment>
    <comment ref="D6" authorId="1">
      <text>
        <r>
          <rPr>
            <b/>
            <sz val="9"/>
            <rFont val="宋体"/>
            <family val="3"/>
            <charset val="134"/>
          </rPr>
          <t>gta:</t>
        </r>
        <r>
          <rPr>
            <sz val="9"/>
            <rFont val="宋体"/>
            <family val="3"/>
            <charset val="134"/>
          </rPr>
          <t xml:space="preserve">
</t>
        </r>
        <r>
          <rPr>
            <sz val="9"/>
            <rFont val="宋体"/>
            <family val="3"/>
            <charset val="134"/>
          </rPr>
          <t xml:space="preserve">1. 在进度偏差的优先级不是最高的前提下，参照进度偏差率在组织级QPPO中的均值到上限之间进行选取设定
</t>
        </r>
        <r>
          <rPr>
            <sz val="9"/>
            <rFont val="宋体"/>
            <family val="3"/>
            <charset val="134"/>
          </rPr>
          <t>2.如果进度偏差优先级高，根据客户要求确定的进度偏差天数，则进度偏差率=进度偏差天数/计划工期。</t>
        </r>
      </text>
    </comment>
    <comment ref="D7" authorId="1">
      <text>
        <r>
          <rPr>
            <b/>
            <sz val="9"/>
            <rFont val="宋体"/>
            <family val="3"/>
            <charset val="134"/>
          </rPr>
          <t>gta:</t>
        </r>
        <r>
          <rPr>
            <sz val="9"/>
            <rFont val="宋体"/>
            <family val="3"/>
            <charset val="134"/>
          </rPr>
          <t xml:space="preserve">
</t>
        </r>
        <r>
          <rPr>
            <sz val="9"/>
            <rFont val="宋体"/>
            <family val="3"/>
            <charset val="134"/>
          </rPr>
          <t>来源于估算表“项目总工作量（人天）”</t>
        </r>
      </text>
    </comment>
    <comment ref="D8" authorId="0">
      <text>
        <r>
          <rPr>
            <b/>
            <sz val="9"/>
            <rFont val="宋体"/>
            <family val="3"/>
            <charset val="134"/>
          </rPr>
          <t>EPG:</t>
        </r>
        <r>
          <rPr>
            <sz val="9"/>
            <rFont val="宋体"/>
            <family val="3"/>
            <charset val="134"/>
          </rPr>
          <t xml:space="preserve">
</t>
        </r>
        <r>
          <rPr>
            <sz val="9"/>
            <rFont val="宋体"/>
            <family val="3"/>
            <charset val="134"/>
          </rPr>
          <t>生产率=估算的SFP/估算计划工作量</t>
        </r>
      </text>
    </comment>
    <comment ref="D9" authorId="0">
      <text>
        <r>
          <rPr>
            <b/>
            <sz val="9"/>
            <rFont val="宋体"/>
            <family val="3"/>
            <charset val="134"/>
          </rPr>
          <t>EPG:请先计算测试加权缺陷数和验收加权缺陷数</t>
        </r>
        <r>
          <rPr>
            <sz val="9"/>
            <rFont val="宋体"/>
            <family val="3"/>
            <charset val="134"/>
          </rPr>
          <t xml:space="preserve">
</t>
        </r>
        <r>
          <rPr>
            <sz val="9"/>
            <rFont val="宋体"/>
            <family val="3"/>
            <charset val="134"/>
          </rPr>
          <t>由设定的目标返算出遗留缺陷数（遗留缺陷数=设定的遗留缺陷率的目标值*（验收缺陷加权数+测试加权数））</t>
        </r>
      </text>
    </comment>
    <comment ref="D10" authorId="0">
      <text>
        <r>
          <rPr>
            <b/>
            <sz val="9"/>
            <rFont val="宋体"/>
            <family val="3"/>
            <charset val="134"/>
          </rPr>
          <t>EPG:</t>
        </r>
        <r>
          <rPr>
            <sz val="9"/>
            <rFont val="宋体"/>
            <family val="3"/>
            <charset val="134"/>
          </rPr>
          <t xml:space="preserve">
</t>
        </r>
        <r>
          <rPr>
            <sz val="9"/>
            <rFont val="宋体"/>
            <family val="3"/>
            <charset val="134"/>
          </rPr>
          <t xml:space="preserve">1.由设定的目标返算出测试缺陷数（测试缺陷数=设定的测试缺陷加权密度的目标值*计划的SFP）
</t>
        </r>
        <r>
          <rPr>
            <sz val="9"/>
            <rFont val="宋体"/>
            <family val="3"/>
            <charset val="134"/>
          </rPr>
          <t xml:space="preserve">2.设定的测试缺陷加权密度的目标值，参照测试缺陷加权密度在组织级QPPO中的均值到上限之间进行选取设定
</t>
        </r>
        <r>
          <rPr>
            <sz val="9"/>
            <rFont val="宋体"/>
            <family val="3"/>
            <charset val="134"/>
          </rPr>
          <t>3.若已经明确了测试的执行方案，则选取对应测试方案下的测试缺陷加权密度，否则选择总体的测试缺陷加权密度</t>
        </r>
      </text>
    </comment>
    <comment ref="D11" authorId="0">
      <text>
        <r>
          <rPr>
            <b/>
            <sz val="9"/>
            <rFont val="宋体"/>
            <family val="3"/>
            <charset val="134"/>
          </rPr>
          <t>EPG:</t>
        </r>
        <r>
          <rPr>
            <sz val="9"/>
            <rFont val="宋体"/>
            <family val="3"/>
            <charset val="134"/>
          </rPr>
          <t xml:space="preserve">
</t>
        </r>
        <r>
          <rPr>
            <sz val="9"/>
            <rFont val="宋体"/>
            <family val="3"/>
            <charset val="134"/>
          </rPr>
          <t xml:space="preserve">1. 由设定的目标返算出测试缺陷数（验收数=设定的验收缺陷加权密度的目标值*计划的SFP）
</t>
        </r>
        <r>
          <rPr>
            <sz val="9"/>
            <rFont val="宋体"/>
            <family val="3"/>
            <charset val="134"/>
          </rPr>
          <t>2. 设定的验收缺陷加权密度的目标值，参照验收缺陷加权密度在组织级QPPO中的均值到上限之间进行选取设定</t>
        </r>
      </text>
    </comment>
  </commentList>
</comments>
</file>

<file path=xl/comments3.xml><?xml version="1.0" encoding="utf-8"?>
<comments xmlns="http://schemas.openxmlformats.org/spreadsheetml/2006/main">
  <authors>
    <author>作者</author>
    <author>gta</author>
  </authors>
  <commentList>
    <comment ref="A1" authorId="0">
      <text>
        <r>
          <rPr>
            <sz val="9"/>
            <rFont val="宋体"/>
            <family val="3"/>
            <charset val="134"/>
          </rPr>
          <t>PPM-版本号</t>
        </r>
      </text>
    </comment>
    <comment ref="A4" authorId="0">
      <text>
        <r>
          <rPr>
            <b/>
            <sz val="9"/>
            <rFont val="宋体"/>
            <family val="3"/>
            <charset val="134"/>
          </rPr>
          <t>作者:</t>
        </r>
        <r>
          <rPr>
            <sz val="9"/>
            <rFont val="宋体"/>
            <family val="3"/>
            <charset val="134"/>
          </rPr>
          <t xml:space="preserve">
</t>
        </r>
        <r>
          <rPr>
            <sz val="9"/>
            <rFont val="宋体"/>
            <family val="3"/>
            <charset val="134"/>
          </rPr>
          <t>在代码走查充分的前提下，测试加权缺陷密度与代码走查发现的缺陷密度应该是负相关，但基于目前公司的代码走查开展程度严重不足，此处的回归模型显示了前述两者的关系呈现了正相关，意在鼓励更多的进行代码走查</t>
        </r>
      </text>
    </comment>
    <comment ref="T21" authorId="1">
      <text>
        <r>
          <rPr>
            <b/>
            <sz val="9"/>
            <rFont val="宋体"/>
            <family val="3"/>
            <charset val="134"/>
          </rPr>
          <t>gta:</t>
        </r>
        <r>
          <rPr>
            <sz val="9"/>
            <rFont val="宋体"/>
            <family val="3"/>
            <charset val="134"/>
          </rPr>
          <t xml:space="preserve">
</t>
        </r>
        <r>
          <rPr>
            <sz val="9"/>
            <rFont val="宋体"/>
            <family val="3"/>
            <charset val="134"/>
          </rPr>
          <t>阶段工期/项目SFP</t>
        </r>
      </text>
    </comment>
    <comment ref="V21" authorId="1">
      <text>
        <r>
          <rPr>
            <b/>
            <sz val="9"/>
            <rFont val="宋体"/>
            <family val="3"/>
            <charset val="134"/>
          </rPr>
          <t>gta:</t>
        </r>
        <r>
          <rPr>
            <sz val="9"/>
            <rFont val="宋体"/>
            <family val="3"/>
            <charset val="134"/>
          </rPr>
          <t xml:space="preserve">
</t>
        </r>
        <r>
          <rPr>
            <sz val="9"/>
            <rFont val="宋体"/>
            <family val="3"/>
            <charset val="134"/>
          </rPr>
          <t>重叠工期/项目SFP</t>
        </r>
      </text>
    </comment>
    <comment ref="X21" authorId="1">
      <text>
        <r>
          <rPr>
            <b/>
            <sz val="9"/>
            <rFont val="宋体"/>
            <family val="3"/>
            <charset val="134"/>
          </rPr>
          <t>gta:</t>
        </r>
        <r>
          <rPr>
            <sz val="9"/>
            <rFont val="宋体"/>
            <family val="3"/>
            <charset val="134"/>
          </rPr>
          <t xml:space="preserve">
</t>
        </r>
        <r>
          <rPr>
            <sz val="9"/>
            <rFont val="宋体"/>
            <family val="3"/>
            <charset val="134"/>
          </rPr>
          <t>阶段实际投入工作量/项目SFP</t>
        </r>
      </text>
    </comment>
    <comment ref="AK21" authorId="0">
      <text>
        <r>
          <rPr>
            <b/>
            <sz val="9"/>
            <rFont val="宋体"/>
            <family val="3"/>
            <charset val="134"/>
          </rPr>
          <t>（遗留缺陷率） 验收的密度＝验收＋测试阶机的缺陷密度</t>
        </r>
        <r>
          <rPr>
            <sz val="9"/>
            <rFont val="宋体"/>
            <family val="3"/>
            <charset val="134"/>
          </rPr>
          <t xml:space="preserve">
</t>
        </r>
      </text>
    </comment>
    <comment ref="B26" authorId="0">
      <text>
        <r>
          <rPr>
            <sz val="9"/>
            <rFont val="宋体"/>
            <family val="3"/>
            <charset val="134"/>
          </rPr>
          <t xml:space="preserve">设计文档被裁减
</t>
        </r>
      </text>
    </comment>
    <comment ref="AC26" authorId="1">
      <text>
        <r>
          <rPr>
            <b/>
            <sz val="9"/>
            <rFont val="宋体"/>
            <family val="3"/>
            <charset val="134"/>
          </rPr>
          <t>gta:</t>
        </r>
        <r>
          <rPr>
            <sz val="9"/>
            <rFont val="宋体"/>
            <family val="3"/>
            <charset val="134"/>
          </rPr>
          <t xml:space="preserve">
</t>
        </r>
        <r>
          <rPr>
            <sz val="9"/>
            <rFont val="宋体"/>
            <family val="3"/>
            <charset val="134"/>
          </rPr>
          <t>填写代码走查的实际缺陷密度</t>
        </r>
      </text>
    </comment>
    <comment ref="AC27" authorId="1">
      <text>
        <r>
          <rPr>
            <b/>
            <sz val="9"/>
            <rFont val="宋体"/>
            <family val="3"/>
            <charset val="134"/>
          </rPr>
          <t>gta:</t>
        </r>
        <r>
          <rPr>
            <sz val="9"/>
            <rFont val="宋体"/>
            <family val="3"/>
            <charset val="134"/>
          </rPr>
          <t xml:space="preserve">
</t>
        </r>
        <r>
          <rPr>
            <sz val="9"/>
            <rFont val="宋体"/>
            <family val="3"/>
            <charset val="134"/>
          </rPr>
          <t>填写实际的测试用例密度</t>
        </r>
      </text>
    </comment>
    <comment ref="AE27" authorId="1">
      <text>
        <r>
          <rPr>
            <b/>
            <sz val="9"/>
            <rFont val="宋体"/>
            <family val="3"/>
            <charset val="134"/>
          </rPr>
          <t>gta:</t>
        </r>
        <r>
          <rPr>
            <sz val="9"/>
            <rFont val="宋体"/>
            <family val="3"/>
            <charset val="134"/>
          </rPr>
          <t xml:space="preserve">
</t>
        </r>
        <r>
          <rPr>
            <sz val="9"/>
            <rFont val="宋体"/>
            <family val="3"/>
            <charset val="134"/>
          </rPr>
          <t>填写实际测试执行轮次</t>
        </r>
      </text>
    </comment>
    <comment ref="AC28" authorId="1">
      <text>
        <r>
          <rPr>
            <b/>
            <sz val="9"/>
            <rFont val="宋体"/>
            <family val="3"/>
            <charset val="134"/>
          </rPr>
          <t>gta:</t>
        </r>
        <r>
          <rPr>
            <sz val="9"/>
            <rFont val="宋体"/>
            <family val="3"/>
            <charset val="134"/>
          </rPr>
          <t xml:space="preserve">
</t>
        </r>
        <r>
          <rPr>
            <sz val="9"/>
            <rFont val="宋体"/>
            <family val="3"/>
            <charset val="134"/>
          </rPr>
          <t>填写验收的实际缺陷密度</t>
        </r>
      </text>
    </comment>
    <comment ref="AE28" authorId="1">
      <text>
        <r>
          <rPr>
            <b/>
            <sz val="9"/>
            <rFont val="宋体"/>
            <family val="3"/>
            <charset val="134"/>
          </rPr>
          <t>gta:</t>
        </r>
        <r>
          <rPr>
            <sz val="9"/>
            <rFont val="宋体"/>
            <family val="3"/>
            <charset val="134"/>
          </rPr>
          <t xml:space="preserve">
</t>
        </r>
        <r>
          <rPr>
            <sz val="9"/>
            <rFont val="宋体"/>
            <family val="3"/>
            <charset val="134"/>
          </rPr>
          <t>填写验收阶段遗留缺陷密度</t>
        </r>
      </text>
    </comment>
    <comment ref="B36" authorId="0">
      <text>
        <r>
          <rPr>
            <b/>
            <sz val="9"/>
            <rFont val="宋体"/>
            <family val="3"/>
            <charset val="134"/>
          </rPr>
          <t>功能+性能测试用例</t>
        </r>
        <r>
          <rPr>
            <sz val="9"/>
            <rFont val="宋体"/>
            <family val="3"/>
            <charset val="134"/>
          </rPr>
          <t xml:space="preserve">
</t>
        </r>
        <r>
          <rPr>
            <sz val="9"/>
            <rFont val="宋体"/>
            <family val="3"/>
            <charset val="134"/>
          </rPr>
          <t>(功能100%+性能100%+轮次3-6)</t>
        </r>
      </text>
    </comment>
    <comment ref="B37" authorId="0">
      <text>
        <r>
          <rPr>
            <b/>
            <sz val="9"/>
            <rFont val="宋体"/>
            <family val="3"/>
            <charset val="134"/>
          </rPr>
          <t>作者:</t>
        </r>
        <r>
          <rPr>
            <sz val="9"/>
            <rFont val="宋体"/>
            <family val="3"/>
            <charset val="134"/>
          </rPr>
          <t xml:space="preserve">
</t>
        </r>
        <r>
          <rPr>
            <sz val="9"/>
            <rFont val="宋体"/>
            <family val="3"/>
            <charset val="134"/>
          </rPr>
          <t>(功能((100%)+轮次(3))</t>
        </r>
      </text>
    </comment>
  </commentList>
</comments>
</file>

<file path=xl/comments4.xml><?xml version="1.0" encoding="utf-8"?>
<comments xmlns="http://schemas.openxmlformats.org/spreadsheetml/2006/main">
  <authors>
    <author>gta</author>
  </authors>
  <commentList>
    <comment ref="C3" authorId="0">
      <text>
        <r>
          <rPr>
            <b/>
            <sz val="9"/>
            <rFont val="宋体"/>
            <family val="3"/>
            <charset val="134"/>
          </rPr>
          <t>gta:</t>
        </r>
        <r>
          <rPr>
            <sz val="9"/>
            <rFont val="宋体"/>
            <family val="3"/>
            <charset val="134"/>
          </rPr>
          <t xml:space="preserve">
</t>
        </r>
        <r>
          <rPr>
            <sz val="9"/>
            <rFont val="宋体"/>
            <family val="3"/>
            <charset val="134"/>
          </rPr>
          <t>数据来源于执行本次预测时，估算表中的SFP数。</t>
        </r>
      </text>
    </comment>
    <comment ref="D3" authorId="0">
      <text>
        <r>
          <rPr>
            <b/>
            <sz val="9"/>
            <rFont val="宋体"/>
            <family val="3"/>
            <charset val="134"/>
          </rPr>
          <t>gta:</t>
        </r>
        <r>
          <rPr>
            <sz val="9"/>
            <rFont val="宋体"/>
            <family val="3"/>
            <charset val="134"/>
          </rPr>
          <t xml:space="preserve">
</t>
        </r>
        <r>
          <rPr>
            <sz val="9"/>
            <rFont val="宋体"/>
            <family val="3"/>
            <charset val="134"/>
          </rPr>
          <t>数据来源于执行本次预测时，估算表中的项目总工作量（人天）。</t>
        </r>
      </text>
    </comment>
    <comment ref="X3" authorId="0">
      <text>
        <r>
          <rPr>
            <b/>
            <sz val="9"/>
            <rFont val="宋体"/>
            <family val="3"/>
            <charset val="134"/>
          </rPr>
          <t>gta:</t>
        </r>
        <r>
          <rPr>
            <sz val="9"/>
            <rFont val="宋体"/>
            <family val="3"/>
            <charset val="134"/>
          </rPr>
          <t xml:space="preserve">
</t>
        </r>
        <r>
          <rPr>
            <sz val="9"/>
            <rFont val="宋体"/>
            <family val="3"/>
            <charset val="134"/>
          </rPr>
          <t xml:space="preserve">对预测结果进行分析：
</t>
        </r>
        <r>
          <rPr>
            <sz val="9"/>
            <rFont val="宋体"/>
            <family val="3"/>
            <charset val="134"/>
          </rPr>
          <t xml:space="preserve">1，置信度小于90%时，分析置信度的原因及措施。
</t>
        </r>
        <r>
          <rPr>
            <sz val="9"/>
            <rFont val="宋体"/>
            <family val="3"/>
            <charset val="134"/>
          </rPr>
          <t>2，置信度大于90%时，分析保证达到或提高置信度的措施。</t>
        </r>
      </text>
    </comment>
  </commentList>
</comments>
</file>

<file path=xl/comments5.xml><?xml version="1.0" encoding="utf-8"?>
<comments xmlns="http://schemas.openxmlformats.org/spreadsheetml/2006/main">
  <authors>
    <author>gta</author>
    <author>作者</author>
  </authors>
  <commentList>
    <comment ref="C8" authorId="0">
      <text>
        <r>
          <rPr>
            <b/>
            <sz val="9"/>
            <rFont val="宋体"/>
            <family val="3"/>
            <charset val="134"/>
          </rPr>
          <t>gta:</t>
        </r>
        <r>
          <rPr>
            <sz val="9"/>
            <rFont val="宋体"/>
            <family val="3"/>
            <charset val="134"/>
          </rPr>
          <t xml:space="preserve">
</t>
        </r>
        <r>
          <rPr>
            <sz val="9"/>
            <rFont val="宋体"/>
            <family val="3"/>
            <charset val="134"/>
          </rPr>
          <t>即客户需求说明书中的CR和NCR个数</t>
        </r>
      </text>
    </comment>
    <comment ref="D8" authorId="0">
      <text>
        <r>
          <rPr>
            <b/>
            <sz val="9"/>
            <rFont val="宋体"/>
            <family val="3"/>
            <charset val="134"/>
          </rPr>
          <t>gta:</t>
        </r>
        <r>
          <rPr>
            <sz val="9"/>
            <rFont val="宋体"/>
            <family val="3"/>
            <charset val="134"/>
          </rPr>
          <t xml:space="preserve">
</t>
        </r>
        <r>
          <rPr>
            <sz val="9"/>
            <rFont val="宋体"/>
            <family val="3"/>
            <charset val="134"/>
          </rPr>
          <t>变更影响的客户需求说明书的CR和NCR个数</t>
        </r>
      </text>
    </comment>
    <comment ref="H8" authorId="1">
      <text>
        <r>
          <rPr>
            <b/>
            <sz val="9"/>
            <rFont val="宋体"/>
            <family val="3"/>
            <charset val="134"/>
          </rPr>
          <t>作者:</t>
        </r>
        <r>
          <rPr>
            <sz val="9"/>
            <rFont val="宋体"/>
            <family val="3"/>
            <charset val="134"/>
          </rPr>
          <t xml:space="preserve">
</t>
        </r>
        <r>
          <rPr>
            <sz val="9"/>
            <rFont val="宋体"/>
            <family val="3"/>
            <charset val="134"/>
          </rPr>
          <t xml:space="preserve">=|新增SFP值| + |删除SFP值| + |修订的SFP值|
</t>
        </r>
        <r>
          <rPr>
            <sz val="9"/>
            <rFont val="宋体"/>
            <family val="3"/>
            <charset val="134"/>
          </rPr>
          <t>举例：新增一个需求，增加了20SFP，删除一个需求，减少了10SFP，修改一个需求，SFP改变了3FP，那这些需求变更产生的SFP变化为20+10+3=33</t>
        </r>
      </text>
    </comment>
    <comment ref="C15" authorId="0">
      <text>
        <r>
          <rPr>
            <b/>
            <sz val="9"/>
            <rFont val="宋体"/>
            <family val="3"/>
            <charset val="134"/>
          </rPr>
          <t>gta:</t>
        </r>
        <r>
          <rPr>
            <sz val="9"/>
            <rFont val="宋体"/>
            <family val="3"/>
            <charset val="134"/>
          </rPr>
          <t xml:space="preserve">
</t>
        </r>
        <r>
          <rPr>
            <sz val="9"/>
            <rFont val="宋体"/>
            <family val="3"/>
            <charset val="134"/>
          </rPr>
          <t>等于需求阶段初始需求总数，用于计算项目整体需求稳定度</t>
        </r>
      </text>
    </comment>
    <comment ref="C20" authorId="0">
      <text>
        <r>
          <rPr>
            <b/>
            <sz val="9"/>
            <rFont val="宋体"/>
            <family val="3"/>
            <charset val="134"/>
          </rPr>
          <t>gta:</t>
        </r>
        <r>
          <rPr>
            <sz val="9"/>
            <rFont val="宋体"/>
            <family val="3"/>
            <charset val="134"/>
          </rPr>
          <t xml:space="preserve">
</t>
        </r>
        <r>
          <rPr>
            <sz val="9"/>
            <rFont val="宋体"/>
            <family val="3"/>
            <charset val="134"/>
          </rPr>
          <t>即需求规格说明书中的FR和NFR个数</t>
        </r>
      </text>
    </comment>
    <comment ref="D20" authorId="0">
      <text>
        <r>
          <rPr>
            <b/>
            <sz val="9"/>
            <rFont val="宋体"/>
            <family val="3"/>
            <charset val="134"/>
          </rPr>
          <t>gta:</t>
        </r>
        <r>
          <rPr>
            <sz val="9"/>
            <rFont val="宋体"/>
            <family val="3"/>
            <charset val="134"/>
          </rPr>
          <t xml:space="preserve">
</t>
        </r>
        <r>
          <rPr>
            <sz val="9"/>
            <rFont val="宋体"/>
            <family val="3"/>
            <charset val="134"/>
          </rPr>
          <t>变更影响的需求规格说明书的FR和NFR个数</t>
        </r>
      </text>
    </comment>
    <comment ref="C27" authorId="0">
      <text>
        <r>
          <rPr>
            <b/>
            <sz val="9"/>
            <rFont val="宋体"/>
            <family val="3"/>
            <charset val="134"/>
          </rPr>
          <t>gta:</t>
        </r>
        <r>
          <rPr>
            <sz val="9"/>
            <rFont val="宋体"/>
            <family val="3"/>
            <charset val="134"/>
          </rPr>
          <t xml:space="preserve">
</t>
        </r>
        <r>
          <rPr>
            <sz val="9"/>
            <rFont val="宋体"/>
            <family val="3"/>
            <charset val="134"/>
          </rPr>
          <t>等于需求阶段初始需求总数，用于计算项目整体需求稳定度</t>
        </r>
      </text>
    </comment>
  </commentList>
</comments>
</file>

<file path=xl/comments6.xml><?xml version="1.0" encoding="utf-8"?>
<comments xmlns="http://schemas.openxmlformats.org/spreadsheetml/2006/main">
  <authors>
    <author>作者</author>
    <author>gta</author>
  </authors>
  <commentList>
    <comment ref="R6" authorId="0">
      <text>
        <r>
          <rPr>
            <b/>
            <sz val="9"/>
            <rFont val="宋体"/>
            <family val="3"/>
            <charset val="134"/>
          </rPr>
          <t>项目组项目情况调整工作量配比。但比例需与估算表保持一致</t>
        </r>
      </text>
    </comment>
    <comment ref="D7" authorId="0">
      <text>
        <r>
          <rPr>
            <sz val="9"/>
            <rFont val="宋体"/>
            <family val="3"/>
            <charset val="134"/>
          </rPr>
          <t>来源于工时系统</t>
        </r>
        <r>
          <rPr>
            <sz val="9"/>
            <rFont val="Tahoma"/>
            <family val="2"/>
          </rPr>
          <t xml:space="preserve">
</t>
        </r>
      </text>
    </comment>
    <comment ref="F7" authorId="1">
      <text>
        <r>
          <rPr>
            <b/>
            <sz val="9"/>
            <rFont val="宋体"/>
            <family val="3"/>
            <charset val="134"/>
          </rPr>
          <t>gta:</t>
        </r>
        <r>
          <rPr>
            <sz val="9"/>
            <rFont val="宋体"/>
            <family val="3"/>
            <charset val="134"/>
          </rPr>
          <t xml:space="preserve">
</t>
        </r>
        <r>
          <rPr>
            <sz val="9"/>
            <rFont val="宋体"/>
            <family val="3"/>
            <charset val="134"/>
          </rPr>
          <t>来源于工时系统</t>
        </r>
      </text>
    </comment>
    <comment ref="H7" authorId="1">
      <text>
        <r>
          <rPr>
            <b/>
            <sz val="9"/>
            <rFont val="宋体"/>
            <family val="3"/>
            <charset val="134"/>
          </rPr>
          <t>gta:</t>
        </r>
        <r>
          <rPr>
            <sz val="9"/>
            <rFont val="宋体"/>
            <family val="3"/>
            <charset val="134"/>
          </rPr>
          <t xml:space="preserve">
</t>
        </r>
        <r>
          <rPr>
            <sz val="9"/>
            <rFont val="宋体"/>
            <family val="3"/>
            <charset val="134"/>
          </rPr>
          <t>来源于工时系统</t>
        </r>
      </text>
    </comment>
    <comment ref="J7" authorId="1">
      <text>
        <r>
          <rPr>
            <b/>
            <sz val="9"/>
            <rFont val="宋体"/>
            <family val="3"/>
            <charset val="134"/>
          </rPr>
          <t>gta:</t>
        </r>
        <r>
          <rPr>
            <sz val="9"/>
            <rFont val="宋体"/>
            <family val="3"/>
            <charset val="134"/>
          </rPr>
          <t xml:space="preserve">
</t>
        </r>
        <r>
          <rPr>
            <sz val="9"/>
            <rFont val="宋体"/>
            <family val="3"/>
            <charset val="134"/>
          </rPr>
          <t>来源于工时系统</t>
        </r>
      </text>
    </comment>
    <comment ref="L7" authorId="1">
      <text>
        <r>
          <rPr>
            <b/>
            <sz val="9"/>
            <rFont val="宋体"/>
            <family val="3"/>
            <charset val="134"/>
          </rPr>
          <t>gta:</t>
        </r>
        <r>
          <rPr>
            <sz val="9"/>
            <rFont val="宋体"/>
            <family val="3"/>
            <charset val="134"/>
          </rPr>
          <t xml:space="preserve">
</t>
        </r>
        <r>
          <rPr>
            <sz val="9"/>
            <rFont val="宋体"/>
            <family val="3"/>
            <charset val="134"/>
          </rPr>
          <t>来源于工时系统</t>
        </r>
      </text>
    </comment>
    <comment ref="M7" authorId="0">
      <text>
        <r>
          <rPr>
            <b/>
            <sz val="9"/>
            <rFont val="宋体"/>
            <family val="3"/>
            <charset val="134"/>
          </rPr>
          <t>从估算表（确定性估算）中获取每个活动的的工作量</t>
        </r>
        <r>
          <rPr>
            <sz val="9"/>
            <rFont val="Tahoma"/>
            <family val="2"/>
          </rPr>
          <t xml:space="preserve">
</t>
        </r>
      </text>
    </comment>
  </commentList>
</comments>
</file>

<file path=xl/comments7.xml><?xml version="1.0" encoding="utf-8"?>
<comments xmlns="http://schemas.openxmlformats.org/spreadsheetml/2006/main">
  <authors>
    <author>gta</author>
  </authors>
  <commentList>
    <comment ref="D6" authorId="0">
      <text>
        <r>
          <rPr>
            <b/>
            <sz val="9"/>
            <rFont val="宋体"/>
            <family val="3"/>
            <charset val="134"/>
          </rPr>
          <t>gta:</t>
        </r>
        <r>
          <rPr>
            <sz val="9"/>
            <rFont val="宋体"/>
            <family val="3"/>
            <charset val="134"/>
          </rPr>
          <t xml:space="preserve">
</t>
        </r>
        <r>
          <rPr>
            <sz val="9"/>
            <rFont val="宋体"/>
            <family val="3"/>
            <charset val="134"/>
          </rPr>
          <t>数据来源于确定性估算表中“复用的功能点总数(SFP)”</t>
        </r>
      </text>
    </comment>
    <comment ref="B28" authorId="0">
      <text>
        <r>
          <rPr>
            <b/>
            <sz val="9"/>
            <rFont val="宋体"/>
            <family val="3"/>
            <charset val="134"/>
          </rPr>
          <t>gta:</t>
        </r>
        <r>
          <rPr>
            <sz val="9"/>
            <rFont val="宋体"/>
            <family val="3"/>
            <charset val="134"/>
          </rPr>
          <t xml:space="preserve">
</t>
        </r>
        <r>
          <rPr>
            <sz val="9"/>
            <rFont val="宋体"/>
            <family val="3"/>
            <charset val="134"/>
          </rPr>
          <t>数据来源于估算表“技术复杂度评估表”</t>
        </r>
      </text>
    </comment>
  </commentList>
</comments>
</file>

<file path=xl/comments8.xml><?xml version="1.0" encoding="utf-8"?>
<comments xmlns="http://schemas.openxmlformats.org/spreadsheetml/2006/main">
  <authors>
    <author>gta</author>
  </authors>
  <commentList>
    <comment ref="K5" authorId="0">
      <text>
        <r>
          <rPr>
            <b/>
            <sz val="9"/>
            <rFont val="宋体"/>
            <family val="3"/>
            <charset val="134"/>
          </rPr>
          <t>gta:</t>
        </r>
        <r>
          <rPr>
            <sz val="9"/>
            <rFont val="宋体"/>
            <family val="3"/>
            <charset val="134"/>
          </rPr>
          <t xml:space="preserve">
</t>
        </r>
        <r>
          <rPr>
            <sz val="9"/>
            <rFont val="宋体"/>
            <family val="3"/>
            <charset val="134"/>
          </rPr>
          <t>当阶段偏差或累计偏差其中之一出现偏差超过20%时，则必须进行偏差原因分析及采取相应的措施</t>
        </r>
      </text>
    </comment>
  </commentList>
</comments>
</file>

<file path=xl/comments9.xml><?xml version="1.0" encoding="utf-8"?>
<comments xmlns="http://schemas.openxmlformats.org/spreadsheetml/2006/main">
  <authors>
    <author>gta</author>
  </authors>
  <commentList>
    <comment ref="A5" authorId="0">
      <text>
        <r>
          <rPr>
            <b/>
            <sz val="9"/>
            <rFont val="宋体"/>
            <family val="3"/>
            <charset val="134"/>
          </rPr>
          <t>gta:</t>
        </r>
        <r>
          <rPr>
            <sz val="9"/>
            <rFont val="宋体"/>
            <family val="3"/>
            <charset val="134"/>
          </rPr>
          <t xml:space="preserve">
</t>
        </r>
        <r>
          <rPr>
            <sz val="9"/>
            <rFont val="宋体"/>
            <family val="3"/>
            <charset val="134"/>
          </rPr>
          <t>每组织一次评审就记为一次，不区分正式评审和非正式评审</t>
        </r>
      </text>
    </comment>
    <comment ref="J5" authorId="0">
      <text>
        <r>
          <rPr>
            <b/>
            <sz val="9"/>
            <rFont val="宋体"/>
            <family val="3"/>
            <charset val="134"/>
          </rPr>
          <t>gta:</t>
        </r>
        <r>
          <rPr>
            <sz val="9"/>
            <rFont val="宋体"/>
            <family val="3"/>
            <charset val="134"/>
          </rPr>
          <t xml:space="preserve">
</t>
        </r>
        <r>
          <rPr>
            <sz val="9"/>
            <rFont val="宋体"/>
            <family val="3"/>
            <charset val="134"/>
          </rPr>
          <t>文档页数仅统计正文的页数即可</t>
        </r>
      </text>
    </comment>
    <comment ref="A28" authorId="0">
      <text>
        <r>
          <rPr>
            <b/>
            <sz val="9"/>
            <rFont val="宋体"/>
            <family val="3"/>
            <charset val="134"/>
          </rPr>
          <t>gta:</t>
        </r>
        <r>
          <rPr>
            <sz val="9"/>
            <rFont val="宋体"/>
            <family val="3"/>
            <charset val="134"/>
          </rPr>
          <t xml:space="preserve">
</t>
        </r>
        <r>
          <rPr>
            <sz val="9"/>
            <rFont val="宋体"/>
            <family val="3"/>
            <charset val="134"/>
          </rPr>
          <t>每组织一次评审就记为一次，不区分正式评审和非正式评审</t>
        </r>
      </text>
    </comment>
    <comment ref="J28" authorId="0">
      <text>
        <r>
          <rPr>
            <b/>
            <sz val="9"/>
            <rFont val="宋体"/>
            <family val="3"/>
            <charset val="134"/>
          </rPr>
          <t>gta:</t>
        </r>
        <r>
          <rPr>
            <sz val="9"/>
            <rFont val="宋体"/>
            <family val="3"/>
            <charset val="134"/>
          </rPr>
          <t xml:space="preserve">
</t>
        </r>
        <r>
          <rPr>
            <sz val="9"/>
            <rFont val="宋体"/>
            <family val="3"/>
            <charset val="134"/>
          </rPr>
          <t>文档页数仅统计正文的页数即可</t>
        </r>
      </text>
    </comment>
    <comment ref="A54" authorId="0">
      <text>
        <r>
          <rPr>
            <b/>
            <sz val="9"/>
            <rFont val="宋体"/>
            <family val="3"/>
            <charset val="134"/>
          </rPr>
          <t>gta:</t>
        </r>
        <r>
          <rPr>
            <sz val="9"/>
            <rFont val="宋体"/>
            <family val="3"/>
            <charset val="134"/>
          </rPr>
          <t xml:space="preserve">
</t>
        </r>
        <r>
          <rPr>
            <sz val="9"/>
            <rFont val="宋体"/>
            <family val="3"/>
            <charset val="134"/>
          </rPr>
          <t>每组织一次评审就记为一次，不区分正式评审和非正式评审</t>
        </r>
      </text>
    </comment>
    <comment ref="J54" authorId="0">
      <text>
        <r>
          <rPr>
            <b/>
            <sz val="9"/>
            <rFont val="宋体"/>
            <family val="3"/>
            <charset val="134"/>
          </rPr>
          <t>gta:</t>
        </r>
        <r>
          <rPr>
            <sz val="9"/>
            <rFont val="宋体"/>
            <family val="3"/>
            <charset val="134"/>
          </rPr>
          <t xml:space="preserve">
</t>
        </r>
        <r>
          <rPr>
            <sz val="9"/>
            <rFont val="宋体"/>
            <family val="3"/>
            <charset val="134"/>
          </rPr>
          <t>文档页数仅统计正文的页数即可</t>
        </r>
      </text>
    </comment>
    <comment ref="A81" authorId="0">
      <text>
        <r>
          <rPr>
            <b/>
            <sz val="9"/>
            <rFont val="宋体"/>
            <family val="3"/>
            <charset val="134"/>
          </rPr>
          <t>gta:</t>
        </r>
        <r>
          <rPr>
            <sz val="9"/>
            <rFont val="宋体"/>
            <family val="3"/>
            <charset val="134"/>
          </rPr>
          <t xml:space="preserve">
</t>
        </r>
        <r>
          <rPr>
            <sz val="9"/>
            <rFont val="宋体"/>
            <family val="3"/>
            <charset val="134"/>
          </rPr>
          <t>每组织一次评审就记为一次，不区分正式评审和非正式评审</t>
        </r>
      </text>
    </comment>
    <comment ref="A106" authorId="0">
      <text>
        <r>
          <rPr>
            <b/>
            <sz val="9"/>
            <rFont val="宋体"/>
            <family val="3"/>
            <charset val="134"/>
          </rPr>
          <t>gta:</t>
        </r>
        <r>
          <rPr>
            <sz val="9"/>
            <rFont val="宋体"/>
            <family val="3"/>
            <charset val="134"/>
          </rPr>
          <t xml:space="preserve">
</t>
        </r>
        <r>
          <rPr>
            <sz val="9"/>
            <rFont val="宋体"/>
            <family val="3"/>
            <charset val="134"/>
          </rPr>
          <t>每组织一次走查就记为一次</t>
        </r>
      </text>
    </comment>
  </commentList>
</comments>
</file>

<file path=xl/comments10.xml><?xml version="1.0" encoding="utf-8"?>
<comments xmlns="http://schemas.openxmlformats.org/spreadsheetml/2006/main">
  <authors>
    <author>Windows 用户</author>
    <author>gta</author>
  </authors>
  <commentList>
    <comment ref="I17" authorId="0">
      <text>
        <r>
          <rPr>
            <b/>
            <sz val="9"/>
            <rFont val="宋体"/>
            <family val="3"/>
            <charset val="134"/>
          </rPr>
          <t>EPG:</t>
        </r>
        <r>
          <rPr>
            <sz val="9"/>
            <rFont val="宋体"/>
            <family val="3"/>
            <charset val="134"/>
          </rPr>
          <t xml:space="preserve">
</t>
        </r>
        <r>
          <rPr>
            <sz val="9"/>
            <rFont val="宋体"/>
            <family val="3"/>
            <charset val="134"/>
          </rPr>
          <t>此处取测试报告中遗留缺陷数</t>
        </r>
      </text>
    </comment>
    <comment ref="K17" authorId="1">
      <text>
        <r>
          <rPr>
            <b/>
            <sz val="9"/>
            <rFont val="宋体"/>
            <family val="3"/>
            <charset val="134"/>
          </rPr>
          <t>gta:</t>
        </r>
        <r>
          <rPr>
            <sz val="9"/>
            <rFont val="宋体"/>
            <family val="3"/>
            <charset val="134"/>
          </rPr>
          <t xml:space="preserve">
</t>
        </r>
        <r>
          <rPr>
            <sz val="9"/>
            <rFont val="宋体"/>
            <family val="3"/>
            <charset val="134"/>
          </rPr>
          <t>遗留缺陷率</t>
        </r>
      </text>
    </comment>
    <comment ref="G34" authorId="1">
      <text>
        <r>
          <rPr>
            <b/>
            <sz val="9"/>
            <rFont val="宋体"/>
            <family val="3"/>
            <charset val="134"/>
          </rPr>
          <t>gta:</t>
        </r>
        <r>
          <rPr>
            <sz val="9"/>
            <rFont val="宋体"/>
            <family val="3"/>
            <charset val="134"/>
          </rPr>
          <t xml:space="preserve">
</t>
        </r>
        <r>
          <rPr>
            <sz val="9"/>
            <rFont val="宋体"/>
            <family val="3"/>
            <charset val="134"/>
          </rPr>
          <t>测试轮次定义：成功转测试的轮次，包括回归测试</t>
        </r>
      </text>
    </comment>
  </commentList>
</comments>
</file>

<file path=xl/comments11.xml><?xml version="1.0" encoding="utf-8"?>
<comments xmlns="http://schemas.openxmlformats.org/spreadsheetml/2006/main">
  <authors>
    <author>作者</author>
  </authors>
  <commentList>
    <comment ref="Q3" authorId="0">
      <text>
        <r>
          <rPr>
            <b/>
            <sz val="9"/>
            <rFont val="宋体"/>
            <family val="3"/>
            <charset val="134"/>
          </rPr>
          <t>其他角色或管理员</t>
        </r>
      </text>
    </comment>
    <comment ref="F47" authorId="0">
      <text>
        <r>
          <rPr>
            <sz val="9"/>
            <rFont val="宋体"/>
            <family val="3"/>
            <charset val="134"/>
          </rPr>
          <t xml:space="preserve">从A项目调到B项目
</t>
        </r>
      </text>
    </comment>
  </commentList>
</comments>
</file>

<file path=xl/sharedStrings.xml><?xml version="1.0" encoding="utf-8"?>
<sst xmlns="http://schemas.openxmlformats.org/spreadsheetml/2006/main" count="1528" uniqueCount="761">
  <si>
    <t>Crystal Ball Data</t>
  </si>
  <si>
    <t>Workbook Variables</t>
  </si>
  <si>
    <t>Last Var Column</t>
  </si>
  <si>
    <t xml:space="preserve">    Name:</t>
  </si>
  <si>
    <t xml:space="preserve">    Value:</t>
  </si>
  <si>
    <t>Worksheet Data</t>
  </si>
  <si>
    <t>Last Data Column Used</t>
  </si>
  <si>
    <t>Sheet Ref</t>
  </si>
  <si>
    <t>Sheet Guid</t>
  </si>
  <si>
    <t>420f52c2-b41f-4b27-a52a-cc0b293d1261</t>
  </si>
  <si>
    <t>6f70a6af-b6ea-4d81-9f3d-65fedc0ff3aa</t>
  </si>
  <si>
    <t>Deleted sheet count</t>
  </si>
  <si>
    <t>Last row used</t>
  </si>
  <si>
    <t>Data blocks</t>
  </si>
  <si>
    <t>CB_Block_0</t>
  </si>
  <si>
    <t>CB_Block_7.0.0.0:3</t>
  </si>
  <si>
    <t>㜸〱敤㕣㕢㙣ㅣ㔷ㄹ摥㌳摥㔹敦慣敤搸㡤搳㑢㑡㘹㑤㑢㕢愸㠳ㅢ愷つ愵㐰㌰扥㌴㤷攲挴㙥散愴㈰㉥㥢昱敥㤹㜸㥡㥤ㄹ㜷㘶搶㠹㑢愵㔶㔰㙥㠲㠲搴〲愲㔰㉥慡㄰ㄲ㉦㕣㕥戸扦㈰㈱㠱㔰㤱㤰㠰〷㈴㠴ち㐲昰〰㐲ㄱ扣㈰㠱〴摦㜷㘶㘶㜷㜶搷㍢㜶户㉤戸挸㈷摤摦㘷捥㙤捥㌹晦昵晣晦㤹收㐴㉥㤷晢㌷ㄲ晦㌲攵㤹戹㙥㘹㈳〸愵㌳㌱敢搵㙡戲ㄲ摡㥥ㅢ㑣㑣晢扥戹㌱㙦〷㘱ㅦㅡㄴ捡㌶敡〳扤ㅣ搸て挹㘲㜹㕤晡〱ㅡ改戹㕣戱㘸㘸愸攷㈰晣㡤㈴て〶㝢つ收〱㤶㘷㘷ㄶ㔶ㅥ挰愸㑢愱攷换〳㘳㘷愳扥㐷㈶㈷㈷㈶㈷づ摤㜱昷攴挴挱〳㘳戳昵㕡㔸昷攵ㄱ㔷搶㐳摦慣ㅤㄸ㕢慣慦搴散捡摢攴挶戲㜷㐱扡㐷攴捡挱㍢㔶捣㍢摦㌰㜹攷攱挳搶摤㜷扦㘱㄰慦捥㥤㥡㥤㔹昴愵ㄵ扣㐸㘳敡㥣昲㥤㜳戲㘲㜳㙤㔲晡戶㝢㝥㘲㜶〶晦愵收㡦愷扢㈶㤶㔶愵っ昹㙡改㑢户㈲〳〳ㅤ〷㥣改㈰愸㍢㙢摣㍣挳㌹㡡愵㔶捣㈰搴㥤㔹㔹慢ㄹ㑥㌲㙡搱㔹挰摥搵捣㡤㐱㘷㐹扡㠱ㅤ摡敢㜶戸㔱㜰㤶㌱㔰㜵挸㌹ㄳ挸搳愶㝢㕥㥥㌲ㅤ愹㍢挷敡㜶㌵ㅦ愵㕣摦慤挹㄰改㠹愹攵㑦㑣〷捥散慡改慢ㄹ〵摣㤸㡣戶㐷晤㑡㙢摢㥢扡㡦换愹慢㌷㜰捣㥢扢户㐳捤㔹搳㙦戴ㅣ敦摥㌲㕥㝣敢っ㙥敦摥㍥戵㐷慤㝤㕥摢扤㡦摡捡搶搶㘲㈰愶㙦戵愳㔸㡣㔱㈰攸㈷㈸ㄲ㄰㠱㐶㠹㘰㠰㘰㄰㐰攴晦づ㉥㐹㜷㘴㤵㔶㌶戵昲㡡㔶慥㘸攵慡㔶㤶㕡搹搲捡攷戵昲慡㔶戶戵昲〳㕡昹〲摡㈴愹搸摦慦挵改挹㙢㝥㌱昵捦摦摥㌲晦戵昷晣㙤㜲攵挶挷㍦㌳戸〷㡤敥㡢㈷㌵攷㥢ㄷ㐱㙡㑤㉡㍥㌴㜱㤰晦戶收ち㌰㠵㜵搸扡换㥡㥣慣ㅥ㍥㘸摥㘱敡㕣㔶〶昲㕢〸㘵〴㙤〷慤晢㙤户敡㕤㔴戸扢㙥挶っ㘴㜳攳挶攳扡ㄹ慦敥㔶㠳㔷㙣㕥戹ㄴ㥡愱扣戶扤慥㌹㐸㐷户㈵戰㤵っ搴晢慥㙦敦㜶搶慣搵攵昴㈵㍢慡㝥㘵㕢戵戳攸㝢㉢摤㙢㡦晡昲挱㐶㙤挷㡣愶㈱搴搶搵搸ㅤ慢㡣慡愲㜹㡤捤慥㝡㠱㜴搵昴挶㥤㐵扢㜲㐱晡㑢㤲㈲㔱㔶搵㔲慦㘴㔵捣昵攳ぢ㉥ㄶち㙥慤摥㤸㉥戵敥戹ㄴ㠲㤹㘵ㄵ昳㕤㤳㝥戸戱㙣慥搴攴㔵㉤㑤愲㜷愲㘲㝦㑢昱㔱慦㔲て㘶㍤㌷昴扤㕡㙢捤㜴㜵摤㠴愴愹㥥昴慡㌲㥦捦㈹愱〰㠱摢搷㈷㐴敥戶敥扣愰㄰㤱㐲㌱ㄹ昹㥡㔶戲㥢㌸㡤搵㘱ㄵ㌵㐹㥡搴㕥扤挵㘰㥣慦㤲㌱ㄹㅣ㤸㕡ㄳ昵〷㕦晡㥡㉤㠶㙤㘰敥愵㙤慣㘹愳昱敡敦㔹㤷㙥㜸摣㜴慢㌵改㘷㙡㍦挱ㄹㄹ挳〰晡㘵〸㠴慥扢㐷㔵㈷㉥㠹つ晤愲㕤つ㔷ぢ慢搲㍥扦ㅡ愲っㅡ戲㔸攴搶㜶㈴攳ちㄴㄹ㝢〹㐶〱㑡愵㕣㘱ㅦㅢㄵ㑡㐸㌹㥤搲㈹㠳㤷㕢〴㌹晢戵昰昲愰㜵搴慥㠵㌲ㄲ捡挳ㄶ㌰ㄲ㘹㌵㠵扥㈱㤲愸㙦㔶㈲㠵戱捦㥡〵㤵㥡戶ㅢ㙥㌴昹戶㠳㑢㈲㈲摡㤵〵㍢㑥ㄶ㔰ㄴ戴捡㠳っ㕥〳搱戴㐹㠳散挶㈹㈲㈲ㅢ㘴㘸㜶㡣摣㑡㘴㙣㥦㈱㈳搰㍥㑤㠴㙣㝤戰扢㡣㈰戱㜷ㄲ㈹㍢㜵攵挷㕤㘹戶㤹㉤ㅦ㐹戳㉢戱㜱挶㔵〴㔷ㄳ㕣㐳戰ㅦ㐰晣ㄱㄲ㡥㔲づ昹搶㘴扣〲捦挶㜵〴慦〴㠰㝣㌲㈸㜳㘲㔱㐵ㅢ㙡㍢㜶㈴摢つ挱㑥㔶㐶㜱㈴㡡㘸ㄹ㌷散捣㈱㐷㈱㍡戶㍡㜷㠶慥捤㉢ㅤ㝢㑢㜷摡㑣㉦㠷ㄴ㤹搱㌴扤搶㉤㥡愶㌷㠲㑤㝢搴㕢㌷愰慢㌱㐶昰㉡㠰㤲㜱㈳㈱㤴ぢつ摥敤㔹昴㌴㈹㕦ㄶ㘶㔱㘴っ昵愸攰㘳㐲收ㄱ㈰㐳挸㜵ㅣ㕦㜶㙤㘸㥡㠳攳搶换摥㠶㍥搰㥤扦㘳愴户改捤㕤扤㐳㝦搱昳戴愲㙦〲㝢㠹摦㜴搵㌱㌷愳摡戸㠵攰㔶㠰㌶ㅤ挳搳昷昳昵ㄴ㈸戳搸㐹㘱㙥㉦扤㉥捡捡㕤摥㔸㤳㑡〳つ㕡换愶㝦㕥㠶昰㘰㥣㤸㠳㉤散昹扥慣攱㔰㕢㔵〵㍣扦㕣摤㕡ㄸㅣ昵㍤㠷攵扢㌶㜲昰戲㔰っ昹扣搶㤷㙢戳㤱㌳㙣捤㤴捦㈹㐵㌹搴挱㜷㜴ㄷㄲ愹㑥慤攴挵㝥搹攷换㕤㐹搲㠳㈴㜹㉤戶搵戸つ〰㔲㐲晣慡慢㐴㌹挰㘶慦㔳捤㕡㉤㔶㝡昸㌲㑥㈷㙤㍥挴づ㌹㌲㄰㌹㙣㘷攰㍦〸㠶㥣㈵摢㘹〸㡢〱㘷㔱晡ㄵ昸ㄶ散㥡㉣㐵㙥㔹㡡㥡㕤㔹昱㌲㤱ㄵ㝤㝤ㅤ攷改っ晦㥡愲㤳㌶㈹㤱挹敤㤹㤵ㄹ㘷昱㈶㔱搱つ㐹愱㤲攱ㅡ㙡㐸㈰㔲ㅥ摢敥㡡㤸ㅥ㐴捣敤搸㌸攳㈰挱㈴挱㈱〰晤㘷㤰㌴摢摤㜸㠶挳晡搷改搲㉥㤷㜳㐵愲㐱戹〸㥦敤㉡慣づ昳㌵慦㈷戸ぢ愰捤晣愱〳㌲㠳㄰ㄵ捡㔳㠴愸挲ㄸ搶㔹㕢㕥㈴つ散戱㄰㔸㥡慤〷愱攷㌰戲㌴㘴捤㜹愷扣㜰捥づ搶㄰㠹ㅡ戵攲捣晤慢搲〵㜵昹戰㝤摡捡扣戵㌵㔹㌵慣㈵慦づ搱㜶㘲㙥㈷ㅣ捣戱ㅤ戰㈵搵搹㕣ㄳ㐸扤㥤㡦㌱㠴挰㑥㉢㝦㉢扤戱摢昲㝥昳搰㌷摣摣搱㘵㍢慣挹〱㉢㘲㍡收㡢ㄶ㜶ㄱ㤱㠳㙡扦戵扣敡㑢㌹㌷㘴ㅤ昳敤㙡捤㜶㈵㤱〱ㅢ㤳挱扡㜹㜹ㅥ㔱㠲㐵㡦㌱㐰捦ㅤ戲㤶㝤搳つ搶㑣〶ㄴ㌷昶戶㍣愹戰㠸㙥捤搸㙥㠰搷㈸㉣㌲㍦㙣㉤慤㝡ㄷㄱ戱慤㍢敥㌱㜳㉤搸ㄱ㔸㈱搱㐷㐹愱㐶㘸㐲搳㐴㔱㉢昶㡡ㅦㅥ挸㜳㌹昲㕥㥥㐰攱㉡愷搳㘷㥥愱扤㘹搷挷㌱ㅡ摡改㥣搳㈰愲㐷㡤挲扥㑣㈹㑣㑥㌵敥㘶㥦㌷〲摣㝢散捣㠹㘶㘴敥〵挵慣㜵㝡昹㌳㘴扣㈲㡢㐶㈰㠴㍥扡㍤ㄱ愹戰㡣㤴〳づ〴挶昹搴㑥㝥㈵㑢戵㈱昵敤㘹㘶㡦㈲㤲㌴㘸捤㥢㉢戲㠶㜸戴㘳㠶㝢愲〷㥡戱㡥㔹ぢ攲扡㔹捦㜱㑣㤲ㄶ挹㜲愹㘲㤲㠲愷敢愱㜷搲㜶つぢ㐰搱㕦㕣㘴㕥㐲㤱㜹㐹ㄵつ㕡愷ㄹㅡ㔴㜹㡥攵㥤㌷㝤㍢㕣㜵散㑡㤱てっ摦敤〸㥡〴㤳㔳昲㈶㈹㤱ㄹ㘳㙤搶晣ㄹ㤸㙣挱〴搰㍤〱㌹捡慤㈳晡㐱戹㥡㈸攰㥦攸搱戱〴〱愳㍣愵挶㥢㌱㥡慥㙥㐷㐰攴愸㜴㌹戹㠳㜱昹ㄱ㤴㐴㐲㠸㔸捦㈰ㄱ㜸〵㔳㐲㥥㉥敥㠲㜵挶戵㐳㘰㡦ㄸ㍢㙡㠷㜳〱㔰づ㠰慣㍡摥㕥慢戰㥡敡㌴摥搰ち㌷㜴㔶戵愸㠹敢㍢敢搳㝡攳搵㥢㔴㐷ㅡ㈵愵㐸戶㙡愴㌴换㈶㜳摣㐹慡㐶㈸挵㥤㘸ㅢ㤱攵㌶㙤敥㍢愵挸ぢ㔰㑣㡡㘶㜲挶㕢ㄴ愱㈰搰ㅢ敢㈸晡散戳挹㈳ㄵ戱愱つ㔰愲㥥㡡捡㠶攲㤰攰〹㕣㍢愹捡㔲晣〴晥摥ㄳ㘷ㄷ敡㘱㑢㡤㜹㘹㌴慥㤹慥搵ㄶ㕣㔸〹ㄵ搳慦敥㄰㤶挶摡㈲つ愳戸戳㔷敤ㅦ㙤㙦㡡ㄱ㘳㌶㘴㔸㈴挳てっ㌶〴㜳愵㈲慡戴捥㠶戸搵㡤攲㈲㥦㑥㑡搳㔵ㄸ㔸ち慢㜳㜲㕤㤹㘱㑤㑢㝥㔴㜵㘸㥣ㄶ㤵ㅣ㌵慣改㤵〰㉡㍤愴ㅣ㡦㜳㡡挱つ敢㌴摤㔲戸挴〰戱ㅢ攷ㄶ㉢㈱㐲扢㡤〱㜸㌲搸㌹搸挱㡥㐴愱ㄳ㕡㘷㤴愰㠵っ挲㙤㕤〴㜹愷㐷㡣㐲㤰㕡㉡晤㜵㑡㝣昶㈹愶慦㑥攵㤲㑣捣㐴っ㜷㘵㔸て㐰㙥㍡㌲㐹㉥ㅡ㑤〲收㤱㘴㔳㐲㙢㌰㈹愳㠹㌱㐴㤳捦て㜱㡢㠷戱慣㘱戲㑤つ昷摣㐲ㅢ摡戴戶戱挷㍡攱㔶㙡昵慡㔴慡㌸㤱搵㑡㈳敦〸㝣愹㉢㠰ㄱ㌷㘵散㑢扣㈹㈷㜰㤴攲㤲㠹愴摥敤㙥㘳ち摤㤵㤰挳ㄸ㤱敡㘳〰㌲挳㉤愷〲㘲ㅤ昷ㄴ㘸ㅦ敥㙤㕥㘰㔰㤷攷㈰搲㍡㡡㈸换收㜱ㅦ慦ㄱ㐵㔶摣㤶㙡㌶敦捤㝢戴搹㔳㐵挷敤愸㘸㐷攰〸敢㡣〴㕥愱〰㘳愴㐷敥攰㈰戹换㜱㜴昷昲㈳敡㌱㜷ㄹ愸㔰ㄸ㄰㡣昱昲ㄴ㤴挳慥㠲㤱㘸㜰㙢㑤慢㕢㌰晡㑢换摢㤸〶㄰っ〳搳愰㐵换挸挰㤹㐵㝥㙢〳攷〶戴捡㠸㤰愶㠳愹㡣㔱㡥挲㘱て愴㠱㥢㜸㤰㕥昶愰㠴挲㝤敡㘲㔸㜲㌷㜱摣挱ㄱ挸昳慦㙡㉢㕣㌴㐳㕣㝦㜱昷户ㄵ㑦㔷慢㌴㜷攱㥦摢ㄱ㔸挵搵㡤挸ㅣ摤搷㜶㈹㑢慤㠹昶摤㑤㙤ㄵ昱㘵挱㐳㜳ㄳ挷捤戰戲扡ㄴ㙥㐴ㄷ户㝡㈵〹晤〷昰㐷㙣晡㜶摡捣㜹㤷ㄷ㔱搷戹昷愵ぢ慥㜷搱㔵昳搲〳摥晡〳㠵攰ち㘵㍦㈷㔹捡晤ㅢ晦㔴搲㜲晡昷㌱攲㜶愶捤〱㥡づㄲ㡥愳㔲㈴つ挶㤰捦愰ㄳ搸敥㡤㕢〳愴㤳㝤㙤㜴愲〴挱㉥愱戸攷㕦㌴㐲ㄱ摦〳㕡㐹㉣搱㤱ㅣ㝢晥ㄵ戰扥昸㉥㑡㠸㜰㍣挷㘲㐴㝦ㄵ㜲ㄹ愸㔳㠲㍣扥攲挱ぢ㈱晦㍦㔸㑡戸㜹㔳㜶晡㉦㌰戳昸㑥㍢㡡慥㈷㡡扥摤㠱㈲挱㙢㈰㡡㝦敦㐵㈶㐹㍡挳戳捦㉢㄰捥㌵敤ㅥ㐰㕦昲ぢ扦晦挳〳攸㝣㑣ㅣ捡㐶㐳愸敤㘶㍣㌷㑣㠴扥づㄳ㠱挱㝢㘵㈲㥣㐴㐶㌰㡡ㅦ㤹〸戱て㘴〱〵㕢㥢〸㡣敤㘵ㄸ㠲愹㔰㙢捡慤挱ㄳ搸㔵づ晤㘳挷㜱昱㔶〶㠸攷㐳㘹〵戳昰㐸㕤摤㔹扣㘸晡愶戳㕦㤵ㅦ昳㈵㤴㤹扦㡣㥢摣慡ぢ㝢㕣扢㘹㡤敡戴㠹慦㈲昱戲敦晡㔳戶㜷㝦ㅤ㤸㡡㔲攴扥ㄷ㐵㔱㜸〱㥥ㄲ挱㜳㐳敥扤晢扥㜶散㜷て㍤㌶挵摢㙡㌱慤敡户㈱摦㑢挸㥥昶〴㠲扡愹㡢㈲㔷昲挳㥣㤳昸㐴挹㕥慢挹ㄹ搳㔷㔶㔰㘰㌸㐹㌶㈲扣ㄴ㘱㐶挴户ㄳ㑣㑣摣㝢㠸㑣捣㠹㌶㜷愷晡戰㐹戹〸㈷㔲ㄳ㔷㍥扤㈴㙣㈸扡㉡戲ㅥ慤㑤晤ㅢ㔰㐵捦㜳㈲慤㔶㈲㑦㥤㑣㐲㝣扤㕤搷ㅤ愶慥㡢づ㌲っ晢㈷㔲ち昱〷㔲㐸晡㈰挳ぢ〱㑡㑡㥤㐶㐶扦ㅤ㈰㈳戲搶ㅥ攲愵㍦㘰㔷〸挸挶愵扦ㅥ㍦㘲挱㉥〲㡢㠹㉦扥搷ㄳ㉤㙤搱㐴㌵㌱㔴慢㙣㥡㈵㘴搴攱㠵〵㤳㐹改㌲㌲㐹搲て㈱户㙤㜷ㄴ㕦㌲攴㐴㠱户㠸戱㜵㠷扥戶㤲㜳㡦㕢挷捤て攸㤹㠲㔲ㄸ敥㕥ㄶ攳㐰慡㘲㜴㔱搳㔲㔴㐴㌸ㅣ㘵ㅢ㥤〶攲㉡攸㉣㜷㍦㑥愵〸晥昱㑢㈱搶㡦㌷㠷扥戲扤㠶㍡捥敤挷〲昹㠳晤㜵㝤〶㘳攳慤攴ㄸ㐸搸㙤戵㉡㐶搷挳捦愰ぢㄷ㥤ㄳ㐶㌳慢㥥挵㘱晣㐹㌸慢㑦敢搰晦㡣㕥㉢捥㍡换摥っ㘳户攸晦户愳㘰㑢晤㉦ㄸ㝢㔳㠸㝣㐷㥣攱㠳捥昸挹㤶㈱ㅢ敥〸㍣摢〸摥愸㠳戱愱戲っ㜹㐷戹㈵㝣扣ㅡ㔵㉢〹づ扦㔷扥晤㙡㐴愳㉦㙤摢㠱慥〲㤰戱㈱晤㉢㄰㐱㕤晢户捡慤攴㜴㕢㜸㈷㍡敥㍢㘹㔷㝣㉦昰慣㜰㙣〹㐱摦㌱㝥㝢㘶挱收㤹ㄶ㕦㙥ㄷ㙡㌷㘱㈷〶摦㡤㍥愷ㄶ㈰戰㑦挹昰挵㡡㐵㌲戲戰扤㐸〶扦㐳ㅡ㐹㠵㤷愸ㅤ㠲㉢慣晢敡㘶つ㥦慥㉥挰搷ㄹ戲㘸㐷㈸扢挸攳摣㝥㐳㠳㕢㠷㍢㕡㙦㠳㍦㐸搶㈶㄰ㅣ㔳㑢㜸攷扢戹慦敤㝢搰摡㌶㕥㕢挰㤶扤昹摣㑡晡㌳挰改昶摥搲㑡㌲㝣㈷扦㐸㉥ㄹ㘵㐲㕣摡㥦挲摦敤㍢㘸㌹摡㈸攸㍣晥愰㥢㡥戰昱ㅡ摣㘷摢㠸㝥㥦㐳㔷㌱㑤㠰㥦㘱挶ㄹ㍥〸㝡昹挸㡡攲ぢ㔸ㄶㄹ〰昹㕣愱〲搰㥤慡㥦摥㡣慡㐷敥㘵㑦㈴挱㌳〶挹戱㈴㍥㠷㠶摣慥㘸搹㘰〹㉥㕢愸戳〴昲㐶搲〳昹㥣攰㔹㐲㑤攴㌳攸搰㤸㠸㡤搲敥ㄳ昹昴㘶ㄳㄱ戴〲搴㐲搳攳㡦㈴㕡挴愸愱摡㜰〸㕣〲て㘰㈴㔱㈶挳㤴㡦ㄴ㍡㠵㈸挶昰㕤愲〸改攷昱摦攷愶㝥昶㉣搳㕦愶㠴㤲㠸愸㙡㕤〵㈵愲㕡挵㈷搲慢昰㔱摡㝤ㄵ㡦㙦戶㡡ㄱち㑢捥挴〸〱㠶晡㐴ㄹ㝦搴慡敡挸㜰㐳昹ㄳ攷〸昰㙢㤹挵㠸㠹ㄲ搵昷㈲㌲攸换㥤㔷慤㉥㈱㤳昴搵戹ㄱㄹ㕦昹㈸㐳㠹㌷㈲改搴㈹㐴㕥搹㐲愴ㅥ㡢㑥散㡥摤ㄱ㐲〲㑢攲㘷戳㕤㘵㝢愱挷㔰扦昸㔰㠲㤸攳挷㤳㑦愸戴㌸昸〴挲㠸㑣㔳ㄲㄲ㌷㔲㝣㌰㘹晣捤㙦㌵㝤愷愸㐰〲昵㐴㡤㐹㜰慡昱〷㤲挶㠷昰㜹㤶㙡㤳攳㔵〲愶攷㤲挶㈴㑣搵昸戱愴昱㥦て敤㙦㌴㑥攸㌰ㅡ㔹㈷㤱㘴ㄸ扤敡ㄸ㤰晡㔴㝢ㄸ捤㜵㡢㡡㜴挰㡡㡡㈹㐲㔵っ戹愶㔴改㈰㙥㠵昸昸㔸㝡ㅥ㤷㥣㜰ㄷ〴搲㌶晡㝦㈶㥣挰攵愷㌹㌳㌴昱㉤昴㍡愲捥扥愱㥥搸戹㘰㉤昸㈸攸户㑥〴㌸㕣㔵㜷ㄴ㠹挰㉥挸㐷晢扢㠵㜷㍥挳㠶㙣敥㐷ㄲ㉤搳㜸㤹愴㌷㉤愲㈲㉣㜹昱扥〴戳戹㐷㥢㌴㘳㍣〲攴㐰㑣〲㌲㘳㍣ちㄸ㐵㘴昶戱㘰㠴晣慦㤸晢㝤慣㜸㍦挱㘳〰㈵㐱㘶㈷ㅤㄴ㍥〰㌰㥣晣ㅦ㉢挶搶㤵攳㐴ㄳて㈵㉦㑢㤳㤱昱㈱㜶昸㌰㐰ㅦ晣戸㈲㈶挲㤲昱ㄱ㤴愴㕦㑡挱愱㕥晡㔱㔶㝣㡣攰㜱㠰㤲捥挹㙥㝢搷戸愶ㅥ㔵搸挷搱㔵㍣㑡㠰㥦昱㠹㌸挳〷㥤晢昰愶敥㐶㌳捦挴挹ㄷ晥㠸㜹戶㝣捡㝦て㍥捤摦攰愲晢昰㝦㈶搱㤵㠵㥦搷摥搸摢㔸㘴〲ㅡ攷敡户㠶捤㝥〱攳㜰㕤捤㔰ち㐷愴㔲㈹㙡〵㐱㝣㜳挱挲挳ㅢ昸㤶㈳慡㐲〸搲㠰慡㜰攳㡡㈹ㄴㄸ㑦戲㈹㜱㑣㍣ㄹ㥦攴ㄳ㔱慢㌶昱㔳㜱㠶て㠲㜸㔵摤ㅦ㠸扢㈷㉦㈴慥㔵㠵摤昶㐲攲㕦㔵慣愶㕦昸ㄴ〷㔳挸㐲愶㔵㉢ㄱ㘹㡡㠶㍥㠷捣㔰摦㌰攷㜶㍦㝥摡㈵㔱㌹㔷㍤㜷敥ㅦ挳昹戱㙢昳㙦㝦敢攰㔳捦晤昴昷㑦晣昲㕤㐷晥昴慦愷㥦晥攵ㅦ㥥㜸昶㕦㍦㔸㌹昲攳㘷㥥昹搱扤㕦㝣昶昷㝢慤㉦㘹摦晡挷晣㤷ㅥ㥥扣昰昰㠳搶㤹摢㡥㍤晣㡥〷敥㥢㕣扣㘲扣慦慦扦晦搶搱㥦㕣昳㥡㤱㐷ㅦ晣㡥昸攱慦慦㜶㠵㕡㉥㕥搰㍡つ㉥㕢㑤攳昳挸㘰ㅡ㥣昱㑢㍡つ㉥㔷㙤搴㑡扣㔱㌳㈸㈸挲戹挱〹愸ち戳戵㘲攰㍦〰晡戳㡤</t>
  </si>
  <si>
    <t>㜸〱捤㕢〹㜴㕢搵㤹搶㤵慤㘷㍤搹㡥〵㐹㈰挳ㅡ挰㈹㠴愴㐶慢㉤㤵昱㌸㕥ㄲ㘳戲〱づ攱捣㥣㑥搵㈷扤愷㔸㐴㑢㉡挹㐹っ愵改㑣愱ぢ搰㠴㐰㐳㈹㥤㤲戰㌴愵㉣㈱㉣捤㐹㠰ㄶ㘸㝢愰攵㤴戲㑣摢改捣㜴愱㌴㘹〲戴㄰㑡捦㉣㘷㍡㘴扥敦扥昷㘴㉤捦㑥愰捣㌹扣㔸扦晥晢摦晦㙥摦晤摦晤晦㝢慦攲ㄲ㉥㤷敢〸ㅥ㝥昳㘹㈶㜳捡攸㐴愹㙣攴扡〶ぢ搹慣㤱㉡㘷ち昹㔲㔷㝦戱愸㑤㉣换㤴捡㑤㔰㔰ㄲㄹ攴㤷㍣㠹㔲收ち挳㥢㔸㙦ㄴ㑢㔰昲戸㕣㕥慦敡㐶㍥㌸昹昱摢〹㤵愵搴㘶ㄲ收愹ち㐹ぢ㐸㥢ㄷ㘴搵攰挰捡攴攵㘸㘹戴㕣㈸ㅡぢ攷慥㌶敢敢つ〶扢㠲㕤愱㜰㍣搸ㄵ㔸㌸㜷㜰㍣㕢ㅥ㉦ㅡ扤㜹㘳扣㕣搴戲ぢ攷㕥㌴㥥捣㘶㔲㑢㡤㠹㔵㠵戵㐶扥搷㐸〶挲㐹㉤ㄲぢ㐶愲搱㜴㍣ㅥ㙢㔳㔱昳㡡挱㠱㡢㡡㐶扡昴㝥搵改㘳㥤㉢〷〷扡㔶ㄸ攵昷慢捥㔶搴㠹㉡㠷ち㌹㉤㤳㝦㥦㉡昵㄰敦攸㤰㤱捡㜰㘲っ愳㤸挹慦改㐲户㙢㠰㐶慡愷慢扦㔴ㅡ捦慤攳ㅣてㅡ搹散㈵㐶㥡ㄳ愲收㠶㑡攵㡢戴㘲慥搴㤶㈳㝥㐶搱挸愷㡣搲㡣摣攲㡤㈹㈳㙢㈹㤶扣戹搵㕡㜱㠵㤶㌳㥡挹㜴攴捣㌹ㅣ搱㡤㝣㌹㔳㥥㘸捦㕤㕡㌲㉥搱昲㙢っ慡㜸㜲挳攳ㄹ㕤㌴㌷攳捦搵㜴戶㔳捦攴㐴愱㍦戹挱㌱慤㔸㤶㈹㑥㘱搰㐹户捡㕣攴㈸㙡晢㠵㔲㜳敢㑡㜱捥㐶㌳戹愵㐶㌱㙦㘴搹〸㘷㜲㐱㥤㤲〴挸㥣㠷ち㔲昶㜰㌸㑢愲搵㝡㌱㌸ㄶ攲愴戴㠱挴㔷ㄴ㡡㌹ㄸ㘴㜰㕥㙦愰㉢搰ㅤ〸〴㠲愱㔸愰㍢ㄶ㡦〴㝢㠲挱搸挲㜸扣㉢ㄶ㘵㕥㜷㌸ㄴ㡡㐶㝢㈲挱㔰戴㍢ㄴ㡥㐵㠳㙡㍢㡡慢㌳㔸㔱〷㐸㜳敦㜰㈸慡晡㈹㍢づ㐴㌴扦㠱ㄷ戳扡㐹昶挱㥤搰摣㠹愴㍢㤱㜲㈷㜴㜷挲㜰㈷搲敥挴ㅡ㜷㘲捣㥤挸戸ㄳ㤷扢ㄳ㙢愱㘳㍦摥㤶ㄶ户昵㑣㥣㜹摦㕢攱愷摥㕡㜱敤㤳㔷捥昹晥昲攸㈲挱㜷㔱扥捡㌳挱㥣㙤つ㘱戹愱攵㝢扢ㄷ㡥㤶昵㈱㘳㝤㙦戰㉢ㅡ挷㐰攲攱㐸ㄴ㘳改㡥㜵㠷搴㔹㔰㔶㘷㠳㈸㈷㠰㌴昷㉥つ㐷搵ㄳ㈹㥢〳㈲挴㐱㜴㤸㥤摥㜹敡㌳捦㈵户㕣㌱昸㤵㈵晦昵扢㔹昱ㄵ戳〵㕦㝡搹摡㐹㘰㝡慤搶㘲㕤戱㤸挴㉣㄰㡣㠴㈲攱㔸㌸ㄴ㡢〵攳挱㐸㉣摡㉤㐱㤳㤹愱㜰㈸ㅥ㡤㐵㠱㔷㌸ㄸっ㠵㠳㈱昵㘴戶㜷ち㠸㜲㉡㐸摢挱㕤㥦㍥㜰晤捤㠷㜶㝤攷搰慥摢搵搳㤸㜷㍡㠸㄰㉦㕢㝤㜹㘶摦㡥敤㍦㝢㔵っ㝥㝢攵㑢晦㍣晥挰昰㠹㠲㙢㡦散换ㄹ㘰㍥㔲㍤昲㐰㔷〸搳ㄳ愸晡ぢ搹㔸〴扡㈲㍤戱㜰㌴ㄲ〸挶攲㤸㍦昴㈹愲㥥挹挶捥〲㔱㍡㐱㥡㝢㐷挲㜱㜵ㅥ㘵ㅦ〲ㄱ攲㕦慤づ捣㜹散慡昵慢扦晣愹攱慤户晤㑤挷摢晡㌷㌷ぢ慥㝢戲〳攷㠰改戱㍡㄰㤶㐸㠴扢㝢㐲〰扡扢㈷ㄲち〷㐲挱戸〹〴慣〷㑢㘰㈰ㅡ挱㔲ㄸ㡤㐱㈱ㄸ㡢慡昳搹搲戹㈰捡〲㄰摡㑥㔰㕤㐸搹㠷㐱㠴㜸挹㙡㍤昵愱㉦昷㕥㝥攳㘹㡢敦扡改搰戳㤷㉥㥣戳戹敤㍣㘴㕦㙣搹昱㔰㔱摢㠰㤵㘱㜲搱〹㜵挱㠴㡦㘵戵挵㘲㥢㡥愶㝢搲挱愰ㅥつ㘸㘱捤㐳㔳㍥搶搷㥡㈶摥㤶扥㉣㤳搷ぢㅢ攴㝢㝥捡㠰㔶㌲㈶㕦晢〵㔶摥㐰㘱㍣慦㤷㑥㜶捥ㅣ㉤㙢㘵攳愴晡扣挹㑡ㅡ㡡㡤㘲ㄵ㌴㑡戲扤搳敡㡢慤搶戲攳㐶晦挶㡣㤹㝤㙡㕤㌶搶挰㐲㜲敡摣㈵㐵攳ㄳ㤵摣㠶ㅥ昵挳㠱慥㤷㜵㌷㡣搲捣㌲晢㌵㜷㜰慣㔰㌲昲戲㝢ぢ㜲ㄷ㘵㔲㙢㡤攲愸㐱昷㙢攸㜲愸戳㤹㘵㉤挴ぢ㔶收㌱㔰㉣慤晡㤹搵搲昴攲㡤㘵㈳慦ㅢ㍡晡扢捥㈸㤶㈷㔶㘹挹慣㜱㐲㡤㡡搹㈶㌲晥慡㐶扣愴㤰ㅡ㉦つㄶ昲攵㘲㈱㕢㥢搳慦慦搷戰昸敢换ぢ扡㠱戵扢㤹㡦㑢戸㥡㥡㠴㜰㥤敢戴㠰戲摥㔲㤷㥣㠸慡㈹收㔲㍥愷搶散扡㉥挱攸㌰㡡慣㐱㥢㜴㜷ㅥ愵㌲㔹㉦慢㤹㍦戵㘲搵㤸ㄸ慢㔰晢㥣愹戵㘵ㅦ㉢㌳昷晦慢散㜶捦戴㐶扦㜸㍤ㅣ攴〵㕡㕥捦ㅡ挵㘹㈳㉤挱ㅥ愹〱㄰捦昳㜸㥢愷㐴㡦㑢戹搸㈸㈶㍣ㅢ㌲㝡㜹㑣ㄹ㌳㌲㙢挶捡㤰㈱ㅡ昳㝡〹㙤挳愳㠶㈰㔲挳㈴ㄱ㄰㥦捦愵㐴愹愴昸搴㙥㌳敤愱㔷㝡昷慥㤷昱㥥㉡㕤㍤攲戲㤲㈷户愴㔰㉣㌵㌵㌹㡤昲〲慤㌴㔶愶㜹㑥㥢㈹㠳㤱ㅥ㔶ㅡ〳昱㜰攱㌸慡㘷㤷慥㤴〱㑣㝢㙥挸㐸㙢〸ㅢ攵摢㉤㌴㑦捥㡣㐴㠶㡣㔲㑡㘵挸㌲㠲㜷㘵愳〲づ㉦㝦㕢㡥搶㙦㙣㉣て㘹㘵慤㈵㠷攰〷戳愴㐲㘹㠱㉣㘵㜲㉣搹㉥㘵㜶㘹㥦㤵㐲つ㝥挹㔶搵搲㉡〵㘶㑤㜸㜱昰扥戸㥡㉣㍡晤㈰搰㜷㠶㈷㑡扤愱搷〶㌱㠸慤昴㘱㈳扦㙡㘲㥤㔱愲扡㔷㤹ㄶ捡晡搷㡢㤵慤㑣㈵㉦㉤㘷戲愵㉥昴㜴戸㔸ㄸ㕦昷㝥搶挳扡搴㌸㠸晤㜸㥥㠶ㄵㅦ晢㤸戸ㄳ㘹㔹捦戹㐹㈴㕣㕥搶㐶㠹㜲㍥㠸ㄹ㈹搱㘴㔱攳ㄱ㝣挹㐷敤挵㤷㑦愵㠲敡㥣攷㘱㕣昵㙥愲㍥挶㉤㙤㌹挰戴慡㘸挸㌸搶㉢ㄳ㠰扣㍤㜷㔹愱戸㌶㔹㈸慣愵㔱捤㤰愹搲㤸㘱㤴ㄹㅢ戶㕡戱戰㡣㜹㠵㘸㙡慡㠹攲慡㠲㐸㐶㜴㑡㍦㐸㝢㝦㌶㍢搷慥戱愴っ㐰搴㠴㈸㔵ㄹ〴㌳㜴㘰摢㘷昷敦扤昵搵㥢昶ㅣ扡晤晡㠳昷㕥户晦摢㌷晤㙥摢㔷づ摣扦昳挰扥㠷て㙣搹扤㍡摣ㄵ㑣扣㝡晢扥㠳㕦摤㜵攰搱㥤慦㝥㙥换愱摢敦㑥ㅣ晣昴搶〳㝢㍦㜳攰昱㉤攷〴攷㜷㙤捣㤶㌶㡡挷㠱ㄴ㘳戳〷㜶慥㉢扣戶攷ㅦ㤶㙦敦㌵摥昹㐵挷摢昷㠸挷慣㡣㠶㄰㤱挱㥥㡣㔰㤷㠰ㄱ晢愰挶㘵〸㝣敤愳㕥㠰戴㍡㐲㜲㈱〸ㄶㄳ㠹㍥搶㤲㘵㘶㔲㌰㘰攴㝡愲㉥㈷㔹〱㈲ㄸ㌴捡㐸㜷㈵ㄸ晢ㄱ扢㔱㍦㡤㐴㑥昴挵㄰㥢ㄱ㘶挳㘴㡥㈲换愷㔲愱㜱愲㘵㥥㘰㍣捡挹㔶〹慥㑡㌸㔵㐲㈹㜶愲㜶㐷ㄴ扥㙥㘵㌴㠴慥っ㌷㈵ちㅦ㘵昹㍢愱收㡣挲挷搸㐶㠲攴攳㈰㔵㈸㈴捤愴㘰挸㉡㔱㐸㠱㔱㜵㄰挱㜰㔵愲㘰㠰戱ㅦ㜱㉢摡戰㔱㔰ㄹ攳㌶づ㌲〳愹㙦扡㍣挱㈰搸〹㠰ㅢ愶〲㘰㡢㤵搱㄰㉦㥦㠹㥡㈴〰㐵㌰攲㡢㔳〲㐰㤷愳㡥㤳慣〷愹〲㘰愳㤹ㄴ㘷攱㕢〲㌰㐱愵㉢㐰〴挳㘵〹挰㤵㘰散㐷㕣㕤〵㠰㜲ㄵ挴㘶㙣摤㘰〶㥢㤰攵㔳愹搰㠸㤰捣ㄳ㡣挴㥤㔰戸㘲㉡ㄴ㈶慣㡣㠶愰㝤㍥㙡㤲㈸㝣ㅥ㡣搸㌰㈵ち搷戲㌷搷㤱㕣て㔲㠵挲㘶㌳㈹捥挵户㐴㘱ぢ㤵㙥〰ㄱっ摢㈵ち㕢挱搸㡦挸㔷愳㜰ㄳ挴㘶㡣摦㠰挲㌶㘴昹㔴㉡㌴愲㈰昳挴㠷㤱攷㠴㠲㍥ㄵち㈹㉢愳㝥昳攰〹愰愶㜷ㄱ昴㜱㜹㔳搳慢㌳挶〶㝡愹ㄹ㘹㥣〸っ㡥㤷捡〵改㔲摢搳㐳㠵ㄵ㠵昲㔰愶戴㉥慢㑤捣㑣㕢捣㘵㘳㐶ㅥ〱㙦ㄱ㜱㙦㥤慣戰㙥㥤愱慢改搱挲㜸㌱㘵㡣っ㝤㄰〲㘲㡣て昳㈷㘳㘱户挰昳摥㘲㍣㙣搷〴㑣〵㡦换挳挸慣摥㔵换㜳㠹慡戰㕡戲㌴㤸㡥㐹㐴㔷㘵捡㔹愳㌵㉤㐳㕡挹㝢搳㐰ㄱ扢〸扤㈵扤㙡っ摥㙢愸㍤㍤㕣捣攸搹㑣摥攰㘴捣㌲㔵㤷ㄹ㙢戰㘳戸愸㔰捡昰〸愸㍤扤慡愸攵㑢敢ㄸ晣愴㈶㡥慦㐹挹㈸挹㤳ㅥ挸攴㑢㘸㐶捥㈲昹㡥昴攸㔸㘱〳㑥ち挷㜳昹㘱㙤㕤改〳㌱㉢昴ㅦ收㈳愷㐶戸㠵摢㉤扣㙥敦㝢㥤ㅦ攵㌶搴㌶搳摣愹捦㠵㥤㤶㡢㤹攴㌸〱㤳㡤㜰捡㥡㐹攴ㅣ扡㍣㘱㜰昵㘱㑥搵ㄴ搶敤㔱搸搷㥡㔳㌶挷㜰戹㜲晣㉡昷〴摢㔹㘶〷挸㠵挳㤷㡥㑣敥摥晦愲昳㔲て㜷〲挷扣㔹㥡つ攵ㄹ愶〹㜱〳㐵㡢挲㥢〹㑢㘰慡摥㉣㝤㘹愹㐳ぢ㥤㌱挹㉥㐱扣摤㤶㕥愶㈵㡤㉣戶〹㌹慤㍣挳㑣㜰扦㠶昳戴㤲㤵㌷㔸挸攵㌴㥡ㅣ㑦〵㐷㔳㕡搶昰愶晢挷换㠵攵㤹扣㥡〶㤱㜶㘹㠹戴㡤㄰㘹ㅢ捤㠰㍥㝤〹㡦て㈴捦扡ち㙢戴㘲愶㍣㤶换愴扣㑣㜰㡢晦㠱戰㔵慣ㅦ摣挰搹㡦扤㤶搴敦㄰捣㌸ㅤ搳摤㠵㑤㌵愱摢㠱ㄲ戰㘸户㔰昰㑦扣挷摤㈵㔶ㅥ改㌴搴㍢㔰㥢挷つ挲愵㐸㍥㠷敤㍢㠱挳㥢㈰㤱㡢㤳攰收㤰搹敡㥤ㄶ挳㐴㌳昷㘷搳㙥㍤㜸攰攵㕢㔶搰昴㈵㕡ち㈷晣㉤搶昹扥ㄷ㔳换愵愶攸攷㘶㜰㄰攷ぢ㌸户㔸㥦搱㡤愲㤷㠲㔱摣㉤㌴㜳ㅢ愹㤸㜳㠸㠸戸挹攵昱戴㝡㥤摡ㅡ戱敢敡戴愲敢敡扢㡢㤱㠶晡㝦㝦㜱慣慦㠹扤昲㐹ㄷ㜵ㄷ㔸昵敢㈰㠲摢㑣㡥愷㑥㘱㈷ㄵ扥〱攲攱㠶愶㝥㙥㙡昷㘵搸扤昱㈵㙤㤶㈷攳摣㌱㝡戱扢㤲㕢㑤㡦ㅣ㐸㙢搵ㄶ㔱㌱㜷㠷㕥晢戸㕤ㄹ㠵㤵ㅢ扡捦㕣㕦戹ㄵ攵㜴戸摤捤㤸㙡愵晥㜸慤愱㔹㔴㤶ㅢ㌵攴摥㔱昸搰〵攵㙥㤰㔶扥㉣愸㍦㌱ㅣ敡㘹〸㄰㝣㍥昵ㅥ攸戸㝣㠲㝢㈷㝢攰㍣愴戵㤰戹ㄷ慣㝡ㅦ㠸攰㈶㠰敥扦捡㔹〹㐶晥㜲攱㔳敥〷㜷慣ぢ愴ㄸ㠱㌲ㄷ㐹㜵ㄷ㠸戸㄰㠴㙢㑦挵ㄶ㜷㠳㍦扡㉤㜲㜳㈱㙤昱㐱㡢㘱㐲㉣〷戱㠷挱搷捡ㅡ挶㐳㘰搵㠷愹戰挲㔹攱ㄱ㉡㝣㡢ち摣㤰㜰㤲㤵㍤㈰ㄵ昰㤶㠶ㅤ挱摢ぢㅤ㠰㌷ち㙡户㕡〵摥㍥㠸搵㐷㐱〴昷づ昵攰㜱挳㘰㠲昷ㄸ戸㘳〶㉦〱㘵〹摥攳㘰挴挷㐱㙡挰晢づ〴㐷〷㉦挹戲昸愸㑦㔸㡣〴㡦ㅢㄳ㝢ㄸ㕣ぢ㉣昰㥥〴慢㍥〵㈲戸㘹㜱㔰昸㉥ㄵ扥㐷〵敥㘳㈴㜸摦〷㌳换戶扣㥡㈳晡㈸㜲㄰㕥ㅥ挱㤷㝣㘰㠲㑦㤳昱㠹っ愸㕤㍢㌷昱㔶昳捦㠰㔵㝦〰㈲㡡㈰昵㈸㤶㈱㌳㔱晣㈱戸㘳㐶㜱ㅣ捡ㄲ挵㘷挱〸㙥㔸㙡㔰晣ㄱ〴㐷㐷㤱ㅢㅢ㠹攲㜳ㄶ㈳㔱㥣㐰挲ㅥ㐶ㄵ㡡㍦㠶㔸㝤㥥㡡摣昹㌸㈸扣㐰㠵ㄷ愹挰捤㤰㐴昱㈵㌰ㄵㄳㅣ㠹〴㥤摥摦㥦㐰〷攰㙤〲戵㉢慤㌲挱㥦㐲慣晥っ㐴㜰摦㔲て摥戵㤰㤹攰晤ぢ戸㘳〶㡦摢ㅢ〹摥捦挱㠸敢㐱㙡挰晢㌷〸㡥づ摥㘶㤶挵㐷晤㜷㡢㤱攰㜱㔳㘴て㐳扡つ㜳㠱晥〵ㄵ㝦㐹挵ㅢ㥣ㄵ㝥㐵㠵㕦㔳㘱㉢㠸〴敦㘵㌰ㄵ昰㠶㐳㘱㈷昰㕥㠱づ挰摢〶㙡户㕡〵摥㙦㈱㔶昷㠳㠸敤㈴㑣ㅤ戰ㄸ㍡て捦ㅤ㈰昵扥愰挱㑦换㔵㈸㑤㡦㍤㕡㥥挸㈲㑡㈲㑢摦㘰㜲昴㜲㍥㈹㠳挷㉡ㄴ㜱晦摥㕣㝦搰㕢㈹㝢ㅥ摡㙢㥤㔵㜷㠸㉥㡢㌱㘷〷㍥㥥㤳昰㘶㑤㔹㥥㈳㤸㍣㔱㘳ㄹ㍥捡㐱㤰㔹换㌳愹㘲愱㔴㐸㤷攷㡥㘲〷㌰㤷㤷ㄲ㘹ㄸ㑣扦㘷づ㙡㜴㙣㤳〳㙢捥昳㙥㜷㍤て改㝣㙢昳㠵つ㜹搹ㅢ㑦㠹㜷㌳ㄲ慦㤶ㄶ㌶攳挳㐷㍥㘷〱㐵晦㥤㘰㔹㔸㝤ㄵ愴扤挹㝦ㄷ扥愸慣扣〶㌲㙦㜰㘰昰㤲㐴㉣㥤㑡㠶㔲愱戰ㄶ〹挴㜰㌷ㄸ㡤敢㤱戸搶搳ㅤ㡥㐷愳愱㥥戸ㄶ昳㑢㘷つ㜵昵㜵㄰㍦摤戳㙣敥昷㑣搱㑦换ㄴ昳㍣昷㠰ㅣ慢攷㘴慦㐴㔲愴㠴㉥㡣收㤶ㄶ㌱慦敥敥愰挱攳㔶づ㕦ㄵ㠵㘳昴ㅣて戰㡥慤㄰㍢㌸㌹ㄷ㉣㑣㤳㔲摦㈴㌹っ攲昳搳昵㔲愶扣〵㜲摣攰㐰愲昶㝥㕤昹㈳挴㙤㄰换愰〲ㄷ昷㈵攵㙤㐸㘶㐰㔲戵挳昰摦〷㤹慣昹㑦㘰攴㕤戳扣㜵ㄶ搲昵㔲昴㥦㈰散っ㤵挴㙥㄰㕡戵昰㘲㈰戴㈵昰㉥㤵〶㐲㕢㄰ち㈴戴〷㜶㔷㍥㜲㍥改㠰攵㝣晥てㄸ捣攷㐳昸攲挲愷晣ㄹ挴㥡㑦㈳ㅥ搵愲㕡㈴㤲ち愴㈳㐶㍡愶愵㡤㔴㉡摤慤㈵㔳挱㜰㜷㉡愹㉢晦㕢㔱㡤〷㔳攱㙥捤㐸㐶㠳戱㔰挴搰㠳㜱つ愴㍢ㄵ㡦愷扡㘳㤱愰㤱昶㍦㙣㔵慦扥〳㐶㘵て晤㡦搸㈲㡥㐴㘵挸攴晦㤶㉤慡㘸〹㍡㙢㕡㠳昸昳㍢㐷㡥㜰愶㈴㉥ㅥㄶ㔱㐰㝣晥㝤挸㤴㌲㈲慥ㄲ㕦㤵㤰晡ㅦ戵攵㍥敡捥愶㝣ㄶ㠸㤰ㅥ㤸愹㜶挸昱㘷㝥攸㠱㈵㠶㝦㐴㌳㌶㠶㑡〷昲愷㝣挹挴㘱愸㌶〲晢〴㙡㤲挰ㅥ㠷挲〰昶㐹愴昹昸㥦㌲扦㕤晥敦摡捣昷㉣㐶搰㤷捡㐱扥㔱㍤挸㤹愸㐰㥤〵攲昳㍦〳〵づ㔲㤹㡤愴㠳㔹㥤〰㜱慤㔹㥤〸㐹扤㔹搱ㅦ㑢愸收㈰㔳摥挶换㝢㜹昱㉣攴㤰戸搴㤳㐱挹㔰㐹搰㥤㑡㐸昶㔷㐱㌲㘹㔶慦㌸㡥㥥㑥㔵㡥晥㜴搴㠳搱搳㠱㑡戳㥡㡢戴㘵㔶㝡㌸愹ㅢ㠱㐸戲愷㈷㄰改搱㔳㌱㈳㥡ち㠴愲戱㥥㐸㍣ㄸ散づ〴㤵㌳㉡慡〱㘸ㄸ㍤㍤㝡ㄴ㤷敡㤱㤰ㄱ㡤㠷〲㐹㈳慡ㅢ㘹㕤㠷㐹㐶搳晥攷慤敡搵㌳㔱㐶㍤ぢ挴晦㠲㉤敡愴㘸ㅥ㐵㉦摡愲㡡㤶昸〹㐴ㄲ昱㥦㔷㈳㍥㥦㐵捥〵昱昹改㠳㈵㔶㜵㘶㐵户㉣攵㕤搴㍤ぢ㈹昹㤳〲㈱扤㉡㔳㐱挸昱㘷㘲㐸慦㉡㌱晣戱㈳㠶㍦㜲挴㤰扥㔵㘲ㄸ㐵㍤挰㤰㝥㤴㌵㉡摤愰㈶㠶愱㙥㑤て㠵㌴扤扢〷敦㔷㍡慤㘹㐶㍡愰㐷㜵慣戹㜱扣愲㝡户㕦扡㕤㤴㔱㝢㔰挶㑦㐷换ㅡ搴ㄸ㔳扦戶㔳捣ㄳ慦㈰㈵㤱㜸扡ㅡ㠹昳㤱愵晥㌵㠸捦晦㕢㈸㌸㈱戱摦㤶㉦愲敥戹㐸挹㥦㌷昸改㙤㘵昷〷㈱㙦㙦昲搰㘱㥣㕦户㈶㍢㥦慣㉣愸扦ち㕦㡣慢敤〹㥡㑦ㄳ戶㤴收㐶慣搹晤㤱昷㔶㤷㍣敤㘰㈷昱昱㍣㡥戱晥〵昵㘰㘰㔵㝥㠰㌵㥥捥㥡ㄷ㐳敥愱晦ち㌸㜵㜱扡㥦㍦㈹㈸㌴㍢㌷㔲㠲㐷挰捦攸㔶ㄵ晡㉢扦挱㍡捥昶ㄴぢ散ㅢ摡㜹㤳㤲晥㘴〹㘷㜸㘵挳㉥戶戲㔸㈹㠷ㅢ㑦昸㜷㘴㉣攰㝤敥散挹㔴搵㐶昶攴㐹改㐸扥㠴摦ㅥㄸ扡㕤㘳〹ㅢ扢㘶㜷㤳㜰㍣㌷戶㝥㙤㠵慢㉥扢㠲挵昹昱㕣㉢挶㜰戲挳㐶㝥㈰㔳㤶〷㘱㕥攴ぢ昵㌵㔰㘵ㄸ㐰㈹扤㥤挳㥤愱愸㘷㉦愶攲㕤戴㔲ぢ㍤摢攴攳㔳㐷㤰㈱ㄸ㐹戰㍥㡡㍡攸㤵㍤昸㄰摢慡攷㜰㥦㤵㔸㜴攵慣㕤挳扦戹攲敡扥愷㥥扤㝤昱㥥户摦散敢愰ぢ㤷㈵晥㕥㥣㜱㘳扦攷攵㑤摢摦扡攷晣㜹㕦㝢攰㠸昵扤愹昰挶收晤㥦摣扢慢敦㠷慦㘷昵㜵攷敦敦ㄳ昴捦挷攱㔳㝦㘳昵㌰㍡攱㜸㘳昵㤰㤵㔱㝦㙦攷愷㐷㤷㙦捤㑡っ愴扤㐹搰㉤昳捤ㄱ扢㔱㠲收㉡㉤散㘲㡥㤲捥㤱㔶㈶㔴晡㙡㘵ㄴ㌲㠰戹戴㌳摣攳戹て㡡㡥挷㠱搶㤴昱戰㠱〶㠰ㅦ㡣㡣攸㈸㔷㘵挵㠴㤲慦㥡㑦扤㤴㡤㄰㐳戳ㄱ㝡㜹攵戲㑡㈳㔱㜱㌷ㅡ戱㔱昶愹㝦㑢㙤慥㉥㙣㥢ㄵ挸挳㈸㍢扦㠳㥥㝡摡㔹㐰〹㍣摥㐵昲换攵㕦搴㐱户㍥敤㉣㤸㥡㜳ㄶ慤晥搳㉤昳ㅦ摣晡摦㝤㠲ㅥ摥㘹ㄶ敥㐴㡦ㅣ㘷攱づ㉢愳晥摥搰捦㤸㐰捥㐲〲っ㘶㠱㍥㕣捥挲づ㤴愸捣㠲〶㘹〷扤昳戴〳敢晦挷㔷㥥戹攵戱㍤㝤㙢㝥㝡昰昲〵晦〱昳愲㉢㥦㜶㘰㑦㍣昰搶愱愵慢㉦敢㍢昱て㌷㍦扥敤挵攷晡〴晤戴搳挰扥㍡搵挰㙥戵㌲敡敦〳晤昴散㜲㘰㙢挰㘰㘰㜴捦㜲㘰户㔴て㉣〳愹愰㤳㌴㘷㝥㉥㌸㘵㉤㐹㙦攷㠵㥤㤱愰昸ㄲ㤴㌹捤㜴〷㍥㌵㐷㙤晡㕣㔳㥢㙥㕢㈹㤸摡㈳㥤攱戸戸〱㥡戶ㅤ昸搴㑦㔰㥢㍥搹慥㐰搰㌷摢昹ㅤ㜴扤搳挲㘹捥㝡㤵㥤搰㑦㑦ぢ攷捤㉤㥤慦㝦㜴攲㠵扥摥㍦晣㘰攱摦㝤敤㔷㝤㠲㉥摢〹捥敢搰㔱㐷㍢戹搶捡愸扦㔸昴搳挹㑢㌸㌷㠰〱㥣昴搴ㄲ捥捦愳㐴挵㑥㈶㈰ㄵ㜴戲㈶㐰㜴摦捡㤵㈴㜲改ぢ㡡慢㙢〰扡㡡摡㜴搰ㄵ㑣攸㠴愷挵㘴敦㘹搷扣㝥昱摥摢㈶㔷㌰㝡散㘹㌱㜹敡㌷戳捦晥攵㜳㜷昴扤㜹晣ㅢㅦㅢ㍥攱㜰㥦愰昳㜶挲㘴搳㔴㤸㝣捡捡㘸戸㘶愴扢㜷㕣挸慢㉥挱慡㝥捥搷㠱〹昵愴戹愷㙥㑤㥢㘲㝡㘸散慡㌳搹慣摣㤰戶攱㔶愰㠸ㅦ搴㉤挳攵ㄷ敥〲昰㐳㘰㙢㉦㠵㑢㌱ㅥ戲摡攷捥慡㑣戱戰㤲㕥㔹挴㐱㜴㑢㝡愴㠴㑢㑢摤㡢ㅦ〴㤵换昸昱昰〷攱捡〰㐷〴捤㕣ㅤㄱ换昰㐷㜸㙥挷摤昹㜹挸㜶㕣扥㑤〸㈷昱戰㝦㈷攷收㘵挲㝢扢扦㔴㍥㠳昹戲㑦㡦昴慡敢戱㘶昱㐹㑣戱戹戱昹戴㑢晡㔲㝡〶昵ㅡ攸㉢㥦〵攱㙦㕣戸攰挳㕣戱ち㝣づ㥣㜹ㅤㄱ愵挸挳㈰愸㝥㜰㍣㉦㔹挲搱搷晤摡慤戵㤵㈳戶㥦㘶晡昰改㈲〸㉥㍢㉤戹㠴挶晦搵攰捤㈵戲㐶㝥㑤㜹慣昲㍦ㄹ㕡攴㙦攷搴㉦愰ㄲ㌶㈵㕤ㄱ㥤㈹敤㔲戹ㄶ挴㜹戰攳㡥㠳扤㥥㠵扥〸㔲㍢搸捤㤰㔴つ㔶搰ㅦ㜳挰昶㈳攸㍢㌹っ昵〶㤰㑡㌷攸㈳愵㜴㙢戵㤴㍥㐶㜶敥㐶㌰捥㥤换㌹㜶敥㑢搰㔷戶㠱搴㜶敥㘶㐸慡㍢㐷㌷㔵搳㌹慥晤戲挱㕢挰㌸㌷戸挶戱挱㕢㔹㌳愷㝥㜲摡晦㠹㈲捥戸㈴㉥㤱㐱扡愶㌱㝡〷㌹收摢挰㔴㤰愰ㄷ㤰搲敤搵㔲慥愲戲㘳㍢挰㌸㜷㉣攱搸戱㍢愰慦㜲㥡㈶㍢㜶ㄷ㐵㔵ㅤ攳㈲㕣搳㌱慥戳戲ぢ㍢挱搸ㅤ昳㕣㠳挴㌱扦㝡搰㜵捤挴㈲㘵晤㐷㥢〱㕣㑢㉥挸昲扦搹㌸摤㜲搵摥〲㝦〳㘵〵摦ㄹ搶愱摥㙤㌱㑣㜴㝣挱㑡㜸㘹攷㠲ㄶ挸㑥愹摦愴㤸㠶㠷㍦㤷㝡㡦挵㌰搱㐱㈳㈳㈳㑢㜴搰戸㉡㈹㐱㈳㤱攵敦愵㤸戶挱㍣昵㍥㡢㘱㐲㜰㕥愵捥晤㤴㜲㑡㈹㔶㜷㔹っㄳㅤ㥣㍥㌲㘶ㅢ㥣戶㑡㑡㄰㝥㔹晥〱㡡㠹㍣昳搴摤ㄶ挳㐴〷㔱㈶㘳㡥㑡づ㥦㍡て㔲㘶㍤㝥挲㈰摤改㐳㘰攰㑥攵㤰㤱㔹慢挵愱㑢慤㐷㑣㉤㌹戰〶㉤づ㔰㙡敤㌱戵攴搰ㅡ戴㌸㐴愹戵搷搴㤲〳㘸搰攲㐰愴搶愳㔲换㙦㜷㕡戰㥦搲摦㉦㠶㔹搲摦て愰慣ㄷ㘱㌰扢㈶㌳㠶敡㌲搸ㅢ㤹㌱㔸㤷挱づ挸㡣㠱扡っ戶㈹㌳晡㙢㌳㕡晦て㡦㔹㈲搹</t>
  </si>
  <si>
    <t>Decisioneering:7.0.0.0</t>
  </si>
  <si>
    <t>CB_Block_7.4.0.0:1</t>
  </si>
  <si>
    <t>㜸〱攵㔹㝤㙣ㅣ挵ㄵ扦扤昳敤摤㥥敤㘴昹㉡愸〹㘰㈰ㄴ㥣㠴换㝤挶㜷〱㌷戵㉦㑥㜰㠸敤㘰㥢搰昴㡦㉥㝢户㜳挹挵昷攱摣慥㡤つ㑥挱愱㌴㉤㠱愶㐰㈳㥡㐰㐹㔳㠹㈴㙤〲㔴㉡㠱㄰ㄱㄵ㤰㡡㘸〰愹㙡㉢㔵㉤㔴㔴㙤ㅣ㈷㈵㠸㑡㝣戴㝦㤵扥摦散敥昹㙣摦ㅤ〵㈵慤㔰㑦昲昳捣㝢扦㜹昳昶捤㥢昷㘶㘷ㅤ㠲挳攱昸㤸㝥昸㡦㕦ㅤㅡ昳晢㐶㜵㠳攵晣㠹㐲㌶换㔲㐶愶㤰搷晤㙤挵愲㍡扡㈶愳ㅢ㉥〲㠸㑡㠶攴扡㕢搱㌳㜷㌰慦㌲捣㡡㍡㠱摣づ㠷搷㉢㌹㐹㑥㉤晥㈷摢ㅤ〹愳愴㍡㄰挸㈴ㄱ挴㐳愴挱㑢愴㍦搱摥㤳摣㐴㌳昵ㄹ㠵㈲㕢摣戴捥搴搷ㅡっ晡㠳晥㔰㌸ㅥ昴〷ㄶ㌷㈵㠶戲挶㔰㤱戵收搹㤰㔱㔴戳㡢㥢搶づ㈵戳㤹搴㑤㙣戴扦㌰挰昲慤㉣ㄹ〸㈷搵㐸㉣ㄸ㠹㐶搳昱㜸慣㐱㈲捤摤㍤㠹㜶㝦㌷㌳捥㤲㑥㌷ㅥ㈳戸㠲愵㌲㜸㕥挶㡡㤹晣〶㍦捤㌰捤㝥㝦捦愰攱敦改敢㘵㥢㠷㌲㐵㤶㘳㜹㠳㍦愸戲戶挸搲慣挸昲㈹愶捦㔱㍡㐶㔲㉣㥢㘰搹㙣㉦㑢敢昵捡慡㘲㘱㘸戰㌳慦戱㤱㍡㘵㥤㕡昴㉡慢㠶㌲㕡㤷㍡搸㤸扢㐵㘷扤㙡㝥〳敢㔶㜳捣㥤〳摢㔹攷愸㜳㌹㕣㥦㘸㐶愲扤挵㍦㙤ㅡ戸摡摢㌴挳㝡㌸㠸っ扥㠹ㄵ昳㉣敢㈷愳攱戶㑡〱㜰愳慡㙦㌴搴㘴㤶〹昵㔶㜸挰ㄸ攸昴㐹㍥愲昸㐹昵㈰つ㐴㠴扡昷㈹慡捡㤱㄰㌹ㄵ搵愹㈴㥤㑡捡愹㘸㑥㠵㌹㤵戴㔳搹攰㔴㌶㍡㤵㡣㔳搹攴㔴〶〸㘳晦扣ㅥ㡦搳晡㡤㉣㕦昷扢昸晣敥捥㝢㈳挷㜷戵㙣敡散ㄲ㄰㐸㔸ち㥦㌴挷㠲㑢㜳愹㈱挹㐴〴攱㍤㥡ㄹ戳て㡣㙥㍤扡敡挳㝤㕦㌹晡攲挱㙢搴㕤㝦晦挰㡤搰㕢㌲攳昹慢慣㥥ㄹ㡦㤹㘱昶昹㔹㍢㌲昹戳慣摤昹戶〷㉦㠰〷㉦攴ㅥ㝣挷昲攰攱扢㕣㍢ㅥ㜱て户㍦昶㠶㤱攸ㅡ㜷扥㉤㘰摦㥡㡥晦㠲㍤散㘲っ扢㠴て㥢戴㠶㙤晢㝤昷攳㙢㝥㍢戰昲㥥搱昵捥摤换〷ㅦㄱ攰㐴㜳搸ㄷ敤㘱昳㌰㙣㍥ㅦ昶㔷㙢搸㑦㕥扣敢晡慤扤㥤慢昶敦扤捡㝢搹扡㘳㕦㜳㈳慣㍥㝤㤸㈳攷㐸㝣愷㔰㙥搰摤戹㤵㠵愲敥㜲搵っ改㥡㐲㠴戸㜴ㄹ挸攵㐴摣㠸攳㑦摣㐴昰㡥愰ち㐹㑦㡥昶㔶搷㠶愲㍢㘷敥摦ㄵ㑣㑦㐹㌹摡攱㝣慦㡢搴捡づ戱㠶㕣愲㤰㌷搸㠸戱㐲㌵㔴㑦㙥慤㑡㐹挲㤸㐳〳〹户挸㔲搰㘰㜷愱愷搴㠱㍡搹㤶搸㕡ㅢ愷ㄸ愴晣〲扢㔷㌶㐷㐹户㌹㤵挴攷㠱㘲戳〵慤㡤㥣㘷慢昴㔹㍤搲㈷昳㘶㤹戲㝡捥㌰㌵愱㝥㔰〱㜱搵㔹晦捣㡥㈸㕥㌵㘳搳㑤㑦㍡㘴㈱戹〸戱敢ㄵ㙢慥挴㠲㑡㙡㔲挹㕢㡣㑣㔶昷㤳ㄹ㍣㡢㐲捦㝦㝢扥戳㘵㌷㙣㌷㝦晦晣搸晥敦ㄳ㥢愸㈹㑦㉢㈸换㈲换挴㉢〰愰㥤㘳〱㈹㍣慦㈴㠶捦㈷㌵搱㍦〹搲搹挲㕡戲㍡愴敤㥡敥挷㉥昶慤㈹愸摡㑡㌵㐵㠵摡㘳㤵㘹㙦愲㤰ㅢ愴㤸㉤捡㈸ㄱ㠹㠲挶搶ㄶぢ挳ㄹ㡤ㄵ扤㘰昴搱ㄱ愱づ㍢㔱攴挱慥㔳㜸戸ㅣ㙥㜷扤户搲㕣㥤戶慥〵ㄵ㡥㈰㥤戳昴㥦戹㌹戶ㅣ㐹摤攷攳㠵愷㤹㥡搲㐲㈲〲捡〲戲㠷戴〸㘴㌱㔸㈸㄰㐰㤹扦㜲晦㕥㐷慣ㄹ晥つ㉤㥢敤挱㈵〴㈳昷〲㕤㐵㔸㑢㈶愰㌶挱挵㌳㙣㕥ち㜵㉤㐴〴㈴㘲㙥㜳っ慣㌸ㄱ㌷㔲㜲敤㕣㐳㐹晦晦㌴搷搴搹㐹㘶㕡慥㘹慥㤴㈲㑡挷㥢㔲㔵㕦㌹㤴挷㕥㕢昴㥦愱晢㐷〷㤹晥扦挸㉢㥦攷㍣收㜳扦㐲〹攸搳㜸ㄸ慦ㅥ㥥㘱㔴㐴㐵㜱㜸攱㙦㜰㝣攲昵㐴敢㝢晡㑡㡢㌷㝢昷戵〲攷㤳〰慣㈲慣㈵ㄳ㜰攸戱户㈶愶戵搲挹ち愸敢㈰㈲㘰㡢昱慤戹ㄲ慣㔵㘰攱搸㔳㌹㥤摣㐸㤲挶㘹改㝡戶㑤慢〹㐳〶〳㕡㐵㔸㑢㈶攰戸㘵ㅢ㕣㤶晦㙥㠶扡㕥㈲〲㡥㔹摣攰㍥戰晡挱挲㠱慢戲挱户㤰㘴㐶晥ぢ㔷挸㝦户ㄲ㡣㙣〶㝡戶捤㕣㔸㑢㈶攰慣㔷挱收慦㐳㥤㐲㐴挰ㄱ换〶昰㠵㌷㤳晡㙤〰愸〰攰昸㔵〱㤰〴㈰〵〰ち愰つ挰㐹搵㕡㐷つ〰㐶㐴㙥㈶〲搵㕥㉦ㄱ㠷扣搰敡㑡㘹㌴㔰㉡散搱㘵昳㙦㈰戶戴ㄱ㠰挵㤵〱ㄹ〰㌶〱㠰ち㘱㙢㈸㥢㝦〰㠰㉣ㄱㄹ挹扥㙣㝥㥥昶㈱捣㠱㡦戴㙦㡦㉥㥢㍦て㐰〱〰㤴㠴ち㠰㐱〰㌶〳㠰㙤㘰〳㄰㥦搶昳ㄷ〱愰扡敢㤰ㄱ搱㘵昳昳搸㠶搰〰ㅦ戱㙤㡦㉥㥢㝦〸㠰㘱〰㄰昷ㄵ〰户〳㌰〲〰愲摡〶㤴㍤晦㈸〰㜷㄰㤱ㄱ愰㘵昳昳㔰㠵昰㑥昰ㄱ慡昶攸戲昹挷〰搸〲〰挲戸〲攰ㅢ〰摣〵〰㠲搰〶㤴捤㝦㌷〰攳㐴㘴〴㕢搹晣㍣散㈰摣ち攱㙤㤶㔰扣㠷ㅡ㔷㈷摡ㄳ扤㡡搶ㄲ〹㠵搲昱愰ㄶ㠹㠵㈲㉣愸慡㕡㤴挵㔳挱㤶攸搲㘸㌴ㅣ㡤〶㘵搵ㅡ㈳㝤㤳ㅡ㌲㈲ㄱ敡愵㝢搱攳㈱㠹ㅥ㤷㈱〸戱㔵挵㙤㐴捥㑢戴㉢㘶㍡敢搴攸慣㥦㌱㐶挵㙦ㄳ扢ㄱ散㐱㠳㕥摡戳㐳ㅡㄳ扦㐳慣㌹㈶慢㡦㉥ㄳ㜰㜳㈰摥㌷〵㙢搳㠶晢っ搵㄰户ㄳ换愳㜴㙣愶㔳搷愰㡣㌰挷㌴搲晤㐴扣〲㐵㍡㝦敦ㄲㅦ愰敥敤㜷㡥昵ㄶち挶ㄸ扤㄰戱㤴慡ㅢ晡搸挴捥㙦㥤㌸戲晢昴挳捦㥥摡㝢晦攴挱敤㈷㡥㍤㝣㜲攷慥㠹㈷昷㑤㍣晦昳㠹ㅤ㍦㕢ㄷ昶〷㤵搳㝢㥦㥦㝣昴愹㠹愳晢㑥㙦摢㜱㙡敦〱㘵昲敥〷㈷㡥摣㌳昱挲㡥㙢㠳捤晥㤱慣㍥㌲㜶昲挰摥㠹挷户㡦㥤ㅥ㝦㘴㜲攷慥挹ㄷ㡥㥥摥昵㥣扦慢愳慤㝢㑢搳つ慤㑤〱㝦㈰敡㐹搳攴摣㌱㑥晡敦㉡扦ㄴ㄰㡡㔴㈳昰慥晥昶㥡㌳昷昵扤扢愷晢挸㤲戱㑢扦摡昵挰㥢挲㘶㑢昰昴扥挱挲摦㥥ㅤ敦摡搳捡晥昵搶摣昷㝦㉡㘳㍦挲挹攲昷㠸㤸换ㄴ搲㘲㌱㌵㤹㑡㠶ㄸ㔳㈳㙡愴㈵慥㙡㙡㑣搳㘲㐱ㄶ㘴㕡㌲愶捡㝣晢ㄲ㕣㝡㤰㠸㡣つ换㤷改㈱昴昸捥㉤挹戰㔷戹晦戰㑣ㄲㄶ㐵挲㌲㐸昰扢〴㑦换㔹㈲ㅣ戱㡢ㅡ摣挳搰攵ㄳ㜷ㄳㅤ㍤愷ㅥ㍥昵㡢㐷㘹ㅤ㈶挶㜷㑣㍣昷搴㌴て挷挳㌱て㔲㐸ㄵㅦ㌳换㤵㘷慥㝦敡收㕦ㅥ扦㜰昵戱㍦攷ㄳ㍦扡昴戵㐱㐱慢收㘳攴ㅣ敥攳ㅦ㔲挳昴昱搲㐸㈸㤵㡡㙢㕡㔰ぢ慡㤱㜰㤲㌶㐵㑢㌰慣戲ㄶ㌵ㄲ搷愲愱㘰㑡收㈹㡡攰搲攳㐴㘴㈴㈵敥攳㍤攸昱散㔴㤲㈱ㅦ㜱て挲㥦ㄲ㜷昴㤴㡦攱㜲ㄹ挹ち〸㜱ㅦ㤱㜱攱㥣㝡㜵攲戹㈷㑥㍥戶挷㥦攸攸敤㙦敢散敥㕦㝦敤㜵㜴敢ㄸ散㔸ㄴづ戴㉣づ昸㘳㠱㐰扣㜹㡢戴㥦散㌰㡢㠶㜸㠰㥡昵戴搷㤲㙡㌲㤳愵㥤㑢㈱攰㐱晥慣攲晣㕢㉤ㅦ摦㌷摦㜳愸慢昰搱㥡㘷づ扣㜴挳㤱㤱㈷晥㈸慣慢收㝣㈴㕣敥晣㠳搴㌰㥤ㅦ㡥户愴搵㐰㌲ㄵて㘹㤴㠷挲㠱㜸㈰捤㤶愶㘳㜱ㄶづ〷搲㕡㍣㉥昳晣㑣㜰改㄰ㄱㄹㄹ㤹㍢晦㐹昴㜸㙡㉥挹㤰㡣㙢〷㌸㌲㌵㐷㍣㐳つㅥ攰昴㥦〲晣㌰搱攱㜳扡ㄴ㤳摦摦㜳攲攸晥挹敦㙥戳愲晢换挸ㅦ攱㜰㉣敡㐱㠱愸攲攰搵㤶ㅦ捦㝢㙢换戵愱敥㘸攲㐸㤷晥愱㤲㝢昵㍤愱戳㥡㠳㔱㔱戸㠳㡦㔰挳㜴㜰㈴ㅤ〹戵愴㔹㍡㥥㡣㠴㈲〱㉤愰㉥㈵㉦挷愲戱㐸㈸㥣ち〴㕡㤶捡扣〰ㄱ㕣㝡㥥㠸㡣㤲挳ㅤ㝣ㄴ㍤㕥㝢㑡戲扢愹㔵摢挱攳㌶攲㈵㙡㜰〷㈳㉦晡挴㤷㠹㡥㥣㔳〷㥦㍣扣晤搴搳㍢愷攵㘸敥攳㘸㌰攴搹㑡戳㔷㜱㜱慢攵挹攵ㄷ散て扦昱㠳昵㙤㍦㝥愸㘳攱攱㍤㙢慥ㄴ㙥愸攲㘲㌷㑡㕥㘰挶换搵慣㥢搶㤹ㄷ搴㈸搹ㄷ攵㍡㜵扡ㄲ愷て〰晤㠵戶搲挵昷㜹晣敡㠰昸㡢散㝢扤慢愷㌸㙤㐹扤㤰ㅤ㌲㤸㍤慣愷㔸ㅡ㐷户㔸昴㌶挱挷㔱搱扢㘸慡㔷㜶㝦㌵㙦㡡摢㤹搷㔹搱㘰㥡慤㔱愷换攴㍡愷㑢㠸㝥搲㤳㔰搱愶ㅢ㝦敢愶捤扥搵昷搲攳捣慢㜰㡤搱㥥㌱昸挷ㄴ挸〵〹㠷つ昱ㄵ㈲㔲敢㠲戶〵挱㐰㈰㄰㜵挷挹慤㥦㙤㑥〴攵搴㉢ㄴ㘶挰捦㈷扤㑡㔴戸㤷〸㔴㠳搵昰㉢㈲㜴つ户愲㤰㔳㌳昹戳昵㜹〴㠷㡥㤹㙦㝣㝣搹捤㘹㑡摦㐹散㔳て昶㐹㐳慥㈷㤵散㉦㌲晥㠵挳换㍢昴扡摤㤸扢戵㔰ㅣ㐸ㄶち〳戸㤷㥣挳㝢晡㐶挶っ㝣㜴愸捦㤹㠷㈷戴〵㐱㜰㑤㍢㔲㤴ㅦ㉦昰㤰攲㜱㈲㡤㙤搹㙣㤳慤㔱ㄷ㕦㈳㤶㡢扥㜵㠸慦㔳㘳挵搹㌸〵〹㘱㙢㉢扣摣㍢户晤昲㘷慥戹改㠹㠵慦搷㌷户㥥慦ち㈱㑢㌰敢㈳〶捥㈲搸㈷㠲㠴㤳㡣昸㙢㈲愵ㄸ〸ぢ㑢㘸㤸扤㔸㍥改㌷挰攱戸㘲戳〴㥣㍥攰㙥〹㡦㈷攱㠱㈴㍣㡣戰戰㥡ㅤ捤㤶㘰收㔷ㄱ〱昵摡戴〳搵㕥晣〳㔴搹戱ㄸㄴ扥㌴捤㡥㌷㌱〵㑡㝡挹づ㔴挶㤲ㅤ攲㥦愸攷愲挵㌱㙤戹愲㥡㉤㑤㤶㘰搶昷㠵㐳㌴摥戴〵挵㑦晣ぢ㤱㤲㉤㈱攱搲㘹戶㥣㈰愱㠰ち㔷戲〵〵慢㘴㑢㤹㑦㉥愹㘶挷挵㤶㘰搶〷ぢ㘴㜹搳づ搴〸昱ㅤ㈲㈵㍢㈲挲㠵搳散㜸㤷㠴〲ち㐱挹づ攴昵㑡㜶捣慤㘶挷ㅣ㑢㌰昳ぢ㐸ㅤ昶㙤慤ㅣ㠲挳扤㈷愷愸昸㌸敢捤㈹㔹㤶摦㘰㙣㉣㝤㤰昵攰搰攲㤵摥㈷㄰㉡っ㝥〲㈲〹㕡愵て㠸㤴戸㔸㔷捥晤戰㥣ぢて㜳敥㐷攵㕣㍣㉦攷晥愳㡣㍢ㄷ㤳㈰晢㜸改捦㌱ㄷ捡愷㝡㔰㍡搵㠳戲愹ㅥ㤴㤴㝡昵晦〶㕦㌳挳㐴</t>
  </si>
  <si>
    <t>㜸〱敤㕣㙢㙣ㅣ㔷扤摦㌳摥㔹敦慣敤搸㡤搳㐷㑡㘹㕤㑡㈹搴挱㡤㤳㠶㔲㈰〴㍦㥡挴挵㠹摤搸㐹㐱㠰㌶攳摤㌳昶㌴㍢㌳敥捣慣ㄳ㤷㑡慤愰愵㈰㕥ㄲ㉦㔱㈸昷愲敡ち改㝥戹ㄷ扥㜰攱挲ㄷ㈴〴〸ㄵ挱〷昸㠰〴㔲㜹〸㠴㐰㈸ㄲ㕦昸㠰〴扦摦㤹㤹摤搹㕤敦搸摤戶攰㈲㥦㜴晦㍥㜳㕥㜳捥昹㍦捦晦㝦愶㌹㤱换攵晥㡥挴扦㑣㜹㘶㙥㕡摡っ㐲改㑣捣㜸戵㥡慣㠴戶攷〶ㄳ㔳扥㙦㙥捥摢㐱搸㠷〶㠵戲㡤晡㐰㉦〷昶㈳戲㔸摥㤰㝥㠰㐶㝡㉥㔷㉣ㅡㅡ敡㌹〸㝦㈳挹㠳挱㕥㠳㜹㠰攵㤹改㠵㤵㠷㌰敡㔲攸昹昲搰搸㠵愸敦昱挹挹㠹挹㠹㈳㐷敦㥤㥣㌸㝣㘸㙣愶㕥ぢ敢扥㍣敥捡㝡攸㥢戵㐳㘳㡢昵㤵㥡㕤㜹愷摣㕣昶㉥㐹昷戸㕣㌹㝣㜴挵扣晢捤㤳㜷ㅦ㍢㘶摤㝢敦㥢〷昱敡摣搹㤹改㐵㕦㕡挱㑢㌴愶捥㈹摦㍤㉢㉢㌶搷㈶愵㙦扢慢ㄳ㌳搳昸㉦㌵㝦㍣摤㌳戱戴㈶㘵挸㔷㑢㕦扡ㄵㄹㄸ攸㌸攰㑣〵㐱摤㔹攷收ㄹ捥㐹㉣戵㘲〶愱敥捣挸㕡捤㜰㤲㔱㡢捥〲昶慥㘶㙥づ㍡㑢搲つ散搰摥戰挳捤㠲戳㡣㠱慡㐳捥昹㐰㥥㌳摤㔵㜹搶㜴愴敥㥣慡摢搵㝣㤴㜲㝤㜷㈴㐳愴㈷愶㤶㍦㌱ㄵ㌸㌳㙢愶慦㘶ㄴ㜰㘳㌲摡㥥昴㉢慤㙤㙦敢㍥㉥愷慥摥挰㌱㙦敦摥づ㌵ㄷ㑣扦搱㜲扣㝢换㜸昱慤㌳戸慢㝢晢搴ㅥ戵昶㜹㐳昷㍥㙡㉢㕢㕢㡢㠱㤸扥搵㡥㘲㌱㐶㠱愰㥦愰㐸㐰〴ㅡ㈵㠲〱㠲㐱〰㤱晦ぢ戸㈴摤㤱㔵㕡搹搴捡㉢㕡戹愲㤵慢㕡㔹㙡㘵㑢㉢慦㙡攵㌵慤㙣㙢攵㠷戴昲㈵戴㐹㔲戱扦㕦㡢搳捡㙦㥥㉣摤㝡攴挷㜳ㅦ晥攵昷晥戰晡㠳愳㈳㠳晢搰攸㠱㜸㔲戳扥㜹ㄹ愴搶愴攲㈳ㄳ㠷昹㙦㝢慥〰㔳㔸挷慣㝢慣挹挹敡戱挳收㔱㔳攷戲㌲㤰摦㐲㈸㈳㘸㍢㘸㍤㘸扢㔵敦戲挲摤㑤搳㘶㈰㥢ㅢ㌷ㅥ搷㑤㝢㜵户ㅡ扣㙡敢捡愵搰っ攵㡤敤㜵捤㐱㍡扡㉤㠱慤㘴愰摥㜷㜳㝢户ぢ㘶慤㉥愷慥搸㔱昵慢摢慡㥤㐵摦㕢改㕥㝢搲㤷て㌷㙡㍢㘶㌴〵愱戶愱挶敥㔸㘵㔴ㄵ捤㙢㙣㘶捤ぢ愴慢愶㌷敥㉣摡㤵㑢搲㕦㤲ㄴ㠹戲慡㤶㝡㉤慢㘲慥ㅦ㕦㜰戱㔰㜰㙢昵㌵改㔲敢扥㉢㈱㤸㔹㔶㌱摦㜵改㠷㥢换收㑡㑤㕥搷搲㈴㝡㈷㉡づ戶ㄴ㥦昴㉡昵㘰挶㜳㐳摦慢戵搶㑣㔵㌷㑣㐸㥡敡ㄹ慦㉡昳昹㥣ㄲち㄰戸㝤㝤㐲攴敥散捥ぢちㄱ㈹ㄴ㤳㤱㙦㘸㈵扢㠹㜳㔸ㅤ㔶㔱㤳愴㐹敤戵摢っ挶昹㉡ㄹ㤳挱㠱愹㌵㔱㝦昰愵慦摦㘶搸〶收㕥摥挶㥡㌶ㅡ慦晥扥つ改㠶愷㑤户㕡㤳㝥愶昶ㄳ㥣㤱㌱っ愰㕦㠵㐰攸扡㝢㔴㜵攲㡡搸搴㉦摢搵㜰慤戰㈶敤搵戵㄰㘵搰㤰挵㈲户戶㈳ㄹ搷愰挸搸㑦㌰ち㔰㉡攵ち〷搸愸㔰㐲捡改㤴㑥ㄹ扣摣㈲挸搹慦㠵㤷〷慤㤳㜶㉤㤴㤱㔰ㅥ戶㠰㤱㐸慢㈹昴つ㤱㐴㝤戳ㄲ㈹㡣〳搶っ愸搴戴摤㜰戳挹户ㅤ㕣ㄲㄱ搱㥥㉣搸㜵戲㠰愲愰㔵ㅥ㘴昰ㅡ㠸愶㑤ㅡ㘴㌷㑥ㄱㄱ搹㈰㐳戳㘳攴㔶㈲㘳晢っㄹ㠱昶㘹㈲㘴敢挳摤㘵〴㠹扤㤳㐸搹愹㉢㍦敥㐹戳慤㙣昹㐸㥡㕤㡢㡤㌳慥㈳戸㥥攰〶㠲㠳〰攲㜷㤰㜰㤴㜲挸户㈶攳㔵㜸㌶㙥㈲㜸㌵〰攴㤳㐱㤹ㄳ㡢㉡摡㔰㍢戱㈳搹㙥〸㜶戲㌲㡡㈳㔱㐴换戸㘱㘷づ㌹ち搱戱搵戹㍢㜴㙤㕥改搸搷㜵愷捤昴㜲㐸㤱ㄹ㑤搳㙢摤愶㘹㝡㈳搸戴㐷扤㜵ぢ扡ㅡ㘳〴户〲㤴㡣搷㄰㐲戹搰攰摤㤹㐵㑦㤳昲ㄵ㘱ㄶ㐵挶㔰㡦ち㍥㈶㘴ㅥ〱㌲㠴㕣挷昱㘵捦㠶愶㌹㌸㙥扤攲㙤攸㐳摤昹㍢㐶㝡㥢摥摣搳㍢昴ㄷ扤㐰㉢晡㌶戰㤷昸㐵㔷ㅤ㜳㍢慡㡤搷ㄱ摣〱搰愶㘳㜸晡㝥愱㥥〲㘵ㄶ㍢㈹捣敤愷搷㐵㔹戹换㥢敢㔲㘹愰㐱㙢搹昴㔷㘵〸て挶摣㉣㙣㘱捦昷㘵つ㠷摡慡㉡攰昹攵晡搶挲攰愴敦㌹㉣摦戳㤱㠳㔷㠴㘲挸攷戵扥㕣㥢㡤㥣㘱㙢愶㝣㑥㈹捡愱づ㍥摡㕤㐸愴㍡戵㤲ㄷ晢㘵㥦㉦昷㈴㐹て㤲攴つ搸㔶攳㑥〰㐸〹昱戳慥ㄲ攵㄰㥢扤㔱㌵㙢戵㔸改攱换㌸㥤戴昹㄰㍢攴挸㐰攴戰㥤㠶晦㈰ㄸ㜲㤶㙣愷㈱㉣〶㥣㐵改㔷攰㕢戰㙢戲ㄴ戹㘵㈹㙡昶㘴挵㉢㐴㔶昴昵㜵㥣愷㌳晣㙢㡡㑥摡愴㐴㈶户㘷㔶㘶㥣挵㥢㐴㐵㌷㈴㠵㑡㠶㙢愸㈱㠱㐸㜹㙣扢㈷㘲㝡㄰㌱㜷㘱攳㡣挳〴㤳〴㐷〰昴ㅦ㐱搲散㜴攳ㄹづ敢摦愰㑢扢㕣捥ㄵ㠹〶攵㈲㝣慥慢戰㍡挶搷扣㠹攰ㅥ㠰㌶昳㠷づ挸っ㐲㔴㈸㑦ㄱ愲ち㘳㔸ㄷ㙣㜹㤹㌴戰捦㐲㘰㘹愶ㅥ㠴㥥挳挸搲㤰㌵敢㥤昵挲㔹㍢㔸㐷㈴㙡搴㡡㌳て慥㐹ㄷ搴攵挳昶㘹㉢昳搶搷㘵搵戰㤶扣㍡㐴摢摣散㙥㌸㤸㘳㍢㘰㑢慡戳戹㈶㤰㝡㍢ㅦ㘳〸㠱㥤㔶晥㔶㝡㘳㜷攴晤收愱㙦戸戹愳换㜶㔸㤳〳㔶挴㜴捣ㄷ㉤散㈲㈲〷搵㝥㙢㜹捤㤷㜲㜶挸㍡攵摢搵㥡敤㑡㈲〳㌶㈶㠳㜵昳㜲ㄵ㔱㠲㐵㡦㌱㐰捦ㅤ戲㤶㝤搳つ搶㑤〶ㄴ㌷昷户㍣愹戰㠸㙥㑤摢㙥㠰搷㈸㉣㌲㍦㙣㉤慤㜹㤷ㄱ戱慤㍢敥㈹㜳㍤搸ㄵ㔸㈱搱㐷㐹愱㐶㘸㐲搳㐴㔱㉢昶㡡ㅦㅥ挸㜳㌹昲㕥㥥㐰攱㉡愷搳㘷㥥愱扤㘹搷挷㌱ㅡ摡改㥣搳㈰愲㐷㡤挲扥㑣㈹㑣㑥㌵敥㘵㥦户〰摣㝦敡晣㕣㌳㌲昷愲㘲搶㍡扤晣ㄹ㌲㕥㤱㐵㈳㄰㐲ㅦ摤扥㠸㔴㔸㐶捡〱〷〲攳㝣㙡㈷扦㤲愵摡㤰晡昶㌵戳㈷ㄱ㐹ㅡ戴收捤ㄵ㔹㐳㍣摡㌱挳㝤搱〳捤㔸挷慣〵㜱摤㡣攷㌸㈶㐹㡢㘴戹㔴㌱㐹挱㔳昵搰㍢㘳扢㠶〵愰攸㉦㉥㌲慦愰挸扣愲㡡〶慤㜳っつ慡㍣挷昲㔶㑤摦づ搷ㅣ扢㔲攴〳挳㜷扢㠲㈶挱攴㤴扣㐹㑡㘴挶㔸㥢㌵㝦ㅥ㈶㕢㌰〱㜴㑦㐰㡥㜲敢㠸㝥㔰慥㈶ち昸㈷㝡㜴㉣㐱挰㈸㑦愹昱㌶㡣愶慢摢ㄱ㄰㌹㉡㕤㑤敥㘰㕣㝤っ㈵㤱㄰㈲搶㌳㐸〴㕥挱㤴㤰愷㡢扢㘰㥤㜷敤㄰搸㈳挶㑥摡攱㙣〰㤴〳㈰慢㡥户㌷㉡慣愶㍡㡤㌷戴挲㉤㥤㔵㉤㙡攲收捥晡戴摥㜸敤ㄶ搵㤱㐶㐹㈹㤲敤ㅡ㈹捤戲挵ㅣ㜷㤳慡ㄱ㑡㜱㈷摡㐶㘴戹㑤㥢晢㑥㈹昲㈲ㄴ㤳愲㤹㥣昱㜶㐵㈸〸昴挶㍡㡡㍥晢㙣昲㐸㐵㙣㘸〳㤴愸愷愲戲愱㌸㈴㌸㠷㙢㈷㔵㔹㡡㥦挰摦晢攲散㐲㍤㙣愹㌱慦㡣挶㌵㔳戵摡㠲ぢ㉢愱㘲晡搵㕤挲搲㔸㕢愴㘱ㄴ㜷昶慡晤愳敤㑤㌱㘲捣㠶っ㡢㘴昸㠱挱㠶㘰慥㔴㐴㤵搶搹㄰户扡㔱㕣攴搳ㄹ㘹扡ち〳㑢㘱㜵㔶㙥㈸㌳慣㘹挹㡦慡づ㡤搳愲㤲愳㠶㌵戵ㄲ㐰愵㠷㤴攳㜱㑥㌱戸㘱㥤愳㕢ち㤷ㄸ㈰㜶攳摣㘲㈵㐴㘸户㌱〰㑦〶扢〷㍢搸㤱㈸㜴㐲敢㡣ㄲ戴㤰㐱戸慤㡢㈰敦昴㠸㔱〸㔲㑢愵㍦㥦㄰㕦㜸㥡改扦㑦攴㤲㑣捣㐴っ㜷㘵㔸て㐰㙥㍡㌲㐹㉥ㅡ㑤〲收㤱㘴㔳㐲㙢㌰㈹愳㠹㌱㐴㤳捦て㜱㡢㠷戱慣㘱戲㑤つ昷摣㐲ㅢ摡戴戶戹捦㥡㜳㉢戵㝡㔵㉡㔵㥣挸㙡愵㤱㜷〵扥搴ㄵ挰㠸㥢㌲昶㈵摥㤴㌹ㅣ愵戸㘴㈲愹㜷扢摢㌸㠱敥㑡挸㘱㡣㐸昵㌱〰㤹攱㤶㔳〱戱㡥㝢ち戴て昷㌷㉦㌰愸换㜳㄰㘹ㅤ㐵㤴㘵昳戸㡦搷㠸㈲㉢㙥㑢㌵㥢昷收㍤摡散愹愲搳㜶㔴戴㉢㜰㠴㜵㐶〲慦㔰㠰㌱搲㈳㜷㜰㤰摣搵㌸扡㝢昵㌱昵㤸扢ち㔴㈸っ〸挶㜸㜹ち捡㘱㔷挱㐸㌴戸戵愶搵㉤ㄸ晤愵攵㙤㑣〱〸㠶㠱㘹搰愲㘵㘴攰捣㈰扦扤㠱㜳ぢ㕡㘵㐴㐸搳挱㔴挶㈸㐷攱戰〷搲挰㑤㍣㐸㉦㝢㔰㐲攱〱㜵㌱㉣戹㥢㌸敥攰〸攴昹搷戵ㄵ㉥㥡㈱慥扦戸〷摢㡡愷慡㔵㥡扢昰捦敤ち慣攲敡㐶㘴㡥ㅥ㘸扢㤴愵搶㐴晢敥戶戶㡡昸戲攰㤱搹㠹搳㘶㔸㔹㕢ち㌷愳㡢㕢扤㤲㠴晥㙤昸㈳戶㝣㍢㙤收扣换㡢愸ㅢ摣晢搲㈵搷扢散慡㜹改〱㙦晤㠱㐲㜰㠵戲㥦㤳㉣攵晥㡥㝦㉡㘹㌹晤㕢ㄸ㜱㈷搳收〰㑤〷〹挷㔱㈹㤲〶㘳挸㘷搰〹㙣昷挶慤〱搲挹㠱㌶㍡㔱㠲㘰㡦㔰摣搵㤷㡣㔰挴晦〳慤㈴㤶攸㐸㡥㍤晦ち㔸㕦㝣ㄳ㈵㐴㌸㥥㘳㌱愲摦㡡㕣〶敡㤴㈰㡦慦㜸昰㐲挸扦て㤶ㄲ㙥摥㤲㥤晥〹捣㉣扥搱㡥愲㥢㠹愲晦敢㐰㤱攰㌵㄰挵扦昷㈳㤳㈴㥤攱搹ㄷㄴ〸攷㥡昶づ愰㉦晢㠵摦㝦攱〱㜴㍥㈶づ㘵愳㈱搴㜶㍢㥥ㅢ㈶㐲㕦㠷㠹挰攰扤㌲ㄱ捥㈰㈳ㄸ挵㡦㑣㠴搸〷戲㠰㠲敤㑤〴挶昶㌲っ挱㔴愸㌵攵搶攰〹散㍡㠷晥戱搳戸㜸㉢〳挴昳愱戴㠲ㄹ㜸愴慥敦㉣㕥㌴㝤搳㌹愸捡㑦昹ㄲ捡捣㕦挶㑤㙥搵㠵㍤㙥摣戲㐶㜵摡挲㔷㤱㜸搹昷晣㈹㍢扢扦づ㑣㐵㈹㜲摦㡢愲㈸扣〸㑦㠹攰戹㈱昷晥〳晦㜳敡㔷㡦㍣㜱㠲户搵㘲㕡搵敦㐴扥㤷㤰㍤敤〹〴㜵㔳ㄷ㐵慥攵㠷㌹㘷昰㠹㤲扤㕥㤳搳愶慦慣愰挰㜰㤲㙣㐴㜸㈹挲㡣㠸㙦㌷㤸㤸戸昷㄰㤹㤸ㄳ㙤敥㑥昵㘱㤳㜲ㄱ㑥愴㈶慥㝣㝡㐹搸㔰㜴㔵㘴㍤㕡㥢晡㔷愱㡡㕥攰㐴㕡慤㐴㥥㍡㤹㠴昸摦㜶㕤㜷㡣扡㉥㍡挸㌰散㥦㐸㈹挴ㅦ㐸㈱改㠳っ㉦〴㈸㈹㜵づㄹ晤㉥㠰㡣挸㕡㝢㠸㤷晥㠰㍤㈱㈰ㅢ㤷晥㝡晣㠸〵扢〸㉣㈶扥昸㕥㑦戴戴㐵ㄳ搵挴㔰慤戲㘹㤶㤰㔱㠷ㄷㄶ㑣㈶愵换挸㈴㐹㍦㠲摣㡥摤㔱㝣挹㤰ㄳ〵摥㈲挶搶ㅤ晡摡㑡捥㝤㙥ㅤ㌷㍦愰㘷ち㑡㘱戸晢㔹㡣〳愹㡡搱㐵㑤㑢㔱ㄱ攱㜰㤴㙤㜴ㅡ㠸慢愰戳摣㠳㌸㤵㈲昸挷㉦㠵㔸㍦摥ㅣ晡摡昶ㅡ敡㌸户ㅦぢ攴て昶搷捤ㄹ㡣㡤户㤲㘳㈰㘱㜷搴慡ㄸ㕤て㍦㡦㉥㕣㜴㑥ㄸ捤慣㝡ㄶ挷昰㈷攱慣㍥慤㐳晦㌳㝡慤㌸敢〲㝢㌳㡣摤愲晦摦㠵㠲㙤昵扦㘰散㑤㈱昲摤㜱㠶て㍡攳㈷摢㠶㙣戸㈳昰㙣㈳㜸愳づ挶㠶捡㌲攴ㅤ攵㤶昰昱㙡㔴慤㈴㌸晣㕥昹昶慢ㄱ㡤扥戴㙤〷扡ち㐰挶㠶昴慦㐰〴㜵敤摦㉡户㤲搳㙤攱㍤攸㜸攰㡣㕤昱扤挰戳挲戱㈵〴㝤挷昸敤㤹〵㥢㘷㑡晣㔷扢㔰扢つ㍢㌱昸㍥昴㌹扢〰㠱㝤㔶㠶㉦㔵㉣㤲㤱㠵㥤㐵㌲昸ㅤ搲㐸㉡扣㐴敤㄰㕣㘳㍤㔰㌷㙢昸㜴㜵〱扥捥㤰㐵扢㐲搹㐵ㅥ攷昶ㅢㅡ摣㍡摣搱㝡㈷晣㐱戲㌶㠱攰㤸㕡挲㝢摥挷㝤㙤摦㠳搶戶昱摡〲戶散捤攷㔶搲㥦〵㑥㜷昶㤶㔶㤲攱㍢昹㐵㜲挹㈸ㄳ攲搲晥〹晣摤戹㠳㤶愳㡤㠲捥攳て扡改〸ㅢ慦挱㝤戶㠳攸昷㐵㜴ㄵ㔳〴昸ㄹ㘶㥣攱㠳愰㤷㡦慣㈸晥〳换㈲〳㈰㥦㉢㔴〰扡㔳昵㌳㕢㔱昵挸晤散㠹㈴㜸挶㈰㌹㤶挴ㄷ搱㤰摢ㄵ㉤ㅢ㉣挱㘵ぢ㜵㤶㐰摥㐸㝡㈰㥦ㄳ㍣㑢愸㠹㝣ㅥㅤㅡㄳ戱㔱摡㝤㈲㥦摢㙡㈲㠲㔶㠰㕡㘸㝡晣㤱㐴㡢ㄸ㌵㔴ㅢづ㠱㑢攰〱㡣㈴捡㘴㤸昲㤱㐲愷㄰挵ㄸ扥㐹ㄴ㈱晤㈴晥晢晣㠹ㅦ㍤挷昴愷ㄳ㐲㐹㐴㔴戵慥㠲ㄲ㔱慤攲㤳改㔵昸㈸敤扥㡡㡦㙦戵㡡ㄱち㑢捥挴〸〱㠶晡㐴ㄹ㝦搴慡敡挸㜰㐳昹ㄳㄷ〹昰㙢㤹挵㠸㠹ㄲ搵昷㌲㌲攸换㥤㔷慤慥㈰㤳昴搵戹ㄱㄹ㕦昹㈸㐳㠹㌷㈲改搴㈹㐴㕥搹㐲愴ㅥ㡢㑥散㡥摤ㄵ㐲〲㑢攲㘷戳㕤㘵㝢愱挷㔰扦㜸㉡㐱捣改搳挹㈷㔴㕡ㅣ㝣〲㘱㐴愶㈹〹㠹ㅢ㈹㍥㤴㌴晥摡搷㥢扥㔳㔴㈰㠱㝡愲挶㈴㌸搵昸挹愴昱ㄱ㝣㥥愵摡攴㜸㤵㠰改昹愴㌱〹㔳㌵㝥㈲㘹晣挷㈳〷ㅢ㡤ㄳ㍡㡣㐶搶㐹㈴ㄹ㐶慦㍡〶愴㍥搵ㅥ㐶㜳摤愲㈲ㅤ戰愲㘲㡡㔰ㄵ㐳慥㈹㔵㍡㠸㕢㈱㍥㍥㤶㥥挷㈵㈷摣〵㠱戴㡤晥㥦〹㜳戸晣㌴㙢㠶㈶扥㠵摥㐰搴搹㌷搴ㄳ㍢ㄷ慣〵ㅦ〵晤搶㕣㠰挳㔵㜵㔷㤱〸散㠲㝣戴扦摢㜸攷㌳㙣挸收㝥㈴搱㌲㡤㤷㐹㝡搳㈲㉡挲㤲ㄷㅦ㐸㌰㥢㝢扣㐹㌳挶㘳㐰づ挴㈴㈰㌳挶攳㠰㔱㐴收〰ぢ㐶挸晦㡡戹㍦挰㡡てㄲ㍣〱㔰ㄲ㘴㜶搲㐱攱㐹㠰攱攴晦㔸㌱戶愱ㅣ㈷㥡㜸㈴㜹㔹㥡㡣㡣愷搸攱挳〰㝤昰攳㡡㤸〸㑢挶㐷㔰㤲㝥㈹〵㠷㝡改㐷㔹昱㌱㠲㡦〳㤴㜴㑥㜶挷扢挶㌵昵愸挲㍥㠱慥攲㜱〲晣㡣㑦挶ㄹ㍥攸摣㠷户㜶㌷㥡㜹㈶㑥扥昰㐷捣戳攵㔳晥晢昰㘹晥㈶ㄷ摤㠷晦㌳㠹慥㉣晣扣昶㤶摥挶㈲ㄳ搰㌸㔷扦㜵㙣昶㡢ㄸ㠷敢㙡㠶㔲㌸㈲㤵㑡㔱㉢〸攲㥢ぢㄶㅥ摥挰户ㅣ㔷ㄵ㐲㤰〶㔴㠵ㅢ㔷㥣㐰㠱昱㘹㌶㈵㡥㠹㈷攳㌳㝣㈲㙡搵㈶㝥㌶捥昰㐱㄰慦慡晢㐳㜱昷攴㠵挴戵慡戰摢㕥㐸晣慢㡡戵昴ぢ㥦收㘰ち㔹挸戴㙡㈵㈲㑤搱搰ㄷ㤱ㄹ敡ㅢ收摣ㅥ挴㑦扢㈲㉡ㄷ慢ㄷ㉦晥㜵㌸㍦㜶㘳晥㕤敦ㄸ㝣晡昹ㅦ晥晡㔳㍦㝤敦昱摦晦敤㤹㘷㝥晡摢㑦㍤昷户㙦慦ㅣ晦晥戳捦㝥昷晥晦㝣敥搷晢慤㉦㙢㕦晦敢晣㤷ㅦ㥤扣昴攸挳搶昹㍢㑦㍤晡敥㠷ㅥ㤸㕣扣㘶扣慦慦扦晦㡥搱ㅦ摣昰晡㤱挷ㅦ晥㠶昸捥捦慦㜷㠵㕡㉥㕥搰㍡つ㉥㕢㑤攳㑢挸㘰ㅡ㥣昱换㍡つ㉥㔷㙤搴㑡扣㔱搳㈸㈸挲戹挱〹愸ち戳戵㘲攰ㅦ挸㤳戳㜲</t>
  </si>
  <si>
    <t>Decisioneering:7.4.0.0</t>
  </si>
  <si>
    <t>CB_Block_7.0.0.0:2</t>
  </si>
  <si>
    <t>㜸〱敤㝤〷㤸ㄴ挵搶昶搶戲摢㙣て㘱㠷㘰挲〴挸慡㠸慥㤳㘷〷挵〵㤶㈸㈰㔹㐵㍦㕤㘷㜷㘶㘰㘵〳敥㉥挹㡣ㄱ昳㌵㡢ㄱ㜳㐲㑣㔷㐵捣搷㜰戹ㄸ慦㘲扣敡㌵㠰㠸昹㥡慦攱晡扦敦改慥㤹㥥㤹㥥㘵昵昳晥㡦晦昳晣捤散愱敡㥣㔳愷慡摥慡慥慥慥㍡摤㕤愴㡡㡡㡡㝥挱挱晦㜹㤴㌰戰摤昴挵㙤敤挹愶捡㥡㤶挶挶㘴㝤㝢㐳㑢㜳㕢攵㠸搶搶昸攲㠹つ㙤敤㕤愰㘰搴㌶㐰摥㔶㕡摢搶㜰㘴戲慣㜶㐱戲戵つ㑡愵㐵㐵㘵㘵㘶㌱攴摢搸㝦㕥ㅤ㌱㤹捡㉣㈱㠱㔶㤱㘹㤰㜴㈵㈹㈳㌱㐹㍣㈴摤㐸扡㤳昴㈰改㐹㔲㑥攲㈵改㐵搲㥢愴て㐹㕦㤲㉤㐸戶㈴搹㡡㘴㙢ㄲ收㙦昶㈳搹ㄶ愴晢㜶㈰㌳㙡㐶㑥慥㍢ㅣ戵㤹摥摥搲㥡摣扤晦晥㔶㤹㠷昹晤㤵晥捡㐰㌰收慦昴敤摥扦㘶㝥㘳晢晣搶攴戰收攴晣昶搶㜸攳敥晤愷捣慦㙢㙣愸㥦㤰㕣㍣愳㘵㙥戲㜹㔸戲捥ㄷ慣㡢㠷慡晣愱㜰㌸ㄵ㡢㔵㜵摦ㅥ㤶昷慢ㄹ㌹愵㌵㤹㙡晢扤㙣敥㐰㥢㤳㙢㐶㔶敥㤷㙣晦扤㙣敥〸㥢㌰㌹慡愵㈹摥搰晣㍢ㄹ㉤㘵㥢㠶㐷㈵敢ㅢ搸昸挹㘴㙢㐳昳散㑡ㄴ㍢ぢ㘸挴愲㤵㈳摡摡收㌷捤㘳㍦慡㐹㌶㌶㑥㑢愶愴搱㥢㐶戵戵㑦㠹户㌶戵㜵㙦㈲㝥挹搶㘴㜳㝤戲慤㘷搳攸㐵昵挹㐶㕢戱慤慣㘹晦㜸敢㝥昱愶㘴〹〳攵㑤㔶ㅢ㡥㑦㈴㥢摢ㅢ摡ㄷ昷㘸㥡搹㤶㥣ㄶ㙦㥥㥤愴㑡㘹搳搸昹つ〹㔵㔲㠲㕦㔱㤷㕤摣㑡㈶つ㠵昲㌴搵捣㠹户戶㑢㡣㑤攸㜷搳㜵㜴ㄷ愹㐵㔶戹搸愵晡攷愴㘲㥢㑤㙦㘸㥡㤰㙣㙤㑥㌶㌲ㄳ戶攴㤰ㅣ㈵〱挸㙡㠷㌴㔲扡㍡㙣㈵搵捤㍥昹㔸ㄷ收㘲昴〷ㄹ戶㕦㑢㙢ㄳ㍡愴㍦㔸ㄹ慥ㄸ收慢昴昹晣戱㔸㈴散て㐶㠳昸ぢ挷挲㤱搰敥戱㔸㘵㔵ㄵ㠵挱愸㍦㕣ㄵづ㠷〲挱㘰㉣ㅡ慢昲〷捣〱㌰㘱づ愴戱㥤㐰㑡㠶㡤づ晡捣㐱攴㔵㠰愸㤲㌷㌰〰㌸戳攵㐹㔸㕣ㅢ㉦慥慤㉢慥慤㉦慥㑤ㄴ搷㈶㡢㙢㔳挵戵戳㡢㙢攷ㄴ搷㌶ㄴ搷ㅥ㕥㕣㍢ㄷ㍡晡㈸敢摡戵搸㍥扡㥣晢搴换摦扣㜸昰戸ㅢ晢捥㌸㜶㝤㑦晦挵㡡攷扣っㄹ扢㈰戰㤷㕤㡤㐹挹㜸㌳ち敡て㠶㠳㔵扥戰ㅦ攷㤳㉦攸昳晢慡㜶㥦摥㥥ㄸ㤵㕣挰ち戲㙡挱慡㔸搸敦㡢〵挲㔱㄰㜳㔷ㄸ㌰〷㠳ㄸ扢㠱㤴っㅢㅢ㡣㤹㐳挸摢ㅤ㐴愹㤷㔰〹㔶攴搱㌷㘷㐵㘷捤㌸㘸昴㑤敤敦㍦㔰搵昰昶晥愵ㅣ㜰㍡搵挰㘸㈹昴㌱㐷ㄷ敤挹敥㔵㌳扦慤扤愵㠹晤敢昷敤愷㐵㜶㍦㔵ㄵ㙥㍤挴敡愸㔶㠹晥㤷摤㜴愷ㅣ晢散愶㤳攷戵摢摤搴捡攲㜷改愹捡慣㘴㜳散〹㘲昸㐰㝡晡挲㥢㙥㌹昳㠳ぢ敥摤㜴挹扤ㅦ慣扣挷昴㔳ㅡ〰㔱敡㔹扢戱摥㍣扢摦愴搹㌷㑥ㅦ㝦搵㠱搳㈷ㅦ㜳㑢㘹㌷挵ぢ㠳㜴㤷㄰〲㔱扢扢〴愵换㐷挳ㄱ㝦㉣攲㡢愲捦昸慢㈲攸摥搲攳攵㜴㐰捣〷㜶挸ㄷ〹㐶〳㔵㝥㌳捣㥣㈲㈰㐶ㄴ愴㘴搸〴昴昷㉡昲㘲㈰㑡㍤㘵攷摥攷挹搳昷㜸昷㠴㝤㠶㥦扣昳㥡㡦晡㝥㤵㕡愲㜸㐵㤲摣昷㐲㘰㘸㜶㘷つ㠶愲㝥㕦㌸㄰慡昲〵晤㤱㘰㌰ㅣ挹㜴㔶扦㍦ㅣ昰㠵㜰㑤㠸挴晣挱㠸て〵搸㥢㤹つ〳㌱昶〱ㄹ㘴〱昰昹㠳㑢㌷㥣㜵攱晡㠷捥晡晣挱搳㍥扣昱愴て㙥扡㝡挳㝤搷慦㝦攸昲㑤愷㥥㌳㌴㌰搴慣㘶㥡攱㈰㑡㍤㘲ㄷ戰昸㑥摦捣㈵㍢摦㌷敡㠲攷收扤㔹㜲攱扡ㅦㄴ〷㑥㈹攰㐸〴㜶捦㉥㘰㔵㈰㥣㈹㔲㈰ㄴ昳〵愲㠱㜰㉣㕡ㄵ㐱㤱愲ㄱ戳〶㈹捣㔱㈰挶㘸ㅡㄹㅢっ㥡㘳挸ㅡぢ愲搴㉡㍢挷つ攳挶昸扤挶散攱户㝥㜹敦㐳㜵㝦㘹摥扥㤴㤷收㘰㑥て㜲ㅤ攴挷攰戲㕡ㅦ㙦㙢户捦ㅦ㐲昹晢㥥㌰㥢ㅦ搷挷戴搶晦昷挷㜵㘴昲扢㥣㉤收㜸愲扦㉦㠸㌱㠱㔸㝤㜰捦ㄹㅦ摥㝥攱挶〷㔷㙦㕡㜶㥦㌹㤱戲㐹㈰㑡摤㘵户㑣㜵㥦ㅢ㠳捦㕥㌲㙢挴㌵攷㡤摥敤㥥慢㈶づ㔴㥣㉦㐹㕦㤸㡣挰㉥捥扥㤰敥〷㤸搹㐴挳㈱っ戰㈱㝦愴㉡㠸づㄲ㌰愷搰昲㔴㄰㘳ㅡ挸愰つ㉢慦摣戴散㘴㉢敦て㑥扢昱挳慢捦晣昰愱㤵ㅦ慣戸㥡㝤昵昴攵ㅦ㕣㜱㈲晡慡㌹㥤㘹㘶㠰㈸㜵慢㕤㥡㍤㠶㙥㜹昲户晦㥣㌷昱捣ㄷ〶ㅥ㜱㜴㑤㤷㕦㔴㌷㠸愵㌴晢㈳戰慢戳㌴晥㤰敥㤶愱㑡㤴㈱㔰ㄵ挳挹攲㡢㐵㜱㤵㡡㥡〷搰昴㠱㈰挶㉣㤰慤㙤㄰㉥戸㘹晤挳㘷㝣㜸挳㈹ㅢ㉦扢㘸挳敤愷㙣㔸㝤㠳㜹㄰昵づ〶㔱敡㍡扢〸㕦晥㍣昶愹戶搶㕢㈷㥤戹晦ㄷ㍦㤵㉤㝣昱㉥挵㘹愳ㄴ攱㄰〴〶㍢㡢攰慢っ攱㕣〸晡愳㤱㔸搰ㄷ㡥㐵〲㡥㉢㑤搸㍣㤴戶㙢㐱㡣挳㐰㝡㕢㈷敢㠷㡦㕣㠶㝣㌷㉣㌹㘷挳㝤㉢捤㌸㌵敡㐰㤴扡挲捥㝤㘳摦挷〷㡦ㅥ昳挰愸摢㕥戹敤㡢㑦て扦㍤愲㌸㕦㤵摣ㄳ〸戸㕤慦愳搱㔸㈴敡㡢挶㠲戱㠸摦㕦㔵㤵㜵扤挶㌹ㅡ慥ち㠶㈲㌱㌶㔴挴㑣㌲扦ㄴ㠸㌱ㅢ挴㘷㤵挸ㅡ㍢慣㠱㘳攳愵㈷㙤㍡昵慣つ攷㉣挷〸昲挱攵㔷戱戵晥㜴敥晡㔵㘷愰戵㌸㤴捣㘱晡〶㄰愵㉥戲换扢攷ㅢ㍦㡥㥦㌱戲㜹攴㠵戵㥦搷㍣晣㕣敤㙢㡡㔳㙢㈹敦㕣〴慡戲搱慡昲挵㜰捤つ晢晣㤱㐰㈰ㄲぢ攸昶昳㜱愲㕣㔵攵㡦㠶晤戱㄰晡㤳㉦收㌷ㅢ㤹㔵ㄳ㠸搱っ搲㠹㤱㉥㌸搴㙣㘱㥡㜹㈰㑡㥤㘳ㄷ敦挸㑦㘶慣㌱摦㝡㘹摦㕢晥戵晢捣㑦㥥㕡㜰㥢攲愴㕦㡡搷㡡挰摥㜶昱㈲㤵㌲挱挱散㈷ㄲ昱昹㐳戸ㅡ㠴愳㔵戱㉡㑣挸㌳搷〲㈲攸ぢ㘱㡣挶㔸㕣攵昳㐷晤㘶ㅢ戳㙢〷㌱收㌳戴攱挱㍢慤㙥㘶㉥㘰㜴㈱㠸㔲㑢敤㜲㐴敡晢扣摥㜷㜵㙣挲挵晤扦ㅡ㌹戰㘱搹㕢㡡昷ㅤ㔲㡥挵〸攸㘶戵攷㉦㍥㘴敦㡦攲搲ㄳ㐰愶㤱〸挶㝦挷㐵〱攰㐴㜹挹ち㠴愲㘸搵㜰㈴㄰㌶㡦㘴㝥㐷㠱ㄸ㐷㠳㤴っㅢ㡦换搲㌱攴ㅤぢ愲搴ㄲ扢っ捦㥦㍥敥晢㉤㥥扣㙡挴〹㠹攷㤷㝥ㅦ㝢昵〱挵摢ㅥ㈹挳昱〸散㤱摤㔴攸捣改搳ㅤ敤ㄳぢ〵㐳晥愸慦㉡㠸㠹㥦捦ㄷ愸㌲㤷㈰㠹㜹〲㠸㜱㈲〸㘷㑤㍥昳㈴昲㑥〶㔱敡㐸㍢捦ㄹ㐷㕤㍤愶挷挵㑢㈷㉤戹昳摣愱搳㡥㤹户㡦㤲扢㉣敡㥤㑡戲ㄴ挴㌸つ愴㝢搶㜹㜱㍡㘵㘷㠰㈸搵㙥ㅢ晡㘴慦㤵㔳㥦㕣摢㜷摦㠷摥㘹慥㔹扥晤搳昳ㄴ敦搴愴昰㘷㈱愰ㅢㄲ㜷㕢扡㈵挳㈱㑥㔲㝤攸㘸攸㔸㍥挷㌴㌶ㄲ慡慡ち攰㍡ㅢぢ挷晣㠱㘸㈸ㅡ㌲捦㘶㜶攷㠰ㄸ㝦〲改晤挱昲㔵ㅢㅥ㌹㜱晤〳搷㙥㕣扥攴挳㝢敥昸攰慡敢捤㜳愹㜱ㅥ㠸㔲㑤㜶㠱ㅥ㕢㝡挳㜱〳㘶㙦㌷㘱挵散摢㙦敥㜹㘲㤷ㄳ㤵摣㌵㔲敦〲㤲ぢ㐱㡣㡢ㄸ摡㜸挱㔵敢㔷摦戸昱散㔳捤㡢ㄹ扤〴㐴愹搹戶㤵㕥㙦ㅥ戳㙢㘰扦㜰捤慡㐹㙤摦搴㌶慤昹㕣昱戶㔳慡㜵㈹〲㌹昳㕡㥣攴㈱㕣㜲㘳㤸愶昸㝤攸愰晥㔸收っ昲〷挲㌸捤愳㔱捣㝢㔱摢慡㐰挴扣㡣戹㕤づ㘲㕣〱搲㤵扤㠲攷昰㤵㘴㕦〵愲搴㘱㜶㈱㝥晡晡搳㈷㤷摤㜴搸㝥户㝥㌵攴敢户攷㔴㉥㔱㕢㐲㉣㠵戸ㅡ〱㍤㕦〹搹户〸㐴ㄳ㜳ㄶ㕥晤㘳搱㐰㌰㤰㍥㐷晣㤵挸ㄷ㠳㜰〴㘷㡥㉦㄰挲㘸㘸㕥挳捣慥〵㌱慥〳ㄹ戰搹昹㡡㜹㍤ㄳ摣〰愲搴㉣扢㜴扤㕦㥡扡㘱挸攷㍦㡥扢攷㠶扢㌷晣㜸㐳改搶㙡㉢㠸愵㜴㌷㈱愰㈱㡡㔴㐶敤ㅢㄸ㡣㈱㍣㝤〲晥戰ㅦ〵㡣㠶攵ㄴ愶っ攷㉦挶挲㈸攰㡢㠶㝤㈱っ㡤收捤捣敤ㄶ㄰攳㔶㠶㌶㍣戸摡㍥㠳㔷㌰㝡ㅢ㠸㔲搳散㘲㝣搹㔴搷㝦搱㜷㜷㑤戸㜵㤸敡昷慡㜱㘹㜷挵ㄵ㠱㔲慡㤸户㔳晢づ㄰攳㑥㤰㥥㍥晦愶换㡦晦攰捥ㄳ慣摡㥡㜷㔱㝡㌷㠸㔲ㄳ㙤㕢㐷昷敥㌳扣㜱捣搲㌱户晡㙦敥㜷攳搴愳㍥㔳㕣㔸㤰㉡摤㠳㠰〶摣㙦㔵〸搷戵㐰搰ㅦ昳㔵㘱搰っ㔵愱摦㘶挶愴〰㉥扤愸㉢㝡㜱㌸ㄶっ㘲㤲㙡摥换捣敥〳㌱㔶㠱㜴㘲搸っつ㌵敦㘷㥡搵㈰㑡㡤戶ぢ昸晡愷㐷ㅥ晦昱摢㉦㡥扥㜹㔵换搳捦扣搶敢㥦慡ㅦ挴㔲挰〷ㄱ搰㤸晢㜴㡦㠸㐵㠲㤸ㄱ〲㔹㡣愰〱摣㔳㘵㑡ㄸ㡡戲㥢㠴慤摢㐹㕦㌴ㄴ㌴ㅦ㘲㙥て㠳ㄸ㡦㠰㜴ㅤ㌶㌶㄰㘶户㝣㤴散挷㐰㤴摡挷㉥挴〳ㄷ㈴㘷敤昳㐲昱挴ㄳ㙢户晣晣愷愳ㅡ㝥㔰摢㐲㉣㠵㜸ㅣ〱㡤㤲慦㌲㙡摤扡〶㌰㠵て㠷慡㜸㡡〴晣搱㘰挸挲愹㘲㤸扦㌲ㄲ挲㠴ㄵ挴ㅦ慡㡡㘲㍡㕤㘵㍥挱捣㥥〴㌱㥥〲攱攰ㄵ㌶晦㑡摥ㅡ㄰愵愲㜶〱戶昸㙡㤷ㄷ捡㉥ㅡ㍤㘹昹晥捦ㄸ慢昷扥晤捣敥㙢㈱㥥㙡摦㐷㡦㙡㡤㉦挴捡㐴㘶搱㈳㔰㠹摢换捥慣昶㘰戱㈷ㄵ㑥㐵㔳㝥㝦㈲散㡢〷攳愵〳㘰戶戳换ち扣㙥㜴㑦ㅤ搰搰㥣㘸㔹㈸㌷㜰摢㡤㡣攳㘶㌲扤散㌰挴㤶㡤㙣㤹摦㥣㘸摢搶㕤㌸扤㍤摥㥥散㤷㉢换ㄸ挹㑢㌶ㅤ慢㌰挹㌶挹㙦㠷摣㘴晢挷ㅢ攷㈷㐷㉣㙡戰挴摢攷㠸戱〶搳㔲㔷㔸㍡愶㌵㜹㐴㕡㥡㔷愲ㄱ㔸㈴㕣㈰戶昳㙡㘹㠹慣㜲昵慦㤹搳搲㤶㙣㤶攲つ㘹㥡搲㔰㍦㌷搹㍡㍤挹㈵挶㘴㐲慡扡〵㐵昶㐲搰㤰挹捤愸㈸㤶㜶ㄲ〳㥤摣搴攸㐵敤挹收㐴㌲㠱昲捥㑢戶戶㉦㥥ㄱ慦㙢㑣㙥㤹愵㘲攵〹挱㌶㔹散㌱㉤昵昳摢㙡㕡㥡摢㕢㕢ㅡ戳㈵㈳ㄲぢ攲㔸㝣㑡㑣㙡㐹㈴戱㜶㔴挲愳㐸ㄵ㜵改愲㔴搱㙥㙥㌷㍦戴摢㔶㈹つ攱㘸攲敤搱收㕢㘷㜷扢捡㘹愸ㅤ㙡搱㤸㘴㥦㉣ㅥ戴ㄹ㘳㘲㤷㘶〶ㄷ㔶㜴搴㠹敢戱搴摥戵戰戶㤴㌱摤㜲晦㕤攵攲攲㍥㜶敤㐷㉦挰〲摤戸㜸㜳愲㌱搹摡攱㙡戲㘲㠹捣愷㐱㑡㐳㌸㥢ぢ愲㔷〲つ戵㐸㉤㉥㕤搸㤰㘸㥦㘳捣㐹㌶捣㥥挳㈹ㅤ㔶㥣换捡〸㙤摥㘱㍥ぢ㤶昹ㅣ挹昳㈰ㅥ㑦㤱昱〲㤵っ㡦昹㜷㉢㕥㍡㄰晦㜷㙡㘵㈸㙢改慦ㄸ愹㑣㔹㙡挴扡㜰㕢㘹ㄳ㙥㝣摢扡㜴㜱慢攵戸㜸摢㥣㜶㜶捦㡥㠵戴昷㈲挹㑢㈰愵㠳㐰㌶扢戲㔸づ愵ㄲ㉥愰昶㘸ㅡ㤵㑣挵戱㙣㉤㘷户㡡㤷捡㑡㔵㈹戸㙤昵㈶㤷㑣挷攳㕣㔹㘴㈰㠴㤳扦㝢ㄳ㝢㝦㜲㔱晢愸㜸㝢扣㙢ㄳㄶ㕦搱㑡㈶㤴㠶㐸㉡㉢挴㤴㍤㠴愷㔳㝢散ㄸ㉣㜸㈵攸戰搲㑤ㄸ㤶㈵㥣㌸㌸㕦㡡扡搸戴攳㑡愰散㍢愰ㄲ㐶㙥㐷捦㕥㐴挵摡㙥㘲㙣戲㜹挶攲㜹挹㌶慡㤷ㄹㅤ㐲㤹㝢㝡挹㔲㔷㝤摤捣昶㠶挶戶㑡㤴㜴㙣㙢换晣㜹扦愷ㅤ摡㌲搷㠱攸愳㜴〸㝡㜱攷敢〴戸㡡扡㉥㘰摢搴搶ㄶ㤵搱ㅡ㌹挶㉢㈰搶㉡㉤扢㉣㉣晥㠲晦攴㌰㕦挳㝦ㅥ㤳ち愶扢慣戴〲戲㕦戳敡捣戹㔱昷愶挹昵㜵㌳㕡㤳戲㡥㕥㈶ㄱ㐰摥愳改㠰㤶搶戹㜵㉤㉤㜳戹晣搹㔳㘲㙤㜳㤲挹㜶慥㑤㜷戳搷攲㘵捤㕤愹㉥㕤戲㔶㤰ㅤ㡢搸㍢挲扥昱㈶㐸㡦ㄱ㡤㡤晤戵挵㌶攳㉤戰扡㘰㤵摣㜸ㅢ㠱㔱ㅢ㉥㍣㘵晤慡㑢㌷㥤㝦㉦㤶㈰㌶摥㝡挶晡㠷捥晦攰挲㘵ㅢ㙥扢㘱挳晤㜷㙦㌸攷㡥晤㠳㤵晥摡㑤㔷摦扦昱戲㤵戸㉢挷㠲搹㠷㔷摦㔴扢昱昸㜳㌷慣㍡㜱挳㠳攷散敡ㅦ㕣戹愸戱㙤㤱ㅡ〰愴戸〶㝣晢つ昳㕡㍥扡㜷挹愴慢㠶㈵晦昳㘶昹㔷户愸晥戶㈰㙦㜹㝡㔷攴捤换扡昹㉥㠸摡〱㙡ㅣ㠶㄰捥㍥捣昷ㄱ㌷搷㤳㙣〰挱㘰㈲攸㘳㉣搹㘸㐵搵㘰晣捦昱挴晣㤰㘴ㄳ㠸ㅡ〲挲戳搹晣〸㐴ㅦ㙡ぢ搸㘷㈷㘱㐳㥢扢㤱攴戵攳㘷攰㝡㍡㤲愹摤愱挱㜶㌶㠹慢㐹㈴㑤愲愸扡挱戰㉢〰ㅥ㕢㤰户㍡㕥㠹㘴㥤㕢㠱㌶愰昹晦挴ㄵ摣扡㙥晦挶㙢㤱攱挱㔱愴昶㐴㘵愵㌹扦㐳挰晣ㅥ愴搴て搲㤹戵㜴摥㈳愸戸慡㔳昵㉡愱㤲㕤㥢戰搶㍥㘹㜶敢慦ㅦ㤸㝢㈲愱㡣慥㤶㠱敥㍡㉡㕢ㄱ㍡挲搱摡慢㈳搰㤶攱扥㐷㠶㠱㤱愵㡦㡥㌹㠶敤戴敤摦晢ㅡ㠰扡㘳攸戲㉥〳㔹㔷〳㠳㐷挷昰愱㥣〰㡡㠳攰敦㌵捣晦摦捥敦昷㉡㌷㌱戰㡥㉦慡戳晦㉦ㅡ㥥ㅤ㝦攷ㄱ㡦改〳㉢㝦㄰昹ㄱ㕣㑦㠷挲㡥ㄲ慡〰㤲愷㐷ㄸ愳ぢ㐶㉢〳㤳㑣昴㌰㙢愰昹昱㍦〵〶㥡ㅦ㙣㐱摥捥㑥ㄸ〶㘵愴敤ち㕢敡㝢愸戹㡦戴㈶挴愶㠷愴ㅢ㠸㘳愴敤㘱㐵㔵〴㠶攴搴散㐹愵㜲㄰㔵〵㤶㡣戴㕥挴昴愱㍥㐷ㅥ㝡愴㌵㝡㐳㘲㙤〴攵つ户㝤㈱昲㤸㔴挸㐷㔱㘴㉡〶㥢㘹㌰ㅣ挳敤㠶㐲㈸慣户〵㜹㍢㑣㝢挳搲〰晣㤹摢㈳㍢昵㕥㐱ㄴ㜶㘴㘹晡㤳っ〰㜱愰戰㤳ㄵ㔵挳㘰㐴㔰ㄸ㐴愵ち㄰挵慥㈲㈸散㡣㤸㍥搴敢づㄴ捣㝤挰捥慦攴㙥戴搹㤱㑣つ㐷㍡㌷〰㥥㉦〴挰㜳戶㈰㙦〷慢〶㤶〶戰ㄴ㐱ㄶ昹㤹㠲〰㠴㈱㌶㈳㈴㔱㄰〷〰㌱㉢慡㐶挱㠸〰㌰㤴㑡㝢㠱愸㌱㘰〹〰㝢㈳愶て昵戸ㄳ㠰搱㘰攷〳㌰㥣㌶捤づ㘴㙡㉣搲戹〱㜰㝦㈱〰㔶搹㠲扣つ戵昱戰搴挱㈲㐲搶ㅥㄶ㤷㉡戳ㄶㄱ扡愷挶㌴㌴戶㈷㕢攵㍥戱㍣㠵晦㉣敦ぢ㠹昷攰扤㜱㙢扣摥昲㙢攸㥢慡挱敤㌱摣㍤摡ㄷ㘷ㄶっ昲㙥捦慤扢搷晦扦〸昱㠷㕢㠴㤰㈵㠸慣㠵㠸づ㙥昲搱㘹㜲㤶㈱㍡㔶㜶㜴㈲摥㝦扢摥㉤㐸㤷慡㠴攵散㑥㐶晤摣晢ㅢ搹て㑥敢㍢㍢㈱戵㝤㠵ㄷ㈷搸搹昳㍢㈹ㄳㄵ㕣〸攰扤晥晦㕦㐶挹㜵捡戳㤶㔱挶㜳㈴摣㤷㘴〲挹㐴㤲㐹㈰敡㉥㝢㤸㍤〵㤱㔳〰攰ㄳ挵㐵㐵敦㈳㕣㘴㑥愶捥ㄴ㤲愹㈰㡥㘱㜶㍡愲挶っ㤰㜲扤戱摦摦敡㘲㤸ㅣ敦㡢㤴㌲昴捥㘴挲晤㐱扡ㅦ〰戲摦戸㘴㈳㤶攴㝥㉦㐷戸搲㠹挸愶攳㐵〴昴㥦摥㔰摡戲㘹晡攲收晡㌹慤㉤捤㜰㐷攴摡挶㠸㝡㜸㤲戵愹戸搱㌴戱愵㘶㝥扢搱㌴慥〱晦㜵㙦㥡㤶㥣㤷㡣户搷㘰挹ㄵぢ㈷ㄳ攱慣㈰换㈲攳ㄳ㡢㝥晤散晣昷㕢㌶㈹㉡㐱ㄵ㡡ㄴ〰搴㉢㈷㉡昷散戵ㄶ㌰㙣㜸㉢㐷戵挰㉢㌱㈹づ㤹㠴摤㌰戰〴昶〷㕣ㄷ挱扥㍥㑡㜷搵扦㙥搹慢攲㡡摢㝦戱晦㍦づ昷愱㜲㤸ㄳ㔰改晣㉢昱挱㐸攲改㐸愶㈶㈱㕤晡㑡㙣ㅣ㐶搸搰つ慣㔹改㤵㠵慥挶㔷搸㠲㍣㈷㡡㈹戰㌶㠰㈵㐹挰㤰扡捣㍥㑦挰挸㍥捣ㄴ挴收㙣㤲㌹㈰㡥昳攴㜰㉢慡愶㈲㠱㥣ㄳ㜳愹搴〸愲愶㠳㈵搳㤱㈶挴昴愱捥㐳ㅥ㝡㔶㙡㑥〳㍢ㅦ㠴㈳㘸戳㈳㤹㥡㠱㜴㘹㄰ㅣㄳ搲愵㠵〰㌸搵ㄶ攴昹㙤ㅣ〰㑢〳㔸㡡㈳㔹攴㤳㙤〰戸扦挲扦捣㐰㜱㌴挴收㌱㈴挷㠲㌸〰㌸摥㡡慡〳愱㉥〰㉣愱搲〹㈰敡㈰戰〴㠰ㄳㄱ搳㠷㍡摡〹挰㉣戰昳〱㌸㤵㌶捤づ㘴敡㘰愴㜳〳愰戵㄰〰㐷搸㠲㍣慦㤱㐳㘱㘹〰㑢昱㈷ㄶ戹挵〶〰㡣散挳㍣て㘲昳㝣㤲ぢ㐰ㅣ〰㕣㘴㐵㔵㉤ㄲ〸〰ㄷ㔳改ㄲ㄰ㄵ〷㑢〰㔸㠶㤸㍥㔴捡〹挰㘱㘰攷〳㜰〵昴㍤㘶〷㌲㔵㠷㜴㙥〰晣㑦㈱〰づ戶〵㜹㡥㉢㐹㔸ㅡ挰㔲摣㠰㑣搵慣㠲〰摣〴戱㜹㌳挹㉤㈰づ〰㔶㔸㔱㤵㠲ㄱ〱攰㌶㉡慤〴㔱㜳挰ㄲ〰㙥㐷㑣ㅦ㙡㡡ㄳ㠰搹㘰攷〳㜰㌷㙤㥡ㅤ挸㔴〳搲戹〱㌰愶㄰〰愳㙤㐱㥥㈷っ㕤㔸〶戰ㄴて戲挸㌵〵〱㜸ㄸ㘲昳ㄱ㤲㐷㐱ㅣ〰晣挵㡡慡㈶ㄸㄱ〰ㅥ愷搲ㄳ㈰慡〵㉣〱攰㐹挴昴愱㠶㍡〱㘸〶㍢ㅦ㠰扦搱愶搹㠱㑣捤㐳㍡㌷〰㝣㠵〰搸搳ㄶ攴昹摡戴挱搲〰㤶攲㐵ㄶ㜹㡦㠲〰慣㠳搸㝣㤹攴ㄵ㄰〷〰慦㔹㔱挵ㅤㄹ〱攰㜵㉡扤〱愲ㄶ㠰㈵〰晣〳㌱㝤愸㐱㑥〰收㠳㥤て挰㍦㘹搳散㐰愶ㄶ㈲㥤ㅢ〰晤ち〱戰㡤㉤挸㜳昲㌹ㄲ㤶〶戰ㄴㅦ戲挸㕢ㄵ〴攰㈳㠸捤㡦㐹㍥〱㜱〰昰㤹ㄵ㔵㐷挱㠸〰昰㌹㤵扥〰㔱挷㠰㈵〰晣ぢ㌱㝤愸㥥㑥〰㡥〶㍢ㅦ㠰㙦㘸搳散㐰愶㡥㐵㍡㌷〰㑡ち〱搰挵ㄶ攴㜹ㄸ㉤㠱愵〱㉣挵㝦㤰愹㔲〵〱㈸㉡㠶㡥㈲㈹〶㜱〰㔰㘲㐵搵〹㌰㌲㤰㠶㑡挱㌰つ㄰㜵ㄲ愲〲㐰㔷挴昴愱扥晦㌹㜳ㄹ㌴昸搰㠸攵㥡㤴户㌸搳つ㈲㡦㐹㠵㝣㠴㐴愶㑥㠶㑤㌷ㄴ㍥㐳づ慥㙢攱㥦摡㠲㍣㥦愷㔳㘱㠹户攷㘶㕦㘶户〵挹㤶㈴㕢㤱㙣つ愲㌶㈲㈹㤷慤戸㔳㜷〷晥㌲搷挷㝥搴搹㤶㘴㍢㄰〷㌲㍢㤰挷㠹㌴㈶捥㑢㤱㘴㈰㌳攸㑦收〰㄰㜵㍡愲㥣攸挲㍦ㅦ搱㠲戳愵搳愸㤱〷㑥〵㤲㜸捣づ㘴敡っ愴换㠰挳搹㤲㌵㔳㕡㔷〸㥣㤷㙣㐱㥥ㅦ搷搹戰㈴㕤愴㤲挵晥扢つ〴㤸搹㠷改㠳搸昴㤳〴㔸扡捣㑥㐹挸㡡慡㜳㤰㘰㈰晥捣㌰㤵㈲㈰敡㕣㐴愵㡢㐴ㄱ搳㠷㕡㠳㍣搲㌳愵㍦㠱㥤て挰㕥搰昷㤸ㅤ挸搴㜹㐸㤷〱攰㉤㕡㜹ㅢ㐴㍤㕣〸㠰㠷㙣㐱㥥摦搸〵㐸㈶扤㘳ㄴ换㍤㥡㘴っ挹㔸㤲㜱㈰敡㍥ㅢ㤴て愱昹㈸晥㌲扤㘳㕦敡㑣㈰㤹〸攲〰㘵㍦㐴㡤挹㈰㉥户㔹ㄷ挲挴㐰晣㤹㔳㈰㌷愷㠲愸㡢ㄱ戵㝡换㌴㐴ぢ昶㤶㡢㤸㉡慦户捣㐴ㄲ㡦搹㠱㑣㕤㠲㜴ㄹ戰㌲扤攵扡㐲㘰㕤㙢ぢ昲摣攳㉥㠳㈵改㉤㠷戲搸㔷摢挰㠰㤹㝤㤸㠷㐱㙣挶㐹敡㔸扡㑣㙦㐹㔸㔱㜵㌹ㄲっ挴㥦㤹愴㔲ち㐴㕤㠹愸昴㤶搹㠸改㐳㕤㠲㍣搲扤攵ち戰昳〱㤸ぢ㝤㡦搹㠱㑣㕤㠵㜴ㄹ〰㌲扤攵散㐲〰㥣㘵ぢ昲㕣昳慥㠱㈵〱愰㥤㐵㍥愳㈰〰ぢ㈰㌶ㄷ㤲㉣〲㜱〰㜰愴ㄵ㔵搷挲搰㐰㔶攷㈸㉡ㅤつ愲慥㐷㔴〰㌸〶㌱㝤愸ㄳ㥣〰㕣〷㜶㍥〰㑢愰敦㌱㍢㤰愹ㅢ㤰捥つ㠰㐵㠵〰㔸㘸ぢ昲扣晦㙥㠶㈵〱攰㜴ㄶ㜹㝥㐱〰捥㠴搸㍣㡢攴㙣㤶㉥搳〳晥㘴㐵搵㉤㌰㌴㤰搵㌹㤷㑡攷㠱愸ㄵ㠸ち〰攷㈳愶て搵攸〴攰㔶戰昳〱戸ㄸ晡ㅥ戳〳㤹愲㌳愱ㅢ〰㜵㠵〰㠸摢㠲㍣扦挳摢㘱㠹扢慢昶㡥攲ㅤ〸づ挴㥦戹ㅣ㘵㌰慦〶㔱㜷㈱捡㕤㐵敢攸捣㔶捦㥤㔰捤慦搵㜵慣㤵挷散㐰搸㤱㑣摤つ愳㤹㉡㜷㔱挸㐲㠶挸㘹㠵慡㍣搵ㄶ攴戹㐷摥ぢ㑢搲收㜷戰㝡㤳愱收扥挷㜳ㄷ㈱戸㥢攴捦㔲㜴慢㑥搸㑤扦搷㡡慡晢㘰㘸㈰敢㝡ㅦ㤵㔶㠱愸晢ㄱ㤵㌶扦ㅦ㌱㝤愸㌱挸㈳㝤搶慦〲㍢ㅦ㥤㠷愰敦㌱㍢㤰㈹晡㔴㘶〰挸㥣昵㝢ㄷ〲㘰㉦㕢㤰攷㝥昹㄰㉣〹〰㑦戱挸戱㠲〰慣㠱搸晣ㅢ挹㕡㤶㉥搳改㥦戱愲敡㘱ㄸㅡ挸敡㍣㑢愵攷㐰搴愳㠸ち〰捦㈳愶て攵㜳〰㘰晣ㅤ㤲戴愷㘶摥昸晦ㄲ愴㜰㝥〲捤〷㐹㘴敡㌱㤸㜵〳㘲攷㐲㐰㔴搸㠲㍣ㄷ搰㈷㘰㐹㠰㜸ㄳ搹愹㥤ち〲昱㌶㑢昳㑦㤲㜷㐰ㅣ㐰扣㘷㐵搵㤳㌰㌴㄰㝦收晢㔴㕡て愲晥㡡愸〰戱〱㌱㝤愸㝥㑥㈰㌶㐲㘲戹㡢收愱戰〹㈲戸㙤㠰收愳㈰㌲挵㠵て㌷ㄴ扣㠵㔰㈸户〵戹㝥愸愵㑦挳搲慦昰ㅦ散〶㜵㌳戵㝦㐳㜲㈱ㅤ㥥㝡愶戲㥥㍥散㤱ㅡ搵戲㕦㑢晢愸㠶戶㜹㡤昱挵㝤㔲㜶攰㠰㌹挹㘶昸㑥戶挲㠵㌲㠷搷㌲㙦㕥㌲㘱愶愶户捣㙦慤㑦㡥ㅦ昵㐷昰慤㤴挶㠲慢㤰㔲㐵挵ち挷㙦㜳ㄷ㉣㐲㑡㜴ㄵ晡㘹㤴搲挹㉦搷敢换戱ㅤ㤱搹昹昲㐲戱㍣㠳攸㡣㠶昶挶㘴户㤴挸㈵㕣㤶〲㡡㜰㐸㑤㜴㑤捤㤸〳㐷愸㔱㍤㔲㘳㕢ㅢㄲ㡤つ捤㐹㌶〶㜶搳攸扡㍢㌱㌹ㅢ捥愷㔳㕡摡ㅡ昸㌴㜳㡦搴㡣搶㜸㜳摢㍣晡搱搵㉦敥㥤ㄵ㤳㤵攵搲搴挸㠶收㌶㘴㈳捦㤰㌲㕣㥥㥡㍥愷㘵㈱ㅥ慣㥦摦搴㍣㌶㍥慦敤て搱㉡㑡摡㠵㐴㥡㐶ㄵ慢攲㘲㔵㔶㕣昶㕢摢挷昸ㄲ㘷㔷ㅦ敢㌹㤵晥攸愷敤慤つ㜵昳〹㤸攴ㄳ〰㉤㈱㤱㌶㉣㉡㝤づ愱づ㜶㤴戸慦㘴扢〴搳摤㤵㘵捤㝡慥搰搵昳㌲晤戶㠲敤愱㙥㝥㠵攲㜴晦ㅡ㘴摦戱㌳挷㘷ㅣ挱晦㔷㡦晥㤷㍥て换戹敢昴戹㍤㉦敤㜷扢〵㤴㝢㕡㕤㠸㍣昶㈸㥣㤹攸〹㡣攵㜶㑢㑦㑡㜴搸㐳㝢㘶㠲㘳攰扡搹㍤㌵㌱㕥㤷㙣挴㡥㑣㔳扣扤愷ㄵ攱敥ㅡㅥつ㙦戳㘵㌵㉤㑤㑤㜱㜶㌹㜶搷改昵昱挶㘴㔹㙡挴晣昶㤶㐹つ捤㘶ち㐴晡愵捤㡡㉦〲㉢扥㐸㔸摤㔳搳攸㠹㉥㘱摡㙡㤹ㅤ㙦㙤㘸㥦搳搴㔰㕦挶〸扤挵晦㄰㝤ㄵ攳㝦〹挰搴㠷ㅥ㑢㜲昷㠹慣ㅤㄳ㌴㜷㈵㜶慤〸ㅤ㥢ㅦ㍤扡㔸ㄹ昸愷㝥愳㜳ㄸ㐶ㅥ戹㘸㤸摦挲㕡㈹晥㘴㈸㤲戲㝣㈱づ㝤〸㝥㜱ㅣ扡愸っ㑥敡敦㔴挰㥦昹ㅤ㔴ㄹ攰㕦挹㡢㈰ㅤ㝡戱㜶㠵㠲㘷㘲㑢㍣㌱〶㝢昹㉤慤㕤敤㔷㔵㤴愱㘹㌹搴戴㝡改㔷㕣〳㔷㜵戸挰㉦㘸㐸㈴㕢换挸㤸㡥扤慦ㄲ㝡㈴ㅢ㔶ㅢ昲㘴㉥㉡㉤敤㔶收㤶搷㜸㙤㙢㤰敤愸改㝣搵挷昸㍣晢㥦㑣慤慡㘶搹㍤ㅥ戹㐴㝤㡦敡㤸晦㘶㥤戸づ挲晡攴㈸晣㐰㠵ㅦ㐱㑡搷㐱㤸摢㌶搹㉥扥㜰〴㌶愱㔴㐲户戶ㄲ扡戳㤵㘹㌷戶㔲愹㐸㌷㠷摢㥡㘱戹慢㤵改㌷㐷ㄸ搳搱换㤳〹㡦㌵扥㜲攷て㔷㠶愲攲攲ㄲ㌴戵㤱敢㘴㤱㤷㉤㡣㌵㑤㑦㡡ㅢ戲摡〱㐵㌰㝥㐲㠹扢昱㘴㠱晤摡搱挱㐰摥〴〱㤳散晦㐰愷挸愳㕥〳搵ㄵ摦㡥ㅣぢ㤹㕦㔸㜱㍥晢愲摥〵㤳㤷㝦挷挵㑡扤㡦㈸㉦㔸㐵㠶㠲㑡㘷〷㐸戵ㅥ㈹㌸㐸㥡挵㌴扣〱㈱㡥㍤改扥㔸〲敥收晢攲㐶愶挰㥦挹搷㜶㌰㈰㝦㕣愹搰搵㤰㡡㔹搵㌰愰㘳㜶愵攲㈶㜷㠵㌲㉡昰愵㉥敡㈳㈸戰㤱つて㘲㘹昰挶㠶晣㙥攰㜵㠷づ挰晢捣㘱㤴て㉣搹攰昵愰搱㥥㌴晡㥤㐳〱㐱慤㔰㑥〵㉦ㄵ扥㜷㔷攸㐵㠵摥㔴愰昷㥢慥搸㕡㔴搵攳搹ちㅣ戳てㄵ晡㔲㠱㕥㘸戹敤㐳搷㌳慢㝤戶㠰㑡愷摢挷㠳㘴搲㍥㕢搲㌰扤搶戲摡㘷㙢㜰㌷摦㍥昴㙥挳て敦慥愱ㄱ〴攴㡦㉥㙥扡ㅡ愵㘰摡㐸昵㠳㡥戹㉤ㄵ改晥收愲戰ㅤㄵ戶愷〲㍤攲愴㝤㜶㐰㉣摤㍥ㄳ摣㍢㜷㝦攸愰㝤晡㍡㡣㍡摡㘷〰㡤づ愴㔱㍡慦攵㠲户㈳㜸ㄶ㜸㍢㐱愵搳攰昵㐷㌲〱㙦㄰つて㐰㉣ぢ扣㥤挱摤㍣㜸㍢㈱ㄹ㝥㐵收㉥㌴愲挱愳㘷㥣挶㠶㑣ㅢ扣㕤愱㘳づ愶㈲扤收㕣ㄴ㜶愳挲㄰㉡散っ〵〱㙦㜷挴㜶搷㈳挳㘶㥦㡥攴㜳㜲戹昷ㅤㄸ㍡㉡㘱〴攸敥收挸搵㠱敥㥥捣搵挷㕣改ㄹ㈷攸攲ㄴ㐷愱㌹捦㔵㜴㠷戳搰昵㐳愵搳攸搲㠱㑥搰つ搰㌰㍤改戲搰つ㠱扢㜹㜴改㜱㠷ㅦㄶ㙣㘹㐴愳㑢户㍢つ㥥㘳攸㠸㐰挷㡣㔲㤱㉥㜹㉥ち㔵㔴㠸㔱㠱㕥㝡㠲敥㔰挴搲㕤㤳㉦愶㜰〱㙦㙦攸〰扣攱づ愳づ昰㠶搱攸㍥㈰愵昴㠱改㘰㕡〶㔷〱㠷愷㔴㑦搸㌴㔲㌳㥢ㅢ摡㌱㘳㘲昳㡥㘹㘸挷搸摦㍤〵㠲愰戸㌴昵㤳㤹㤴㈳搱㤰昴ㅤ摡㡥昹愲慣㕢戶ㅤ昲攵捥㝢戸㐱㉥㘲敢敥捥㜱㔳户㌹㈵戹换㜳㈹攳ㅦ改戶㑦㔹㉥㉥㐵搶㥤㕦㠷㉦扣挹攰捥㤹晢晦攲㈶㔱晡㄰摥愷挲㙥愳昰て攷摦〸㠴㜹捦戸敦㘶扢㠸挳㍦慥ㅢ扢ㅤ敦ㅢ㉤㕥て摢〱㜳㝣㜳ㅢ㘶㕥ㅥ㍢㠶㜹㜵㑦㍢㌸㜹㝥㝢㤶㈴扥愸㡦㉤挱搳㉦㤳㥢㜱㌷㔴ㅦ㙦㑤晣㐱愶搲愸㥢㜵挷㈷戳攲摦㜸㌷づ㈳㍣ㅣㄳ㘰慣慦㡣戴戱愶㈳摡慦㜱㉦㉣㠷愵ㅥ㠴㍢敤㜵㔸挶ㄸ㕦戸㈰慤㘰扤㈰㑡㤶㐶愶㈴戱慥㠱搷㠰㌵㈶晢㐸㠲㜴㔴愶㡤㘶㙡㐴㕤ㅢ㙥戳摢㜹て㘵㠷攴㐴㌷㔳搳㤲㡤㜱㍥慦㡡㕢ㅥ㍢㌴愵扥ㅤ捥戴㘹〳㝣ㄶ昵㡦搳㐲㐰愴挴㙥㈵㈵敤㘴㜴㌰扥㘵㔷㠲攷搰㙦㙣㔵戴㕢㑡㡥捦慡搵愵换㜸摣㕣㕤愴〳搶㐵愹㤴づ㠶ㅤ摣戹㘳慣㜵晡㠲昲㑣敡愳㕤㤴慤ㄱ㑥〶慦敥㥡挷摢晢ㅥ㕣㠶㘹㙤挷〳摢㝣㡦㔰㌹㑦㥤㐶摣晦戴㌷攰㑥戶㜱㜱捦搴昸收晡挶昹㠹愴摣〶敢㌱㕢敥㠶晦㄰敤㔵〲㐰散㌳慡〳㕣㙣㔰挶攳ㄵ㡡晡〱摥摦扥ㄶ㘶搶攰㑣㤳挱づ㌶攰挳㙥㥦㜷㜴晢晣搵㡥户ㅥ㤴扥㜷挶㙤㕣㕥慣㠷愱㉤㡦挵㌱㡤摥㤳㌵摡㜷㔷捥㌸㠷摡挴㤶㠹㉤㕣㑢㜳戰挶㌵㔸慣㍦㐴㍢愱㥥㔶㌳攱㤹愴摦扣ち㐹㈳㌸戶扤昲搰挱㑦㝢扢つ㕦扤攲㤱ㄳ㔷ㅥ昱㜹㌵㕡㐱㘶㙣昴慣㤵ㄹ㥢㜸㌳捡挴㈹〰昵㘲ㄲ㤹搵ㄵ㈹晡摤捡散㙣㉣㕡㑤搱〱搷㥡㥤㔹敤㘹㡥〷㜷昳戳㌳㍡敡攲〷挷㕦ㅡ㐱㐰晥攸㤹慢㈷㕦㔶㠶㍣晤捣〹搰㌱㈷㔲㤱㕥扢㉥ち㤳愸戰ㅦ㐸㈹㥤㌷㜳〷㥡㠲㝥愸㐸㔰㠴㠷㡥㜱〳㕥搶挴㠵〸㥣愶〶ㅥ㌶㠶㥦㉤ㄶ㌳㡣㙥㘵昴㔳㌵㈷㐳敢搹㘷㥥ㄹ挶昲㈸㍡㝡敡晣戹㤸㙦㑦捥愷㌰晦愹㈰㜸㜶㉥晦ㅥ㠳㕥㤸搶㉣㜸ㅡ㔴㍡㍤ぢ愶摦愶攰㍣㥤㠶改挰㤹㌵ぢ㥥〹敥收㜱㍥ㅣ挹昰㠳扦㌳㡤戰ち晣愳户愷慥㠶㘳ㄶ㝣〰㜴捣〳愹㐸㑦㔰ㄷ㠵㔹㔴㌸㠸ち㜴づ㤵㔹昰挱㠸愵敦㌱㍡昵㕥㉥㤷㘹昲㈱㌰㠲㘹㌲㍤㐸㜵慥㡥㘹昲愱捣戵㤶戹搲摢㔳敥㌱㌲㙢改㡡㉥㥥ㄶ扡㠷㐱愵搳攸搲㈹㔴搰㡤搳㌰扤㐳戳搰慤〷㜷昳攸ㅥ㡦㘴昸挱て㤷㐶㌴扡㑢㄰搲搵〰㕦㜷㤲㈴挲㘶㡡㡡㜴㌳㜵㔱㤸㑤㠵㌹㔴愰攷愹愰摢㠰㔸㝦㝤〷㔷昰㌵㘳㉥㠸捥㐵㐲㈰㑡㤷㔴㥤㤳〳搱㐶收搴挴㥣攸㍥㥡㡢㈸㝤㐶㉤㐴㥢愱搲㘹㐴改㘵㉡㠸戶搰昰〵㠸㘵㈱㝡〴戸㥢㐷㤴㙥愹昸ㄵ㤹慤㌴愲ㄱ愵㙦慡慥〶㤹昶㘹搷〶ㅤ㤳慦昶㔵昴㕢㜵㔱㤸㑦㠵〵㔴愰㉢慢㈰扡㄰戱㝥ㅡ㔱敢㥥㌸敢攵㔰㉥㔸㉥㐶ㄲ㘰㐹敦㔶㥤㠷〳换㈳㤹挷㔱捣㠳㥥愸戹㔸搲晤搴挲昲㘸愸㜴ㅡ㑢㍡慣ち㤶挷搰昰㉤㠸㘵㘱㜹ㅣ戸㥢挷㤲ㅥ慥昸ㄵ㤹挷搳㠸挶㤲㙥慥扡ㅡ㡥㜳㝦〹㜴捣ㄳ愸㐸ㄷ㔸ㄷ㠵ㄳ愹㜰ㄲㄵ攸ㄵ㉢㔸㥥㡣㔸㔵㌶㤶扦攲㜵㙦㉥㐸㥦ち㠳㐰㥡㙥戴扡〴㐳挹戱搶昷㤶戲〴愷戱〴㜴㜹捤㐵㥡㝥慥ㄶ搲愷㐳愵搳㐸㍦㠲㘴㠲昴ㄹ㌴晣㈸㘲㔹㐸㥦〵敥收㤱愶㉢㉤㝥㜰〶愱ㄱ㡤㌴晤㘹㜵㌵挸戴慢㜱づ㜴捣㍦㔱㤱扥戶㉥ち攷㔲攱㍣㉡搰晤㔶㤰㍥ㅦ戱昴㈸扢昹㤵ㅣ扣慤捥〵摤ぢ㘱〴攸搲㐷㔷攷敡攸挷ㄷ㌱搷㡢㤹㉢晤㘹㜳搱㕤〷㥥㠵敥㈵㔰改㌴扡㜴扢ㄵ㜴㤷搱㌰晤㙦戳搰扤っ摣捤愳㑢㍦㕤晣昰扡㌱ㅡ搱攸搲㔹㔷㔷挳搱㡦慦㠰㡥㜹㈵ㄵ改挸敢愲㜰ㄵㄵ㤶㔳㠱扥扤㠲敥搵㠸昵搲晤㌸昳愲㍤ㄷ〸慦㠵㈶㈰晣愷挳戴愳㠳㕥㐷搳搷搳㌴㍤㜲㜳㈱晣〸㍣ぢ挲ㅢ愰搲㘹〸改戸㉢㄰摥㐸挳昴攰捤㠲昰㘶㜰㌷て㈱㍤㝤昱㠳ㄳ㍣㡤㘸〸改敥慢ㄱ〲㕦㜷搰㕢ㄱ㌶㔷㔰㤱慥挰㉥ち户㔱㘱㈵ㄵ攸ㅤ㉣㄰摥㡥㔸㝡㌱㙣扣晢㍡敤㥤搰〱㜸昴㄰搶㐶ㅤ晤敦㉥ㅡ扤㥢㐶改捤㥢ぢ㕥ㄱ㥡搸〲敦捦㔰改㌴㜸ち挹〴扣㝢㘸㤸摥扦㔹攰摤〷敥收挱㉢㐱㌲ㄴ〹ㅥ㍤㌴愲挱㘳㍡㕤つ昰㌵㜸昷㈳㙣慥愶㈲摤㠸㕤ㄴㅥ愰挲㠳㔴攸ち〵〱敦㈱挴搲攰㡤㜵〷敦ㄱ攸〰㍣㍡て㙢愳づ昰ㅥ愵搱挷㘸戴㉦ㄴ戸㥡㘸慦㈴㍤捥㘴昶㑡搲ㄳ〸㜳㔵㤶㉥挲㕣㑤搲㐷昶ㅡ挸㤳戶搶㤶搰攲㍡〸㙢扣戹㝢㙡戵ㄵ㤴㜹㕦㕤㘴㍥㠵攴㤹ㅢ扢㌵戶㌱扡㈱昳收捥㍡扥昸挵扡㈵扦扦扡晢㡥㝦㝤㘴户戳㍥慦㉥戲㙦㍦攸㡦㉣捤㉣敥挱㤲㜷〰㘹㥣户ㅦ昴㔶㤶㈶㕤ぢ摢㡡㙥换㔶㤳摡户ㅦ捦㠰扢昹㈶愵㝢戳ㄴ昷㔹ㅡ㐱づ昲搷ㅦ㕣つ㉥㑢㙡て搸捦㐱挷㝣㥥㡡〳摣ㄵ㕥愰挲摦愹㐰㙦㘸摥㠲㤸㉦㈲㤶扥㙢愸㜰㈴㜳摣㌵扣挴㘴敢㤸㡣捥挹戹㍤㥥ㅥ挹㔶㡦㝦ㄹ㉡㥤敥昱㝥㈴ㄳ㜸㕥愱攱〰㘲㔹㍤晥㌵㜰㌷て㑦〸挹〴㥥搷㘹㐴挳㐳捦㘷つて㠲ㅡ㥥㌷愰㘳晥㠳㡡ㄱ㜷㠵㌷愹昰ㄶㄵ愲㔰㤰ㅥ晦㌶㘲改㔹㤸换ㅢ㌱㕤㠶摥㜷㤰〴㈷〰㝤愷㜵㈱昶捡ㄴ攲㕤收昱ㅥ昳ㄸ〵〵挷〹戰㥥挹散ㄳ㘰〳挲㍣〱㐶㐳愵昰〹昰㠱慤㐵㌷改㑥㥦〰㘳愱㙣㥤〰ㅢ㤱㍣㜳〲㙣戲㡤搱搳摡㜹〲愰㔰㌸扥㌸捥晥ㅦ㉦㐱戰敥扦改㜲㙤㥤〰昴㜸㘶挹㡢㜲㑦〰㍡㘴㑢ぢ㝦っ摢㡡㥥搹㔹㈷挰愷攰㙥扥㠵改挱㉤㉤晣ㄹ㡤㔸ㄹ攱搶ㅥ㕣つ㉥㜳户㑦㠰捦愱㘳㝥㐱挵愹敥ち晦愲挲㤷㔴㤸〶〵㌹〱扥㐲㉣㝤〲搰㠷㕢摢㜵㥣〰㕦㌳搹㌷㑣㐶㝦敢摣ㄳ攰㌰昰慣ㄳ攰㕢愸㜴晡〴㠸㈳㤹挰昳ㅤつ搳㍦㍢敢〴昸㌷戸㥢㠷㈷㠱㘴〲捦て㌴愲攱㐹㠲慢慢㠱愰㠶攷㐷攸㤸㍦㔱㤱㡥摥㉥ち㍦㔳攱㍦㔴㤸つ〵㌹〱㝥㐱㉣㍤攴㡦㜷摦㍣ㄲ㤷ㄱ㡦愲晦户㌶敡ㄸ昲攱㉥㔰㘴㜶〱㔱敤㔰挸〵㙦〱㜸ㄶ㜸㜸㈷㘰攷挱㕢㠸㘴〲㕥㈹つ搳户㍢ぢ扣慥攰㙥ㅥ㍣晡㠰ぢ㜸㘵㌴愲挱愳㈳戸慥〶昸ㅡ㍣㝥㕥挵昴㔰㤱㑥攲㉥ち摤愸搰㥤ち昴ㅢㄷ昰㝡㈰㌶㔸捦搷㌶㍢ㅢ㜶㥢ち㤷挳〲〶㤳㈵㡥㉣ㅤ搰㝡㤹㘵㉦㘶㐹㉦昰㕣㘸改晡㙤㐱摢ㅢ㉡㥤敥㤷㜴ㄶㄷ㘸晢搰㌰扤挶戳愰摤〲摣捤㐳㑢敦㜲㠱㜶㑢ㅡ搱搰㥥ぢ慥㐶づ㐱つ敤㔶搰㌱户愶攲㜹敥ち摢㔰愱ㅦㄵ捥㠷㠲㐰扢㉤㘲㡥愹戰㝥㘳慤换㜸扣㍤㌴〱攱挵づ搳㐳㌳㜹敦㐰搳㍢搲昴㜲㠷〲攴扡㜰晤愹㌰㠰ち㔷扢㉢っ愴挲㑥㔴戸捥愱戰ㅥ㤵戶扤㈲〶㔱愱㠲ち昴摢捥㙤愵扢挰戳㕡㘹㘷愸㜴扡㤵敥㐶㌲㘹愵㕤㘸昸捦㠸㘵戵搲㘰㜰㌷摦㑡昷㈲㤹戴搲㙥㌴㠲㍡换摦㝤攰扡戴搲㄰攸㤸扢㔳㤱づ攳㉥ち㝢㔰愱㤲ち昴㈱㤷㔶摡ㄳ戱㕦㜱㍢㠸户昰扡㌴愰ㅦ㐶搰㠰㜴㌴搷戹㍡捥㠱〰㜳つ㌲㔷㍡㠵攷愲㑢㑦㜰ぢ摤㄰㔴㍡㡤㉥㝤挷〵摤㌰つ搳㠹㍣ぢ摤㈸戸㥢㐷㤷捥收㠲㙥ㄵ㡤㘸㜴改㜱慥慢㠱戱㔵㜷戳ㄸ㜴捣愱㔴愴㌷扡㡢挲㕥㔴搸㥢ち㜴㔰ㄷ㜴㠷㈱㤶ㅥ㥢挷攲㍤搳㉥攰㔵㐳〷攰搱〱㕤ㅢ㜵㠰㌷㥣㐶㐷搰㈸ㅤ挹㜳挱愳昷戸〵摥㐸愸㜴ㅡ㍣晡㥢ぢ㜸㌵㌴晣づ㘲㔹攰㡤〶㜷昳攰搱㐱㕤挰ㅢ㐳㈳ㅡ㍣㝡愹敢㙡㌸挰ㅢぢㅤ㜳ㅣㄵ搷扢㉢㡣愷挲扥㔴搸〰〵〱㙦〲㘲ㄹ昰昰捥㘸ㄷ昰㈶㐱〷攰搱㙦㕤攷敡〰㙦㍦ㅡ㥤㑣愳昴㠰㤵挲㑥㘱捣㉥㙣改户攰收㍡攷攵㌹㑥㑡づ㈹扡㔰㑥㙦㕦摣〸户㔵〶改慣㘷㠵戸摡㡦㙤㜰昰攰㐲搸搲㡡ㅤ戰㤲摣㜷户愴搳慥㐵挶摤晡收扣㈰㔷㤲㔱昲㌵㑡㔳㝡晢㡦昹㉦㠱㑤愷㘷挱㌳㙦换㘴ㅡㅥ挶㌴ㄴ戱敦愴㠶晡搶㤶戶㤶㔴㝢晦改㜰挹敥捦ㄷづ攳㜹㜴摦㠸搲摢㘰搱㌵㑦㔶慣愴ㄹㄵ㈹㕤挰ㄷ㜰㝡收㌶户㉣㙣㤶搲㤴戶昱扤换㠲㔷搷慥捣挶挳㝣㜸散〴昰扣摦愱愰㑣㙣捥〰敤搱挵㑢㜷㐸㉡ㅢ㌳ㄱ慦愸ㄹ㔹㌳慤㌶㤰昰晢ㄲ㜵晣㈸㐰㈰㠱㙦〳㠴敡㐲㜸攱戶ㅦ慦收㡦㈷挲㤱㐴㈰攴ㄵ敦㐹摡搸ㅦ㘹扣昴㤷㤴散づ㘰㡣㡥㤳ㄲ愳慣㤴づ㠷㥤㜵㘵㠴㍥㈶㙡搶㡢〷㑢扡㜶捤昳戴挸㜳㠱㑣扦㔸搵㌰攸〱㔹㝡㈳挰捡㝤ㅢ愴㝢㈲ㄶ㌰搳ㄶ㑣捣敥㙥ㅥ㠴㈲㤸〷㠳㜸扣昴㠵㈴捦昸ㅦ㐴㝢搵㡣慣捤晥㜶㤷㜱〸搸摤挱㤶捤挳㘹㜸㥦戲㜱㈸㌸㍤挱㜱戸㝣㝢㘹㐲㉣搷㐲㘸づ㘴ㅥ〳㐰㔴㌱㤸〲㔲ㅤ昸っ㔰㐹㤵㠰戲㔷慢㉢㔰ㄱ昶㈵㌰㡢㡣〴㔴ち㜶㄰㜵ㄹ搴搸㐹戲ㅢ戹ㄴ㤶㤰っ晢っ愰㘸㘴〳㜱ㄸ挶ㄷ㌹㄰户ㅡ㌹㤲㠸攲㔳㕢㔵搱㈴摥㔹ㅥ㑡㐵慢敡敡ㄲ㤱㄰扥㔶攵ぢ挷㤳愱㔰扤捦㤸㤳㔶挵㜷慣晣㜵㜸㌳㍣摥晡㡦慦㝣昸㔳㌱㝣ㄵ㈲㔵㔵㥦㑡挴㘳攱㐴㝤㔵搴摢搵㌶㙦㌶㈰㡤㜹㌸㠸户㑣戳收㤲搵㐸㤶愹㔹㘹㉤搵ㅤ㉣㜶ㄱ㜵㉥慡挰收㐳ㅣㅦ搷㘰㤲㈳㐰㍣摥ㅥ㘰㤰㘷戴㈲敡搲っ㙤㘰㘷㌷㐳㍢㌸戹捤搰搳戶㘲捥㠷㔰扥挲㈵摦攳昲㤶搳㌴づ慦㔷〷㝡改㐰㙦ㅤ攸㠳〰㝤㥡㡤㐵㐸敢㐵晢㘶㌹㐹ㄹ㡢挱敤㔱㙢戹昰㑡㕦㘸㌳㡥捣㉦㠱㜱ㄴ搵愴扢戴㡥㐸㈴㕡昱㝥ㅦ攳㘸戰㕣㙡㜴っ搸搹㌵㍡ㄶ㥣㙥戵搶晢ぢ搹攵扤㝤敤㈲㤵㜱捦扣㤲㘵㍢ㅥ㉡搳㜶㌹昸昷㜸つ敤㈱晣戲搳㤵㘷散㌲㘰㍡扦扦〱扢昲㐹慣戲㌲昶㔲戵㈵㜲㤶㝥㝢㈲〴改㝥扢㌵戸搲㙦㡦㐶ぢ敡㝥㙢戲摦㜲っ㔳㐷㠲㥢摦㐵户㐱㈲㙡㤸愷㠲愲㡢昶戳㑤ㅢ㑢ㄱ户扡㘸㉡㕥ㄷ㠹㠷㔲昸晡㐰㈴ㄵ慡㡢〵敢㐲戱㘰㌲㥥㐸搴〷敡㠳攸㜷〱敦戶扡㌸愷㈱㡤㜷㍢ㅤ㍢㥤戱敤㜵㡣㌲搵ㅦ㌱改㘸敤捥㡥㜶ㄶ㐴收搹㈰ㅥ敦〰㈸攰㠷つ㈷昲搸慤㑣昶㈴敦㐰捤㍦㡦慣〸㌵挲㈰㙡㄰昸㠲挴㠵攰愷㤱搸ㄹ㕣㐱攲㜰㔷㈴收戸㈲戱ぢㄲ挱㐸㤱戹っㄴ㐸散㙡㥢㌶㉥㐵摣㐲愲㉥ㄶて愷㐲攱晡㜸㕤〲㕦㠷㐹㔵㔵挵晤扥㘴㉣㤸㡡㈵㔲㌱㝣㘴愴捥㍢㔸ㄷ攷㌲愴昱敥愶㘳㤷㌳㌶㐴挷㈸㔳㤵㠸〹ㄲ㜵㑥㈴慥㠲挸㕣づ攲昱敥〹〵晣昲㤰昰㘹晥㜵搴攵㍥戸㝣㈸㑣〵挰ㄷ㈴㙥愴㜹戰㤹㔸㠵㐰〵㠹〳㕤㤱搸摦ㄵ㠹㌰ㄲ挱㐸㤱㜹㉢㈸㤰㠸㈰㉥挳搶ち挴㉤㈴㠲愱㜸㔵㔵㈸攵㑦搴〷昱㘱㥡扡㐸㔵㝤㈰改㡢愷㔲〱㜴ぢ㝦㌸ㄹ㌰㙥㑢慢㐶敡攲挹㠰扦㍥改て㈶㈳愱㐴㌰㔰㠵慦昴㈵敡昱攱㠶㜸㍣㥥昰昹㈲摥愸㙤摥㕣㠹㌴收敤㈰摥㉡捤扡㠳慣㍢挹㡡㘹ㄶㄵ㐴㔵敤つ㤶㘰㌸搱㠹攱㍤㤴摦ぢ攲昱づ㠳〲㝥㜹ㄸ敥愳昹慢愹㍢㡡ㅡ㌵㈰愵挳挱捦扤㜲㌹ㅥ挷㜱㌸㜴㜲㈸昲㍡扣㍤攵ㅡ搸㉢㌵㜵㝥扣ㄱ㥦㤴㥣っ㤷愳㜶戲晥〸㡥㉡㈵㤶攳搷㘶㉦晦㔲㠵㠳て攱㔵㌸ㄷ㠳散慢户㕤㌷㜹㤷晡㙦㜳っ昳㤴搶愰挵㍡㤷ぢ扢㜲晥ㅣ挱㘳㍥捣ㄶ挶敡攱〸戴㤹昴晢㐷挰搰㠷ㅡ改挶㉤慤〱户昳㍥㔵戴摡〷㜳㌹晢昳戵㝣㝡㘹㐸㈳摣换㍡昱戰搸愳㈸㡢ㅡ敤㔶〶㌵㔶㜳晦㐲ㅤ㘴㠱㜸㤱ㅡて㉡攷改㌰挷㜹㙡㍣〱㤵挲㜳㡥扤㕣㑦摥㝤㘱㠹㐸㤸㑦㠱攲攴㥤㐰晢㌸扣ㄳ㜵㘰㤲づ散㘷〷捡㈷㈳挰㤹㡢㈱㥡扦㈳昱㑥㠱㘵收㘲晣ㄵ愵㜱戹捣慥〱㍢晢㌲晢㌷㜰㜲㈷づ㔳㙤㉢收㕡〸攵㜳㜷昲攱㍢㌵ㅤ㝣㘹晢㘷挱㘷㐰晥㘶㠲㉢㔸〶ㅣ㔸㘶慥㠳㍥㔷搸昶㐷㈲ㄸ挱挶〱㈸㘰㍢〰㜱ㄹ昳㕥㐴摣ㅥ晤㤳昸攲㕡㕤㈲㥡〸㈶ㄲ昸昶㕣㌰敥慦㡦〷〲挹㐰㉡ㅣて愶攲挱戰昱㔲㕡㌵㠱㘹㥤㉦敥㡦㠷攳昵昸挶㘴搸㔷㤷㐸㔵挵攲挹扡㘴㄰㔷づ㥦㉦攸㍤搰㌶㙦慥㐳ㅡ昳㘵㄰敦㉣捤㝡㠵慣㔷挹㍡㐸戳愸㈰慡敡㄰戰㘴捣摢ㄹ搵㐸㑦搵晥㐱昹㥢㈰ㅥ敦愱㔰挰㉦㙦捣慢搵晣㜷愸㍢㤵ㅡ㔳㠸㔸ㅣ㝣挱昰㝤昰㔹㘳晣㔷愴敡挱ㄵっ户㜳挵戰㥦㉢㠶〹㈴㘲㙡㜳㈳㈸㌰㑣摡愶㡤てㄱ户㌰っ攱ちㅡ挶ㄵ㈳㕥㥦㡡㠶㈲扥扡㜸〰搰㠴愳攱㜸〸㤳㕤㝣晡捣㥢搲挵搹㠴㌴摥搹㍡昶ㄱ㘳㜳㜴㡣㌲㌵ㄷ㌱㐱愲慦ㄳ㠹㑦㈱㌲㍦〳昱㜸ㅢ愱㠰㕦ㅥㄲ㑤㥡晦㈵㜵て愴挶〱慣㜳ぢ昸㠲挴㌷㌴㑦づ晦㡥〰㔷㤰昰戸㈲㔱收㡡㐴㉢ㄲ挱〸ㅥ㜰〳〵ㄲ㙤戶㘹攳〷挴㉤㈴敡㤳昵㜵戸㠹挳愷㘹昱挱扥㔰㉡㔱ㄷ慣挷愷㡣晣昸㥣㉤慥愲晥㐴㤵户㕤ㄷ攷㐷愴昱捥搷戱㥦ㄸ㕢愰㘳㤴愹挵㠸〹ㄲ挵㑥㈴㝥㠱挸攴㐷慢㍣摥㈳愱㠰㕦ㅥㄲ㐷㘹㝥〹搴攴敢㠵昲ㅤ㐳㜵っ昸㠲㐴㔷昰搳㐸ㅣ〷慥㈰昱晤て㤹昹愵挱㙦㜱ㄷㅥ愳扥㠵㙡晥愴昳㜸㔸㐲改昰㜶㙥㈴〶㍣㑢㄰攷攱㍤㐱〷㑥搴㠱㤳散㠰㍡ㄵ〱愹攴搷㌰㤹敥昸㍤㔸昰㥥㈰ㅥ敦㔲㈸㔰搹攴㡣摥攴晣摤攴㉤㠰昷㌴捤敦㑤㕤摣捦攳㌵㌰㈰敡っ昰愵㤲㕢㠰捦〰ㄳ慢戳㐰愵㤲ㅦ㌹㉡㤹ㄹ㍣㍥㜴慤捦搹㐸㈴昵搹〶愶㔰㥦㜳㙣搳㐶㍦挴慤收㑥㈶愲㈹㡣ちㄱ㝦㝤㌴ㄲ㡡㐶㔳㜱ㅦ愶捦㈱㝣㙦㌶ㄲ昷㘳㐶攴昳晥挹㑥㘳㙥㡢㌴摥㜳㜵㙣㍢挶捥搳㌱捡搴㠵㠸〹ㄲ敦㌹㤱搸ㄱ㈲戳㍦㠸挷㝢ㄱㄴ昰换㙢敥㡢㌵㝦㄰㜵㥢愸挱搷搶愹㘵攰ぢㄲ扢搰㍣㌹晣扢っ㕣㐱攲㌵〷ㄲ挶㘰愸ㄴ㙥敥㔷㕣攱戹ㅣ㤶〴㥥㈱㐸っ㜸慥㐰㥣㠷昷㑡ㅤ戸㑡〷㤶摢〱㜵㉤〲㔲挹㜵捥㑡敥挱㠲㔷㠲㜸扣搷㐱㠱捡挶㥥㠸扡㕣㔹㝣㘰㘷㕦㔹晣攰攴㕥㔹慥户慤㤸〱〸攵晢㡥昲愵㐷㜵㈳昸〲㐹ㄸ晣㌴㈴㌷㠳㉢㤰慣㜵㐰㤲改ㅣ㙢㕣㙢㑦ㅦて愹㝤っ愶㔰晢㕢㙤搳挶㔰挴慤捥ㄱ㑦㠶敢㈲昸㈲㜱㈲ㄴ愸ぢ㈵昰㐹捣㘰ㄵ慥㉥戸戲㈴愲昵㤱晡㔸搲扢㐲ㄷ㘷㉦愴昱摥愶㘳㝢㌳戶㔲挷㈸㔳㜷㈲㈶戸晤挵㠹㕢㌵㐴收㜰㄰㡦昷㉥㈸攰㤷搷㌹敥搶晣㔱搴攵㍢攸攴㔳㤳敡ㅥ昰〵㠹戱㌴て㌶ㄳ慢晢㐰〵㠹㔵慥㐸摣敢㡡挴㉡㈴ㄲ㈴㈶挰ㄴ㤰戸ㅦ㜱㕡㌳㈶㈲㙥㈱㤱㡡挷㤲晥㍡㔴摥㥦慣挷㠲㔷戲㉡㔸ㄷ昳㠵敢〳扥扡㄰㍥攸ㄶ昳ㄹ㤳搲慡挱㝡㈸㠶昱摤扦㉡㝣搶搱攷慦慢挲㝤㔹㌸ㅣ挴㡤㔹㌲㤲㡣愷挲挶㝥㘹搵㐴㈲ㄱ慣㡡㈷昰〹㐸摣戴㈴〲昵㜵〸㈵㤲昸㐰㈰扥〵ㅤ慦慢㑦㝡㔷摢㈵㌱㈷㈳㡤㌹㠵㘴㉡㠸昷〱捤㥦㐶搶㜴㤲ㄹ攴㍦愸昹㘹㔵㐹愹ㅥ〱㕦搰扦挹㠹晥㉣愶㍢〸挴攳㝤㔴㈷捣戹扦㝤㑣昳て愵敥〹㐴㝦〹㜱㝥ㅣ晣攱昸昳愸慢㘰㤱戳㘶㐴昰㘸㑣ㅤ慤㘱昶晢〴愲搲㍡㔹戳摦㈷㕤戹㑦㠱㕢㠳㍦㌳㠱挴㙡㡤慢㡥㜸㜱㌰昷ㄴ㜵㄰㠰ㄶ摥戰て㉡慤扤捣搹摡㥣㥤捡捡挲挵慥慤晤㉣ㄲ㐹㙢ㅦづ㔳㘸敤攷㘸ち㠷昷㜹ㅤ㜸㐱〷晥㙥〷捡㕦㐴攰扦㌳ㄱ㝤〹㤶㤹㡢挹㠹愸挹㘹愷挹㤹愶㜷㥤收㌷愳㤴昲㠹㔲昹㔸愹㝡〵㝣〱昶〸ㅢ〸㐶搴㙢攰ち㄰㘷㍢㠱攰㤸㈸㐰㥣改ち挴敢㐸㈴㐰捣户㠰㜸〳㜱ㅥ摥㝦攸挰㥢㍡昰㤶ㅤ㔰敦㈰㈰ㅤ改㜴㤸㑣㕦敤ㄶ戲㡣㡢㐰㍣摥㜷愱㐰㘵㤳挳㥦挹挱捥攴昸收㝤㑦昳㡦㈶敢ㅣ㙡㥣つ愲搶㠳㍦ㅣ㝦搸㘵㠵挵㑣㐷㍡ㅥ㙡散㐸ㅢ㈰㤳晡㉥〱㐳ㅦ敡〳㔷敥㐶㜰愵㈳㥤〰㕤戵挹㔵攷㘳捤㍤㠹㍡㌰㠸㜸㤱晡ㄴ㔴昰㍢捡㠱㥦㜱ち㔴ち㕦㔳ㄶ扢㠲晡ㄹ㉣〹愸㑢㤱ㄸ扤敢㜳摡挷攱晤㐲〷晥愵〳㕦摡㠱昲慦㄰昸敦昴慥慦㘱㤹戹ㄸ愷愱㌴㉥ㄷ愳搳挱捥扥ㄸ㥤〱㑥敥挵攸ㅢ摢㡡㜹㈶㠴昲㔱㔹昹扣慣晡づ㝣㘹㥢㜳挰㑦㘳昹㙦㜰〵换㜹づ㉣㌳ㄷ愳㘶㔷搸㝥㐰㈲㠱敤㝣㤸〲㙣㍦㈲㉥户㌹ㄷ㈰㙥つ挱㜵晥㘴戲㍥ㄸ㑡晡㠲㔸㠰慥慢昳搵㈵ㄳ昵昵㜱㤹扢㜰㠵㍡㘲㕣攸㔰つ愷㜰㝦ㄳ愹ぢ㔴㈵㐳㠹晡ㄸ挶搸㘸㌴㔲㤷挰捡㑥捡ㅦ㑢挴扣㍦搹收捤㡢㤰挶扣ㄸ挴晢戳㘶㕤㐲搶㌲戲攸㡢挱㐲㘴戴ㄴ㥤㉤愴晦㈷㔰㡤㜴晦扦㠲㐹慥〴昱㜸㡢愱㠰㘴㜹㤷戱㉥㥡㝦つ㜵昹攲㍦昹㌶慥ㄲてち挶慥〷㥦ㄸ捡㕦㔷㘸ぢ㠶〷戹㘲㜸愰㉢㠶㘵㐸㠴ㅦ摥㘳っ㔳挰搰㘴〴㠷搷愳〳摤㜴㠰㡥ㄲ㍣㔴㌹〲㔲㥦晤㥤昵戹㤵㘵㕣〱攲昱搲挹挱慤㍥扤㌴晦づ敡㕥ぢ㕢收㌵㌴搸〷㝣改ㄳ㜷㠳㥦慥捦ㄶ攰㑡㝤㈶㍡敢㘳㐲㐵挶愷㝤㕤敢戳㈵ㄲ攱㠷昷愴㐱て昵愱愳〲て㉦㥤ㄵ㈴戰㡤づ昴戳〳㙡㝢〴愴㍥攳㥣昵戹㥦㘵㕣つ攲昱搲攳㐰敡㤳㌳ㅢ摦㔱昳ㅦ愶敥㉤㌰㉦ㅦ收昵昶户㉤㝢改㠴㈰㤹づ搴㠱㥤㜴㘰㄰〲㕣㜸㌳戹〷㘰㜲挹㕦㘶昸收㔱っ㘵昲攱㐲扤㤷㥥〸搴㤵挵昹摢ㄱ㌰晥㠶っ㝦晦挵昹㤰戹㤶ㄵ戹㠳㔹㔹㡢昳扢㈰㘷㘹㤹㘷㈰㘰㠰㌰愸挱攰㑡换〴㥤㉤㤳〰㔷㕡挶敦摡㌲扢㐱㑣つ昳〵㤸㐲换っㄱ㜵搴㡥づち㍣扣㝢攸㐰愵ㅤ㔰㝥〴愴㘵昶㜴戶捣㡢㉣攴㑢㈰ㅥ㙦〰ち㙥㍤㉤愸昹慦㔲㤷㉦捦㤳てっ慢㌰昸㔲㥦㌷挰㑦搷㠷捥〱㔲㥦ち搷晡散攴㕡ㅦ扡〸攰㠷㔷〳挲ㄴ敡ㄳ戳㑤ㅢ晦㐴摣ㅡ㝤戰敤攵て㘱晡ㄶ愸ち挵㐲㔸㔰挶㝥㔸㌸ㄹぢ㈵攲㠱㜸㥤摦ㄷ㡦㝡㠷摡㘹捣㜷㤰挶扢㤷㡥扤换搸摥㍡㐶㤹慡㐶㑣㤰搸摥㠹挴㝡㠸捣つ㈰ㅥ敦㜰㈸戸㈱㐱㔷〱攱㙦愲敥挳㉣昰㐳㈰慡㐶㥢晦㠴收挱㤱㤶攵㑥扦㈰搱挷ㄵ㠹㕥慥㐸㜰扦ㅦ㍦昸昱挱ㄴ㤰ㄸ㙢㥢㌶晥㠵戸㠵㠴扦摥ㄷ挰昶㑡㥤㉦ㄹ㡦㠴昰つ敢慡㜰搲ㅦて搵㐵慢愲㜵㌱摥㐴㝡挷搹㘹捣㉦㤱挶㍢㕥挷扥㘲㙣㕦ㅤ愳㑣㑤㐲㑣㤰攸收㐴攲㕢㠸捣敦㐰㍣摥晤愰攰㠶〴昷晤㠵晦㈳㜵㥦㘴㠱㥦〰昱搲〳〰㍦戸搱㠱摦愳㑢㈹㌷戱昷㉡晣㠹ㄶ挷㕥散㄰㍣戸㥡昵改摤搱昸㤴敥㘲㡥晥㕤昰摥㈱敢㙤㍤㈵挵㐳㝦㥢㉤㉥㘱昳㜱㘵晥㤵㉡搴昵㝦㘱㠷敤㥢㔹㜷愶挵ㅤ昱㘷㜲㡤戴㤴㝢敡慥て挶㕡扢搳搳昱挲愵㘴㘵捤挸㘸愵昳㥢慦㕣㕣摤愲㘹㝣ㅢ㜶愹昱㝤㤳ㄹ㉤㈳攴搱㔸㍡㐱昴搲扢搷㐳昴ㄷ㘱㉢㌲ㅣ晤摣戹㑥㌶戹㌵㥤づ㕦㔸㠵捦〱〴㐳昸晤搸㉤㌲㌱挷摢㡥戶捤㜰昱扡〱㍣㙢㥢㑣㘸㡢㙤㜸㌵㐸㐹㜱ㄷ攵晡㜲挱㔱㉤㑤昸散㔳㈵㍥慤愹つ㡣㙥㥥摦㐴〸戶㜵㜹摢搳挸㠶㜶㜹㕢ㅡ摦㘲愴捣㤹㠰挷㈸㐶㝤㡤㘱㠳㐶てち晡㑡㝦晥昷㉦扦晣㡡㕣戲愱㘷㥥㍣㍣㘶〹㑣㉡㝡㌷搰ㅥ㔹攵〷㈱㠲ㅥ㤸扢㜰慤摦㠲㕡㌴㝣摣扢㐷昶㕤㌹昶戱敡搹㉦㙦㍣㝣挸户㥦㔷㤷ㅦ慣㔳ㅣ愲〶㥣㌷愲昴㥤攳㜲摦㝦扣挲晦㜲挵㝦づ㍡慣㝡㙤ㄷ戵扡攷㥡㔷慢㔵㉤㔲㔴㈰㡦摣捦㘴㝥㡦㐲扣㠱搷㜸攷㝤㈷昴㍢㕢㤰晢㥤㔰㉦扤っ昰㠳㠳㈵㉡搲愳㡢愲㔷〰捦ㅣ昵つ㔲戰扢㑡て敢捥㕡㌶㠰捤㕥愶捣搹愰㐶㑦ぢ捣㜱㠳㐲晥搲㝦㐱㌹昷㤹㕡搹愴戲㥢㡣㙦愴㘲〷挰〷慡挷昳昹㔷㐷㉦愶㝤㥥捥ㅥ搳换㑣づ㑦㘷㌲㠷㤹昴戶㌲ㄹ㍢㈸ㄸ㔳㥦㈲ㄳ㡤戲挷散㑢敤戹搰㘱摥㌲攸搱㤳㐰换换改㈸搰㘱㉢㈰㑢ㅣ㘵挳攵扦㈲敦昰昲㈳㜴㡡㐲慤戰攱㤹㙦户摥㜹挶㘳搵㙦㡥㕥ㅤ㌸愹晦㤹搵㙡㍥㔲戸戵挲㠷㈸㤱㙢㉢㙣戴〵戹ㅦ㉢㔵摣㑣捦㔸捡扣愹昶晤㐲㤶摥戳〵戹㕦㈳昴㥥〸㑢昸挱戳ㄲ昸愰㍤㑦㐵㐴摡昳ㅤ愴㐸户攷〰㠲㜷ㅡ㐴㔶㝢㉥㐵挸搸挹㠲㝡〲㑥づ昵㈶㤴㌵㤴ㅥ戳㠲摡愷㐳㐷戳捡捦㐲愴㐳㜴㔷敤㜰昲挷㔳㔷㕤㔹晤搸摡慢㐷摦晢ㄵ晡昸搹㍡㐵㈱㜴搵搶㔳㡥㜹敥攰扢慢敦㍦昵攳愹挵㥦慤慦㔶攷㈱㐵〶㤳户㔸愷户㐱搴慢㠵㌰㜹挵ㄶ攴㝥㥢搰㝢㈱㉣攱㠷㜷ㅦ㔹㤸㉣㐳㐴㌰㔹攷挴㘴て搶昲㌲㠸㉣㑣㉥㐵挸搸搳挲㘴摣愰㐰㐴扤〰㘵摤搷㍣愶㥦摡㤷㐳㐷戳捡慦㐲愴㐳㑣㔰〲ㅣ㡥ㅥ户㕣愷㈸㠴挹㌵㤱㐱㥦㝤ㅦ㜹愵晡愲ㄱ㘷㥡㥥㘳ㅦ慡㔶搷㈱㠵ㅢ㈶㑦ㄷ挲㘴慤㉤挸晤㕣愱昷㐶㔸挲て慦㌴戲㌰戹ㄵㄱ挱㘴㡤ㄳ㤳ㄸ㙢戹ㄲ㈲ぢㄳ敥戵ㅢ㝢㔹㤸攰㤴っ慡㈷㙣㑣㜸慤昴㤸挳愸捤慤㜰㑢晢㌶㙡㔷㕢摡攳愸晤愸慤㙤㥤敥㈳愸捤扤㜴㡤愰扡搳㡥搰㕡昹㍤㠸晣㍡㌸敦搵㈹ち挱㘹㍤愳昴㔱戵㙦攷㠹摥晥敦㍣㕦慤㔶㈳㠵ㅢ㥣て搸愸攵つ愳慢㙤㐱敥挷てㄵ㜷㝥㌹慥㤹㘳㔱㉢搶㡦㝦摥㐷挰攵愱ㅥ搵㘲捤㘱ㄵ扤摣㙤愵㠶㌹ㅥ㠹㜰慥㜲㜷㔴摡攰㕥㘴㤳㍥㔷㈷㄰愷戵㄰㘵㑡㝡ㄸ戲戲㑥㠶㍢ぢ㤵昴づ㕢㤰晢㘱㈸敦戳㍡搳愹㔶愶㝦搷㤹慥㜴㘶㍡㥤㤹慥㠳挸㙡捡ㄷㄱ㌲㘶㠲㠷慢攷愴㐱挱㠸扡〵捡㙣㌷慢攱て愰昶换㘹㙤敥㌹ㅡ戳㉣敤晤愸㝤㠳慤㙤㌵晣挱搴㝥〵㍡改㠶攷挶愲戶㔶晥て㐴㝥㕤挳扦愹㔳ㄴ㙡㜸戶〱㤶㜳㠶扦㜳攴㙡摦昰㌹㕦㔷慢㜷㤰㈲〳㘷㘶㙣戹ㅡ〵㜵ㅤ戹㤷摢㠲摣捦㑣㜹摦㠷㈵晣㡡捣㌸㙡㘵搶㠱昴㈸㔶ㅢ挱㤱㠶扣〲挹搲つ㤹㘰扤㌷㐱㘴㘱晡㈱㐲㐶ち㍣㘰㡡㐱㌷愲㤶搹㈸㔹㤸捥愱昶㐷搰㐹〳昳㈹㈲扦づ㤸捦㜴㡡㡥㠱搹㝤昸敤㙦㠴㕥㕣㜰㙡慦攱敡㑢愴㜰〳收㠲㐲挰㥣㙦ぢ㜲㍦㍦攵晤〶㤶昰㉢㌲㥢㠹㐹ㄷ昵㙦㐴〴㤳㜳㥤㤸捣㘳㉤㝦㠴挸挲攴〷㠴㡣㔶ぢ㤳㝤〷㠵㝣敡㉣ㅢㄳ慢攷戴㔳晢㈷攸攸㥥㔳晥ぢ㈲扦づㄳ慡㑢㡡㐲㤸っ㍢昴㥦敦㝦㌳散敤㙡㜶㤹愲愲㜷慡㔵〹搴㉢㄰捣㥤㙣㉤㉤㠴挹愹戶㈰昷㡢㔴㕥㙥㕤愲挰㔸㈲戰㌰改㠶戸㘰㜲戲ㄳ㤳愳㈱㉣攷㈶㈲㝥扦㘲ㄶ挹ㅤ㐷㐹㔱愸㘲㕦㝣㤶昸㜹敢搰㘱搵㡢搶晦昲摣㝡捥㈲㝢㐳扤挲愵㘲挷ㄷ慡搸㜱戶㈰昷㑢㔳㕥㙥㔷㑡挵㑥戰㉡戶つ攲㔲戱㘳㥣ㄵ㍢㠹捤挷敤㐲慢戱晢㈱㘴㥣〲ㅥ㑥〰㕣ㅦ㈲㙡㌱㤴㜵换㝡捣愵搴收㔶愳㘶㤵㜳㍢ㄱ扦挲㤸㐰㠶挳㜱㠵敤慦㔳ㄴ挲㘴户㤷㤶㈶㡢㍥摣㔴晤挵挸挷㝦㍣攲捦捦㔵慢㐱㐸㔱〱㈳戹㡤摤㕥〸㤳㌶㕢㤰晢昱㈹㉦㌷㉥〵㤳戳㉤㑣㠶㈰㉥㤸ㅣ攱挴攴㑦㄰㤶㜳ぢㄱ扦挲ㄵ扢晣㠹晥㜷戴捥戹㌳㌳㥤攲㝥愳愴㈸㔴戱㠷ㄷ扦攱摤㍤㜸㜰昵㝥挷ㅣ摢攵㤳ㄵ㙦㔴慢〰搴㉢㕣㉡搶㔸愸㘲㜳㙤㐱敥㐷愵扣摣㝥㤴㡡㕤㘴㔵㉣㠶戸㔴慣挱㔹戱㑢搸㝣摣晥戳ㅡ㝢㈸㐲挶愵攰愱戱挷㜳㡡㤹㠴戲㥥㑦㝡捣换愹捤慤㐳捤㉡攷昶㈰㝥㠵㌱㠱っ㠷愳戱㠷敢ㄴ㠵㌰㔹㝥摦戱攳〶捥㕤㔸晤攷昸㤰㌱㤷ㅤ㝢㕦戵ㅡ㠵ㄴㄵ㌰㤲摢搸㠷ㄵ挲愴搶ㄶ攴㝥㘷捡换㡤㐸挱攴ㅡぢ㤳〹㠸ぢ㈶㠷㌸㌱戹㡥戵攴㜶㥥㠵挹㐴㠴㡣ㅢ㉣㑣㌰㥤昲愹㔹㔹㤸摣㐴敤㈹㘹㙤敥㌲ㅡ户㔸摡㌸㕤〲㙡㈶戴昵戹攱㌱㔷㔰㥢ㅢ㠴㤶㙤㙥㌴ㅡ㉢搳戶〳㙡慡慤㙤㕤㕤敥愰昶㌴攸㘸〳㙡扡ㅤ愱㕣㜱㐳㌱摤ㄲ戳㄰挱敦㔷戴挴㐱㍡㐵愱㤶挰㘳㥦㌸㍥慢㝥攴㉦㉦㕦㝡散㉢㉦㔶慢㐳㤱愲挲愵㈵㈶愲搴慥ㄷ攴〹戶㈰敦㕢㔷摣㠵㤴㤹搸扤愸愲㥥㠹愹㠴收㘶㑤挰戸愱㈸慤戶ち扡戸㐶㜱㔷㔰㕡㙤㉣慣愷慦摢慢㠹ㄵ户攲㉡搲〵捣㑣挰㐶ㄶ㉡攰〸㕢㤰晢扤㈹㉦㌷敦㈴搳㐷慤㑣戹〳㈷㤹㔶㍢㌳晤ぢ㠴攵ぢ㈱挲慦㌰昲㉢㕦慢㕤㌰㜹㠷㔳㌲㑢〹摣㠸㤳ㄴ㠵㤰㍦㝣愷㥢扦㥥㤶㤸㔵㝤挹挵㑢慦ㅦ晣㌸㙥戳戸㈷㔷㤱慥㔸㘶㉡㌴戴㔰挵㘲戶㈰敦㍢㔲挷挳㤲㈰扦〶㘵搷挸㝢㤷戰㌸㌸㤴㙣捣㈱㘰㙡づ㝢㥡昷㈴㠸〵㡤戵ㄶㅡ摣㍡ㄳ㌴挲㑥㌴㥥㠱㔰㥤〹㔱〵つ扣㐹㤲㘹〲㕦愱㤲敥㘹ぢ㜲㍦攲攴攵㥥㤵㘴晡愲㤵改昹㍡搳㍤㥣㤹慥㘳愶摣㈴戲捥㈸敥㐶ㄹ慦㠰㠷ㄱ㙣㕦摥捥っ㠶戲㍥㝤㍣收㙢搴扥㌸慤捤つ㈹攳つ㑢㕢挶扢ち㘸敢㔳捡㘳扥㐹㙤敥㌶㘹〳㙡ㄹ㈲㕡㕥捥㑤㈵晣ち㌷㍣㘴㌸ㅣ㠳摦㤵㍡㐵愱㠶摦㘹扢㑢㝥㈹㥦昱攷敡戹摢摣戵㈶㔱晥㘸戵攲㘶㔴〵㡣攴づ㝥晤㙤搴昲㙥㝥㜶戴〵戹㥦㠴昲㜲晢㑡攰㝣て戵挲㘹挴㍤㈸㘹挳敤㤱㈲㝤ㅡ慤㠷戰晣㔶㠸昰㉢㕣㌱捦慢搷捥ㅢ收戹㌱㜳愵㕢愱㔳ㄴ慡搸㍥㤳扤㠷づ㘹㍦户扡㈵昸㝥㡦㙥慢扦慢㔶摣㤵慡㜰愹搸搶㠵㉡戶㤵㉤挸晤搴㤳昷㙥㔸㤲㡡㝤㘴㔵散㍥挴愵㘲㕢㌸㉢昶〹㉢㜶㍦㐴昸ㄵ慥搸搷㍦慦㕢戴㘹攷㍢慢昷敦戹挷㕤㔷㝣㡥ㄵ㤱搵㍡㐵愱㡡慤㌹㜴挹㤵挹昳愶㔷昷扦收㥡㙥愹扦㙤愸㔶て㈳㐵㠵㑢挵扣㠵㉡㔶㙥ぢ昲㍥攱挴晤愱㡣愵捣㝡㔳户㐲㤶㍣戶㈰昷换㐸摥㘷㘰㐹㈰晡捥㠲㠸扢㐲〲㔱ㄹ㔲愴摢晥摦㠴攸㐵㠸昰㉢っ搱㔱㔸ㄶ㝤昷挸㤳㌲㙤晦㤲㑥㔱〸愲㠵㈳收㈵摦ㅡ㝤㐲昵㜵〳ㅡ㡦㌹㝣ぢ㕣㐷㕥㐵㡡ちㄷ㠸扡ㄴ慡㔸戱㉤挸晤攲㤱昷つ㔸㤲㡡晤㘲㔵散㙤挴愵㘲㐵捥㡡㈹散攷愹㜷㈰戲挶〸敥ㄹㄹ㕤挰挳ㄸ㌱㜶㔰㈰慣㝥晡摥㜹搶㤷㔲晢㕤攸愴㑦昴昵㠸攰户㌹㑣摡㌳㤸㜰㥢㐸㔲ㄴ挲㘴摥㍥㑦て㘹摦昶㠲敡㠷搶つ㥤扦攵愲户慢ㄵ㜷㡣㉡㕣㌰昹づ㘵㜳扤戶㝥㙢ぢ㜲㍦㝥攴晤〴㤶〴㤳㙥愸〸㑥㜴㙥ㄴ〹㈶㕦㈳㐵扡戱㝢戰㤶㕦㐲㘴㘱挲摤㈳愳㕣㘳ㄲっ慢㉦戲㌰改㐵敤慦愰㤳挶㠴㝢㐰昸ㄵ挶挴㕡㕣㍣㌶㜳㉡㝤愷㔳ㄴ挲㘴㡢㕢摦㥡昲改昰ぢ慢户敤搶戴㘷㥦㜱㍦㔴㉢敥ㅤ㔵戸㘰昲㜱㈱㑣㍥戲〵㜹㥦㐲晡て㉣戹敥㈳㜰㠳愹慤㔲㕥㠵捤㠷㌶㤳㙤挲㈸㐷愶愵㈹敥戰㜴㑢㔹㙣㙥㄰挹晢㤶ㅢ攵ㄹ捤敥昸㜲㐹敢摣㘴敢㐴㝣愰〷摦㉢㤹摥搰㘴㍦㕥㠸て昷昰㍤㤴晡摢ㄸ愶挴㤸搸㐸㑤㙥挵挷㌲扡愶挶户攱〱戴㐴㔹搳㤴㜸㝢㝢戲戵昹㡦昰愰〷㥥㥡㉤攱㜵ㅥㄳ〲昹㌸㤲敢〳慢㙢㈱㜶摤㍤戰㈰捣攰愱摦㉡㕢捣て㥥晣戶挷㍣㡣慤搰摦昴〳搵〹挷㈷㝣㑡搴㠷㘸㘲换㉦昸昸㈲搹捡愱〷㠸戹つ㝢㙥㍦㤰㉥搸㜷㤲昹つ㠸挷摣ㄶㅣ㜹㜰㔹〸晡㉢㐶㠹摣捡昱ㄱ㘲扥㈲愶愸㜴㘱㐳愲㝤㡥㌱㈷搹㌰㝢㑥㍢㥥搸敢挶ㅡ敢愳愴〴㐹㍢摡挰攲㔴慡㙢㔳㙤扣戵㌵扥戸慣愹戶㌱搹㍣扢㝤㑥㔹敤〲散搸攱搳㐳㈸㐷㔹㔹㤹戹㍤晥㘷㔶晣㔳摣换㘱扦㌴㜶〰搷扤戲敦扡㔶戶㍦昴㡤〱㈰搹㤵ㅤ〸㡥愳戲㡡摢㐱捥搳㔳㜱敢㠶搵㌰〷㐱㌳㕤っ㙥搱〸户挲挹攵挶㠴ㄴ㙥㘷㜰摤ぢ昷扡㙢攱㜶㠵扥㌱ㄸ㈴扢㜰扢㠱攳㉣ㅣ昷㌶戲ち挷敤ぢ㈹挶敥搰㑣ㄷ㡥㝢〱㔲㡣㍤挰㜵㉦挶㡢慥挵搸㤳昹ㄱ愳㑣㘷昰㤳挵愷搸慤捥愰戸㤵㤰㔵〴敥ㄶ㐸ㄱ㠲搰㑣ㄷ㠱㑢敦㔲㠴㄰戸敥㐵㜸摡戵〸ㄱ收㐷㈴㌲㐵愸㈲换㔱〴慥摣㘷ㄵ㠱㡢昳㔲㠴愱搰㑣ㄷ㠱㡢昰挲摤换挱昵㜲ㄱ㕢挶昹扤㘹㜵ㄸ挹㍥㈰ㅥ挵㠵㙡㈹㜱㌵愲㤹㉦扢㉥攰㥥㙦㕢戱㝡㔴㤷昶攳挰㌶㤹㌳㘸〴搳ㅦ㠶㍢〳挵㙣攵散愹㈱换㔱㕡慥㜱戳戴㌳㤶慤ㅥ晥㜳昰㤰ㄱ㡡㡢搳㤲搱㘸㘸扡㐳戳㕡㘷㔶攴㍣㕤挷搲㜲㌶㌴攳㜳㌲攳摡㜶ㄶ㌴㕣扥ㄶ㄰㈶㐰㌳つつ㤷愹㠵㍢搱挹攵㌲慦ㄴ㙣ㄲ戸扤㐶戴戵捤㙦㥡挷㉦㠰昵搷ㄸ摣愵㡢㤵㠵挱㘴㘸ㅢ㔳㐰愴敦愶㜱㤸ち㡥ㄳ㠷㍡㙤㝤㍡〴敥搵㕥愱敤㘷㔵㝢㈶つ㔹搵收㉤ㄸ㐷愸〳㜲㙣㈷㘰㍢ぢ㘳慥㌰㑢〵㘷㐱㌳㕤㙤㉥搷㑡〵て㉡㔸㠴敢㕤㡢昰㍦捣㉦晢扣㌸㌴愷〸㕣敤捤㐲㥥ぢ扡㔲㠴挳㥣㐵攰敡愸ㄴ㈱㕥戰〸㔷扡ㄶ愱ㅥ晡㐶〲㈴㝢㠴㐸㠲攳㐴㤹ぢ慣㔹挵㌸㐱㘷㌸扢㘰㠶㤷戸㘶搸㐰换搹㜵㥥㥢㤳搹㐹戹㤹㜱㕤㔳敡摣〴捤㌴散㕣㈴㤴㍡㜳㐰㜷㙦昹㜳㕤㡢㌰て晡挶ㄱ㈰搹㜵㙥〵挷㔹㘷慥㌳㘶搵㤹㡢㜷㤲㈱摦㘴敤㥥攱ㄹ慥ㄹ㉥愰攵散㍡㉦捡挹㡣㙢㝦㔹㤹㜱㜹㑦敡㝣㈴㌴搳㜵扥㐶ㄷ攱愸㠲㐵㌸挹戵〸挷㌰扦散㤳晣戸㥣㈲㕣㤷㕢〴慥愶㐹ㄱ㤶㌸㡢挰㔵㌳攱㥥攰攴㜲㜵㑣戸㈷㍡戸㕥㉥㈸挹愸㜸ㄲ昳㍡㤹攴ㄴ㄰㡦攲敡ㄱ愱㌴㌹㉡ㄶ慢㐵扡捣㔹㈳挰㘹搴捦ㅥ〵捦㈰换㌱ち㜲愱㠹戰愵㐷挱㐷㙤挳挶㔹搰㜴㙦愳㔶㥤㔹搶㜰㜰づ㉤戳㔳㘰㈴㄰攲㌱捦捤挹散㉦㜶㘶㤴昳昰㜲搵㐶慡㜷㍥㌵㉦㈰戹㄰挴愳戸㌲攳愸㕥㠳捥㌱慢㝡㤷㔰㍦扢㝡㤷㤲攵愸ㅥㄷ㜱戲慡挷搵ㄷ改㠲㤷㐳搳扤㝡昵㍡戳慣敡㕤㐹换搹㕤㜰㜹㑥㘶㕣扣挹敡㠲㕣㥦㤱㌶扤〶㥡改㉥挸㜵ㄸ攱㕥敢攴扥愷ぢ㜶ㅤ戸敥〵㍢搸戵㘰㌷戰ㄴ搹ㅤ昳㈶戲ㅣ㈸慣捦㉤ㄸ搷ㄶ〴㠵㕢ち㘶㌶搳㌵戳ㄵ戴捣搱㉥搳挸㉢㜳㌲攳搲㐴ㄶち扣㑢㤷捣敥㈸㤸搹㘴搷捣敥愲攵㙣挸晦㥣㤳ㄹ㙦昲戳㌲攳㥤戳㘴㜶㙦挱捣挶扢㘶戶㉡㍦戳搵㌹㤹㈹挴戳㌲㉢〵㐳㕡昲㐱〴搲敤换ㅢ㔵㈹挲㐳〸戸户攴㐸搷㈲㍣〲晤㥣晡㍥㐶㤶愳㈵㝢㈰㥥㔵㠴㕥㘰㐸ㄱㅥ㐷㐰ㄷ愱㤴㌷㄰㥤扥扢攱改晡ㅢ㥦敦㝥〲昹㈸摥㤶搰㠶昹愴ㅤ㘰愴㥣㌷〷っ㤴昱㔶㐲㜱㤲捦㐲㤹㑦㤱捤戹扤愴昸慢ㅤ㤰ㄴ㠳散㠸愴㈸慦㜰挶ㄴ攷攱㤲㝥つ搹㥣㝥㑢晡扦搹〱㐹捦愹㌶〳㔶㡥㥣㌲㑢㡡戵㘴晢㙤㤹昹戴ㅤ㤰ㄴ㥣ㄹ㘷㔲㜰㠶㉢㈹㥥㈱㥢㤳㕢捡捣㘷敤㠰愴ㄸ㙡㐷慣㌲㜲〲㥢㐹捦㠹慢慣㑣〴搰扡㕣㤹搸㥢㠵㈹㌶ㄴ㈷戳㈲昰摢㠲㘱㈲㔰㡡ㄳ㕣ㄱ昸㙣〱㌷㠰捤扦搳敡〸㄰㈹捣㡢㡣搵㤰㔰昶㤲ㅤ㘰㐴㜱摥㈹㍡敢挸ㅤ慦㜵㕥㜶攸㤴㑦戰㈳㔶㠱㌹慤捣ㄴ㤸ㄳ㐴㐹晦ち搹㔳㙤㤹昹慡ㅤ㤰㍣㌸挹ㄳ㥤搷挸攵晣㑥捡昱扡㐳愷㝣㤶ㅤ戱㠰攷㥣㑣㔲扣㐱㌶愷㘳㤲攲ㅦ㜶㠰㤱㜲㑥扤ㄸ戰㔲搴㈳㈶㈹摥㈴㍢㘹换捣户散〰ㄵ㔵㠳搶㜹㥢摣戹㕡攷㥦づ㥤㜲㑥㙥㌲㔶㌹㐹ㄱ慢敦㤰捤戹〹㘵收扢㜶㐰慣㜲㕥㈱㍡敦㤱扢㐸敢扣敦搰㈹㍦搲㡥㔸㘵㍤〶㌱㐹戱㥥㙣捥〰挴敡〶㍢挰㐸昹ㄲ㍢㘲㘱捥慢㍣搹㔶散㐴㘷㑣㥤㠴㤸㜴㠰㝥㌹㕤收㘴㉤搸㈶愷换昰敡㉦㈹戶㜶㜶㤹㑤戴㝡ㅡ㠸ㄴ敤㈳挶捥㈰㘱㠵㍦戶〳㡣㈸㕥愴㐵攷ㄳ㜲捦搵㍡㥦㍡㜵㜸㉤㤶㉣㝡攷ㄴ㡡搷㘷ㄱ昴捡㈹ㄴ慦搹㈲昰㍡ぢ昵㉦ㅡ扤〴㐴㌲晣㤲戱㑢㐹㔸愸慦散㠰ㄴ㡡㤷㔶搱昹㥡㕣㕥㔵㐵攷ㅢ㠷㑥㌹慦愰攴㕡㈸㕥敢㡣㈹㕥〱㈵晤户㘴昳攲㈷改扦戳〳㤲挷ち慤昳㍤戹扣㘶㠹捥扦㥤㍡扣摥㠸㥤ㅦ挸攵愵㐶㜴㝥㜴敡慣搲㍡㍦㤱扢㕡敢晣散搰㈹㝦搰㡥㔸㍤㠶愳扡㔸晤て搹ㅣ搰挵敡㉦㜶㠰㤱昲挷敤㠸㤵㐲㐶㔵愲㔴㔴〶㙡ㅦ摥㈷愱㈳㜳㈵〵㉥ㄶ㐲㘵㈴㠵搰㉣㜶㙡㜱㐴ㄵ慤㉥㤶㤶㡣㤷㜹㕡㝦搳㕡愵㤶㤶㡣㤱㜹㕡㑦㙢慤慥㤶㤶㡣㡢㜹㕡ㅣㅦ㈵㐷㔳戴捡㌹㝣昱㍤〲挵㡢㔴晤㘱㠹挳づ晢扥扣愴㝦扦㤲〳㠷㜷㕦昶捥摡昷捥㕢昷㍦挳㌶晥㜴昹攵敢搶㥦昷捣㑦て搶つ晢敢㌵搷㍣戱敦㔵捦扣搷㍢戵扣昸摥敦㈷㉥㍦摡㍦昷攸㈳㔲㌳㜷ㅢ㝢昴慣挳愷晡愷昴ㅡ搲愵㑢搷慥扢昴㔹戳昵慥摥攳㡦㔸愵ㅥ㝢㝤慢㘶㈵㈳㈲㡢愱昷㔵ㄱ㉥昲㜲㘴㤴㘲㜴戳ち㉢㘳㈲戵扡㈳慥て㉦挷㐶搱敡㘱㘹挹挸㐷慤㥥㑥㉤㡥㠰愲㔵㙥㘹扤㠶戸㌴㥡搷愹昵扡搶敡㘵㘹扤愱戵戲㜲攴戸㈷戶晡㔸㕡㌲挶㌱挷扥㑥㕢ㅣ敢㐴㙢ぢ㑢㑢㐶㌹㙡㘵㌵㉥㐷㍢搱摡捡搲㤲㤱㡤㕡㕢㍢㙤㜱㠴ㄳ慤㙤㉣㉤ㄹ摢愸搵捦愹昵扥搶摡搶搲㤲昱㉣㉦㐷㡥㙢㘲㙢㝢搱㉡攷㐰昳㕦㙤㕣ㄹ扢㔸㡣慣挶攵ㄸ㈶挵搸搱㉡慣㡣㕥㜹ㄵ攷㈸㈶㕡〳慣挲㜲〰晡慦ㄶ㔶挶㌴ㄶ㘳〹敥挴昴攱攵搸㈶挵搸挹㉡慣㡣㙡搴捡㙡㑢㡥㙥愲㔵㘱㘹挹搸㐵慤㥤ㄱ搷㠷㤷㘳㤸㘸敤㘲㘹挹攸㐵慤㉣㕢ㅣ挵㐴㙢戰愵㈵攳㔷㥥ㄶ挷㌱搱ㅡ㘲㘹挹〸㤶愷挵㤱㑣戴昶戰戴㘴搴捡搳攲攸㈵㕡㝢㡡㤶㔷㡦㔴㡡㠳㤳㕣ち㕥昸捥㥡〴㡤㐴㕡㍣㄰收搵〵㔶ㅣ㤸㐴攳昹㙣つ挵戱㐸〴捦攵〸㌸晣㠸攰搹ㅣ〱㐷ㅣㄱ㍣㤳㈳攰ㄸ㈰㠲愷戳〵㕥㝤㙡㉡㥥晦愲戱㌶㐷㐳て〴㡡攷扥㘸晣㉤㐷㐳て〲㡡攷扤㘸慣挹搶㔰㍣搵㐵昰搷㙣㠱㔷㥦昳㡡愷戹㘸㍣㤵慤愱㜸㘶㡢攰挹㙣㠱㔷㥦攲㡡㘷戵㘸㍣㤱愳愱㑦㙦挵㌳㕡㌴ㅥ捦搶㔰㍣㠹㐵昰㤷ㅣ〱㑦㉢ㄱ㍣㤶㈳攰㤹㈴㠲㐷㜳〴散摢㈲㜸㈴㐷挰敥㉣㠲㠷戳〵㕥摤慦ㄵ扢戲㘸㍣㤴慤愱搸㝢㐵昰㘰㡥㠰ㅤ㔶〴て攴〸搸㐷㐵戰㍡㐷挰㙥㈹㠲晢戳〵摤晥て搰愲㔷捤</t>
  </si>
  <si>
    <t>CB_Block_7.0.0.0:1</t>
  </si>
  <si>
    <t>㜸〱敤扤〹㝣ㄴ㐵ㄶ㍦㍥ㄵ㤲㈱㍤ㅣㄹ〴㉦㔴〴〴〵挱㌰㔷㌲ㄹㄴ〳㠴晢扥扤つ㤳㘴〶㈲㌹㌰ㄹ㉥挵ㄳ〴ㄵㄱ㡦挵㙢ㄱ㐴扣㙦㔱ㄱㄵ㜵㔵㍣㔶㕤㕤慦㕤慦昵づ㠷扢摥昷晤晦㝥㕦㜷㑤㝡㘶㝡㐲㜴摤晦捦摦攷昳㙢㈶㡦慡㔷慦㕥搵晢㔶㜵㜵㜵搵敢㙥㤷㜲戹㕣扦攰攰晦㍣㜲ㄹ搸㜷敡愲挶㐴慣戶戰慣扥愶㈶㔶㤹愸慥慦㙢㉣ㅣ搲搰㄰㕤㌴慥扡㌱搱〶〲敥昲㙡愴㌷收㤵㌷㔶㥦ㄴ换㉦㥦ㅦ㙢㘸㠴㔰㥥换㤵㥦㙦攴㈰㝤㙦敢捦慢㈳〶㜳ㄹ戹㈴㤰㜲ㄹ㙥㤲戶㈴昹㈴〶㠹㠷愴ㅤ㐹㝢㤲づ㈴ㅤ㐹ち㐸扣㈴㥤㐸㜶㈳改㑣搲㠵㘴㜷㤲㍤㐸昶㈴搹㡢㠴攵ㅢ㕤㐹昶〱㘹扦㉦挸戴戲愱ㄳ㉢㑥㠰㌵㔳ㄳ昵つ戱晥摤㘷㤸㜵ㅥ攴昷ㄷ晡ぢ〳挱㠸扦搰搷扦㝢搹扣㥡挴扣㠶搸愰扡搸扣㐴㐳戴愶㝦昷㐹昳㉡㙡慡㉢挷挶ㄶ㑤慢㥦ㄳ慢ㅢㄴ慢昰〵㉢愲愱ㄲ㝦愸愸㈸ㅥ㠹㤴戴摦て㥡㈷㤴つ㥤搴㄰㡢㌷晥㕥㍡扢㔱攷挴戲愱㠵ㄳ㘲㠹摦㑢攷晥搰〹㤵挳敡㙢愳搵㜵扦㤳搲㍣戶㘹搱戰㔸㘵㌵ㅢ㍦ㄶ㙢愸慥㥢㔵㠸㙡愷〰㡤㔸戸㜰㐸㘳攳扣摡戹散㐷㘵戱㥡㥡㈹戱戸㌴㝡敤戰挶挴愴㘸㐳㙤㘳晢㕡攲ㄷ㙢㠸搵㔵挶ㅡ㍢搶づ㕦㔸ㄹ慢戱〴ㅢ昳㙢㘷㐴ㅢ㈶㐴㙢㘳戹っㄴ搴㥡㙤㌸扡㉡㔶㤷愸㑥㉣敡㔰㍢扤㌱㌶㈵㕡㌷㉢㐶㤱扣摡㤱昳慡慢㔴㙥㉥㝥慥㌶〷㌹搵㑣ㅡち昵愹㉤㥢ㅤ㙤㐸㐸㡣㑤攸㜷㤲戵㜵ㄷ戱㈲愵㕥散㔲摤搳㜲戱捤愶㔶搷㡥㡤㌵搴挵㙡㔸〸㕢戲㕦㥡㤰〰㘴戶㐳ㄲ㈹㙤づ㕢㐹戵戳㑥㍥摡挲㔲摣摤㐱づ㥢㔰摦㔰㡢づ㌹㍥ㄶ慤ㅢ攴㉢昴ㄵ〵㑡㡡㑢〲㤱㘰㌰ㄸ昲〷㐳扥㤲愲晥㔳ㄳ㔵挳㘲昳㤹收てㄷㄵㄷ〷㡢挳晥㐸搸㕦ㄲ㠹㠴晣㐶て㘸㌰㝡㔲搷〱㈰敤㥢慥戹㘴攷㤲ㅢ㜶摥㜴摥戶㍦㙤㌲㝡㌱慤㌷㠸捡㝤ㅤ攳㠰扤㜴㥥㡢㌹攵搱㥣昲㡡㥣昲捡㥣昲慡㥣昲㔸㑥㜹㍣愷㝣㔶㑥昹散㥣昲敡㥣昲ㄳ㜲捡攷㐰㐶ㅦ昹㙤摢收㔸挷㔷愷敥㐸㥣昸散㤵愳㉥㤹㍥昳ㅣ昷昶晢愱ㅣ㐲㌲㜲ㅣ㠴㐰挴戲㈶搴㥢昵昵昹晤㐱㕦㌸㄰㈸づ㠵㡢晣㐱㝦愰愸戸㝦㈴㔲ㄸ㘶㥡㍦攰㉦㉥ちㄵ㠷挳扥㜰㈸攲ぢ〶㡢㡣㍥挸㙥昴〵㜱ㅦっ搲扥㘹搹㔹捤愶昴㘳㕡㝦㄰愵㕥㠲㈹㌴愷昳㥥㉢搷㤷戹㑦ㄸ戳愴㕢晢摢摢慤㝤戸㡦攲攸㈳昵㈸㐴㐰愳敡㉢っ〷捤慡昸㠸愶㉦ㄲ㉣〲挲愱㤲ㄲ愹㐹㐹ㄱ搳㡡㝣㈵㠱愰㍦ㅣ㉡㈹づㄵ㠱昸㡢㡣〱㉣捥〷攲昶㌳戴㙤捤㑤㍢敥戹㘳摢扡㙢㡤〰愳㐱㄰愵㥥戵敡戱昹㤵挹ㅤ㝣㐳慢㈷摥㍤㝤挳昸㜹搷㉣扡㕢㜱〰㤴㝡ㄴ㈱㌰搰挲挳㙦㔶愲挸ㄷ㉣ち㠵㑢㐲㘱㕦㜱㈰㄰っ㠶㡢㠸㐷㐴搲㡡㑢挲㈵㈵攱㐸㐹㐹戰〸㈹扥㜰㤱㔱捣挲挲㈰敥ㄲ㤰摤捣㔶摤扥攵晥㥤㤷摦摢㜴晢戲愶晢慦㌳㈲㤴ㄸ〸愲搴攳㔶㜵㥥㕢㍢㜵昷つ愵〷て扤㘶㠹晢攰㜹昷敥搹㑥㜱㈸㤶敡ㅣ㠶挰愱扡㍡挱㐲㌱ㅤ㉤ㄴ〹㠷㈳挵㘸㠵㐸㌰㔲散㉦づ戲㐲㈵㈵慣㔱㌰㡣㘸㜱㔱㐹㌰㔴㡣㥥㔶㕣㘲っ㘲㘹㠷㠳戸㑢㐱摡づㅡㅥ昴つっっ㌴〶㤳㍤〴㐴愹㠷慣㑡㝣昷搲㡥㠳㤶㤷ㅤ㌷晣㑦㠷昵㝥㝣㑡挳扡晤ㄵ㐷〵愹㐴ㄹ〲扡㙤㡡ち〳㈶㉡扥ㄲㅣ攸ㅣ㠱愰慦㈴攴て㐴搰攷㜵㌷㐱㔳ㄵ㠷〲晥㔰㠹捦ㄷ㉣㐶ㄳ〶㡣㘱㉣㙥㌸㠸㝢〴㠸㙦摢㔵㥢㥢ㅥ㕥戲敤㠶昵㑤㔷㕥扡攳戶㠷㜶摣戶扥㝢㥦愶㔵㌷敤扣攸散愶摢敦㌳ㄳ㥢捥㕤户㘳挹㠳㘶㘲㕦㘳㈴昳㡦〲㔱敡㕥慢扡搵㕢て㔹㤶㜸昸㙦㘳捦㕣晦挵昱捦慢㝦㑦捤攳㐵㉢攸㜴㜶愷てㅣ㈳㜰挱愹㡣㌶㈶慣㌱㡤㔸晦扥㐳摥慥㐷扣ㄱつ㤵晦晢ㄱて㠵晣㉥㈳㥥㌱㠶攸㡦〵㜱㡦㈳㔶㍢捦戸㜴晢敡换捤㍥㙤㡣㘷摡〴㄰愵敥戴㕡收敤㜱晦㌹㜷敡㐷敢㈶㙣ㅥ戰㜸扦㈳挷慦㝣㐳㜱㈶㈱ㅤ㘹ㄲ〲挹摥㙣㥤㕤ㄸㄷ㐳攱㠸慦搸敦挷攸攸㉢㈹づ摢㍢㜳〸㘷㜸〰摤扣愸愴愸㌸㕣ㄴ㌲㈶戳戴㈹㈰敥愹㈰扥㥤㤷㙤摡㜶摢㍤㑤㉢㔷㝦昰攰捡ㅤ搷㉦㐵㠷摡㝥挵搲㥤换㔷㌶慤扡慡改摥㙢户慤㔹昷挹㤶戳㥢㉥戸昰㠳捤㉢㍥搹㜲捥挰攰㐰㘳ㅡ昳㑦〷㔱敡㈶慢戶〷昴㜸㜳㕢㐹愴㑢搹摤户捤㕤昲慦搸㐹㥢㔵㍢㈴㑢㙤㡦㐰㐰て〵㐱敢㠴昷昹搰户㌱㥣晢㈲愱愲㘲っ㍢晥㤰㜹昲昱㥣〸㐵㐲㠱戰扦㈸㡣搹ぢ敡㕡㙣ㅣ挹挲㡥〲㜱ㅦつ搲㝥攷㥡搳户摤㜹㈶慢㜹搵ㄶ攳ㄸ愶ㅤぢ愲搴〶慢㈲㜷㠵扢㥦昲㕣搱ぢ㘳㉥㌸㘷㙢晦㉥㔳捥㙥愳㌸敤㤲㡡ㅣ㡦㐰㜳㐵捣㌱挰㡦㘱ㅡ㤷ㄶ晣㘱昴昱㠵㠳ㄱ㠱捤㑣ぢ晢㐲ㄱ㝦㌰散昳ㄵ㘳㝣っ㤴ㄸ攵㉣㙣㈶㠸㍢ち㤲㍢㘸㙣㌰㘲㔴㤰㔷〹愲搴ㅡ慢〲㙢摥扥昵晤㥤㕢ㄳ㘳㤷㥦扤敥扡㌷㐷扤㌷㐴㜱捡㈷ㄵ㠸㈱㌰挸ㅡ㠵㤲㠳㔰㌰㔰㔲ㄴ㉥挲昸攷㉢昱㠵㌰昸㤵搸㙡㄰ち〷挳挵挱㔰挸ㅦ〹愲晤㠲愱愰ㄱ㘷㜹戳㐰摣戳㐱㜶戳昷㈱㙢㕣慣愶挴〹㈰㑡慤戶㙡搴㜰攱㠰捦晢㙣慣ㅥ㝤换㐷攳摣搷晡㥦扣㐸㜱晥㈹㌵慡㐱㈰搹㤳ち㡢慤㈱〹㈳㕦㌰攰ぢ攰ち㠵〹㈱〶挹〰慢㘴昶戳攲愲㈲㌴㕣㈸ㄲ挱㘸ㅤ㉣ちㅡ戵㉣慤づ挴㕤て㜲挸慦敡㐹挶㕣㘶㍥ㄱ㐴愹昳慤慡㥥㍣敥戲㔵㍦扣㕡㍤晣㥥㥣捦㥢㙥摣昱挵㔳㡡戳㘴愹㙡㈳〲〷㔹攰挹㝣㈱愴㈷〷㤸攸〶㜰㈱㉤㐲户攷㜸㡤㡥㘳㈴愸㜹ㅥ㠸㝢㍥㐸敥愰昱戸挶㉥㈰㙦㈱㠸㔲换慤搲㕥㡡㝦㔲扤晤㐱㘳挲㤵〷昴戸㝥摤扥㕢㔷㉢㑥挷愵戴㤳㄰搸〵㌰〱㑣㔲戲〳㜳㌲㑢㕢っ攲㍥〵㈴㜷搰昰㐰㤱㜱㉡㜹愷㠱㈸㜵扡㔵㠳攵戳㘶㉥摦㙢敢昵㘵攷扣昱摥㐵㡤㥢ㄳ换ㄴ敦〵愴〶㘷㈰愰慦ㄶㄱ㝤挵昲昹㡢㡢㑢㑡㈲㈵ㄱ㕣㐴㈳挱攲㠸㔴㐰慥㔸扥㈲戴ㄵ扡ぢ㈶㑥ㄱ㥣㔲㠱㔰㤱㜱㈶㡢㕢〲攲㕥ち昲㉢捦昲搰㐰攳㉣收㕦〶愲搴㈲慢扡昷摤戳㘷摦昹㌷㡦ㅤ戶㜴搹敡て㕦ㅤ扦㙦愳攲㕤㡢㔴昷㙣〴㜴摦㉥㈹搴昳㡥㐰㤸㔵つ〴挳㈵㐵㌸扦搰换愵㜳㥢㤷搸〸㉥㙥㤸ㄲ愰改挲㐵愸戳摦㌸㠷攵㥤ぢ攲㕥〱㜲㘰搳㔹㌷㔸ㄷ戵敥㝤戶慤摤戴㙤敤㔲㌳摡㙦晢㕤て㙣㝦㘰㥤扥愶㥤挷㕣㉢㐱㤴㙡戰㙡㔹戳晦㠸㌳㝥ㅣ㜰捣攰㌳て晣戴昴攷㕥㡢㔵ㅥ㙦慢㕡㌵ㄹ挶㜵て昳㜱摢㜴扥㈳愷攲㘵昳ㅡㄳ昵戵㥣㡢晦扥ㄷ㌸㤷㜵㠵㔳扤㥤慥户收愴摥慣搱㝦㌹愵㍦㈰㑤㍦愷昴ㄳ攷㈶慣㈹扤㔹挴敦㜲㡤㔳挶㉡㌶挷〵㈰敥ぢ㐱㍡晡㐲摢敥㔹戱攳昶搵收挰㘰㕣挴搴㡢㐱㤴慡戱ㅡ换昷昶攸㥢ち敡㙦ㄸ戹㈵㝦晣㠳愵㈷㍥㍥㔹昱昶㔷扡搴㙡〴㜴㤷挲愴㔹㑦摡㜰攵㠸㘰戸挶攵㉥㠸㕢〵扦㙤搶㠶攱ㄳ扣㔰㈸㠸搳〴㐳户摦㙦㕣挲昲㉥〵㜱㕦〶搲戹改晣㜵㑤㙢㔷昴㑢戹㠴㕣㑥㤱㉢㐰㤴㡡㔹㔵ㅡ㌳㌱㘷敥㤲㡤ㅤ㠷摤㜰㜲户㘵ㅦ慤㜸㝥て戵㍢㤲愵㑡㙢㄰搰㔵㑡㡥攰㝥㡥摤㤱㘰〰搷㡢㜰挸ㄷ昰㥢㤷㕥戳扡㈱捣㉦㜱㔶㐶〲㐵ㄸ㉤挲愸戳㜱㈵换㕢ぢ攲㕥〷挲愱㈹㘲㕣㐵摥㝡㄰愵㡥户敡昰昰㠲搸昷㌳㍣ㄳ〶㙦晡㙥挳搷㡢㕦㜹敦㈱㈵㙢〱㤴摢㐰㜲つ㠸晢㕡ㄲ昳ち㙤㕣㐷敥昵㈰㑡ㅤ㘹愹㌸㜷摦戶户㡣慦晦㝡摣摤㌷㍣㜲搸收㠵搷扥慥昶㐴戲㤸㜱㈳〲摡㡣㙣㘳㑢㌰㘸㥥慣㜲㑤挸ㅣ㕣㙥㘲㜹㌷㠳戸㙦〱挱昸〶㌳㙥㈵敦㌶㄰愵㈶㕢㜵ㄸ扥晦㑢敦晥昳慡㜷㐶㥣㝥晣㤶㐱愳ㅥ扢敤㜱戵ㄷ㤲愵づ㜷㈰昰㕦㡤戰㜷戲戴㡤㈰敥扢㐰㌰㈵てㄴ㜱㑡㝥㌷搹昷㠰㈸㌵挶慡挴攱㌷慥㜸晣扢摣㥡㈱㔷㉦扤㝦搳ぢ㑢昷㝥㐷㜱㈱㠵㘳㠲㌲敥愵昴㘶㄰昷㝤㈰ㅤ㝤挱愶㉤愷㌷慤扡搰敡慥昷㌳昵〱㄰愵㠶㔹扡昶搸昳挰慥攵〳摦㥥㜸敤㔳㜳㜶㉢愹㉡晣户敡㡡㘴㔳搷㠳㤴㝥〸挴晤㌰㐸㐷㕦挰ㅣ愲㉣㕤㝦㘱敡㈳㈰㑡ㅤ㙥改㝡晢搵〱敢昲㐶〷㐶㕣㜹摣㡥戰㙦昶挶㝤ㄴ㤷㜵〴㥣挷㄰㐸㠲攳㌴挳昳敢戱摦扡㕤㐹㤹攱〵挳挶㔶㤶昶㌸㠸晢〹㄰㌶㑦㤱昱㈴㜹㑦㠱㈸ㄵ戶㙡昰换㜱㤷扤昷搷㝢户っ扦㌲戴攵㠵改㤷㙦㘹㘸晦㌴㤲㈷㕢户敡挳ㅡ愲ぢ戰昸搱扣慥ㄲ㈸挴㝤㙤㙢ㄶ㤴戰㥥ㄴ㉦㡡㠷攳㝥㝦㔵㤱㉦ㅡ㡣收昵㠰摡搶慥㕣昰ㅡ摣㍥㝥㐴㜵㕤㔵晤〲ㄹ昷昶ㅤㅡ挵ㄸ㥣㕣搹攸㘷愵つ慤㥦㔷㔷搵戸㡦㜳攲搴㐴㌴ㄱ敢㥡㥥搶慣㈴㈳摢㔴㉣昴挴ㅡ愵扣㙥改搹㘶㐴㙢收挵㠶㉣慣㌶㤳昷㑢㑢挶㌲㑦㝤㐵昶搴ㄱつ戱ㄳ㤳愹ㄹ㌵ㅡ㠲㜵挸昹愲㍢挳㑡㌳挹慣㔷昷戲搹昵㡤戱㍡愹㕥扦摡㐹搵㤵㜳㘲つ㔳㘳㕣挵㡣㔵㠹愹扢㌳挹㕡㙢敡㌷戱づ㠶㘲昵愸慡愷㥤ㅢㅦ扥㌰ㄱ慢慢㡡㔵愱扥㜳㘳つ㠹㐵搳愲ㄵ㌵戱㍤㔲㐴捣㌲㤱戰㜷ち㝢㐴㝤攵扣挶戲晡扡㐴㐳㝤㑤㙡捡㤰慡昹㔱慣㙦㔵㡤慦慦㡡㘱㜹㉡㤷㠷㑢戹摡戴㔱捡㜵㜰摡㔵㐷搶㠸愸户戱㔰ㅡ挲搶挴晢愱捤昷㑡敤㜶㠵㔳㘰ㅤ慣愸㠹戱㑦收昴摡㠵㌲搱㑢㌵㝤戳ぢ摡㙣攲㤲㉦愵晢㘴㤷㤶㍡㈶㕢敥㝦㉢㥣㤳搳搹戲㝥昸㝣慣〱㡥㡡搶㔵搵挴ㅡ㕡㕣戰㔶慣㤱昱っ㐸㕥〸㘷㜳㔶昴㜲㈱愱ㄶ慡㐵㜹ぢ慡慢ㄲ戳摤戳㘳搵戳㘶㜳㝡㡣㐵敤晣㝣㐲㥢㜱ㄸ㝦〳换㜸㡥攴㜹㄰㡦挷攵晥㍢㠵摣ㅥ攳〵㌳㥥挷㔵户㔶㑤愸㔲㔶ㄷ㜳㤰换㤰搵㑣㉣㍤㌷收搵㘲〵愱戱㑤ㅢ㈷㉢㐷㐵ㅢ㘷㈷搸㍤㕢㑥愴扥ㄷ㐹㕥〲挹敢〵戲换挵㑢摥㑦攴㜲㡤戶㐳敤戰㔸㍣㡡㤵㜱㌹扢㔵㌴㑦㈶㜸㜹攰㌶㔶ㅡ㕣㤵ㅤ㡤㜳㘵愱ㅢ㈱㥣晣敤㙢搹晢㘳ぢㄳ挳愲㠹㘸摢㕡慣敦愲㤵っ〸昵㤳㕣㘶㠸㌹㍢〸㑦攷昶㔸㌱㘸昰㑡搰愶愵㥤㌰㑣㑤㌸㜱㜰扥戸摡㔸戴㘵㈳㔰㜷捥搵摣改ㅤ㍤㜵㥤ㄶ换挷㔵㈳㘳㜵搳ㄶ捤㡤㌵㔲㍣摦摤㈲㤴改愷㤷捣㄰㉢㉢愶㈷慡㙢ㅡぢ㔱搳㤱つ昵昳收晥㥥㝡愸换㜸ㄹ㐴ㅦ㜹晤搰㡢㕢㙦ㄳ攰㜲戵㥤捦戶㈹㉦㜷攵㔳ㅢ㌹挶〱㈴散慤㔰昶ぢ晥㤳挳㜸ㄵ晦㜹㕡㑡换敢つ㠹㕦戳愶㥤〷昹昶戵ㄳ㉢㉢愶㌵挴㘴㤵㍥㕦㈲㐰扢㐳敤ㄱ昵つ㜳㉡敡敢攷昰㠶愱愳挴ㅡ㘷挷㘲〹慥㝣户戳㔶晡㘵㐵㕦愹㌶㙤㔲ㄶ愶㙤㑢攴晢㐳扦晢㑤㤰づ㐳㙡㙡扡㙢㡤㡤敥㝦㠱搵〶㙢昰敥户㄰ㄸ搶戴㝡搹〷㥢慦搸㜹昱愶ㅤ敢捦摢㝥昳㡡てㅥ扣㜸摢敡换㥢㙥扤慥改扥扢㥡㔶摤㌱㈳㔸攸㉦摦戹晥扥敤㝦扥つぢ愶㍢㤷慦摡戱晥㠶昲敤愷㕦搸戴㜹㐹搳㤶㔵㝤晣㝤ぢㄷ搶㌴㉥㔴㍤㠰ㄴㄷ㤵㙦扦㙥㙥晤㠷㥢捥ㄸ扦㙥㔰散攷㌷ぢ扥戸㐹㜵户ㄲ㌲㔶扤晢愰㙣㕥搱㡤㜷㐱㔴㌷㠸㜱〴㐲㌸昵㌰摥㐷摣昸㠰愴〹〴攳㠸戴っ㠶㤱敤㘶㔴昵挵晦ㅣ㑡㡣ㅤ㈴㍢㐱㔴㍦㄰㥥挸挶㠷㈰晡㔰扢㐳㍦晢㠷戴昱挱㘰㘷戶昱挷攰㝡㡣ㄶ搲㔴㝦㐸戰㥤つ攲㙡㄰㐹㠳㈸慡㜶㔰散〸㠰挷㑡挸㔸㙥ㅦ㠰㙣〲挰㌷捣㥦て㌱㘷〰扥㘳ㄹ摦㤳晣〰㘲〳攰㈷㌳慡㝣昸㕦〰昸㤹㐲㠴㔰〵㐰〴〰改搰㠸昰㔰扦晣㙣〳挰て㑥㈶〰摣攳昴ㄸ㉤愴愹㈰昲㌹〱昰ㄵ㤴㍢〲昰愵㤵㤰戱捥捦攵㜹〱愰〳ち㔵㥦㐳捣ㄹ㠰〲㈴ㅢ㕥㤲㑥㈰㌶〰㍡㥢㔱ㄵ㠶㈲〱愰ぢ㠵㜶〷㔱ㄱ戰〴㠰㍤㄰搳㠷摡㘹〷愰〴散㑣〰扡㔲愷搱㐲㥡ㅡ㠸㝣㑥〰扣㥤つ㠰户慣㠴㡣㥤㠵㐱搰搴㠳戵㌸㠰㔵㝥㌳㉢〰扤㤱㙣ㅣ㐸㜲㄰㠸つ㠰扥㘶㔴ㅤづ㈵〲挰挱ㄴ敡〷愲〶㠳㈵〰昴㐷㑣ㅦ敡㈵ㅢ〰敥㐲愴㈴㌷㈱㌲㠶㍢ㅦ㔲㍤〶㘵㌲㐱㤲㌴㌵〴㙡㥤㠰昸㙢㌶㈰㥥戲ㄲ㌲㜶㌷㠶㐱㔳て晣ㄹㄱㄴ愷㥥挸ち挴愱慣捤㘱㈴㠳㐰㙣㐰㤴㥡㔱㌵ㅣ㑡〴㠸挱ㄴㅡ〲愲㐶㠲㈵㐰っ㐵㑣ㅦ敡㐱ㅢ㄰挶〸戰㌳㡤ㅣ㐱㥤㉤愵愹㔱挸攷〴挰㕤搹〰搸㘸㈵㘴散㤷㡣㠱愶ㄶ㙥㙤㔲戶㈸戸戴㤱㜲㙢搳㍥㍥愲扡㈶ㄱ㙢㤰搹㙢㐱ㅣ晦㤹摢捥ㄲ敦挰ㄹ㝢㐳戴搲摣搰敤ㄲ㉦挳愴ㅤ晢摣㠹㐵㌲㌳ㄵ㤱㡣㥢〶㜳㑥晤晦㙥㡤晥㜰户㐶㜲㘳㤴㜲㝢搴挲慤〷㍡㑤摡捤㔱换挲戶㑥戴ㅦ扡㤸攳㐴㐶晡㑢㈱㌴愷㜶㌲捡愷捦扡㙣㌷㙡㤰户㜷㐲㑡晢戲摦㌲戱戳㘷㜶㔲㘶捡㝡㝢昲㌴ㄲ晦摦捤㕤扡㌷㤲㜹㜳㌷㤱㈳攱㈴㤲挹㈴㔳㐸愶㠲愸㕢慣㘱㤶㔷㤷㠷〱攰搶ㅣ㤷敢〳㠴戱㈹㐷㤹ㄹ㈴㐷㠰搸㠶搹愳㄰㜵ㅦつ㔲愰昷㙤扢㥢㕤捣攳㔲㘳㤱㔳㠶摥㘳㤸昱㔸㤰昶挷㠱㑣ㄸㄵ慢挱㐲挱敦攵〱㤴㌷ㅥ挵戴㝣㙢㠳晥戳ㅢ㠴昶愸㥤扡愸慥㜲㜶㐳㝤ㅤ晣戰㜸挷㌵愴ㄲ㉥㌴㡤㉡敡慥ㅤ㔷㕦㌶㉦攱慥ㅤ㔵㡤晦摡搷㑥㠹捤㡤㐵ㄳ㘵㔸〸挲敤摣㌸散㐵换捤摡攸慡㠵晦㈷㙦收㕣戹㌰挱愵〰愰扥㥦㔳改㘷慦㜹㕢㘵挱㕢㌸慣ㅥ敥㔸㌱昱㐴㈳散㙥㌷㙥捣晦㠰㜷㙢㉥攳㜸搴㙥摤㘷㌷ㅤ摡晢捡摢㝦戱晥㍦つ㜳㕦㌹㡣㜱㌰㍡昳㑡ㅣ㐵ㄶ㑦㑢㘹㙡〲昲㈵慦挴敥㌸㘱㐳㌷㌰㘷收㤷㘵扢ㅡ㕦㙡㈵㘴散㤱㑦㠶戶ㅥ慣挹〹㔰愴㔶㕢攷〹ㄸ愹㠷㔱㠳㘴愳㤶愴づ挴㜶㥥捣㌵愳㙡ち㌲挸㌹㜱㈲㠵ㅡ㐰搴㌴戰㘴㍡搲㠸㤸㍥搴㜹㈸㈳㜹㙢㌲ㄵ散㑣㄰ㄶ㔰愷搱㐲㥡㥡㡥㝣㐹㄰㙣户㈶㘷㘶〳攰っ㉢㈱㘳摢晤㐸㘸敡挱㕡㥣捥㉡㥦㤶ㄵ㠰㌳㤱㙣㉣㈱㔹ち㘲〳㘰㤹ㄹ㔵㐷㐱㠹〰戰㥣㐲㘷㠳愸㘳挰ㄲ〰捥㐱㑣ㅦ㙡扥ㅤ㠰愳挱捥〴㘰㈵㜵ㅡ㉤愴愹㘳㤱捦〹㠰㥡㙣〰捣戱ㄲ㌲戶晢换愱愹〷㙢㜱〹慢㕣㥤ㄵ㠰换㤰㙣㕣㑥㜲〵㠸つ㠰㌵㘶㔴捤㠴ㄲ〱攰㑡ち慤〵㔱ㄵ㘰〹〰敢㄰搳㠷㥡㘹〳挰扤ㅥ㈹愶㙢㐰挶戴㝣〳㤲㍣〶〵㌲ㄱ㤲㌴㔵〹㥤㑥㈸捣挸㠶挲㜴㉢㈱挳攷㈰づ㑤㍤昰㘷摣㠲攲搴搴慣㈸摣挶摡摣㑥㜲〷㠸つ㠵㡤㘶㔴捤㠲ㄲ㐱攱㉥ち摤つ愲慡挱ㄲㄴ敥㐱㑣ㅦ㙡㡣つ〵㘳㌶搸㤹㐶摥㐷㥤㉤愵愹ㄳ㤰捦〹㠰挱搹〰㈸戵ㄲ㌲㕣ㅣ㙡愱愹〷㙢昱㈸慢㍣㈸㉢〰㕢㤱㙣㍣㑥昲〴㠸つ㠰愷捣愸慡㠳ㄲ〱攰慦ㄴ㝡ㅡ㐴捤〵㑢〰㜸〶㌱㝤愸㤰ㅤ㠰㝡戰㌳〱㜸㥥㍡㡤ㄶ搲搴㠹挸攷〴挰挱搹〰攸㙢㈵㘴㌸㑥㜰㡤户〷㙢昱㉡慢㝣㔰㔶〰㕥㐷戲昱〶挹㥢㈰㌶〰摥㌲愳㙡ㅥ㤴〸〰㙦㔳攸ㅤ㄰戵〰㉣〱攰㕤挴昴愱扡搹〰㜰扦㡦ㄴ搳敦㈲攳㍣㘸㐲㤲挷愰㐰㈶㐲㤲愶ㄶ㐲愷ㄳち㕤戲愱搰搹㑡挸㜰攸㌸ㄹ㥡㝡攰捦昸ㄸ挵愹㑥㔹㔱昸㤴戵昹㡣攴㜳㄰ㅢち㕦㥡㔱戵ㄸ㑡〴㠵慦㈸昴㌵㠸㍡ㄵ㉣㐱攱ㅢ挴昴愱昲㙤㈸ㄸ愷㠰㥤㘹攴て搴搹㔲㥡㍡つ昹㥣〰昸昹愷㉣㉢㌵㍦㔹〹ㄹ晥㈴㘷㐲㔳て搶㈲㌷〷㔵晥〱㘲捥㉢㌵㙥㈴ㅢ㙤㐹昲㐱㙣〰㜸捣愸㕡〲㈵㍤愹愸ㅤ㠵摡㠳愸戳㄰ㄵ〰㍡㈰愶て昵㌹捡㐸㕥㄰㤷㠲㥤〹㐰㈷挸㝢㡣ㄶ搲搴㌲攴㜳〲㘰㐷㌶〰戶㕢〹ㄹㅥ㉡攷㐰㤳〰搰㤵㔵㙥捡ち挰扥㐸㌶昶㈳改挶摡㌵㉦㔶㜶㌷愳敡㕣㈸敡㐹㜳㝡㔰愸㈷㠸㍡て㔱〱攰〰挴昴愱摥戴〳戰〲散㑣〰づ㠲扣挷㘸㈱㑤慤㐴㍥㈷〰㕥捣〶挰ぢ㔶㐲㠶昳换㉡㙡捡㝥捦㠶ㄴ慣敦换摤愱ㅢ㤲晦㔷散㌴㥡晢㡢扦㜱捦捣敤挱攱㔲ㄷ挰搸㥥昸㌳㝣㘸ぢ挳て㤲㜷ㄱ愲慤㜱㤵搹ㅢ㜲㉡慡㉡㔴愵慡㔲戱戶戵㜰愵ㄹ㍦慢攱搷摦㜳㜴㐴㐶搹〵㌲ㄵ戴搷㔱昱㌴搲ㄱ敥㉡㜹㜵〴搲戲㉤搵愱㤹㠱ㅤ㤰捥㍡㘶摢㕥㑡敡晥扤昷慡㘰㍢㐶㜶㠵㈱慣つ摣㤷攴㍦㤳扡㜹戴っㅦ敡〹愰扡㐱挱敦㜵㠳昳晦㜷㜹扦㔷扤㠹㠱㜹㝣㕡㙡〵〶愷晥慦昹敦㍣散㌱㉥㐴㔲收㈰ㄲ攲㈰搲㘲㘲㑢ㄹ搵挵㔰㥡ㅣ㘱摣㠷㐱㤹摢ㅣぢ捣㝢慦㐷戳つ㌴㡦㔸〹ㄹ㡥㕢㜴戶㤲㤱㜶㌰㜴愹㠷㈱收㝣愹ㄹ㡡㘴愳㡣㘴ㄸ㠸㙤愴ㅤ㘱㐶搵愵㔰搴㤳㈶㡦愴搰㈸㄰㜵㌹愲㌲搲㡥㐶㑣ㅦ㙡ㄳ捡㐸㕥㙡㉥〳㍢ㄳ愴昱㤰昷ㄸ㉤愴愹㉢㤰㉦㠹㠳敤摥敢㤶㙣〰摣㙣㈵㘴戸㠹㕤〹㑤〲挰っ㔶昹挶慣〰ㅣ㠹㘴攳㈸㤲愳㔹扢收㑢捤戱㘶㔴慤㠵愲㥥㌴攷㌸ちㅤて愲慥㐲㔴〰㈸㐷㑣ㅦ敡㉡ㅢ〰敥㈸㔲㑣㝦戲㡣㈹㔷㈵㤲㍣〶〵㌲ㄱ㤲㌴戵ㅥ㍡㥤㔰戸㈴ㅢち慢慤㠴っ㐷戵つ搰挴㐵㜱愳㠶挵搵㤲搴㤱搴㤳捣〵㔱慢㉣㘴㜸㈳挱晢㔵㉥㕦㜱㍡㠸晢㙣捡㌴㤲㈴㐰㙣挸捣㈷㡦换㔷ㄸ戹慦㠱㘴㑦㑡㉦㈴㜳ㄱ㠸扡づ㔱㉥㉦戹㡣㤳㄰捤扡㐶㜱㉤㈵㌲挰㌹〵㔹㍣㐶ぢ㘹敡㝡攴㙢〶㠷㙢ㄴ收㌹戲㌸ㅢ㌸㈷㕢〹ㄹ㉥㜸㌷㐱㔳て搶㘲ㄹ慢扤挸〲〲㡣搴挳㌸ㅢ挹挶㌹㈴攷戲㜶捤㕤攴㍣㌳慡㙥㐶㠶㥥昸㌳㔶㔲攸㝣㄰㜵㉢愲搲㐵㔶㈱愶て㌵ㄷ㘵攸㜳挴㝤㈱㔲㑣㕦扤っㄴ㉥㐶ㄲ〶ㄳ搰㑣㠴㈴㑤摤〶㥤捤㈸晣ぢ㌱ㄳ㠵㜸㌶ㄴ㘲㔶㐲㠶ㄳ攰㥤挸㉢㈸慣㐱㜱慡㌲㉢ち㙢㔹㥢㜵㈴㔷㠱搸㔰戸摡㡣慡㡤㔰搴㤳ㄵ搹㐰愱㙢㐰搴摤㠸ちち搷㈲愶て㜵戴つ〵攳㉥戰㌳㡤扣ㄱ昲㥥㤶搲ㄴ扤ち㥤〰㤸㤴つ㠰㠹㔶㐲㠶〳攲扤搰挴㜹㤹㌵ㄷ搹㡣㘰㑦晣ㄹㅢ㔱〷攳㉥㄰㜵㍦愲㥣㡦㤸㠷扥ㄸ戸〶㕢っ敢㝦捤攷㐵攲㍥㈴㘵㕡戵〹捡㜰㤱㘸㈱戱愵㌴昵〰㤴㌶㥢捣㡢㠴搹收㠳戳㤹㕣㙡㈵㘴昸㐹㍥〸㑤㌶㤳ㅦ㐲戴㈷㙢晣㈸㜵㍥〶愲晥㠲㘸愶挹昹㠳挱挶愱晦户㥢捣戵敦㑣㤳㥦㠰㌲㤸摣㐲㘲㑢㘹敡ㄱ㈸㜵㌲搹㤷捤攴〱㔶㐲㠶㍢攷㔶㘸㤲㙥晥㈲捤㍢〴㘲捥ㄷ挴㤷〹挱㉢㈴晦㤰慡㥢㌶挱㑦攲㔵㌳慡ㅥ㠷愲㥥戴昵㌵ち扤づ愲㥥㐴㔴扡昹ㅢ㠸改㐳昵㐲ㄹ挹㤳晤㕦㐸㌱㍤㍦㌳㑥昶户㤱攴㌱㈸㤰〹㥦愴愹愷愰戳ㄹ㠵收㤳扤㙢㌶ㄴ昶戶ㄲ搲㕤㑡昳㥥㠱愶㕦攱ち搸づ攲㐶㝣㐶㜵㙣〱㝤㤷㍡挶㔳晣敦㍢挴㠷搵㑦愸㑦っ慢㙥㥣㕢ㄳ㕤搴㌹㙥〵㡥㤸ㅤ慢㠳ㅢ㘴〳扣㈱搳㜸昵㜳攷挶慡㡣昸搴晡㜹つ㤵戱搱挳晥〸㙥㤲搲㔸㜰晤㔱捡㤵愳㜰晣㌶捦㍦ㄷ㜲愲㤷昳㔶㈶敦㙦㔰㤹敥挰㘵摢挳㙢摥㉥昶㐲戰愰ㄹ搱㘹搵㠹㥡㔸扢戸愴㑢㌸㍦づㄴ攱㕢㕡搵㌶㍥㙤㌶ㅣ㥢㠶㜵㠸㡦㙣愸慥慡愹慥㡢戱㌱戰〵㑤㉦摣㜱戱㔹昰㈳㥤㔴摦㔸捤㘷㥦㍢挴愷㌵㐴敢ㅡ攷搲㈵慥㜲搱㙥㈹㌱搹㡥挹㡢て慤慥㙢㐴㌱昲ㄴ〵挳〵昱愹戳敢ㄷ攰㌱晣㜹戵㜵㈳愳㜳ㅢ晦㄰慤愲愴㕤㐸愴㘹㔴㡥捡挹㔱昹㌹昹扦戵㝤摣㍢㜰㜶㜵㌶ㅦ㔸敡㡥㝥㥡㘸愸慥㤸㐷挰愴㥣〰㘸㉥㠹戴愱㉢敦㌹㠴㕡搸㠶攵敤戹攵摤㑢捦㔵搶㌵攵㔱ㄴ㐷㈷捡攴扢つ昶㠳戸戱ㄳ搵㘹晦㈱挸㤸㤱搳㐷㌷晢㜴晦㔷㉦ち挸㝢ㅥ㥡搳㌷户搲㝢㕥搲㠵㜶㜷〸㜷㌴扢㄰㜹散㔱㌸㌳搱ㄳㄸ㑢敦㤶㥥戸挸戰㠷㜶㙣づ㡥㠰ㄷ㘶晢昸戸㘸㐵慣〶摢㤸戵搱㐴㐷㌳挲攵つ㍣㐸摥㘸愵㤵搵搷搶㐶搹攵搸㕤愷㔶㐶㙢㘲昹昱㈱昳ㄲ昵攳慢敢㡣㌸㠸昴㑢㡢ㄵ㕤〸㔶㜴愱戰摡挷愷搰愹㕣挲搴㔵㍦㉢摡㔰㥤㤸㕤㕢㕤㤹捦〸ㅤ扦晦㄰㝤ㄵ攳㝦㉥挰搴㠷ㅥ㑢搲㌷㔷捤㙤㐶㌴㜷㈱戶㝡〹ㅤ㥢ㅦ㍤㍡㐷戹昱㑦晤挶昵ㄳ㡣㍣㜲搱㌰晥〳㙤㜹昸㤳愱㐸敡昲愹㌸攸㈱昸改㘹攸愲㌲㌸愹ㄷ㈸㠰㍦攳㈳㠸㌲挰扦摣ㄷ㐱㕡㜴㐸㙤ぢ〱捦戸晡㘸搵〸㌸挰搴㌷戴戵㕥㙣㤱㡦愶攵㔰搳攰愵㡢㜰ㄹ扣捥攱捤㍥扦扡㉡搶㤰㑦挶㔴㙣ㄸ攷搲戹搸㙤戶㈱㑦㘶㔷㕥㕥扢㝣愷戲㐶㙢㕤扤㉣挷㑢晢㡢㐱㐶㘷攸晦捦攴㤲㔲搶摤攳㤱㑢搴挷㌰挷昸㠴㌶扤〴㈶敤㐹ㄳ昸㤴〲㥦㠱攴扤㡣挴昴戶㐹昵搶㠵㑦慦〱愱㕣慥晣攴㜲挵㈷㕦慦昴攴㠹㈱敤㙣㉢㍢㙥㜳㐵㈷㕦扦㘷挲㍤ㄵ扤㍣㔶攵㌱挷㔷㙥㤷攳捡攰捡挹挹㐵㔳扢搳㍤㤳㌲㡡㠵戲摡愹㌱昱㈸㔶㕣㤴㜰㝦㡥ㅡ㜷攱挹〲晤攵㈹敦㔴㐸㥦㐵㘰㡥昵㈵㠴㕤ㅥ昵㉡愸㐶攰㔰㜲㑣㠸扥㈲〲㕦㠳愸㜷挱攴㍣挰㜶搵㔲敦㈳捡㉢㤷换晤つ㐴㕡㍢㔲慡て㤰㠳愳愵昱㉤ㄵ㌷㈱挴㐱㈸搹㈹扦〷㜷搷㥤㜲㍢㜳攰捦昸㠱㑡慣㠸愲ㄷ慡㌶〳㝣㙤挶㡦〸ㅢ㍦㔱㜰愷戳挰捦ㄴ昸㠵〲ㅦ㐲㠰慤敤收㘳㍣捤㈸摡㕦攷攰㠰㘲づ㠴㠱攲挷㌶敤㌶ㄴ搱㠳戱㝡て愲扥㠱㐰㍡㡡摦㠱㘷愲挸ㄷ㤷戴ㅡ挵敦㤱㑤㔰㜴㔳昱て㠸愵愰㤸て敥慥㔱晣〹搹〴㐵扥〷㈷㠹攲捦攰㍡愰攸㠱㡣搱㡥㠲扦㌸ぢ戴愷㐰〷搱〴㕤㠲㘲㐷挴㍡改扥搸晣㈶ち〷〸扤㤰〴㠴戹挸愹换㍥㡣ㅣ戳㈳㜶愲敡摤愸㥡晥慡改㄰搲㐹搵㠴戰㌳㐴㕡つ愱ㄷ搹〴挲㉥㔴㑣晦搶ㄴ〸昷〰㜷搷㄰搲てㄶ㍦扣攵㠷㑡㄰㤰㍦㍡挳㙡㌳搰慤戴ㄹ㝢㐱挶搸㥢㠲㜴㤴㜵㄰攸㑡㠱㝤㈸㐰摦㔹㠱㜰㕦挴扡㙡〸ㅤ㕥愳攱㠰㘵㌷㘴〱㤶㕤㙤㘵散搳㕣㠹晤㔹㐶㜷㤶㜱〰〴搲戱愴㐷㤲㠹㘵て㠸戴ㅡ换〳㤱㑤戰散㐹挵㜴㤵㑤挱戲ㄷ戸扢挶㤲㉥戵昸攱扤㉦㔴㠲㠰晣搱慦㔶㐳〵扥挶昲㐰㠴㡤㠳㈸㐸㥦㕢〷㠱㍥ㄴ攸㑢〱扡攱ち㤶〷㈳搶㑥㘳㌹㍣ㄸ捣戸㜷挲㠸搸ㅦ㌲〰捦㘷㔳扡㙦㜳愹㠷㔰㘹㈱㤵搲㕤㌶ㅤ㍣晡挸㥡攰つ㠰㐸慢挱愳㔷慤㠰攷愳㘲扡搷愶㠰ㄷ〰㜷搷攰昱搲㠶ㅦ摥昰㐲㈵〸挸摦㘰㔰㡤㡤慤㈳㠶㈰㘳ㄴ㔱㜰㠸戳㐰㌱〵挲ㄴ愰敢慥㠰㔷㠲㔸㠹〶敦㔷扦戹挴愱㥢づ㠴㐲㈰㍤挲㔶〳摢愸㜹㈸㙢㜰ㄸ㐸ㅥ扤攸㕡㤸愳挲搹挸收㙢搹ㄱ㍡摤昱改㜵搵〹㑣ㅦ㔹摢ㄱ搵〹㕣〸摢挷㐱㄰㤴㙤戲慥㌲慤戴㘵敡㤷扣㕤摤㍦㌳㈹攵晥戵㕢㘶扡晤㠶戶㤷㐳戲㜹慢㙢扢挳摤㤵㤰摣昲㍡搴昱㡦㜴て慣㑣㈷㌹㤷㜹ㅢ摣攲昳敦捤戸昳㌶收扦戸㘳㤶戳ㄵ㉦昱㘱户㔱昸㠷㤳戵ㄴ㘱摥㐰㑦摡㘵ㄷ戱㜹搸戶㘳户攳㑤戴挹敢㘰戹㜰㡦慥㙢挴㌴搴㘳挵㜰㤳搱搱ち㑥㥣㤷㐸㐹㠹㉥散㙣愵攰搱㥥㠹㜵戸㌵慣㡣㌶㔴晤㐱敥㉢㘰㥢㜹晢㉢户〸扦㜱㘹〲㑡㜸搸敥〶戰搸㌴搸挲㥡慥慣扦挶㐱戹〰㥡㍡㄰敥愴摦㜲㍥㘳㝣〵㠸戴㠲昹㠶㌰㔹㈷㥡ㄴ挳㈲て摥愰㔶ㄳ敢㉣ㄹ㤲㔱㤹㐳ㅢ昱㈱ㄵ㡤㔸㜳㐸昰㠶搲ち挹㠹㙥挴愷挴㙡愲㝣づㄷ昷㝦㔶㘸㔲㘵〲敥昸㐹〵㝣挶昶㡦搳㐲㐰㈴搷㙡㈵㈵敤攴㙥㘱㝣㑢㌵㠲攷搰㙦㙣㔵戴㕢㕣㡥㡦㑢搵ㄵ㤷昳戸戱搴愵〳搶㑡ㄴ㕤㤴㕢㔸挶挰㔸㙢昷㈶攷㤹搴㔹㍦攴㘰㡥㜰㌲㜸戵搷㍣慥㜵㜴攰㥡㔴㐳〲て愲昳戵ㅣ〵㍣㜵㙡㜰㌳㤸愸挶㙤㝤捤愲㡥昱搱㜵㤵㌵昳慡㘲戲㈶愰挷㙣㔹ㅡ昸㐳戴ㄷ㈷愴搶ㄹ搵〲㉥ㄶ㈸愳昱昶㐹晤㘰昲㙦㕦ㄸ㌴㠶攰㑣㤳挱づ㍡㍣㐶㤹㜵摥搱㜱晣㔷扢敥㝢㔰晢摤㥡ㅦ㍣㤱㜷ㄲ㘲㘸换㘰㜱㑣愳晦㜵㤹昶晥㤷㌳捥㈶㌶慥㝥㕣㍤ㄷㄶ㙤慣㔱搵㈶敢て搱㑥戰搳㙣㈶昸㌰晣收㈵㔹㉡挱愸㈷晦㘱〹挴晡扦㤴搷ㄸ㕣㘵ㄴ㝤昳㘵㝡㈷晥搰㌲挳ち㐰㈶㠷挴ㄲ愱攷扥㑣攵㠶愳搵ㄴ㕤昸捤愹㥣搹㥥挶㐸㜰㜷㍤㤵愳慢㍦㝥搸㌹愷ㄲ〴攴㡦扥晤㝡㉡㘷ㄶ挸搳捦ㄸつㄹ㘳っ〵改昷敦㈰㌰㤶〲攳㐰昲攸晥㥤㍥搰㘴昵㘴㐷〶ㄷㅥ愶挶㙡㐴㝥㉤㔷㘵㜰㥡扡昱㄰㌵㍣昵戱戲攳㙥㤷㑦㑦㜷㘳㍣愴晥昶散戳㠳㔸ㅦ㌸搴㌴㤷捦㥤つ敢摥㙤〲换㥦〸愲攸搲㥤㍥㘵愶ㅦ户㌹㘵㥥〴㤱㔶㑦㤹改昹㉤㌸㑦愶㘲扡㠰愷㑣㤹愷㠲扢㙢㥣攷㈲ㅢ㝥㉥㘳ㅡ㤵搰〴晥搱㕦㕣挳㘸㥢㌲㑦㠷㡣㌱㠳㠲昴㈵㜷㄰㌸㠲〲㐷㔲㠰敥攵㌲㘵㍥ち戱攴㤴昹㔷扤㕡㡢㉦㘹㜳㤸㌲ㅦ〳㠵㤸㌲搳ㅦ㕤搷挰㜶㤷㝣㉣㙢㜰ㅣ㙢㜰㍡〴搲㤱愶挳戸㠹昴昱㄰㘹㌵搲㑢㤰㑤㤰㉥愷攲愵㠸愵㈰ㅤ〵㜷搷㐸㉦㐳㌶晣㕣㐶〵㤵㘸愴改㤸慥捤戰㈱㕤〹ㄹ愳㡡㠲㜴㕡㜷㄰㠸㔱㈰㑥〱晡戱ぢ搲戳㄰㑢㉥搷愴扣ㅥ挸〱挵㙡〸〳㐵㍡戵㙢敤〳挹㌱搷ㅡ㑥愰昶㌹搴㑥〷昴㜴ㄴ改㜵㙥愲㔸〳㤱㔶愳㐸㍦㜵㐱戱㤶㡡改戰㥥㠲㘲㍤戸扢㐶㤱㡥敤昸挱〹㠳㑡㌴㡡昴㙥搷㘶攴㌵㥢㜱㈲㘴㡣〶ち搲昳摤㐱愰㤱〲㝣㙤戲㕡〷〱㐱㜱ㅥ㘲挹晢攳戱㜸㐳慢〳㜸ぢ㈰〳昰㌶搸㤴摡ㄶㄷㄶ㔲改㈲㉡愵摦㝡㍡㜸㜴㔶㌷挱㍢〹㈲慤〶㡦敥敤〲摥挹㔴㝣〷㘲㈹攰㥤〲敥慥挱愳㍦㍣㝥㉥攳㔴㉡搱攰搱㈹㕥㘳㐳敦㐹慢て㥣〶ㄹ攳㜴ち搲㘱摥㐱攰っち㥣㐹〱晡搰ぢ㜸㑢㄰㙢㕥愸戱扤ㅢ搲㝡慦㥦〳㤶㘷㈱ぢ戰愴㕢扤㉥挳戶搶戰㡣㘵㉣㘷ㄹ㜴㠱㑦挷㜲㉢㜸㈶㤶㘷㐳愴搵㔸搲㔳㕥戰㍣㠷㡡㥦㐰㉣〵换ㄵ攰敥ㅡ㑢扡搶攳攷㌲捥愳ㄲ㡤㈵晤敢戵ㄹ戶搳㜹㈵㘴㡣昳㈹㐸摦㝢〷㠱㔵ㄴ戸㠰〲㜴挷ㄷ㉣㉦㐴慣㐸慦㌵晣慡㠱搳愹换㕥っ㙤㠰㤹捥晢扡㜸摢㐲挳㥦㔸晣㙡ㄶ㑦㐷晢㜴㤸改㕤㙦挲㝣〹㐴㕡つ㌳晤昱〵收㑢愹㤸㡥昹㈹㌰㕦づ敥慥㘱愶〳㍦㝥㜸挰㠵㑡㌴捣㙦㈳愴捤〰㕦㜷搹㍦㈳㙣慣愱攰㍢捥〲㔷㔲㘰㉤〵摥㠵㠰挰扣づ戱攴昹㍥ㅥ㙦㥤㜲攸愳敢㈱〳昰攸搷慦㑢敤摡㕣敡搵㔴扡㠱㑡改㥦㥦づ摥愷攰㤹攰㕤〳㤱㔶㠳㐷㌷㝥〱敦㕡㉡愶㍦㝦ち㜸搷㠳扢㙢昰攸昷㡦㥦换戸㠱㑡㄰㤰㍦㍡晦㙢㌳挰搷攰摤㠸戰㜱ㄳ〵昹㘰㠰㠳挰捤ㄴ戸㠵〲㝣㔶㐰挰扢ㄵ戱㈴㜸挳昱㝡㔱〷昰㙥㠷っ挰攳昳〲㕡愹敤〴扦㠳㑡敦愴㔲晡昶愷㠳㐷㠷㝥ㄳ扣㡤㄰㘹㌵㜸㝣〴㐰挰扢㡢㡡昹㉣㐰ち㜸昷㠰扢㙢昰昸捣〰敡散㌲㌶㔱㠹〶㡦てづ㘸㌳㄰搴攰摤ぢㄹ㘳㌳〵昹㔰㠱㠳挰㝤ㄴ戸㥦〲ㅤ㈰㈰攰㍤㠰搸㙦㥣ㄹ攱挵㤶づ㐸㍦〸㠵㐰扡㤳慤〶戶㙢晡㐳慣挱挳慣㐱㔷〸愴㈳扤㉦㜸㈶搲㝦㠱㐸慢㤱摥て搹〴改㐷愸㤸てㅤ愴㈰晤ㄸ戸扢㐶㥡て㈷〸搲㕢愹㐴㈳摤〳㕣〷㈰ㅦ㠷㡣昱〴〵昹昴㠲㠳挰㤳ㄴ㜸㡡〲〷㐰㐰㤰晥㉢㘲㠵㝡㈸㙤攵㉢㌹ㅤ昰㝤〶㙡㠰㉦㥦㝢搰攵摡挶搰㘷㔹敥摦㔸㉥㥤昱戵〰㜲攸㍥昲ㅣ〵㥥愷㠰摦㔹攰敦ㄴ㜸㠱〲昴㡡搶ㅡ㜸㐱昰㜸昶㠴ㅥ攳㐵ち扣㐴〱㝡㈷愷㌷㈱㕤㤲捤㈶㝣ㄹ㈲慤㙥挲㌲㘴㤳㈶㝣㠵㡡改捤㥣搲㠴晦〴㜷搷㑤㐸慦㘷㘹挲㔷愹〴㜵㤵㍦扡㍥㙢㌳㙣㐰扣〶ㄹ攳㜵ち搲㉤摡㐱攰つち扣㐹〱㝡㑡㑢ㄳ晥ぢ戱㝤㤲㑤攸昰ち㑣㠷昶㝡ㅢ㜹搰㕥攳㙤㠵ㅣ㑥㡥㌹挷㝤㠷㠵扣换㐲㘶㐰㈰ㅤ㑣扡㌷㥢㘰扥〷㤱㔶㠳㐹㠷㘸〱昳㝤㉡㍥ㅡ戱ㄴ㌰㥢挰摤㌵㤸挷㈲㥢㠰戹㡤㑡㌴㤸挷㠱慢戱ㄲ挷〲搳㡣敤㤰㌱㜶㔰㤰㉥搶づ〲㍢㈹昰㈱〵捡㈱㈰㘰晥ㅢ戱攴戰㍤摥㜹㡥晢ㄱ㘴〰㕥愵㑤愹㙤搸晥㤸㑡㍦愱㔲㍡㐸㜳㜷㐲〶㈴昸ち㌰㥢戵㌲晤㌹挲㕣㌳愸㠵〸㔷愷昵㤱扡愶晡㠵㈵㐵晦㙡慥慢搲攲㕤慤搱㈹晡㘱㜳㥤捥㘵㝣㠹散㔲戶㉣ㄴ㝤㙤㈹愳㡢㌶ㄷ㡢昴攱㍥㘳㜵搹㡡㥡昷㑢昳㡢ㄳㄳ捦晢晢㡥㔲㉣㉡挹㜲〶㝤戵愵㤹挵㜵㕡捡づ㈰㡦㝤㌹㠳㥥摣搲愴摦㐲户愲㑢户搹愴搶㜲挶昷攰敥扡㐹攷㈳㥢㔴昷〷㉡㐱〹昲㐷摦㙦摤㘲慣愹搵㌳㝦㠴㡣昱ㄳ〵改ㄷ敥㈰昰㌳〵㝥愱挰㐹㄰攰㤲㠶挱扤㠸攴㉡挴㈹戶㙣戶㉢〰晤㙤っ戸㔴戸ㄴㅤ户搳㝢㍣扤戵捤ㅥ摦〶㈲慤敥昱昴敦ㄶ㜸昰捥㐴㤷愲愳㜷㑡㡦㜷㠳扢㙢㜸攸㄰㉥昰戴愵ㄲつ捦㑡㜰戵昵㌰㔶挳㤳てㄹ㠳ㅦ慣㔱昴ㄸ㜷㄰昰㔰愰ㅤ〵攸㐴㉥㍤扥㍤㘲挹ㅥ㍦摣戹挷㜷㠴っ㝡㍣晤挴戵㔲慥㌴㕢㡤㔲㐰愵㕥㉡㕤〳㠱㜴昰攸攴㙤㠲搷〹㈲慤〶㙦ㅤ戲〹㜸扢㔱㌱晤挳㔳挰敢〲敥慥挱愳ㅦ戹㠰户㍢㤵㘸昰㌶㠰慢捤戰㠱户〷㘴㡣㍤㈹㐸㐷㜳〷㠱扤㈸戰㌷〵慥㠵㠰㠰搷ㄵ戱㘶昰〲㡥㔳攴㝤㈱〳昰攸㝦慥㤵搲ㄳ挷〲㙦㍦㉡敤㐶愵㜴づ搷〲㐸搷〲晢㔳愰㍢〵攸㌸敥㈰搰㠳〲㍤㈹戰挹㈶戰ㅤ收㕡搷挶〳㈸搰㡢〲㜴挶㜶搰搰㥢〲〷㔲攰㌱㘷㠱㠳㈸搰㠷〲㜴扥搶ㅡ㕥㘸㉥愲㉦〵づ愶〰㝤愱搳扢〰ㅤ愰捤㉥搰て㈲慤敥〲㜴㤹㤶㉥搰㥦㡡晦㠱㔸㑡ㄷ㈸〴㜷搷㕤㠰㍥搶搲〵〶㔰〹㘰㤵㍦㍡㕡㙢㌳㙣㕤挰〷ㄹ挳㑦挱搷㥤〵〲ㄴ〸㔲㠰㝥搹搲〵㐲㠸㌵㜷〱攷扢愴㘲挸愰ぢ搰昵㕡㤷㙡㍢㝦挲㔴㕡㐲愵㜴攲㤴捡㐶ㄸ戳㉡㥢㐷㐷扣㜴晦戲っ摦㍦㈹㈱㑥㉦挰愹㠹㐵㌵昰扣㘴㤰晥㘶㘶㠸㙢戴搸扣〴て㕥㜰昵つ搸户挸㑤㝦㘷㑦㌲敦搳㈸戸㕤㤷戴搷戵㑡㌶愶搰挹㌰敦㠹ㅦ㌲㕦㐹㥡捣捦㡡㌷扦扢㤱㜹㜸戸て㐵ㄵ扢㡣慦慥㙣愸㙦慣㡦㈷扡㑦㠵㔷㜱㜷扥晥㌶㡥㡤㡢㈱㜹㕢愱搱戱㑣ㅡ㤶㕢〷㐳昲收昳㜵㤰㥥㌹㜵昵ぢ敡愴㌶㜹㡤㝣ぢ戰攰搵戶㉤㡢昱戰ㅣㅥ〷〰㍣敦㐷愸㈸㌳ㅢ㠳㐰㍢戴昱搲愳㡦挲敥挳ㄱ敦㕤㌶戴㙣㑡㜹戰戸㌸㔲ㄲ㠸晡攲扥㘸㈴㔴ㄱぢ㤷攰㍢㍥㔱㝦㐹㘵㌴ㅡ愹ち挶㉡㘲㕥㜱〰愴㡥㔲攴昱搲攵㑦㡡ㅢ捣ㄸ㝤晦㈴挶戴㍣扡捡戵搶ㅢて昲㜸搹㠴昹㜸㘹㙥摢戶ㄹ晢攳ㄹ㕥㝣挹搷㝣扡摤ㅣ㍡昲ㅥ〲㔸改捦晣㍡㘷㘲〵㥢摢㠲㤹搹摤㡤㌲㔴挱ㄸ〶攲昱搲㡢㡦㍣昷㜰㐴㍢㤵つ㉤㑦晤㔸㤵㝢〴搸敤挱㤶㉤㥦㈹㜸扢慦㝢㈴㌸ㅤ挱戱㜹㉤㝢扦戶戴ㄸ愳㤰㘸昴㘴ㄹ㍤㐰㤴㜸昱㌱㌶ㄶ㝣㔶㠶㐵愹敦㈱捤㕥慤敥㠶㈱散㑢㘰扡っ㜶㄰昶〵戵ㄱㅣ昶㠷搴昶愴㉦ㅦ㈵㡣㠹愰㘸㑦晡敤昱昰搲㜷㑦〲㜴搴㤳〰㥤昵㜸愸ㅣㄴ挷㤶㔱㜷㐰ㅤ㔱ㄳ敢㈷㐳㠱㌱〵挴攳㙤〳㠶昰㘸扤㐱㕢つ㥡攷捤搵晣ㄹ㘴昵㠵㉥昹㠸㤳㜲㠳㉦㡤㝥ㄴ昸っ挸㕦㍥戸㘲捦㜵㈸㈲搳㥥㙢挰捤戴挷㐰㈶㈸挱㥡㍣㈸散昱㈰捥挳摢㑥〷摡敢㐰〷㉢愰扣〸㠸㍤㔷摢敤㈹㘷ㅤ㘷㠲㜸扣㥤㈰㐰㘱㈳捤㥥摤㌴扦㡡戲㍥㑡っ〰㔱㕤挰ㄷ㝢㘶㠱捦〰㌳慢㍤㐰挵㥥换㙣昶戸慢㈱㤲昵〴㔶㤷㌸ㅡ戹㈷㌴㈱ㅢ㤶捣㐱㘱攴㕥搴㡦挳扢户づ㜴搵㠱㝤慣㠰敡㠶㠰ㄸ昹㈷扢㤱戵㔰㘰搴㠱㜸扣晢㐳㠰挲敥㝡㐴ㅤ扡散㕣戰㔳扢散㠹攰愴㜷搹敥㤶ㄶ愳〱㠹昲㌱㉡昹㉣㤵敡〹扥㐰㌲て晣㈴㈴扤挰ㄵ㐸捥戵㐳戲〰㈲搹㈱㌹摢ㄱ㤲摥搰㠴㙣㔸〸〷〵㈴〷㕡攵戹㑦㐲摣ㅣ㤷昰㠹㥣ち㝣㉥㉡㔶攱挷㐷㘳㘲晥㐰㐹㈸ㄲ慥㡣挶㝣扥㔸挰㔷ㄱ㠸㔶㝡て搲㜵㍣ㄹ㜹扣㝤㜴㙣㌱㘳㝤㜵㡣㘹慡㍦㘲〲收㤹㜶㌰㑦㐳㤲㜱㍡㠸挷㝢〸〴昰㜳戹捦㐰搴〱捣㌳挱㑥〵㜳〹㌸改㘰ㄶ㕡㕡㡣愵㐸㤴㉦㘹挹㌷戵㤴て㝣〱㜳㌹昸っ挸㕦〰㕣〱㜳愱つ捣收昳㝦扥㈳㙥㐱㘴㠲ㄲ㤷戱〲ㄴ戸㠵㄰攷攱㉤搲㠱㘲ㅤ〸㕢〱㌵㄰〱戱㍥㘱户㝥㈵敢㜸㍥㠸挷㝢㈸〴㈸㥣㝥扥ㅣ愶昹ㄷ㔱㜶㌸㈵㠶㠱攴ㅤづ㝥晡挸㙢㝢㈲挲收㐶挶ㅢ㔱慦捤挷㑣挶昰㑥昱挹昳愲㌵昸〶攰㐴㌸㍡㈴挸晡㈳㙣㡦攷㥡敥㈶扢扣㝣㠹〹挷ㅣ挷慢㐸㍡〶愹㔷ㅦ换㌶㜹㌳昵㙦㜳㐷昱攴捤㐱㡢戵慥ㄴ㜶愹捣㙢㥣挷戸㠴㉤㡣㥢散㔲戴㤹昴挱㑢挱搰㠷ㅡ散挴捤ㅢ〲㙥敢㍤㌹愸戵㌳收㈲搶昷㐶昹〰㐹扦ㅡ㌸戵戴攲㜹㥤换㔰ㄷ㔵收㔴〷㌵㕣㜳慦愰っ㡡㐰ㅣ㙦㑢〵㤵㜳㈶㘶㍢㘷摣㙢㈰㤲㝤〰慡㜴㍣㤱㐶㐱ㄳ㤱㌰搶㠲攲㐴ㅡ㑤晤㌸扣㘳㜴㘰慣づ㡣戳〲〵攳ㄱ攰攵㤸扢㘰扦敢攱㥤〰捤㉣挵扤づ戵㜱ㄸ㝦慥〲㍢㜵晣㔹て㑥晡昸㌳搱搲㘲㕣㡤㐴昹ち㥢㝣㡦㑤㑤〶㕦摡晥㕡昰ㄹ㤰扦愹攰ち㤶㐷摢戰㙣ㅥ㝦㡥㜴㠴㙤ㅡ㌲㐱㠹换戸ㄱㄴ戰㑤㐷㥣㠷㜷㠶づㅣ愱〳㐷㕡〱㜵っ〲㌲晥捣㠰捡攴晣攳㘶搶昱ㄶ㄰㡦昷㔸〸㔰㌸㝤晣㌹㑥昳敦愰散ㄴ㑡㑣〶㔱攵攰㡢㍤㜷㠱㥦戴㈷ち慥搸㌳捥搱㥥㌱㡥昶㔴㈰ㄳ㤴戸㡣㝢㐱㘱㑦㈵攲㍣扣㔵㍡㄰搳㠱戸ㄵ㔰搵〸㠸㍤愳散昶摣挷㍡摥て攲昱㥥〰〱ち愷摢㌳㐷昳ㅦ愲散㔱㤴攰慢〱㔴㉤昸㘲捦㈳攰㌳挰捣慡ㅥ㔴散㌹摣㙥て攷ㅦ㌲㍦㍣捣搱㥥戹挸㐴〹攳㜱㔰搸㜳愲愵摡晤〴攲收㜵㌵ㄴ㡢㔶挵㠲搱㔸㍣㔰ㄵぢ挵㘲愱㡡㜸㉣ㅥ昱㠷昰㘱摣戸㉦攸慢㉣昲㌶㔸㜹㡣㈷㤱挷摢愸㘳㑦㌱㤶搰㌱愶愹〵㠸〹ㄲ挵㜶㈴㥥㐱㤲昱㉣㠸挷扢㄰〲昸攱挵〸攴㜱㑡㘲㜰ㄶ攲㕤愴昹㝦㈷㙢㈶㈵捡㐱搴挹攰ぢㄲ㉦㠱㥦㐴攲ㄴ㜰〵㠹晥㡥㐸ㅣ散㠸挴愹挸〴㈵㉥攳㥦愰㐰攲㌴挴㜹㜸㑦搷㠱㌳㜴攰㑣㉢愰捥㐲㐰散改㘳户攷㌵搶昱㜵㄰㡦㜷ㄹ〴㈸㥣㙥捦㜲捤㝦㡢戲戳㈸㠱㍢㍡㌸㕦㠰㉦昶扣ぢ㍥〳昲户〲㕣戱愷㥢摤㥥攴捣㝦㕦㐷㝢捥㐳㈶㈸挱㝢收㐱㘱捦㑡挴㜹㜸捦搷㠱㔵㍡㜰㠱ㄵ㔰ㄷ㈳㈰昶㜴戵摢戳㥤㜵摣〱攲昱晥〹〲ㄴ㑥敦愹慢㌵晦㍦㤴慤愳㐴㉤㠸扡ㄴ㝣戱攷ㄳ昰ㄹ㘰㘶㜵㌹愸搸攳戵摢㤳散愹ㅤㅤ敤戹〲㤹愰挴㘵㝣〱ち㝢晥㡣㌸戵戹扦㐴摣散愹㔱㝦挰㔷㔴㔴ㄹ㉣㠹〴愲愱㔸〰㥦扢慡昴㠷㡢㐳挱攲㔸㉣㕥ㅣ㡢挶摣㕦㌵㡢㠶㝤昱㔰㥣㥦㔵㡣ㄷ㠵㐲㤵昱㘸㈴㔸㔹ㄵ〹ㄷ〷㝣㝥挴㐳㔵敥慦㤳愲ㄵ挵昸搴㈰㘶㤶㔵㔵㔱㕦愸捡ㅦ㡥㔶㠴攳挱〸扥㙢ㄵ慤㡡㐷晤戱㠸㜷㡤㔵ㄳ攳ㅢ攴㌱扥㈵昹づ挴㝢愵收㝦㑦搶て㈴㍦㤲扦㔶昳㈹㘵捡㌳愷㕡て扥愰敦戲愳慦攰㠰㘲攴㠰㜸扣㔷敢㡣㘹㘷挷〶捤㜷㔳㤶敦愶㤳㡦晤愹㙢挱ㄷ昴昹㈵㙥改㐹㐴晦㝡㜰〵晤慦扦户摤㜷㉤㐰つ㘴㥣昸ㄲ摣捣晢慥ㅢ㤰㠹ㄲ㐶〷愸〲晡㌷㕡慡摤ㅤㄱ户搶〵㉡〲㔵愱㐸戴挸敦て㔷㠴〸ㅡ㐶ち㐰㠴㡦㔶攲ㅢ慥戱㠸摦㝢㤳慥㑥〱昲㜸㙦搶㌱㉦㘳户攸ㄸ搳搴敤㠸〹ㄲㅦ愳㌲挹㉢㐰㘷㈴ㄹ㕤㐰㍣摥㍢㈰㠰㥦换攰晣摢攰㙣摢攰〴摢㝢愷收敦㐵搹挵㤴㌸ㄹ㐴摤〵扥㈰戱て搵㤳挳扦㝢挰ㄵ㈴㍥戰㈳㤱㍣慦摥㜳㐴㘲ㄳ㌲〹ㄲ晢㐳ㄵ㤰戸ㄷ㜱ㅥ摥捤㍡㜰㥦づ摣㙦〵搴㠳〸㠸㍤敦搸敤改挱㍡昶〴昱㜸ㅦ㠲〰㠵搳捦慢㠷㌵晦㐰捡㉥愱挴㤹㈰敡ㄱ昰挵㥥扥攰㈷敤㜹っ㕣戱攷ㅦ㡥昶扣散㘸て㌷㐹挵㥥㐳愰ち昶㍣㡥㌸て敦ㄳ㍡昰愴づ㍣㘵〵搴㌳〸㠸㍤㉦摡敤ㄹ挰㍡晡㐰㍣摥㘷㈱㐰攱㜴㝢晥愶昹㈱捡㥥㑢㠹㜳㔸搶㜳ㄴ㘶攰㜹ㅤ昸扢づ扣愰〳㉦㈲挰晢〳㜷ㄸ㜹扤㔸㑡㐹㜹㡡挴㕤〲㙥㠷㜲昳㠱㑦㔹㜶㘹㤴㐵〹昷㐰昲㘵㈹愶㘱㐸㔵㔵〳摥㤹摣㕣㈹昷㈰㈴戶㉢㌷㕦昱挴㠹扡昷㈵慢㤰㝣扡〹慦㘲㘹愵㄰㤹㜲搰㌱扦挷㘷㐵㡥攳㘷㠹搷慥㌸愸挷㔴㉣㝡て㠶㕥昹㈸㘰㝥扥㌴攰㉢㈸㔹㥡㜴㈸ㄲ㤲㑤晡㑦㜰愵㐹ㅦ戴㌵愹㝢ㄸ㐴戲㑦㘰ㅦ㜰㙣攷㔷愱㐹摡㜹〴㌲愳㥤㕦㐳㥣㠷昷㜵ㅤ㜸㐳〷摥戴〲敡㙤〴愴㥤敦戳户昳㈸搶㝣㌴㠸挷晢づ〴㈸散ㅥ㠳愸挳㍣㜴㉣搸愹昳搰㜱攰愴捦㐳摦戵戴ㄸ攳㤱㈸㥦㈶㤴㡦ㄴ慡昷挱ㄷ㐸㈶㠱捦〰㡢㔲㑤愰〲挹敤㌶㐸㡣攴搵攳㔶㐷敢户㈱㤳㔸㍦つ慡㘰晤㜶㑢戵㝢㍡攲收昸ㄵ㠸〵挳㔱㝣㈹搸㕦ㄲ挵搷㘵昱つ敡㜸㐵㘵㍣㔴㔲㔹ㅣ愹挰㈲㐲㐹搰扢挳捡㘳捣㐰ㅥ敦㑥ㅤ㍢㠲戱て㜵㡣㘹敡㈳挴〴户敢敤戸ㅤ㡤㈴攳ㄸ㄰㡦昷㘳〸攰㤷㌱㉦昸㐴昳换㈹扢㤶ㄲ㔷搲收捦挰攷㕤戴㐷慤㠵㐶摥攵㌱户挷愸愴㌶摣慤㝤㡥愸㈰㔵〵㠶㍥搴ㄷ㡥摣㉦挱ㅤ㠲㍦㈳〶㔹昵戵愳捣户㥡㍢㡢㌲㔰㠸㌸㔶㈰㐱〵昹换㙣挸扢慢㈱㤲扤㌳㕥攲搸ㅣ㍦㐰㤳㌴挷ㅣ㘴㐶㜳晣㐸晤㌸扣㍦改挰捦㍡㈰㤶㈲愹㠰ㄹ晥㌷㜷㔳ち㥡㔹㕣昳挰㘰慥㘷收㘸㝥㍤㙡㘹㕣㐳㠹つ㈰㉡ㄷ㝣㐱扢挱㡥㡥ㅢ㕣㐱㘷愵つㅤ㈳㜹㕤㕤攱〸㐴㕢㘴挲捦㘵捣㌷㠱挸户㔴扢ㄷ㈰㙥昶㑢㝣㉦㌰㠲挹㡣て㥦㍢㡦㠵㉡〳㈵ㄵ晣昸㝡㈴㄰㠹ㄴ挷㘳㠱㐸愰挴㙢㔸㜹㡣㠵挸攳攵㙥愵㔴㙥ㄱ㘳敤㜴㡣㘹㡡㕢㤲搲㉦捦㐲㘵㤲搷搵挵㐸㌲㑥〱昱㜸ぢ㈰㈰㐸愴㕤㔷扤㐹㍥㘵㙦㘶㠵㙦㈲ㄲ扢㘹昵㑢愹㥥ㅣ晥㜱㥦㔱㤰㌸搹ㄱ㠹㐵㡥㐸㜰户ㄱ㍦扣㔶ㅢ慡搰㈵昶戰㔴扢捦㐱摣㐴㈲ㄴ昷昹挲扥ち㝣攳户〲㜳㌶摣㤳㐴〲愱㌰扥㐸ㅦ〸㔴ㄵ攱㠳昰㐵摥㍤慤㍣挶戹挸攳攵搶愳㈰戱㠲戱扤㜵㡣㘹㡡晢㡢㠲㐴愳ㅤ㠹昳㤱㘴慣〲昱㜸戹挵攸㠴㐴㌷捤扦㤸戲ㅢ㔹㘱扥戹换扢㍦昸㍣扣摤㜵愰㠷づ昴搴〱敥㈹昲ち㘶昰ち㘶昰㠲㈵晤捣攰㈵捡搶昷㜸㔱昲昶戲㘴攵㐲挴㔷㘳戹搷㠲晤晢㕦㠸㡡㡤㜵㉣㥤㙦摢㌲㉦㐴摥摥扡扡〷敡挰㐱㍡搰㐷〷晡㈲搰㕡㑢戸挳㐹㔹戱攴㐱㕡㜲攳晦挴㤲㈲攳㈶㕡昲㔰搲ㄲ搵ㅦ㈵㑢〷戸〵〹っ戰㐱ㄵ户㐰愵㜷㑥㜵散㥤㤳ㅤ㝢攷〰㘴挲て慦〴㠷㉡昴㑥㥦愵摡㝤㈷攲㘶敦昴㔵㐵昱愵改㡡慡㐸㌴攴ぢ㐵㡢愳ㄵ挵戱㜰㘵愴戸ち㥦㜵てㄷ昹〳㘱慦散㤱㔲挷㐶攴昱〶㉣つ挶㕤㡣挹昶愸㑥㔳挵㐸㤳摥㌹搶摥㍢㌷㐱搰戸ㄷ挴攳つ㐳挰愹㜷㜲㐳㔴昸て㔰昶㜱㉡摣ち攲㡤㠰㡦ㅦ搰〱扦㐳㥢㍣敥敥ㅤ捡ㄷ挴㌴攲攵㍢㌱散㈷搶捤㉡戴慤挸摡㌶愹晡攱㌹慣㤴㉦㘴づ挷ㄷ㉦改㐷攲㙡㠳㜷㡡㤸㙦攲挸捤ㄹ昸摢㜴㜱捡挵㍤㕤晥攵つ㠱慤晦㠵ㅥ戶㙦昳㠲㈶㌵敥㡦㍦攳㉦㌰㌸慦ㄴ收㍡㍥攷㘵㙥摢㑤挵换㔴㘲戰㍦㕣㘸晦㌴㈳㔷敤㜶慦ㅤ摤㠸敤㍢㝣昰㘳㕡晤㄰㜹搲㡢扢挳㥤昴戶㕥㍦晤攱挶摥捤ㅣ晤ㄸ愵捥㌶戱㈱㤹てㅦ㐲挴㘶㉣ㄲ晡昱㌳㡦扢㌷挷㙣㙦㌲搹愷㤹㡢愷㘷昱攸㔸慣㑡㙢㙣挴ぢ㍤㜲㜳摡㘴㝣㌹㐳ㅡ㙥㔸㝤㉤扥㠳㔴挸㔷㤷㔰ㅢ㍥㑡㍡扡㡡〰散攳昰ㅥ㤷愱搵〹㜹てㄲㅤ戰㤴㜱㌸挰㜱㍦ち㤸摣㠳㝡つ敢ㄵ昲攷つ㐲㐳愴㍦搳㤴戵㡣㔴搸㔹㈲晢㥦挷搸ち㠵㙡㌰㔴㔳ㅢ㔹〵摣㍥〵㌳㝤㌵㔴扦扢捥㌵ㄸ㘹㌸昲〷换㝦㉥敦攰㠲㘱㍡挷㜱慡挷㐵㐳昲摥㌹㉤晤㈵㤶敤昶㜹㘰攵捡㑥㌷㤷㥥㕣扥昸昳て㝦扣戰㔴㡤㐲㡥摥挸㥦晥㌹扢ㄲ㔴攲㜵㝣㤳㈳攳㝢㝥㘱㉢㈱晤㝢㝥摥戱搰㠴ㅦ摥㙥㡦㍡㜷㘸愳㈶㈲挲戳㐶ㄵ㈱〷扢慡昴慥㘷㤱㔸挰㥤搱ㄶつ㍢戹换㙤㈳摦㍤改㥡㔲㜱ㅡ摢晥㐹㘹挱ㄴ㥤㈳㥢㘱摦㍤㜸㕢攰戲㘵㔳㑡㥦昵㥤昸捣愳扤ㅥ㉥㔵㌳㤰挳挹㌰㥦㔵晦っ挳〶㔸〹改摦改昳ㅥ〵㑤昸挱晢搳㌴㡣ㅢ愹㘲搸㈱㜶挳㕥愶㘱攵㐸㙡搱戰㜵㠷昵㝦昹㡡㙤愷㤴㍥昲昴晡攱㥢扥㠰㘱㌳㜵㡥㙣㠶ㅤ慥㠶㥤晦攷ぢ㝡㤴㉥敢㌲㙢㘰㝤搹㍢愵慡ち㌹㥣っ敢㤳捤戰㠳慣㠴昴敦敦㜹㘷㐱ㄳ㝥㔸㝡㌳つ㥢㠳㠸ㄸ搶摢㙥搸㥢㌴㡣摢愲㉤ㅡ㘶戶搸搲搲㝥换昷㜸敤戹㙦㘰ㄸ昷㔰㈵㐷㌶挳㍥晣挷㤵㕦㜵戹㉡㔱㝡攸敥搳捥改戵收捥㔲搵㠰ㅣ扤ㅤ扡㘲昷㙣㠶敤㙦㈵愴㝦㔷捦换㉤㔵晣㕣挶㝢愸〱扡攲㈲㐴挴戰晤散㠶㝤㠰㐴挵摤㑢づ㜶捡㌸〹搴扤つ㍣㥣搵挳㝢〵㝤㜹㝢㐳搸昱㤵㠳搶挸㠱て㘸敡愱㘷㜸摤㍣㍥っ㘸ㅢ㑥搹搹㜹㜸㡣ㅤ㉣㠶㕢愶搴㐷㔶挱㘹㠸㠰㤹晤扣ㅥ昵敥㐹㌸〱ㅥ㈹㥤昵捡昶ㄳ晡㝤つ㌰㑦搷㌹戲㠱㌹攳㤳慡㥦昶ち捤㉣㕤昰挱㉦捦㝤昰搴㍦㑢搵㔲攴攸㡤㌲搲捦敢㉥ㄶ㘶ㄹ摤扦戳㤵㤰晥㙤㍥敦㜲㘸挲てㅦ㍦㐰㥤〱收ち㐴〴捣㑥挸㤱㍣慦㍦㐵㘲〱㜷㍣㕢㌴㉣㜲昷㔳昳ㅦ㕡㜷㔳昳㜹捤敤㔱挹㤱捤戰㌱㥢㕦㍣㈵愷晢昸搲搵㝦昲㉣㌹攳愵攷㑢搵㐵挸搱摢挱戰昶搹っ㙢㘷㈵愴㝦㜳㑦㕤〲㑤㙣㌴攳㙢搴㠰〳㉥晦扣㤷㠲换㐳挹搶ㄹ〲㠶收昰ㄲ敥扤〲挹㤴㌰扥㐵㈶愰戱ㄶㄱ㐱愳慤ㅤ㡤敦㤱愸戸㐷搴㕣搳㌸㡡㌲摦㝡㥡㤳慤愶捡㑡㐸晦ㅥ㤱㤷扢㑡㔲㈸扢っち扤㔱ㄷ晡换㜷戶㈶挸㐱㘲挱捤㐸㐲攱搹晢㔶摦㘳㔷㍤晡㔵㥦㉤捤㝤敢ㄶ㥤㈳㕢ㄳ㝣㜸扤㝢摢愸㠵愷㤴㥥搲攵扣㤹ぢ㍦㐷摦扡〳㌹㥡つ晢ㄷ搱㜸ぢ㐴㝤㡦摡扣敥㜴捤昸捥㑡㐸晦捥㤰㤷摢㑢昸攱㜳ㄱ愶㘱昷㈲㈲㘸㝥㘳㌷捣㐳挳敥㐳㔲㡢㠶㤹㈳捦㠶搲ㄹㅤて搹㜸攵㈷㌸㘹敥搷㌹戲ㄹ戶攵敡搱㥤㕦晦愰戴昴摡昳㌷ㅥ摡晢敡户㑢搵㐳挸攱㘴搸攷搹っ晢捣㑡㐸晦㝥㤰昷ㄱ㘸挲てづ慢愶㘱摣㉣ㄲ挳㍥戱ㅢ戶ㅢㄲ搵㤳㐸㌲㐷㈰敥㈰戹扢㠰㠷ㄱ㘸㙣慦㘰㐴晤ㅢ挲㝡搴昰ㄸ㝢㔰晡㈹挸㘸㔶挱㌳㠸戴㠸挹㝦㈶㙦敥㜶搶扦搷㌷㕦㙥㥥搵㌹戲㘱㜲攲昸扤〷㕣㜳昷搲搲㉦㍢敥昹搹收㜶ㅢ㑢ㄵ昷㡦㥣㌰搹㤶つ㤳㈶㉢㈱晤㙢㐲㕥敥㌸攱攷㌲昶㌵㌱昹㈷㈲㠲挹晢㜶㑣扡㈱戱攰㌵㈴晤㍡挳㕥搷㌹戲ㄹ戶㙦晥改㉦㍦昰攱〹愵㙤㡦㝦㜹昲愶㈱㌷㤴慡户㤰挳挹戰户戲ㄹ昶㉦㉢㈱晤㉢㐱摥㜷愱〹㍦㜸扦㥡㠶㜱晦㐸っ㝢挳㙥搸㠱㌴㙣㍢㤲㕡㌴散挷ㅢ㍦㝢㜱㝣挵〵愵㑢晥挲ㄹ〲㝡昱づ㥤㈳㥢㘱㔳慦敡戳愴攳㘷攱搲㍤敥扥户㙡昴搳㜷㤴慡晦㈰㠷㤳㘱晦挸㘶搸㉢㔶㐲晡搷㝦扣㥦㐰ㄳ㝥㉥愳扦㘹ㄸ㌷㤲挴戰㤷散㠶ㄵ㈲㔱㝤㠳㈴戳ㄷ㜳㜷挹敤〳て扤㜸㝣慦㘰㤱㝡ㅥ挲扡换㝡㡣〰愵戹攵㘳㑡㜳㠳挹ㅤ㑡㑡㠷搵㌳㤰收っ㤸愳慤挷㈸愶昴㜷㐹改慦㈹㕤㘲㑡㑦攸ㄵっ慢㈷㉤㘹㜳ち㍤㤰搲摦㐳㐶㑦愱ㄵ昷㤰戴㌶挵扤㈴㕤㤱〲㠵㘶㘸戱㈵㔰㍥づ摢攴㍡㐷攷挸搶ㄲ㘶づ敦攰愳〶㌴㍤晣攲㠶㉦㑡ㄵ㜷㤷㝡㠳㥢㝥ㄱ㝥ㄴ戵㜶ㅣ㈸ㅦ戱ㄲ搲扦㐰攴㌵愰〹戵㜷ㄹ㠳㘱㈲慥〰摣㔴㤲㤶㜸ㄸ㌹㤲ㄷ攱愱戴扦〰㐹㈶戶摣㘹㜲て㌳搱ㅡ摥㉢㔰愴ㅥ㠰戰〶〰㕦戶愵戴ㄷ㌲㥡㔵挰晤㈲晣戲㕦㍣㌲㝡㈷㌷㤷㈴㐷㌶㑣㉥㑤敦㥤㝢㐱扣户〳㈶㥢戲㘱㜲㡦㤵戰㝣搶捣攵㝢㙤扤扥散㥣㌷摥扢愸㜱㜳㘲㤹㤷㍢㔳㠲挹㌸ㄳㄳ㙥㉦〹㈶㜷搹㌱㤹㠰挴㠲ㅥ㐸挲㉦扢㘱㔳㌸㑥㑥摥摣㝣昱攸愹㜳㘴㌳散㤸㍢ㅥㅦ搷昴㜶敦㔲攳戱攳敦晡散攳㥢㑢ㄵ㌷㥣㝡㍢ㄸ㜶㕢㌶挳㙥戵ㄲ搲㍦㌶攴敤ぢ㑤㘲搸㌴搳㌰敥㌳㠹㘱㌷摢つ㥢㐱挳〶㈰〹扦散㠶㌵捥扥昰愳挵愵昷㌴㕦敥㝤㍡㐷㌶挳㕥扤㜸㕡晢㈳㐷〵㑡㍦㍥㝣晤挲㉦㡥㝦慤㔴㜱攷愹户㠳㘱搷㘵㌳散㕡㉢㈱晤㈳㐲㙡㜰㡡愶挳㜰㡡㥢ㄳ㠷昵搹㌴㕤㘵㈵愴㝦㈵挴㍢ㄴ㥡〴愲愸〹ㄱ户㘸〴愲戵挸㤱㍣ㅦ㉡〹ㄱ㌷㕦昰换づ搱昷愷㥥戰㈵㜱昱㤱捤㄰㡤搶㌹戲㐱㜴捦摡㕥㙦㉥㍤昶挸搲㍢扢㥣扡㜹昸愳㙦㤴㉡㙥挳昴㜶㠰攸昲㙣㠶㕤㘶㈵愴㝦晤挳㍢〹㥡挴戰㙡搳㌰敥扥㠸㘱㤷搸つ㥢㠳㐴挵㡤ㄳ昳㐴攷㤶㡣扢ㄶ㍣㜳挸㡤愸㡢㈰慣捦㙡㝣㉡㡥搲摣㜴搱慣〲㙥慣攰㤷ㅤ㤳㡣㠹〳㜷㘱㈴㐷㌶㑣㜶㉥㉡㝦摣㜸攱昸搲挵扤㑥㌹㝣㔲晤㡤愵㡡ㅢ㌲扤ㅤ㌰㔹㤹つ㤳昳慣㠴㡣㙦㠱㜰捦㐶㈶敡昳㘰㐸㜲愲慥㌷㙥㤴散捡戰㈰捤㈱㝥㕥敥挳〸㤰ぢ㤰〹㈳㈶昷㑤〴挸戳敤㐰㉥㈲㌴昵㐸敡㥤慣㘹昳㐴㝤㐹戶㥡㥥㘹㈵愴㝦㤸挳换敤つ㈹昴㌴戳㔰敥㔱㐸愱愷摢ぢ㍤㠳㠵㜲㝢挱㙣㍤㙥㕣戸㤷㠰㘷摥㜸㐶搴㘲〸敢愶昲ㄸ㘷㔱㥡㕢ㄳ㥡㔵挰敤〷晣戲户㕥挶㘸挶扤ち挹㤱慤昵捥扥㍤㙤㌴㍢〳攲扤㤳㤸㌴捦昱ㄷ㘴挳㘴扥㤵㤰晥㤹づ敦㔲㘸ㄲ㑣㔶㤸㤸㜰户㐲㌰㐹搸㌱㔹㐹㉢戹搱㘰㘲㜲づ㐲敥㔵ㅡㄳ㕣扡收愶㘰㜲㈱愵戹㐹㤱挴㠴ㅢㄱ昸㘵挷㈴攳搲戵㑡攷挸㠶㐹挶愵㡢ㅢㄸ扤ㅤ㌰㤹㤳つ㤳ㄳ慣㠴㡣㉦㜷㜰〷愱㔹㔳昳㐰ㄸ捦愶㈹㘶㈵㘴㝣㄰㠳㉢昸㑥㥡愲搹㌴捤戴ㄲ搲扦㌳攱攵㤲扦戴搳㝡戳㥤敥㐰㕣摡改㜸攴㐸づ愹ㅢ㠸㍣㤷攳捤㜶攲㘲扥晢㕡摤㑥㤸散ㅤつ㘱摤㈸ㅥ攳㝡㑡㜳戹㕥戳ち戸㈴㡦㕦昶㜶捡戸㍦攵晡扤攴挸搶㑥愳㙦㌰敦㑦㑦搲昷愷㕣捡敦敤搰㑥搳戳㘱㌲捤㑡挸昸敡〴ㄷ晦ㅤ㤷㠰攴ㄵ㥥㠵昲愲㑤㍥㕣ㄴ㙢ㄴ㐶〱ち捤㡢㜳挱扢㕤摣㘴㜳扤㕥摥收㔸㈳捦ㄲ戵挷㑢攲ㅢ收挴ㅡ挶攱㕢〸㜸㌵晣搴敡㕡敢㌱ㄸ㝣㈳㠱㙦戹搲慦㈱㌷㈴挶捣敥昸挴〶扣㤷扣㙤㝣㜴㈳扣㌷慡昲㙢㈷㐵ㄳ㠹㔸㐳摤ㅦ挱愱ㅢ㑦㜷昱㥤ㄱ㌸捣㜷挷㍢㍥㔸昵㌴㤲ㅤ搷挶㑤〸㥢昱搰敦慣换攱扢攵㝦㥢㍢户晢㔶昴㌷晤攰㕦㤵敤㙢〹戹㙡ち㥡搸㜴搲㍡摤㈵慢㜰㜸挶ㄸ摦慣㘵捦扤〳愴つㄶ昳攴ㅡ〳攲㌱敥〴㐷ㅥ㘹㌶㥦愹捥晢ぢ扡㐱扡㜱㝣搴㡤て摤扢昲ㄶ㔴㔷㈵㘶扢㘷挷慡㘷捤㑥挰㌹愶ㅤ㉤搶㐷敥㔶㘴㙤㘹㐷㠱㤷戳戶戵攵搱㠶㠶攸愲晣摡昲㥡㔸摤慣挴散晣昲昹搸㐰挱㐶ㄳ㜶〱昱ㄹ㙦攳㉥搴㠷㐵昱㑦㜱㜹㥤晤搲㝤㌷戸捥挶㡥㜵㌴㜶ㄳ攴摤昷㠲愴ㅡ扢ㄹㅣ㥢戱㡡㉢昴㌴㔸ㅦ㡡换摥㔲攰晤㔹ぢㅣ敥㔸攰ㄶ㙡㈶扡捤挸㍥㤴㔶ㄸ㔷捤㔳ち攳㔲戴ㄴ昶㤷慣㠵㤵㍡ㄶ昶㈸攴摤㡦㠱愴㕡户㌵慤㐰慥㘶愷ㄴ挸㈵㘲㈹昰㠹慣〵㐶ㅣぢ㝣㡡〵晥㌵愳挰愷搳ち晣㈰扤㐰慥〷戳㔷ㄸ捦㐲㌲搹慡㕣㕣㤵㙡晣つ㕣攷㔶つ㌸㔶攳㜹㤶挷㔶㙤〶昹〵戲昸㍡〶戳晢慡㑦搳慡攰攵㠲愷っ昵㉦㔱昲㘵㤲㔷㐰㍣㡡㡢㥡㔲㡢㝦㈰㕡㠰㉤户㔸㈵摥挷搸㝤㍥㜷攱ㅡ㜳㔴㕦㕤㠳㝦〷昶㙥㍥㠹㕥㘵㝥捥㥡ㄴ慤㤱ㄳ攸㜵戲㙣㌵攰㝡㈸㔱㥦㜶昹晤㠳㝦ちㅥ㠷昷㍤㐳㐰ち㝡ㄳ〱㘷㜳て搰㠵戹散㘷散㕢搴㥣摡愷摥㐹㉢㡣敢愰㈹㑤捣挵㐵㈹散㍤〴㥣ぢ摢捦戱戰て愸㌹戵戰㙤㘴搹㉣攳摡㘴㑡㘱㕥㌰愴戰ㅤ〸㌸ㄷ戶愷㘳㘱ㅦ㐲摥晤㙦㤰搴づ晣ㅦ㜰散〵㜲捤㌰愵挰㍤挰㤰晥昴㌱〲挹晥挴㌵㌶愹挶㈷〸㌸㔷挳敢㔸㡤捦㈰㙦戰ㅡ捤晤改ぢ戲㙣㌶㜳㠹㉥愵ち㕣昷㤲挲扥㐲挰戹㌰㡦㘳㘱摦㐰摥晤㉤㐸慡捤摦㠱㘳㉦㤰㑢㘷㈹〵㜲㍤㑡ち晣〱〱攷〲㜳ㅤぢ晣㠹㥡㔳慤晢㠵㉣㥢㜵㕣捥㑡㈹㡣㉢㔶〲戰挲㜰㥣〴戸㔸㜳㜳散㕣慥㐰㠹㙣ㅢ㍢㜷㌰戸㔲摤㕣㜰㥤慢晢挳户㑥搷㈷㌷攴つ㡥㌱捤㡤㤱㑦㤶慤扡㕣昳㐹愹㉥㤷㜵愴ちㅥ㝢ㄵ戸㐶㈲㔵㘸㤷戵ち㕦㍡㔶愱〳换㑢㍤〷ち搲慡挰㈵㤶㤴㉡㜰摤㐲ち敢㤴戵戰㡦ㅤぢ敢㥣㔹搸敥㘹㠵捤㐸㉦㡣㉢〰㔲搸㥥㔹ぢ摢攱㔸搸摥㤹㠵敤㤳㔶ㄸㄷ㄰㔲㉣攳㕤戹ㄴ戶㕦搶挲摥㜳㉣㙣㝦㙡㑥敤㜸㍤搲ち㥢㤳㕥㔸㍤ㄸ搲㤲〷㐰㔲㜷㍣㉦㙦㠲㘵昰敥挵晣扤㐹づ〴挱ぢ㌹慤扡ㄹㅣ扣㜳搴慢扡ㅥ㈹㠳㜵㕦捡愷づ搶晤挸戲昵㈸摥ㄳ搳攸攴㘰捤㥢㔹㌱晡㄰㐸㍡㜷摦ㄷ㜵㘱㈹㠳昵〰㙡㑥敤扥晥戴挲㜸㉦㥣㠲㌰㙦㜷挵攸㈰㈴戵搱㙡㠵慥㐲㈸㙢ㄵ㥥㜱慣㐲㜱㘶ㄵ㑡搲慡挰㕢捦㤴㉡昰敥㔲慡㌰搰㕥〵摥ㄶ〹ち㠷㘶慤挲㔶挷㉡っ捡慣㐲㘹㕡ㄵ㜸㔷㤵㔲〵摥㌸㐹ㄵ㠶搸慡㤰挷改㙡慢攷搲㕣㌱昹㡤㑦つづ㐵愱㡡㤳㘰㔹㜵㈹㘳捣ㅡ㠲ち㌸ㄵ㘵㈴㥦ㄳ㔷戵〹㌱㔶捡ㄸ㐶ㄹ捥㈴㈵挷㜰㕢づ挵㔹愰挸㡣㈰㤷ㄳ㐰㤱ㄹ㘹㤷攱攴㑤㘴㐶㤱换㌹㥢挸㡣戶换㜰扥㈵㌲㘳挸攵㌴㑢㘴挶摡㘴ち㌸愵㈲搷慣摤昳㍡挷㌸捡㜰㔶㈴㌹挶摢㜲㈸捥㠰攴㉥㜷㈳摡㡥㜷戹㠷㌱㝢㡥㕢㜱㔶㈴〹㜷㕡〹㠳㈴㐱㈹捥㤴㈴攱づ㉢愱ㄴ〹挶㘴㉡攵㑣㐸慡㌸㠵㌱㑥㠲愴挰愹昶〲㌹㠱ㄱ㤹㘹攴扥愳㘵愶摢㘵㌸敦㄰㤹ㄹ攴㜲捡㈱㝡㡥戰换㜰扡㈰㌲㐷㤲换㔹㠲挸ㅣ㘵㤳㈹攰㡣㠰㕣ㄳづ㕥搹㈵挷搱㤴攱㐵㕤㜲ㅣ㘳换愱㜸㐱ㄶ㤹㘳挹攵㜵㔸㘴㡥戳换昰ㅡ㉡㌲挷㤳换换愷挸㤴摢㘴ち㜸愹㑣㤶㕣挰㑢㘴㜳㡣㤷挶㘴㑣昱ㄲ㈷摡㘶㤲捤慢㥢㘸㡢㕡〱㐶ち㜸㈵㙢捥挱㉢㤲攴愸㈰㥢ㄷ㈳挹㔱㘹〵ㄸ㔱扣㤰㠸㑣ㄵ戹扣㠶㠸㑣捣㉥挳昱㕦㘴攲攴㜲攸ㄷ㤹㔹㜶ㄹづ摢㈲㌳㥢㕣㡥搸㈲㔳㙤㤳㈹攰攸㑣慥㠹㌲㐷㘵改ㅥ㤷愴㜵㈸㡥搴㤲戰㍡慤㐳㜱昴㤶㠴㍦搹㍢㔴㉤戵㜲戴㤶攲㜹㈷愸㌸㔰㑢昱昵〸㈴㠷㐶づ戲㈲㌳㤷挹ㅣ㕦㐵收㐴㉢挰㐸〱挷搲收㉡㜲㑣㤴ㅣつ㘴㜳㌸㤴ㅣ㡤㔶㐰㜲㜰攸㙢捥挱㈱㑣㜲昰扤摢㡡愳㤷攴㤸㘷〵㈴〷㐷慡收ㅣ㌲㠴愰㘸㘳㍥搸晡昰㜲㈸㤱㙢搷〲〴戰㈸㉢挳〶愵慡㜰扤搱㠷㤷挳㠷㐸㉤㌲愵㘴攰愰㔴㡡㉥づ㈰㈲㜵戲㈹㈵㐳〷愵ㄶ㈳慥て㉦㠷㄰㤱㍡挵㤴㤲挱㠳㔲愷摡愵㌸㠸㠸搴㘹愶㤴っㄸ㤴㑡㈹㤱〳㠷㐸㥤㈱㔲〵㍣攷㡦㠰㔴捥㐲㔵㌹戳㙡收捣㙦ぢ㜲扢㜷捤㍤㜲㜰晢换摦㜹晡扤㡢㕥㍥㜶搰昶ㅦ搷慣㜹昹㠳㡢㥥晤㜱㑢挵愰㈷慦扥㝡敢㤸㜵捦扥户㕢晣慡㥣㑤摦㡥扢㙡戱㝦捥攲ㄳ攳搳てㅥ戹昸愸ㄳ㈶晢㈷㜵敡搷愶㑤摢戶〷㜵㝥㙡慦㍥摥搳㑦摣慣ㅥ㜹㙤捦㍡㈵挳〸慢愱㕤㔰㄰㜶㜹㌹㥣㐸㌵㤶㐸㌵㤴っ㈴㤴㕡㡡戸㍥扣ㅣ㔰㐴敡㉣㔳㙡〶晥㤳㐶㑢㌱㠹㐳㡡㐸㉤㌷愵㘴㌰愱慥ㄴ㄰㌹愸㠸搴㌹愶㤴っ㈰ㄹ㔲ㅣ㐸㐴㙡㠵㈹㈵㐳〸愵㔲㑡攴㔰㈲㔲㉢㑤㈹ㄹ㐴㌲㜴㜱㌰ㄱ愹㔵愶㤴っづㄹ扡㌸㐸㠸搴㠵愶㤴っ〸㤴㑡㐱愲㔲㑢㕤㙣㑡㔵攱扦㑣㈴㌸㌴㠸慥搵愶㤴っちㄹ㈵㜲㜰㄰愹㑢㑤㈹ㄹㄶ㌲㙡捦攱㐱愴㉥ㄷ愹〲㥥换晦搳㡥㈲挳〳慢㜱〵㑡攲挱搲扤ㅣ㈶愴ㅡ㝦㐶挰㔸〳搲㈱㐷挹㈸㠱搴搴ㄳ㠰愳㠵㠸慥愵㔴ㅢ㈵㈳〳愵㔲摡㡥㈳㠴㐸㕤㘵㑡挹㘸㤰愱㡢愳㠲㐸㕤㉤㔲㕥慤㐲昱愴㤷㠱敥㌸㙢愰ㅢ㡡扣㜸㤶㑢昱㍣㤷㠴㘳搳ㄲ㜸㙡㑢挲㌱愹〹㕥摤㍤ㄵ㑦㙢㤱㌸㍡㑤㐲㥦摦㡡愷戴㐸ㅣ㤵㉡愱㜸ㄶ㑢挲㤱㘹〹㍣慦㈴攱㠸搴〴慦敥㔶㡡攷㤴㐸捣㐸㤵㔰㍣㡤㈴㘱㝡㕡〲捦ㅣ㐹㤸㤶㤶挰㤳㐵ㄲ愶愶㈵昰晣㤰㠴㈹㘹〹㍣㈵㈴㘱㜲㕡〲捦〲㐹㤸㤴㤶挰㡥㉦〹ㄳ搳ㄲ搸搷㈵㘱㐲㕡〲扢户㈴㡣㑦㑢㘰㡦㤶㠴㜱愹〹㕥昶㍣戶㝡㠷㕣挵敥㈶㌲㘳㔳㘵ㄴ扢愰㈴㡣戱ㄲ扣散㍣昷㠲慢搸敦㈴㘹㔴㕡ㅥ㜶㌵㐹ㄸ㤹㤶挰摥㈵〹㈳搲ㄲ愸㑦㉥㔶て㈰愰㠴戰ㄸ晢㈵愶摤晦〷㑥㝡攷㑥</t>
  </si>
  <si>
    <t>StartOptEquations</t>
  </si>
  <si>
    <t xml:space="preserve"> XXX度量表</t>
  </si>
  <si>
    <t>修订历史记录（A-添加，M-修改，D-删除）</t>
  </si>
  <si>
    <t>版本　</t>
  </si>
  <si>
    <t>日期　</t>
  </si>
  <si>
    <r>
      <rPr>
        <sz val="10.5"/>
        <color indexed="8"/>
        <rFont val="Times New Roman"/>
        <family val="1"/>
      </rPr>
      <t>A/M/D</t>
    </r>
    <r>
      <rPr>
        <sz val="10.5"/>
        <color indexed="8"/>
        <rFont val="宋体"/>
        <family val="3"/>
        <charset val="134"/>
      </rPr>
      <t>　</t>
    </r>
  </si>
  <si>
    <t>修订者</t>
  </si>
  <si>
    <t>说明　　　</t>
  </si>
  <si>
    <r>
      <rPr>
        <sz val="10"/>
        <rFont val="宋体"/>
        <family val="3"/>
        <charset val="134"/>
      </rPr>
      <t>V</t>
    </r>
    <r>
      <rPr>
        <sz val="11"/>
        <color theme="1"/>
        <rFont val="宋体"/>
        <family val="3"/>
        <charset val="134"/>
      </rPr>
      <t>0.1</t>
    </r>
  </si>
  <si>
    <t>A</t>
  </si>
  <si>
    <t>黄文</t>
  </si>
  <si>
    <t>创新初始版本</t>
  </si>
  <si>
    <t>V1.0</t>
  </si>
  <si>
    <t>M</t>
  </si>
  <si>
    <t>付艳华</t>
  </si>
  <si>
    <t>对部分公式及度量指标忧化</t>
  </si>
  <si>
    <r>
      <rPr>
        <sz val="10"/>
        <rFont val="宋体"/>
        <family val="3"/>
        <charset val="134"/>
      </rPr>
      <t>V</t>
    </r>
    <r>
      <rPr>
        <sz val="10"/>
        <rFont val="宋体"/>
        <family val="3"/>
        <charset val="134"/>
      </rPr>
      <t>1.1</t>
    </r>
  </si>
  <si>
    <t>对部分公式及文字描述进行修改,增加阶段人员数据度量</t>
  </si>
  <si>
    <r>
      <rPr>
        <sz val="10"/>
        <rFont val="宋体"/>
        <family val="3"/>
        <charset val="134"/>
      </rPr>
      <t>V</t>
    </r>
    <r>
      <rPr>
        <sz val="11"/>
        <color theme="1"/>
        <rFont val="宋体"/>
        <family val="3"/>
        <charset val="134"/>
      </rPr>
      <t>1.5</t>
    </r>
  </si>
  <si>
    <t>增加人员变动信息统计</t>
  </si>
  <si>
    <r>
      <rPr>
        <sz val="10"/>
        <rFont val="宋体"/>
        <family val="3"/>
        <charset val="134"/>
      </rPr>
      <t>V1.</t>
    </r>
    <r>
      <rPr>
        <sz val="10"/>
        <rFont val="宋体"/>
        <family val="3"/>
        <charset val="134"/>
      </rPr>
      <t>6</t>
    </r>
  </si>
  <si>
    <t>增加新的度量指标公式</t>
  </si>
  <si>
    <t>重要声明</t>
  </si>
  <si>
    <t>版权声明</t>
  </si>
  <si>
    <r>
      <rPr>
        <sz val="10"/>
        <rFont val="宋体"/>
        <family val="3"/>
        <charset val="134"/>
      </rPr>
      <t>版权所有 © 201</t>
    </r>
    <r>
      <rPr>
        <sz val="10"/>
        <rFont val="宋体"/>
        <family val="3"/>
        <charset val="134"/>
      </rPr>
      <t>4</t>
    </r>
    <r>
      <rPr>
        <sz val="11"/>
        <color theme="1"/>
        <rFont val="宋体"/>
        <family val="3"/>
        <charset val="134"/>
      </rPr>
      <t xml:space="preserve">, 国泰安信息技术有限公司，保留所有权利。
</t>
    </r>
  </si>
  <si>
    <t>商标声明</t>
  </si>
  <si>
    <t>国泰安信息技术有限公司和国泰安信息技术有限公司的产品是国泰安信息技术有限公司专有。在提及其他公司及其产品时将使用各自公司所拥有的商标，这种使用的目的仅限于引用。</t>
  </si>
  <si>
    <r>
      <rPr>
        <b/>
        <u/>
        <sz val="12"/>
        <color indexed="8"/>
        <rFont val="宋体"/>
        <family val="3"/>
        <charset val="134"/>
      </rPr>
      <t>不作保证声明</t>
    </r>
    <r>
      <rPr>
        <b/>
        <u/>
        <sz val="12"/>
        <color indexed="8"/>
        <rFont val="Arial"/>
        <family val="2"/>
      </rPr>
      <t xml:space="preserve"> </t>
    </r>
  </si>
  <si>
    <t>国泰安信息技术有限公司不对此文档中的任何内容作任何明示或暗示的陈述或保证，而且不对特定目的的适销性及适用性或者任何间接、特殊或连带的损失承担任何责任。</t>
  </si>
  <si>
    <t>保密声明</t>
  </si>
  <si>
    <t>本文档（包括任何附件）包含的信息是保密信息。接收人了解其获得的本文档是保密的，除用于规定的目的外不得用于任何目的，也不得将本文档泄露给任何第三方。</t>
  </si>
  <si>
    <t xml:space="preserve"> </t>
  </si>
  <si>
    <t>目录</t>
  </si>
  <si>
    <t>#</t>
  </si>
  <si>
    <t>描述</t>
  </si>
  <si>
    <t>填写说明</t>
  </si>
  <si>
    <t>项目属性</t>
  </si>
  <si>
    <t>项目度量分析计划</t>
  </si>
  <si>
    <t>模型</t>
  </si>
  <si>
    <t>预测-结果</t>
  </si>
  <si>
    <t>预测-指导</t>
  </si>
  <si>
    <t>需求</t>
  </si>
  <si>
    <t>工作量分布</t>
  </si>
  <si>
    <t>规模</t>
  </si>
  <si>
    <t>进度</t>
  </si>
  <si>
    <t>过程产出缺陷度量</t>
  </si>
  <si>
    <t>测试及验收缺陷度量</t>
  </si>
  <si>
    <t>人员统计</t>
  </si>
  <si>
    <t>根因分析</t>
  </si>
  <si>
    <t>模型检验</t>
  </si>
  <si>
    <t>管理员操作</t>
  </si>
  <si>
    <t>YIPIN.ZHAO</t>
  </si>
  <si>
    <t>填写本文档注意事项：
1.各表中无底色的单元格均需填写数据；
2.各表中淡蓝底色的单元格为带有公式的或为说明文字，不需要填写内容；请不要删除修改。
3.淡绿色说明文字，不需要填写内容
4.各表中蓝色底色且字体为粗体为表格标题，不需填写。
具体见下单元格图例</t>
  </si>
  <si>
    <t>单元格图例说明</t>
  </si>
  <si>
    <t>编号</t>
  </si>
  <si>
    <t>表格样式</t>
  </si>
  <si>
    <t>说明</t>
  </si>
  <si>
    <t>需填写数据</t>
  </si>
  <si>
    <t>项目数据填写、信息输入等</t>
  </si>
  <si>
    <t>自动计算</t>
  </si>
  <si>
    <t>不可编辑，表格自动计算</t>
  </si>
  <si>
    <t>说明名字</t>
  </si>
  <si>
    <t>数据填写指引，一般不编辑</t>
  </si>
  <si>
    <t>表格标题</t>
  </si>
  <si>
    <t>表格指引，一般不编辑</t>
  </si>
  <si>
    <t>度量指标</t>
  </si>
  <si>
    <t>度量指引，一般不编辑</t>
  </si>
  <si>
    <t>项目名称</t>
  </si>
  <si>
    <t>项目选用生命周期</t>
  </si>
  <si>
    <t>项目定义过程</t>
  </si>
  <si>
    <t>应用领域</t>
  </si>
  <si>
    <t>项目类型</t>
  </si>
  <si>
    <t>客户</t>
  </si>
  <si>
    <t>技术</t>
  </si>
  <si>
    <t>软件类型</t>
  </si>
  <si>
    <t>采用的语言</t>
  </si>
  <si>
    <t>采用的数据库</t>
  </si>
  <si>
    <t>项目所属部门</t>
  </si>
  <si>
    <t>项目经理</t>
  </si>
  <si>
    <t>团队规模</t>
  </si>
  <si>
    <t>项目组成员</t>
  </si>
  <si>
    <t>本报告制作及维护人</t>
  </si>
  <si>
    <t>本报告初次填写时间</t>
  </si>
  <si>
    <t>本报告末次填写时间</t>
  </si>
  <si>
    <t>注:蓝色字体是给出的例子，编制时请删除内容</t>
  </si>
  <si>
    <t>项目度量计划</t>
  </si>
  <si>
    <t>项目目标</t>
  </si>
  <si>
    <t>优先级</t>
  </si>
  <si>
    <t>设定说明</t>
  </si>
  <si>
    <t>项目实际数据</t>
  </si>
  <si>
    <t>达成情况</t>
  </si>
  <si>
    <t>工期总目标（交付时间）</t>
  </si>
  <si>
    <t>2015年7月30日之前交付\上线</t>
  </si>
  <si>
    <t>中</t>
  </si>
  <si>
    <t>基于客户要求\事业部的承诺基于管理层的要求设定\</t>
  </si>
  <si>
    <t>工期总目标(计划工期)</t>
  </si>
  <si>
    <t>不超过32天</t>
  </si>
  <si>
    <t>基于组织的QPPO设定</t>
  </si>
  <si>
    <t>工期总目标(进度偏差天数)</t>
  </si>
  <si>
    <t>不超过3天</t>
  </si>
  <si>
    <t>工期总目标(进度偏差率)</t>
  </si>
  <si>
    <r>
      <rPr>
        <sz val="10"/>
        <color indexed="8"/>
        <rFont val="华文中宋"/>
        <family val="3"/>
        <charset val="134"/>
      </rPr>
      <t>≤</t>
    </r>
    <r>
      <rPr>
        <sz val="10"/>
        <color indexed="8"/>
        <rFont val="微软雅黑"/>
        <family val="2"/>
        <charset val="134"/>
      </rPr>
      <t>9.375%</t>
    </r>
  </si>
  <si>
    <t>工作量总目标</t>
  </si>
  <si>
    <t>不超过129.5人天</t>
  </si>
  <si>
    <t>效率总目标(生产率)</t>
  </si>
  <si>
    <r>
      <rPr>
        <sz val="10"/>
        <color indexed="8"/>
        <rFont val="华文中宋"/>
        <family val="3"/>
        <charset val="134"/>
      </rPr>
      <t>≥</t>
    </r>
    <r>
      <rPr>
        <sz val="10"/>
        <color indexed="8"/>
        <rFont val="微软雅黑"/>
        <family val="2"/>
        <charset val="134"/>
      </rPr>
      <t>0.3374SFP/人天</t>
    </r>
  </si>
  <si>
    <t>质量总目标（遗留加权缺陷数）</t>
  </si>
  <si>
    <r>
      <rPr>
        <sz val="10"/>
        <color indexed="8"/>
        <rFont val="华文中宋"/>
        <family val="3"/>
        <charset val="134"/>
      </rPr>
      <t>≤2</t>
    </r>
    <r>
      <rPr>
        <sz val="10"/>
        <color indexed="8"/>
        <rFont val="微软雅黑"/>
        <family val="2"/>
        <charset val="134"/>
      </rPr>
      <t>个</t>
    </r>
  </si>
  <si>
    <t>高</t>
  </si>
  <si>
    <t>质量总目标（测试加权缺陷数）</t>
  </si>
  <si>
    <r>
      <rPr>
        <sz val="10"/>
        <color indexed="8"/>
        <rFont val="华文中宋"/>
        <family val="3"/>
        <charset val="134"/>
      </rPr>
      <t>≥23</t>
    </r>
    <r>
      <rPr>
        <sz val="10"/>
        <color indexed="8"/>
        <rFont val="微软雅黑"/>
        <family val="2"/>
        <charset val="134"/>
      </rPr>
      <t>个</t>
    </r>
  </si>
  <si>
    <t>质量总目标（验收加权缺陷数）</t>
  </si>
  <si>
    <t>1个</t>
  </si>
  <si>
    <t>说明：</t>
  </si>
  <si>
    <t>1.目标的设置优先考虑内外部客户的要求，若无相关要求，则在组织级QPPO的范围内进行设定</t>
  </si>
  <si>
    <t>2.计划工期和计划工作量以预估算值进行设定，在确定性估算完成后，依据确定性估算的结果对目标进行调整</t>
  </si>
  <si>
    <t>3.得到内外部客户同意以及经过CCB审批通过的变更发生后，可以根据变更的结果对目标进行调整</t>
  </si>
  <si>
    <t>序号</t>
  </si>
  <si>
    <t>统计管理度量项(组织级的度量表)</t>
  </si>
  <si>
    <t>单位</t>
  </si>
  <si>
    <t>是否基线</t>
  </si>
  <si>
    <t>是否项目必选</t>
  </si>
  <si>
    <t>度量时机</t>
  </si>
  <si>
    <t>备注</t>
  </si>
  <si>
    <t>LOL</t>
  </si>
  <si>
    <t>OL</t>
  </si>
  <si>
    <t>U0L</t>
  </si>
  <si>
    <t>σ</t>
  </si>
  <si>
    <t>项目成员平均技能系数</t>
  </si>
  <si>
    <t>-</t>
  </si>
  <si>
    <t>□观测项</t>
  </si>
  <si>
    <t>■ 是</t>
  </si>
  <si>
    <t>项目结束</t>
  </si>
  <si>
    <t>观测项，无QPPO</t>
  </si>
  <si>
    <t>策划团队平均技能系数</t>
  </si>
  <si>
    <t>生产率</t>
  </si>
  <si>
    <t>SFP/人天</t>
  </si>
  <si>
    <t>■基线</t>
  </si>
  <si>
    <t>组织QPPO</t>
  </si>
  <si>
    <t>总体进度偏差</t>
  </si>
  <si>
    <t>%</t>
  </si>
  <si>
    <t>客户需求评审密度</t>
  </si>
  <si>
    <t>个/页</t>
  </si>
  <si>
    <t>客户需求评审活动结束时</t>
  </si>
  <si>
    <t>立项/需求单位规模工期(UI原型+需求规格)</t>
  </si>
  <si>
    <t>天/SFP</t>
  </si>
  <si>
    <t>立项/需求阶段活动时</t>
  </si>
  <si>
    <t>立项/需求单位规模工期(需求规格)</t>
  </si>
  <si>
    <t>立项/需求单位规模工作量(UI原型+需求规格)</t>
  </si>
  <si>
    <t>人天/SFP</t>
  </si>
  <si>
    <t>立项/需求活动时</t>
  </si>
  <si>
    <t>立项/需求单位规模工作量(需求规格)</t>
  </si>
  <si>
    <t>立项/需求阶段进度偏差(UI原型+需求规格)</t>
  </si>
  <si>
    <t>需求阶段结束时</t>
  </si>
  <si>
    <t>立项/需求阶段进度偏差(需求规格)</t>
  </si>
  <si>
    <t>需求规格的评审缺陷密度</t>
  </si>
  <si>
    <t>需求规格平生活动结束后</t>
  </si>
  <si>
    <t>设计单位规模工期(全设计)</t>
  </si>
  <si>
    <t>设计阶段活动时</t>
  </si>
  <si>
    <t>设计单位规模重叠工期(全设计)</t>
  </si>
  <si>
    <t>设计阶段结束时</t>
  </si>
  <si>
    <t>设计单位规模工作量(全设计)</t>
  </si>
  <si>
    <t>设计阶段进度偏差(全设计)</t>
  </si>
  <si>
    <t>设计单位规模工期(核心设计)</t>
  </si>
  <si>
    <t>设计单位规模重叠工期(核心设计)</t>
  </si>
  <si>
    <t>设计单位规模工作量(核心设计)</t>
  </si>
  <si>
    <t>设计阶段进度偏差(核心设计)</t>
  </si>
  <si>
    <t>设计单位规模工期(简化设计)</t>
  </si>
  <si>
    <t>设计单位规模重叠工期(简化设计)</t>
  </si>
  <si>
    <t>设计单位规模工作量(简化设计)</t>
  </si>
  <si>
    <t>设计阶段进度偏差(简化设计)</t>
  </si>
  <si>
    <t>设计阶段的评审缺陷密度</t>
  </si>
  <si>
    <t>系统设计评审活动结束后</t>
  </si>
  <si>
    <t>开发阶段单位规模工期(全走查)</t>
  </si>
  <si>
    <t>编码阶段活动时</t>
  </si>
  <si>
    <t>开发阶段单位规模重叠工期(全走查)</t>
  </si>
  <si>
    <t>编码阶段结束时</t>
  </si>
  <si>
    <t>开发阶段单位规模工作量(全走查)</t>
  </si>
  <si>
    <t>开发阶段进度偏差(全走查)</t>
  </si>
  <si>
    <t>代码走查的缺陷密度(全走查)</t>
  </si>
  <si>
    <t>个/SFP</t>
  </si>
  <si>
    <t>代码走查评审活动结束后</t>
  </si>
  <si>
    <t>开发阶段单位规模工期(核心走查)</t>
  </si>
  <si>
    <t>开发阶段单位规模重叠工期(核心走查)</t>
  </si>
  <si>
    <t>开发阶段单位规模工作量(核心走查)</t>
  </si>
  <si>
    <t>开发阶段进度偏差(核心走查)</t>
  </si>
  <si>
    <t>代码走查的缺陷密度(核心走查)</t>
  </si>
  <si>
    <t>开发阶段单位规模工期(未走查)</t>
  </si>
  <si>
    <t>开发阶段单位规模重叠工期(未走查)</t>
  </si>
  <si>
    <t>开发阶段单位规模工作量(未走查)</t>
  </si>
  <si>
    <t>代码走查的缺陷密度(未走查)</t>
  </si>
  <si>
    <t>开发阶段进度偏差(未走查)</t>
  </si>
  <si>
    <t>测试用例覆盖密度((强测试)</t>
  </si>
  <si>
    <t>条/SFP</t>
  </si>
  <si>
    <t>测试用例覆盖密度(弱测试)</t>
  </si>
  <si>
    <t>测试用例评审的缺陷密度</t>
  </si>
  <si>
    <t>个/条</t>
  </si>
  <si>
    <t>准入测试通过率</t>
  </si>
  <si>
    <t>测试阶段结束时</t>
  </si>
  <si>
    <t>测试阶段单位规模工期(强测试)</t>
  </si>
  <si>
    <t>测试阶段活动时</t>
  </si>
  <si>
    <t>测试阶段单位规模重叠工期(强测试)</t>
  </si>
  <si>
    <t>测试阶段单位规模工作量(强测试)</t>
  </si>
  <si>
    <t>测试阶段进度偏差(强测试)</t>
  </si>
  <si>
    <t>测试实际执行轮次(强测试)</t>
  </si>
  <si>
    <t>次</t>
  </si>
  <si>
    <t>测试缺陷密度(强测试)</t>
  </si>
  <si>
    <t>测试阶段单位规模工期(弱测试)</t>
  </si>
  <si>
    <t>测试阶段单位规模重叠工期(弱测试)</t>
  </si>
  <si>
    <t>测试阶段单位规模工作量(弱测试)</t>
  </si>
  <si>
    <t>测试阶段进度偏差(弱测试)</t>
  </si>
  <si>
    <t>测试实际执行轮次(弱测试)</t>
  </si>
  <si>
    <t>测试缺陷密度(弱测试)</t>
  </si>
  <si>
    <t>测试缺陷密度（总体）</t>
  </si>
  <si>
    <t>□ 否</t>
  </si>
  <si>
    <t>验收阶段单位规模工期((内部验收)</t>
  </si>
  <si>
    <t>验收阶段活动时</t>
  </si>
  <si>
    <t>验收阶段单位规模重叠工期(内部验收)</t>
  </si>
  <si>
    <t>验收阶段结束时</t>
  </si>
  <si>
    <t>验收阶段单位规模工作量（内部验收)</t>
  </si>
  <si>
    <t>验收阶段进度偏差(内部验收)</t>
  </si>
  <si>
    <t>验收缺陷密度(内部验收）</t>
  </si>
  <si>
    <t>验收阶段单位规模工期((外部验收)</t>
  </si>
  <si>
    <t>验收阶段单位规模重叠工期(外部验收)</t>
  </si>
  <si>
    <t>验收阶段单位规模工作量（外部验收)</t>
  </si>
  <si>
    <t>验收阶段进度偏差(外部验收)</t>
  </si>
  <si>
    <t>验收缺陷密度(外部验收）</t>
  </si>
  <si>
    <t>遗留缺陷密度(内部验收)</t>
  </si>
  <si>
    <t>遗留缺陷密度(外部验收)</t>
  </si>
  <si>
    <t>遗留缺陷率</t>
  </si>
  <si>
    <t>其它度量项</t>
  </si>
  <si>
    <t>技术复杂度</t>
  </si>
  <si>
    <t>项目立项时/变更发生时</t>
  </si>
  <si>
    <t>业务知识符合度</t>
  </si>
  <si>
    <t>技能符合度</t>
  </si>
  <si>
    <t>复用率</t>
  </si>
  <si>
    <t xml:space="preserve">估算规模  </t>
  </si>
  <si>
    <t>项目周期压力系数</t>
  </si>
  <si>
    <t>客户需求稳定度</t>
  </si>
  <si>
    <t>阶段里程碑</t>
  </si>
  <si>
    <t xml:space="preserve">需求规格稳定度 </t>
  </si>
  <si>
    <t>注：选择项目度量项请依据项目裁剪结果进行选择相对应的度量项。</t>
  </si>
  <si>
    <t>PPM-V</t>
  </si>
  <si>
    <t>1、</t>
  </si>
  <si>
    <t>质量回归模型</t>
  </si>
  <si>
    <t>测试加权缺陷密度</t>
  </si>
  <si>
    <t>测试加权缺陷密度 = - 0.921 + 1.31 代码走查缺陷密度 + 0.0513 测试用例覆盖密度+ 0.446 实际测试执行轮次（需做说明）</t>
  </si>
  <si>
    <t>生产率 = 0.618 - 0.139 需求阶段单位规模工作量 - 0.0817 编码阶段单位规模工作量 - 0.107 测试阶段单位规模工作量</t>
  </si>
  <si>
    <t>总体进度偏差 = 0.00223 + 0.282 编码阶段进度偏差 + 0.0599 测试阶段进度偏差</t>
  </si>
  <si>
    <t>2、</t>
  </si>
  <si>
    <t>工作量工期质量模型</t>
  </si>
  <si>
    <t>❶</t>
  </si>
  <si>
    <t>❷</t>
  </si>
  <si>
    <t>每个阶段里程碑结束，收集了项目实际数据后，在“实际值”中填写对应的实际数值。（目标预测时，有实际值就取实际值，没有就取目标值）</t>
  </si>
  <si>
    <t>❸</t>
  </si>
  <si>
    <t>找到回归模型把公式带进来</t>
  </si>
  <si>
    <t>定 义 假 设 单 元</t>
  </si>
  <si>
    <t>定 义 方 案 选 择</t>
  </si>
  <si>
    <t>定 义 预 测 单 元</t>
  </si>
  <si>
    <t>工期</t>
  </si>
  <si>
    <t>进度偏差</t>
  </si>
  <si>
    <t>遗留缺陷</t>
  </si>
  <si>
    <t>需求阶段</t>
  </si>
  <si>
    <t>阶段（单位）规模工期</t>
  </si>
  <si>
    <t>N/A</t>
  </si>
  <si>
    <t>阶段（单位）规模工作量</t>
  </si>
  <si>
    <t>需求阶段的评审缺陷密度</t>
  </si>
  <si>
    <t>阶段（来自于前面的阶段）</t>
  </si>
  <si>
    <t>方案选择</t>
  </si>
  <si>
    <t>阶段单位工期</t>
  </si>
  <si>
    <t>阶段重叠工期</t>
  </si>
  <si>
    <t>单位规模工作量</t>
  </si>
  <si>
    <t>质量1</t>
  </si>
  <si>
    <t>质量2</t>
  </si>
  <si>
    <t>测试缺陷</t>
  </si>
  <si>
    <t>原型+需求规格</t>
  </si>
  <si>
    <t>目标值</t>
  </si>
  <si>
    <t>实际值</t>
  </si>
  <si>
    <t>需求规格</t>
  </si>
  <si>
    <t>01需求阶段</t>
  </si>
  <si>
    <t>设计阶段</t>
  </si>
  <si>
    <t>阶段单位规模的重叠工期（向下）</t>
  </si>
  <si>
    <t>02设计阶段</t>
  </si>
  <si>
    <t>全设计  (架构设计+系统设计)</t>
  </si>
  <si>
    <t>03开发阶段</t>
  </si>
  <si>
    <t>核心模块设计 (只针对核心功能设计)</t>
  </si>
  <si>
    <t>04测试阶段</t>
  </si>
  <si>
    <t>简化设计</t>
  </si>
  <si>
    <t>05验收阶段</t>
  </si>
  <si>
    <t>开发阶段</t>
  </si>
  <si>
    <t>阶段进度偏差</t>
  </si>
  <si>
    <t>代码走查缺陷密度</t>
  </si>
  <si>
    <t>全走查</t>
  </si>
  <si>
    <t>核心代码走查</t>
  </si>
  <si>
    <t>未走查</t>
  </si>
  <si>
    <t>测试阶段</t>
  </si>
  <si>
    <t>测试用例覆盖密度</t>
  </si>
  <si>
    <t>实际测试执行轮次（加权）</t>
  </si>
  <si>
    <t>测试加权的缺陷密度</t>
  </si>
  <si>
    <t>强测试</t>
  </si>
  <si>
    <t>弱测试</t>
  </si>
  <si>
    <t>验收阶段</t>
  </si>
  <si>
    <t>验收缺陷密度</t>
  </si>
  <si>
    <t>遗留缺陷密度</t>
  </si>
  <si>
    <t>内部验收</t>
  </si>
  <si>
    <t>外部验收</t>
  </si>
  <si>
    <t>●</t>
  </si>
  <si>
    <t>均值</t>
  </si>
  <si>
    <t>背景色表示的意思</t>
  </si>
  <si>
    <t>标准差</t>
  </si>
  <si>
    <t>决策变量</t>
  </si>
  <si>
    <t>预测变量</t>
  </si>
  <si>
    <t>模型预测结果</t>
  </si>
  <si>
    <t>目标设定</t>
  </si>
  <si>
    <r>
      <rPr>
        <b/>
        <sz val="14"/>
        <color indexed="9"/>
        <rFont val="宋体"/>
        <family val="3"/>
        <charset val="134"/>
      </rPr>
      <t>预测结果</t>
    </r>
    <r>
      <rPr>
        <b/>
        <sz val="10"/>
        <color indexed="9"/>
        <rFont val="宋体"/>
        <family val="3"/>
        <charset val="134"/>
      </rPr>
      <t>（本栏数据来源于水晶球目标预测执行结果）</t>
    </r>
  </si>
  <si>
    <t>预测编号</t>
  </si>
  <si>
    <t>预测促发</t>
  </si>
  <si>
    <t>项目规模（SFP）</t>
  </si>
  <si>
    <t>项目工作量</t>
  </si>
  <si>
    <t>项目工期</t>
  </si>
  <si>
    <t>允许进度最大偏差天数</t>
  </si>
  <si>
    <t>进度偏差率</t>
  </si>
  <si>
    <t>测试缺陷加权数</t>
  </si>
  <si>
    <t>验收缺陷加权数</t>
  </si>
  <si>
    <t>遗留缺陷加权数</t>
  </si>
  <si>
    <t>基于本次预测选择的最佳方案</t>
  </si>
  <si>
    <t>方案置信度</t>
  </si>
  <si>
    <t>单位规模工期</t>
  </si>
  <si>
    <t>预测结论</t>
  </si>
  <si>
    <t>预测结果分析及采取的措施</t>
  </si>
  <si>
    <t>第一次预测</t>
  </si>
  <si>
    <t>预估算</t>
  </si>
  <si>
    <t>拒绝</t>
  </si>
  <si>
    <t>1.分析：由于交付压力，工期较实际估算结果有较大压缩，压缩了15天，故工期目标达成的置信度过低。
2.措施：（1）对过程因子做相应的调整，与产品经理一起梳理需求，对需求做适当的裁剪。（2）协调增加资源，增加2名开发人员，1名测试人员。</t>
  </si>
  <si>
    <t>第二次预测</t>
  </si>
  <si>
    <t>确定性估算</t>
  </si>
  <si>
    <t>接受</t>
  </si>
  <si>
    <t>1.分析：需求进行部分裁剪并增加资源后，客户要求的交付工期仍较估算工期有压缩，压缩8天，故工期目标达成的置信度仍低于90%。项目目标达成存在风险，纳入风险管理。
2.措施：（1）项目前期开展业务培训，以便能够对需求快速准确的理解。（2）组织开发人员进行编码规范培训，以加强代码规范性，避免后期返工工作。（3）编制日程表时，安排适当的加班计划，以弥补被压缩的工期。</t>
  </si>
  <si>
    <t>第三次预测</t>
  </si>
  <si>
    <t>需求阶段里程碑结束</t>
  </si>
  <si>
    <t>1.分析：项目目标达成的置信度高于90%，为保证项目目标达成维持在较高水平，需采取一下措施。
2.措施：（1）加强评审，缺陷尽早暴露，避免后期花费较高成本和时间。</t>
  </si>
  <si>
    <t>生产率模型预测</t>
  </si>
  <si>
    <t>模型公式：生产率= 0.518 - 0.129 需求阶段单位规模工作量 + 0.0607 编码阶段单位规模工作量- 0.183 测试阶段单位规模工作量</t>
  </si>
  <si>
    <t>基线</t>
  </si>
  <si>
    <t>说明：1. 工作量估算完成后，在第一行填写计划的各阶段单位规模工作量，从而通过回归方程公式自动计算出生产率，计算出预测的项目总工作量。此时通过与估算的工作量作对比，判断是否存在较大偏差，如果有，则分析原因并采取措施。
2. 当每个阶段结束，有其中一个或多个单位规模工作量实际值时，则填写对应的实际值，其他仍然填写计划值，从而通过回归方程公式自动计算出生产率，计算出预测的项目总工作量。此时通过与估算的工作量作对比，判断是否存在较大偏差，如果有，则分析原因并采取措施。</t>
  </si>
  <si>
    <t>类别</t>
  </si>
  <si>
    <t>需求阶段单位规模工作量</t>
  </si>
  <si>
    <t>编码阶段单位规模工作量</t>
  </si>
  <si>
    <t>测试阶段单位规模工作量</t>
  </si>
  <si>
    <t>预测的项目总工作量(人天)</t>
  </si>
  <si>
    <t>估算的项目工作量</t>
  </si>
  <si>
    <t>UOL</t>
  </si>
  <si>
    <t>因子预测值</t>
  </si>
  <si>
    <t>因子实际值</t>
  </si>
  <si>
    <t>模型公式：测试加权缺陷密度 = - 0.921 + 1.31 代码走查缺陷密度 + 0.0513 测试用例覆盖密度+ 0.446 实际测试执行轮次</t>
  </si>
  <si>
    <t>基线-总体</t>
  </si>
  <si>
    <t>说明：1. 项目目标设定后，在第一行填写计划值（如代码走查密度、测试用例覆盖密度、实际测试执行轮次），从而通过回归方程公式计算出预测的测试加权缺陷密度，计算出预测的测试发现缺陷数，与目标设定的测试发现缺陷数作对比，判断是否存在较大偏差，如果有，则分析原因并采取措施。
2. 当其中有一个或多个实际值时，则填写对应的实际值，其他仍然填写计划值，从而通过回归方程公式自动计算出预测的测试加权缺陷密度，计算出预测的测试发现缺陷数，与目标设定的测试发现缺陷数作对比，判断是否存在较大偏差，如果有，则分析原因并采取措施。</t>
  </si>
  <si>
    <t>项目规模(SFP)</t>
  </si>
  <si>
    <t>实际测试执行轮次</t>
  </si>
  <si>
    <t>测试发现的缺陷数</t>
  </si>
  <si>
    <t>模型公式：总体进度偏差 = 0.00223 + 0.282 编码阶段进度偏差 + 0.0599 测试阶段进度偏差</t>
  </si>
  <si>
    <t>说明：1.当编码阶段进度偏差率有实际值时，填写编码阶段实际值，测试阶段进度偏差率填写预计值，从而通过回归方程公式自动算出预测的项目总体进度偏差率，计算出项目预计出现的偏差天数。此时通过与目标设定的允许最大偏差天数作对比，判断是否存在较大偏差，如果有，则分析原因并采取措施。
2.当编码阶段进度偏差率、测试阶段进度偏差率有实际值时，填写实际值，从而通过回归方程公式自动算出预测的项目总体进度偏差率，计算出项目预计出现的偏差天数。此时通过与目标设定的允许最大偏差天数作对比，判断是否存在较大偏差，如果有，则分析原因并采取措施。</t>
  </si>
  <si>
    <t>项目总工期</t>
  </si>
  <si>
    <t>编码阶段进度偏差</t>
  </si>
  <si>
    <t>测试阶段进度偏差</t>
  </si>
  <si>
    <t>项目预计出现的偏差天数</t>
  </si>
  <si>
    <t>需求稳定度</t>
  </si>
  <si>
    <t>度量一：客户需求稳定度</t>
  </si>
  <si>
    <t>目的：支持对项目质量、成本、进度的分析和控制</t>
  </si>
  <si>
    <t>度量单位：客户需求中的功能性和非功能性个数（即CR与NCR个数）</t>
  </si>
  <si>
    <t>阶段名称</t>
  </si>
  <si>
    <t>初始需求总数</t>
  </si>
  <si>
    <t>变更的需求数</t>
  </si>
  <si>
    <r>
      <rPr>
        <b/>
        <sz val="10"/>
        <rFont val="宋体"/>
        <family val="3"/>
        <charset val="134"/>
      </rPr>
      <t>需求变更产生的S</t>
    </r>
    <r>
      <rPr>
        <b/>
        <sz val="10"/>
        <rFont val="宋体"/>
        <family val="3"/>
        <charset val="134"/>
      </rPr>
      <t>FP</t>
    </r>
    <r>
      <rPr>
        <b/>
        <sz val="10"/>
        <rFont val="宋体"/>
        <family val="3"/>
        <charset val="134"/>
      </rPr>
      <t>变化</t>
    </r>
  </si>
  <si>
    <t>变更前的SFP</t>
  </si>
  <si>
    <t xml:space="preserve"> 需求稳定度</t>
  </si>
  <si>
    <t>新增</t>
  </si>
  <si>
    <t>删除</t>
  </si>
  <si>
    <t>修订</t>
  </si>
  <si>
    <t>变更数合计</t>
  </si>
  <si>
    <t>累计</t>
  </si>
  <si>
    <t xml:space="preserve">度量二：需求规格稳定度 </t>
  </si>
  <si>
    <t>度量单位：软件瀑布开发项目SFP, 迭代项目需求任务条数，3D模型个数、场景数</t>
  </si>
  <si>
    <t>需求规格稳定度</t>
  </si>
  <si>
    <t>说明：
1.需求变更产生的SFP变化=|新增SFP值| + |删除SFP值| + |修订的SFP值|。举例：新增一个需求，增加了20SFP，删除一个需求，减少了10SFP，修改一个需求，SFP改变了3FP，那这些需求变更产生的SFP变化为20+10+3=33
2.为什么客户需求稳定度中的“需求变更产生的SFP变化”和虚伪规格稳定度中的“需求变更产生的SFP变化”会不一样？客户需求的变化一定会引起需求规格的变化，但除了来自于客户需求的影响外，需求分析或分解时的错误也会引起需求规格出现波动，这个时候需求规格就会有额外的修改，从而导致SFP值发生变化。
3.需求稳定度=1-（需求变化条数/原需求总数）*（变化的SFP/原SFP总数）。当需求稳定度值为最大值1时，表示需求稳定；该数值越小，表示需求稳定度越小，需求越不稳定；需求稳定度可能会出现负值，表示需求稳定度很低，低到为负值。</t>
  </si>
  <si>
    <t>度量一:各活动各阶段工作量</t>
  </si>
  <si>
    <t>目的：为重新估算提供参考；为收集组织工作量分布数据提供输入；比较估计工作量的准确性并用以调整计划。</t>
  </si>
  <si>
    <t>度量单位：人日</t>
  </si>
  <si>
    <t>说明：工作量“总计”中的“计划”列数据来源于确定性估算表。各阶段的“实际”列数据来源于工时系统，“计划”列数据由公式自动计算，无需改动。</t>
  </si>
  <si>
    <t>度量活动</t>
  </si>
  <si>
    <t>编码及单元测试阶段</t>
  </si>
  <si>
    <t>总计</t>
  </si>
  <si>
    <t>各活动类型资源投入率</t>
  </si>
  <si>
    <t>各活动类型工作量比例</t>
  </si>
  <si>
    <t>计划各阶段工作量配比</t>
  </si>
  <si>
    <t>计划</t>
  </si>
  <si>
    <t>实际</t>
  </si>
  <si>
    <t>工程活动</t>
  </si>
  <si>
    <t>项目管理活动</t>
  </si>
  <si>
    <t>配置管理活动</t>
  </si>
  <si>
    <t>质量保证活动</t>
  </si>
  <si>
    <t>其他(风险预留)</t>
  </si>
  <si>
    <t>所有活动各阶段统计值</t>
  </si>
  <si>
    <t>当前SFP</t>
  </si>
  <si>
    <t>阶段资源投入率</t>
  </si>
  <si>
    <t>项目工作量偏差率</t>
  </si>
  <si>
    <t>阶段累计工作量偏差率</t>
  </si>
  <si>
    <t>各阶段工程活动工作量比例</t>
  </si>
  <si>
    <t>度量定义</t>
  </si>
  <si>
    <t>编码阶段</t>
  </si>
  <si>
    <t>阶段单位规模工作量=阶段实际工作量/当前SFP值</t>
  </si>
  <si>
    <t>目标</t>
  </si>
  <si>
    <t>计划数据</t>
  </si>
  <si>
    <t>实际数据</t>
  </si>
  <si>
    <t>编码及单元测试</t>
  </si>
  <si>
    <t>规模度量统计分析报告</t>
  </si>
  <si>
    <t>度量一：各阶段对软件产品规模的度量</t>
  </si>
  <si>
    <t>目的：比较估计规模的准确性并用以调整计划。</t>
  </si>
  <si>
    <r>
      <rPr>
        <sz val="10"/>
        <rFont val="宋体"/>
        <family val="3"/>
        <charset val="134"/>
      </rPr>
      <t>度量单位：</t>
    </r>
    <r>
      <rPr>
        <sz val="10"/>
        <rFont val="Times New Roman"/>
        <family val="1"/>
      </rPr>
      <t>SFP</t>
    </r>
  </si>
  <si>
    <t>复用程度</t>
  </si>
  <si>
    <t>阶段</t>
  </si>
  <si>
    <t>标准功能点规模（SFP）</t>
  </si>
  <si>
    <t>复用的功能点（SFP）</t>
  </si>
  <si>
    <t>度量二：项目生产率度量</t>
  </si>
  <si>
    <t>目的：统计软件产品标准功能点完成率，分析项目生产效率情况，计算公式为标准功能点总数除以总体工作量</t>
  </si>
  <si>
    <r>
      <rPr>
        <sz val="10"/>
        <rFont val="宋体"/>
        <family val="3"/>
        <charset val="134"/>
      </rPr>
      <t>度量单位：S</t>
    </r>
    <r>
      <rPr>
        <sz val="11"/>
        <color theme="1"/>
        <rFont val="宋体"/>
        <family val="3"/>
        <charset val="134"/>
      </rPr>
      <t>FP</t>
    </r>
    <r>
      <rPr>
        <sz val="10"/>
        <rFont val="宋体"/>
        <family val="3"/>
        <charset val="134"/>
      </rPr>
      <t>/人日</t>
    </r>
  </si>
  <si>
    <t>项目规模</t>
  </si>
  <si>
    <t>项目实际工作量</t>
  </si>
  <si>
    <t>项目生产率</t>
  </si>
  <si>
    <t>度量三：技术复杂度</t>
  </si>
  <si>
    <t>目的1：支持对项目进度偏差、生产率、质量的分析，计算公式TCF = 0.6 + 0.01 x ∑（技术复杂度影响因素）</t>
  </si>
  <si>
    <t>度量单位：0</t>
  </si>
  <si>
    <t>项目进度</t>
  </si>
  <si>
    <t>度量一： 项目进度偏差</t>
  </si>
  <si>
    <t>目的：控制项目的进度</t>
  </si>
  <si>
    <t>度量单位：计划时间取“确定性估算总体估算与计划表”中开始及完成时间，实际时间提取项目过程中实际开始及完成时间</t>
  </si>
  <si>
    <t>总体偏差</t>
  </si>
  <si>
    <t>SPE/Phase</t>
  </si>
  <si>
    <t>计划开始时间</t>
  </si>
  <si>
    <t>计划完成时间</t>
  </si>
  <si>
    <t>实际开始时间</t>
  </si>
  <si>
    <t>实际完成时间</t>
  </si>
  <si>
    <t>变更后计划开始时间</t>
  </si>
  <si>
    <t>变更后计划结束时间</t>
  </si>
  <si>
    <t>偏差天数</t>
  </si>
  <si>
    <t>阶段偏差率</t>
  </si>
  <si>
    <t>阶段累计偏差率</t>
  </si>
  <si>
    <t>偏差分析</t>
  </si>
  <si>
    <t>改进措施</t>
  </si>
  <si>
    <t>项目数据</t>
  </si>
  <si>
    <t>周次</t>
  </si>
  <si>
    <t>……第N周</t>
  </si>
  <si>
    <t>说明：
1.周次的进度偏差取自Project，但请注意，Project中的值填入度量表时需要取相反数，即正数表示延迟，负数表示提前；
2.如需增加或删除周次，请点击上面的按钮；
3.最后一列请勿人为删除，否则将导致表格出错</t>
  </si>
  <si>
    <t>度量二：项目周期压力系数</t>
  </si>
  <si>
    <t>目的：通过项目压力系,判断项目受外在因素的影响有大小,从来</t>
  </si>
  <si>
    <t>度量单位:天数（工作日）</t>
  </si>
  <si>
    <t>估算工期</t>
  </si>
  <si>
    <t>内定工期</t>
  </si>
  <si>
    <t>度量三：估算的偏差</t>
  </si>
  <si>
    <t>目的：了解各级估算之前的偏差,形成基线,便于研发提供更加工期结果更加准确</t>
  </si>
  <si>
    <t>度量单位: 人月、SFP</t>
  </si>
  <si>
    <t>量级估算
（人月）</t>
  </si>
  <si>
    <t>预算估算
（人月）</t>
  </si>
  <si>
    <t>量级估算与预算估算的偏差(%)</t>
  </si>
  <si>
    <t>预算估算
（SFP）</t>
  </si>
  <si>
    <t>确定性估算
（SFP)</t>
  </si>
  <si>
    <t>预算与确定性估算的偏差
(%)</t>
  </si>
  <si>
    <t xml:space="preserve"> 量级估算与预算估算偏差</t>
  </si>
  <si>
    <t>预算估算与确定性估算偏差</t>
  </si>
  <si>
    <t>确定性估算
（人月）</t>
  </si>
  <si>
    <t>预算估算与确定性偏差</t>
  </si>
  <si>
    <t>过程产出缺陷度量统计分析报告</t>
  </si>
  <si>
    <t>目的：控制过程质量
度量单位：个/产出规模</t>
  </si>
  <si>
    <t>说明：本页缺陷数据来源于评审报告</t>
  </si>
  <si>
    <t>度量一：客户需求说明书评审缺陷密度</t>
  </si>
  <si>
    <t>评审次数</t>
  </si>
  <si>
    <t>缺陷级别</t>
  </si>
  <si>
    <t>解决问题数</t>
  </si>
  <si>
    <t>遗留问题数</t>
  </si>
  <si>
    <t>问题总数</t>
  </si>
  <si>
    <t>评审规模（页）</t>
  </si>
  <si>
    <t>缺陷密度
（个/页）</t>
  </si>
  <si>
    <t>第N次评审</t>
  </si>
  <si>
    <t>合计</t>
  </si>
  <si>
    <t>度量二：需求规格说明书评审缺陷密度</t>
  </si>
  <si>
    <t>度量三：设计评审缺陷密度</t>
  </si>
  <si>
    <t>度量四：测试用例评审缺陷密度</t>
  </si>
  <si>
    <t>评审规模（条）</t>
  </si>
  <si>
    <t>缺陷密度
（个/条）</t>
  </si>
  <si>
    <t>度量四：代码走查缺陷密度</t>
  </si>
  <si>
    <t>走查次数</t>
  </si>
  <si>
    <t>评审规模（SFP）</t>
  </si>
  <si>
    <t>缺陷密度
（个/SFP）</t>
  </si>
  <si>
    <t>第N次走查</t>
  </si>
  <si>
    <t>1.缺陷数据取自评审报告；</t>
  </si>
  <si>
    <t>2.走查形式不限；</t>
  </si>
  <si>
    <t>3.若需增加走查次数，请点击添加按钮；</t>
  </si>
  <si>
    <t>4.请勿对“第N次评审”行进行删除或者填写，以免造成不必要的错误</t>
  </si>
  <si>
    <t>测试及验收缺陷度量统计分析报告</t>
  </si>
  <si>
    <t>度量一：测试及验收发现的缺陷:</t>
  </si>
  <si>
    <t>目的：评价产品的发布前的质量</t>
  </si>
  <si>
    <t>度量单位：个/SFP</t>
  </si>
  <si>
    <t>说明：本页缺陷数据来源于缺陷库</t>
  </si>
  <si>
    <t>测试方式选择：</t>
  </si>
  <si>
    <t>验收方式选择：</t>
  </si>
  <si>
    <t>测试缺陷加权分</t>
  </si>
  <si>
    <t>缺陷收集节点</t>
  </si>
  <si>
    <t>解决缺陷加权数</t>
  </si>
  <si>
    <t>缺陷总数</t>
  </si>
  <si>
    <t>规模(SFP)</t>
  </si>
  <si>
    <t>缺陷密度</t>
  </si>
  <si>
    <t>测试第N轮</t>
  </si>
  <si>
    <t>测试合计</t>
  </si>
  <si>
    <t>度量二:准入测试的通过率</t>
  </si>
  <si>
    <t>度量三：测试的计划执行轮次及实际的执行轮次</t>
  </si>
  <si>
    <t>目的：促进公司级产品质量提高,评估开发的版本质量</t>
  </si>
  <si>
    <t>目的：</t>
  </si>
  <si>
    <t>度量单位：</t>
  </si>
  <si>
    <t>度量单位：次数</t>
  </si>
  <si>
    <t>准入测试用例的通过率</t>
  </si>
  <si>
    <t>准入测试用例不通过条数</t>
  </si>
  <si>
    <t>通过率</t>
  </si>
  <si>
    <t>测试轮次</t>
  </si>
  <si>
    <t>计划的执行轮次</t>
  </si>
  <si>
    <t>实际执行的轮次</t>
  </si>
  <si>
    <t>准入测试用例的总数</t>
  </si>
  <si>
    <t>准入不通过次数</t>
  </si>
  <si>
    <t>转测试总次数</t>
  </si>
  <si>
    <t>度量四：缺陷来源(引入阶段)</t>
  </si>
  <si>
    <t>目的：评估产品质量开展根因分析</t>
  </si>
  <si>
    <t>度量单位：缺陷个数</t>
  </si>
  <si>
    <t>项目阶段</t>
  </si>
  <si>
    <t>数量</t>
  </si>
  <si>
    <t>度量五：缺陷位置</t>
  </si>
  <si>
    <t>目的：通过指标判断缺陷存在的位置,评估产品质量</t>
  </si>
  <si>
    <t>缺陷位置</t>
  </si>
  <si>
    <t>度量六：缺陷类型</t>
  </si>
  <si>
    <t>目的:通过缺陷类型评估开发的产品质量</t>
  </si>
  <si>
    <t>单位:缺陷个数</t>
  </si>
  <si>
    <t>度量数据来源: Devsuite</t>
  </si>
  <si>
    <t>缺陷类型</t>
  </si>
  <si>
    <t>Activity：就是当缺陷被发现时实际的处理步骤。比如单元测试，功能测试，系统测试等等。
Trigger：描述了暴露缺陷时存在的环境或者条件。针对不同的 
Activity，会对应有不同的 Trigger。
Impact：是指缺陷可能对用户造成的影响。Target：将要在哪里改正错误，例如：design、code 等等。
Type：表示所进行的实际修正的种类，比如算法，接口，初始化等等。针对不同的 Target，也会定义不同的 Type。
Qualifier：指明了所进行的修复应归于缺失，错误或者还是外来的代码或者信息。
Source：指明了发现的缺陷的来源，是出现在内部代码编写中，重用自一个程序库中，从一个平台转移到另一个平台上的，或者是外包一个软件销售商的。
Age：确定这个缺陷是新代码还是旧代码，或者是重写的代码。</t>
  </si>
  <si>
    <t>Activity</t>
  </si>
  <si>
    <t>Trigger</t>
  </si>
  <si>
    <t>Impact</t>
  </si>
  <si>
    <t>Target</t>
  </si>
  <si>
    <t>Defect Type</t>
  </si>
  <si>
    <t>Qualifier</t>
  </si>
  <si>
    <t>Source</t>
  </si>
  <si>
    <t>Age</t>
  </si>
  <si>
    <t>缺陷来源</t>
  </si>
  <si>
    <t>缺陷原因</t>
  </si>
  <si>
    <t>设计审查</t>
  </si>
  <si>
    <t>基本功能</t>
  </si>
  <si>
    <t>安装性</t>
  </si>
  <si>
    <t>设计</t>
  </si>
  <si>
    <t>初始化错误</t>
  </si>
  <si>
    <t>不正确的</t>
  </si>
  <si>
    <t>内部代码</t>
  </si>
  <si>
    <t>基本</t>
  </si>
  <si>
    <t>页面</t>
  </si>
  <si>
    <t>未自测</t>
  </si>
  <si>
    <t>代码检查</t>
  </si>
  <si>
    <t>顺序操作</t>
  </si>
  <si>
    <t>安全性</t>
  </si>
  <si>
    <t>代码</t>
  </si>
  <si>
    <t>代码检查错误</t>
  </si>
  <si>
    <t>遗失的</t>
  </si>
  <si>
    <t>重用资源库中代码</t>
  </si>
  <si>
    <t>新的</t>
  </si>
  <si>
    <t>脚本</t>
  </si>
  <si>
    <r>
      <rPr>
        <sz val="10.5"/>
        <color rgb="FF000000"/>
        <rFont val="宋体"/>
        <family val="3"/>
        <charset val="134"/>
      </rPr>
      <t>未测出</t>
    </r>
    <r>
      <rPr>
        <sz val="10.5"/>
        <color indexed="8"/>
        <rFont val="Arial"/>
        <family val="2"/>
      </rPr>
      <t>-</t>
    </r>
    <r>
      <rPr>
        <sz val="10.5"/>
        <color indexed="8"/>
        <rFont val="宋体"/>
        <family val="3"/>
        <charset val="134"/>
      </rPr>
      <t>标准不明</t>
    </r>
  </si>
  <si>
    <t>单元测试</t>
  </si>
  <si>
    <t>异常或边界值输入操作</t>
  </si>
  <si>
    <t>性能</t>
  </si>
  <si>
    <t>算法问题</t>
  </si>
  <si>
    <t>外部的错误</t>
  </si>
  <si>
    <t>外部代码</t>
  </si>
  <si>
    <t>重写</t>
  </si>
  <si>
    <t>后台代码</t>
  </si>
  <si>
    <t>编码</t>
  </si>
  <si>
    <r>
      <rPr>
        <sz val="10.5"/>
        <color rgb="FF000000"/>
        <rFont val="宋体"/>
        <family val="3"/>
        <charset val="134"/>
      </rPr>
      <t>未测出</t>
    </r>
    <r>
      <rPr>
        <sz val="10.5"/>
        <color indexed="8"/>
        <rFont val="Arial"/>
        <family val="2"/>
      </rPr>
      <t>-</t>
    </r>
    <r>
      <rPr>
        <sz val="10.5"/>
        <color indexed="8"/>
        <rFont val="宋体"/>
        <family val="3"/>
        <charset val="134"/>
      </rPr>
      <t>其它原因</t>
    </r>
  </si>
  <si>
    <t>功能测试</t>
  </si>
  <si>
    <t>迭代操作</t>
  </si>
  <si>
    <t>可维护性</t>
  </si>
  <si>
    <t>功能性错误</t>
  </si>
  <si>
    <t>植入代码</t>
  </si>
  <si>
    <t>重新修复</t>
  </si>
  <si>
    <t>运行环境</t>
  </si>
  <si>
    <t>其它</t>
  </si>
  <si>
    <t>系统测试</t>
  </si>
  <si>
    <t>阻碍</t>
  </si>
  <si>
    <t>可操作性</t>
  </si>
  <si>
    <t>界面错误</t>
  </si>
  <si>
    <r>
      <rPr>
        <sz val="10"/>
        <color rgb="FF000000"/>
        <rFont val="Arial"/>
        <family val="2"/>
      </rPr>
      <t>Beta</t>
    </r>
    <r>
      <rPr>
        <sz val="10"/>
        <color indexed="8"/>
        <rFont val="宋体"/>
        <family val="3"/>
        <charset val="134"/>
      </rPr>
      <t>测试</t>
    </r>
  </si>
  <si>
    <t>负荷压力</t>
  </si>
  <si>
    <t>可移植性</t>
  </si>
  <si>
    <t>代码关联或继承错误</t>
  </si>
  <si>
    <t>修复测试</t>
  </si>
  <si>
    <t>数据恢复与出错处理</t>
  </si>
  <si>
    <t>文档方面</t>
  </si>
  <si>
    <t>时间相关性错误</t>
  </si>
  <si>
    <r>
      <rPr>
        <sz val="10"/>
        <color rgb="FF000000"/>
        <rFont val="Arial"/>
        <family val="2"/>
      </rPr>
      <t>GUI</t>
    </r>
    <r>
      <rPr>
        <sz val="10"/>
        <color indexed="8"/>
        <rFont val="宋体"/>
        <family val="3"/>
        <charset val="134"/>
      </rPr>
      <t>检查</t>
    </r>
  </si>
  <si>
    <t>系统启动与重启</t>
  </si>
  <si>
    <t>可用性</t>
  </si>
  <si>
    <t>性能测试</t>
  </si>
  <si>
    <t>硬件配置</t>
  </si>
  <si>
    <t>标准化</t>
  </si>
  <si>
    <t>软件配置</t>
  </si>
  <si>
    <t>可靠性</t>
  </si>
  <si>
    <t>简单路径</t>
  </si>
  <si>
    <t>需求方面</t>
  </si>
  <si>
    <t>复杂路径</t>
  </si>
  <si>
    <t>成熟能力</t>
  </si>
  <si>
    <t>设计一致性</t>
  </si>
  <si>
    <t>逻辑或数据流</t>
  </si>
  <si>
    <t>横向兼容性</t>
  </si>
  <si>
    <t>向后兼容性</t>
  </si>
  <si>
    <t>语言依赖性</t>
  </si>
  <si>
    <t>并发</t>
  </si>
  <si>
    <t>内部文件</t>
  </si>
  <si>
    <t>副作用</t>
  </si>
  <si>
    <t>罕见的情形</t>
  </si>
  <si>
    <r>
      <rPr>
        <sz val="10.5"/>
        <color rgb="FF000000"/>
        <rFont val="宋体"/>
        <family val="3"/>
        <charset val="134"/>
      </rPr>
      <t>备注：当</t>
    </r>
    <r>
      <rPr>
        <sz val="10.5"/>
        <color indexed="8"/>
        <rFont val="Arial"/>
        <family val="2"/>
      </rPr>
      <t>Activity</t>
    </r>
    <r>
      <rPr>
        <sz val="10.5"/>
        <color indexed="8"/>
        <rFont val="宋体"/>
        <family val="3"/>
        <charset val="134"/>
      </rPr>
      <t>选择</t>
    </r>
    <r>
      <rPr>
        <sz val="10.5"/>
        <color indexed="8"/>
        <rFont val="Arial"/>
        <family val="2"/>
      </rPr>
      <t>Trigger</t>
    </r>
    <r>
      <rPr>
        <sz val="10.5"/>
        <color indexed="8"/>
        <rFont val="宋体"/>
        <family val="3"/>
        <charset val="134"/>
      </rPr>
      <t>时，请选择与之颜色一致的</t>
    </r>
    <r>
      <rPr>
        <sz val="10.5"/>
        <color indexed="8"/>
        <rFont val="Arial"/>
        <family val="2"/>
      </rPr>
      <t>Trigger</t>
    </r>
    <r>
      <rPr>
        <sz val="10.5"/>
        <color indexed="8"/>
        <rFont val="宋体"/>
        <family val="3"/>
        <charset val="134"/>
      </rPr>
      <t>项目。</t>
    </r>
  </si>
  <si>
    <t>人员度量统计分析报告</t>
  </si>
  <si>
    <t>度量一：项目组成员每周的工作量投入情况</t>
  </si>
  <si>
    <t>角色</t>
  </si>
  <si>
    <t>开发工程师</t>
  </si>
  <si>
    <t>UI及美工工程师</t>
  </si>
  <si>
    <t>策划工程师</t>
  </si>
  <si>
    <t>测试工程师</t>
  </si>
  <si>
    <t>配置管理员</t>
  </si>
  <si>
    <t>质量保证</t>
  </si>
  <si>
    <t>其他人员</t>
  </si>
  <si>
    <t>目的：度量每周人员投入情况，为计划时安排资源提供输入</t>
  </si>
  <si>
    <t>累计工作量</t>
  </si>
  <si>
    <t>度量单位：项目成员每周投入的工作量（人天）</t>
  </si>
  <si>
    <t>工作量比例</t>
  </si>
  <si>
    <t>说明：本页工时数据来源于devsuite、工时系统或个人周报；“要求的人员业务知识”数据来源于“确定性估算总体估算与计划表”</t>
  </si>
  <si>
    <t>项目角色</t>
  </si>
  <si>
    <t>项目成员</t>
  </si>
  <si>
    <t>工作年限</t>
  </si>
  <si>
    <t>要求的
技能系数</t>
  </si>
  <si>
    <t>实际的
技能系数</t>
  </si>
  <si>
    <t>要求的
人员业务知识</t>
  </si>
  <si>
    <t>实际的
人员业务知识</t>
  </si>
  <si>
    <t>度量二：团队平均技能系数</t>
  </si>
  <si>
    <t>目的：度量团队的整体技能水平，该指标越高，说明项目团队的整体技能水平越高。</t>
  </si>
  <si>
    <t>团队技能平均系数</t>
  </si>
  <si>
    <t>策划团队</t>
  </si>
  <si>
    <t>需求分析</t>
  </si>
  <si>
    <t>开发团队</t>
  </si>
  <si>
    <t>测试团队</t>
  </si>
  <si>
    <t>UI及美工团队</t>
  </si>
  <si>
    <t>架构师团队</t>
  </si>
  <si>
    <t>质量保证工程师</t>
  </si>
  <si>
    <t>配置管理工程师</t>
  </si>
  <si>
    <t>度量三：各阶段资源到位率</t>
  </si>
  <si>
    <t>目的：度量各阶段开发人员数量，为计划时安排资源提供输入</t>
  </si>
  <si>
    <t>度量单位：人员数量</t>
  </si>
  <si>
    <t>计划投入人数</t>
  </si>
  <si>
    <t>实际到位人数</t>
  </si>
  <si>
    <t>各阶段资源到位率</t>
  </si>
  <si>
    <t>度量四：人员变动率 (不考虑全职兼职，按人头计算)</t>
  </si>
  <si>
    <t>目的：评估团队的稳定性</t>
  </si>
  <si>
    <t>度量单位：阶段开发人员数（按人次计）</t>
  </si>
  <si>
    <t>起始人数</t>
  </si>
  <si>
    <t>新入职人员</t>
  </si>
  <si>
    <t>离职人数</t>
  </si>
  <si>
    <t>内部调入</t>
  </si>
  <si>
    <t>内部调出</t>
  </si>
  <si>
    <t>实际人数</t>
  </si>
  <si>
    <t>变动率</t>
  </si>
  <si>
    <t>度量五：稼动率 各阶段的工作量投入情况分析</t>
  </si>
  <si>
    <t>目的：项目的稼动率，该指标&gt;1表示团队的加班情况越明显，指标&lt;0表示资源使用不充分。</t>
  </si>
  <si>
    <t>度量的单位:</t>
  </si>
  <si>
    <t>计划投入工作量</t>
  </si>
  <si>
    <t>实际投入工作量</t>
  </si>
  <si>
    <t>稼动率</t>
  </si>
  <si>
    <t>1、识别异常点</t>
  </si>
  <si>
    <t>“项目工作量偏差率”控制图，产品测试阶段的工作量偏差超出上限。</t>
  </si>
  <si>
    <t>2、过程相关数据收集及分析</t>
  </si>
  <si>
    <t>1）产品测试阶段分析</t>
  </si>
  <si>
    <t>活动名称</t>
  </si>
  <si>
    <t>单位规模工作量
（人时/SFP）</t>
  </si>
  <si>
    <t>规模SFP</t>
  </si>
  <si>
    <t>计划工作量(人时)</t>
  </si>
  <si>
    <t>实际工作量（人时）</t>
  </si>
  <si>
    <t>偏差率</t>
  </si>
  <si>
    <t>集成测试</t>
  </si>
  <si>
    <t>集成测试工作量（人时）</t>
  </si>
  <si>
    <t>集成测试单位规模工作量</t>
  </si>
  <si>
    <r>
      <rPr>
        <sz val="10"/>
        <rFont val="微软雅黑"/>
        <family val="2"/>
        <charset val="134"/>
      </rPr>
      <t>根据集成测试活动和系统测试活动的计划工作量和实际工作量的数据对比，系统测试活动的工作量基本正常，而</t>
    </r>
    <r>
      <rPr>
        <b/>
        <sz val="10"/>
        <rFont val="微软雅黑"/>
        <family val="2"/>
        <charset val="134"/>
      </rPr>
      <t>集成测试活动的工作量偏高</t>
    </r>
    <r>
      <rPr>
        <sz val="10"/>
        <rFont val="微软雅黑"/>
        <family val="2"/>
        <charset val="134"/>
      </rPr>
      <t>，偏差率为24.3%，且相对项目QPPO值处于接近上限值。</t>
    </r>
  </si>
  <si>
    <t>集成测试过程数据异常</t>
  </si>
  <si>
    <t>2）集成测试活动分析</t>
  </si>
  <si>
    <t xml:space="preserve">    </t>
  </si>
  <si>
    <t>集成测试缺陷数（个）</t>
  </si>
  <si>
    <t>集成测试缺陷密度</t>
  </si>
  <si>
    <t>集成测试缺陷密度控制图中，数据点均落在中心线同侧，且在中心线和上限间。</t>
  </si>
  <si>
    <t>集成测试单位规模缺陷密度偏高</t>
  </si>
  <si>
    <t>集成测试用例数（个）</t>
  </si>
  <si>
    <t>集成测试单位规模用例数</t>
  </si>
  <si>
    <t>集成测试单位规模用例数偏高，用相对项目QPPO值处于接近上限值 。</t>
  </si>
  <si>
    <t>通过现有度量数据，可以得出集成测试阶段工作量高，可能有以下原因：</t>
  </si>
  <si>
    <t>3、原因分析</t>
  </si>
  <si>
    <t>组织会议，采用头脑风暴，对集成测试工作量高的原因进行分析，如下：</t>
  </si>
  <si>
    <t>分析问题及其影响程度</t>
  </si>
  <si>
    <t xml:space="preserve">序号 </t>
  </si>
  <si>
    <t xml:space="preserve">问题类型 </t>
  </si>
  <si>
    <t>影响程度</t>
  </si>
  <si>
    <t>根据分析的数据，绘制Pareto 图</t>
  </si>
  <si>
    <t>４、总结</t>
  </si>
  <si>
    <t xml:space="preserve">1、核心模块的复杂度较高，导致编写测试用例的工作难度比较大，所以工作量相应增加。
2、测试用例数量的增加，以及用例质量的提升，使得发现的缺陷数较多，相应引起缺陷修改和回归工作量的增加。
</t>
  </si>
  <si>
    <t>5、改进行动</t>
  </si>
  <si>
    <t>短期措施：</t>
  </si>
  <si>
    <t>1，将测试阶段工作量实际数据带入模型进行目标模拟，预测目标达成的置信度；</t>
  </si>
  <si>
    <t>2，如目标达成的置信度较低，将其纳入风险管理，并增加对后续阶段工作量偏差的监控频度；</t>
  </si>
  <si>
    <t>长期措施：</t>
  </si>
  <si>
    <t>1，加强测试用例编写技能的培训，提高测试人员用例编写技能水平。负责人：，完成日期：</t>
  </si>
  <si>
    <r>
      <rPr>
        <sz val="10"/>
        <rFont val="微软雅黑"/>
        <family val="2"/>
        <charset val="134"/>
      </rPr>
      <t xml:space="preserve">注：
Y：数据一致；
</t>
    </r>
    <r>
      <rPr>
        <sz val="10"/>
        <color indexed="10"/>
        <rFont val="微软雅黑"/>
        <family val="2"/>
        <charset val="134"/>
      </rPr>
      <t>N：数据不一致，请检查&lt;项目度量分析计划&gt;中“项目目标”值和&lt;模型&gt;页上的“定义假设单元”表中的值，并修改。</t>
    </r>
  </si>
  <si>
    <t>立项需求阶段</t>
  </si>
  <si>
    <t xml:space="preserve">全设计 </t>
  </si>
  <si>
    <t>核心模块设计</t>
  </si>
  <si>
    <t>　阶段进度偏差</t>
  </si>
  <si>
    <t>P1(致命)缺陷</t>
    <phoneticPr fontId="156" type="noConversion"/>
  </si>
  <si>
    <t>P2(严重)缺陷</t>
    <phoneticPr fontId="156" type="noConversion"/>
  </si>
  <si>
    <t>P3(一般)缺陷</t>
    <phoneticPr fontId="156" type="noConversion"/>
  </si>
  <si>
    <t>P4(微小)缺陷</t>
    <phoneticPr fontId="156" type="noConversion"/>
  </si>
  <si>
    <t>P5(建议)缺陷</t>
    <phoneticPr fontId="156" type="noConversion"/>
  </si>
  <si>
    <t>P1(致命)</t>
    <phoneticPr fontId="156" type="noConversion"/>
  </si>
  <si>
    <t>P2(严重)</t>
    <phoneticPr fontId="156" type="noConversion"/>
  </si>
  <si>
    <t>P3(一般)</t>
    <phoneticPr fontId="156" type="noConversion"/>
  </si>
  <si>
    <t>P4(微小)</t>
    <phoneticPr fontId="156" type="noConversion"/>
  </si>
  <si>
    <t>P5(建议)</t>
    <phoneticPr fontId="15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</si>
</sst>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176" formatCode="_(* #,##0.00_);_(* \(#,##0.00\);_(* &quot;-&quot;??_);_(@_)"/>
    <numFmt numFmtId="177" formatCode="yyyy/m/d;@"/>
    <numFmt numFmtId="178" formatCode="_(* #,##0_);_(* \(#,##0\);_(* &quot;-&quot;_);_(@_)"/>
    <numFmt numFmtId="179" formatCode="&quot;$&quot;#,##0_);[Red]\(&quot;$&quot;#,##0\)"/>
    <numFmt numFmtId="180" formatCode="0.0000_ "/>
    <numFmt numFmtId="181" formatCode="_(&quot;$&quot;* #,##0_);_(&quot;$&quot;* \(#,##0\);_(&quot;$&quot;* &quot;-&quot;_);_(@_)"/>
    <numFmt numFmtId="182" formatCode="m/d"/>
    <numFmt numFmtId="183" formatCode="0.0000_);[Red]\(0.0000\)"/>
    <numFmt numFmtId="184" formatCode="_ &quot;\&quot;* #,##0_ ;_ &quot;\&quot;* \-#,##0_ ;_ &quot;\&quot;* &quot;-&quot;_ ;_ @_ "/>
    <numFmt numFmtId="185" formatCode="_(&quot;$&quot;* #,##0.00_);_(&quot;$&quot;* \(#,##0.00\);_(&quot;$&quot;* &quot;-&quot;??_);_(@_)"/>
    <numFmt numFmtId="186" formatCode="#,##0;\-#,##0;&quot;-&quot;"/>
    <numFmt numFmtId="187" formatCode="0.00_ "/>
    <numFmt numFmtId="188" formatCode="0.00_);[Red]\(0.00\)"/>
    <numFmt numFmtId="189" formatCode="_ &quot;\&quot;* #,##0.00_ ;_ &quot;\&quot;* \-#,##0.00_ ;_ &quot;\&quot;* &quot;-&quot;??_ ;_ @_ "/>
    <numFmt numFmtId="190" formatCode="0.000_);[Red]\(0.000\)"/>
    <numFmt numFmtId="191" formatCode="0.0%"/>
    <numFmt numFmtId="192" formatCode="0.000000_ "/>
    <numFmt numFmtId="193" formatCode="0_);[Red]\(0\)"/>
    <numFmt numFmtId="194" formatCode="0.0_ "/>
    <numFmt numFmtId="195" formatCode="0.000_ "/>
    <numFmt numFmtId="196" formatCode="0_ "/>
    <numFmt numFmtId="197" formatCode="yyyy/mm/dd"/>
    <numFmt numFmtId="198" formatCode="yyyy\/mm\/dd"/>
    <numFmt numFmtId="199" formatCode="0.00000_ "/>
  </numFmts>
  <fonts count="157">
    <font>
      <sz val="11"/>
      <color theme="1"/>
      <name val="宋体"/>
      <charset val="134"/>
      <scheme val="minor"/>
    </font>
    <font>
      <sz val="10"/>
      <name val="微软雅黑"/>
      <family val="2"/>
      <charset val="134"/>
    </font>
    <font>
      <sz val="12"/>
      <name val="微软雅黑"/>
      <family val="2"/>
      <charset val="134"/>
    </font>
    <font>
      <b/>
      <sz val="12"/>
      <name val="微软雅黑"/>
      <family val="2"/>
      <charset val="134"/>
    </font>
    <font>
      <b/>
      <sz val="9"/>
      <color theme="0"/>
      <name val="宋体"/>
      <family val="3"/>
      <charset val="134"/>
    </font>
    <font>
      <sz val="9"/>
      <color theme="1"/>
      <name val="宋体"/>
      <family val="3"/>
      <charset val="134"/>
    </font>
    <font>
      <sz val="9"/>
      <color rgb="FFFF0000"/>
      <name val="宋体"/>
      <family val="3"/>
      <charset val="134"/>
    </font>
    <font>
      <u/>
      <sz val="10"/>
      <name val="微软雅黑"/>
      <family val="2"/>
      <charset val="134"/>
    </font>
    <font>
      <b/>
      <sz val="10"/>
      <color indexed="9"/>
      <name val="微软雅黑"/>
      <family val="2"/>
      <charset val="134"/>
    </font>
    <font>
      <b/>
      <sz val="10"/>
      <name val="微软雅黑"/>
      <family val="2"/>
      <charset val="134"/>
    </font>
    <font>
      <b/>
      <sz val="10"/>
      <color rgb="FFFFFFFF"/>
      <name val="微软雅黑"/>
      <family val="2"/>
      <charset val="134"/>
    </font>
    <font>
      <sz val="10"/>
      <color rgb="FF000000"/>
      <name val="微软雅黑"/>
      <family val="2"/>
      <charset val="134"/>
    </font>
    <font>
      <sz val="12"/>
      <name val="宋体"/>
      <family val="3"/>
      <charset val="134"/>
    </font>
    <font>
      <sz val="11"/>
      <color theme="1"/>
      <name val="宋体"/>
      <family val="3"/>
      <charset val="134"/>
      <scheme val="minor"/>
    </font>
    <font>
      <sz val="10"/>
      <name val="宋体"/>
      <family val="3"/>
      <charset val="134"/>
    </font>
    <font>
      <sz val="16"/>
      <name val="宋体"/>
      <family val="3"/>
      <charset val="134"/>
    </font>
    <font>
      <sz val="10"/>
      <name val="Times New Roman"/>
      <family val="1"/>
    </font>
    <font>
      <sz val="10"/>
      <color rgb="FFFF0000"/>
      <name val="宋体"/>
      <family val="3"/>
      <charset val="134"/>
    </font>
    <font>
      <b/>
      <sz val="10"/>
      <name val="宋体"/>
      <family val="3"/>
      <charset val="134"/>
    </font>
    <font>
      <sz val="10"/>
      <color theme="1"/>
      <name val="宋体"/>
      <family val="3"/>
      <charset val="134"/>
      <scheme val="minor"/>
    </font>
    <font>
      <sz val="16"/>
      <name val="Times New Roman"/>
      <family val="1"/>
    </font>
    <font>
      <b/>
      <sz val="10"/>
      <color theme="1"/>
      <name val="宋体"/>
      <family val="3"/>
      <charset val="134"/>
      <scheme val="minor"/>
    </font>
    <font>
      <sz val="9"/>
      <name val="宋体"/>
      <family val="3"/>
      <charset val="134"/>
    </font>
    <font>
      <sz val="9"/>
      <color rgb="FF000000"/>
      <name val="宋体"/>
      <family val="3"/>
      <charset val="134"/>
    </font>
    <font>
      <sz val="10"/>
      <color theme="0"/>
      <name val="宋体"/>
      <family val="3"/>
      <charset val="134"/>
    </font>
    <font>
      <b/>
      <sz val="10"/>
      <color theme="0"/>
      <name val="宋体"/>
      <family val="3"/>
      <charset val="134"/>
    </font>
    <font>
      <sz val="10"/>
      <color theme="1"/>
      <name val="宋体"/>
      <family val="3"/>
      <charset val="134"/>
    </font>
    <font>
      <sz val="9"/>
      <name val="仿宋"/>
      <family val="3"/>
      <charset val="134"/>
    </font>
    <font>
      <b/>
      <sz val="10"/>
      <color rgb="FF000000"/>
      <name val="Arial"/>
      <family val="2"/>
    </font>
    <font>
      <sz val="10"/>
      <color rgb="FF000000"/>
      <name val="宋体"/>
      <family val="3"/>
      <charset val="134"/>
    </font>
    <font>
      <sz val="10"/>
      <color rgb="FFFFFFFF"/>
      <name val="宋体"/>
      <family val="3"/>
      <charset val="134"/>
    </font>
    <font>
      <sz val="10"/>
      <color rgb="FF000000"/>
      <name val="Arial"/>
      <family val="2"/>
    </font>
    <font>
      <b/>
      <sz val="10"/>
      <color rgb="FF000000"/>
      <name val="宋体"/>
      <family val="3"/>
      <charset val="134"/>
    </font>
    <font>
      <sz val="10.5"/>
      <color rgb="FF000000"/>
      <name val="宋体"/>
      <family val="3"/>
      <charset val="134"/>
    </font>
    <font>
      <sz val="22"/>
      <name val="宋体"/>
      <family val="3"/>
      <charset val="134"/>
    </font>
    <font>
      <sz val="10"/>
      <color theme="5"/>
      <name val="宋体"/>
      <family val="3"/>
      <charset val="134"/>
    </font>
    <font>
      <sz val="10"/>
      <color indexed="12"/>
      <name val="宋体"/>
      <family val="3"/>
      <charset val="134"/>
    </font>
    <font>
      <b/>
      <sz val="10"/>
      <name val="Times New Roman"/>
      <family val="1"/>
    </font>
    <font>
      <sz val="10"/>
      <color rgb="FFC00000"/>
      <name val="宋体"/>
      <family val="3"/>
      <charset val="134"/>
    </font>
    <font>
      <sz val="10"/>
      <color rgb="FF0066FF"/>
      <name val="宋体"/>
      <family val="3"/>
      <charset val="134"/>
    </font>
    <font>
      <b/>
      <sz val="10"/>
      <color theme="1"/>
      <name val="宋体"/>
      <family val="3"/>
      <charset val="134"/>
    </font>
    <font>
      <b/>
      <sz val="12"/>
      <name val="宋体"/>
      <family val="3"/>
      <charset val="134"/>
    </font>
    <font>
      <b/>
      <sz val="16"/>
      <name val="宋体"/>
      <family val="3"/>
      <charset val="134"/>
    </font>
    <font>
      <b/>
      <sz val="14"/>
      <color indexed="9"/>
      <name val="宋体"/>
      <family val="3"/>
      <charset val="134"/>
    </font>
    <font>
      <sz val="9"/>
      <color indexed="9"/>
      <name val="宋体"/>
      <family val="3"/>
      <charset val="134"/>
    </font>
    <font>
      <b/>
      <sz val="10"/>
      <color indexed="9"/>
      <name val="宋体"/>
      <family val="3"/>
      <charset val="134"/>
    </font>
    <font>
      <sz val="10"/>
      <color indexed="8"/>
      <name val="宋体"/>
      <family val="3"/>
      <charset val="134"/>
    </font>
    <font>
      <sz val="10"/>
      <color indexed="9"/>
      <name val="宋体"/>
      <family val="3"/>
      <charset val="134"/>
    </font>
    <font>
      <sz val="10"/>
      <color rgb="FFFF0000"/>
      <name val="宋体"/>
      <family val="3"/>
      <charset val="134"/>
      <scheme val="minor"/>
    </font>
    <font>
      <i/>
      <sz val="10"/>
      <color rgb="FF0000FF"/>
      <name val="宋体"/>
      <family val="3"/>
      <charset val="134"/>
    </font>
    <font>
      <sz val="12"/>
      <color rgb="FFFFFF00"/>
      <name val="微软雅黑"/>
      <family val="2"/>
      <charset val="134"/>
    </font>
    <font>
      <sz val="11"/>
      <color rgb="FFFFFF00"/>
      <name val="宋体"/>
      <family val="3"/>
      <charset val="134"/>
      <scheme val="minor"/>
    </font>
    <font>
      <b/>
      <sz val="14"/>
      <name val="微软雅黑"/>
      <family val="2"/>
      <charset val="134"/>
    </font>
    <font>
      <b/>
      <sz val="12"/>
      <color indexed="9"/>
      <name val="微软雅黑"/>
      <family val="2"/>
      <charset val="134"/>
    </font>
    <font>
      <sz val="11"/>
      <name val="微软雅黑"/>
      <family val="2"/>
      <charset val="134"/>
    </font>
    <font>
      <sz val="11"/>
      <color theme="1"/>
      <name val="微软雅黑"/>
      <family val="2"/>
      <charset val="134"/>
    </font>
    <font>
      <sz val="16"/>
      <name val="微软雅黑"/>
      <family val="2"/>
      <charset val="134"/>
    </font>
    <font>
      <sz val="10"/>
      <color rgb="FFFF0000"/>
      <name val="微软雅黑"/>
      <family val="2"/>
      <charset val="134"/>
    </font>
    <font>
      <sz val="12"/>
      <color rgb="FFFF0000"/>
      <name val="微软雅黑"/>
      <family val="2"/>
      <charset val="134"/>
    </font>
    <font>
      <b/>
      <sz val="14"/>
      <color indexed="9"/>
      <name val="微软雅黑"/>
      <family val="2"/>
      <charset val="134"/>
    </font>
    <font>
      <sz val="11"/>
      <color indexed="8"/>
      <name val="宋体"/>
      <family val="3"/>
      <charset val="134"/>
    </font>
    <font>
      <sz val="11"/>
      <color rgb="FF92D050"/>
      <name val="宋体"/>
      <family val="3"/>
      <charset val="134"/>
      <scheme val="minor"/>
    </font>
    <font>
      <sz val="11"/>
      <color theme="0" tint="-0.499984740745262"/>
      <name val="宋体"/>
      <family val="3"/>
      <charset val="134"/>
      <scheme val="minor"/>
    </font>
    <font>
      <sz val="11"/>
      <color theme="8" tint="0.39994506668294322"/>
      <name val="宋体"/>
      <family val="3"/>
      <charset val="134"/>
      <scheme val="minor"/>
    </font>
    <font>
      <sz val="14"/>
      <name val="微软雅黑"/>
      <family val="2"/>
      <charset val="134"/>
    </font>
    <font>
      <sz val="9"/>
      <name val="微软雅黑"/>
      <family val="2"/>
      <charset val="134"/>
    </font>
    <font>
      <b/>
      <sz val="26"/>
      <color theme="4" tint="-0.499984740745262"/>
      <name val="微软雅黑"/>
      <family val="2"/>
      <charset val="134"/>
    </font>
    <font>
      <sz val="10"/>
      <color theme="1"/>
      <name val="微软雅黑"/>
      <family val="2"/>
      <charset val="134"/>
    </font>
    <font>
      <i/>
      <sz val="10"/>
      <color rgb="FF0000FF"/>
      <name val="微软雅黑"/>
      <family val="2"/>
      <charset val="134"/>
    </font>
    <font>
      <sz val="10"/>
      <color indexed="8"/>
      <name val="微软雅黑"/>
      <family val="2"/>
      <charset val="134"/>
    </font>
    <font>
      <sz val="10"/>
      <color indexed="8"/>
      <name val="华文中宋"/>
      <family val="3"/>
      <charset val="134"/>
    </font>
    <font>
      <b/>
      <sz val="10"/>
      <color theme="0"/>
      <name val="微软雅黑"/>
      <family val="2"/>
      <charset val="134"/>
    </font>
    <font>
      <b/>
      <sz val="14"/>
      <color theme="0"/>
      <name val="微软雅黑"/>
      <family val="2"/>
      <charset val="134"/>
    </font>
    <font>
      <u/>
      <sz val="10"/>
      <color indexed="12"/>
      <name val="微软雅黑"/>
      <family val="2"/>
      <charset val="134"/>
    </font>
    <font>
      <sz val="10"/>
      <color rgb="FF7030A0"/>
      <name val="宋体"/>
      <family val="3"/>
      <charset val="134"/>
    </font>
    <font>
      <b/>
      <sz val="9"/>
      <name val="宋体"/>
      <family val="3"/>
      <charset val="134"/>
    </font>
    <font>
      <b/>
      <sz val="10"/>
      <name val="Comic Sans MS"/>
      <family val="4"/>
    </font>
    <font>
      <b/>
      <sz val="12"/>
      <name val="Comic Sans MS"/>
      <family val="4"/>
    </font>
    <font>
      <u/>
      <sz val="12"/>
      <color indexed="12"/>
      <name val="宋体"/>
      <family val="3"/>
      <charset val="134"/>
    </font>
    <font>
      <sz val="12"/>
      <name val="Comic Sans MS"/>
      <family val="4"/>
    </font>
    <font>
      <b/>
      <sz val="18"/>
      <color indexed="8"/>
      <name val="宋体"/>
      <family val="3"/>
      <charset val="134"/>
    </font>
    <font>
      <sz val="10.5"/>
      <color indexed="8"/>
      <name val="宋体"/>
      <family val="3"/>
      <charset val="134"/>
    </font>
    <font>
      <sz val="10.5"/>
      <color indexed="8"/>
      <name val="Times New Roman"/>
      <family val="1"/>
    </font>
    <font>
      <b/>
      <sz val="14"/>
      <color indexed="8"/>
      <name val="宋体"/>
      <family val="3"/>
      <charset val="134"/>
    </font>
    <font>
      <b/>
      <u/>
      <sz val="12"/>
      <color indexed="8"/>
      <name val="宋体"/>
      <family val="3"/>
      <charset val="134"/>
    </font>
    <font>
      <b/>
      <sz val="11"/>
      <color theme="1"/>
      <name val="宋体"/>
      <family val="3"/>
      <charset val="134"/>
      <scheme val="minor"/>
    </font>
    <font>
      <sz val="11"/>
      <name val="ＭＳ 明朝"/>
      <family val="3"/>
    </font>
    <font>
      <sz val="10"/>
      <name val="MS Sans Serif"/>
      <family val="1"/>
    </font>
    <font>
      <b/>
      <sz val="11"/>
      <color indexed="8"/>
      <name val="Calibri"/>
      <family val="2"/>
    </font>
    <font>
      <sz val="7"/>
      <name val="Small Fonts"/>
      <family val="2"/>
    </font>
    <font>
      <b/>
      <sz val="11"/>
      <color indexed="53"/>
      <name val="Calibri"/>
      <family val="2"/>
    </font>
    <font>
      <b/>
      <sz val="11"/>
      <color indexed="63"/>
      <name val="Calibri"/>
      <family val="2"/>
    </font>
    <font>
      <sz val="11"/>
      <color indexed="53"/>
      <name val="Calibri"/>
      <family val="2"/>
    </font>
    <font>
      <sz val="11"/>
      <color indexed="8"/>
      <name val="Calibri"/>
      <family val="2"/>
    </font>
    <font>
      <sz val="11"/>
      <color indexed="9"/>
      <name val="Calibri"/>
      <family val="2"/>
    </font>
    <font>
      <b/>
      <sz val="11"/>
      <color indexed="52"/>
      <name val="宋体"/>
      <family val="3"/>
      <charset val="134"/>
    </font>
    <font>
      <sz val="12"/>
      <name val="M"/>
      <charset val="136"/>
    </font>
    <font>
      <sz val="11"/>
      <color indexed="62"/>
      <name val="Calibri"/>
      <family val="2"/>
    </font>
    <font>
      <sz val="11"/>
      <name val="ＭＳ Ｐゴシック"/>
      <charset val="134"/>
    </font>
    <font>
      <sz val="11"/>
      <name val="Times New Roman"/>
      <family val="1"/>
    </font>
    <font>
      <b/>
      <sz val="11"/>
      <color indexed="63"/>
      <name val="宋体"/>
      <family val="3"/>
      <charset val="134"/>
    </font>
    <font>
      <sz val="9"/>
      <color indexed="17"/>
      <name val="幼圆"/>
      <family val="3"/>
      <charset val="134"/>
    </font>
    <font>
      <b/>
      <sz val="11"/>
      <color indexed="9"/>
      <name val="Calibri"/>
      <family val="2"/>
    </font>
    <font>
      <sz val="12"/>
      <name val="Times New Roman"/>
      <family val="1"/>
    </font>
    <font>
      <sz val="11"/>
      <color indexed="17"/>
      <name val="微软雅黑"/>
      <family val="2"/>
      <charset val="134"/>
    </font>
    <font>
      <sz val="9"/>
      <color indexed="20"/>
      <name val="幼圆"/>
      <family val="3"/>
      <charset val="134"/>
    </font>
    <font>
      <sz val="11"/>
      <name val="ＭＳ Ｐゴシック"/>
      <charset val="128"/>
    </font>
    <font>
      <b/>
      <sz val="11"/>
      <color indexed="62"/>
      <name val="Calibri"/>
      <family val="2"/>
    </font>
    <font>
      <sz val="10"/>
      <name val="Helv"/>
      <family val="2"/>
    </font>
    <font>
      <u/>
      <sz val="10"/>
      <color indexed="36"/>
      <name val="ＭＳ Ｐ明朝"/>
      <charset val="134"/>
    </font>
    <font>
      <sz val="10"/>
      <name val="Arial"/>
      <family val="2"/>
    </font>
    <font>
      <sz val="8"/>
      <name val="Arial"/>
      <family val="2"/>
    </font>
    <font>
      <sz val="11"/>
      <color indexed="60"/>
      <name val="Calibri"/>
      <family val="2"/>
    </font>
    <font>
      <sz val="11"/>
      <color indexed="60"/>
      <name val="宋体"/>
      <family val="3"/>
      <charset val="134"/>
    </font>
    <font>
      <b/>
      <sz val="13"/>
      <color indexed="56"/>
      <name val="宋体"/>
      <family val="3"/>
      <charset val="134"/>
    </font>
    <font>
      <sz val="11"/>
      <color indexed="9"/>
      <name val="宋体"/>
      <family val="3"/>
      <charset val="134"/>
    </font>
    <font>
      <b/>
      <sz val="13"/>
      <color indexed="62"/>
      <name val="Calibri"/>
      <family val="2"/>
    </font>
    <font>
      <u/>
      <sz val="10"/>
      <color indexed="12"/>
      <name val="ＭＳ Ｐ明朝"/>
      <charset val="128"/>
    </font>
    <font>
      <u/>
      <sz val="10"/>
      <color indexed="12"/>
      <name val="ＭＳ Ｐ明朝"/>
      <charset val="134"/>
    </font>
    <font>
      <sz val="11"/>
      <color indexed="10"/>
      <name val="宋体"/>
      <family val="3"/>
      <charset val="134"/>
    </font>
    <font>
      <sz val="12"/>
      <name val="바탕체"/>
      <family val="3"/>
    </font>
    <font>
      <b/>
      <sz val="18"/>
      <color indexed="56"/>
      <name val="Cambria"/>
      <family val="1"/>
    </font>
    <font>
      <sz val="11"/>
      <color indexed="16"/>
      <name val="Calibri"/>
      <family val="2"/>
    </font>
    <font>
      <u/>
      <sz val="10.8"/>
      <color indexed="12"/>
      <name val="宋体"/>
      <family val="3"/>
      <charset val="134"/>
    </font>
    <font>
      <b/>
      <sz val="18"/>
      <color indexed="62"/>
      <name val="Cambria"/>
      <family val="1"/>
    </font>
    <font>
      <sz val="10"/>
      <color indexed="8"/>
      <name val="Arial"/>
      <family val="2"/>
    </font>
    <font>
      <i/>
      <sz val="11"/>
      <color indexed="23"/>
      <name val="Calibri"/>
      <family val="2"/>
    </font>
    <font>
      <sz val="11"/>
      <color indexed="17"/>
      <name val="Calibri"/>
      <family val="2"/>
    </font>
    <font>
      <b/>
      <sz val="12"/>
      <name val="Arial"/>
      <family val="2"/>
    </font>
    <font>
      <sz val="11"/>
      <color indexed="20"/>
      <name val="微软雅黑"/>
      <family val="2"/>
      <charset val="134"/>
    </font>
    <font>
      <b/>
      <sz val="15"/>
      <color indexed="62"/>
      <name val="Calibri"/>
      <family val="2"/>
    </font>
    <font>
      <b/>
      <sz val="11"/>
      <color indexed="9"/>
      <name val="宋体"/>
      <family val="3"/>
      <charset val="134"/>
    </font>
    <font>
      <sz val="9"/>
      <color indexed="20"/>
      <name val="微软雅黑"/>
      <family val="2"/>
      <charset val="134"/>
    </font>
    <font>
      <sz val="11"/>
      <color indexed="10"/>
      <name val="Calibri"/>
      <family val="2"/>
    </font>
    <font>
      <sz val="12"/>
      <name val="MS Sans Serif"/>
      <family val="2"/>
    </font>
    <font>
      <b/>
      <sz val="18"/>
      <color indexed="56"/>
      <name val="宋体"/>
      <family val="3"/>
      <charset val="134"/>
    </font>
    <font>
      <b/>
      <sz val="12"/>
      <name val="MS Sans Serif"/>
      <family val="2"/>
    </font>
    <font>
      <b/>
      <sz val="15"/>
      <color indexed="62"/>
      <name val="宋体"/>
      <family val="3"/>
      <charset val="134"/>
    </font>
    <font>
      <b/>
      <sz val="15"/>
      <color indexed="56"/>
      <name val="宋体"/>
      <family val="3"/>
      <charset val="134"/>
    </font>
    <font>
      <b/>
      <sz val="13"/>
      <color indexed="62"/>
      <name val="宋体"/>
      <family val="3"/>
      <charset val="134"/>
    </font>
    <font>
      <b/>
      <sz val="11"/>
      <color indexed="56"/>
      <name val="宋体"/>
      <family val="3"/>
      <charset val="134"/>
    </font>
    <font>
      <u/>
      <sz val="10"/>
      <color indexed="36"/>
      <name val="ＭＳ Ｐ明朝"/>
      <charset val="128"/>
    </font>
    <font>
      <sz val="11"/>
      <color indexed="20"/>
      <name val="宋体"/>
      <family val="3"/>
      <charset val="134"/>
    </font>
    <font>
      <sz val="9"/>
      <color indexed="17"/>
      <name val="微软雅黑"/>
      <family val="2"/>
      <charset val="134"/>
    </font>
    <font>
      <sz val="11"/>
      <color indexed="17"/>
      <name val="宋体"/>
      <family val="3"/>
      <charset val="134"/>
    </font>
    <font>
      <b/>
      <sz val="11"/>
      <color indexed="8"/>
      <name val="宋体"/>
      <family val="3"/>
      <charset val="134"/>
    </font>
    <font>
      <i/>
      <sz val="11"/>
      <color indexed="23"/>
      <name val="宋体"/>
      <family val="3"/>
      <charset val="134"/>
    </font>
    <font>
      <sz val="11"/>
      <color indexed="52"/>
      <name val="宋体"/>
      <family val="3"/>
      <charset val="134"/>
    </font>
    <font>
      <sz val="11"/>
      <color indexed="62"/>
      <name val="宋体"/>
      <family val="3"/>
      <charset val="134"/>
    </font>
    <font>
      <sz val="10"/>
      <color indexed="10"/>
      <name val="微软雅黑"/>
      <family val="2"/>
      <charset val="134"/>
    </font>
    <font>
      <sz val="10.5"/>
      <color indexed="8"/>
      <name val="Arial"/>
      <family val="2"/>
    </font>
    <font>
      <b/>
      <u/>
      <sz val="12"/>
      <color indexed="8"/>
      <name val="Arial"/>
      <family val="2"/>
    </font>
    <font>
      <sz val="11"/>
      <color theme="1"/>
      <name val="宋体"/>
      <family val="3"/>
      <charset val="134"/>
    </font>
    <font>
      <sz val="8"/>
      <color rgb="FF000000"/>
      <name val="宋体"/>
      <family val="3"/>
      <charset val="134"/>
    </font>
    <font>
      <sz val="9"/>
      <name val="Tahoma"/>
      <family val="2"/>
    </font>
    <font>
      <sz val="11"/>
      <color rgb="FFFF0000"/>
      <name val="宋体"/>
      <family val="3"/>
      <charset val="134"/>
    </font>
    <font>
      <sz val="9"/>
      <name val="宋体"/>
      <family val="3"/>
      <charset val="134"/>
      <scheme val="minor"/>
    </font>
  </fonts>
  <fills count="87">
    <fill>
      <patternFill patternType="none"/>
    </fill>
    <fill>
      <patternFill patternType="gray125"/>
    </fill>
    <fill>
      <patternFill patternType="solid">
        <fgColor theme="4" tint="0.39994506668294322"/>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4"/>
        <bgColor theme="4"/>
      </patternFill>
    </fill>
    <fill>
      <patternFill patternType="solid">
        <fgColor rgb="FFFFC000"/>
        <bgColor indexed="64"/>
      </patternFill>
    </fill>
    <fill>
      <patternFill patternType="solid">
        <fgColor theme="4" tint="0.79995117038483843"/>
        <bgColor theme="4" tint="0.79995117038483843"/>
      </patternFill>
    </fill>
    <fill>
      <patternFill patternType="solid">
        <fgColor theme="4" tint="0.59999389629810485"/>
        <bgColor theme="4" tint="0.59999389629810485"/>
      </patternFill>
    </fill>
    <fill>
      <patternFill patternType="solid">
        <fgColor theme="5" tint="0.39994506668294322"/>
        <bgColor indexed="64"/>
      </patternFill>
    </fill>
    <fill>
      <patternFill patternType="solid">
        <fgColor rgb="FF00B050"/>
        <bgColor indexed="64"/>
      </patternFill>
    </fill>
    <fill>
      <patternFill patternType="solid">
        <fgColor theme="0"/>
        <bgColor indexed="64"/>
      </patternFill>
    </fill>
    <fill>
      <patternFill patternType="solid">
        <fgColor theme="4" tint="-0.249977111117893"/>
        <bgColor indexed="25"/>
      </patternFill>
    </fill>
    <fill>
      <patternFill patternType="solid">
        <fgColor rgb="FF4F81BD"/>
        <bgColor indexed="64"/>
      </patternFill>
    </fill>
    <fill>
      <patternFill patternType="solid">
        <fgColor rgb="FFDBE5F1"/>
        <bgColor indexed="64"/>
      </patternFill>
    </fill>
    <fill>
      <patternFill patternType="solid">
        <fgColor rgb="FFB8CCE4"/>
        <bgColor indexed="64"/>
      </patternFill>
    </fill>
    <fill>
      <patternFill patternType="solid">
        <fgColor indexed="9"/>
        <bgColor indexed="64"/>
      </patternFill>
    </fill>
    <fill>
      <patternFill patternType="solid">
        <fgColor rgb="FF00FFFF"/>
        <bgColor indexed="64"/>
      </patternFill>
    </fill>
    <fill>
      <patternFill patternType="solid">
        <fgColor rgb="FFCCFFFF"/>
        <bgColor indexed="64"/>
      </patternFill>
    </fill>
    <fill>
      <patternFill patternType="solid">
        <fgColor rgb="FFD8E4BC"/>
        <bgColor indexed="64"/>
      </patternFill>
    </fill>
    <fill>
      <patternFill patternType="solid">
        <fgColor indexed="65"/>
        <bgColor indexed="64"/>
      </patternFill>
    </fill>
    <fill>
      <patternFill patternType="solid">
        <fgColor theme="3" tint="0.59999389629810485"/>
        <bgColor indexed="64"/>
      </patternFill>
    </fill>
    <fill>
      <patternFill patternType="darkTrellis">
        <bgColor indexed="9"/>
      </patternFill>
    </fill>
    <fill>
      <patternFill patternType="solid">
        <fgColor indexed="15"/>
        <bgColor indexed="64"/>
      </patternFill>
    </fill>
    <fill>
      <patternFill patternType="solid">
        <fgColor theme="0" tint="-0.499984740745262"/>
        <bgColor theme="4"/>
      </patternFill>
    </fill>
    <fill>
      <patternFill patternType="solid">
        <fgColor theme="0" tint="-0.14996795556505021"/>
        <bgColor theme="4" tint="0.79995117038483843"/>
      </patternFill>
    </fill>
    <fill>
      <patternFill patternType="darkTrellis">
        <bgColor rgb="FFCCFFFF"/>
      </patternFill>
    </fill>
    <fill>
      <patternFill patternType="darkTrellis"/>
    </fill>
    <fill>
      <patternFill patternType="solid">
        <fgColor rgb="FF99CCFF"/>
        <bgColor indexed="64"/>
      </patternFill>
    </fill>
    <fill>
      <patternFill patternType="solid">
        <fgColor rgb="FF33CCCC"/>
        <bgColor indexed="64"/>
      </patternFill>
    </fill>
    <fill>
      <patternFill patternType="solid">
        <fgColor rgb="FF0066CC"/>
        <bgColor indexed="64"/>
      </patternFill>
    </fill>
    <fill>
      <patternFill patternType="solid">
        <fgColor rgb="FF00FF00"/>
        <bgColor indexed="64"/>
      </patternFill>
    </fill>
    <fill>
      <patternFill patternType="solid">
        <fgColor rgb="FFFFCC00"/>
        <bgColor indexed="64"/>
      </patternFill>
    </fill>
    <fill>
      <patternFill patternType="solid">
        <fgColor rgb="FFFFFF00"/>
        <bgColor indexed="64"/>
      </patternFill>
    </fill>
    <fill>
      <patternFill patternType="solid">
        <fgColor theme="0" tint="-0.34998626667073579"/>
        <bgColor theme="4" tint="0.59999389629810485"/>
      </patternFill>
    </fill>
    <fill>
      <patternFill patternType="solid">
        <fgColor indexed="62"/>
        <bgColor indexed="64"/>
      </patternFill>
    </fill>
    <fill>
      <patternFill patternType="solid">
        <fgColor indexed="44"/>
        <bgColor indexed="64"/>
      </patternFill>
    </fill>
    <fill>
      <patternFill patternType="solid">
        <fgColor indexed="55"/>
        <bgColor indexed="64"/>
      </patternFill>
    </fill>
    <fill>
      <patternFill patternType="solid">
        <fgColor indexed="31"/>
        <bgColor indexed="64"/>
      </patternFill>
    </fill>
    <fill>
      <patternFill patternType="solid">
        <fgColor indexed="22"/>
        <bgColor indexed="64"/>
      </patternFill>
    </fill>
    <fill>
      <patternFill patternType="solid">
        <fgColor indexed="53"/>
        <bgColor indexed="64"/>
      </patternFill>
    </fill>
    <fill>
      <patternFill patternType="solid">
        <fgColor indexed="23"/>
        <bgColor indexed="64"/>
      </patternFill>
    </fill>
    <fill>
      <patternFill patternType="solid">
        <fgColor theme="5" tint="-0.249977111117893"/>
        <bgColor indexed="64"/>
      </patternFill>
    </fill>
    <fill>
      <patternFill patternType="solid">
        <fgColor theme="4" tint="-0.499984740745262"/>
        <bgColor indexed="25"/>
      </patternFill>
    </fill>
    <fill>
      <patternFill patternType="solid">
        <fgColor indexed="62"/>
        <bgColor indexed="25"/>
      </patternFill>
    </fill>
    <fill>
      <patternFill patternType="solid">
        <fgColor indexed="30"/>
        <bgColor indexed="64"/>
      </patternFill>
    </fill>
    <fill>
      <patternFill patternType="solid">
        <fgColor indexed="11"/>
        <bgColor indexed="64"/>
      </patternFill>
    </fill>
    <fill>
      <patternFill patternType="solid">
        <fgColor theme="0" tint="-4.9989318521683403E-2"/>
        <bgColor theme="4" tint="0.79995117038483843"/>
      </patternFill>
    </fill>
    <fill>
      <patternFill patternType="solid">
        <fgColor theme="4" tint="0.59999389629810485"/>
        <bgColor theme="4" tint="0.79995117038483843"/>
      </patternFill>
    </fill>
    <fill>
      <patternFill patternType="solid">
        <fgColor theme="0" tint="-0.14996795556505021"/>
        <bgColor indexed="64"/>
      </patternFill>
    </fill>
    <fill>
      <patternFill patternType="solid">
        <fgColor theme="4" tint="-0.249977111117893"/>
        <bgColor indexed="64"/>
      </patternFill>
    </fill>
    <fill>
      <patternFill patternType="solid">
        <fgColor indexed="42"/>
        <bgColor indexed="64"/>
      </patternFill>
    </fill>
    <fill>
      <patternFill patternType="solid">
        <fgColor theme="6" tint="0.59999389629810485"/>
        <bgColor indexed="64"/>
      </patternFill>
    </fill>
    <fill>
      <patternFill patternType="lightUp">
        <fgColor indexed="9"/>
        <bgColor indexed="22"/>
      </patternFill>
    </fill>
    <fill>
      <patternFill patternType="solid">
        <fgColor indexed="9"/>
        <bgColor indexed="9"/>
      </patternFill>
    </fill>
    <fill>
      <patternFill patternType="solid">
        <fgColor indexed="22"/>
        <bgColor indexed="22"/>
      </patternFill>
    </fill>
    <fill>
      <patternFill patternType="solid">
        <fgColor indexed="47"/>
        <bgColor indexed="47"/>
      </patternFill>
    </fill>
    <fill>
      <patternFill patternType="solid">
        <fgColor indexed="46"/>
        <bgColor indexed="64"/>
      </patternFill>
    </fill>
    <fill>
      <patternFill patternType="lightUp">
        <fgColor indexed="9"/>
        <bgColor indexed="55"/>
      </patternFill>
    </fill>
    <fill>
      <patternFill patternType="solid">
        <fgColor indexed="26"/>
        <bgColor indexed="26"/>
      </patternFill>
    </fill>
    <fill>
      <patternFill patternType="lightUp">
        <fgColor indexed="9"/>
        <bgColor indexed="29"/>
      </patternFill>
    </fill>
    <fill>
      <patternFill patternType="solid">
        <fgColor indexed="55"/>
        <bgColor indexed="55"/>
      </patternFill>
    </fill>
    <fill>
      <patternFill patternType="solid">
        <fgColor indexed="45"/>
        <bgColor indexed="64"/>
      </patternFill>
    </fill>
    <fill>
      <patternFill patternType="solid">
        <fgColor indexed="26"/>
        <bgColor indexed="64"/>
      </patternFill>
    </fill>
    <fill>
      <patternFill patternType="solid">
        <fgColor indexed="52"/>
        <bgColor indexed="52"/>
      </patternFill>
    </fill>
    <fill>
      <patternFill patternType="solid">
        <fgColor indexed="31"/>
        <bgColor indexed="31"/>
      </patternFill>
    </fill>
    <fill>
      <patternFill patternType="solid">
        <fgColor indexed="43"/>
        <bgColor indexed="43"/>
      </patternFill>
    </fill>
    <fill>
      <patternFill patternType="gray0625">
        <fgColor indexed="44"/>
        <bgColor indexed="26"/>
      </patternFill>
    </fill>
    <fill>
      <patternFill patternType="solid">
        <fgColor indexed="43"/>
        <bgColor indexed="64"/>
      </patternFill>
    </fill>
    <fill>
      <patternFill patternType="solid">
        <fgColor indexed="25"/>
        <bgColor indexed="64"/>
      </patternFill>
    </fill>
    <fill>
      <patternFill patternType="solid">
        <fgColor indexed="27"/>
        <bgColor indexed="64"/>
      </patternFill>
    </fill>
    <fill>
      <patternFill patternType="solid">
        <fgColor indexed="47"/>
        <bgColor indexed="64"/>
      </patternFill>
    </fill>
    <fill>
      <patternFill patternType="solid">
        <fgColor indexed="36"/>
        <bgColor indexed="64"/>
      </patternFill>
    </fill>
    <fill>
      <patternFill patternType="solid">
        <fgColor indexed="29"/>
        <bgColor indexed="64"/>
      </patternFill>
    </fill>
    <fill>
      <patternFill patternType="solid">
        <fgColor indexed="51"/>
        <bgColor indexed="64"/>
      </patternFill>
    </fill>
    <fill>
      <patternFill patternType="solid">
        <fgColor indexed="45"/>
        <bgColor indexed="45"/>
      </patternFill>
    </fill>
    <fill>
      <patternFill patternType="solid">
        <fgColor indexed="49"/>
        <bgColor indexed="64"/>
      </patternFill>
    </fill>
    <fill>
      <patternFill patternType="solid">
        <fgColor indexed="52"/>
        <bgColor indexed="64"/>
      </patternFill>
    </fill>
    <fill>
      <patternFill patternType="solid">
        <fgColor indexed="54"/>
        <bgColor indexed="54"/>
      </patternFill>
    </fill>
    <fill>
      <patternFill patternType="solid">
        <fgColor indexed="44"/>
        <bgColor indexed="44"/>
      </patternFill>
    </fill>
    <fill>
      <patternFill patternType="solid">
        <fgColor indexed="25"/>
        <bgColor indexed="25"/>
      </patternFill>
    </fill>
    <fill>
      <patternFill patternType="solid">
        <fgColor indexed="49"/>
        <bgColor indexed="49"/>
      </patternFill>
    </fill>
    <fill>
      <patternFill patternType="solid">
        <fgColor indexed="42"/>
        <bgColor indexed="42"/>
      </patternFill>
    </fill>
    <fill>
      <patternFill patternType="solid">
        <fgColor indexed="27"/>
        <bgColor indexed="27"/>
      </patternFill>
    </fill>
    <fill>
      <patternFill patternType="gray125">
        <bgColor indexed="22"/>
      </patternFill>
    </fill>
    <fill>
      <patternFill patternType="solid">
        <fgColor indexed="10"/>
        <bgColor indexed="64"/>
      </patternFill>
    </fill>
    <fill>
      <patternFill patternType="solid">
        <fgColor indexed="57"/>
        <bgColor indexed="64"/>
      </patternFill>
    </fill>
  </fills>
  <borders count="307">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theme="0"/>
      </left>
      <right style="thin">
        <color theme="0"/>
      </right>
      <top/>
      <bottom style="thin">
        <color theme="0"/>
      </bottom>
      <diagonal/>
    </border>
    <border>
      <left/>
      <right style="thin">
        <color theme="0"/>
      </right>
      <top style="thin">
        <color theme="0"/>
      </top>
      <bottom style="thin">
        <color theme="0"/>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theme="0"/>
      </right>
      <top style="thin">
        <color theme="0"/>
      </top>
      <bottom/>
      <diagonal/>
    </border>
    <border>
      <left/>
      <right style="thin">
        <color rgb="FFFFFFFF"/>
      </right>
      <top/>
      <bottom style="thick">
        <color rgb="FFFFFFFF"/>
      </bottom>
      <diagonal/>
    </border>
    <border>
      <left style="thin">
        <color rgb="FFFFFFFF"/>
      </left>
      <right/>
      <top/>
      <bottom style="thick">
        <color rgb="FFFFFFFF"/>
      </bottom>
      <diagonal/>
    </border>
    <border>
      <left/>
      <right/>
      <top/>
      <bottom style="thick">
        <color rgb="FFFFFFFF"/>
      </bottom>
      <diagonal/>
    </border>
    <border>
      <left style="thin">
        <color rgb="FFFFFFFF"/>
      </left>
      <right style="thin">
        <color rgb="FFFFFFFF"/>
      </right>
      <top/>
      <bottom style="thick">
        <color rgb="FFFFFFFF"/>
      </bottom>
      <diagonal/>
    </border>
    <border>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ck">
        <color rgb="FFFFFFFF"/>
      </top>
      <bottom style="thin">
        <color rgb="FFFFFFFF"/>
      </bottom>
      <diagonal/>
    </border>
    <border>
      <left style="thin">
        <color rgb="FFFFFFFF"/>
      </left>
      <right/>
      <top style="thick">
        <color rgb="FFFFFFFF"/>
      </top>
      <bottom style="thin">
        <color rgb="FFFFFFFF"/>
      </bottom>
      <diagonal/>
    </border>
    <border>
      <left/>
      <right/>
      <top style="thick">
        <color rgb="FFFFFFFF"/>
      </top>
      <bottom style="thin">
        <color rgb="FFFFFFFF"/>
      </bottom>
      <diagonal/>
    </border>
    <border>
      <left style="thin">
        <color rgb="FFFFFFFF"/>
      </left>
      <right style="thin">
        <color rgb="FFFFFFFF"/>
      </right>
      <top style="thick">
        <color rgb="FFFFFFFF"/>
      </top>
      <bottom style="thin">
        <color rgb="FFFFFFFF"/>
      </bottom>
      <diagonal/>
    </border>
    <border>
      <left/>
      <right/>
      <top/>
      <bottom style="thin">
        <color auto="1"/>
      </bottom>
      <diagonal/>
    </border>
    <border>
      <left/>
      <right style="double">
        <color rgb="FF0000FF"/>
      </right>
      <top/>
      <bottom style="thin">
        <color auto="1"/>
      </bottom>
      <diagonal/>
    </border>
    <border>
      <left style="double">
        <color rgb="FF0000FF"/>
      </left>
      <right/>
      <top style="double">
        <color rgb="FF0000FF"/>
      </top>
      <bottom/>
      <diagonal/>
    </border>
    <border>
      <left/>
      <right style="double">
        <color rgb="FF0000FF"/>
      </right>
      <top style="double">
        <color rgb="FF0000FF"/>
      </top>
      <bottom/>
      <diagonal/>
    </border>
    <border>
      <left style="double">
        <color rgb="FF0000FF"/>
      </left>
      <right style="double">
        <color rgb="FF0000FF"/>
      </right>
      <top style="double">
        <color rgb="FF0000FF"/>
      </top>
      <bottom/>
      <diagonal/>
    </border>
    <border>
      <left style="double">
        <color rgb="FF0033CC"/>
      </left>
      <right style="thin">
        <color auto="1"/>
      </right>
      <top style="double">
        <color rgb="FF0033CC"/>
      </top>
      <bottom style="thin">
        <color auto="1"/>
      </bottom>
      <diagonal/>
    </border>
    <border>
      <left style="thin">
        <color auto="1"/>
      </left>
      <right style="thin">
        <color auto="1"/>
      </right>
      <top style="double">
        <color rgb="FF0033CC"/>
      </top>
      <bottom style="thin">
        <color auto="1"/>
      </bottom>
      <diagonal/>
    </border>
    <border>
      <left style="double">
        <color rgb="FF0033CC"/>
      </left>
      <right style="thin">
        <color auto="1"/>
      </right>
      <top style="thin">
        <color auto="1"/>
      </top>
      <bottom style="double">
        <color rgb="FF0033CC"/>
      </bottom>
      <diagonal/>
    </border>
    <border>
      <left style="thin">
        <color auto="1"/>
      </left>
      <right style="thin">
        <color auto="1"/>
      </right>
      <top style="thin">
        <color auto="1"/>
      </top>
      <bottom style="double">
        <color rgb="FF0033CC"/>
      </bottom>
      <diagonal/>
    </border>
    <border>
      <left style="double">
        <color indexed="39"/>
      </left>
      <right style="thin">
        <color indexed="39"/>
      </right>
      <top style="double">
        <color indexed="39"/>
      </top>
      <bottom style="dashed">
        <color indexed="39"/>
      </bottom>
      <diagonal/>
    </border>
    <border>
      <left style="thin">
        <color indexed="39"/>
      </left>
      <right style="thin">
        <color indexed="39"/>
      </right>
      <top style="double">
        <color indexed="39"/>
      </top>
      <bottom style="dashed">
        <color indexed="39"/>
      </bottom>
      <diagonal/>
    </border>
    <border>
      <left style="thin">
        <color indexed="39"/>
      </left>
      <right/>
      <top style="double">
        <color indexed="39"/>
      </top>
      <bottom style="dashed">
        <color indexed="39"/>
      </bottom>
      <diagonal/>
    </border>
    <border>
      <left/>
      <right style="double">
        <color indexed="39"/>
      </right>
      <top style="double">
        <color indexed="39"/>
      </top>
      <bottom style="dashed">
        <color indexed="39"/>
      </bottom>
      <diagonal/>
    </border>
    <border>
      <left style="double">
        <color indexed="39"/>
      </left>
      <right style="thin">
        <color indexed="39"/>
      </right>
      <top style="dashed">
        <color indexed="39"/>
      </top>
      <bottom style="dashed">
        <color indexed="39"/>
      </bottom>
      <diagonal/>
    </border>
    <border>
      <left style="thin">
        <color indexed="39"/>
      </left>
      <right style="thin">
        <color indexed="39"/>
      </right>
      <top style="dashed">
        <color indexed="39"/>
      </top>
      <bottom style="dashed">
        <color indexed="39"/>
      </bottom>
      <diagonal/>
    </border>
    <border>
      <left style="thin">
        <color auto="1"/>
      </left>
      <right/>
      <top style="dashed">
        <color indexed="39"/>
      </top>
      <bottom style="dashed">
        <color indexed="39"/>
      </bottom>
      <diagonal/>
    </border>
    <border>
      <left/>
      <right style="double">
        <color rgb="FF0000FF"/>
      </right>
      <top style="dashed">
        <color indexed="12"/>
      </top>
      <bottom style="dashed">
        <color indexed="39"/>
      </bottom>
      <diagonal/>
    </border>
    <border>
      <left style="double">
        <color indexed="39"/>
      </left>
      <right style="thin">
        <color indexed="39"/>
      </right>
      <top style="dashed">
        <color indexed="39"/>
      </top>
      <bottom style="double">
        <color indexed="39"/>
      </bottom>
      <diagonal/>
    </border>
    <border>
      <left style="thin">
        <color indexed="39"/>
      </left>
      <right style="thin">
        <color indexed="39"/>
      </right>
      <top style="dashed">
        <color indexed="39"/>
      </top>
      <bottom style="double">
        <color indexed="39"/>
      </bottom>
      <diagonal/>
    </border>
    <border>
      <left style="thin">
        <color auto="1"/>
      </left>
      <right/>
      <top style="dashed">
        <color indexed="39"/>
      </top>
      <bottom style="double">
        <color indexed="39"/>
      </bottom>
      <diagonal/>
    </border>
    <border>
      <left/>
      <right style="double">
        <color rgb="FF0000FF"/>
      </right>
      <top style="dashed">
        <color indexed="12"/>
      </top>
      <bottom style="double">
        <color indexed="39"/>
      </bottom>
      <diagonal/>
    </border>
    <border>
      <left style="double">
        <color indexed="39"/>
      </left>
      <right style="thin">
        <color auto="1"/>
      </right>
      <top style="double">
        <color indexed="39"/>
      </top>
      <bottom style="hair">
        <color indexed="39"/>
      </bottom>
      <diagonal/>
    </border>
    <border>
      <left style="thin">
        <color auto="1"/>
      </left>
      <right style="thin">
        <color auto="1"/>
      </right>
      <top style="double">
        <color indexed="39"/>
      </top>
      <bottom style="hair">
        <color indexed="39"/>
      </bottom>
      <diagonal/>
    </border>
    <border>
      <left style="thin">
        <color auto="1"/>
      </left>
      <right/>
      <top style="double">
        <color indexed="39"/>
      </top>
      <bottom/>
      <diagonal/>
    </border>
    <border>
      <left style="thin">
        <color auto="1"/>
      </left>
      <right style="thin">
        <color auto="1"/>
      </right>
      <top style="double">
        <color indexed="39"/>
      </top>
      <bottom style="hair">
        <color auto="1"/>
      </bottom>
      <diagonal/>
    </border>
    <border>
      <left style="thin">
        <color auto="1"/>
      </left>
      <right/>
      <top style="double">
        <color indexed="39"/>
      </top>
      <bottom style="hair">
        <color indexed="39"/>
      </bottom>
      <diagonal/>
    </border>
    <border>
      <left style="thin">
        <color auto="1"/>
      </left>
      <right style="double">
        <color indexed="39"/>
      </right>
      <top style="double">
        <color indexed="39"/>
      </top>
      <bottom style="thin">
        <color auto="1"/>
      </bottom>
      <diagonal/>
    </border>
    <border>
      <left style="double">
        <color indexed="39"/>
      </left>
      <right style="thin">
        <color auto="1"/>
      </right>
      <top style="hair">
        <color indexed="39"/>
      </top>
      <bottom style="hair">
        <color indexed="39"/>
      </bottom>
      <diagonal/>
    </border>
    <border>
      <left style="thin">
        <color auto="1"/>
      </left>
      <right style="thin">
        <color auto="1"/>
      </right>
      <top style="hair">
        <color indexed="39"/>
      </top>
      <bottom style="hair">
        <color indexed="39"/>
      </bottom>
      <diagonal/>
    </border>
    <border>
      <left style="thin">
        <color auto="1"/>
      </left>
      <right style="thin">
        <color auto="1"/>
      </right>
      <top style="hair">
        <color auto="1"/>
      </top>
      <bottom style="hair">
        <color auto="1"/>
      </bottom>
      <diagonal/>
    </border>
    <border>
      <left style="thin">
        <color auto="1"/>
      </left>
      <right style="thin">
        <color auto="1"/>
      </right>
      <top style="hair">
        <color indexed="39"/>
      </top>
      <bottom style="hair">
        <color auto="1"/>
      </bottom>
      <diagonal/>
    </border>
    <border>
      <left style="thin">
        <color auto="1"/>
      </left>
      <right style="double">
        <color indexed="39"/>
      </right>
      <top style="thin">
        <color auto="1"/>
      </top>
      <bottom style="hair">
        <color auto="1"/>
      </bottom>
      <diagonal/>
    </border>
    <border>
      <left style="double">
        <color indexed="39"/>
      </left>
      <right style="thin">
        <color auto="1"/>
      </right>
      <top style="thin">
        <color auto="1"/>
      </top>
      <bottom style="double">
        <color indexed="39"/>
      </bottom>
      <diagonal/>
    </border>
    <border>
      <left style="thin">
        <color auto="1"/>
      </left>
      <right style="thin">
        <color auto="1"/>
      </right>
      <top style="thin">
        <color auto="1"/>
      </top>
      <bottom style="double">
        <color indexed="39"/>
      </bottom>
      <diagonal/>
    </border>
    <border>
      <left/>
      <right style="thin">
        <color auto="1"/>
      </right>
      <top style="thin">
        <color auto="1"/>
      </top>
      <bottom style="double">
        <color indexed="39"/>
      </bottom>
      <diagonal/>
    </border>
    <border>
      <left/>
      <right style="double">
        <color indexed="39"/>
      </right>
      <top style="thin">
        <color auto="1"/>
      </top>
      <bottom style="double">
        <color indexed="39"/>
      </bottom>
      <diagonal/>
    </border>
    <border>
      <left style="double">
        <color indexed="39"/>
      </left>
      <right style="thin">
        <color auto="1"/>
      </right>
      <top style="double">
        <color indexed="39"/>
      </top>
      <bottom style="thin">
        <color auto="1"/>
      </bottom>
      <diagonal/>
    </border>
    <border>
      <left style="thin">
        <color auto="1"/>
      </left>
      <right style="thin">
        <color auto="1"/>
      </right>
      <top style="double">
        <color indexed="39"/>
      </top>
      <bottom style="thin">
        <color auto="1"/>
      </bottom>
      <diagonal/>
    </border>
    <border>
      <left style="thin">
        <color auto="1"/>
      </left>
      <right style="double">
        <color rgb="FF0000FF"/>
      </right>
      <top style="thin">
        <color auto="1"/>
      </top>
      <bottom style="thin">
        <color auto="1"/>
      </bottom>
      <diagonal/>
    </border>
    <border>
      <left style="double">
        <color rgb="FF0000FF"/>
      </left>
      <right style="thin">
        <color auto="1"/>
      </right>
      <top style="double">
        <color indexed="12"/>
      </top>
      <bottom style="thin">
        <color auto="1"/>
      </bottom>
      <diagonal/>
    </border>
    <border>
      <left style="thin">
        <color auto="1"/>
      </left>
      <right style="thin">
        <color auto="1"/>
      </right>
      <top style="double">
        <color indexed="12"/>
      </top>
      <bottom style="thin">
        <color auto="1"/>
      </bottom>
      <diagonal/>
    </border>
    <border>
      <left style="double">
        <color rgb="FF0000FF"/>
      </left>
      <right style="thin">
        <color auto="1"/>
      </right>
      <top style="thin">
        <color auto="1"/>
      </top>
      <bottom style="thin">
        <color auto="1"/>
      </bottom>
      <diagonal/>
    </border>
    <border>
      <left style="double">
        <color rgb="FF0000FF"/>
      </left>
      <right style="thin">
        <color auto="1"/>
      </right>
      <top style="thin">
        <color auto="1"/>
      </top>
      <bottom style="double">
        <color rgb="FF0000FF"/>
      </bottom>
      <diagonal/>
    </border>
    <border>
      <left style="thin">
        <color auto="1"/>
      </left>
      <right style="thin">
        <color auto="1"/>
      </right>
      <top style="thin">
        <color auto="1"/>
      </top>
      <bottom style="double">
        <color rgb="FF0000FF"/>
      </bottom>
      <diagonal/>
    </border>
    <border>
      <left style="thin">
        <color auto="1"/>
      </left>
      <right style="double">
        <color rgb="FF0033CC"/>
      </right>
      <top style="double">
        <color rgb="FF0033CC"/>
      </top>
      <bottom style="thin">
        <color auto="1"/>
      </bottom>
      <diagonal/>
    </border>
    <border>
      <left style="thin">
        <color auto="1"/>
      </left>
      <right style="double">
        <color rgb="FF0033CC"/>
      </right>
      <top style="thin">
        <color auto="1"/>
      </top>
      <bottom style="double">
        <color rgb="FF0033CC"/>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double">
        <color theme="0"/>
      </left>
      <right style="double">
        <color theme="0"/>
      </right>
      <top/>
      <bottom style="double">
        <color theme="0"/>
      </bottom>
      <diagonal/>
    </border>
    <border>
      <left style="thin">
        <color auto="1"/>
      </left>
      <right style="double">
        <color auto="1"/>
      </right>
      <top style="double">
        <color auto="1"/>
      </top>
      <bottom style="thin">
        <color auto="1"/>
      </bottom>
      <diagonal/>
    </border>
    <border>
      <left style="double">
        <color auto="1"/>
      </left>
      <right style="double">
        <color auto="1"/>
      </right>
      <top style="double">
        <color auto="1"/>
      </top>
      <bottom/>
      <diagonal/>
    </border>
    <border>
      <left style="thin">
        <color auto="1"/>
      </left>
      <right style="double">
        <color auto="1"/>
      </right>
      <top style="thin">
        <color auto="1"/>
      </top>
      <bottom style="double">
        <color auto="1"/>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thin">
        <color auto="1"/>
      </top>
      <bottom style="thin">
        <color auto="1"/>
      </bottom>
      <diagonal/>
    </border>
    <border>
      <left style="thin">
        <color auto="1"/>
      </left>
      <right style="thin">
        <color theme="1"/>
      </right>
      <top style="thin">
        <color auto="1"/>
      </top>
      <bottom style="thin">
        <color auto="1"/>
      </bottom>
      <diagonal/>
    </border>
    <border>
      <left style="thin">
        <color theme="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double">
        <color auto="1"/>
      </bottom>
      <diagonal/>
    </border>
    <border>
      <left style="thin">
        <color auto="1"/>
      </left>
      <right style="thin">
        <color theme="1"/>
      </right>
      <top style="thin">
        <color auto="1"/>
      </top>
      <bottom style="double">
        <color auto="1"/>
      </bottom>
      <diagonal/>
    </border>
    <border>
      <left style="thin">
        <color theme="1"/>
      </left>
      <right/>
      <top style="thin">
        <color auto="1"/>
      </top>
      <bottom style="double">
        <color auto="1"/>
      </bottom>
      <diagonal/>
    </border>
    <border>
      <left/>
      <right style="double">
        <color auto="1"/>
      </right>
      <top style="thin">
        <color auto="1"/>
      </top>
      <bottom style="double">
        <color auto="1"/>
      </bottom>
      <diagonal/>
    </border>
    <border>
      <left style="thin">
        <color auto="1"/>
      </left>
      <right style="double">
        <color auto="1"/>
      </right>
      <top style="thin">
        <color auto="1"/>
      </top>
      <bottom style="thin">
        <color auto="1"/>
      </bottom>
      <diagonal/>
    </border>
    <border>
      <left style="double">
        <color auto="1"/>
      </left>
      <right/>
      <top style="double">
        <color auto="1"/>
      </top>
      <bottom/>
      <diagonal/>
    </border>
    <border>
      <left/>
      <right style="double">
        <color auto="1"/>
      </right>
      <top style="double">
        <color auto="1"/>
      </top>
      <bottom/>
      <diagonal/>
    </border>
    <border>
      <left style="double">
        <color auto="1"/>
      </left>
      <right/>
      <top/>
      <bottom style="double">
        <color auto="1"/>
      </bottom>
      <diagonal/>
    </border>
    <border>
      <left/>
      <right style="double">
        <color auto="1"/>
      </right>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thin">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thin">
        <color auto="1"/>
      </left>
      <right style="thin">
        <color auto="1"/>
      </right>
      <top/>
      <bottom/>
      <diagonal/>
    </border>
    <border>
      <left style="double">
        <color auto="1"/>
      </left>
      <right style="thin">
        <color auto="1"/>
      </right>
      <top style="thin">
        <color auto="1"/>
      </top>
      <bottom/>
      <diagonal/>
    </border>
    <border>
      <left style="thin">
        <color theme="1"/>
      </left>
      <right style="thin">
        <color theme="1"/>
      </right>
      <top style="thin">
        <color theme="1"/>
      </top>
      <bottom style="thin">
        <color theme="1"/>
      </bottom>
      <diagonal/>
    </border>
    <border>
      <left style="double">
        <color auto="1"/>
      </left>
      <right style="thin">
        <color theme="1"/>
      </right>
      <top style="thin">
        <color theme="1"/>
      </top>
      <bottom style="double">
        <color auto="1"/>
      </bottom>
      <diagonal/>
    </border>
    <border>
      <left style="thin">
        <color theme="1"/>
      </left>
      <right style="thin">
        <color theme="1"/>
      </right>
      <top style="thin">
        <color theme="1"/>
      </top>
      <bottom style="double">
        <color auto="1"/>
      </bottom>
      <diagonal/>
    </border>
    <border>
      <left style="thin">
        <color auto="1"/>
      </left>
      <right/>
      <top style="thin">
        <color auto="1"/>
      </top>
      <bottom style="double">
        <color auto="1"/>
      </bottom>
      <diagonal/>
    </border>
    <border>
      <left style="medium">
        <color auto="1"/>
      </left>
      <right style="medium">
        <color auto="1"/>
      </right>
      <top/>
      <bottom style="medium">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top style="medium">
        <color auto="1"/>
      </top>
      <bottom/>
      <diagonal/>
    </border>
    <border>
      <left/>
      <right/>
      <top/>
      <bottom style="thin">
        <color theme="0"/>
      </bottom>
      <diagonal/>
    </border>
    <border>
      <left/>
      <right/>
      <top/>
      <bottom style="double">
        <color indexed="39"/>
      </bottom>
      <diagonal/>
    </border>
    <border>
      <left/>
      <right style="double">
        <color indexed="39"/>
      </right>
      <top/>
      <bottom style="double">
        <color indexed="39"/>
      </bottom>
      <diagonal/>
    </border>
    <border>
      <left style="double">
        <color indexed="39"/>
      </left>
      <right style="hair">
        <color indexed="39"/>
      </right>
      <top style="double">
        <color indexed="39"/>
      </top>
      <bottom style="double">
        <color indexed="39"/>
      </bottom>
      <diagonal/>
    </border>
    <border>
      <left style="hair">
        <color auto="1"/>
      </left>
      <right style="hair">
        <color auto="1"/>
      </right>
      <top style="double">
        <color indexed="39"/>
      </top>
      <bottom style="double">
        <color indexed="39"/>
      </bottom>
      <diagonal/>
    </border>
    <border>
      <left style="double">
        <color indexed="39"/>
      </left>
      <right style="hair">
        <color indexed="39"/>
      </right>
      <top style="double">
        <color indexed="39"/>
      </top>
      <bottom style="hair">
        <color indexed="39"/>
      </bottom>
      <diagonal/>
    </border>
    <border>
      <left style="hair">
        <color indexed="39"/>
      </left>
      <right style="hair">
        <color indexed="39"/>
      </right>
      <top style="double">
        <color indexed="39"/>
      </top>
      <bottom style="hair">
        <color indexed="39"/>
      </bottom>
      <diagonal/>
    </border>
    <border>
      <left style="hair">
        <color indexed="39"/>
      </left>
      <right style="hair">
        <color indexed="39"/>
      </right>
      <top/>
      <bottom style="hair">
        <color indexed="39"/>
      </bottom>
      <diagonal/>
    </border>
    <border>
      <left style="double">
        <color indexed="39"/>
      </left>
      <right style="hair">
        <color indexed="39"/>
      </right>
      <top style="hair">
        <color indexed="39"/>
      </top>
      <bottom style="hair">
        <color indexed="39"/>
      </bottom>
      <diagonal/>
    </border>
    <border>
      <left style="hair">
        <color indexed="39"/>
      </left>
      <right style="hair">
        <color indexed="39"/>
      </right>
      <top style="hair">
        <color indexed="39"/>
      </top>
      <bottom style="hair">
        <color indexed="39"/>
      </bottom>
      <diagonal/>
    </border>
    <border>
      <left style="double">
        <color indexed="39"/>
      </left>
      <right style="hair">
        <color indexed="39"/>
      </right>
      <top style="hair">
        <color indexed="39"/>
      </top>
      <bottom style="double">
        <color indexed="39"/>
      </bottom>
      <diagonal/>
    </border>
    <border>
      <left style="hair">
        <color indexed="39"/>
      </left>
      <right style="hair">
        <color indexed="39"/>
      </right>
      <top style="hair">
        <color indexed="39"/>
      </top>
      <bottom style="double">
        <color indexed="39"/>
      </bottom>
      <diagonal/>
    </border>
    <border>
      <left/>
      <right/>
      <top style="double">
        <color indexed="39"/>
      </top>
      <bottom/>
      <diagonal/>
    </border>
    <border>
      <left style="double">
        <color indexed="39"/>
      </left>
      <right style="hair">
        <color indexed="39"/>
      </right>
      <top style="double">
        <color indexed="39"/>
      </top>
      <bottom/>
      <diagonal/>
    </border>
    <border>
      <left style="hair">
        <color indexed="39"/>
      </left>
      <right style="thin">
        <color auto="1"/>
      </right>
      <top style="double">
        <color indexed="39"/>
      </top>
      <bottom/>
      <diagonal/>
    </border>
    <border>
      <left/>
      <right style="hair">
        <color indexed="39"/>
      </right>
      <top style="double">
        <color indexed="39"/>
      </top>
      <bottom/>
      <diagonal/>
    </border>
    <border>
      <left style="double">
        <color indexed="39"/>
      </left>
      <right style="double">
        <color indexed="39"/>
      </right>
      <top style="double">
        <color indexed="39"/>
      </top>
      <bottom/>
      <diagonal/>
    </border>
    <border>
      <left style="double">
        <color indexed="39"/>
      </left>
      <right style="hair">
        <color indexed="39"/>
      </right>
      <top/>
      <bottom style="double">
        <color indexed="39"/>
      </bottom>
      <diagonal/>
    </border>
    <border>
      <left style="hair">
        <color indexed="39"/>
      </left>
      <right style="thin">
        <color auto="1"/>
      </right>
      <top/>
      <bottom style="double">
        <color indexed="39"/>
      </bottom>
      <diagonal/>
    </border>
    <border>
      <left style="thin">
        <color auto="1"/>
      </left>
      <right style="double">
        <color indexed="39"/>
      </right>
      <top style="thin">
        <color auto="1"/>
      </top>
      <bottom style="double">
        <color indexed="39"/>
      </bottom>
      <diagonal/>
    </border>
    <border>
      <left style="double">
        <color rgb="FF0033CC"/>
      </left>
      <right style="thin">
        <color auto="1"/>
      </right>
      <top style="double">
        <color indexed="12"/>
      </top>
      <bottom style="thin">
        <color theme="1"/>
      </bottom>
      <diagonal/>
    </border>
    <border>
      <left style="thin">
        <color auto="1"/>
      </left>
      <right style="thin">
        <color auto="1"/>
      </right>
      <top style="double">
        <color indexed="12"/>
      </top>
      <bottom style="thin">
        <color theme="1"/>
      </bottom>
      <diagonal/>
    </border>
    <border>
      <left style="thin">
        <color auto="1"/>
      </left>
      <right style="thin">
        <color auto="1"/>
      </right>
      <top style="double">
        <color indexed="39"/>
      </top>
      <bottom/>
      <diagonal/>
    </border>
    <border>
      <left style="thin">
        <color auto="1"/>
      </left>
      <right style="double">
        <color rgb="FF0033CC"/>
      </right>
      <top style="double">
        <color indexed="12"/>
      </top>
      <bottom style="thin">
        <color theme="1"/>
      </bottom>
      <diagonal/>
    </border>
    <border>
      <left style="double">
        <color rgb="FF0033CC"/>
      </left>
      <right style="thin">
        <color auto="1"/>
      </right>
      <top style="thin">
        <color theme="1"/>
      </top>
      <bottom style="double">
        <color rgb="FF0033CC"/>
      </bottom>
      <diagonal/>
    </border>
    <border>
      <left style="thin">
        <color auto="1"/>
      </left>
      <right style="thin">
        <color auto="1"/>
      </right>
      <top style="thin">
        <color theme="1"/>
      </top>
      <bottom style="double">
        <color rgb="FF0033CC"/>
      </bottom>
      <diagonal/>
    </border>
    <border>
      <left style="thin">
        <color auto="1"/>
      </left>
      <right style="thin">
        <color auto="1"/>
      </right>
      <top style="thin">
        <color theme="1"/>
      </top>
      <bottom/>
      <diagonal/>
    </border>
    <border>
      <left style="thin">
        <color auto="1"/>
      </left>
      <right style="thin">
        <color auto="1"/>
      </right>
      <top style="thin">
        <color theme="1"/>
      </top>
      <bottom style="hair">
        <color auto="1"/>
      </bottom>
      <diagonal/>
    </border>
    <border>
      <left style="thin">
        <color auto="1"/>
      </left>
      <right style="double">
        <color rgb="FF0033CC"/>
      </right>
      <top style="thin">
        <color theme="1"/>
      </top>
      <bottom style="double">
        <color rgb="FF0033CC"/>
      </bottom>
      <diagonal/>
    </border>
    <border>
      <left style="double">
        <color rgb="FF0000FF"/>
      </left>
      <right style="thin">
        <color auto="1"/>
      </right>
      <top style="hair">
        <color auto="1"/>
      </top>
      <bottom style="hair">
        <color auto="1"/>
      </bottom>
      <diagonal/>
    </border>
    <border>
      <left style="thin">
        <color auto="1"/>
      </left>
      <right style="double">
        <color rgb="FF0000FF"/>
      </right>
      <top style="hair">
        <color auto="1"/>
      </top>
      <bottom style="hair">
        <color auto="1"/>
      </bottom>
      <diagonal/>
    </border>
    <border>
      <left style="double">
        <color rgb="FF0000FF"/>
      </left>
      <right style="thin">
        <color auto="1"/>
      </right>
      <top/>
      <bottom style="double">
        <color rgb="FF0033CC"/>
      </bottom>
      <diagonal/>
    </border>
    <border>
      <left style="thin">
        <color auto="1"/>
      </left>
      <right style="thin">
        <color auto="1"/>
      </right>
      <top/>
      <bottom style="double">
        <color rgb="FF0033CC"/>
      </bottom>
      <diagonal/>
    </border>
    <border>
      <left style="thin">
        <color auto="1"/>
      </left>
      <right style="double">
        <color rgb="FF0000FF"/>
      </right>
      <top/>
      <bottom style="double">
        <color rgb="FF0033CC"/>
      </bottom>
      <diagonal/>
    </border>
    <border>
      <left style="hair">
        <color auto="1"/>
      </left>
      <right/>
      <top style="double">
        <color indexed="39"/>
      </top>
      <bottom style="double">
        <color indexed="39"/>
      </bottom>
      <diagonal/>
    </border>
    <border>
      <left/>
      <right style="double">
        <color indexed="39"/>
      </right>
      <top style="double">
        <color indexed="39"/>
      </top>
      <bottom style="double">
        <color indexed="39"/>
      </bottom>
      <diagonal/>
    </border>
    <border>
      <left style="hair">
        <color indexed="39"/>
      </left>
      <right style="double">
        <color indexed="39"/>
      </right>
      <top style="double">
        <color indexed="39"/>
      </top>
      <bottom style="hair">
        <color indexed="39"/>
      </bottom>
      <diagonal/>
    </border>
    <border>
      <left style="hair">
        <color indexed="39"/>
      </left>
      <right style="double">
        <color indexed="39"/>
      </right>
      <top style="hair">
        <color indexed="39"/>
      </top>
      <bottom style="hair">
        <color indexed="39"/>
      </bottom>
      <diagonal/>
    </border>
    <border>
      <left style="hair">
        <color auto="1"/>
      </left>
      <right style="double">
        <color rgb="FF0000FF"/>
      </right>
      <top style="hair">
        <color auto="1"/>
      </top>
      <bottom style="double">
        <color indexed="39"/>
      </bottom>
      <diagonal/>
    </border>
    <border>
      <left style="double">
        <color rgb="FF0033CC"/>
      </left>
      <right style="double">
        <color indexed="12"/>
      </right>
      <top style="double">
        <color indexed="12"/>
      </top>
      <bottom style="double">
        <color rgb="FF0033CC"/>
      </bottom>
      <diagonal/>
    </border>
    <border>
      <left style="double">
        <color indexed="39"/>
      </left>
      <right style="thin">
        <color auto="1"/>
      </right>
      <top style="double">
        <color indexed="39"/>
      </top>
      <bottom style="hair">
        <color auto="1"/>
      </bottom>
      <diagonal/>
    </border>
    <border>
      <left style="thin">
        <color auto="1"/>
      </left>
      <right/>
      <top style="double">
        <color indexed="39"/>
      </top>
      <bottom style="hair">
        <color auto="1"/>
      </bottom>
      <diagonal/>
    </border>
    <border>
      <left style="hair">
        <color auto="1"/>
      </left>
      <right style="double">
        <color rgb="FF0000FF"/>
      </right>
      <top style="double">
        <color indexed="39"/>
      </top>
      <bottom style="hair">
        <color auto="1"/>
      </bottom>
      <diagonal/>
    </border>
    <border>
      <left style="double">
        <color indexed="39"/>
      </left>
      <right style="thin">
        <color auto="1"/>
      </right>
      <top/>
      <bottom style="hair">
        <color auto="1"/>
      </bottom>
      <diagonal/>
    </border>
    <border>
      <left style="thin">
        <color auto="1"/>
      </left>
      <right style="thin">
        <color auto="1"/>
      </right>
      <top/>
      <bottom style="hair">
        <color auto="1"/>
      </bottom>
      <diagonal/>
    </border>
    <border>
      <left style="hair">
        <color auto="1"/>
      </left>
      <right style="double">
        <color rgb="FF0000FF"/>
      </right>
      <top style="hair">
        <color auto="1"/>
      </top>
      <bottom style="hair">
        <color auto="1"/>
      </bottom>
      <diagonal/>
    </border>
    <border>
      <left style="double">
        <color indexed="39"/>
      </left>
      <right style="thin">
        <color auto="1"/>
      </right>
      <top/>
      <bottom style="double">
        <color indexed="39"/>
      </bottom>
      <diagonal/>
    </border>
    <border>
      <left style="thin">
        <color auto="1"/>
      </left>
      <right style="thin">
        <color auto="1"/>
      </right>
      <top style="hair">
        <color auto="1"/>
      </top>
      <bottom style="double">
        <color indexed="39"/>
      </bottom>
      <diagonal/>
    </border>
    <border>
      <left style="thin">
        <color auto="1"/>
      </left>
      <right style="double">
        <color indexed="39"/>
      </right>
      <top style="double">
        <color indexed="39"/>
      </top>
      <bottom style="hair">
        <color auto="1"/>
      </bottom>
      <diagonal/>
    </border>
    <border>
      <left style="double">
        <color indexed="39"/>
      </left>
      <right style="thin">
        <color auto="1"/>
      </right>
      <top style="hair">
        <color auto="1"/>
      </top>
      <bottom style="double">
        <color indexed="39"/>
      </bottom>
      <diagonal/>
    </border>
    <border>
      <left style="thin">
        <color auto="1"/>
      </left>
      <right style="double">
        <color indexed="39"/>
      </right>
      <top style="hair">
        <color auto="1"/>
      </top>
      <bottom style="double">
        <color indexed="39"/>
      </bottom>
      <diagonal/>
    </border>
    <border>
      <left style="thin">
        <color auto="1"/>
      </left>
      <right style="double">
        <color rgb="FF0000FF"/>
      </right>
      <top style="double">
        <color indexed="39"/>
      </top>
      <bottom style="hair">
        <color auto="1"/>
      </bottom>
      <diagonal/>
    </border>
    <border>
      <left style="thin">
        <color auto="1"/>
      </left>
      <right style="double">
        <color rgb="FF0000FF"/>
      </right>
      <top style="hair">
        <color auto="1"/>
      </top>
      <bottom style="double">
        <color indexed="39"/>
      </bottom>
      <diagonal/>
    </border>
    <border>
      <left style="hair">
        <color indexed="39"/>
      </left>
      <right style="hair">
        <color indexed="39"/>
      </right>
      <top style="double">
        <color indexed="39"/>
      </top>
      <bottom/>
      <diagonal/>
    </border>
    <border>
      <left style="hair">
        <color indexed="39"/>
      </left>
      <right/>
      <top style="double">
        <color indexed="39"/>
      </top>
      <bottom style="hair">
        <color indexed="39"/>
      </bottom>
      <diagonal/>
    </border>
    <border>
      <left/>
      <right style="hair">
        <color indexed="39"/>
      </right>
      <top style="double">
        <color indexed="39"/>
      </top>
      <bottom style="hair">
        <color indexed="39"/>
      </bottom>
      <diagonal/>
    </border>
    <border>
      <left style="double">
        <color indexed="39"/>
      </left>
      <right style="hair">
        <color indexed="39"/>
      </right>
      <top/>
      <bottom style="hair">
        <color indexed="39"/>
      </bottom>
      <diagonal/>
    </border>
    <border>
      <left style="hair">
        <color indexed="39"/>
      </left>
      <right style="hair">
        <color indexed="39"/>
      </right>
      <top style="hair">
        <color indexed="39"/>
      </top>
      <bottom/>
      <diagonal/>
    </border>
    <border>
      <left style="hair">
        <color indexed="39"/>
      </left>
      <right/>
      <top style="hair">
        <color indexed="39"/>
      </top>
      <bottom style="hair">
        <color indexed="39"/>
      </bottom>
      <diagonal/>
    </border>
    <border>
      <left/>
      <right style="hair">
        <color indexed="39"/>
      </right>
      <top style="hair">
        <color indexed="39"/>
      </top>
      <bottom style="hair">
        <color indexed="39"/>
      </bottom>
      <diagonal/>
    </border>
    <border>
      <left style="hair">
        <color indexed="39"/>
      </left>
      <right/>
      <top style="hair">
        <color indexed="39"/>
      </top>
      <bottom style="double">
        <color indexed="39"/>
      </bottom>
      <diagonal/>
    </border>
    <border>
      <left/>
      <right style="hair">
        <color indexed="39"/>
      </right>
      <top style="hair">
        <color indexed="39"/>
      </top>
      <bottom style="double">
        <color indexed="39"/>
      </bottom>
      <diagonal/>
    </border>
    <border>
      <left/>
      <right style="thin">
        <color theme="0"/>
      </right>
      <top/>
      <bottom/>
      <diagonal/>
    </border>
    <border>
      <left style="thin">
        <color theme="0"/>
      </left>
      <right style="thin">
        <color theme="0"/>
      </right>
      <top/>
      <bottom/>
      <diagonal/>
    </border>
    <border>
      <left style="hair">
        <color indexed="39"/>
      </left>
      <right style="double">
        <color indexed="39"/>
      </right>
      <top style="double">
        <color indexed="39"/>
      </top>
      <bottom/>
      <diagonal/>
    </border>
    <border>
      <left style="hair">
        <color indexed="39"/>
      </left>
      <right style="double">
        <color indexed="39"/>
      </right>
      <top/>
      <bottom style="hair">
        <color indexed="39"/>
      </bottom>
      <diagonal/>
    </border>
    <border>
      <left style="hair">
        <color indexed="39"/>
      </left>
      <right/>
      <top/>
      <bottom style="hair">
        <color indexed="39"/>
      </bottom>
      <diagonal/>
    </border>
    <border>
      <left style="hair">
        <color indexed="39"/>
      </left>
      <right style="double">
        <color indexed="39"/>
      </right>
      <top/>
      <bottom/>
      <diagonal/>
    </border>
    <border>
      <left style="hair">
        <color indexed="39"/>
      </left>
      <right style="double">
        <color indexed="39"/>
      </right>
      <top style="hair">
        <color indexed="39"/>
      </top>
      <bottom/>
      <diagonal/>
    </border>
    <border>
      <left style="hair">
        <color indexed="39"/>
      </left>
      <right style="hair">
        <color indexed="39"/>
      </right>
      <top/>
      <bottom style="double">
        <color indexed="39"/>
      </bottom>
      <diagonal/>
    </border>
    <border>
      <left style="hair">
        <color indexed="39"/>
      </left>
      <right style="double">
        <color indexed="39"/>
      </right>
      <top/>
      <bottom style="double">
        <color indexed="39"/>
      </bottom>
      <diagonal/>
    </border>
    <border>
      <left style="double">
        <color indexed="39"/>
      </left>
      <right/>
      <top style="double">
        <color indexed="39"/>
      </top>
      <bottom/>
      <diagonal/>
    </border>
    <border>
      <left/>
      <right style="double">
        <color indexed="39"/>
      </right>
      <top style="double">
        <color indexed="39"/>
      </top>
      <bottom/>
      <diagonal/>
    </border>
    <border>
      <left style="double">
        <color indexed="39"/>
      </left>
      <right/>
      <top/>
      <bottom style="hair">
        <color indexed="39"/>
      </bottom>
      <diagonal/>
    </border>
    <border>
      <left/>
      <right style="double">
        <color indexed="39"/>
      </right>
      <top/>
      <bottom style="hair">
        <color indexed="39"/>
      </bottom>
      <diagonal/>
    </border>
    <border>
      <left style="double">
        <color rgb="FF0066FF"/>
      </left>
      <right style="hair">
        <color rgb="FF0066FF"/>
      </right>
      <top style="hair">
        <color indexed="12"/>
      </top>
      <bottom/>
      <diagonal/>
    </border>
    <border>
      <left style="hair">
        <color rgb="FF0066FF"/>
      </left>
      <right style="double">
        <color rgb="FF0066FF"/>
      </right>
      <top style="hair">
        <color indexed="12"/>
      </top>
      <bottom/>
      <diagonal/>
    </border>
    <border>
      <left style="double">
        <color rgb="FF0066FF"/>
      </left>
      <right style="hair">
        <color rgb="FF0066FF"/>
      </right>
      <top/>
      <bottom style="hair">
        <color rgb="FF0066FF"/>
      </bottom>
      <diagonal/>
    </border>
    <border>
      <left style="hair">
        <color rgb="FF0066FF"/>
      </left>
      <right style="double">
        <color rgb="FF0066FF"/>
      </right>
      <top/>
      <bottom style="hair">
        <color rgb="FF0066FF"/>
      </bottom>
      <diagonal/>
    </border>
    <border>
      <left style="double">
        <color rgb="FF0066FF"/>
      </left>
      <right style="hair">
        <color rgb="FF0066FF"/>
      </right>
      <top style="hair">
        <color rgb="FF0066FF"/>
      </top>
      <bottom/>
      <diagonal/>
    </border>
    <border>
      <left style="hair">
        <color rgb="FF0066FF"/>
      </left>
      <right style="double">
        <color rgb="FF0066FF"/>
      </right>
      <top style="hair">
        <color rgb="FF0066FF"/>
      </top>
      <bottom/>
      <diagonal/>
    </border>
    <border>
      <left style="double">
        <color rgb="FF0066FF"/>
      </left>
      <right style="hair">
        <color rgb="FF0066FF"/>
      </right>
      <top style="hair">
        <color rgb="FF0066FF"/>
      </top>
      <bottom style="double">
        <color rgb="FF0066FF"/>
      </bottom>
      <diagonal/>
    </border>
    <border>
      <left style="hair">
        <color rgb="FF0066FF"/>
      </left>
      <right style="double">
        <color rgb="FF0066FF"/>
      </right>
      <top style="hair">
        <color rgb="FF0066FF"/>
      </top>
      <bottom style="double">
        <color rgb="FF0066FF"/>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right/>
      <top/>
      <bottom style="double">
        <color rgb="FF0000FF"/>
      </bottom>
      <diagonal/>
    </border>
    <border>
      <left style="double">
        <color rgb="FF0000FF"/>
      </left>
      <right style="thin">
        <color auto="1"/>
      </right>
      <top style="double">
        <color rgb="FF0000FF"/>
      </top>
      <bottom/>
      <diagonal/>
    </border>
    <border>
      <left style="thin">
        <color auto="1"/>
      </left>
      <right style="thin">
        <color auto="1"/>
      </right>
      <top style="double">
        <color rgb="FF0000FF"/>
      </top>
      <bottom/>
      <diagonal/>
    </border>
    <border>
      <left style="thin">
        <color auto="1"/>
      </left>
      <right/>
      <top style="double">
        <color rgb="FF0000FF"/>
      </top>
      <bottom/>
      <diagonal/>
    </border>
    <border>
      <left/>
      <right/>
      <top style="double">
        <color rgb="FF0000FF"/>
      </top>
      <bottom/>
      <diagonal/>
    </border>
    <border>
      <left/>
      <right style="thin">
        <color auto="1"/>
      </right>
      <top style="double">
        <color rgb="FF0000FF"/>
      </top>
      <bottom/>
      <diagonal/>
    </border>
    <border>
      <left style="double">
        <color rgb="FF0000FF"/>
      </left>
      <right style="thin">
        <color auto="1"/>
      </right>
      <top/>
      <bottom style="thin">
        <color auto="1"/>
      </bottom>
      <diagonal/>
    </border>
    <border>
      <left style="thin">
        <color auto="1"/>
      </left>
      <right style="thin">
        <color auto="1"/>
      </right>
      <top/>
      <bottom style="thin">
        <color auto="1"/>
      </bottom>
      <diagonal/>
    </border>
    <border>
      <left style="double">
        <color rgb="FF0000FF"/>
      </left>
      <right style="thin">
        <color auto="1"/>
      </right>
      <top style="thin">
        <color auto="1"/>
      </top>
      <bottom/>
      <diagonal/>
    </border>
    <border>
      <left style="double">
        <color rgb="FF0000FF"/>
      </left>
      <right style="thin">
        <color auto="1"/>
      </right>
      <top/>
      <bottom/>
      <diagonal/>
    </border>
    <border>
      <left style="double">
        <color rgb="FF0000FF"/>
      </left>
      <right style="thin">
        <color auto="1"/>
      </right>
      <top/>
      <bottom style="double">
        <color rgb="FF0000FF"/>
      </bottom>
      <diagonal/>
    </border>
    <border>
      <left/>
      <right style="thin">
        <color auto="1"/>
      </right>
      <top style="thin">
        <color auto="1"/>
      </top>
      <bottom style="double">
        <color rgb="FF0066FF"/>
      </bottom>
      <diagonal/>
    </border>
    <border>
      <left style="thin">
        <color auto="1"/>
      </left>
      <right style="thin">
        <color auto="1"/>
      </right>
      <top style="thin">
        <color auto="1"/>
      </top>
      <bottom style="double">
        <color rgb="FF0066FF"/>
      </bottom>
      <diagonal/>
    </border>
    <border>
      <left style="thin">
        <color auto="1"/>
      </left>
      <right style="thin">
        <color auto="1"/>
      </right>
      <top style="hair">
        <color rgb="FF0066FF"/>
      </top>
      <bottom style="double">
        <color rgb="FF0000FF"/>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right style="thin">
        <color auto="1"/>
      </right>
      <top/>
      <bottom/>
      <diagonal/>
    </border>
    <border>
      <left/>
      <right style="thin">
        <color auto="1"/>
      </right>
      <top/>
      <bottom style="double">
        <color rgb="FF0000FF"/>
      </bottom>
      <diagonal/>
    </border>
    <border>
      <left style="thin">
        <color auto="1"/>
      </left>
      <right style="double">
        <color rgb="FF0000FF"/>
      </right>
      <top style="double">
        <color rgb="FF0000FF"/>
      </top>
      <bottom/>
      <diagonal/>
    </border>
    <border>
      <left style="thin">
        <color auto="1"/>
      </left>
      <right style="double">
        <color rgb="FF0000FF"/>
      </right>
      <top/>
      <bottom style="thin">
        <color auto="1"/>
      </bottom>
      <diagonal/>
    </border>
    <border>
      <left style="thin">
        <color auto="1"/>
      </left>
      <right style="double">
        <color rgb="FF0000FF"/>
      </right>
      <top style="thin">
        <color auto="1"/>
      </top>
      <bottom style="double">
        <color rgb="FF0000FF"/>
      </bottom>
      <diagonal/>
    </border>
    <border>
      <left style="thin">
        <color indexed="9"/>
      </left>
      <right/>
      <top/>
      <bottom style="thin">
        <color theme="0"/>
      </bottom>
      <diagonal/>
    </border>
    <border>
      <left style="thin">
        <color indexed="9"/>
      </left>
      <right/>
      <top style="thin">
        <color theme="0"/>
      </top>
      <bottom style="thin">
        <color theme="0"/>
      </bottom>
      <diagonal/>
    </border>
    <border>
      <left/>
      <right/>
      <top style="thin">
        <color theme="0"/>
      </top>
      <bottom style="thin">
        <color theme="0"/>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style="thin">
        <color indexed="9"/>
      </bottom>
      <diagonal/>
    </border>
    <border>
      <left style="thin">
        <color indexed="9"/>
      </left>
      <right/>
      <top/>
      <bottom style="thin">
        <color indexed="9"/>
      </bottom>
      <diagonal/>
    </border>
    <border>
      <left/>
      <right/>
      <top/>
      <bottom style="thin">
        <color indexed="9"/>
      </bottom>
      <diagonal/>
    </border>
    <border>
      <left style="thin">
        <color indexed="9"/>
      </left>
      <right/>
      <top style="thin">
        <color indexed="9"/>
      </top>
      <bottom style="thin">
        <color indexed="9"/>
      </bottom>
      <diagonal/>
    </border>
    <border>
      <left/>
      <right/>
      <top style="thin">
        <color indexed="9"/>
      </top>
      <bottom style="thin">
        <color indexed="9"/>
      </bottom>
      <diagonal/>
    </border>
    <border>
      <left style="thin">
        <color indexed="9"/>
      </left>
      <right style="hair">
        <color indexed="22"/>
      </right>
      <top/>
      <bottom style="thin">
        <color indexed="9"/>
      </bottom>
      <diagonal/>
    </border>
    <border>
      <left style="hair">
        <color indexed="22"/>
      </left>
      <right/>
      <top/>
      <bottom style="hair">
        <color indexed="22"/>
      </bottom>
      <diagonal/>
    </border>
    <border>
      <left/>
      <right/>
      <top/>
      <bottom style="hair">
        <color indexed="22"/>
      </bottom>
      <diagonal/>
    </border>
    <border>
      <left/>
      <right style="thin">
        <color theme="0"/>
      </right>
      <top style="thin">
        <color indexed="9"/>
      </top>
      <bottom style="thin">
        <color indexed="9"/>
      </bottom>
      <diagonal/>
    </border>
    <border>
      <left style="thin">
        <color theme="0"/>
      </left>
      <right/>
      <top/>
      <bottom/>
      <diagonal/>
    </border>
    <border>
      <left/>
      <right style="thin">
        <color indexed="9"/>
      </right>
      <top style="thin">
        <color indexed="9"/>
      </top>
      <bottom style="thin">
        <color indexed="9"/>
      </bottom>
      <diagonal/>
    </border>
    <border>
      <left/>
      <right style="thin">
        <color theme="0"/>
      </right>
      <top/>
      <bottom style="thin">
        <color theme="0"/>
      </bottom>
      <diagonal/>
    </border>
    <border>
      <left style="thin">
        <color indexed="9"/>
      </left>
      <right style="thin">
        <color indexed="9"/>
      </right>
      <top style="thin">
        <color theme="0"/>
      </top>
      <bottom style="thin">
        <color indexed="9"/>
      </bottom>
      <diagonal/>
    </border>
    <border>
      <left/>
      <right/>
      <top/>
      <bottom style="medium">
        <color auto="1"/>
      </bottom>
      <diagonal/>
    </border>
    <border>
      <left style="medium">
        <color auto="1"/>
      </left>
      <right style="medium">
        <color auto="1"/>
      </right>
      <top style="medium">
        <color auto="1"/>
      </top>
      <bottom/>
      <diagonal/>
    </border>
    <border>
      <left style="medium">
        <color auto="1"/>
      </left>
      <right/>
      <top style="medium">
        <color auto="1"/>
      </top>
      <bottom/>
      <diagonal/>
    </border>
    <border>
      <left style="medium">
        <color auto="1"/>
      </left>
      <right style="medium">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thin">
        <color auto="1"/>
      </top>
      <bottom style="medium">
        <color auto="1"/>
      </bottom>
      <diagonal/>
    </border>
    <border>
      <left/>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top/>
      <bottom/>
      <diagonal/>
    </border>
    <border>
      <left style="medium">
        <color auto="1"/>
      </left>
      <right/>
      <top/>
      <bottom style="medium">
        <color auto="1"/>
      </bottom>
      <diagonal/>
    </border>
    <border>
      <left/>
      <right style="medium">
        <color auto="1"/>
      </right>
      <top style="medium">
        <color auto="1"/>
      </top>
      <bottom/>
      <diagonal/>
    </border>
    <border>
      <left style="medium">
        <color auto="1"/>
      </left>
      <right style="thin">
        <color auto="1"/>
      </right>
      <top/>
      <bottom/>
      <diagonal/>
    </border>
    <border>
      <left style="thin">
        <color auto="1"/>
      </left>
      <right style="medium">
        <color auto="1"/>
      </right>
      <top/>
      <bottom/>
      <diagonal/>
    </border>
    <border>
      <left/>
      <right style="medium">
        <color auto="1"/>
      </right>
      <top/>
      <bottom/>
      <diagonal/>
    </border>
    <border>
      <left/>
      <right/>
      <top style="thin">
        <color auto="1"/>
      </top>
      <bottom style="medium">
        <color auto="1"/>
      </bottom>
      <diagonal/>
    </border>
    <border>
      <left style="medium">
        <color auto="1"/>
      </left>
      <right style="medium">
        <color auto="1"/>
      </right>
      <top style="medium">
        <color auto="1"/>
      </top>
      <bottom style="thin">
        <color auto="1"/>
      </bottom>
      <diagonal/>
    </border>
    <border>
      <left style="medium">
        <color auto="1"/>
      </left>
      <right/>
      <top style="thin">
        <color auto="1"/>
      </top>
      <bottom style="thin">
        <color auto="1"/>
      </bottom>
      <diagonal/>
    </border>
    <border>
      <left style="medium">
        <color auto="1"/>
      </left>
      <right style="medium">
        <color auto="1"/>
      </right>
      <top style="thin">
        <color auto="1"/>
      </top>
      <bottom style="thin">
        <color auto="1"/>
      </bottom>
      <diagonal/>
    </border>
    <border>
      <left style="thin">
        <color theme="0"/>
      </left>
      <right/>
      <top style="thin">
        <color theme="0"/>
      </top>
      <bottom style="thin">
        <color auto="1"/>
      </bottom>
      <diagonal/>
    </border>
    <border>
      <left/>
      <right/>
      <top style="thin">
        <color theme="0"/>
      </top>
      <bottom style="thin">
        <color auto="1"/>
      </bottom>
      <diagonal/>
    </border>
    <border>
      <left/>
      <right style="thin">
        <color theme="0"/>
      </right>
      <top style="thin">
        <color theme="0"/>
      </top>
      <bottom style="thin">
        <color auto="1"/>
      </bottom>
      <diagonal/>
    </border>
    <border>
      <left style="thin">
        <color theme="0"/>
      </left>
      <right/>
      <top style="thin">
        <color auto="1"/>
      </top>
      <bottom style="thin">
        <color theme="0"/>
      </bottom>
      <diagonal/>
    </border>
    <border>
      <left/>
      <right/>
      <top style="thin">
        <color auto="1"/>
      </top>
      <bottom style="thin">
        <color theme="0"/>
      </bottom>
      <diagonal/>
    </border>
    <border>
      <left style="thin">
        <color theme="0" tint="-4.9989318521683403E-2"/>
      </left>
      <right style="thin">
        <color theme="0" tint="-4.9989318521683403E-2"/>
      </right>
      <top style="thin">
        <color auto="1"/>
      </top>
      <bottom style="thin">
        <color theme="0" tint="-4.9989318521683403E-2"/>
      </bottom>
      <diagonal/>
    </border>
    <border>
      <left style="thin">
        <color theme="0" tint="-4.9989318521683403E-2"/>
      </left>
      <right/>
      <top style="thin">
        <color auto="1"/>
      </top>
      <bottom style="thin">
        <color theme="0"/>
      </bottom>
      <diagonal/>
    </border>
    <border>
      <left/>
      <right style="thin">
        <color theme="0"/>
      </right>
      <top style="thin">
        <color auto="1"/>
      </top>
      <bottom style="thin">
        <color theme="0"/>
      </bottom>
      <diagonal/>
    </border>
    <border>
      <left style="thin">
        <color theme="0"/>
      </left>
      <right/>
      <top/>
      <bottom style="thin">
        <color theme="0"/>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top style="thin">
        <color theme="0"/>
      </top>
      <bottom style="thin">
        <color theme="0"/>
      </bottom>
      <diagonal/>
    </border>
    <border>
      <left/>
      <right style="thin">
        <color theme="0" tint="-4.9989318521683403E-2"/>
      </right>
      <top style="thin">
        <color theme="0"/>
      </top>
      <bottom style="thin">
        <color theme="0"/>
      </bottom>
      <diagonal/>
    </border>
    <border>
      <left style="mediumDashDotDot">
        <color auto="1"/>
      </left>
      <right/>
      <top style="mediumDashDotDot">
        <color auto="1"/>
      </top>
      <bottom/>
      <diagonal/>
    </border>
    <border>
      <left/>
      <right/>
      <top style="mediumDashDotDot">
        <color auto="1"/>
      </top>
      <bottom/>
      <diagonal/>
    </border>
    <border>
      <left/>
      <right style="mediumDashDotDot">
        <color auto="1"/>
      </right>
      <top style="mediumDashDotDot">
        <color auto="1"/>
      </top>
      <bottom/>
      <diagonal/>
    </border>
    <border>
      <left style="mediumDashDotDot">
        <color auto="1"/>
      </left>
      <right/>
      <top/>
      <bottom/>
      <diagonal/>
    </border>
    <border>
      <left/>
      <right style="mediumDashDotDot">
        <color auto="1"/>
      </right>
      <top/>
      <bottom/>
      <diagonal/>
    </border>
    <border>
      <left/>
      <right/>
      <top/>
      <bottom style="mediumDashDot">
        <color auto="1"/>
      </bottom>
      <diagonal/>
    </border>
    <border>
      <left/>
      <right style="mediumDashDot">
        <color auto="1"/>
      </right>
      <top/>
      <bottom style="mediumDashDot">
        <color auto="1"/>
      </bottom>
      <diagonal/>
    </border>
    <border>
      <left style="mediumDashDot">
        <color auto="1"/>
      </left>
      <right/>
      <top style="mediumDashDot">
        <color auto="1"/>
      </top>
      <bottom/>
      <diagonal/>
    </border>
    <border>
      <left/>
      <right style="mediumDashDot">
        <color auto="1"/>
      </right>
      <top style="mediumDashDot">
        <color auto="1"/>
      </top>
      <bottom/>
      <diagonal/>
    </border>
    <border>
      <left/>
      <right/>
      <top style="mediumDashDot">
        <color auto="1"/>
      </top>
      <bottom/>
      <diagonal/>
    </border>
    <border>
      <left style="mediumDashDot">
        <color auto="1"/>
      </left>
      <right/>
      <top/>
      <bottom/>
      <diagonal/>
    </border>
    <border>
      <left/>
      <right style="mediumDashDot">
        <color auto="1"/>
      </right>
      <top/>
      <bottom/>
      <diagonal/>
    </border>
    <border>
      <left style="mediumDashDot">
        <color auto="1"/>
      </left>
      <right/>
      <top/>
      <bottom style="mediumDashDot">
        <color auto="1"/>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bottom style="medium">
        <color indexed="44"/>
      </bottom>
      <diagonal/>
    </border>
    <border>
      <left/>
      <right/>
      <top/>
      <bottom style="thick">
        <color indexed="22"/>
      </bottom>
      <diagonal/>
    </border>
    <border>
      <left/>
      <right/>
      <top/>
      <bottom style="thick">
        <color indexed="54"/>
      </bottom>
      <diagonal/>
    </border>
    <border>
      <left/>
      <right/>
      <top style="thin">
        <color indexed="54"/>
      </top>
      <bottom style="double">
        <color indexed="54"/>
      </bottom>
      <diagonal/>
    </border>
    <border>
      <left/>
      <right/>
      <top/>
      <bottom style="thick">
        <color indexed="49"/>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s>
  <cellStyleXfs count="324">
    <xf numFmtId="0" fontId="0" fillId="0" borderId="0"/>
    <xf numFmtId="0" fontId="93" fillId="55" borderId="0" applyNumberFormat="0" applyBorder="0" applyAlignment="0" applyProtection="0"/>
    <xf numFmtId="0" fontId="94" fillId="56" borderId="0" applyNumberFormat="0" applyBorder="0" applyAlignment="0" applyProtection="0">
      <alignment vertical="center"/>
    </xf>
    <xf numFmtId="0" fontId="93" fillId="57" borderId="0" applyNumberFormat="0" applyBorder="0" applyAlignment="0" applyProtection="0"/>
    <xf numFmtId="0" fontId="95" fillId="39" borderId="293" applyNumberFormat="0" applyAlignment="0" applyProtection="0">
      <alignment vertical="center"/>
    </xf>
    <xf numFmtId="0" fontId="97" fillId="56" borderId="293" applyNumberFormat="0" applyAlignment="0" applyProtection="0">
      <alignment vertical="center"/>
    </xf>
    <xf numFmtId="177" fontId="99" fillId="0" borderId="4">
      <alignment horizontal="center" vertical="center"/>
      <protection locked="0"/>
    </xf>
    <xf numFmtId="0" fontId="94" fillId="61" borderId="0" applyNumberFormat="0" applyBorder="0" applyAlignment="0" applyProtection="0"/>
    <xf numFmtId="0" fontId="78" fillId="0" borderId="0" applyNumberFormat="0" applyFill="0" applyBorder="0" applyAlignment="0" applyProtection="0">
      <alignment vertical="top"/>
      <protection locked="0"/>
    </xf>
    <xf numFmtId="0" fontId="101" fillId="51" borderId="0" applyNumberFormat="0" applyBorder="0" applyAlignment="0" applyProtection="0">
      <alignment vertical="center"/>
    </xf>
    <xf numFmtId="0" fontId="88" fillId="58" borderId="0" applyNumberFormat="0" applyBorder="0" applyAlignment="0" applyProtection="0"/>
    <xf numFmtId="0" fontId="104" fillId="51" borderId="0" applyNumberFormat="0" applyBorder="0" applyAlignment="0" applyProtection="0">
      <alignment vertical="center"/>
    </xf>
    <xf numFmtId="0" fontId="12" fillId="0" borderId="0">
      <alignment vertical="center"/>
    </xf>
    <xf numFmtId="9" fontId="60" fillId="0" borderId="0" applyFont="0" applyFill="0" applyBorder="0" applyAlignment="0" applyProtection="0">
      <alignment vertical="center"/>
    </xf>
    <xf numFmtId="9" fontId="14" fillId="0" borderId="0" applyFont="0" applyFill="0" applyBorder="0" applyAlignment="0" applyProtection="0"/>
    <xf numFmtId="0" fontId="103" fillId="0" borderId="0"/>
    <xf numFmtId="0" fontId="108" fillId="0" borderId="0"/>
    <xf numFmtId="0" fontId="94" fillId="64" borderId="0" applyNumberFormat="0" applyBorder="0" applyAlignment="0" applyProtection="0">
      <alignment vertical="center"/>
    </xf>
    <xf numFmtId="0" fontId="109" fillId="0" borderId="0" applyNumberFormat="0" applyFill="0" applyBorder="0" applyAlignment="0" applyProtection="0">
      <alignment vertical="top"/>
      <protection locked="0"/>
    </xf>
    <xf numFmtId="0" fontId="108" fillId="0" borderId="0">
      <alignment vertical="center"/>
    </xf>
    <xf numFmtId="0" fontId="97" fillId="56" borderId="293" applyNumberFormat="0" applyAlignment="0" applyProtection="0"/>
    <xf numFmtId="0" fontId="60" fillId="57" borderId="0" applyNumberFormat="0" applyBorder="0" applyAlignment="0" applyProtection="0">
      <alignment vertical="center"/>
    </xf>
    <xf numFmtId="0" fontId="93" fillId="62" borderId="0" applyNumberFormat="0" applyBorder="0" applyAlignment="0" applyProtection="0">
      <alignment vertical="center"/>
    </xf>
    <xf numFmtId="0" fontId="16" fillId="0" borderId="0"/>
    <xf numFmtId="0" fontId="107" fillId="0" borderId="298" applyNumberFormat="0" applyFill="0" applyAlignment="0" applyProtection="0"/>
    <xf numFmtId="0" fontId="93" fillId="51" borderId="0" applyNumberFormat="0" applyBorder="0" applyAlignment="0" applyProtection="0">
      <alignment vertical="center"/>
    </xf>
    <xf numFmtId="0" fontId="105" fillId="62" borderId="0" applyNumberFormat="0" applyBorder="0" applyAlignment="0" applyProtection="0">
      <alignment vertical="center"/>
    </xf>
    <xf numFmtId="0" fontId="93" fillId="62" borderId="0" applyNumberFormat="0" applyBorder="0" applyAlignment="0" applyProtection="0"/>
    <xf numFmtId="0" fontId="100" fillId="39" borderId="294" applyNumberFormat="0" applyAlignment="0" applyProtection="0">
      <alignment vertical="center"/>
    </xf>
    <xf numFmtId="0" fontId="93" fillId="51" borderId="0" applyNumberFormat="0" applyBorder="0" applyAlignment="0" applyProtection="0"/>
    <xf numFmtId="0" fontId="93" fillId="55" borderId="0" applyNumberFormat="0" applyBorder="0" applyAlignment="0" applyProtection="0">
      <alignment vertical="center"/>
    </xf>
    <xf numFmtId="0" fontId="93" fillId="65" borderId="0" applyNumberFormat="0" applyBorder="0" applyAlignment="0" applyProtection="0">
      <alignment vertical="center"/>
    </xf>
    <xf numFmtId="0" fontId="93" fillId="38" borderId="0" applyNumberFormat="0" applyBorder="0" applyAlignment="0" applyProtection="0">
      <alignment vertical="center"/>
    </xf>
    <xf numFmtId="37" fontId="89" fillId="0" borderId="0"/>
    <xf numFmtId="0" fontId="90" fillId="54" borderId="293" applyNumberFormat="0" applyAlignment="0" applyProtection="0">
      <alignment vertical="center"/>
    </xf>
    <xf numFmtId="0" fontId="108" fillId="0" borderId="0">
      <alignment vertical="center"/>
    </xf>
    <xf numFmtId="0" fontId="99" fillId="67" borderId="4">
      <alignment horizontal="center" vertical="center"/>
    </xf>
    <xf numFmtId="0" fontId="113" fillId="68" borderId="0" applyNumberFormat="0" applyBorder="0" applyAlignment="0" applyProtection="0">
      <alignment vertical="center"/>
    </xf>
    <xf numFmtId="0" fontId="107" fillId="0" borderId="298" applyNumberFormat="0" applyFill="0" applyAlignment="0" applyProtection="0">
      <alignment vertical="center"/>
    </xf>
    <xf numFmtId="0" fontId="88" fillId="60" borderId="0" applyNumberFormat="0" applyBorder="0" applyAlignment="0" applyProtection="0">
      <alignment vertical="center"/>
    </xf>
    <xf numFmtId="0" fontId="108" fillId="0" borderId="0"/>
    <xf numFmtId="0" fontId="93" fillId="65" borderId="0" applyNumberFormat="0" applyBorder="0" applyAlignment="0" applyProtection="0"/>
    <xf numFmtId="0" fontId="93" fillId="38" borderId="0" applyNumberFormat="0" applyBorder="0" applyAlignment="0" applyProtection="0"/>
    <xf numFmtId="0" fontId="90" fillId="54" borderId="293" applyNumberFormat="0" applyAlignment="0" applyProtection="0"/>
    <xf numFmtId="0" fontId="108" fillId="0" borderId="0"/>
    <xf numFmtId="0" fontId="108" fillId="0" borderId="0">
      <alignment vertical="center"/>
    </xf>
    <xf numFmtId="0" fontId="114" fillId="0" borderId="299" applyNumberFormat="0" applyFill="0" applyAlignment="0" applyProtection="0">
      <alignment vertical="center"/>
    </xf>
    <xf numFmtId="38" fontId="111" fillId="39" borderId="0" applyNumberFormat="0" applyBorder="0" applyAlignment="0" applyProtection="0"/>
    <xf numFmtId="0" fontId="103" fillId="0" borderId="0">
      <alignment vertical="center"/>
    </xf>
    <xf numFmtId="0" fontId="12" fillId="0" borderId="0">
      <alignment vertical="center"/>
    </xf>
    <xf numFmtId="0" fontId="93" fillId="57" borderId="0" applyNumberFormat="0" applyBorder="0" applyAlignment="0" applyProtection="0">
      <alignment vertical="center"/>
    </xf>
    <xf numFmtId="0" fontId="93" fillId="70" borderId="0" applyNumberFormat="0" applyBorder="0" applyAlignment="0" applyProtection="0"/>
    <xf numFmtId="0" fontId="93" fillId="70" borderId="0" applyNumberFormat="0" applyBorder="0" applyAlignment="0" applyProtection="0">
      <alignment vertical="center"/>
    </xf>
    <xf numFmtId="0" fontId="93" fillId="71" borderId="0" applyNumberFormat="0" applyBorder="0" applyAlignment="0" applyProtection="0"/>
    <xf numFmtId="0" fontId="93" fillId="71" borderId="0" applyNumberFormat="0" applyBorder="0" applyAlignment="0" applyProtection="0">
      <alignment vertical="center"/>
    </xf>
    <xf numFmtId="0" fontId="60" fillId="38" borderId="0" applyNumberFormat="0" applyBorder="0" applyAlignment="0" applyProtection="0">
      <alignment vertical="center"/>
    </xf>
    <xf numFmtId="0" fontId="60" fillId="62" borderId="0" applyNumberFormat="0" applyBorder="0" applyAlignment="0" applyProtection="0">
      <alignment vertical="center"/>
    </xf>
    <xf numFmtId="0" fontId="116" fillId="0" borderId="299" applyNumberFormat="0" applyFill="0" applyAlignment="0" applyProtection="0"/>
    <xf numFmtId="0" fontId="60" fillId="51" borderId="0" applyNumberFormat="0" applyBorder="0" applyAlignment="0" applyProtection="0">
      <alignment vertical="center"/>
    </xf>
    <xf numFmtId="0" fontId="13" fillId="0" borderId="0">
      <alignment vertical="center"/>
    </xf>
    <xf numFmtId="0" fontId="60" fillId="57" borderId="0" applyNumberFormat="0" applyBorder="0" applyAlignment="0" applyProtection="0">
      <alignment vertical="center"/>
    </xf>
    <xf numFmtId="0" fontId="99" fillId="71" borderId="4">
      <alignment horizontal="center" vertical="center"/>
    </xf>
    <xf numFmtId="0" fontId="60" fillId="70" borderId="0" applyNumberFormat="0" applyBorder="0" applyAlignment="0" applyProtection="0">
      <alignment vertical="center"/>
    </xf>
    <xf numFmtId="0" fontId="60" fillId="71" borderId="0" applyNumberFormat="0" applyBorder="0" applyAlignment="0" applyProtection="0">
      <alignment vertical="center"/>
    </xf>
    <xf numFmtId="0" fontId="93" fillId="36" borderId="0" applyNumberFormat="0" applyBorder="0" applyAlignment="0" applyProtection="0"/>
    <xf numFmtId="0" fontId="93" fillId="36" borderId="0" applyNumberFormat="0" applyBorder="0" applyAlignment="0" applyProtection="0">
      <alignment vertical="center"/>
    </xf>
    <xf numFmtId="0" fontId="93" fillId="73" borderId="0" applyNumberFormat="0" applyBorder="0" applyAlignment="0" applyProtection="0"/>
    <xf numFmtId="0" fontId="93" fillId="73" borderId="0" applyNumberFormat="0" applyBorder="0" applyAlignment="0" applyProtection="0">
      <alignment vertical="center"/>
    </xf>
    <xf numFmtId="0" fontId="93" fillId="46" borderId="0" applyNumberFormat="0" applyBorder="0" applyAlignment="0" applyProtection="0"/>
    <xf numFmtId="0" fontId="93" fillId="46" borderId="0" applyNumberFormat="0" applyBorder="0" applyAlignment="0" applyProtection="0">
      <alignment vertical="center"/>
    </xf>
    <xf numFmtId="0" fontId="117" fillId="0" borderId="0" applyNumberFormat="0" applyFill="0" applyBorder="0" applyAlignment="0" applyProtection="0">
      <alignment vertical="top"/>
      <protection locked="0"/>
    </xf>
    <xf numFmtId="179" fontId="86" fillId="0" borderId="0"/>
    <xf numFmtId="0" fontId="93" fillId="57" borderId="0" applyNumberFormat="0" applyBorder="0" applyAlignment="0" applyProtection="0"/>
    <xf numFmtId="0" fontId="118" fillId="0" borderId="0" applyNumberFormat="0" applyFill="0" applyBorder="0" applyAlignment="0" applyProtection="0">
      <alignment vertical="top"/>
      <protection locked="0"/>
    </xf>
    <xf numFmtId="179" fontId="86" fillId="0" borderId="0">
      <alignment vertical="center"/>
    </xf>
    <xf numFmtId="0" fontId="93" fillId="57" borderId="0" applyNumberFormat="0" applyBorder="0" applyAlignment="0" applyProtection="0">
      <alignment vertical="center"/>
    </xf>
    <xf numFmtId="0" fontId="119" fillId="0" borderId="0" applyNumberFormat="0" applyFill="0" applyBorder="0" applyAlignment="0" applyProtection="0">
      <alignment vertical="center"/>
    </xf>
    <xf numFmtId="0" fontId="93" fillId="36" borderId="0" applyNumberFormat="0" applyBorder="0" applyAlignment="0" applyProtection="0"/>
    <xf numFmtId="0" fontId="93" fillId="36" borderId="0" applyNumberFormat="0" applyBorder="0" applyAlignment="0" applyProtection="0">
      <alignment vertical="center"/>
    </xf>
    <xf numFmtId="176" fontId="120" fillId="0" borderId="0" applyFont="0" applyFill="0" applyBorder="0" applyAlignment="0" applyProtection="0"/>
    <xf numFmtId="0" fontId="93" fillId="74" borderId="0" applyNumberFormat="0" applyBorder="0" applyAlignment="0" applyProtection="0"/>
    <xf numFmtId="0" fontId="12" fillId="0" borderId="0">
      <alignment vertical="center"/>
    </xf>
    <xf numFmtId="0" fontId="93" fillId="74" borderId="0" applyNumberFormat="0" applyBorder="0" applyAlignment="0" applyProtection="0">
      <alignment vertical="center"/>
    </xf>
    <xf numFmtId="0" fontId="110" fillId="0" borderId="0"/>
    <xf numFmtId="0" fontId="60" fillId="36" borderId="0" applyNumberFormat="0" applyBorder="0" applyAlignment="0" applyProtection="0">
      <alignment vertical="center"/>
    </xf>
    <xf numFmtId="0" fontId="60" fillId="73" borderId="0" applyNumberFormat="0" applyBorder="0" applyAlignment="0" applyProtection="0">
      <alignment vertical="center"/>
    </xf>
    <xf numFmtId="0" fontId="60" fillId="46" borderId="0" applyNumberFormat="0" applyBorder="0" applyAlignment="0" applyProtection="0">
      <alignment vertical="center"/>
    </xf>
    <xf numFmtId="0" fontId="60" fillId="36" borderId="0" applyNumberFormat="0" applyBorder="0" applyAlignment="0" applyProtection="0">
      <alignment vertical="center"/>
    </xf>
    <xf numFmtId="0" fontId="60" fillId="74" borderId="0" applyNumberFormat="0" applyBorder="0" applyAlignment="0" applyProtection="0">
      <alignment vertical="center"/>
    </xf>
    <xf numFmtId="0" fontId="94" fillId="45" borderId="0" applyNumberFormat="0" applyBorder="0" applyAlignment="0" applyProtection="0"/>
    <xf numFmtId="0" fontId="94" fillId="45" borderId="0" applyNumberFormat="0" applyBorder="0" applyAlignment="0" applyProtection="0">
      <alignment vertical="center"/>
    </xf>
    <xf numFmtId="0" fontId="12" fillId="0" borderId="0"/>
    <xf numFmtId="0" fontId="121" fillId="0" borderId="0" applyNumberFormat="0" applyFill="0" applyBorder="0" applyAlignment="0" applyProtection="0">
      <alignment vertical="center"/>
    </xf>
    <xf numFmtId="0" fontId="94" fillId="73" borderId="0" applyNumberFormat="0" applyBorder="0" applyAlignment="0" applyProtection="0"/>
    <xf numFmtId="0" fontId="12" fillId="0" borderId="0">
      <alignment vertical="center"/>
    </xf>
    <xf numFmtId="0" fontId="94" fillId="73" borderId="0" applyNumberFormat="0" applyBorder="0" applyAlignment="0" applyProtection="0">
      <alignment vertical="center"/>
    </xf>
    <xf numFmtId="0" fontId="12" fillId="0" borderId="0"/>
    <xf numFmtId="0" fontId="94" fillId="46" borderId="0" applyNumberFormat="0" applyBorder="0" applyAlignment="0" applyProtection="0"/>
    <xf numFmtId="0" fontId="12" fillId="0" borderId="0">
      <alignment vertical="center"/>
    </xf>
    <xf numFmtId="0" fontId="122" fillId="75" borderId="0" applyNumberFormat="0" applyBorder="0" applyAlignment="0" applyProtection="0"/>
    <xf numFmtId="0" fontId="94" fillId="46" borderId="0" applyNumberFormat="0" applyBorder="0" applyAlignment="0" applyProtection="0">
      <alignment vertical="center"/>
    </xf>
    <xf numFmtId="0" fontId="12" fillId="0" borderId="0"/>
    <xf numFmtId="0" fontId="94" fillId="72" borderId="0" applyNumberFormat="0" applyBorder="0" applyAlignment="0" applyProtection="0"/>
    <xf numFmtId="0" fontId="12" fillId="0" borderId="0">
      <alignment vertical="center"/>
    </xf>
    <xf numFmtId="0" fontId="94" fillId="72" borderId="0" applyNumberFormat="0" applyBorder="0" applyAlignment="0" applyProtection="0">
      <alignment vertical="center"/>
    </xf>
    <xf numFmtId="0" fontId="115" fillId="72" borderId="0" applyNumberFormat="0" applyBorder="0" applyAlignment="0" applyProtection="0">
      <alignment vertical="center"/>
    </xf>
    <xf numFmtId="0" fontId="60" fillId="0" borderId="0">
      <alignment vertical="center"/>
    </xf>
    <xf numFmtId="0" fontId="94" fillId="76" borderId="0" applyNumberFormat="0" applyBorder="0" applyAlignment="0" applyProtection="0"/>
    <xf numFmtId="0" fontId="94" fillId="76" borderId="0" applyNumberFormat="0" applyBorder="0" applyAlignment="0" applyProtection="0">
      <alignment vertical="center"/>
    </xf>
    <xf numFmtId="0" fontId="13" fillId="0" borderId="0">
      <alignment vertical="center"/>
    </xf>
    <xf numFmtId="0" fontId="94" fillId="77" borderId="0" applyNumberFormat="0" applyBorder="0" applyAlignment="0" applyProtection="0"/>
    <xf numFmtId="0" fontId="94" fillId="77" borderId="0" applyNumberFormat="0" applyBorder="0" applyAlignment="0" applyProtection="0">
      <alignment vertical="center"/>
    </xf>
    <xf numFmtId="0" fontId="107" fillId="0" borderId="0" applyNumberFormat="0" applyFill="0" applyBorder="0" applyAlignment="0" applyProtection="0"/>
    <xf numFmtId="0" fontId="115" fillId="45" borderId="0" applyNumberFormat="0" applyBorder="0" applyAlignment="0" applyProtection="0">
      <alignment vertical="center"/>
    </xf>
    <xf numFmtId="0" fontId="12" fillId="0" borderId="0">
      <alignment vertical="center"/>
    </xf>
    <xf numFmtId="0" fontId="115" fillId="73" borderId="0" applyNumberFormat="0" applyBorder="0" applyAlignment="0" applyProtection="0">
      <alignment vertical="center"/>
    </xf>
    <xf numFmtId="0" fontId="115" fillId="46" borderId="0" applyNumberFormat="0" applyBorder="0" applyAlignment="0" applyProtection="0">
      <alignment vertical="center"/>
    </xf>
    <xf numFmtId="0" fontId="112" fillId="66" borderId="0" applyNumberFormat="0" applyBorder="0" applyAlignment="0" applyProtection="0"/>
    <xf numFmtId="0" fontId="115" fillId="72" borderId="0" applyNumberFormat="0" applyBorder="0" applyAlignment="0" applyProtection="0">
      <alignment vertical="center"/>
    </xf>
    <xf numFmtId="0" fontId="115" fillId="76" borderId="0" applyNumberFormat="0" applyBorder="0" applyAlignment="0" applyProtection="0">
      <alignment vertical="center"/>
    </xf>
    <xf numFmtId="0" fontId="115" fillId="77" borderId="0" applyNumberFormat="0" applyBorder="0" applyAlignment="0" applyProtection="0">
      <alignment vertical="center"/>
    </xf>
    <xf numFmtId="184" fontId="120" fillId="0" borderId="0" applyFont="0" applyFill="0" applyBorder="0" applyAlignment="0" applyProtection="0"/>
    <xf numFmtId="0" fontId="94" fillId="78" borderId="0" applyNumberFormat="0" applyBorder="0" applyAlignment="0" applyProtection="0"/>
    <xf numFmtId="0" fontId="93" fillId="65" borderId="0" applyNumberFormat="0" applyBorder="0" applyAlignment="0" applyProtection="0"/>
    <xf numFmtId="0" fontId="93" fillId="65" borderId="0" applyNumberFormat="0" applyBorder="0" applyAlignment="0" applyProtection="0">
      <alignment vertical="center"/>
    </xf>
    <xf numFmtId="0" fontId="94" fillId="79" borderId="0" applyNumberFormat="0" applyBorder="0" applyAlignment="0" applyProtection="0"/>
    <xf numFmtId="0" fontId="60" fillId="0" borderId="0"/>
    <xf numFmtId="0" fontId="94" fillId="79" borderId="0" applyNumberFormat="0" applyBorder="0" applyAlignment="0" applyProtection="0">
      <alignment vertical="center"/>
    </xf>
    <xf numFmtId="0" fontId="94" fillId="78" borderId="0" applyNumberFormat="0" applyBorder="0" applyAlignment="0" applyProtection="0">
      <alignment vertical="center"/>
    </xf>
    <xf numFmtId="0" fontId="104" fillId="51" borderId="0" applyNumberFormat="0" applyBorder="0" applyAlignment="0" applyProtection="0">
      <alignment vertical="center"/>
    </xf>
    <xf numFmtId="185" fontId="103" fillId="0" borderId="0">
      <alignment horizontal="justify" vertical="center"/>
    </xf>
    <xf numFmtId="0" fontId="94" fillId="80" borderId="0" applyNumberFormat="0" applyBorder="0" applyAlignment="0" applyProtection="0"/>
    <xf numFmtId="0" fontId="93" fillId="59" borderId="0" applyNumberFormat="0" applyBorder="0" applyAlignment="0" applyProtection="0"/>
    <xf numFmtId="0" fontId="93" fillId="59" borderId="0" applyNumberFormat="0" applyBorder="0" applyAlignment="0" applyProtection="0">
      <alignment vertical="center"/>
    </xf>
    <xf numFmtId="0" fontId="123" fillId="0" borderId="0" applyNumberFormat="0" applyFill="0" applyBorder="0" applyProtection="0">
      <alignment vertical="center"/>
    </xf>
    <xf numFmtId="0" fontId="94" fillId="61" borderId="0" applyNumberFormat="0" applyBorder="0" applyAlignment="0" applyProtection="0">
      <alignment vertical="center"/>
    </xf>
    <xf numFmtId="0" fontId="104" fillId="51" borderId="0" applyNumberFormat="0" applyBorder="0" applyAlignment="0" applyProtection="0">
      <alignment vertical="center"/>
    </xf>
    <xf numFmtId="0" fontId="94" fillId="80" borderId="0" applyNumberFormat="0" applyBorder="0" applyAlignment="0" applyProtection="0">
      <alignment vertical="center"/>
    </xf>
    <xf numFmtId="0" fontId="94" fillId="69" borderId="0" applyNumberFormat="0" applyBorder="0" applyAlignment="0" applyProtection="0"/>
    <xf numFmtId="0" fontId="94" fillId="61" borderId="0" applyNumberFormat="0" applyBorder="0" applyAlignment="0" applyProtection="0"/>
    <xf numFmtId="0" fontId="94" fillId="81" borderId="0" applyNumberFormat="0" applyBorder="0" applyAlignment="0" applyProtection="0">
      <alignment vertical="center"/>
    </xf>
    <xf numFmtId="0" fontId="93" fillId="59" borderId="0" applyNumberFormat="0" applyBorder="0" applyAlignment="0" applyProtection="0"/>
    <xf numFmtId="0" fontId="93" fillId="59" borderId="0" applyNumberFormat="0" applyBorder="0" applyAlignment="0" applyProtection="0">
      <alignment vertical="center"/>
    </xf>
    <xf numFmtId="0" fontId="93" fillId="82" borderId="0" applyNumberFormat="0" applyBorder="0" applyAlignment="0" applyProtection="0"/>
    <xf numFmtId="0" fontId="93" fillId="82" borderId="0" applyNumberFormat="0" applyBorder="0" applyAlignment="0" applyProtection="0">
      <alignment vertical="center"/>
    </xf>
    <xf numFmtId="0" fontId="88" fillId="58" borderId="0" applyNumberFormat="0" applyBorder="0" applyAlignment="0" applyProtection="0">
      <alignment vertical="center"/>
    </xf>
    <xf numFmtId="0" fontId="94" fillId="55" borderId="0" applyNumberFormat="0" applyBorder="0" applyAlignment="0" applyProtection="0"/>
    <xf numFmtId="0" fontId="94" fillId="55" borderId="0" applyNumberFormat="0" applyBorder="0" applyAlignment="0" applyProtection="0">
      <alignment vertical="center"/>
    </xf>
    <xf numFmtId="0" fontId="94" fillId="61" borderId="0" applyNumberFormat="0" applyBorder="0" applyAlignment="0" applyProtection="0">
      <alignment vertical="center"/>
    </xf>
    <xf numFmtId="0" fontId="94" fillId="78" borderId="0" applyNumberFormat="0" applyBorder="0" applyAlignment="0" applyProtection="0"/>
    <xf numFmtId="9" fontId="12" fillId="0" borderId="0" applyFont="0" applyFill="0" applyBorder="0" applyAlignment="0" applyProtection="0">
      <alignment vertical="center"/>
    </xf>
    <xf numFmtId="0" fontId="93" fillId="65" borderId="0" applyNumberFormat="0" applyBorder="0" applyAlignment="0" applyProtection="0"/>
    <xf numFmtId="0" fontId="93" fillId="65" borderId="0" applyNumberFormat="0" applyBorder="0" applyAlignment="0" applyProtection="0">
      <alignment vertical="center"/>
    </xf>
    <xf numFmtId="0" fontId="93" fillId="55" borderId="0" applyNumberFormat="0" applyBorder="0" applyAlignment="0" applyProtection="0"/>
    <xf numFmtId="0" fontId="12" fillId="0" borderId="0">
      <alignment vertical="center"/>
    </xf>
    <xf numFmtId="0" fontId="93" fillId="56" borderId="0" applyNumberFormat="0" applyBorder="0" applyAlignment="0" applyProtection="0"/>
    <xf numFmtId="0" fontId="93" fillId="55" borderId="0" applyNumberFormat="0" applyBorder="0" applyAlignment="0" applyProtection="0">
      <alignment vertical="center"/>
    </xf>
    <xf numFmtId="0" fontId="94" fillId="55" borderId="0" applyNumberFormat="0" applyBorder="0" applyAlignment="0" applyProtection="0"/>
    <xf numFmtId="0" fontId="94" fillId="55" borderId="0" applyNumberFormat="0" applyBorder="0" applyAlignment="0" applyProtection="0">
      <alignment vertical="center"/>
    </xf>
    <xf numFmtId="0" fontId="94" fillId="64" borderId="0" applyNumberFormat="0" applyBorder="0" applyAlignment="0" applyProtection="0"/>
    <xf numFmtId="0" fontId="94" fillId="78" borderId="0" applyNumberFormat="0" applyBorder="0" applyAlignment="0" applyProtection="0">
      <alignment vertical="center"/>
    </xf>
    <xf numFmtId="0" fontId="94" fillId="81" borderId="0" applyNumberFormat="0" applyBorder="0" applyAlignment="0" applyProtection="0"/>
    <xf numFmtId="0" fontId="93" fillId="83" borderId="0" applyNumberFormat="0" applyBorder="0" applyAlignment="0" applyProtection="0"/>
    <xf numFmtId="0" fontId="93" fillId="83" borderId="0" applyNumberFormat="0" applyBorder="0" applyAlignment="0" applyProtection="0">
      <alignment vertical="center"/>
    </xf>
    <xf numFmtId="0" fontId="93" fillId="65" borderId="0" applyNumberFormat="0" applyBorder="0" applyAlignment="0" applyProtection="0"/>
    <xf numFmtId="0" fontId="124" fillId="0" borderId="0" applyNumberFormat="0" applyFill="0" applyBorder="0" applyAlignment="0" applyProtection="0"/>
    <xf numFmtId="0" fontId="93" fillId="65" borderId="0" applyNumberFormat="0" applyBorder="0" applyAlignment="0" applyProtection="0">
      <alignment vertical="center"/>
    </xf>
    <xf numFmtId="0" fontId="110" fillId="0" borderId="0"/>
    <xf numFmtId="0" fontId="94" fillId="79" borderId="0" applyNumberFormat="0" applyBorder="0" applyAlignment="0" applyProtection="0"/>
    <xf numFmtId="0" fontId="110" fillId="0" borderId="0">
      <alignment vertical="center"/>
    </xf>
    <xf numFmtId="0" fontId="94" fillId="79" borderId="0" applyNumberFormat="0" applyBorder="0" applyAlignment="0" applyProtection="0">
      <alignment vertical="center"/>
    </xf>
    <xf numFmtId="0" fontId="93" fillId="59" borderId="0" applyNumberFormat="0" applyBorder="0" applyAlignment="0" applyProtection="0"/>
    <xf numFmtId="0" fontId="93" fillId="59" borderId="0" applyNumberFormat="0" applyBorder="0" applyAlignment="0" applyProtection="0">
      <alignment vertical="center"/>
    </xf>
    <xf numFmtId="0" fontId="93" fillId="56" borderId="0" applyNumberFormat="0" applyBorder="0" applyAlignment="0" applyProtection="0">
      <alignment vertical="center"/>
    </xf>
    <xf numFmtId="0" fontId="94" fillId="56" borderId="0" applyNumberFormat="0" applyBorder="0" applyAlignment="0" applyProtection="0"/>
    <xf numFmtId="0" fontId="122" fillId="75" borderId="0" applyNumberFormat="0" applyBorder="0" applyAlignment="0" applyProtection="0">
      <alignment vertical="center"/>
    </xf>
    <xf numFmtId="186" fontId="125" fillId="0" borderId="0" applyFill="0" applyBorder="0" applyAlignment="0"/>
    <xf numFmtId="186" fontId="125" fillId="0" borderId="0" applyFill="0" applyBorder="0" applyAlignment="0">
      <alignment vertical="center"/>
    </xf>
    <xf numFmtId="0" fontId="60" fillId="0" borderId="0">
      <alignment vertical="center"/>
    </xf>
    <xf numFmtId="0" fontId="102" fillId="61" borderId="297" applyNumberFormat="0" applyAlignment="0" applyProtection="0"/>
    <xf numFmtId="0" fontId="60" fillId="0" borderId="0">
      <alignment vertical="center"/>
    </xf>
    <xf numFmtId="0" fontId="102" fillId="61" borderId="297" applyNumberFormat="0" applyAlignment="0" applyProtection="0">
      <alignment vertical="center"/>
    </xf>
    <xf numFmtId="0" fontId="88" fillId="60" borderId="0" applyNumberFormat="0" applyBorder="0" applyAlignment="0" applyProtection="0"/>
    <xf numFmtId="0" fontId="88" fillId="53" borderId="0" applyNumberFormat="0" applyBorder="0" applyAlignment="0" applyProtection="0"/>
    <xf numFmtId="0" fontId="88" fillId="53" borderId="0" applyNumberFormat="0" applyBorder="0" applyAlignment="0" applyProtection="0">
      <alignment vertical="center"/>
    </xf>
    <xf numFmtId="0" fontId="115" fillId="35" borderId="0" applyNumberFormat="0" applyBorder="0" applyAlignment="0" applyProtection="0">
      <alignment vertical="center"/>
    </xf>
    <xf numFmtId="0" fontId="126" fillId="0" borderId="0" applyNumberFormat="0" applyFill="0" applyBorder="0" applyAlignment="0" applyProtection="0"/>
    <xf numFmtId="0" fontId="12" fillId="0" borderId="0"/>
    <xf numFmtId="0" fontId="126" fillId="0" borderId="0" applyNumberFormat="0" applyFill="0" applyBorder="0" applyAlignment="0" applyProtection="0">
      <alignment vertical="center"/>
    </xf>
    <xf numFmtId="0" fontId="123" fillId="0" borderId="0" applyNumberFormat="0" applyFill="0" applyBorder="0" applyAlignment="0" applyProtection="0">
      <alignment vertical="top"/>
      <protection locked="0"/>
    </xf>
    <xf numFmtId="0" fontId="12" fillId="0" borderId="0">
      <alignment vertical="center"/>
    </xf>
    <xf numFmtId="0" fontId="127" fillId="82" borderId="0" applyNumberFormat="0" applyBorder="0" applyAlignment="0" applyProtection="0"/>
    <xf numFmtId="0" fontId="127" fillId="82" borderId="0" applyNumberFormat="0" applyBorder="0" applyAlignment="0" applyProtection="0">
      <alignment vertical="center"/>
    </xf>
    <xf numFmtId="38" fontId="111" fillId="39" borderId="0" applyNumberFormat="0" applyBorder="0" applyAlignment="0" applyProtection="0">
      <alignment vertical="center"/>
    </xf>
    <xf numFmtId="185" fontId="103" fillId="0" borderId="0">
      <alignment horizontal="justify"/>
    </xf>
    <xf numFmtId="0" fontId="128" fillId="0" borderId="248" applyNumberFormat="0" applyAlignment="0" applyProtection="0">
      <alignment horizontal="left" vertical="center"/>
    </xf>
    <xf numFmtId="0" fontId="128" fillId="0" borderId="7">
      <alignment horizontal="left" vertical="center"/>
    </xf>
    <xf numFmtId="176" fontId="110" fillId="0" borderId="0" applyFont="0" applyFill="0" applyBorder="0" applyAlignment="0" applyProtection="0"/>
    <xf numFmtId="0" fontId="129" fillId="62" borderId="0" applyNumberFormat="0" applyBorder="0" applyAlignment="0" applyProtection="0">
      <alignment vertical="center"/>
    </xf>
    <xf numFmtId="0" fontId="130" fillId="0" borderId="300" applyNumberFormat="0" applyFill="0" applyAlignment="0" applyProtection="0"/>
    <xf numFmtId="0" fontId="12" fillId="0" borderId="0"/>
    <xf numFmtId="0" fontId="129" fillId="62" borderId="0" applyNumberFormat="0" applyBorder="0" applyAlignment="0" applyProtection="0">
      <alignment vertical="center"/>
    </xf>
    <xf numFmtId="0" fontId="130" fillId="0" borderId="300" applyNumberFormat="0" applyFill="0" applyAlignment="0" applyProtection="0">
      <alignment vertical="center"/>
    </xf>
    <xf numFmtId="0" fontId="116" fillId="0" borderId="299" applyNumberFormat="0" applyFill="0" applyAlignment="0" applyProtection="0">
      <alignment vertical="center"/>
    </xf>
    <xf numFmtId="0" fontId="107" fillId="0" borderId="0" applyNumberFormat="0" applyFill="0" applyBorder="0" applyAlignment="0" applyProtection="0">
      <alignment vertical="center"/>
    </xf>
    <xf numFmtId="10" fontId="111" fillId="63" borderId="4" applyNumberFormat="0" applyBorder="0" applyAlignment="0" applyProtection="0"/>
    <xf numFmtId="10" fontId="111" fillId="63" borderId="4" applyNumberFormat="0" applyBorder="0" applyAlignment="0" applyProtection="0">
      <alignment vertical="center"/>
    </xf>
    <xf numFmtId="0" fontId="97" fillId="56" borderId="293" applyNumberFormat="0" applyAlignment="0" applyProtection="0"/>
    <xf numFmtId="0" fontId="131" fillId="37" borderId="297" applyNumberFormat="0" applyAlignment="0" applyProtection="0">
      <alignment vertical="center"/>
    </xf>
    <xf numFmtId="0" fontId="92" fillId="0" borderId="295" applyNumberFormat="0" applyFill="0" applyAlignment="0" applyProtection="0"/>
    <xf numFmtId="0" fontId="92" fillId="0" borderId="295" applyNumberFormat="0" applyFill="0" applyAlignment="0" applyProtection="0">
      <alignment vertical="center"/>
    </xf>
    <xf numFmtId="38" fontId="87" fillId="0" borderId="0" applyFont="0" applyFill="0" applyBorder="0" applyAlignment="0" applyProtection="0"/>
    <xf numFmtId="0" fontId="132" fillId="62" borderId="0" applyNumberFormat="0" applyBorder="0" applyAlignment="0" applyProtection="0">
      <alignment vertical="center"/>
    </xf>
    <xf numFmtId="40" fontId="87" fillId="0" borderId="0" applyFont="0" applyFill="0" applyBorder="0" applyAlignment="0" applyProtection="0"/>
    <xf numFmtId="0" fontId="96" fillId="0" borderId="0" applyFont="0" applyFill="0" applyBorder="0" applyAlignment="0" applyProtection="0"/>
    <xf numFmtId="178" fontId="110" fillId="0" borderId="0" applyFont="0" applyFill="0" applyBorder="0" applyAlignment="0" applyProtection="0"/>
    <xf numFmtId="0" fontId="96" fillId="0" borderId="0" applyFont="0" applyFill="0" applyBorder="0" applyAlignment="0" applyProtection="0"/>
    <xf numFmtId="0" fontId="112" fillId="66" borderId="0" applyNumberFormat="0" applyBorder="0" applyAlignment="0" applyProtection="0">
      <alignment vertical="center"/>
    </xf>
    <xf numFmtId="0" fontId="133" fillId="0" borderId="0" applyNumberFormat="0" applyFill="0" applyBorder="0" applyAlignment="0" applyProtection="0"/>
    <xf numFmtId="0" fontId="134" fillId="0" borderId="0" applyNumberFormat="0" applyFill="0">
      <alignment horizontal="left" vertical="center"/>
    </xf>
    <xf numFmtId="37" fontId="89" fillId="0" borderId="0">
      <alignment vertical="center"/>
    </xf>
    <xf numFmtId="0" fontId="106" fillId="59" borderId="296" applyNumberFormat="0" applyFont="0" applyAlignment="0" applyProtection="0"/>
    <xf numFmtId="0" fontId="135" fillId="0" borderId="0" applyNumberFormat="0" applyFill="0" applyBorder="0" applyAlignment="0" applyProtection="0">
      <alignment vertical="center"/>
    </xf>
    <xf numFmtId="0" fontId="98" fillId="59" borderId="296" applyNumberFormat="0" applyFont="0" applyAlignment="0" applyProtection="0">
      <alignment vertical="center"/>
    </xf>
    <xf numFmtId="0" fontId="91" fillId="54" borderId="294" applyNumberFormat="0" applyAlignment="0" applyProtection="0"/>
    <xf numFmtId="0" fontId="91" fillId="54" borderId="294" applyNumberFormat="0" applyAlignment="0" applyProtection="0">
      <alignment vertical="center"/>
    </xf>
    <xf numFmtId="10" fontId="110" fillId="0" borderId="0" applyFont="0" applyFill="0" applyBorder="0" applyAlignment="0" applyProtection="0"/>
    <xf numFmtId="10" fontId="110" fillId="0" borderId="0" applyFont="0" applyFill="0" applyBorder="0" applyAlignment="0" applyProtection="0">
      <alignment vertical="center"/>
    </xf>
    <xf numFmtId="0" fontId="124" fillId="0" borderId="0" applyNumberFormat="0" applyFill="0" applyBorder="0" applyAlignment="0" applyProtection="0">
      <alignment vertical="center"/>
    </xf>
    <xf numFmtId="0" fontId="136" fillId="0" borderId="4">
      <alignment horizontal="center"/>
    </xf>
    <xf numFmtId="0" fontId="129" fillId="62" borderId="0" applyNumberFormat="0" applyBorder="0" applyAlignment="0" applyProtection="0">
      <alignment vertical="center"/>
    </xf>
    <xf numFmtId="0" fontId="103" fillId="0" borderId="0"/>
    <xf numFmtId="0" fontId="103" fillId="0" borderId="0">
      <alignment vertical="center"/>
    </xf>
    <xf numFmtId="0" fontId="136" fillId="0" borderId="4">
      <alignment horizontal="center" vertical="center"/>
    </xf>
    <xf numFmtId="0" fontId="136" fillId="0" borderId="0">
      <alignment horizontal="center" vertical="center"/>
    </xf>
    <xf numFmtId="0" fontId="12" fillId="0" borderId="0"/>
    <xf numFmtId="0" fontId="121" fillId="0" borderId="0" applyNumberFormat="0" applyFill="0" applyBorder="0" applyAlignment="0" applyProtection="0"/>
    <xf numFmtId="0" fontId="88" fillId="0" borderId="301" applyNumberFormat="0" applyFill="0" applyAlignment="0" applyProtection="0"/>
    <xf numFmtId="0" fontId="88" fillId="0" borderId="301" applyNumberFormat="0" applyFill="0" applyAlignment="0" applyProtection="0">
      <alignment vertical="center"/>
    </xf>
    <xf numFmtId="0" fontId="133" fillId="0" borderId="0" applyNumberFormat="0" applyFill="0" applyBorder="0" applyAlignment="0" applyProtection="0">
      <alignment vertical="center"/>
    </xf>
    <xf numFmtId="0" fontId="101" fillId="51" borderId="0" applyNumberFormat="0" applyBorder="0" applyAlignment="0" applyProtection="0">
      <alignment vertical="center"/>
    </xf>
    <xf numFmtId="9" fontId="60" fillId="0" borderId="0" applyFont="0" applyFill="0" applyBorder="0" applyAlignment="0" applyProtection="0">
      <alignment vertical="center"/>
    </xf>
    <xf numFmtId="9" fontId="12" fillId="0" borderId="0" applyFont="0" applyFill="0" applyBorder="0" applyAlignment="0" applyProtection="0"/>
    <xf numFmtId="9" fontId="60" fillId="0" borderId="0" applyFont="0" applyFill="0" applyBorder="0" applyAlignment="0" applyProtection="0">
      <alignment vertical="center"/>
    </xf>
    <xf numFmtId="9" fontId="12" fillId="0" borderId="0" applyFont="0" applyFill="0" applyBorder="0" applyAlignment="0" applyProtection="0">
      <alignment vertical="center"/>
    </xf>
    <xf numFmtId="187" fontId="99" fillId="0" borderId="4">
      <alignment horizontal="center" vertical="center" wrapText="1"/>
    </xf>
    <xf numFmtId="185" fontId="110" fillId="0" borderId="0" applyFont="0" applyFill="0" applyBorder="0" applyAlignment="0" applyProtection="0"/>
    <xf numFmtId="181" fontId="110" fillId="0" borderId="0" applyFont="0" applyFill="0" applyBorder="0" applyAlignment="0" applyProtection="0"/>
    <xf numFmtId="0" fontId="129" fillId="62" borderId="0" applyNumberFormat="0" applyBorder="0" applyAlignment="0" applyProtection="0">
      <alignment vertical="center"/>
    </xf>
    <xf numFmtId="0" fontId="137" fillId="0" borderId="302" applyNumberFormat="0" applyFill="0" applyProtection="0">
      <alignment vertical="center"/>
    </xf>
    <xf numFmtId="0" fontId="138" fillId="0" borderId="303" applyNumberFormat="0" applyFill="0" applyAlignment="0" applyProtection="0">
      <alignment vertical="center"/>
    </xf>
    <xf numFmtId="0" fontId="101" fillId="51" borderId="0" applyNumberFormat="0" applyBorder="0" applyAlignment="0" applyProtection="0">
      <alignment vertical="center"/>
    </xf>
    <xf numFmtId="0" fontId="139" fillId="0" borderId="299" applyNumberFormat="0" applyFill="0" applyProtection="0">
      <alignment vertical="center"/>
    </xf>
    <xf numFmtId="0" fontId="140" fillId="0" borderId="304" applyNumberFormat="0" applyFill="0" applyAlignment="0" applyProtection="0">
      <alignment vertical="center"/>
    </xf>
    <xf numFmtId="0" fontId="140" fillId="0" borderId="0" applyNumberFormat="0" applyFill="0" applyBorder="0" applyAlignment="0" applyProtection="0">
      <alignment vertical="center"/>
    </xf>
    <xf numFmtId="0" fontId="106" fillId="0" borderId="0"/>
    <xf numFmtId="0" fontId="141" fillId="0" borderId="0" applyNumberFormat="0" applyFill="0" applyBorder="0" applyAlignment="0" applyProtection="0">
      <alignment vertical="top"/>
      <protection locked="0"/>
    </xf>
    <xf numFmtId="0" fontId="142" fillId="62" borderId="0" applyNumberFormat="0" applyBorder="0" applyAlignment="0" applyProtection="0">
      <alignment vertical="center"/>
    </xf>
    <xf numFmtId="0" fontId="12" fillId="0" borderId="0">
      <alignment vertical="center"/>
    </xf>
    <xf numFmtId="0" fontId="129" fillId="62" borderId="0" applyNumberFormat="0" applyBorder="0" applyAlignment="0" applyProtection="0">
      <alignment vertical="center"/>
    </xf>
    <xf numFmtId="0" fontId="129" fillId="62" borderId="0" applyNumberFormat="0" applyBorder="0" applyAlignment="0" applyProtection="0">
      <alignment vertical="center"/>
    </xf>
    <xf numFmtId="0" fontId="129" fillId="62" borderId="0" applyNumberFormat="0" applyBorder="0" applyAlignment="0" applyProtection="0">
      <alignment vertical="center"/>
    </xf>
    <xf numFmtId="0" fontId="129" fillId="62" borderId="0" applyNumberFormat="0" applyBorder="0" applyAlignment="0" applyProtection="0">
      <alignment vertical="center"/>
    </xf>
    <xf numFmtId="0" fontId="105" fillId="62" borderId="0" applyNumberFormat="0" applyBorder="0" applyAlignment="0" applyProtection="0">
      <alignment vertical="center"/>
    </xf>
    <xf numFmtId="0" fontId="105" fillId="62" borderId="0" applyNumberFormat="0" applyBorder="0" applyAlignment="0" applyProtection="0">
      <alignment vertical="center"/>
    </xf>
    <xf numFmtId="0" fontId="132" fillId="62" borderId="0" applyNumberFormat="0" applyBorder="0" applyAlignment="0" applyProtection="0">
      <alignment vertical="center"/>
    </xf>
    <xf numFmtId="0" fontId="105" fillId="62" borderId="0" applyNumberFormat="0" applyBorder="0" applyAlignment="0" applyProtection="0">
      <alignment vertical="center"/>
    </xf>
    <xf numFmtId="0" fontId="105" fillId="62" borderId="0" applyNumberFormat="0" applyBorder="0" applyAlignment="0" applyProtection="0">
      <alignment vertical="center"/>
    </xf>
    <xf numFmtId="0" fontId="123" fillId="0" borderId="0" applyNumberFormat="0" applyFill="0" applyBorder="0" applyAlignment="0" applyProtection="0">
      <alignment vertical="top"/>
      <protection locked="0"/>
    </xf>
    <xf numFmtId="0" fontId="105" fillId="62" borderId="0" applyNumberFormat="0" applyBorder="0" applyAlignment="0" applyProtection="0">
      <alignment vertical="center"/>
    </xf>
    <xf numFmtId="0" fontId="16" fillId="0" borderId="0">
      <alignment vertical="center"/>
    </xf>
    <xf numFmtId="0" fontId="143" fillId="51" borderId="0" applyNumberFormat="0" applyBorder="0" applyAlignment="0" applyProtection="0">
      <alignment vertical="center"/>
    </xf>
    <xf numFmtId="0" fontId="12" fillId="0" borderId="0"/>
    <xf numFmtId="0" fontId="12" fillId="0" borderId="0">
      <alignment vertical="center"/>
    </xf>
    <xf numFmtId="0" fontId="12" fillId="0" borderId="0">
      <alignment vertical="center"/>
    </xf>
    <xf numFmtId="0" fontId="14" fillId="0" borderId="0"/>
    <xf numFmtId="0" fontId="12" fillId="0" borderId="0">
      <alignment vertical="center"/>
    </xf>
    <xf numFmtId="0" fontId="12" fillId="0" borderId="0">
      <alignment vertical="center"/>
    </xf>
    <xf numFmtId="0" fontId="12" fillId="0" borderId="0"/>
    <xf numFmtId="0" fontId="12" fillId="0" borderId="0">
      <alignment vertical="center"/>
    </xf>
    <xf numFmtId="0" fontId="60" fillId="0" borderId="0">
      <alignment vertical="center"/>
    </xf>
    <xf numFmtId="178" fontId="120" fillId="0" borderId="0" applyFont="0" applyFill="0" applyBorder="0" applyAlignment="0" applyProtection="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xf numFmtId="0" fontId="12" fillId="0" borderId="0"/>
    <xf numFmtId="0" fontId="12" fillId="0" borderId="0">
      <alignment vertical="center"/>
    </xf>
    <xf numFmtId="0" fontId="123" fillId="0" borderId="0" applyNumberFormat="0" applyFill="0" applyBorder="0" applyAlignment="0" applyProtection="0">
      <alignment vertical="top"/>
      <protection locked="0"/>
    </xf>
    <xf numFmtId="0" fontId="123" fillId="0" borderId="0" applyNumberFormat="0" applyFill="0" applyBorder="0" applyAlignment="0" applyProtection="0">
      <alignment vertical="top"/>
      <protection locked="0"/>
    </xf>
    <xf numFmtId="0" fontId="123" fillId="0" borderId="0" applyNumberFormat="0" applyFill="0" applyBorder="0" applyAlignment="0" applyProtection="0">
      <alignment vertical="top"/>
      <protection locked="0"/>
    </xf>
    <xf numFmtId="0" fontId="123" fillId="0" borderId="0" applyNumberFormat="0" applyFill="0" applyBorder="0" applyAlignment="0" applyProtection="0">
      <alignment vertical="top"/>
      <protection locked="0"/>
    </xf>
    <xf numFmtId="0" fontId="123" fillId="0" borderId="0" applyNumberFormat="0" applyFill="0" applyBorder="0" applyAlignment="0" applyProtection="0">
      <alignment vertical="top"/>
      <protection locked="0"/>
    </xf>
    <xf numFmtId="0" fontId="144" fillId="51" borderId="0" applyNumberFormat="0" applyBorder="0" applyAlignment="0" applyProtection="0">
      <alignment vertical="center"/>
    </xf>
    <xf numFmtId="0" fontId="104" fillId="51" borderId="0" applyNumberFormat="0" applyBorder="0" applyAlignment="0" applyProtection="0">
      <alignment vertical="center"/>
    </xf>
    <xf numFmtId="0" fontId="104" fillId="51" borderId="0" applyNumberFormat="0" applyBorder="0" applyAlignment="0" applyProtection="0">
      <alignment vertical="center"/>
    </xf>
    <xf numFmtId="0" fontId="104" fillId="51" borderId="0" applyNumberFormat="0" applyBorder="0" applyAlignment="0" applyProtection="0">
      <alignment vertical="center"/>
    </xf>
    <xf numFmtId="0" fontId="104" fillId="51" borderId="0" applyNumberFormat="0" applyBorder="0" applyAlignment="0" applyProtection="0">
      <alignment vertical="center"/>
    </xf>
    <xf numFmtId="0" fontId="101" fillId="51" borderId="0" applyNumberFormat="0" applyBorder="0" applyAlignment="0" applyProtection="0">
      <alignment vertical="center"/>
    </xf>
    <xf numFmtId="0" fontId="104" fillId="51" borderId="0" applyNumberFormat="0" applyBorder="0" applyAlignment="0" applyProtection="0">
      <alignment vertical="center"/>
    </xf>
    <xf numFmtId="0" fontId="143" fillId="51" borderId="0" applyNumberFormat="0" applyBorder="0" applyAlignment="0" applyProtection="0">
      <alignment vertical="center"/>
    </xf>
    <xf numFmtId="0" fontId="101" fillId="51" borderId="0" applyNumberFormat="0" applyBorder="0" applyAlignment="0" applyProtection="0">
      <alignment vertical="center"/>
    </xf>
    <xf numFmtId="0" fontId="101" fillId="51" borderId="0" applyNumberFormat="0" applyBorder="0" applyAlignment="0" applyProtection="0">
      <alignment vertical="center"/>
    </xf>
    <xf numFmtId="0" fontId="145" fillId="0" borderId="305" applyNumberFormat="0" applyFill="0" applyAlignment="0" applyProtection="0">
      <alignment vertical="center"/>
    </xf>
    <xf numFmtId="0" fontId="146" fillId="0" borderId="0" applyNumberFormat="0" applyFill="0" applyBorder="0" applyAlignment="0" applyProtection="0">
      <alignment vertical="center"/>
    </xf>
    <xf numFmtId="0" fontId="99" fillId="84" borderId="4">
      <alignment horizontal="center" vertical="center"/>
    </xf>
    <xf numFmtId="0" fontId="147" fillId="0" borderId="295" applyNumberFormat="0" applyFill="0" applyAlignment="0" applyProtection="0">
      <alignment vertical="center"/>
    </xf>
    <xf numFmtId="0" fontId="115" fillId="85" borderId="0" applyNumberFormat="0" applyBorder="0" applyAlignment="0" applyProtection="0">
      <alignment vertical="center"/>
    </xf>
    <xf numFmtId="0" fontId="115" fillId="86" borderId="0" applyNumberFormat="0" applyBorder="0" applyAlignment="0" applyProtection="0">
      <alignment vertical="center"/>
    </xf>
    <xf numFmtId="0" fontId="115" fillId="76" borderId="0" applyNumberFormat="0" applyBorder="0" applyAlignment="0" applyProtection="0">
      <alignment vertical="center"/>
    </xf>
    <xf numFmtId="0" fontId="115" fillId="40" borderId="0" applyNumberFormat="0" applyBorder="0" applyAlignment="0" applyProtection="0">
      <alignment vertical="center"/>
    </xf>
    <xf numFmtId="0" fontId="99" fillId="0" borderId="4">
      <alignment vertical="center" wrapText="1"/>
      <protection locked="0"/>
    </xf>
    <xf numFmtId="0" fontId="148" fillId="71" borderId="293" applyNumberFormat="0" applyAlignment="0" applyProtection="0">
      <alignment vertical="center"/>
    </xf>
    <xf numFmtId="0" fontId="99" fillId="63" borderId="4">
      <alignment horizontal="center" vertical="center" wrapText="1"/>
    </xf>
    <xf numFmtId="0" fontId="103" fillId="0" borderId="0"/>
    <xf numFmtId="0" fontId="103" fillId="0" borderId="0">
      <alignment vertical="center"/>
    </xf>
    <xf numFmtId="0" fontId="120" fillId="0" borderId="0"/>
    <xf numFmtId="0" fontId="110" fillId="0" borderId="0"/>
    <xf numFmtId="0" fontId="12" fillId="63" borderId="296" applyNumberFormat="0" applyFont="0" applyAlignment="0" applyProtection="0">
      <alignment vertical="center"/>
    </xf>
    <xf numFmtId="0" fontId="12" fillId="63" borderId="296" applyNumberFormat="0" applyFont="0" applyAlignment="0" applyProtection="0">
      <alignment vertical="center"/>
    </xf>
    <xf numFmtId="0" fontId="14" fillId="63" borderId="296" applyNumberFormat="0" applyFont="0" applyAlignment="0" applyProtection="0">
      <alignment vertical="center"/>
    </xf>
    <xf numFmtId="189" fontId="120" fillId="0" borderId="0" applyFont="0" applyFill="0" applyBorder="0" applyAlignment="0" applyProtection="0"/>
    <xf numFmtId="0" fontId="120" fillId="0" borderId="0"/>
  </cellStyleXfs>
  <cellXfs count="949">
    <xf numFmtId="0" fontId="0" fillId="0" borderId="0" xfId="0"/>
    <xf numFmtId="0" fontId="1" fillId="0" borderId="1" xfId="0" applyFont="1" applyBorder="1" applyAlignment="1">
      <alignment vertical="center"/>
    </xf>
    <xf numFmtId="0" fontId="2" fillId="0" borderId="1" xfId="0" applyFont="1" applyBorder="1" applyAlignment="1">
      <alignment vertical="center"/>
    </xf>
    <xf numFmtId="0" fontId="2" fillId="0" borderId="1" xfId="0" applyFont="1" applyBorder="1" applyAlignment="1">
      <alignment horizontal="center" vertical="center"/>
    </xf>
    <xf numFmtId="0" fontId="1" fillId="0" borderId="2" xfId="0" applyFont="1" applyBorder="1" applyAlignment="1">
      <alignment vertical="center"/>
    </xf>
    <xf numFmtId="0" fontId="2" fillId="0" borderId="3" xfId="0" applyFont="1" applyBorder="1" applyAlignment="1">
      <alignment vertical="center"/>
    </xf>
    <xf numFmtId="0" fontId="3" fillId="2" borderId="4" xfId="0" applyFont="1" applyFill="1" applyBorder="1"/>
    <xf numFmtId="0" fontId="1" fillId="3" borderId="4" xfId="0" applyFont="1" applyFill="1" applyBorder="1" applyAlignment="1">
      <alignment horizontal="center"/>
    </xf>
    <xf numFmtId="0" fontId="3" fillId="2" borderId="4" xfId="0" applyFont="1" applyFill="1" applyBorder="1" applyAlignment="1">
      <alignment vertical="center"/>
    </xf>
    <xf numFmtId="0" fontId="1" fillId="3" borderId="4" xfId="0" applyFont="1" applyFill="1" applyBorder="1" applyAlignment="1">
      <alignment horizontal="center" vertical="center" wrapText="1"/>
    </xf>
    <xf numFmtId="0" fontId="1" fillId="3" borderId="4" xfId="0" applyFont="1" applyFill="1" applyBorder="1" applyAlignment="1">
      <alignment horizontal="center" vertical="center"/>
    </xf>
    <xf numFmtId="0" fontId="1" fillId="3" borderId="4" xfId="0" applyFont="1" applyFill="1" applyBorder="1" applyAlignment="1">
      <alignment horizontal="left" vertical="center"/>
    </xf>
    <xf numFmtId="183" fontId="1" fillId="0" borderId="4" xfId="200" applyNumberFormat="1" applyFont="1" applyFill="1" applyBorder="1" applyAlignment="1">
      <alignment horizontal="center" vertical="center"/>
    </xf>
    <xf numFmtId="183" fontId="1" fillId="0" borderId="4" xfId="200" applyNumberFormat="1" applyFont="1" applyFill="1" applyBorder="1" applyAlignment="1">
      <alignment vertical="center"/>
    </xf>
    <xf numFmtId="183" fontId="1" fillId="0" borderId="8" xfId="200" applyNumberFormat="1" applyFont="1" applyFill="1" applyBorder="1" applyAlignment="1">
      <alignment horizontal="center" vertical="center"/>
    </xf>
    <xf numFmtId="0" fontId="2" fillId="0" borderId="9" xfId="0" applyFont="1" applyBorder="1" applyAlignment="1">
      <alignment vertical="center"/>
    </xf>
    <xf numFmtId="0" fontId="2" fillId="0" borderId="9" xfId="0" applyFont="1" applyBorder="1" applyAlignment="1">
      <alignment horizontal="center" vertical="center"/>
    </xf>
    <xf numFmtId="0" fontId="2" fillId="0" borderId="10" xfId="0" applyFont="1" applyBorder="1" applyAlignment="1">
      <alignment vertical="center"/>
    </xf>
    <xf numFmtId="0" fontId="1" fillId="0" borderId="4" xfId="200" applyFont="1" applyFill="1" applyBorder="1" applyAlignment="1">
      <alignment horizontal="center" vertical="center"/>
    </xf>
    <xf numFmtId="0" fontId="2" fillId="0" borderId="10" xfId="0" applyFont="1" applyFill="1" applyBorder="1" applyAlignment="1">
      <alignment vertical="center"/>
    </xf>
    <xf numFmtId="0" fontId="1" fillId="4" borderId="0" xfId="278" applyFont="1" applyFill="1" applyAlignment="1">
      <alignment vertical="center"/>
    </xf>
    <xf numFmtId="0" fontId="2" fillId="0" borderId="0" xfId="278" applyFont="1" applyAlignment="1">
      <alignment vertical="center"/>
    </xf>
    <xf numFmtId="0" fontId="1" fillId="0" borderId="0" xfId="278" applyFont="1" applyAlignment="1">
      <alignment horizontal="left" vertical="center" indent="1"/>
    </xf>
    <xf numFmtId="0" fontId="1" fillId="0" borderId="0" xfId="278" applyFont="1" applyAlignment="1">
      <alignment vertical="center"/>
    </xf>
    <xf numFmtId="0" fontId="3" fillId="0" borderId="0" xfId="278" applyFont="1" applyAlignment="1">
      <alignment vertical="center"/>
    </xf>
    <xf numFmtId="0" fontId="4" fillId="5" borderId="1" xfId="278" applyFont="1" applyFill="1" applyBorder="1" applyAlignment="1">
      <alignment vertical="center"/>
    </xf>
    <xf numFmtId="0" fontId="4" fillId="5" borderId="1" xfId="278" applyFont="1" applyFill="1" applyBorder="1" applyAlignment="1">
      <alignment horizontal="center" vertical="center" wrapText="1"/>
    </xf>
    <xf numFmtId="0" fontId="4" fillId="5" borderId="1" xfId="278" applyFont="1" applyFill="1" applyBorder="1" applyAlignment="1">
      <alignment horizontal="center" vertical="center"/>
    </xf>
    <xf numFmtId="0" fontId="1" fillId="0" borderId="0" xfId="278" applyFont="1" applyAlignment="1">
      <alignment horizontal="center" vertical="center"/>
    </xf>
    <xf numFmtId="0" fontId="5" fillId="6" borderId="1" xfId="278" applyFont="1" applyFill="1" applyBorder="1" applyAlignment="1">
      <alignment vertical="center"/>
    </xf>
    <xf numFmtId="180" fontId="5" fillId="7" borderId="1" xfId="278" applyNumberFormat="1" applyFont="1" applyFill="1" applyBorder="1" applyAlignment="1">
      <alignment horizontal="center" vertical="center"/>
    </xf>
    <xf numFmtId="0" fontId="5" fillId="7" borderId="1" xfId="278" applyFont="1" applyFill="1" applyBorder="1" applyAlignment="1">
      <alignment horizontal="center" vertical="center"/>
    </xf>
    <xf numFmtId="0" fontId="6" fillId="7" borderId="1" xfId="278" applyFont="1" applyFill="1" applyBorder="1" applyAlignment="1">
      <alignment horizontal="center" vertical="center"/>
    </xf>
    <xf numFmtId="191" fontId="1" fillId="0" borderId="0" xfId="278" applyNumberFormat="1" applyFont="1" applyAlignment="1">
      <alignment vertical="center"/>
    </xf>
    <xf numFmtId="0" fontId="5" fillId="8" borderId="1" xfId="278" applyFont="1" applyFill="1" applyBorder="1" applyAlignment="1">
      <alignment vertical="center"/>
    </xf>
    <xf numFmtId="180" fontId="5" fillId="8" borderId="1" xfId="278" applyNumberFormat="1" applyFont="1" applyFill="1" applyBorder="1" applyAlignment="1">
      <alignment horizontal="center" vertical="center"/>
    </xf>
    <xf numFmtId="0" fontId="5" fillId="8" borderId="1" xfId="278" applyFont="1" applyFill="1" applyBorder="1" applyAlignment="1">
      <alignment horizontal="center" vertical="center"/>
    </xf>
    <xf numFmtId="0" fontId="1" fillId="9" borderId="8" xfId="278" applyFont="1" applyFill="1" applyBorder="1" applyAlignment="1">
      <alignment horizontal="center" vertical="center"/>
    </xf>
    <xf numFmtId="0" fontId="1" fillId="10" borderId="8" xfId="278" applyFont="1" applyFill="1" applyBorder="1" applyAlignment="1">
      <alignment horizontal="center" vertical="center"/>
    </xf>
    <xf numFmtId="0" fontId="1" fillId="0" borderId="11" xfId="278" applyFont="1" applyBorder="1" applyAlignment="1">
      <alignment vertical="center" wrapText="1"/>
    </xf>
    <xf numFmtId="0" fontId="1" fillId="0" borderId="12" xfId="278" applyFont="1" applyBorder="1" applyAlignment="1">
      <alignment horizontal="center" vertical="center"/>
    </xf>
    <xf numFmtId="0" fontId="1" fillId="0" borderId="12" xfId="278" applyFont="1" applyBorder="1" applyAlignment="1">
      <alignment vertical="center"/>
    </xf>
    <xf numFmtId="0" fontId="1" fillId="0" borderId="13" xfId="278" applyFont="1" applyBorder="1" applyAlignment="1">
      <alignment vertical="center"/>
    </xf>
    <xf numFmtId="0" fontId="1" fillId="0" borderId="14" xfId="278" applyFont="1" applyBorder="1" applyAlignment="1">
      <alignment vertical="center" wrapText="1"/>
    </xf>
    <xf numFmtId="180" fontId="1" fillId="0" borderId="15" xfId="278" applyNumberFormat="1" applyFont="1" applyBorder="1" applyAlignment="1">
      <alignment horizontal="center" vertical="center"/>
    </xf>
    <xf numFmtId="183" fontId="1" fillId="11" borderId="15" xfId="276" applyNumberFormat="1" applyFont="1" applyFill="1" applyBorder="1" applyAlignment="1">
      <alignment horizontal="center" vertical="center" wrapText="1"/>
    </xf>
    <xf numFmtId="183" fontId="7" fillId="11" borderId="15" xfId="126" applyNumberFormat="1" applyFont="1" applyFill="1" applyBorder="1" applyAlignment="1">
      <alignment horizontal="center" vertical="top"/>
    </xf>
    <xf numFmtId="183" fontId="1" fillId="11" borderId="16" xfId="276" applyNumberFormat="1" applyFont="1" applyFill="1" applyBorder="1" applyAlignment="1">
      <alignment horizontal="center" vertical="center" wrapText="1"/>
    </xf>
    <xf numFmtId="0" fontId="8" fillId="12" borderId="17" xfId="131" applyFont="1" applyFill="1" applyBorder="1" applyAlignment="1">
      <alignment horizontal="center" vertical="center" wrapText="1"/>
    </xf>
    <xf numFmtId="0" fontId="8" fillId="12" borderId="2" xfId="131" applyFont="1" applyFill="1" applyBorder="1" applyAlignment="1">
      <alignment horizontal="center" vertical="center" wrapText="1"/>
    </xf>
    <xf numFmtId="0" fontId="1" fillId="0" borderId="11" xfId="278" applyFont="1" applyBorder="1" applyAlignment="1">
      <alignment vertical="center"/>
    </xf>
    <xf numFmtId="0" fontId="1" fillId="0" borderId="14" xfId="278" applyFont="1" applyBorder="1" applyAlignment="1">
      <alignment vertical="center"/>
    </xf>
    <xf numFmtId="183" fontId="1" fillId="3" borderId="15" xfId="276" applyNumberFormat="1" applyFont="1" applyFill="1" applyBorder="1" applyAlignment="1">
      <alignment horizontal="center" vertical="center" wrapText="1"/>
    </xf>
    <xf numFmtId="183" fontId="7" fillId="3" borderId="15" xfId="126" applyNumberFormat="1" applyFont="1" applyFill="1" applyBorder="1" applyAlignment="1">
      <alignment horizontal="center" vertical="top"/>
    </xf>
    <xf numFmtId="183" fontId="1" fillId="3" borderId="16" xfId="276" applyNumberFormat="1" applyFont="1" applyFill="1" applyBorder="1" applyAlignment="1">
      <alignment horizontal="center" vertical="center" wrapText="1"/>
    </xf>
    <xf numFmtId="0" fontId="1" fillId="0" borderId="15" xfId="278" applyFont="1" applyBorder="1" applyAlignment="1">
      <alignment horizontal="center" vertical="center"/>
    </xf>
    <xf numFmtId="0" fontId="9" fillId="0" borderId="0" xfId="278" applyFont="1" applyAlignment="1">
      <alignment vertical="center"/>
    </xf>
    <xf numFmtId="0" fontId="10" fillId="13" borderId="18" xfId="278" applyFont="1" applyFill="1" applyBorder="1" applyAlignment="1">
      <alignment horizontal="center" vertical="center" wrapText="1" readingOrder="1"/>
    </xf>
    <xf numFmtId="0" fontId="10" fillId="13" borderId="21" xfId="278" applyFont="1" applyFill="1" applyBorder="1" applyAlignment="1">
      <alignment horizontal="center" vertical="center" wrapText="1" readingOrder="1"/>
    </xf>
    <xf numFmtId="0" fontId="11" fillId="14" borderId="22" xfId="278" applyFont="1" applyFill="1" applyBorder="1" applyAlignment="1">
      <alignment horizontal="center" vertical="center" wrapText="1" readingOrder="1"/>
    </xf>
    <xf numFmtId="0" fontId="11" fillId="14" borderId="25" xfId="278" applyFont="1" applyFill="1" applyBorder="1" applyAlignment="1">
      <alignment horizontal="center" vertical="center" wrapText="1" readingOrder="1"/>
    </xf>
    <xf numFmtId="0" fontId="11" fillId="15" borderId="26" xfId="278" applyFont="1" applyFill="1" applyBorder="1" applyAlignment="1">
      <alignment horizontal="center" vertical="center" wrapText="1" readingOrder="1"/>
    </xf>
    <xf numFmtId="0" fontId="11" fillId="15" borderId="29" xfId="278" applyFont="1" applyFill="1" applyBorder="1" applyAlignment="1">
      <alignment horizontal="center" vertical="center" wrapText="1" readingOrder="1"/>
    </xf>
    <xf numFmtId="0" fontId="13" fillId="0" borderId="0" xfId="278" applyFont="1"/>
    <xf numFmtId="0" fontId="14" fillId="16" borderId="0" xfId="275" applyFont="1" applyFill="1"/>
    <xf numFmtId="0" fontId="14" fillId="16" borderId="0" xfId="275" applyFont="1" applyFill="1" applyAlignment="1">
      <alignment horizontal="left"/>
    </xf>
    <xf numFmtId="0" fontId="14" fillId="16" borderId="0" xfId="275" applyFont="1" applyFill="1" applyBorder="1"/>
    <xf numFmtId="0" fontId="14" fillId="0" borderId="0" xfId="275" applyFill="1"/>
    <xf numFmtId="0" fontId="14" fillId="0" borderId="0" xfId="275"/>
    <xf numFmtId="0" fontId="14" fillId="0" borderId="0" xfId="275" applyAlignment="1">
      <alignment horizontal="center"/>
    </xf>
    <xf numFmtId="0" fontId="15" fillId="16" borderId="0" xfId="275" applyFont="1" applyFill="1" applyAlignment="1">
      <alignment horizontal="center"/>
    </xf>
    <xf numFmtId="0" fontId="14" fillId="17" borderId="5" xfId="275" applyFill="1" applyBorder="1" applyAlignment="1">
      <alignment horizontal="left"/>
    </xf>
    <xf numFmtId="0" fontId="14" fillId="17" borderId="7" xfId="275" applyFill="1" applyBorder="1" applyAlignment="1">
      <alignment horizontal="left"/>
    </xf>
    <xf numFmtId="0" fontId="16" fillId="17" borderId="6" xfId="275" applyFont="1" applyFill="1" applyBorder="1" applyAlignment="1">
      <alignment horizontal="center"/>
    </xf>
    <xf numFmtId="0" fontId="16" fillId="16" borderId="0" xfId="275" applyFont="1" applyFill="1" applyAlignment="1">
      <alignment horizontal="center"/>
    </xf>
    <xf numFmtId="0" fontId="16" fillId="16" borderId="0" xfId="275" applyFont="1" applyFill="1" applyAlignment="1">
      <alignment horizontal="left"/>
    </xf>
    <xf numFmtId="0" fontId="14" fillId="16" borderId="0" xfId="275" applyFill="1" applyAlignment="1">
      <alignment horizontal="left"/>
    </xf>
    <xf numFmtId="0" fontId="18" fillId="2" borderId="32" xfId="275" applyFont="1" applyFill="1" applyBorder="1" applyAlignment="1">
      <alignment horizontal="center" vertical="center"/>
    </xf>
    <xf numFmtId="0" fontId="18" fillId="2" borderId="34" xfId="275" applyFont="1" applyFill="1" applyBorder="1" applyAlignment="1">
      <alignment horizontal="center" vertical="center"/>
    </xf>
    <xf numFmtId="180" fontId="14" fillId="18" borderId="33" xfId="275" applyNumberFormat="1" applyFont="1" applyFill="1" applyBorder="1" applyAlignment="1">
      <alignment horizontal="center" vertical="center"/>
    </xf>
    <xf numFmtId="182" fontId="18" fillId="19" borderId="4" xfId="286" applyNumberFormat="1" applyFont="1" applyFill="1" applyBorder="1" applyAlignment="1">
      <alignment horizontal="center" vertical="center" wrapText="1"/>
    </xf>
    <xf numFmtId="0" fontId="18" fillId="19" borderId="4" xfId="275" applyFont="1" applyFill="1" applyBorder="1" applyAlignment="1">
      <alignment horizontal="center" vertical="center"/>
    </xf>
    <xf numFmtId="0" fontId="14" fillId="16" borderId="4" xfId="275" applyFont="1" applyFill="1" applyBorder="1" applyAlignment="1">
      <alignment horizontal="center"/>
    </xf>
    <xf numFmtId="187" fontId="14" fillId="16" borderId="4" xfId="275" applyNumberFormat="1" applyFont="1" applyFill="1" applyBorder="1" applyAlignment="1">
      <alignment horizontal="center" vertical="top"/>
    </xf>
    <xf numFmtId="187" fontId="19" fillId="18" borderId="4" xfId="109" applyNumberFormat="1" applyFont="1" applyFill="1" applyBorder="1" applyAlignment="1">
      <alignment horizontal="center" vertical="center" wrapText="1"/>
    </xf>
    <xf numFmtId="0" fontId="19" fillId="0" borderId="4" xfId="109" applyNumberFormat="1" applyFont="1" applyFill="1" applyBorder="1" applyAlignment="1">
      <alignment horizontal="center" vertical="center" wrapText="1"/>
    </xf>
    <xf numFmtId="0" fontId="14" fillId="16" borderId="4" xfId="275" applyNumberFormat="1" applyFont="1" applyFill="1" applyBorder="1" applyAlignment="1">
      <alignment horizontal="center" vertical="center"/>
    </xf>
    <xf numFmtId="0" fontId="19" fillId="20" borderId="4" xfId="109" applyNumberFormat="1" applyFont="1" applyFill="1" applyBorder="1" applyAlignment="1">
      <alignment horizontal="center" vertical="center" wrapText="1"/>
    </xf>
    <xf numFmtId="0" fontId="14" fillId="17" borderId="5" xfId="275" applyFont="1" applyFill="1" applyBorder="1" applyAlignment="1">
      <alignment horizontal="left"/>
    </xf>
    <xf numFmtId="0" fontId="14" fillId="17" borderId="6" xfId="275" applyFill="1" applyBorder="1"/>
    <xf numFmtId="182" fontId="18" fillId="21" borderId="35" xfId="286" applyNumberFormat="1" applyFont="1" applyFill="1" applyBorder="1" applyAlignment="1">
      <alignment horizontal="center" vertical="center"/>
    </xf>
    <xf numFmtId="0" fontId="18" fillId="19" borderId="36" xfId="275" applyFont="1" applyFill="1" applyBorder="1" applyAlignment="1">
      <alignment horizontal="center" vertical="center"/>
    </xf>
    <xf numFmtId="0" fontId="18" fillId="19" borderId="36" xfId="275" applyFont="1" applyFill="1" applyBorder="1" applyAlignment="1">
      <alignment horizontal="center"/>
    </xf>
    <xf numFmtId="188" fontId="14" fillId="0" borderId="37" xfId="275" applyNumberFormat="1" applyBorder="1" applyAlignment="1">
      <alignment horizontal="center" vertical="center"/>
    </xf>
    <xf numFmtId="188" fontId="14" fillId="18" borderId="38" xfId="275" applyNumberFormat="1" applyFill="1" applyBorder="1" applyAlignment="1">
      <alignment horizontal="center" vertical="center"/>
    </xf>
    <xf numFmtId="187" fontId="14" fillId="0" borderId="0" xfId="275" applyNumberFormat="1" applyFill="1" applyBorder="1" applyAlignment="1">
      <alignment horizontal="center" vertical="center"/>
    </xf>
    <xf numFmtId="0" fontId="14" fillId="0" borderId="0" xfId="275" applyFill="1" applyBorder="1" applyAlignment="1">
      <alignment horizontal="center" vertical="center"/>
    </xf>
    <xf numFmtId="0" fontId="14" fillId="17" borderId="5" xfId="275" applyFont="1" applyFill="1" applyBorder="1"/>
    <xf numFmtId="0" fontId="14" fillId="0" borderId="0" xfId="275" applyFont="1"/>
    <xf numFmtId="182" fontId="18" fillId="19" borderId="39" xfId="286" applyNumberFormat="1" applyFont="1" applyFill="1" applyBorder="1" applyAlignment="1">
      <alignment horizontal="center" vertical="center"/>
    </xf>
    <xf numFmtId="0" fontId="18" fillId="19" borderId="40" xfId="275" applyFont="1" applyFill="1" applyBorder="1" applyAlignment="1">
      <alignment horizontal="center" vertical="center"/>
    </xf>
    <xf numFmtId="0" fontId="18" fillId="16" borderId="43" xfId="275" applyFont="1" applyFill="1" applyBorder="1" applyAlignment="1">
      <alignment horizontal="center"/>
    </xf>
    <xf numFmtId="0" fontId="14" fillId="16" borderId="44" xfId="275" applyFont="1" applyFill="1" applyBorder="1" applyAlignment="1">
      <alignment horizontal="center"/>
    </xf>
    <xf numFmtId="0" fontId="14" fillId="16" borderId="44" xfId="275" applyFill="1" applyBorder="1" applyAlignment="1">
      <alignment horizontal="center"/>
    </xf>
    <xf numFmtId="0" fontId="18" fillId="16" borderId="47" xfId="275" applyFont="1" applyFill="1" applyBorder="1" applyAlignment="1">
      <alignment horizontal="center"/>
    </xf>
    <xf numFmtId="0" fontId="14" fillId="16" borderId="48" xfId="275" applyFont="1" applyFill="1" applyBorder="1" applyAlignment="1">
      <alignment horizontal="center"/>
    </xf>
    <xf numFmtId="0" fontId="14" fillId="17" borderId="7" xfId="275" applyFill="1" applyBorder="1"/>
    <xf numFmtId="0" fontId="14" fillId="17" borderId="6" xfId="275" applyFill="1" applyBorder="1" applyAlignment="1">
      <alignment horizontal="center"/>
    </xf>
    <xf numFmtId="182" fontId="18" fillId="19" borderId="51" xfId="286" applyNumberFormat="1" applyFont="1" applyFill="1" applyBorder="1" applyAlignment="1">
      <alignment horizontal="center" vertical="center"/>
    </xf>
    <xf numFmtId="0" fontId="18" fillId="19" borderId="52" xfId="275" applyFont="1" applyFill="1" applyBorder="1" applyAlignment="1">
      <alignment horizontal="center" vertical="center"/>
    </xf>
    <xf numFmtId="0" fontId="18" fillId="19" borderId="53" xfId="275" applyFont="1" applyFill="1" applyBorder="1" applyAlignment="1">
      <alignment horizontal="center" vertical="center"/>
    </xf>
    <xf numFmtId="0" fontId="18" fillId="19" borderId="54" xfId="275" applyFont="1" applyFill="1" applyBorder="1" applyAlignment="1">
      <alignment horizontal="center" vertical="center"/>
    </xf>
    <xf numFmtId="0" fontId="18" fillId="19" borderId="55" xfId="275" applyFont="1" applyFill="1" applyBorder="1" applyAlignment="1">
      <alignment horizontal="center" vertical="center"/>
    </xf>
    <xf numFmtId="0" fontId="18" fillId="21" borderId="56" xfId="275" applyFont="1" applyFill="1" applyBorder="1" applyAlignment="1">
      <alignment horizontal="center" vertical="center"/>
    </xf>
    <xf numFmtId="0" fontId="18" fillId="19" borderId="57" xfId="275" applyFont="1" applyFill="1" applyBorder="1" applyAlignment="1">
      <alignment horizontal="center"/>
    </xf>
    <xf numFmtId="0" fontId="14" fillId="16" borderId="58" xfId="275" applyFont="1" applyFill="1" applyBorder="1" applyAlignment="1">
      <alignment horizontal="center"/>
    </xf>
    <xf numFmtId="0" fontId="14" fillId="16" borderId="59" xfId="275" applyFont="1" applyFill="1" applyBorder="1" applyAlignment="1">
      <alignment horizontal="center"/>
    </xf>
    <xf numFmtId="0" fontId="14" fillId="0" borderId="59" xfId="275" applyBorder="1" applyAlignment="1">
      <alignment horizontal="center"/>
    </xf>
    <xf numFmtId="0" fontId="14" fillId="18" borderId="60" xfId="275" applyFont="1" applyFill="1" applyBorder="1" applyAlignment="1">
      <alignment horizontal="center"/>
    </xf>
    <xf numFmtId="10" fontId="14" fillId="18" borderId="61" xfId="275" applyNumberFormat="1" applyFill="1" applyBorder="1" applyAlignment="1">
      <alignment horizontal="center"/>
    </xf>
    <xf numFmtId="182" fontId="18" fillId="19" borderId="62" xfId="286" applyNumberFormat="1" applyFont="1" applyFill="1" applyBorder="1" applyAlignment="1">
      <alignment horizontal="center" vertical="center"/>
    </xf>
    <xf numFmtId="0" fontId="14" fillId="18" borderId="63" xfId="275" applyFill="1" applyBorder="1" applyAlignment="1">
      <alignment horizontal="center"/>
    </xf>
    <xf numFmtId="193" fontId="14" fillId="18" borderId="64" xfId="286" applyNumberFormat="1" applyFont="1" applyFill="1" applyBorder="1" applyAlignment="1">
      <alignment horizontal="center" vertical="center"/>
    </xf>
    <xf numFmtId="10" fontId="14" fillId="18" borderId="65" xfId="275" applyNumberFormat="1" applyFill="1" applyBorder="1" applyAlignment="1">
      <alignment horizontal="center"/>
    </xf>
    <xf numFmtId="0" fontId="14" fillId="0" borderId="0" xfId="275" applyFont="1" applyAlignment="1">
      <alignment horizontal="center"/>
    </xf>
    <xf numFmtId="182" fontId="18" fillId="19" borderId="66" xfId="286" applyNumberFormat="1" applyFont="1" applyFill="1" applyBorder="1" applyAlignment="1">
      <alignment horizontal="center" vertical="center"/>
    </xf>
    <xf numFmtId="182" fontId="18" fillId="19" borderId="67" xfId="286" applyNumberFormat="1" applyFont="1" applyFill="1" applyBorder="1" applyAlignment="1">
      <alignment horizontal="center" vertical="center"/>
    </xf>
    <xf numFmtId="182" fontId="18" fillId="21" borderId="56" xfId="286" applyNumberFormat="1" applyFont="1" applyFill="1" applyBorder="1" applyAlignment="1">
      <alignment horizontal="center" vertical="center"/>
    </xf>
    <xf numFmtId="0" fontId="18" fillId="19" borderId="4" xfId="275" applyFont="1" applyFill="1" applyBorder="1" applyAlignment="1">
      <alignment horizontal="center"/>
    </xf>
    <xf numFmtId="0" fontId="14" fillId="18" borderId="4" xfId="275" applyFill="1" applyBorder="1" applyAlignment="1">
      <alignment horizontal="center"/>
    </xf>
    <xf numFmtId="187" fontId="14" fillId="18" borderId="68" xfId="286" applyNumberFormat="1" applyFont="1" applyFill="1" applyBorder="1" applyAlignment="1">
      <alignment horizontal="center" vertical="center"/>
    </xf>
    <xf numFmtId="182" fontId="18" fillId="19" borderId="69" xfId="286" applyNumberFormat="1" applyFont="1" applyFill="1" applyBorder="1" applyAlignment="1">
      <alignment horizontal="center" vertical="center" wrapText="1"/>
    </xf>
    <xf numFmtId="182" fontId="18" fillId="19" borderId="67" xfId="286" applyNumberFormat="1" applyFont="1" applyFill="1" applyBorder="1" applyAlignment="1">
      <alignment horizontal="center" vertical="center" wrapText="1"/>
    </xf>
    <xf numFmtId="182" fontId="18" fillId="19" borderId="70" xfId="286" applyNumberFormat="1" applyFont="1" applyFill="1" applyBorder="1" applyAlignment="1">
      <alignment horizontal="center" vertical="center" wrapText="1"/>
    </xf>
    <xf numFmtId="0" fontId="18" fillId="0" borderId="71" xfId="275" applyFont="1" applyFill="1" applyBorder="1" applyAlignment="1">
      <alignment horizontal="center" vertical="center" wrapText="1"/>
    </xf>
    <xf numFmtId="188" fontId="14" fillId="0" borderId="4" xfId="275" applyNumberFormat="1" applyFont="1" applyFill="1" applyBorder="1" applyAlignment="1">
      <alignment horizontal="center" vertical="center" wrapText="1"/>
    </xf>
    <xf numFmtId="0" fontId="19" fillId="0" borderId="4" xfId="109" applyFont="1" applyFill="1" applyBorder="1" applyAlignment="1">
      <alignment horizontal="center" vertical="center" wrapText="1"/>
    </xf>
    <xf numFmtId="0" fontId="14" fillId="0" borderId="4" xfId="275" applyFont="1" applyFill="1" applyBorder="1" applyAlignment="1">
      <alignment horizontal="center" vertical="center" wrapText="1"/>
    </xf>
    <xf numFmtId="0" fontId="18" fillId="0" borderId="72" xfId="275" applyFont="1" applyFill="1" applyBorder="1" applyAlignment="1">
      <alignment horizontal="center" vertical="center" wrapText="1"/>
    </xf>
    <xf numFmtId="194" fontId="19" fillId="18" borderId="73" xfId="109" applyNumberFormat="1" applyFont="1" applyFill="1" applyBorder="1" applyAlignment="1">
      <alignment horizontal="center" vertical="center" wrapText="1"/>
    </xf>
    <xf numFmtId="0" fontId="18" fillId="19" borderId="74" xfId="275" applyFont="1" applyFill="1" applyBorder="1" applyAlignment="1">
      <alignment horizontal="center" vertical="center"/>
    </xf>
    <xf numFmtId="188" fontId="14" fillId="18" borderId="75" xfId="275" applyNumberFormat="1" applyFont="1" applyFill="1" applyBorder="1" applyAlignment="1">
      <alignment horizontal="center" vertical="center"/>
    </xf>
    <xf numFmtId="0" fontId="14" fillId="0" borderId="0" xfId="275" applyFont="1" applyFill="1" applyBorder="1" applyAlignment="1">
      <alignment horizontal="center" vertical="center"/>
    </xf>
    <xf numFmtId="187" fontId="14" fillId="0" borderId="0" xfId="275" applyNumberFormat="1"/>
    <xf numFmtId="0" fontId="19" fillId="0" borderId="8" xfId="109" applyFont="1" applyFill="1" applyBorder="1" applyAlignment="1">
      <alignment horizontal="center" vertical="center" wrapText="1"/>
    </xf>
    <xf numFmtId="0" fontId="14" fillId="18" borderId="38" xfId="275" applyFill="1" applyBorder="1" applyAlignment="1">
      <alignment horizontal="center"/>
    </xf>
    <xf numFmtId="187" fontId="14" fillId="18" borderId="65" xfId="275" applyNumberFormat="1" applyFill="1" applyBorder="1" applyAlignment="1">
      <alignment horizontal="center"/>
    </xf>
    <xf numFmtId="187" fontId="14" fillId="0" borderId="0" xfId="286" applyNumberFormat="1" applyFont="1" applyFill="1" applyBorder="1" applyAlignment="1">
      <alignment horizontal="center" vertical="center"/>
    </xf>
    <xf numFmtId="0" fontId="14" fillId="0" borderId="0" xfId="275" applyBorder="1" applyAlignment="1">
      <alignment horizontal="center"/>
    </xf>
    <xf numFmtId="0" fontId="14" fillId="16" borderId="0" xfId="275" applyFont="1" applyFill="1" applyBorder="1" applyAlignment="1">
      <alignment horizontal="center"/>
    </xf>
    <xf numFmtId="0" fontId="14" fillId="0" borderId="0" xfId="275" applyFont="1" applyBorder="1" applyAlignment="1">
      <alignment horizontal="center"/>
    </xf>
    <xf numFmtId="0" fontId="14" fillId="0" borderId="0" xfId="286" applyNumberFormat="1" applyFont="1" applyFill="1" applyBorder="1" applyAlignment="1">
      <alignment horizontal="center" vertical="center"/>
    </xf>
    <xf numFmtId="0" fontId="14" fillId="0" borderId="0" xfId="275" applyFill="1" applyBorder="1" applyAlignment="1">
      <alignment horizontal="center"/>
    </xf>
    <xf numFmtId="0" fontId="14" fillId="16" borderId="0" xfId="275" applyFont="1" applyFill="1" applyBorder="1" applyAlignment="1">
      <alignment horizontal="left"/>
    </xf>
    <xf numFmtId="0" fontId="15" fillId="17" borderId="6" xfId="275" applyFont="1" applyFill="1" applyBorder="1" applyAlignment="1">
      <alignment horizontal="center"/>
    </xf>
    <xf numFmtId="0" fontId="20" fillId="16" borderId="0" xfId="275" applyFont="1" applyFill="1" applyAlignment="1">
      <alignment horizontal="center"/>
    </xf>
    <xf numFmtId="0" fontId="17" fillId="16" borderId="0" xfId="275" applyFont="1" applyFill="1" applyAlignment="1">
      <alignment horizontal="left"/>
    </xf>
    <xf numFmtId="0" fontId="16" fillId="16" borderId="0" xfId="275" applyFont="1" applyFill="1" applyBorder="1" applyAlignment="1">
      <alignment horizontal="center"/>
    </xf>
    <xf numFmtId="0" fontId="16" fillId="16" borderId="76" xfId="275" applyFont="1" applyFill="1" applyBorder="1" applyAlignment="1">
      <alignment horizontal="center"/>
    </xf>
    <xf numFmtId="58" fontId="18" fillId="19" borderId="78" xfId="275" applyNumberFormat="1" applyFont="1" applyFill="1" applyBorder="1" applyAlignment="1">
      <alignment horizontal="center" vertical="center"/>
    </xf>
    <xf numFmtId="0" fontId="14" fillId="16" borderId="79" xfId="275" applyFont="1" applyFill="1" applyBorder="1" applyAlignment="1">
      <alignment horizontal="center" vertical="center"/>
    </xf>
    <xf numFmtId="58" fontId="18" fillId="19" borderId="79" xfId="275" applyNumberFormat="1" applyFont="1" applyFill="1" applyBorder="1" applyAlignment="1">
      <alignment horizontal="center" vertical="center"/>
    </xf>
    <xf numFmtId="0" fontId="16" fillId="16" borderId="80" xfId="275" applyFont="1" applyFill="1" applyBorder="1" applyAlignment="1">
      <alignment horizontal="center" vertical="center"/>
    </xf>
    <xf numFmtId="58" fontId="18" fillId="19" borderId="81" xfId="275" applyNumberFormat="1" applyFont="1" applyFill="1" applyBorder="1" applyAlignment="1">
      <alignment horizontal="center" vertical="center"/>
    </xf>
    <xf numFmtId="194" fontId="19" fillId="18" borderId="82" xfId="109" applyNumberFormat="1" applyFont="1" applyFill="1" applyBorder="1" applyAlignment="1">
      <alignment horizontal="center" vertical="center" wrapText="1"/>
    </xf>
    <xf numFmtId="58" fontId="18" fillId="19" borderId="83" xfId="275" applyNumberFormat="1" applyFont="1" applyFill="1" applyBorder="1" applyAlignment="1">
      <alignment horizontal="center" vertical="center"/>
    </xf>
    <xf numFmtId="58" fontId="18" fillId="19" borderId="1" xfId="275" applyNumberFormat="1" applyFont="1" applyFill="1" applyBorder="1" applyAlignment="1">
      <alignment horizontal="center" vertical="center"/>
    </xf>
    <xf numFmtId="193" fontId="14" fillId="16" borderId="1" xfId="275" applyNumberFormat="1" applyFont="1" applyFill="1" applyBorder="1" applyAlignment="1">
      <alignment horizontal="center" vertical="center"/>
    </xf>
    <xf numFmtId="194" fontId="19" fillId="18" borderId="1" xfId="109" applyNumberFormat="1" applyFont="1" applyFill="1" applyBorder="1" applyAlignment="1">
      <alignment horizontal="center" vertical="center" wrapText="1"/>
    </xf>
    <xf numFmtId="194" fontId="14" fillId="16" borderId="1" xfId="275" applyNumberFormat="1" applyFont="1" applyFill="1" applyBorder="1" applyAlignment="1">
      <alignment horizontal="center" vertical="center"/>
    </xf>
    <xf numFmtId="193" fontId="14" fillId="22" borderId="1" xfId="275" applyNumberFormat="1" applyFont="1" applyFill="1" applyBorder="1" applyAlignment="1">
      <alignment horizontal="center" vertical="center"/>
    </xf>
    <xf numFmtId="194" fontId="14" fillId="22" borderId="1" xfId="275" applyNumberFormat="1" applyFont="1" applyFill="1" applyBorder="1" applyAlignment="1">
      <alignment horizontal="center" vertical="center"/>
    </xf>
    <xf numFmtId="196" fontId="19" fillId="18" borderId="1" xfId="109" applyNumberFormat="1" applyFont="1" applyFill="1" applyBorder="1" applyAlignment="1">
      <alignment horizontal="center" vertical="center" wrapText="1"/>
    </xf>
    <xf numFmtId="58" fontId="18" fillId="19" borderId="0" xfId="275" applyNumberFormat="1" applyFont="1" applyFill="1" applyBorder="1" applyAlignment="1">
      <alignment horizontal="center" vertical="center"/>
    </xf>
    <xf numFmtId="193" fontId="14" fillId="16" borderId="0" xfId="275" applyNumberFormat="1" applyFont="1" applyFill="1" applyBorder="1" applyAlignment="1">
      <alignment horizontal="center" vertical="center"/>
    </xf>
    <xf numFmtId="0" fontId="14" fillId="0" borderId="0" xfId="275" applyFont="1" applyFill="1" applyBorder="1"/>
    <xf numFmtId="0" fontId="14" fillId="0" borderId="0" xfId="275" applyAlignment="1">
      <alignment vertical="center"/>
    </xf>
    <xf numFmtId="194" fontId="21" fillId="19" borderId="77" xfId="109" applyNumberFormat="1" applyFont="1" applyFill="1" applyBorder="1" applyAlignment="1">
      <alignment horizontal="center" vertical="center" wrapText="1"/>
    </xf>
    <xf numFmtId="0" fontId="14" fillId="0" borderId="77" xfId="275" applyFill="1" applyBorder="1" applyAlignment="1">
      <alignment horizontal="center" vertical="center"/>
    </xf>
    <xf numFmtId="194" fontId="21" fillId="19" borderId="82" xfId="109" applyNumberFormat="1" applyFont="1" applyFill="1" applyBorder="1" applyAlignment="1">
      <alignment horizontal="center" vertical="center" wrapText="1"/>
    </xf>
    <xf numFmtId="0" fontId="14" fillId="0" borderId="82" xfId="275" applyBorder="1" applyAlignment="1">
      <alignment horizontal="center" vertical="center"/>
    </xf>
    <xf numFmtId="0" fontId="14" fillId="0" borderId="89" xfId="275" applyBorder="1" applyAlignment="1">
      <alignment horizontal="center" vertical="center"/>
    </xf>
    <xf numFmtId="58" fontId="18" fillId="11" borderId="0" xfId="275" applyNumberFormat="1" applyFont="1" applyFill="1" applyBorder="1" applyAlignment="1">
      <alignment horizontal="center" vertical="center" wrapText="1"/>
    </xf>
    <xf numFmtId="0" fontId="14" fillId="0" borderId="0" xfId="275" applyBorder="1" applyAlignment="1">
      <alignment horizontal="center" vertical="center"/>
    </xf>
    <xf numFmtId="58" fontId="14" fillId="23" borderId="76" xfId="275" applyNumberFormat="1" applyFont="1" applyFill="1" applyBorder="1" applyAlignment="1">
      <alignment horizontal="center" vertical="center" wrapText="1"/>
    </xf>
    <xf numFmtId="58" fontId="14" fillId="23" borderId="77" xfId="275" applyNumberFormat="1" applyFont="1" applyFill="1" applyBorder="1" applyAlignment="1">
      <alignment horizontal="center" vertical="center" wrapText="1"/>
    </xf>
    <xf numFmtId="0" fontId="22" fillId="0" borderId="90" xfId="275" applyFont="1" applyBorder="1" applyAlignment="1">
      <alignment horizontal="center" vertical="center"/>
    </xf>
    <xf numFmtId="0" fontId="22" fillId="0" borderId="91" xfId="275" applyFont="1" applyBorder="1" applyAlignment="1">
      <alignment horizontal="center" vertical="center"/>
    </xf>
    <xf numFmtId="0" fontId="22" fillId="0" borderId="81" xfId="275" applyFont="1" applyBorder="1" applyAlignment="1">
      <alignment horizontal="center" vertical="center"/>
    </xf>
    <xf numFmtId="0" fontId="22" fillId="0" borderId="95" xfId="275" applyFont="1" applyBorder="1" applyAlignment="1">
      <alignment horizontal="center" vertical="center"/>
    </xf>
    <xf numFmtId="0" fontId="22" fillId="0" borderId="4" xfId="275" applyFont="1" applyBorder="1" applyAlignment="1">
      <alignment horizontal="center" vertical="center"/>
    </xf>
    <xf numFmtId="0" fontId="22" fillId="0" borderId="82" xfId="275" applyFont="1" applyBorder="1" applyAlignment="1">
      <alignment horizontal="center" vertical="center"/>
    </xf>
    <xf numFmtId="194" fontId="19" fillId="18" borderId="86" xfId="109" applyNumberFormat="1" applyFont="1" applyFill="1" applyBorder="1" applyAlignment="1">
      <alignment horizontal="center" vertical="center" wrapText="1"/>
    </xf>
    <xf numFmtId="0" fontId="25" fillId="24" borderId="1" xfId="0" applyFont="1" applyFill="1" applyBorder="1" applyAlignment="1">
      <alignment horizontal="center" vertical="center" wrapText="1"/>
    </xf>
    <xf numFmtId="180" fontId="26" fillId="25" borderId="1" xfId="0" applyNumberFormat="1" applyFont="1" applyFill="1" applyBorder="1" applyAlignment="1">
      <alignment horizontal="center" vertical="center" wrapText="1"/>
    </xf>
    <xf numFmtId="0" fontId="14" fillId="0" borderId="1" xfId="275" applyBorder="1" applyAlignment="1">
      <alignment horizontal="center" vertical="center"/>
    </xf>
    <xf numFmtId="190" fontId="26" fillId="18" borderId="1" xfId="275" applyNumberFormat="1" applyFont="1" applyFill="1" applyBorder="1" applyAlignment="1">
      <alignment horizontal="center" vertical="center"/>
    </xf>
    <xf numFmtId="180" fontId="14" fillId="24" borderId="1" xfId="0" applyNumberFormat="1" applyFont="1" applyFill="1" applyBorder="1" applyAlignment="1">
      <alignment horizontal="center" vertical="center" wrapText="1"/>
    </xf>
    <xf numFmtId="180" fontId="14" fillId="25" borderId="1" xfId="0" applyNumberFormat="1" applyFont="1" applyFill="1" applyBorder="1" applyAlignment="1">
      <alignment horizontal="center" vertical="center" wrapText="1"/>
    </xf>
    <xf numFmtId="194" fontId="19" fillId="26" borderId="1" xfId="109" applyNumberFormat="1" applyFont="1" applyFill="1" applyBorder="1" applyAlignment="1">
      <alignment horizontal="center" vertical="center" wrapText="1"/>
    </xf>
    <xf numFmtId="0" fontId="14" fillId="27" borderId="1" xfId="275" applyFill="1" applyBorder="1" applyAlignment="1">
      <alignment horizontal="center" vertical="center"/>
    </xf>
    <xf numFmtId="190" fontId="26" fillId="26" borderId="1" xfId="275" applyNumberFormat="1" applyFont="1" applyFill="1" applyBorder="1" applyAlignment="1">
      <alignment horizontal="center" vertical="center"/>
    </xf>
    <xf numFmtId="180" fontId="14" fillId="27" borderId="1" xfId="275" applyNumberFormat="1" applyFill="1" applyBorder="1" applyAlignment="1">
      <alignment horizontal="center" vertical="center"/>
    </xf>
    <xf numFmtId="0" fontId="14" fillId="18" borderId="1" xfId="275" applyFill="1" applyBorder="1" applyAlignment="1">
      <alignment horizontal="center" vertical="center"/>
    </xf>
    <xf numFmtId="194" fontId="19" fillId="11" borderId="0" xfId="109" applyNumberFormat="1" applyFont="1" applyFill="1" applyBorder="1" applyAlignment="1">
      <alignment horizontal="center" vertical="center" wrapText="1"/>
    </xf>
    <xf numFmtId="190" fontId="26" fillId="18" borderId="0" xfId="275" applyNumberFormat="1" applyFont="1" applyFill="1" applyBorder="1" applyAlignment="1">
      <alignment horizontal="center" vertical="center"/>
    </xf>
    <xf numFmtId="180" fontId="14" fillId="0" borderId="0" xfId="275" applyNumberFormat="1"/>
    <xf numFmtId="0" fontId="14" fillId="0" borderId="89" xfId="275" applyBorder="1" applyAlignment="1">
      <alignment horizontal="center"/>
    </xf>
    <xf numFmtId="0" fontId="14" fillId="0" borderId="0" xfId="275" applyFont="1" applyFill="1"/>
    <xf numFmtId="0" fontId="22" fillId="0" borderId="8" xfId="275" applyFont="1" applyFill="1" applyBorder="1" applyAlignment="1">
      <alignment horizontal="center" vertical="center"/>
    </xf>
    <xf numFmtId="0" fontId="22" fillId="0" borderId="109" xfId="275" applyFont="1" applyBorder="1" applyAlignment="1">
      <alignment horizontal="center" vertical="center"/>
    </xf>
    <xf numFmtId="0" fontId="22" fillId="0" borderId="110" xfId="275" applyFont="1" applyFill="1" applyBorder="1" applyAlignment="1">
      <alignment horizontal="center" vertical="center"/>
    </xf>
    <xf numFmtId="0" fontId="22" fillId="0" borderId="111" xfId="275" applyFont="1" applyBorder="1" applyAlignment="1">
      <alignment horizontal="center" vertical="center"/>
    </xf>
    <xf numFmtId="0" fontId="22" fillId="0" borderId="112" xfId="275" applyFont="1" applyBorder="1" applyAlignment="1">
      <alignment horizontal="center" vertical="center"/>
    </xf>
    <xf numFmtId="0" fontId="28" fillId="28" borderId="114" xfId="275" applyFont="1" applyFill="1" applyBorder="1" applyAlignment="1">
      <alignment horizontal="left" vertical="center" wrapText="1"/>
    </xf>
    <xf numFmtId="0" fontId="28" fillId="28" borderId="115" xfId="275" applyFont="1" applyFill="1" applyBorder="1" applyAlignment="1">
      <alignment horizontal="left" vertical="center" wrapText="1"/>
    </xf>
    <xf numFmtId="0" fontId="29" fillId="0" borderId="114" xfId="275" applyFont="1" applyBorder="1" applyAlignment="1">
      <alignment horizontal="left" vertical="center" wrapText="1"/>
    </xf>
    <xf numFmtId="0" fontId="29" fillId="29" borderId="115" xfId="275" applyFont="1" applyFill="1" applyBorder="1" applyAlignment="1">
      <alignment horizontal="left" vertical="center" wrapText="1"/>
    </xf>
    <xf numFmtId="0" fontId="29" fillId="0" borderId="115" xfId="275" applyFont="1" applyBorder="1" applyAlignment="1">
      <alignment horizontal="left" vertical="center" wrapText="1"/>
    </xf>
    <xf numFmtId="0" fontId="30" fillId="30" borderId="114" xfId="275" applyFont="1" applyFill="1" applyBorder="1" applyAlignment="1">
      <alignment horizontal="left" vertical="center" wrapText="1"/>
    </xf>
    <xf numFmtId="0" fontId="29" fillId="31" borderId="114" xfId="275" applyFont="1" applyFill="1" applyBorder="1" applyAlignment="1">
      <alignment horizontal="left" vertical="center" wrapText="1"/>
    </xf>
    <xf numFmtId="0" fontId="11" fillId="0" borderId="115" xfId="275" applyFont="1" applyBorder="1" applyAlignment="1">
      <alignment horizontal="left" vertical="center" wrapText="1"/>
    </xf>
    <xf numFmtId="0" fontId="29" fillId="29" borderId="114" xfId="275" applyFont="1" applyFill="1" applyBorder="1" applyAlignment="1">
      <alignment horizontal="left" vertical="center" wrapText="1"/>
    </xf>
    <xf numFmtId="0" fontId="29" fillId="32" borderId="114" xfId="275" applyFont="1" applyFill="1" applyBorder="1" applyAlignment="1">
      <alignment horizontal="left" vertical="center" wrapText="1"/>
    </xf>
    <xf numFmtId="0" fontId="29" fillId="32" borderId="115" xfId="275" applyFont="1" applyFill="1" applyBorder="1" applyAlignment="1">
      <alignment horizontal="left" vertical="center" wrapText="1"/>
    </xf>
    <xf numFmtId="0" fontId="31" fillId="0" borderId="114" xfId="275" applyFont="1" applyBorder="1" applyAlignment="1">
      <alignment horizontal="left" vertical="center" wrapText="1"/>
    </xf>
    <xf numFmtId="0" fontId="11" fillId="0" borderId="114" xfId="275" applyFont="1" applyBorder="1" applyAlignment="1">
      <alignment horizontal="left" vertical="center" wrapText="1"/>
    </xf>
    <xf numFmtId="0" fontId="29" fillId="31" borderId="115" xfId="275" applyFont="1" applyFill="1" applyBorder="1" applyAlignment="1">
      <alignment horizontal="left" vertical="center" wrapText="1"/>
    </xf>
    <xf numFmtId="0" fontId="30" fillId="30" borderId="115" xfId="275" applyFont="1" applyFill="1" applyBorder="1" applyAlignment="1">
      <alignment horizontal="left" vertical="center" wrapText="1"/>
    </xf>
    <xf numFmtId="0" fontId="32" fillId="28" borderId="116" xfId="275" applyFont="1" applyFill="1" applyBorder="1" applyAlignment="1">
      <alignment horizontal="left" vertical="center" wrapText="1"/>
    </xf>
    <xf numFmtId="0" fontId="33" fillId="0" borderId="115" xfId="275" applyFont="1" applyBorder="1" applyAlignment="1">
      <alignment horizontal="left" vertical="center" wrapText="1"/>
    </xf>
    <xf numFmtId="0" fontId="16" fillId="0" borderId="0" xfId="275" applyFont="1" applyAlignment="1">
      <alignment vertical="center" wrapText="1"/>
    </xf>
    <xf numFmtId="0" fontId="14" fillId="16" borderId="0" xfId="275" applyNumberFormat="1" applyFont="1" applyFill="1"/>
    <xf numFmtId="0" fontId="14" fillId="16" borderId="0" xfId="275" applyFont="1" applyFill="1" applyAlignment="1">
      <alignment horizontal="left" vertical="top" wrapText="1"/>
    </xf>
    <xf numFmtId="0" fontId="17" fillId="16" borderId="0" xfId="275" applyFont="1" applyFill="1" applyAlignment="1">
      <alignment horizontal="left" vertical="top"/>
    </xf>
    <xf numFmtId="0" fontId="14" fillId="17" borderId="4" xfId="275" applyFont="1" applyFill="1" applyBorder="1" applyAlignment="1">
      <alignment horizontal="left"/>
    </xf>
    <xf numFmtId="0" fontId="14" fillId="16" borderId="1" xfId="275" applyNumberFormat="1" applyFont="1" applyFill="1" applyBorder="1" applyAlignment="1">
      <alignment horizontal="center" vertical="center"/>
    </xf>
    <xf numFmtId="0" fontId="14" fillId="22" borderId="1" xfId="275" applyNumberFormat="1" applyFont="1" applyFill="1" applyBorder="1" applyAlignment="1">
      <alignment horizontal="center" vertical="center"/>
    </xf>
    <xf numFmtId="0" fontId="14" fillId="18" borderId="1" xfId="275" applyNumberFormat="1" applyFont="1" applyFill="1" applyBorder="1" applyAlignment="1">
      <alignment horizontal="center" vertical="center"/>
    </xf>
    <xf numFmtId="0" fontId="34" fillId="16" borderId="118" xfId="275" applyNumberFormat="1" applyFont="1" applyFill="1" applyBorder="1" applyAlignment="1">
      <alignment vertical="top"/>
    </xf>
    <xf numFmtId="0" fontId="14" fillId="22" borderId="1" xfId="275" applyNumberFormat="1" applyFont="1" applyFill="1" applyBorder="1" applyAlignment="1">
      <alignment horizontal="center"/>
    </xf>
    <xf numFmtId="0" fontId="14" fillId="16" borderId="1" xfId="275" applyNumberFormat="1" applyFont="1" applyFill="1" applyBorder="1" applyAlignment="1">
      <alignment horizontal="center"/>
    </xf>
    <xf numFmtId="0" fontId="14" fillId="18" borderId="1" xfId="275" applyNumberFormat="1" applyFont="1" applyFill="1" applyBorder="1" applyAlignment="1">
      <alignment horizontal="center"/>
    </xf>
    <xf numFmtId="195" fontId="14" fillId="18" borderId="1" xfId="275" applyNumberFormat="1" applyFont="1" applyFill="1" applyBorder="1" applyAlignment="1">
      <alignment horizontal="center" vertical="center"/>
    </xf>
    <xf numFmtId="195" fontId="14" fillId="22" borderId="1" xfId="275" applyNumberFormat="1" applyFont="1" applyFill="1" applyBorder="1" applyAlignment="1">
      <alignment horizontal="center" vertical="center"/>
    </xf>
    <xf numFmtId="180" fontId="14" fillId="22" borderId="1" xfId="275" applyNumberFormat="1" applyFont="1" applyFill="1" applyBorder="1" applyAlignment="1">
      <alignment horizontal="center" vertical="center"/>
    </xf>
    <xf numFmtId="0" fontId="14" fillId="16" borderId="0" xfId="275" applyNumberFormat="1" applyFont="1" applyFill="1" applyAlignment="1">
      <alignment vertical="center"/>
    </xf>
    <xf numFmtId="0" fontId="35" fillId="16" borderId="0" xfId="275" applyNumberFormat="1" applyFont="1" applyFill="1"/>
    <xf numFmtId="0" fontId="14" fillId="18" borderId="1" xfId="275" applyFont="1" applyFill="1" applyBorder="1" applyAlignment="1">
      <alignment horizontal="center" vertical="center"/>
    </xf>
    <xf numFmtId="0" fontId="14" fillId="22" borderId="1" xfId="275" applyNumberFormat="1" applyFont="1" applyFill="1" applyBorder="1"/>
    <xf numFmtId="180" fontId="14" fillId="22" borderId="1" xfId="275" applyNumberFormat="1" applyFont="1" applyFill="1" applyBorder="1" applyAlignment="1">
      <alignment horizontal="center"/>
    </xf>
    <xf numFmtId="195" fontId="14" fillId="18" borderId="1" xfId="275" applyNumberFormat="1" applyFont="1" applyFill="1" applyBorder="1" applyAlignment="1">
      <alignment horizontal="center"/>
    </xf>
    <xf numFmtId="0" fontId="14" fillId="18" borderId="1" xfId="275" applyFont="1" applyFill="1" applyBorder="1" applyAlignment="1">
      <alignment horizontal="center"/>
    </xf>
    <xf numFmtId="195" fontId="14" fillId="16" borderId="1" xfId="275" applyNumberFormat="1" applyFont="1" applyFill="1" applyBorder="1" applyAlignment="1">
      <alignment horizontal="center"/>
    </xf>
    <xf numFmtId="0" fontId="14" fillId="16" borderId="0" xfId="275" applyNumberFormat="1" applyFont="1" applyFill="1" applyAlignment="1">
      <alignment horizontal="center" vertical="center"/>
    </xf>
    <xf numFmtId="0" fontId="14" fillId="26" borderId="1" xfId="275" applyNumberFormat="1" applyFont="1" applyFill="1" applyBorder="1" applyAlignment="1">
      <alignment horizontal="center" vertical="center"/>
    </xf>
    <xf numFmtId="195" fontId="14" fillId="26" borderId="1" xfId="275" applyNumberFormat="1" applyFont="1" applyFill="1" applyBorder="1" applyAlignment="1">
      <alignment horizontal="center" vertical="center"/>
    </xf>
    <xf numFmtId="0" fontId="14" fillId="16" borderId="1" xfId="275" applyNumberFormat="1" applyFont="1" applyFill="1" applyBorder="1"/>
    <xf numFmtId="0" fontId="34" fillId="16" borderId="0" xfId="275" applyNumberFormat="1" applyFont="1" applyFill="1" applyAlignment="1">
      <alignment horizontal="center" vertical="top"/>
    </xf>
    <xf numFmtId="0" fontId="14" fillId="16" borderId="0" xfId="275" applyFont="1" applyFill="1" applyAlignment="1">
      <alignment horizontal="center"/>
    </xf>
    <xf numFmtId="58" fontId="14" fillId="16" borderId="0" xfId="275" applyNumberFormat="1" applyFont="1" applyFill="1" applyAlignment="1">
      <alignment horizontal="center"/>
    </xf>
    <xf numFmtId="58" fontId="14" fillId="16" borderId="0" xfId="275" applyNumberFormat="1" applyFont="1" applyFill="1"/>
    <xf numFmtId="58" fontId="20" fillId="16" borderId="0" xfId="275" applyNumberFormat="1" applyFont="1" applyFill="1" applyAlignment="1">
      <alignment horizontal="center"/>
    </xf>
    <xf numFmtId="0" fontId="14" fillId="16" borderId="0" xfId="275" applyFill="1"/>
    <xf numFmtId="0" fontId="14" fillId="16" borderId="119" xfId="275" applyFont="1" applyFill="1" applyBorder="1" applyAlignment="1">
      <alignment horizontal="left"/>
    </xf>
    <xf numFmtId="58" fontId="18" fillId="2" borderId="121" xfId="275" applyNumberFormat="1" applyFont="1" applyFill="1" applyBorder="1" applyAlignment="1">
      <alignment horizontal="center" vertical="center"/>
    </xf>
    <xf numFmtId="196" fontId="36" fillId="18" borderId="122" xfId="275" applyNumberFormat="1" applyFont="1" applyFill="1" applyBorder="1" applyAlignment="1">
      <alignment horizontal="center" vertical="center"/>
    </xf>
    <xf numFmtId="0" fontId="37" fillId="19" borderId="123" xfId="275" applyFont="1" applyFill="1" applyBorder="1" applyAlignment="1">
      <alignment horizontal="center" vertical="center"/>
    </xf>
    <xf numFmtId="58" fontId="18" fillId="19" borderId="124" xfId="275" applyNumberFormat="1" applyFont="1" applyFill="1" applyBorder="1" applyAlignment="1">
      <alignment horizontal="center" vertical="center"/>
    </xf>
    <xf numFmtId="58" fontId="18" fillId="19" borderId="125" xfId="275" applyNumberFormat="1" applyFont="1" applyFill="1" applyBorder="1" applyAlignment="1">
      <alignment horizontal="center" vertical="center"/>
    </xf>
    <xf numFmtId="0" fontId="18" fillId="19" borderId="126" xfId="275" applyFont="1" applyFill="1" applyBorder="1" applyAlignment="1">
      <alignment horizontal="center"/>
    </xf>
    <xf numFmtId="197" fontId="14" fillId="0" borderId="127" xfId="288" applyNumberFormat="1" applyFont="1" applyFill="1" applyBorder="1" applyAlignment="1">
      <alignment horizontal="center" vertical="center" wrapText="1"/>
    </xf>
    <xf numFmtId="197" fontId="38" fillId="0" borderId="127" xfId="288" applyNumberFormat="1" applyFont="1" applyFill="1" applyBorder="1" applyAlignment="1">
      <alignment horizontal="center" vertical="center" wrapText="1"/>
    </xf>
    <xf numFmtId="197" fontId="14" fillId="16" borderId="0" xfId="275" applyNumberFormat="1" applyFont="1" applyFill="1" applyAlignment="1">
      <alignment horizontal="center"/>
    </xf>
    <xf numFmtId="196" fontId="36" fillId="18" borderId="127" xfId="275" applyNumberFormat="1" applyFont="1" applyFill="1" applyBorder="1" applyAlignment="1">
      <alignment horizontal="center"/>
    </xf>
    <xf numFmtId="0" fontId="18" fillId="19" borderId="128" xfId="275" applyFont="1" applyFill="1" applyBorder="1" applyAlignment="1">
      <alignment horizontal="center"/>
    </xf>
    <xf numFmtId="197" fontId="14" fillId="0" borderId="129" xfId="288" applyNumberFormat="1" applyFont="1" applyFill="1" applyBorder="1" applyAlignment="1">
      <alignment horizontal="center" vertical="center" wrapText="1"/>
    </xf>
    <xf numFmtId="0" fontId="14" fillId="16" borderId="130" xfId="275" applyFill="1" applyBorder="1"/>
    <xf numFmtId="0" fontId="14" fillId="16" borderId="130" xfId="275" applyFont="1" applyFill="1" applyBorder="1"/>
    <xf numFmtId="0" fontId="18" fillId="19" borderId="1" xfId="275" applyFont="1" applyFill="1" applyBorder="1" applyAlignment="1">
      <alignment horizontal="center" vertical="center"/>
    </xf>
    <xf numFmtId="0" fontId="18" fillId="19" borderId="1" xfId="275" applyFont="1" applyFill="1" applyBorder="1" applyAlignment="1">
      <alignment horizontal="center"/>
    </xf>
    <xf numFmtId="10" fontId="14" fillId="0" borderId="1" xfId="275" applyNumberFormat="1" applyFont="1" applyFill="1" applyBorder="1" applyAlignment="1">
      <alignment horizontal="center" vertical="center"/>
    </xf>
    <xf numFmtId="10" fontId="14" fillId="27" borderId="1" xfId="288" applyNumberFormat="1" applyFont="1" applyFill="1" applyBorder="1" applyAlignment="1">
      <alignment horizontal="center" vertical="center" wrapText="1"/>
    </xf>
    <xf numFmtId="10" fontId="25" fillId="24" borderId="1" xfId="0" applyNumberFormat="1" applyFont="1" applyFill="1" applyBorder="1" applyAlignment="1">
      <alignment horizontal="center" vertical="center" wrapText="1"/>
    </xf>
    <xf numFmtId="10" fontId="26" fillId="25" borderId="1" xfId="0" applyNumberFormat="1" applyFont="1" applyFill="1" applyBorder="1" applyAlignment="1">
      <alignment horizontal="center" vertical="center" wrapText="1"/>
    </xf>
    <xf numFmtId="58" fontId="14" fillId="17" borderId="6" xfId="275" applyNumberFormat="1" applyFont="1" applyFill="1" applyBorder="1" applyAlignment="1">
      <alignment horizontal="center"/>
    </xf>
    <xf numFmtId="187" fontId="14" fillId="16" borderId="0" xfId="275" applyNumberFormat="1" applyFont="1" applyFill="1"/>
    <xf numFmtId="0" fontId="18" fillId="19" borderId="133" xfId="275" applyFont="1" applyFill="1" applyBorder="1" applyAlignment="1">
      <alignment horizontal="center" vertical="center"/>
    </xf>
    <xf numFmtId="0" fontId="18" fillId="19" borderId="134" xfId="275" applyFont="1" applyFill="1" applyBorder="1" applyAlignment="1">
      <alignment horizontal="center" vertical="center"/>
    </xf>
    <xf numFmtId="0" fontId="14" fillId="16" borderId="64" xfId="275" applyNumberFormat="1" applyFont="1" applyFill="1" applyBorder="1" applyAlignment="1">
      <alignment horizontal="center"/>
    </xf>
    <xf numFmtId="0" fontId="14" fillId="16" borderId="137" xfId="275" applyNumberFormat="1" applyFont="1" applyFill="1" applyBorder="1" applyAlignment="1">
      <alignment horizontal="center"/>
    </xf>
    <xf numFmtId="0" fontId="18" fillId="19" borderId="138" xfId="275" applyFont="1" applyFill="1" applyBorder="1" applyAlignment="1">
      <alignment horizontal="center" vertical="center" wrapText="1"/>
    </xf>
    <xf numFmtId="0" fontId="18" fillId="19" borderId="139" xfId="275" applyFont="1" applyFill="1" applyBorder="1" applyAlignment="1">
      <alignment horizontal="center" vertical="center" wrapText="1"/>
    </xf>
    <xf numFmtId="0" fontId="18" fillId="2" borderId="140" xfId="275" applyFont="1" applyFill="1" applyBorder="1" applyAlignment="1">
      <alignment horizontal="center" vertical="center" wrapText="1"/>
    </xf>
    <xf numFmtId="0" fontId="18" fillId="2" borderId="139" xfId="275" applyFont="1" applyFill="1" applyBorder="1" applyAlignment="1">
      <alignment horizontal="center" vertical="center" wrapText="1"/>
    </xf>
    <xf numFmtId="0" fontId="18" fillId="19" borderId="141" xfId="275" applyFont="1" applyFill="1" applyBorder="1" applyAlignment="1">
      <alignment horizontal="center" vertical="center" wrapText="1"/>
    </xf>
    <xf numFmtId="188" fontId="14" fillId="16" borderId="142" xfId="275" applyNumberFormat="1" applyFont="1" applyFill="1" applyBorder="1" applyAlignment="1">
      <alignment horizontal="center" vertical="center"/>
    </xf>
    <xf numFmtId="188" fontId="14" fillId="16" borderId="143" xfId="275" applyNumberFormat="1" applyFont="1" applyFill="1" applyBorder="1" applyAlignment="1">
      <alignment horizontal="center" vertical="center"/>
    </xf>
    <xf numFmtId="188" fontId="14" fillId="18" borderId="63" xfId="275" applyNumberFormat="1" applyFont="1" applyFill="1" applyBorder="1" applyAlignment="1">
      <alignment horizontal="center" vertical="center"/>
    </xf>
    <xf numFmtId="188" fontId="14" fillId="16" borderId="144" xfId="275" applyNumberFormat="1" applyFont="1" applyFill="1" applyBorder="1" applyAlignment="1">
      <alignment horizontal="center" vertical="center"/>
    </xf>
    <xf numFmtId="188" fontId="14" fillId="18" borderId="145" xfId="275" applyNumberFormat="1" applyFont="1" applyFill="1" applyBorder="1" applyAlignment="1">
      <alignment horizontal="center" vertical="center"/>
    </xf>
    <xf numFmtId="0" fontId="14" fillId="16" borderId="146" xfId="275" applyNumberFormat="1" applyFont="1" applyFill="1" applyBorder="1" applyAlignment="1">
      <alignment horizontal="center" vertical="center"/>
    </xf>
    <xf numFmtId="0" fontId="14" fillId="16" borderId="0" xfId="275" applyFont="1" applyFill="1" applyAlignment="1">
      <alignment horizontal="center" vertical="center"/>
    </xf>
    <xf numFmtId="58" fontId="14" fillId="16" borderId="0" xfId="275" applyNumberFormat="1" applyFont="1" applyFill="1" applyAlignment="1">
      <alignment horizontal="center" vertical="center"/>
    </xf>
    <xf numFmtId="0" fontId="18" fillId="19" borderId="147" xfId="275" applyFont="1" applyFill="1" applyBorder="1" applyAlignment="1">
      <alignment horizontal="center" vertical="center" wrapText="1"/>
    </xf>
    <xf numFmtId="0" fontId="18" fillId="19" borderId="59" xfId="275" applyFont="1" applyFill="1" applyBorder="1" applyAlignment="1">
      <alignment horizontal="center" vertical="center" wrapText="1"/>
    </xf>
    <xf numFmtId="58" fontId="14" fillId="16" borderId="148" xfId="275" applyNumberFormat="1" applyFont="1" applyFill="1" applyBorder="1" applyAlignment="1">
      <alignment vertical="center"/>
    </xf>
    <xf numFmtId="58" fontId="14" fillId="16" borderId="0" xfId="275" applyNumberFormat="1" applyFont="1" applyFill="1" applyAlignment="1">
      <alignment vertical="center"/>
    </xf>
    <xf numFmtId="187" fontId="14" fillId="16" borderId="149" xfId="275" applyNumberFormat="1" applyFont="1" applyFill="1" applyBorder="1" applyAlignment="1">
      <alignment horizontal="center" vertical="center"/>
    </xf>
    <xf numFmtId="187" fontId="14" fillId="16" borderId="150" xfId="275" applyNumberFormat="1" applyFont="1" applyFill="1" applyBorder="1" applyAlignment="1">
      <alignment horizontal="center" vertical="center"/>
    </xf>
    <xf numFmtId="187" fontId="14" fillId="18" borderId="151" xfId="275" applyNumberFormat="1" applyFont="1" applyFill="1" applyBorder="1" applyAlignment="1">
      <alignment horizontal="center" vertical="center"/>
    </xf>
    <xf numFmtId="58" fontId="18" fillId="2" borderId="125" xfId="275" applyNumberFormat="1" applyFont="1" applyFill="1" applyBorder="1" applyAlignment="1">
      <alignment horizontal="center" vertical="center"/>
    </xf>
    <xf numFmtId="58" fontId="18" fillId="19" borderId="154" xfId="275" applyNumberFormat="1" applyFont="1" applyFill="1" applyBorder="1" applyAlignment="1">
      <alignment horizontal="center" vertical="center"/>
    </xf>
    <xf numFmtId="9" fontId="36" fillId="18" borderId="127" xfId="275" applyNumberFormat="1" applyFont="1" applyFill="1" applyBorder="1" applyAlignment="1">
      <alignment horizontal="center"/>
    </xf>
    <xf numFmtId="10" fontId="36" fillId="16" borderId="127" xfId="275" applyNumberFormat="1" applyFont="1" applyFill="1" applyBorder="1" applyAlignment="1">
      <alignment horizontal="center"/>
    </xf>
    <xf numFmtId="10" fontId="36" fillId="16" borderId="155" xfId="275" applyNumberFormat="1" applyFont="1" applyFill="1" applyBorder="1" applyAlignment="1">
      <alignment horizontal="center"/>
    </xf>
    <xf numFmtId="10" fontId="36" fillId="16" borderId="129" xfId="275" applyNumberFormat="1" applyFont="1" applyFill="1" applyBorder="1" applyAlignment="1">
      <alignment horizontal="center"/>
    </xf>
    <xf numFmtId="0" fontId="14" fillId="16" borderId="156" xfId="275" applyFont="1" applyFill="1" applyBorder="1" applyAlignment="1">
      <alignment horizontal="center"/>
    </xf>
    <xf numFmtId="0" fontId="14" fillId="16" borderId="0" xfId="275" applyFont="1" applyFill="1" applyAlignment="1">
      <alignment horizontal="left" vertical="center"/>
    </xf>
    <xf numFmtId="196" fontId="14" fillId="16" borderId="0" xfId="275" applyNumberFormat="1" applyFont="1" applyFill="1" applyAlignment="1">
      <alignment horizontal="center" vertical="center"/>
    </xf>
    <xf numFmtId="0" fontId="18" fillId="16" borderId="0" xfId="275" applyFont="1" applyFill="1" applyBorder="1"/>
    <xf numFmtId="0" fontId="14" fillId="17" borderId="7" xfId="275" applyFont="1" applyFill="1" applyBorder="1"/>
    <xf numFmtId="0" fontId="14" fillId="17" borderId="6" xfId="275" applyFont="1" applyFill="1" applyBorder="1" applyAlignment="1">
      <alignment horizontal="center"/>
    </xf>
    <xf numFmtId="0" fontId="36" fillId="16" borderId="0" xfId="275" applyFont="1" applyFill="1" applyBorder="1" applyAlignment="1">
      <alignment horizontal="left"/>
    </xf>
    <xf numFmtId="0" fontId="18" fillId="2" borderId="157" xfId="275" applyFont="1" applyFill="1" applyBorder="1" applyAlignment="1">
      <alignment horizontal="center" vertical="center"/>
    </xf>
    <xf numFmtId="0" fontId="16" fillId="16" borderId="158" xfId="275" applyFont="1" applyFill="1" applyBorder="1" applyAlignment="1">
      <alignment horizontal="center" vertical="center"/>
    </xf>
    <xf numFmtId="0" fontId="18" fillId="19" borderId="159" xfId="275" applyFont="1" applyFill="1" applyBorder="1" applyAlignment="1">
      <alignment horizontal="center" vertical="center"/>
    </xf>
    <xf numFmtId="0" fontId="18" fillId="19" borderId="160" xfId="275" applyFont="1" applyFill="1" applyBorder="1" applyAlignment="1">
      <alignment horizontal="center" vertical="center"/>
    </xf>
    <xf numFmtId="0" fontId="18" fillId="19" borderId="161" xfId="275" applyFont="1" applyFill="1" applyBorder="1" applyAlignment="1">
      <alignment horizontal="center"/>
    </xf>
    <xf numFmtId="0" fontId="18" fillId="19" borderId="162" xfId="275" applyFont="1" applyFill="1" applyBorder="1"/>
    <xf numFmtId="0" fontId="14" fillId="16" borderId="163" xfId="275" applyFont="1" applyFill="1" applyBorder="1" applyAlignment="1">
      <alignment horizontal="center"/>
    </xf>
    <xf numFmtId="0" fontId="18" fillId="19" borderId="59" xfId="275" applyFont="1" applyFill="1" applyBorder="1"/>
    <xf numFmtId="0" fontId="18" fillId="19" borderId="164" xfId="275" applyFont="1" applyFill="1" applyBorder="1" applyAlignment="1">
      <alignment horizontal="center"/>
    </xf>
    <xf numFmtId="0" fontId="18" fillId="19" borderId="165" xfId="275" applyFont="1" applyFill="1" applyBorder="1"/>
    <xf numFmtId="0" fontId="18" fillId="16" borderId="0" xfId="275" applyFont="1" applyFill="1" applyBorder="1" applyAlignment="1">
      <alignment horizontal="center"/>
    </xf>
    <xf numFmtId="0" fontId="14" fillId="17" borderId="5" xfId="275" applyFont="1" applyFill="1" applyBorder="1" applyAlignment="1">
      <alignment horizontal="left" vertical="top"/>
    </xf>
    <xf numFmtId="0" fontId="14" fillId="16" borderId="0" xfId="275" applyFill="1" applyBorder="1" applyAlignment="1">
      <alignment horizontal="left" vertical="top"/>
    </xf>
    <xf numFmtId="0" fontId="18" fillId="2" borderId="166" xfId="275" applyFont="1" applyFill="1" applyBorder="1" applyAlignment="1">
      <alignment horizontal="center" vertical="center"/>
    </xf>
    <xf numFmtId="0" fontId="18" fillId="19" borderId="167" xfId="275" applyFont="1" applyFill="1" applyBorder="1" applyAlignment="1">
      <alignment horizontal="center"/>
    </xf>
    <xf numFmtId="180" fontId="14" fillId="18" borderId="168" xfId="275" applyNumberFormat="1" applyFill="1" applyBorder="1" applyAlignment="1">
      <alignment horizontal="center"/>
    </xf>
    <xf numFmtId="0" fontId="14" fillId="16" borderId="0" xfId="275" applyFont="1" applyFill="1" applyBorder="1" applyAlignment="1">
      <alignment horizontal="left" vertical="top"/>
    </xf>
    <xf numFmtId="0" fontId="18" fillId="2" borderId="169" xfId="275" applyFont="1" applyFill="1" applyBorder="1" applyAlignment="1">
      <alignment horizontal="center" vertical="center"/>
    </xf>
    <xf numFmtId="0" fontId="14" fillId="16" borderId="170" xfId="275" applyFont="1" applyFill="1" applyBorder="1" applyAlignment="1">
      <alignment horizontal="center"/>
    </xf>
    <xf numFmtId="0" fontId="17" fillId="0" borderId="0" xfId="275" applyFont="1" applyFill="1"/>
    <xf numFmtId="0" fontId="20" fillId="17" borderId="6" xfId="275" applyFont="1" applyFill="1" applyBorder="1" applyAlignment="1">
      <alignment horizontal="center"/>
    </xf>
    <xf numFmtId="0" fontId="18" fillId="19" borderId="127" xfId="275" applyFont="1" applyFill="1" applyBorder="1" applyAlignment="1">
      <alignment horizontal="center" vertical="center"/>
    </xf>
    <xf numFmtId="0" fontId="18" fillId="19" borderId="175" xfId="275" applyFont="1" applyFill="1" applyBorder="1" applyAlignment="1">
      <alignment horizontal="center" vertical="center"/>
    </xf>
    <xf numFmtId="0" fontId="18" fillId="19" borderId="127" xfId="275" applyFont="1" applyFill="1" applyBorder="1"/>
    <xf numFmtId="0" fontId="36" fillId="18" borderId="127" xfId="275" applyFont="1" applyFill="1" applyBorder="1" applyAlignment="1">
      <alignment horizontal="center"/>
    </xf>
    <xf numFmtId="0" fontId="14" fillId="16" borderId="176" xfId="275" applyFont="1" applyFill="1" applyBorder="1" applyAlignment="1">
      <alignment horizontal="center"/>
    </xf>
    <xf numFmtId="0" fontId="14" fillId="16" borderId="177" xfId="275" applyFont="1" applyFill="1" applyBorder="1" applyAlignment="1">
      <alignment horizontal="center"/>
    </xf>
    <xf numFmtId="0" fontId="14" fillId="16" borderId="127" xfId="275" applyFont="1" applyFill="1" applyBorder="1" applyAlignment="1">
      <alignment horizontal="center"/>
    </xf>
    <xf numFmtId="0" fontId="36" fillId="18" borderId="127" xfId="275" applyFont="1" applyFill="1" applyBorder="1" applyAlignment="1">
      <alignment horizontal="right"/>
    </xf>
    <xf numFmtId="0" fontId="18" fillId="2" borderId="126" xfId="275" applyFont="1" applyFill="1" applyBorder="1" applyAlignment="1">
      <alignment horizontal="center"/>
    </xf>
    <xf numFmtId="0" fontId="18" fillId="2" borderId="175" xfId="275" applyFont="1" applyFill="1" applyBorder="1"/>
    <xf numFmtId="0" fontId="36" fillId="18" borderId="176" xfId="275" applyFont="1" applyFill="1" applyBorder="1" applyAlignment="1">
      <alignment horizontal="center"/>
    </xf>
    <xf numFmtId="0" fontId="18" fillId="2" borderId="127" xfId="275" applyFont="1" applyFill="1" applyBorder="1"/>
    <xf numFmtId="0" fontId="18" fillId="2" borderId="128" xfId="275" applyFont="1" applyFill="1" applyBorder="1" applyAlignment="1">
      <alignment horizontal="center"/>
    </xf>
    <xf numFmtId="0" fontId="18" fillId="2" borderId="129" xfId="275" applyFont="1" applyFill="1" applyBorder="1"/>
    <xf numFmtId="0" fontId="14" fillId="0" borderId="0" xfId="275" applyFont="1" applyFill="1" applyBorder="1" applyAlignment="1">
      <alignment horizontal="center"/>
    </xf>
    <xf numFmtId="10" fontId="39" fillId="0" borderId="0" xfId="275" applyNumberFormat="1" applyFont="1" applyFill="1" applyBorder="1" applyAlignment="1">
      <alignment horizontal="center"/>
    </xf>
    <xf numFmtId="180" fontId="26" fillId="34" borderId="1" xfId="0" applyNumberFormat="1" applyFont="1" applyFill="1" applyBorder="1" applyAlignment="1">
      <alignment horizontal="center" vertical="center" wrapText="1"/>
    </xf>
    <xf numFmtId="0" fontId="40" fillId="19" borderId="1" xfId="275" applyFont="1" applyFill="1" applyBorder="1" applyAlignment="1">
      <alignment vertical="center"/>
    </xf>
    <xf numFmtId="0" fontId="36" fillId="18" borderId="1" xfId="275" applyFont="1" applyFill="1" applyBorder="1" applyAlignment="1">
      <alignment horizontal="center"/>
    </xf>
    <xf numFmtId="0" fontId="41" fillId="16" borderId="0" xfId="275" applyFont="1" applyFill="1"/>
    <xf numFmtId="0" fontId="18" fillId="19" borderId="176" xfId="275" applyFont="1" applyFill="1" applyBorder="1" applyAlignment="1">
      <alignment horizontal="center" vertical="center"/>
    </xf>
    <xf numFmtId="0" fontId="19" fillId="11" borderId="127" xfId="109" applyFont="1" applyFill="1" applyBorder="1" applyAlignment="1">
      <alignment horizontal="center" vertical="center" wrapText="1"/>
    </xf>
    <xf numFmtId="187" fontId="36" fillId="18" borderId="184" xfId="275" applyNumberFormat="1" applyFont="1" applyFill="1" applyBorder="1" applyAlignment="1">
      <alignment horizontal="center"/>
    </xf>
    <xf numFmtId="9" fontId="39" fillId="18" borderId="183" xfId="275" applyNumberFormat="1" applyFont="1" applyFill="1" applyBorder="1" applyAlignment="1">
      <alignment horizontal="center"/>
    </xf>
    <xf numFmtId="0" fontId="36" fillId="18" borderId="176" xfId="275" applyFont="1" applyFill="1" applyBorder="1" applyAlignment="1">
      <alignment horizontal="right"/>
    </xf>
    <xf numFmtId="0" fontId="36" fillId="18" borderId="127" xfId="275" applyFont="1" applyFill="1" applyBorder="1"/>
    <xf numFmtId="0" fontId="36" fillId="18" borderId="176" xfId="275" applyFont="1" applyFill="1" applyBorder="1"/>
    <xf numFmtId="9" fontId="39" fillId="18" borderId="185" xfId="275" applyNumberFormat="1" applyFont="1" applyFill="1" applyBorder="1" applyAlignment="1">
      <alignment horizontal="center"/>
    </xf>
    <xf numFmtId="10" fontId="39" fillId="18" borderId="187" xfId="275" applyNumberFormat="1" applyFont="1" applyFill="1" applyBorder="1" applyAlignment="1"/>
    <xf numFmtId="10" fontId="14" fillId="16" borderId="0" xfId="275" applyNumberFormat="1" applyFont="1" applyFill="1"/>
    <xf numFmtId="0" fontId="36" fillId="18" borderId="10" xfId="275" applyFont="1" applyFill="1" applyBorder="1" applyAlignment="1">
      <alignment horizontal="center"/>
    </xf>
    <xf numFmtId="0" fontId="40" fillId="19" borderId="199" xfId="275" applyFont="1" applyFill="1" applyBorder="1" applyAlignment="1">
      <alignment horizontal="center" vertical="center"/>
    </xf>
    <xf numFmtId="9" fontId="26" fillId="0" borderId="200" xfId="275" applyNumberFormat="1" applyFont="1" applyFill="1" applyBorder="1" applyAlignment="1">
      <alignment horizontal="center" vertical="center"/>
    </xf>
    <xf numFmtId="0" fontId="26" fillId="0" borderId="0" xfId="275" applyFont="1" applyFill="1" applyBorder="1" applyAlignment="1">
      <alignment horizontal="center" vertical="center"/>
    </xf>
    <xf numFmtId="9" fontId="26" fillId="0" borderId="0" xfId="275" applyNumberFormat="1" applyFont="1" applyFill="1" applyBorder="1" applyAlignment="1">
      <alignment horizontal="center" vertical="center"/>
    </xf>
    <xf numFmtId="0" fontId="14" fillId="0" borderId="5" xfId="275" applyFont="1" applyBorder="1" applyAlignment="1">
      <alignment vertical="center"/>
    </xf>
    <xf numFmtId="0" fontId="14" fillId="0" borderId="7" xfId="275" applyFont="1" applyBorder="1" applyAlignment="1">
      <alignment vertical="center"/>
    </xf>
    <xf numFmtId="0" fontId="14" fillId="17" borderId="6" xfId="275" applyFont="1" applyFill="1" applyBorder="1" applyAlignment="1">
      <alignment horizontal="left" vertical="center"/>
    </xf>
    <xf numFmtId="0" fontId="14" fillId="0" borderId="0" xfId="275" applyFont="1" applyBorder="1" applyAlignment="1">
      <alignment horizontal="left" vertical="center"/>
    </xf>
    <xf numFmtId="0" fontId="14" fillId="0" borderId="204" xfId="275" applyBorder="1"/>
    <xf numFmtId="58" fontId="18" fillId="19" borderId="4" xfId="275" applyNumberFormat="1" applyFont="1" applyFill="1" applyBorder="1" applyAlignment="1">
      <alignment horizontal="center" vertical="center" wrapText="1"/>
    </xf>
    <xf numFmtId="0" fontId="14" fillId="0" borderId="4" xfId="275" applyBorder="1" applyAlignment="1">
      <alignment horizontal="center" vertical="center"/>
    </xf>
    <xf numFmtId="0" fontId="26" fillId="18" borderId="4" xfId="275" applyFont="1" applyFill="1" applyBorder="1" applyAlignment="1">
      <alignment horizontal="center" vertical="center"/>
    </xf>
    <xf numFmtId="0" fontId="26" fillId="18" borderId="211" xfId="275" applyFont="1" applyFill="1" applyBorder="1" applyAlignment="1">
      <alignment horizontal="center" vertical="center"/>
    </xf>
    <xf numFmtId="0" fontId="18" fillId="19" borderId="73" xfId="275" applyFont="1" applyFill="1" applyBorder="1" applyAlignment="1">
      <alignment horizontal="center" vertical="center"/>
    </xf>
    <xf numFmtId="0" fontId="26" fillId="18" borderId="215" xfId="275" applyFont="1" applyFill="1" applyBorder="1" applyAlignment="1">
      <alignment horizontal="center" vertical="center"/>
    </xf>
    <xf numFmtId="0" fontId="26" fillId="18" borderId="216" xfId="275" applyFont="1" applyFill="1" applyBorder="1" applyAlignment="1">
      <alignment horizontal="center" vertical="center"/>
    </xf>
    <xf numFmtId="0" fontId="26" fillId="18" borderId="217" xfId="275" applyFont="1" applyFill="1" applyBorder="1" applyAlignment="1">
      <alignment horizontal="center" vertical="center"/>
    </xf>
    <xf numFmtId="0" fontId="26" fillId="18" borderId="73" xfId="275" applyFont="1" applyFill="1" applyBorder="1" applyAlignment="1">
      <alignment horizontal="center" vertical="center"/>
    </xf>
    <xf numFmtId="0" fontId="14" fillId="17" borderId="5" xfId="275" applyFont="1" applyFill="1" applyBorder="1" applyAlignment="1"/>
    <xf numFmtId="0" fontId="14" fillId="17" borderId="4" xfId="275" applyFont="1" applyFill="1" applyBorder="1" applyAlignment="1"/>
    <xf numFmtId="0" fontId="14" fillId="16" borderId="218" xfId="275" applyFont="1" applyFill="1" applyBorder="1" applyAlignment="1"/>
    <xf numFmtId="0" fontId="14" fillId="16" borderId="0" xfId="275" applyFont="1" applyFill="1" applyAlignment="1"/>
    <xf numFmtId="0" fontId="42" fillId="0" borderId="202" xfId="275" applyFont="1" applyBorder="1" applyAlignment="1">
      <alignment vertical="center"/>
    </xf>
    <xf numFmtId="0" fontId="42" fillId="0" borderId="0" xfId="275" applyFont="1" applyBorder="1" applyAlignment="1">
      <alignment vertical="center"/>
    </xf>
    <xf numFmtId="0" fontId="14" fillId="0" borderId="6" xfId="275" applyFont="1" applyBorder="1" applyAlignment="1">
      <alignment vertical="center"/>
    </xf>
    <xf numFmtId="0" fontId="14" fillId="0" borderId="0" xfId="275" applyFont="1" applyBorder="1" applyAlignment="1">
      <alignment vertical="center"/>
    </xf>
    <xf numFmtId="0" fontId="14" fillId="0" borderId="221" xfId="275" applyFont="1" applyBorder="1" applyAlignment="1">
      <alignment horizontal="left" vertical="center"/>
    </xf>
    <xf numFmtId="0" fontId="14" fillId="0" borderId="222" xfId="275" applyBorder="1"/>
    <xf numFmtId="187" fontId="26" fillId="18" borderId="68" xfId="275" applyNumberFormat="1" applyFont="1" applyFill="1" applyBorder="1" applyAlignment="1">
      <alignment horizontal="center" vertical="center"/>
    </xf>
    <xf numFmtId="187" fontId="26" fillId="18" borderId="225" xfId="275" applyNumberFormat="1" applyFont="1" applyFill="1" applyBorder="1" applyAlignment="1">
      <alignment horizontal="center" vertical="center"/>
    </xf>
    <xf numFmtId="0" fontId="12" fillId="0" borderId="0" xfId="272" applyAlignment="1">
      <alignment horizontal="center" vertical="center"/>
    </xf>
    <xf numFmtId="0" fontId="12" fillId="0" borderId="0" xfId="272" applyAlignment="1">
      <alignment vertical="center"/>
    </xf>
    <xf numFmtId="0" fontId="45" fillId="35" borderId="229" xfId="272" applyFont="1" applyFill="1" applyBorder="1" applyAlignment="1">
      <alignment horizontal="center" vertical="center" wrapText="1"/>
    </xf>
    <xf numFmtId="0" fontId="46" fillId="36" borderId="230" xfId="272" applyFont="1" applyFill="1" applyBorder="1" applyAlignment="1">
      <alignment horizontal="center" vertical="center" wrapText="1"/>
    </xf>
    <xf numFmtId="180" fontId="46" fillId="37" borderId="230" xfId="272" applyNumberFormat="1" applyFont="1" applyFill="1" applyBorder="1" applyAlignment="1">
      <alignment horizontal="center" vertical="center" wrapText="1"/>
    </xf>
    <xf numFmtId="196" fontId="46" fillId="37" borderId="230" xfId="272" applyNumberFormat="1" applyFont="1" applyFill="1" applyBorder="1" applyAlignment="1">
      <alignment horizontal="center" vertical="center" wrapText="1"/>
    </xf>
    <xf numFmtId="0" fontId="46" fillId="38" borderId="230" xfId="272" applyFont="1" applyFill="1" applyBorder="1" applyAlignment="1">
      <alignment horizontal="center" vertical="top" wrapText="1"/>
    </xf>
    <xf numFmtId="0" fontId="46" fillId="38" borderId="230" xfId="272" applyFont="1" applyFill="1" applyBorder="1" applyAlignment="1">
      <alignment horizontal="center" vertical="center" wrapText="1"/>
    </xf>
    <xf numFmtId="180" fontId="46" fillId="39" borderId="230" xfId="272" applyNumberFormat="1" applyFont="1" applyFill="1" applyBorder="1" applyAlignment="1">
      <alignment horizontal="center" vertical="center" wrapText="1"/>
    </xf>
    <xf numFmtId="196" fontId="46" fillId="39" borderId="230" xfId="272" applyNumberFormat="1" applyFont="1" applyFill="1" applyBorder="1" applyAlignment="1">
      <alignment horizontal="center" vertical="center" wrapText="1"/>
    </xf>
    <xf numFmtId="0" fontId="45" fillId="35" borderId="230" xfId="272" applyFont="1" applyFill="1" applyBorder="1" applyAlignment="1">
      <alignment horizontal="center" vertical="center" wrapText="1"/>
    </xf>
    <xf numFmtId="0" fontId="47" fillId="40" borderId="235" xfId="272" applyFont="1" applyFill="1" applyBorder="1" applyAlignment="1">
      <alignment horizontal="center" vertical="center" wrapText="1"/>
    </xf>
    <xf numFmtId="0" fontId="45" fillId="35" borderId="0" xfId="272" applyFont="1" applyFill="1" applyBorder="1" applyAlignment="1">
      <alignment horizontal="center" vertical="center" wrapText="1"/>
    </xf>
    <xf numFmtId="0" fontId="45" fillId="41" borderId="229" xfId="275" applyFont="1" applyFill="1" applyBorder="1" applyAlignment="1">
      <alignment horizontal="center" vertical="center" wrapText="1"/>
    </xf>
    <xf numFmtId="180" fontId="46" fillId="39" borderId="230" xfId="275" applyNumberFormat="1" applyFont="1" applyFill="1" applyBorder="1" applyAlignment="1">
      <alignment horizontal="center" vertical="center" wrapText="1"/>
    </xf>
    <xf numFmtId="10" fontId="46" fillId="36" borderId="230" xfId="272" applyNumberFormat="1" applyFont="1" applyFill="1" applyBorder="1" applyAlignment="1">
      <alignment horizontal="center" vertical="center" wrapText="1"/>
    </xf>
    <xf numFmtId="0" fontId="43" fillId="35" borderId="232" xfId="272" applyFont="1" applyFill="1" applyBorder="1" applyAlignment="1">
      <alignment vertical="center" wrapText="1"/>
    </xf>
    <xf numFmtId="0" fontId="45" fillId="35" borderId="242" xfId="272" applyFont="1" applyFill="1" applyBorder="1" applyAlignment="1">
      <alignment horizontal="center" vertical="center" wrapText="1"/>
    </xf>
    <xf numFmtId="10" fontId="46" fillId="37" borderId="230" xfId="272" applyNumberFormat="1" applyFont="1" applyFill="1" applyBorder="1" applyAlignment="1">
      <alignment horizontal="center" vertical="center" wrapText="1"/>
    </xf>
    <xf numFmtId="188" fontId="46" fillId="37" borderId="230" xfId="272" applyNumberFormat="1" applyFont="1" applyFill="1" applyBorder="1" applyAlignment="1">
      <alignment horizontal="center" vertical="center" wrapText="1"/>
    </xf>
    <xf numFmtId="188" fontId="49" fillId="37" borderId="230" xfId="272" applyNumberFormat="1" applyFont="1" applyFill="1" applyBorder="1" applyAlignment="1">
      <alignment horizontal="left" vertical="center" wrapText="1"/>
    </xf>
    <xf numFmtId="10" fontId="46" fillId="39" borderId="230" xfId="272" applyNumberFormat="1" applyFont="1" applyFill="1" applyBorder="1" applyAlignment="1">
      <alignment horizontal="center" vertical="center" wrapText="1"/>
    </xf>
    <xf numFmtId="196" fontId="49" fillId="39" borderId="230" xfId="272" applyNumberFormat="1" applyFont="1" applyFill="1" applyBorder="1" applyAlignment="1">
      <alignment horizontal="left" vertical="center" wrapText="1"/>
    </xf>
    <xf numFmtId="0" fontId="13" fillId="0" borderId="0" xfId="109">
      <alignment vertical="center"/>
    </xf>
    <xf numFmtId="0" fontId="50" fillId="42" borderId="0" xfId="109" applyFont="1" applyFill="1">
      <alignment vertical="center"/>
    </xf>
    <xf numFmtId="0" fontId="51" fillId="42" borderId="0" xfId="109" applyFont="1" applyFill="1">
      <alignment vertical="center"/>
    </xf>
    <xf numFmtId="0" fontId="52" fillId="2" borderId="0" xfId="187" applyFont="1" applyFill="1" applyAlignment="1">
      <alignment vertical="center"/>
    </xf>
    <xf numFmtId="0" fontId="55" fillId="0" borderId="0" xfId="109" applyFont="1" applyBorder="1" applyAlignment="1">
      <alignment horizontal="left" vertical="center" wrapText="1"/>
    </xf>
    <xf numFmtId="0" fontId="56" fillId="0" borderId="0" xfId="187" applyFont="1" applyAlignment="1">
      <alignment vertical="center"/>
    </xf>
    <xf numFmtId="0" fontId="1" fillId="0" borderId="0" xfId="187" applyFont="1" applyAlignment="1">
      <alignment vertical="center"/>
    </xf>
    <xf numFmtId="0" fontId="0" fillId="0" borderId="0" xfId="109" applyFont="1" applyAlignment="1"/>
    <xf numFmtId="0" fontId="3" fillId="45" borderId="245" xfId="187" applyFont="1" applyFill="1" applyBorder="1"/>
    <xf numFmtId="0" fontId="1" fillId="36" borderId="251" xfId="187" applyFont="1" applyFill="1" applyBorder="1" applyAlignment="1">
      <alignment horizontal="left"/>
    </xf>
    <xf numFmtId="183" fontId="1" fillId="31" borderId="6" xfId="187" applyNumberFormat="1" applyFont="1" applyFill="1" applyBorder="1" applyAlignment="1">
      <alignment horizontal="center"/>
    </xf>
    <xf numFmtId="183" fontId="1" fillId="37" borderId="252" xfId="187" applyNumberFormat="1" applyFont="1" applyFill="1" applyBorder="1" applyAlignment="1">
      <alignment horizontal="center"/>
    </xf>
    <xf numFmtId="183" fontId="1" fillId="46" borderId="253" xfId="187" applyNumberFormat="1" applyFont="1" applyFill="1" applyBorder="1" applyAlignment="1"/>
    <xf numFmtId="183" fontId="1" fillId="37" borderId="254" xfId="187" applyNumberFormat="1" applyFont="1" applyFill="1" applyBorder="1" applyAlignment="1"/>
    <xf numFmtId="183" fontId="1" fillId="31" borderId="255" xfId="187" applyNumberFormat="1" applyFont="1" applyFill="1" applyBorder="1" applyAlignment="1">
      <alignment horizontal="center"/>
    </xf>
    <xf numFmtId="183" fontId="1" fillId="37" borderId="16" xfId="187" applyNumberFormat="1" applyFont="1" applyFill="1" applyBorder="1" applyAlignment="1">
      <alignment horizontal="center"/>
    </xf>
    <xf numFmtId="183" fontId="1" fillId="46" borderId="255" xfId="187" applyNumberFormat="1" applyFont="1" applyFill="1" applyBorder="1" applyAlignment="1">
      <alignment horizontal="center"/>
    </xf>
    <xf numFmtId="0" fontId="1" fillId="0" borderId="247" xfId="187" applyFont="1" applyFill="1" applyBorder="1"/>
    <xf numFmtId="0" fontId="1" fillId="0" borderId="248" xfId="187" applyFont="1" applyFill="1" applyBorder="1"/>
    <xf numFmtId="0" fontId="60" fillId="0" borderId="0" xfId="275" applyFont="1" applyAlignment="1"/>
    <xf numFmtId="0" fontId="3" fillId="45" borderId="244" xfId="187" applyFont="1" applyFill="1" applyBorder="1"/>
    <xf numFmtId="183" fontId="1" fillId="31" borderId="257" xfId="187" applyNumberFormat="1" applyFont="1" applyFill="1" applyBorder="1" applyAlignment="1">
      <alignment horizontal="center"/>
    </xf>
    <xf numFmtId="0" fontId="1" fillId="0" borderId="258" xfId="187" applyFont="1" applyFill="1" applyBorder="1"/>
    <xf numFmtId="0" fontId="1" fillId="0" borderId="0" xfId="187" applyFont="1" applyFill="1" applyBorder="1"/>
    <xf numFmtId="0" fontId="1" fillId="36" borderId="114" xfId="187" applyFont="1" applyFill="1" applyBorder="1" applyAlignment="1">
      <alignment horizontal="left"/>
    </xf>
    <xf numFmtId="183" fontId="1" fillId="46" borderId="6" xfId="187" applyNumberFormat="1" applyFont="1" applyFill="1" applyBorder="1" applyAlignment="1">
      <alignment horizontal="center"/>
    </xf>
    <xf numFmtId="183" fontId="1" fillId="31" borderId="219" xfId="187" applyNumberFormat="1" applyFont="1" applyFill="1" applyBorder="1" applyAlignment="1">
      <alignment horizontal="center"/>
    </xf>
    <xf numFmtId="183" fontId="1" fillId="37" borderId="254" xfId="187" applyNumberFormat="1" applyFont="1" applyFill="1" applyBorder="1" applyAlignment="1">
      <alignment horizontal="center"/>
    </xf>
    <xf numFmtId="0" fontId="57" fillId="0" borderId="258" xfId="187" applyFont="1" applyFill="1" applyBorder="1"/>
    <xf numFmtId="0" fontId="1" fillId="36" borderId="251" xfId="187" applyFont="1" applyFill="1" applyBorder="1" applyAlignment="1"/>
    <xf numFmtId="0" fontId="3" fillId="45" borderId="251" xfId="187" applyFont="1" applyFill="1" applyBorder="1"/>
    <xf numFmtId="0" fontId="13" fillId="0" borderId="201" xfId="109" applyBorder="1">
      <alignment vertical="center"/>
    </xf>
    <xf numFmtId="0" fontId="61" fillId="0" borderId="202" xfId="109" applyFont="1" applyBorder="1">
      <alignment vertical="center"/>
    </xf>
    <xf numFmtId="0" fontId="13" fillId="0" borderId="202" xfId="109" applyFont="1" applyBorder="1">
      <alignment vertical="center"/>
    </xf>
    <xf numFmtId="0" fontId="13" fillId="0" borderId="202" xfId="109" applyBorder="1">
      <alignment vertical="center"/>
    </xf>
    <xf numFmtId="0" fontId="13" fillId="0" borderId="218" xfId="109" applyFont="1" applyBorder="1">
      <alignment vertical="center"/>
    </xf>
    <xf numFmtId="0" fontId="62" fillId="0" borderId="0" xfId="109" applyFont="1" applyBorder="1">
      <alignment vertical="center"/>
    </xf>
    <xf numFmtId="0" fontId="13" fillId="0" borderId="0" xfId="109" applyFont="1" applyBorder="1">
      <alignment vertical="center"/>
    </xf>
    <xf numFmtId="0" fontId="13" fillId="0" borderId="0" xfId="109" applyBorder="1">
      <alignment vertical="center"/>
    </xf>
    <xf numFmtId="0" fontId="13" fillId="0" borderId="218" xfId="109" applyBorder="1">
      <alignment vertical="center"/>
    </xf>
    <xf numFmtId="0" fontId="51" fillId="0" borderId="0" xfId="109" applyFont="1" applyBorder="1">
      <alignment vertical="center"/>
    </xf>
    <xf numFmtId="0" fontId="13" fillId="0" borderId="203" xfId="109" applyBorder="1">
      <alignment vertical="center"/>
    </xf>
    <xf numFmtId="0" fontId="63" fillId="0" borderId="30" xfId="109" applyFont="1" applyBorder="1">
      <alignment vertical="center"/>
    </xf>
    <xf numFmtId="0" fontId="13" fillId="0" borderId="30" xfId="109" applyFont="1" applyFill="1" applyBorder="1">
      <alignment vertical="center"/>
    </xf>
    <xf numFmtId="0" fontId="13" fillId="0" borderId="30" xfId="109" applyBorder="1">
      <alignment vertical="center"/>
    </xf>
    <xf numFmtId="0" fontId="1" fillId="36" borderId="249" xfId="187" applyFont="1" applyFill="1" applyBorder="1" applyAlignment="1"/>
    <xf numFmtId="0" fontId="1" fillId="36" borderId="250" xfId="187" applyFont="1" applyFill="1" applyBorder="1" applyAlignment="1"/>
    <xf numFmtId="183" fontId="1" fillId="0" borderId="257" xfId="187" applyNumberFormat="1" applyFont="1" applyFill="1" applyBorder="1" applyAlignment="1">
      <alignment horizontal="center"/>
    </xf>
    <xf numFmtId="0" fontId="1" fillId="0" borderId="252" xfId="187" applyFont="1" applyFill="1" applyBorder="1"/>
    <xf numFmtId="183" fontId="1" fillId="0" borderId="253" xfId="187" applyNumberFormat="1" applyFont="1" applyFill="1" applyBorder="1" applyAlignment="1">
      <alignment horizontal="center"/>
    </xf>
    <xf numFmtId="0" fontId="1" fillId="0" borderId="254" xfId="187" applyFont="1" applyFill="1" applyBorder="1"/>
    <xf numFmtId="183" fontId="1" fillId="46" borderId="261" xfId="187" applyNumberFormat="1" applyFont="1" applyFill="1" applyBorder="1" applyAlignment="1"/>
    <xf numFmtId="183" fontId="1" fillId="37" borderId="262" xfId="187" applyNumberFormat="1" applyFont="1" applyFill="1" applyBorder="1" applyAlignment="1"/>
    <xf numFmtId="0" fontId="1" fillId="0" borderId="116" xfId="187" applyFont="1" applyFill="1" applyBorder="1"/>
    <xf numFmtId="0" fontId="1" fillId="0" borderId="248" xfId="187" applyFont="1" applyFill="1" applyBorder="1" applyAlignment="1">
      <alignment horizontal="left"/>
    </xf>
    <xf numFmtId="0" fontId="1" fillId="0" borderId="116" xfId="187" applyFont="1" applyFill="1" applyBorder="1" applyAlignment="1">
      <alignment horizontal="left"/>
    </xf>
    <xf numFmtId="183" fontId="1" fillId="46" borderId="219" xfId="187" applyNumberFormat="1" applyFont="1" applyFill="1" applyBorder="1" applyAlignment="1">
      <alignment horizontal="center"/>
    </xf>
    <xf numFmtId="183" fontId="1" fillId="0" borderId="14" xfId="187" applyNumberFormat="1" applyFont="1" applyFill="1" applyBorder="1" applyAlignment="1">
      <alignment horizontal="center"/>
    </xf>
    <xf numFmtId="0" fontId="1" fillId="0" borderId="16" xfId="187" applyFont="1" applyFill="1" applyBorder="1"/>
    <xf numFmtId="0" fontId="1" fillId="0" borderId="263" xfId="187" applyFont="1" applyFill="1" applyBorder="1"/>
    <xf numFmtId="0" fontId="13" fillId="0" borderId="219" xfId="109" applyBorder="1">
      <alignment vertical="center"/>
    </xf>
    <xf numFmtId="0" fontId="13" fillId="0" borderId="221" xfId="109" applyBorder="1">
      <alignment vertical="center"/>
    </xf>
    <xf numFmtId="0" fontId="13" fillId="0" borderId="220" xfId="109" applyBorder="1">
      <alignment vertical="center"/>
    </xf>
    <xf numFmtId="0" fontId="59" fillId="35" borderId="245" xfId="187" applyFont="1" applyFill="1" applyBorder="1" applyAlignment="1">
      <alignment horizontal="center" vertical="center"/>
    </xf>
    <xf numFmtId="0" fontId="59" fillId="35" borderId="117" xfId="187" applyFont="1" applyFill="1" applyBorder="1" applyAlignment="1">
      <alignment horizontal="center" vertical="center"/>
    </xf>
    <xf numFmtId="180" fontId="1" fillId="0" borderId="14" xfId="187" applyNumberFormat="1" applyFont="1" applyFill="1" applyBorder="1" applyAlignment="1">
      <alignment horizontal="center" vertical="center"/>
    </xf>
    <xf numFmtId="180" fontId="1" fillId="0" borderId="16" xfId="187" applyNumberFormat="1" applyFont="1" applyFill="1" applyBorder="1" applyAlignment="1">
      <alignment horizontal="center" vertical="center"/>
    </xf>
    <xf numFmtId="180" fontId="1" fillId="0" borderId="264" xfId="187" applyNumberFormat="1" applyFont="1" applyFill="1" applyBorder="1" applyAlignment="1">
      <alignment horizontal="center" vertical="center"/>
    </xf>
    <xf numFmtId="0" fontId="3" fillId="45" borderId="258" xfId="187" applyFont="1" applyFill="1" applyBorder="1" applyAlignment="1">
      <alignment horizontal="left" vertical="center"/>
    </xf>
    <xf numFmtId="0" fontId="1" fillId="45" borderId="246" xfId="187" applyFont="1" applyFill="1" applyBorder="1" applyAlignment="1">
      <alignment horizontal="center" vertical="center"/>
    </xf>
    <xf numFmtId="180" fontId="1" fillId="0" borderId="261" xfId="187" applyNumberFormat="1" applyFont="1" applyFill="1" applyBorder="1" applyAlignment="1">
      <alignment horizontal="center" vertical="center"/>
    </xf>
    <xf numFmtId="180" fontId="1" fillId="0" borderId="262" xfId="187" applyNumberFormat="1" applyFont="1" applyFill="1" applyBorder="1" applyAlignment="1">
      <alignment horizontal="center" vertical="center"/>
    </xf>
    <xf numFmtId="180" fontId="1" fillId="0" borderId="0" xfId="187" applyNumberFormat="1" applyFont="1" applyFill="1" applyBorder="1" applyAlignment="1">
      <alignment horizontal="center" vertical="center"/>
    </xf>
    <xf numFmtId="0" fontId="1" fillId="36" borderId="249" xfId="187" applyFont="1" applyFill="1" applyBorder="1" applyAlignment="1">
      <alignment vertical="center"/>
    </xf>
    <xf numFmtId="0" fontId="1" fillId="33" borderId="265" xfId="187" applyFont="1" applyFill="1" applyBorder="1" applyAlignment="1">
      <alignment horizontal="center" vertical="center"/>
    </xf>
    <xf numFmtId="183" fontId="1" fillId="37" borderId="11" xfId="187" applyNumberFormat="1" applyFont="1" applyFill="1" applyBorder="1" applyAlignment="1">
      <alignment horizontal="center" vertical="center"/>
    </xf>
    <xf numFmtId="183" fontId="1" fillId="39" borderId="13" xfId="187" applyNumberFormat="1" applyFont="1" applyFill="1" applyBorder="1" applyAlignment="1">
      <alignment horizontal="center" vertical="center"/>
    </xf>
    <xf numFmtId="0" fontId="1" fillId="36" borderId="266" xfId="187" applyFont="1" applyFill="1" applyBorder="1" applyAlignment="1">
      <alignment vertical="center"/>
    </xf>
    <xf numFmtId="0" fontId="1" fillId="33" borderId="267" xfId="187" applyFont="1" applyFill="1" applyBorder="1" applyAlignment="1">
      <alignment horizontal="center" vertical="center"/>
    </xf>
    <xf numFmtId="183" fontId="1" fillId="37" borderId="257" xfId="187" applyNumberFormat="1" applyFont="1" applyFill="1" applyBorder="1" applyAlignment="1">
      <alignment horizontal="center" vertical="center"/>
    </xf>
    <xf numFmtId="183" fontId="1" fillId="39" borderId="252" xfId="187" applyNumberFormat="1" applyFont="1" applyFill="1" applyBorder="1" applyAlignment="1">
      <alignment horizontal="center" vertical="center"/>
    </xf>
    <xf numFmtId="183" fontId="1" fillId="37" borderId="14" xfId="187" applyNumberFormat="1" applyFont="1" applyFill="1" applyBorder="1" applyAlignment="1">
      <alignment horizontal="center" vertical="center"/>
    </xf>
    <xf numFmtId="183" fontId="1" fillId="39" borderId="16" xfId="187" applyNumberFormat="1" applyFont="1" applyFill="1" applyBorder="1" applyAlignment="1">
      <alignment horizontal="center" vertical="center"/>
    </xf>
    <xf numFmtId="0" fontId="1" fillId="0" borderId="0" xfId="187" applyFont="1" applyFill="1"/>
    <xf numFmtId="0" fontId="13" fillId="0" borderId="0" xfId="109" applyFont="1" applyAlignment="1">
      <alignment vertical="top" wrapText="1"/>
    </xf>
    <xf numFmtId="0" fontId="59" fillId="35" borderId="260" xfId="187" applyFont="1" applyFill="1" applyBorder="1" applyAlignment="1">
      <alignment horizontal="center" vertical="center"/>
    </xf>
    <xf numFmtId="0" fontId="64" fillId="0" borderId="244" xfId="187" applyFont="1" applyBorder="1" applyAlignment="1">
      <alignment vertical="center" wrapText="1"/>
    </xf>
    <xf numFmtId="0" fontId="64" fillId="0" borderId="246" xfId="187" applyFont="1" applyBorder="1" applyAlignment="1">
      <alignment vertical="center" wrapText="1"/>
    </xf>
    <xf numFmtId="0" fontId="64" fillId="0" borderId="246" xfId="187" applyFont="1" applyBorder="1" applyAlignment="1">
      <alignment vertical="center"/>
    </xf>
    <xf numFmtId="180" fontId="1" fillId="0" borderId="260" xfId="187" applyNumberFormat="1" applyFont="1" applyFill="1" applyBorder="1" applyAlignment="1">
      <alignment horizontal="center" vertical="center"/>
    </xf>
    <xf numFmtId="180" fontId="1" fillId="0" borderId="221" xfId="187" applyNumberFormat="1" applyFont="1" applyFill="1" applyBorder="1" applyAlignment="1">
      <alignment horizontal="center" vertical="center"/>
    </xf>
    <xf numFmtId="0" fontId="64" fillId="0" borderId="114" xfId="187" applyFont="1" applyBorder="1" applyAlignment="1">
      <alignment vertical="center"/>
    </xf>
    <xf numFmtId="0" fontId="1" fillId="36" borderId="251" xfId="187" applyFont="1" applyFill="1" applyBorder="1" applyAlignment="1">
      <alignment horizontal="center"/>
    </xf>
    <xf numFmtId="183" fontId="1" fillId="17" borderId="251" xfId="187" applyNumberFormat="1" applyFont="1" applyFill="1" applyBorder="1" applyAlignment="1">
      <alignment horizontal="center"/>
    </xf>
    <xf numFmtId="183" fontId="1" fillId="17" borderId="251" xfId="187" applyNumberFormat="1" applyFont="1" applyFill="1" applyBorder="1"/>
    <xf numFmtId="180" fontId="1" fillId="17" borderId="251" xfId="187" applyNumberFormat="1" applyFont="1" applyFill="1" applyBorder="1"/>
    <xf numFmtId="183" fontId="1" fillId="0" borderId="0" xfId="187" applyNumberFormat="1" applyFont="1" applyFill="1" applyBorder="1" applyAlignment="1">
      <alignment horizontal="center"/>
    </xf>
    <xf numFmtId="183" fontId="1" fillId="0" borderId="0" xfId="187" applyNumberFormat="1" applyFont="1" applyFill="1" applyBorder="1"/>
    <xf numFmtId="0" fontId="1" fillId="0" borderId="0" xfId="187" applyFont="1" applyFill="1" applyAlignment="1">
      <alignment vertical="center"/>
    </xf>
    <xf numFmtId="0" fontId="57" fillId="0" borderId="0" xfId="187" applyFont="1" applyAlignment="1">
      <alignment vertical="center"/>
    </xf>
    <xf numFmtId="0" fontId="2" fillId="0" borderId="1" xfId="109" applyFont="1" applyBorder="1" applyAlignment="1">
      <alignment vertical="center"/>
    </xf>
    <xf numFmtId="0" fontId="1" fillId="0" borderId="1" xfId="109" applyFont="1" applyBorder="1" applyAlignment="1">
      <alignment horizontal="left" vertical="center"/>
    </xf>
    <xf numFmtId="0" fontId="65" fillId="0" borderId="1" xfId="109" applyFont="1" applyFill="1" applyBorder="1" applyAlignment="1">
      <alignment vertical="center"/>
    </xf>
    <xf numFmtId="0" fontId="65" fillId="0" borderId="1" xfId="109" applyFont="1" applyBorder="1" applyAlignment="1">
      <alignment vertical="center"/>
    </xf>
    <xf numFmtId="0" fontId="65" fillId="0" borderId="1" xfId="109" applyFont="1" applyBorder="1" applyAlignment="1">
      <alignment horizontal="center" vertical="center"/>
    </xf>
    <xf numFmtId="0" fontId="65" fillId="0" borderId="1" xfId="109" applyFont="1" applyBorder="1" applyAlignment="1">
      <alignment horizontal="center" vertical="center" wrapText="1"/>
    </xf>
    <xf numFmtId="0" fontId="65" fillId="0" borderId="1" xfId="109" applyFont="1" applyBorder="1" applyAlignment="1">
      <alignment horizontal="left" vertical="top"/>
    </xf>
    <xf numFmtId="0" fontId="2" fillId="0" borderId="3" xfId="109" applyFont="1" applyBorder="1" applyAlignment="1">
      <alignment vertical="center"/>
    </xf>
    <xf numFmtId="0" fontId="59" fillId="12" borderId="269" xfId="131" applyFont="1" applyFill="1" applyBorder="1" applyAlignment="1">
      <alignment vertical="center" wrapText="1"/>
    </xf>
    <xf numFmtId="0" fontId="67" fillId="8" borderId="271" xfId="275" applyFont="1" applyFill="1" applyBorder="1" applyAlignment="1">
      <alignment horizontal="left" vertical="center"/>
    </xf>
    <xf numFmtId="0" fontId="67" fillId="8" borderId="271" xfId="275" applyFont="1" applyFill="1" applyBorder="1" applyAlignment="1">
      <alignment vertical="center"/>
    </xf>
    <xf numFmtId="0" fontId="67" fillId="8" borderId="273" xfId="275" applyFont="1" applyFill="1" applyBorder="1" applyAlignment="1">
      <alignment horizontal="center" vertical="center"/>
    </xf>
    <xf numFmtId="0" fontId="67" fillId="8" borderId="276" xfId="275" applyFont="1" applyFill="1" applyBorder="1" applyAlignment="1">
      <alignment horizontal="left" vertical="center"/>
    </xf>
    <xf numFmtId="0" fontId="67" fillId="8" borderId="276" xfId="275" applyFont="1" applyFill="1" applyBorder="1" applyAlignment="1">
      <alignment vertical="center"/>
    </xf>
    <xf numFmtId="0" fontId="67" fillId="8" borderId="277" xfId="275" applyFont="1" applyFill="1" applyBorder="1" applyAlignment="1">
      <alignment horizontal="center" vertical="center"/>
    </xf>
    <xf numFmtId="0" fontId="67" fillId="8" borderId="1" xfId="275" applyFont="1" applyFill="1" applyBorder="1" applyAlignment="1">
      <alignment horizontal="left" vertical="center"/>
    </xf>
    <xf numFmtId="0" fontId="67" fillId="8" borderId="1" xfId="275" applyFont="1" applyFill="1" applyBorder="1" applyAlignment="1">
      <alignment vertical="center"/>
    </xf>
    <xf numFmtId="0" fontId="67" fillId="8" borderId="278" xfId="275" applyFont="1" applyFill="1" applyBorder="1" applyAlignment="1">
      <alignment horizontal="center" vertical="center"/>
    </xf>
    <xf numFmtId="0" fontId="67" fillId="8" borderId="10" xfId="275" applyFont="1" applyFill="1" applyBorder="1" applyAlignment="1">
      <alignment horizontal="center" vertical="center"/>
    </xf>
    <xf numFmtId="0" fontId="67" fillId="8" borderId="3" xfId="275" applyFont="1" applyFill="1" applyBorder="1" applyAlignment="1">
      <alignment vertical="center"/>
    </xf>
    <xf numFmtId="0" fontId="8" fillId="12" borderId="9" xfId="131" applyFont="1" applyFill="1" applyBorder="1" applyAlignment="1">
      <alignment horizontal="center" vertical="center" wrapText="1"/>
    </xf>
    <xf numFmtId="0" fontId="8" fillId="12" borderId="1" xfId="131" applyFont="1" applyFill="1" applyBorder="1" applyAlignment="1">
      <alignment horizontal="center" vertical="center" wrapText="1"/>
    </xf>
    <xf numFmtId="0" fontId="67" fillId="25" borderId="1" xfId="275" applyFont="1" applyFill="1" applyBorder="1" applyAlignment="1">
      <alignment horizontal="left" vertical="top" wrapText="1"/>
    </xf>
    <xf numFmtId="0" fontId="72" fillId="12" borderId="2" xfId="131" applyFont="1" applyFill="1" applyBorder="1" applyAlignment="1">
      <alignment horizontal="center" vertical="center" wrapText="1"/>
    </xf>
    <xf numFmtId="0" fontId="67" fillId="48" borderId="1" xfId="275" applyFont="1" applyFill="1" applyBorder="1" applyAlignment="1">
      <alignment horizontal="left" vertical="center"/>
    </xf>
    <xf numFmtId="183" fontId="1" fillId="3" borderId="1" xfId="276" applyNumberFormat="1" applyFont="1" applyFill="1" applyBorder="1" applyAlignment="1">
      <alignment horizontal="left" vertical="center" wrapText="1"/>
    </xf>
    <xf numFmtId="183" fontId="1" fillId="3" borderId="1" xfId="276" applyNumberFormat="1" applyFont="1" applyFill="1" applyBorder="1" applyAlignment="1">
      <alignment horizontal="center" vertical="center" wrapText="1"/>
    </xf>
    <xf numFmtId="183" fontId="1" fillId="49" borderId="1" xfId="276" applyNumberFormat="1" applyFont="1" applyFill="1" applyBorder="1" applyAlignment="1">
      <alignment horizontal="left" vertical="center" wrapText="1"/>
    </xf>
    <xf numFmtId="183" fontId="1" fillId="49" borderId="1" xfId="276" applyNumberFormat="1" applyFont="1" applyFill="1" applyBorder="1" applyAlignment="1">
      <alignment horizontal="center" vertical="center" wrapText="1"/>
    </xf>
    <xf numFmtId="0" fontId="72" fillId="50" borderId="2" xfId="109" applyFont="1" applyFill="1" applyBorder="1" applyAlignment="1">
      <alignment horizontal="center" vertical="center"/>
    </xf>
    <xf numFmtId="0" fontId="67" fillId="8" borderId="275" xfId="275" applyFont="1" applyFill="1" applyBorder="1" applyAlignment="1">
      <alignment vertical="center"/>
    </xf>
    <xf numFmtId="31" fontId="57" fillId="8" borderId="3" xfId="275" applyNumberFormat="1" applyFont="1" applyFill="1" applyBorder="1" applyAlignment="1">
      <alignment horizontal="center" vertical="center"/>
    </xf>
    <xf numFmtId="31" fontId="57" fillId="8" borderId="10" xfId="275" applyNumberFormat="1" applyFont="1" applyFill="1" applyBorder="1" applyAlignment="1">
      <alignment horizontal="center" vertical="center"/>
    </xf>
    <xf numFmtId="0" fontId="1" fillId="3" borderId="1" xfId="109" applyFont="1" applyFill="1" applyBorder="1" applyAlignment="1">
      <alignment horizontal="left" vertical="center"/>
    </xf>
    <xf numFmtId="199" fontId="1" fillId="25" borderId="1" xfId="8" applyNumberFormat="1" applyFont="1" applyFill="1" applyBorder="1" applyAlignment="1" applyProtection="1">
      <alignment horizontal="left" vertical="center"/>
    </xf>
    <xf numFmtId="0" fontId="67" fillId="0" borderId="1" xfId="275" applyFont="1" applyFill="1" applyBorder="1" applyAlignment="1">
      <alignment horizontal="center" vertical="center"/>
    </xf>
    <xf numFmtId="0" fontId="73" fillId="0" borderId="1" xfId="8" applyFont="1" applyFill="1" applyBorder="1" applyAlignment="1" applyProtection="1">
      <alignment vertical="center"/>
    </xf>
    <xf numFmtId="0" fontId="67" fillId="0" borderId="1" xfId="275" applyFont="1" applyFill="1" applyBorder="1" applyAlignment="1">
      <alignment horizontal="left" vertical="top" wrapText="1"/>
    </xf>
    <xf numFmtId="199" fontId="1" fillId="0" borderId="1" xfId="8" applyNumberFormat="1" applyFont="1" applyFill="1" applyBorder="1" applyAlignment="1" applyProtection="1">
      <alignment horizontal="right" vertical="center"/>
    </xf>
    <xf numFmtId="0" fontId="67" fillId="25" borderId="1" xfId="275" applyFont="1" applyFill="1" applyBorder="1" applyAlignment="1">
      <alignment horizontal="left" vertical="center"/>
    </xf>
    <xf numFmtId="0" fontId="1" fillId="49" borderId="1" xfId="109" applyFont="1" applyFill="1" applyBorder="1" applyAlignment="1">
      <alignment horizontal="left" vertical="center"/>
    </xf>
    <xf numFmtId="0" fontId="1" fillId="3" borderId="1" xfId="109" applyFont="1" applyFill="1" applyBorder="1" applyAlignment="1">
      <alignment horizontal="center" vertical="center"/>
    </xf>
    <xf numFmtId="0" fontId="67" fillId="25" borderId="10" xfId="275" applyFont="1" applyFill="1" applyBorder="1" applyAlignment="1">
      <alignment horizontal="left" vertical="top"/>
    </xf>
    <xf numFmtId="0" fontId="1" fillId="49" borderId="3" xfId="109" applyFont="1" applyFill="1" applyBorder="1" applyAlignment="1">
      <alignment horizontal="left" vertical="top"/>
    </xf>
    <xf numFmtId="0" fontId="1" fillId="25" borderId="1" xfId="8" applyFont="1" applyFill="1" applyBorder="1" applyAlignment="1" applyProtection="1">
      <alignment horizontal="left" vertical="center"/>
    </xf>
    <xf numFmtId="0" fontId="64" fillId="49" borderId="228" xfId="109" applyFont="1" applyFill="1" applyBorder="1" applyAlignment="1">
      <alignment horizontal="left" vertical="top"/>
    </xf>
    <xf numFmtId="0" fontId="1" fillId="0" borderId="1" xfId="8" applyFont="1" applyFill="1" applyBorder="1" applyAlignment="1" applyProtection="1">
      <alignment vertical="center"/>
    </xf>
    <xf numFmtId="0" fontId="64" fillId="49" borderId="10" xfId="109" applyFont="1" applyFill="1" applyBorder="1" applyAlignment="1">
      <alignment horizontal="left" vertical="top"/>
    </xf>
    <xf numFmtId="0" fontId="14" fillId="0" borderId="4" xfId="275" applyFont="1" applyBorder="1" applyAlignment="1">
      <alignment horizontal="left"/>
    </xf>
    <xf numFmtId="0" fontId="14" fillId="0" borderId="4" xfId="0" applyFont="1" applyBorder="1" applyAlignment="1">
      <alignment horizontal="left"/>
    </xf>
    <xf numFmtId="0" fontId="14" fillId="0" borderId="4" xfId="275" applyBorder="1" applyAlignment="1">
      <alignment horizontal="left"/>
    </xf>
    <xf numFmtId="14" fontId="14" fillId="0" borderId="4" xfId="0" applyNumberFormat="1" applyFont="1" applyBorder="1" applyAlignment="1">
      <alignment horizontal="left"/>
    </xf>
    <xf numFmtId="0" fontId="74" fillId="0" borderId="0" xfId="275" applyFont="1" applyFill="1" applyBorder="1" applyAlignment="1">
      <alignment horizontal="left"/>
    </xf>
    <xf numFmtId="0" fontId="0" fillId="0" borderId="4" xfId="0" applyBorder="1" applyAlignment="1">
      <alignment vertical="center"/>
    </xf>
    <xf numFmtId="0" fontId="75" fillId="52" borderId="4" xfId="0" applyFont="1" applyFill="1" applyBorder="1" applyAlignment="1">
      <alignment horizontal="center" vertical="center"/>
    </xf>
    <xf numFmtId="0" fontId="12" fillId="0" borderId="211" xfId="0" applyFont="1" applyBorder="1" applyAlignment="1">
      <alignment vertical="center"/>
    </xf>
    <xf numFmtId="0" fontId="14" fillId="16" borderId="4" xfId="0" applyFont="1" applyFill="1" applyBorder="1" applyAlignment="1">
      <alignment horizontal="center"/>
    </xf>
    <xf numFmtId="0" fontId="36" fillId="18" borderId="4" xfId="0" applyFont="1" applyFill="1" applyBorder="1" applyAlignment="1">
      <alignment horizontal="center"/>
    </xf>
    <xf numFmtId="0" fontId="18" fillId="23" borderId="4" xfId="0" applyFont="1" applyFill="1" applyBorder="1" applyAlignment="1">
      <alignment horizontal="center" vertical="center"/>
    </xf>
    <xf numFmtId="0" fontId="18" fillId="21" borderId="4" xfId="0" applyFont="1" applyFill="1" applyBorder="1" applyAlignment="1">
      <alignment horizontal="center"/>
    </xf>
    <xf numFmtId="0" fontId="14" fillId="16" borderId="0" xfId="287" applyFont="1" applyFill="1" applyBorder="1" applyAlignment="1">
      <alignment horizontal="left"/>
    </xf>
    <xf numFmtId="0" fontId="14" fillId="16" borderId="0" xfId="287" applyFont="1" applyFill="1" applyAlignment="1">
      <alignment horizontal="left"/>
    </xf>
    <xf numFmtId="0" fontId="76" fillId="16" borderId="0" xfId="287" applyFont="1" applyFill="1" applyAlignment="1">
      <alignment horizontal="left"/>
    </xf>
    <xf numFmtId="0" fontId="14" fillId="16" borderId="280" xfId="287" applyFont="1" applyFill="1" applyBorder="1" applyAlignment="1">
      <alignment horizontal="left"/>
    </xf>
    <xf numFmtId="0" fontId="14" fillId="16" borderId="281" xfId="287" applyFont="1" applyFill="1" applyBorder="1" applyAlignment="1">
      <alignment horizontal="left"/>
    </xf>
    <xf numFmtId="0" fontId="76" fillId="16" borderId="281" xfId="287" applyFont="1" applyFill="1" applyBorder="1" applyAlignment="1">
      <alignment horizontal="left"/>
    </xf>
    <xf numFmtId="0" fontId="14" fillId="16" borderId="282" xfId="287" applyFont="1" applyFill="1" applyBorder="1" applyAlignment="1">
      <alignment horizontal="left"/>
    </xf>
    <xf numFmtId="196" fontId="14" fillId="16" borderId="0" xfId="287" applyNumberFormat="1" applyFont="1" applyFill="1" applyAlignment="1">
      <alignment horizontal="left"/>
    </xf>
    <xf numFmtId="0" fontId="12" fillId="16" borderId="283" xfId="287" applyFont="1" applyFill="1" applyBorder="1" applyAlignment="1">
      <alignment horizontal="left"/>
    </xf>
    <xf numFmtId="0" fontId="12" fillId="16" borderId="284" xfId="287" applyFont="1" applyFill="1" applyBorder="1" applyAlignment="1">
      <alignment horizontal="left"/>
    </xf>
    <xf numFmtId="0" fontId="12" fillId="16" borderId="0" xfId="287" applyFont="1" applyFill="1" applyBorder="1" applyAlignment="1">
      <alignment horizontal="left"/>
    </xf>
    <xf numFmtId="0" fontId="77" fillId="16" borderId="0" xfId="287" applyFont="1" applyFill="1" applyBorder="1" applyAlignment="1">
      <alignment horizontal="left"/>
    </xf>
    <xf numFmtId="0" fontId="78" fillId="16" borderId="0" xfId="8" applyFill="1" applyBorder="1" applyAlignment="1" applyProtection="1">
      <alignment horizontal="left"/>
    </xf>
    <xf numFmtId="0" fontId="78" fillId="16" borderId="0" xfId="8" applyFont="1" applyFill="1" applyBorder="1" applyAlignment="1" applyProtection="1">
      <alignment horizontal="left"/>
    </xf>
    <xf numFmtId="0" fontId="78" fillId="16" borderId="0" xfId="8" applyFill="1" applyAlignment="1" applyProtection="1">
      <alignment horizontal="left"/>
    </xf>
    <xf numFmtId="0" fontId="79" fillId="16" borderId="0" xfId="287" applyFont="1" applyFill="1" applyBorder="1" applyAlignment="1">
      <alignment horizontal="left"/>
    </xf>
    <xf numFmtId="0" fontId="78" fillId="0" borderId="0" xfId="8" applyFont="1" applyAlignment="1" applyProtection="1"/>
    <xf numFmtId="0" fontId="76" fillId="16" borderId="0" xfId="287" applyFont="1" applyFill="1" applyBorder="1" applyAlignment="1">
      <alignment horizontal="left"/>
    </xf>
    <xf numFmtId="0" fontId="14" fillId="16" borderId="284" xfId="287" applyFont="1" applyFill="1" applyBorder="1" applyAlignment="1">
      <alignment horizontal="left"/>
    </xf>
    <xf numFmtId="0" fontId="14" fillId="16" borderId="283" xfId="287" applyFont="1" applyFill="1" applyBorder="1" applyAlignment="1">
      <alignment horizontal="left"/>
    </xf>
    <xf numFmtId="0" fontId="14" fillId="16" borderId="285" xfId="287" applyFont="1" applyFill="1" applyBorder="1" applyAlignment="1">
      <alignment horizontal="left"/>
    </xf>
    <xf numFmtId="0" fontId="76" fillId="16" borderId="285" xfId="287" applyFont="1" applyFill="1" applyBorder="1" applyAlignment="1">
      <alignment horizontal="left"/>
    </xf>
    <xf numFmtId="0" fontId="14" fillId="16" borderId="286" xfId="287" applyFont="1" applyFill="1" applyBorder="1" applyAlignment="1">
      <alignment horizontal="left"/>
    </xf>
    <xf numFmtId="0" fontId="14" fillId="16" borderId="289" xfId="287" applyFont="1" applyFill="1" applyBorder="1" applyAlignment="1">
      <alignment horizontal="left"/>
    </xf>
    <xf numFmtId="0" fontId="76" fillId="16" borderId="289" xfId="287" applyFont="1" applyFill="1" applyBorder="1" applyAlignment="1">
      <alignment horizontal="left"/>
    </xf>
    <xf numFmtId="0" fontId="14" fillId="16" borderId="288" xfId="287" applyFont="1" applyFill="1" applyBorder="1" applyAlignment="1">
      <alignment horizontal="left"/>
    </xf>
    <xf numFmtId="0" fontId="14" fillId="16" borderId="0" xfId="287" applyFont="1" applyFill="1" applyBorder="1" applyAlignment="1" applyProtection="1">
      <alignment horizontal="left"/>
    </xf>
    <xf numFmtId="0" fontId="14" fillId="16" borderId="291" xfId="287" applyFont="1" applyFill="1" applyBorder="1" applyAlignment="1">
      <alignment horizontal="left"/>
    </xf>
    <xf numFmtId="0" fontId="14" fillId="0" borderId="0" xfId="275" applyAlignment="1">
      <alignment horizontal="center" vertical="center"/>
    </xf>
    <xf numFmtId="0" fontId="81" fillId="0" borderId="4" xfId="275" applyFont="1" applyBorder="1" applyAlignment="1">
      <alignment horizontal="center" vertical="center"/>
    </xf>
    <xf numFmtId="0" fontId="82" fillId="0" borderId="4" xfId="275" applyFont="1" applyBorder="1" applyAlignment="1">
      <alignment horizontal="center" vertical="center"/>
    </xf>
    <xf numFmtId="49" fontId="14" fillId="0" borderId="4" xfId="275" applyNumberFormat="1" applyBorder="1" applyAlignment="1">
      <alignment horizontal="center" vertical="center"/>
    </xf>
    <xf numFmtId="198" fontId="14" fillId="0" borderId="4" xfId="275" applyNumberFormat="1" applyBorder="1" applyAlignment="1">
      <alignment horizontal="center" vertical="center"/>
    </xf>
    <xf numFmtId="0" fontId="14" fillId="0" borderId="4" xfId="275" applyFont="1" applyBorder="1" applyAlignment="1">
      <alignment horizontal="center" vertical="center"/>
    </xf>
    <xf numFmtId="198" fontId="14" fillId="0" borderId="4" xfId="275" applyNumberFormat="1" applyFont="1" applyBorder="1" applyAlignment="1">
      <alignment horizontal="center" vertical="center"/>
    </xf>
    <xf numFmtId="0" fontId="14" fillId="0" borderId="4" xfId="275" applyFont="1" applyBorder="1" applyAlignment="1">
      <alignment horizontal="center" vertical="center" wrapText="1"/>
    </xf>
    <xf numFmtId="0" fontId="84" fillId="0" borderId="4" xfId="275" applyFont="1" applyBorder="1" applyAlignment="1">
      <alignment horizontal="left" vertical="center" wrapText="1"/>
    </xf>
    <xf numFmtId="0" fontId="12" fillId="16" borderId="0" xfId="275" applyFont="1" applyFill="1" applyBorder="1" applyAlignment="1">
      <alignment vertical="center"/>
    </xf>
    <xf numFmtId="0" fontId="12" fillId="16" borderId="0" xfId="275" applyNumberFormat="1" applyFont="1" applyFill="1" applyBorder="1" applyAlignment="1">
      <alignment horizontal="center" vertical="center"/>
    </xf>
    <xf numFmtId="0" fontId="12" fillId="16" borderId="0" xfId="275" applyNumberFormat="1" applyFont="1" applyFill="1" applyBorder="1" applyAlignment="1">
      <alignment vertical="center"/>
    </xf>
    <xf numFmtId="0" fontId="14" fillId="16" borderId="0" xfId="275" applyNumberFormat="1" applyFill="1" applyBorder="1"/>
    <xf numFmtId="0" fontId="12" fillId="16" borderId="0" xfId="275" applyNumberFormat="1" applyFont="1" applyFill="1" applyBorder="1"/>
    <xf numFmtId="0" fontId="12" fillId="16" borderId="0" xfId="275" applyFont="1" applyFill="1" applyBorder="1"/>
    <xf numFmtId="0" fontId="85" fillId="0" borderId="0" xfId="0" applyFont="1"/>
    <xf numFmtId="0" fontId="0" fillId="0" borderId="0" xfId="0" quotePrefix="1"/>
    <xf numFmtId="0" fontId="22" fillId="0" borderId="7" xfId="275" applyFont="1" applyFill="1" applyBorder="1" applyAlignment="1">
      <alignment horizontal="center" vertical="center"/>
    </xf>
    <xf numFmtId="0" fontId="22" fillId="0" borderId="94" xfId="275" applyFont="1" applyFill="1" applyBorder="1" applyAlignment="1">
      <alignment horizontal="center" vertical="center"/>
    </xf>
    <xf numFmtId="0" fontId="23" fillId="0" borderId="4" xfId="275" applyFont="1" applyFill="1" applyBorder="1" applyAlignment="1">
      <alignment horizontal="center" vertical="center" wrapText="1"/>
    </xf>
    <xf numFmtId="0" fontId="23" fillId="0" borderId="82" xfId="275" applyFont="1" applyFill="1" applyBorder="1" applyAlignment="1">
      <alignment horizontal="center" vertical="center" wrapText="1"/>
    </xf>
    <xf numFmtId="0" fontId="27" fillId="0" borderId="4" xfId="275" applyFont="1" applyFill="1" applyBorder="1" applyAlignment="1">
      <alignment horizontal="center" vertical="center"/>
    </xf>
    <xf numFmtId="0" fontId="22" fillId="0" borderId="4" xfId="275" applyFont="1" applyFill="1" applyBorder="1" applyAlignment="1">
      <alignment horizontal="center" vertical="center"/>
    </xf>
    <xf numFmtId="0" fontId="22" fillId="0" borderId="108" xfId="275" applyFont="1" applyFill="1" applyBorder="1" applyAlignment="1">
      <alignment horizontal="center" vertical="center"/>
    </xf>
    <xf numFmtId="0" fontId="22" fillId="0" borderId="112" xfId="275" applyFont="1" applyFill="1" applyBorder="1" applyAlignment="1">
      <alignment horizontal="center" vertical="center"/>
    </xf>
    <xf numFmtId="0" fontId="14" fillId="17" borderId="306" xfId="275" applyFont="1" applyFill="1" applyBorder="1"/>
    <xf numFmtId="58" fontId="18" fillId="19" borderId="1" xfId="275" applyNumberFormat="1" applyFont="1" applyFill="1" applyBorder="1" applyAlignment="1">
      <alignment horizontal="center" vertical="center"/>
    </xf>
    <xf numFmtId="0" fontId="83" fillId="0" borderId="8" xfId="275" applyFont="1" applyBorder="1" applyAlignment="1">
      <alignment horizontal="left" vertical="center" wrapText="1"/>
    </xf>
    <xf numFmtId="0" fontId="83" fillId="0" borderId="108" xfId="275" applyFont="1" applyBorder="1" applyAlignment="1">
      <alignment horizontal="left" vertical="center" wrapText="1"/>
    </xf>
    <xf numFmtId="0" fontId="83" fillId="0" borderId="211" xfId="275" applyFont="1" applyBorder="1" applyAlignment="1">
      <alignment horizontal="left" vertical="center" wrapText="1"/>
    </xf>
    <xf numFmtId="0" fontId="80" fillId="0" borderId="0" xfId="275" applyFont="1" applyAlignment="1">
      <alignment horizontal="center" vertical="center"/>
    </xf>
    <xf numFmtId="0" fontId="14" fillId="0" borderId="4" xfId="275" applyBorder="1" applyAlignment="1">
      <alignment horizontal="center" vertical="center"/>
    </xf>
    <xf numFmtId="0" fontId="14" fillId="0" borderId="4" xfId="275" applyFont="1" applyBorder="1" applyAlignment="1">
      <alignment horizontal="left" vertical="center" wrapText="1"/>
    </xf>
    <xf numFmtId="0" fontId="14" fillId="0" borderId="4" xfId="275" applyBorder="1" applyAlignment="1">
      <alignment horizontal="left" vertical="center" wrapText="1"/>
    </xf>
    <xf numFmtId="0" fontId="42" fillId="16" borderId="0" xfId="287" applyFont="1" applyFill="1" applyBorder="1" applyAlignment="1">
      <alignment horizontal="center"/>
    </xf>
    <xf numFmtId="0" fontId="14" fillId="16" borderId="287" xfId="287" applyFont="1" applyFill="1" applyBorder="1" applyAlignment="1">
      <alignment horizontal="center" vertical="center"/>
    </xf>
    <xf numFmtId="0" fontId="14" fillId="16" borderId="288" xfId="287" applyFont="1" applyFill="1" applyBorder="1" applyAlignment="1">
      <alignment horizontal="center" vertical="center"/>
    </xf>
    <xf numFmtId="0" fontId="14" fillId="16" borderId="290" xfId="287" applyFont="1" applyFill="1" applyBorder="1" applyAlignment="1">
      <alignment horizontal="center" vertical="center"/>
    </xf>
    <xf numFmtId="0" fontId="14" fillId="16" borderId="291" xfId="287" applyFont="1" applyFill="1" applyBorder="1" applyAlignment="1">
      <alignment horizontal="center" vertical="center"/>
    </xf>
    <xf numFmtId="0" fontId="14" fillId="16" borderId="292" xfId="287" applyFont="1" applyFill="1" applyBorder="1" applyAlignment="1">
      <alignment horizontal="center" vertical="center"/>
    </xf>
    <xf numFmtId="0" fontId="14" fillId="16" borderId="286" xfId="287" applyFont="1" applyFill="1" applyBorder="1" applyAlignment="1">
      <alignment horizontal="center" vertical="center"/>
    </xf>
    <xf numFmtId="0" fontId="18" fillId="51" borderId="4" xfId="0" applyFont="1" applyFill="1" applyBorder="1" applyAlignment="1">
      <alignment horizontal="center" vertical="center"/>
    </xf>
    <xf numFmtId="0" fontId="41" fillId="0" borderId="4" xfId="0" applyFont="1" applyBorder="1" applyAlignment="1">
      <alignment vertical="center"/>
    </xf>
    <xf numFmtId="0" fontId="0" fillId="0" borderId="4" xfId="0" applyBorder="1" applyAlignment="1">
      <alignment vertical="center"/>
    </xf>
    <xf numFmtId="0" fontId="75" fillId="52" borderId="5" xfId="0" applyFont="1" applyFill="1" applyBorder="1" applyAlignment="1">
      <alignment horizontal="center" vertical="center"/>
    </xf>
    <xf numFmtId="0" fontId="75" fillId="52" borderId="7" xfId="0" applyFont="1" applyFill="1" applyBorder="1" applyAlignment="1">
      <alignment horizontal="center" vertical="center"/>
    </xf>
    <xf numFmtId="0" fontId="75" fillId="52" borderId="6" xfId="0" applyFont="1" applyFill="1" applyBorder="1" applyAlignment="1">
      <alignment horizontal="center" vertical="center"/>
    </xf>
    <xf numFmtId="0" fontId="12" fillId="0" borderId="5" xfId="0" applyFont="1" applyBorder="1" applyAlignment="1">
      <alignment horizontal="left" vertical="center"/>
    </xf>
    <xf numFmtId="0" fontId="12" fillId="0" borderId="7" xfId="0" applyFont="1" applyBorder="1" applyAlignment="1">
      <alignment horizontal="left" vertical="center"/>
    </xf>
    <xf numFmtId="0" fontId="12" fillId="0" borderId="6" xfId="0" applyFont="1" applyBorder="1" applyAlignment="1">
      <alignment horizontal="left" vertical="center"/>
    </xf>
    <xf numFmtId="0" fontId="14" fillId="0" borderId="4" xfId="0" applyFont="1" applyBorder="1" applyAlignment="1">
      <alignment horizontal="left" vertical="top" wrapText="1"/>
    </xf>
    <xf numFmtId="0" fontId="15" fillId="0" borderId="0" xfId="275" applyFont="1" applyAlignment="1">
      <alignment horizontal="center"/>
    </xf>
    <xf numFmtId="0" fontId="66" fillId="0" borderId="1" xfId="109" applyFont="1" applyBorder="1" applyAlignment="1">
      <alignment horizontal="center" vertical="center"/>
    </xf>
    <xf numFmtId="0" fontId="59" fillId="12" borderId="268" xfId="131" applyFont="1" applyFill="1" applyBorder="1" applyAlignment="1">
      <alignment horizontal="center" vertical="center" wrapText="1"/>
    </xf>
    <xf numFmtId="0" fontId="59" fillId="12" borderId="269" xfId="131" applyFont="1" applyFill="1" applyBorder="1" applyAlignment="1">
      <alignment horizontal="center" vertical="center" wrapText="1"/>
    </xf>
    <xf numFmtId="0" fontId="59" fillId="12" borderId="270" xfId="131" applyFont="1" applyFill="1" applyBorder="1" applyAlignment="1">
      <alignment horizontal="center" vertical="center" wrapText="1"/>
    </xf>
    <xf numFmtId="0" fontId="72" fillId="50" borderId="268" xfId="109" applyFont="1" applyFill="1" applyBorder="1" applyAlignment="1">
      <alignment horizontal="center" vertical="center" wrapText="1"/>
    </xf>
    <xf numFmtId="0" fontId="72" fillId="50" borderId="270" xfId="109" applyFont="1" applyFill="1" applyBorder="1" applyAlignment="1">
      <alignment horizontal="center" vertical="center" wrapText="1"/>
    </xf>
    <xf numFmtId="0" fontId="67" fillId="8" borderId="271" xfId="275" applyFont="1" applyFill="1" applyBorder="1" applyAlignment="1">
      <alignment horizontal="left" vertical="center"/>
    </xf>
    <xf numFmtId="0" fontId="67" fillId="8" borderId="272" xfId="275" applyFont="1" applyFill="1" applyBorder="1" applyAlignment="1">
      <alignment horizontal="left" vertical="center"/>
    </xf>
    <xf numFmtId="0" fontId="68" fillId="8" borderId="274" xfId="275" applyFont="1" applyFill="1" applyBorder="1" applyAlignment="1">
      <alignment horizontal="left" vertical="center"/>
    </xf>
    <xf numFmtId="0" fontId="68" fillId="8" borderId="275" xfId="275" applyFont="1" applyFill="1" applyBorder="1" applyAlignment="1">
      <alignment horizontal="left" vertical="center"/>
    </xf>
    <xf numFmtId="0" fontId="67" fillId="8" borderId="271" xfId="275" applyFont="1" applyFill="1" applyBorder="1" applyAlignment="1">
      <alignment horizontal="center" vertical="center"/>
    </xf>
    <xf numFmtId="0" fontId="67" fillId="8" borderId="275" xfId="275" applyFont="1" applyFill="1" applyBorder="1" applyAlignment="1">
      <alignment horizontal="center" vertical="center"/>
    </xf>
    <xf numFmtId="0" fontId="67" fillId="8" borderId="3" xfId="275" applyFont="1" applyFill="1" applyBorder="1" applyAlignment="1">
      <alignment horizontal="left" vertical="center"/>
    </xf>
    <xf numFmtId="0" fontId="67" fillId="8" borderId="228" xfId="275" applyFont="1" applyFill="1" applyBorder="1" applyAlignment="1">
      <alignment horizontal="left" vertical="center"/>
    </xf>
    <xf numFmtId="0" fontId="68" fillId="8" borderId="278" xfId="275" applyFont="1" applyFill="1" applyBorder="1" applyAlignment="1">
      <alignment horizontal="center" vertical="center"/>
    </xf>
    <xf numFmtId="0" fontId="68" fillId="8" borderId="10" xfId="275" applyFont="1" applyFill="1" applyBorder="1" applyAlignment="1">
      <alignment horizontal="center" vertical="center"/>
    </xf>
    <xf numFmtId="31" fontId="57" fillId="8" borderId="3" xfId="275" applyNumberFormat="1" applyFont="1" applyFill="1" applyBorder="1" applyAlignment="1">
      <alignment horizontal="center" vertical="center"/>
    </xf>
    <xf numFmtId="31" fontId="57" fillId="8" borderId="10" xfId="275" applyNumberFormat="1" applyFont="1" applyFill="1" applyBorder="1" applyAlignment="1">
      <alignment horizontal="center" vertical="center"/>
    </xf>
    <xf numFmtId="0" fontId="68" fillId="8" borderId="278" xfId="275" applyFont="1" applyFill="1" applyBorder="1" applyAlignment="1">
      <alignment horizontal="left" vertical="center"/>
    </xf>
    <xf numFmtId="0" fontId="68" fillId="8" borderId="10" xfId="275" applyFont="1" applyFill="1" applyBorder="1" applyAlignment="1">
      <alignment horizontal="left" vertical="center"/>
    </xf>
    <xf numFmtId="0" fontId="69" fillId="8" borderId="3" xfId="275" applyFont="1" applyFill="1" applyBorder="1" applyAlignment="1">
      <alignment horizontal="left" vertical="center"/>
    </xf>
    <xf numFmtId="0" fontId="67" fillId="8" borderId="278" xfId="275" applyFont="1" applyFill="1" applyBorder="1" applyAlignment="1">
      <alignment horizontal="center" vertical="center"/>
    </xf>
    <xf numFmtId="0" fontId="67" fillId="8" borderId="10" xfId="275" applyFont="1" applyFill="1" applyBorder="1" applyAlignment="1">
      <alignment horizontal="center" vertical="center"/>
    </xf>
    <xf numFmtId="0" fontId="67" fillId="8" borderId="279" xfId="275" applyFont="1" applyFill="1" applyBorder="1" applyAlignment="1">
      <alignment horizontal="left" vertical="center"/>
    </xf>
    <xf numFmtId="0" fontId="70" fillId="8" borderId="3" xfId="275" applyFont="1" applyFill="1" applyBorder="1" applyAlignment="1">
      <alignment horizontal="left" vertical="center"/>
    </xf>
    <xf numFmtId="0" fontId="67" fillId="47" borderId="276" xfId="275" applyFont="1" applyFill="1" applyBorder="1" applyAlignment="1">
      <alignment horizontal="left" vertical="center"/>
    </xf>
    <xf numFmtId="0" fontId="67" fillId="47" borderId="118" xfId="275" applyFont="1" applyFill="1" applyBorder="1" applyAlignment="1">
      <alignment horizontal="left" vertical="center"/>
    </xf>
    <xf numFmtId="0" fontId="67" fillId="47" borderId="241" xfId="275" applyFont="1" applyFill="1" applyBorder="1" applyAlignment="1">
      <alignment horizontal="left" vertical="center"/>
    </xf>
    <xf numFmtId="0" fontId="67" fillId="47" borderId="3" xfId="275" applyFont="1" applyFill="1" applyBorder="1" applyAlignment="1">
      <alignment horizontal="left" vertical="center"/>
    </xf>
    <xf numFmtId="0" fontId="67" fillId="47" borderId="228" xfId="275" applyFont="1" applyFill="1" applyBorder="1" applyAlignment="1">
      <alignment horizontal="left" vertical="center"/>
    </xf>
    <xf numFmtId="0" fontId="67" fillId="47" borderId="10" xfId="275" applyFont="1" applyFill="1" applyBorder="1" applyAlignment="1">
      <alignment horizontal="left" vertical="center"/>
    </xf>
    <xf numFmtId="0" fontId="8" fillId="12" borderId="1" xfId="131" applyFont="1" applyFill="1" applyBorder="1" applyAlignment="1">
      <alignment horizontal="center" vertical="center" wrapText="1"/>
    </xf>
    <xf numFmtId="0" fontId="8" fillId="12" borderId="3" xfId="131" applyFont="1" applyFill="1" applyBorder="1" applyAlignment="1">
      <alignment horizontal="center" vertical="center" wrapText="1"/>
    </xf>
    <xf numFmtId="0" fontId="8" fillId="12" borderId="10" xfId="131" applyFont="1" applyFill="1" applyBorder="1" applyAlignment="1">
      <alignment horizontal="center" vertical="center" wrapText="1"/>
    </xf>
    <xf numFmtId="0" fontId="1" fillId="3" borderId="3" xfId="109" applyFont="1" applyFill="1" applyBorder="1" applyAlignment="1">
      <alignment horizontal="center" vertical="center" wrapText="1"/>
    </xf>
    <xf numFmtId="0" fontId="1" fillId="3" borderId="10" xfId="109" applyFont="1" applyFill="1" applyBorder="1" applyAlignment="1">
      <alignment horizontal="center" vertical="center" wrapText="1"/>
    </xf>
    <xf numFmtId="0" fontId="1" fillId="3" borderId="3" xfId="109" applyFont="1" applyFill="1" applyBorder="1" applyAlignment="1">
      <alignment horizontal="center" vertical="center"/>
    </xf>
    <xf numFmtId="0" fontId="1" fillId="3" borderId="10" xfId="109" applyFont="1" applyFill="1" applyBorder="1" applyAlignment="1">
      <alignment horizontal="center" vertical="center"/>
    </xf>
    <xf numFmtId="0" fontId="67" fillId="25" borderId="3" xfId="275" applyFont="1" applyFill="1" applyBorder="1" applyAlignment="1">
      <alignment horizontal="center" vertical="top"/>
    </xf>
    <xf numFmtId="0" fontId="67" fillId="25" borderId="10" xfId="275" applyFont="1" applyFill="1" applyBorder="1" applyAlignment="1">
      <alignment horizontal="center" vertical="top"/>
    </xf>
    <xf numFmtId="0" fontId="1" fillId="25" borderId="276" xfId="275" applyFont="1" applyFill="1" applyBorder="1" applyAlignment="1">
      <alignment horizontal="center" vertical="top"/>
    </xf>
    <xf numFmtId="0" fontId="67" fillId="25" borderId="241" xfId="275" applyFont="1" applyFill="1" applyBorder="1" applyAlignment="1">
      <alignment horizontal="center" vertical="top"/>
    </xf>
    <xf numFmtId="0" fontId="1" fillId="25" borderId="3" xfId="275" applyFont="1" applyFill="1" applyBorder="1" applyAlignment="1">
      <alignment horizontal="center" vertical="center"/>
    </xf>
    <xf numFmtId="0" fontId="67" fillId="25" borderId="10" xfId="275" applyFont="1" applyFill="1" applyBorder="1" applyAlignment="1">
      <alignment horizontal="center" vertical="center"/>
    </xf>
    <xf numFmtId="0" fontId="8" fillId="12" borderId="2" xfId="131" applyFont="1" applyFill="1" applyBorder="1" applyAlignment="1">
      <alignment horizontal="center" vertical="center" wrapText="1"/>
    </xf>
    <xf numFmtId="0" fontId="1" fillId="25" borderId="3" xfId="275" applyFont="1" applyFill="1" applyBorder="1" applyAlignment="1">
      <alignment horizontal="center" vertical="top"/>
    </xf>
    <xf numFmtId="0" fontId="67" fillId="47" borderId="2" xfId="275" applyFont="1" applyFill="1" applyBorder="1" applyAlignment="1">
      <alignment horizontal="center" vertical="center"/>
    </xf>
    <xf numFmtId="0" fontId="67" fillId="47" borderId="181" xfId="275" applyFont="1" applyFill="1" applyBorder="1" applyAlignment="1">
      <alignment horizontal="center" vertical="center"/>
    </xf>
    <xf numFmtId="0" fontId="67" fillId="47" borderId="9" xfId="275" applyFont="1" applyFill="1" applyBorder="1" applyAlignment="1">
      <alignment horizontal="center" vertical="center"/>
    </xf>
    <xf numFmtId="0" fontId="8" fillId="12" borderId="9" xfId="131" applyFont="1" applyFill="1" applyBorder="1" applyAlignment="1">
      <alignment horizontal="center" vertical="center" wrapText="1"/>
    </xf>
    <xf numFmtId="0" fontId="71" fillId="12" borderId="9" xfId="131" applyFont="1" applyFill="1" applyBorder="1" applyAlignment="1">
      <alignment horizontal="center" vertical="center" wrapText="1"/>
    </xf>
    <xf numFmtId="0" fontId="71" fillId="12" borderId="2" xfId="131" applyFont="1" applyFill="1" applyBorder="1" applyAlignment="1">
      <alignment horizontal="center" vertical="center" wrapText="1"/>
    </xf>
    <xf numFmtId="0" fontId="53" fillId="43" borderId="218" xfId="131" applyFont="1" applyFill="1" applyBorder="1" applyAlignment="1">
      <alignment horizontal="left" vertical="center" wrapText="1"/>
    </xf>
    <xf numFmtId="0" fontId="53" fillId="43" borderId="0" xfId="131" applyFont="1" applyFill="1" applyBorder="1" applyAlignment="1">
      <alignment horizontal="left" vertical="center" wrapText="1"/>
    </xf>
    <xf numFmtId="0" fontId="57" fillId="0" borderId="243" xfId="187" applyFont="1" applyBorder="1" applyAlignment="1">
      <alignment horizontal="center" vertical="center"/>
    </xf>
    <xf numFmtId="0" fontId="57" fillId="0" borderId="243" xfId="187" applyFont="1" applyBorder="1" applyAlignment="1">
      <alignment horizontal="left" vertical="center"/>
    </xf>
    <xf numFmtId="0" fontId="55" fillId="0" borderId="4" xfId="109" applyFont="1" applyBorder="1" applyAlignment="1">
      <alignment horizontal="left" vertical="center" wrapText="1"/>
    </xf>
    <xf numFmtId="0" fontId="54" fillId="0" borderId="4" xfId="109" applyFont="1" applyBorder="1" applyAlignment="1">
      <alignment horizontal="left" vertical="center" wrapText="1"/>
    </xf>
    <xf numFmtId="0" fontId="59" fillId="44" borderId="245" xfId="131" applyFont="1" applyFill="1" applyBorder="1" applyAlignment="1">
      <alignment horizontal="center" vertical="center" wrapText="1"/>
    </xf>
    <xf numFmtId="0" fontId="59" fillId="44" borderId="117" xfId="131" applyFont="1" applyFill="1" applyBorder="1" applyAlignment="1">
      <alignment horizontal="center" vertical="center" wrapText="1"/>
    </xf>
    <xf numFmtId="0" fontId="59" fillId="44" borderId="260" xfId="131" applyFont="1" applyFill="1" applyBorder="1" applyAlignment="1">
      <alignment horizontal="center" vertical="center" wrapText="1"/>
    </xf>
    <xf numFmtId="0" fontId="59" fillId="35" borderId="245" xfId="187" applyFont="1" applyFill="1" applyBorder="1" applyAlignment="1">
      <alignment horizontal="center" vertical="center"/>
    </xf>
    <xf numFmtId="0" fontId="59" fillId="35" borderId="117" xfId="187" applyFont="1" applyFill="1" applyBorder="1" applyAlignment="1">
      <alignment horizontal="center" vertical="center"/>
    </xf>
    <xf numFmtId="0" fontId="59" fillId="35" borderId="260" xfId="187" applyFont="1" applyFill="1" applyBorder="1" applyAlignment="1">
      <alignment horizontal="center" vertical="center"/>
    </xf>
    <xf numFmtId="0" fontId="59" fillId="35" borderId="247" xfId="187" applyFont="1" applyFill="1" applyBorder="1" applyAlignment="1">
      <alignment horizontal="center" vertical="center"/>
    </xf>
    <xf numFmtId="0" fontId="59" fillId="35" borderId="248" xfId="187" applyFont="1" applyFill="1" applyBorder="1" applyAlignment="1">
      <alignment horizontal="center" vertical="center"/>
    </xf>
    <xf numFmtId="0" fontId="59" fillId="35" borderId="116" xfId="187" applyFont="1" applyFill="1" applyBorder="1" applyAlignment="1">
      <alignment horizontal="center" vertical="center"/>
    </xf>
    <xf numFmtId="0" fontId="1" fillId="36" borderId="247" xfId="187" applyFont="1" applyFill="1" applyBorder="1" applyAlignment="1">
      <alignment horizontal="center"/>
    </xf>
    <xf numFmtId="0" fontId="1" fillId="36" borderId="248" xfId="187" applyFont="1" applyFill="1" applyBorder="1" applyAlignment="1">
      <alignment horizontal="center"/>
    </xf>
    <xf numFmtId="0" fontId="1" fillId="36" borderId="116" xfId="187" applyFont="1" applyFill="1" applyBorder="1" applyAlignment="1">
      <alignment horizontal="center"/>
    </xf>
    <xf numFmtId="0" fontId="1" fillId="36" borderId="249" xfId="187" applyFont="1" applyFill="1" applyBorder="1" applyAlignment="1">
      <alignment horizontal="center"/>
    </xf>
    <xf numFmtId="0" fontId="1" fillId="36" borderId="250" xfId="187" applyFont="1" applyFill="1" applyBorder="1" applyAlignment="1">
      <alignment horizontal="center"/>
    </xf>
    <xf numFmtId="0" fontId="1" fillId="36" borderId="11" xfId="187" applyFont="1" applyFill="1" applyBorder="1" applyAlignment="1">
      <alignment horizontal="center" vertical="center"/>
    </xf>
    <xf numFmtId="0" fontId="1" fillId="36" borderId="13" xfId="187" applyFont="1" applyFill="1" applyBorder="1" applyAlignment="1">
      <alignment horizontal="center" vertical="center"/>
    </xf>
    <xf numFmtId="0" fontId="1" fillId="36" borderId="11" xfId="187" applyFont="1" applyFill="1" applyBorder="1" applyAlignment="1">
      <alignment horizontal="center"/>
    </xf>
    <xf numFmtId="0" fontId="1" fillId="36" borderId="13" xfId="187" applyFont="1" applyFill="1" applyBorder="1" applyAlignment="1">
      <alignment horizontal="center"/>
    </xf>
    <xf numFmtId="0" fontId="1" fillId="36" borderId="249" xfId="187" applyFont="1" applyFill="1" applyBorder="1" applyAlignment="1">
      <alignment horizontal="center" vertical="center"/>
    </xf>
    <xf numFmtId="0" fontId="1" fillId="36" borderId="250" xfId="187" applyFont="1" applyFill="1" applyBorder="1" applyAlignment="1">
      <alignment horizontal="center" vertical="center"/>
    </xf>
    <xf numFmtId="0" fontId="1" fillId="36" borderId="256" xfId="187" applyFont="1" applyFill="1" applyBorder="1" applyAlignment="1">
      <alignment horizontal="center"/>
    </xf>
    <xf numFmtId="0" fontId="1" fillId="36" borderId="256" xfId="187" applyFont="1" applyFill="1" applyBorder="1" applyAlignment="1">
      <alignment horizontal="left"/>
    </xf>
    <xf numFmtId="0" fontId="1" fillId="36" borderId="250" xfId="187" applyFont="1" applyFill="1" applyBorder="1" applyAlignment="1">
      <alignment horizontal="left"/>
    </xf>
    <xf numFmtId="0" fontId="1" fillId="36" borderId="249" xfId="187" applyFont="1" applyFill="1" applyBorder="1" applyAlignment="1">
      <alignment horizontal="left"/>
    </xf>
    <xf numFmtId="0" fontId="58" fillId="0" borderId="244" xfId="187" applyFont="1" applyBorder="1" applyAlignment="1">
      <alignment horizontal="center" vertical="center" wrapText="1"/>
    </xf>
    <xf numFmtId="0" fontId="58" fillId="0" borderId="246" xfId="187" applyFont="1" applyBorder="1" applyAlignment="1">
      <alignment horizontal="center" vertical="center" wrapText="1"/>
    </xf>
    <xf numFmtId="0" fontId="58" fillId="0" borderId="246" xfId="187" applyFont="1" applyBorder="1" applyAlignment="1">
      <alignment horizontal="center" vertical="center"/>
    </xf>
    <xf numFmtId="0" fontId="58" fillId="0" borderId="258" xfId="187" applyFont="1" applyBorder="1" applyAlignment="1">
      <alignment horizontal="center" vertical="center"/>
    </xf>
    <xf numFmtId="0" fontId="58" fillId="0" borderId="259" xfId="187" applyFont="1" applyBorder="1" applyAlignment="1">
      <alignment horizontal="center" vertical="center"/>
    </xf>
    <xf numFmtId="0" fontId="57" fillId="0" borderId="244" xfId="187" applyFont="1" applyBorder="1" applyAlignment="1">
      <alignment horizontal="center" vertical="center" wrapText="1"/>
    </xf>
    <xf numFmtId="0" fontId="57" fillId="0" borderId="246" xfId="187" applyFont="1" applyBorder="1" applyAlignment="1">
      <alignment horizontal="center" vertical="center" wrapText="1"/>
    </xf>
    <xf numFmtId="0" fontId="57" fillId="0" borderId="246" xfId="187" applyFont="1" applyBorder="1" applyAlignment="1">
      <alignment horizontal="center" vertical="center"/>
    </xf>
    <xf numFmtId="0" fontId="57" fillId="0" borderId="114" xfId="187" applyFont="1" applyBorder="1" applyAlignment="1">
      <alignment horizontal="center" vertical="center"/>
    </xf>
    <xf numFmtId="0" fontId="57" fillId="0" borderId="258" xfId="187" applyFont="1" applyFill="1" applyBorder="1" applyAlignment="1">
      <alignment horizontal="center" wrapText="1"/>
    </xf>
    <xf numFmtId="0" fontId="3" fillId="45" borderId="244" xfId="187" applyFont="1" applyFill="1" applyBorder="1" applyAlignment="1">
      <alignment horizontal="left" vertical="center"/>
    </xf>
    <xf numFmtId="0" fontId="3" fillId="45" borderId="114" xfId="187" applyFont="1" applyFill="1" applyBorder="1" applyAlignment="1">
      <alignment horizontal="left" vertical="center"/>
    </xf>
    <xf numFmtId="0" fontId="1" fillId="45" borderId="244" xfId="187" applyFont="1" applyFill="1" applyBorder="1" applyAlignment="1">
      <alignment horizontal="center" vertical="center"/>
    </xf>
    <xf numFmtId="0" fontId="1" fillId="45" borderId="114" xfId="187" applyFont="1" applyFill="1" applyBorder="1" applyAlignment="1">
      <alignment horizontal="center" vertical="center"/>
    </xf>
    <xf numFmtId="0" fontId="43" fillId="35" borderId="231" xfId="272" applyFont="1" applyFill="1" applyBorder="1" applyAlignment="1">
      <alignment horizontal="left" vertical="center" wrapText="1"/>
    </xf>
    <xf numFmtId="0" fontId="43" fillId="35" borderId="232" xfId="272" applyFont="1" applyFill="1" applyBorder="1" applyAlignment="1">
      <alignment horizontal="left" vertical="center" wrapText="1"/>
    </xf>
    <xf numFmtId="0" fontId="43" fillId="35" borderId="118" xfId="272" applyFont="1" applyFill="1" applyBorder="1" applyAlignment="1">
      <alignment horizontal="center" vertical="center" wrapText="1"/>
    </xf>
    <xf numFmtId="0" fontId="43" fillId="35" borderId="241" xfId="272" applyFont="1" applyFill="1" applyBorder="1" applyAlignment="1">
      <alignment horizontal="center" vertical="center" wrapText="1"/>
    </xf>
    <xf numFmtId="0" fontId="43" fillId="35" borderId="233" xfId="272" applyFont="1" applyFill="1" applyBorder="1" applyAlignment="1">
      <alignment horizontal="center" vertical="center" wrapText="1"/>
    </xf>
    <xf numFmtId="0" fontId="43" fillId="35" borderId="234" xfId="272" applyFont="1" applyFill="1" applyBorder="1" applyAlignment="1">
      <alignment horizontal="center" vertical="center" wrapText="1"/>
    </xf>
    <xf numFmtId="0" fontId="43" fillId="35" borderId="238" xfId="272" applyFont="1" applyFill="1" applyBorder="1" applyAlignment="1">
      <alignment horizontal="center" vertical="center" wrapText="1"/>
    </xf>
    <xf numFmtId="0" fontId="43" fillId="35" borderId="239" xfId="272" applyFont="1" applyFill="1" applyBorder="1" applyAlignment="1">
      <alignment horizontal="center" vertical="center" wrapText="1"/>
    </xf>
    <xf numFmtId="0" fontId="43" fillId="35" borderId="0" xfId="272" applyFont="1" applyFill="1" applyBorder="1" applyAlignment="1">
      <alignment horizontal="center" vertical="center" wrapText="1"/>
    </xf>
    <xf numFmtId="0" fontId="45" fillId="35" borderId="233" xfId="272" applyFont="1" applyFill="1" applyBorder="1" applyAlignment="1">
      <alignment horizontal="center" vertical="center" wrapText="1"/>
    </xf>
    <xf numFmtId="0" fontId="45" fillId="35" borderId="234" xfId="272" applyFont="1" applyFill="1" applyBorder="1" applyAlignment="1">
      <alignment horizontal="center" vertical="center" wrapText="1"/>
    </xf>
    <xf numFmtId="0" fontId="45" fillId="35" borderId="240" xfId="272" applyFont="1" applyFill="1" applyBorder="1" applyAlignment="1">
      <alignment horizontal="center" vertical="center" wrapText="1"/>
    </xf>
    <xf numFmtId="0" fontId="43" fillId="35" borderId="226" xfId="272" applyFont="1" applyFill="1" applyBorder="1" applyAlignment="1">
      <alignment horizontal="left" vertical="center" wrapText="1"/>
    </xf>
    <xf numFmtId="0" fontId="43" fillId="35" borderId="118" xfId="272" applyFont="1" applyFill="1" applyBorder="1" applyAlignment="1">
      <alignment horizontal="left" vertical="center" wrapText="1"/>
    </xf>
    <xf numFmtId="0" fontId="44" fillId="35" borderId="227" xfId="272" applyFont="1" applyFill="1" applyBorder="1" applyAlignment="1">
      <alignment horizontal="left" vertical="center" wrapText="1"/>
    </xf>
    <xf numFmtId="0" fontId="44" fillId="35" borderId="228" xfId="272" applyFont="1" applyFill="1" applyBorder="1" applyAlignment="1">
      <alignment horizontal="left" vertical="center" wrapText="1"/>
    </xf>
    <xf numFmtId="0" fontId="47" fillId="41" borderId="236" xfId="275" applyFont="1" applyFill="1" applyBorder="1" applyAlignment="1">
      <alignment horizontal="center" vertical="center" wrapText="1"/>
    </xf>
    <xf numFmtId="0" fontId="47" fillId="41" borderId="237" xfId="275" applyFont="1" applyFill="1" applyBorder="1" applyAlignment="1">
      <alignment horizontal="center" vertical="center" wrapText="1"/>
    </xf>
    <xf numFmtId="0" fontId="44" fillId="35" borderId="233" xfId="272" applyFont="1" applyFill="1" applyBorder="1" applyAlignment="1">
      <alignment horizontal="left" vertical="center" wrapText="1"/>
    </xf>
    <xf numFmtId="0" fontId="44" fillId="35" borderId="234" xfId="272" applyFont="1" applyFill="1" applyBorder="1" applyAlignment="1">
      <alignment horizontal="left" vertical="center" wrapText="1"/>
    </xf>
    <xf numFmtId="0" fontId="44" fillId="35" borderId="231" xfId="272" applyFont="1" applyFill="1" applyBorder="1" applyAlignment="1">
      <alignment horizontal="left" vertical="center" wrapText="1"/>
    </xf>
    <xf numFmtId="0" fontId="44" fillId="35" borderId="232" xfId="272" applyFont="1" applyFill="1" applyBorder="1" applyAlignment="1">
      <alignment horizontal="left" vertical="center" wrapText="1"/>
    </xf>
    <xf numFmtId="0" fontId="17" fillId="0" borderId="0" xfId="272" applyFont="1" applyAlignment="1">
      <alignment vertical="top" wrapText="1"/>
    </xf>
    <xf numFmtId="0" fontId="48" fillId="0" borderId="0" xfId="0" applyFont="1" applyAlignment="1">
      <alignment vertical="top"/>
    </xf>
    <xf numFmtId="0" fontId="0" fillId="0" borderId="0" xfId="0" applyAlignment="1"/>
    <xf numFmtId="0" fontId="42" fillId="0" borderId="7" xfId="275" applyFont="1" applyBorder="1" applyAlignment="1">
      <alignment horizontal="center" vertical="center"/>
    </xf>
    <xf numFmtId="58" fontId="18" fillId="19" borderId="207" xfId="275" applyNumberFormat="1" applyFont="1" applyFill="1" applyBorder="1" applyAlignment="1">
      <alignment horizontal="center" vertical="center" wrapText="1"/>
    </xf>
    <xf numFmtId="58" fontId="18" fillId="19" borderId="208" xfId="275" applyNumberFormat="1" applyFont="1" applyFill="1" applyBorder="1" applyAlignment="1">
      <alignment horizontal="center" vertical="center" wrapText="1"/>
    </xf>
    <xf numFmtId="58" fontId="18" fillId="19" borderId="209" xfId="275" applyNumberFormat="1" applyFont="1" applyFill="1" applyBorder="1" applyAlignment="1">
      <alignment horizontal="center" vertical="center" wrapText="1"/>
    </xf>
    <xf numFmtId="0" fontId="14" fillId="0" borderId="208" xfId="275" applyBorder="1" applyAlignment="1">
      <alignment horizontal="center"/>
    </xf>
    <xf numFmtId="0" fontId="14" fillId="0" borderId="0" xfId="275" applyBorder="1" applyAlignment="1">
      <alignment horizontal="center"/>
    </xf>
    <xf numFmtId="0" fontId="14" fillId="16" borderId="0" xfId="275" applyFont="1" applyFill="1" applyAlignment="1">
      <alignment horizontal="left"/>
    </xf>
    <xf numFmtId="0" fontId="14" fillId="16" borderId="204" xfId="275" applyFont="1" applyFill="1" applyBorder="1" applyAlignment="1">
      <alignment horizontal="left"/>
    </xf>
    <xf numFmtId="58" fontId="18" fillId="19" borderId="206" xfId="275" applyNumberFormat="1" applyFont="1" applyFill="1" applyBorder="1" applyAlignment="1">
      <alignment horizontal="center" vertical="center" wrapText="1"/>
    </xf>
    <xf numFmtId="58" fontId="18" fillId="19" borderId="211" xfId="275" applyNumberFormat="1" applyFont="1" applyFill="1" applyBorder="1" applyAlignment="1">
      <alignment horizontal="center" vertical="center" wrapText="1"/>
    </xf>
    <xf numFmtId="0" fontId="42" fillId="0" borderId="201" xfId="275" applyFont="1" applyBorder="1" applyAlignment="1">
      <alignment horizontal="center" vertical="center"/>
    </xf>
    <xf numFmtId="0" fontId="42" fillId="0" borderId="202" xfId="275" applyFont="1" applyBorder="1" applyAlignment="1">
      <alignment horizontal="center" vertical="center"/>
    </xf>
    <xf numFmtId="0" fontId="42" fillId="0" borderId="219" xfId="275" applyFont="1" applyBorder="1" applyAlignment="1">
      <alignment horizontal="center" vertical="center"/>
    </xf>
    <xf numFmtId="0" fontId="42" fillId="0" borderId="203" xfId="275" applyFont="1" applyBorder="1" applyAlignment="1">
      <alignment horizontal="center" vertical="center"/>
    </xf>
    <xf numFmtId="0" fontId="42" fillId="0" borderId="30" xfId="275" applyFont="1" applyBorder="1" applyAlignment="1">
      <alignment horizontal="center" vertical="center"/>
    </xf>
    <xf numFmtId="0" fontId="42" fillId="0" borderId="220" xfId="275" applyFont="1" applyBorder="1" applyAlignment="1">
      <alignment horizontal="center" vertical="center"/>
    </xf>
    <xf numFmtId="0" fontId="38" fillId="33" borderId="0" xfId="275" applyFont="1" applyFill="1" applyAlignment="1">
      <alignment horizontal="left" vertical="top" wrapText="1"/>
    </xf>
    <xf numFmtId="0" fontId="38" fillId="33" borderId="0" xfId="275" applyFont="1" applyFill="1" applyAlignment="1">
      <alignment horizontal="left" vertical="top"/>
    </xf>
    <xf numFmtId="58" fontId="18" fillId="2" borderId="223" xfId="275" applyNumberFormat="1" applyFont="1" applyFill="1" applyBorder="1" applyAlignment="1">
      <alignment horizontal="center" vertical="center" wrapText="1"/>
    </xf>
    <xf numFmtId="58" fontId="18" fillId="2" borderId="224" xfId="275" applyNumberFormat="1" applyFont="1" applyFill="1" applyBorder="1" applyAlignment="1">
      <alignment horizontal="center" vertical="center" wrapText="1"/>
    </xf>
    <xf numFmtId="58" fontId="18" fillId="19" borderId="205" xfId="275" applyNumberFormat="1" applyFont="1" applyFill="1" applyBorder="1" applyAlignment="1">
      <alignment horizontal="center" vertical="center" wrapText="1"/>
    </xf>
    <xf numFmtId="58" fontId="18" fillId="19" borderId="210" xfId="275" applyNumberFormat="1" applyFont="1" applyFill="1" applyBorder="1" applyAlignment="1">
      <alignment horizontal="center" vertical="center" wrapText="1"/>
    </xf>
    <xf numFmtId="0" fontId="18" fillId="19" borderId="212" xfId="275" applyFont="1" applyFill="1" applyBorder="1" applyAlignment="1">
      <alignment horizontal="center" vertical="center" wrapText="1"/>
    </xf>
    <xf numFmtId="0" fontId="18" fillId="19" borderId="213" xfId="275" applyFont="1" applyFill="1" applyBorder="1" applyAlignment="1">
      <alignment horizontal="center" vertical="center" wrapText="1"/>
    </xf>
    <xf numFmtId="0" fontId="18" fillId="19" borderId="214" xfId="275" applyFont="1" applyFill="1" applyBorder="1" applyAlignment="1">
      <alignment horizontal="center" vertical="center" wrapText="1"/>
    </xf>
    <xf numFmtId="0" fontId="15" fillId="16" borderId="0" xfId="275" applyFont="1" applyFill="1" applyAlignment="1">
      <alignment horizontal="center"/>
    </xf>
    <xf numFmtId="0" fontId="18" fillId="19" borderId="172" xfId="275" applyFont="1" applyFill="1" applyBorder="1" applyAlignment="1">
      <alignment horizontal="center" vertical="center"/>
    </xf>
    <xf numFmtId="0" fontId="18" fillId="19" borderId="173" xfId="275" applyFont="1" applyFill="1" applyBorder="1" applyAlignment="1">
      <alignment horizontal="center" vertical="center"/>
    </xf>
    <xf numFmtId="0" fontId="18" fillId="2" borderId="171" xfId="275" applyFont="1" applyFill="1" applyBorder="1" applyAlignment="1">
      <alignment horizontal="center" vertical="center"/>
    </xf>
    <xf numFmtId="0" fontId="18" fillId="2" borderId="125" xfId="275" applyFont="1" applyFill="1" applyBorder="1" applyAlignment="1">
      <alignment horizontal="center" vertical="center"/>
    </xf>
    <xf numFmtId="0" fontId="18" fillId="2" borderId="182" xfId="275" applyFont="1" applyFill="1" applyBorder="1" applyAlignment="1">
      <alignment horizontal="center" vertical="center"/>
    </xf>
    <xf numFmtId="0" fontId="18" fillId="2" borderId="183" xfId="275" applyFont="1" applyFill="1" applyBorder="1" applyAlignment="1">
      <alignment horizontal="center" vertical="center"/>
    </xf>
    <xf numFmtId="0" fontId="36" fillId="18" borderId="176" xfId="275" applyFont="1" applyFill="1" applyBorder="1" applyAlignment="1">
      <alignment horizontal="center"/>
    </xf>
    <xf numFmtId="0" fontId="36" fillId="18" borderId="177" xfId="275" applyFont="1" applyFill="1" applyBorder="1" applyAlignment="1">
      <alignment horizontal="center"/>
    </xf>
    <xf numFmtId="187" fontId="36" fillId="18" borderId="176" xfId="275" applyNumberFormat="1" applyFont="1" applyFill="1" applyBorder="1" applyAlignment="1">
      <alignment horizontal="center"/>
    </xf>
    <xf numFmtId="187" fontId="36" fillId="18" borderId="177" xfId="275" applyNumberFormat="1" applyFont="1" applyFill="1" applyBorder="1" applyAlignment="1">
      <alignment horizontal="center"/>
    </xf>
    <xf numFmtId="10" fontId="39" fillId="18" borderId="176" xfId="275" applyNumberFormat="1" applyFont="1" applyFill="1" applyBorder="1" applyAlignment="1">
      <alignment horizontal="center"/>
    </xf>
    <xf numFmtId="10" fontId="39" fillId="18" borderId="177" xfId="275" applyNumberFormat="1" applyFont="1" applyFill="1" applyBorder="1" applyAlignment="1">
      <alignment horizontal="center"/>
    </xf>
    <xf numFmtId="10" fontId="39" fillId="18" borderId="178" xfId="275" applyNumberFormat="1" applyFont="1" applyFill="1" applyBorder="1" applyAlignment="1">
      <alignment horizontal="center"/>
    </xf>
    <xf numFmtId="10" fontId="39" fillId="18" borderId="179" xfId="275" applyNumberFormat="1" applyFont="1" applyFill="1" applyBorder="1" applyAlignment="1">
      <alignment horizontal="center"/>
    </xf>
    <xf numFmtId="0" fontId="16" fillId="0" borderId="131" xfId="275" applyFont="1" applyFill="1" applyBorder="1" applyAlignment="1">
      <alignment horizontal="center" vertical="center"/>
    </xf>
    <xf numFmtId="0" fontId="16" fillId="0" borderId="174" xfId="275" applyFont="1" applyFill="1" applyBorder="1" applyAlignment="1">
      <alignment horizontal="center" vertical="center"/>
    </xf>
    <xf numFmtId="0" fontId="18" fillId="23" borderId="171" xfId="275" applyFont="1" applyFill="1" applyBorder="1" applyAlignment="1">
      <alignment horizontal="center" vertical="center"/>
    </xf>
    <xf numFmtId="0" fontId="18" fillId="23" borderId="125" xfId="275" applyFont="1" applyFill="1" applyBorder="1" applyAlignment="1">
      <alignment horizontal="center" vertical="center"/>
    </xf>
    <xf numFmtId="0" fontId="25" fillId="24" borderId="17" xfId="0" applyFont="1" applyFill="1" applyBorder="1" applyAlignment="1">
      <alignment horizontal="center" vertical="center" wrapText="1"/>
    </xf>
    <xf numFmtId="0" fontId="25" fillId="24" borderId="180" xfId="0" applyFont="1" applyFill="1" applyBorder="1" applyAlignment="1">
      <alignment horizontal="center" vertical="center" wrapText="1"/>
    </xf>
    <xf numFmtId="0" fontId="24" fillId="24" borderId="2" xfId="0" applyFont="1" applyFill="1" applyBorder="1" applyAlignment="1">
      <alignment horizontal="left" vertical="center" wrapText="1"/>
    </xf>
    <xf numFmtId="0" fontId="24" fillId="24" borderId="181" xfId="0" applyFont="1" applyFill="1" applyBorder="1" applyAlignment="1">
      <alignment horizontal="left" vertical="center" wrapText="1"/>
    </xf>
    <xf numFmtId="0" fontId="24" fillId="24" borderId="9" xfId="0" applyFont="1" applyFill="1" applyBorder="1" applyAlignment="1">
      <alignment horizontal="left" vertical="center" wrapText="1"/>
    </xf>
    <xf numFmtId="0" fontId="14" fillId="0" borderId="186" xfId="275" applyFont="1" applyFill="1" applyBorder="1" applyAlignment="1">
      <alignment horizontal="center"/>
    </xf>
    <xf numFmtId="0" fontId="14" fillId="0" borderId="185" xfId="275" applyFont="1" applyFill="1" applyBorder="1" applyAlignment="1">
      <alignment horizontal="center"/>
    </xf>
    <xf numFmtId="0" fontId="14" fillId="0" borderId="188" xfId="275" applyFont="1" applyFill="1" applyBorder="1" applyAlignment="1">
      <alignment horizontal="center"/>
    </xf>
    <xf numFmtId="0" fontId="40" fillId="19" borderId="193" xfId="275" applyFont="1" applyFill="1" applyBorder="1" applyAlignment="1">
      <alignment horizontal="center" vertical="center"/>
    </xf>
    <xf numFmtId="0" fontId="40" fillId="19" borderId="195" xfId="275" applyFont="1" applyFill="1" applyBorder="1" applyAlignment="1">
      <alignment horizontal="center" vertical="center"/>
    </xf>
    <xf numFmtId="0" fontId="40" fillId="19" borderId="197" xfId="275" applyFont="1" applyFill="1" applyBorder="1" applyAlignment="1">
      <alignment horizontal="center" vertical="center"/>
    </xf>
    <xf numFmtId="0" fontId="40" fillId="19" borderId="197" xfId="275" applyNumberFormat="1" applyFont="1" applyFill="1" applyBorder="1" applyAlignment="1">
      <alignment horizontal="center" vertical="center" wrapText="1"/>
    </xf>
    <xf numFmtId="0" fontId="40" fillId="19" borderId="195" xfId="275" applyNumberFormat="1" applyFont="1" applyFill="1" applyBorder="1" applyAlignment="1">
      <alignment horizontal="center" vertical="center" wrapText="1"/>
    </xf>
    <xf numFmtId="9" fontId="26" fillId="16" borderId="194" xfId="275" applyNumberFormat="1" applyFont="1" applyFill="1" applyBorder="1" applyAlignment="1">
      <alignment horizontal="center" vertical="center"/>
    </xf>
    <xf numFmtId="9" fontId="26" fillId="16" borderId="196" xfId="275" applyNumberFormat="1" applyFont="1" applyFill="1" applyBorder="1" applyAlignment="1">
      <alignment horizontal="center" vertical="center"/>
    </xf>
    <xf numFmtId="9" fontId="26" fillId="16" borderId="198" xfId="275" applyNumberFormat="1" applyFont="1" applyFill="1" applyBorder="1" applyAlignment="1">
      <alignment horizontal="center" vertical="center"/>
    </xf>
    <xf numFmtId="9" fontId="26" fillId="0" borderId="198" xfId="275" applyNumberFormat="1" applyFont="1" applyFill="1" applyBorder="1" applyAlignment="1">
      <alignment horizontal="center" vertical="center"/>
    </xf>
    <xf numFmtId="9" fontId="26" fillId="0" borderId="196" xfId="275" applyNumberFormat="1" applyFont="1" applyFill="1" applyBorder="1" applyAlignment="1">
      <alignment horizontal="center" vertical="center"/>
    </xf>
    <xf numFmtId="0" fontId="14" fillId="23" borderId="189" xfId="275" applyFont="1" applyFill="1" applyBorder="1" applyAlignment="1">
      <alignment horizontal="center" vertical="center"/>
    </xf>
    <xf numFmtId="0" fontId="14" fillId="23" borderId="190" xfId="275" applyFont="1" applyFill="1" applyBorder="1" applyAlignment="1">
      <alignment horizontal="center" vertical="center"/>
    </xf>
    <xf numFmtId="0" fontId="14" fillId="23" borderId="191" xfId="275" applyFont="1" applyFill="1" applyBorder="1" applyAlignment="1">
      <alignment horizontal="center" vertical="center"/>
    </xf>
    <xf numFmtId="0" fontId="14" fillId="23" borderId="192" xfId="275" applyFont="1" applyFill="1" applyBorder="1" applyAlignment="1">
      <alignment horizontal="center" vertical="center"/>
    </xf>
    <xf numFmtId="0" fontId="14" fillId="16" borderId="119" xfId="275" applyFont="1" applyFill="1" applyBorder="1" applyAlignment="1">
      <alignment horizontal="left"/>
    </xf>
    <xf numFmtId="0" fontId="0" fillId="0" borderId="119" xfId="0" applyBorder="1" applyAlignment="1"/>
    <xf numFmtId="0" fontId="0" fillId="0" borderId="120" xfId="0" applyBorder="1" applyAlignment="1"/>
    <xf numFmtId="191" fontId="36" fillId="18" borderId="152" xfId="275" applyNumberFormat="1" applyFont="1" applyFill="1" applyBorder="1" applyAlignment="1">
      <alignment horizontal="center" vertical="center"/>
    </xf>
    <xf numFmtId="191" fontId="36" fillId="18" borderId="153" xfId="275" applyNumberFormat="1" applyFont="1" applyFill="1" applyBorder="1" applyAlignment="1">
      <alignment horizontal="center" vertical="center"/>
    </xf>
    <xf numFmtId="0" fontId="14" fillId="16" borderId="0" xfId="275" applyFont="1" applyFill="1" applyBorder="1" applyAlignment="1">
      <alignment horizontal="left"/>
    </xf>
    <xf numFmtId="0" fontId="18" fillId="19" borderId="1" xfId="275" applyFont="1" applyFill="1" applyBorder="1" applyAlignment="1">
      <alignment horizontal="center" vertical="center"/>
    </xf>
    <xf numFmtId="0" fontId="24" fillId="24" borderId="1" xfId="0" applyFont="1" applyFill="1" applyBorder="1" applyAlignment="1">
      <alignment horizontal="left" vertical="center" wrapText="1"/>
    </xf>
    <xf numFmtId="0" fontId="18" fillId="2" borderId="131" xfId="275" applyFont="1" applyFill="1" applyBorder="1" applyAlignment="1">
      <alignment horizontal="center" vertical="center" wrapText="1"/>
    </xf>
    <xf numFmtId="0" fontId="18" fillId="2" borderId="135" xfId="275" applyFont="1" applyFill="1" applyBorder="1" applyAlignment="1">
      <alignment horizontal="center" vertical="center" wrapText="1"/>
    </xf>
    <xf numFmtId="0" fontId="14" fillId="18" borderId="132" xfId="275" applyNumberFormat="1" applyFont="1" applyFill="1" applyBorder="1" applyAlignment="1">
      <alignment horizontal="center" vertical="center"/>
    </xf>
    <xf numFmtId="0" fontId="14" fillId="18" borderId="136" xfId="275" applyNumberFormat="1" applyFont="1" applyFill="1" applyBorder="1" applyAlignment="1">
      <alignment horizontal="center" vertical="center"/>
    </xf>
    <xf numFmtId="0" fontId="38" fillId="33" borderId="0" xfId="275" applyNumberFormat="1" applyFont="1" applyFill="1" applyAlignment="1">
      <alignment horizontal="left" vertical="top" wrapText="1"/>
    </xf>
    <xf numFmtId="0" fontId="14" fillId="16" borderId="0" xfId="275" applyFont="1" applyFill="1" applyAlignment="1">
      <alignment horizontal="left" vertical="top" wrapText="1"/>
    </xf>
    <xf numFmtId="58" fontId="18" fillId="19" borderId="1" xfId="275" applyNumberFormat="1" applyFont="1" applyFill="1" applyBorder="1" applyAlignment="1">
      <alignment horizontal="center" vertical="center"/>
    </xf>
    <xf numFmtId="0" fontId="24" fillId="24" borderId="1" xfId="0" applyFont="1" applyFill="1" applyBorder="1" applyAlignment="1">
      <alignment horizontal="center" vertical="center" wrapText="1"/>
    </xf>
    <xf numFmtId="58" fontId="18" fillId="19" borderId="2" xfId="275" applyNumberFormat="1" applyFont="1" applyFill="1" applyBorder="1" applyAlignment="1">
      <alignment horizontal="center" vertical="center" wrapText="1"/>
    </xf>
    <xf numFmtId="58" fontId="18" fillId="19" borderId="9" xfId="275" applyNumberFormat="1" applyFont="1" applyFill="1" applyBorder="1" applyAlignment="1">
      <alignment horizontal="center" vertical="center" wrapText="1"/>
    </xf>
    <xf numFmtId="58" fontId="18" fillId="19" borderId="1" xfId="275" applyNumberFormat="1" applyFont="1" applyFill="1" applyBorder="1" applyAlignment="1">
      <alignment horizontal="center" vertical="center" wrapText="1"/>
    </xf>
    <xf numFmtId="0" fontId="34" fillId="16" borderId="118" xfId="275" applyNumberFormat="1" applyFont="1" applyFill="1" applyBorder="1" applyAlignment="1">
      <alignment horizontal="left" vertical="top"/>
    </xf>
    <xf numFmtId="58" fontId="18" fillId="19" borderId="2" xfId="275" applyNumberFormat="1" applyFont="1" applyFill="1" applyBorder="1" applyAlignment="1">
      <alignment horizontal="center" vertical="center"/>
    </xf>
    <xf numFmtId="58" fontId="18" fillId="19" borderId="9" xfId="275" applyNumberFormat="1" applyFont="1" applyFill="1" applyBorder="1" applyAlignment="1">
      <alignment horizontal="center" vertical="center"/>
    </xf>
    <xf numFmtId="0" fontId="14" fillId="0" borderId="103" xfId="275" applyBorder="1" applyAlignment="1">
      <alignment horizontal="center" vertical="center"/>
    </xf>
    <xf numFmtId="0" fontId="14" fillId="0" borderId="104" xfId="275" applyBorder="1" applyAlignment="1">
      <alignment horizontal="center" vertical="center"/>
    </xf>
    <xf numFmtId="58" fontId="14" fillId="23" borderId="77" xfId="275" applyNumberFormat="1" applyFont="1" applyFill="1" applyBorder="1" applyAlignment="1">
      <alignment horizontal="center" vertical="center" wrapText="1"/>
    </xf>
    <xf numFmtId="58" fontId="14" fillId="23" borderId="84" xfId="275" applyNumberFormat="1" applyFont="1" applyFill="1" applyBorder="1" applyAlignment="1">
      <alignment horizontal="center" vertical="center" wrapText="1"/>
    </xf>
    <xf numFmtId="58" fontId="18" fillId="19" borderId="76" xfId="275" applyNumberFormat="1" applyFont="1" applyFill="1" applyBorder="1" applyAlignment="1">
      <alignment horizontal="center" vertical="center" wrapText="1"/>
    </xf>
    <xf numFmtId="58" fontId="18" fillId="19" borderId="81" xfId="275" applyNumberFormat="1" applyFont="1" applyFill="1" applyBorder="1" applyAlignment="1">
      <alignment horizontal="center" vertical="center" wrapText="1"/>
    </xf>
    <xf numFmtId="194" fontId="21" fillId="2" borderId="77" xfId="109" applyNumberFormat="1" applyFont="1" applyFill="1" applyBorder="1" applyAlignment="1">
      <alignment horizontal="center" vertical="center" wrapText="1"/>
    </xf>
    <xf numFmtId="194" fontId="21" fillId="2" borderId="82" xfId="109" applyNumberFormat="1" applyFont="1" applyFill="1" applyBorder="1" applyAlignment="1">
      <alignment horizontal="center" vertical="center" wrapText="1"/>
    </xf>
    <xf numFmtId="0" fontId="14" fillId="18" borderId="84" xfId="275" applyFill="1" applyBorder="1" applyAlignment="1">
      <alignment horizontal="center" vertical="center"/>
    </xf>
    <xf numFmtId="0" fontId="14" fillId="18" borderId="86" xfId="275" applyFill="1" applyBorder="1" applyAlignment="1">
      <alignment horizontal="center" vertical="center"/>
    </xf>
    <xf numFmtId="58" fontId="18" fillId="19" borderId="85" xfId="275" applyNumberFormat="1" applyFont="1" applyFill="1" applyBorder="1" applyAlignment="1">
      <alignment horizontal="center" vertical="center" wrapText="1"/>
    </xf>
    <xf numFmtId="58" fontId="18" fillId="19" borderId="87" xfId="275" applyNumberFormat="1" applyFont="1" applyFill="1" applyBorder="1" applyAlignment="1">
      <alignment horizontal="center" vertical="center" wrapText="1"/>
    </xf>
    <xf numFmtId="58" fontId="18" fillId="19" borderId="88" xfId="275" applyNumberFormat="1" applyFont="1" applyFill="1" applyBorder="1" applyAlignment="1">
      <alignment horizontal="center" vertical="center" wrapText="1"/>
    </xf>
    <xf numFmtId="194" fontId="21" fillId="19" borderId="85" xfId="109" applyNumberFormat="1" applyFont="1" applyFill="1" applyBorder="1" applyAlignment="1">
      <alignment horizontal="center" vertical="center" wrapText="1"/>
    </xf>
    <xf numFmtId="194" fontId="21" fillId="19" borderId="88" xfId="109" applyNumberFormat="1" applyFont="1" applyFill="1" applyBorder="1" applyAlignment="1">
      <alignment horizontal="center" vertical="center" wrapText="1"/>
    </xf>
    <xf numFmtId="0" fontId="22" fillId="0" borderId="92" xfId="275" applyFont="1" applyBorder="1" applyAlignment="1">
      <alignment horizontal="center" vertical="center"/>
    </xf>
    <xf numFmtId="0" fontId="22" fillId="0" borderId="93" xfId="275" applyFont="1" applyBorder="1" applyAlignment="1">
      <alignment horizontal="center" vertical="center"/>
    </xf>
    <xf numFmtId="0" fontId="22" fillId="0" borderId="96" xfId="275" applyFont="1" applyBorder="1" applyAlignment="1">
      <alignment horizontal="center" vertical="center"/>
    </xf>
    <xf numFmtId="0" fontId="22" fillId="0" borderId="97" xfId="275" applyFont="1" applyBorder="1" applyAlignment="1">
      <alignment horizontal="center" vertical="center"/>
    </xf>
    <xf numFmtId="0" fontId="22" fillId="0" borderId="4" xfId="275" applyFont="1" applyBorder="1" applyAlignment="1">
      <alignment horizontal="center" vertical="center"/>
    </xf>
    <xf numFmtId="0" fontId="22" fillId="0" borderId="98" xfId="275" applyFont="1" applyBorder="1" applyAlignment="1">
      <alignment horizontal="center" vertical="center"/>
    </xf>
    <xf numFmtId="0" fontId="22" fillId="0" borderId="82" xfId="275" applyFont="1" applyBorder="1" applyAlignment="1">
      <alignment horizontal="center" vertical="center"/>
    </xf>
    <xf numFmtId="0" fontId="22" fillId="0" borderId="86" xfId="275" applyFont="1" applyBorder="1" applyAlignment="1">
      <alignment horizontal="center" vertical="center"/>
    </xf>
    <xf numFmtId="58" fontId="14" fillId="23" borderId="105" xfId="275" applyNumberFormat="1" applyFont="1" applyFill="1" applyBorder="1" applyAlignment="1">
      <alignment horizontal="center" vertical="center" wrapText="1"/>
    </xf>
    <xf numFmtId="58" fontId="14" fillId="23" borderId="106" xfId="275" applyNumberFormat="1" applyFont="1" applyFill="1" applyBorder="1" applyAlignment="1">
      <alignment horizontal="center" vertical="center" wrapText="1"/>
    </xf>
    <xf numFmtId="58" fontId="14" fillId="23" borderId="107" xfId="275" applyNumberFormat="1" applyFont="1" applyFill="1" applyBorder="1" applyAlignment="1">
      <alignment horizontal="center" vertical="center" wrapText="1"/>
    </xf>
    <xf numFmtId="0" fontId="22" fillId="0" borderId="5" xfId="275" applyFont="1" applyBorder="1" applyAlignment="1">
      <alignment horizontal="left" vertical="center"/>
    </xf>
    <xf numFmtId="0" fontId="22" fillId="0" borderId="7" xfId="275" applyFont="1" applyBorder="1" applyAlignment="1">
      <alignment horizontal="left" vertical="center"/>
    </xf>
    <xf numFmtId="0" fontId="22" fillId="0" borderId="93" xfId="275" applyFont="1" applyBorder="1" applyAlignment="1">
      <alignment horizontal="left" vertical="center"/>
    </xf>
    <xf numFmtId="0" fontId="22" fillId="0" borderId="113" xfId="275" applyFont="1" applyBorder="1" applyAlignment="1">
      <alignment horizontal="left" vertical="center"/>
    </xf>
    <xf numFmtId="0" fontId="22" fillId="0" borderId="94" xfId="275" applyFont="1" applyBorder="1" applyAlignment="1">
      <alignment horizontal="left" vertical="center"/>
    </xf>
    <xf numFmtId="0" fontId="22" fillId="0" borderId="97" xfId="275" applyFont="1" applyBorder="1" applyAlignment="1">
      <alignment horizontal="left" vertical="center"/>
    </xf>
    <xf numFmtId="0" fontId="14" fillId="0" borderId="0" xfId="275" applyFont="1" applyAlignment="1">
      <alignment horizontal="left" vertical="top" wrapText="1"/>
    </xf>
    <xf numFmtId="0" fontId="33" fillId="0" borderId="117" xfId="275" applyFont="1" applyBorder="1" applyAlignment="1">
      <alignment horizontal="left" vertical="center" wrapText="1"/>
    </xf>
    <xf numFmtId="194" fontId="21" fillId="19" borderId="89" xfId="109" applyNumberFormat="1" applyFont="1" applyFill="1" applyBorder="1" applyAlignment="1">
      <alignment horizontal="center" vertical="center" wrapText="1"/>
    </xf>
    <xf numFmtId="194" fontId="21" fillId="19" borderId="99" xfId="109" applyNumberFormat="1" applyFont="1" applyFill="1" applyBorder="1" applyAlignment="1">
      <alignment horizontal="center" vertical="center" wrapText="1"/>
    </xf>
    <xf numFmtId="194" fontId="21" fillId="19" borderId="100" xfId="109" applyNumberFormat="1" applyFont="1" applyFill="1" applyBorder="1" applyAlignment="1">
      <alignment horizontal="center" vertical="center" wrapText="1"/>
    </xf>
    <xf numFmtId="194" fontId="21" fillId="19" borderId="101" xfId="109" applyNumberFormat="1" applyFont="1" applyFill="1" applyBorder="1" applyAlignment="1">
      <alignment horizontal="center" vertical="center" wrapText="1"/>
    </xf>
    <xf numFmtId="194" fontId="21" fillId="19" borderId="102" xfId="109" applyNumberFormat="1" applyFont="1" applyFill="1" applyBorder="1" applyAlignment="1">
      <alignment horizontal="center" vertical="center" wrapText="1"/>
    </xf>
    <xf numFmtId="0" fontId="17" fillId="16" borderId="30" xfId="275" applyFont="1" applyFill="1" applyBorder="1" applyAlignment="1">
      <alignment horizontal="left" wrapText="1"/>
    </xf>
    <xf numFmtId="0" fontId="0" fillId="0" borderId="31" xfId="0" applyBorder="1" applyAlignment="1">
      <alignment horizontal="left"/>
    </xf>
    <xf numFmtId="192" fontId="16" fillId="18" borderId="32" xfId="275" applyNumberFormat="1" applyFont="1" applyFill="1" applyBorder="1" applyAlignment="1">
      <alignment horizontal="center" vertical="center"/>
    </xf>
    <xf numFmtId="192" fontId="16" fillId="18" borderId="33" xfId="275" applyNumberFormat="1" applyFont="1" applyFill="1" applyBorder="1" applyAlignment="1">
      <alignment horizontal="center" vertical="center"/>
    </xf>
    <xf numFmtId="0" fontId="18" fillId="21" borderId="41" xfId="275" applyFont="1" applyFill="1" applyBorder="1" applyAlignment="1">
      <alignment horizontal="center" vertical="center"/>
    </xf>
    <xf numFmtId="0" fontId="18" fillId="21" borderId="42" xfId="275" applyFont="1" applyFill="1" applyBorder="1" applyAlignment="1">
      <alignment horizontal="center" vertical="center"/>
    </xf>
    <xf numFmtId="187" fontId="19" fillId="18" borderId="45" xfId="109" applyNumberFormat="1" applyFont="1" applyFill="1" applyBorder="1" applyAlignment="1">
      <alignment horizontal="center" vertical="center" wrapText="1"/>
    </xf>
    <xf numFmtId="187" fontId="19" fillId="18" borderId="46" xfId="109" applyNumberFormat="1" applyFont="1" applyFill="1" applyBorder="1" applyAlignment="1">
      <alignment horizontal="center" vertical="center" wrapText="1"/>
    </xf>
    <xf numFmtId="187" fontId="19" fillId="18" borderId="49" xfId="109" applyNumberFormat="1" applyFont="1" applyFill="1" applyBorder="1" applyAlignment="1">
      <alignment horizontal="center" vertical="center" wrapText="1"/>
    </xf>
    <xf numFmtId="187" fontId="19" fillId="18" borderId="50" xfId="109" applyNumberFormat="1" applyFont="1" applyFill="1" applyBorder="1" applyAlignment="1">
      <alignment horizontal="center" vertical="center" wrapText="1"/>
    </xf>
    <xf numFmtId="0" fontId="14" fillId="17" borderId="5" xfId="275" applyFont="1" applyFill="1" applyBorder="1" applyAlignment="1">
      <alignment horizontal="left"/>
    </xf>
    <xf numFmtId="0" fontId="14" fillId="17" borderId="7" xfId="275" applyFont="1" applyFill="1" applyBorder="1" applyAlignment="1">
      <alignment horizontal="left"/>
    </xf>
    <xf numFmtId="0" fontId="14" fillId="17" borderId="6" xfId="275" applyFont="1" applyFill="1" applyBorder="1" applyAlignment="1">
      <alignment horizontal="left"/>
    </xf>
    <xf numFmtId="0" fontId="11" fillId="14" borderId="23" xfId="278" applyFont="1" applyFill="1" applyBorder="1" applyAlignment="1">
      <alignment horizontal="left" vertical="top" wrapText="1" readingOrder="1"/>
    </xf>
    <xf numFmtId="0" fontId="11" fillId="14" borderId="24" xfId="278" applyFont="1" applyFill="1" applyBorder="1" applyAlignment="1">
      <alignment horizontal="left" vertical="top" wrapText="1" readingOrder="1"/>
    </xf>
    <xf numFmtId="0" fontId="11" fillId="14" borderId="22" xfId="278" applyFont="1" applyFill="1" applyBorder="1" applyAlignment="1">
      <alignment horizontal="left" vertical="top" wrapText="1" readingOrder="1"/>
    </xf>
    <xf numFmtId="0" fontId="11" fillId="15" borderId="27" xfId="278" applyFont="1" applyFill="1" applyBorder="1" applyAlignment="1">
      <alignment vertical="center" wrapText="1" readingOrder="1"/>
    </xf>
    <xf numFmtId="0" fontId="11" fillId="15" borderId="28" xfId="278" applyFont="1" applyFill="1" applyBorder="1" applyAlignment="1">
      <alignment vertical="center" wrapText="1" readingOrder="1"/>
    </xf>
    <xf numFmtId="0" fontId="11" fillId="15" borderId="26" xfId="278" applyFont="1" applyFill="1" applyBorder="1" applyAlignment="1">
      <alignment vertical="center" wrapText="1" readingOrder="1"/>
    </xf>
    <xf numFmtId="0" fontId="1" fillId="0" borderId="0" xfId="278" applyFont="1" applyAlignment="1">
      <alignment horizontal="left" vertical="top" wrapText="1"/>
    </xf>
    <xf numFmtId="0" fontId="12" fillId="0" borderId="0" xfId="278" applyAlignment="1">
      <alignment horizontal="left" vertical="top" wrapText="1"/>
    </xf>
    <xf numFmtId="0" fontId="10" fillId="13" borderId="19" xfId="278" applyFont="1" applyFill="1" applyBorder="1" applyAlignment="1">
      <alignment horizontal="center" vertical="center" wrapText="1" readingOrder="1"/>
    </xf>
    <xf numFmtId="0" fontId="10" fillId="13" borderId="20" xfId="278" applyFont="1" applyFill="1" applyBorder="1" applyAlignment="1">
      <alignment horizontal="center" vertical="center" wrapText="1" readingOrder="1"/>
    </xf>
    <xf numFmtId="0" fontId="10" fillId="13" borderId="18" xfId="278" applyFont="1" applyFill="1" applyBorder="1" applyAlignment="1">
      <alignment horizontal="center" vertical="center" wrapText="1" readingOrder="1"/>
    </xf>
    <xf numFmtId="0" fontId="1" fillId="0" borderId="5" xfId="200" applyFont="1" applyFill="1" applyBorder="1" applyAlignment="1">
      <alignment horizontal="center" vertical="center"/>
    </xf>
    <xf numFmtId="0" fontId="1" fillId="0" borderId="7" xfId="200" applyFont="1" applyFill="1" applyBorder="1" applyAlignment="1">
      <alignment horizontal="center" vertical="center"/>
    </xf>
    <xf numFmtId="0" fontId="1" fillId="0" borderId="6" xfId="200" applyFont="1" applyFill="1" applyBorder="1" applyAlignment="1">
      <alignment horizontal="center" vertical="center"/>
    </xf>
    <xf numFmtId="187" fontId="1" fillId="0" borderId="1" xfId="0" applyNumberFormat="1" applyFont="1" applyBorder="1" applyAlignment="1">
      <alignment vertical="center" wrapText="1"/>
    </xf>
    <xf numFmtId="187" fontId="1" fillId="0" borderId="2" xfId="0" applyNumberFormat="1" applyFont="1" applyBorder="1" applyAlignment="1">
      <alignment vertical="center" wrapText="1"/>
    </xf>
    <xf numFmtId="0" fontId="1" fillId="3" borderId="5" xfId="0" applyFont="1" applyFill="1" applyBorder="1" applyAlignment="1">
      <alignment horizontal="center"/>
    </xf>
    <xf numFmtId="0" fontId="1" fillId="3" borderId="6" xfId="0" applyFont="1" applyFill="1" applyBorder="1" applyAlignment="1">
      <alignment horizontal="center"/>
    </xf>
    <xf numFmtId="0" fontId="1" fillId="3" borderId="7" xfId="0" applyFont="1" applyFill="1" applyBorder="1" applyAlignment="1">
      <alignment horizontal="center"/>
    </xf>
  </cellXfs>
  <cellStyles count="324">
    <cellStyle name="_Yanlian-CRS-CMMI ML4-SERVICE PLAN_20080408" xfId="40"/>
    <cellStyle name="_Yanlian-CRS-CMMI ML4-SERVICE PLAN_20080408 2" xfId="19"/>
    <cellStyle name="_项目度量管理模版323" xfId="44"/>
    <cellStyle name="_项目度量管理模版323 2" xfId="35"/>
    <cellStyle name="_项目预算模板(成本)" xfId="16"/>
    <cellStyle name="_项目预算模板(成本) 2" xfId="45"/>
    <cellStyle name="0,0_x000d__x000a_NA_x000d__x000a_" xfId="15"/>
    <cellStyle name="0,0_x000d__x000a_NA_x000d__x000a_ 2" xfId="48"/>
    <cellStyle name="20% - Accent1" xfId="42"/>
    <cellStyle name="20% - Accent1 2" xfId="32"/>
    <cellStyle name="20% - Accent2" xfId="27"/>
    <cellStyle name="20% - Accent2 2" xfId="22"/>
    <cellStyle name="20% - Accent3" xfId="29"/>
    <cellStyle name="20% - Accent3 2" xfId="25"/>
    <cellStyle name="20% - Accent4" xfId="3"/>
    <cellStyle name="20% - Accent4 2" xfId="50"/>
    <cellStyle name="20% - Accent5" xfId="51"/>
    <cellStyle name="20% - Accent5 2" xfId="52"/>
    <cellStyle name="20% - Accent6" xfId="53"/>
    <cellStyle name="20% - Accent6 2" xfId="54"/>
    <cellStyle name="20% - 强调文字颜色 1 2" xfId="55"/>
    <cellStyle name="20% - 强调文字颜色 2 2" xfId="56"/>
    <cellStyle name="20% - 强调文字颜色 3 2" xfId="58"/>
    <cellStyle name="20% - 强调文字颜色 4 2" xfId="60"/>
    <cellStyle name="20% - 强调文字颜色 5 2" xfId="62"/>
    <cellStyle name="20% - 强调文字颜色 6 2" xfId="63"/>
    <cellStyle name="40% - Accent1" xfId="64"/>
    <cellStyle name="40% - Accent1 2" xfId="65"/>
    <cellStyle name="40% - Accent2" xfId="66"/>
    <cellStyle name="40% - Accent2 2" xfId="67"/>
    <cellStyle name="40% - Accent3" xfId="68"/>
    <cellStyle name="40% - Accent3 2" xfId="69"/>
    <cellStyle name="40% - Accent4" xfId="72"/>
    <cellStyle name="40% - Accent4 2" xfId="75"/>
    <cellStyle name="40% - Accent5" xfId="77"/>
    <cellStyle name="40% - Accent5 2" xfId="78"/>
    <cellStyle name="40% - Accent6" xfId="80"/>
    <cellStyle name="40% - Accent6 2" xfId="82"/>
    <cellStyle name="40% - 强调文字颜色 1 2" xfId="84"/>
    <cellStyle name="40% - 强调文字颜色 2 2" xfId="85"/>
    <cellStyle name="40% - 强调文字颜色 3 2" xfId="86"/>
    <cellStyle name="40% - 强调文字颜色 4 2" xfId="21"/>
    <cellStyle name="40% - 强调文字颜色 5 2" xfId="87"/>
    <cellStyle name="40% - 强调文字颜色 6 2" xfId="88"/>
    <cellStyle name="60% - Accent1" xfId="89"/>
    <cellStyle name="60% - Accent1 2" xfId="90"/>
    <cellStyle name="60% - Accent2" xfId="93"/>
    <cellStyle name="60% - Accent2 2" xfId="95"/>
    <cellStyle name="60% - Accent3" xfId="97"/>
    <cellStyle name="60% - Accent3 2" xfId="100"/>
    <cellStyle name="60% - Accent4" xfId="102"/>
    <cellStyle name="60% - Accent4 2" xfId="104"/>
    <cellStyle name="60% - Accent5" xfId="107"/>
    <cellStyle name="60% - Accent5 2" xfId="108"/>
    <cellStyle name="60% - Accent6" xfId="110"/>
    <cellStyle name="60% - Accent6 2" xfId="111"/>
    <cellStyle name="60% - 强调文字颜色 1 2" xfId="113"/>
    <cellStyle name="60% - 强调文字颜色 2 2" xfId="115"/>
    <cellStyle name="60% - 强调文字颜色 3 2" xfId="116"/>
    <cellStyle name="60% - 强调文字颜色 4 2" xfId="118"/>
    <cellStyle name="60% - 强调文字颜色 5 2" xfId="119"/>
    <cellStyle name="60% - 强调文字颜色 6 2" xfId="120"/>
    <cellStyle name="Accent1" xfId="122"/>
    <cellStyle name="Accent1 - 20%" xfId="41"/>
    <cellStyle name="Accent1 - 20% 2" xfId="31"/>
    <cellStyle name="Accent1 - 40%" xfId="123"/>
    <cellStyle name="Accent1 - 40% 2" xfId="124"/>
    <cellStyle name="Accent1 - 60%" xfId="125"/>
    <cellStyle name="Accent1 - 60% 2" xfId="127"/>
    <cellStyle name="Accent1 2" xfId="128"/>
    <cellStyle name="Accent2" xfId="131"/>
    <cellStyle name="Accent2 - 20%" xfId="132"/>
    <cellStyle name="Accent2 - 20% 2" xfId="133"/>
    <cellStyle name="Accent2 - 40%" xfId="1"/>
    <cellStyle name="Accent2 - 40% 2" xfId="30"/>
    <cellStyle name="Accent2 - 60%" xfId="7"/>
    <cellStyle name="Accent2 - 60% 2" xfId="135"/>
    <cellStyle name="Accent2 2" xfId="137"/>
    <cellStyle name="Accent2 3" xfId="138"/>
    <cellStyle name="Accent3" xfId="139"/>
    <cellStyle name="Accent3 - 20%" xfId="141"/>
    <cellStyle name="Accent3 - 20% 2" xfId="142"/>
    <cellStyle name="Accent3 - 40%" xfId="143"/>
    <cellStyle name="Accent3 - 40% 2" xfId="144"/>
    <cellStyle name="Accent3 - 60%" xfId="146"/>
    <cellStyle name="Accent3 - 60% 2" xfId="147"/>
    <cellStyle name="Accent3 2" xfId="148"/>
    <cellStyle name="Accent4" xfId="149"/>
    <cellStyle name="Accent4 - 20%" xfId="151"/>
    <cellStyle name="Accent4 - 20% 2" xfId="152"/>
    <cellStyle name="Accent4 - 40%" xfId="153"/>
    <cellStyle name="Accent4 - 40% 2" xfId="156"/>
    <cellStyle name="Accent4 - 60%" xfId="157"/>
    <cellStyle name="Accent4 - 60% 2" xfId="158"/>
    <cellStyle name="Accent4 2" xfId="160"/>
    <cellStyle name="Accent5" xfId="161"/>
    <cellStyle name="Accent5 - 20%" xfId="162"/>
    <cellStyle name="Accent5 - 20% 2" xfId="163"/>
    <cellStyle name="Accent5 - 40%" xfId="164"/>
    <cellStyle name="Accent5 - 40% 2" xfId="166"/>
    <cellStyle name="Accent5 - 60%" xfId="168"/>
    <cellStyle name="Accent5 - 60% 2" xfId="170"/>
    <cellStyle name="Accent5 2" xfId="140"/>
    <cellStyle name="Accent6" xfId="159"/>
    <cellStyle name="Accent6 - 20%" xfId="171"/>
    <cellStyle name="Accent6 - 20% 2" xfId="172"/>
    <cellStyle name="Accent6 - 40%" xfId="155"/>
    <cellStyle name="Accent6 - 40% 2" xfId="173"/>
    <cellStyle name="Accent6 - 60%" xfId="174"/>
    <cellStyle name="Accent6 - 60% 2" xfId="2"/>
    <cellStyle name="Accent6 2" xfId="17"/>
    <cellStyle name="Bad" xfId="99"/>
    <cellStyle name="Bad 2" xfId="175"/>
    <cellStyle name="Calc Currency (0)" xfId="176"/>
    <cellStyle name="Calc Currency (0) 2" xfId="177"/>
    <cellStyle name="Calculation" xfId="43"/>
    <cellStyle name="Calculation 2" xfId="34"/>
    <cellStyle name="Check Cell" xfId="179"/>
    <cellStyle name="Check Cell 2" xfId="181"/>
    <cellStyle name="Emphasis 1" xfId="10"/>
    <cellStyle name="Emphasis 1 2" xfId="145"/>
    <cellStyle name="Emphasis 2" xfId="182"/>
    <cellStyle name="Emphasis 2 2" xfId="39"/>
    <cellStyle name="Emphasis 3" xfId="183"/>
    <cellStyle name="Emphasis 3 2" xfId="184"/>
    <cellStyle name="Explanatory Text" xfId="186"/>
    <cellStyle name="Explanatory Text 2" xfId="188"/>
    <cellStyle name="Good" xfId="191"/>
    <cellStyle name="Good 2" xfId="192"/>
    <cellStyle name="Grey" xfId="47"/>
    <cellStyle name="Grey 2" xfId="193"/>
    <cellStyle name="Header1" xfId="195"/>
    <cellStyle name="Header2" xfId="196"/>
    <cellStyle name="Heading 1" xfId="199"/>
    <cellStyle name="Heading 1 2" xfId="202"/>
    <cellStyle name="Heading 2" xfId="57"/>
    <cellStyle name="Heading 2 2" xfId="203"/>
    <cellStyle name="Heading 3" xfId="24"/>
    <cellStyle name="Heading 3 2" xfId="38"/>
    <cellStyle name="Heading 4" xfId="112"/>
    <cellStyle name="Heading 4 2" xfId="204"/>
    <cellStyle name="Input" xfId="20"/>
    <cellStyle name="Input [yellow]" xfId="205"/>
    <cellStyle name="Input [yellow] 2" xfId="206"/>
    <cellStyle name="Input 2" xfId="5"/>
    <cellStyle name="Input_2011年佰钧成组织度量数据表-提交" xfId="207"/>
    <cellStyle name="Linked Cell" xfId="209"/>
    <cellStyle name="Linked Cell 2" xfId="210"/>
    <cellStyle name="LISAM" xfId="194"/>
    <cellStyle name="LISAM 2" xfId="130"/>
    <cellStyle name="Milliers [0]_1" xfId="211"/>
    <cellStyle name="Milliers_1" xfId="213"/>
    <cellStyle name="Mon閠aire [0]_1OP" xfId="214"/>
    <cellStyle name="Mon閠aire_10]" xfId="216"/>
    <cellStyle name="Neutral" xfId="117"/>
    <cellStyle name="Neutral 2" xfId="217"/>
    <cellStyle name="no dec" xfId="33"/>
    <cellStyle name="no dec 2" xfId="220"/>
    <cellStyle name="Normal - Style1" xfId="71"/>
    <cellStyle name="Normal - Style1 2" xfId="74"/>
    <cellStyle name="Normal_#18-Internet" xfId="83"/>
    <cellStyle name="Note" xfId="221"/>
    <cellStyle name="Note 2" xfId="223"/>
    <cellStyle name="Output" xfId="224"/>
    <cellStyle name="Output 2" xfId="225"/>
    <cellStyle name="Percent [2]" xfId="226"/>
    <cellStyle name="Percent [2] 2" xfId="227"/>
    <cellStyle name="Sheet Title" xfId="165"/>
    <cellStyle name="Sheet Title 2" xfId="228"/>
    <cellStyle name="style" xfId="229"/>
    <cellStyle name="Style 1" xfId="231"/>
    <cellStyle name="Style 1 2" xfId="232"/>
    <cellStyle name="style 2" xfId="233"/>
    <cellStyle name="style1" xfId="234"/>
    <cellStyle name="style2" xfId="219"/>
    <cellStyle name="Title" xfId="236"/>
    <cellStyle name="Title 2" xfId="92"/>
    <cellStyle name="Total" xfId="237"/>
    <cellStyle name="Total 2" xfId="238"/>
    <cellStyle name="Warning Text" xfId="218"/>
    <cellStyle name="Warning Text 2" xfId="239"/>
    <cellStyle name="ハイパーリンク" xfId="70"/>
    <cellStyle name="ハイパーリンク 2" xfId="73"/>
    <cellStyle name="百分比 2" xfId="241"/>
    <cellStyle name="百分比 2 2" xfId="242"/>
    <cellStyle name="百分比 2 2 2" xfId="150"/>
    <cellStyle name="百分比 2 3" xfId="243"/>
    <cellStyle name="百分比 3" xfId="244"/>
    <cellStyle name="百分比 4" xfId="13"/>
    <cellStyle name="百分比 5" xfId="14"/>
    <cellStyle name="版本" xfId="245"/>
    <cellStyle name="捠壿 [0.00]_1997 Turns杮" xfId="246"/>
    <cellStyle name="捠壿_1997 Turns7 Tu" xfId="247"/>
    <cellStyle name="标题 1 1" xfId="249"/>
    <cellStyle name="标题 1 2" xfId="250"/>
    <cellStyle name="标题 2 1" xfId="252"/>
    <cellStyle name="标题 2 2" xfId="46"/>
    <cellStyle name="标题 3 2" xfId="253"/>
    <cellStyle name="标题 4 2" xfId="254"/>
    <cellStyle name="标题 5" xfId="222"/>
    <cellStyle name="標準_22_画面設計書" xfId="255"/>
    <cellStyle name="表示済みのハイパーリンク" xfId="256"/>
    <cellStyle name="表示済みのハイパーリンク 2" xfId="18"/>
    <cellStyle name="差 2" xfId="257"/>
    <cellStyle name="差_CIENET-CRS-CMMI ML5-SERVICE PLAN_20071027" xfId="259"/>
    <cellStyle name="差_CIENET-CRS-CMMI ML5-SERVICE PLAN_20071027 2" xfId="260"/>
    <cellStyle name="差_CIENET-CRS-CMMI ML5-SERVICE PLAN_20071209" xfId="261"/>
    <cellStyle name="差_CIENET-CRS-CMMI ML5-SERVICE PLAN_20071209 2" xfId="230"/>
    <cellStyle name="差_MySoft-CRS-CMMI ML3-ServicePlan-20080118" xfId="198"/>
    <cellStyle name="差_MySoft-CRS-CMMI ML3-ServicePlan-20080118 2" xfId="201"/>
    <cellStyle name="差_NEWYULONG-CRS-CMMI ML5-SERVICE PLAN_20071125" xfId="248"/>
    <cellStyle name="差_NEWYULONG-CRS-CMMI ML5-SERVICE PLAN_20071125 2" xfId="262"/>
    <cellStyle name="差_PROJ-04-T02C 项目里程碑报告" xfId="263"/>
    <cellStyle name="差_PROJ-04-T02C 项目里程碑报告 2" xfId="264"/>
    <cellStyle name="差_REF-TEMP-PMC-项目周报" xfId="265"/>
    <cellStyle name="差_REF-TEMP-PMC-项目周报 2" xfId="212"/>
    <cellStyle name="差_YD_OPM_STANDARD_OSSP过程文档体系文件编写规范_样式" xfId="266"/>
    <cellStyle name="差_YD_OPM_STANDARD_OSSP过程文档体系文件编写规范_样式 2" xfId="267"/>
    <cellStyle name="差_决策分析" xfId="269"/>
    <cellStyle name="差_决策分析 2" xfId="26"/>
    <cellStyle name="常规" xfId="0" builtinId="0"/>
    <cellStyle name="常规 10" xfId="190"/>
    <cellStyle name="常规 11" xfId="270"/>
    <cellStyle name="常规 12" xfId="167"/>
    <cellStyle name="常规 12 2" xfId="169"/>
    <cellStyle name="常规 13" xfId="272"/>
    <cellStyle name="常规 13 2" xfId="258"/>
    <cellStyle name="常规 14" xfId="273"/>
    <cellStyle name="常规 14 2" xfId="274"/>
    <cellStyle name="常规 15" xfId="178"/>
    <cellStyle name="常规 16" xfId="275"/>
    <cellStyle name="常规 2" xfId="235"/>
    <cellStyle name="常规 2 2" xfId="91"/>
    <cellStyle name="常规 2 2 12" xfId="276"/>
    <cellStyle name="常规 2 2 2" xfId="94"/>
    <cellStyle name="常规 2 3" xfId="96"/>
    <cellStyle name="常规 2 3 2" xfId="98"/>
    <cellStyle name="常规 2 4" xfId="101"/>
    <cellStyle name="常规 2 4 2" xfId="103"/>
    <cellStyle name="常规 2 5" xfId="106"/>
    <cellStyle name="常规 2 6" xfId="109"/>
    <cellStyle name="常规 2_ODC属性分类和评估" xfId="277"/>
    <cellStyle name="常规 3" xfId="59"/>
    <cellStyle name="常规 3 2" xfId="278"/>
    <cellStyle name="常规 3 2 2" xfId="279"/>
    <cellStyle name="常规 3 3" xfId="154"/>
    <cellStyle name="常规 3 4" xfId="280"/>
    <cellStyle name="常规 3_2011年佰钧成组织度量数据表-提交" xfId="180"/>
    <cellStyle name="常规 4" xfId="49"/>
    <cellStyle name="常规 4 2" xfId="282"/>
    <cellStyle name="常规 4_测试和验收流程" xfId="283"/>
    <cellStyle name="常规 5" xfId="114"/>
    <cellStyle name="常规 6" xfId="12"/>
    <cellStyle name="常规 7" xfId="284"/>
    <cellStyle name="常规 8" xfId="81"/>
    <cellStyle name="常规 9" xfId="285"/>
    <cellStyle name="常规_PIM003 AMS项目度量数据表" xfId="200"/>
    <cellStyle name="常规_PIM003 AMS项目度量数据表 3" xfId="187"/>
    <cellStyle name="常规_PM_PR_20020401" xfId="286"/>
    <cellStyle name="常规_sst3A1" xfId="287"/>
    <cellStyle name="常规_度量数据收集参考列表-V0.1" xfId="288"/>
    <cellStyle name="常规_原始数据 2" xfId="126"/>
    <cellStyle name="超链接" xfId="8" builtinId="8"/>
    <cellStyle name="超链接 2" xfId="134"/>
    <cellStyle name="超链接 3" xfId="289"/>
    <cellStyle name="超链接 4" xfId="290"/>
    <cellStyle name="超链接 5" xfId="291"/>
    <cellStyle name="超链接 6" xfId="292"/>
    <cellStyle name="超链接 7" xfId="293"/>
    <cellStyle name="超链接 8" xfId="268"/>
    <cellStyle name="超链接 9" xfId="189"/>
    <cellStyle name="好 2" xfId="294"/>
    <cellStyle name="好_CIENET-CRS-CMMI ML5-SERVICE PLAN_20071027" xfId="295"/>
    <cellStyle name="好_CIENET-CRS-CMMI ML5-SERVICE PLAN_20071027 2" xfId="296"/>
    <cellStyle name="好_CIENET-CRS-CMMI ML5-SERVICE PLAN_20071209" xfId="297"/>
    <cellStyle name="好_CIENET-CRS-CMMI ML5-SERVICE PLAN_20071209 2" xfId="298"/>
    <cellStyle name="好_MySoft-CRS-CMMI ML3-ServicePlan-20080118" xfId="129"/>
    <cellStyle name="好_MySoft-CRS-CMMI ML3-ServicePlan-20080118 2" xfId="136"/>
    <cellStyle name="好_NEWYULONG-CRS-CMMI ML5-SERVICE PLAN_20071125" xfId="300"/>
    <cellStyle name="好_NEWYULONG-CRS-CMMI ML5-SERVICE PLAN_20071125 2" xfId="11"/>
    <cellStyle name="好_PROJ-04-T02C 项目里程碑报告" xfId="9"/>
    <cellStyle name="好_PROJ-04-T02C 项目里程碑报告 2" xfId="240"/>
    <cellStyle name="好_REF-TEMP-PMC-项目周报" xfId="301"/>
    <cellStyle name="好_REF-TEMP-PMC-项目周报 2" xfId="271"/>
    <cellStyle name="好_YD_OPM_STANDARD_OSSP过程文档体系文件编写规范_样式" xfId="251"/>
    <cellStyle name="好_YD_OPM_STANDARD_OSSP过程文档体系文件编写规范_样式 2" xfId="299"/>
    <cellStyle name="好_决策分析" xfId="302"/>
    <cellStyle name="好_决策分析 2" xfId="303"/>
    <cellStyle name="汇总 2" xfId="304"/>
    <cellStyle name="计算 2" xfId="4"/>
    <cellStyle name="检查单元格 2" xfId="208"/>
    <cellStyle name="解释性文本 2" xfId="305"/>
    <cellStyle name="禁止写入" xfId="306"/>
    <cellStyle name="警告文本 2" xfId="76"/>
    <cellStyle name="链接单元格 2" xfId="307"/>
    <cellStyle name="普通_expenses_AR-ITD (2)" xfId="23"/>
    <cellStyle name="强调文字颜色 1 2" xfId="185"/>
    <cellStyle name="强调文字颜色 2 2" xfId="308"/>
    <cellStyle name="强调文字颜色 3 2" xfId="309"/>
    <cellStyle name="强调文字颜色 4 2" xfId="105"/>
    <cellStyle name="强调文字颜色 5 2" xfId="310"/>
    <cellStyle name="强调文字颜色 6 2" xfId="311"/>
    <cellStyle name="日期" xfId="6"/>
    <cellStyle name="适中 2" xfId="37"/>
    <cellStyle name="输出 2" xfId="28"/>
    <cellStyle name="输入 2" xfId="313"/>
    <cellStyle name="填充色1" xfId="314"/>
    <cellStyle name="填充色2" xfId="61"/>
    <cellStyle name="样式 1" xfId="315"/>
    <cellStyle name="样式 1 2" xfId="316"/>
    <cellStyle name="一般_CPK" xfId="317"/>
    <cellStyle name="昗弨_1997 Turns7 Tu" xfId="318"/>
    <cellStyle name="正文" xfId="312"/>
    <cellStyle name="寘嬫愗傝 [0.00]_1997 Turnsyns Wins" xfId="197"/>
    <cellStyle name="寘嬫愗傝_1997 Turns7 Turnsy" xfId="215"/>
    <cellStyle name="注释 2" xfId="319"/>
    <cellStyle name="注释 2 2" xfId="320"/>
    <cellStyle name="注释 3" xfId="321"/>
    <cellStyle name="自动填写" xfId="36"/>
    <cellStyle name="콤마 [0]_laroux" xfId="281"/>
    <cellStyle name="콤마_laroux" xfId="79"/>
    <cellStyle name="통화 [0]_laroux" xfId="121"/>
    <cellStyle name="통화_laroux" xfId="322"/>
    <cellStyle name="표준_AP" xfId="323"/>
  </cellStyles>
  <dxfs count="43">
    <dxf>
      <fill>
        <patternFill patternType="solid">
          <bgColor theme="5" tint="0.79995117038483843"/>
        </patternFill>
      </fill>
    </dxf>
    <dxf>
      <fill>
        <patternFill patternType="solid">
          <bgColor theme="6" tint="0.59996337778862885"/>
        </patternFill>
      </fill>
    </dxf>
    <dxf>
      <fill>
        <patternFill patternType="solid">
          <bgColor theme="6" tint="0.59996337778862885"/>
        </patternFill>
      </fill>
    </dxf>
    <dxf>
      <fill>
        <patternFill patternType="solid">
          <bgColor theme="5" tint="0.79995117038483843"/>
        </patternFill>
      </fill>
    </dxf>
    <dxf>
      <fill>
        <patternFill patternType="solid">
          <bgColor theme="6" tint="0.59996337778862885"/>
        </patternFill>
      </fill>
    </dxf>
    <dxf>
      <fill>
        <patternFill patternType="solid">
          <bgColor theme="5" tint="0.79995117038483843"/>
        </patternFill>
      </fill>
    </dxf>
    <dxf>
      <fill>
        <patternFill patternType="solid">
          <bgColor theme="5" tint="0.79995117038483843"/>
        </patternFill>
      </fill>
    </dxf>
    <dxf>
      <fill>
        <patternFill patternType="solid">
          <bgColor theme="6" tint="0.59996337778862885"/>
        </patternFill>
      </fill>
    </dxf>
    <dxf>
      <fill>
        <patternFill patternType="solid">
          <bgColor theme="6" tint="0.59996337778862885"/>
        </patternFill>
      </fill>
    </dxf>
    <dxf>
      <fill>
        <patternFill patternType="solid">
          <bgColor theme="5" tint="0.79995117038483843"/>
        </patternFill>
      </fill>
    </dxf>
    <dxf>
      <fill>
        <patternFill patternType="solid">
          <bgColor theme="6" tint="0.59996337778862885"/>
        </patternFill>
      </fill>
    </dxf>
    <dxf>
      <fill>
        <patternFill patternType="solid">
          <bgColor theme="5" tint="0.79995117038483843"/>
        </patternFill>
      </fill>
    </dxf>
    <dxf>
      <fill>
        <patternFill patternType="solid">
          <bgColor theme="6" tint="0.59996337778862885"/>
        </patternFill>
      </fill>
    </dxf>
    <dxf>
      <fill>
        <patternFill patternType="solid">
          <bgColor theme="5" tint="0.59996337778862885"/>
        </patternFill>
      </fill>
    </dxf>
    <dxf>
      <fill>
        <patternFill patternType="solid">
          <bgColor theme="5" tint="0.59996337778862885"/>
        </patternFill>
      </fill>
    </dxf>
    <dxf>
      <fill>
        <patternFill patternType="solid">
          <bgColor theme="6" tint="0.39991454817346722"/>
        </patternFill>
      </fill>
    </dxf>
    <dxf>
      <fill>
        <patternFill patternType="solid">
          <bgColor theme="5" tint="0.79995117038483843"/>
        </patternFill>
      </fill>
    </dxf>
    <dxf>
      <fill>
        <patternFill patternType="solid">
          <bgColor theme="6" tint="0.59996337778862885"/>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s>
  <tableStyles count="0" defaultTableStyle="TableStyleMedium2"/>
  <colors>
    <mruColors>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4.xml.rels><?xml version="1.0" encoding="UTF-8" standalone="yes"?>
<Relationships xmlns="http://schemas.openxmlformats.org/package/2006/relationships"><Relationship Id="rId1" Type="http://schemas.openxmlformats.org/officeDocument/2006/relationships/image" Target="../media/image2.jpeg"/></Relationships>
</file>

<file path=xl/charts/_rels/chart6.xml.rels><?xml version="1.0" encoding="UTF-8" standalone="yes"?>
<Relationships xmlns="http://schemas.openxmlformats.org/package/2006/relationships"><Relationship Id="rId1" Type="http://schemas.openxmlformats.org/officeDocument/2006/relationships/image" Target="../media/image2.jpeg"/></Relationships>
</file>

<file path=xl/charts/_rels/chart7.xml.rels><?xml version="1.0" encoding="UTF-8" standalone="yes"?>
<Relationships xmlns="http://schemas.openxmlformats.org/package/2006/relationships"><Relationship Id="rId1" Type="http://schemas.openxmlformats.org/officeDocument/2006/relationships/image" Target="../media/image2.jpeg"/></Relationships>
</file>

<file path=xl/charts/_rels/chart8.xml.rels><?xml version="1.0" encoding="UTF-8" standalone="yes"?>
<Relationships xmlns="http://schemas.openxmlformats.org/package/2006/relationships"><Relationship Id="rId1" Type="http://schemas.openxmlformats.org/officeDocument/2006/relationships/image" Target="../media/image2.jpeg"/></Relationships>
</file>

<file path=xl/charts/_rels/chart9.xml.rels><?xml version="1.0" encoding="UTF-8" standalone="yes"?>
<Relationships xmlns="http://schemas.openxmlformats.org/package/2006/relationships"><Relationship Id="rId1" Type="http://schemas.openxmlformats.org/officeDocument/2006/relationships/image" Target="../media/image2.jpeg"/></Relationships>
</file>

<file path=xl/charts/_rels/chart10.xml.rels><?xml version="1.0" encoding="UTF-8" standalone="yes"?>
<Relationships xmlns="http://schemas.openxmlformats.org/package/2006/relationships"><Relationship Id="rId1" Type="http://schemas.openxmlformats.org/officeDocument/2006/relationships/image" Target="../media/image2.jpeg"/></Relationships>
</file>

<file path=xl/charts/_rels/chart11.xml.rels><?xml version="1.0" encoding="UTF-8" standalone="yes"?>
<Relationships xmlns="http://schemas.openxmlformats.org/package/2006/relationships"><Relationship Id="rId1" Type="http://schemas.openxmlformats.org/officeDocument/2006/relationships/image" Target="../media/image2.jpeg"/></Relationships>
</file>

<file path=xl/charts/_rels/chart15.xml.rels><?xml version="1.0" encoding="UTF-8" standalone="yes"?>
<Relationships xmlns="http://schemas.openxmlformats.org/package/2006/relationships"><Relationship Id="rId1" Type="http://schemas.openxmlformats.org/officeDocument/2006/relationships/image" Target="../media/image2.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客户需求</a:t>
            </a:r>
            <a:r>
              <a:rPr lang="zh-CN" altLang="zh-CN" sz="1100" b="1" i="0" u="none" strike="noStrike" baseline="0">
                <a:effectLst/>
              </a:rPr>
              <a:t>各阶段</a:t>
            </a:r>
            <a:r>
              <a:rPr lang="zh-CN" altLang="en-US" sz="1100"/>
              <a:t>稳定度图表</a:t>
            </a:r>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需求!$N$10:$N$14</c:f>
              <c:strCache>
                <c:ptCount val="5"/>
                <c:pt idx="0">
                  <c:v>需求阶段</c:v>
                </c:pt>
                <c:pt idx="1">
                  <c:v>设计阶段</c:v>
                </c:pt>
                <c:pt idx="2">
                  <c:v>开发阶段</c:v>
                </c:pt>
                <c:pt idx="3">
                  <c:v>测试阶段</c:v>
                </c:pt>
                <c:pt idx="4">
                  <c:v>验收阶段</c:v>
                </c:pt>
              </c:strCache>
            </c:strRef>
          </c:cat>
          <c:val>
            <c:numRef>
              <c:f>需求!$O$10:$O$14</c:f>
              <c:numCache>
                <c:formatCode>General</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133683712"/>
        <c:axId val="128682816"/>
      </c:barChart>
      <c:catAx>
        <c:axId val="13368371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28682816"/>
        <c:crosses val="autoZero"/>
        <c:auto val="1"/>
        <c:lblAlgn val="ctr"/>
        <c:lblOffset val="100"/>
        <c:noMultiLvlLbl val="0"/>
      </c:catAx>
      <c:valAx>
        <c:axId val="128682816"/>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3368371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1"/>
            <c:bubble3D val="0"/>
          </c:dPt>
          <c:dPt>
            <c:idx val="4"/>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需求!$N$22:$N$26</c:f>
              <c:strCache>
                <c:ptCount val="5"/>
                <c:pt idx="0">
                  <c:v>需求阶段</c:v>
                </c:pt>
                <c:pt idx="1">
                  <c:v>设计阶段</c:v>
                </c:pt>
                <c:pt idx="2">
                  <c:v>开发阶段</c:v>
                </c:pt>
                <c:pt idx="3">
                  <c:v>测试阶段</c:v>
                </c:pt>
                <c:pt idx="4">
                  <c:v>验收阶段</c:v>
                </c:pt>
              </c:strCache>
            </c:strRef>
          </c:cat>
          <c:val>
            <c:numRef>
              <c:f>需求!$O$22:$O$26</c:f>
              <c:numCache>
                <c:formatCode>General</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181522432"/>
        <c:axId val="128683968"/>
      </c:barChart>
      <c:catAx>
        <c:axId val="18152243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28683968"/>
        <c:crosses val="autoZero"/>
        <c:auto val="1"/>
        <c:lblAlgn val="ctr"/>
        <c:lblOffset val="100"/>
        <c:noMultiLvlLbl val="0"/>
      </c:catAx>
      <c:valAx>
        <c:axId val="12868396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8152243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累计各阶段工作量偏差</a:t>
            </a:r>
          </a:p>
        </c:rich>
      </c:tx>
      <c:layout/>
      <c:overlay val="0"/>
    </c:title>
    <c:autoTitleDeleted val="0"/>
    <c:plotArea>
      <c:layout/>
      <c:barChart>
        <c:barDir val="col"/>
        <c:grouping val="clustered"/>
        <c:varyColors val="1"/>
        <c:ser>
          <c:idx val="0"/>
          <c:order val="0"/>
          <c:invertIfNegative val="1"/>
          <c:dPt>
            <c:idx val="0"/>
            <c:invertIfNegative val="1"/>
            <c:bubble3D val="0"/>
            <c:spPr>
              <a:solidFill>
                <a:srgbClr val="7030A0"/>
              </a:solidFill>
            </c:spPr>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cat>
            <c:strRef>
              <c:f>工作量分布!$O$22:$O$27</c:f>
              <c:strCache>
                <c:ptCount val="6"/>
                <c:pt idx="0">
                  <c:v>需求阶段</c:v>
                </c:pt>
                <c:pt idx="1">
                  <c:v>设计阶段</c:v>
                </c:pt>
                <c:pt idx="3">
                  <c:v>编码及单元测试</c:v>
                </c:pt>
                <c:pt idx="4">
                  <c:v>测试阶段</c:v>
                </c:pt>
                <c:pt idx="5">
                  <c:v>验收阶段</c:v>
                </c:pt>
              </c:strCache>
            </c:strRef>
          </c:cat>
          <c:val>
            <c:numRef>
              <c:f>工作量分布!$P$22:$P$27</c:f>
              <c:numCache>
                <c:formatCode>0.00%</c:formatCode>
                <c:ptCount val="6"/>
                <c:pt idx="0">
                  <c:v>0</c:v>
                </c:pt>
                <c:pt idx="1">
                  <c:v>0</c:v>
                </c:pt>
                <c:pt idx="3">
                  <c:v>0</c:v>
                </c:pt>
                <c:pt idx="4">
                  <c:v>0</c:v>
                </c:pt>
                <c:pt idx="5">
                  <c:v>0</c:v>
                </c:pt>
              </c:numCache>
            </c:numRef>
          </c:val>
        </c:ser>
        <c:dLbls>
          <c:showLegendKey val="0"/>
          <c:showVal val="0"/>
          <c:showCatName val="0"/>
          <c:showSerName val="0"/>
          <c:showPercent val="0"/>
          <c:showBubbleSize val="0"/>
        </c:dLbls>
        <c:gapWidth val="150"/>
        <c:axId val="181524992"/>
        <c:axId val="128685696"/>
      </c:barChart>
      <c:catAx>
        <c:axId val="18152499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28685696"/>
        <c:crosses val="autoZero"/>
        <c:auto val="1"/>
        <c:lblAlgn val="ctr"/>
        <c:lblOffset val="100"/>
        <c:noMultiLvlLbl val="0"/>
      </c:catAx>
      <c:valAx>
        <c:axId val="128685696"/>
        <c:scaling>
          <c:orientation val="minMax"/>
        </c:scaling>
        <c:delete val="0"/>
        <c:axPos val="l"/>
        <c:majorGridlines/>
        <c:numFmt formatCode="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8152499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阶段单位规模工作量的控制图</a:t>
            </a:r>
            <a:endParaRPr lang="en-US" altLang="zh-CN"/>
          </a:p>
        </c:rich>
      </c:tx>
      <c:layout/>
      <c:overlay val="0"/>
    </c:title>
    <c:autoTitleDeleted val="0"/>
    <c:plotArea>
      <c:layout/>
      <c:lineChart>
        <c:grouping val="standard"/>
        <c:varyColors val="0"/>
        <c:ser>
          <c:idx val="0"/>
          <c:order val="0"/>
          <c:tx>
            <c:strRef>
              <c:f>工作量分布!$D$21</c:f>
              <c:strCache>
                <c:ptCount val="1"/>
                <c:pt idx="0">
                  <c:v>LOL</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工作量分布!$E$21:$I$21</c:f>
              <c:numCache>
                <c:formatCode>0.0000_ </c:formatCode>
                <c:ptCount val="5"/>
                <c:pt idx="0">
                  <c:v>0</c:v>
                </c:pt>
                <c:pt idx="1">
                  <c:v>1.5E-3</c:v>
                </c:pt>
                <c:pt idx="2">
                  <c:v>7.9474874860599995E-2</c:v>
                </c:pt>
                <c:pt idx="3">
                  <c:v>0.09</c:v>
                </c:pt>
                <c:pt idx="4">
                  <c:v>0</c:v>
                </c:pt>
              </c:numCache>
            </c:numRef>
          </c:val>
          <c:smooth val="0"/>
        </c:ser>
        <c:ser>
          <c:idx val="1"/>
          <c:order val="1"/>
          <c:tx>
            <c:strRef>
              <c:f>工作量分布!$D$22</c:f>
              <c:strCache>
                <c:ptCount val="1"/>
                <c:pt idx="0">
                  <c:v>OL</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工作量分布!$E$22:$I$22</c:f>
              <c:numCache>
                <c:formatCode>0.0000_ </c:formatCode>
                <c:ptCount val="5"/>
                <c:pt idx="0">
                  <c:v>0.55000000000000004</c:v>
                </c:pt>
                <c:pt idx="1">
                  <c:v>0.34710524803163401</c:v>
                </c:pt>
                <c:pt idx="2">
                  <c:v>0.96250000000000002</c:v>
                </c:pt>
                <c:pt idx="3">
                  <c:v>0.80957050162269195</c:v>
                </c:pt>
                <c:pt idx="4">
                  <c:v>0.12916399609051399</c:v>
                </c:pt>
              </c:numCache>
            </c:numRef>
          </c:val>
          <c:smooth val="0"/>
        </c:ser>
        <c:ser>
          <c:idx val="2"/>
          <c:order val="2"/>
          <c:tx>
            <c:strRef>
              <c:f>工作量分布!$D$23</c:f>
              <c:strCache>
                <c:ptCount val="1"/>
                <c:pt idx="0">
                  <c:v>UOL</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工作量分布!$E$23:$I$23</c:f>
              <c:numCache>
                <c:formatCode>0.0000_ </c:formatCode>
                <c:ptCount val="5"/>
                <c:pt idx="0">
                  <c:v>1.49306241508338</c:v>
                </c:pt>
                <c:pt idx="1">
                  <c:v>0.69269999999999998</c:v>
                </c:pt>
                <c:pt idx="2">
                  <c:v>1.8455251251394</c:v>
                </c:pt>
                <c:pt idx="3">
                  <c:v>1.5289999999999999</c:v>
                </c:pt>
                <c:pt idx="4">
                  <c:v>0.284224653629359</c:v>
                </c:pt>
              </c:numCache>
            </c:numRef>
          </c:val>
          <c:smooth val="0"/>
        </c:ser>
        <c:ser>
          <c:idx val="3"/>
          <c:order val="3"/>
          <c:tx>
            <c:strRef>
              <c:f>工作量分布!$D$24</c:f>
              <c:strCache>
                <c:ptCount val="1"/>
                <c:pt idx="0">
                  <c:v>计划数据</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工作量分布!$E$24:$I$24</c:f>
              <c:numCache>
                <c:formatCode>General</c:formatCode>
                <c:ptCount val="5"/>
                <c:pt idx="0">
                  <c:v>0</c:v>
                </c:pt>
                <c:pt idx="1">
                  <c:v>0</c:v>
                </c:pt>
                <c:pt idx="2">
                  <c:v>0</c:v>
                </c:pt>
                <c:pt idx="3">
                  <c:v>0</c:v>
                </c:pt>
                <c:pt idx="4">
                  <c:v>0</c:v>
                </c:pt>
              </c:numCache>
            </c:numRef>
          </c:val>
          <c:smooth val="0"/>
        </c:ser>
        <c:ser>
          <c:idx val="4"/>
          <c:order val="4"/>
          <c:tx>
            <c:strRef>
              <c:f>工作量分布!$D$25</c:f>
              <c:strCache>
                <c:ptCount val="1"/>
                <c:pt idx="0">
                  <c:v>实际数据</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工作量分布!$E$25:$I$25</c:f>
              <c:numCache>
                <c:formatCode>General</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184155136"/>
        <c:axId val="128687424"/>
      </c:lineChart>
      <c:catAx>
        <c:axId val="18415513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28687424"/>
        <c:crosses val="autoZero"/>
        <c:auto val="1"/>
        <c:lblAlgn val="ctr"/>
        <c:lblOffset val="100"/>
        <c:noMultiLvlLbl val="0"/>
      </c:catAx>
      <c:valAx>
        <c:axId val="12868742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8415513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估算之前的偏差</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项目进度!$I$41:$I$43</c:f>
              <c:strCache>
                <c:ptCount val="3"/>
                <c:pt idx="0">
                  <c:v> 量级估算与预算估算偏差</c:v>
                </c:pt>
                <c:pt idx="1">
                  <c:v>预算估算与确定性估算偏差</c:v>
                </c:pt>
                <c:pt idx="2">
                  <c:v>预算估算与确定性偏差</c:v>
                </c:pt>
              </c:strCache>
            </c:strRef>
          </c:cat>
          <c:val>
            <c:numRef>
              <c:f>项目进度!$J$41:$J$43</c:f>
              <c:numCache>
                <c:formatCode>General</c:formatCode>
                <c:ptCount val="3"/>
                <c:pt idx="0" formatCode="0_ ">
                  <c:v>0</c:v>
                </c:pt>
                <c:pt idx="1">
                  <c:v>0</c:v>
                </c:pt>
                <c:pt idx="2">
                  <c:v>0</c:v>
                </c:pt>
              </c:numCache>
            </c:numRef>
          </c:val>
        </c:ser>
        <c:dLbls>
          <c:showLegendKey val="0"/>
          <c:showVal val="0"/>
          <c:showCatName val="0"/>
          <c:showSerName val="0"/>
          <c:showPercent val="0"/>
          <c:showBubbleSize val="0"/>
        </c:dLbls>
        <c:gapWidth val="150"/>
        <c:axId val="185206272"/>
        <c:axId val="260466368"/>
      </c:barChart>
      <c:catAx>
        <c:axId val="185206272"/>
        <c:scaling>
          <c:orientation val="minMax"/>
        </c:scaling>
        <c:delete val="1"/>
        <c:axPos val="b"/>
        <c:numFmt formatCode="General" sourceLinked="0"/>
        <c:majorTickMark val="out"/>
        <c:minorTickMark val="none"/>
        <c:tickLblPos val="nextTo"/>
        <c:crossAx val="260466368"/>
        <c:crosses val="autoZero"/>
        <c:auto val="1"/>
        <c:lblAlgn val="ctr"/>
        <c:lblOffset val="100"/>
        <c:noMultiLvlLbl val="0"/>
      </c:catAx>
      <c:valAx>
        <c:axId val="260466368"/>
        <c:scaling>
          <c:orientation val="minMax"/>
        </c:scaling>
        <c:delete val="0"/>
        <c:axPos val="l"/>
        <c:majorGridlines/>
        <c:numFmt formatCode="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8520627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进度偏差的控制图</a:t>
            </a:r>
            <a:endParaRPr lang="en-US" altLang="zh-CN"/>
          </a:p>
        </c:rich>
      </c:tx>
      <c:overlay val="0"/>
    </c:title>
    <c:autoTitleDeleted val="0"/>
    <c:plotArea>
      <c:layout/>
      <c:lineChart>
        <c:grouping val="standard"/>
        <c:varyColors val="0"/>
        <c:ser>
          <c:idx val="0"/>
          <c:order val="0"/>
          <c:tx>
            <c:strRef>
              <c:f>项目进度!$B$14</c:f>
              <c:strCache>
                <c:ptCount val="1"/>
                <c:pt idx="0">
                  <c:v>LOL</c:v>
                </c:pt>
              </c:strCache>
            </c:strRef>
          </c:tx>
          <c:cat>
            <c:strRef>
              <c:f>[0]!周次于画图</c:f>
              <c:strCache>
                <c:ptCount val="5"/>
                <c:pt idx="0">
                  <c:v>第1周</c:v>
                </c:pt>
                <c:pt idx="1">
                  <c:v>第2周</c:v>
                </c:pt>
                <c:pt idx="2">
                  <c:v>第3周</c:v>
                </c:pt>
                <c:pt idx="3">
                  <c:v>第4周</c:v>
                </c:pt>
                <c:pt idx="4">
                  <c:v>第5周</c:v>
                </c:pt>
              </c:strCache>
            </c:strRef>
          </c:cat>
          <c:val>
            <c:numRef>
              <c:f>[0]!进度偏差的下限于画图</c:f>
              <c:numCache>
                <c:formatCode>0.00%</c:formatCode>
                <c:ptCount val="5"/>
                <c:pt idx="0">
                  <c:v>-0.1</c:v>
                </c:pt>
                <c:pt idx="1">
                  <c:v>-0.1</c:v>
                </c:pt>
                <c:pt idx="2">
                  <c:v>-0.1</c:v>
                </c:pt>
                <c:pt idx="3">
                  <c:v>-0.1</c:v>
                </c:pt>
                <c:pt idx="4">
                  <c:v>-0.1</c:v>
                </c:pt>
              </c:numCache>
            </c:numRef>
          </c:val>
          <c:smooth val="0"/>
        </c:ser>
        <c:ser>
          <c:idx val="1"/>
          <c:order val="1"/>
          <c:tx>
            <c:strRef>
              <c:f>项目进度!$B$15</c:f>
              <c:strCache>
                <c:ptCount val="1"/>
                <c:pt idx="0">
                  <c:v>OL</c:v>
                </c:pt>
              </c:strCache>
            </c:strRef>
          </c:tx>
          <c:cat>
            <c:strRef>
              <c:f>[0]!周次于画图</c:f>
              <c:strCache>
                <c:ptCount val="5"/>
                <c:pt idx="0">
                  <c:v>第1周</c:v>
                </c:pt>
                <c:pt idx="1">
                  <c:v>第2周</c:v>
                </c:pt>
                <c:pt idx="2">
                  <c:v>第3周</c:v>
                </c:pt>
                <c:pt idx="3">
                  <c:v>第4周</c:v>
                </c:pt>
                <c:pt idx="4">
                  <c:v>第5周</c:v>
                </c:pt>
              </c:strCache>
            </c:strRef>
          </c:cat>
          <c:val>
            <c:numRef>
              <c:f>[0]!进度偏差的均值于画图</c:f>
              <c:numCache>
                <c:formatCode>0.00%</c:formatCode>
                <c:ptCount val="5"/>
                <c:pt idx="0">
                  <c:v>0.02</c:v>
                </c:pt>
                <c:pt idx="1">
                  <c:v>0.02</c:v>
                </c:pt>
                <c:pt idx="2">
                  <c:v>0.02</c:v>
                </c:pt>
                <c:pt idx="3">
                  <c:v>0.02</c:v>
                </c:pt>
                <c:pt idx="4">
                  <c:v>0.02</c:v>
                </c:pt>
              </c:numCache>
            </c:numRef>
          </c:val>
          <c:smooth val="0"/>
        </c:ser>
        <c:ser>
          <c:idx val="2"/>
          <c:order val="2"/>
          <c:tx>
            <c:strRef>
              <c:f>项目进度!$B$16</c:f>
              <c:strCache>
                <c:ptCount val="1"/>
                <c:pt idx="0">
                  <c:v>UOL</c:v>
                </c:pt>
              </c:strCache>
            </c:strRef>
          </c:tx>
          <c:cat>
            <c:strRef>
              <c:f>[0]!周次于画图</c:f>
              <c:strCache>
                <c:ptCount val="5"/>
                <c:pt idx="0">
                  <c:v>第1周</c:v>
                </c:pt>
                <c:pt idx="1">
                  <c:v>第2周</c:v>
                </c:pt>
                <c:pt idx="2">
                  <c:v>第3周</c:v>
                </c:pt>
                <c:pt idx="3">
                  <c:v>第4周</c:v>
                </c:pt>
                <c:pt idx="4">
                  <c:v>第5周</c:v>
                </c:pt>
              </c:strCache>
            </c:strRef>
          </c:cat>
          <c:val>
            <c:numRef>
              <c:f>[0]!进度偏差的上限于画图</c:f>
              <c:numCache>
                <c:formatCode>0.00%</c:formatCode>
                <c:ptCount val="5"/>
                <c:pt idx="0">
                  <c:v>0.1</c:v>
                </c:pt>
                <c:pt idx="1">
                  <c:v>0.1</c:v>
                </c:pt>
                <c:pt idx="2">
                  <c:v>0.1</c:v>
                </c:pt>
                <c:pt idx="3">
                  <c:v>0.1</c:v>
                </c:pt>
                <c:pt idx="4">
                  <c:v>0.1</c:v>
                </c:pt>
              </c:numCache>
            </c:numRef>
          </c:val>
          <c:smooth val="0"/>
        </c:ser>
        <c:ser>
          <c:idx val="3"/>
          <c:order val="3"/>
          <c:tx>
            <c:strRef>
              <c:f>项目进度!$A$12</c:f>
              <c:strCache>
                <c:ptCount val="1"/>
                <c:pt idx="0">
                  <c:v>项目数据</c:v>
                </c:pt>
              </c:strCache>
            </c:strRef>
          </c:tx>
          <c:cat>
            <c:strRef>
              <c:f>[0]!周次于画图</c:f>
              <c:strCache>
                <c:ptCount val="5"/>
                <c:pt idx="0">
                  <c:v>第1周</c:v>
                </c:pt>
                <c:pt idx="1">
                  <c:v>第2周</c:v>
                </c:pt>
                <c:pt idx="2">
                  <c:v>第3周</c:v>
                </c:pt>
                <c:pt idx="3">
                  <c:v>第4周</c:v>
                </c:pt>
                <c:pt idx="4">
                  <c:v>第5周</c:v>
                </c:pt>
              </c:strCache>
            </c:strRef>
          </c:cat>
          <c:val>
            <c:numRef>
              <c:f>[0]!周进度偏差于画图</c:f>
              <c:numCache>
                <c:formatCode>General</c:formatCode>
                <c:ptCount val="1"/>
                <c:pt idx="0">
                  <c:v>1</c:v>
                </c:pt>
              </c:numCache>
            </c:numRef>
          </c:val>
          <c:smooth val="0"/>
        </c:ser>
        <c:dLbls>
          <c:showLegendKey val="0"/>
          <c:showVal val="0"/>
          <c:showCatName val="0"/>
          <c:showSerName val="0"/>
          <c:showPercent val="0"/>
          <c:showBubbleSize val="0"/>
        </c:dLbls>
        <c:marker val="1"/>
        <c:smooth val="0"/>
        <c:axId val="185204736"/>
        <c:axId val="260468096"/>
      </c:lineChart>
      <c:catAx>
        <c:axId val="185204736"/>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0468096"/>
        <c:crosses val="autoZero"/>
        <c:auto val="1"/>
        <c:lblAlgn val="ctr"/>
        <c:lblOffset val="100"/>
        <c:noMultiLvlLbl val="0"/>
      </c:catAx>
      <c:valAx>
        <c:axId val="260468096"/>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8520473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客户需求评审缺陷密度的控制图</a:t>
            </a:r>
            <a:endParaRPr lang="en-US" altLang="zh-CN"/>
          </a:p>
        </c:rich>
      </c:tx>
      <c:layout/>
      <c:overlay val="0"/>
    </c:title>
    <c:autoTitleDeleted val="0"/>
    <c:plotArea>
      <c:layout/>
      <c:lineChart>
        <c:grouping val="standard"/>
        <c:varyColors val="0"/>
        <c:ser>
          <c:idx val="0"/>
          <c:order val="0"/>
          <c:tx>
            <c:strRef>
              <c:f>过程产出缺陷度量!$L$6</c:f>
              <c:strCache>
                <c:ptCount val="1"/>
                <c:pt idx="0">
                  <c:v>LOL</c:v>
                </c:pt>
              </c:strCache>
            </c:strRef>
          </c:tx>
          <c:cat>
            <c:strRef>
              <c:f>[0]!客户需求评审次数</c:f>
              <c:strCache>
                <c:ptCount val="2"/>
                <c:pt idx="0">
                  <c:v>第1次评审</c:v>
                </c:pt>
                <c:pt idx="1">
                  <c:v>第2次评审</c:v>
                </c:pt>
              </c:strCache>
            </c:strRef>
          </c:cat>
          <c:val>
            <c:numRef>
              <c:f>[0]!客户需求评审缺陷密度的下限</c:f>
              <c:numCache>
                <c:formatCode>0.0000_ </c:formatCode>
                <c:ptCount val="2"/>
                <c:pt idx="0">
                  <c:v>0</c:v>
                </c:pt>
                <c:pt idx="1">
                  <c:v>0</c:v>
                </c:pt>
              </c:numCache>
            </c:numRef>
          </c:val>
          <c:smooth val="0"/>
        </c:ser>
        <c:ser>
          <c:idx val="1"/>
          <c:order val="1"/>
          <c:tx>
            <c:strRef>
              <c:f>过程产出缺陷度量!$M$6</c:f>
              <c:strCache>
                <c:ptCount val="1"/>
                <c:pt idx="0">
                  <c:v>OL</c:v>
                </c:pt>
              </c:strCache>
            </c:strRef>
          </c:tx>
          <c:cat>
            <c:strRef>
              <c:f>[0]!客户需求评审次数</c:f>
              <c:strCache>
                <c:ptCount val="2"/>
                <c:pt idx="0">
                  <c:v>第1次评审</c:v>
                </c:pt>
                <c:pt idx="1">
                  <c:v>第2次评审</c:v>
                </c:pt>
              </c:strCache>
            </c:strRef>
          </c:cat>
          <c:val>
            <c:numRef>
              <c:f>[0]!客户需求评审缺陷密度的均值</c:f>
              <c:numCache>
                <c:formatCode>0.0000_ </c:formatCode>
                <c:ptCount val="2"/>
                <c:pt idx="0">
                  <c:v>0.3075</c:v>
                </c:pt>
                <c:pt idx="1">
                  <c:v>0.3075</c:v>
                </c:pt>
              </c:numCache>
            </c:numRef>
          </c:val>
          <c:smooth val="0"/>
        </c:ser>
        <c:ser>
          <c:idx val="2"/>
          <c:order val="2"/>
          <c:tx>
            <c:strRef>
              <c:f>过程产出缺陷度量!$N$6</c:f>
              <c:strCache>
                <c:ptCount val="1"/>
                <c:pt idx="0">
                  <c:v>UOL</c:v>
                </c:pt>
              </c:strCache>
            </c:strRef>
          </c:tx>
          <c:cat>
            <c:strRef>
              <c:f>[0]!客户需求评审次数</c:f>
              <c:strCache>
                <c:ptCount val="2"/>
                <c:pt idx="0">
                  <c:v>第1次评审</c:v>
                </c:pt>
                <c:pt idx="1">
                  <c:v>第2次评审</c:v>
                </c:pt>
              </c:strCache>
            </c:strRef>
          </c:cat>
          <c:val>
            <c:numRef>
              <c:f>[0]!客户需求评审缺陷密度的上限</c:f>
              <c:numCache>
                <c:formatCode>0.0000_ </c:formatCode>
                <c:ptCount val="2"/>
                <c:pt idx="0">
                  <c:v>0.65469999999999995</c:v>
                </c:pt>
                <c:pt idx="1">
                  <c:v>0.65469999999999995</c:v>
                </c:pt>
              </c:numCache>
            </c:numRef>
          </c:val>
          <c:smooth val="0"/>
        </c:ser>
        <c:ser>
          <c:idx val="3"/>
          <c:order val="3"/>
          <c:tx>
            <c:v>项目数据</c:v>
          </c:tx>
          <c:cat>
            <c:strRef>
              <c:f>[0]!客户需求评审次数</c:f>
              <c:strCache>
                <c:ptCount val="2"/>
                <c:pt idx="0">
                  <c:v>第1次评审</c:v>
                </c:pt>
                <c:pt idx="1">
                  <c:v>第2次评审</c:v>
                </c:pt>
              </c:strCache>
            </c:strRef>
          </c:cat>
          <c:val>
            <c:numRef>
              <c:f>[0]!客户需求评审缺陷密度</c:f>
              <c:numCache>
                <c:formatCode>0.000_ </c:formatCode>
                <c:ptCount val="2"/>
                <c:pt idx="0">
                  <c:v>0</c:v>
                </c:pt>
                <c:pt idx="1">
                  <c:v>0</c:v>
                </c:pt>
              </c:numCache>
            </c:numRef>
          </c:val>
          <c:smooth val="0"/>
        </c:ser>
        <c:dLbls>
          <c:showLegendKey val="0"/>
          <c:showVal val="0"/>
          <c:showCatName val="0"/>
          <c:showSerName val="0"/>
          <c:showPercent val="0"/>
          <c:showBubbleSize val="0"/>
        </c:dLbls>
        <c:marker val="1"/>
        <c:smooth val="0"/>
        <c:axId val="262886400"/>
        <c:axId val="260471552"/>
      </c:lineChart>
      <c:catAx>
        <c:axId val="262886400"/>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0471552"/>
        <c:crosses val="autoZero"/>
        <c:auto val="1"/>
        <c:lblAlgn val="ctr"/>
        <c:lblOffset val="100"/>
        <c:noMultiLvlLbl val="0"/>
      </c:catAx>
      <c:valAx>
        <c:axId val="26047155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288640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需求规格评审缺陷密度的控制图</a:t>
            </a:r>
            <a:endParaRPr lang="en-US" altLang="zh-CN"/>
          </a:p>
        </c:rich>
      </c:tx>
      <c:layout/>
      <c:overlay val="0"/>
    </c:title>
    <c:autoTitleDeleted val="0"/>
    <c:plotArea>
      <c:layout/>
      <c:lineChart>
        <c:grouping val="standard"/>
        <c:varyColors val="0"/>
        <c:ser>
          <c:idx val="0"/>
          <c:order val="0"/>
          <c:tx>
            <c:strRef>
              <c:f>过程产出缺陷度量!$L$29</c:f>
              <c:strCache>
                <c:ptCount val="1"/>
                <c:pt idx="0">
                  <c:v>LOL</c:v>
                </c:pt>
              </c:strCache>
            </c:strRef>
          </c:tx>
          <c:cat>
            <c:strRef>
              <c:f>[0]!需求规格评审次数于画图</c:f>
              <c:strCache>
                <c:ptCount val="3"/>
                <c:pt idx="0">
                  <c:v>第1次评审</c:v>
                </c:pt>
                <c:pt idx="1">
                  <c:v>第2次评审</c:v>
                </c:pt>
                <c:pt idx="2">
                  <c:v>第3次评审</c:v>
                </c:pt>
              </c:strCache>
            </c:strRef>
          </c:cat>
          <c:val>
            <c:numRef>
              <c:f>[0]!需求规格评审缺陷密度的下限于画图</c:f>
              <c:numCache>
                <c:formatCode>0.0000_ </c:formatCode>
                <c:ptCount val="3"/>
                <c:pt idx="0">
                  <c:v>0</c:v>
                </c:pt>
                <c:pt idx="1">
                  <c:v>0</c:v>
                </c:pt>
                <c:pt idx="2">
                  <c:v>0</c:v>
                </c:pt>
              </c:numCache>
            </c:numRef>
          </c:val>
          <c:smooth val="0"/>
        </c:ser>
        <c:ser>
          <c:idx val="1"/>
          <c:order val="1"/>
          <c:tx>
            <c:strRef>
              <c:f>过程产出缺陷度量!$M$29</c:f>
              <c:strCache>
                <c:ptCount val="1"/>
                <c:pt idx="0">
                  <c:v>OL</c:v>
                </c:pt>
              </c:strCache>
            </c:strRef>
          </c:tx>
          <c:cat>
            <c:strRef>
              <c:f>[0]!需求规格评审次数于画图</c:f>
              <c:strCache>
                <c:ptCount val="3"/>
                <c:pt idx="0">
                  <c:v>第1次评审</c:v>
                </c:pt>
                <c:pt idx="1">
                  <c:v>第2次评审</c:v>
                </c:pt>
                <c:pt idx="2">
                  <c:v>第3次评审</c:v>
                </c:pt>
              </c:strCache>
            </c:strRef>
          </c:cat>
          <c:val>
            <c:numRef>
              <c:f>[0]!需求规格评审缺陷密度的均值于画图</c:f>
              <c:numCache>
                <c:formatCode>0.0000_ </c:formatCode>
                <c:ptCount val="3"/>
                <c:pt idx="0">
                  <c:v>0.28660000000000002</c:v>
                </c:pt>
                <c:pt idx="1">
                  <c:v>0.28660000000000002</c:v>
                </c:pt>
                <c:pt idx="2">
                  <c:v>0.28660000000000002</c:v>
                </c:pt>
              </c:numCache>
            </c:numRef>
          </c:val>
          <c:smooth val="0"/>
        </c:ser>
        <c:ser>
          <c:idx val="2"/>
          <c:order val="2"/>
          <c:tx>
            <c:strRef>
              <c:f>过程产出缺陷度量!$N$29</c:f>
              <c:strCache>
                <c:ptCount val="1"/>
                <c:pt idx="0">
                  <c:v>UOL</c:v>
                </c:pt>
              </c:strCache>
            </c:strRef>
          </c:tx>
          <c:cat>
            <c:strRef>
              <c:f>[0]!需求规格评审次数于画图</c:f>
              <c:strCache>
                <c:ptCount val="3"/>
                <c:pt idx="0">
                  <c:v>第1次评审</c:v>
                </c:pt>
                <c:pt idx="1">
                  <c:v>第2次评审</c:v>
                </c:pt>
                <c:pt idx="2">
                  <c:v>第3次评审</c:v>
                </c:pt>
              </c:strCache>
            </c:strRef>
          </c:cat>
          <c:val>
            <c:numRef>
              <c:f>[0]!需求规格评审缺陷密度的上限于画图</c:f>
              <c:numCache>
                <c:formatCode>0.0000_ </c:formatCode>
                <c:ptCount val="3"/>
                <c:pt idx="0">
                  <c:v>0.61099999999999999</c:v>
                </c:pt>
                <c:pt idx="1">
                  <c:v>0.61099999999999999</c:v>
                </c:pt>
                <c:pt idx="2">
                  <c:v>0.61099999999999999</c:v>
                </c:pt>
              </c:numCache>
            </c:numRef>
          </c:val>
          <c:smooth val="0"/>
        </c:ser>
        <c:ser>
          <c:idx val="3"/>
          <c:order val="3"/>
          <c:tx>
            <c:v>项目数据</c:v>
          </c:tx>
          <c:cat>
            <c:strRef>
              <c:f>[0]!需求规格评审次数于画图</c:f>
              <c:strCache>
                <c:ptCount val="3"/>
                <c:pt idx="0">
                  <c:v>第1次评审</c:v>
                </c:pt>
                <c:pt idx="1">
                  <c:v>第2次评审</c:v>
                </c:pt>
                <c:pt idx="2">
                  <c:v>第3次评审</c:v>
                </c:pt>
              </c:strCache>
            </c:strRef>
          </c:cat>
          <c:val>
            <c:numRef>
              <c:f>[0]!需求规格评审缺陷密度于画图</c:f>
              <c:numCache>
                <c:formatCode>0.000_ </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262887936"/>
        <c:axId val="260367488"/>
      </c:lineChart>
      <c:catAx>
        <c:axId val="262887936"/>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0367488"/>
        <c:crosses val="autoZero"/>
        <c:auto val="1"/>
        <c:lblAlgn val="ctr"/>
        <c:lblOffset val="100"/>
        <c:noMultiLvlLbl val="0"/>
      </c:catAx>
      <c:valAx>
        <c:axId val="26036748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288793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设计评审缺陷密度的控制图</a:t>
            </a:r>
            <a:endParaRPr lang="en-US" altLang="zh-CN"/>
          </a:p>
        </c:rich>
      </c:tx>
      <c:layout/>
      <c:overlay val="0"/>
    </c:title>
    <c:autoTitleDeleted val="0"/>
    <c:plotArea>
      <c:layout/>
      <c:lineChart>
        <c:grouping val="standard"/>
        <c:varyColors val="0"/>
        <c:ser>
          <c:idx val="0"/>
          <c:order val="0"/>
          <c:tx>
            <c:strRef>
              <c:f>过程产出缺陷度量!$L$55</c:f>
              <c:strCache>
                <c:ptCount val="1"/>
                <c:pt idx="0">
                  <c:v>LOL</c:v>
                </c:pt>
              </c:strCache>
            </c:strRef>
          </c:tx>
          <c:cat>
            <c:strRef>
              <c:f>[0]!设计评审次数于画图</c:f>
              <c:strCache>
                <c:ptCount val="3"/>
                <c:pt idx="0">
                  <c:v>第1次评审</c:v>
                </c:pt>
                <c:pt idx="1">
                  <c:v>第2次评审</c:v>
                </c:pt>
                <c:pt idx="2">
                  <c:v>第3次评审</c:v>
                </c:pt>
              </c:strCache>
            </c:strRef>
          </c:cat>
          <c:val>
            <c:numRef>
              <c:f>[0]!设计评审缺陷密度的下限于画图</c:f>
              <c:numCache>
                <c:formatCode>0.0000_ </c:formatCode>
                <c:ptCount val="3"/>
                <c:pt idx="0">
                  <c:v>0</c:v>
                </c:pt>
                <c:pt idx="1">
                  <c:v>0</c:v>
                </c:pt>
                <c:pt idx="2">
                  <c:v>0</c:v>
                </c:pt>
              </c:numCache>
            </c:numRef>
          </c:val>
          <c:smooth val="0"/>
        </c:ser>
        <c:ser>
          <c:idx val="1"/>
          <c:order val="1"/>
          <c:tx>
            <c:strRef>
              <c:f>过程产出缺陷度量!$M$55</c:f>
              <c:strCache>
                <c:ptCount val="1"/>
                <c:pt idx="0">
                  <c:v>OL</c:v>
                </c:pt>
              </c:strCache>
            </c:strRef>
          </c:tx>
          <c:cat>
            <c:strRef>
              <c:f>[0]!设计评审次数于画图</c:f>
              <c:strCache>
                <c:ptCount val="3"/>
                <c:pt idx="0">
                  <c:v>第1次评审</c:v>
                </c:pt>
                <c:pt idx="1">
                  <c:v>第2次评审</c:v>
                </c:pt>
                <c:pt idx="2">
                  <c:v>第3次评审</c:v>
                </c:pt>
              </c:strCache>
            </c:strRef>
          </c:cat>
          <c:val>
            <c:numRef>
              <c:f>[0]!设计评审缺陷密度的均值于画图</c:f>
              <c:numCache>
                <c:formatCode>0.0000_ </c:formatCode>
                <c:ptCount val="3"/>
                <c:pt idx="0">
                  <c:v>0.23330000000000001</c:v>
                </c:pt>
                <c:pt idx="1">
                  <c:v>0.23330000000000001</c:v>
                </c:pt>
                <c:pt idx="2">
                  <c:v>0.23330000000000001</c:v>
                </c:pt>
              </c:numCache>
            </c:numRef>
          </c:val>
          <c:smooth val="0"/>
        </c:ser>
        <c:ser>
          <c:idx val="2"/>
          <c:order val="2"/>
          <c:tx>
            <c:strRef>
              <c:f>过程产出缺陷度量!$N$55</c:f>
              <c:strCache>
                <c:ptCount val="1"/>
                <c:pt idx="0">
                  <c:v>UOL</c:v>
                </c:pt>
              </c:strCache>
            </c:strRef>
          </c:tx>
          <c:cat>
            <c:strRef>
              <c:f>[0]!设计评审次数于画图</c:f>
              <c:strCache>
                <c:ptCount val="3"/>
                <c:pt idx="0">
                  <c:v>第1次评审</c:v>
                </c:pt>
                <c:pt idx="1">
                  <c:v>第2次评审</c:v>
                </c:pt>
                <c:pt idx="2">
                  <c:v>第3次评审</c:v>
                </c:pt>
              </c:strCache>
            </c:strRef>
          </c:cat>
          <c:val>
            <c:numRef>
              <c:f>[0]!设计评审缺陷密度的上限于画图</c:f>
              <c:numCache>
                <c:formatCode>0.0000_ </c:formatCode>
                <c:ptCount val="3"/>
                <c:pt idx="0">
                  <c:v>0.71309999999999996</c:v>
                </c:pt>
                <c:pt idx="1">
                  <c:v>0.71309999999999996</c:v>
                </c:pt>
                <c:pt idx="2">
                  <c:v>0.71309999999999996</c:v>
                </c:pt>
              </c:numCache>
            </c:numRef>
          </c:val>
          <c:smooth val="0"/>
        </c:ser>
        <c:ser>
          <c:idx val="3"/>
          <c:order val="3"/>
          <c:tx>
            <c:v>项目数据</c:v>
          </c:tx>
          <c:cat>
            <c:strRef>
              <c:f>[0]!设计评审次数于画图</c:f>
              <c:strCache>
                <c:ptCount val="3"/>
                <c:pt idx="0">
                  <c:v>第1次评审</c:v>
                </c:pt>
                <c:pt idx="1">
                  <c:v>第2次评审</c:v>
                </c:pt>
                <c:pt idx="2">
                  <c:v>第3次评审</c:v>
                </c:pt>
              </c:strCache>
            </c:strRef>
          </c:cat>
          <c:val>
            <c:numRef>
              <c:f>[0]!设计评审缺陷密度于画图</c:f>
              <c:numCache>
                <c:formatCode>0.000_ </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262888960"/>
        <c:axId val="260369792"/>
      </c:lineChart>
      <c:catAx>
        <c:axId val="26288896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0369792"/>
        <c:crosses val="autoZero"/>
        <c:auto val="1"/>
        <c:lblAlgn val="ctr"/>
        <c:lblOffset val="100"/>
        <c:noMultiLvlLbl val="0"/>
      </c:catAx>
      <c:valAx>
        <c:axId val="26036979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288896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测试用例评审缺陷密度的控制图</a:t>
            </a:r>
            <a:endParaRPr lang="en-US" altLang="zh-CN"/>
          </a:p>
        </c:rich>
      </c:tx>
      <c:layout/>
      <c:overlay val="0"/>
    </c:title>
    <c:autoTitleDeleted val="0"/>
    <c:plotArea>
      <c:layout/>
      <c:lineChart>
        <c:grouping val="standard"/>
        <c:varyColors val="0"/>
        <c:ser>
          <c:idx val="0"/>
          <c:order val="0"/>
          <c:tx>
            <c:strRef>
              <c:f>过程产出缺陷度量!$L$82</c:f>
              <c:strCache>
                <c:ptCount val="1"/>
                <c:pt idx="0">
                  <c:v>LOL</c:v>
                </c:pt>
              </c:strCache>
            </c:strRef>
          </c:tx>
          <c:cat>
            <c:strRef>
              <c:f>[0]!测试用例评审次数于画图</c:f>
              <c:strCache>
                <c:ptCount val="3"/>
                <c:pt idx="0">
                  <c:v>第1次评审</c:v>
                </c:pt>
                <c:pt idx="1">
                  <c:v>第2次评审</c:v>
                </c:pt>
                <c:pt idx="2">
                  <c:v>第3次评审</c:v>
                </c:pt>
              </c:strCache>
            </c:strRef>
          </c:cat>
          <c:val>
            <c:numRef>
              <c:f>[0]!测试用例评审缺陷密度的下限于画图</c:f>
              <c:numCache>
                <c:formatCode>0.0000_ </c:formatCode>
                <c:ptCount val="3"/>
                <c:pt idx="0">
                  <c:v>0</c:v>
                </c:pt>
                <c:pt idx="1">
                  <c:v>0</c:v>
                </c:pt>
                <c:pt idx="2">
                  <c:v>0</c:v>
                </c:pt>
              </c:numCache>
            </c:numRef>
          </c:val>
          <c:smooth val="0"/>
        </c:ser>
        <c:ser>
          <c:idx val="1"/>
          <c:order val="1"/>
          <c:tx>
            <c:strRef>
              <c:f>过程产出缺陷度量!$M$82</c:f>
              <c:strCache>
                <c:ptCount val="1"/>
                <c:pt idx="0">
                  <c:v>OL</c:v>
                </c:pt>
              </c:strCache>
            </c:strRef>
          </c:tx>
          <c:cat>
            <c:strRef>
              <c:f>[0]!测试用例评审次数于画图</c:f>
              <c:strCache>
                <c:ptCount val="3"/>
                <c:pt idx="0">
                  <c:v>第1次评审</c:v>
                </c:pt>
                <c:pt idx="1">
                  <c:v>第2次评审</c:v>
                </c:pt>
                <c:pt idx="2">
                  <c:v>第3次评审</c:v>
                </c:pt>
              </c:strCache>
            </c:strRef>
          </c:cat>
          <c:val>
            <c:numRef>
              <c:f>[0]!测试用例评审缺陷密度的均值于画图</c:f>
              <c:numCache>
                <c:formatCode>0.0000_ </c:formatCode>
                <c:ptCount val="3"/>
                <c:pt idx="0">
                  <c:v>4.351E-2</c:v>
                </c:pt>
                <c:pt idx="1">
                  <c:v>4.351E-2</c:v>
                </c:pt>
                <c:pt idx="2">
                  <c:v>4.351E-2</c:v>
                </c:pt>
              </c:numCache>
            </c:numRef>
          </c:val>
          <c:smooth val="0"/>
        </c:ser>
        <c:ser>
          <c:idx val="2"/>
          <c:order val="2"/>
          <c:tx>
            <c:strRef>
              <c:f>过程产出缺陷度量!$N$82</c:f>
              <c:strCache>
                <c:ptCount val="1"/>
                <c:pt idx="0">
                  <c:v>UOL</c:v>
                </c:pt>
              </c:strCache>
            </c:strRef>
          </c:tx>
          <c:cat>
            <c:strRef>
              <c:f>[0]!测试用例评审次数于画图</c:f>
              <c:strCache>
                <c:ptCount val="3"/>
                <c:pt idx="0">
                  <c:v>第1次评审</c:v>
                </c:pt>
                <c:pt idx="1">
                  <c:v>第2次评审</c:v>
                </c:pt>
                <c:pt idx="2">
                  <c:v>第3次评审</c:v>
                </c:pt>
              </c:strCache>
            </c:strRef>
          </c:cat>
          <c:val>
            <c:numRef>
              <c:f>[0]!测试用例评审缺陷密度的上限于画图</c:f>
              <c:numCache>
                <c:formatCode>0.0000_ </c:formatCode>
                <c:ptCount val="3"/>
                <c:pt idx="0">
                  <c:v>8.7900000000000006E-2</c:v>
                </c:pt>
                <c:pt idx="1">
                  <c:v>8.7900000000000006E-2</c:v>
                </c:pt>
                <c:pt idx="2">
                  <c:v>8.7900000000000006E-2</c:v>
                </c:pt>
              </c:numCache>
            </c:numRef>
          </c:val>
          <c:smooth val="0"/>
        </c:ser>
        <c:ser>
          <c:idx val="3"/>
          <c:order val="3"/>
          <c:tx>
            <c:v>项目数据</c:v>
          </c:tx>
          <c:cat>
            <c:strRef>
              <c:f>[0]!测试用例评审次数于画图</c:f>
              <c:strCache>
                <c:ptCount val="3"/>
                <c:pt idx="0">
                  <c:v>第1次评审</c:v>
                </c:pt>
                <c:pt idx="1">
                  <c:v>第2次评审</c:v>
                </c:pt>
                <c:pt idx="2">
                  <c:v>第3次评审</c:v>
                </c:pt>
              </c:strCache>
            </c:strRef>
          </c:cat>
          <c:val>
            <c:numRef>
              <c:f>[0]!测试用例评审缺陷密度于画图</c:f>
              <c:numCache>
                <c:formatCode>0.000_ </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264320000"/>
        <c:axId val="260372096"/>
      </c:lineChart>
      <c:catAx>
        <c:axId val="26432000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0372096"/>
        <c:crosses val="autoZero"/>
        <c:auto val="1"/>
        <c:lblAlgn val="ctr"/>
        <c:lblOffset val="100"/>
        <c:noMultiLvlLbl val="0"/>
      </c:catAx>
      <c:valAx>
        <c:axId val="26037209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432000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代码走查缺陷密度的控制图</a:t>
            </a:r>
            <a:endParaRPr lang="en-US" altLang="zh-CN"/>
          </a:p>
        </c:rich>
      </c:tx>
      <c:layout/>
      <c:overlay val="0"/>
    </c:title>
    <c:autoTitleDeleted val="0"/>
    <c:plotArea>
      <c:layout/>
      <c:lineChart>
        <c:grouping val="standard"/>
        <c:varyColors val="0"/>
        <c:ser>
          <c:idx val="0"/>
          <c:order val="0"/>
          <c:tx>
            <c:strRef>
              <c:f>过程产出缺陷度量!$L$107</c:f>
              <c:strCache>
                <c:ptCount val="1"/>
                <c:pt idx="0">
                  <c:v>LOL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[0]!代码走查缺陷密度的下限于画图</c:f>
              <c:numCache>
                <c:formatCode>0.0000_ </c:formatCode>
                <c:ptCount val="4"/>
                <c:pt idx="0">
                  <c:v>0</c:v>
                </c:pt>
                <c:pt idx="1">
                  <c:v>0</c:v>
                </c:pt>
                <c:pt idx="2">
                  <c:v>0</c:v>
                </c:pt>
                <c:pt idx="3">
                  <c:v>0</c:v>
                </c:pt>
              </c:numCache>
            </c:numRef>
          </c:val>
          <c:smooth val="0"/>
        </c:ser>
        <c:ser>
          <c:idx val="1"/>
          <c:order val="1"/>
          <c:tx>
            <c:strRef>
              <c:f>过程产出缺陷度量!$M$107</c:f>
              <c:strCache>
                <c:ptCount val="1"/>
                <c:pt idx="0">
                  <c:v>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[0]!代码走查缺陷密度的均值于画图</c:f>
              <c:numCache>
                <c:formatCode>0.0000_ </c:formatCode>
                <c:ptCount val="4"/>
                <c:pt idx="0">
                  <c:v>0.3</c:v>
                </c:pt>
                <c:pt idx="1">
                  <c:v>0.3</c:v>
                </c:pt>
                <c:pt idx="2">
                  <c:v>0.3</c:v>
                </c:pt>
                <c:pt idx="3">
                  <c:v>0.3</c:v>
                </c:pt>
              </c:numCache>
            </c:numRef>
          </c:val>
          <c:smooth val="0"/>
        </c:ser>
        <c:ser>
          <c:idx val="2"/>
          <c:order val="2"/>
          <c:tx>
            <c:strRef>
              <c:f>过程产出缺陷度量!$N$107</c:f>
              <c:strCache>
                <c:ptCount val="1"/>
                <c:pt idx="0">
                  <c:v>UOL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[0]!代码走查缺陷密度的上限于画图</c:f>
              <c:numCache>
                <c:formatCode>0.0000_ </c:formatCode>
                <c:ptCount val="4"/>
                <c:pt idx="0">
                  <c:v>0.65790273556231005</c:v>
                </c:pt>
                <c:pt idx="1">
                  <c:v>0.65790273556231005</c:v>
                </c:pt>
                <c:pt idx="2">
                  <c:v>0.65790273556231005</c:v>
                </c:pt>
                <c:pt idx="3">
                  <c:v>0.65790273556231005</c:v>
                </c:pt>
              </c:numCache>
            </c:numRef>
          </c:val>
          <c:smooth val="0"/>
        </c:ser>
        <c:ser>
          <c:idx val="3"/>
          <c:order val="3"/>
          <c:tx>
            <c:v>项目数据</c:v>
          </c:tx>
          <c:cat>
            <c:strRef>
              <c:f>[0]!代码走查次数于画图</c:f>
              <c:strCache>
                <c:ptCount val="4"/>
                <c:pt idx="0">
                  <c:v>第1次走查</c:v>
                </c:pt>
                <c:pt idx="1">
                  <c:v>第2次走查</c:v>
                </c:pt>
                <c:pt idx="2">
                  <c:v>第3次走查</c:v>
                </c:pt>
                <c:pt idx="3">
                  <c:v>第4次走查</c:v>
                </c:pt>
              </c:strCache>
            </c:strRef>
          </c:cat>
          <c:val>
            <c:numRef>
              <c:f>[0]!代码走查缺陷密度于画图</c:f>
              <c:numCache>
                <c:formatCode>0.000_ </c:formatCode>
                <c:ptCount val="4"/>
                <c:pt idx="0">
                  <c:v>0</c:v>
                </c:pt>
                <c:pt idx="1">
                  <c:v>0</c:v>
                </c:pt>
                <c:pt idx="2">
                  <c:v>0</c:v>
                </c:pt>
                <c:pt idx="3">
                  <c:v>0</c:v>
                </c:pt>
              </c:numCache>
            </c:numRef>
          </c:val>
          <c:smooth val="0"/>
        </c:ser>
        <c:dLbls>
          <c:showLegendKey val="0"/>
          <c:showVal val="0"/>
          <c:showCatName val="0"/>
          <c:showSerName val="0"/>
          <c:showPercent val="0"/>
          <c:showBubbleSize val="0"/>
        </c:dLbls>
        <c:marker val="1"/>
        <c:smooth val="0"/>
        <c:axId val="264322048"/>
        <c:axId val="265306112"/>
      </c:lineChart>
      <c:catAx>
        <c:axId val="26432204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306112"/>
        <c:crosses val="autoZero"/>
        <c:auto val="1"/>
        <c:lblAlgn val="ctr"/>
        <c:lblOffset val="100"/>
        <c:noMultiLvlLbl val="0"/>
      </c:catAx>
      <c:valAx>
        <c:axId val="26530611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432204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cat>
            <c:numRef>
              <c:f>测试及验收缺陷度量!$B$45:$B$48</c:f>
              <c:numCache>
                <c:formatCode>General</c:formatCode>
                <c:ptCount val="4"/>
              </c:numCache>
            </c:numRef>
          </c:cat>
          <c:val>
            <c:numRef>
              <c:f>测试及验收缺陷度量!$C$45:$C$48</c:f>
              <c:numCache>
                <c:formatCode>General</c:formatCode>
                <c:ptCount val="4"/>
              </c:numCache>
            </c:numRef>
          </c:val>
        </c:ser>
        <c:dLbls>
          <c:showLegendKey val="0"/>
          <c:showVal val="0"/>
          <c:showCatName val="0"/>
          <c:showSerName val="0"/>
          <c:showPercent val="0"/>
          <c:showBubbleSize val="0"/>
        </c:dLbls>
        <c:gapWidth val="150"/>
        <c:axId val="265035264"/>
        <c:axId val="265311296"/>
      </c:barChart>
      <c:catAx>
        <c:axId val="26503526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311296"/>
        <c:crosses val="autoZero"/>
        <c:auto val="1"/>
        <c:lblAlgn val="ctr"/>
        <c:lblOffset val="100"/>
        <c:noMultiLvlLbl val="0"/>
      </c:catAx>
      <c:valAx>
        <c:axId val="265311296"/>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03526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测试及验收缺陷度量!$B$55:$B$59</c:f>
              <c:numCache>
                <c:formatCode>General</c:formatCode>
                <c:ptCount val="5"/>
              </c:numCache>
            </c:numRef>
          </c:cat>
          <c:val>
            <c:numRef>
              <c:f>测试及验收缺陷度量!$C$55:$C$59</c:f>
              <c:numCache>
                <c:formatCode>General</c:formatCode>
                <c:ptCount val="5"/>
              </c:numCache>
            </c:numRef>
          </c:val>
        </c:ser>
        <c:dLbls>
          <c:showLegendKey val="0"/>
          <c:showVal val="0"/>
          <c:showCatName val="0"/>
          <c:showSerName val="0"/>
          <c:showPercent val="0"/>
          <c:showBubbleSize val="0"/>
        </c:dLbls>
        <c:gapWidth val="150"/>
        <c:axId val="265101312"/>
        <c:axId val="265313024"/>
      </c:barChart>
      <c:catAx>
        <c:axId val="26510131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313024"/>
        <c:crosses val="autoZero"/>
        <c:auto val="1"/>
        <c:lblAlgn val="ctr"/>
        <c:lblOffset val="100"/>
        <c:noMultiLvlLbl val="0"/>
      </c:catAx>
      <c:valAx>
        <c:axId val="26531302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10131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测试及验收缺陷度量!$B$67:$B$73</c:f>
              <c:numCache>
                <c:formatCode>General</c:formatCode>
                <c:ptCount val="7"/>
              </c:numCache>
            </c:numRef>
          </c:cat>
          <c:val>
            <c:numRef>
              <c:f>测试及验收缺陷度量!$C$67:$C$73</c:f>
              <c:numCache>
                <c:formatCode>General</c:formatCode>
                <c:ptCount val="7"/>
              </c:numCache>
            </c:numRef>
          </c:val>
        </c:ser>
        <c:dLbls>
          <c:showLegendKey val="0"/>
          <c:showVal val="0"/>
          <c:showCatName val="0"/>
          <c:showSerName val="0"/>
          <c:showPercent val="0"/>
          <c:showBubbleSize val="0"/>
        </c:dLbls>
        <c:gapWidth val="150"/>
        <c:axId val="265101824"/>
        <c:axId val="265822784"/>
      </c:barChart>
      <c:catAx>
        <c:axId val="26510182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822784"/>
        <c:crosses val="autoZero"/>
        <c:auto val="1"/>
        <c:lblAlgn val="ctr"/>
        <c:lblOffset val="100"/>
        <c:noMultiLvlLbl val="0"/>
      </c:catAx>
      <c:valAx>
        <c:axId val="26582278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101824"/>
        <c:crosses val="autoZero"/>
        <c:crossBetween val="between"/>
      </c:valAx>
      <c:spPr>
        <a:noFill/>
        <a:ln w="25400">
          <a:noFill/>
        </a:ln>
      </c:spPr>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layout/>
      <c:overlay val="0"/>
    </c:title>
    <c:autoTitleDeleted val="0"/>
    <c:plotArea>
      <c:layout/>
      <c:lineChart>
        <c:grouping val="standard"/>
        <c:varyColors val="0"/>
        <c:ser>
          <c:idx val="0"/>
          <c:order val="0"/>
          <c:tx>
            <c:strRef>
              <c:f>测试及验收缺陷度量!$L$9</c:f>
              <c:strCache>
                <c:ptCount val="1"/>
                <c:pt idx="0">
                  <c:v>LOL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[0]!测试加权缺陷密度的下限于画图</c:f>
              <c:numCache>
                <c:formatCode>0.0000_ </c:formatCode>
                <c:ptCount val="4"/>
                <c:pt idx="0">
                  <c:v>0</c:v>
                </c:pt>
                <c:pt idx="1">
                  <c:v>0</c:v>
                </c:pt>
                <c:pt idx="2">
                  <c:v>0</c:v>
                </c:pt>
                <c:pt idx="3">
                  <c:v>0</c:v>
                </c:pt>
              </c:numCache>
            </c:numRef>
          </c:val>
          <c:smooth val="0"/>
        </c:ser>
        <c:ser>
          <c:idx val="1"/>
          <c:order val="1"/>
          <c:tx>
            <c:strRef>
              <c:f>测试及验收缺陷度量!$M$9</c:f>
              <c:strCache>
                <c:ptCount val="1"/>
                <c:pt idx="0">
                  <c:v>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[0]!测试加权缺陷密度的均值于画图</c:f>
              <c:numCache>
                <c:formatCode>0.0000_ </c:formatCode>
                <c:ptCount val="4"/>
                <c:pt idx="0">
                  <c:v>0.51200000000000001</c:v>
                </c:pt>
                <c:pt idx="1">
                  <c:v>0.51200000000000001</c:v>
                </c:pt>
                <c:pt idx="2">
                  <c:v>0.51200000000000001</c:v>
                </c:pt>
                <c:pt idx="3">
                  <c:v>0.51200000000000001</c:v>
                </c:pt>
              </c:numCache>
            </c:numRef>
          </c:val>
          <c:smooth val="0"/>
        </c:ser>
        <c:ser>
          <c:idx val="2"/>
          <c:order val="2"/>
          <c:tx>
            <c:strRef>
              <c:f>测试及验收缺陷度量!$N$9</c:f>
              <c:strCache>
                <c:ptCount val="1"/>
                <c:pt idx="0">
                  <c:v>UOL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[0]!测试加权缺陷密度的上限于画图</c:f>
              <c:numCache>
                <c:formatCode>0.0000_ </c:formatCode>
                <c:ptCount val="4"/>
                <c:pt idx="0">
                  <c:v>1.452</c:v>
                </c:pt>
                <c:pt idx="1">
                  <c:v>1.452</c:v>
                </c:pt>
                <c:pt idx="2">
                  <c:v>1.452</c:v>
                </c:pt>
                <c:pt idx="3">
                  <c:v>1.452</c:v>
                </c:pt>
              </c:numCache>
            </c:numRef>
          </c:val>
          <c:smooth val="0"/>
        </c:ser>
        <c:ser>
          <c:idx val="3"/>
          <c:order val="3"/>
          <c:tx>
            <c:v>项目数据</c:v>
          </c:tx>
          <c:cat>
            <c:strRef>
              <c:f>[0]!测试轮次于画图</c:f>
              <c:strCache>
                <c:ptCount val="4"/>
                <c:pt idx="0">
                  <c:v>测试第1轮</c:v>
                </c:pt>
                <c:pt idx="1">
                  <c:v>测试第2轮</c:v>
                </c:pt>
                <c:pt idx="2">
                  <c:v>测试第3轮</c:v>
                </c:pt>
                <c:pt idx="3">
                  <c:v>测试第4轮</c:v>
                </c:pt>
              </c:strCache>
            </c:strRef>
          </c:cat>
          <c:val>
            <c:numRef>
              <c:f>[0]!测试加权缺陷密度于画图</c:f>
              <c:numCache>
                <c:formatCode>0.000_);[Red]\(0.000\)</c:formatCode>
                <c:ptCount val="4"/>
                <c:pt idx="0">
                  <c:v>0</c:v>
                </c:pt>
                <c:pt idx="1">
                  <c:v>0</c:v>
                </c:pt>
                <c:pt idx="2">
                  <c:v>0</c:v>
                </c:pt>
                <c:pt idx="3">
                  <c:v>0</c:v>
                </c:pt>
              </c:numCache>
            </c:numRef>
          </c:val>
          <c:smooth val="0"/>
        </c:ser>
        <c:dLbls>
          <c:showLegendKey val="0"/>
          <c:showVal val="0"/>
          <c:showCatName val="0"/>
          <c:showSerName val="0"/>
          <c:showPercent val="0"/>
          <c:showBubbleSize val="0"/>
        </c:dLbls>
        <c:marker val="1"/>
        <c:smooth val="0"/>
        <c:axId val="265129984"/>
        <c:axId val="265825664"/>
      </c:lineChart>
      <c:catAx>
        <c:axId val="26512998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825664"/>
        <c:crosses val="autoZero"/>
        <c:auto val="1"/>
        <c:lblAlgn val="ctr"/>
        <c:lblOffset val="100"/>
        <c:noMultiLvlLbl val="0"/>
      </c:catAx>
      <c:valAx>
        <c:axId val="26582566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12998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各阶段资源到位率</a:t>
            </a:r>
          </a:p>
        </c:rich>
      </c:tx>
      <c:overlay val="0"/>
    </c:title>
    <c:autoTitleDeleted val="0"/>
    <c:plotArea>
      <c:layout/>
      <c:barChart>
        <c:barDir val="col"/>
        <c:grouping val="clustered"/>
        <c:varyColors val="0"/>
        <c:ser>
          <c:idx val="0"/>
          <c:order val="0"/>
          <c:tx>
            <c:v>计划</c:v>
          </c:tx>
          <c:invertIfNegative val="0"/>
          <c:dPt>
            <c:idx val="1"/>
            <c:invertIfNegative val="0"/>
            <c:bubble3D val="0"/>
          </c:dPt>
          <c:cat>
            <c:strRef>
              <c:f>人员统计!$A$36:$A$40</c:f>
              <c:strCache>
                <c:ptCount val="5"/>
                <c:pt idx="0">
                  <c:v>需求阶段</c:v>
                </c:pt>
                <c:pt idx="1">
                  <c:v>设计阶段</c:v>
                </c:pt>
                <c:pt idx="2">
                  <c:v>编码阶段</c:v>
                </c:pt>
                <c:pt idx="3">
                  <c:v>测试阶段</c:v>
                </c:pt>
                <c:pt idx="4">
                  <c:v>验收阶段</c:v>
                </c:pt>
              </c:strCache>
            </c:strRef>
          </c:cat>
          <c:val>
            <c:numRef>
              <c:f>人员统计!$B$36:$B$40</c:f>
              <c:numCache>
                <c:formatCode>General</c:formatCode>
                <c:ptCount val="5"/>
              </c:numCache>
            </c:numRef>
          </c:val>
        </c:ser>
        <c:ser>
          <c:idx val="1"/>
          <c:order val="1"/>
          <c:tx>
            <c:v>实际</c:v>
          </c:tx>
          <c:invertIfNegative val="0"/>
          <c:cat>
            <c:strRef>
              <c:f>人员统计!$A$36:$A$40</c:f>
              <c:strCache>
                <c:ptCount val="5"/>
                <c:pt idx="0">
                  <c:v>需求阶段</c:v>
                </c:pt>
                <c:pt idx="1">
                  <c:v>设计阶段</c:v>
                </c:pt>
                <c:pt idx="2">
                  <c:v>编码阶段</c:v>
                </c:pt>
                <c:pt idx="3">
                  <c:v>测试阶段</c:v>
                </c:pt>
                <c:pt idx="4">
                  <c:v>验收阶段</c:v>
                </c:pt>
              </c:strCache>
            </c:strRef>
          </c:cat>
          <c:val>
            <c:numRef>
              <c:f>人员统计!$C$36:$C$40</c:f>
              <c:numCache>
                <c:formatCode>General</c:formatCode>
                <c:ptCount val="5"/>
              </c:numCache>
            </c:numRef>
          </c:val>
        </c:ser>
        <c:dLbls>
          <c:showLegendKey val="0"/>
          <c:showVal val="0"/>
          <c:showCatName val="0"/>
          <c:showSerName val="0"/>
          <c:showPercent val="0"/>
          <c:showBubbleSize val="0"/>
        </c:dLbls>
        <c:gapWidth val="150"/>
        <c:axId val="265573376"/>
        <c:axId val="265828544"/>
      </c:barChart>
      <c:catAx>
        <c:axId val="26557337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828544"/>
        <c:crosses val="autoZero"/>
        <c:auto val="1"/>
        <c:lblAlgn val="ctr"/>
        <c:lblOffset val="100"/>
        <c:noMultiLvlLbl val="0"/>
      </c:catAx>
      <c:valAx>
        <c:axId val="26582854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57337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各阶段人员变动率</a:t>
            </a:r>
          </a:p>
        </c:rich>
      </c:tx>
      <c:layout/>
      <c:overlay val="0"/>
    </c:title>
    <c:autoTitleDeleted val="0"/>
    <c:plotArea>
      <c:layout/>
      <c:lineChart>
        <c:grouping val="standard"/>
        <c:varyColors val="0"/>
        <c:ser>
          <c:idx val="0"/>
          <c:order val="0"/>
          <c:tx>
            <c:v>变动率</c:v>
          </c:tx>
          <c:marker>
            <c:symbol val="none"/>
          </c:marker>
          <c:cat>
            <c:strRef>
              <c:f>人员统计!$J$47:$J$51</c:f>
              <c:strCache>
                <c:ptCount val="5"/>
                <c:pt idx="0">
                  <c:v>需求阶段</c:v>
                </c:pt>
                <c:pt idx="1">
                  <c:v>设计阶段</c:v>
                </c:pt>
                <c:pt idx="2">
                  <c:v>编码阶段</c:v>
                </c:pt>
                <c:pt idx="3">
                  <c:v>测试阶段</c:v>
                </c:pt>
                <c:pt idx="4">
                  <c:v>验收阶段</c:v>
                </c:pt>
              </c:strCache>
            </c:strRef>
          </c:cat>
          <c:val>
            <c:numRef>
              <c:f>人员统计!$K$40:$K$44</c:f>
              <c:numCache>
                <c:formatCode>0.00_ </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265574912"/>
        <c:axId val="264855552"/>
      </c:lineChart>
      <c:catAx>
        <c:axId val="26557491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4855552"/>
        <c:crosses val="autoZero"/>
        <c:auto val="1"/>
        <c:lblAlgn val="ctr"/>
        <c:lblOffset val="100"/>
        <c:noMultiLvlLbl val="0"/>
      </c:catAx>
      <c:valAx>
        <c:axId val="264855552"/>
        <c:scaling>
          <c:orientation val="minMax"/>
        </c:scaling>
        <c:delete val="0"/>
        <c:axPos val="l"/>
        <c:majorGridlines/>
        <c:title>
          <c:layout/>
          <c:overlay val="0"/>
          <c:txPr>
            <a:bodyPr rot="-5400000" spcFirstLastPara="0" vertOverflow="ellipsis" vert="horz" wrap="square" anchor="ctr" anchorCtr="1"/>
            <a:lstStyle/>
            <a:p>
              <a:pPr>
                <a:defRPr lang="zh-CN" sz="1000" b="1" i="0" u="none" strike="noStrike" kern="1200" baseline="0">
                  <a:solidFill>
                    <a:schemeClr val="tx1"/>
                  </a:solidFill>
                  <a:latin typeface="+mn-lt"/>
                  <a:ea typeface="+mn-ea"/>
                  <a:cs typeface="+mn-cs"/>
                </a:defRPr>
              </a:pPr>
              <a:endParaRPr lang="zh-CN"/>
            </a:p>
          </c:txPr>
        </c:title>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57491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各阶段稼动率</a:t>
            </a:r>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人员统计!$I$61:$I$65</c:f>
              <c:strCache>
                <c:ptCount val="5"/>
                <c:pt idx="0">
                  <c:v>需求阶段</c:v>
                </c:pt>
                <c:pt idx="1">
                  <c:v>设计阶段</c:v>
                </c:pt>
                <c:pt idx="2">
                  <c:v>编码阶段</c:v>
                </c:pt>
                <c:pt idx="3">
                  <c:v>测试阶段</c:v>
                </c:pt>
                <c:pt idx="4">
                  <c:v>验收阶段</c:v>
                </c:pt>
              </c:strCache>
            </c:strRef>
          </c:cat>
          <c:val>
            <c:numRef>
              <c:f>人员统计!$K$54:$K$58</c:f>
              <c:numCache>
                <c:formatCode>0.00_ </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265575936"/>
        <c:axId val="264857280"/>
      </c:barChart>
      <c:catAx>
        <c:axId val="26557593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4857280"/>
        <c:crosses val="autoZero"/>
        <c:auto val="1"/>
        <c:lblAlgn val="ctr"/>
        <c:lblOffset val="100"/>
        <c:noMultiLvlLbl val="0"/>
      </c:catAx>
      <c:valAx>
        <c:axId val="264857280"/>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57593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各角色技能系数</a:t>
            </a:r>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Pt>
            <c:idx val="7"/>
            <c:invertIfNegative val="1"/>
            <c:bubble3D val="0"/>
          </c:dPt>
          <c:dPt>
            <c:idx val="8"/>
            <c:invertIfNegative val="1"/>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人员统计!$B$28:$J$28</c:f>
              <c:strCache>
                <c:ptCount val="9"/>
                <c:pt idx="0">
                  <c:v>项目经理</c:v>
                </c:pt>
                <c:pt idx="1">
                  <c:v>策划团队</c:v>
                </c:pt>
                <c:pt idx="2">
                  <c:v>需求分析</c:v>
                </c:pt>
                <c:pt idx="3">
                  <c:v>开发团队</c:v>
                </c:pt>
                <c:pt idx="4">
                  <c:v>测试团队</c:v>
                </c:pt>
                <c:pt idx="5">
                  <c:v>UI及美工团队</c:v>
                </c:pt>
                <c:pt idx="6">
                  <c:v>架构师团队</c:v>
                </c:pt>
                <c:pt idx="7">
                  <c:v>质量保证工程师</c:v>
                </c:pt>
                <c:pt idx="8">
                  <c:v>配置管理工程师</c:v>
                </c:pt>
              </c:strCache>
            </c:strRef>
          </c:cat>
          <c:val>
            <c:numRef>
              <c:f>人员统计!$B$29:$J$29</c:f>
              <c:numCache>
                <c:formatCode>General</c:formatCode>
                <c:ptCount val="9"/>
                <c:pt idx="0">
                  <c:v>0</c:v>
                </c:pt>
                <c:pt idx="1">
                  <c:v>0</c:v>
                </c:pt>
                <c:pt idx="2">
                  <c:v>0</c:v>
                </c:pt>
                <c:pt idx="3">
                  <c:v>0</c:v>
                </c:pt>
                <c:pt idx="4">
                  <c:v>0</c:v>
                </c:pt>
                <c:pt idx="5">
                  <c:v>0</c:v>
                </c:pt>
                <c:pt idx="6">
                  <c:v>0</c:v>
                </c:pt>
                <c:pt idx="7">
                  <c:v>0</c:v>
                </c:pt>
                <c:pt idx="8">
                  <c:v>0</c:v>
                </c:pt>
              </c:numCache>
            </c:numRef>
          </c:val>
        </c:ser>
        <c:dLbls>
          <c:showLegendKey val="0"/>
          <c:showVal val="0"/>
          <c:showCatName val="0"/>
          <c:showSerName val="0"/>
          <c:showPercent val="0"/>
          <c:showBubbleSize val="0"/>
        </c:dLbls>
        <c:gapWidth val="150"/>
        <c:axId val="266493952"/>
        <c:axId val="264859008"/>
      </c:barChart>
      <c:catAx>
        <c:axId val="26649395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4859008"/>
        <c:crosses val="autoZero"/>
        <c:auto val="1"/>
        <c:lblAlgn val="ctr"/>
        <c:lblOffset val="100"/>
        <c:noMultiLvlLbl val="0"/>
      </c:catAx>
      <c:valAx>
        <c:axId val="26485900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6493952"/>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050" b="1" i="0" u="none" strike="noStrike" kern="1200" baseline="0">
                <a:solidFill>
                  <a:schemeClr val="tx2"/>
                </a:solidFill>
                <a:latin typeface="宋体" panose="02010600030101010101" pitchFamily="7" charset="-122"/>
                <a:ea typeface="宋体" panose="02010600030101010101" pitchFamily="7" charset="-122"/>
                <a:cs typeface="宋体" panose="02010600030101010101" pitchFamily="7" charset="-122"/>
              </a:defRPr>
            </a:pPr>
            <a:r>
              <a:rPr lang="zh-CN" altLang="en-US" sz="1400" b="1">
                <a:solidFill>
                  <a:schemeClr val="bg1"/>
                </a:solidFill>
                <a:latin typeface="微软雅黑" panose="020B0503020204020204" pitchFamily="34" charset="-122"/>
                <a:ea typeface="微软雅黑" panose="020B0503020204020204" pitchFamily="34" charset="-122"/>
              </a:rPr>
              <a:t>集成测试缺陷密度控制图</a:t>
            </a:r>
          </a:p>
        </c:rich>
      </c:tx>
      <c:layout>
        <c:manualLayout>
          <c:xMode val="edge"/>
          <c:yMode val="edge"/>
          <c:x val="0.310611865006236"/>
          <c:y val="3.3063808200445501E-2"/>
        </c:manualLayout>
      </c:layout>
      <c:overlay val="0"/>
      <c:spPr>
        <a:noFill/>
        <a:ln w="25400">
          <a:noFill/>
        </a:ln>
      </c:spPr>
    </c:title>
    <c:autoTitleDeleted val="0"/>
    <c:plotArea>
      <c:layout>
        <c:manualLayout>
          <c:layoutTarget val="inner"/>
          <c:xMode val="edge"/>
          <c:yMode val="edge"/>
          <c:x val="0.100709254733646"/>
          <c:y val="0.272059556111655"/>
          <c:w val="0.76312083164368505"/>
          <c:h val="0.56250151466328702"/>
        </c:manualLayout>
      </c:layout>
      <c:lineChart>
        <c:grouping val="standard"/>
        <c:varyColors val="0"/>
        <c:ser>
          <c:idx val="0"/>
          <c:order val="0"/>
          <c:tx>
            <c:v>UOL</c:v>
          </c:tx>
          <c:spPr>
            <a:ln w="25400" cap="rnd" cmpd="sng" algn="ctr">
              <a:solidFill>
                <a:srgbClr val="FFFF00"/>
              </a:solidFill>
              <a:prstDash val="solid"/>
              <a:round/>
            </a:ln>
          </c:spPr>
          <c:marker>
            <c:symbol val="none"/>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[2]质量!$E$90:$I$90</c:f>
              <c:numCache>
                <c:formatCode>General</c:formatCode>
                <c:ptCount val="5"/>
                <c:pt idx="0">
                  <c:v>0</c:v>
                </c:pt>
                <c:pt idx="1">
                  <c:v>0</c:v>
                </c:pt>
                <c:pt idx="2">
                  <c:v>0</c:v>
                </c:pt>
                <c:pt idx="3">
                  <c:v>0</c:v>
                </c:pt>
                <c:pt idx="4">
                  <c:v>0</c:v>
                </c:pt>
              </c:numCache>
            </c:numRef>
          </c:val>
          <c:smooth val="0"/>
        </c:ser>
        <c:ser>
          <c:idx val="1"/>
          <c:order val="1"/>
          <c:tx>
            <c:v>OL</c:v>
          </c:tx>
          <c:spPr>
            <a:ln w="25400" cap="rnd" cmpd="sng" algn="ctr">
              <a:solidFill>
                <a:srgbClr val="FFC000"/>
              </a:solidFill>
              <a:prstDash val="solid"/>
              <a:round/>
            </a:ln>
          </c:spPr>
          <c:marker>
            <c:symbol val="none"/>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[2]质量!$E$91:$I$91</c:f>
              <c:numCache>
                <c:formatCode>General</c:formatCode>
                <c:ptCount val="5"/>
                <c:pt idx="0">
                  <c:v>0</c:v>
                </c:pt>
                <c:pt idx="1">
                  <c:v>0</c:v>
                </c:pt>
                <c:pt idx="2">
                  <c:v>0</c:v>
                </c:pt>
                <c:pt idx="3">
                  <c:v>0</c:v>
                </c:pt>
                <c:pt idx="4">
                  <c:v>0</c:v>
                </c:pt>
              </c:numCache>
            </c:numRef>
          </c:val>
          <c:smooth val="0"/>
        </c:ser>
        <c:ser>
          <c:idx val="2"/>
          <c:order val="2"/>
          <c:tx>
            <c:v>LOL</c:v>
          </c:tx>
          <c:spPr>
            <a:ln w="25400" cap="rnd" cmpd="sng" algn="ctr">
              <a:solidFill>
                <a:srgbClr val="FFFF00"/>
              </a:solidFill>
              <a:prstDash val="solid"/>
              <a:round/>
            </a:ln>
          </c:spPr>
          <c:marker>
            <c:symbol val="none"/>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[2]质量!$E$92:$I$92</c:f>
              <c:numCache>
                <c:formatCode>General</c:formatCode>
                <c:ptCount val="5"/>
                <c:pt idx="0">
                  <c:v>0</c:v>
                </c:pt>
                <c:pt idx="1">
                  <c:v>0</c:v>
                </c:pt>
                <c:pt idx="2">
                  <c:v>0</c:v>
                </c:pt>
                <c:pt idx="3">
                  <c:v>0</c:v>
                </c:pt>
                <c:pt idx="4">
                  <c:v>0</c:v>
                </c:pt>
              </c:numCache>
            </c:numRef>
          </c:val>
          <c:smooth val="0"/>
        </c:ser>
        <c:ser>
          <c:idx val="3"/>
          <c:order val="3"/>
          <c:tx>
            <c:v>项目数据</c:v>
          </c:tx>
          <c:spPr>
            <a:ln w="25400" cap="rnd" cmpd="sng" algn="ctr">
              <a:solidFill>
                <a:srgbClr val="FF0000"/>
              </a:solidFill>
              <a:prstDash val="solid"/>
              <a:round/>
            </a:ln>
          </c:spPr>
          <c:marker>
            <c:symbol val="triangle"/>
            <c:size val="3"/>
            <c:spPr>
              <a:solidFill>
                <a:srgbClr val="0000FF"/>
              </a:solidFill>
              <a:ln w="9525" cap="flat" cmpd="sng" algn="ctr">
                <a:solidFill>
                  <a:srgbClr val="0000FF"/>
                </a:solidFill>
                <a:prstDash val="solid"/>
                <a:round/>
              </a:ln>
            </c:spPr>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[2]质量!$E$88:$I$88</c:f>
              <c:numCache>
                <c:formatCode>General</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266496000"/>
        <c:axId val="264861312"/>
      </c:lineChart>
      <c:catAx>
        <c:axId val="266496000"/>
        <c:scaling>
          <c:orientation val="minMax"/>
        </c:scaling>
        <c:delete val="0"/>
        <c:axPos val="b"/>
        <c:numFmt formatCode="General" sourceLinked="1"/>
        <c:majorTickMark val="in"/>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zh-CN" sz="925"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crossAx val="264861312"/>
        <c:crossesAt val="-0.15"/>
        <c:auto val="1"/>
        <c:lblAlgn val="ctr"/>
        <c:lblOffset val="100"/>
        <c:tickLblSkip val="1"/>
        <c:noMultiLvlLbl val="0"/>
      </c:catAx>
      <c:valAx>
        <c:axId val="264861312"/>
        <c:scaling>
          <c:orientation val="minMax"/>
        </c:scaling>
        <c:delete val="0"/>
        <c:axPos val="l"/>
        <c:majorGridlines>
          <c:spPr>
            <a:ln w="3175" cap="flat" cmpd="sng" algn="ctr">
              <a:solidFill>
                <a:srgbClr val="000000"/>
              </a:solidFill>
              <a:prstDash val="solid"/>
              <a:round/>
            </a:ln>
          </c:spPr>
        </c:majorGridlines>
        <c:numFmt formatCode="General" sourceLinked="1"/>
        <c:majorTickMark val="in"/>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zh-CN" sz="925"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crossAx val="266496000"/>
        <c:crosses val="autoZero"/>
        <c:crossBetween val="between"/>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chemeClr val="accent1"/>
          </a:solidFill>
          <a:prstDash val="solid"/>
        </a:ln>
        <a:effectLst>
          <a:glow rad="101600">
            <a:schemeClr val="accent1">
              <a:satMod val="175000"/>
              <a:alpha val="32000"/>
            </a:schemeClr>
          </a:glow>
          <a:outerShdw blurRad="50800" dist="38100" dir="2700000" algn="tl" rotWithShape="0">
            <a:schemeClr val="accent1">
              <a:alpha val="40000"/>
            </a:schemeClr>
          </a:outerShdw>
          <a:softEdge rad="12700"/>
        </a:effectLst>
        <a:scene3d>
          <a:camera prst="orthographicFront"/>
          <a:lightRig rig="threePt" dir="t"/>
        </a:scene3d>
        <a:sp3d/>
      </c:spPr>
    </c:plotArea>
    <c:legend>
      <c:legendPos val="r"/>
      <c:layout>
        <c:manualLayout>
          <c:xMode val="edge"/>
          <c:yMode val="edge"/>
          <c:x val="0.86241171981161902"/>
          <c:y val="0.30882463221509099"/>
          <c:w val="0.123404255319149"/>
          <c:h val="0.481618915282648"/>
        </c:manualLayout>
      </c:layout>
      <c:overlay val="0"/>
      <c:spPr>
        <a:noFill/>
        <a:ln w="25400">
          <a:noFill/>
        </a:ln>
      </c:spPr>
      <c:txPr>
        <a:bodyPr rot="0" spcFirstLastPara="0" vertOverflow="ellipsis" vert="horz" wrap="square" anchor="ctr" anchorCtr="1"/>
        <a:lstStyle/>
        <a:p>
          <a:pPr>
            <a:defRPr lang="zh-CN" sz="85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legend>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3175" cap="flat" cmpd="dbl" algn="ctr">
      <a:noFill/>
      <a:prstDash val="solid"/>
      <a:round/>
    </a:ln>
    <a:effectLst>
      <a:outerShdw blurRad="50800" dist="38100" dir="2700000" algn="tl" rotWithShape="0">
        <a:prstClr val="black">
          <a:alpha val="40000"/>
        </a:prstClr>
      </a:outerShdw>
    </a:effectLst>
  </c:spPr>
  <c:txPr>
    <a:bodyPr/>
    <a:lstStyle/>
    <a:p>
      <a:pPr>
        <a:defRPr lang="zh-CN" sz="925" b="0" i="0" u="none"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85725</xdr:rowOff>
    </xdr:from>
    <xdr:to>
      <xdr:col>1</xdr:col>
      <xdr:colOff>161925</xdr:colOff>
      <xdr:row>2</xdr:row>
      <xdr:rowOff>133350</xdr:rowOff>
    </xdr:to>
    <xdr:pic>
      <xdr:nvPicPr>
        <xdr:cNvPr id="2" name="图片 1" descr="Noname.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0" y="85725"/>
          <a:ext cx="135255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295275</xdr:colOff>
          <xdr:row>25</xdr:row>
          <xdr:rowOff>85725</xdr:rowOff>
        </xdr:from>
        <xdr:to>
          <xdr:col>3</xdr:col>
          <xdr:colOff>942975</xdr:colOff>
          <xdr:row>26</xdr:row>
          <xdr:rowOff>161925</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启用自带的单元格操作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66675</xdr:rowOff>
        </xdr:from>
        <xdr:to>
          <xdr:col>3</xdr:col>
          <xdr:colOff>942975</xdr:colOff>
          <xdr:row>28</xdr:row>
          <xdr:rowOff>142875</xdr:rowOff>
        </xdr:to>
        <xdr:sp macro="" textlink="">
          <xdr:nvSpPr>
            <xdr:cNvPr id="66562" name="Button 2" hidden="1">
              <a:extLst>
                <a:ext uri="{63B3BB69-23CF-44E3-9099-C40C66FF867C}">
                  <a14:compatExt spid="_x0000_s665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禁止自带的单元格操作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790575</xdr:colOff>
      <xdr:row>4</xdr:row>
      <xdr:rowOff>95250</xdr:rowOff>
    </xdr:from>
    <xdr:to>
      <xdr:col>18</xdr:col>
      <xdr:colOff>9525</xdr:colOff>
      <xdr:row>15</xdr:row>
      <xdr:rowOff>76200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809625</xdr:colOff>
      <xdr:row>17</xdr:row>
      <xdr:rowOff>104775</xdr:rowOff>
    </xdr:from>
    <xdr:to>
      <xdr:col>18</xdr:col>
      <xdr:colOff>9525</xdr:colOff>
      <xdr:row>28</xdr:row>
      <xdr:rowOff>133350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371475</xdr:colOff>
      <xdr:row>18</xdr:row>
      <xdr:rowOff>95250</xdr:rowOff>
    </xdr:from>
    <xdr:to>
      <xdr:col>19</xdr:col>
      <xdr:colOff>19050</xdr:colOff>
      <xdr:row>38</xdr:row>
      <xdr:rowOff>66675</xdr:rowOff>
    </xdr:to>
    <xdr:graphicFrame macro="">
      <xdr:nvGraphicFramePr>
        <xdr:cNvPr id="4"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152400</xdr:colOff>
      <xdr:row>25</xdr:row>
      <xdr:rowOff>90487</xdr:rowOff>
    </xdr:from>
    <xdr:to>
      <xdr:col>12</xdr:col>
      <xdr:colOff>514350</xdr:colOff>
      <xdr:row>44</xdr:row>
      <xdr:rowOff>9525</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552450</xdr:colOff>
      <xdr:row>39</xdr:row>
      <xdr:rowOff>142875</xdr:rowOff>
    </xdr:from>
    <xdr:to>
      <xdr:col>12</xdr:col>
      <xdr:colOff>76200</xdr:colOff>
      <xdr:row>52</xdr:row>
      <xdr:rowOff>47625</xdr:rowOff>
    </xdr:to>
    <xdr:graphicFrame macro="">
      <xdr:nvGraphicFramePr>
        <xdr:cNvPr id="2"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285751</xdr:colOff>
      <xdr:row>16</xdr:row>
      <xdr:rowOff>133350</xdr:rowOff>
    </xdr:from>
    <xdr:to>
      <xdr:col>6</xdr:col>
      <xdr:colOff>895351</xdr:colOff>
      <xdr:row>29</xdr:row>
      <xdr:rowOff>142875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9525</xdr:colOff>
          <xdr:row>16</xdr:row>
          <xdr:rowOff>171450</xdr:rowOff>
        </xdr:from>
        <xdr:to>
          <xdr:col>7</xdr:col>
          <xdr:colOff>676275</xdr:colOff>
          <xdr:row>18</xdr:row>
          <xdr:rowOff>133350</xdr:rowOff>
        </xdr:to>
        <xdr:sp macro="" textlink="">
          <xdr:nvSpPr>
            <xdr:cNvPr id="58371" name="Button 3" hidden="1">
              <a:extLst>
                <a:ext uri="{63B3BB69-23CF-44E3-9099-C40C66FF867C}">
                  <a14:compatExt spid="_x0000_s5837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19</xdr:row>
          <xdr:rowOff>28575</xdr:rowOff>
        </xdr:from>
        <xdr:to>
          <xdr:col>7</xdr:col>
          <xdr:colOff>685800</xdr:colOff>
          <xdr:row>20</xdr:row>
          <xdr:rowOff>171450</xdr:rowOff>
        </xdr:to>
        <xdr:sp macro="" textlink="">
          <xdr:nvSpPr>
            <xdr:cNvPr id="58372" name="Button 4" hidden="1">
              <a:extLst>
                <a:ext uri="{63B3BB69-23CF-44E3-9099-C40C66FF867C}">
                  <a14:compatExt spid="_x0000_s583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10</xdr:row>
          <xdr:rowOff>104775</xdr:rowOff>
        </xdr:from>
        <xdr:to>
          <xdr:col>1</xdr:col>
          <xdr:colOff>266700</xdr:colOff>
          <xdr:row>12</xdr:row>
          <xdr:rowOff>19050</xdr:rowOff>
        </xdr:to>
        <xdr:sp macro="" textlink="">
          <xdr:nvSpPr>
            <xdr:cNvPr id="62466" name="Button 2" hidden="1">
              <a:extLst>
                <a:ext uri="{63B3BB69-23CF-44E3-9099-C40C66FF867C}">
                  <a14:compatExt spid="_x0000_s624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619125</xdr:colOff>
      <xdr:row>10</xdr:row>
      <xdr:rowOff>95250</xdr:rowOff>
    </xdr:from>
    <xdr:to>
      <xdr:col>10</xdr:col>
      <xdr:colOff>771525</xdr:colOff>
      <xdr:row>24</xdr:row>
      <xdr:rowOff>123825</xdr:rowOff>
    </xdr:to>
    <xdr:graphicFrame macro="">
      <xdr:nvGraphicFramePr>
        <xdr:cNvPr id="3" name="图表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35</xdr:row>
          <xdr:rowOff>47625</xdr:rowOff>
        </xdr:from>
        <xdr:to>
          <xdr:col>1</xdr:col>
          <xdr:colOff>257175</xdr:colOff>
          <xdr:row>36</xdr:row>
          <xdr:rowOff>142875</xdr:rowOff>
        </xdr:to>
        <xdr:sp macro="" textlink="">
          <xdr:nvSpPr>
            <xdr:cNvPr id="62468" name="Button 4" hidden="1">
              <a:extLst>
                <a:ext uri="{63B3BB69-23CF-44E3-9099-C40C66FF867C}">
                  <a14:compatExt spid="_x0000_s624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552450</xdr:colOff>
      <xdr:row>34</xdr:row>
      <xdr:rowOff>85725</xdr:rowOff>
    </xdr:from>
    <xdr:to>
      <xdr:col>10</xdr:col>
      <xdr:colOff>762000</xdr:colOff>
      <xdr:row>50</xdr:row>
      <xdr:rowOff>57150</xdr:rowOff>
    </xdr:to>
    <xdr:graphicFrame macro="">
      <xdr:nvGraphicFramePr>
        <xdr:cNvPr id="5" name="图表 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60</xdr:row>
          <xdr:rowOff>104775</xdr:rowOff>
        </xdr:from>
        <xdr:to>
          <xdr:col>1</xdr:col>
          <xdr:colOff>238125</xdr:colOff>
          <xdr:row>62</xdr:row>
          <xdr:rowOff>57150</xdr:rowOff>
        </xdr:to>
        <xdr:sp macro="" textlink="">
          <xdr:nvSpPr>
            <xdr:cNvPr id="62469" name="Button 5" hidden="1">
              <a:extLst>
                <a:ext uri="{63B3BB69-23CF-44E3-9099-C40C66FF867C}">
                  <a14:compatExt spid="_x0000_s624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390525</xdr:colOff>
      <xdr:row>60</xdr:row>
      <xdr:rowOff>66675</xdr:rowOff>
    </xdr:from>
    <xdr:to>
      <xdr:col>10</xdr:col>
      <xdr:colOff>657225</xdr:colOff>
      <xdr:row>77</xdr:row>
      <xdr:rowOff>66675</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87</xdr:row>
          <xdr:rowOff>76200</xdr:rowOff>
        </xdr:from>
        <xdr:to>
          <xdr:col>1</xdr:col>
          <xdr:colOff>295275</xdr:colOff>
          <xdr:row>89</xdr:row>
          <xdr:rowOff>19050</xdr:rowOff>
        </xdr:to>
        <xdr:sp macro="" textlink="">
          <xdr:nvSpPr>
            <xdr:cNvPr id="62472" name="Button 8" hidden="1">
              <a:extLst>
                <a:ext uri="{63B3BB69-23CF-44E3-9099-C40C66FF867C}">
                  <a14:compatExt spid="_x0000_s624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361950</xdr:colOff>
      <xdr:row>87</xdr:row>
      <xdr:rowOff>57150</xdr:rowOff>
    </xdr:from>
    <xdr:to>
      <xdr:col>10</xdr:col>
      <xdr:colOff>628650</xdr:colOff>
      <xdr:row>102</xdr:row>
      <xdr:rowOff>142875</xdr:rowOff>
    </xdr:to>
    <xdr:graphicFrame macro="">
      <xdr:nvGraphicFramePr>
        <xdr:cNvPr id="12" name="图表 1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113</xdr:row>
          <xdr:rowOff>85725</xdr:rowOff>
        </xdr:from>
        <xdr:to>
          <xdr:col>1</xdr:col>
          <xdr:colOff>342900</xdr:colOff>
          <xdr:row>115</xdr:row>
          <xdr:rowOff>19050</xdr:rowOff>
        </xdr:to>
        <xdr:sp macro="" textlink="">
          <xdr:nvSpPr>
            <xdr:cNvPr id="62473" name="Button 9" hidden="1">
              <a:extLst>
                <a:ext uri="{63B3BB69-23CF-44E3-9099-C40C66FF867C}">
                  <a14:compatExt spid="_x0000_s624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增加走查次数</a:t>
              </a:r>
            </a:p>
          </xdr:txBody>
        </xdr:sp>
        <xdr:clientData fPrintsWithSheet="0"/>
      </xdr:twoCellAnchor>
    </mc:Choice>
    <mc:Fallback/>
  </mc:AlternateContent>
  <xdr:twoCellAnchor editAs="oneCell">
    <xdr:from>
      <xdr:col>1</xdr:col>
      <xdr:colOff>438150</xdr:colOff>
      <xdr:row>113</xdr:row>
      <xdr:rowOff>57150</xdr:rowOff>
    </xdr:from>
    <xdr:to>
      <xdr:col>10</xdr:col>
      <xdr:colOff>704850</xdr:colOff>
      <xdr:row>129</xdr:row>
      <xdr:rowOff>142875</xdr:rowOff>
    </xdr:to>
    <xdr:graphicFrame macro="">
      <xdr:nvGraphicFramePr>
        <xdr:cNvPr id="11" name="图表 1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12</xdr:row>
          <xdr:rowOff>85725</xdr:rowOff>
        </xdr:from>
        <xdr:to>
          <xdr:col>1</xdr:col>
          <xdr:colOff>266700</xdr:colOff>
          <xdr:row>14</xdr:row>
          <xdr:rowOff>0</xdr:rowOff>
        </xdr:to>
        <xdr:sp macro="" textlink="">
          <xdr:nvSpPr>
            <xdr:cNvPr id="62474" name="Button 10" hidden="1">
              <a:extLst>
                <a:ext uri="{63B3BB69-23CF-44E3-9099-C40C66FF867C}">
                  <a14:compatExt spid="_x0000_s624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xdr:from>
      <xdr:col>11</xdr:col>
      <xdr:colOff>0</xdr:colOff>
      <xdr:row>13</xdr:row>
      <xdr:rowOff>19050</xdr:rowOff>
    </xdr:from>
    <xdr:to>
      <xdr:col>14</xdr:col>
      <xdr:colOff>628650</xdr:colOff>
      <xdr:row>18</xdr:row>
      <xdr:rowOff>38100</xdr:rowOff>
    </xdr:to>
    <xdr:sp macro="" textlink="">
      <xdr:nvSpPr>
        <xdr:cNvPr id="2" name="文本框 1"/>
        <xdr:cNvSpPr txBox="1">
          <a:spLocks noChangeAspect="1"/>
        </xdr:cNvSpPr>
      </xdr:nvSpPr>
      <xdr:spPr>
        <a:xfrm>
          <a:off x="7677150" y="2638425"/>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xdr:twoCellAnchor editAs="oneCell">
    <xdr:from>
      <xdr:col>10</xdr:col>
      <xdr:colOff>762000</xdr:colOff>
      <xdr:row>37</xdr:row>
      <xdr:rowOff>38100</xdr:rowOff>
    </xdr:from>
    <xdr:to>
      <xdr:col>14</xdr:col>
      <xdr:colOff>609600</xdr:colOff>
      <xdr:row>43</xdr:row>
      <xdr:rowOff>0</xdr:rowOff>
    </xdr:to>
    <xdr:sp macro="" textlink="">
      <xdr:nvSpPr>
        <xdr:cNvPr id="15" name="文本框 14"/>
        <xdr:cNvSpPr txBox="1">
          <a:spLocks noChangeAspect="1"/>
        </xdr:cNvSpPr>
      </xdr:nvSpPr>
      <xdr:spPr>
        <a:xfrm>
          <a:off x="7658100" y="6591300"/>
          <a:ext cx="2686050" cy="95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37</xdr:row>
          <xdr:rowOff>76200</xdr:rowOff>
        </xdr:from>
        <xdr:to>
          <xdr:col>1</xdr:col>
          <xdr:colOff>247650</xdr:colOff>
          <xdr:row>39</xdr:row>
          <xdr:rowOff>28575</xdr:rowOff>
        </xdr:to>
        <xdr:sp macro="" textlink="">
          <xdr:nvSpPr>
            <xdr:cNvPr id="62475" name="Button 11" hidden="1">
              <a:extLst>
                <a:ext uri="{63B3BB69-23CF-44E3-9099-C40C66FF867C}">
                  <a14:compatExt spid="_x0000_s624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10</xdr:col>
      <xdr:colOff>657225</xdr:colOff>
      <xdr:row>65</xdr:row>
      <xdr:rowOff>76200</xdr:rowOff>
    </xdr:from>
    <xdr:to>
      <xdr:col>14</xdr:col>
      <xdr:colOff>504825</xdr:colOff>
      <xdr:row>71</xdr:row>
      <xdr:rowOff>95250</xdr:rowOff>
    </xdr:to>
    <xdr:sp macro="" textlink="">
      <xdr:nvSpPr>
        <xdr:cNvPr id="16" name="文本框 15"/>
        <xdr:cNvSpPr txBox="1">
          <a:spLocks noChangeAspect="1"/>
        </xdr:cNvSpPr>
      </xdr:nvSpPr>
      <xdr:spPr>
        <a:xfrm>
          <a:off x="7553325" y="11182350"/>
          <a:ext cx="2686050"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62</xdr:row>
          <xdr:rowOff>114300</xdr:rowOff>
        </xdr:from>
        <xdr:to>
          <xdr:col>1</xdr:col>
          <xdr:colOff>247650</xdr:colOff>
          <xdr:row>64</xdr:row>
          <xdr:rowOff>66675</xdr:rowOff>
        </xdr:to>
        <xdr:sp macro="" textlink="">
          <xdr:nvSpPr>
            <xdr:cNvPr id="62476" name="Button 12" hidden="1">
              <a:extLst>
                <a:ext uri="{63B3BB69-23CF-44E3-9099-C40C66FF867C}">
                  <a14:compatExt spid="_x0000_s624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10</xdr:col>
      <xdr:colOff>638175</xdr:colOff>
      <xdr:row>91</xdr:row>
      <xdr:rowOff>28574</xdr:rowOff>
    </xdr:from>
    <xdr:to>
      <xdr:col>14</xdr:col>
      <xdr:colOff>485775</xdr:colOff>
      <xdr:row>97</xdr:row>
      <xdr:rowOff>95249</xdr:rowOff>
    </xdr:to>
    <xdr:sp macro="" textlink="">
      <xdr:nvSpPr>
        <xdr:cNvPr id="18" name="文本框 17"/>
        <xdr:cNvSpPr txBox="1">
          <a:spLocks noChangeAspect="1"/>
        </xdr:cNvSpPr>
      </xdr:nvSpPr>
      <xdr:spPr>
        <a:xfrm>
          <a:off x="7534275" y="15286990"/>
          <a:ext cx="2686050" cy="981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89</xdr:row>
          <xdr:rowOff>142875</xdr:rowOff>
        </xdr:from>
        <xdr:to>
          <xdr:col>1</xdr:col>
          <xdr:colOff>276225</xdr:colOff>
          <xdr:row>91</xdr:row>
          <xdr:rowOff>95250</xdr:rowOff>
        </xdr:to>
        <xdr:sp macro="" textlink="">
          <xdr:nvSpPr>
            <xdr:cNvPr id="62477" name="Button 13" hidden="1">
              <a:extLst>
                <a:ext uri="{63B3BB69-23CF-44E3-9099-C40C66FF867C}">
                  <a14:compatExt spid="_x0000_s624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115</xdr:row>
          <xdr:rowOff>104775</xdr:rowOff>
        </xdr:from>
        <xdr:to>
          <xdr:col>1</xdr:col>
          <xdr:colOff>342900</xdr:colOff>
          <xdr:row>117</xdr:row>
          <xdr:rowOff>57150</xdr:rowOff>
        </xdr:to>
        <xdr:sp macro="" textlink="">
          <xdr:nvSpPr>
            <xdr:cNvPr id="62479" name="Button 15" hidden="1">
              <a:extLst>
                <a:ext uri="{63B3BB69-23CF-44E3-9099-C40C66FF867C}">
                  <a14:compatExt spid="_x0000_s6247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删除走查次数</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20</xdr:row>
          <xdr:rowOff>28575</xdr:rowOff>
        </xdr:from>
        <xdr:to>
          <xdr:col>1</xdr:col>
          <xdr:colOff>66675</xdr:colOff>
          <xdr:row>21</xdr:row>
          <xdr:rowOff>133350</xdr:rowOff>
        </xdr:to>
        <xdr:sp macro="" textlink="">
          <xdr:nvSpPr>
            <xdr:cNvPr id="63492" name="Button 4" hidden="1">
              <a:extLst>
                <a:ext uri="{63B3BB69-23CF-44E3-9099-C40C66FF867C}">
                  <a14:compatExt spid="_x0000_s634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18</xdr:row>
          <xdr:rowOff>28575</xdr:rowOff>
        </xdr:from>
        <xdr:to>
          <xdr:col>1</xdr:col>
          <xdr:colOff>76200</xdr:colOff>
          <xdr:row>19</xdr:row>
          <xdr:rowOff>47625</xdr:rowOff>
        </xdr:to>
        <xdr:sp macro="" textlink="">
          <xdr:nvSpPr>
            <xdr:cNvPr id="63491" name="Button 3" hidden="1">
              <a:extLst>
                <a:ext uri="{63B3BB69-23CF-44E3-9099-C40C66FF867C}">
                  <a14:compatExt spid="_x0000_s634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40</xdr:row>
      <xdr:rowOff>0</xdr:rowOff>
    </xdr:from>
    <xdr:to>
      <xdr:col>14</xdr:col>
      <xdr:colOff>0</xdr:colOff>
      <xdr:row>49</xdr:row>
      <xdr:rowOff>152400</xdr:rowOff>
    </xdr:to>
    <xdr:graphicFrame macro="">
      <xdr:nvGraphicFramePr>
        <xdr:cNvPr id="2"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771525</xdr:colOff>
      <xdr:row>51</xdr:row>
      <xdr:rowOff>152400</xdr:rowOff>
    </xdr:from>
    <xdr:to>
      <xdr:col>13</xdr:col>
      <xdr:colOff>676275</xdr:colOff>
      <xdr:row>61</xdr:row>
      <xdr:rowOff>28575</xdr:rowOff>
    </xdr:to>
    <xdr:graphicFrame macro="">
      <xdr:nvGraphicFramePr>
        <xdr:cNvPr id="3"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247650</xdr:colOff>
      <xdr:row>64</xdr:row>
      <xdr:rowOff>38100</xdr:rowOff>
    </xdr:from>
    <xdr:to>
      <xdr:col>14</xdr:col>
      <xdr:colOff>485775</xdr:colOff>
      <xdr:row>80</xdr:row>
      <xdr:rowOff>142875</xdr:rowOff>
    </xdr:to>
    <xdr:graphicFrame macro="">
      <xdr:nvGraphicFramePr>
        <xdr:cNvPr id="4"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152400</xdr:colOff>
      <xdr:row>17</xdr:row>
      <xdr:rowOff>85725</xdr:rowOff>
    </xdr:from>
    <xdr:to>
      <xdr:col>9</xdr:col>
      <xdr:colOff>66675</xdr:colOff>
      <xdr:row>27</xdr:row>
      <xdr:rowOff>209550</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171450</xdr:colOff>
      <xdr:row>31</xdr:row>
      <xdr:rowOff>9525</xdr:rowOff>
    </xdr:from>
    <xdr:to>
      <xdr:col>8</xdr:col>
      <xdr:colOff>609600</xdr:colOff>
      <xdr:row>43</xdr:row>
      <xdr:rowOff>19050</xdr:rowOff>
    </xdr:to>
    <xdr:graphicFrame macro="">
      <xdr:nvGraphicFramePr>
        <xdr:cNvPr id="2"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704850</xdr:colOff>
      <xdr:row>39</xdr:row>
      <xdr:rowOff>66675</xdr:rowOff>
    </xdr:from>
    <xdr:to>
      <xdr:col>14</xdr:col>
      <xdr:colOff>257175</xdr:colOff>
      <xdr:row>52</xdr:row>
      <xdr:rowOff>38100</xdr:rowOff>
    </xdr:to>
    <xdr:graphicFrame macro="">
      <xdr:nvGraphicFramePr>
        <xdr:cNvPr id="3"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9525</xdr:colOff>
      <xdr:row>52</xdr:row>
      <xdr:rowOff>209550</xdr:rowOff>
    </xdr:from>
    <xdr:to>
      <xdr:col>13</xdr:col>
      <xdr:colOff>457200</xdr:colOff>
      <xdr:row>66</xdr:row>
      <xdr:rowOff>152400</xdr:rowOff>
    </xdr:to>
    <xdr:graphicFrame macro="">
      <xdr:nvGraphicFramePr>
        <xdr:cNvPr id="4" name="图表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352425</xdr:colOff>
      <xdr:row>21</xdr:row>
      <xdr:rowOff>76200</xdr:rowOff>
    </xdr:from>
    <xdr:to>
      <xdr:col>16</xdr:col>
      <xdr:colOff>228600</xdr:colOff>
      <xdr:row>37</xdr:row>
      <xdr:rowOff>104775</xdr:rowOff>
    </xdr:to>
    <xdr:graphicFrame macro="">
      <xdr:nvGraphicFramePr>
        <xdr:cNvPr id="5" name="图表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21</xdr:row>
          <xdr:rowOff>47625</xdr:rowOff>
        </xdr:from>
        <xdr:to>
          <xdr:col>0</xdr:col>
          <xdr:colOff>685800</xdr:colOff>
          <xdr:row>22</xdr:row>
          <xdr:rowOff>57150</xdr:rowOff>
        </xdr:to>
        <xdr:sp macro="" textlink="">
          <xdr:nvSpPr>
            <xdr:cNvPr id="41989" name="Button 5" hidden="1">
              <a:extLst>
                <a:ext uri="{63B3BB69-23CF-44E3-9099-C40C66FF867C}">
                  <a14:compatExt spid="_x0000_s419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新增成员 </a:t>
              </a:r>
              <a:r>
                <a:rPr lang="en-US" altLang="zh-CN" sz="1100" b="0" i="0" u="none" strike="noStrike" baseline="0">
                  <a:solidFill>
                    <a:srgbClr val="FF0000"/>
                  </a:solidFill>
                  <a:latin typeface="宋体"/>
                  <a:ea typeface="宋体"/>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742950</xdr:colOff>
          <xdr:row>21</xdr:row>
          <xdr:rowOff>47625</xdr:rowOff>
        </xdr:from>
        <xdr:to>
          <xdr:col>1</xdr:col>
          <xdr:colOff>9525</xdr:colOff>
          <xdr:row>22</xdr:row>
          <xdr:rowOff>57150</xdr:rowOff>
        </xdr:to>
        <xdr:sp macro="" textlink="">
          <xdr:nvSpPr>
            <xdr:cNvPr id="41992" name="Button 8" hidden="1">
              <a:extLst>
                <a:ext uri="{63B3BB69-23CF-44E3-9099-C40C66FF867C}">
                  <a14:compatExt spid="_x0000_s419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删除成员 </a:t>
              </a:r>
              <a:r>
                <a:rPr lang="en-US" altLang="zh-CN" sz="1100" b="0" i="0" u="none" strike="noStrike" baseline="0">
                  <a:solidFill>
                    <a:srgbClr val="FF0000"/>
                  </a:solidFill>
                  <a:latin typeface="宋体"/>
                  <a:ea typeface="宋体"/>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7</xdr:row>
          <xdr:rowOff>85725</xdr:rowOff>
        </xdr:from>
        <xdr:to>
          <xdr:col>11</xdr:col>
          <xdr:colOff>200025</xdr:colOff>
          <xdr:row>8</xdr:row>
          <xdr:rowOff>171450</xdr:rowOff>
        </xdr:to>
        <xdr:sp macro="" textlink="">
          <xdr:nvSpPr>
            <xdr:cNvPr id="42008" name="Button 24" hidden="1">
              <a:extLst>
                <a:ext uri="{63B3BB69-23CF-44E3-9099-C40C66FF867C}">
                  <a14:compatExt spid="_x0000_s4200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9</xdr:row>
          <xdr:rowOff>76200</xdr:rowOff>
        </xdr:from>
        <xdr:to>
          <xdr:col>11</xdr:col>
          <xdr:colOff>200025</xdr:colOff>
          <xdr:row>10</xdr:row>
          <xdr:rowOff>152400</xdr:rowOff>
        </xdr:to>
        <xdr:sp macro="" textlink="">
          <xdr:nvSpPr>
            <xdr:cNvPr id="42014" name="Button 30" hidden="1">
              <a:extLst>
                <a:ext uri="{63B3BB69-23CF-44E3-9099-C40C66FF867C}">
                  <a14:compatExt spid="_x0000_s420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438150</xdr:colOff>
      <xdr:row>47</xdr:row>
      <xdr:rowOff>200025</xdr:rowOff>
    </xdr:from>
    <xdr:to>
      <xdr:col>10</xdr:col>
      <xdr:colOff>190500</xdr:colOff>
      <xdr:row>72</xdr:row>
      <xdr:rowOff>123825</xdr:rowOff>
    </xdr:to>
    <xdr:pic>
      <xdr:nvPicPr>
        <xdr:cNvPr id="2" name="Picture 9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438150" y="10496550"/>
          <a:ext cx="7667625"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542925</xdr:colOff>
      <xdr:row>84</xdr:row>
      <xdr:rowOff>57150</xdr:rowOff>
    </xdr:from>
    <xdr:to>
      <xdr:col>9</xdr:col>
      <xdr:colOff>47625</xdr:colOff>
      <xdr:row>102</xdr:row>
      <xdr:rowOff>123825</xdr:rowOff>
    </xdr:to>
    <xdr:pic>
      <xdr:nvPicPr>
        <xdr:cNvPr id="3" name="Picture 101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a:xfrm>
          <a:off x="542925" y="18192750"/>
          <a:ext cx="6734175" cy="383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xdr:col>
      <xdr:colOff>0</xdr:colOff>
      <xdr:row>17</xdr:row>
      <xdr:rowOff>66675</xdr:rowOff>
    </xdr:from>
    <xdr:to>
      <xdr:col>7</xdr:col>
      <xdr:colOff>361950</xdr:colOff>
      <xdr:row>28</xdr:row>
      <xdr:rowOff>28575</xdr:rowOff>
    </xdr:to>
    <xdr:graphicFrame macro="">
      <xdr:nvGraphicFramePr>
        <xdr:cNvPr id="4"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95.118\Documents%20and%20Settings\km11\Desktop\Book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95.118\&#23601;&#32490;&#26816;&#26597;&#24037;&#20316;&#25991;&#20214;&#21253;\&#27491;&#24335;&#29256;\&#36719;&#20214;\03.&#38656;&#27714;&#38454;&#27573;\&#24230;&#37327;&#20998;&#26512;\&#39033;&#30446;&#24230;&#37327;&#34920;_&#28689;&#24067;&#24335;11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STS_ValidationWS_1"/>
    </sheetNames>
    <sheetDataSet>
      <sheetData sheetId="0" refreshError="1"/>
      <sheetData sheetId="1" refreshError="1"/>
      <sheetData sheetId="2" refreshError="1"/>
      <sheetData sheetId="3">
        <row r="1">
          <cell r="AQ1" t="str">
            <v>CDMIS</v>
          </cell>
          <cell r="AR1" t="str">
            <v>1_US MIS</v>
          </cell>
          <cell r="AS1" t="str">
            <v>1_System Interrupt</v>
          </cell>
          <cell r="AT1" t="str">
            <v>1_Critical</v>
          </cell>
          <cell r="AU1" t="str">
            <v>Active</v>
          </cell>
        </row>
        <row r="2">
          <cell r="AQ2" t="str">
            <v>SHMIS</v>
          </cell>
          <cell r="AR2" t="str">
            <v>2_CD Support Team</v>
          </cell>
          <cell r="AS2" t="str">
            <v>2_Function Error</v>
          </cell>
          <cell r="AT2" t="str">
            <v>2_Serious</v>
          </cell>
          <cell r="AU2" t="str">
            <v>Closed</v>
          </cell>
        </row>
        <row r="3">
          <cell r="AR3" t="str">
            <v>3_US Support Team</v>
          </cell>
          <cell r="AS3" t="str">
            <v>3_Data Error</v>
          </cell>
          <cell r="AT3" t="str">
            <v>3_Average</v>
          </cell>
          <cell r="AU3" t="str">
            <v>Resolved</v>
          </cell>
        </row>
        <row r="4">
          <cell r="AR4" t="str">
            <v>4_Customer</v>
          </cell>
          <cell r="AS4" t="str">
            <v>4_GUI Error</v>
          </cell>
          <cell r="AT4" t="str">
            <v>4_Minor</v>
          </cell>
        </row>
        <row r="5">
          <cell r="AR5" t="str">
            <v>5_ChinaMIS</v>
          </cell>
          <cell r="AS5" t="str">
            <v>5_Security</v>
          </cell>
          <cell r="AT5" t="str">
            <v>5_Enhancement</v>
          </cell>
        </row>
        <row r="6">
          <cell r="AS6" t="str">
            <v>6_Performance</v>
          </cell>
        </row>
        <row r="7">
          <cell r="AS7" t="str">
            <v>7_Documentation</v>
          </cell>
        </row>
        <row r="8">
          <cell r="AS8" t="str">
            <v>8_Other</v>
          </cell>
        </row>
        <row r="9">
          <cell r="AS9" t="str">
            <v>9_Environment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报告封面"/>
      <sheetName val="目录"/>
      <sheetName val="项目属性"/>
      <sheetName val="工作量分布"/>
      <sheetName val="规模"/>
      <sheetName val="项目进度"/>
      <sheetName val="缺陷度量"/>
      <sheetName val="人员统计"/>
      <sheetName val="质量"/>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9.vml"/><Relationship Id="rId1" Type="http://schemas.openxmlformats.org/officeDocument/2006/relationships/drawing" Target="../drawings/drawing5.xml"/><Relationship Id="rId5" Type="http://schemas.openxmlformats.org/officeDocument/2006/relationships/comments" Target="../comments8.xml"/><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omments" Target="../comments9.xml"/><Relationship Id="rId3" Type="http://schemas.openxmlformats.org/officeDocument/2006/relationships/ctrlProp" Target="../ctrlProps/ctrlProp5.x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vmlDrawing" Target="../drawings/vmlDrawing10.vml"/><Relationship Id="rId1" Type="http://schemas.openxmlformats.org/officeDocument/2006/relationships/drawing" Target="../drawings/drawing6.xml"/><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1.vml"/><Relationship Id="rId1" Type="http://schemas.openxmlformats.org/officeDocument/2006/relationships/drawing" Target="../drawings/drawing7.xml"/><Relationship Id="rId5" Type="http://schemas.openxmlformats.org/officeDocument/2006/relationships/comments" Target="../comments10.xml"/><Relationship Id="rId4" Type="http://schemas.openxmlformats.org/officeDocument/2006/relationships/ctrlProp" Target="../ctrlProps/ctrlProp1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7.xml"/><Relationship Id="rId7"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drawing" Target="../drawings/drawing8.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0005"/>
  <sheetViews>
    <sheetView workbookViewId="0"/>
  </sheetViews>
  <sheetFormatPr defaultColWidth="9" defaultRowHeight="13.5"/>
  <cols>
    <col min="1" max="3" width="36.625" customWidth="1"/>
  </cols>
  <sheetData>
    <row r="1" spans="1:16">
      <c r="A1" s="632" t="s">
        <v>0</v>
      </c>
    </row>
    <row r="2" spans="1:16">
      <c r="P2" t="e">
        <f ca="1">_xll.CB.RecalcCounterFN()</f>
        <v>#NAME?</v>
      </c>
    </row>
    <row r="3" spans="1:16">
      <c r="A3" t="s">
        <v>1</v>
      </c>
      <c r="B3" t="s">
        <v>2</v>
      </c>
      <c r="C3">
        <v>0</v>
      </c>
    </row>
    <row r="4" spans="1:16">
      <c r="A4" t="s">
        <v>3</v>
      </c>
    </row>
    <row r="5" spans="1:16">
      <c r="A5" t="s">
        <v>4</v>
      </c>
    </row>
    <row r="7" spans="1:16">
      <c r="A7" s="632" t="s">
        <v>5</v>
      </c>
      <c r="B7" t="s">
        <v>6</v>
      </c>
    </row>
    <row r="8" spans="1:16">
      <c r="B8">
        <v>3</v>
      </c>
    </row>
    <row r="10" spans="1:16">
      <c r="A10" t="s">
        <v>7</v>
      </c>
    </row>
    <row r="11" spans="1:16">
      <c r="A11" t="e">
        <f>CB_DATA_!#REF!</f>
        <v>#REF!</v>
      </c>
      <c r="C11" t="e">
        <f>模型!#REF!</f>
        <v>#REF!</v>
      </c>
    </row>
    <row r="13" spans="1:16">
      <c r="A13" t="s">
        <v>8</v>
      </c>
    </row>
    <row r="14" spans="1:16">
      <c r="A14" t="s">
        <v>9</v>
      </c>
      <c r="C14" s="633" t="s">
        <v>10</v>
      </c>
    </row>
    <row r="16" spans="1:16">
      <c r="A16" t="s">
        <v>11</v>
      </c>
    </row>
    <row r="19" spans="1:3">
      <c r="A19" t="s">
        <v>12</v>
      </c>
    </row>
    <row r="20" spans="1:3">
      <c r="A20">
        <v>31</v>
      </c>
      <c r="C20">
        <v>37</v>
      </c>
    </row>
    <row r="25" spans="1:3">
      <c r="A25" s="632" t="s">
        <v>13</v>
      </c>
    </row>
    <row r="26" spans="1:3">
      <c r="A26" s="633" t="s">
        <v>14</v>
      </c>
      <c r="C26" s="633" t="s">
        <v>15</v>
      </c>
    </row>
    <row r="27" spans="1:3">
      <c r="A27" t="s">
        <v>16</v>
      </c>
      <c r="C27" t="s">
        <v>17</v>
      </c>
    </row>
    <row r="28" spans="1:3">
      <c r="A28" s="633" t="s">
        <v>18</v>
      </c>
      <c r="C28" s="633" t="s">
        <v>18</v>
      </c>
    </row>
    <row r="29" spans="1:3">
      <c r="A29" s="633" t="s">
        <v>19</v>
      </c>
      <c r="C29" s="633" t="s">
        <v>14</v>
      </c>
    </row>
    <row r="30" spans="1:3">
      <c r="A30" t="s">
        <v>20</v>
      </c>
      <c r="C30" t="s">
        <v>21</v>
      </c>
    </row>
    <row r="31" spans="1:3">
      <c r="A31" s="633" t="s">
        <v>22</v>
      </c>
      <c r="C31" s="633" t="s">
        <v>18</v>
      </c>
    </row>
    <row r="32" spans="1:3">
      <c r="C32" s="633" t="s">
        <v>23</v>
      </c>
    </row>
    <row r="33" spans="3:3">
      <c r="C33" t="s">
        <v>24</v>
      </c>
    </row>
    <row r="34" spans="3:3">
      <c r="C34" s="633" t="s">
        <v>18</v>
      </c>
    </row>
    <row r="35" spans="3:3">
      <c r="C35" s="633" t="s">
        <v>25</v>
      </c>
    </row>
    <row r="36" spans="3:3">
      <c r="C36" t="s">
        <v>26</v>
      </c>
    </row>
    <row r="37" spans="3:3">
      <c r="C37" s="633" t="s">
        <v>18</v>
      </c>
    </row>
    <row r="10000" spans="1:1">
      <c r="A10000" t="s">
        <v>27</v>
      </c>
    </row>
    <row r="10001" spans="1:1">
      <c r="A10001" t="str">
        <f>"{0.CERTAINTY(-1.11E+307,0.8009)}"</f>
        <v>{0.CERTAINTY(-1.11E+307,0.8009)}</v>
      </c>
    </row>
    <row r="10002" spans="1:1">
      <c r="A10002" t="b">
        <f>"{0.MEAN}"&gt;=0.3385</f>
        <v>1</v>
      </c>
    </row>
    <row r="10003" spans="1:1">
      <c r="A10003" t="b">
        <f>"{0.MEAN}"&lt;=0.0938</f>
        <v>0</v>
      </c>
    </row>
    <row r="10004" spans="1:1">
      <c r="A10004" t="b">
        <f>"{0.MEAN}"&gt;=0.512</f>
        <v>1</v>
      </c>
    </row>
    <row r="10005" spans="1:1">
      <c r="A10005" t="b">
        <f>"{0.MEAN}"&lt;=0.05</f>
        <v>0</v>
      </c>
    </row>
  </sheetData>
  <phoneticPr fontId="156" type="noConversion"/>
  <pageMargins left="0.69930555555555596" right="0.69930555555555596"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1"/>
  <sheetViews>
    <sheetView showGridLines="0" topLeftCell="A4" workbookViewId="0">
      <selection sqref="A1:F2"/>
    </sheetView>
  </sheetViews>
  <sheetFormatPr defaultColWidth="9" defaultRowHeight="12"/>
  <cols>
    <col min="1" max="1" width="15.625" style="68" customWidth="1"/>
    <col min="2" max="2" width="14.25" style="68" customWidth="1"/>
    <col min="3" max="3" width="11.625" style="68" customWidth="1"/>
    <col min="4" max="5" width="9" style="68"/>
    <col min="6" max="6" width="26.375" style="68" customWidth="1"/>
    <col min="7" max="256" width="9" style="68"/>
    <col min="257" max="257" width="15.625" style="68" customWidth="1"/>
    <col min="258" max="258" width="14.25" style="68" customWidth="1"/>
    <col min="259" max="259" width="11.625" style="68" customWidth="1"/>
    <col min="260" max="261" width="9" style="68"/>
    <col min="262" max="262" width="26.375" style="68" customWidth="1"/>
    <col min="263" max="512" width="9" style="68"/>
    <col min="513" max="513" width="15.625" style="68" customWidth="1"/>
    <col min="514" max="514" width="14.25" style="68" customWidth="1"/>
    <col min="515" max="515" width="11.625" style="68" customWidth="1"/>
    <col min="516" max="517" width="9" style="68"/>
    <col min="518" max="518" width="26.375" style="68" customWidth="1"/>
    <col min="519" max="768" width="9" style="68"/>
    <col min="769" max="769" width="15.625" style="68" customWidth="1"/>
    <col min="770" max="770" width="14.25" style="68" customWidth="1"/>
    <col min="771" max="771" width="11.625" style="68" customWidth="1"/>
    <col min="772" max="773" width="9" style="68"/>
    <col min="774" max="774" width="26.375" style="68" customWidth="1"/>
    <col min="775" max="1024" width="9" style="68"/>
    <col min="1025" max="1025" width="15.625" style="68" customWidth="1"/>
    <col min="1026" max="1026" width="14.25" style="68" customWidth="1"/>
    <col min="1027" max="1027" width="11.625" style="68" customWidth="1"/>
    <col min="1028" max="1029" width="9" style="68"/>
    <col min="1030" max="1030" width="26.375" style="68" customWidth="1"/>
    <col min="1031" max="1280" width="9" style="68"/>
    <col min="1281" max="1281" width="15.625" style="68" customWidth="1"/>
    <col min="1282" max="1282" width="14.25" style="68" customWidth="1"/>
    <col min="1283" max="1283" width="11.625" style="68" customWidth="1"/>
    <col min="1284" max="1285" width="9" style="68"/>
    <col min="1286" max="1286" width="26.375" style="68" customWidth="1"/>
    <col min="1287" max="1536" width="9" style="68"/>
    <col min="1537" max="1537" width="15.625" style="68" customWidth="1"/>
    <col min="1538" max="1538" width="14.25" style="68" customWidth="1"/>
    <col min="1539" max="1539" width="11.625" style="68" customWidth="1"/>
    <col min="1540" max="1541" width="9" style="68"/>
    <col min="1542" max="1542" width="26.375" style="68" customWidth="1"/>
    <col min="1543" max="1792" width="9" style="68"/>
    <col min="1793" max="1793" width="15.625" style="68" customWidth="1"/>
    <col min="1794" max="1794" width="14.25" style="68" customWidth="1"/>
    <col min="1795" max="1795" width="11.625" style="68" customWidth="1"/>
    <col min="1796" max="1797" width="9" style="68"/>
    <col min="1798" max="1798" width="26.375" style="68" customWidth="1"/>
    <col min="1799" max="2048" width="9" style="68"/>
    <col min="2049" max="2049" width="15.625" style="68" customWidth="1"/>
    <col min="2050" max="2050" width="14.25" style="68" customWidth="1"/>
    <col min="2051" max="2051" width="11.625" style="68" customWidth="1"/>
    <col min="2052" max="2053" width="9" style="68"/>
    <col min="2054" max="2054" width="26.375" style="68" customWidth="1"/>
    <col min="2055" max="2304" width="9" style="68"/>
    <col min="2305" max="2305" width="15.625" style="68" customWidth="1"/>
    <col min="2306" max="2306" width="14.25" style="68" customWidth="1"/>
    <col min="2307" max="2307" width="11.625" style="68" customWidth="1"/>
    <col min="2308" max="2309" width="9" style="68"/>
    <col min="2310" max="2310" width="26.375" style="68" customWidth="1"/>
    <col min="2311" max="2560" width="9" style="68"/>
    <col min="2561" max="2561" width="15.625" style="68" customWidth="1"/>
    <col min="2562" max="2562" width="14.25" style="68" customWidth="1"/>
    <col min="2563" max="2563" width="11.625" style="68" customWidth="1"/>
    <col min="2564" max="2565" width="9" style="68"/>
    <col min="2566" max="2566" width="26.375" style="68" customWidth="1"/>
    <col min="2567" max="2816" width="9" style="68"/>
    <col min="2817" max="2817" width="15.625" style="68" customWidth="1"/>
    <col min="2818" max="2818" width="14.25" style="68" customWidth="1"/>
    <col min="2819" max="2819" width="11.625" style="68" customWidth="1"/>
    <col min="2820" max="2821" width="9" style="68"/>
    <col min="2822" max="2822" width="26.375" style="68" customWidth="1"/>
    <col min="2823" max="3072" width="9" style="68"/>
    <col min="3073" max="3073" width="15.625" style="68" customWidth="1"/>
    <col min="3074" max="3074" width="14.25" style="68" customWidth="1"/>
    <col min="3075" max="3075" width="11.625" style="68" customWidth="1"/>
    <col min="3076" max="3077" width="9" style="68"/>
    <col min="3078" max="3078" width="26.375" style="68" customWidth="1"/>
    <col min="3079" max="3328" width="9" style="68"/>
    <col min="3329" max="3329" width="15.625" style="68" customWidth="1"/>
    <col min="3330" max="3330" width="14.25" style="68" customWidth="1"/>
    <col min="3331" max="3331" width="11.625" style="68" customWidth="1"/>
    <col min="3332" max="3333" width="9" style="68"/>
    <col min="3334" max="3334" width="26.375" style="68" customWidth="1"/>
    <col min="3335" max="3584" width="9" style="68"/>
    <col min="3585" max="3585" width="15.625" style="68" customWidth="1"/>
    <col min="3586" max="3586" width="14.25" style="68" customWidth="1"/>
    <col min="3587" max="3587" width="11.625" style="68" customWidth="1"/>
    <col min="3588" max="3589" width="9" style="68"/>
    <col min="3590" max="3590" width="26.375" style="68" customWidth="1"/>
    <col min="3591" max="3840" width="9" style="68"/>
    <col min="3841" max="3841" width="15.625" style="68" customWidth="1"/>
    <col min="3842" max="3842" width="14.25" style="68" customWidth="1"/>
    <col min="3843" max="3843" width="11.625" style="68" customWidth="1"/>
    <col min="3844" max="3845" width="9" style="68"/>
    <col min="3846" max="3846" width="26.375" style="68" customWidth="1"/>
    <col min="3847" max="4096" width="9" style="68"/>
    <col min="4097" max="4097" width="15.625" style="68" customWidth="1"/>
    <col min="4098" max="4098" width="14.25" style="68" customWidth="1"/>
    <col min="4099" max="4099" width="11.625" style="68" customWidth="1"/>
    <col min="4100" max="4101" width="9" style="68"/>
    <col min="4102" max="4102" width="26.375" style="68" customWidth="1"/>
    <col min="4103" max="4352" width="9" style="68"/>
    <col min="4353" max="4353" width="15.625" style="68" customWidth="1"/>
    <col min="4354" max="4354" width="14.25" style="68" customWidth="1"/>
    <col min="4355" max="4355" width="11.625" style="68" customWidth="1"/>
    <col min="4356" max="4357" width="9" style="68"/>
    <col min="4358" max="4358" width="26.375" style="68" customWidth="1"/>
    <col min="4359" max="4608" width="9" style="68"/>
    <col min="4609" max="4609" width="15.625" style="68" customWidth="1"/>
    <col min="4610" max="4610" width="14.25" style="68" customWidth="1"/>
    <col min="4611" max="4611" width="11.625" style="68" customWidth="1"/>
    <col min="4612" max="4613" width="9" style="68"/>
    <col min="4614" max="4614" width="26.375" style="68" customWidth="1"/>
    <col min="4615" max="4864" width="9" style="68"/>
    <col min="4865" max="4865" width="15.625" style="68" customWidth="1"/>
    <col min="4866" max="4866" width="14.25" style="68" customWidth="1"/>
    <col min="4867" max="4867" width="11.625" style="68" customWidth="1"/>
    <col min="4868" max="4869" width="9" style="68"/>
    <col min="4870" max="4870" width="26.375" style="68" customWidth="1"/>
    <col min="4871" max="5120" width="9" style="68"/>
    <col min="5121" max="5121" width="15.625" style="68" customWidth="1"/>
    <col min="5122" max="5122" width="14.25" style="68" customWidth="1"/>
    <col min="5123" max="5123" width="11.625" style="68" customWidth="1"/>
    <col min="5124" max="5125" width="9" style="68"/>
    <col min="5126" max="5126" width="26.375" style="68" customWidth="1"/>
    <col min="5127" max="5376" width="9" style="68"/>
    <col min="5377" max="5377" width="15.625" style="68" customWidth="1"/>
    <col min="5378" max="5378" width="14.25" style="68" customWidth="1"/>
    <col min="5379" max="5379" width="11.625" style="68" customWidth="1"/>
    <col min="5380" max="5381" width="9" style="68"/>
    <col min="5382" max="5382" width="26.375" style="68" customWidth="1"/>
    <col min="5383" max="5632" width="9" style="68"/>
    <col min="5633" max="5633" width="15.625" style="68" customWidth="1"/>
    <col min="5634" max="5634" width="14.25" style="68" customWidth="1"/>
    <col min="5635" max="5635" width="11.625" style="68" customWidth="1"/>
    <col min="5636" max="5637" width="9" style="68"/>
    <col min="5638" max="5638" width="26.375" style="68" customWidth="1"/>
    <col min="5639" max="5888" width="9" style="68"/>
    <col min="5889" max="5889" width="15.625" style="68" customWidth="1"/>
    <col min="5890" max="5890" width="14.25" style="68" customWidth="1"/>
    <col min="5891" max="5891" width="11.625" style="68" customWidth="1"/>
    <col min="5892" max="5893" width="9" style="68"/>
    <col min="5894" max="5894" width="26.375" style="68" customWidth="1"/>
    <col min="5895" max="6144" width="9" style="68"/>
    <col min="6145" max="6145" width="15.625" style="68" customWidth="1"/>
    <col min="6146" max="6146" width="14.25" style="68" customWidth="1"/>
    <col min="6147" max="6147" width="11.625" style="68" customWidth="1"/>
    <col min="6148" max="6149" width="9" style="68"/>
    <col min="6150" max="6150" width="26.375" style="68" customWidth="1"/>
    <col min="6151" max="6400" width="9" style="68"/>
    <col min="6401" max="6401" width="15.625" style="68" customWidth="1"/>
    <col min="6402" max="6402" width="14.25" style="68" customWidth="1"/>
    <col min="6403" max="6403" width="11.625" style="68" customWidth="1"/>
    <col min="6404" max="6405" width="9" style="68"/>
    <col min="6406" max="6406" width="26.375" style="68" customWidth="1"/>
    <col min="6407" max="6656" width="9" style="68"/>
    <col min="6657" max="6657" width="15.625" style="68" customWidth="1"/>
    <col min="6658" max="6658" width="14.25" style="68" customWidth="1"/>
    <col min="6659" max="6659" width="11.625" style="68" customWidth="1"/>
    <col min="6660" max="6661" width="9" style="68"/>
    <col min="6662" max="6662" width="26.375" style="68" customWidth="1"/>
    <col min="6663" max="6912" width="9" style="68"/>
    <col min="6913" max="6913" width="15.625" style="68" customWidth="1"/>
    <col min="6914" max="6914" width="14.25" style="68" customWidth="1"/>
    <col min="6915" max="6915" width="11.625" style="68" customWidth="1"/>
    <col min="6916" max="6917" width="9" style="68"/>
    <col min="6918" max="6918" width="26.375" style="68" customWidth="1"/>
    <col min="6919" max="7168" width="9" style="68"/>
    <col min="7169" max="7169" width="15.625" style="68" customWidth="1"/>
    <col min="7170" max="7170" width="14.25" style="68" customWidth="1"/>
    <col min="7171" max="7171" width="11.625" style="68" customWidth="1"/>
    <col min="7172" max="7173" width="9" style="68"/>
    <col min="7174" max="7174" width="26.375" style="68" customWidth="1"/>
    <col min="7175" max="7424" width="9" style="68"/>
    <col min="7425" max="7425" width="15.625" style="68" customWidth="1"/>
    <col min="7426" max="7426" width="14.25" style="68" customWidth="1"/>
    <col min="7427" max="7427" width="11.625" style="68" customWidth="1"/>
    <col min="7428" max="7429" width="9" style="68"/>
    <col min="7430" max="7430" width="26.375" style="68" customWidth="1"/>
    <col min="7431" max="7680" width="9" style="68"/>
    <col min="7681" max="7681" width="15.625" style="68" customWidth="1"/>
    <col min="7682" max="7682" width="14.25" style="68" customWidth="1"/>
    <col min="7683" max="7683" width="11.625" style="68" customWidth="1"/>
    <col min="7684" max="7685" width="9" style="68"/>
    <col min="7686" max="7686" width="26.375" style="68" customWidth="1"/>
    <col min="7687" max="7936" width="9" style="68"/>
    <col min="7937" max="7937" width="15.625" style="68" customWidth="1"/>
    <col min="7938" max="7938" width="14.25" style="68" customWidth="1"/>
    <col min="7939" max="7939" width="11.625" style="68" customWidth="1"/>
    <col min="7940" max="7941" width="9" style="68"/>
    <col min="7942" max="7942" width="26.375" style="68" customWidth="1"/>
    <col min="7943" max="8192" width="9" style="68"/>
    <col min="8193" max="8193" width="15.625" style="68" customWidth="1"/>
    <col min="8194" max="8194" width="14.25" style="68" customWidth="1"/>
    <col min="8195" max="8195" width="11.625" style="68" customWidth="1"/>
    <col min="8196" max="8197" width="9" style="68"/>
    <col min="8198" max="8198" width="26.375" style="68" customWidth="1"/>
    <col min="8199" max="8448" width="9" style="68"/>
    <col min="8449" max="8449" width="15.625" style="68" customWidth="1"/>
    <col min="8450" max="8450" width="14.25" style="68" customWidth="1"/>
    <col min="8451" max="8451" width="11.625" style="68" customWidth="1"/>
    <col min="8452" max="8453" width="9" style="68"/>
    <col min="8454" max="8454" width="26.375" style="68" customWidth="1"/>
    <col min="8455" max="8704" width="9" style="68"/>
    <col min="8705" max="8705" width="15.625" style="68" customWidth="1"/>
    <col min="8706" max="8706" width="14.25" style="68" customWidth="1"/>
    <col min="8707" max="8707" width="11.625" style="68" customWidth="1"/>
    <col min="8708" max="8709" width="9" style="68"/>
    <col min="8710" max="8710" width="26.375" style="68" customWidth="1"/>
    <col min="8711" max="8960" width="9" style="68"/>
    <col min="8961" max="8961" width="15.625" style="68" customWidth="1"/>
    <col min="8962" max="8962" width="14.25" style="68" customWidth="1"/>
    <col min="8963" max="8963" width="11.625" style="68" customWidth="1"/>
    <col min="8964" max="8965" width="9" style="68"/>
    <col min="8966" max="8966" width="26.375" style="68" customWidth="1"/>
    <col min="8967" max="9216" width="9" style="68"/>
    <col min="9217" max="9217" width="15.625" style="68" customWidth="1"/>
    <col min="9218" max="9218" width="14.25" style="68" customWidth="1"/>
    <col min="9219" max="9219" width="11.625" style="68" customWidth="1"/>
    <col min="9220" max="9221" width="9" style="68"/>
    <col min="9222" max="9222" width="26.375" style="68" customWidth="1"/>
    <col min="9223" max="9472" width="9" style="68"/>
    <col min="9473" max="9473" width="15.625" style="68" customWidth="1"/>
    <col min="9474" max="9474" width="14.25" style="68" customWidth="1"/>
    <col min="9475" max="9475" width="11.625" style="68" customWidth="1"/>
    <col min="9476" max="9477" width="9" style="68"/>
    <col min="9478" max="9478" width="26.375" style="68" customWidth="1"/>
    <col min="9479" max="9728" width="9" style="68"/>
    <col min="9729" max="9729" width="15.625" style="68" customWidth="1"/>
    <col min="9730" max="9730" width="14.25" style="68" customWidth="1"/>
    <col min="9731" max="9731" width="11.625" style="68" customWidth="1"/>
    <col min="9732" max="9733" width="9" style="68"/>
    <col min="9734" max="9734" width="26.375" style="68" customWidth="1"/>
    <col min="9735" max="9984" width="9" style="68"/>
    <col min="9985" max="9985" width="15.625" style="68" customWidth="1"/>
    <col min="9986" max="9986" width="14.25" style="68" customWidth="1"/>
    <col min="9987" max="9987" width="11.625" style="68" customWidth="1"/>
    <col min="9988" max="9989" width="9" style="68"/>
    <col min="9990" max="9990" width="26.375" style="68" customWidth="1"/>
    <col min="9991" max="10240" width="9" style="68"/>
    <col min="10241" max="10241" width="15.625" style="68" customWidth="1"/>
    <col min="10242" max="10242" width="14.25" style="68" customWidth="1"/>
    <col min="10243" max="10243" width="11.625" style="68" customWidth="1"/>
    <col min="10244" max="10245" width="9" style="68"/>
    <col min="10246" max="10246" width="26.375" style="68" customWidth="1"/>
    <col min="10247" max="10496" width="9" style="68"/>
    <col min="10497" max="10497" width="15.625" style="68" customWidth="1"/>
    <col min="10498" max="10498" width="14.25" style="68" customWidth="1"/>
    <col min="10499" max="10499" width="11.625" style="68" customWidth="1"/>
    <col min="10500" max="10501" width="9" style="68"/>
    <col min="10502" max="10502" width="26.375" style="68" customWidth="1"/>
    <col min="10503" max="10752" width="9" style="68"/>
    <col min="10753" max="10753" width="15.625" style="68" customWidth="1"/>
    <col min="10754" max="10754" width="14.25" style="68" customWidth="1"/>
    <col min="10755" max="10755" width="11.625" style="68" customWidth="1"/>
    <col min="10756" max="10757" width="9" style="68"/>
    <col min="10758" max="10758" width="26.375" style="68" customWidth="1"/>
    <col min="10759" max="11008" width="9" style="68"/>
    <col min="11009" max="11009" width="15.625" style="68" customWidth="1"/>
    <col min="11010" max="11010" width="14.25" style="68" customWidth="1"/>
    <col min="11011" max="11011" width="11.625" style="68" customWidth="1"/>
    <col min="11012" max="11013" width="9" style="68"/>
    <col min="11014" max="11014" width="26.375" style="68" customWidth="1"/>
    <col min="11015" max="11264" width="9" style="68"/>
    <col min="11265" max="11265" width="15.625" style="68" customWidth="1"/>
    <col min="11266" max="11266" width="14.25" style="68" customWidth="1"/>
    <col min="11267" max="11267" width="11.625" style="68" customWidth="1"/>
    <col min="11268" max="11269" width="9" style="68"/>
    <col min="11270" max="11270" width="26.375" style="68" customWidth="1"/>
    <col min="11271" max="11520" width="9" style="68"/>
    <col min="11521" max="11521" width="15.625" style="68" customWidth="1"/>
    <col min="11522" max="11522" width="14.25" style="68" customWidth="1"/>
    <col min="11523" max="11523" width="11.625" style="68" customWidth="1"/>
    <col min="11524" max="11525" width="9" style="68"/>
    <col min="11526" max="11526" width="26.375" style="68" customWidth="1"/>
    <col min="11527" max="11776" width="9" style="68"/>
    <col min="11777" max="11777" width="15.625" style="68" customWidth="1"/>
    <col min="11778" max="11778" width="14.25" style="68" customWidth="1"/>
    <col min="11779" max="11779" width="11.625" style="68" customWidth="1"/>
    <col min="11780" max="11781" width="9" style="68"/>
    <col min="11782" max="11782" width="26.375" style="68" customWidth="1"/>
    <col min="11783" max="12032" width="9" style="68"/>
    <col min="12033" max="12033" width="15.625" style="68" customWidth="1"/>
    <col min="12034" max="12034" width="14.25" style="68" customWidth="1"/>
    <col min="12035" max="12035" width="11.625" style="68" customWidth="1"/>
    <col min="12036" max="12037" width="9" style="68"/>
    <col min="12038" max="12038" width="26.375" style="68" customWidth="1"/>
    <col min="12039" max="12288" width="9" style="68"/>
    <col min="12289" max="12289" width="15.625" style="68" customWidth="1"/>
    <col min="12290" max="12290" width="14.25" style="68" customWidth="1"/>
    <col min="12291" max="12291" width="11.625" style="68" customWidth="1"/>
    <col min="12292" max="12293" width="9" style="68"/>
    <col min="12294" max="12294" width="26.375" style="68" customWidth="1"/>
    <col min="12295" max="12544" width="9" style="68"/>
    <col min="12545" max="12545" width="15.625" style="68" customWidth="1"/>
    <col min="12546" max="12546" width="14.25" style="68" customWidth="1"/>
    <col min="12547" max="12547" width="11.625" style="68" customWidth="1"/>
    <col min="12548" max="12549" width="9" style="68"/>
    <col min="12550" max="12550" width="26.375" style="68" customWidth="1"/>
    <col min="12551" max="12800" width="9" style="68"/>
    <col min="12801" max="12801" width="15.625" style="68" customWidth="1"/>
    <col min="12802" max="12802" width="14.25" style="68" customWidth="1"/>
    <col min="12803" max="12803" width="11.625" style="68" customWidth="1"/>
    <col min="12804" max="12805" width="9" style="68"/>
    <col min="12806" max="12806" width="26.375" style="68" customWidth="1"/>
    <col min="12807" max="13056" width="9" style="68"/>
    <col min="13057" max="13057" width="15.625" style="68" customWidth="1"/>
    <col min="13058" max="13058" width="14.25" style="68" customWidth="1"/>
    <col min="13059" max="13059" width="11.625" style="68" customWidth="1"/>
    <col min="13060" max="13061" width="9" style="68"/>
    <col min="13062" max="13062" width="26.375" style="68" customWidth="1"/>
    <col min="13063" max="13312" width="9" style="68"/>
    <col min="13313" max="13313" width="15.625" style="68" customWidth="1"/>
    <col min="13314" max="13314" width="14.25" style="68" customWidth="1"/>
    <col min="13315" max="13315" width="11.625" style="68" customWidth="1"/>
    <col min="13316" max="13317" width="9" style="68"/>
    <col min="13318" max="13318" width="26.375" style="68" customWidth="1"/>
    <col min="13319" max="13568" width="9" style="68"/>
    <col min="13569" max="13569" width="15.625" style="68" customWidth="1"/>
    <col min="13570" max="13570" width="14.25" style="68" customWidth="1"/>
    <col min="13571" max="13571" width="11.625" style="68" customWidth="1"/>
    <col min="13572" max="13573" width="9" style="68"/>
    <col min="13574" max="13574" width="26.375" style="68" customWidth="1"/>
    <col min="13575" max="13824" width="9" style="68"/>
    <col min="13825" max="13825" width="15.625" style="68" customWidth="1"/>
    <col min="13826" max="13826" width="14.25" style="68" customWidth="1"/>
    <col min="13827" max="13827" width="11.625" style="68" customWidth="1"/>
    <col min="13828" max="13829" width="9" style="68"/>
    <col min="13830" max="13830" width="26.375" style="68" customWidth="1"/>
    <col min="13831" max="14080" width="9" style="68"/>
    <col min="14081" max="14081" width="15.625" style="68" customWidth="1"/>
    <col min="14082" max="14082" width="14.25" style="68" customWidth="1"/>
    <col min="14083" max="14083" width="11.625" style="68" customWidth="1"/>
    <col min="14084" max="14085" width="9" style="68"/>
    <col min="14086" max="14086" width="26.375" style="68" customWidth="1"/>
    <col min="14087" max="14336" width="9" style="68"/>
    <col min="14337" max="14337" width="15.625" style="68" customWidth="1"/>
    <col min="14338" max="14338" width="14.25" style="68" customWidth="1"/>
    <col min="14339" max="14339" width="11.625" style="68" customWidth="1"/>
    <col min="14340" max="14341" width="9" style="68"/>
    <col min="14342" max="14342" width="26.375" style="68" customWidth="1"/>
    <col min="14343" max="14592" width="9" style="68"/>
    <col min="14593" max="14593" width="15.625" style="68" customWidth="1"/>
    <col min="14594" max="14594" width="14.25" style="68" customWidth="1"/>
    <col min="14595" max="14595" width="11.625" style="68" customWidth="1"/>
    <col min="14596" max="14597" width="9" style="68"/>
    <col min="14598" max="14598" width="26.375" style="68" customWidth="1"/>
    <col min="14599" max="14848" width="9" style="68"/>
    <col min="14849" max="14849" width="15.625" style="68" customWidth="1"/>
    <col min="14850" max="14850" width="14.25" style="68" customWidth="1"/>
    <col min="14851" max="14851" width="11.625" style="68" customWidth="1"/>
    <col min="14852" max="14853" width="9" style="68"/>
    <col min="14854" max="14854" width="26.375" style="68" customWidth="1"/>
    <col min="14855" max="15104" width="9" style="68"/>
    <col min="15105" max="15105" width="15.625" style="68" customWidth="1"/>
    <col min="15106" max="15106" width="14.25" style="68" customWidth="1"/>
    <col min="15107" max="15107" width="11.625" style="68" customWidth="1"/>
    <col min="15108" max="15109" width="9" style="68"/>
    <col min="15110" max="15110" width="26.375" style="68" customWidth="1"/>
    <col min="15111" max="15360" width="9" style="68"/>
    <col min="15361" max="15361" width="15.625" style="68" customWidth="1"/>
    <col min="15362" max="15362" width="14.25" style="68" customWidth="1"/>
    <col min="15363" max="15363" width="11.625" style="68" customWidth="1"/>
    <col min="15364" max="15365" width="9" style="68"/>
    <col min="15366" max="15366" width="26.375" style="68" customWidth="1"/>
    <col min="15367" max="15616" width="9" style="68"/>
    <col min="15617" max="15617" width="15.625" style="68" customWidth="1"/>
    <col min="15618" max="15618" width="14.25" style="68" customWidth="1"/>
    <col min="15619" max="15619" width="11.625" style="68" customWidth="1"/>
    <col min="15620" max="15621" width="9" style="68"/>
    <col min="15622" max="15622" width="26.375" style="68" customWidth="1"/>
    <col min="15623" max="15872" width="9" style="68"/>
    <col min="15873" max="15873" width="15.625" style="68" customWidth="1"/>
    <col min="15874" max="15874" width="14.25" style="68" customWidth="1"/>
    <col min="15875" max="15875" width="11.625" style="68" customWidth="1"/>
    <col min="15876" max="15877" width="9" style="68"/>
    <col min="15878" max="15878" width="26.375" style="68" customWidth="1"/>
    <col min="15879" max="16128" width="9" style="68"/>
    <col min="16129" max="16129" width="15.625" style="68" customWidth="1"/>
    <col min="16130" max="16130" width="14.25" style="68" customWidth="1"/>
    <col min="16131" max="16131" width="11.625" style="68" customWidth="1"/>
    <col min="16132" max="16133" width="9" style="68"/>
    <col min="16134" max="16134" width="26.375" style="68" customWidth="1"/>
    <col min="16135" max="16384" width="9" style="68"/>
  </cols>
  <sheetData>
    <row r="1" spans="1:6">
      <c r="A1" s="647" t="s">
        <v>28</v>
      </c>
      <c r="B1" s="647"/>
      <c r="C1" s="647"/>
      <c r="D1" s="647"/>
      <c r="E1" s="647"/>
      <c r="F1" s="647"/>
    </row>
    <row r="2" spans="1:6">
      <c r="A2" s="647"/>
      <c r="B2" s="647"/>
      <c r="C2" s="647"/>
      <c r="D2" s="647"/>
      <c r="E2" s="647"/>
      <c r="F2" s="647"/>
    </row>
    <row r="3" spans="1:6" ht="15" customHeight="1">
      <c r="A3" s="617"/>
      <c r="B3" s="617"/>
      <c r="C3" s="617"/>
      <c r="D3" s="617"/>
      <c r="E3" s="617"/>
      <c r="F3" s="617"/>
    </row>
    <row r="4" spans="1:6">
      <c r="A4" s="176"/>
      <c r="B4" s="648" t="s">
        <v>29</v>
      </c>
      <c r="C4" s="648"/>
      <c r="D4" s="648"/>
      <c r="E4" s="648"/>
      <c r="F4" s="648"/>
    </row>
    <row r="5" spans="1:6" ht="13.5">
      <c r="A5" s="176"/>
      <c r="B5" s="618" t="s">
        <v>30</v>
      </c>
      <c r="C5" s="618" t="s">
        <v>31</v>
      </c>
      <c r="D5" s="619" t="s">
        <v>32</v>
      </c>
      <c r="E5" s="618" t="s">
        <v>33</v>
      </c>
      <c r="F5" s="618" t="s">
        <v>34</v>
      </c>
    </row>
    <row r="6" spans="1:6" ht="12.75" customHeight="1">
      <c r="A6" s="176"/>
      <c r="B6" s="620" t="s">
        <v>35</v>
      </c>
      <c r="C6" s="621">
        <v>40784</v>
      </c>
      <c r="D6" s="622" t="s">
        <v>36</v>
      </c>
      <c r="E6" s="622" t="s">
        <v>37</v>
      </c>
      <c r="F6" s="622" t="s">
        <v>38</v>
      </c>
    </row>
    <row r="7" spans="1:6" ht="12.75" customHeight="1">
      <c r="A7" s="176"/>
      <c r="B7" s="386" t="s">
        <v>39</v>
      </c>
      <c r="C7" s="623">
        <v>40886</v>
      </c>
      <c r="D7" s="622" t="s">
        <v>40</v>
      </c>
      <c r="E7" s="622" t="s">
        <v>41</v>
      </c>
      <c r="F7" s="622" t="s">
        <v>42</v>
      </c>
    </row>
    <row r="8" spans="1:6" ht="27.75" customHeight="1">
      <c r="A8" s="176"/>
      <c r="B8" s="622" t="s">
        <v>43</v>
      </c>
      <c r="C8" s="623">
        <v>41501</v>
      </c>
      <c r="D8" s="622" t="s">
        <v>40</v>
      </c>
      <c r="E8" s="622" t="s">
        <v>41</v>
      </c>
      <c r="F8" s="624" t="s">
        <v>44</v>
      </c>
    </row>
    <row r="9" spans="1:6" ht="18.75" customHeight="1">
      <c r="A9" s="176"/>
      <c r="B9" s="622" t="s">
        <v>45</v>
      </c>
      <c r="C9" s="623">
        <v>41978</v>
      </c>
      <c r="D9" s="622" t="s">
        <v>40</v>
      </c>
      <c r="E9" s="622" t="s">
        <v>41</v>
      </c>
      <c r="F9" s="624" t="s">
        <v>46</v>
      </c>
    </row>
    <row r="10" spans="1:6" ht="21" customHeight="1">
      <c r="A10" s="176"/>
      <c r="B10" s="622" t="s">
        <v>47</v>
      </c>
      <c r="C10" s="623">
        <v>42124</v>
      </c>
      <c r="D10" s="622" t="s">
        <v>40</v>
      </c>
      <c r="E10" s="622" t="s">
        <v>41</v>
      </c>
      <c r="F10" s="624" t="s">
        <v>48</v>
      </c>
    </row>
    <row r="11" spans="1:6">
      <c r="A11" s="176"/>
      <c r="B11" s="176"/>
      <c r="C11" s="176"/>
      <c r="D11" s="176"/>
      <c r="E11" s="176"/>
      <c r="F11" s="176"/>
    </row>
    <row r="12" spans="1:6" ht="68.25" customHeight="1">
      <c r="A12" s="644" t="s">
        <v>49</v>
      </c>
      <c r="B12" s="625" t="s">
        <v>50</v>
      </c>
      <c r="C12" s="649" t="s">
        <v>51</v>
      </c>
      <c r="D12" s="650"/>
      <c r="E12" s="650"/>
      <c r="F12" s="650"/>
    </row>
    <row r="13" spans="1:6" ht="68.25" customHeight="1">
      <c r="A13" s="645"/>
      <c r="B13" s="625" t="s">
        <v>52</v>
      </c>
      <c r="C13" s="650" t="s">
        <v>53</v>
      </c>
      <c r="D13" s="650"/>
      <c r="E13" s="650"/>
      <c r="F13" s="650"/>
    </row>
    <row r="14" spans="1:6" ht="68.25" customHeight="1">
      <c r="A14" s="645"/>
      <c r="B14" s="625" t="s">
        <v>54</v>
      </c>
      <c r="C14" s="650" t="s">
        <v>55</v>
      </c>
      <c r="D14" s="650"/>
      <c r="E14" s="650"/>
      <c r="F14" s="650"/>
    </row>
    <row r="15" spans="1:6" ht="68.25" customHeight="1">
      <c r="A15" s="646"/>
      <c r="B15" s="625" t="s">
        <v>56</v>
      </c>
      <c r="C15" s="650" t="s">
        <v>57</v>
      </c>
      <c r="D15" s="650"/>
      <c r="E15" s="650"/>
      <c r="F15" s="650"/>
    </row>
    <row r="16" spans="1:6" ht="14.25">
      <c r="A16" s="626"/>
    </row>
    <row r="17" spans="1:1" ht="14.25">
      <c r="A17" s="627"/>
    </row>
    <row r="18" spans="1:1" ht="14.25">
      <c r="A18" s="628" t="s">
        <v>58</v>
      </c>
    </row>
    <row r="19" spans="1:1">
      <c r="A19" s="629"/>
    </row>
    <row r="20" spans="1:1" ht="14.25">
      <c r="A20" s="630"/>
    </row>
    <row r="21" spans="1:1" ht="14.25">
      <c r="A21" s="631"/>
    </row>
  </sheetData>
  <mergeCells count="7">
    <mergeCell ref="A12:A15"/>
    <mergeCell ref="A1:F2"/>
    <mergeCell ref="B4:F4"/>
    <mergeCell ref="C12:F12"/>
    <mergeCell ref="C13:F13"/>
    <mergeCell ref="C14:F14"/>
    <mergeCell ref="C15:F15"/>
  </mergeCells>
  <phoneticPr fontId="156" type="noConversion"/>
  <pageMargins left="0.75" right="0.75" top="1" bottom="1" header="0.5" footer="0.5"/>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29"/>
  <sheetViews>
    <sheetView workbookViewId="0">
      <selection activeCell="H21" sqref="H21"/>
    </sheetView>
  </sheetViews>
  <sheetFormatPr defaultColWidth="9" defaultRowHeight="16.5"/>
  <cols>
    <col min="1" max="2" width="9" style="590" customWidth="1"/>
    <col min="3" max="3" width="6.625" style="590" customWidth="1"/>
    <col min="4" max="4" width="16.5" style="590" customWidth="1"/>
    <col min="5" max="5" width="10.875" style="591" customWidth="1"/>
    <col min="6" max="6" width="10.375" style="590" customWidth="1"/>
    <col min="7" max="7" width="9" style="590" customWidth="1"/>
    <col min="8" max="8" width="10" style="590" customWidth="1"/>
    <col min="9" max="253" width="9" style="590"/>
    <col min="254" max="255" width="9" style="590" customWidth="1"/>
    <col min="256" max="256" width="6.625" style="590" customWidth="1"/>
    <col min="257" max="257" width="16.5" style="590" customWidth="1"/>
    <col min="258" max="258" width="10.875" style="590" customWidth="1"/>
    <col min="259" max="259" width="9" style="590" customWidth="1"/>
    <col min="260" max="260" width="9.75" style="590" customWidth="1"/>
    <col min="261" max="262" width="9" style="590" customWidth="1"/>
    <col min="263" max="263" width="6.125" style="590" customWidth="1"/>
    <col min="264" max="264" width="10" style="590" customWidth="1"/>
    <col min="265" max="509" width="9" style="590"/>
    <col min="510" max="511" width="9" style="590" customWidth="1"/>
    <col min="512" max="512" width="6.625" style="590" customWidth="1"/>
    <col min="513" max="513" width="16.5" style="590" customWidth="1"/>
    <col min="514" max="514" width="10.875" style="590" customWidth="1"/>
    <col min="515" max="515" width="9" style="590" customWidth="1"/>
    <col min="516" max="516" width="9.75" style="590" customWidth="1"/>
    <col min="517" max="518" width="9" style="590" customWidth="1"/>
    <col min="519" max="519" width="6.125" style="590" customWidth="1"/>
    <col min="520" max="520" width="10" style="590" customWidth="1"/>
    <col min="521" max="765" width="9" style="590"/>
    <col min="766" max="767" width="9" style="590" customWidth="1"/>
    <col min="768" max="768" width="6.625" style="590" customWidth="1"/>
    <col min="769" max="769" width="16.5" style="590" customWidth="1"/>
    <col min="770" max="770" width="10.875" style="590" customWidth="1"/>
    <col min="771" max="771" width="9" style="590" customWidth="1"/>
    <col min="772" max="772" width="9.75" style="590" customWidth="1"/>
    <col min="773" max="774" width="9" style="590" customWidth="1"/>
    <col min="775" max="775" width="6.125" style="590" customWidth="1"/>
    <col min="776" max="776" width="10" style="590" customWidth="1"/>
    <col min="777" max="1021" width="9" style="590"/>
    <col min="1022" max="1023" width="9" style="590" customWidth="1"/>
    <col min="1024" max="1024" width="6.625" style="590" customWidth="1"/>
    <col min="1025" max="1025" width="16.5" style="590" customWidth="1"/>
    <col min="1026" max="1026" width="10.875" style="590" customWidth="1"/>
    <col min="1027" max="1027" width="9" style="590" customWidth="1"/>
    <col min="1028" max="1028" width="9.75" style="590" customWidth="1"/>
    <col min="1029" max="1030" width="9" style="590" customWidth="1"/>
    <col min="1031" max="1031" width="6.125" style="590" customWidth="1"/>
    <col min="1032" max="1032" width="10" style="590" customWidth="1"/>
    <col min="1033" max="1277" width="9" style="590"/>
    <col min="1278" max="1279" width="9" style="590" customWidth="1"/>
    <col min="1280" max="1280" width="6.625" style="590" customWidth="1"/>
    <col min="1281" max="1281" width="16.5" style="590" customWidth="1"/>
    <col min="1282" max="1282" width="10.875" style="590" customWidth="1"/>
    <col min="1283" max="1283" width="9" style="590" customWidth="1"/>
    <col min="1284" max="1284" width="9.75" style="590" customWidth="1"/>
    <col min="1285" max="1286" width="9" style="590" customWidth="1"/>
    <col min="1287" max="1287" width="6.125" style="590" customWidth="1"/>
    <col min="1288" max="1288" width="10" style="590" customWidth="1"/>
    <col min="1289" max="1533" width="9" style="590"/>
    <col min="1534" max="1535" width="9" style="590" customWidth="1"/>
    <col min="1536" max="1536" width="6.625" style="590" customWidth="1"/>
    <col min="1537" max="1537" width="16.5" style="590" customWidth="1"/>
    <col min="1538" max="1538" width="10.875" style="590" customWidth="1"/>
    <col min="1539" max="1539" width="9" style="590" customWidth="1"/>
    <col min="1540" max="1540" width="9.75" style="590" customWidth="1"/>
    <col min="1541" max="1542" width="9" style="590" customWidth="1"/>
    <col min="1543" max="1543" width="6.125" style="590" customWidth="1"/>
    <col min="1544" max="1544" width="10" style="590" customWidth="1"/>
    <col min="1545" max="1789" width="9" style="590"/>
    <col min="1790" max="1791" width="9" style="590" customWidth="1"/>
    <col min="1792" max="1792" width="6.625" style="590" customWidth="1"/>
    <col min="1793" max="1793" width="16.5" style="590" customWidth="1"/>
    <col min="1794" max="1794" width="10.875" style="590" customWidth="1"/>
    <col min="1795" max="1795" width="9" style="590" customWidth="1"/>
    <col min="1796" max="1796" width="9.75" style="590" customWidth="1"/>
    <col min="1797" max="1798" width="9" style="590" customWidth="1"/>
    <col min="1799" max="1799" width="6.125" style="590" customWidth="1"/>
    <col min="1800" max="1800" width="10" style="590" customWidth="1"/>
    <col min="1801" max="2045" width="9" style="590"/>
    <col min="2046" max="2047" width="9" style="590" customWidth="1"/>
    <col min="2048" max="2048" width="6.625" style="590" customWidth="1"/>
    <col min="2049" max="2049" width="16.5" style="590" customWidth="1"/>
    <col min="2050" max="2050" width="10.875" style="590" customWidth="1"/>
    <col min="2051" max="2051" width="9" style="590" customWidth="1"/>
    <col min="2052" max="2052" width="9.75" style="590" customWidth="1"/>
    <col min="2053" max="2054" width="9" style="590" customWidth="1"/>
    <col min="2055" max="2055" width="6.125" style="590" customWidth="1"/>
    <col min="2056" max="2056" width="10" style="590" customWidth="1"/>
    <col min="2057" max="2301" width="9" style="590"/>
    <col min="2302" max="2303" width="9" style="590" customWidth="1"/>
    <col min="2304" max="2304" width="6.625" style="590" customWidth="1"/>
    <col min="2305" max="2305" width="16.5" style="590" customWidth="1"/>
    <col min="2306" max="2306" width="10.875" style="590" customWidth="1"/>
    <col min="2307" max="2307" width="9" style="590" customWidth="1"/>
    <col min="2308" max="2308" width="9.75" style="590" customWidth="1"/>
    <col min="2309" max="2310" width="9" style="590" customWidth="1"/>
    <col min="2311" max="2311" width="6.125" style="590" customWidth="1"/>
    <col min="2312" max="2312" width="10" style="590" customWidth="1"/>
    <col min="2313" max="2557" width="9" style="590"/>
    <col min="2558" max="2559" width="9" style="590" customWidth="1"/>
    <col min="2560" max="2560" width="6.625" style="590" customWidth="1"/>
    <col min="2561" max="2561" width="16.5" style="590" customWidth="1"/>
    <col min="2562" max="2562" width="10.875" style="590" customWidth="1"/>
    <col min="2563" max="2563" width="9" style="590" customWidth="1"/>
    <col min="2564" max="2564" width="9.75" style="590" customWidth="1"/>
    <col min="2565" max="2566" width="9" style="590" customWidth="1"/>
    <col min="2567" max="2567" width="6.125" style="590" customWidth="1"/>
    <col min="2568" max="2568" width="10" style="590" customWidth="1"/>
    <col min="2569" max="2813" width="9" style="590"/>
    <col min="2814" max="2815" width="9" style="590" customWidth="1"/>
    <col min="2816" max="2816" width="6.625" style="590" customWidth="1"/>
    <col min="2817" max="2817" width="16.5" style="590" customWidth="1"/>
    <col min="2818" max="2818" width="10.875" style="590" customWidth="1"/>
    <col min="2819" max="2819" width="9" style="590" customWidth="1"/>
    <col min="2820" max="2820" width="9.75" style="590" customWidth="1"/>
    <col min="2821" max="2822" width="9" style="590" customWidth="1"/>
    <col min="2823" max="2823" width="6.125" style="590" customWidth="1"/>
    <col min="2824" max="2824" width="10" style="590" customWidth="1"/>
    <col min="2825" max="3069" width="9" style="590"/>
    <col min="3070" max="3071" width="9" style="590" customWidth="1"/>
    <col min="3072" max="3072" width="6.625" style="590" customWidth="1"/>
    <col min="3073" max="3073" width="16.5" style="590" customWidth="1"/>
    <col min="3074" max="3074" width="10.875" style="590" customWidth="1"/>
    <col min="3075" max="3075" width="9" style="590" customWidth="1"/>
    <col min="3076" max="3076" width="9.75" style="590" customWidth="1"/>
    <col min="3077" max="3078" width="9" style="590" customWidth="1"/>
    <col min="3079" max="3079" width="6.125" style="590" customWidth="1"/>
    <col min="3080" max="3080" width="10" style="590" customWidth="1"/>
    <col min="3081" max="3325" width="9" style="590"/>
    <col min="3326" max="3327" width="9" style="590" customWidth="1"/>
    <col min="3328" max="3328" width="6.625" style="590" customWidth="1"/>
    <col min="3329" max="3329" width="16.5" style="590" customWidth="1"/>
    <col min="3330" max="3330" width="10.875" style="590" customWidth="1"/>
    <col min="3331" max="3331" width="9" style="590" customWidth="1"/>
    <col min="3332" max="3332" width="9.75" style="590" customWidth="1"/>
    <col min="3333" max="3334" width="9" style="590" customWidth="1"/>
    <col min="3335" max="3335" width="6.125" style="590" customWidth="1"/>
    <col min="3336" max="3336" width="10" style="590" customWidth="1"/>
    <col min="3337" max="3581" width="9" style="590"/>
    <col min="3582" max="3583" width="9" style="590" customWidth="1"/>
    <col min="3584" max="3584" width="6.625" style="590" customWidth="1"/>
    <col min="3585" max="3585" width="16.5" style="590" customWidth="1"/>
    <col min="3586" max="3586" width="10.875" style="590" customWidth="1"/>
    <col min="3587" max="3587" width="9" style="590" customWidth="1"/>
    <col min="3588" max="3588" width="9.75" style="590" customWidth="1"/>
    <col min="3589" max="3590" width="9" style="590" customWidth="1"/>
    <col min="3591" max="3591" width="6.125" style="590" customWidth="1"/>
    <col min="3592" max="3592" width="10" style="590" customWidth="1"/>
    <col min="3593" max="3837" width="9" style="590"/>
    <col min="3838" max="3839" width="9" style="590" customWidth="1"/>
    <col min="3840" max="3840" width="6.625" style="590" customWidth="1"/>
    <col min="3841" max="3841" width="16.5" style="590" customWidth="1"/>
    <col min="3842" max="3842" width="10.875" style="590" customWidth="1"/>
    <col min="3843" max="3843" width="9" style="590" customWidth="1"/>
    <col min="3844" max="3844" width="9.75" style="590" customWidth="1"/>
    <col min="3845" max="3846" width="9" style="590" customWidth="1"/>
    <col min="3847" max="3847" width="6.125" style="590" customWidth="1"/>
    <col min="3848" max="3848" width="10" style="590" customWidth="1"/>
    <col min="3849" max="4093" width="9" style="590"/>
    <col min="4094" max="4095" width="9" style="590" customWidth="1"/>
    <col min="4096" max="4096" width="6.625" style="590" customWidth="1"/>
    <col min="4097" max="4097" width="16.5" style="590" customWidth="1"/>
    <col min="4098" max="4098" width="10.875" style="590" customWidth="1"/>
    <col min="4099" max="4099" width="9" style="590" customWidth="1"/>
    <col min="4100" max="4100" width="9.75" style="590" customWidth="1"/>
    <col min="4101" max="4102" width="9" style="590" customWidth="1"/>
    <col min="4103" max="4103" width="6.125" style="590" customWidth="1"/>
    <col min="4104" max="4104" width="10" style="590" customWidth="1"/>
    <col min="4105" max="4349" width="9" style="590"/>
    <col min="4350" max="4351" width="9" style="590" customWidth="1"/>
    <col min="4352" max="4352" width="6.625" style="590" customWidth="1"/>
    <col min="4353" max="4353" width="16.5" style="590" customWidth="1"/>
    <col min="4354" max="4354" width="10.875" style="590" customWidth="1"/>
    <col min="4355" max="4355" width="9" style="590" customWidth="1"/>
    <col min="4356" max="4356" width="9.75" style="590" customWidth="1"/>
    <col min="4357" max="4358" width="9" style="590" customWidth="1"/>
    <col min="4359" max="4359" width="6.125" style="590" customWidth="1"/>
    <col min="4360" max="4360" width="10" style="590" customWidth="1"/>
    <col min="4361" max="4605" width="9" style="590"/>
    <col min="4606" max="4607" width="9" style="590" customWidth="1"/>
    <col min="4608" max="4608" width="6.625" style="590" customWidth="1"/>
    <col min="4609" max="4609" width="16.5" style="590" customWidth="1"/>
    <col min="4610" max="4610" width="10.875" style="590" customWidth="1"/>
    <col min="4611" max="4611" width="9" style="590" customWidth="1"/>
    <col min="4612" max="4612" width="9.75" style="590" customWidth="1"/>
    <col min="4613" max="4614" width="9" style="590" customWidth="1"/>
    <col min="4615" max="4615" width="6.125" style="590" customWidth="1"/>
    <col min="4616" max="4616" width="10" style="590" customWidth="1"/>
    <col min="4617" max="4861" width="9" style="590"/>
    <col min="4862" max="4863" width="9" style="590" customWidth="1"/>
    <col min="4864" max="4864" width="6.625" style="590" customWidth="1"/>
    <col min="4865" max="4865" width="16.5" style="590" customWidth="1"/>
    <col min="4866" max="4866" width="10.875" style="590" customWidth="1"/>
    <col min="4867" max="4867" width="9" style="590" customWidth="1"/>
    <col min="4868" max="4868" width="9.75" style="590" customWidth="1"/>
    <col min="4869" max="4870" width="9" style="590" customWidth="1"/>
    <col min="4871" max="4871" width="6.125" style="590" customWidth="1"/>
    <col min="4872" max="4872" width="10" style="590" customWidth="1"/>
    <col min="4873" max="5117" width="9" style="590"/>
    <col min="5118" max="5119" width="9" style="590" customWidth="1"/>
    <col min="5120" max="5120" width="6.625" style="590" customWidth="1"/>
    <col min="5121" max="5121" width="16.5" style="590" customWidth="1"/>
    <col min="5122" max="5122" width="10.875" style="590" customWidth="1"/>
    <col min="5123" max="5123" width="9" style="590" customWidth="1"/>
    <col min="5124" max="5124" width="9.75" style="590" customWidth="1"/>
    <col min="5125" max="5126" width="9" style="590" customWidth="1"/>
    <col min="5127" max="5127" width="6.125" style="590" customWidth="1"/>
    <col min="5128" max="5128" width="10" style="590" customWidth="1"/>
    <col min="5129" max="5373" width="9" style="590"/>
    <col min="5374" max="5375" width="9" style="590" customWidth="1"/>
    <col min="5376" max="5376" width="6.625" style="590" customWidth="1"/>
    <col min="5377" max="5377" width="16.5" style="590" customWidth="1"/>
    <col min="5378" max="5378" width="10.875" style="590" customWidth="1"/>
    <col min="5379" max="5379" width="9" style="590" customWidth="1"/>
    <col min="5380" max="5380" width="9.75" style="590" customWidth="1"/>
    <col min="5381" max="5382" width="9" style="590" customWidth="1"/>
    <col min="5383" max="5383" width="6.125" style="590" customWidth="1"/>
    <col min="5384" max="5384" width="10" style="590" customWidth="1"/>
    <col min="5385" max="5629" width="9" style="590"/>
    <col min="5630" max="5631" width="9" style="590" customWidth="1"/>
    <col min="5632" max="5632" width="6.625" style="590" customWidth="1"/>
    <col min="5633" max="5633" width="16.5" style="590" customWidth="1"/>
    <col min="5634" max="5634" width="10.875" style="590" customWidth="1"/>
    <col min="5635" max="5635" width="9" style="590" customWidth="1"/>
    <col min="5636" max="5636" width="9.75" style="590" customWidth="1"/>
    <col min="5637" max="5638" width="9" style="590" customWidth="1"/>
    <col min="5639" max="5639" width="6.125" style="590" customWidth="1"/>
    <col min="5640" max="5640" width="10" style="590" customWidth="1"/>
    <col min="5641" max="5885" width="9" style="590"/>
    <col min="5886" max="5887" width="9" style="590" customWidth="1"/>
    <col min="5888" max="5888" width="6.625" style="590" customWidth="1"/>
    <col min="5889" max="5889" width="16.5" style="590" customWidth="1"/>
    <col min="5890" max="5890" width="10.875" style="590" customWidth="1"/>
    <col min="5891" max="5891" width="9" style="590" customWidth="1"/>
    <col min="5892" max="5892" width="9.75" style="590" customWidth="1"/>
    <col min="5893" max="5894" width="9" style="590" customWidth="1"/>
    <col min="5895" max="5895" width="6.125" style="590" customWidth="1"/>
    <col min="5896" max="5896" width="10" style="590" customWidth="1"/>
    <col min="5897" max="6141" width="9" style="590"/>
    <col min="6142" max="6143" width="9" style="590" customWidth="1"/>
    <col min="6144" max="6144" width="6.625" style="590" customWidth="1"/>
    <col min="6145" max="6145" width="16.5" style="590" customWidth="1"/>
    <col min="6146" max="6146" width="10.875" style="590" customWidth="1"/>
    <col min="6147" max="6147" width="9" style="590" customWidth="1"/>
    <col min="6148" max="6148" width="9.75" style="590" customWidth="1"/>
    <col min="6149" max="6150" width="9" style="590" customWidth="1"/>
    <col min="6151" max="6151" width="6.125" style="590" customWidth="1"/>
    <col min="6152" max="6152" width="10" style="590" customWidth="1"/>
    <col min="6153" max="6397" width="9" style="590"/>
    <col min="6398" max="6399" width="9" style="590" customWidth="1"/>
    <col min="6400" max="6400" width="6.625" style="590" customWidth="1"/>
    <col min="6401" max="6401" width="16.5" style="590" customWidth="1"/>
    <col min="6402" max="6402" width="10.875" style="590" customWidth="1"/>
    <col min="6403" max="6403" width="9" style="590" customWidth="1"/>
    <col min="6404" max="6404" width="9.75" style="590" customWidth="1"/>
    <col min="6405" max="6406" width="9" style="590" customWidth="1"/>
    <col min="6407" max="6407" width="6.125" style="590" customWidth="1"/>
    <col min="6408" max="6408" width="10" style="590" customWidth="1"/>
    <col min="6409" max="6653" width="9" style="590"/>
    <col min="6654" max="6655" width="9" style="590" customWidth="1"/>
    <col min="6656" max="6656" width="6.625" style="590" customWidth="1"/>
    <col min="6657" max="6657" width="16.5" style="590" customWidth="1"/>
    <col min="6658" max="6658" width="10.875" style="590" customWidth="1"/>
    <col min="6659" max="6659" width="9" style="590" customWidth="1"/>
    <col min="6660" max="6660" width="9.75" style="590" customWidth="1"/>
    <col min="6661" max="6662" width="9" style="590" customWidth="1"/>
    <col min="6663" max="6663" width="6.125" style="590" customWidth="1"/>
    <col min="6664" max="6664" width="10" style="590" customWidth="1"/>
    <col min="6665" max="6909" width="9" style="590"/>
    <col min="6910" max="6911" width="9" style="590" customWidth="1"/>
    <col min="6912" max="6912" width="6.625" style="590" customWidth="1"/>
    <col min="6913" max="6913" width="16.5" style="590" customWidth="1"/>
    <col min="6914" max="6914" width="10.875" style="590" customWidth="1"/>
    <col min="6915" max="6915" width="9" style="590" customWidth="1"/>
    <col min="6916" max="6916" width="9.75" style="590" customWidth="1"/>
    <col min="6917" max="6918" width="9" style="590" customWidth="1"/>
    <col min="6919" max="6919" width="6.125" style="590" customWidth="1"/>
    <col min="6920" max="6920" width="10" style="590" customWidth="1"/>
    <col min="6921" max="7165" width="9" style="590"/>
    <col min="7166" max="7167" width="9" style="590" customWidth="1"/>
    <col min="7168" max="7168" width="6.625" style="590" customWidth="1"/>
    <col min="7169" max="7169" width="16.5" style="590" customWidth="1"/>
    <col min="7170" max="7170" width="10.875" style="590" customWidth="1"/>
    <col min="7171" max="7171" width="9" style="590" customWidth="1"/>
    <col min="7172" max="7172" width="9.75" style="590" customWidth="1"/>
    <col min="7173" max="7174" width="9" style="590" customWidth="1"/>
    <col min="7175" max="7175" width="6.125" style="590" customWidth="1"/>
    <col min="7176" max="7176" width="10" style="590" customWidth="1"/>
    <col min="7177" max="7421" width="9" style="590"/>
    <col min="7422" max="7423" width="9" style="590" customWidth="1"/>
    <col min="7424" max="7424" width="6.625" style="590" customWidth="1"/>
    <col min="7425" max="7425" width="16.5" style="590" customWidth="1"/>
    <col min="7426" max="7426" width="10.875" style="590" customWidth="1"/>
    <col min="7427" max="7427" width="9" style="590" customWidth="1"/>
    <col min="7428" max="7428" width="9.75" style="590" customWidth="1"/>
    <col min="7429" max="7430" width="9" style="590" customWidth="1"/>
    <col min="7431" max="7431" width="6.125" style="590" customWidth="1"/>
    <col min="7432" max="7432" width="10" style="590" customWidth="1"/>
    <col min="7433" max="7677" width="9" style="590"/>
    <col min="7678" max="7679" width="9" style="590" customWidth="1"/>
    <col min="7680" max="7680" width="6.625" style="590" customWidth="1"/>
    <col min="7681" max="7681" width="16.5" style="590" customWidth="1"/>
    <col min="7682" max="7682" width="10.875" style="590" customWidth="1"/>
    <col min="7683" max="7683" width="9" style="590" customWidth="1"/>
    <col min="7684" max="7684" width="9.75" style="590" customWidth="1"/>
    <col min="7685" max="7686" width="9" style="590" customWidth="1"/>
    <col min="7687" max="7687" width="6.125" style="590" customWidth="1"/>
    <col min="7688" max="7688" width="10" style="590" customWidth="1"/>
    <col min="7689" max="7933" width="9" style="590"/>
    <col min="7934" max="7935" width="9" style="590" customWidth="1"/>
    <col min="7936" max="7936" width="6.625" style="590" customWidth="1"/>
    <col min="7937" max="7937" width="16.5" style="590" customWidth="1"/>
    <col min="7938" max="7938" width="10.875" style="590" customWidth="1"/>
    <col min="7939" max="7939" width="9" style="590" customWidth="1"/>
    <col min="7940" max="7940" width="9.75" style="590" customWidth="1"/>
    <col min="7941" max="7942" width="9" style="590" customWidth="1"/>
    <col min="7943" max="7943" width="6.125" style="590" customWidth="1"/>
    <col min="7944" max="7944" width="10" style="590" customWidth="1"/>
    <col min="7945" max="8189" width="9" style="590"/>
    <col min="8190" max="8191" width="9" style="590" customWidth="1"/>
    <col min="8192" max="8192" width="6.625" style="590" customWidth="1"/>
    <col min="8193" max="8193" width="16.5" style="590" customWidth="1"/>
    <col min="8194" max="8194" width="10.875" style="590" customWidth="1"/>
    <col min="8195" max="8195" width="9" style="590" customWidth="1"/>
    <col min="8196" max="8196" width="9.75" style="590" customWidth="1"/>
    <col min="8197" max="8198" width="9" style="590" customWidth="1"/>
    <col min="8199" max="8199" width="6.125" style="590" customWidth="1"/>
    <col min="8200" max="8200" width="10" style="590" customWidth="1"/>
    <col min="8201" max="8445" width="9" style="590"/>
    <col min="8446" max="8447" width="9" style="590" customWidth="1"/>
    <col min="8448" max="8448" width="6.625" style="590" customWidth="1"/>
    <col min="8449" max="8449" width="16.5" style="590" customWidth="1"/>
    <col min="8450" max="8450" width="10.875" style="590" customWidth="1"/>
    <col min="8451" max="8451" width="9" style="590" customWidth="1"/>
    <col min="8452" max="8452" width="9.75" style="590" customWidth="1"/>
    <col min="8453" max="8454" width="9" style="590" customWidth="1"/>
    <col min="8455" max="8455" width="6.125" style="590" customWidth="1"/>
    <col min="8456" max="8456" width="10" style="590" customWidth="1"/>
    <col min="8457" max="8701" width="9" style="590"/>
    <col min="8702" max="8703" width="9" style="590" customWidth="1"/>
    <col min="8704" max="8704" width="6.625" style="590" customWidth="1"/>
    <col min="8705" max="8705" width="16.5" style="590" customWidth="1"/>
    <col min="8706" max="8706" width="10.875" style="590" customWidth="1"/>
    <col min="8707" max="8707" width="9" style="590" customWidth="1"/>
    <col min="8708" max="8708" width="9.75" style="590" customWidth="1"/>
    <col min="8709" max="8710" width="9" style="590" customWidth="1"/>
    <col min="8711" max="8711" width="6.125" style="590" customWidth="1"/>
    <col min="8712" max="8712" width="10" style="590" customWidth="1"/>
    <col min="8713" max="8957" width="9" style="590"/>
    <col min="8958" max="8959" width="9" style="590" customWidth="1"/>
    <col min="8960" max="8960" width="6.625" style="590" customWidth="1"/>
    <col min="8961" max="8961" width="16.5" style="590" customWidth="1"/>
    <col min="8962" max="8962" width="10.875" style="590" customWidth="1"/>
    <col min="8963" max="8963" width="9" style="590" customWidth="1"/>
    <col min="8964" max="8964" width="9.75" style="590" customWidth="1"/>
    <col min="8965" max="8966" width="9" style="590" customWidth="1"/>
    <col min="8967" max="8967" width="6.125" style="590" customWidth="1"/>
    <col min="8968" max="8968" width="10" style="590" customWidth="1"/>
    <col min="8969" max="9213" width="9" style="590"/>
    <col min="9214" max="9215" width="9" style="590" customWidth="1"/>
    <col min="9216" max="9216" width="6.625" style="590" customWidth="1"/>
    <col min="9217" max="9217" width="16.5" style="590" customWidth="1"/>
    <col min="9218" max="9218" width="10.875" style="590" customWidth="1"/>
    <col min="9219" max="9219" width="9" style="590" customWidth="1"/>
    <col min="9220" max="9220" width="9.75" style="590" customWidth="1"/>
    <col min="9221" max="9222" width="9" style="590" customWidth="1"/>
    <col min="9223" max="9223" width="6.125" style="590" customWidth="1"/>
    <col min="9224" max="9224" width="10" style="590" customWidth="1"/>
    <col min="9225" max="9469" width="9" style="590"/>
    <col min="9470" max="9471" width="9" style="590" customWidth="1"/>
    <col min="9472" max="9472" width="6.625" style="590" customWidth="1"/>
    <col min="9473" max="9473" width="16.5" style="590" customWidth="1"/>
    <col min="9474" max="9474" width="10.875" style="590" customWidth="1"/>
    <col min="9475" max="9475" width="9" style="590" customWidth="1"/>
    <col min="9476" max="9476" width="9.75" style="590" customWidth="1"/>
    <col min="9477" max="9478" width="9" style="590" customWidth="1"/>
    <col min="9479" max="9479" width="6.125" style="590" customWidth="1"/>
    <col min="9480" max="9480" width="10" style="590" customWidth="1"/>
    <col min="9481" max="9725" width="9" style="590"/>
    <col min="9726" max="9727" width="9" style="590" customWidth="1"/>
    <col min="9728" max="9728" width="6.625" style="590" customWidth="1"/>
    <col min="9729" max="9729" width="16.5" style="590" customWidth="1"/>
    <col min="9730" max="9730" width="10.875" style="590" customWidth="1"/>
    <col min="9731" max="9731" width="9" style="590" customWidth="1"/>
    <col min="9732" max="9732" width="9.75" style="590" customWidth="1"/>
    <col min="9733" max="9734" width="9" style="590" customWidth="1"/>
    <col min="9735" max="9735" width="6.125" style="590" customWidth="1"/>
    <col min="9736" max="9736" width="10" style="590" customWidth="1"/>
    <col min="9737" max="9981" width="9" style="590"/>
    <col min="9982" max="9983" width="9" style="590" customWidth="1"/>
    <col min="9984" max="9984" width="6.625" style="590" customWidth="1"/>
    <col min="9985" max="9985" width="16.5" style="590" customWidth="1"/>
    <col min="9986" max="9986" width="10.875" style="590" customWidth="1"/>
    <col min="9987" max="9987" width="9" style="590" customWidth="1"/>
    <col min="9988" max="9988" width="9.75" style="590" customWidth="1"/>
    <col min="9989" max="9990" width="9" style="590" customWidth="1"/>
    <col min="9991" max="9991" width="6.125" style="590" customWidth="1"/>
    <col min="9992" max="9992" width="10" style="590" customWidth="1"/>
    <col min="9993" max="10237" width="9" style="590"/>
    <col min="10238" max="10239" width="9" style="590" customWidth="1"/>
    <col min="10240" max="10240" width="6.625" style="590" customWidth="1"/>
    <col min="10241" max="10241" width="16.5" style="590" customWidth="1"/>
    <col min="10242" max="10242" width="10.875" style="590" customWidth="1"/>
    <col min="10243" max="10243" width="9" style="590" customWidth="1"/>
    <col min="10244" max="10244" width="9.75" style="590" customWidth="1"/>
    <col min="10245" max="10246" width="9" style="590" customWidth="1"/>
    <col min="10247" max="10247" width="6.125" style="590" customWidth="1"/>
    <col min="10248" max="10248" width="10" style="590" customWidth="1"/>
    <col min="10249" max="10493" width="9" style="590"/>
    <col min="10494" max="10495" width="9" style="590" customWidth="1"/>
    <col min="10496" max="10496" width="6.625" style="590" customWidth="1"/>
    <col min="10497" max="10497" width="16.5" style="590" customWidth="1"/>
    <col min="10498" max="10498" width="10.875" style="590" customWidth="1"/>
    <col min="10499" max="10499" width="9" style="590" customWidth="1"/>
    <col min="10500" max="10500" width="9.75" style="590" customWidth="1"/>
    <col min="10501" max="10502" width="9" style="590" customWidth="1"/>
    <col min="10503" max="10503" width="6.125" style="590" customWidth="1"/>
    <col min="10504" max="10504" width="10" style="590" customWidth="1"/>
    <col min="10505" max="10749" width="9" style="590"/>
    <col min="10750" max="10751" width="9" style="590" customWidth="1"/>
    <col min="10752" max="10752" width="6.625" style="590" customWidth="1"/>
    <col min="10753" max="10753" width="16.5" style="590" customWidth="1"/>
    <col min="10754" max="10754" width="10.875" style="590" customWidth="1"/>
    <col min="10755" max="10755" width="9" style="590" customWidth="1"/>
    <col min="10756" max="10756" width="9.75" style="590" customWidth="1"/>
    <col min="10757" max="10758" width="9" style="590" customWidth="1"/>
    <col min="10759" max="10759" width="6.125" style="590" customWidth="1"/>
    <col min="10760" max="10760" width="10" style="590" customWidth="1"/>
    <col min="10761" max="11005" width="9" style="590"/>
    <col min="11006" max="11007" width="9" style="590" customWidth="1"/>
    <col min="11008" max="11008" width="6.625" style="590" customWidth="1"/>
    <col min="11009" max="11009" width="16.5" style="590" customWidth="1"/>
    <col min="11010" max="11010" width="10.875" style="590" customWidth="1"/>
    <col min="11011" max="11011" width="9" style="590" customWidth="1"/>
    <col min="11012" max="11012" width="9.75" style="590" customWidth="1"/>
    <col min="11013" max="11014" width="9" style="590" customWidth="1"/>
    <col min="11015" max="11015" width="6.125" style="590" customWidth="1"/>
    <col min="11016" max="11016" width="10" style="590" customWidth="1"/>
    <col min="11017" max="11261" width="9" style="590"/>
    <col min="11262" max="11263" width="9" style="590" customWidth="1"/>
    <col min="11264" max="11264" width="6.625" style="590" customWidth="1"/>
    <col min="11265" max="11265" width="16.5" style="590" customWidth="1"/>
    <col min="11266" max="11266" width="10.875" style="590" customWidth="1"/>
    <col min="11267" max="11267" width="9" style="590" customWidth="1"/>
    <col min="11268" max="11268" width="9.75" style="590" customWidth="1"/>
    <col min="11269" max="11270" width="9" style="590" customWidth="1"/>
    <col min="11271" max="11271" width="6.125" style="590" customWidth="1"/>
    <col min="11272" max="11272" width="10" style="590" customWidth="1"/>
    <col min="11273" max="11517" width="9" style="590"/>
    <col min="11518" max="11519" width="9" style="590" customWidth="1"/>
    <col min="11520" max="11520" width="6.625" style="590" customWidth="1"/>
    <col min="11521" max="11521" width="16.5" style="590" customWidth="1"/>
    <col min="11522" max="11522" width="10.875" style="590" customWidth="1"/>
    <col min="11523" max="11523" width="9" style="590" customWidth="1"/>
    <col min="11524" max="11524" width="9.75" style="590" customWidth="1"/>
    <col min="11525" max="11526" width="9" style="590" customWidth="1"/>
    <col min="11527" max="11527" width="6.125" style="590" customWidth="1"/>
    <col min="11528" max="11528" width="10" style="590" customWidth="1"/>
    <col min="11529" max="11773" width="9" style="590"/>
    <col min="11774" max="11775" width="9" style="590" customWidth="1"/>
    <col min="11776" max="11776" width="6.625" style="590" customWidth="1"/>
    <col min="11777" max="11777" width="16.5" style="590" customWidth="1"/>
    <col min="11778" max="11778" width="10.875" style="590" customWidth="1"/>
    <col min="11779" max="11779" width="9" style="590" customWidth="1"/>
    <col min="11780" max="11780" width="9.75" style="590" customWidth="1"/>
    <col min="11781" max="11782" width="9" style="590" customWidth="1"/>
    <col min="11783" max="11783" width="6.125" style="590" customWidth="1"/>
    <col min="11784" max="11784" width="10" style="590" customWidth="1"/>
    <col min="11785" max="12029" width="9" style="590"/>
    <col min="12030" max="12031" width="9" style="590" customWidth="1"/>
    <col min="12032" max="12032" width="6.625" style="590" customWidth="1"/>
    <col min="12033" max="12033" width="16.5" style="590" customWidth="1"/>
    <col min="12034" max="12034" width="10.875" style="590" customWidth="1"/>
    <col min="12035" max="12035" width="9" style="590" customWidth="1"/>
    <col min="12036" max="12036" width="9.75" style="590" customWidth="1"/>
    <col min="12037" max="12038" width="9" style="590" customWidth="1"/>
    <col min="12039" max="12039" width="6.125" style="590" customWidth="1"/>
    <col min="12040" max="12040" width="10" style="590" customWidth="1"/>
    <col min="12041" max="12285" width="9" style="590"/>
    <col min="12286" max="12287" width="9" style="590" customWidth="1"/>
    <col min="12288" max="12288" width="6.625" style="590" customWidth="1"/>
    <col min="12289" max="12289" width="16.5" style="590" customWidth="1"/>
    <col min="12290" max="12290" width="10.875" style="590" customWidth="1"/>
    <col min="12291" max="12291" width="9" style="590" customWidth="1"/>
    <col min="12292" max="12292" width="9.75" style="590" customWidth="1"/>
    <col min="12293" max="12294" width="9" style="590" customWidth="1"/>
    <col min="12295" max="12295" width="6.125" style="590" customWidth="1"/>
    <col min="12296" max="12296" width="10" style="590" customWidth="1"/>
    <col min="12297" max="12541" width="9" style="590"/>
    <col min="12542" max="12543" width="9" style="590" customWidth="1"/>
    <col min="12544" max="12544" width="6.625" style="590" customWidth="1"/>
    <col min="12545" max="12545" width="16.5" style="590" customWidth="1"/>
    <col min="12546" max="12546" width="10.875" style="590" customWidth="1"/>
    <col min="12547" max="12547" width="9" style="590" customWidth="1"/>
    <col min="12548" max="12548" width="9.75" style="590" customWidth="1"/>
    <col min="12549" max="12550" width="9" style="590" customWidth="1"/>
    <col min="12551" max="12551" width="6.125" style="590" customWidth="1"/>
    <col min="12552" max="12552" width="10" style="590" customWidth="1"/>
    <col min="12553" max="12797" width="9" style="590"/>
    <col min="12798" max="12799" width="9" style="590" customWidth="1"/>
    <col min="12800" max="12800" width="6.625" style="590" customWidth="1"/>
    <col min="12801" max="12801" width="16.5" style="590" customWidth="1"/>
    <col min="12802" max="12802" width="10.875" style="590" customWidth="1"/>
    <col min="12803" max="12803" width="9" style="590" customWidth="1"/>
    <col min="12804" max="12804" width="9.75" style="590" customWidth="1"/>
    <col min="12805" max="12806" width="9" style="590" customWidth="1"/>
    <col min="12807" max="12807" width="6.125" style="590" customWidth="1"/>
    <col min="12808" max="12808" width="10" style="590" customWidth="1"/>
    <col min="12809" max="13053" width="9" style="590"/>
    <col min="13054" max="13055" width="9" style="590" customWidth="1"/>
    <col min="13056" max="13056" width="6.625" style="590" customWidth="1"/>
    <col min="13057" max="13057" width="16.5" style="590" customWidth="1"/>
    <col min="13058" max="13058" width="10.875" style="590" customWidth="1"/>
    <col min="13059" max="13059" width="9" style="590" customWidth="1"/>
    <col min="13060" max="13060" width="9.75" style="590" customWidth="1"/>
    <col min="13061" max="13062" width="9" style="590" customWidth="1"/>
    <col min="13063" max="13063" width="6.125" style="590" customWidth="1"/>
    <col min="13064" max="13064" width="10" style="590" customWidth="1"/>
    <col min="13065" max="13309" width="9" style="590"/>
    <col min="13310" max="13311" width="9" style="590" customWidth="1"/>
    <col min="13312" max="13312" width="6.625" style="590" customWidth="1"/>
    <col min="13313" max="13313" width="16.5" style="590" customWidth="1"/>
    <col min="13314" max="13314" width="10.875" style="590" customWidth="1"/>
    <col min="13315" max="13315" width="9" style="590" customWidth="1"/>
    <col min="13316" max="13316" width="9.75" style="590" customWidth="1"/>
    <col min="13317" max="13318" width="9" style="590" customWidth="1"/>
    <col min="13319" max="13319" width="6.125" style="590" customWidth="1"/>
    <col min="13320" max="13320" width="10" style="590" customWidth="1"/>
    <col min="13321" max="13565" width="9" style="590"/>
    <col min="13566" max="13567" width="9" style="590" customWidth="1"/>
    <col min="13568" max="13568" width="6.625" style="590" customWidth="1"/>
    <col min="13569" max="13569" width="16.5" style="590" customWidth="1"/>
    <col min="13570" max="13570" width="10.875" style="590" customWidth="1"/>
    <col min="13571" max="13571" width="9" style="590" customWidth="1"/>
    <col min="13572" max="13572" width="9.75" style="590" customWidth="1"/>
    <col min="13573" max="13574" width="9" style="590" customWidth="1"/>
    <col min="13575" max="13575" width="6.125" style="590" customWidth="1"/>
    <col min="13576" max="13576" width="10" style="590" customWidth="1"/>
    <col min="13577" max="13821" width="9" style="590"/>
    <col min="13822" max="13823" width="9" style="590" customWidth="1"/>
    <col min="13824" max="13824" width="6.625" style="590" customWidth="1"/>
    <col min="13825" max="13825" width="16.5" style="590" customWidth="1"/>
    <col min="13826" max="13826" width="10.875" style="590" customWidth="1"/>
    <col min="13827" max="13827" width="9" style="590" customWidth="1"/>
    <col min="13828" max="13828" width="9.75" style="590" customWidth="1"/>
    <col min="13829" max="13830" width="9" style="590" customWidth="1"/>
    <col min="13831" max="13831" width="6.125" style="590" customWidth="1"/>
    <col min="13832" max="13832" width="10" style="590" customWidth="1"/>
    <col min="13833" max="14077" width="9" style="590"/>
    <col min="14078" max="14079" width="9" style="590" customWidth="1"/>
    <col min="14080" max="14080" width="6.625" style="590" customWidth="1"/>
    <col min="14081" max="14081" width="16.5" style="590" customWidth="1"/>
    <col min="14082" max="14082" width="10.875" style="590" customWidth="1"/>
    <col min="14083" max="14083" width="9" style="590" customWidth="1"/>
    <col min="14084" max="14084" width="9.75" style="590" customWidth="1"/>
    <col min="14085" max="14086" width="9" style="590" customWidth="1"/>
    <col min="14087" max="14087" width="6.125" style="590" customWidth="1"/>
    <col min="14088" max="14088" width="10" style="590" customWidth="1"/>
    <col min="14089" max="14333" width="9" style="590"/>
    <col min="14334" max="14335" width="9" style="590" customWidth="1"/>
    <col min="14336" max="14336" width="6.625" style="590" customWidth="1"/>
    <col min="14337" max="14337" width="16.5" style="590" customWidth="1"/>
    <col min="14338" max="14338" width="10.875" style="590" customWidth="1"/>
    <col min="14339" max="14339" width="9" style="590" customWidth="1"/>
    <col min="14340" max="14340" width="9.75" style="590" customWidth="1"/>
    <col min="14341" max="14342" width="9" style="590" customWidth="1"/>
    <col min="14343" max="14343" width="6.125" style="590" customWidth="1"/>
    <col min="14344" max="14344" width="10" style="590" customWidth="1"/>
    <col min="14345" max="14589" width="9" style="590"/>
    <col min="14590" max="14591" width="9" style="590" customWidth="1"/>
    <col min="14592" max="14592" width="6.625" style="590" customWidth="1"/>
    <col min="14593" max="14593" width="16.5" style="590" customWidth="1"/>
    <col min="14594" max="14594" width="10.875" style="590" customWidth="1"/>
    <col min="14595" max="14595" width="9" style="590" customWidth="1"/>
    <col min="14596" max="14596" width="9.75" style="590" customWidth="1"/>
    <col min="14597" max="14598" width="9" style="590" customWidth="1"/>
    <col min="14599" max="14599" width="6.125" style="590" customWidth="1"/>
    <col min="14600" max="14600" width="10" style="590" customWidth="1"/>
    <col min="14601" max="14845" width="9" style="590"/>
    <col min="14846" max="14847" width="9" style="590" customWidth="1"/>
    <col min="14848" max="14848" width="6.625" style="590" customWidth="1"/>
    <col min="14849" max="14849" width="16.5" style="590" customWidth="1"/>
    <col min="14850" max="14850" width="10.875" style="590" customWidth="1"/>
    <col min="14851" max="14851" width="9" style="590" customWidth="1"/>
    <col min="14852" max="14852" width="9.75" style="590" customWidth="1"/>
    <col min="14853" max="14854" width="9" style="590" customWidth="1"/>
    <col min="14855" max="14855" width="6.125" style="590" customWidth="1"/>
    <col min="14856" max="14856" width="10" style="590" customWidth="1"/>
    <col min="14857" max="15101" width="9" style="590"/>
    <col min="15102" max="15103" width="9" style="590" customWidth="1"/>
    <col min="15104" max="15104" width="6.625" style="590" customWidth="1"/>
    <col min="15105" max="15105" width="16.5" style="590" customWidth="1"/>
    <col min="15106" max="15106" width="10.875" style="590" customWidth="1"/>
    <col min="15107" max="15107" width="9" style="590" customWidth="1"/>
    <col min="15108" max="15108" width="9.75" style="590" customWidth="1"/>
    <col min="15109" max="15110" width="9" style="590" customWidth="1"/>
    <col min="15111" max="15111" width="6.125" style="590" customWidth="1"/>
    <col min="15112" max="15112" width="10" style="590" customWidth="1"/>
    <col min="15113" max="15357" width="9" style="590"/>
    <col min="15358" max="15359" width="9" style="590" customWidth="1"/>
    <col min="15360" max="15360" width="6.625" style="590" customWidth="1"/>
    <col min="15361" max="15361" width="16.5" style="590" customWidth="1"/>
    <col min="15362" max="15362" width="10.875" style="590" customWidth="1"/>
    <col min="15363" max="15363" width="9" style="590" customWidth="1"/>
    <col min="15364" max="15364" width="9.75" style="590" customWidth="1"/>
    <col min="15365" max="15366" width="9" style="590" customWidth="1"/>
    <col min="15367" max="15367" width="6.125" style="590" customWidth="1"/>
    <col min="15368" max="15368" width="10" style="590" customWidth="1"/>
    <col min="15369" max="15613" width="9" style="590"/>
    <col min="15614" max="15615" width="9" style="590" customWidth="1"/>
    <col min="15616" max="15616" width="6.625" style="590" customWidth="1"/>
    <col min="15617" max="15617" width="16.5" style="590" customWidth="1"/>
    <col min="15618" max="15618" width="10.875" style="590" customWidth="1"/>
    <col min="15619" max="15619" width="9" style="590" customWidth="1"/>
    <col min="15620" max="15620" width="9.75" style="590" customWidth="1"/>
    <col min="15621" max="15622" width="9" style="590" customWidth="1"/>
    <col min="15623" max="15623" width="6.125" style="590" customWidth="1"/>
    <col min="15624" max="15624" width="10" style="590" customWidth="1"/>
    <col min="15625" max="15869" width="9" style="590"/>
    <col min="15870" max="15871" width="9" style="590" customWidth="1"/>
    <col min="15872" max="15872" width="6.625" style="590" customWidth="1"/>
    <col min="15873" max="15873" width="16.5" style="590" customWidth="1"/>
    <col min="15874" max="15874" width="10.875" style="590" customWidth="1"/>
    <col min="15875" max="15875" width="9" style="590" customWidth="1"/>
    <col min="15876" max="15876" width="9.75" style="590" customWidth="1"/>
    <col min="15877" max="15878" width="9" style="590" customWidth="1"/>
    <col min="15879" max="15879" width="6.125" style="590" customWidth="1"/>
    <col min="15880" max="15880" width="10" style="590" customWidth="1"/>
    <col min="15881" max="16125" width="9" style="590"/>
    <col min="16126" max="16127" width="9" style="590" customWidth="1"/>
    <col min="16128" max="16128" width="6.625" style="590" customWidth="1"/>
    <col min="16129" max="16129" width="16.5" style="590" customWidth="1"/>
    <col min="16130" max="16130" width="10.875" style="590" customWidth="1"/>
    <col min="16131" max="16131" width="9" style="590" customWidth="1"/>
    <col min="16132" max="16132" width="9.75" style="590" customWidth="1"/>
    <col min="16133" max="16134" width="9" style="590" customWidth="1"/>
    <col min="16135" max="16135" width="6.125" style="590" customWidth="1"/>
    <col min="16136" max="16136" width="10" style="590" customWidth="1"/>
    <col min="16137" max="16384" width="9" style="590"/>
  </cols>
  <sheetData>
    <row r="1" spans="1:9">
      <c r="I1" s="590">
        <v>6</v>
      </c>
    </row>
    <row r="3" spans="1:9">
      <c r="A3" s="592"/>
      <c r="B3" s="593"/>
      <c r="C3" s="593"/>
      <c r="D3" s="593"/>
      <c r="E3" s="594"/>
      <c r="F3" s="595"/>
      <c r="G3" s="596"/>
    </row>
    <row r="4" spans="1:9" s="589" customFormat="1" ht="20.25">
      <c r="A4" s="597"/>
      <c r="B4" s="651" t="s">
        <v>59</v>
      </c>
      <c r="C4" s="651"/>
      <c r="D4" s="651"/>
      <c r="E4" s="651"/>
      <c r="F4" s="598"/>
    </row>
    <row r="5" spans="1:9" ht="17.25" customHeight="1">
      <c r="A5" s="597"/>
      <c r="B5" s="599"/>
      <c r="C5" s="599"/>
      <c r="D5" s="599"/>
      <c r="E5" s="600"/>
      <c r="F5" s="598"/>
    </row>
    <row r="6" spans="1:9" ht="19.5">
      <c r="A6" s="597"/>
      <c r="B6" s="599"/>
      <c r="C6" s="599" t="s">
        <v>60</v>
      </c>
      <c r="D6" s="599" t="s">
        <v>61</v>
      </c>
      <c r="E6" s="600"/>
      <c r="F6" s="598"/>
    </row>
    <row r="7" spans="1:9" ht="19.5">
      <c r="A7" s="597"/>
      <c r="B7" s="599"/>
      <c r="C7" s="599">
        <v>1</v>
      </c>
      <c r="D7" s="601" t="s">
        <v>62</v>
      </c>
      <c r="E7" s="600"/>
      <c r="F7" s="598"/>
    </row>
    <row r="8" spans="1:9" ht="19.5">
      <c r="A8" s="597"/>
      <c r="B8" s="599"/>
      <c r="C8" s="599">
        <v>2</v>
      </c>
      <c r="D8" s="602" t="s">
        <v>63</v>
      </c>
      <c r="E8" s="600"/>
      <c r="F8" s="598"/>
    </row>
    <row r="9" spans="1:9" ht="19.5">
      <c r="A9" s="597"/>
      <c r="B9" s="599"/>
      <c r="C9" s="599">
        <v>3</v>
      </c>
      <c r="D9" s="601" t="s">
        <v>64</v>
      </c>
      <c r="E9" s="600"/>
      <c r="F9" s="598"/>
    </row>
    <row r="10" spans="1:9" ht="19.5">
      <c r="A10" s="597"/>
      <c r="B10" s="599"/>
      <c r="C10" s="599">
        <v>4</v>
      </c>
      <c r="D10" s="601" t="s">
        <v>65</v>
      </c>
      <c r="E10" s="600"/>
      <c r="F10" s="598"/>
    </row>
    <row r="11" spans="1:9" ht="19.5">
      <c r="A11" s="597"/>
      <c r="B11" s="599"/>
      <c r="C11" s="599">
        <v>5</v>
      </c>
      <c r="D11" s="601" t="s">
        <v>66</v>
      </c>
      <c r="E11" s="600"/>
      <c r="F11" s="598"/>
    </row>
    <row r="12" spans="1:9" ht="19.5">
      <c r="A12" s="597"/>
      <c r="B12" s="599"/>
      <c r="C12" s="599">
        <v>6</v>
      </c>
      <c r="D12" s="601" t="s">
        <v>67</v>
      </c>
      <c r="E12" s="600"/>
      <c r="F12" s="598"/>
    </row>
    <row r="13" spans="1:9" ht="19.5">
      <c r="A13" s="597"/>
      <c r="B13" s="599"/>
      <c r="C13" s="599">
        <v>7</v>
      </c>
      <c r="D13" s="603" t="s">
        <v>68</v>
      </c>
      <c r="E13" s="604"/>
      <c r="F13" s="598"/>
    </row>
    <row r="14" spans="1:9" ht="19.5">
      <c r="A14" s="597"/>
      <c r="B14" s="599"/>
      <c r="C14" s="599">
        <v>8</v>
      </c>
      <c r="D14" s="602" t="s">
        <v>69</v>
      </c>
      <c r="E14" s="604"/>
      <c r="F14" s="598"/>
    </row>
    <row r="15" spans="1:9" ht="19.5">
      <c r="A15" s="597"/>
      <c r="B15" s="599"/>
      <c r="C15" s="599">
        <v>9</v>
      </c>
      <c r="D15" s="602" t="s">
        <v>70</v>
      </c>
      <c r="E15" s="604"/>
      <c r="F15" s="598"/>
    </row>
    <row r="16" spans="1:9" ht="19.5">
      <c r="A16" s="597"/>
      <c r="B16" s="599"/>
      <c r="C16" s="599">
        <v>10</v>
      </c>
      <c r="D16" s="601" t="s">
        <v>71</v>
      </c>
      <c r="E16" s="604"/>
      <c r="F16" s="598"/>
    </row>
    <row r="17" spans="1:6" ht="19.5">
      <c r="A17" s="597"/>
      <c r="B17" s="599"/>
      <c r="C17" s="599">
        <v>11</v>
      </c>
      <c r="D17" s="602" t="s">
        <v>72</v>
      </c>
      <c r="E17" s="604"/>
      <c r="F17" s="598"/>
    </row>
    <row r="18" spans="1:6" ht="14.25">
      <c r="A18" s="597"/>
      <c r="B18" s="599"/>
      <c r="C18" s="599">
        <v>12</v>
      </c>
      <c r="D18" s="603" t="s">
        <v>73</v>
      </c>
      <c r="E18" s="590"/>
      <c r="F18" s="598"/>
    </row>
    <row r="19" spans="1:6" ht="14.25">
      <c r="A19" s="597"/>
      <c r="B19" s="599"/>
      <c r="C19" s="599">
        <v>13</v>
      </c>
      <c r="D19" s="605" t="s">
        <v>74</v>
      </c>
      <c r="E19" s="590"/>
      <c r="F19" s="598"/>
    </row>
    <row r="20" spans="1:6" ht="19.5">
      <c r="A20" s="597"/>
      <c r="B20" s="599"/>
      <c r="C20" s="599">
        <v>14</v>
      </c>
      <c r="D20" s="603" t="s">
        <v>75</v>
      </c>
      <c r="E20" s="600"/>
      <c r="F20" s="598"/>
    </row>
    <row r="21" spans="1:6" ht="17.25">
      <c r="A21" s="589"/>
      <c r="B21" s="589"/>
      <c r="C21" s="599">
        <v>15</v>
      </c>
      <c r="D21" s="601" t="s">
        <v>76</v>
      </c>
      <c r="E21" s="606"/>
      <c r="F21" s="607"/>
    </row>
    <row r="22" spans="1:6">
      <c r="A22" s="608"/>
      <c r="B22" s="589"/>
      <c r="C22" s="589"/>
      <c r="E22" s="606"/>
      <c r="F22" s="607"/>
    </row>
    <row r="23" spans="1:6">
      <c r="A23" s="609"/>
      <c r="B23" s="609"/>
      <c r="C23" s="609"/>
      <c r="D23" s="609"/>
      <c r="E23" s="610"/>
      <c r="F23" s="611"/>
    </row>
    <row r="24" spans="1:6">
      <c r="A24" s="589"/>
      <c r="B24" s="589"/>
      <c r="C24" s="589"/>
      <c r="D24" s="589"/>
      <c r="E24" s="606"/>
      <c r="F24" s="589"/>
    </row>
    <row r="25" spans="1:6" s="589" customFormat="1">
      <c r="E25" s="606"/>
    </row>
    <row r="26" spans="1:6">
      <c r="A26" s="652" t="s">
        <v>77</v>
      </c>
      <c r="B26" s="653"/>
      <c r="C26" s="612"/>
      <c r="D26" s="612"/>
      <c r="E26" s="613"/>
      <c r="F26" s="614"/>
    </row>
    <row r="27" spans="1:6">
      <c r="A27" s="654"/>
      <c r="B27" s="655"/>
      <c r="C27" s="589"/>
      <c r="D27" s="615">
        <v>496178</v>
      </c>
      <c r="E27" s="606"/>
      <c r="F27" s="616"/>
    </row>
    <row r="28" spans="1:6">
      <c r="A28" s="654"/>
      <c r="B28" s="655"/>
      <c r="C28" s="589"/>
      <c r="D28" s="615" t="s">
        <v>78</v>
      </c>
      <c r="E28" s="606"/>
      <c r="F28" s="616"/>
    </row>
    <row r="29" spans="1:6">
      <c r="A29" s="656"/>
      <c r="B29" s="657"/>
      <c r="C29" s="609"/>
      <c r="D29" s="609"/>
      <c r="E29" s="610"/>
      <c r="F29" s="611"/>
    </row>
  </sheetData>
  <mergeCells count="2">
    <mergeCell ref="B4:E4"/>
    <mergeCell ref="A26:B29"/>
  </mergeCells>
  <phoneticPr fontId="156" type="noConversion"/>
  <hyperlinks>
    <hyperlink ref="D14" location="工作量分布!A1" display="工作量分布"/>
    <hyperlink ref="D16" location="项目进度!A1" display="进度"/>
    <hyperlink ref="D8" location="项目属性!A1" display="项目属性"/>
    <hyperlink ref="D17" location="缺陷度量!A1" display="过程产出缺陷度量"/>
    <hyperlink ref="D15" location="规模!A1" display="规模"/>
    <hyperlink ref="D19" location="人员统计!A1" display="人员统计"/>
    <hyperlink ref="D13" location="需求!A1" display="需求"/>
    <hyperlink ref="D21" location="模型数据检查!A1" display="模型检验"/>
    <hyperlink ref="D7" location="填写说明!A1" display="填写说明"/>
    <hyperlink ref="D9" location="项目度量分析计划!A1" display="项目度量分析计划"/>
    <hyperlink ref="D10" location="模型!A1" display="模型"/>
    <hyperlink ref="D11" location="'预测-结果'!A1" display="预测-结果"/>
    <hyperlink ref="D12" location="'预测-指导'!A1" display="预测-指导"/>
    <hyperlink ref="D18" location="测试及验收缺陷度量!A1" display="测试及验收缺陷度量"/>
    <hyperlink ref="D20" location="根因分析!A1" display="根因分析"/>
  </hyperlink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Pict="0" macro="[0]!ye">
                <anchor moveWithCells="1">
                  <from>
                    <xdr:col>2</xdr:col>
                    <xdr:colOff>295275</xdr:colOff>
                    <xdr:row>25</xdr:row>
                    <xdr:rowOff>85725</xdr:rowOff>
                  </from>
                  <to>
                    <xdr:col>3</xdr:col>
                    <xdr:colOff>942975</xdr:colOff>
                    <xdr:row>26</xdr:row>
                    <xdr:rowOff>161925</xdr:rowOff>
                  </to>
                </anchor>
              </controlPr>
            </control>
          </mc:Choice>
        </mc:AlternateContent>
        <mc:AlternateContent xmlns:mc="http://schemas.openxmlformats.org/markup-compatibility/2006">
          <mc:Choice Requires="x14">
            <control shapeId="66562" r:id="rId4" name="Button 2">
              <controlPr defaultSize="0" print="0" autoPict="0" macro="[0]!MarcoHide">
                <anchor moveWithCells="1">
                  <from>
                    <xdr:col>2</xdr:col>
                    <xdr:colOff>295275</xdr:colOff>
                    <xdr:row>27</xdr:row>
                    <xdr:rowOff>66675</xdr:rowOff>
                  </from>
                  <to>
                    <xdr:col>3</xdr:col>
                    <xdr:colOff>942975</xdr:colOff>
                    <xdr:row>28</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B0F0"/>
  </sheetPr>
  <dimension ref="A1:I16"/>
  <sheetViews>
    <sheetView workbookViewId="0">
      <selection activeCell="G28" sqref="G28"/>
    </sheetView>
  </sheetViews>
  <sheetFormatPr defaultColWidth="9" defaultRowHeight="13.5"/>
  <sheetData>
    <row r="1" spans="1:9" ht="14.25">
      <c r="A1" s="658" t="s">
        <v>62</v>
      </c>
      <c r="B1" s="659"/>
      <c r="C1" s="659"/>
      <c r="D1" s="659"/>
      <c r="E1" s="659"/>
      <c r="F1" s="659"/>
      <c r="G1" s="659"/>
      <c r="H1" s="659"/>
      <c r="I1" s="659"/>
    </row>
    <row r="2" spans="1:9">
      <c r="A2" s="667" t="s">
        <v>79</v>
      </c>
      <c r="B2" s="660"/>
      <c r="C2" s="660"/>
      <c r="D2" s="660"/>
      <c r="E2" s="660"/>
      <c r="F2" s="660"/>
      <c r="G2" s="660"/>
      <c r="H2" s="660"/>
      <c r="I2" s="660"/>
    </row>
    <row r="3" spans="1:9">
      <c r="A3" s="660"/>
      <c r="B3" s="660"/>
      <c r="C3" s="660"/>
      <c r="D3" s="660"/>
      <c r="E3" s="660"/>
      <c r="F3" s="660"/>
      <c r="G3" s="660"/>
      <c r="H3" s="660"/>
      <c r="I3" s="660"/>
    </row>
    <row r="4" spans="1:9">
      <c r="A4" s="660"/>
      <c r="B4" s="660"/>
      <c r="C4" s="660"/>
      <c r="D4" s="660"/>
      <c r="E4" s="660"/>
      <c r="F4" s="660"/>
      <c r="G4" s="660"/>
      <c r="H4" s="660"/>
      <c r="I4" s="660"/>
    </row>
    <row r="5" spans="1:9">
      <c r="A5" s="660"/>
      <c r="B5" s="660"/>
      <c r="C5" s="660"/>
      <c r="D5" s="660"/>
      <c r="E5" s="660"/>
      <c r="F5" s="660"/>
      <c r="G5" s="660"/>
      <c r="H5" s="660"/>
      <c r="I5" s="660"/>
    </row>
    <row r="6" spans="1:9">
      <c r="A6" s="660"/>
      <c r="B6" s="660"/>
      <c r="C6" s="660"/>
      <c r="D6" s="660"/>
      <c r="E6" s="660"/>
      <c r="F6" s="660"/>
      <c r="G6" s="660"/>
      <c r="H6" s="660"/>
      <c r="I6" s="660"/>
    </row>
    <row r="7" spans="1:9">
      <c r="A7" s="660"/>
      <c r="B7" s="660"/>
      <c r="C7" s="660"/>
      <c r="D7" s="660"/>
      <c r="E7" s="660"/>
      <c r="F7" s="660"/>
      <c r="G7" s="660"/>
      <c r="H7" s="660"/>
      <c r="I7" s="660"/>
    </row>
    <row r="8" spans="1:9">
      <c r="A8" s="660"/>
      <c r="B8" s="660"/>
      <c r="C8" s="660"/>
      <c r="D8" s="660"/>
      <c r="E8" s="660"/>
      <c r="F8" s="660"/>
      <c r="G8" s="660"/>
      <c r="H8" s="660"/>
      <c r="I8" s="660"/>
    </row>
    <row r="9" spans="1:9">
      <c r="A9" s="660"/>
      <c r="B9" s="660"/>
      <c r="C9" s="660"/>
      <c r="D9" s="660"/>
      <c r="E9" s="660"/>
      <c r="F9" s="660"/>
      <c r="G9" s="660"/>
      <c r="H9" s="660"/>
      <c r="I9" s="660"/>
    </row>
    <row r="10" spans="1:9" ht="14.25">
      <c r="A10" s="658" t="s">
        <v>80</v>
      </c>
      <c r="B10" s="659"/>
      <c r="C10" s="659"/>
      <c r="D10" s="659"/>
      <c r="E10" s="659"/>
      <c r="F10" s="659"/>
      <c r="G10" s="659"/>
      <c r="H10" s="659"/>
      <c r="I10" s="659"/>
    </row>
    <row r="11" spans="1:9">
      <c r="A11" s="583" t="s">
        <v>81</v>
      </c>
      <c r="B11" s="583" t="s">
        <v>82</v>
      </c>
      <c r="C11" s="661" t="s">
        <v>83</v>
      </c>
      <c r="D11" s="662"/>
      <c r="E11" s="662"/>
      <c r="F11" s="662"/>
      <c r="G11" s="662"/>
      <c r="H11" s="662"/>
      <c r="I11" s="663"/>
    </row>
    <row r="12" spans="1:9" ht="14.25">
      <c r="A12" s="584">
        <v>1</v>
      </c>
      <c r="B12" s="585" t="s">
        <v>84</v>
      </c>
      <c r="C12" s="664" t="s">
        <v>85</v>
      </c>
      <c r="D12" s="665"/>
      <c r="E12" s="665"/>
      <c r="F12" s="665"/>
      <c r="G12" s="665"/>
      <c r="H12" s="665"/>
      <c r="I12" s="666"/>
    </row>
    <row r="13" spans="1:9" ht="14.25">
      <c r="A13" s="582">
        <v>2</v>
      </c>
      <c r="B13" s="586" t="s">
        <v>86</v>
      </c>
      <c r="C13" s="664" t="s">
        <v>87</v>
      </c>
      <c r="D13" s="665"/>
      <c r="E13" s="665"/>
      <c r="F13" s="665"/>
      <c r="G13" s="665"/>
      <c r="H13" s="665"/>
      <c r="I13" s="666"/>
    </row>
    <row r="14" spans="1:9" ht="14.25">
      <c r="A14" s="582">
        <v>3</v>
      </c>
      <c r="B14" s="583" t="s">
        <v>88</v>
      </c>
      <c r="C14" s="664" t="s">
        <v>89</v>
      </c>
      <c r="D14" s="665"/>
      <c r="E14" s="665"/>
      <c r="F14" s="665"/>
      <c r="G14" s="665"/>
      <c r="H14" s="665"/>
      <c r="I14" s="666"/>
    </row>
    <row r="15" spans="1:9" ht="14.25">
      <c r="A15" s="582">
        <v>4</v>
      </c>
      <c r="B15" s="587" t="s">
        <v>90</v>
      </c>
      <c r="C15" s="664" t="s">
        <v>91</v>
      </c>
      <c r="D15" s="665"/>
      <c r="E15" s="665"/>
      <c r="F15" s="665"/>
      <c r="G15" s="665"/>
      <c r="H15" s="665"/>
      <c r="I15" s="666"/>
    </row>
    <row r="16" spans="1:9" ht="14.25">
      <c r="A16" s="582">
        <v>5</v>
      </c>
      <c r="B16" s="588" t="s">
        <v>92</v>
      </c>
      <c r="C16" s="664" t="s">
        <v>93</v>
      </c>
      <c r="D16" s="665"/>
      <c r="E16" s="665"/>
      <c r="F16" s="665"/>
      <c r="G16" s="665"/>
      <c r="H16" s="665"/>
      <c r="I16" s="666"/>
    </row>
  </sheetData>
  <mergeCells count="10">
    <mergeCell ref="C13:I13"/>
    <mergeCell ref="C14:I14"/>
    <mergeCell ref="C15:I15"/>
    <mergeCell ref="C16:I16"/>
    <mergeCell ref="A2:I8"/>
    <mergeCell ref="A1:I1"/>
    <mergeCell ref="A9:I9"/>
    <mergeCell ref="A10:I10"/>
    <mergeCell ref="C11:I11"/>
    <mergeCell ref="C12:I12"/>
  </mergeCells>
  <phoneticPr fontId="156"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1:B21"/>
  <sheetViews>
    <sheetView showGridLines="0" workbookViewId="0">
      <selection activeCell="D20" sqref="D20"/>
    </sheetView>
  </sheetViews>
  <sheetFormatPr defaultColWidth="9" defaultRowHeight="12"/>
  <cols>
    <col min="1" max="1" width="16.25" style="68" customWidth="1"/>
    <col min="2" max="2" width="56.5" style="68" customWidth="1"/>
    <col min="3" max="256" width="9" style="68"/>
    <col min="257" max="257" width="16.25" style="68" customWidth="1"/>
    <col min="258" max="258" width="56.5" style="68" customWidth="1"/>
    <col min="259" max="512" width="9" style="68"/>
    <col min="513" max="513" width="16.25" style="68" customWidth="1"/>
    <col min="514" max="514" width="56.5" style="68" customWidth="1"/>
    <col min="515" max="768" width="9" style="68"/>
    <col min="769" max="769" width="16.25" style="68" customWidth="1"/>
    <col min="770" max="770" width="56.5" style="68" customWidth="1"/>
    <col min="771" max="1024" width="9" style="68"/>
    <col min="1025" max="1025" width="16.25" style="68" customWidth="1"/>
    <col min="1026" max="1026" width="56.5" style="68" customWidth="1"/>
    <col min="1027" max="1280" width="9" style="68"/>
    <col min="1281" max="1281" width="16.25" style="68" customWidth="1"/>
    <col min="1282" max="1282" width="56.5" style="68" customWidth="1"/>
    <col min="1283" max="1536" width="9" style="68"/>
    <col min="1537" max="1537" width="16.25" style="68" customWidth="1"/>
    <col min="1538" max="1538" width="56.5" style="68" customWidth="1"/>
    <col min="1539" max="1792" width="9" style="68"/>
    <col min="1793" max="1793" width="16.25" style="68" customWidth="1"/>
    <col min="1794" max="1794" width="56.5" style="68" customWidth="1"/>
    <col min="1795" max="2048" width="9" style="68"/>
    <col min="2049" max="2049" width="16.25" style="68" customWidth="1"/>
    <col min="2050" max="2050" width="56.5" style="68" customWidth="1"/>
    <col min="2051" max="2304" width="9" style="68"/>
    <col min="2305" max="2305" width="16.25" style="68" customWidth="1"/>
    <col min="2306" max="2306" width="56.5" style="68" customWidth="1"/>
    <col min="2307" max="2560" width="9" style="68"/>
    <col min="2561" max="2561" width="16.25" style="68" customWidth="1"/>
    <col min="2562" max="2562" width="56.5" style="68" customWidth="1"/>
    <col min="2563" max="2816" width="9" style="68"/>
    <col min="2817" max="2817" width="16.25" style="68" customWidth="1"/>
    <col min="2818" max="2818" width="56.5" style="68" customWidth="1"/>
    <col min="2819" max="3072" width="9" style="68"/>
    <col min="3073" max="3073" width="16.25" style="68" customWidth="1"/>
    <col min="3074" max="3074" width="56.5" style="68" customWidth="1"/>
    <col min="3075" max="3328" width="9" style="68"/>
    <col min="3329" max="3329" width="16.25" style="68" customWidth="1"/>
    <col min="3330" max="3330" width="56.5" style="68" customWidth="1"/>
    <col min="3331" max="3584" width="9" style="68"/>
    <col min="3585" max="3585" width="16.25" style="68" customWidth="1"/>
    <col min="3586" max="3586" width="56.5" style="68" customWidth="1"/>
    <col min="3587" max="3840" width="9" style="68"/>
    <col min="3841" max="3841" width="16.25" style="68" customWidth="1"/>
    <col min="3842" max="3842" width="56.5" style="68" customWidth="1"/>
    <col min="3843" max="4096" width="9" style="68"/>
    <col min="4097" max="4097" width="16.25" style="68" customWidth="1"/>
    <col min="4098" max="4098" width="56.5" style="68" customWidth="1"/>
    <col min="4099" max="4352" width="9" style="68"/>
    <col min="4353" max="4353" width="16.25" style="68" customWidth="1"/>
    <col min="4354" max="4354" width="56.5" style="68" customWidth="1"/>
    <col min="4355" max="4608" width="9" style="68"/>
    <col min="4609" max="4609" width="16.25" style="68" customWidth="1"/>
    <col min="4610" max="4610" width="56.5" style="68" customWidth="1"/>
    <col min="4611" max="4864" width="9" style="68"/>
    <col min="4865" max="4865" width="16.25" style="68" customWidth="1"/>
    <col min="4866" max="4866" width="56.5" style="68" customWidth="1"/>
    <col min="4867" max="5120" width="9" style="68"/>
    <col min="5121" max="5121" width="16.25" style="68" customWidth="1"/>
    <col min="5122" max="5122" width="56.5" style="68" customWidth="1"/>
    <col min="5123" max="5376" width="9" style="68"/>
    <col min="5377" max="5377" width="16.25" style="68" customWidth="1"/>
    <col min="5378" max="5378" width="56.5" style="68" customWidth="1"/>
    <col min="5379" max="5632" width="9" style="68"/>
    <col min="5633" max="5633" width="16.25" style="68" customWidth="1"/>
    <col min="5634" max="5634" width="56.5" style="68" customWidth="1"/>
    <col min="5635" max="5888" width="9" style="68"/>
    <col min="5889" max="5889" width="16.25" style="68" customWidth="1"/>
    <col min="5890" max="5890" width="56.5" style="68" customWidth="1"/>
    <col min="5891" max="6144" width="9" style="68"/>
    <col min="6145" max="6145" width="16.25" style="68" customWidth="1"/>
    <col min="6146" max="6146" width="56.5" style="68" customWidth="1"/>
    <col min="6147" max="6400" width="9" style="68"/>
    <col min="6401" max="6401" width="16.25" style="68" customWidth="1"/>
    <col min="6402" max="6402" width="56.5" style="68" customWidth="1"/>
    <col min="6403" max="6656" width="9" style="68"/>
    <col min="6657" max="6657" width="16.25" style="68" customWidth="1"/>
    <col min="6658" max="6658" width="56.5" style="68" customWidth="1"/>
    <col min="6659" max="6912" width="9" style="68"/>
    <col min="6913" max="6913" width="16.25" style="68" customWidth="1"/>
    <col min="6914" max="6914" width="56.5" style="68" customWidth="1"/>
    <col min="6915" max="7168" width="9" style="68"/>
    <col min="7169" max="7169" width="16.25" style="68" customWidth="1"/>
    <col min="7170" max="7170" width="56.5" style="68" customWidth="1"/>
    <col min="7171" max="7424" width="9" style="68"/>
    <col min="7425" max="7425" width="16.25" style="68" customWidth="1"/>
    <col min="7426" max="7426" width="56.5" style="68" customWidth="1"/>
    <col min="7427" max="7680" width="9" style="68"/>
    <col min="7681" max="7681" width="16.25" style="68" customWidth="1"/>
    <col min="7682" max="7682" width="56.5" style="68" customWidth="1"/>
    <col min="7683" max="7936" width="9" style="68"/>
    <col min="7937" max="7937" width="16.25" style="68" customWidth="1"/>
    <col min="7938" max="7938" width="56.5" style="68" customWidth="1"/>
    <col min="7939" max="8192" width="9" style="68"/>
    <col min="8193" max="8193" width="16.25" style="68" customWidth="1"/>
    <col min="8194" max="8194" width="56.5" style="68" customWidth="1"/>
    <col min="8195" max="8448" width="9" style="68"/>
    <col min="8449" max="8449" width="16.25" style="68" customWidth="1"/>
    <col min="8450" max="8450" width="56.5" style="68" customWidth="1"/>
    <col min="8451" max="8704" width="9" style="68"/>
    <col min="8705" max="8705" width="16.25" style="68" customWidth="1"/>
    <col min="8706" max="8706" width="56.5" style="68" customWidth="1"/>
    <col min="8707" max="8960" width="9" style="68"/>
    <col min="8961" max="8961" width="16.25" style="68" customWidth="1"/>
    <col min="8962" max="8962" width="56.5" style="68" customWidth="1"/>
    <col min="8963" max="9216" width="9" style="68"/>
    <col min="9217" max="9217" width="16.25" style="68" customWidth="1"/>
    <col min="9218" max="9218" width="56.5" style="68" customWidth="1"/>
    <col min="9219" max="9472" width="9" style="68"/>
    <col min="9473" max="9473" width="16.25" style="68" customWidth="1"/>
    <col min="9474" max="9474" width="56.5" style="68" customWidth="1"/>
    <col min="9475" max="9728" width="9" style="68"/>
    <col min="9729" max="9729" width="16.25" style="68" customWidth="1"/>
    <col min="9730" max="9730" width="56.5" style="68" customWidth="1"/>
    <col min="9731" max="9984" width="9" style="68"/>
    <col min="9985" max="9985" width="16.25" style="68" customWidth="1"/>
    <col min="9986" max="9986" width="56.5" style="68" customWidth="1"/>
    <col min="9987" max="10240" width="9" style="68"/>
    <col min="10241" max="10241" width="16.25" style="68" customWidth="1"/>
    <col min="10242" max="10242" width="56.5" style="68" customWidth="1"/>
    <col min="10243" max="10496" width="9" style="68"/>
    <col min="10497" max="10497" width="16.25" style="68" customWidth="1"/>
    <col min="10498" max="10498" width="56.5" style="68" customWidth="1"/>
    <col min="10499" max="10752" width="9" style="68"/>
    <col min="10753" max="10753" width="16.25" style="68" customWidth="1"/>
    <col min="10754" max="10754" width="56.5" style="68" customWidth="1"/>
    <col min="10755" max="11008" width="9" style="68"/>
    <col min="11009" max="11009" width="16.25" style="68" customWidth="1"/>
    <col min="11010" max="11010" width="56.5" style="68" customWidth="1"/>
    <col min="11011" max="11264" width="9" style="68"/>
    <col min="11265" max="11265" width="16.25" style="68" customWidth="1"/>
    <col min="11266" max="11266" width="56.5" style="68" customWidth="1"/>
    <col min="11267" max="11520" width="9" style="68"/>
    <col min="11521" max="11521" width="16.25" style="68" customWidth="1"/>
    <col min="11522" max="11522" width="56.5" style="68" customWidth="1"/>
    <col min="11523" max="11776" width="9" style="68"/>
    <col min="11777" max="11777" width="16.25" style="68" customWidth="1"/>
    <col min="11778" max="11778" width="56.5" style="68" customWidth="1"/>
    <col min="11779" max="12032" width="9" style="68"/>
    <col min="12033" max="12033" width="16.25" style="68" customWidth="1"/>
    <col min="12034" max="12034" width="56.5" style="68" customWidth="1"/>
    <col min="12035" max="12288" width="9" style="68"/>
    <col min="12289" max="12289" width="16.25" style="68" customWidth="1"/>
    <col min="12290" max="12290" width="56.5" style="68" customWidth="1"/>
    <col min="12291" max="12544" width="9" style="68"/>
    <col min="12545" max="12545" width="16.25" style="68" customWidth="1"/>
    <col min="12546" max="12546" width="56.5" style="68" customWidth="1"/>
    <col min="12547" max="12800" width="9" style="68"/>
    <col min="12801" max="12801" width="16.25" style="68" customWidth="1"/>
    <col min="12802" max="12802" width="56.5" style="68" customWidth="1"/>
    <col min="12803" max="13056" width="9" style="68"/>
    <col min="13057" max="13057" width="16.25" style="68" customWidth="1"/>
    <col min="13058" max="13058" width="56.5" style="68" customWidth="1"/>
    <col min="13059" max="13312" width="9" style="68"/>
    <col min="13313" max="13313" width="16.25" style="68" customWidth="1"/>
    <col min="13314" max="13314" width="56.5" style="68" customWidth="1"/>
    <col min="13315" max="13568" width="9" style="68"/>
    <col min="13569" max="13569" width="16.25" style="68" customWidth="1"/>
    <col min="13570" max="13570" width="56.5" style="68" customWidth="1"/>
    <col min="13571" max="13824" width="9" style="68"/>
    <col min="13825" max="13825" width="16.25" style="68" customWidth="1"/>
    <col min="13826" max="13826" width="56.5" style="68" customWidth="1"/>
    <col min="13827" max="14080" width="9" style="68"/>
    <col min="14081" max="14081" width="16.25" style="68" customWidth="1"/>
    <col min="14082" max="14082" width="56.5" style="68" customWidth="1"/>
    <col min="14083" max="14336" width="9" style="68"/>
    <col min="14337" max="14337" width="16.25" style="68" customWidth="1"/>
    <col min="14338" max="14338" width="56.5" style="68" customWidth="1"/>
    <col min="14339" max="14592" width="9" style="68"/>
    <col min="14593" max="14593" width="16.25" style="68" customWidth="1"/>
    <col min="14594" max="14594" width="56.5" style="68" customWidth="1"/>
    <col min="14595" max="14848" width="9" style="68"/>
    <col min="14849" max="14849" width="16.25" style="68" customWidth="1"/>
    <col min="14850" max="14850" width="56.5" style="68" customWidth="1"/>
    <col min="14851" max="15104" width="9" style="68"/>
    <col min="15105" max="15105" width="16.25" style="68" customWidth="1"/>
    <col min="15106" max="15106" width="56.5" style="68" customWidth="1"/>
    <col min="15107" max="15360" width="9" style="68"/>
    <col min="15361" max="15361" width="16.25" style="68" customWidth="1"/>
    <col min="15362" max="15362" width="56.5" style="68" customWidth="1"/>
    <col min="15363" max="15616" width="9" style="68"/>
    <col min="15617" max="15617" width="16.25" style="68" customWidth="1"/>
    <col min="15618" max="15618" width="56.5" style="68" customWidth="1"/>
    <col min="15619" max="15872" width="9" style="68"/>
    <col min="15873" max="15873" width="16.25" style="68" customWidth="1"/>
    <col min="15874" max="15874" width="56.5" style="68" customWidth="1"/>
    <col min="15875" max="16128" width="9" style="68"/>
    <col min="16129" max="16129" width="16.25" style="68" customWidth="1"/>
    <col min="16130" max="16130" width="56.5" style="68" customWidth="1"/>
    <col min="16131" max="16384" width="9" style="68"/>
  </cols>
  <sheetData>
    <row r="1" spans="1:2" ht="24.75" customHeight="1">
      <c r="A1" s="668" t="s">
        <v>63</v>
      </c>
      <c r="B1" s="668"/>
    </row>
    <row r="2" spans="1:2" ht="18" customHeight="1">
      <c r="A2" s="577" t="s">
        <v>94</v>
      </c>
      <c r="B2" s="578"/>
    </row>
    <row r="3" spans="1:2" ht="18" customHeight="1">
      <c r="A3" s="579" t="s">
        <v>95</v>
      </c>
      <c r="B3" s="578"/>
    </row>
    <row r="4" spans="1:2" ht="18" customHeight="1">
      <c r="A4" s="579" t="s">
        <v>96</v>
      </c>
      <c r="B4" s="578"/>
    </row>
    <row r="5" spans="1:2" ht="18" customHeight="1">
      <c r="A5" s="577" t="s">
        <v>97</v>
      </c>
      <c r="B5" s="578"/>
    </row>
    <row r="6" spans="1:2" ht="18" customHeight="1">
      <c r="A6" s="577" t="s">
        <v>98</v>
      </c>
      <c r="B6" s="578"/>
    </row>
    <row r="7" spans="1:2" ht="18" customHeight="1">
      <c r="A7" s="577" t="s">
        <v>99</v>
      </c>
      <c r="B7" s="578"/>
    </row>
    <row r="8" spans="1:2" ht="18" customHeight="1">
      <c r="A8" s="577" t="s">
        <v>100</v>
      </c>
      <c r="B8" s="578"/>
    </row>
    <row r="9" spans="1:2" ht="18" customHeight="1">
      <c r="A9" s="577" t="s">
        <v>101</v>
      </c>
      <c r="B9" s="578"/>
    </row>
    <row r="10" spans="1:2" ht="18" customHeight="1">
      <c r="A10" s="577" t="s">
        <v>102</v>
      </c>
      <c r="B10" s="578"/>
    </row>
    <row r="11" spans="1:2" ht="18" customHeight="1">
      <c r="A11" s="577" t="s">
        <v>103</v>
      </c>
      <c r="B11" s="578"/>
    </row>
    <row r="12" spans="1:2" ht="18" customHeight="1">
      <c r="A12" s="577" t="s">
        <v>104</v>
      </c>
      <c r="B12" s="578"/>
    </row>
    <row r="13" spans="1:2" ht="18" customHeight="1">
      <c r="A13" s="577" t="s">
        <v>105</v>
      </c>
      <c r="B13" s="578"/>
    </row>
    <row r="14" spans="1:2" ht="18" customHeight="1">
      <c r="A14" s="577" t="s">
        <v>106</v>
      </c>
      <c r="B14" s="578"/>
    </row>
    <row r="15" spans="1:2" ht="18" customHeight="1">
      <c r="A15" s="577" t="s">
        <v>107</v>
      </c>
      <c r="B15" s="578"/>
    </row>
    <row r="16" spans="1:2" ht="18" customHeight="1">
      <c r="A16" s="577" t="s">
        <v>108</v>
      </c>
      <c r="B16" s="578"/>
    </row>
    <row r="17" spans="1:2" ht="18" customHeight="1">
      <c r="A17" s="577" t="s">
        <v>109</v>
      </c>
      <c r="B17" s="580"/>
    </row>
    <row r="18" spans="1:2" ht="18" customHeight="1">
      <c r="A18" s="577" t="s">
        <v>110</v>
      </c>
      <c r="B18" s="580"/>
    </row>
    <row r="21" spans="1:2">
      <c r="A21" s="581" t="s">
        <v>111</v>
      </c>
    </row>
  </sheetData>
  <mergeCells count="1">
    <mergeCell ref="A1:B1"/>
  </mergeCells>
  <phoneticPr fontId="156" type="noConversion"/>
  <dataValidations count="3">
    <dataValidation type="list" allowBlank="1" showInputMessage="1" showErrorMessage="1" sqref="B9 IX9 ST9 ACP9 AML9 AWH9 BGD9 BPZ9 BZV9 CJR9 CTN9 DDJ9 DNF9 DXB9 EGX9 EQT9 FAP9 FKL9 FUH9 GED9 GNZ9 GXV9 HHR9 HRN9 IBJ9 ILF9 IVB9 JEX9 JOT9 JYP9 KIL9 KSH9 LCD9 LLZ9 LVV9 MFR9 MPN9 MZJ9 NJF9 NTB9 OCX9 OMT9 OWP9 PGL9 PQH9 QAD9 QJZ9 QTV9 RDR9 RNN9 RXJ9 SHF9 SRB9 TAX9 TKT9 TUP9 UEL9 UOH9 UYD9 VHZ9 VRV9 WBR9 WLN9 WVJ9 B65545 IX65545 ST65545 ACP65545 AML65545 AWH65545 BGD65545 BPZ65545 BZV65545 CJR65545 CTN65545 DDJ65545 DNF65545 DXB65545 EGX65545 EQT65545 FAP65545 FKL65545 FUH65545 GED65545 GNZ65545 GXV65545 HHR65545 HRN65545 IBJ65545 ILF65545 IVB65545 JEX65545 JOT65545 JYP65545 KIL65545 KSH65545 LCD65545 LLZ65545 LVV65545 MFR65545 MPN65545 MZJ65545 NJF65545 NTB65545 OCX65545 OMT65545 OWP65545 PGL65545 PQH65545 QAD65545 QJZ65545 QTV65545 RDR65545 RNN65545 RXJ65545 SHF65545 SRB65545 TAX65545 TKT65545 TUP65545 UEL65545 UOH65545 UYD65545 VHZ65545 VRV65545 WBR65545 WLN65545 WVJ65545 B131081 IX131081 ST131081 ACP131081 AML131081 AWH131081 BGD131081 BPZ131081 BZV131081 CJR131081 CTN131081 DDJ131081 DNF131081 DXB131081 EGX131081 EQT131081 FAP131081 FKL131081 FUH131081 GED131081 GNZ131081 GXV131081 HHR131081 HRN131081 IBJ131081 ILF131081 IVB131081 JEX131081 JOT131081 JYP131081 KIL131081 KSH131081 LCD131081 LLZ131081 LVV131081 MFR131081 MPN131081 MZJ131081 NJF131081 NTB131081 OCX131081 OMT131081 OWP131081 PGL131081 PQH131081 QAD131081 QJZ131081 QTV131081 RDR131081 RNN131081 RXJ131081 SHF131081 SRB131081 TAX131081 TKT131081 TUP131081 UEL131081 UOH131081 UYD131081 VHZ131081 VRV131081 WBR131081 WLN131081 WVJ131081 B196617 IX196617 ST196617 ACP196617 AML196617 AWH196617 BGD196617 BPZ196617 BZV196617 CJR196617 CTN196617 DDJ196617 DNF196617 DXB196617 EGX196617 EQT196617 FAP196617 FKL196617 FUH196617 GED196617 GNZ196617 GXV196617 HHR196617 HRN196617 IBJ196617 ILF196617 IVB196617 JEX196617 JOT196617 JYP196617 KIL196617 KSH196617 LCD196617 LLZ196617 LVV196617 MFR196617 MPN196617 MZJ196617 NJF196617 NTB196617 OCX196617 OMT196617 OWP196617 PGL196617 PQH196617 QAD196617 QJZ196617 QTV196617 RDR196617 RNN196617 RXJ196617 SHF196617 SRB196617 TAX196617 TKT196617 TUP196617 UEL196617 UOH196617 UYD196617 VHZ196617 VRV196617 WBR196617 WLN196617 WVJ196617 B262153 IX262153 ST262153 ACP262153 AML262153 AWH262153 BGD262153 BPZ262153 BZV262153 CJR262153 CTN262153 DDJ262153 DNF262153 DXB262153 EGX262153 EQT262153 FAP262153 FKL262153 FUH262153 GED262153 GNZ262153 GXV262153 HHR262153 HRN262153 IBJ262153 ILF262153 IVB262153 JEX262153 JOT262153 JYP262153 KIL262153 KSH262153 LCD262153 LLZ262153 LVV262153 MFR262153 MPN262153 MZJ262153 NJF262153 NTB262153 OCX262153 OMT262153 OWP262153 PGL262153 PQH262153 QAD262153 QJZ262153 QTV262153 RDR262153 RNN262153 RXJ262153 SHF262153 SRB262153 TAX262153 TKT262153 TUP262153 UEL262153 UOH262153 UYD262153 VHZ262153 VRV262153 WBR262153 WLN262153 WVJ262153 B327689 IX327689 ST327689 ACP327689 AML327689 AWH327689 BGD327689 BPZ327689 BZV327689 CJR327689 CTN327689 DDJ327689 DNF327689 DXB327689 EGX327689 EQT327689 FAP327689 FKL327689 FUH327689 GED327689 GNZ327689 GXV327689 HHR327689 HRN327689 IBJ327689 ILF327689 IVB327689 JEX327689 JOT327689 JYP327689 KIL327689 KSH327689 LCD327689 LLZ327689 LVV327689 MFR327689 MPN327689 MZJ327689 NJF327689 NTB327689 OCX327689 OMT327689 OWP327689 PGL327689 PQH327689 QAD327689 QJZ327689 QTV327689 RDR327689 RNN327689 RXJ327689 SHF327689 SRB327689 TAX327689 TKT327689 TUP327689 UEL327689 UOH327689 UYD327689 VHZ327689 VRV327689 WBR327689 WLN327689 WVJ327689 B393225 IX393225 ST393225 ACP393225 AML393225 AWH393225 BGD393225 BPZ393225 BZV393225 CJR393225 CTN393225 DDJ393225 DNF393225 DXB393225 EGX393225 EQT393225 FAP393225 FKL393225 FUH393225 GED393225 GNZ393225 GXV393225 HHR393225 HRN393225 IBJ393225 ILF393225 IVB393225 JEX393225 JOT393225 JYP393225 KIL393225 KSH393225 LCD393225 LLZ393225 LVV393225 MFR393225 MPN393225 MZJ393225 NJF393225 NTB393225 OCX393225 OMT393225 OWP393225 PGL393225 PQH393225 QAD393225 QJZ393225 QTV393225 RDR393225 RNN393225 RXJ393225 SHF393225 SRB393225 TAX393225 TKT393225 TUP393225 UEL393225 UOH393225 UYD393225 VHZ393225 VRV393225 WBR393225 WLN393225 WVJ393225 B458761 IX458761 ST458761 ACP458761 AML458761 AWH458761 BGD458761 BPZ458761 BZV458761 CJR458761 CTN458761 DDJ458761 DNF458761 DXB458761 EGX458761 EQT458761 FAP458761 FKL458761 FUH458761 GED458761 GNZ458761 GXV458761 HHR458761 HRN458761 IBJ458761 ILF458761 IVB458761 JEX458761 JOT458761 JYP458761 KIL458761 KSH458761 LCD458761 LLZ458761 LVV458761 MFR458761 MPN458761 MZJ458761 NJF458761 NTB458761 OCX458761 OMT458761 OWP458761 PGL458761 PQH458761 QAD458761 QJZ458761 QTV458761 RDR458761 RNN458761 RXJ458761 SHF458761 SRB458761 TAX458761 TKT458761 TUP458761 UEL458761 UOH458761 UYD458761 VHZ458761 VRV458761 WBR458761 WLN458761 WVJ458761 B524297 IX524297 ST524297 ACP524297 AML524297 AWH524297 BGD524297 BPZ524297 BZV524297 CJR524297 CTN524297 DDJ524297 DNF524297 DXB524297 EGX524297 EQT524297 FAP524297 FKL524297 FUH524297 GED524297 GNZ524297 GXV524297 HHR524297 HRN524297 IBJ524297 ILF524297 IVB524297 JEX524297 JOT524297 JYP524297 KIL524297 KSH524297 LCD524297 LLZ524297 LVV524297 MFR524297 MPN524297 MZJ524297 NJF524297 NTB524297 OCX524297 OMT524297 OWP524297 PGL524297 PQH524297 QAD524297 QJZ524297 QTV524297 RDR524297 RNN524297 RXJ524297 SHF524297 SRB524297 TAX524297 TKT524297 TUP524297 UEL524297 UOH524297 UYD524297 VHZ524297 VRV524297 WBR524297 WLN524297 WVJ524297 B589833 IX589833 ST589833 ACP589833 AML589833 AWH589833 BGD589833 BPZ589833 BZV589833 CJR589833 CTN589833 DDJ589833 DNF589833 DXB589833 EGX589833 EQT589833 FAP589833 FKL589833 FUH589833 GED589833 GNZ589833 GXV589833 HHR589833 HRN589833 IBJ589833 ILF589833 IVB589833 JEX589833 JOT589833 JYP589833 KIL589833 KSH589833 LCD589833 LLZ589833 LVV589833 MFR589833 MPN589833 MZJ589833 NJF589833 NTB589833 OCX589833 OMT589833 OWP589833 PGL589833 PQH589833 QAD589833 QJZ589833 QTV589833 RDR589833 RNN589833 RXJ589833 SHF589833 SRB589833 TAX589833 TKT589833 TUP589833 UEL589833 UOH589833 UYD589833 VHZ589833 VRV589833 WBR589833 WLN589833 WVJ589833 B655369 IX655369 ST655369 ACP655369 AML655369 AWH655369 BGD655369 BPZ655369 BZV655369 CJR655369 CTN655369 DDJ655369 DNF655369 DXB655369 EGX655369 EQT655369 FAP655369 FKL655369 FUH655369 GED655369 GNZ655369 GXV655369 HHR655369 HRN655369 IBJ655369 ILF655369 IVB655369 JEX655369 JOT655369 JYP655369 KIL655369 KSH655369 LCD655369 LLZ655369 LVV655369 MFR655369 MPN655369 MZJ655369 NJF655369 NTB655369 OCX655369 OMT655369 OWP655369 PGL655369 PQH655369 QAD655369 QJZ655369 QTV655369 RDR655369 RNN655369 RXJ655369 SHF655369 SRB655369 TAX655369 TKT655369 TUP655369 UEL655369 UOH655369 UYD655369 VHZ655369 VRV655369 WBR655369 WLN655369 WVJ655369 B720905 IX720905 ST720905 ACP720905 AML720905 AWH720905 BGD720905 BPZ720905 BZV720905 CJR720905 CTN720905 DDJ720905 DNF720905 DXB720905 EGX720905 EQT720905 FAP720905 FKL720905 FUH720905 GED720905 GNZ720905 GXV720905 HHR720905 HRN720905 IBJ720905 ILF720905 IVB720905 JEX720905 JOT720905 JYP720905 KIL720905 KSH720905 LCD720905 LLZ720905 LVV720905 MFR720905 MPN720905 MZJ720905 NJF720905 NTB720905 OCX720905 OMT720905 OWP720905 PGL720905 PQH720905 QAD720905 QJZ720905 QTV720905 RDR720905 RNN720905 RXJ720905 SHF720905 SRB720905 TAX720905 TKT720905 TUP720905 UEL720905 UOH720905 UYD720905 VHZ720905 VRV720905 WBR720905 WLN720905 WVJ720905 B786441 IX786441 ST786441 ACP786441 AML786441 AWH786441 BGD786441 BPZ786441 BZV786441 CJR786441 CTN786441 DDJ786441 DNF786441 DXB786441 EGX786441 EQT786441 FAP786441 FKL786441 FUH786441 GED786441 GNZ786441 GXV786441 HHR786441 HRN786441 IBJ786441 ILF786441 IVB786441 JEX786441 JOT786441 JYP786441 KIL786441 KSH786441 LCD786441 LLZ786441 LVV786441 MFR786441 MPN786441 MZJ786441 NJF786441 NTB786441 OCX786441 OMT786441 OWP786441 PGL786441 PQH786441 QAD786441 QJZ786441 QTV786441 RDR786441 RNN786441 RXJ786441 SHF786441 SRB786441 TAX786441 TKT786441 TUP786441 UEL786441 UOH786441 UYD786441 VHZ786441 VRV786441 WBR786441 WLN786441 WVJ786441 B851977 IX851977 ST851977 ACP851977 AML851977 AWH851977 BGD851977 BPZ851977 BZV851977 CJR851977 CTN851977 DDJ851977 DNF851977 DXB851977 EGX851977 EQT851977 FAP851977 FKL851977 FUH851977 GED851977 GNZ851977 GXV851977 HHR851977 HRN851977 IBJ851977 ILF851977 IVB851977 JEX851977 JOT851977 JYP851977 KIL851977 KSH851977 LCD851977 LLZ851977 LVV851977 MFR851977 MPN851977 MZJ851977 NJF851977 NTB851977 OCX851977 OMT851977 OWP851977 PGL851977 PQH851977 QAD851977 QJZ851977 QTV851977 RDR851977 RNN851977 RXJ851977 SHF851977 SRB851977 TAX851977 TKT851977 TUP851977 UEL851977 UOH851977 UYD851977 VHZ851977 VRV851977 WBR851977 WLN851977 WVJ851977 B917513 IX917513 ST917513 ACP917513 AML917513 AWH917513 BGD917513 BPZ917513 BZV917513 CJR917513 CTN917513 DDJ917513 DNF917513 DXB917513 EGX917513 EQT917513 FAP917513 FKL917513 FUH917513 GED917513 GNZ917513 GXV917513 HHR917513 HRN917513 IBJ917513 ILF917513 IVB917513 JEX917513 JOT917513 JYP917513 KIL917513 KSH917513 LCD917513 LLZ917513 LVV917513 MFR917513 MPN917513 MZJ917513 NJF917513 NTB917513 OCX917513 OMT917513 OWP917513 PGL917513 PQH917513 QAD917513 QJZ917513 QTV917513 RDR917513 RNN917513 RXJ917513 SHF917513 SRB917513 TAX917513 TKT917513 TUP917513 UEL917513 UOH917513 UYD917513 VHZ917513 VRV917513 WBR917513 WLN917513 WVJ917513 B983049 IX983049 ST983049 ACP983049 AML983049 AWH983049 BGD983049 BPZ983049 BZV983049 CJR983049 CTN983049 DDJ983049 DNF983049 DXB983049 EGX983049 EQT983049 FAP983049 FKL983049 FUH983049 GED983049 GNZ983049 GXV983049 HHR983049 HRN983049 IBJ983049 ILF983049 IVB983049 JEX983049 JOT983049 JYP983049 KIL983049 KSH983049 LCD983049 LLZ983049 LVV983049 MFR983049 MPN983049 MZJ983049 NJF983049 NTB983049 OCX983049 OMT983049 OWP983049 PGL983049 PQH983049 QAD983049 QJZ983049 QTV983049 RDR983049 RNN983049 RXJ983049 SHF983049 SRB983049 TAX983049 TKT983049 TUP983049 UEL983049 UOH983049 UYD983049 VHZ983049 VRV983049 WBR983049 WLN983049 WVJ983049">
      <formula1>"OA,网站,管理系统,其他,"</formula1>
    </dataValidation>
    <dataValidation type="list" allowBlank="1" showInputMessage="1" showErrorMessage="1" sqref="B3 IX3 ST3 ACP3 AML3 AWH3 BGD3 BPZ3 BZV3 CJR3 CTN3 DDJ3 DNF3 DXB3 EGX3 EQT3 FAP3 FKL3 FUH3 GED3 GNZ3 GXV3 HHR3 HRN3 IBJ3 ILF3 IVB3 JEX3 JOT3 JYP3 KIL3 KSH3 LCD3 LLZ3 LVV3 MFR3 MPN3 MZJ3 NJF3 NTB3 OCX3 OMT3 OWP3 PGL3 PQH3 QAD3 QJZ3 QTV3 RDR3 RNN3 RXJ3 SHF3 SRB3 TAX3 TKT3 TUP3 UEL3 UOH3 UYD3 VHZ3 VRV3 WBR3 WLN3 WVJ3 B65539 IX65539 ST65539 ACP65539 AML65539 AWH65539 BGD65539 BPZ65539 BZV65539 CJR65539 CTN65539 DDJ65539 DNF65539 DXB65539 EGX65539 EQT65539 FAP65539 FKL65539 FUH65539 GED65539 GNZ65539 GXV65539 HHR65539 HRN65539 IBJ65539 ILF65539 IVB65539 JEX65539 JOT65539 JYP65539 KIL65539 KSH65539 LCD65539 LLZ65539 LVV65539 MFR65539 MPN65539 MZJ65539 NJF65539 NTB65539 OCX65539 OMT65539 OWP65539 PGL65539 PQH65539 QAD65539 QJZ65539 QTV65539 RDR65539 RNN65539 RXJ65539 SHF65539 SRB65539 TAX65539 TKT65539 TUP65539 UEL65539 UOH65539 UYD65539 VHZ65539 VRV65539 WBR65539 WLN65539 WVJ65539 B131075 IX131075 ST131075 ACP131075 AML131075 AWH131075 BGD131075 BPZ131075 BZV131075 CJR131075 CTN131075 DDJ131075 DNF131075 DXB131075 EGX131075 EQT131075 FAP131075 FKL131075 FUH131075 GED131075 GNZ131075 GXV131075 HHR131075 HRN131075 IBJ131075 ILF131075 IVB131075 JEX131075 JOT131075 JYP131075 KIL131075 KSH131075 LCD131075 LLZ131075 LVV131075 MFR131075 MPN131075 MZJ131075 NJF131075 NTB131075 OCX131075 OMT131075 OWP131075 PGL131075 PQH131075 QAD131075 QJZ131075 QTV131075 RDR131075 RNN131075 RXJ131075 SHF131075 SRB131075 TAX131075 TKT131075 TUP131075 UEL131075 UOH131075 UYD131075 VHZ131075 VRV131075 WBR131075 WLN131075 WVJ131075 B196611 IX196611 ST196611 ACP196611 AML196611 AWH196611 BGD196611 BPZ196611 BZV196611 CJR196611 CTN196611 DDJ196611 DNF196611 DXB196611 EGX196611 EQT196611 FAP196611 FKL196611 FUH196611 GED196611 GNZ196611 GXV196611 HHR196611 HRN196611 IBJ196611 ILF196611 IVB196611 JEX196611 JOT196611 JYP196611 KIL196611 KSH196611 LCD196611 LLZ196611 LVV196611 MFR196611 MPN196611 MZJ196611 NJF196611 NTB196611 OCX196611 OMT196611 OWP196611 PGL196611 PQH196611 QAD196611 QJZ196611 QTV196611 RDR196611 RNN196611 RXJ196611 SHF196611 SRB196611 TAX196611 TKT196611 TUP196611 UEL196611 UOH196611 UYD196611 VHZ196611 VRV196611 WBR196611 WLN196611 WVJ196611 B262147 IX262147 ST262147 ACP262147 AML262147 AWH262147 BGD262147 BPZ262147 BZV262147 CJR262147 CTN262147 DDJ262147 DNF262147 DXB262147 EGX262147 EQT262147 FAP262147 FKL262147 FUH262147 GED262147 GNZ262147 GXV262147 HHR262147 HRN262147 IBJ262147 ILF262147 IVB262147 JEX262147 JOT262147 JYP262147 KIL262147 KSH262147 LCD262147 LLZ262147 LVV262147 MFR262147 MPN262147 MZJ262147 NJF262147 NTB262147 OCX262147 OMT262147 OWP262147 PGL262147 PQH262147 QAD262147 QJZ262147 QTV262147 RDR262147 RNN262147 RXJ262147 SHF262147 SRB262147 TAX262147 TKT262147 TUP262147 UEL262147 UOH262147 UYD262147 VHZ262147 VRV262147 WBR262147 WLN262147 WVJ262147 B327683 IX327683 ST327683 ACP327683 AML327683 AWH327683 BGD327683 BPZ327683 BZV327683 CJR327683 CTN327683 DDJ327683 DNF327683 DXB327683 EGX327683 EQT327683 FAP327683 FKL327683 FUH327683 GED327683 GNZ327683 GXV327683 HHR327683 HRN327683 IBJ327683 ILF327683 IVB327683 JEX327683 JOT327683 JYP327683 KIL327683 KSH327683 LCD327683 LLZ327683 LVV327683 MFR327683 MPN327683 MZJ327683 NJF327683 NTB327683 OCX327683 OMT327683 OWP327683 PGL327683 PQH327683 QAD327683 QJZ327683 QTV327683 RDR327683 RNN327683 RXJ327683 SHF327683 SRB327683 TAX327683 TKT327683 TUP327683 UEL327683 UOH327683 UYD327683 VHZ327683 VRV327683 WBR327683 WLN327683 WVJ327683 B393219 IX393219 ST393219 ACP393219 AML393219 AWH393219 BGD393219 BPZ393219 BZV393219 CJR393219 CTN393219 DDJ393219 DNF393219 DXB393219 EGX393219 EQT393219 FAP393219 FKL393219 FUH393219 GED393219 GNZ393219 GXV393219 HHR393219 HRN393219 IBJ393219 ILF393219 IVB393219 JEX393219 JOT393219 JYP393219 KIL393219 KSH393219 LCD393219 LLZ393219 LVV393219 MFR393219 MPN393219 MZJ393219 NJF393219 NTB393219 OCX393219 OMT393219 OWP393219 PGL393219 PQH393219 QAD393219 QJZ393219 QTV393219 RDR393219 RNN393219 RXJ393219 SHF393219 SRB393219 TAX393219 TKT393219 TUP393219 UEL393219 UOH393219 UYD393219 VHZ393219 VRV393219 WBR393219 WLN393219 WVJ393219 B458755 IX458755 ST458755 ACP458755 AML458755 AWH458755 BGD458755 BPZ458755 BZV458755 CJR458755 CTN458755 DDJ458755 DNF458755 DXB458755 EGX458755 EQT458755 FAP458755 FKL458755 FUH458755 GED458755 GNZ458755 GXV458755 HHR458755 HRN458755 IBJ458755 ILF458755 IVB458755 JEX458755 JOT458755 JYP458755 KIL458755 KSH458755 LCD458755 LLZ458755 LVV458755 MFR458755 MPN458755 MZJ458755 NJF458755 NTB458755 OCX458755 OMT458755 OWP458755 PGL458755 PQH458755 QAD458755 QJZ458755 QTV458755 RDR458755 RNN458755 RXJ458755 SHF458755 SRB458755 TAX458755 TKT458755 TUP458755 UEL458755 UOH458755 UYD458755 VHZ458755 VRV458755 WBR458755 WLN458755 WVJ458755 B524291 IX524291 ST524291 ACP524291 AML524291 AWH524291 BGD524291 BPZ524291 BZV524291 CJR524291 CTN524291 DDJ524291 DNF524291 DXB524291 EGX524291 EQT524291 FAP524291 FKL524291 FUH524291 GED524291 GNZ524291 GXV524291 HHR524291 HRN524291 IBJ524291 ILF524291 IVB524291 JEX524291 JOT524291 JYP524291 KIL524291 KSH524291 LCD524291 LLZ524291 LVV524291 MFR524291 MPN524291 MZJ524291 NJF524291 NTB524291 OCX524291 OMT524291 OWP524291 PGL524291 PQH524291 QAD524291 QJZ524291 QTV524291 RDR524291 RNN524291 RXJ524291 SHF524291 SRB524291 TAX524291 TKT524291 TUP524291 UEL524291 UOH524291 UYD524291 VHZ524291 VRV524291 WBR524291 WLN524291 WVJ524291 B589827 IX589827 ST589827 ACP589827 AML589827 AWH589827 BGD589827 BPZ589827 BZV589827 CJR589827 CTN589827 DDJ589827 DNF589827 DXB589827 EGX589827 EQT589827 FAP589827 FKL589827 FUH589827 GED589827 GNZ589827 GXV589827 HHR589827 HRN589827 IBJ589827 ILF589827 IVB589827 JEX589827 JOT589827 JYP589827 KIL589827 KSH589827 LCD589827 LLZ589827 LVV589827 MFR589827 MPN589827 MZJ589827 NJF589827 NTB589827 OCX589827 OMT589827 OWP589827 PGL589827 PQH589827 QAD589827 QJZ589827 QTV589827 RDR589827 RNN589827 RXJ589827 SHF589827 SRB589827 TAX589827 TKT589827 TUP589827 UEL589827 UOH589827 UYD589827 VHZ589827 VRV589827 WBR589827 WLN589827 WVJ589827 B655363 IX655363 ST655363 ACP655363 AML655363 AWH655363 BGD655363 BPZ655363 BZV655363 CJR655363 CTN655363 DDJ655363 DNF655363 DXB655363 EGX655363 EQT655363 FAP655363 FKL655363 FUH655363 GED655363 GNZ655363 GXV655363 HHR655363 HRN655363 IBJ655363 ILF655363 IVB655363 JEX655363 JOT655363 JYP655363 KIL655363 KSH655363 LCD655363 LLZ655363 LVV655363 MFR655363 MPN655363 MZJ655363 NJF655363 NTB655363 OCX655363 OMT655363 OWP655363 PGL655363 PQH655363 QAD655363 QJZ655363 QTV655363 RDR655363 RNN655363 RXJ655363 SHF655363 SRB655363 TAX655363 TKT655363 TUP655363 UEL655363 UOH655363 UYD655363 VHZ655363 VRV655363 WBR655363 WLN655363 WVJ655363 B720899 IX720899 ST720899 ACP720899 AML720899 AWH720899 BGD720899 BPZ720899 BZV720899 CJR720899 CTN720899 DDJ720899 DNF720899 DXB720899 EGX720899 EQT720899 FAP720899 FKL720899 FUH720899 GED720899 GNZ720899 GXV720899 HHR720899 HRN720899 IBJ720899 ILF720899 IVB720899 JEX720899 JOT720899 JYP720899 KIL720899 KSH720899 LCD720899 LLZ720899 LVV720899 MFR720899 MPN720899 MZJ720899 NJF720899 NTB720899 OCX720899 OMT720899 OWP720899 PGL720899 PQH720899 QAD720899 QJZ720899 QTV720899 RDR720899 RNN720899 RXJ720899 SHF720899 SRB720899 TAX720899 TKT720899 TUP720899 UEL720899 UOH720899 UYD720899 VHZ720899 VRV720899 WBR720899 WLN720899 WVJ720899 B786435 IX786435 ST786435 ACP786435 AML786435 AWH786435 BGD786435 BPZ786435 BZV786435 CJR786435 CTN786435 DDJ786435 DNF786435 DXB786435 EGX786435 EQT786435 FAP786435 FKL786435 FUH786435 GED786435 GNZ786435 GXV786435 HHR786435 HRN786435 IBJ786435 ILF786435 IVB786435 JEX786435 JOT786435 JYP786435 KIL786435 KSH786435 LCD786435 LLZ786435 LVV786435 MFR786435 MPN786435 MZJ786435 NJF786435 NTB786435 OCX786435 OMT786435 OWP786435 PGL786435 PQH786435 QAD786435 QJZ786435 QTV786435 RDR786435 RNN786435 RXJ786435 SHF786435 SRB786435 TAX786435 TKT786435 TUP786435 UEL786435 UOH786435 UYD786435 VHZ786435 VRV786435 WBR786435 WLN786435 WVJ786435 B851971 IX851971 ST851971 ACP851971 AML851971 AWH851971 BGD851971 BPZ851971 BZV851971 CJR851971 CTN851971 DDJ851971 DNF851971 DXB851971 EGX851971 EQT851971 FAP851971 FKL851971 FUH851971 GED851971 GNZ851971 GXV851971 HHR851971 HRN851971 IBJ851971 ILF851971 IVB851971 JEX851971 JOT851971 JYP851971 KIL851971 KSH851971 LCD851971 LLZ851971 LVV851971 MFR851971 MPN851971 MZJ851971 NJF851971 NTB851971 OCX851971 OMT851971 OWP851971 PGL851971 PQH851971 QAD851971 QJZ851971 QTV851971 RDR851971 RNN851971 RXJ851971 SHF851971 SRB851971 TAX851971 TKT851971 TUP851971 UEL851971 UOH851971 UYD851971 VHZ851971 VRV851971 WBR851971 WLN851971 WVJ851971 B917507 IX917507 ST917507 ACP917507 AML917507 AWH917507 BGD917507 BPZ917507 BZV917507 CJR917507 CTN917507 DDJ917507 DNF917507 DXB917507 EGX917507 EQT917507 FAP917507 FKL917507 FUH917507 GED917507 GNZ917507 GXV917507 HHR917507 HRN917507 IBJ917507 ILF917507 IVB917507 JEX917507 JOT917507 JYP917507 KIL917507 KSH917507 LCD917507 LLZ917507 LVV917507 MFR917507 MPN917507 MZJ917507 NJF917507 NTB917507 OCX917507 OMT917507 OWP917507 PGL917507 PQH917507 QAD917507 QJZ917507 QTV917507 RDR917507 RNN917507 RXJ917507 SHF917507 SRB917507 TAX917507 TKT917507 TUP917507 UEL917507 UOH917507 UYD917507 VHZ917507 VRV917507 WBR917507 WLN917507 WVJ917507 B983043 IX983043 ST983043 ACP983043 AML983043 AWH983043 BGD983043 BPZ983043 BZV983043 CJR983043 CTN983043 DDJ983043 DNF983043 DXB983043 EGX983043 EQT983043 FAP983043 FKL983043 FUH983043 GED983043 GNZ983043 GXV983043 HHR983043 HRN983043 IBJ983043 ILF983043 IVB983043 JEX983043 JOT983043 JYP983043 KIL983043 KSH983043 LCD983043 LLZ983043 LVV983043 MFR983043 MPN983043 MZJ983043 NJF983043 NTB983043 OCX983043 OMT983043 OWP983043 PGL983043 PQH983043 QAD983043 QJZ983043 QTV983043 RDR983043 RNN983043 RXJ983043 SHF983043 SRB983043 TAX983043 TKT983043 TUP983043 UEL983043 UOH983043 UYD983043 VHZ983043 VRV983043 WBR983043 WLN983043 WVJ983043">
      <formula1>"瀑布开发模型,迭代开发模型"</formula1>
    </dataValidation>
    <dataValidation type="list" allowBlank="1" showInputMessage="1" showErrorMessage="1" sqref="B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B65542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B131078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B196614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B262150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B327686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B393222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B458758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B524294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B589830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B655366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B720902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B786438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B851974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B917510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B983046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"大型,普通,微型"</formula1>
    </dataValidation>
  </dataValidations>
  <pageMargins left="0.69930555555555596" right="0.69930555555555596"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M102"/>
  <sheetViews>
    <sheetView topLeftCell="A82" workbookViewId="0">
      <selection activeCell="I9" sqref="I9:J9"/>
    </sheetView>
  </sheetViews>
  <sheetFormatPr defaultColWidth="9" defaultRowHeight="14.25" outlineLevelRow="1"/>
  <cols>
    <col min="1" max="1" width="1.25" style="532" customWidth="1"/>
    <col min="2" max="2" width="5.875" style="532" customWidth="1"/>
    <col min="3" max="3" width="28.5" style="532" customWidth="1"/>
    <col min="4" max="4" width="15.25" style="532" customWidth="1"/>
    <col min="5" max="5" width="11.5" style="533" customWidth="1"/>
    <col min="6" max="6" width="12" style="533" customWidth="1"/>
    <col min="7" max="7" width="12.125" style="534" customWidth="1"/>
    <col min="8" max="8" width="19.375" style="535" customWidth="1"/>
    <col min="9" max="9" width="11.375" style="532" customWidth="1"/>
    <col min="10" max="10" width="13.125" style="532" customWidth="1"/>
    <col min="11" max="11" width="29.5" style="532" customWidth="1"/>
    <col min="12" max="12" width="13" style="532" customWidth="1"/>
    <col min="13" max="256" width="9" style="532"/>
    <col min="257" max="257" width="1.25" style="532" customWidth="1"/>
    <col min="258" max="258" width="5.875" style="532" customWidth="1"/>
    <col min="259" max="259" width="28.5" style="532" customWidth="1"/>
    <col min="260" max="260" width="15.25" style="532" customWidth="1"/>
    <col min="261" max="261" width="11.5" style="532" customWidth="1"/>
    <col min="262" max="262" width="12" style="532" customWidth="1"/>
    <col min="263" max="263" width="12.125" style="532" customWidth="1"/>
    <col min="264" max="264" width="19.375" style="532" customWidth="1"/>
    <col min="265" max="265" width="11.375" style="532" customWidth="1"/>
    <col min="266" max="266" width="13.125" style="532" customWidth="1"/>
    <col min="267" max="267" width="29.5" style="532" customWidth="1"/>
    <col min="268" max="268" width="13" style="532" customWidth="1"/>
    <col min="269" max="512" width="9" style="532"/>
    <col min="513" max="513" width="1.25" style="532" customWidth="1"/>
    <col min="514" max="514" width="5.875" style="532" customWidth="1"/>
    <col min="515" max="515" width="28.5" style="532" customWidth="1"/>
    <col min="516" max="516" width="15.25" style="532" customWidth="1"/>
    <col min="517" max="517" width="11.5" style="532" customWidth="1"/>
    <col min="518" max="518" width="12" style="532" customWidth="1"/>
    <col min="519" max="519" width="12.125" style="532" customWidth="1"/>
    <col min="520" max="520" width="19.375" style="532" customWidth="1"/>
    <col min="521" max="521" width="11.375" style="532" customWidth="1"/>
    <col min="522" max="522" width="13.125" style="532" customWidth="1"/>
    <col min="523" max="523" width="29.5" style="532" customWidth="1"/>
    <col min="524" max="524" width="13" style="532" customWidth="1"/>
    <col min="525" max="768" width="9" style="532"/>
    <col min="769" max="769" width="1.25" style="532" customWidth="1"/>
    <col min="770" max="770" width="5.875" style="532" customWidth="1"/>
    <col min="771" max="771" width="28.5" style="532" customWidth="1"/>
    <col min="772" max="772" width="15.25" style="532" customWidth="1"/>
    <col min="773" max="773" width="11.5" style="532" customWidth="1"/>
    <col min="774" max="774" width="12" style="532" customWidth="1"/>
    <col min="775" max="775" width="12.125" style="532" customWidth="1"/>
    <col min="776" max="776" width="19.375" style="532" customWidth="1"/>
    <col min="777" max="777" width="11.375" style="532" customWidth="1"/>
    <col min="778" max="778" width="13.125" style="532" customWidth="1"/>
    <col min="779" max="779" width="29.5" style="532" customWidth="1"/>
    <col min="780" max="780" width="13" style="532" customWidth="1"/>
    <col min="781" max="1024" width="9" style="532"/>
    <col min="1025" max="1025" width="1.25" style="532" customWidth="1"/>
    <col min="1026" max="1026" width="5.875" style="532" customWidth="1"/>
    <col min="1027" max="1027" width="28.5" style="532" customWidth="1"/>
    <col min="1028" max="1028" width="15.25" style="532" customWidth="1"/>
    <col min="1029" max="1029" width="11.5" style="532" customWidth="1"/>
    <col min="1030" max="1030" width="12" style="532" customWidth="1"/>
    <col min="1031" max="1031" width="12.125" style="532" customWidth="1"/>
    <col min="1032" max="1032" width="19.375" style="532" customWidth="1"/>
    <col min="1033" max="1033" width="11.375" style="532" customWidth="1"/>
    <col min="1034" max="1034" width="13.125" style="532" customWidth="1"/>
    <col min="1035" max="1035" width="29.5" style="532" customWidth="1"/>
    <col min="1036" max="1036" width="13" style="532" customWidth="1"/>
    <col min="1037" max="1280" width="9" style="532"/>
    <col min="1281" max="1281" width="1.25" style="532" customWidth="1"/>
    <col min="1282" max="1282" width="5.875" style="532" customWidth="1"/>
    <col min="1283" max="1283" width="28.5" style="532" customWidth="1"/>
    <col min="1284" max="1284" width="15.25" style="532" customWidth="1"/>
    <col min="1285" max="1285" width="11.5" style="532" customWidth="1"/>
    <col min="1286" max="1286" width="12" style="532" customWidth="1"/>
    <col min="1287" max="1287" width="12.125" style="532" customWidth="1"/>
    <col min="1288" max="1288" width="19.375" style="532" customWidth="1"/>
    <col min="1289" max="1289" width="11.375" style="532" customWidth="1"/>
    <col min="1290" max="1290" width="13.125" style="532" customWidth="1"/>
    <col min="1291" max="1291" width="29.5" style="532" customWidth="1"/>
    <col min="1292" max="1292" width="13" style="532" customWidth="1"/>
    <col min="1293" max="1536" width="9" style="532"/>
    <col min="1537" max="1537" width="1.25" style="532" customWidth="1"/>
    <col min="1538" max="1538" width="5.875" style="532" customWidth="1"/>
    <col min="1539" max="1539" width="28.5" style="532" customWidth="1"/>
    <col min="1540" max="1540" width="15.25" style="532" customWidth="1"/>
    <col min="1541" max="1541" width="11.5" style="532" customWidth="1"/>
    <col min="1542" max="1542" width="12" style="532" customWidth="1"/>
    <col min="1543" max="1543" width="12.125" style="532" customWidth="1"/>
    <col min="1544" max="1544" width="19.375" style="532" customWidth="1"/>
    <col min="1545" max="1545" width="11.375" style="532" customWidth="1"/>
    <col min="1546" max="1546" width="13.125" style="532" customWidth="1"/>
    <col min="1547" max="1547" width="29.5" style="532" customWidth="1"/>
    <col min="1548" max="1548" width="13" style="532" customWidth="1"/>
    <col min="1549" max="1792" width="9" style="532"/>
    <col min="1793" max="1793" width="1.25" style="532" customWidth="1"/>
    <col min="1794" max="1794" width="5.875" style="532" customWidth="1"/>
    <col min="1795" max="1795" width="28.5" style="532" customWidth="1"/>
    <col min="1796" max="1796" width="15.25" style="532" customWidth="1"/>
    <col min="1797" max="1797" width="11.5" style="532" customWidth="1"/>
    <col min="1798" max="1798" width="12" style="532" customWidth="1"/>
    <col min="1799" max="1799" width="12.125" style="532" customWidth="1"/>
    <col min="1800" max="1800" width="19.375" style="532" customWidth="1"/>
    <col min="1801" max="1801" width="11.375" style="532" customWidth="1"/>
    <col min="1802" max="1802" width="13.125" style="532" customWidth="1"/>
    <col min="1803" max="1803" width="29.5" style="532" customWidth="1"/>
    <col min="1804" max="1804" width="13" style="532" customWidth="1"/>
    <col min="1805" max="2048" width="9" style="532"/>
    <col min="2049" max="2049" width="1.25" style="532" customWidth="1"/>
    <col min="2050" max="2050" width="5.875" style="532" customWidth="1"/>
    <col min="2051" max="2051" width="28.5" style="532" customWidth="1"/>
    <col min="2052" max="2052" width="15.25" style="532" customWidth="1"/>
    <col min="2053" max="2053" width="11.5" style="532" customWidth="1"/>
    <col min="2054" max="2054" width="12" style="532" customWidth="1"/>
    <col min="2055" max="2055" width="12.125" style="532" customWidth="1"/>
    <col min="2056" max="2056" width="19.375" style="532" customWidth="1"/>
    <col min="2057" max="2057" width="11.375" style="532" customWidth="1"/>
    <col min="2058" max="2058" width="13.125" style="532" customWidth="1"/>
    <col min="2059" max="2059" width="29.5" style="532" customWidth="1"/>
    <col min="2060" max="2060" width="13" style="532" customWidth="1"/>
    <col min="2061" max="2304" width="9" style="532"/>
    <col min="2305" max="2305" width="1.25" style="532" customWidth="1"/>
    <col min="2306" max="2306" width="5.875" style="532" customWidth="1"/>
    <col min="2307" max="2307" width="28.5" style="532" customWidth="1"/>
    <col min="2308" max="2308" width="15.25" style="532" customWidth="1"/>
    <col min="2309" max="2309" width="11.5" style="532" customWidth="1"/>
    <col min="2310" max="2310" width="12" style="532" customWidth="1"/>
    <col min="2311" max="2311" width="12.125" style="532" customWidth="1"/>
    <col min="2312" max="2312" width="19.375" style="532" customWidth="1"/>
    <col min="2313" max="2313" width="11.375" style="532" customWidth="1"/>
    <col min="2314" max="2314" width="13.125" style="532" customWidth="1"/>
    <col min="2315" max="2315" width="29.5" style="532" customWidth="1"/>
    <col min="2316" max="2316" width="13" style="532" customWidth="1"/>
    <col min="2317" max="2560" width="9" style="532"/>
    <col min="2561" max="2561" width="1.25" style="532" customWidth="1"/>
    <col min="2562" max="2562" width="5.875" style="532" customWidth="1"/>
    <col min="2563" max="2563" width="28.5" style="532" customWidth="1"/>
    <col min="2564" max="2564" width="15.25" style="532" customWidth="1"/>
    <col min="2565" max="2565" width="11.5" style="532" customWidth="1"/>
    <col min="2566" max="2566" width="12" style="532" customWidth="1"/>
    <col min="2567" max="2567" width="12.125" style="532" customWidth="1"/>
    <col min="2568" max="2568" width="19.375" style="532" customWidth="1"/>
    <col min="2569" max="2569" width="11.375" style="532" customWidth="1"/>
    <col min="2570" max="2570" width="13.125" style="532" customWidth="1"/>
    <col min="2571" max="2571" width="29.5" style="532" customWidth="1"/>
    <col min="2572" max="2572" width="13" style="532" customWidth="1"/>
    <col min="2573" max="2816" width="9" style="532"/>
    <col min="2817" max="2817" width="1.25" style="532" customWidth="1"/>
    <col min="2818" max="2818" width="5.875" style="532" customWidth="1"/>
    <col min="2819" max="2819" width="28.5" style="532" customWidth="1"/>
    <col min="2820" max="2820" width="15.25" style="532" customWidth="1"/>
    <col min="2821" max="2821" width="11.5" style="532" customWidth="1"/>
    <col min="2822" max="2822" width="12" style="532" customWidth="1"/>
    <col min="2823" max="2823" width="12.125" style="532" customWidth="1"/>
    <col min="2824" max="2824" width="19.375" style="532" customWidth="1"/>
    <col min="2825" max="2825" width="11.375" style="532" customWidth="1"/>
    <col min="2826" max="2826" width="13.125" style="532" customWidth="1"/>
    <col min="2827" max="2827" width="29.5" style="532" customWidth="1"/>
    <col min="2828" max="2828" width="13" style="532" customWidth="1"/>
    <col min="2829" max="3072" width="9" style="532"/>
    <col min="3073" max="3073" width="1.25" style="532" customWidth="1"/>
    <col min="3074" max="3074" width="5.875" style="532" customWidth="1"/>
    <col min="3075" max="3075" width="28.5" style="532" customWidth="1"/>
    <col min="3076" max="3076" width="15.25" style="532" customWidth="1"/>
    <col min="3077" max="3077" width="11.5" style="532" customWidth="1"/>
    <col min="3078" max="3078" width="12" style="532" customWidth="1"/>
    <col min="3079" max="3079" width="12.125" style="532" customWidth="1"/>
    <col min="3080" max="3080" width="19.375" style="532" customWidth="1"/>
    <col min="3081" max="3081" width="11.375" style="532" customWidth="1"/>
    <col min="3082" max="3082" width="13.125" style="532" customWidth="1"/>
    <col min="3083" max="3083" width="29.5" style="532" customWidth="1"/>
    <col min="3084" max="3084" width="13" style="532" customWidth="1"/>
    <col min="3085" max="3328" width="9" style="532"/>
    <col min="3329" max="3329" width="1.25" style="532" customWidth="1"/>
    <col min="3330" max="3330" width="5.875" style="532" customWidth="1"/>
    <col min="3331" max="3331" width="28.5" style="532" customWidth="1"/>
    <col min="3332" max="3332" width="15.25" style="532" customWidth="1"/>
    <col min="3333" max="3333" width="11.5" style="532" customWidth="1"/>
    <col min="3334" max="3334" width="12" style="532" customWidth="1"/>
    <col min="3335" max="3335" width="12.125" style="532" customWidth="1"/>
    <col min="3336" max="3336" width="19.375" style="532" customWidth="1"/>
    <col min="3337" max="3337" width="11.375" style="532" customWidth="1"/>
    <col min="3338" max="3338" width="13.125" style="532" customWidth="1"/>
    <col min="3339" max="3339" width="29.5" style="532" customWidth="1"/>
    <col min="3340" max="3340" width="13" style="532" customWidth="1"/>
    <col min="3341" max="3584" width="9" style="532"/>
    <col min="3585" max="3585" width="1.25" style="532" customWidth="1"/>
    <col min="3586" max="3586" width="5.875" style="532" customWidth="1"/>
    <col min="3587" max="3587" width="28.5" style="532" customWidth="1"/>
    <col min="3588" max="3588" width="15.25" style="532" customWidth="1"/>
    <col min="3589" max="3589" width="11.5" style="532" customWidth="1"/>
    <col min="3590" max="3590" width="12" style="532" customWidth="1"/>
    <col min="3591" max="3591" width="12.125" style="532" customWidth="1"/>
    <col min="3592" max="3592" width="19.375" style="532" customWidth="1"/>
    <col min="3593" max="3593" width="11.375" style="532" customWidth="1"/>
    <col min="3594" max="3594" width="13.125" style="532" customWidth="1"/>
    <col min="3595" max="3595" width="29.5" style="532" customWidth="1"/>
    <col min="3596" max="3596" width="13" style="532" customWidth="1"/>
    <col min="3597" max="3840" width="9" style="532"/>
    <col min="3841" max="3841" width="1.25" style="532" customWidth="1"/>
    <col min="3842" max="3842" width="5.875" style="532" customWidth="1"/>
    <col min="3843" max="3843" width="28.5" style="532" customWidth="1"/>
    <col min="3844" max="3844" width="15.25" style="532" customWidth="1"/>
    <col min="3845" max="3845" width="11.5" style="532" customWidth="1"/>
    <col min="3846" max="3846" width="12" style="532" customWidth="1"/>
    <col min="3847" max="3847" width="12.125" style="532" customWidth="1"/>
    <col min="3848" max="3848" width="19.375" style="532" customWidth="1"/>
    <col min="3849" max="3849" width="11.375" style="532" customWidth="1"/>
    <col min="3850" max="3850" width="13.125" style="532" customWidth="1"/>
    <col min="3851" max="3851" width="29.5" style="532" customWidth="1"/>
    <col min="3852" max="3852" width="13" style="532" customWidth="1"/>
    <col min="3853" max="4096" width="9" style="532"/>
    <col min="4097" max="4097" width="1.25" style="532" customWidth="1"/>
    <col min="4098" max="4098" width="5.875" style="532" customWidth="1"/>
    <col min="4099" max="4099" width="28.5" style="532" customWidth="1"/>
    <col min="4100" max="4100" width="15.25" style="532" customWidth="1"/>
    <col min="4101" max="4101" width="11.5" style="532" customWidth="1"/>
    <col min="4102" max="4102" width="12" style="532" customWidth="1"/>
    <col min="4103" max="4103" width="12.125" style="532" customWidth="1"/>
    <col min="4104" max="4104" width="19.375" style="532" customWidth="1"/>
    <col min="4105" max="4105" width="11.375" style="532" customWidth="1"/>
    <col min="4106" max="4106" width="13.125" style="532" customWidth="1"/>
    <col min="4107" max="4107" width="29.5" style="532" customWidth="1"/>
    <col min="4108" max="4108" width="13" style="532" customWidth="1"/>
    <col min="4109" max="4352" width="9" style="532"/>
    <col min="4353" max="4353" width="1.25" style="532" customWidth="1"/>
    <col min="4354" max="4354" width="5.875" style="532" customWidth="1"/>
    <col min="4355" max="4355" width="28.5" style="532" customWidth="1"/>
    <col min="4356" max="4356" width="15.25" style="532" customWidth="1"/>
    <col min="4357" max="4357" width="11.5" style="532" customWidth="1"/>
    <col min="4358" max="4358" width="12" style="532" customWidth="1"/>
    <col min="4359" max="4359" width="12.125" style="532" customWidth="1"/>
    <col min="4360" max="4360" width="19.375" style="532" customWidth="1"/>
    <col min="4361" max="4361" width="11.375" style="532" customWidth="1"/>
    <col min="4362" max="4362" width="13.125" style="532" customWidth="1"/>
    <col min="4363" max="4363" width="29.5" style="532" customWidth="1"/>
    <col min="4364" max="4364" width="13" style="532" customWidth="1"/>
    <col min="4365" max="4608" width="9" style="532"/>
    <col min="4609" max="4609" width="1.25" style="532" customWidth="1"/>
    <col min="4610" max="4610" width="5.875" style="532" customWidth="1"/>
    <col min="4611" max="4611" width="28.5" style="532" customWidth="1"/>
    <col min="4612" max="4612" width="15.25" style="532" customWidth="1"/>
    <col min="4613" max="4613" width="11.5" style="532" customWidth="1"/>
    <col min="4614" max="4614" width="12" style="532" customWidth="1"/>
    <col min="4615" max="4615" width="12.125" style="532" customWidth="1"/>
    <col min="4616" max="4616" width="19.375" style="532" customWidth="1"/>
    <col min="4617" max="4617" width="11.375" style="532" customWidth="1"/>
    <col min="4618" max="4618" width="13.125" style="532" customWidth="1"/>
    <col min="4619" max="4619" width="29.5" style="532" customWidth="1"/>
    <col min="4620" max="4620" width="13" style="532" customWidth="1"/>
    <col min="4621" max="4864" width="9" style="532"/>
    <col min="4865" max="4865" width="1.25" style="532" customWidth="1"/>
    <col min="4866" max="4866" width="5.875" style="532" customWidth="1"/>
    <col min="4867" max="4867" width="28.5" style="532" customWidth="1"/>
    <col min="4868" max="4868" width="15.25" style="532" customWidth="1"/>
    <col min="4869" max="4869" width="11.5" style="532" customWidth="1"/>
    <col min="4870" max="4870" width="12" style="532" customWidth="1"/>
    <col min="4871" max="4871" width="12.125" style="532" customWidth="1"/>
    <col min="4872" max="4872" width="19.375" style="532" customWidth="1"/>
    <col min="4873" max="4873" width="11.375" style="532" customWidth="1"/>
    <col min="4874" max="4874" width="13.125" style="532" customWidth="1"/>
    <col min="4875" max="4875" width="29.5" style="532" customWidth="1"/>
    <col min="4876" max="4876" width="13" style="532" customWidth="1"/>
    <col min="4877" max="5120" width="9" style="532"/>
    <col min="5121" max="5121" width="1.25" style="532" customWidth="1"/>
    <col min="5122" max="5122" width="5.875" style="532" customWidth="1"/>
    <col min="5123" max="5123" width="28.5" style="532" customWidth="1"/>
    <col min="5124" max="5124" width="15.25" style="532" customWidth="1"/>
    <col min="5125" max="5125" width="11.5" style="532" customWidth="1"/>
    <col min="5126" max="5126" width="12" style="532" customWidth="1"/>
    <col min="5127" max="5127" width="12.125" style="532" customWidth="1"/>
    <col min="5128" max="5128" width="19.375" style="532" customWidth="1"/>
    <col min="5129" max="5129" width="11.375" style="532" customWidth="1"/>
    <col min="5130" max="5130" width="13.125" style="532" customWidth="1"/>
    <col min="5131" max="5131" width="29.5" style="532" customWidth="1"/>
    <col min="5132" max="5132" width="13" style="532" customWidth="1"/>
    <col min="5133" max="5376" width="9" style="532"/>
    <col min="5377" max="5377" width="1.25" style="532" customWidth="1"/>
    <col min="5378" max="5378" width="5.875" style="532" customWidth="1"/>
    <col min="5379" max="5379" width="28.5" style="532" customWidth="1"/>
    <col min="5380" max="5380" width="15.25" style="532" customWidth="1"/>
    <col min="5381" max="5381" width="11.5" style="532" customWidth="1"/>
    <col min="5382" max="5382" width="12" style="532" customWidth="1"/>
    <col min="5383" max="5383" width="12.125" style="532" customWidth="1"/>
    <col min="5384" max="5384" width="19.375" style="532" customWidth="1"/>
    <col min="5385" max="5385" width="11.375" style="532" customWidth="1"/>
    <col min="5386" max="5386" width="13.125" style="532" customWidth="1"/>
    <col min="5387" max="5387" width="29.5" style="532" customWidth="1"/>
    <col min="5388" max="5388" width="13" style="532" customWidth="1"/>
    <col min="5389" max="5632" width="9" style="532"/>
    <col min="5633" max="5633" width="1.25" style="532" customWidth="1"/>
    <col min="5634" max="5634" width="5.875" style="532" customWidth="1"/>
    <col min="5635" max="5635" width="28.5" style="532" customWidth="1"/>
    <col min="5636" max="5636" width="15.25" style="532" customWidth="1"/>
    <col min="5637" max="5637" width="11.5" style="532" customWidth="1"/>
    <col min="5638" max="5638" width="12" style="532" customWidth="1"/>
    <col min="5639" max="5639" width="12.125" style="532" customWidth="1"/>
    <col min="5640" max="5640" width="19.375" style="532" customWidth="1"/>
    <col min="5641" max="5641" width="11.375" style="532" customWidth="1"/>
    <col min="5642" max="5642" width="13.125" style="532" customWidth="1"/>
    <col min="5643" max="5643" width="29.5" style="532" customWidth="1"/>
    <col min="5644" max="5644" width="13" style="532" customWidth="1"/>
    <col min="5645" max="5888" width="9" style="532"/>
    <col min="5889" max="5889" width="1.25" style="532" customWidth="1"/>
    <col min="5890" max="5890" width="5.875" style="532" customWidth="1"/>
    <col min="5891" max="5891" width="28.5" style="532" customWidth="1"/>
    <col min="5892" max="5892" width="15.25" style="532" customWidth="1"/>
    <col min="5893" max="5893" width="11.5" style="532" customWidth="1"/>
    <col min="5894" max="5894" width="12" style="532" customWidth="1"/>
    <col min="5895" max="5895" width="12.125" style="532" customWidth="1"/>
    <col min="5896" max="5896" width="19.375" style="532" customWidth="1"/>
    <col min="5897" max="5897" width="11.375" style="532" customWidth="1"/>
    <col min="5898" max="5898" width="13.125" style="532" customWidth="1"/>
    <col min="5899" max="5899" width="29.5" style="532" customWidth="1"/>
    <col min="5900" max="5900" width="13" style="532" customWidth="1"/>
    <col min="5901" max="6144" width="9" style="532"/>
    <col min="6145" max="6145" width="1.25" style="532" customWidth="1"/>
    <col min="6146" max="6146" width="5.875" style="532" customWidth="1"/>
    <col min="6147" max="6147" width="28.5" style="532" customWidth="1"/>
    <col min="6148" max="6148" width="15.25" style="532" customWidth="1"/>
    <col min="6149" max="6149" width="11.5" style="532" customWidth="1"/>
    <col min="6150" max="6150" width="12" style="532" customWidth="1"/>
    <col min="6151" max="6151" width="12.125" style="532" customWidth="1"/>
    <col min="6152" max="6152" width="19.375" style="532" customWidth="1"/>
    <col min="6153" max="6153" width="11.375" style="532" customWidth="1"/>
    <col min="6154" max="6154" width="13.125" style="532" customWidth="1"/>
    <col min="6155" max="6155" width="29.5" style="532" customWidth="1"/>
    <col min="6156" max="6156" width="13" style="532" customWidth="1"/>
    <col min="6157" max="6400" width="9" style="532"/>
    <col min="6401" max="6401" width="1.25" style="532" customWidth="1"/>
    <col min="6402" max="6402" width="5.875" style="532" customWidth="1"/>
    <col min="6403" max="6403" width="28.5" style="532" customWidth="1"/>
    <col min="6404" max="6404" width="15.25" style="532" customWidth="1"/>
    <col min="6405" max="6405" width="11.5" style="532" customWidth="1"/>
    <col min="6406" max="6406" width="12" style="532" customWidth="1"/>
    <col min="6407" max="6407" width="12.125" style="532" customWidth="1"/>
    <col min="6408" max="6408" width="19.375" style="532" customWidth="1"/>
    <col min="6409" max="6409" width="11.375" style="532" customWidth="1"/>
    <col min="6410" max="6410" width="13.125" style="532" customWidth="1"/>
    <col min="6411" max="6411" width="29.5" style="532" customWidth="1"/>
    <col min="6412" max="6412" width="13" style="532" customWidth="1"/>
    <col min="6413" max="6656" width="9" style="532"/>
    <col min="6657" max="6657" width="1.25" style="532" customWidth="1"/>
    <col min="6658" max="6658" width="5.875" style="532" customWidth="1"/>
    <col min="6659" max="6659" width="28.5" style="532" customWidth="1"/>
    <col min="6660" max="6660" width="15.25" style="532" customWidth="1"/>
    <col min="6661" max="6661" width="11.5" style="532" customWidth="1"/>
    <col min="6662" max="6662" width="12" style="532" customWidth="1"/>
    <col min="6663" max="6663" width="12.125" style="532" customWidth="1"/>
    <col min="6664" max="6664" width="19.375" style="532" customWidth="1"/>
    <col min="6665" max="6665" width="11.375" style="532" customWidth="1"/>
    <col min="6666" max="6666" width="13.125" style="532" customWidth="1"/>
    <col min="6667" max="6667" width="29.5" style="532" customWidth="1"/>
    <col min="6668" max="6668" width="13" style="532" customWidth="1"/>
    <col min="6669" max="6912" width="9" style="532"/>
    <col min="6913" max="6913" width="1.25" style="532" customWidth="1"/>
    <col min="6914" max="6914" width="5.875" style="532" customWidth="1"/>
    <col min="6915" max="6915" width="28.5" style="532" customWidth="1"/>
    <col min="6916" max="6916" width="15.25" style="532" customWidth="1"/>
    <col min="6917" max="6917" width="11.5" style="532" customWidth="1"/>
    <col min="6918" max="6918" width="12" style="532" customWidth="1"/>
    <col min="6919" max="6919" width="12.125" style="532" customWidth="1"/>
    <col min="6920" max="6920" width="19.375" style="532" customWidth="1"/>
    <col min="6921" max="6921" width="11.375" style="532" customWidth="1"/>
    <col min="6922" max="6922" width="13.125" style="532" customWidth="1"/>
    <col min="6923" max="6923" width="29.5" style="532" customWidth="1"/>
    <col min="6924" max="6924" width="13" style="532" customWidth="1"/>
    <col min="6925" max="7168" width="9" style="532"/>
    <col min="7169" max="7169" width="1.25" style="532" customWidth="1"/>
    <col min="7170" max="7170" width="5.875" style="532" customWidth="1"/>
    <col min="7171" max="7171" width="28.5" style="532" customWidth="1"/>
    <col min="7172" max="7172" width="15.25" style="532" customWidth="1"/>
    <col min="7173" max="7173" width="11.5" style="532" customWidth="1"/>
    <col min="7174" max="7174" width="12" style="532" customWidth="1"/>
    <col min="7175" max="7175" width="12.125" style="532" customWidth="1"/>
    <col min="7176" max="7176" width="19.375" style="532" customWidth="1"/>
    <col min="7177" max="7177" width="11.375" style="532" customWidth="1"/>
    <col min="7178" max="7178" width="13.125" style="532" customWidth="1"/>
    <col min="7179" max="7179" width="29.5" style="532" customWidth="1"/>
    <col min="7180" max="7180" width="13" style="532" customWidth="1"/>
    <col min="7181" max="7424" width="9" style="532"/>
    <col min="7425" max="7425" width="1.25" style="532" customWidth="1"/>
    <col min="7426" max="7426" width="5.875" style="532" customWidth="1"/>
    <col min="7427" max="7427" width="28.5" style="532" customWidth="1"/>
    <col min="7428" max="7428" width="15.25" style="532" customWidth="1"/>
    <col min="7429" max="7429" width="11.5" style="532" customWidth="1"/>
    <col min="7430" max="7430" width="12" style="532" customWidth="1"/>
    <col min="7431" max="7431" width="12.125" style="532" customWidth="1"/>
    <col min="7432" max="7432" width="19.375" style="532" customWidth="1"/>
    <col min="7433" max="7433" width="11.375" style="532" customWidth="1"/>
    <col min="7434" max="7434" width="13.125" style="532" customWidth="1"/>
    <col min="7435" max="7435" width="29.5" style="532" customWidth="1"/>
    <col min="7436" max="7436" width="13" style="532" customWidth="1"/>
    <col min="7437" max="7680" width="9" style="532"/>
    <col min="7681" max="7681" width="1.25" style="532" customWidth="1"/>
    <col min="7682" max="7682" width="5.875" style="532" customWidth="1"/>
    <col min="7683" max="7683" width="28.5" style="532" customWidth="1"/>
    <col min="7684" max="7684" width="15.25" style="532" customWidth="1"/>
    <col min="7685" max="7685" width="11.5" style="532" customWidth="1"/>
    <col min="7686" max="7686" width="12" style="532" customWidth="1"/>
    <col min="7687" max="7687" width="12.125" style="532" customWidth="1"/>
    <col min="7688" max="7688" width="19.375" style="532" customWidth="1"/>
    <col min="7689" max="7689" width="11.375" style="532" customWidth="1"/>
    <col min="7690" max="7690" width="13.125" style="532" customWidth="1"/>
    <col min="7691" max="7691" width="29.5" style="532" customWidth="1"/>
    <col min="7692" max="7692" width="13" style="532" customWidth="1"/>
    <col min="7693" max="7936" width="9" style="532"/>
    <col min="7937" max="7937" width="1.25" style="532" customWidth="1"/>
    <col min="7938" max="7938" width="5.875" style="532" customWidth="1"/>
    <col min="7939" max="7939" width="28.5" style="532" customWidth="1"/>
    <col min="7940" max="7940" width="15.25" style="532" customWidth="1"/>
    <col min="7941" max="7941" width="11.5" style="532" customWidth="1"/>
    <col min="7942" max="7942" width="12" style="532" customWidth="1"/>
    <col min="7943" max="7943" width="12.125" style="532" customWidth="1"/>
    <col min="7944" max="7944" width="19.375" style="532" customWidth="1"/>
    <col min="7945" max="7945" width="11.375" style="532" customWidth="1"/>
    <col min="7946" max="7946" width="13.125" style="532" customWidth="1"/>
    <col min="7947" max="7947" width="29.5" style="532" customWidth="1"/>
    <col min="7948" max="7948" width="13" style="532" customWidth="1"/>
    <col min="7949" max="8192" width="9" style="532"/>
    <col min="8193" max="8193" width="1.25" style="532" customWidth="1"/>
    <col min="8194" max="8194" width="5.875" style="532" customWidth="1"/>
    <col min="8195" max="8195" width="28.5" style="532" customWidth="1"/>
    <col min="8196" max="8196" width="15.25" style="532" customWidth="1"/>
    <col min="8197" max="8197" width="11.5" style="532" customWidth="1"/>
    <col min="8198" max="8198" width="12" style="532" customWidth="1"/>
    <col min="8199" max="8199" width="12.125" style="532" customWidth="1"/>
    <col min="8200" max="8200" width="19.375" style="532" customWidth="1"/>
    <col min="8201" max="8201" width="11.375" style="532" customWidth="1"/>
    <col min="8202" max="8202" width="13.125" style="532" customWidth="1"/>
    <col min="8203" max="8203" width="29.5" style="532" customWidth="1"/>
    <col min="8204" max="8204" width="13" style="532" customWidth="1"/>
    <col min="8205" max="8448" width="9" style="532"/>
    <col min="8449" max="8449" width="1.25" style="532" customWidth="1"/>
    <col min="8450" max="8450" width="5.875" style="532" customWidth="1"/>
    <col min="8451" max="8451" width="28.5" style="532" customWidth="1"/>
    <col min="8452" max="8452" width="15.25" style="532" customWidth="1"/>
    <col min="8453" max="8453" width="11.5" style="532" customWidth="1"/>
    <col min="8454" max="8454" width="12" style="532" customWidth="1"/>
    <col min="8455" max="8455" width="12.125" style="532" customWidth="1"/>
    <col min="8456" max="8456" width="19.375" style="532" customWidth="1"/>
    <col min="8457" max="8457" width="11.375" style="532" customWidth="1"/>
    <col min="8458" max="8458" width="13.125" style="532" customWidth="1"/>
    <col min="8459" max="8459" width="29.5" style="532" customWidth="1"/>
    <col min="8460" max="8460" width="13" style="532" customWidth="1"/>
    <col min="8461" max="8704" width="9" style="532"/>
    <col min="8705" max="8705" width="1.25" style="532" customWidth="1"/>
    <col min="8706" max="8706" width="5.875" style="532" customWidth="1"/>
    <col min="8707" max="8707" width="28.5" style="532" customWidth="1"/>
    <col min="8708" max="8708" width="15.25" style="532" customWidth="1"/>
    <col min="8709" max="8709" width="11.5" style="532" customWidth="1"/>
    <col min="8710" max="8710" width="12" style="532" customWidth="1"/>
    <col min="8711" max="8711" width="12.125" style="532" customWidth="1"/>
    <col min="8712" max="8712" width="19.375" style="532" customWidth="1"/>
    <col min="8713" max="8713" width="11.375" style="532" customWidth="1"/>
    <col min="8714" max="8714" width="13.125" style="532" customWidth="1"/>
    <col min="8715" max="8715" width="29.5" style="532" customWidth="1"/>
    <col min="8716" max="8716" width="13" style="532" customWidth="1"/>
    <col min="8717" max="8960" width="9" style="532"/>
    <col min="8961" max="8961" width="1.25" style="532" customWidth="1"/>
    <col min="8962" max="8962" width="5.875" style="532" customWidth="1"/>
    <col min="8963" max="8963" width="28.5" style="532" customWidth="1"/>
    <col min="8964" max="8964" width="15.25" style="532" customWidth="1"/>
    <col min="8965" max="8965" width="11.5" style="532" customWidth="1"/>
    <col min="8966" max="8966" width="12" style="532" customWidth="1"/>
    <col min="8967" max="8967" width="12.125" style="532" customWidth="1"/>
    <col min="8968" max="8968" width="19.375" style="532" customWidth="1"/>
    <col min="8969" max="8969" width="11.375" style="532" customWidth="1"/>
    <col min="8970" max="8970" width="13.125" style="532" customWidth="1"/>
    <col min="8971" max="8971" width="29.5" style="532" customWidth="1"/>
    <col min="8972" max="8972" width="13" style="532" customWidth="1"/>
    <col min="8973" max="9216" width="9" style="532"/>
    <col min="9217" max="9217" width="1.25" style="532" customWidth="1"/>
    <col min="9218" max="9218" width="5.875" style="532" customWidth="1"/>
    <col min="9219" max="9219" width="28.5" style="532" customWidth="1"/>
    <col min="9220" max="9220" width="15.25" style="532" customWidth="1"/>
    <col min="9221" max="9221" width="11.5" style="532" customWidth="1"/>
    <col min="9222" max="9222" width="12" style="532" customWidth="1"/>
    <col min="9223" max="9223" width="12.125" style="532" customWidth="1"/>
    <col min="9224" max="9224" width="19.375" style="532" customWidth="1"/>
    <col min="9225" max="9225" width="11.375" style="532" customWidth="1"/>
    <col min="9226" max="9226" width="13.125" style="532" customWidth="1"/>
    <col min="9227" max="9227" width="29.5" style="532" customWidth="1"/>
    <col min="9228" max="9228" width="13" style="532" customWidth="1"/>
    <col min="9229" max="9472" width="9" style="532"/>
    <col min="9473" max="9473" width="1.25" style="532" customWidth="1"/>
    <col min="9474" max="9474" width="5.875" style="532" customWidth="1"/>
    <col min="9475" max="9475" width="28.5" style="532" customWidth="1"/>
    <col min="9476" max="9476" width="15.25" style="532" customWidth="1"/>
    <col min="9477" max="9477" width="11.5" style="532" customWidth="1"/>
    <col min="9478" max="9478" width="12" style="532" customWidth="1"/>
    <col min="9479" max="9479" width="12.125" style="532" customWidth="1"/>
    <col min="9480" max="9480" width="19.375" style="532" customWidth="1"/>
    <col min="9481" max="9481" width="11.375" style="532" customWidth="1"/>
    <col min="9482" max="9482" width="13.125" style="532" customWidth="1"/>
    <col min="9483" max="9483" width="29.5" style="532" customWidth="1"/>
    <col min="9484" max="9484" width="13" style="532" customWidth="1"/>
    <col min="9485" max="9728" width="9" style="532"/>
    <col min="9729" max="9729" width="1.25" style="532" customWidth="1"/>
    <col min="9730" max="9730" width="5.875" style="532" customWidth="1"/>
    <col min="9731" max="9731" width="28.5" style="532" customWidth="1"/>
    <col min="9732" max="9732" width="15.25" style="532" customWidth="1"/>
    <col min="9733" max="9733" width="11.5" style="532" customWidth="1"/>
    <col min="9734" max="9734" width="12" style="532" customWidth="1"/>
    <col min="9735" max="9735" width="12.125" style="532" customWidth="1"/>
    <col min="9736" max="9736" width="19.375" style="532" customWidth="1"/>
    <col min="9737" max="9737" width="11.375" style="532" customWidth="1"/>
    <col min="9738" max="9738" width="13.125" style="532" customWidth="1"/>
    <col min="9739" max="9739" width="29.5" style="532" customWidth="1"/>
    <col min="9740" max="9740" width="13" style="532" customWidth="1"/>
    <col min="9741" max="9984" width="9" style="532"/>
    <col min="9985" max="9985" width="1.25" style="532" customWidth="1"/>
    <col min="9986" max="9986" width="5.875" style="532" customWidth="1"/>
    <col min="9987" max="9987" width="28.5" style="532" customWidth="1"/>
    <col min="9988" max="9988" width="15.25" style="532" customWidth="1"/>
    <col min="9989" max="9989" width="11.5" style="532" customWidth="1"/>
    <col min="9990" max="9990" width="12" style="532" customWidth="1"/>
    <col min="9991" max="9991" width="12.125" style="532" customWidth="1"/>
    <col min="9992" max="9992" width="19.375" style="532" customWidth="1"/>
    <col min="9993" max="9993" width="11.375" style="532" customWidth="1"/>
    <col min="9994" max="9994" width="13.125" style="532" customWidth="1"/>
    <col min="9995" max="9995" width="29.5" style="532" customWidth="1"/>
    <col min="9996" max="9996" width="13" style="532" customWidth="1"/>
    <col min="9997" max="10240" width="9" style="532"/>
    <col min="10241" max="10241" width="1.25" style="532" customWidth="1"/>
    <col min="10242" max="10242" width="5.875" style="532" customWidth="1"/>
    <col min="10243" max="10243" width="28.5" style="532" customWidth="1"/>
    <col min="10244" max="10244" width="15.25" style="532" customWidth="1"/>
    <col min="10245" max="10245" width="11.5" style="532" customWidth="1"/>
    <col min="10246" max="10246" width="12" style="532" customWidth="1"/>
    <col min="10247" max="10247" width="12.125" style="532" customWidth="1"/>
    <col min="10248" max="10248" width="19.375" style="532" customWidth="1"/>
    <col min="10249" max="10249" width="11.375" style="532" customWidth="1"/>
    <col min="10250" max="10250" width="13.125" style="532" customWidth="1"/>
    <col min="10251" max="10251" width="29.5" style="532" customWidth="1"/>
    <col min="10252" max="10252" width="13" style="532" customWidth="1"/>
    <col min="10253" max="10496" width="9" style="532"/>
    <col min="10497" max="10497" width="1.25" style="532" customWidth="1"/>
    <col min="10498" max="10498" width="5.875" style="532" customWidth="1"/>
    <col min="10499" max="10499" width="28.5" style="532" customWidth="1"/>
    <col min="10500" max="10500" width="15.25" style="532" customWidth="1"/>
    <col min="10501" max="10501" width="11.5" style="532" customWidth="1"/>
    <col min="10502" max="10502" width="12" style="532" customWidth="1"/>
    <col min="10503" max="10503" width="12.125" style="532" customWidth="1"/>
    <col min="10504" max="10504" width="19.375" style="532" customWidth="1"/>
    <col min="10505" max="10505" width="11.375" style="532" customWidth="1"/>
    <col min="10506" max="10506" width="13.125" style="532" customWidth="1"/>
    <col min="10507" max="10507" width="29.5" style="532" customWidth="1"/>
    <col min="10508" max="10508" width="13" style="532" customWidth="1"/>
    <col min="10509" max="10752" width="9" style="532"/>
    <col min="10753" max="10753" width="1.25" style="532" customWidth="1"/>
    <col min="10754" max="10754" width="5.875" style="532" customWidth="1"/>
    <col min="10755" max="10755" width="28.5" style="532" customWidth="1"/>
    <col min="10756" max="10756" width="15.25" style="532" customWidth="1"/>
    <col min="10757" max="10757" width="11.5" style="532" customWidth="1"/>
    <col min="10758" max="10758" width="12" style="532" customWidth="1"/>
    <col min="10759" max="10759" width="12.125" style="532" customWidth="1"/>
    <col min="10760" max="10760" width="19.375" style="532" customWidth="1"/>
    <col min="10761" max="10761" width="11.375" style="532" customWidth="1"/>
    <col min="10762" max="10762" width="13.125" style="532" customWidth="1"/>
    <col min="10763" max="10763" width="29.5" style="532" customWidth="1"/>
    <col min="10764" max="10764" width="13" style="532" customWidth="1"/>
    <col min="10765" max="11008" width="9" style="532"/>
    <col min="11009" max="11009" width="1.25" style="532" customWidth="1"/>
    <col min="11010" max="11010" width="5.875" style="532" customWidth="1"/>
    <col min="11011" max="11011" width="28.5" style="532" customWidth="1"/>
    <col min="11012" max="11012" width="15.25" style="532" customWidth="1"/>
    <col min="11013" max="11013" width="11.5" style="532" customWidth="1"/>
    <col min="11014" max="11014" width="12" style="532" customWidth="1"/>
    <col min="11015" max="11015" width="12.125" style="532" customWidth="1"/>
    <col min="11016" max="11016" width="19.375" style="532" customWidth="1"/>
    <col min="11017" max="11017" width="11.375" style="532" customWidth="1"/>
    <col min="11018" max="11018" width="13.125" style="532" customWidth="1"/>
    <col min="11019" max="11019" width="29.5" style="532" customWidth="1"/>
    <col min="11020" max="11020" width="13" style="532" customWidth="1"/>
    <col min="11021" max="11264" width="9" style="532"/>
    <col min="11265" max="11265" width="1.25" style="532" customWidth="1"/>
    <col min="11266" max="11266" width="5.875" style="532" customWidth="1"/>
    <col min="11267" max="11267" width="28.5" style="532" customWidth="1"/>
    <col min="11268" max="11268" width="15.25" style="532" customWidth="1"/>
    <col min="11269" max="11269" width="11.5" style="532" customWidth="1"/>
    <col min="11270" max="11270" width="12" style="532" customWidth="1"/>
    <col min="11271" max="11271" width="12.125" style="532" customWidth="1"/>
    <col min="11272" max="11272" width="19.375" style="532" customWidth="1"/>
    <col min="11273" max="11273" width="11.375" style="532" customWidth="1"/>
    <col min="11274" max="11274" width="13.125" style="532" customWidth="1"/>
    <col min="11275" max="11275" width="29.5" style="532" customWidth="1"/>
    <col min="11276" max="11276" width="13" style="532" customWidth="1"/>
    <col min="11277" max="11520" width="9" style="532"/>
    <col min="11521" max="11521" width="1.25" style="532" customWidth="1"/>
    <col min="11522" max="11522" width="5.875" style="532" customWidth="1"/>
    <col min="11523" max="11523" width="28.5" style="532" customWidth="1"/>
    <col min="11524" max="11524" width="15.25" style="532" customWidth="1"/>
    <col min="11525" max="11525" width="11.5" style="532" customWidth="1"/>
    <col min="11526" max="11526" width="12" style="532" customWidth="1"/>
    <col min="11527" max="11527" width="12.125" style="532" customWidth="1"/>
    <col min="11528" max="11528" width="19.375" style="532" customWidth="1"/>
    <col min="11529" max="11529" width="11.375" style="532" customWidth="1"/>
    <col min="11530" max="11530" width="13.125" style="532" customWidth="1"/>
    <col min="11531" max="11531" width="29.5" style="532" customWidth="1"/>
    <col min="11532" max="11532" width="13" style="532" customWidth="1"/>
    <col min="11533" max="11776" width="9" style="532"/>
    <col min="11777" max="11777" width="1.25" style="532" customWidth="1"/>
    <col min="11778" max="11778" width="5.875" style="532" customWidth="1"/>
    <col min="11779" max="11779" width="28.5" style="532" customWidth="1"/>
    <col min="11780" max="11780" width="15.25" style="532" customWidth="1"/>
    <col min="11781" max="11781" width="11.5" style="532" customWidth="1"/>
    <col min="11782" max="11782" width="12" style="532" customWidth="1"/>
    <col min="11783" max="11783" width="12.125" style="532" customWidth="1"/>
    <col min="11784" max="11784" width="19.375" style="532" customWidth="1"/>
    <col min="11785" max="11785" width="11.375" style="532" customWidth="1"/>
    <col min="11786" max="11786" width="13.125" style="532" customWidth="1"/>
    <col min="11787" max="11787" width="29.5" style="532" customWidth="1"/>
    <col min="11788" max="11788" width="13" style="532" customWidth="1"/>
    <col min="11789" max="12032" width="9" style="532"/>
    <col min="12033" max="12033" width="1.25" style="532" customWidth="1"/>
    <col min="12034" max="12034" width="5.875" style="532" customWidth="1"/>
    <col min="12035" max="12035" width="28.5" style="532" customWidth="1"/>
    <col min="12036" max="12036" width="15.25" style="532" customWidth="1"/>
    <col min="12037" max="12037" width="11.5" style="532" customWidth="1"/>
    <col min="12038" max="12038" width="12" style="532" customWidth="1"/>
    <col min="12039" max="12039" width="12.125" style="532" customWidth="1"/>
    <col min="12040" max="12040" width="19.375" style="532" customWidth="1"/>
    <col min="12041" max="12041" width="11.375" style="532" customWidth="1"/>
    <col min="12042" max="12042" width="13.125" style="532" customWidth="1"/>
    <col min="12043" max="12043" width="29.5" style="532" customWidth="1"/>
    <col min="12044" max="12044" width="13" style="532" customWidth="1"/>
    <col min="12045" max="12288" width="9" style="532"/>
    <col min="12289" max="12289" width="1.25" style="532" customWidth="1"/>
    <col min="12290" max="12290" width="5.875" style="532" customWidth="1"/>
    <col min="12291" max="12291" width="28.5" style="532" customWidth="1"/>
    <col min="12292" max="12292" width="15.25" style="532" customWidth="1"/>
    <col min="12293" max="12293" width="11.5" style="532" customWidth="1"/>
    <col min="12294" max="12294" width="12" style="532" customWidth="1"/>
    <col min="12295" max="12295" width="12.125" style="532" customWidth="1"/>
    <col min="12296" max="12296" width="19.375" style="532" customWidth="1"/>
    <col min="12297" max="12297" width="11.375" style="532" customWidth="1"/>
    <col min="12298" max="12298" width="13.125" style="532" customWidth="1"/>
    <col min="12299" max="12299" width="29.5" style="532" customWidth="1"/>
    <col min="12300" max="12300" width="13" style="532" customWidth="1"/>
    <col min="12301" max="12544" width="9" style="532"/>
    <col min="12545" max="12545" width="1.25" style="532" customWidth="1"/>
    <col min="12546" max="12546" width="5.875" style="532" customWidth="1"/>
    <col min="12547" max="12547" width="28.5" style="532" customWidth="1"/>
    <col min="12548" max="12548" width="15.25" style="532" customWidth="1"/>
    <col min="12549" max="12549" width="11.5" style="532" customWidth="1"/>
    <col min="12550" max="12550" width="12" style="532" customWidth="1"/>
    <col min="12551" max="12551" width="12.125" style="532" customWidth="1"/>
    <col min="12552" max="12552" width="19.375" style="532" customWidth="1"/>
    <col min="12553" max="12553" width="11.375" style="532" customWidth="1"/>
    <col min="12554" max="12554" width="13.125" style="532" customWidth="1"/>
    <col min="12555" max="12555" width="29.5" style="532" customWidth="1"/>
    <col min="12556" max="12556" width="13" style="532" customWidth="1"/>
    <col min="12557" max="12800" width="9" style="532"/>
    <col min="12801" max="12801" width="1.25" style="532" customWidth="1"/>
    <col min="12802" max="12802" width="5.875" style="532" customWidth="1"/>
    <col min="12803" max="12803" width="28.5" style="532" customWidth="1"/>
    <col min="12804" max="12804" width="15.25" style="532" customWidth="1"/>
    <col min="12805" max="12805" width="11.5" style="532" customWidth="1"/>
    <col min="12806" max="12806" width="12" style="532" customWidth="1"/>
    <col min="12807" max="12807" width="12.125" style="532" customWidth="1"/>
    <col min="12808" max="12808" width="19.375" style="532" customWidth="1"/>
    <col min="12809" max="12809" width="11.375" style="532" customWidth="1"/>
    <col min="12810" max="12810" width="13.125" style="532" customWidth="1"/>
    <col min="12811" max="12811" width="29.5" style="532" customWidth="1"/>
    <col min="12812" max="12812" width="13" style="532" customWidth="1"/>
    <col min="12813" max="13056" width="9" style="532"/>
    <col min="13057" max="13057" width="1.25" style="532" customWidth="1"/>
    <col min="13058" max="13058" width="5.875" style="532" customWidth="1"/>
    <col min="13059" max="13059" width="28.5" style="532" customWidth="1"/>
    <col min="13060" max="13060" width="15.25" style="532" customWidth="1"/>
    <col min="13061" max="13061" width="11.5" style="532" customWidth="1"/>
    <col min="13062" max="13062" width="12" style="532" customWidth="1"/>
    <col min="13063" max="13063" width="12.125" style="532" customWidth="1"/>
    <col min="13064" max="13064" width="19.375" style="532" customWidth="1"/>
    <col min="13065" max="13065" width="11.375" style="532" customWidth="1"/>
    <col min="13066" max="13066" width="13.125" style="532" customWidth="1"/>
    <col min="13067" max="13067" width="29.5" style="532" customWidth="1"/>
    <col min="13068" max="13068" width="13" style="532" customWidth="1"/>
    <col min="13069" max="13312" width="9" style="532"/>
    <col min="13313" max="13313" width="1.25" style="532" customWidth="1"/>
    <col min="13314" max="13314" width="5.875" style="532" customWidth="1"/>
    <col min="13315" max="13315" width="28.5" style="532" customWidth="1"/>
    <col min="13316" max="13316" width="15.25" style="532" customWidth="1"/>
    <col min="13317" max="13317" width="11.5" style="532" customWidth="1"/>
    <col min="13318" max="13318" width="12" style="532" customWidth="1"/>
    <col min="13319" max="13319" width="12.125" style="532" customWidth="1"/>
    <col min="13320" max="13320" width="19.375" style="532" customWidth="1"/>
    <col min="13321" max="13321" width="11.375" style="532" customWidth="1"/>
    <col min="13322" max="13322" width="13.125" style="532" customWidth="1"/>
    <col min="13323" max="13323" width="29.5" style="532" customWidth="1"/>
    <col min="13324" max="13324" width="13" style="532" customWidth="1"/>
    <col min="13325" max="13568" width="9" style="532"/>
    <col min="13569" max="13569" width="1.25" style="532" customWidth="1"/>
    <col min="13570" max="13570" width="5.875" style="532" customWidth="1"/>
    <col min="13571" max="13571" width="28.5" style="532" customWidth="1"/>
    <col min="13572" max="13572" width="15.25" style="532" customWidth="1"/>
    <col min="13573" max="13573" width="11.5" style="532" customWidth="1"/>
    <col min="13574" max="13574" width="12" style="532" customWidth="1"/>
    <col min="13575" max="13575" width="12.125" style="532" customWidth="1"/>
    <col min="13576" max="13576" width="19.375" style="532" customWidth="1"/>
    <col min="13577" max="13577" width="11.375" style="532" customWidth="1"/>
    <col min="13578" max="13578" width="13.125" style="532" customWidth="1"/>
    <col min="13579" max="13579" width="29.5" style="532" customWidth="1"/>
    <col min="13580" max="13580" width="13" style="532" customWidth="1"/>
    <col min="13581" max="13824" width="9" style="532"/>
    <col min="13825" max="13825" width="1.25" style="532" customWidth="1"/>
    <col min="13826" max="13826" width="5.875" style="532" customWidth="1"/>
    <col min="13827" max="13827" width="28.5" style="532" customWidth="1"/>
    <col min="13828" max="13828" width="15.25" style="532" customWidth="1"/>
    <col min="13829" max="13829" width="11.5" style="532" customWidth="1"/>
    <col min="13830" max="13830" width="12" style="532" customWidth="1"/>
    <col min="13831" max="13831" width="12.125" style="532" customWidth="1"/>
    <col min="13832" max="13832" width="19.375" style="532" customWidth="1"/>
    <col min="13833" max="13833" width="11.375" style="532" customWidth="1"/>
    <col min="13834" max="13834" width="13.125" style="532" customWidth="1"/>
    <col min="13835" max="13835" width="29.5" style="532" customWidth="1"/>
    <col min="13836" max="13836" width="13" style="532" customWidth="1"/>
    <col min="13837" max="14080" width="9" style="532"/>
    <col min="14081" max="14081" width="1.25" style="532" customWidth="1"/>
    <col min="14082" max="14082" width="5.875" style="532" customWidth="1"/>
    <col min="14083" max="14083" width="28.5" style="532" customWidth="1"/>
    <col min="14084" max="14084" width="15.25" style="532" customWidth="1"/>
    <col min="14085" max="14085" width="11.5" style="532" customWidth="1"/>
    <col min="14086" max="14086" width="12" style="532" customWidth="1"/>
    <col min="14087" max="14087" width="12.125" style="532" customWidth="1"/>
    <col min="14088" max="14088" width="19.375" style="532" customWidth="1"/>
    <col min="14089" max="14089" width="11.375" style="532" customWidth="1"/>
    <col min="14090" max="14090" width="13.125" style="532" customWidth="1"/>
    <col min="14091" max="14091" width="29.5" style="532" customWidth="1"/>
    <col min="14092" max="14092" width="13" style="532" customWidth="1"/>
    <col min="14093" max="14336" width="9" style="532"/>
    <col min="14337" max="14337" width="1.25" style="532" customWidth="1"/>
    <col min="14338" max="14338" width="5.875" style="532" customWidth="1"/>
    <col min="14339" max="14339" width="28.5" style="532" customWidth="1"/>
    <col min="14340" max="14340" width="15.25" style="532" customWidth="1"/>
    <col min="14341" max="14341" width="11.5" style="532" customWidth="1"/>
    <col min="14342" max="14342" width="12" style="532" customWidth="1"/>
    <col min="14343" max="14343" width="12.125" style="532" customWidth="1"/>
    <col min="14344" max="14344" width="19.375" style="532" customWidth="1"/>
    <col min="14345" max="14345" width="11.375" style="532" customWidth="1"/>
    <col min="14346" max="14346" width="13.125" style="532" customWidth="1"/>
    <col min="14347" max="14347" width="29.5" style="532" customWidth="1"/>
    <col min="14348" max="14348" width="13" style="532" customWidth="1"/>
    <col min="14349" max="14592" width="9" style="532"/>
    <col min="14593" max="14593" width="1.25" style="532" customWidth="1"/>
    <col min="14594" max="14594" width="5.875" style="532" customWidth="1"/>
    <col min="14595" max="14595" width="28.5" style="532" customWidth="1"/>
    <col min="14596" max="14596" width="15.25" style="532" customWidth="1"/>
    <col min="14597" max="14597" width="11.5" style="532" customWidth="1"/>
    <col min="14598" max="14598" width="12" style="532" customWidth="1"/>
    <col min="14599" max="14599" width="12.125" style="532" customWidth="1"/>
    <col min="14600" max="14600" width="19.375" style="532" customWidth="1"/>
    <col min="14601" max="14601" width="11.375" style="532" customWidth="1"/>
    <col min="14602" max="14602" width="13.125" style="532" customWidth="1"/>
    <col min="14603" max="14603" width="29.5" style="532" customWidth="1"/>
    <col min="14604" max="14604" width="13" style="532" customWidth="1"/>
    <col min="14605" max="14848" width="9" style="532"/>
    <col min="14849" max="14849" width="1.25" style="532" customWidth="1"/>
    <col min="14850" max="14850" width="5.875" style="532" customWidth="1"/>
    <col min="14851" max="14851" width="28.5" style="532" customWidth="1"/>
    <col min="14852" max="14852" width="15.25" style="532" customWidth="1"/>
    <col min="14853" max="14853" width="11.5" style="532" customWidth="1"/>
    <col min="14854" max="14854" width="12" style="532" customWidth="1"/>
    <col min="14855" max="14855" width="12.125" style="532" customWidth="1"/>
    <col min="14856" max="14856" width="19.375" style="532" customWidth="1"/>
    <col min="14857" max="14857" width="11.375" style="532" customWidth="1"/>
    <col min="14858" max="14858" width="13.125" style="532" customWidth="1"/>
    <col min="14859" max="14859" width="29.5" style="532" customWidth="1"/>
    <col min="14860" max="14860" width="13" style="532" customWidth="1"/>
    <col min="14861" max="15104" width="9" style="532"/>
    <col min="15105" max="15105" width="1.25" style="532" customWidth="1"/>
    <col min="15106" max="15106" width="5.875" style="532" customWidth="1"/>
    <col min="15107" max="15107" width="28.5" style="532" customWidth="1"/>
    <col min="15108" max="15108" width="15.25" style="532" customWidth="1"/>
    <col min="15109" max="15109" width="11.5" style="532" customWidth="1"/>
    <col min="15110" max="15110" width="12" style="532" customWidth="1"/>
    <col min="15111" max="15111" width="12.125" style="532" customWidth="1"/>
    <col min="15112" max="15112" width="19.375" style="532" customWidth="1"/>
    <col min="15113" max="15113" width="11.375" style="532" customWidth="1"/>
    <col min="15114" max="15114" width="13.125" style="532" customWidth="1"/>
    <col min="15115" max="15115" width="29.5" style="532" customWidth="1"/>
    <col min="15116" max="15116" width="13" style="532" customWidth="1"/>
    <col min="15117" max="15360" width="9" style="532"/>
    <col min="15361" max="15361" width="1.25" style="532" customWidth="1"/>
    <col min="15362" max="15362" width="5.875" style="532" customWidth="1"/>
    <col min="15363" max="15363" width="28.5" style="532" customWidth="1"/>
    <col min="15364" max="15364" width="15.25" style="532" customWidth="1"/>
    <col min="15365" max="15365" width="11.5" style="532" customWidth="1"/>
    <col min="15366" max="15366" width="12" style="532" customWidth="1"/>
    <col min="15367" max="15367" width="12.125" style="532" customWidth="1"/>
    <col min="15368" max="15368" width="19.375" style="532" customWidth="1"/>
    <col min="15369" max="15369" width="11.375" style="532" customWidth="1"/>
    <col min="15370" max="15370" width="13.125" style="532" customWidth="1"/>
    <col min="15371" max="15371" width="29.5" style="532" customWidth="1"/>
    <col min="15372" max="15372" width="13" style="532" customWidth="1"/>
    <col min="15373" max="15616" width="9" style="532"/>
    <col min="15617" max="15617" width="1.25" style="532" customWidth="1"/>
    <col min="15618" max="15618" width="5.875" style="532" customWidth="1"/>
    <col min="15619" max="15619" width="28.5" style="532" customWidth="1"/>
    <col min="15620" max="15620" width="15.25" style="532" customWidth="1"/>
    <col min="15621" max="15621" width="11.5" style="532" customWidth="1"/>
    <col min="15622" max="15622" width="12" style="532" customWidth="1"/>
    <col min="15623" max="15623" width="12.125" style="532" customWidth="1"/>
    <col min="15624" max="15624" width="19.375" style="532" customWidth="1"/>
    <col min="15625" max="15625" width="11.375" style="532" customWidth="1"/>
    <col min="15626" max="15626" width="13.125" style="532" customWidth="1"/>
    <col min="15627" max="15627" width="29.5" style="532" customWidth="1"/>
    <col min="15628" max="15628" width="13" style="532" customWidth="1"/>
    <col min="15629" max="15872" width="9" style="532"/>
    <col min="15873" max="15873" width="1.25" style="532" customWidth="1"/>
    <col min="15874" max="15874" width="5.875" style="532" customWidth="1"/>
    <col min="15875" max="15875" width="28.5" style="532" customWidth="1"/>
    <col min="15876" max="15876" width="15.25" style="532" customWidth="1"/>
    <col min="15877" max="15877" width="11.5" style="532" customWidth="1"/>
    <col min="15878" max="15878" width="12" style="532" customWidth="1"/>
    <col min="15879" max="15879" width="12.125" style="532" customWidth="1"/>
    <col min="15880" max="15880" width="19.375" style="532" customWidth="1"/>
    <col min="15881" max="15881" width="11.375" style="532" customWidth="1"/>
    <col min="15882" max="15882" width="13.125" style="532" customWidth="1"/>
    <col min="15883" max="15883" width="29.5" style="532" customWidth="1"/>
    <col min="15884" max="15884" width="13" style="532" customWidth="1"/>
    <col min="15885" max="16128" width="9" style="532"/>
    <col min="16129" max="16129" width="1.25" style="532" customWidth="1"/>
    <col min="16130" max="16130" width="5.875" style="532" customWidth="1"/>
    <col min="16131" max="16131" width="28.5" style="532" customWidth="1"/>
    <col min="16132" max="16132" width="15.25" style="532" customWidth="1"/>
    <col min="16133" max="16133" width="11.5" style="532" customWidth="1"/>
    <col min="16134" max="16134" width="12" style="532" customWidth="1"/>
    <col min="16135" max="16135" width="12.125" style="532" customWidth="1"/>
    <col min="16136" max="16136" width="19.375" style="532" customWidth="1"/>
    <col min="16137" max="16137" width="11.375" style="532" customWidth="1"/>
    <col min="16138" max="16138" width="13.125" style="532" customWidth="1"/>
    <col min="16139" max="16139" width="29.5" style="532" customWidth="1"/>
    <col min="16140" max="16140" width="13" style="532" customWidth="1"/>
    <col min="16141" max="16384" width="9" style="532"/>
  </cols>
  <sheetData>
    <row r="1" spans="1:13" ht="36.75">
      <c r="B1" s="669" t="s">
        <v>112</v>
      </c>
      <c r="C1" s="669"/>
      <c r="D1" s="669"/>
      <c r="E1" s="669"/>
      <c r="F1" s="669"/>
      <c r="G1" s="669"/>
      <c r="H1" s="669"/>
      <c r="I1" s="669"/>
      <c r="J1" s="669"/>
      <c r="K1" s="669"/>
      <c r="L1" s="669"/>
      <c r="M1" s="669"/>
    </row>
    <row r="2" spans="1:13" s="529" customFormat="1" ht="21" customHeight="1">
      <c r="A2" s="536"/>
      <c r="B2" s="670" t="s">
        <v>113</v>
      </c>
      <c r="C2" s="671"/>
      <c r="D2" s="671"/>
      <c r="E2" s="671"/>
      <c r="F2" s="537" t="s">
        <v>114</v>
      </c>
      <c r="G2" s="671" t="s">
        <v>115</v>
      </c>
      <c r="H2" s="672"/>
      <c r="I2" s="673" t="s">
        <v>116</v>
      </c>
      <c r="J2" s="674"/>
      <c r="K2" s="558" t="s">
        <v>117</v>
      </c>
    </row>
    <row r="3" spans="1:13" s="529" customFormat="1" ht="17.25" outlineLevel="1">
      <c r="A3" s="536"/>
      <c r="B3" s="538">
        <v>1</v>
      </c>
      <c r="C3" s="539" t="s">
        <v>118</v>
      </c>
      <c r="D3" s="675" t="s">
        <v>119</v>
      </c>
      <c r="E3" s="676"/>
      <c r="F3" s="540" t="s">
        <v>120</v>
      </c>
      <c r="G3" s="677" t="s">
        <v>121</v>
      </c>
      <c r="H3" s="678"/>
      <c r="I3" s="679"/>
      <c r="J3" s="680"/>
      <c r="K3" s="559"/>
    </row>
    <row r="4" spans="1:13" s="529" customFormat="1" ht="17.25" outlineLevel="1">
      <c r="A4" s="536"/>
      <c r="B4" s="541">
        <v>2</v>
      </c>
      <c r="C4" s="542" t="s">
        <v>122</v>
      </c>
      <c r="D4" s="681" t="s">
        <v>123</v>
      </c>
      <c r="E4" s="682"/>
      <c r="F4" s="543" t="s">
        <v>120</v>
      </c>
      <c r="G4" s="683" t="s">
        <v>124</v>
      </c>
      <c r="H4" s="684"/>
      <c r="I4" s="685"/>
      <c r="J4" s="686"/>
      <c r="K4" s="545"/>
    </row>
    <row r="5" spans="1:13" s="529" customFormat="1" ht="17.25" outlineLevel="1">
      <c r="A5" s="536"/>
      <c r="B5" s="544">
        <v>3</v>
      </c>
      <c r="C5" s="545" t="s">
        <v>125</v>
      </c>
      <c r="D5" s="681" t="s">
        <v>126</v>
      </c>
      <c r="E5" s="682"/>
      <c r="F5" s="543" t="s">
        <v>120</v>
      </c>
      <c r="G5" s="687"/>
      <c r="H5" s="688"/>
      <c r="I5" s="685"/>
      <c r="J5" s="686"/>
      <c r="K5" s="545"/>
    </row>
    <row r="6" spans="1:13" s="529" customFormat="1" ht="17.25" outlineLevel="1">
      <c r="A6" s="536"/>
      <c r="B6" s="544">
        <v>4</v>
      </c>
      <c r="C6" s="545" t="s">
        <v>127</v>
      </c>
      <c r="D6" s="689" t="s">
        <v>128</v>
      </c>
      <c r="E6" s="682"/>
      <c r="F6" s="543" t="s">
        <v>120</v>
      </c>
      <c r="G6" s="690"/>
      <c r="H6" s="691"/>
      <c r="I6" s="685"/>
      <c r="J6" s="686"/>
      <c r="K6" s="545"/>
    </row>
    <row r="7" spans="1:13" s="529" customFormat="1" ht="17.25" outlineLevel="1">
      <c r="A7" s="536"/>
      <c r="B7" s="541">
        <v>5</v>
      </c>
      <c r="C7" s="548" t="s">
        <v>129</v>
      </c>
      <c r="D7" s="681" t="s">
        <v>130</v>
      </c>
      <c r="E7" s="692"/>
      <c r="F7" s="543" t="s">
        <v>120</v>
      </c>
      <c r="G7" s="546"/>
      <c r="H7" s="547"/>
      <c r="I7" s="560"/>
      <c r="J7" s="561"/>
      <c r="K7" s="545"/>
    </row>
    <row r="8" spans="1:13" s="529" customFormat="1" ht="17.25" outlineLevel="1">
      <c r="A8" s="536"/>
      <c r="B8" s="541">
        <v>6</v>
      </c>
      <c r="C8" s="548" t="s">
        <v>131</v>
      </c>
      <c r="D8" s="689" t="s">
        <v>132</v>
      </c>
      <c r="E8" s="682"/>
      <c r="F8" s="543" t="s">
        <v>120</v>
      </c>
      <c r="G8" s="690"/>
      <c r="H8" s="691"/>
      <c r="I8" s="685"/>
      <c r="J8" s="686"/>
      <c r="K8" s="545"/>
    </row>
    <row r="9" spans="1:13" s="529" customFormat="1" ht="17.25" outlineLevel="1">
      <c r="A9" s="536"/>
      <c r="B9" s="544">
        <v>7</v>
      </c>
      <c r="C9" s="548" t="s">
        <v>133</v>
      </c>
      <c r="D9" s="689" t="s">
        <v>134</v>
      </c>
      <c r="E9" s="682"/>
      <c r="F9" s="543" t="s">
        <v>135</v>
      </c>
      <c r="G9" s="690"/>
      <c r="H9" s="691"/>
      <c r="I9" s="685"/>
      <c r="J9" s="686"/>
      <c r="K9" s="545"/>
    </row>
    <row r="10" spans="1:13" s="529" customFormat="1" ht="17.25" outlineLevel="1">
      <c r="A10" s="536"/>
      <c r="B10" s="544">
        <v>8</v>
      </c>
      <c r="C10" s="548" t="s">
        <v>136</v>
      </c>
      <c r="D10" s="689" t="s">
        <v>137</v>
      </c>
      <c r="E10" s="692"/>
      <c r="F10" s="543" t="s">
        <v>120</v>
      </c>
      <c r="G10" s="690"/>
      <c r="H10" s="691"/>
      <c r="I10" s="560"/>
      <c r="J10" s="561"/>
      <c r="K10" s="545"/>
    </row>
    <row r="11" spans="1:13" s="529" customFormat="1" ht="17.25" outlineLevel="1">
      <c r="A11" s="536"/>
      <c r="B11" s="541">
        <v>9</v>
      </c>
      <c r="C11" s="548" t="s">
        <v>138</v>
      </c>
      <c r="D11" s="693" t="s">
        <v>139</v>
      </c>
      <c r="E11" s="692"/>
      <c r="F11" s="543" t="s">
        <v>120</v>
      </c>
      <c r="G11" s="690"/>
      <c r="H11" s="691"/>
      <c r="I11" s="560"/>
      <c r="J11" s="561"/>
      <c r="K11" s="545"/>
    </row>
    <row r="12" spans="1:13" s="529" customFormat="1" ht="17.25">
      <c r="A12" s="536"/>
      <c r="B12" s="715" t="s">
        <v>140</v>
      </c>
      <c r="C12" s="694" t="s">
        <v>141</v>
      </c>
      <c r="D12" s="695"/>
      <c r="E12" s="695"/>
      <c r="F12" s="695"/>
      <c r="G12" s="695"/>
      <c r="H12" s="695"/>
      <c r="I12" s="695"/>
      <c r="J12" s="696"/>
    </row>
    <row r="13" spans="1:13" s="529" customFormat="1" ht="17.25">
      <c r="A13" s="536"/>
      <c r="B13" s="716"/>
      <c r="C13" s="697" t="s">
        <v>142</v>
      </c>
      <c r="D13" s="698"/>
      <c r="E13" s="698"/>
      <c r="F13" s="698"/>
      <c r="G13" s="698"/>
      <c r="H13" s="698"/>
      <c r="I13" s="698"/>
      <c r="J13" s="699"/>
    </row>
    <row r="14" spans="1:13" s="529" customFormat="1" ht="17.25">
      <c r="A14" s="536"/>
      <c r="B14" s="717"/>
      <c r="C14" s="697" t="s">
        <v>143</v>
      </c>
      <c r="D14" s="698"/>
      <c r="E14" s="698"/>
      <c r="F14" s="698"/>
      <c r="G14" s="698"/>
      <c r="H14" s="698"/>
      <c r="I14" s="698"/>
      <c r="J14" s="699"/>
    </row>
    <row r="15" spans="1:13" ht="16.5">
      <c r="B15" s="718" t="s">
        <v>144</v>
      </c>
      <c r="C15" s="719" t="s">
        <v>145</v>
      </c>
      <c r="D15" s="700" t="s">
        <v>113</v>
      </c>
      <c r="E15" s="700"/>
      <c r="F15" s="700"/>
      <c r="G15" s="700"/>
      <c r="H15" s="718" t="s">
        <v>146</v>
      </c>
      <c r="I15" s="718" t="s">
        <v>147</v>
      </c>
      <c r="J15" s="700" t="s">
        <v>148</v>
      </c>
      <c r="K15" s="700" t="s">
        <v>149</v>
      </c>
      <c r="L15" s="700" t="s">
        <v>150</v>
      </c>
    </row>
    <row r="16" spans="1:13" ht="21">
      <c r="A16" s="551"/>
      <c r="B16" s="713"/>
      <c r="C16" s="720"/>
      <c r="D16" s="49" t="s">
        <v>151</v>
      </c>
      <c r="E16" s="49" t="s">
        <v>152</v>
      </c>
      <c r="F16" s="49" t="s">
        <v>153</v>
      </c>
      <c r="G16" s="552" t="s">
        <v>154</v>
      </c>
      <c r="H16" s="713"/>
      <c r="I16" s="713"/>
      <c r="J16" s="713"/>
      <c r="K16" s="713"/>
      <c r="L16" s="713"/>
    </row>
    <row r="17" spans="2:12" s="530" customFormat="1" ht="16.5" customHeight="1" outlineLevel="1">
      <c r="B17" s="553">
        <v>1</v>
      </c>
      <c r="C17" s="554" t="s">
        <v>155</v>
      </c>
      <c r="D17" s="555"/>
      <c r="E17" s="555"/>
      <c r="F17" s="555"/>
      <c r="G17" s="555"/>
      <c r="H17" s="555" t="s">
        <v>156</v>
      </c>
      <c r="I17" s="555" t="s">
        <v>157</v>
      </c>
      <c r="J17" s="555" t="s">
        <v>158</v>
      </c>
      <c r="K17" s="555" t="s">
        <v>159</v>
      </c>
      <c r="L17" s="562" t="s">
        <v>160</v>
      </c>
    </row>
    <row r="18" spans="2:12" s="530" customFormat="1" ht="16.5" customHeight="1" outlineLevel="1">
      <c r="B18" s="553">
        <v>2</v>
      </c>
      <c r="C18" s="556" t="s">
        <v>161</v>
      </c>
      <c r="D18" s="557"/>
      <c r="E18" s="557"/>
      <c r="F18" s="557"/>
      <c r="G18" s="557"/>
      <c r="H18" s="557" t="s">
        <v>156</v>
      </c>
      <c r="I18" s="557" t="s">
        <v>157</v>
      </c>
      <c r="J18" s="557" t="s">
        <v>158</v>
      </c>
      <c r="K18" s="557" t="s">
        <v>159</v>
      </c>
      <c r="L18" s="563" t="s">
        <v>160</v>
      </c>
    </row>
    <row r="19" spans="2:12" s="530" customFormat="1" ht="16.5" customHeight="1" outlineLevel="1">
      <c r="B19" s="553">
        <v>3</v>
      </c>
      <c r="C19" s="554" t="s">
        <v>162</v>
      </c>
      <c r="D19" s="555">
        <v>0.10235409678176299</v>
      </c>
      <c r="E19" s="555">
        <v>0.36359999999999998</v>
      </c>
      <c r="F19" s="555">
        <v>0.62484590321823696</v>
      </c>
      <c r="G19" s="555">
        <v>8.7081967739412305E-2</v>
      </c>
      <c r="H19" s="555" t="s">
        <v>163</v>
      </c>
      <c r="I19" s="555" t="s">
        <v>164</v>
      </c>
      <c r="J19" s="555" t="s">
        <v>158</v>
      </c>
      <c r="K19" s="555" t="s">
        <v>159</v>
      </c>
      <c r="L19" s="562" t="s">
        <v>165</v>
      </c>
    </row>
    <row r="20" spans="2:12" s="530" customFormat="1" ht="16.5" customHeight="1" outlineLevel="1">
      <c r="B20" s="553">
        <v>4</v>
      </c>
      <c r="C20" s="556" t="s">
        <v>166</v>
      </c>
      <c r="D20" s="557">
        <v>-0.1</v>
      </c>
      <c r="E20" s="557">
        <v>2.0021503262632901E-2</v>
      </c>
      <c r="F20" s="557">
        <v>0.1</v>
      </c>
      <c r="G20" s="557">
        <v>4.6538744531850501E-2</v>
      </c>
      <c r="H20" s="557" t="s">
        <v>167</v>
      </c>
      <c r="I20" s="557" t="s">
        <v>164</v>
      </c>
      <c r="J20" s="557" t="s">
        <v>158</v>
      </c>
      <c r="K20" s="557" t="s">
        <v>159</v>
      </c>
      <c r="L20" s="563" t="s">
        <v>165</v>
      </c>
    </row>
    <row r="21" spans="2:12" s="530" customFormat="1" ht="16.5" customHeight="1" outlineLevel="1">
      <c r="B21" s="553">
        <v>5</v>
      </c>
      <c r="C21" s="554" t="s">
        <v>168</v>
      </c>
      <c r="D21" s="555">
        <v>0</v>
      </c>
      <c r="E21" s="555">
        <v>0.3075</v>
      </c>
      <c r="F21" s="555">
        <v>0.65469999999999995</v>
      </c>
      <c r="G21" s="555">
        <v>0.11575100000000001</v>
      </c>
      <c r="H21" s="555" t="s">
        <v>169</v>
      </c>
      <c r="I21" s="555" t="s">
        <v>164</v>
      </c>
      <c r="J21" s="555" t="s">
        <v>158</v>
      </c>
      <c r="K21" s="555" t="s">
        <v>170</v>
      </c>
      <c r="L21" s="562" t="s">
        <v>165</v>
      </c>
    </row>
    <row r="22" spans="2:12" s="530" customFormat="1" ht="16.5" customHeight="1" outlineLevel="1">
      <c r="B22" s="553">
        <v>6</v>
      </c>
      <c r="C22" s="556" t="s">
        <v>171</v>
      </c>
      <c r="D22" s="557">
        <v>9.6769999999999995E-2</v>
      </c>
      <c r="E22" s="557">
        <v>0.215164032619341</v>
      </c>
      <c r="F22" s="557">
        <v>0.43130000000000002</v>
      </c>
      <c r="G22" s="557">
        <v>7.20294589126768E-2</v>
      </c>
      <c r="H22" s="557" t="s">
        <v>172</v>
      </c>
      <c r="I22" s="557" t="s">
        <v>164</v>
      </c>
      <c r="J22" s="557" t="s">
        <v>158</v>
      </c>
      <c r="K22" s="557" t="s">
        <v>173</v>
      </c>
      <c r="L22" s="563" t="s">
        <v>165</v>
      </c>
    </row>
    <row r="23" spans="2:12" s="530" customFormat="1" ht="16.5" customHeight="1" outlineLevel="1">
      <c r="B23" s="553">
        <v>7</v>
      </c>
      <c r="C23" s="554" t="s">
        <v>174</v>
      </c>
      <c r="D23" s="555">
        <v>1.299E-2</v>
      </c>
      <c r="E23" s="555">
        <v>0.18801776963787001</v>
      </c>
      <c r="F23" s="555">
        <v>0.50719999999999998</v>
      </c>
      <c r="G23" s="555">
        <v>0.106406043343458</v>
      </c>
      <c r="H23" s="555" t="s">
        <v>172</v>
      </c>
      <c r="I23" s="555" t="s">
        <v>164</v>
      </c>
      <c r="J23" s="555" t="s">
        <v>158</v>
      </c>
      <c r="K23" s="555" t="s">
        <v>173</v>
      </c>
      <c r="L23" s="562" t="s">
        <v>165</v>
      </c>
    </row>
    <row r="24" spans="2:12" s="530" customFormat="1" ht="16.5" customHeight="1" outlineLevel="1">
      <c r="B24" s="553">
        <v>8</v>
      </c>
      <c r="C24" s="556" t="s">
        <v>175</v>
      </c>
      <c r="D24" s="557">
        <v>0</v>
      </c>
      <c r="E24" s="557">
        <v>0.55000000000000004</v>
      </c>
      <c r="F24" s="557">
        <v>1.49306241508338</v>
      </c>
      <c r="G24" s="557">
        <v>0.31435413836112802</v>
      </c>
      <c r="H24" s="557" t="s">
        <v>176</v>
      </c>
      <c r="I24" s="557" t="s">
        <v>164</v>
      </c>
      <c r="J24" s="557" t="s">
        <v>158</v>
      </c>
      <c r="K24" s="557" t="s">
        <v>177</v>
      </c>
      <c r="L24" s="563" t="s">
        <v>165</v>
      </c>
    </row>
    <row r="25" spans="2:12" s="530" customFormat="1" ht="16.5" customHeight="1" outlineLevel="1">
      <c r="B25" s="553">
        <v>9</v>
      </c>
      <c r="C25" s="554" t="s">
        <v>178</v>
      </c>
      <c r="D25" s="555">
        <v>0</v>
      </c>
      <c r="E25" s="555">
        <v>0.41249999999999998</v>
      </c>
      <c r="F25" s="555">
        <v>1.01188495903397</v>
      </c>
      <c r="G25" s="555">
        <v>0.19979498634465701</v>
      </c>
      <c r="H25" s="555" t="s">
        <v>176</v>
      </c>
      <c r="I25" s="555" t="s">
        <v>164</v>
      </c>
      <c r="J25" s="555" t="s">
        <v>158</v>
      </c>
      <c r="K25" s="555" t="s">
        <v>177</v>
      </c>
      <c r="L25" s="562" t="s">
        <v>165</v>
      </c>
    </row>
    <row r="26" spans="2:12" s="530" customFormat="1" ht="16.5" customHeight="1" outlineLevel="1">
      <c r="B26" s="553">
        <v>10</v>
      </c>
      <c r="C26" s="556" t="s">
        <v>179</v>
      </c>
      <c r="D26" s="557"/>
      <c r="E26" s="557"/>
      <c r="F26" s="557"/>
      <c r="G26" s="557"/>
      <c r="H26" s="557" t="s">
        <v>156</v>
      </c>
      <c r="I26" s="557" t="s">
        <v>157</v>
      </c>
      <c r="J26" s="557"/>
      <c r="K26" s="557" t="s">
        <v>180</v>
      </c>
      <c r="L26" s="563" t="s">
        <v>160</v>
      </c>
    </row>
    <row r="27" spans="2:12" s="530" customFormat="1" ht="16.5" customHeight="1" outlineLevel="1">
      <c r="B27" s="553">
        <v>11</v>
      </c>
      <c r="C27" s="554" t="s">
        <v>181</v>
      </c>
      <c r="D27" s="555"/>
      <c r="E27" s="555"/>
      <c r="F27" s="555"/>
      <c r="G27" s="555"/>
      <c r="H27" s="555" t="s">
        <v>156</v>
      </c>
      <c r="I27" s="555" t="s">
        <v>157</v>
      </c>
      <c r="J27" s="555"/>
      <c r="K27" s="555" t="s">
        <v>180</v>
      </c>
      <c r="L27" s="562" t="s">
        <v>160</v>
      </c>
    </row>
    <row r="28" spans="2:12" s="530" customFormat="1" ht="16.5" customHeight="1" outlineLevel="1">
      <c r="B28" s="553">
        <v>12</v>
      </c>
      <c r="C28" s="556" t="s">
        <v>182</v>
      </c>
      <c r="D28" s="557">
        <v>0</v>
      </c>
      <c r="E28" s="557">
        <v>0.28660000000000002</v>
      </c>
      <c r="F28" s="557">
        <v>0.61099999999999999</v>
      </c>
      <c r="G28" s="557">
        <v>0.108156028368794</v>
      </c>
      <c r="H28" s="557" t="s">
        <v>169</v>
      </c>
      <c r="I28" s="557" t="s">
        <v>164</v>
      </c>
      <c r="J28" s="557" t="s">
        <v>158</v>
      </c>
      <c r="K28" s="557" t="s">
        <v>183</v>
      </c>
      <c r="L28" s="563" t="s">
        <v>165</v>
      </c>
    </row>
    <row r="29" spans="2:12" s="530" customFormat="1" ht="16.5" customHeight="1" outlineLevel="1">
      <c r="B29" s="553">
        <v>13</v>
      </c>
      <c r="C29" s="554" t="s">
        <v>184</v>
      </c>
      <c r="D29" s="555">
        <v>0</v>
      </c>
      <c r="E29" s="555">
        <v>0.124400925007961</v>
      </c>
      <c r="F29" s="555">
        <v>0.39319999999999999</v>
      </c>
      <c r="G29" s="555">
        <v>8.9607637085624706E-2</v>
      </c>
      <c r="H29" s="555" t="s">
        <v>172</v>
      </c>
      <c r="I29" s="555" t="s">
        <v>164</v>
      </c>
      <c r="J29" s="555" t="s">
        <v>158</v>
      </c>
      <c r="K29" s="555" t="s">
        <v>185</v>
      </c>
      <c r="L29" s="562" t="s">
        <v>165</v>
      </c>
    </row>
    <row r="30" spans="2:12" s="530" customFormat="1" ht="16.5" customHeight="1" outlineLevel="1">
      <c r="B30" s="553">
        <v>14</v>
      </c>
      <c r="C30" s="556" t="s">
        <v>186</v>
      </c>
      <c r="D30" s="557">
        <v>0</v>
      </c>
      <c r="E30" s="557">
        <v>3.1376500000000002E-2</v>
      </c>
      <c r="F30" s="557">
        <v>7.4759999999999993E-2</v>
      </c>
      <c r="G30" s="557">
        <v>1.4461399999999999E-2</v>
      </c>
      <c r="H30" s="557" t="s">
        <v>172</v>
      </c>
      <c r="I30" s="557" t="s">
        <v>164</v>
      </c>
      <c r="J30" s="557" t="s">
        <v>158</v>
      </c>
      <c r="K30" s="557" t="s">
        <v>187</v>
      </c>
      <c r="L30" s="563" t="s">
        <v>165</v>
      </c>
    </row>
    <row r="31" spans="2:12" s="530" customFormat="1" ht="16.5" customHeight="1" outlineLevel="1">
      <c r="B31" s="553">
        <v>15</v>
      </c>
      <c r="C31" s="554" t="s">
        <v>188</v>
      </c>
      <c r="D31" s="555">
        <v>1.5E-3</v>
      </c>
      <c r="E31" s="555">
        <v>0.34710524803163401</v>
      </c>
      <c r="F31" s="555">
        <v>0.69269999999999998</v>
      </c>
      <c r="G31" s="555">
        <v>0.11520445569136099</v>
      </c>
      <c r="H31" s="555" t="s">
        <v>176</v>
      </c>
      <c r="I31" s="555" t="s">
        <v>164</v>
      </c>
      <c r="J31" s="555" t="s">
        <v>158</v>
      </c>
      <c r="K31" s="555" t="s">
        <v>185</v>
      </c>
      <c r="L31" s="562" t="s">
        <v>165</v>
      </c>
    </row>
    <row r="32" spans="2:12" s="530" customFormat="1" ht="16.5" customHeight="1" outlineLevel="1">
      <c r="B32" s="553">
        <v>16</v>
      </c>
      <c r="C32" s="556" t="s">
        <v>189</v>
      </c>
      <c r="D32" s="557"/>
      <c r="E32" s="557"/>
      <c r="F32" s="557"/>
      <c r="G32" s="557"/>
      <c r="H32" s="557" t="s">
        <v>167</v>
      </c>
      <c r="I32" s="557" t="s">
        <v>164</v>
      </c>
      <c r="J32" s="557" t="s">
        <v>158</v>
      </c>
      <c r="K32" s="557" t="s">
        <v>187</v>
      </c>
      <c r="L32" s="563" t="s">
        <v>165</v>
      </c>
    </row>
    <row r="33" spans="2:12" s="530" customFormat="1" ht="16.5" customHeight="1" outlineLevel="1">
      <c r="B33" s="553">
        <v>17</v>
      </c>
      <c r="C33" s="554" t="s">
        <v>190</v>
      </c>
      <c r="D33" s="555">
        <v>0</v>
      </c>
      <c r="E33" s="555">
        <v>9.2985351752694304E-2</v>
      </c>
      <c r="F33" s="555">
        <v>0.26290000000000002</v>
      </c>
      <c r="G33" s="555">
        <v>5.6648173350115003E-2</v>
      </c>
      <c r="H33" s="555" t="s">
        <v>172</v>
      </c>
      <c r="I33" s="555" t="s">
        <v>164</v>
      </c>
      <c r="J33" s="555" t="s">
        <v>158</v>
      </c>
      <c r="K33" s="555" t="s">
        <v>185</v>
      </c>
      <c r="L33" s="562" t="s">
        <v>165</v>
      </c>
    </row>
    <row r="34" spans="2:12" s="530" customFormat="1" ht="16.5" customHeight="1" outlineLevel="1">
      <c r="B34" s="553">
        <v>18</v>
      </c>
      <c r="C34" s="556" t="s">
        <v>191</v>
      </c>
      <c r="D34" s="557">
        <v>0</v>
      </c>
      <c r="E34" s="557">
        <v>3.1376500000000002E-2</v>
      </c>
      <c r="F34" s="557">
        <v>7.4759999999999993E-2</v>
      </c>
      <c r="G34" s="557">
        <v>1.4461399999999999E-2</v>
      </c>
      <c r="H34" s="557" t="s">
        <v>172</v>
      </c>
      <c r="I34" s="557" t="s">
        <v>164</v>
      </c>
      <c r="J34" s="557" t="s">
        <v>158</v>
      </c>
      <c r="K34" s="557" t="s">
        <v>187</v>
      </c>
      <c r="L34" s="563" t="s">
        <v>165</v>
      </c>
    </row>
    <row r="35" spans="2:12" s="530" customFormat="1" ht="16.5" customHeight="1" outlineLevel="1">
      <c r="B35" s="553">
        <v>19</v>
      </c>
      <c r="C35" s="554" t="s">
        <v>192</v>
      </c>
      <c r="D35" s="555">
        <v>0</v>
      </c>
      <c r="E35" s="555">
        <v>0.31146357242357398</v>
      </c>
      <c r="F35" s="555">
        <v>0.63570000000000004</v>
      </c>
      <c r="G35" s="555">
        <v>0.108093159471188</v>
      </c>
      <c r="H35" s="555" t="s">
        <v>176</v>
      </c>
      <c r="I35" s="555" t="s">
        <v>164</v>
      </c>
      <c r="J35" s="555" t="s">
        <v>158</v>
      </c>
      <c r="K35" s="555" t="s">
        <v>185</v>
      </c>
      <c r="L35" s="562" t="s">
        <v>165</v>
      </c>
    </row>
    <row r="36" spans="2:12" s="530" customFormat="1" ht="16.5" customHeight="1" outlineLevel="1">
      <c r="B36" s="553">
        <v>20</v>
      </c>
      <c r="C36" s="556" t="s">
        <v>193</v>
      </c>
      <c r="D36" s="557"/>
      <c r="E36" s="557"/>
      <c r="F36" s="557"/>
      <c r="G36" s="557"/>
      <c r="H36" s="557" t="s">
        <v>167</v>
      </c>
      <c r="I36" s="557" t="s">
        <v>164</v>
      </c>
      <c r="J36" s="557" t="s">
        <v>158</v>
      </c>
      <c r="K36" s="557" t="s">
        <v>187</v>
      </c>
      <c r="L36" s="563" t="s">
        <v>165</v>
      </c>
    </row>
    <row r="37" spans="2:12" s="530" customFormat="1" ht="16.5" customHeight="1" outlineLevel="1">
      <c r="B37" s="553">
        <v>21</v>
      </c>
      <c r="C37" s="554" t="s">
        <v>194</v>
      </c>
      <c r="D37" s="555">
        <v>0</v>
      </c>
      <c r="E37" s="555">
        <v>7.2628867067143596E-2</v>
      </c>
      <c r="F37" s="555">
        <v>0.2311</v>
      </c>
      <c r="G37" s="555">
        <v>5.2815204475481999E-2</v>
      </c>
      <c r="H37" s="555" t="s">
        <v>172</v>
      </c>
      <c r="I37" s="555" t="s">
        <v>164</v>
      </c>
      <c r="J37" s="555" t="s">
        <v>158</v>
      </c>
      <c r="K37" s="555" t="s">
        <v>185</v>
      </c>
      <c r="L37" s="562" t="s">
        <v>165</v>
      </c>
    </row>
    <row r="38" spans="2:12" s="530" customFormat="1" ht="16.5" customHeight="1" outlineLevel="1">
      <c r="B38" s="553">
        <v>22</v>
      </c>
      <c r="C38" s="556" t="s">
        <v>195</v>
      </c>
      <c r="D38" s="557">
        <v>0</v>
      </c>
      <c r="E38" s="557">
        <v>3.1376500000000002E-2</v>
      </c>
      <c r="F38" s="557">
        <v>7.4759999999999993E-2</v>
      </c>
      <c r="G38" s="557">
        <v>1.4461399999999999E-2</v>
      </c>
      <c r="H38" s="557" t="s">
        <v>172</v>
      </c>
      <c r="I38" s="557" t="s">
        <v>164</v>
      </c>
      <c r="J38" s="557" t="s">
        <v>158</v>
      </c>
      <c r="K38" s="557" t="s">
        <v>187</v>
      </c>
      <c r="L38" s="563" t="s">
        <v>165</v>
      </c>
    </row>
    <row r="39" spans="2:12" s="530" customFormat="1" ht="16.5" customHeight="1" outlineLevel="1">
      <c r="B39" s="553">
        <v>23</v>
      </c>
      <c r="C39" s="554" t="s">
        <v>196</v>
      </c>
      <c r="D39" s="555">
        <v>0</v>
      </c>
      <c r="E39" s="555">
        <v>0.23172338290743699</v>
      </c>
      <c r="F39" s="555">
        <v>0.47870000000000001</v>
      </c>
      <c r="G39" s="555">
        <v>8.2337523183394795E-2</v>
      </c>
      <c r="H39" s="555" t="s">
        <v>176</v>
      </c>
      <c r="I39" s="555" t="s">
        <v>164</v>
      </c>
      <c r="J39" s="555" t="s">
        <v>158</v>
      </c>
      <c r="K39" s="555" t="s">
        <v>185</v>
      </c>
      <c r="L39" s="562" t="s">
        <v>165</v>
      </c>
    </row>
    <row r="40" spans="2:12" s="530" customFormat="1" ht="16.5" customHeight="1" outlineLevel="1">
      <c r="B40" s="553">
        <v>24</v>
      </c>
      <c r="C40" s="556" t="s">
        <v>197</v>
      </c>
      <c r="D40" s="557"/>
      <c r="E40" s="557"/>
      <c r="F40" s="557"/>
      <c r="G40" s="557"/>
      <c r="H40" s="557"/>
      <c r="I40" s="557" t="s">
        <v>157</v>
      </c>
      <c r="J40" s="557"/>
      <c r="K40" s="557" t="s">
        <v>187</v>
      </c>
      <c r="L40" s="563" t="s">
        <v>165</v>
      </c>
    </row>
    <row r="41" spans="2:12" s="530" customFormat="1" ht="16.5" customHeight="1" outlineLevel="1">
      <c r="B41" s="553">
        <v>25</v>
      </c>
      <c r="C41" s="554" t="s">
        <v>198</v>
      </c>
      <c r="D41" s="555">
        <v>0</v>
      </c>
      <c r="E41" s="555">
        <v>0.23330000000000001</v>
      </c>
      <c r="F41" s="555">
        <v>0.71309999999999996</v>
      </c>
      <c r="G41" s="555">
        <v>0.15992907801418399</v>
      </c>
      <c r="H41" s="555" t="s">
        <v>169</v>
      </c>
      <c r="I41" s="555" t="s">
        <v>164</v>
      </c>
      <c r="J41" s="555"/>
      <c r="K41" s="555" t="s">
        <v>199</v>
      </c>
      <c r="L41" s="562" t="s">
        <v>165</v>
      </c>
    </row>
    <row r="42" spans="2:12" s="530" customFormat="1" ht="16.5" customHeight="1" outlineLevel="1">
      <c r="B42" s="553">
        <v>26</v>
      </c>
      <c r="C42" s="556" t="s">
        <v>200</v>
      </c>
      <c r="D42" s="557"/>
      <c r="E42" s="557"/>
      <c r="F42" s="557"/>
      <c r="G42" s="557"/>
      <c r="H42" s="557" t="s">
        <v>172</v>
      </c>
      <c r="I42" s="557" t="s">
        <v>164</v>
      </c>
      <c r="J42" s="557" t="s">
        <v>158</v>
      </c>
      <c r="K42" s="557" t="s">
        <v>201</v>
      </c>
      <c r="L42" s="563" t="s">
        <v>165</v>
      </c>
    </row>
    <row r="43" spans="2:12" s="530" customFormat="1" ht="16.5" customHeight="1" outlineLevel="1">
      <c r="B43" s="553">
        <v>27</v>
      </c>
      <c r="C43" s="554" t="s">
        <v>202</v>
      </c>
      <c r="D43" s="555">
        <v>0</v>
      </c>
      <c r="E43" s="555">
        <v>0.10050000000000001</v>
      </c>
      <c r="F43" s="555">
        <v>0.36840000000000001</v>
      </c>
      <c r="G43" s="555">
        <v>8.9316813780755705E-2</v>
      </c>
      <c r="H43" s="555" t="s">
        <v>172</v>
      </c>
      <c r="I43" s="555" t="s">
        <v>164</v>
      </c>
      <c r="J43" s="555" t="s">
        <v>158</v>
      </c>
      <c r="K43" s="555" t="s">
        <v>203</v>
      </c>
      <c r="L43" s="562" t="s">
        <v>165</v>
      </c>
    </row>
    <row r="44" spans="2:12" s="530" customFormat="1" ht="16.5" customHeight="1" outlineLevel="1">
      <c r="B44" s="553">
        <v>28</v>
      </c>
      <c r="C44" s="556" t="s">
        <v>204</v>
      </c>
      <c r="D44" s="557"/>
      <c r="E44" s="557"/>
      <c r="F44" s="557"/>
      <c r="G44" s="557"/>
      <c r="H44" s="557" t="s">
        <v>176</v>
      </c>
      <c r="I44" s="557" t="s">
        <v>164</v>
      </c>
      <c r="J44" s="557" t="s">
        <v>158</v>
      </c>
      <c r="K44" s="557" t="s">
        <v>201</v>
      </c>
      <c r="L44" s="563" t="s">
        <v>160</v>
      </c>
    </row>
    <row r="45" spans="2:12" s="530" customFormat="1" ht="16.5" customHeight="1" outlineLevel="1">
      <c r="B45" s="553">
        <v>29</v>
      </c>
      <c r="C45" s="554" t="s">
        <v>205</v>
      </c>
      <c r="D45" s="555"/>
      <c r="E45" s="555"/>
      <c r="F45" s="555"/>
      <c r="G45" s="555"/>
      <c r="H45" s="555" t="s">
        <v>167</v>
      </c>
      <c r="I45" s="555" t="s">
        <v>164</v>
      </c>
      <c r="J45" s="555" t="s">
        <v>158</v>
      </c>
      <c r="K45" s="555" t="s">
        <v>203</v>
      </c>
      <c r="L45" s="562" t="s">
        <v>160</v>
      </c>
    </row>
    <row r="46" spans="2:12" s="530" customFormat="1" ht="16.5" customHeight="1" outlineLevel="1">
      <c r="B46" s="553">
        <v>30</v>
      </c>
      <c r="C46" s="556" t="s">
        <v>206</v>
      </c>
      <c r="D46" s="557"/>
      <c r="E46" s="557"/>
      <c r="F46" s="557"/>
      <c r="G46" s="557"/>
      <c r="H46" s="557" t="s">
        <v>207</v>
      </c>
      <c r="I46" s="557" t="s">
        <v>164</v>
      </c>
      <c r="J46" s="557" t="s">
        <v>158</v>
      </c>
      <c r="K46" s="557" t="s">
        <v>208</v>
      </c>
      <c r="L46" s="563" t="s">
        <v>160</v>
      </c>
    </row>
    <row r="47" spans="2:12" s="530" customFormat="1" ht="16.5" customHeight="1" outlineLevel="1">
      <c r="B47" s="553">
        <v>31</v>
      </c>
      <c r="C47" s="554" t="s">
        <v>209</v>
      </c>
      <c r="D47" s="555">
        <v>0</v>
      </c>
      <c r="E47" s="555">
        <v>0.280379815142625</v>
      </c>
      <c r="F47" s="555">
        <v>0.64449999999999996</v>
      </c>
      <c r="G47" s="555">
        <v>0.121371383321589</v>
      </c>
      <c r="H47" s="555" t="s">
        <v>172</v>
      </c>
      <c r="I47" s="555" t="s">
        <v>164</v>
      </c>
      <c r="J47" s="555" t="s">
        <v>158</v>
      </c>
      <c r="K47" s="555" t="s">
        <v>201</v>
      </c>
      <c r="L47" s="562" t="s">
        <v>165</v>
      </c>
    </row>
    <row r="48" spans="2:12" s="530" customFormat="1" ht="16.5" customHeight="1" outlineLevel="1">
      <c r="B48" s="553">
        <v>32</v>
      </c>
      <c r="C48" s="556" t="s">
        <v>210</v>
      </c>
      <c r="D48" s="557">
        <v>0</v>
      </c>
      <c r="E48" s="557">
        <v>0.10050000000000001</v>
      </c>
      <c r="F48" s="557">
        <v>0.36840000000000001</v>
      </c>
      <c r="G48" s="557">
        <v>8.9316813780755705E-2</v>
      </c>
      <c r="H48" s="557" t="s">
        <v>172</v>
      </c>
      <c r="I48" s="557" t="s">
        <v>164</v>
      </c>
      <c r="J48" s="557" t="s">
        <v>158</v>
      </c>
      <c r="K48" s="557" t="s">
        <v>203</v>
      </c>
      <c r="L48" s="563" t="s">
        <v>165</v>
      </c>
    </row>
    <row r="49" spans="2:12" s="530" customFormat="1" ht="16.5" customHeight="1" outlineLevel="1">
      <c r="B49" s="553">
        <v>33</v>
      </c>
      <c r="C49" s="554" t="s">
        <v>211</v>
      </c>
      <c r="D49" s="555">
        <v>7.9474874860599995E-2</v>
      </c>
      <c r="E49" s="555">
        <v>0.96250000000000002</v>
      </c>
      <c r="F49" s="555">
        <v>1.8455251251394</v>
      </c>
      <c r="G49" s="555">
        <v>0.2943417083798</v>
      </c>
      <c r="H49" s="555" t="s">
        <v>176</v>
      </c>
      <c r="I49" s="555" t="s">
        <v>164</v>
      </c>
      <c r="J49" s="555" t="s">
        <v>158</v>
      </c>
      <c r="K49" s="555" t="s">
        <v>201</v>
      </c>
      <c r="L49" s="562" t="s">
        <v>165</v>
      </c>
    </row>
    <row r="50" spans="2:12" s="530" customFormat="1" ht="16.5" customHeight="1" outlineLevel="1">
      <c r="B50" s="553">
        <v>34</v>
      </c>
      <c r="C50" s="556" t="s">
        <v>212</v>
      </c>
      <c r="D50" s="557">
        <v>-0.2</v>
      </c>
      <c r="E50" s="557">
        <v>5.7174052416665601E-3</v>
      </c>
      <c r="F50" s="557">
        <v>0.2</v>
      </c>
      <c r="G50" s="557">
        <v>9.1775612479415597E-2</v>
      </c>
      <c r="H50" s="557" t="s">
        <v>167</v>
      </c>
      <c r="I50" s="557" t="s">
        <v>164</v>
      </c>
      <c r="J50" s="557" t="s">
        <v>158</v>
      </c>
      <c r="K50" s="557" t="s">
        <v>203</v>
      </c>
      <c r="L50" s="563" t="s">
        <v>165</v>
      </c>
    </row>
    <row r="51" spans="2:12" s="530" customFormat="1" ht="16.5" customHeight="1" outlineLevel="1">
      <c r="B51" s="553">
        <v>35</v>
      </c>
      <c r="C51" s="554" t="s">
        <v>213</v>
      </c>
      <c r="D51" s="555">
        <v>0</v>
      </c>
      <c r="E51" s="555">
        <v>0.3</v>
      </c>
      <c r="F51" s="555">
        <v>0.65790273556231005</v>
      </c>
      <c r="G51" s="555">
        <v>0.11930091185410301</v>
      </c>
      <c r="H51" s="555" t="s">
        <v>207</v>
      </c>
      <c r="I51" s="555" t="s">
        <v>164</v>
      </c>
      <c r="J51" s="555" t="s">
        <v>158</v>
      </c>
      <c r="K51" s="555" t="s">
        <v>208</v>
      </c>
      <c r="L51" s="562" t="s">
        <v>165</v>
      </c>
    </row>
    <row r="52" spans="2:12" s="530" customFormat="1" ht="16.5" customHeight="1" outlineLevel="1">
      <c r="B52" s="553">
        <v>36</v>
      </c>
      <c r="C52" s="556" t="s">
        <v>214</v>
      </c>
      <c r="D52" s="557">
        <v>0</v>
      </c>
      <c r="E52" s="557">
        <v>0.22950131882296601</v>
      </c>
      <c r="F52" s="557">
        <v>0.51129999999999998</v>
      </c>
      <c r="G52" s="557">
        <v>9.3920163044861393E-2</v>
      </c>
      <c r="H52" s="557" t="s">
        <v>172</v>
      </c>
      <c r="I52" s="557" t="s">
        <v>164</v>
      </c>
      <c r="J52" s="557" t="s">
        <v>158</v>
      </c>
      <c r="K52" s="557" t="s">
        <v>201</v>
      </c>
      <c r="L52" s="563" t="s">
        <v>165</v>
      </c>
    </row>
    <row r="53" spans="2:12" s="530" customFormat="1" ht="16.5" customHeight="1" outlineLevel="1">
      <c r="B53" s="553">
        <v>37</v>
      </c>
      <c r="C53" s="554" t="s">
        <v>215</v>
      </c>
      <c r="D53" s="555">
        <v>0</v>
      </c>
      <c r="E53" s="555">
        <v>0.10050000000000001</v>
      </c>
      <c r="F53" s="555">
        <v>0.36840000000000001</v>
      </c>
      <c r="G53" s="555">
        <v>8.9316813780755705E-2</v>
      </c>
      <c r="H53" s="555" t="s">
        <v>172</v>
      </c>
      <c r="I53" s="555" t="s">
        <v>157</v>
      </c>
      <c r="J53" s="555" t="s">
        <v>158</v>
      </c>
      <c r="K53" s="555" t="s">
        <v>203</v>
      </c>
      <c r="L53" s="562" t="s">
        <v>165</v>
      </c>
    </row>
    <row r="54" spans="2:12" s="530" customFormat="1" ht="16.5" customHeight="1" outlineLevel="1">
      <c r="B54" s="553">
        <v>38</v>
      </c>
      <c r="C54" s="556" t="s">
        <v>216</v>
      </c>
      <c r="D54" s="557">
        <v>7.7918220640916899E-2</v>
      </c>
      <c r="E54" s="557">
        <v>0.82499999999999996</v>
      </c>
      <c r="F54" s="557">
        <v>1.57208177935908</v>
      </c>
      <c r="G54" s="557">
        <v>0.249027259786361</v>
      </c>
      <c r="H54" s="557" t="s">
        <v>176</v>
      </c>
      <c r="I54" s="557" t="s">
        <v>157</v>
      </c>
      <c r="J54" s="557" t="s">
        <v>158</v>
      </c>
      <c r="K54" s="557" t="s">
        <v>201</v>
      </c>
      <c r="L54" s="563" t="s">
        <v>165</v>
      </c>
    </row>
    <row r="55" spans="2:12" s="530" customFormat="1" ht="16.5" customHeight="1" outlineLevel="1">
      <c r="B55" s="553">
        <v>39</v>
      </c>
      <c r="C55" s="554" t="s">
        <v>217</v>
      </c>
      <c r="D55" s="555">
        <v>0</v>
      </c>
      <c r="E55" s="555">
        <v>0</v>
      </c>
      <c r="F55" s="555">
        <v>0</v>
      </c>
      <c r="G55" s="555">
        <v>0</v>
      </c>
      <c r="H55" s="555" t="s">
        <v>207</v>
      </c>
      <c r="I55" s="555" t="s">
        <v>164</v>
      </c>
      <c r="J55" s="555" t="s">
        <v>158</v>
      </c>
      <c r="K55" s="555" t="s">
        <v>203</v>
      </c>
      <c r="L55" s="562" t="s">
        <v>165</v>
      </c>
    </row>
    <row r="56" spans="2:12" s="530" customFormat="1" ht="16.5" customHeight="1" outlineLevel="1">
      <c r="B56" s="553">
        <v>40</v>
      </c>
      <c r="C56" s="556" t="s">
        <v>218</v>
      </c>
      <c r="D56" s="557">
        <v>-0.22</v>
      </c>
      <c r="E56" s="557">
        <v>0.05</v>
      </c>
      <c r="F56" s="557">
        <v>0.32</v>
      </c>
      <c r="G56" s="557">
        <v>0.09</v>
      </c>
      <c r="H56" s="557" t="s">
        <v>167</v>
      </c>
      <c r="I56" s="557" t="s">
        <v>164</v>
      </c>
      <c r="J56" s="557" t="s">
        <v>158</v>
      </c>
      <c r="K56" s="557" t="s">
        <v>203</v>
      </c>
      <c r="L56" s="563" t="s">
        <v>165</v>
      </c>
    </row>
    <row r="57" spans="2:12" s="530" customFormat="1" ht="16.5" customHeight="1" outlineLevel="1">
      <c r="B57" s="553">
        <v>41</v>
      </c>
      <c r="C57" s="554" t="s">
        <v>219</v>
      </c>
      <c r="D57" s="555">
        <v>0.85313238770683997</v>
      </c>
      <c r="E57" s="555">
        <v>14</v>
      </c>
      <c r="F57" s="555">
        <v>27.1468676122932</v>
      </c>
      <c r="G57" s="555">
        <v>4.3822892040977202</v>
      </c>
      <c r="H57" s="555" t="s">
        <v>220</v>
      </c>
      <c r="I57" s="555" t="s">
        <v>164</v>
      </c>
      <c r="J57" s="555" t="s">
        <v>158</v>
      </c>
      <c r="K57" s="555" t="s">
        <v>203</v>
      </c>
      <c r="L57" s="562" t="s">
        <v>165</v>
      </c>
    </row>
    <row r="58" spans="2:12" s="530" customFormat="1" ht="16.5" customHeight="1" outlineLevel="1">
      <c r="B58" s="553">
        <v>42</v>
      </c>
      <c r="C58" s="556" t="s">
        <v>221</v>
      </c>
      <c r="D58" s="557">
        <v>1.20579196217494</v>
      </c>
      <c r="E58" s="557">
        <v>6</v>
      </c>
      <c r="F58" s="557">
        <v>10.794208037825101</v>
      </c>
      <c r="G58" s="557">
        <v>1.5980693459416899</v>
      </c>
      <c r="H58" s="557" t="s">
        <v>220</v>
      </c>
      <c r="I58" s="557" t="s">
        <v>164</v>
      </c>
      <c r="J58" s="557" t="s">
        <v>158</v>
      </c>
      <c r="K58" s="557" t="s">
        <v>203</v>
      </c>
      <c r="L58" s="563" t="s">
        <v>165</v>
      </c>
    </row>
    <row r="59" spans="2:12" s="530" customFormat="1" ht="16.5" customHeight="1" outlineLevel="1">
      <c r="B59" s="553">
        <v>43</v>
      </c>
      <c r="C59" s="554" t="s">
        <v>222</v>
      </c>
      <c r="D59" s="555">
        <v>0</v>
      </c>
      <c r="E59" s="555">
        <v>4.351E-2</v>
      </c>
      <c r="F59" s="555">
        <v>8.7900000000000006E-2</v>
      </c>
      <c r="G59" s="555">
        <v>1.47841051314143E-2</v>
      </c>
      <c r="H59" s="555" t="s">
        <v>223</v>
      </c>
      <c r="I59" s="555" t="s">
        <v>164</v>
      </c>
      <c r="J59" s="555" t="s">
        <v>158</v>
      </c>
      <c r="K59" s="555" t="s">
        <v>203</v>
      </c>
      <c r="L59" s="562" t="s">
        <v>165</v>
      </c>
    </row>
    <row r="60" spans="2:12" s="530" customFormat="1" ht="16.5" customHeight="1" outlineLevel="1">
      <c r="B60" s="553">
        <v>44</v>
      </c>
      <c r="C60" s="556" t="s">
        <v>224</v>
      </c>
      <c r="D60" s="557"/>
      <c r="E60" s="557"/>
      <c r="F60" s="557"/>
      <c r="G60" s="557"/>
      <c r="H60" s="557" t="s">
        <v>167</v>
      </c>
      <c r="I60" s="557" t="s">
        <v>157</v>
      </c>
      <c r="J60" s="557" t="s">
        <v>158</v>
      </c>
      <c r="K60" s="557" t="s">
        <v>225</v>
      </c>
      <c r="L60" s="563" t="s">
        <v>160</v>
      </c>
    </row>
    <row r="61" spans="2:12" s="530" customFormat="1" ht="16.5" customHeight="1" outlineLevel="1">
      <c r="B61" s="553">
        <v>45</v>
      </c>
      <c r="C61" s="554" t="s">
        <v>226</v>
      </c>
      <c r="D61" s="555">
        <v>0</v>
      </c>
      <c r="E61" s="555">
        <v>0.233894005943521</v>
      </c>
      <c r="F61" s="555">
        <v>0.69979999999999998</v>
      </c>
      <c r="G61" s="555">
        <v>0.15528689019123201</v>
      </c>
      <c r="H61" s="555" t="s">
        <v>172</v>
      </c>
      <c r="I61" s="555" t="s">
        <v>164</v>
      </c>
      <c r="J61" s="555" t="s">
        <v>158</v>
      </c>
      <c r="K61" s="555" t="s">
        <v>227</v>
      </c>
      <c r="L61" s="562" t="s">
        <v>165</v>
      </c>
    </row>
    <row r="62" spans="2:12" s="530" customFormat="1" ht="16.5" customHeight="1" outlineLevel="1">
      <c r="B62" s="553">
        <v>46</v>
      </c>
      <c r="C62" s="556" t="s">
        <v>228</v>
      </c>
      <c r="D62" s="557">
        <v>0</v>
      </c>
      <c r="E62" s="557">
        <v>0.1128</v>
      </c>
      <c r="F62" s="557">
        <v>0.37109999999999999</v>
      </c>
      <c r="G62" s="557">
        <v>8.6100928028995105E-2</v>
      </c>
      <c r="H62" s="557" t="s">
        <v>172</v>
      </c>
      <c r="I62" s="557" t="s">
        <v>164</v>
      </c>
      <c r="J62" s="557" t="s">
        <v>158</v>
      </c>
      <c r="K62" s="557" t="s">
        <v>225</v>
      </c>
      <c r="L62" s="563" t="s">
        <v>165</v>
      </c>
    </row>
    <row r="63" spans="2:12" s="530" customFormat="1" ht="16.5" customHeight="1" outlineLevel="1">
      <c r="B63" s="553">
        <v>47</v>
      </c>
      <c r="C63" s="554" t="s">
        <v>229</v>
      </c>
      <c r="D63" s="555">
        <v>0.09</v>
      </c>
      <c r="E63" s="555">
        <v>0.80957050162269195</v>
      </c>
      <c r="F63" s="555">
        <v>1.5289999999999999</v>
      </c>
      <c r="G63" s="555">
        <v>0.23988175194838099</v>
      </c>
      <c r="H63" s="555" t="s">
        <v>176</v>
      </c>
      <c r="I63" s="555" t="s">
        <v>157</v>
      </c>
      <c r="J63" s="555" t="s">
        <v>158</v>
      </c>
      <c r="K63" s="555" t="s">
        <v>227</v>
      </c>
      <c r="L63" s="562" t="s">
        <v>165</v>
      </c>
    </row>
    <row r="64" spans="2:12" s="530" customFormat="1" ht="16.5" customHeight="1" outlineLevel="1">
      <c r="B64" s="553">
        <v>48</v>
      </c>
      <c r="C64" s="556" t="s">
        <v>230</v>
      </c>
      <c r="D64" s="557">
        <v>-0.3</v>
      </c>
      <c r="E64" s="557">
        <v>0.112173544404925</v>
      </c>
      <c r="F64" s="557">
        <v>0.5</v>
      </c>
      <c r="G64" s="557">
        <v>0.199416457139246</v>
      </c>
      <c r="H64" s="557" t="s">
        <v>167</v>
      </c>
      <c r="I64" s="557" t="s">
        <v>164</v>
      </c>
      <c r="J64" s="557" t="s">
        <v>158</v>
      </c>
      <c r="K64" s="557" t="s">
        <v>225</v>
      </c>
      <c r="L64" s="563" t="s">
        <v>165</v>
      </c>
    </row>
    <row r="65" spans="2:12" s="530" customFormat="1" ht="16.5" customHeight="1" outlineLevel="1">
      <c r="B65" s="553">
        <v>49</v>
      </c>
      <c r="C65" s="554" t="s">
        <v>231</v>
      </c>
      <c r="D65" s="555">
        <v>1.17364447494851</v>
      </c>
      <c r="E65" s="555">
        <v>5</v>
      </c>
      <c r="F65" s="555">
        <v>8.8263555250514898</v>
      </c>
      <c r="G65" s="555">
        <v>1.2754518416838301</v>
      </c>
      <c r="H65" s="555" t="s">
        <v>232</v>
      </c>
      <c r="I65" s="555" t="s">
        <v>164</v>
      </c>
      <c r="J65" s="555" t="s">
        <v>158</v>
      </c>
      <c r="K65" s="555" t="s">
        <v>225</v>
      </c>
      <c r="L65" s="562" t="s">
        <v>165</v>
      </c>
    </row>
    <row r="66" spans="2:12" s="530" customFormat="1" ht="16.5" customHeight="1" outlineLevel="1">
      <c r="B66" s="553">
        <v>50</v>
      </c>
      <c r="C66" s="556" t="s">
        <v>233</v>
      </c>
      <c r="D66" s="557">
        <v>0</v>
      </c>
      <c r="E66" s="557">
        <v>1.9940662502539199</v>
      </c>
      <c r="F66" s="557">
        <v>4.9096347977632</v>
      </c>
      <c r="G66" s="557">
        <v>0.97185618250309502</v>
      </c>
      <c r="H66" s="557" t="s">
        <v>207</v>
      </c>
      <c r="I66" s="557" t="s">
        <v>164</v>
      </c>
      <c r="J66" s="557" t="s">
        <v>158</v>
      </c>
      <c r="K66" s="557" t="s">
        <v>225</v>
      </c>
      <c r="L66" s="563" t="s">
        <v>165</v>
      </c>
    </row>
    <row r="67" spans="2:12" s="530" customFormat="1" ht="16.5" customHeight="1" outlineLevel="1">
      <c r="B67" s="553">
        <v>51</v>
      </c>
      <c r="C67" s="554" t="s">
        <v>234</v>
      </c>
      <c r="D67" s="555">
        <v>0</v>
      </c>
      <c r="E67" s="555">
        <v>0.14047508817996299</v>
      </c>
      <c r="F67" s="555">
        <v>0.41980000000000001</v>
      </c>
      <c r="G67" s="555">
        <v>9.3111061584729898E-2</v>
      </c>
      <c r="H67" s="555" t="s">
        <v>172</v>
      </c>
      <c r="I67" s="555" t="s">
        <v>164</v>
      </c>
      <c r="J67" s="555" t="s">
        <v>158</v>
      </c>
      <c r="K67" s="555" t="s">
        <v>227</v>
      </c>
      <c r="L67" s="562" t="s">
        <v>165</v>
      </c>
    </row>
    <row r="68" spans="2:12" s="530" customFormat="1" ht="16.5" customHeight="1" outlineLevel="1">
      <c r="B68" s="553">
        <v>52</v>
      </c>
      <c r="C68" s="556" t="s">
        <v>235</v>
      </c>
      <c r="D68" s="557">
        <v>0</v>
      </c>
      <c r="E68" s="557">
        <v>0.1128</v>
      </c>
      <c r="F68" s="557">
        <v>0.37109999999999999</v>
      </c>
      <c r="G68" s="557">
        <v>8.6100928028995105E-2</v>
      </c>
      <c r="H68" s="557" t="s">
        <v>172</v>
      </c>
      <c r="I68" s="557" t="s">
        <v>164</v>
      </c>
      <c r="J68" s="557" t="s">
        <v>158</v>
      </c>
      <c r="K68" s="557" t="s">
        <v>225</v>
      </c>
      <c r="L68" s="563" t="s">
        <v>165</v>
      </c>
    </row>
    <row r="69" spans="2:12" s="530" customFormat="1" ht="16.5" customHeight="1" outlineLevel="1">
      <c r="B69" s="553">
        <v>53</v>
      </c>
      <c r="C69" s="554" t="s">
        <v>236</v>
      </c>
      <c r="D69" s="555">
        <v>0</v>
      </c>
      <c r="E69" s="555">
        <v>0.76360486574013098</v>
      </c>
      <c r="F69" s="555">
        <v>1.68</v>
      </c>
      <c r="G69" s="555">
        <v>0.305400333764271</v>
      </c>
      <c r="H69" s="555" t="s">
        <v>176</v>
      </c>
      <c r="I69" s="555" t="s">
        <v>164</v>
      </c>
      <c r="J69" s="555" t="s">
        <v>158</v>
      </c>
      <c r="K69" s="555" t="s">
        <v>227</v>
      </c>
      <c r="L69" s="562" t="s">
        <v>165</v>
      </c>
    </row>
    <row r="70" spans="2:12" s="530" customFormat="1" ht="16.5" customHeight="1" outlineLevel="1">
      <c r="B70" s="553">
        <v>54</v>
      </c>
      <c r="C70" s="556" t="s">
        <v>237</v>
      </c>
      <c r="D70" s="557">
        <v>-0.31669402026544902</v>
      </c>
      <c r="E70" s="557">
        <v>-1.6694020265448799E-2</v>
      </c>
      <c r="F70" s="557">
        <v>0.28330597973455102</v>
      </c>
      <c r="G70" s="557">
        <v>0.1</v>
      </c>
      <c r="H70" s="557" t="s">
        <v>167</v>
      </c>
      <c r="I70" s="557" t="s">
        <v>164</v>
      </c>
      <c r="J70" s="557" t="s">
        <v>158</v>
      </c>
      <c r="K70" s="557" t="s">
        <v>225</v>
      </c>
      <c r="L70" s="563" t="s">
        <v>165</v>
      </c>
    </row>
    <row r="71" spans="2:12" s="530" customFormat="1" ht="16.5" customHeight="1" outlineLevel="1">
      <c r="B71" s="553">
        <v>55</v>
      </c>
      <c r="C71" s="554" t="s">
        <v>238</v>
      </c>
      <c r="D71" s="555">
        <v>0.31751227495909001</v>
      </c>
      <c r="E71" s="555">
        <v>4</v>
      </c>
      <c r="F71" s="555">
        <v>7.68248772504091</v>
      </c>
      <c r="G71" s="555">
        <v>1.2274959083469701</v>
      </c>
      <c r="H71" s="555" t="s">
        <v>232</v>
      </c>
      <c r="I71" s="555" t="s">
        <v>164</v>
      </c>
      <c r="J71" s="555" t="s">
        <v>158</v>
      </c>
      <c r="K71" s="555" t="s">
        <v>225</v>
      </c>
      <c r="L71" s="562" t="s">
        <v>165</v>
      </c>
    </row>
    <row r="72" spans="2:12" s="530" customFormat="1" ht="16.5" customHeight="1" outlineLevel="1">
      <c r="B72" s="553">
        <v>56</v>
      </c>
      <c r="C72" s="556" t="s">
        <v>239</v>
      </c>
      <c r="D72" s="557">
        <v>0</v>
      </c>
      <c r="E72" s="557">
        <v>0.51202559130476899</v>
      </c>
      <c r="F72" s="557">
        <v>1.4519924669690101</v>
      </c>
      <c r="G72" s="557">
        <v>0.31332229188808203</v>
      </c>
      <c r="H72" s="557" t="s">
        <v>207</v>
      </c>
      <c r="I72" s="557" t="s">
        <v>164</v>
      </c>
      <c r="J72" s="557" t="s">
        <v>158</v>
      </c>
      <c r="K72" s="557" t="s">
        <v>225</v>
      </c>
      <c r="L72" s="563" t="s">
        <v>165</v>
      </c>
    </row>
    <row r="73" spans="2:12" s="530" customFormat="1" ht="16.5" customHeight="1" outlineLevel="1">
      <c r="B73" s="553">
        <v>57</v>
      </c>
      <c r="C73" s="554" t="s">
        <v>240</v>
      </c>
      <c r="D73" s="555">
        <v>0</v>
      </c>
      <c r="E73" s="555">
        <v>1.22649916513901</v>
      </c>
      <c r="F73" s="555">
        <f>E73+3*G73</f>
        <v>3.383168680233902</v>
      </c>
      <c r="G73" s="555">
        <v>0.71888983836496401</v>
      </c>
      <c r="H73" s="555" t="s">
        <v>207</v>
      </c>
      <c r="I73" s="555" t="s">
        <v>164</v>
      </c>
      <c r="J73" s="555" t="s">
        <v>241</v>
      </c>
      <c r="K73" s="555" t="s">
        <v>225</v>
      </c>
      <c r="L73" s="562" t="s">
        <v>165</v>
      </c>
    </row>
    <row r="74" spans="2:12" s="530" customFormat="1" ht="16.5" customHeight="1" outlineLevel="1">
      <c r="B74" s="553">
        <v>58</v>
      </c>
      <c r="C74" s="556" t="s">
        <v>242</v>
      </c>
      <c r="D74" s="557">
        <v>0</v>
      </c>
      <c r="E74" s="557">
        <v>4.8035498618301697E-2</v>
      </c>
      <c r="F74" s="557">
        <v>0.12839999999999999</v>
      </c>
      <c r="G74" s="557">
        <v>2.6792225482916002E-2</v>
      </c>
      <c r="H74" s="557" t="s">
        <v>172</v>
      </c>
      <c r="I74" s="557" t="s">
        <v>164</v>
      </c>
      <c r="J74" s="557" t="s">
        <v>158</v>
      </c>
      <c r="K74" s="557" t="s">
        <v>243</v>
      </c>
      <c r="L74" s="563" t="s">
        <v>165</v>
      </c>
    </row>
    <row r="75" spans="2:12" s="530" customFormat="1" ht="16.5" customHeight="1" outlineLevel="1">
      <c r="B75" s="553">
        <v>59</v>
      </c>
      <c r="C75" s="554" t="s">
        <v>244</v>
      </c>
      <c r="D75" s="555">
        <v>0</v>
      </c>
      <c r="E75" s="555">
        <v>1.7184660888422298E-2</v>
      </c>
      <c r="F75" s="555">
        <v>5.6139434774296101E-2</v>
      </c>
      <c r="G75" s="555">
        <v>1.29849246286246E-2</v>
      </c>
      <c r="H75" s="555" t="s">
        <v>172</v>
      </c>
      <c r="I75" s="555" t="s">
        <v>164</v>
      </c>
      <c r="J75" s="555" t="s">
        <v>158</v>
      </c>
      <c r="K75" s="555" t="s">
        <v>245</v>
      </c>
      <c r="L75" s="562" t="s">
        <v>165</v>
      </c>
    </row>
    <row r="76" spans="2:12" s="530" customFormat="1" ht="16.5" customHeight="1" outlineLevel="1">
      <c r="B76" s="553">
        <v>60</v>
      </c>
      <c r="C76" s="556" t="s">
        <v>246</v>
      </c>
      <c r="D76" s="557">
        <v>0</v>
      </c>
      <c r="E76" s="557">
        <v>0.12916399609051399</v>
      </c>
      <c r="F76" s="557">
        <v>0.284224653629359</v>
      </c>
      <c r="G76" s="557">
        <v>5.1686885846281699E-2</v>
      </c>
      <c r="H76" s="557" t="s">
        <v>176</v>
      </c>
      <c r="I76" s="557" t="s">
        <v>164</v>
      </c>
      <c r="J76" s="557" t="s">
        <v>158</v>
      </c>
      <c r="K76" s="557" t="s">
        <v>243</v>
      </c>
      <c r="L76" s="563" t="s">
        <v>165</v>
      </c>
    </row>
    <row r="77" spans="2:12" s="530" customFormat="1" ht="16.5" customHeight="1" outlineLevel="1">
      <c r="B77" s="553">
        <v>61</v>
      </c>
      <c r="C77" s="554" t="s">
        <v>247</v>
      </c>
      <c r="D77" s="555">
        <v>-1.0275000000000001</v>
      </c>
      <c r="E77" s="555">
        <v>0.47253176930596302</v>
      </c>
      <c r="F77" s="555">
        <v>1.9724999999999999</v>
      </c>
      <c r="G77" s="555">
        <v>0.5</v>
      </c>
      <c r="H77" s="555" t="s">
        <v>167</v>
      </c>
      <c r="I77" s="555" t="s">
        <v>164</v>
      </c>
      <c r="J77" s="555" t="s">
        <v>158</v>
      </c>
      <c r="K77" s="555" t="s">
        <v>245</v>
      </c>
      <c r="L77" s="562" t="s">
        <v>165</v>
      </c>
    </row>
    <row r="78" spans="2:12" s="530" customFormat="1" ht="16.5" customHeight="1" outlineLevel="1">
      <c r="B78" s="553">
        <v>62</v>
      </c>
      <c r="C78" s="556" t="s">
        <v>248</v>
      </c>
      <c r="D78" s="557">
        <v>1.299E-2</v>
      </c>
      <c r="E78" s="557">
        <v>3.2416666666666698E-2</v>
      </c>
      <c r="F78" s="557">
        <v>6.7726761732307406E-2</v>
      </c>
      <c r="G78" s="557">
        <v>1.17700316885469E-2</v>
      </c>
      <c r="H78" s="557" t="s">
        <v>207</v>
      </c>
      <c r="I78" s="557" t="s">
        <v>164</v>
      </c>
      <c r="J78" s="557" t="s">
        <v>158</v>
      </c>
      <c r="K78" s="557" t="s">
        <v>245</v>
      </c>
      <c r="L78" s="563" t="s">
        <v>165</v>
      </c>
    </row>
    <row r="79" spans="2:12" s="530" customFormat="1" ht="16.5" customHeight="1" outlineLevel="1">
      <c r="B79" s="553">
        <v>63</v>
      </c>
      <c r="C79" s="554" t="s">
        <v>249</v>
      </c>
      <c r="D79" s="555">
        <v>1.69191742564405E-4</v>
      </c>
      <c r="E79" s="555">
        <v>5.2868293334134099E-2</v>
      </c>
      <c r="F79" s="555">
        <v>0.10556739492570399</v>
      </c>
      <c r="G79" s="555">
        <v>1.7566367197189899E-2</v>
      </c>
      <c r="H79" s="555" t="s">
        <v>172</v>
      </c>
      <c r="I79" s="555" t="s">
        <v>164</v>
      </c>
      <c r="J79" s="555" t="s">
        <v>158</v>
      </c>
      <c r="K79" s="555" t="s">
        <v>243</v>
      </c>
      <c r="L79" s="562" t="s">
        <v>165</v>
      </c>
    </row>
    <row r="80" spans="2:12" s="530" customFormat="1" ht="16.5" customHeight="1" outlineLevel="1">
      <c r="B80" s="553">
        <v>64</v>
      </c>
      <c r="C80" s="556" t="s">
        <v>250</v>
      </c>
      <c r="D80" s="557">
        <v>0</v>
      </c>
      <c r="E80" s="557">
        <v>1.7184660888422298E-2</v>
      </c>
      <c r="F80" s="557">
        <v>5.6139434774296101E-2</v>
      </c>
      <c r="G80" s="557">
        <v>1.29849246286246E-2</v>
      </c>
      <c r="H80" s="557" t="s">
        <v>172</v>
      </c>
      <c r="I80" s="557" t="s">
        <v>164</v>
      </c>
      <c r="J80" s="557" t="s">
        <v>158</v>
      </c>
      <c r="K80" s="557" t="s">
        <v>245</v>
      </c>
      <c r="L80" s="563" t="s">
        <v>165</v>
      </c>
    </row>
    <row r="81" spans="2:12" s="530" customFormat="1" ht="16.5" customHeight="1" outlineLevel="1">
      <c r="B81" s="553">
        <v>65</v>
      </c>
      <c r="C81" s="554" t="s">
        <v>251</v>
      </c>
      <c r="D81" s="555">
        <v>9.41788328125297E-2</v>
      </c>
      <c r="E81" s="555">
        <v>0.135380518140301</v>
      </c>
      <c r="F81" s="555">
        <v>0.17658220346807199</v>
      </c>
      <c r="G81" s="555">
        <v>1.3733895109257099E-2</v>
      </c>
      <c r="H81" s="555" t="s">
        <v>176</v>
      </c>
      <c r="I81" s="555" t="s">
        <v>164</v>
      </c>
      <c r="J81" s="555" t="s">
        <v>158</v>
      </c>
      <c r="K81" s="555" t="s">
        <v>243</v>
      </c>
      <c r="L81" s="562" t="s">
        <v>165</v>
      </c>
    </row>
    <row r="82" spans="2:12" s="530" customFormat="1" ht="16.5" customHeight="1" outlineLevel="1">
      <c r="B82" s="553">
        <v>66</v>
      </c>
      <c r="C82" s="556" t="s">
        <v>252</v>
      </c>
      <c r="D82" s="557">
        <v>-0.64259259259259205</v>
      </c>
      <c r="E82" s="557">
        <v>0.25740740740740697</v>
      </c>
      <c r="F82" s="557">
        <v>1.1574074074074101</v>
      </c>
      <c r="G82" s="557">
        <v>0.3</v>
      </c>
      <c r="H82" s="557" t="s">
        <v>167</v>
      </c>
      <c r="I82" s="557" t="s">
        <v>164</v>
      </c>
      <c r="J82" s="557" t="s">
        <v>158</v>
      </c>
      <c r="K82" s="557" t="s">
        <v>245</v>
      </c>
      <c r="L82" s="563" t="s">
        <v>165</v>
      </c>
    </row>
    <row r="83" spans="2:12" s="530" customFormat="1" ht="16.5" customHeight="1" outlineLevel="1">
      <c r="B83" s="553">
        <v>67</v>
      </c>
      <c r="C83" s="554" t="s">
        <v>253</v>
      </c>
      <c r="D83" s="555">
        <v>1.2999999999999999E-2</v>
      </c>
      <c r="E83" s="555">
        <v>3.3000000000000002E-2</v>
      </c>
      <c r="F83" s="555">
        <v>7.0898936170212895E-2</v>
      </c>
      <c r="G83" s="555">
        <v>1.26329787234043E-2</v>
      </c>
      <c r="H83" s="555" t="s">
        <v>207</v>
      </c>
      <c r="I83" s="555" t="s">
        <v>164</v>
      </c>
      <c r="J83" s="555" t="s">
        <v>158</v>
      </c>
      <c r="K83" s="555" t="s">
        <v>245</v>
      </c>
      <c r="L83" s="562" t="s">
        <v>165</v>
      </c>
    </row>
    <row r="84" spans="2:12" s="530" customFormat="1" ht="16.5" customHeight="1" outlineLevel="1">
      <c r="B84" s="553">
        <v>68</v>
      </c>
      <c r="C84" s="556" t="s">
        <v>254</v>
      </c>
      <c r="D84" s="557">
        <v>0</v>
      </c>
      <c r="E84" s="557">
        <v>0.02</v>
      </c>
      <c r="F84" s="557">
        <v>4.7673950546290998E-2</v>
      </c>
      <c r="G84" s="557">
        <v>9.2246501820969894E-3</v>
      </c>
      <c r="H84" s="557" t="s">
        <v>207</v>
      </c>
      <c r="I84" s="557" t="s">
        <v>164</v>
      </c>
      <c r="J84" s="557" t="s">
        <v>158</v>
      </c>
      <c r="K84" s="557" t="s">
        <v>245</v>
      </c>
      <c r="L84" s="563" t="s">
        <v>165</v>
      </c>
    </row>
    <row r="85" spans="2:12" s="530" customFormat="1" ht="16.5" customHeight="1" outlineLevel="1">
      <c r="B85" s="553">
        <v>69</v>
      </c>
      <c r="C85" s="554" t="s">
        <v>255</v>
      </c>
      <c r="D85" s="555">
        <v>0</v>
      </c>
      <c r="E85" s="555">
        <v>0.02</v>
      </c>
      <c r="F85" s="555">
        <v>0.05</v>
      </c>
      <c r="G85" s="555">
        <v>0.01</v>
      </c>
      <c r="H85" s="555" t="s">
        <v>207</v>
      </c>
      <c r="I85" s="555" t="s">
        <v>164</v>
      </c>
      <c r="J85" s="555" t="s">
        <v>158</v>
      </c>
      <c r="K85" s="555" t="s">
        <v>245</v>
      </c>
      <c r="L85" s="562" t="s">
        <v>165</v>
      </c>
    </row>
    <row r="86" spans="2:12" s="530" customFormat="1" ht="16.5" customHeight="1" outlineLevel="1">
      <c r="B86" s="553">
        <v>70</v>
      </c>
      <c r="C86" s="556" t="s">
        <v>256</v>
      </c>
      <c r="D86" s="557">
        <v>0</v>
      </c>
      <c r="E86" s="557">
        <v>2.9600000000000001E-2</v>
      </c>
      <c r="F86" s="557">
        <v>8.3503875379939196E-2</v>
      </c>
      <c r="G86" s="557">
        <v>1.7967958459979699E-2</v>
      </c>
      <c r="H86" s="557" t="s">
        <v>167</v>
      </c>
      <c r="I86" s="557" t="s">
        <v>164</v>
      </c>
      <c r="J86" s="557" t="s">
        <v>158</v>
      </c>
      <c r="K86" s="557" t="s">
        <v>245</v>
      </c>
      <c r="L86" s="563" t="s">
        <v>165</v>
      </c>
    </row>
    <row r="87" spans="2:12" s="531" customFormat="1" ht="16.5">
      <c r="B87" s="564"/>
      <c r="C87" s="565"/>
      <c r="D87" s="564"/>
      <c r="E87" s="564"/>
      <c r="F87" s="564"/>
      <c r="G87" s="566"/>
      <c r="H87" s="567"/>
      <c r="I87" s="567"/>
      <c r="J87" s="567"/>
      <c r="K87" s="567"/>
      <c r="L87" s="575"/>
    </row>
    <row r="88" spans="2:12" ht="16.5">
      <c r="B88" s="549" t="s">
        <v>144</v>
      </c>
      <c r="C88" s="549" t="s">
        <v>257</v>
      </c>
      <c r="D88" s="549" t="s">
        <v>146</v>
      </c>
      <c r="E88" s="549" t="s">
        <v>147</v>
      </c>
      <c r="F88" s="550" t="s">
        <v>148</v>
      </c>
      <c r="G88" s="701" t="s">
        <v>149</v>
      </c>
      <c r="H88" s="702"/>
      <c r="I88" s="701" t="s">
        <v>150</v>
      </c>
      <c r="J88" s="702"/>
    </row>
    <row r="89" spans="2:12" ht="16.5" outlineLevel="1">
      <c r="B89" s="562">
        <v>71</v>
      </c>
      <c r="C89" s="562" t="s">
        <v>258</v>
      </c>
      <c r="D89" s="555" t="s">
        <v>156</v>
      </c>
      <c r="E89" s="562" t="s">
        <v>157</v>
      </c>
      <c r="F89" s="562" t="s">
        <v>158</v>
      </c>
      <c r="G89" s="703" t="s">
        <v>259</v>
      </c>
      <c r="H89" s="704"/>
      <c r="I89" s="705" t="s">
        <v>160</v>
      </c>
      <c r="J89" s="706"/>
    </row>
    <row r="90" spans="2:12" ht="16.5" outlineLevel="1">
      <c r="B90" s="568">
        <v>72</v>
      </c>
      <c r="C90" s="568" t="s">
        <v>260</v>
      </c>
      <c r="D90" s="557" t="s">
        <v>156</v>
      </c>
      <c r="E90" s="569" t="s">
        <v>157</v>
      </c>
      <c r="F90" s="568" t="s">
        <v>158</v>
      </c>
      <c r="G90" s="707" t="s">
        <v>259</v>
      </c>
      <c r="H90" s="708"/>
      <c r="I90" s="709" t="s">
        <v>160</v>
      </c>
      <c r="J90" s="710"/>
    </row>
    <row r="91" spans="2:12" ht="16.5" customHeight="1" outlineLevel="1">
      <c r="B91" s="562">
        <v>73</v>
      </c>
      <c r="C91" s="562" t="s">
        <v>261</v>
      </c>
      <c r="D91" s="555" t="s">
        <v>156</v>
      </c>
      <c r="E91" s="562" t="s">
        <v>157</v>
      </c>
      <c r="F91" s="562" t="s">
        <v>158</v>
      </c>
      <c r="G91" s="705" t="s">
        <v>259</v>
      </c>
      <c r="H91" s="706"/>
      <c r="I91" s="705" t="s">
        <v>160</v>
      </c>
      <c r="J91" s="706"/>
    </row>
    <row r="92" spans="2:12" ht="16.5" outlineLevel="1">
      <c r="B92" s="568">
        <v>74</v>
      </c>
      <c r="C92" s="568" t="s">
        <v>262</v>
      </c>
      <c r="D92" s="557" t="s">
        <v>156</v>
      </c>
      <c r="E92" s="568" t="s">
        <v>157</v>
      </c>
      <c r="F92" s="568" t="s">
        <v>158</v>
      </c>
      <c r="G92" s="707" t="s">
        <v>259</v>
      </c>
      <c r="H92" s="708"/>
      <c r="I92" s="711" t="s">
        <v>160</v>
      </c>
      <c r="J92" s="712"/>
    </row>
    <row r="93" spans="2:12" ht="16.5" outlineLevel="1">
      <c r="B93" s="562">
        <v>76</v>
      </c>
      <c r="C93" s="562" t="s">
        <v>263</v>
      </c>
      <c r="D93" s="570" t="s">
        <v>156</v>
      </c>
      <c r="E93" s="562" t="s">
        <v>157</v>
      </c>
      <c r="F93" s="562" t="s">
        <v>158</v>
      </c>
      <c r="G93" s="703" t="s">
        <v>259</v>
      </c>
      <c r="H93" s="704"/>
      <c r="I93" s="705" t="s">
        <v>160</v>
      </c>
      <c r="J93" s="706"/>
    </row>
    <row r="94" spans="2:12" ht="16.5" outlineLevel="1">
      <c r="B94" s="571">
        <v>77</v>
      </c>
      <c r="C94" s="571" t="s">
        <v>264</v>
      </c>
      <c r="D94" s="557" t="s">
        <v>156</v>
      </c>
      <c r="E94" s="571" t="s">
        <v>157</v>
      </c>
      <c r="F94" s="571" t="s">
        <v>158</v>
      </c>
      <c r="G94" s="707" t="s">
        <v>259</v>
      </c>
      <c r="H94" s="708"/>
      <c r="I94" s="714" t="s">
        <v>160</v>
      </c>
      <c r="J94" s="708"/>
    </row>
    <row r="95" spans="2:12" ht="16.5" outlineLevel="1">
      <c r="B95" s="562">
        <v>78</v>
      </c>
      <c r="C95" s="562" t="s">
        <v>265</v>
      </c>
      <c r="D95" s="570" t="s">
        <v>156</v>
      </c>
      <c r="E95" s="562" t="s">
        <v>157</v>
      </c>
      <c r="F95" s="562" t="s">
        <v>158</v>
      </c>
      <c r="G95" s="703" t="s">
        <v>266</v>
      </c>
      <c r="H95" s="704"/>
      <c r="I95" s="705" t="s">
        <v>160</v>
      </c>
      <c r="J95" s="706"/>
    </row>
    <row r="96" spans="2:12" ht="16.5" outlineLevel="1">
      <c r="B96" s="571">
        <v>79</v>
      </c>
      <c r="C96" s="571" t="s">
        <v>267</v>
      </c>
      <c r="D96" s="557" t="s">
        <v>156</v>
      </c>
      <c r="E96" s="571" t="s">
        <v>157</v>
      </c>
      <c r="F96" s="571" t="s">
        <v>158</v>
      </c>
      <c r="G96" s="707" t="s">
        <v>266</v>
      </c>
      <c r="H96" s="708"/>
      <c r="I96" s="714" t="s">
        <v>160</v>
      </c>
      <c r="J96" s="708"/>
    </row>
    <row r="97" spans="2:13" outlineLevel="1">
      <c r="H97" s="532"/>
    </row>
    <row r="98" spans="2:13" ht="20.25" outlineLevel="1">
      <c r="B98" s="572" t="s">
        <v>268</v>
      </c>
      <c r="C98" s="573"/>
      <c r="D98" s="574"/>
      <c r="E98" s="574"/>
      <c r="F98" s="574"/>
      <c r="G98" s="574"/>
      <c r="H98" s="574"/>
      <c r="I98" s="574"/>
      <c r="J98" s="574"/>
      <c r="K98" s="574"/>
      <c r="L98" s="574"/>
      <c r="M98" s="576"/>
    </row>
    <row r="99" spans="2:13" outlineLevel="1"/>
    <row r="100" spans="2:13" outlineLevel="1"/>
    <row r="101" spans="2:13" outlineLevel="1"/>
    <row r="102" spans="2:13" outlineLevel="1"/>
  </sheetData>
  <mergeCells count="57">
    <mergeCell ref="K15:K16"/>
    <mergeCell ref="L15:L16"/>
    <mergeCell ref="G96:H96"/>
    <mergeCell ref="I96:J96"/>
    <mergeCell ref="B12:B14"/>
    <mergeCell ref="B15:B16"/>
    <mergeCell ref="C15:C16"/>
    <mergeCell ref="H15:H16"/>
    <mergeCell ref="I15:I16"/>
    <mergeCell ref="J15:J16"/>
    <mergeCell ref="G93:H93"/>
    <mergeCell ref="I93:J93"/>
    <mergeCell ref="G94:H94"/>
    <mergeCell ref="I94:J94"/>
    <mergeCell ref="G95:H95"/>
    <mergeCell ref="I95:J95"/>
    <mergeCell ref="G90:H90"/>
    <mergeCell ref="I90:J90"/>
    <mergeCell ref="G91:H91"/>
    <mergeCell ref="I91:J91"/>
    <mergeCell ref="G92:H92"/>
    <mergeCell ref="I92:J92"/>
    <mergeCell ref="D15:G15"/>
    <mergeCell ref="G88:H88"/>
    <mergeCell ref="I88:J88"/>
    <mergeCell ref="G89:H89"/>
    <mergeCell ref="I89:J89"/>
    <mergeCell ref="D11:E11"/>
    <mergeCell ref="G11:H11"/>
    <mergeCell ref="C12:J12"/>
    <mergeCell ref="C13:J13"/>
    <mergeCell ref="C14:J14"/>
    <mergeCell ref="D9:E9"/>
    <mergeCell ref="G9:H9"/>
    <mergeCell ref="I9:J9"/>
    <mergeCell ref="D10:E10"/>
    <mergeCell ref="G10:H10"/>
    <mergeCell ref="D6:E6"/>
    <mergeCell ref="G6:H6"/>
    <mergeCell ref="I6:J6"/>
    <mergeCell ref="D7:E7"/>
    <mergeCell ref="D8:E8"/>
    <mergeCell ref="G8:H8"/>
    <mergeCell ref="I8:J8"/>
    <mergeCell ref="D4:E4"/>
    <mergeCell ref="G4:H4"/>
    <mergeCell ref="I4:J4"/>
    <mergeCell ref="D5:E5"/>
    <mergeCell ref="G5:H5"/>
    <mergeCell ref="I5:J5"/>
    <mergeCell ref="B1:M1"/>
    <mergeCell ref="B2:E2"/>
    <mergeCell ref="G2:H2"/>
    <mergeCell ref="I2:J2"/>
    <mergeCell ref="D3:E3"/>
    <mergeCell ref="G3:H3"/>
    <mergeCell ref="I3:J3"/>
  </mergeCells>
  <phoneticPr fontId="156" type="noConversion"/>
  <dataValidations count="5">
    <dataValidation type="list" allowBlank="1" showInputMessage="1" showErrorMessage="1" sqref="E87 JA87 SW87 ACS87 AMO87 AWK87 BGG87 BQC87 BZY87 CJU87 CTQ87 DDM87 DNI87 DXE87 EHA87 EQW87 FAS87 FKO87 FUK87 GEG87 GOC87 GXY87 HHU87 HRQ87 IBM87 ILI87 IVE87 JFA87 JOW87 JYS87 KIO87 KSK87 LCG87 LMC87 LVY87 MFU87 MPQ87 MZM87 NJI87 NTE87 ODA87 OMW87 OWS87 PGO87 PQK87 QAG87 QKC87 QTY87 RDU87 RNQ87 RXM87 SHI87 SRE87 TBA87 TKW87 TUS87 UEO87 UOK87 UYG87 VIC87 VRY87 WBU87 WLQ87 WVM87 E65622 JA65622 SW65622 ACS65622 AMO65622 AWK65622 BGG65622 BQC65622 BZY65622 CJU65622 CTQ65622 DDM65622 DNI65622 DXE65622 EHA65622 EQW65622 FAS65622 FKO65622 FUK65622 GEG65622 GOC65622 GXY65622 HHU65622 HRQ65622 IBM65622 ILI65622 IVE65622 JFA65622 JOW65622 JYS65622 KIO65622 KSK65622 LCG65622 LMC65622 LVY65622 MFU65622 MPQ65622 MZM65622 NJI65622 NTE65622 ODA65622 OMW65622 OWS65622 PGO65622 PQK65622 QAG65622 QKC65622 QTY65622 RDU65622 RNQ65622 RXM65622 SHI65622 SRE65622 TBA65622 TKW65622 TUS65622 UEO65622 UOK65622 UYG65622 VIC65622 VRY65622 WBU65622 WLQ65622 WVM65622 E131158 JA131158 SW131158 ACS131158 AMO131158 AWK131158 BGG131158 BQC131158 BZY131158 CJU131158 CTQ131158 DDM131158 DNI131158 DXE131158 EHA131158 EQW131158 FAS131158 FKO131158 FUK131158 GEG131158 GOC131158 GXY131158 HHU131158 HRQ131158 IBM131158 ILI131158 IVE131158 JFA131158 JOW131158 JYS131158 KIO131158 KSK131158 LCG131158 LMC131158 LVY131158 MFU131158 MPQ131158 MZM131158 NJI131158 NTE131158 ODA131158 OMW131158 OWS131158 PGO131158 PQK131158 QAG131158 QKC131158 QTY131158 RDU131158 RNQ131158 RXM131158 SHI131158 SRE131158 TBA131158 TKW131158 TUS131158 UEO131158 UOK131158 UYG131158 VIC131158 VRY131158 WBU131158 WLQ131158 WVM131158 E196694 JA196694 SW196694 ACS196694 AMO196694 AWK196694 BGG196694 BQC196694 BZY196694 CJU196694 CTQ196694 DDM196694 DNI196694 DXE196694 EHA196694 EQW196694 FAS196694 FKO196694 FUK196694 GEG196694 GOC196694 GXY196694 HHU196694 HRQ196694 IBM196694 ILI196694 IVE196694 JFA196694 JOW196694 JYS196694 KIO196694 KSK196694 LCG196694 LMC196694 LVY196694 MFU196694 MPQ196694 MZM196694 NJI196694 NTE196694 ODA196694 OMW196694 OWS196694 PGO196694 PQK196694 QAG196694 QKC196694 QTY196694 RDU196694 RNQ196694 RXM196694 SHI196694 SRE196694 TBA196694 TKW196694 TUS196694 UEO196694 UOK196694 UYG196694 VIC196694 VRY196694 WBU196694 WLQ196694 WVM196694 E262230 JA262230 SW262230 ACS262230 AMO262230 AWK262230 BGG262230 BQC262230 BZY262230 CJU262230 CTQ262230 DDM262230 DNI262230 DXE262230 EHA262230 EQW262230 FAS262230 FKO262230 FUK262230 GEG262230 GOC262230 GXY262230 HHU262230 HRQ262230 IBM262230 ILI262230 IVE262230 JFA262230 JOW262230 JYS262230 KIO262230 KSK262230 LCG262230 LMC262230 LVY262230 MFU262230 MPQ262230 MZM262230 NJI262230 NTE262230 ODA262230 OMW262230 OWS262230 PGO262230 PQK262230 QAG262230 QKC262230 QTY262230 RDU262230 RNQ262230 RXM262230 SHI262230 SRE262230 TBA262230 TKW262230 TUS262230 UEO262230 UOK262230 UYG262230 VIC262230 VRY262230 WBU262230 WLQ262230 WVM262230 E327766 JA327766 SW327766 ACS327766 AMO327766 AWK327766 BGG327766 BQC327766 BZY327766 CJU327766 CTQ327766 DDM327766 DNI327766 DXE327766 EHA327766 EQW327766 FAS327766 FKO327766 FUK327766 GEG327766 GOC327766 GXY327766 HHU327766 HRQ327766 IBM327766 ILI327766 IVE327766 JFA327766 JOW327766 JYS327766 KIO327766 KSK327766 LCG327766 LMC327766 LVY327766 MFU327766 MPQ327766 MZM327766 NJI327766 NTE327766 ODA327766 OMW327766 OWS327766 PGO327766 PQK327766 QAG327766 QKC327766 QTY327766 RDU327766 RNQ327766 RXM327766 SHI327766 SRE327766 TBA327766 TKW327766 TUS327766 UEO327766 UOK327766 UYG327766 VIC327766 VRY327766 WBU327766 WLQ327766 WVM327766 E393302 JA393302 SW393302 ACS393302 AMO393302 AWK393302 BGG393302 BQC393302 BZY393302 CJU393302 CTQ393302 DDM393302 DNI393302 DXE393302 EHA393302 EQW393302 FAS393302 FKO393302 FUK393302 GEG393302 GOC393302 GXY393302 HHU393302 HRQ393302 IBM393302 ILI393302 IVE393302 JFA393302 JOW393302 JYS393302 KIO393302 KSK393302 LCG393302 LMC393302 LVY393302 MFU393302 MPQ393302 MZM393302 NJI393302 NTE393302 ODA393302 OMW393302 OWS393302 PGO393302 PQK393302 QAG393302 QKC393302 QTY393302 RDU393302 RNQ393302 RXM393302 SHI393302 SRE393302 TBA393302 TKW393302 TUS393302 UEO393302 UOK393302 UYG393302 VIC393302 VRY393302 WBU393302 WLQ393302 WVM393302 E458838 JA458838 SW458838 ACS458838 AMO458838 AWK458838 BGG458838 BQC458838 BZY458838 CJU458838 CTQ458838 DDM458838 DNI458838 DXE458838 EHA458838 EQW458838 FAS458838 FKO458838 FUK458838 GEG458838 GOC458838 GXY458838 HHU458838 HRQ458838 IBM458838 ILI458838 IVE458838 JFA458838 JOW458838 JYS458838 KIO458838 KSK458838 LCG458838 LMC458838 LVY458838 MFU458838 MPQ458838 MZM458838 NJI458838 NTE458838 ODA458838 OMW458838 OWS458838 PGO458838 PQK458838 QAG458838 QKC458838 QTY458838 RDU458838 RNQ458838 RXM458838 SHI458838 SRE458838 TBA458838 TKW458838 TUS458838 UEO458838 UOK458838 UYG458838 VIC458838 VRY458838 WBU458838 WLQ458838 WVM458838 E524374 JA524374 SW524374 ACS524374 AMO524374 AWK524374 BGG524374 BQC524374 BZY524374 CJU524374 CTQ524374 DDM524374 DNI524374 DXE524374 EHA524374 EQW524374 FAS524374 FKO524374 FUK524374 GEG524374 GOC524374 GXY524374 HHU524374 HRQ524374 IBM524374 ILI524374 IVE524374 JFA524374 JOW524374 JYS524374 KIO524374 KSK524374 LCG524374 LMC524374 LVY524374 MFU524374 MPQ524374 MZM524374 NJI524374 NTE524374 ODA524374 OMW524374 OWS524374 PGO524374 PQK524374 QAG524374 QKC524374 QTY524374 RDU524374 RNQ524374 RXM524374 SHI524374 SRE524374 TBA524374 TKW524374 TUS524374 UEO524374 UOK524374 UYG524374 VIC524374 VRY524374 WBU524374 WLQ524374 WVM524374 E589910 JA589910 SW589910 ACS589910 AMO589910 AWK589910 BGG589910 BQC589910 BZY589910 CJU589910 CTQ589910 DDM589910 DNI589910 DXE589910 EHA589910 EQW589910 FAS589910 FKO589910 FUK589910 GEG589910 GOC589910 GXY589910 HHU589910 HRQ589910 IBM589910 ILI589910 IVE589910 JFA589910 JOW589910 JYS589910 KIO589910 KSK589910 LCG589910 LMC589910 LVY589910 MFU589910 MPQ589910 MZM589910 NJI589910 NTE589910 ODA589910 OMW589910 OWS589910 PGO589910 PQK589910 QAG589910 QKC589910 QTY589910 RDU589910 RNQ589910 RXM589910 SHI589910 SRE589910 TBA589910 TKW589910 TUS589910 UEO589910 UOK589910 UYG589910 VIC589910 VRY589910 WBU589910 WLQ589910 WVM589910 E655446 JA655446 SW655446 ACS655446 AMO655446 AWK655446 BGG655446 BQC655446 BZY655446 CJU655446 CTQ655446 DDM655446 DNI655446 DXE655446 EHA655446 EQW655446 FAS655446 FKO655446 FUK655446 GEG655446 GOC655446 GXY655446 HHU655446 HRQ655446 IBM655446 ILI655446 IVE655446 JFA655446 JOW655446 JYS655446 KIO655446 KSK655446 LCG655446 LMC655446 LVY655446 MFU655446 MPQ655446 MZM655446 NJI655446 NTE655446 ODA655446 OMW655446 OWS655446 PGO655446 PQK655446 QAG655446 QKC655446 QTY655446 RDU655446 RNQ655446 RXM655446 SHI655446 SRE655446 TBA655446 TKW655446 TUS655446 UEO655446 UOK655446 UYG655446 VIC655446 VRY655446 WBU655446 WLQ655446 WVM655446 E720982 JA720982 SW720982 ACS720982 AMO720982 AWK720982 BGG720982 BQC720982 BZY720982 CJU720982 CTQ720982 DDM720982 DNI720982 DXE720982 EHA720982 EQW720982 FAS720982 FKO720982 FUK720982 GEG720982 GOC720982 GXY720982 HHU720982 HRQ720982 IBM720982 ILI720982 IVE720982 JFA720982 JOW720982 JYS720982 KIO720982 KSK720982 LCG720982 LMC720982 LVY720982 MFU720982 MPQ720982 MZM720982 NJI720982 NTE720982 ODA720982 OMW720982 OWS720982 PGO720982 PQK720982 QAG720982 QKC720982 QTY720982 RDU720982 RNQ720982 RXM720982 SHI720982 SRE720982 TBA720982 TKW720982 TUS720982 UEO720982 UOK720982 UYG720982 VIC720982 VRY720982 WBU720982 WLQ720982 WVM720982 E786518 JA786518 SW786518 ACS786518 AMO786518 AWK786518 BGG786518 BQC786518 BZY786518 CJU786518 CTQ786518 DDM786518 DNI786518 DXE786518 EHA786518 EQW786518 FAS786518 FKO786518 FUK786518 GEG786518 GOC786518 GXY786518 HHU786518 HRQ786518 IBM786518 ILI786518 IVE786518 JFA786518 JOW786518 JYS786518 KIO786518 KSK786518 LCG786518 LMC786518 LVY786518 MFU786518 MPQ786518 MZM786518 NJI786518 NTE786518 ODA786518 OMW786518 OWS786518 PGO786518 PQK786518 QAG786518 QKC786518 QTY786518 RDU786518 RNQ786518 RXM786518 SHI786518 SRE786518 TBA786518 TKW786518 TUS786518 UEO786518 UOK786518 UYG786518 VIC786518 VRY786518 WBU786518 WLQ786518 WVM786518 E852054 JA852054 SW852054 ACS852054 AMO852054 AWK852054 BGG852054 BQC852054 BZY852054 CJU852054 CTQ852054 DDM852054 DNI852054 DXE852054 EHA852054 EQW852054 FAS852054 FKO852054 FUK852054 GEG852054 GOC852054 GXY852054 HHU852054 HRQ852054 IBM852054 ILI852054 IVE852054 JFA852054 JOW852054 JYS852054 KIO852054 KSK852054 LCG852054 LMC852054 LVY852054 MFU852054 MPQ852054 MZM852054 NJI852054 NTE852054 ODA852054 OMW852054 OWS852054 PGO852054 PQK852054 QAG852054 QKC852054 QTY852054 RDU852054 RNQ852054 RXM852054 SHI852054 SRE852054 TBA852054 TKW852054 TUS852054 UEO852054 UOK852054 UYG852054 VIC852054 VRY852054 WBU852054 WLQ852054 WVM852054 E917590 JA917590 SW917590 ACS917590 AMO917590 AWK917590 BGG917590 BQC917590 BZY917590 CJU917590 CTQ917590 DDM917590 DNI917590 DXE917590 EHA917590 EQW917590 FAS917590 FKO917590 FUK917590 GEG917590 GOC917590 GXY917590 HHU917590 HRQ917590 IBM917590 ILI917590 IVE917590 JFA917590 JOW917590 JYS917590 KIO917590 KSK917590 LCG917590 LMC917590 LVY917590 MFU917590 MPQ917590 MZM917590 NJI917590 NTE917590 ODA917590 OMW917590 OWS917590 PGO917590 PQK917590 QAG917590 QKC917590 QTY917590 RDU917590 RNQ917590 RXM917590 SHI917590 SRE917590 TBA917590 TKW917590 TUS917590 UEO917590 UOK917590 UYG917590 VIC917590 VRY917590 WBU917590 WLQ917590 WVM917590 E983126 JA983126 SW983126 ACS983126 AMO983126 AWK983126 BGG983126 BQC983126 BZY983126 CJU983126 CTQ983126 DDM983126 DNI983126 DXE983126 EHA983126 EQW983126 FAS983126 FKO983126 FUK983126 GEG983126 GOC983126 GXY983126 HHU983126 HRQ983126 IBM983126 ILI983126 IVE983126 JFA983126 JOW983126 JYS983126 KIO983126 KSK983126 LCG983126 LMC983126 LVY983126 MFU983126 MPQ983126 MZM983126 NJI983126 NTE983126 ODA983126 OMW983126 OWS983126 PGO983126 PQK983126 QAG983126 QKC983126 QTY983126 RDU983126 RNQ983126 RXM983126 SHI983126 SRE983126 TBA983126 TKW983126 TUS983126 UEO983126 UOK983126 UYG983126 VIC983126 VRY983126 WBU983126 WLQ983126 WVM983126 E89:E92 E65624:E65627 E131160:E131163 E196696:E196699 E262232:E262235 E327768:E327771 E393304:E393307 E458840:E458843 E524376:E524379 E589912:E589915 E655448:E655451 E720984:E720987 E786520:E786523 E852056:E852059 E917592:E917595 E983128:E983131 I17:I86 I65553:I65575 I65577:I65621 I131089:I131111 I131113:I131157 I196625:I196647 I196649:I196693 I262161:I262183 I262185:I262229 I327697:I327719 I327721:I327765 I393233:I393255 I393257:I393301 I458769:I458791 I458793:I458837 I524305:I524327 I524329:I524373 I589841:I589863 I589865:I589909 I655377:I655399 I655401:I655445 I720913:I720935 I720937:I720981 I786449:I786471 I786473:I786517 I851985:I852007 I852009:I852053 I917521:I917543 I917545:I917589 I983057:I983079 I983081:I983125 JA89:JA92 JA65624:JA65627 JA131160:JA131163 JA196696:JA196699 JA262232:JA262235 JA327768:JA327771 JA393304:JA393307 JA458840:JA458843 JA524376:JA524379 JA589912:JA589915 JA655448:JA655451 JA720984:JA720987 JA786520:JA786523 JA852056:JA852059 JA917592:JA917595 JA983128:JA983131 JE17:JE39 JE41:JE86 JE65553:JE65575 JE65577:JE65621 JE131089:JE131111 JE131113:JE131157 JE196625:JE196647 JE196649:JE196693 JE262161:JE262183 JE262185:JE262229 JE327697:JE327719 JE327721:JE327765 JE393233:JE393255 JE393257:JE393301 JE458769:JE458791 JE458793:JE458837 JE524305:JE524327 JE524329:JE524373 JE589841:JE589863 JE589865:JE589909 JE655377:JE655399 JE655401:JE655445 JE720913:JE720935 JE720937:JE720981 JE786449:JE786471 JE786473:JE786517 JE851985:JE852007 JE852009:JE852053 JE917521:JE917543 JE917545:JE917589 JE983057:JE983079 JE983081:JE983125 SW89:SW92 SW65624:SW65627 SW131160:SW131163 SW196696:SW196699 SW262232:SW262235 SW327768:SW327771 SW393304:SW393307 SW458840:SW458843 SW524376:SW524379 SW589912:SW589915 SW655448:SW655451 SW720984:SW720987 SW786520:SW786523 SW852056:SW852059 SW917592:SW917595 SW983128:SW983131 TA17:TA39 TA41:TA86 TA65553:TA65575 TA65577:TA65621 TA131089:TA131111 TA131113:TA131157 TA196625:TA196647 TA196649:TA196693 TA262161:TA262183 TA262185:TA262229 TA327697:TA327719 TA327721:TA327765 TA393233:TA393255 TA393257:TA393301 TA458769:TA458791 TA458793:TA458837 TA524305:TA524327 TA524329:TA524373 TA589841:TA589863 TA589865:TA589909 TA655377:TA655399 TA655401:TA655445 TA720913:TA720935 TA720937:TA720981 TA786449:TA786471 TA786473:TA786517 TA851985:TA852007 TA852009:TA852053 TA917521:TA917543 TA917545:TA917589 TA983057:TA983079 TA983081:TA983125 ACS89:ACS92 ACS65624:ACS65627 ACS131160:ACS131163 ACS196696:ACS196699 ACS262232:ACS262235 ACS327768:ACS327771 ACS393304:ACS393307 ACS458840:ACS458843 ACS524376:ACS524379 ACS589912:ACS589915 ACS655448:ACS655451 ACS720984:ACS720987 ACS786520:ACS786523 ACS852056:ACS852059 ACS917592:ACS917595 ACS983128:ACS983131 ACW17:ACW39 ACW41:ACW86 ACW65553:ACW65575 ACW65577:ACW65621 ACW131089:ACW131111 ACW131113:ACW131157 ACW196625:ACW196647 ACW196649:ACW196693 ACW262161:ACW262183 ACW262185:ACW262229 ACW327697:ACW327719 ACW327721:ACW327765 ACW393233:ACW393255 ACW393257:ACW393301 ACW458769:ACW458791 ACW458793:ACW458837 ACW524305:ACW524327 ACW524329:ACW524373 ACW589841:ACW589863 ACW589865:ACW589909 ACW655377:ACW655399 ACW655401:ACW655445 ACW720913:ACW720935 ACW720937:ACW720981 ACW786449:ACW786471 ACW786473:ACW786517 ACW851985:ACW852007 ACW852009:ACW852053 ACW917521:ACW917543 ACW917545:ACW917589 ACW983057:ACW983079 ACW983081:ACW983125 AMO89:AMO92 AMO65624:AMO65627 AMO131160:AMO131163 AMO196696:AMO196699 AMO262232:AMO262235 AMO327768:AMO327771 AMO393304:AMO393307 AMO458840:AMO458843 AMO524376:AMO524379 AMO589912:AMO589915 AMO655448:AMO655451 AMO720984:AMO720987 AMO786520:AMO786523 AMO852056:AMO852059 AMO917592:AMO917595 AMO983128:AMO983131 AMS17:AMS39 AMS41:AMS86 AMS65553:AMS65575 AMS65577:AMS65621 AMS131089:AMS131111 AMS131113:AMS131157 AMS196625:AMS196647 AMS196649:AMS196693 AMS262161:AMS262183 AMS262185:AMS262229 AMS327697:AMS327719 AMS327721:AMS327765 AMS393233:AMS393255 AMS393257:AMS393301 AMS458769:AMS458791 AMS458793:AMS458837 AMS524305:AMS524327 AMS524329:AMS524373 AMS589841:AMS589863 AMS589865:AMS589909 AMS655377:AMS655399 AMS655401:AMS655445 AMS720913:AMS720935 AMS720937:AMS720981 AMS786449:AMS786471 AMS786473:AMS786517 AMS851985:AMS852007 AMS852009:AMS852053 AMS917521:AMS917543 AMS917545:AMS917589 AMS983057:AMS983079 AMS983081:AMS983125 AWK89:AWK92 AWK65624:AWK65627 AWK131160:AWK131163 AWK196696:AWK196699 AWK262232:AWK262235 AWK327768:AWK327771 AWK393304:AWK393307 AWK458840:AWK458843 AWK524376:AWK524379 AWK589912:AWK589915 AWK655448:AWK655451 AWK720984:AWK720987 AWK786520:AWK786523 AWK852056:AWK852059 AWK917592:AWK917595 AWK983128:AWK983131 AWO17:AWO39 AWO41:AWO86 AWO65553:AWO65575 AWO65577:AWO65621 AWO131089:AWO131111 AWO131113:AWO131157 AWO196625:AWO196647 AWO196649:AWO196693 AWO262161:AWO262183 AWO262185:AWO262229 AWO327697:AWO327719 AWO327721:AWO327765 AWO393233:AWO393255 AWO393257:AWO393301 AWO458769:AWO458791 AWO458793:AWO458837 AWO524305:AWO524327 AWO524329:AWO524373 AWO589841:AWO589863 AWO589865:AWO589909 AWO655377:AWO655399 AWO655401:AWO655445 AWO720913:AWO720935 AWO720937:AWO720981 AWO786449:AWO786471 AWO786473:AWO786517 AWO851985:AWO852007 AWO852009:AWO852053 AWO917521:AWO917543 AWO917545:AWO917589 AWO983057:AWO983079 AWO983081:AWO983125 BGG89:BGG92 BGG65624:BGG65627 BGG131160:BGG131163 BGG196696:BGG196699 BGG262232:BGG262235 BGG327768:BGG327771 BGG393304:BGG393307 BGG458840:BGG458843 BGG524376:BGG524379 BGG589912:BGG589915 BGG655448:BGG655451 BGG720984:BGG720987 BGG786520:BGG786523 BGG852056:BGG852059 BGG917592:BGG917595 BGG983128:BGG983131 BGK17:BGK39 BGK41:BGK86 BGK65553:BGK65575 BGK65577:BGK65621 BGK131089:BGK131111 BGK131113:BGK131157 BGK196625:BGK196647 BGK196649:BGK196693 BGK262161:BGK262183 BGK262185:BGK262229 BGK327697:BGK327719 BGK327721:BGK327765 BGK393233:BGK393255 BGK393257:BGK393301 BGK458769:BGK458791 BGK458793:BGK458837 BGK524305:BGK524327 BGK524329:BGK524373 BGK589841:BGK589863 BGK589865:BGK589909 BGK655377:BGK655399 BGK655401:BGK655445 BGK720913:BGK720935 BGK720937:BGK720981 BGK786449:BGK786471 BGK786473:BGK786517 BGK851985:BGK852007 BGK852009:BGK852053 BGK917521:BGK917543 BGK917545:BGK917589 BGK983057:BGK983079 BGK983081:BGK983125 BQC89:BQC92 BQC65624:BQC65627 BQC131160:BQC131163 BQC196696:BQC196699 BQC262232:BQC262235 BQC327768:BQC327771 BQC393304:BQC393307 BQC458840:BQC458843 BQC524376:BQC524379 BQC589912:BQC589915 BQC655448:BQC655451 BQC720984:BQC720987 BQC786520:BQC786523 BQC852056:BQC852059 BQC917592:BQC917595 BQC983128:BQC983131 BQG17:BQG39 BQG41:BQG86 BQG65553:BQG65575 BQG65577:BQG65621 BQG131089:BQG131111 BQG131113:BQG131157 BQG196625:BQG196647 BQG196649:BQG196693 BQG262161:BQG262183 BQG262185:BQG262229 BQG327697:BQG327719 BQG327721:BQG327765 BQG393233:BQG393255 BQG393257:BQG393301 BQG458769:BQG458791 BQG458793:BQG458837 BQG524305:BQG524327 BQG524329:BQG524373 BQG589841:BQG589863 BQG589865:BQG589909 BQG655377:BQG655399 BQG655401:BQG655445 BQG720913:BQG720935 BQG720937:BQG720981 BQG786449:BQG786471 BQG786473:BQG786517 BQG851985:BQG852007 BQG852009:BQG852053 BQG917521:BQG917543 BQG917545:BQG917589 BQG983057:BQG983079 BQG983081:BQG983125 BZY89:BZY92 BZY65624:BZY65627 BZY131160:BZY131163 BZY196696:BZY196699 BZY262232:BZY262235 BZY327768:BZY327771 BZY393304:BZY393307 BZY458840:BZY458843 BZY524376:BZY524379 BZY589912:BZY589915 BZY655448:BZY655451 BZY720984:BZY720987 BZY786520:BZY786523 BZY852056:BZY852059 BZY917592:BZY917595 BZY983128:BZY983131 CAC17:CAC39 CAC41:CAC86 CAC65553:CAC65575 CAC65577:CAC65621 CAC131089:CAC131111 CAC131113:CAC131157 CAC196625:CAC196647 CAC196649:CAC196693 CAC262161:CAC262183 CAC262185:CAC262229 CAC327697:CAC327719 CAC327721:CAC327765 CAC393233:CAC393255 CAC393257:CAC393301 CAC458769:CAC458791 CAC458793:CAC458837 CAC524305:CAC524327 CAC524329:CAC524373 CAC589841:CAC589863 CAC589865:CAC589909 CAC655377:CAC655399 CAC655401:CAC655445 CAC720913:CAC720935 CAC720937:CAC720981 CAC786449:CAC786471 CAC786473:CAC786517 CAC851985:CAC852007 CAC852009:CAC852053 CAC917521:CAC917543 CAC917545:CAC917589 CAC983057:CAC983079 CAC983081:CAC983125 CJU89:CJU92 CJU65624:CJU65627 CJU131160:CJU131163 CJU196696:CJU196699 CJU262232:CJU262235 CJU327768:CJU327771 CJU393304:CJU393307 CJU458840:CJU458843 CJU524376:CJU524379 CJU589912:CJU589915 CJU655448:CJU655451 CJU720984:CJU720987 CJU786520:CJU786523 CJU852056:CJU852059 CJU917592:CJU917595 CJU983128:CJU983131 CJY17:CJY39 CJY41:CJY86 CJY65553:CJY65575 CJY65577:CJY65621 CJY131089:CJY131111 CJY131113:CJY131157 CJY196625:CJY196647 CJY196649:CJY196693 CJY262161:CJY262183 CJY262185:CJY262229 CJY327697:CJY327719 CJY327721:CJY327765 CJY393233:CJY393255 CJY393257:CJY393301 CJY458769:CJY458791 CJY458793:CJY458837 CJY524305:CJY524327 CJY524329:CJY524373 CJY589841:CJY589863 CJY589865:CJY589909 CJY655377:CJY655399 CJY655401:CJY655445 CJY720913:CJY720935 CJY720937:CJY720981 CJY786449:CJY786471 CJY786473:CJY786517 CJY851985:CJY852007 CJY852009:CJY852053 CJY917521:CJY917543 CJY917545:CJY917589 CJY983057:CJY983079 CJY983081:CJY983125 CTQ89:CTQ92 CTQ65624:CTQ65627 CTQ131160:CTQ131163 CTQ196696:CTQ196699 CTQ262232:CTQ262235 CTQ327768:CTQ327771 CTQ393304:CTQ393307 CTQ458840:CTQ458843 CTQ524376:CTQ524379 CTQ589912:CTQ589915 CTQ655448:CTQ655451 CTQ720984:CTQ720987 CTQ786520:CTQ786523 CTQ852056:CTQ852059 CTQ917592:CTQ917595 CTQ983128:CTQ983131 CTU17:CTU39 CTU41:CTU86 CTU65553:CTU65575 CTU65577:CTU65621 CTU131089:CTU131111 CTU131113:CTU131157 CTU196625:CTU196647 CTU196649:CTU196693 CTU262161:CTU262183 CTU262185:CTU262229 CTU327697:CTU327719 CTU327721:CTU327765 CTU393233:CTU393255 CTU393257:CTU393301 CTU458769:CTU458791 CTU458793:CTU458837 CTU524305:CTU524327 CTU524329:CTU524373 CTU589841:CTU589863 CTU589865:CTU589909 CTU655377:CTU655399 CTU655401:CTU655445 CTU720913:CTU720935 CTU720937:CTU720981 CTU786449:CTU786471 CTU786473:CTU786517 CTU851985:CTU852007 CTU852009:CTU852053 CTU917521:CTU917543 CTU917545:CTU917589 CTU983057:CTU983079 CTU983081:CTU983125 DDM89:DDM92 DDM65624:DDM65627 DDM131160:DDM131163 DDM196696:DDM196699 DDM262232:DDM262235 DDM327768:DDM327771 DDM393304:DDM393307 DDM458840:DDM458843 DDM524376:DDM524379 DDM589912:DDM589915 DDM655448:DDM655451 DDM720984:DDM720987 DDM786520:DDM786523 DDM852056:DDM852059 DDM917592:DDM917595 DDM983128:DDM983131 DDQ17:DDQ39 DDQ41:DDQ86 DDQ65553:DDQ65575 DDQ65577:DDQ65621 DDQ131089:DDQ131111 DDQ131113:DDQ131157 DDQ196625:DDQ196647 DDQ196649:DDQ196693 DDQ262161:DDQ262183 DDQ262185:DDQ262229 DDQ327697:DDQ327719 DDQ327721:DDQ327765 DDQ393233:DDQ393255 DDQ393257:DDQ393301 DDQ458769:DDQ458791 DDQ458793:DDQ458837 DDQ524305:DDQ524327 DDQ524329:DDQ524373 DDQ589841:DDQ589863 DDQ589865:DDQ589909 DDQ655377:DDQ655399 DDQ655401:DDQ655445 DDQ720913:DDQ720935 DDQ720937:DDQ720981 DDQ786449:DDQ786471 DDQ786473:DDQ786517 DDQ851985:DDQ852007 DDQ852009:DDQ852053 DDQ917521:DDQ917543 DDQ917545:DDQ917589 DDQ983057:DDQ983079 DDQ983081:DDQ983125 DNI89:DNI92 DNI65624:DNI65627 DNI131160:DNI131163 DNI196696:DNI196699 DNI262232:DNI262235 DNI327768:DNI327771 DNI393304:DNI393307 DNI458840:DNI458843 DNI524376:DNI524379 DNI589912:DNI589915 DNI655448:DNI655451 DNI720984:DNI720987 DNI786520:DNI786523 DNI852056:DNI852059 DNI917592:DNI917595 DNI983128:DNI983131 DNM17:DNM39 DNM41:DNM86 DNM65553:DNM65575 DNM65577:DNM65621 DNM131089:DNM131111 DNM131113:DNM131157 DNM196625:DNM196647 DNM196649:DNM196693 DNM262161:DNM262183 DNM262185:DNM262229 DNM327697:DNM327719 DNM327721:DNM327765 DNM393233:DNM393255 DNM393257:DNM393301 DNM458769:DNM458791 DNM458793:DNM458837 DNM524305:DNM524327 DNM524329:DNM524373 DNM589841:DNM589863 DNM589865:DNM589909 DNM655377:DNM655399 DNM655401:DNM655445 DNM720913:DNM720935 DNM720937:DNM720981 DNM786449:DNM786471 DNM786473:DNM786517 DNM851985:DNM852007 DNM852009:DNM852053 DNM917521:DNM917543 DNM917545:DNM917589 DNM983057:DNM983079 DNM983081:DNM983125 DXE89:DXE92 DXE65624:DXE65627 DXE131160:DXE131163 DXE196696:DXE196699 DXE262232:DXE262235 DXE327768:DXE327771 DXE393304:DXE393307 DXE458840:DXE458843 DXE524376:DXE524379 DXE589912:DXE589915 DXE655448:DXE655451 DXE720984:DXE720987 DXE786520:DXE786523 DXE852056:DXE852059 DXE917592:DXE917595 DXE983128:DXE983131 DXI17:DXI39 DXI41:DXI86 DXI65553:DXI65575 DXI65577:DXI65621 DXI131089:DXI131111 DXI131113:DXI131157 DXI196625:DXI196647 DXI196649:DXI196693 DXI262161:DXI262183 DXI262185:DXI262229 DXI327697:DXI327719 DXI327721:DXI327765 DXI393233:DXI393255 DXI393257:DXI393301 DXI458769:DXI458791 DXI458793:DXI458837 DXI524305:DXI524327 DXI524329:DXI524373 DXI589841:DXI589863 DXI589865:DXI589909 DXI655377:DXI655399 DXI655401:DXI655445 DXI720913:DXI720935 DXI720937:DXI720981 DXI786449:DXI786471 DXI786473:DXI786517 DXI851985:DXI852007 DXI852009:DXI852053 DXI917521:DXI917543 DXI917545:DXI917589 DXI983057:DXI983079 DXI983081:DXI983125 EHA89:EHA92 EHA65624:EHA65627 EHA131160:EHA131163 EHA196696:EHA196699 EHA262232:EHA262235 EHA327768:EHA327771 EHA393304:EHA393307 EHA458840:EHA458843 EHA524376:EHA524379 EHA589912:EHA589915 EHA655448:EHA655451 EHA720984:EHA720987 EHA786520:EHA786523 EHA852056:EHA852059 EHA917592:EHA917595 EHA983128:EHA983131 EHE17:EHE39 EHE41:EHE86 EHE65553:EHE65575 EHE65577:EHE65621 EHE131089:EHE131111 EHE131113:EHE131157 EHE196625:EHE196647 EHE196649:EHE196693 EHE262161:EHE262183 EHE262185:EHE262229 EHE327697:EHE327719 EHE327721:EHE327765 EHE393233:EHE393255 EHE393257:EHE393301 EHE458769:EHE458791 EHE458793:EHE458837 EHE524305:EHE524327 EHE524329:EHE524373 EHE589841:EHE589863 EHE589865:EHE589909 EHE655377:EHE655399 EHE655401:EHE655445 EHE720913:EHE720935 EHE720937:EHE720981 EHE786449:EHE786471 EHE786473:EHE786517 EHE851985:EHE852007 EHE852009:EHE852053 EHE917521:EHE917543 EHE917545:EHE917589 EHE983057:EHE983079 EHE983081:EHE983125 EQW89:EQW92 EQW65624:EQW65627 EQW131160:EQW131163 EQW196696:EQW196699 EQW262232:EQW262235 EQW327768:EQW327771 EQW393304:EQW393307 EQW458840:EQW458843 EQW524376:EQW524379 EQW589912:EQW589915 EQW655448:EQW655451 EQW720984:EQW720987 EQW786520:EQW786523 EQW852056:EQW852059 EQW917592:EQW917595 EQW983128:EQW983131 ERA17:ERA39 ERA41:ERA86 ERA65553:ERA65575 ERA65577:ERA65621 ERA131089:ERA131111 ERA131113:ERA131157 ERA196625:ERA196647 ERA196649:ERA196693 ERA262161:ERA262183 ERA262185:ERA262229 ERA327697:ERA327719 ERA327721:ERA327765 ERA393233:ERA393255 ERA393257:ERA393301 ERA458769:ERA458791 ERA458793:ERA458837 ERA524305:ERA524327 ERA524329:ERA524373 ERA589841:ERA589863 ERA589865:ERA589909 ERA655377:ERA655399 ERA655401:ERA655445 ERA720913:ERA720935 ERA720937:ERA720981 ERA786449:ERA786471 ERA786473:ERA786517 ERA851985:ERA852007 ERA852009:ERA852053 ERA917521:ERA917543 ERA917545:ERA917589 ERA983057:ERA983079 ERA983081:ERA983125 FAS89:FAS92 FAS65624:FAS65627 FAS131160:FAS131163 FAS196696:FAS196699 FAS262232:FAS262235 FAS327768:FAS327771 FAS393304:FAS393307 FAS458840:FAS458843 FAS524376:FAS524379 FAS589912:FAS589915 FAS655448:FAS655451 FAS720984:FAS720987 FAS786520:FAS786523 FAS852056:FAS852059 FAS917592:FAS917595 FAS983128:FAS983131 FAW17:FAW39 FAW41:FAW86 FAW65553:FAW65575 FAW65577:FAW65621 FAW131089:FAW131111 FAW131113:FAW131157 FAW196625:FAW196647 FAW196649:FAW196693 FAW262161:FAW262183 FAW262185:FAW262229 FAW327697:FAW327719 FAW327721:FAW327765 FAW393233:FAW393255 FAW393257:FAW393301 FAW458769:FAW458791 FAW458793:FAW458837 FAW524305:FAW524327 FAW524329:FAW524373 FAW589841:FAW589863 FAW589865:FAW589909 FAW655377:FAW655399 FAW655401:FAW655445 FAW720913:FAW720935 FAW720937:FAW720981 FAW786449:FAW786471 FAW786473:FAW786517 FAW851985:FAW852007 FAW852009:FAW852053 FAW917521:FAW917543 FAW917545:FAW917589 FAW983057:FAW983079 FAW983081:FAW983125 FKO89:FKO92 FKO65624:FKO65627 FKO131160:FKO131163 FKO196696:FKO196699 FKO262232:FKO262235 FKO327768:FKO327771 FKO393304:FKO393307 FKO458840:FKO458843 FKO524376:FKO524379 FKO589912:FKO589915 FKO655448:FKO655451 FKO720984:FKO720987 FKO786520:FKO786523 FKO852056:FKO852059 FKO917592:FKO917595 FKO983128:FKO983131 FKS17:FKS39 FKS41:FKS86 FKS65553:FKS65575 FKS65577:FKS65621 FKS131089:FKS131111 FKS131113:FKS131157 FKS196625:FKS196647 FKS196649:FKS196693 FKS262161:FKS262183 FKS262185:FKS262229 FKS327697:FKS327719 FKS327721:FKS327765 FKS393233:FKS393255 FKS393257:FKS393301 FKS458769:FKS458791 FKS458793:FKS458837 FKS524305:FKS524327 FKS524329:FKS524373 FKS589841:FKS589863 FKS589865:FKS589909 FKS655377:FKS655399 FKS655401:FKS655445 FKS720913:FKS720935 FKS720937:FKS720981 FKS786449:FKS786471 FKS786473:FKS786517 FKS851985:FKS852007 FKS852009:FKS852053 FKS917521:FKS917543 FKS917545:FKS917589 FKS983057:FKS983079 FKS983081:FKS983125 FUK89:FUK92 FUK65624:FUK65627 FUK131160:FUK131163 FUK196696:FUK196699 FUK262232:FUK262235 FUK327768:FUK327771 FUK393304:FUK393307 FUK458840:FUK458843 FUK524376:FUK524379 FUK589912:FUK589915 FUK655448:FUK655451 FUK720984:FUK720987 FUK786520:FUK786523 FUK852056:FUK852059 FUK917592:FUK917595 FUK983128:FUK983131 FUO17:FUO39 FUO41:FUO86 FUO65553:FUO65575 FUO65577:FUO65621 FUO131089:FUO131111 FUO131113:FUO131157 FUO196625:FUO196647 FUO196649:FUO196693 FUO262161:FUO262183 FUO262185:FUO262229 FUO327697:FUO327719 FUO327721:FUO327765 FUO393233:FUO393255 FUO393257:FUO393301 FUO458769:FUO458791 FUO458793:FUO458837 FUO524305:FUO524327 FUO524329:FUO524373 FUO589841:FUO589863 FUO589865:FUO589909 FUO655377:FUO655399 FUO655401:FUO655445 FUO720913:FUO720935 FUO720937:FUO720981 FUO786449:FUO786471 FUO786473:FUO786517 FUO851985:FUO852007 FUO852009:FUO852053 FUO917521:FUO917543 FUO917545:FUO917589 FUO983057:FUO983079 FUO983081:FUO983125 GEG89:GEG92 GEG65624:GEG65627 GEG131160:GEG131163 GEG196696:GEG196699 GEG262232:GEG262235 GEG327768:GEG327771 GEG393304:GEG393307 GEG458840:GEG458843 GEG524376:GEG524379 GEG589912:GEG589915 GEG655448:GEG655451 GEG720984:GEG720987 GEG786520:GEG786523 GEG852056:GEG852059 GEG917592:GEG917595 GEG983128:GEG983131 GEK17:GEK39 GEK41:GEK86 GEK65553:GEK65575 GEK65577:GEK65621 GEK131089:GEK131111 GEK131113:GEK131157 GEK196625:GEK196647 GEK196649:GEK196693 GEK262161:GEK262183 GEK262185:GEK262229 GEK327697:GEK327719 GEK327721:GEK327765 GEK393233:GEK393255 GEK393257:GEK393301 GEK458769:GEK458791 GEK458793:GEK458837 GEK524305:GEK524327 GEK524329:GEK524373 GEK589841:GEK589863 GEK589865:GEK589909 GEK655377:GEK655399 GEK655401:GEK655445 GEK720913:GEK720935 GEK720937:GEK720981 GEK786449:GEK786471 GEK786473:GEK786517 GEK851985:GEK852007 GEK852009:GEK852053 GEK917521:GEK917543 GEK917545:GEK917589 GEK983057:GEK983079 GEK983081:GEK983125 GOC89:GOC92 GOC65624:GOC65627 GOC131160:GOC131163 GOC196696:GOC196699 GOC262232:GOC262235 GOC327768:GOC327771 GOC393304:GOC393307 GOC458840:GOC458843 GOC524376:GOC524379 GOC589912:GOC589915 GOC655448:GOC655451 GOC720984:GOC720987 GOC786520:GOC786523 GOC852056:GOC852059 GOC917592:GOC917595 GOC983128:GOC983131 GOG17:GOG39 GOG41:GOG86 GOG65553:GOG65575 GOG65577:GOG65621 GOG131089:GOG131111 GOG131113:GOG131157 GOG196625:GOG196647 GOG196649:GOG196693 GOG262161:GOG262183 GOG262185:GOG262229 GOG327697:GOG327719 GOG327721:GOG327765 GOG393233:GOG393255 GOG393257:GOG393301 GOG458769:GOG458791 GOG458793:GOG458837 GOG524305:GOG524327 GOG524329:GOG524373 GOG589841:GOG589863 GOG589865:GOG589909 GOG655377:GOG655399 GOG655401:GOG655445 GOG720913:GOG720935 GOG720937:GOG720981 GOG786449:GOG786471 GOG786473:GOG786517 GOG851985:GOG852007 GOG852009:GOG852053 GOG917521:GOG917543 GOG917545:GOG917589 GOG983057:GOG983079 GOG983081:GOG983125 GXY89:GXY92 GXY65624:GXY65627 GXY131160:GXY131163 GXY196696:GXY196699 GXY262232:GXY262235 GXY327768:GXY327771 GXY393304:GXY393307 GXY458840:GXY458843 GXY524376:GXY524379 GXY589912:GXY589915 GXY655448:GXY655451 GXY720984:GXY720987 GXY786520:GXY786523 GXY852056:GXY852059 GXY917592:GXY917595 GXY983128:GXY983131 GYC17:GYC39 GYC41:GYC86 GYC65553:GYC65575 GYC65577:GYC65621 GYC131089:GYC131111 GYC131113:GYC131157 GYC196625:GYC196647 GYC196649:GYC196693 GYC262161:GYC262183 GYC262185:GYC262229 GYC327697:GYC327719 GYC327721:GYC327765 GYC393233:GYC393255 GYC393257:GYC393301 GYC458769:GYC458791 GYC458793:GYC458837 GYC524305:GYC524327 GYC524329:GYC524373 GYC589841:GYC589863 GYC589865:GYC589909 GYC655377:GYC655399 GYC655401:GYC655445 GYC720913:GYC720935 GYC720937:GYC720981 GYC786449:GYC786471 GYC786473:GYC786517 GYC851985:GYC852007 GYC852009:GYC852053 GYC917521:GYC917543 GYC917545:GYC917589 GYC983057:GYC983079 GYC983081:GYC983125 HHU89:HHU92 HHU65624:HHU65627 HHU131160:HHU131163 HHU196696:HHU196699 HHU262232:HHU262235 HHU327768:HHU327771 HHU393304:HHU393307 HHU458840:HHU458843 HHU524376:HHU524379 HHU589912:HHU589915 HHU655448:HHU655451 HHU720984:HHU720987 HHU786520:HHU786523 HHU852056:HHU852059 HHU917592:HHU917595 HHU983128:HHU983131 HHY17:HHY39 HHY41:HHY86 HHY65553:HHY65575 HHY65577:HHY65621 HHY131089:HHY131111 HHY131113:HHY131157 HHY196625:HHY196647 HHY196649:HHY196693 HHY262161:HHY262183 HHY262185:HHY262229 HHY327697:HHY327719 HHY327721:HHY327765 HHY393233:HHY393255 HHY393257:HHY393301 HHY458769:HHY458791 HHY458793:HHY458837 HHY524305:HHY524327 HHY524329:HHY524373 HHY589841:HHY589863 HHY589865:HHY589909 HHY655377:HHY655399 HHY655401:HHY655445 HHY720913:HHY720935 HHY720937:HHY720981 HHY786449:HHY786471 HHY786473:HHY786517 HHY851985:HHY852007 HHY852009:HHY852053 HHY917521:HHY917543 HHY917545:HHY917589 HHY983057:HHY983079 HHY983081:HHY983125 HRQ89:HRQ92 HRQ65624:HRQ65627 HRQ131160:HRQ131163 HRQ196696:HRQ196699 HRQ262232:HRQ262235 HRQ327768:HRQ327771 HRQ393304:HRQ393307 HRQ458840:HRQ458843 HRQ524376:HRQ524379 HRQ589912:HRQ589915 HRQ655448:HRQ655451 HRQ720984:HRQ720987 HRQ786520:HRQ786523 HRQ852056:HRQ852059 HRQ917592:HRQ917595 HRQ983128:HRQ983131 HRU17:HRU39 HRU41:HRU86 HRU65553:HRU65575 HRU65577:HRU65621 HRU131089:HRU131111 HRU131113:HRU131157 HRU196625:HRU196647 HRU196649:HRU196693 HRU262161:HRU262183 HRU262185:HRU262229 HRU327697:HRU327719 HRU327721:HRU327765 HRU393233:HRU393255 HRU393257:HRU393301 HRU458769:HRU458791 HRU458793:HRU458837 HRU524305:HRU524327 HRU524329:HRU524373 HRU589841:HRU589863 HRU589865:HRU589909 HRU655377:HRU655399 HRU655401:HRU655445 HRU720913:HRU720935 HRU720937:HRU720981 HRU786449:HRU786471 HRU786473:HRU786517 HRU851985:HRU852007 HRU852009:HRU852053 HRU917521:HRU917543 HRU917545:HRU917589 HRU983057:HRU983079 HRU983081:HRU983125 IBM89:IBM92 IBM65624:IBM65627 IBM131160:IBM131163 IBM196696:IBM196699 IBM262232:IBM262235 IBM327768:IBM327771 IBM393304:IBM393307 IBM458840:IBM458843 IBM524376:IBM524379 IBM589912:IBM589915 IBM655448:IBM655451 IBM720984:IBM720987 IBM786520:IBM786523 IBM852056:IBM852059 IBM917592:IBM917595 IBM983128:IBM983131 IBQ17:IBQ39 IBQ41:IBQ86 IBQ65553:IBQ65575 IBQ65577:IBQ65621 IBQ131089:IBQ131111 IBQ131113:IBQ131157 IBQ196625:IBQ196647 IBQ196649:IBQ196693 IBQ262161:IBQ262183 IBQ262185:IBQ262229 IBQ327697:IBQ327719 IBQ327721:IBQ327765 IBQ393233:IBQ393255 IBQ393257:IBQ393301 IBQ458769:IBQ458791 IBQ458793:IBQ458837 IBQ524305:IBQ524327 IBQ524329:IBQ524373 IBQ589841:IBQ589863 IBQ589865:IBQ589909 IBQ655377:IBQ655399 IBQ655401:IBQ655445 IBQ720913:IBQ720935 IBQ720937:IBQ720981 IBQ786449:IBQ786471 IBQ786473:IBQ786517 IBQ851985:IBQ852007 IBQ852009:IBQ852053 IBQ917521:IBQ917543 IBQ917545:IBQ917589 IBQ983057:IBQ983079 IBQ983081:IBQ983125 ILI89:ILI92 ILI65624:ILI65627 ILI131160:ILI131163 ILI196696:ILI196699 ILI262232:ILI262235 ILI327768:ILI327771 ILI393304:ILI393307 ILI458840:ILI458843 ILI524376:ILI524379 ILI589912:ILI589915 ILI655448:ILI655451 ILI720984:ILI720987 ILI786520:ILI786523 ILI852056:ILI852059 ILI917592:ILI917595 ILI983128:ILI983131 ILM17:ILM39 ILM41:ILM86 ILM65553:ILM65575 ILM65577:ILM65621 ILM131089:ILM131111 ILM131113:ILM131157 ILM196625:ILM196647 ILM196649:ILM196693 ILM262161:ILM262183 ILM262185:ILM262229 ILM327697:ILM327719 ILM327721:ILM327765 ILM393233:ILM393255 ILM393257:ILM393301 ILM458769:ILM458791 ILM458793:ILM458837 ILM524305:ILM524327 ILM524329:ILM524373 ILM589841:ILM589863 ILM589865:ILM589909 ILM655377:ILM655399 ILM655401:ILM655445 ILM720913:ILM720935 ILM720937:ILM720981 ILM786449:ILM786471 ILM786473:ILM786517 ILM851985:ILM852007 ILM852009:ILM852053 ILM917521:ILM917543 ILM917545:ILM917589 ILM983057:ILM983079 ILM983081:ILM983125 IVE89:IVE92 IVE65624:IVE65627 IVE131160:IVE131163 IVE196696:IVE196699 IVE262232:IVE262235 IVE327768:IVE327771 IVE393304:IVE393307 IVE458840:IVE458843 IVE524376:IVE524379 IVE589912:IVE589915 IVE655448:IVE655451 IVE720984:IVE720987 IVE786520:IVE786523 IVE852056:IVE852059 IVE917592:IVE917595 IVE983128:IVE983131 IVI17:IVI39 IVI41:IVI86 IVI65553:IVI65575 IVI65577:IVI65621 IVI131089:IVI131111 IVI131113:IVI131157 IVI196625:IVI196647 IVI196649:IVI196693 IVI262161:IVI262183 IVI262185:IVI262229 IVI327697:IVI327719 IVI327721:IVI327765 IVI393233:IVI393255 IVI393257:IVI393301 IVI458769:IVI458791 IVI458793:IVI458837 IVI524305:IVI524327 IVI524329:IVI524373 IVI589841:IVI589863 IVI589865:IVI589909 IVI655377:IVI655399 IVI655401:IVI655445 IVI720913:IVI720935 IVI720937:IVI720981 IVI786449:IVI786471 IVI786473:IVI786517 IVI851985:IVI852007 IVI852009:IVI852053 IVI917521:IVI917543 IVI917545:IVI917589 IVI983057:IVI983079 IVI983081:IVI983125 JFA89:JFA92 JFA65624:JFA65627 JFA131160:JFA131163 JFA196696:JFA196699 JFA262232:JFA262235 JFA327768:JFA327771 JFA393304:JFA393307 JFA458840:JFA458843 JFA524376:JFA524379 JFA589912:JFA589915 JFA655448:JFA655451 JFA720984:JFA720987 JFA786520:JFA786523 JFA852056:JFA852059 JFA917592:JFA917595 JFA983128:JFA983131 JFE17:JFE39 JFE41:JFE86 JFE65553:JFE65575 JFE65577:JFE65621 JFE131089:JFE131111 JFE131113:JFE131157 JFE196625:JFE196647 JFE196649:JFE196693 JFE262161:JFE262183 JFE262185:JFE262229 JFE327697:JFE327719 JFE327721:JFE327765 JFE393233:JFE393255 JFE393257:JFE393301 JFE458769:JFE458791 JFE458793:JFE458837 JFE524305:JFE524327 JFE524329:JFE524373 JFE589841:JFE589863 JFE589865:JFE589909 JFE655377:JFE655399 JFE655401:JFE655445 JFE720913:JFE720935 JFE720937:JFE720981 JFE786449:JFE786471 JFE786473:JFE786517 JFE851985:JFE852007 JFE852009:JFE852053 JFE917521:JFE917543 JFE917545:JFE917589 JFE983057:JFE983079 JFE983081:JFE983125 JOW89:JOW92 JOW65624:JOW65627 JOW131160:JOW131163 JOW196696:JOW196699 JOW262232:JOW262235 JOW327768:JOW327771 JOW393304:JOW393307 JOW458840:JOW458843 JOW524376:JOW524379 JOW589912:JOW589915 JOW655448:JOW655451 JOW720984:JOW720987 JOW786520:JOW786523 JOW852056:JOW852059 JOW917592:JOW917595 JOW983128:JOW983131 JPA17:JPA39 JPA41:JPA86 JPA65553:JPA65575 JPA65577:JPA65621 JPA131089:JPA131111 JPA131113:JPA131157 JPA196625:JPA196647 JPA196649:JPA196693 JPA262161:JPA262183 JPA262185:JPA262229 JPA327697:JPA327719 JPA327721:JPA327765 JPA393233:JPA393255 JPA393257:JPA393301 JPA458769:JPA458791 JPA458793:JPA458837 JPA524305:JPA524327 JPA524329:JPA524373 JPA589841:JPA589863 JPA589865:JPA589909 JPA655377:JPA655399 JPA655401:JPA655445 JPA720913:JPA720935 JPA720937:JPA720981 JPA786449:JPA786471 JPA786473:JPA786517 JPA851985:JPA852007 JPA852009:JPA852053 JPA917521:JPA917543 JPA917545:JPA917589 JPA983057:JPA983079 JPA983081:JPA983125 JYS89:JYS92 JYS65624:JYS65627 JYS131160:JYS131163 JYS196696:JYS196699 JYS262232:JYS262235 JYS327768:JYS327771 JYS393304:JYS393307 JYS458840:JYS458843 JYS524376:JYS524379 JYS589912:JYS589915 JYS655448:JYS655451 JYS720984:JYS720987 JYS786520:JYS786523 JYS852056:JYS852059 JYS917592:JYS917595 JYS983128:JYS983131 JYW17:JYW39 JYW41:JYW86 JYW65553:JYW65575 JYW65577:JYW65621 JYW131089:JYW131111 JYW131113:JYW131157 JYW196625:JYW196647 JYW196649:JYW196693 JYW262161:JYW262183 JYW262185:JYW262229 JYW327697:JYW327719 JYW327721:JYW327765 JYW393233:JYW393255 JYW393257:JYW393301 JYW458769:JYW458791 JYW458793:JYW458837 JYW524305:JYW524327 JYW524329:JYW524373 JYW589841:JYW589863 JYW589865:JYW589909 JYW655377:JYW655399 JYW655401:JYW655445 JYW720913:JYW720935 JYW720937:JYW720981 JYW786449:JYW786471 JYW786473:JYW786517 JYW851985:JYW852007 JYW852009:JYW852053 JYW917521:JYW917543 JYW917545:JYW917589 JYW983057:JYW983079 JYW983081:JYW983125 KIO89:KIO92 KIO65624:KIO65627 KIO131160:KIO131163 KIO196696:KIO196699 KIO262232:KIO262235 KIO327768:KIO327771 KIO393304:KIO393307 KIO458840:KIO458843 KIO524376:KIO524379 KIO589912:KIO589915 KIO655448:KIO655451 KIO720984:KIO720987 KIO786520:KIO786523 KIO852056:KIO852059 KIO917592:KIO917595 KIO983128:KIO983131 KIS17:KIS39 KIS41:KIS86 KIS65553:KIS65575 KIS65577:KIS65621 KIS131089:KIS131111 KIS131113:KIS131157 KIS196625:KIS196647 KIS196649:KIS196693 KIS262161:KIS262183 KIS262185:KIS262229 KIS327697:KIS327719 KIS327721:KIS327765 KIS393233:KIS393255 KIS393257:KIS393301 KIS458769:KIS458791 KIS458793:KIS458837 KIS524305:KIS524327 KIS524329:KIS524373 KIS589841:KIS589863 KIS589865:KIS589909 KIS655377:KIS655399 KIS655401:KIS655445 KIS720913:KIS720935 KIS720937:KIS720981 KIS786449:KIS786471 KIS786473:KIS786517 KIS851985:KIS852007 KIS852009:KIS852053 KIS917521:KIS917543 KIS917545:KIS917589 KIS983057:KIS983079 KIS983081:KIS983125 KSK89:KSK92 KSK65624:KSK65627 KSK131160:KSK131163 KSK196696:KSK196699 KSK262232:KSK262235 KSK327768:KSK327771 KSK393304:KSK393307 KSK458840:KSK458843 KSK524376:KSK524379 KSK589912:KSK589915 KSK655448:KSK655451 KSK720984:KSK720987 KSK786520:KSK786523 KSK852056:KSK852059 KSK917592:KSK917595 KSK983128:KSK983131 KSO17:KSO39 KSO41:KSO86 KSO65553:KSO65575 KSO65577:KSO65621 KSO131089:KSO131111 KSO131113:KSO131157 KSO196625:KSO196647 KSO196649:KSO196693 KSO262161:KSO262183 KSO262185:KSO262229 KSO327697:KSO327719 KSO327721:KSO327765 KSO393233:KSO393255 KSO393257:KSO393301 KSO458769:KSO458791 KSO458793:KSO458837 KSO524305:KSO524327 KSO524329:KSO524373 KSO589841:KSO589863 KSO589865:KSO589909 KSO655377:KSO655399 KSO655401:KSO655445 KSO720913:KSO720935 KSO720937:KSO720981 KSO786449:KSO786471 KSO786473:KSO786517 KSO851985:KSO852007 KSO852009:KSO852053 KSO917521:KSO917543 KSO917545:KSO917589 KSO983057:KSO983079 KSO983081:KSO983125 LCG89:LCG92 LCG65624:LCG65627 LCG131160:LCG131163 LCG196696:LCG196699 LCG262232:LCG262235 LCG327768:LCG327771 LCG393304:LCG393307 LCG458840:LCG458843 LCG524376:LCG524379 LCG589912:LCG589915 LCG655448:LCG655451 LCG720984:LCG720987 LCG786520:LCG786523 LCG852056:LCG852059 LCG917592:LCG917595 LCG983128:LCG983131 LCK17:LCK39 LCK41:LCK86 LCK65553:LCK65575 LCK65577:LCK65621 LCK131089:LCK131111 LCK131113:LCK131157 LCK196625:LCK196647 LCK196649:LCK196693 LCK262161:LCK262183 LCK262185:LCK262229 LCK327697:LCK327719 LCK327721:LCK327765 LCK393233:LCK393255 LCK393257:LCK393301 LCK458769:LCK458791 LCK458793:LCK458837 LCK524305:LCK524327 LCK524329:LCK524373 LCK589841:LCK589863 LCK589865:LCK589909 LCK655377:LCK655399 LCK655401:LCK655445 LCK720913:LCK720935 LCK720937:LCK720981 LCK786449:LCK786471 LCK786473:LCK786517 LCK851985:LCK852007 LCK852009:LCK852053 LCK917521:LCK917543 LCK917545:LCK917589 LCK983057:LCK983079 LCK983081:LCK983125 LMC89:LMC92 LMC65624:LMC65627 LMC131160:LMC131163 LMC196696:LMC196699 LMC262232:LMC262235 LMC327768:LMC327771 LMC393304:LMC393307 LMC458840:LMC458843 LMC524376:LMC524379 LMC589912:LMC589915 LMC655448:LMC655451 LMC720984:LMC720987 LMC786520:LMC786523 LMC852056:LMC852059 LMC917592:LMC917595 LMC983128:LMC983131 LMG17:LMG39 LMG41:LMG86 LMG65553:LMG65575 LMG65577:LMG65621 LMG131089:LMG131111 LMG131113:LMG131157 LMG196625:LMG196647 LMG196649:LMG196693 LMG262161:LMG262183 LMG262185:LMG262229 LMG327697:LMG327719 LMG327721:LMG327765 LMG393233:LMG393255 LMG393257:LMG393301 LMG458769:LMG458791 LMG458793:LMG458837 LMG524305:LMG524327 LMG524329:LMG524373 LMG589841:LMG589863 LMG589865:LMG589909 LMG655377:LMG655399 LMG655401:LMG655445 LMG720913:LMG720935 LMG720937:LMG720981 LMG786449:LMG786471 LMG786473:LMG786517 LMG851985:LMG852007 LMG852009:LMG852053 LMG917521:LMG917543 LMG917545:LMG917589 LMG983057:LMG983079 LMG983081:LMG983125 LVY89:LVY92 LVY65624:LVY65627 LVY131160:LVY131163 LVY196696:LVY196699 LVY262232:LVY262235 LVY327768:LVY327771 LVY393304:LVY393307 LVY458840:LVY458843 LVY524376:LVY524379 LVY589912:LVY589915 LVY655448:LVY655451 LVY720984:LVY720987 LVY786520:LVY786523 LVY852056:LVY852059 LVY917592:LVY917595 LVY983128:LVY983131 LWC17:LWC39 LWC41:LWC86 LWC65553:LWC65575 LWC65577:LWC65621 LWC131089:LWC131111 LWC131113:LWC131157 LWC196625:LWC196647 LWC196649:LWC196693 LWC262161:LWC262183 LWC262185:LWC262229 LWC327697:LWC327719 LWC327721:LWC327765 LWC393233:LWC393255 LWC393257:LWC393301 LWC458769:LWC458791 LWC458793:LWC458837 LWC524305:LWC524327 LWC524329:LWC524373 LWC589841:LWC589863 LWC589865:LWC589909 LWC655377:LWC655399 LWC655401:LWC655445 LWC720913:LWC720935 LWC720937:LWC720981 LWC786449:LWC786471 LWC786473:LWC786517 LWC851985:LWC852007 LWC852009:LWC852053 LWC917521:LWC917543 LWC917545:LWC917589 LWC983057:LWC983079 LWC983081:LWC983125 MFU89:MFU92 MFU65624:MFU65627 MFU131160:MFU131163 MFU196696:MFU196699 MFU262232:MFU262235 MFU327768:MFU327771 MFU393304:MFU393307 MFU458840:MFU458843 MFU524376:MFU524379 MFU589912:MFU589915 MFU655448:MFU655451 MFU720984:MFU720987 MFU786520:MFU786523 MFU852056:MFU852059 MFU917592:MFU917595 MFU983128:MFU983131 MFY17:MFY39 MFY41:MFY86 MFY65553:MFY65575 MFY65577:MFY65621 MFY131089:MFY131111 MFY131113:MFY131157 MFY196625:MFY196647 MFY196649:MFY196693 MFY262161:MFY262183 MFY262185:MFY262229 MFY327697:MFY327719 MFY327721:MFY327765 MFY393233:MFY393255 MFY393257:MFY393301 MFY458769:MFY458791 MFY458793:MFY458837 MFY524305:MFY524327 MFY524329:MFY524373 MFY589841:MFY589863 MFY589865:MFY589909 MFY655377:MFY655399 MFY655401:MFY655445 MFY720913:MFY720935 MFY720937:MFY720981 MFY786449:MFY786471 MFY786473:MFY786517 MFY851985:MFY852007 MFY852009:MFY852053 MFY917521:MFY917543 MFY917545:MFY917589 MFY983057:MFY983079 MFY983081:MFY983125 MPQ89:MPQ92 MPQ65624:MPQ65627 MPQ131160:MPQ131163 MPQ196696:MPQ196699 MPQ262232:MPQ262235 MPQ327768:MPQ327771 MPQ393304:MPQ393307 MPQ458840:MPQ458843 MPQ524376:MPQ524379 MPQ589912:MPQ589915 MPQ655448:MPQ655451 MPQ720984:MPQ720987 MPQ786520:MPQ786523 MPQ852056:MPQ852059 MPQ917592:MPQ917595 MPQ983128:MPQ983131 MPU17:MPU39 MPU41:MPU86 MPU65553:MPU65575 MPU65577:MPU65621 MPU131089:MPU131111 MPU131113:MPU131157 MPU196625:MPU196647 MPU196649:MPU196693 MPU262161:MPU262183 MPU262185:MPU262229 MPU327697:MPU327719 MPU327721:MPU327765 MPU393233:MPU393255 MPU393257:MPU393301 MPU458769:MPU458791 MPU458793:MPU458837 MPU524305:MPU524327 MPU524329:MPU524373 MPU589841:MPU589863 MPU589865:MPU589909 MPU655377:MPU655399 MPU655401:MPU655445 MPU720913:MPU720935 MPU720937:MPU720981 MPU786449:MPU786471 MPU786473:MPU786517 MPU851985:MPU852007 MPU852009:MPU852053 MPU917521:MPU917543 MPU917545:MPU917589 MPU983057:MPU983079 MPU983081:MPU983125 MZM89:MZM92 MZM65624:MZM65627 MZM131160:MZM131163 MZM196696:MZM196699 MZM262232:MZM262235 MZM327768:MZM327771 MZM393304:MZM393307 MZM458840:MZM458843 MZM524376:MZM524379 MZM589912:MZM589915 MZM655448:MZM655451 MZM720984:MZM720987 MZM786520:MZM786523 MZM852056:MZM852059 MZM917592:MZM917595 MZM983128:MZM983131 MZQ17:MZQ39 MZQ41:MZQ86 MZQ65553:MZQ65575 MZQ65577:MZQ65621 MZQ131089:MZQ131111 MZQ131113:MZQ131157 MZQ196625:MZQ196647 MZQ196649:MZQ196693 MZQ262161:MZQ262183 MZQ262185:MZQ262229 MZQ327697:MZQ327719 MZQ327721:MZQ327765 MZQ393233:MZQ393255 MZQ393257:MZQ393301 MZQ458769:MZQ458791 MZQ458793:MZQ458837 MZQ524305:MZQ524327 MZQ524329:MZQ524373 MZQ589841:MZQ589863 MZQ589865:MZQ589909 MZQ655377:MZQ655399 MZQ655401:MZQ655445 MZQ720913:MZQ720935 MZQ720937:MZQ720981 MZQ786449:MZQ786471 MZQ786473:MZQ786517 MZQ851985:MZQ852007 MZQ852009:MZQ852053 MZQ917521:MZQ917543 MZQ917545:MZQ917589 MZQ983057:MZQ983079 MZQ983081:MZQ983125 NJI89:NJI92 NJI65624:NJI65627 NJI131160:NJI131163 NJI196696:NJI196699 NJI262232:NJI262235 NJI327768:NJI327771 NJI393304:NJI393307 NJI458840:NJI458843 NJI524376:NJI524379 NJI589912:NJI589915 NJI655448:NJI655451 NJI720984:NJI720987 NJI786520:NJI786523 NJI852056:NJI852059 NJI917592:NJI917595 NJI983128:NJI983131 NJM17:NJM39 NJM41:NJM86 NJM65553:NJM65575 NJM65577:NJM65621 NJM131089:NJM131111 NJM131113:NJM131157 NJM196625:NJM196647 NJM196649:NJM196693 NJM262161:NJM262183 NJM262185:NJM262229 NJM327697:NJM327719 NJM327721:NJM327765 NJM393233:NJM393255 NJM393257:NJM393301 NJM458769:NJM458791 NJM458793:NJM458837 NJM524305:NJM524327 NJM524329:NJM524373 NJM589841:NJM589863 NJM589865:NJM589909 NJM655377:NJM655399 NJM655401:NJM655445 NJM720913:NJM720935 NJM720937:NJM720981 NJM786449:NJM786471 NJM786473:NJM786517 NJM851985:NJM852007 NJM852009:NJM852053 NJM917521:NJM917543 NJM917545:NJM917589 NJM983057:NJM983079 NJM983081:NJM983125 NTE89:NTE92 NTE65624:NTE65627 NTE131160:NTE131163 NTE196696:NTE196699 NTE262232:NTE262235 NTE327768:NTE327771 NTE393304:NTE393307 NTE458840:NTE458843 NTE524376:NTE524379 NTE589912:NTE589915 NTE655448:NTE655451 NTE720984:NTE720987 NTE786520:NTE786523 NTE852056:NTE852059 NTE917592:NTE917595 NTE983128:NTE983131 NTI17:NTI39 NTI41:NTI86 NTI65553:NTI65575 NTI65577:NTI65621 NTI131089:NTI131111 NTI131113:NTI131157 NTI196625:NTI196647 NTI196649:NTI196693 NTI262161:NTI262183 NTI262185:NTI262229 NTI327697:NTI327719 NTI327721:NTI327765 NTI393233:NTI393255 NTI393257:NTI393301 NTI458769:NTI458791 NTI458793:NTI458837 NTI524305:NTI524327 NTI524329:NTI524373 NTI589841:NTI589863 NTI589865:NTI589909 NTI655377:NTI655399 NTI655401:NTI655445 NTI720913:NTI720935 NTI720937:NTI720981 NTI786449:NTI786471 NTI786473:NTI786517 NTI851985:NTI852007 NTI852009:NTI852053 NTI917521:NTI917543 NTI917545:NTI917589 NTI983057:NTI983079 NTI983081:NTI983125 ODA89:ODA92 ODA65624:ODA65627 ODA131160:ODA131163 ODA196696:ODA196699 ODA262232:ODA262235 ODA327768:ODA327771 ODA393304:ODA393307 ODA458840:ODA458843 ODA524376:ODA524379 ODA589912:ODA589915 ODA655448:ODA655451 ODA720984:ODA720987 ODA786520:ODA786523 ODA852056:ODA852059 ODA917592:ODA917595 ODA983128:ODA983131 ODE17:ODE39 ODE41:ODE86 ODE65553:ODE65575 ODE65577:ODE65621 ODE131089:ODE131111 ODE131113:ODE131157 ODE196625:ODE196647 ODE196649:ODE196693 ODE262161:ODE262183 ODE262185:ODE262229 ODE327697:ODE327719 ODE327721:ODE327765 ODE393233:ODE393255 ODE393257:ODE393301 ODE458769:ODE458791 ODE458793:ODE458837 ODE524305:ODE524327 ODE524329:ODE524373 ODE589841:ODE589863 ODE589865:ODE589909 ODE655377:ODE655399 ODE655401:ODE655445 ODE720913:ODE720935 ODE720937:ODE720981 ODE786449:ODE786471 ODE786473:ODE786517 ODE851985:ODE852007 ODE852009:ODE852053 ODE917521:ODE917543 ODE917545:ODE917589 ODE983057:ODE983079 ODE983081:ODE983125 OMW89:OMW92 OMW65624:OMW65627 OMW131160:OMW131163 OMW196696:OMW196699 OMW262232:OMW262235 OMW327768:OMW327771 OMW393304:OMW393307 OMW458840:OMW458843 OMW524376:OMW524379 OMW589912:OMW589915 OMW655448:OMW655451 OMW720984:OMW720987 OMW786520:OMW786523 OMW852056:OMW852059 OMW917592:OMW917595 OMW983128:OMW983131 ONA17:ONA39 ONA41:ONA86 ONA65553:ONA65575 ONA65577:ONA65621 ONA131089:ONA131111 ONA131113:ONA131157 ONA196625:ONA196647 ONA196649:ONA196693 ONA262161:ONA262183 ONA262185:ONA262229 ONA327697:ONA327719 ONA327721:ONA327765 ONA393233:ONA393255 ONA393257:ONA393301 ONA458769:ONA458791 ONA458793:ONA458837 ONA524305:ONA524327 ONA524329:ONA524373 ONA589841:ONA589863 ONA589865:ONA589909 ONA655377:ONA655399 ONA655401:ONA655445 ONA720913:ONA720935 ONA720937:ONA720981 ONA786449:ONA786471 ONA786473:ONA786517 ONA851985:ONA852007 ONA852009:ONA852053 ONA917521:ONA917543 ONA917545:ONA917589 ONA983057:ONA983079 ONA983081:ONA983125 OWS89:OWS92 OWS65624:OWS65627 OWS131160:OWS131163 OWS196696:OWS196699 OWS262232:OWS262235 OWS327768:OWS327771 OWS393304:OWS393307 OWS458840:OWS458843 OWS524376:OWS524379 OWS589912:OWS589915 OWS655448:OWS655451 OWS720984:OWS720987 OWS786520:OWS786523 OWS852056:OWS852059 OWS917592:OWS917595 OWS983128:OWS983131 OWW17:OWW39 OWW41:OWW86 OWW65553:OWW65575 OWW65577:OWW65621 OWW131089:OWW131111 OWW131113:OWW131157 OWW196625:OWW196647 OWW196649:OWW196693 OWW262161:OWW262183 OWW262185:OWW262229 OWW327697:OWW327719 OWW327721:OWW327765 OWW393233:OWW393255 OWW393257:OWW393301 OWW458769:OWW458791 OWW458793:OWW458837 OWW524305:OWW524327 OWW524329:OWW524373 OWW589841:OWW589863 OWW589865:OWW589909 OWW655377:OWW655399 OWW655401:OWW655445 OWW720913:OWW720935 OWW720937:OWW720981 OWW786449:OWW786471 OWW786473:OWW786517 OWW851985:OWW852007 OWW852009:OWW852053 OWW917521:OWW917543 OWW917545:OWW917589 OWW983057:OWW983079 OWW983081:OWW983125 PGO89:PGO92 PGO65624:PGO65627 PGO131160:PGO131163 PGO196696:PGO196699 PGO262232:PGO262235 PGO327768:PGO327771 PGO393304:PGO393307 PGO458840:PGO458843 PGO524376:PGO524379 PGO589912:PGO589915 PGO655448:PGO655451 PGO720984:PGO720987 PGO786520:PGO786523 PGO852056:PGO852059 PGO917592:PGO917595 PGO983128:PGO983131 PGS17:PGS39 PGS41:PGS86 PGS65553:PGS65575 PGS65577:PGS65621 PGS131089:PGS131111 PGS131113:PGS131157 PGS196625:PGS196647 PGS196649:PGS196693 PGS262161:PGS262183 PGS262185:PGS262229 PGS327697:PGS327719 PGS327721:PGS327765 PGS393233:PGS393255 PGS393257:PGS393301 PGS458769:PGS458791 PGS458793:PGS458837 PGS524305:PGS524327 PGS524329:PGS524373 PGS589841:PGS589863 PGS589865:PGS589909 PGS655377:PGS655399 PGS655401:PGS655445 PGS720913:PGS720935 PGS720937:PGS720981 PGS786449:PGS786471 PGS786473:PGS786517 PGS851985:PGS852007 PGS852009:PGS852053 PGS917521:PGS917543 PGS917545:PGS917589 PGS983057:PGS983079 PGS983081:PGS983125 PQK89:PQK92 PQK65624:PQK65627 PQK131160:PQK131163 PQK196696:PQK196699 PQK262232:PQK262235 PQK327768:PQK327771 PQK393304:PQK393307 PQK458840:PQK458843 PQK524376:PQK524379 PQK589912:PQK589915 PQK655448:PQK655451 PQK720984:PQK720987 PQK786520:PQK786523 PQK852056:PQK852059 PQK917592:PQK917595 PQK983128:PQK983131 PQO17:PQO39 PQO41:PQO86 PQO65553:PQO65575 PQO65577:PQO65621 PQO131089:PQO131111 PQO131113:PQO131157 PQO196625:PQO196647 PQO196649:PQO196693 PQO262161:PQO262183 PQO262185:PQO262229 PQO327697:PQO327719 PQO327721:PQO327765 PQO393233:PQO393255 PQO393257:PQO393301 PQO458769:PQO458791 PQO458793:PQO458837 PQO524305:PQO524327 PQO524329:PQO524373 PQO589841:PQO589863 PQO589865:PQO589909 PQO655377:PQO655399 PQO655401:PQO655445 PQO720913:PQO720935 PQO720937:PQO720981 PQO786449:PQO786471 PQO786473:PQO786517 PQO851985:PQO852007 PQO852009:PQO852053 PQO917521:PQO917543 PQO917545:PQO917589 PQO983057:PQO983079 PQO983081:PQO983125 QAG89:QAG92 QAG65624:QAG65627 QAG131160:QAG131163 QAG196696:QAG196699 QAG262232:QAG262235 QAG327768:QAG327771 QAG393304:QAG393307 QAG458840:QAG458843 QAG524376:QAG524379 QAG589912:QAG589915 QAG655448:QAG655451 QAG720984:QAG720987 QAG786520:QAG786523 QAG852056:QAG852059 QAG917592:QAG917595 QAG983128:QAG983131 QAK17:QAK39 QAK41:QAK86 QAK65553:QAK65575 QAK65577:QAK65621 QAK131089:QAK131111 QAK131113:QAK131157 QAK196625:QAK196647 QAK196649:QAK196693 QAK262161:QAK262183 QAK262185:QAK262229 QAK327697:QAK327719 QAK327721:QAK327765 QAK393233:QAK393255 QAK393257:QAK393301 QAK458769:QAK458791 QAK458793:QAK458837 QAK524305:QAK524327 QAK524329:QAK524373 QAK589841:QAK589863 QAK589865:QAK589909 QAK655377:QAK655399 QAK655401:QAK655445 QAK720913:QAK720935 QAK720937:QAK720981 QAK786449:QAK786471 QAK786473:QAK786517 QAK851985:QAK852007 QAK852009:QAK852053 QAK917521:QAK917543 QAK917545:QAK917589 QAK983057:QAK983079 QAK983081:QAK983125 QKC89:QKC92 QKC65624:QKC65627 QKC131160:QKC131163 QKC196696:QKC196699 QKC262232:QKC262235 QKC327768:QKC327771 QKC393304:QKC393307 QKC458840:QKC458843 QKC524376:QKC524379 QKC589912:QKC589915 QKC655448:QKC655451 QKC720984:QKC720987 QKC786520:QKC786523 QKC852056:QKC852059 QKC917592:QKC917595 QKC983128:QKC983131 QKG17:QKG39 QKG41:QKG86 QKG65553:QKG65575 QKG65577:QKG65621 QKG131089:QKG131111 QKG131113:QKG131157 QKG196625:QKG196647 QKG196649:QKG196693 QKG262161:QKG262183 QKG262185:QKG262229 QKG327697:QKG327719 QKG327721:QKG327765 QKG393233:QKG393255 QKG393257:QKG393301 QKG458769:QKG458791 QKG458793:QKG458837 QKG524305:QKG524327 QKG524329:QKG524373 QKG589841:QKG589863 QKG589865:QKG589909 QKG655377:QKG655399 QKG655401:QKG655445 QKG720913:QKG720935 QKG720937:QKG720981 QKG786449:QKG786471 QKG786473:QKG786517 QKG851985:QKG852007 QKG852009:QKG852053 QKG917521:QKG917543 QKG917545:QKG917589 QKG983057:QKG983079 QKG983081:QKG983125 QTY89:QTY92 QTY65624:QTY65627 QTY131160:QTY131163 QTY196696:QTY196699 QTY262232:QTY262235 QTY327768:QTY327771 QTY393304:QTY393307 QTY458840:QTY458843 QTY524376:QTY524379 QTY589912:QTY589915 QTY655448:QTY655451 QTY720984:QTY720987 QTY786520:QTY786523 QTY852056:QTY852059 QTY917592:QTY917595 QTY983128:QTY983131 QUC17:QUC39 QUC41:QUC86 QUC65553:QUC65575 QUC65577:QUC65621 QUC131089:QUC131111 QUC131113:QUC131157 QUC196625:QUC196647 QUC196649:QUC196693 QUC262161:QUC262183 QUC262185:QUC262229 QUC327697:QUC327719 QUC327721:QUC327765 QUC393233:QUC393255 QUC393257:QUC393301 QUC458769:QUC458791 QUC458793:QUC458837 QUC524305:QUC524327 QUC524329:QUC524373 QUC589841:QUC589863 QUC589865:QUC589909 QUC655377:QUC655399 QUC655401:QUC655445 QUC720913:QUC720935 QUC720937:QUC720981 QUC786449:QUC786471 QUC786473:QUC786517 QUC851985:QUC852007 QUC852009:QUC852053 QUC917521:QUC917543 QUC917545:QUC917589 QUC983057:QUC983079 QUC983081:QUC983125 RDU89:RDU92 RDU65624:RDU65627 RDU131160:RDU131163 RDU196696:RDU196699 RDU262232:RDU262235 RDU327768:RDU327771 RDU393304:RDU393307 RDU458840:RDU458843 RDU524376:RDU524379 RDU589912:RDU589915 RDU655448:RDU655451 RDU720984:RDU720987 RDU786520:RDU786523 RDU852056:RDU852059 RDU917592:RDU917595 RDU983128:RDU983131 RDY17:RDY39 RDY41:RDY86 RDY65553:RDY65575 RDY65577:RDY65621 RDY131089:RDY131111 RDY131113:RDY131157 RDY196625:RDY196647 RDY196649:RDY196693 RDY262161:RDY262183 RDY262185:RDY262229 RDY327697:RDY327719 RDY327721:RDY327765 RDY393233:RDY393255 RDY393257:RDY393301 RDY458769:RDY458791 RDY458793:RDY458837 RDY524305:RDY524327 RDY524329:RDY524373 RDY589841:RDY589863 RDY589865:RDY589909 RDY655377:RDY655399 RDY655401:RDY655445 RDY720913:RDY720935 RDY720937:RDY720981 RDY786449:RDY786471 RDY786473:RDY786517 RDY851985:RDY852007 RDY852009:RDY852053 RDY917521:RDY917543 RDY917545:RDY917589 RDY983057:RDY983079 RDY983081:RDY983125 RNQ89:RNQ92 RNQ65624:RNQ65627 RNQ131160:RNQ131163 RNQ196696:RNQ196699 RNQ262232:RNQ262235 RNQ327768:RNQ327771 RNQ393304:RNQ393307 RNQ458840:RNQ458843 RNQ524376:RNQ524379 RNQ589912:RNQ589915 RNQ655448:RNQ655451 RNQ720984:RNQ720987 RNQ786520:RNQ786523 RNQ852056:RNQ852059 RNQ917592:RNQ917595 RNQ983128:RNQ983131 RNU17:RNU39 RNU41:RNU86 RNU65553:RNU65575 RNU65577:RNU65621 RNU131089:RNU131111 RNU131113:RNU131157 RNU196625:RNU196647 RNU196649:RNU196693 RNU262161:RNU262183 RNU262185:RNU262229 RNU327697:RNU327719 RNU327721:RNU327765 RNU393233:RNU393255 RNU393257:RNU393301 RNU458769:RNU458791 RNU458793:RNU458837 RNU524305:RNU524327 RNU524329:RNU524373 RNU589841:RNU589863 RNU589865:RNU589909 RNU655377:RNU655399 RNU655401:RNU655445 RNU720913:RNU720935 RNU720937:RNU720981 RNU786449:RNU786471 RNU786473:RNU786517 RNU851985:RNU852007 RNU852009:RNU852053 RNU917521:RNU917543 RNU917545:RNU917589 RNU983057:RNU983079 RNU983081:RNU983125 RXM89:RXM92 RXM65624:RXM65627 RXM131160:RXM131163 RXM196696:RXM196699 RXM262232:RXM262235 RXM327768:RXM327771 RXM393304:RXM393307 RXM458840:RXM458843 RXM524376:RXM524379 RXM589912:RXM589915 RXM655448:RXM655451 RXM720984:RXM720987 RXM786520:RXM786523 RXM852056:RXM852059 RXM917592:RXM917595 RXM983128:RXM983131 RXQ17:RXQ39 RXQ41:RXQ86 RXQ65553:RXQ65575 RXQ65577:RXQ65621 RXQ131089:RXQ131111 RXQ131113:RXQ131157 RXQ196625:RXQ196647 RXQ196649:RXQ196693 RXQ262161:RXQ262183 RXQ262185:RXQ262229 RXQ327697:RXQ327719 RXQ327721:RXQ327765 RXQ393233:RXQ393255 RXQ393257:RXQ393301 RXQ458769:RXQ458791 RXQ458793:RXQ458837 RXQ524305:RXQ524327 RXQ524329:RXQ524373 RXQ589841:RXQ589863 RXQ589865:RXQ589909 RXQ655377:RXQ655399 RXQ655401:RXQ655445 RXQ720913:RXQ720935 RXQ720937:RXQ720981 RXQ786449:RXQ786471 RXQ786473:RXQ786517 RXQ851985:RXQ852007 RXQ852009:RXQ852053 RXQ917521:RXQ917543 RXQ917545:RXQ917589 RXQ983057:RXQ983079 RXQ983081:RXQ983125 SHI89:SHI92 SHI65624:SHI65627 SHI131160:SHI131163 SHI196696:SHI196699 SHI262232:SHI262235 SHI327768:SHI327771 SHI393304:SHI393307 SHI458840:SHI458843 SHI524376:SHI524379 SHI589912:SHI589915 SHI655448:SHI655451 SHI720984:SHI720987 SHI786520:SHI786523 SHI852056:SHI852059 SHI917592:SHI917595 SHI983128:SHI983131 SHM17:SHM39 SHM41:SHM86 SHM65553:SHM65575 SHM65577:SHM65621 SHM131089:SHM131111 SHM131113:SHM131157 SHM196625:SHM196647 SHM196649:SHM196693 SHM262161:SHM262183 SHM262185:SHM262229 SHM327697:SHM327719 SHM327721:SHM327765 SHM393233:SHM393255 SHM393257:SHM393301 SHM458769:SHM458791 SHM458793:SHM458837 SHM524305:SHM524327 SHM524329:SHM524373 SHM589841:SHM589863 SHM589865:SHM589909 SHM655377:SHM655399 SHM655401:SHM655445 SHM720913:SHM720935 SHM720937:SHM720981 SHM786449:SHM786471 SHM786473:SHM786517 SHM851985:SHM852007 SHM852009:SHM852053 SHM917521:SHM917543 SHM917545:SHM917589 SHM983057:SHM983079 SHM983081:SHM983125 SRE89:SRE92 SRE65624:SRE65627 SRE131160:SRE131163 SRE196696:SRE196699 SRE262232:SRE262235 SRE327768:SRE327771 SRE393304:SRE393307 SRE458840:SRE458843 SRE524376:SRE524379 SRE589912:SRE589915 SRE655448:SRE655451 SRE720984:SRE720987 SRE786520:SRE786523 SRE852056:SRE852059 SRE917592:SRE917595 SRE983128:SRE983131 SRI17:SRI39 SRI41:SRI86 SRI65553:SRI65575 SRI65577:SRI65621 SRI131089:SRI131111 SRI131113:SRI131157 SRI196625:SRI196647 SRI196649:SRI196693 SRI262161:SRI262183 SRI262185:SRI262229 SRI327697:SRI327719 SRI327721:SRI327765 SRI393233:SRI393255 SRI393257:SRI393301 SRI458769:SRI458791 SRI458793:SRI458837 SRI524305:SRI524327 SRI524329:SRI524373 SRI589841:SRI589863 SRI589865:SRI589909 SRI655377:SRI655399 SRI655401:SRI655445 SRI720913:SRI720935 SRI720937:SRI720981 SRI786449:SRI786471 SRI786473:SRI786517 SRI851985:SRI852007 SRI852009:SRI852053 SRI917521:SRI917543 SRI917545:SRI917589 SRI983057:SRI983079 SRI983081:SRI983125 TBA89:TBA92 TBA65624:TBA65627 TBA131160:TBA131163 TBA196696:TBA196699 TBA262232:TBA262235 TBA327768:TBA327771 TBA393304:TBA393307 TBA458840:TBA458843 TBA524376:TBA524379 TBA589912:TBA589915 TBA655448:TBA655451 TBA720984:TBA720987 TBA786520:TBA786523 TBA852056:TBA852059 TBA917592:TBA917595 TBA983128:TBA983131 TBE17:TBE39 TBE41:TBE86 TBE65553:TBE65575 TBE65577:TBE65621 TBE131089:TBE131111 TBE131113:TBE131157 TBE196625:TBE196647 TBE196649:TBE196693 TBE262161:TBE262183 TBE262185:TBE262229 TBE327697:TBE327719 TBE327721:TBE327765 TBE393233:TBE393255 TBE393257:TBE393301 TBE458769:TBE458791 TBE458793:TBE458837 TBE524305:TBE524327 TBE524329:TBE524373 TBE589841:TBE589863 TBE589865:TBE589909 TBE655377:TBE655399 TBE655401:TBE655445 TBE720913:TBE720935 TBE720937:TBE720981 TBE786449:TBE786471 TBE786473:TBE786517 TBE851985:TBE852007 TBE852009:TBE852053 TBE917521:TBE917543 TBE917545:TBE917589 TBE983057:TBE983079 TBE983081:TBE983125 TKW89:TKW92 TKW65624:TKW65627 TKW131160:TKW131163 TKW196696:TKW196699 TKW262232:TKW262235 TKW327768:TKW327771 TKW393304:TKW393307 TKW458840:TKW458843 TKW524376:TKW524379 TKW589912:TKW589915 TKW655448:TKW655451 TKW720984:TKW720987 TKW786520:TKW786523 TKW852056:TKW852059 TKW917592:TKW917595 TKW983128:TKW983131 TLA17:TLA39 TLA41:TLA86 TLA65553:TLA65575 TLA65577:TLA65621 TLA131089:TLA131111 TLA131113:TLA131157 TLA196625:TLA196647 TLA196649:TLA196693 TLA262161:TLA262183 TLA262185:TLA262229 TLA327697:TLA327719 TLA327721:TLA327765 TLA393233:TLA393255 TLA393257:TLA393301 TLA458769:TLA458791 TLA458793:TLA458837 TLA524305:TLA524327 TLA524329:TLA524373 TLA589841:TLA589863 TLA589865:TLA589909 TLA655377:TLA655399 TLA655401:TLA655445 TLA720913:TLA720935 TLA720937:TLA720981 TLA786449:TLA786471 TLA786473:TLA786517 TLA851985:TLA852007 TLA852009:TLA852053 TLA917521:TLA917543 TLA917545:TLA917589 TLA983057:TLA983079 TLA983081:TLA983125 TUS89:TUS92 TUS65624:TUS65627 TUS131160:TUS131163 TUS196696:TUS196699 TUS262232:TUS262235 TUS327768:TUS327771 TUS393304:TUS393307 TUS458840:TUS458843 TUS524376:TUS524379 TUS589912:TUS589915 TUS655448:TUS655451 TUS720984:TUS720987 TUS786520:TUS786523 TUS852056:TUS852059 TUS917592:TUS917595 TUS983128:TUS983131 TUW17:TUW39 TUW41:TUW86 TUW65553:TUW65575 TUW65577:TUW65621 TUW131089:TUW131111 TUW131113:TUW131157 TUW196625:TUW196647 TUW196649:TUW196693 TUW262161:TUW262183 TUW262185:TUW262229 TUW327697:TUW327719 TUW327721:TUW327765 TUW393233:TUW393255 TUW393257:TUW393301 TUW458769:TUW458791 TUW458793:TUW458837 TUW524305:TUW524327 TUW524329:TUW524373 TUW589841:TUW589863 TUW589865:TUW589909 TUW655377:TUW655399 TUW655401:TUW655445 TUW720913:TUW720935 TUW720937:TUW720981 TUW786449:TUW786471 TUW786473:TUW786517 TUW851985:TUW852007 TUW852009:TUW852053 TUW917521:TUW917543 TUW917545:TUW917589 TUW983057:TUW983079 TUW983081:TUW983125 UEO89:UEO92 UEO65624:UEO65627 UEO131160:UEO131163 UEO196696:UEO196699 UEO262232:UEO262235 UEO327768:UEO327771 UEO393304:UEO393307 UEO458840:UEO458843 UEO524376:UEO524379 UEO589912:UEO589915 UEO655448:UEO655451 UEO720984:UEO720987 UEO786520:UEO786523 UEO852056:UEO852059 UEO917592:UEO917595 UEO983128:UEO983131 UES17:UES39 UES41:UES86 UES65553:UES65575 UES65577:UES65621 UES131089:UES131111 UES131113:UES131157 UES196625:UES196647 UES196649:UES196693 UES262161:UES262183 UES262185:UES262229 UES327697:UES327719 UES327721:UES327765 UES393233:UES393255 UES393257:UES393301 UES458769:UES458791 UES458793:UES458837 UES524305:UES524327 UES524329:UES524373 UES589841:UES589863 UES589865:UES589909 UES655377:UES655399 UES655401:UES655445 UES720913:UES720935 UES720937:UES720981 UES786449:UES786471 UES786473:UES786517 UES851985:UES852007 UES852009:UES852053 UES917521:UES917543 UES917545:UES917589 UES983057:UES983079 UES983081:UES983125 UOK89:UOK92 UOK65624:UOK65627 UOK131160:UOK131163 UOK196696:UOK196699 UOK262232:UOK262235 UOK327768:UOK327771 UOK393304:UOK393307 UOK458840:UOK458843 UOK524376:UOK524379 UOK589912:UOK589915 UOK655448:UOK655451 UOK720984:UOK720987 UOK786520:UOK786523 UOK852056:UOK852059 UOK917592:UOK917595 UOK983128:UOK983131 UOO17:UOO39 UOO41:UOO86 UOO65553:UOO65575 UOO65577:UOO65621 UOO131089:UOO131111 UOO131113:UOO131157 UOO196625:UOO196647 UOO196649:UOO196693 UOO262161:UOO262183 UOO262185:UOO262229 UOO327697:UOO327719 UOO327721:UOO327765 UOO393233:UOO393255 UOO393257:UOO393301 UOO458769:UOO458791 UOO458793:UOO458837 UOO524305:UOO524327 UOO524329:UOO524373 UOO589841:UOO589863 UOO589865:UOO589909 UOO655377:UOO655399 UOO655401:UOO655445 UOO720913:UOO720935 UOO720937:UOO720981 UOO786449:UOO786471 UOO786473:UOO786517 UOO851985:UOO852007 UOO852009:UOO852053 UOO917521:UOO917543 UOO917545:UOO917589 UOO983057:UOO983079 UOO983081:UOO983125 UYG89:UYG92 UYG65624:UYG65627 UYG131160:UYG131163 UYG196696:UYG196699 UYG262232:UYG262235 UYG327768:UYG327771 UYG393304:UYG393307 UYG458840:UYG458843 UYG524376:UYG524379 UYG589912:UYG589915 UYG655448:UYG655451 UYG720984:UYG720987 UYG786520:UYG786523 UYG852056:UYG852059 UYG917592:UYG917595 UYG983128:UYG983131 UYK17:UYK39 UYK41:UYK86 UYK65553:UYK65575 UYK65577:UYK65621 UYK131089:UYK131111 UYK131113:UYK131157 UYK196625:UYK196647 UYK196649:UYK196693 UYK262161:UYK262183 UYK262185:UYK262229 UYK327697:UYK327719 UYK327721:UYK327765 UYK393233:UYK393255 UYK393257:UYK393301 UYK458769:UYK458791 UYK458793:UYK458837 UYK524305:UYK524327 UYK524329:UYK524373 UYK589841:UYK589863 UYK589865:UYK589909 UYK655377:UYK655399 UYK655401:UYK655445 UYK720913:UYK720935 UYK720937:UYK720981 UYK786449:UYK786471 UYK786473:UYK786517 UYK851985:UYK852007 UYK852009:UYK852053 UYK917521:UYK917543 UYK917545:UYK917589 UYK983057:UYK983079 UYK983081:UYK983125 VIC89:VIC92 VIC65624:VIC65627 VIC131160:VIC131163 VIC196696:VIC196699 VIC262232:VIC262235 VIC327768:VIC327771 VIC393304:VIC393307 VIC458840:VIC458843 VIC524376:VIC524379 VIC589912:VIC589915 VIC655448:VIC655451 VIC720984:VIC720987 VIC786520:VIC786523 VIC852056:VIC852059 VIC917592:VIC917595 VIC983128:VIC983131 VIG17:VIG39 VIG41:VIG86 VIG65553:VIG65575 VIG65577:VIG65621 VIG131089:VIG131111 VIG131113:VIG131157 VIG196625:VIG196647 VIG196649:VIG196693 VIG262161:VIG262183 VIG262185:VIG262229 VIG327697:VIG327719 VIG327721:VIG327765 VIG393233:VIG393255 VIG393257:VIG393301 VIG458769:VIG458791 VIG458793:VIG458837 VIG524305:VIG524327 VIG524329:VIG524373 VIG589841:VIG589863 VIG589865:VIG589909 VIG655377:VIG655399 VIG655401:VIG655445 VIG720913:VIG720935 VIG720937:VIG720981 VIG786449:VIG786471 VIG786473:VIG786517 VIG851985:VIG852007 VIG852009:VIG852053 VIG917521:VIG917543 VIG917545:VIG917589 VIG983057:VIG983079 VIG983081:VIG983125 VRY89:VRY92 VRY65624:VRY65627 VRY131160:VRY131163 VRY196696:VRY196699 VRY262232:VRY262235 VRY327768:VRY327771 VRY393304:VRY393307 VRY458840:VRY458843 VRY524376:VRY524379 VRY589912:VRY589915 VRY655448:VRY655451 VRY720984:VRY720987 VRY786520:VRY786523 VRY852056:VRY852059 VRY917592:VRY917595 VRY983128:VRY983131 VSC17:VSC39 VSC41:VSC86 VSC65553:VSC65575 VSC65577:VSC65621 VSC131089:VSC131111 VSC131113:VSC131157 VSC196625:VSC196647 VSC196649:VSC196693 VSC262161:VSC262183 VSC262185:VSC262229 VSC327697:VSC327719 VSC327721:VSC327765 VSC393233:VSC393255 VSC393257:VSC393301 VSC458769:VSC458791 VSC458793:VSC458837 VSC524305:VSC524327 VSC524329:VSC524373 VSC589841:VSC589863 VSC589865:VSC589909 VSC655377:VSC655399 VSC655401:VSC655445 VSC720913:VSC720935 VSC720937:VSC720981 VSC786449:VSC786471 VSC786473:VSC786517 VSC851985:VSC852007 VSC852009:VSC852053 VSC917521:VSC917543 VSC917545:VSC917589 VSC983057:VSC983079 VSC983081:VSC983125 WBU89:WBU92 WBU65624:WBU65627 WBU131160:WBU131163 WBU196696:WBU196699 WBU262232:WBU262235 WBU327768:WBU327771 WBU393304:WBU393307 WBU458840:WBU458843 WBU524376:WBU524379 WBU589912:WBU589915 WBU655448:WBU655451 WBU720984:WBU720987 WBU786520:WBU786523 WBU852056:WBU852059 WBU917592:WBU917595 WBU983128:WBU983131 WBY17:WBY39 WBY41:WBY86 WBY65553:WBY65575 WBY65577:WBY65621 WBY131089:WBY131111 WBY131113:WBY131157 WBY196625:WBY196647 WBY196649:WBY196693 WBY262161:WBY262183 WBY262185:WBY262229 WBY327697:WBY327719 WBY327721:WBY327765 WBY393233:WBY393255 WBY393257:WBY393301 WBY458769:WBY458791 WBY458793:WBY458837 WBY524305:WBY524327 WBY524329:WBY524373 WBY589841:WBY589863 WBY589865:WBY589909 WBY655377:WBY655399 WBY655401:WBY655445 WBY720913:WBY720935 WBY720937:WBY720981 WBY786449:WBY786471 WBY786473:WBY786517 WBY851985:WBY852007 WBY852009:WBY852053 WBY917521:WBY917543 WBY917545:WBY917589 WBY983057:WBY983079 WBY983081:WBY983125 WLQ89:WLQ92 WLQ65624:WLQ65627 WLQ131160:WLQ131163 WLQ196696:WLQ196699 WLQ262232:WLQ262235 WLQ327768:WLQ327771 WLQ393304:WLQ393307 WLQ458840:WLQ458843 WLQ524376:WLQ524379 WLQ589912:WLQ589915 WLQ655448:WLQ655451 WLQ720984:WLQ720987 WLQ786520:WLQ786523 WLQ852056:WLQ852059 WLQ917592:WLQ917595 WLQ983128:WLQ983131 WLU17:WLU39 WLU41:WLU86 WLU65553:WLU65575 WLU65577:WLU65621 WLU131089:WLU131111 WLU131113:WLU131157 WLU196625:WLU196647 WLU196649:WLU196693 WLU262161:WLU262183 WLU262185:WLU262229 WLU327697:WLU327719 WLU327721:WLU327765 WLU393233:WLU393255 WLU393257:WLU393301 WLU458769:WLU458791 WLU458793:WLU458837 WLU524305:WLU524327 WLU524329:WLU524373 WLU589841:WLU589863 WLU589865:WLU589909 WLU655377:WLU655399 WLU655401:WLU655445 WLU720913:WLU720935 WLU720937:WLU720981 WLU786449:WLU786471 WLU786473:WLU786517 WLU851985:WLU852007 WLU852009:WLU852053 WLU917521:WLU917543 WLU917545:WLU917589 WLU983057:WLU983079 WLU983081:WLU983125 WVM89:WVM92 WVM65624:WVM65627 WVM131160:WVM131163 WVM196696:WVM196699 WVM262232:WVM262235 WVM327768:WVM327771 WVM393304:WVM393307 WVM458840:WVM458843 WVM524376:WVM524379 WVM589912:WVM589915 WVM655448:WVM655451 WVM720984:WVM720987 WVM786520:WVM786523 WVM852056:WVM852059 WVM917592:WVM917595 WVM983128:WVM983131 WVQ17:WVQ39 WVQ41:WVQ86 WVQ65553:WVQ65575 WVQ65577:WVQ65621 WVQ131089:WVQ131111 WVQ131113:WVQ131157 WVQ196625:WVQ196647 WVQ196649:WVQ196693 WVQ262161:WVQ262183 WVQ262185:WVQ262229 WVQ327697:WVQ327719 WVQ327721:WVQ327765 WVQ393233:WVQ393255 WVQ393257:WVQ393301 WVQ458769:WVQ458791 WVQ458793:WVQ458837 WVQ524305:WVQ524327 WVQ524329:WVQ524373 WVQ589841:WVQ589863 WVQ589865:WVQ589909 WVQ655377:WVQ655399 WVQ655401:WVQ655445 WVQ720913:WVQ720935 WVQ720937:WVQ720981 WVQ786449:WVQ786471 WVQ786473:WVQ786517 WVQ851985:WVQ852007 WVQ852009:WVQ852053 WVQ917521:WVQ917543 WVQ917545:WVQ917589 WVQ983057:WVQ983079 WVQ983081:WVQ983125">
      <formula1>"■基线,□观测项"</formula1>
    </dataValidation>
    <dataValidation type="list" allowBlank="1" showInputMessage="1" showErrorMessage="1" sqref="F87 JB87 SX87 ACT87 AMP87 AWL87 BGH87 BQD87 BZZ87 CJV87 CTR87 DDN87 DNJ87 DXF87 EHB87 EQX87 FAT87 FKP87 FUL87 GEH87 GOD87 GXZ87 HHV87 HRR87 IBN87 ILJ87 IVF87 JFB87 JOX87 JYT87 KIP87 KSL87 LCH87 LMD87 LVZ87 MFV87 MPR87 MZN87 NJJ87 NTF87 ODB87 OMX87 OWT87 PGP87 PQL87 QAH87 QKD87 QTZ87 RDV87 RNR87 RXN87 SHJ87 SRF87 TBB87 TKX87 TUT87 UEP87 UOL87 UYH87 VID87 VRZ87 WBV87 WLR87 WVN87 F65622 JB65622 SX65622 ACT65622 AMP65622 AWL65622 BGH65622 BQD65622 BZZ65622 CJV65622 CTR65622 DDN65622 DNJ65622 DXF65622 EHB65622 EQX65622 FAT65622 FKP65622 FUL65622 GEH65622 GOD65622 GXZ65622 HHV65622 HRR65622 IBN65622 ILJ65622 IVF65622 JFB65622 JOX65622 JYT65622 KIP65622 KSL65622 LCH65622 LMD65622 LVZ65622 MFV65622 MPR65622 MZN65622 NJJ65622 NTF65622 ODB65622 OMX65622 OWT65622 PGP65622 PQL65622 QAH65622 QKD65622 QTZ65622 RDV65622 RNR65622 RXN65622 SHJ65622 SRF65622 TBB65622 TKX65622 TUT65622 UEP65622 UOL65622 UYH65622 VID65622 VRZ65622 WBV65622 WLR65622 WVN65622 F131158 JB131158 SX131158 ACT131158 AMP131158 AWL131158 BGH131158 BQD131158 BZZ131158 CJV131158 CTR131158 DDN131158 DNJ131158 DXF131158 EHB131158 EQX131158 FAT131158 FKP131158 FUL131158 GEH131158 GOD131158 GXZ131158 HHV131158 HRR131158 IBN131158 ILJ131158 IVF131158 JFB131158 JOX131158 JYT131158 KIP131158 KSL131158 LCH131158 LMD131158 LVZ131158 MFV131158 MPR131158 MZN131158 NJJ131158 NTF131158 ODB131158 OMX131158 OWT131158 PGP131158 PQL131158 QAH131158 QKD131158 QTZ131158 RDV131158 RNR131158 RXN131158 SHJ131158 SRF131158 TBB131158 TKX131158 TUT131158 UEP131158 UOL131158 UYH131158 VID131158 VRZ131158 WBV131158 WLR131158 WVN131158 F196694 JB196694 SX196694 ACT196694 AMP196694 AWL196694 BGH196694 BQD196694 BZZ196694 CJV196694 CTR196694 DDN196694 DNJ196694 DXF196694 EHB196694 EQX196694 FAT196694 FKP196694 FUL196694 GEH196694 GOD196694 GXZ196694 HHV196694 HRR196694 IBN196694 ILJ196694 IVF196694 JFB196694 JOX196694 JYT196694 KIP196694 KSL196694 LCH196694 LMD196694 LVZ196694 MFV196694 MPR196694 MZN196694 NJJ196694 NTF196694 ODB196694 OMX196694 OWT196694 PGP196694 PQL196694 QAH196694 QKD196694 QTZ196694 RDV196694 RNR196694 RXN196694 SHJ196694 SRF196694 TBB196694 TKX196694 TUT196694 UEP196694 UOL196694 UYH196694 VID196694 VRZ196694 WBV196694 WLR196694 WVN196694 F262230 JB262230 SX262230 ACT262230 AMP262230 AWL262230 BGH262230 BQD262230 BZZ262230 CJV262230 CTR262230 DDN262230 DNJ262230 DXF262230 EHB262230 EQX262230 FAT262230 FKP262230 FUL262230 GEH262230 GOD262230 GXZ262230 HHV262230 HRR262230 IBN262230 ILJ262230 IVF262230 JFB262230 JOX262230 JYT262230 KIP262230 KSL262230 LCH262230 LMD262230 LVZ262230 MFV262230 MPR262230 MZN262230 NJJ262230 NTF262230 ODB262230 OMX262230 OWT262230 PGP262230 PQL262230 QAH262230 QKD262230 QTZ262230 RDV262230 RNR262230 RXN262230 SHJ262230 SRF262230 TBB262230 TKX262230 TUT262230 UEP262230 UOL262230 UYH262230 VID262230 VRZ262230 WBV262230 WLR262230 WVN262230 F327766 JB327766 SX327766 ACT327766 AMP327766 AWL327766 BGH327766 BQD327766 BZZ327766 CJV327766 CTR327766 DDN327766 DNJ327766 DXF327766 EHB327766 EQX327766 FAT327766 FKP327766 FUL327766 GEH327766 GOD327766 GXZ327766 HHV327766 HRR327766 IBN327766 ILJ327766 IVF327766 JFB327766 JOX327766 JYT327766 KIP327766 KSL327766 LCH327766 LMD327766 LVZ327766 MFV327766 MPR327766 MZN327766 NJJ327766 NTF327766 ODB327766 OMX327766 OWT327766 PGP327766 PQL327766 QAH327766 QKD327766 QTZ327766 RDV327766 RNR327766 RXN327766 SHJ327766 SRF327766 TBB327766 TKX327766 TUT327766 UEP327766 UOL327766 UYH327766 VID327766 VRZ327766 WBV327766 WLR327766 WVN327766 F393302 JB393302 SX393302 ACT393302 AMP393302 AWL393302 BGH393302 BQD393302 BZZ393302 CJV393302 CTR393302 DDN393302 DNJ393302 DXF393302 EHB393302 EQX393302 FAT393302 FKP393302 FUL393302 GEH393302 GOD393302 GXZ393302 HHV393302 HRR393302 IBN393302 ILJ393302 IVF393302 JFB393302 JOX393302 JYT393302 KIP393302 KSL393302 LCH393302 LMD393302 LVZ393302 MFV393302 MPR393302 MZN393302 NJJ393302 NTF393302 ODB393302 OMX393302 OWT393302 PGP393302 PQL393302 QAH393302 QKD393302 QTZ393302 RDV393302 RNR393302 RXN393302 SHJ393302 SRF393302 TBB393302 TKX393302 TUT393302 UEP393302 UOL393302 UYH393302 VID393302 VRZ393302 WBV393302 WLR393302 WVN393302 F458838 JB458838 SX458838 ACT458838 AMP458838 AWL458838 BGH458838 BQD458838 BZZ458838 CJV458838 CTR458838 DDN458838 DNJ458838 DXF458838 EHB458838 EQX458838 FAT458838 FKP458838 FUL458838 GEH458838 GOD458838 GXZ458838 HHV458838 HRR458838 IBN458838 ILJ458838 IVF458838 JFB458838 JOX458838 JYT458838 KIP458838 KSL458838 LCH458838 LMD458838 LVZ458838 MFV458838 MPR458838 MZN458838 NJJ458838 NTF458838 ODB458838 OMX458838 OWT458838 PGP458838 PQL458838 QAH458838 QKD458838 QTZ458838 RDV458838 RNR458838 RXN458838 SHJ458838 SRF458838 TBB458838 TKX458838 TUT458838 UEP458838 UOL458838 UYH458838 VID458838 VRZ458838 WBV458838 WLR458838 WVN458838 F524374 JB524374 SX524374 ACT524374 AMP524374 AWL524374 BGH524374 BQD524374 BZZ524374 CJV524374 CTR524374 DDN524374 DNJ524374 DXF524374 EHB524374 EQX524374 FAT524374 FKP524374 FUL524374 GEH524374 GOD524374 GXZ524374 HHV524374 HRR524374 IBN524374 ILJ524374 IVF524374 JFB524374 JOX524374 JYT524374 KIP524374 KSL524374 LCH524374 LMD524374 LVZ524374 MFV524374 MPR524374 MZN524374 NJJ524374 NTF524374 ODB524374 OMX524374 OWT524374 PGP524374 PQL524374 QAH524374 QKD524374 QTZ524374 RDV524374 RNR524374 RXN524374 SHJ524374 SRF524374 TBB524374 TKX524374 TUT524374 UEP524374 UOL524374 UYH524374 VID524374 VRZ524374 WBV524374 WLR524374 WVN524374 F589910 JB589910 SX589910 ACT589910 AMP589910 AWL589910 BGH589910 BQD589910 BZZ589910 CJV589910 CTR589910 DDN589910 DNJ589910 DXF589910 EHB589910 EQX589910 FAT589910 FKP589910 FUL589910 GEH589910 GOD589910 GXZ589910 HHV589910 HRR589910 IBN589910 ILJ589910 IVF589910 JFB589910 JOX589910 JYT589910 KIP589910 KSL589910 LCH589910 LMD589910 LVZ589910 MFV589910 MPR589910 MZN589910 NJJ589910 NTF589910 ODB589910 OMX589910 OWT589910 PGP589910 PQL589910 QAH589910 QKD589910 QTZ589910 RDV589910 RNR589910 RXN589910 SHJ589910 SRF589910 TBB589910 TKX589910 TUT589910 UEP589910 UOL589910 UYH589910 VID589910 VRZ589910 WBV589910 WLR589910 WVN589910 F655446 JB655446 SX655446 ACT655446 AMP655446 AWL655446 BGH655446 BQD655446 BZZ655446 CJV655446 CTR655446 DDN655446 DNJ655446 DXF655446 EHB655446 EQX655446 FAT655446 FKP655446 FUL655446 GEH655446 GOD655446 GXZ655446 HHV655446 HRR655446 IBN655446 ILJ655446 IVF655446 JFB655446 JOX655446 JYT655446 KIP655446 KSL655446 LCH655446 LMD655446 LVZ655446 MFV655446 MPR655446 MZN655446 NJJ655446 NTF655446 ODB655446 OMX655446 OWT655446 PGP655446 PQL655446 QAH655446 QKD655446 QTZ655446 RDV655446 RNR655446 RXN655446 SHJ655446 SRF655446 TBB655446 TKX655446 TUT655446 UEP655446 UOL655446 UYH655446 VID655446 VRZ655446 WBV655446 WLR655446 WVN655446 F720982 JB720982 SX720982 ACT720982 AMP720982 AWL720982 BGH720982 BQD720982 BZZ720982 CJV720982 CTR720982 DDN720982 DNJ720982 DXF720982 EHB720982 EQX720982 FAT720982 FKP720982 FUL720982 GEH720982 GOD720982 GXZ720982 HHV720982 HRR720982 IBN720982 ILJ720982 IVF720982 JFB720982 JOX720982 JYT720982 KIP720982 KSL720982 LCH720982 LMD720982 LVZ720982 MFV720982 MPR720982 MZN720982 NJJ720982 NTF720982 ODB720982 OMX720982 OWT720982 PGP720982 PQL720982 QAH720982 QKD720982 QTZ720982 RDV720982 RNR720982 RXN720982 SHJ720982 SRF720982 TBB720982 TKX720982 TUT720982 UEP720982 UOL720982 UYH720982 VID720982 VRZ720982 WBV720982 WLR720982 WVN720982 F786518 JB786518 SX786518 ACT786518 AMP786518 AWL786518 BGH786518 BQD786518 BZZ786518 CJV786518 CTR786518 DDN786518 DNJ786518 DXF786518 EHB786518 EQX786518 FAT786518 FKP786518 FUL786518 GEH786518 GOD786518 GXZ786518 HHV786518 HRR786518 IBN786518 ILJ786518 IVF786518 JFB786518 JOX786518 JYT786518 KIP786518 KSL786518 LCH786518 LMD786518 LVZ786518 MFV786518 MPR786518 MZN786518 NJJ786518 NTF786518 ODB786518 OMX786518 OWT786518 PGP786518 PQL786518 QAH786518 QKD786518 QTZ786518 RDV786518 RNR786518 RXN786518 SHJ786518 SRF786518 TBB786518 TKX786518 TUT786518 UEP786518 UOL786518 UYH786518 VID786518 VRZ786518 WBV786518 WLR786518 WVN786518 F852054 JB852054 SX852054 ACT852054 AMP852054 AWL852054 BGH852054 BQD852054 BZZ852054 CJV852054 CTR852054 DDN852054 DNJ852054 DXF852054 EHB852054 EQX852054 FAT852054 FKP852054 FUL852054 GEH852054 GOD852054 GXZ852054 HHV852054 HRR852054 IBN852054 ILJ852054 IVF852054 JFB852054 JOX852054 JYT852054 KIP852054 KSL852054 LCH852054 LMD852054 LVZ852054 MFV852054 MPR852054 MZN852054 NJJ852054 NTF852054 ODB852054 OMX852054 OWT852054 PGP852054 PQL852054 QAH852054 QKD852054 QTZ852054 RDV852054 RNR852054 RXN852054 SHJ852054 SRF852054 TBB852054 TKX852054 TUT852054 UEP852054 UOL852054 UYH852054 VID852054 VRZ852054 WBV852054 WLR852054 WVN852054 F917590 JB917590 SX917590 ACT917590 AMP917590 AWL917590 BGH917590 BQD917590 BZZ917590 CJV917590 CTR917590 DDN917590 DNJ917590 DXF917590 EHB917590 EQX917590 FAT917590 FKP917590 FUL917590 GEH917590 GOD917590 GXZ917590 HHV917590 HRR917590 IBN917590 ILJ917590 IVF917590 JFB917590 JOX917590 JYT917590 KIP917590 KSL917590 LCH917590 LMD917590 LVZ917590 MFV917590 MPR917590 MZN917590 NJJ917590 NTF917590 ODB917590 OMX917590 OWT917590 PGP917590 PQL917590 QAH917590 QKD917590 QTZ917590 RDV917590 RNR917590 RXN917590 SHJ917590 SRF917590 TBB917590 TKX917590 TUT917590 UEP917590 UOL917590 UYH917590 VID917590 VRZ917590 WBV917590 WLR917590 WVN917590 F983126 JB983126 SX983126 ACT983126 AMP983126 AWL983126 BGH983126 BQD983126 BZZ983126 CJV983126 CTR983126 DDN983126 DNJ983126 DXF983126 EHB983126 EQX983126 FAT983126 FKP983126 FUL983126 GEH983126 GOD983126 GXZ983126 HHV983126 HRR983126 IBN983126 ILJ983126 IVF983126 JFB983126 JOX983126 JYT983126 KIP983126 KSL983126 LCH983126 LMD983126 LVZ983126 MFV983126 MPR983126 MZN983126 NJJ983126 NTF983126 ODB983126 OMX983126 OWT983126 PGP983126 PQL983126 QAH983126 QKD983126 QTZ983126 RDV983126 RNR983126 RXN983126 SHJ983126 SRF983126 TBB983126 TKX983126 TUT983126 UEP983126 UOL983126 UYH983126 VID983126 VRZ983126 WBV983126 WLR983126 WVN983126 F89:F95 F65624:F65631 F131160:F131167 F196696:F196703 F262232:F262239 F327768:F327775 F393304:F393311 F458840:F458847 F524376:F524383 F589912:F589919 F655448:F655455 F720984:F720991 F786520:F786527 F852056:F852063 F917592:F917599 F983128:F983135 J17:J39 J41:J86 J65553:J65575 J65577:J65621 J131089:J131111 J131113:J131157 J196625:J196647 J196649:J196693 J262161:J262183 J262185:J262229 J327697:J327719 J327721:J327765 J393233:J393255 J393257:J393301 J458769:J458791 J458793:J458837 J524305:J524327 J524329:J524373 J589841:J589863 J589865:J589909 J655377:J655399 J655401:J655445 J720913:J720935 J720937:J720981 J786449:J786471 J786473:J786517 J851985:J852007 J852009:J852053 J917521:J917543 J917545:J917589 J983057:J983079 J983081:J983125 JB89:JB95 JB65624:JB65631 JB131160:JB131167 JB196696:JB196703 JB262232:JB262239 JB327768:JB327775 JB393304:JB393311 JB458840:JB458847 JB524376:JB524383 JB589912:JB589919 JB655448:JB655455 JB720984:JB720991 JB786520:JB786527 JB852056:JB852063 JB917592:JB917599 JB983128:JB983135 JF17:JF39 JF41:JF86 JF65553:JF65575 JF65577:JF65621 JF131089:JF131111 JF131113:JF131157 JF196625:JF196647 JF196649:JF196693 JF262161:JF262183 JF262185:JF262229 JF327697:JF327719 JF327721:JF327765 JF393233:JF393255 JF393257:JF393301 JF458769:JF458791 JF458793:JF458837 JF524305:JF524327 JF524329:JF524373 JF589841:JF589863 JF589865:JF589909 JF655377:JF655399 JF655401:JF655445 JF720913:JF720935 JF720937:JF720981 JF786449:JF786471 JF786473:JF786517 JF851985:JF852007 JF852009:JF852053 JF917521:JF917543 JF917545:JF917589 JF983057:JF983079 JF983081:JF983125 SX89:SX95 SX65624:SX65631 SX131160:SX131167 SX196696:SX196703 SX262232:SX262239 SX327768:SX327775 SX393304:SX393311 SX458840:SX458847 SX524376:SX524383 SX589912:SX589919 SX655448:SX655455 SX720984:SX720991 SX786520:SX786527 SX852056:SX852063 SX917592:SX917599 SX983128:SX983135 TB17:TB39 TB41:TB86 TB65553:TB65575 TB65577:TB65621 TB131089:TB131111 TB131113:TB131157 TB196625:TB196647 TB196649:TB196693 TB262161:TB262183 TB262185:TB262229 TB327697:TB327719 TB327721:TB327765 TB393233:TB393255 TB393257:TB393301 TB458769:TB458791 TB458793:TB458837 TB524305:TB524327 TB524329:TB524373 TB589841:TB589863 TB589865:TB589909 TB655377:TB655399 TB655401:TB655445 TB720913:TB720935 TB720937:TB720981 TB786449:TB786471 TB786473:TB786517 TB851985:TB852007 TB852009:TB852053 TB917521:TB917543 TB917545:TB917589 TB983057:TB983079 TB983081:TB983125 ACT89:ACT95 ACT65624:ACT65631 ACT131160:ACT131167 ACT196696:ACT196703 ACT262232:ACT262239 ACT327768:ACT327775 ACT393304:ACT393311 ACT458840:ACT458847 ACT524376:ACT524383 ACT589912:ACT589919 ACT655448:ACT655455 ACT720984:ACT720991 ACT786520:ACT786527 ACT852056:ACT852063 ACT917592:ACT917599 ACT983128:ACT983135 ACX17:ACX39 ACX41:ACX86 ACX65553:ACX65575 ACX65577:ACX65621 ACX131089:ACX131111 ACX131113:ACX131157 ACX196625:ACX196647 ACX196649:ACX196693 ACX262161:ACX262183 ACX262185:ACX262229 ACX327697:ACX327719 ACX327721:ACX327765 ACX393233:ACX393255 ACX393257:ACX393301 ACX458769:ACX458791 ACX458793:ACX458837 ACX524305:ACX524327 ACX524329:ACX524373 ACX589841:ACX589863 ACX589865:ACX589909 ACX655377:ACX655399 ACX655401:ACX655445 ACX720913:ACX720935 ACX720937:ACX720981 ACX786449:ACX786471 ACX786473:ACX786517 ACX851985:ACX852007 ACX852009:ACX852053 ACX917521:ACX917543 ACX917545:ACX917589 ACX983057:ACX983079 ACX983081:ACX983125 AMP89:AMP95 AMP65624:AMP65631 AMP131160:AMP131167 AMP196696:AMP196703 AMP262232:AMP262239 AMP327768:AMP327775 AMP393304:AMP393311 AMP458840:AMP458847 AMP524376:AMP524383 AMP589912:AMP589919 AMP655448:AMP655455 AMP720984:AMP720991 AMP786520:AMP786527 AMP852056:AMP852063 AMP917592:AMP917599 AMP983128:AMP983135 AMT17:AMT39 AMT41:AMT86 AMT65553:AMT65575 AMT65577:AMT65621 AMT131089:AMT131111 AMT131113:AMT131157 AMT196625:AMT196647 AMT196649:AMT196693 AMT262161:AMT262183 AMT262185:AMT262229 AMT327697:AMT327719 AMT327721:AMT327765 AMT393233:AMT393255 AMT393257:AMT393301 AMT458769:AMT458791 AMT458793:AMT458837 AMT524305:AMT524327 AMT524329:AMT524373 AMT589841:AMT589863 AMT589865:AMT589909 AMT655377:AMT655399 AMT655401:AMT655445 AMT720913:AMT720935 AMT720937:AMT720981 AMT786449:AMT786471 AMT786473:AMT786517 AMT851985:AMT852007 AMT852009:AMT852053 AMT917521:AMT917543 AMT917545:AMT917589 AMT983057:AMT983079 AMT983081:AMT983125 AWL89:AWL95 AWL65624:AWL65631 AWL131160:AWL131167 AWL196696:AWL196703 AWL262232:AWL262239 AWL327768:AWL327775 AWL393304:AWL393311 AWL458840:AWL458847 AWL524376:AWL524383 AWL589912:AWL589919 AWL655448:AWL655455 AWL720984:AWL720991 AWL786520:AWL786527 AWL852056:AWL852063 AWL917592:AWL917599 AWL983128:AWL983135 AWP17:AWP39 AWP41:AWP86 AWP65553:AWP65575 AWP65577:AWP65621 AWP131089:AWP131111 AWP131113:AWP131157 AWP196625:AWP196647 AWP196649:AWP196693 AWP262161:AWP262183 AWP262185:AWP262229 AWP327697:AWP327719 AWP327721:AWP327765 AWP393233:AWP393255 AWP393257:AWP393301 AWP458769:AWP458791 AWP458793:AWP458837 AWP524305:AWP524327 AWP524329:AWP524373 AWP589841:AWP589863 AWP589865:AWP589909 AWP655377:AWP655399 AWP655401:AWP655445 AWP720913:AWP720935 AWP720937:AWP720981 AWP786449:AWP786471 AWP786473:AWP786517 AWP851985:AWP852007 AWP852009:AWP852053 AWP917521:AWP917543 AWP917545:AWP917589 AWP983057:AWP983079 AWP983081:AWP983125 BGH89:BGH95 BGH65624:BGH65631 BGH131160:BGH131167 BGH196696:BGH196703 BGH262232:BGH262239 BGH327768:BGH327775 BGH393304:BGH393311 BGH458840:BGH458847 BGH524376:BGH524383 BGH589912:BGH589919 BGH655448:BGH655455 BGH720984:BGH720991 BGH786520:BGH786527 BGH852056:BGH852063 BGH917592:BGH917599 BGH983128:BGH983135 BGL17:BGL39 BGL41:BGL86 BGL65553:BGL65575 BGL65577:BGL65621 BGL131089:BGL131111 BGL131113:BGL131157 BGL196625:BGL196647 BGL196649:BGL196693 BGL262161:BGL262183 BGL262185:BGL262229 BGL327697:BGL327719 BGL327721:BGL327765 BGL393233:BGL393255 BGL393257:BGL393301 BGL458769:BGL458791 BGL458793:BGL458837 BGL524305:BGL524327 BGL524329:BGL524373 BGL589841:BGL589863 BGL589865:BGL589909 BGL655377:BGL655399 BGL655401:BGL655445 BGL720913:BGL720935 BGL720937:BGL720981 BGL786449:BGL786471 BGL786473:BGL786517 BGL851985:BGL852007 BGL852009:BGL852053 BGL917521:BGL917543 BGL917545:BGL917589 BGL983057:BGL983079 BGL983081:BGL983125 BQD89:BQD95 BQD65624:BQD65631 BQD131160:BQD131167 BQD196696:BQD196703 BQD262232:BQD262239 BQD327768:BQD327775 BQD393304:BQD393311 BQD458840:BQD458847 BQD524376:BQD524383 BQD589912:BQD589919 BQD655448:BQD655455 BQD720984:BQD720991 BQD786520:BQD786527 BQD852056:BQD852063 BQD917592:BQD917599 BQD983128:BQD983135 BQH17:BQH39 BQH41:BQH86 BQH65553:BQH65575 BQH65577:BQH65621 BQH131089:BQH131111 BQH131113:BQH131157 BQH196625:BQH196647 BQH196649:BQH196693 BQH262161:BQH262183 BQH262185:BQH262229 BQH327697:BQH327719 BQH327721:BQH327765 BQH393233:BQH393255 BQH393257:BQH393301 BQH458769:BQH458791 BQH458793:BQH458837 BQH524305:BQH524327 BQH524329:BQH524373 BQH589841:BQH589863 BQH589865:BQH589909 BQH655377:BQH655399 BQH655401:BQH655445 BQH720913:BQH720935 BQH720937:BQH720981 BQH786449:BQH786471 BQH786473:BQH786517 BQH851985:BQH852007 BQH852009:BQH852053 BQH917521:BQH917543 BQH917545:BQH917589 BQH983057:BQH983079 BQH983081:BQH983125 BZZ89:BZZ95 BZZ65624:BZZ65631 BZZ131160:BZZ131167 BZZ196696:BZZ196703 BZZ262232:BZZ262239 BZZ327768:BZZ327775 BZZ393304:BZZ393311 BZZ458840:BZZ458847 BZZ524376:BZZ524383 BZZ589912:BZZ589919 BZZ655448:BZZ655455 BZZ720984:BZZ720991 BZZ786520:BZZ786527 BZZ852056:BZZ852063 BZZ917592:BZZ917599 BZZ983128:BZZ983135 CAD17:CAD39 CAD41:CAD86 CAD65553:CAD65575 CAD65577:CAD65621 CAD131089:CAD131111 CAD131113:CAD131157 CAD196625:CAD196647 CAD196649:CAD196693 CAD262161:CAD262183 CAD262185:CAD262229 CAD327697:CAD327719 CAD327721:CAD327765 CAD393233:CAD393255 CAD393257:CAD393301 CAD458769:CAD458791 CAD458793:CAD458837 CAD524305:CAD524327 CAD524329:CAD524373 CAD589841:CAD589863 CAD589865:CAD589909 CAD655377:CAD655399 CAD655401:CAD655445 CAD720913:CAD720935 CAD720937:CAD720981 CAD786449:CAD786471 CAD786473:CAD786517 CAD851985:CAD852007 CAD852009:CAD852053 CAD917521:CAD917543 CAD917545:CAD917589 CAD983057:CAD983079 CAD983081:CAD983125 CJV89:CJV95 CJV65624:CJV65631 CJV131160:CJV131167 CJV196696:CJV196703 CJV262232:CJV262239 CJV327768:CJV327775 CJV393304:CJV393311 CJV458840:CJV458847 CJV524376:CJV524383 CJV589912:CJV589919 CJV655448:CJV655455 CJV720984:CJV720991 CJV786520:CJV786527 CJV852056:CJV852063 CJV917592:CJV917599 CJV983128:CJV983135 CJZ17:CJZ39 CJZ41:CJZ86 CJZ65553:CJZ65575 CJZ65577:CJZ65621 CJZ131089:CJZ131111 CJZ131113:CJZ131157 CJZ196625:CJZ196647 CJZ196649:CJZ196693 CJZ262161:CJZ262183 CJZ262185:CJZ262229 CJZ327697:CJZ327719 CJZ327721:CJZ327765 CJZ393233:CJZ393255 CJZ393257:CJZ393301 CJZ458769:CJZ458791 CJZ458793:CJZ458837 CJZ524305:CJZ524327 CJZ524329:CJZ524373 CJZ589841:CJZ589863 CJZ589865:CJZ589909 CJZ655377:CJZ655399 CJZ655401:CJZ655445 CJZ720913:CJZ720935 CJZ720937:CJZ720981 CJZ786449:CJZ786471 CJZ786473:CJZ786517 CJZ851985:CJZ852007 CJZ852009:CJZ852053 CJZ917521:CJZ917543 CJZ917545:CJZ917589 CJZ983057:CJZ983079 CJZ983081:CJZ983125 CTR89:CTR95 CTR65624:CTR65631 CTR131160:CTR131167 CTR196696:CTR196703 CTR262232:CTR262239 CTR327768:CTR327775 CTR393304:CTR393311 CTR458840:CTR458847 CTR524376:CTR524383 CTR589912:CTR589919 CTR655448:CTR655455 CTR720984:CTR720991 CTR786520:CTR786527 CTR852056:CTR852063 CTR917592:CTR917599 CTR983128:CTR983135 CTV17:CTV39 CTV41:CTV86 CTV65553:CTV65575 CTV65577:CTV65621 CTV131089:CTV131111 CTV131113:CTV131157 CTV196625:CTV196647 CTV196649:CTV196693 CTV262161:CTV262183 CTV262185:CTV262229 CTV327697:CTV327719 CTV327721:CTV327765 CTV393233:CTV393255 CTV393257:CTV393301 CTV458769:CTV458791 CTV458793:CTV458837 CTV524305:CTV524327 CTV524329:CTV524373 CTV589841:CTV589863 CTV589865:CTV589909 CTV655377:CTV655399 CTV655401:CTV655445 CTV720913:CTV720935 CTV720937:CTV720981 CTV786449:CTV786471 CTV786473:CTV786517 CTV851985:CTV852007 CTV852009:CTV852053 CTV917521:CTV917543 CTV917545:CTV917589 CTV983057:CTV983079 CTV983081:CTV983125 DDN89:DDN95 DDN65624:DDN65631 DDN131160:DDN131167 DDN196696:DDN196703 DDN262232:DDN262239 DDN327768:DDN327775 DDN393304:DDN393311 DDN458840:DDN458847 DDN524376:DDN524383 DDN589912:DDN589919 DDN655448:DDN655455 DDN720984:DDN720991 DDN786520:DDN786527 DDN852056:DDN852063 DDN917592:DDN917599 DDN983128:DDN983135 DDR17:DDR39 DDR41:DDR86 DDR65553:DDR65575 DDR65577:DDR65621 DDR131089:DDR131111 DDR131113:DDR131157 DDR196625:DDR196647 DDR196649:DDR196693 DDR262161:DDR262183 DDR262185:DDR262229 DDR327697:DDR327719 DDR327721:DDR327765 DDR393233:DDR393255 DDR393257:DDR393301 DDR458769:DDR458791 DDR458793:DDR458837 DDR524305:DDR524327 DDR524329:DDR524373 DDR589841:DDR589863 DDR589865:DDR589909 DDR655377:DDR655399 DDR655401:DDR655445 DDR720913:DDR720935 DDR720937:DDR720981 DDR786449:DDR786471 DDR786473:DDR786517 DDR851985:DDR852007 DDR852009:DDR852053 DDR917521:DDR917543 DDR917545:DDR917589 DDR983057:DDR983079 DDR983081:DDR983125 DNJ89:DNJ95 DNJ65624:DNJ65631 DNJ131160:DNJ131167 DNJ196696:DNJ196703 DNJ262232:DNJ262239 DNJ327768:DNJ327775 DNJ393304:DNJ393311 DNJ458840:DNJ458847 DNJ524376:DNJ524383 DNJ589912:DNJ589919 DNJ655448:DNJ655455 DNJ720984:DNJ720991 DNJ786520:DNJ786527 DNJ852056:DNJ852063 DNJ917592:DNJ917599 DNJ983128:DNJ983135 DNN17:DNN39 DNN41:DNN86 DNN65553:DNN65575 DNN65577:DNN65621 DNN131089:DNN131111 DNN131113:DNN131157 DNN196625:DNN196647 DNN196649:DNN196693 DNN262161:DNN262183 DNN262185:DNN262229 DNN327697:DNN327719 DNN327721:DNN327765 DNN393233:DNN393255 DNN393257:DNN393301 DNN458769:DNN458791 DNN458793:DNN458837 DNN524305:DNN524327 DNN524329:DNN524373 DNN589841:DNN589863 DNN589865:DNN589909 DNN655377:DNN655399 DNN655401:DNN655445 DNN720913:DNN720935 DNN720937:DNN720981 DNN786449:DNN786471 DNN786473:DNN786517 DNN851985:DNN852007 DNN852009:DNN852053 DNN917521:DNN917543 DNN917545:DNN917589 DNN983057:DNN983079 DNN983081:DNN983125 DXF89:DXF95 DXF65624:DXF65631 DXF131160:DXF131167 DXF196696:DXF196703 DXF262232:DXF262239 DXF327768:DXF327775 DXF393304:DXF393311 DXF458840:DXF458847 DXF524376:DXF524383 DXF589912:DXF589919 DXF655448:DXF655455 DXF720984:DXF720991 DXF786520:DXF786527 DXF852056:DXF852063 DXF917592:DXF917599 DXF983128:DXF983135 DXJ17:DXJ39 DXJ41:DXJ86 DXJ65553:DXJ65575 DXJ65577:DXJ65621 DXJ131089:DXJ131111 DXJ131113:DXJ131157 DXJ196625:DXJ196647 DXJ196649:DXJ196693 DXJ262161:DXJ262183 DXJ262185:DXJ262229 DXJ327697:DXJ327719 DXJ327721:DXJ327765 DXJ393233:DXJ393255 DXJ393257:DXJ393301 DXJ458769:DXJ458791 DXJ458793:DXJ458837 DXJ524305:DXJ524327 DXJ524329:DXJ524373 DXJ589841:DXJ589863 DXJ589865:DXJ589909 DXJ655377:DXJ655399 DXJ655401:DXJ655445 DXJ720913:DXJ720935 DXJ720937:DXJ720981 DXJ786449:DXJ786471 DXJ786473:DXJ786517 DXJ851985:DXJ852007 DXJ852009:DXJ852053 DXJ917521:DXJ917543 DXJ917545:DXJ917589 DXJ983057:DXJ983079 DXJ983081:DXJ983125 EHB89:EHB95 EHB65624:EHB65631 EHB131160:EHB131167 EHB196696:EHB196703 EHB262232:EHB262239 EHB327768:EHB327775 EHB393304:EHB393311 EHB458840:EHB458847 EHB524376:EHB524383 EHB589912:EHB589919 EHB655448:EHB655455 EHB720984:EHB720991 EHB786520:EHB786527 EHB852056:EHB852063 EHB917592:EHB917599 EHB983128:EHB983135 EHF17:EHF39 EHF41:EHF86 EHF65553:EHF65575 EHF65577:EHF65621 EHF131089:EHF131111 EHF131113:EHF131157 EHF196625:EHF196647 EHF196649:EHF196693 EHF262161:EHF262183 EHF262185:EHF262229 EHF327697:EHF327719 EHF327721:EHF327765 EHF393233:EHF393255 EHF393257:EHF393301 EHF458769:EHF458791 EHF458793:EHF458837 EHF524305:EHF524327 EHF524329:EHF524373 EHF589841:EHF589863 EHF589865:EHF589909 EHF655377:EHF655399 EHF655401:EHF655445 EHF720913:EHF720935 EHF720937:EHF720981 EHF786449:EHF786471 EHF786473:EHF786517 EHF851985:EHF852007 EHF852009:EHF852053 EHF917521:EHF917543 EHF917545:EHF917589 EHF983057:EHF983079 EHF983081:EHF983125 EQX89:EQX95 EQX65624:EQX65631 EQX131160:EQX131167 EQX196696:EQX196703 EQX262232:EQX262239 EQX327768:EQX327775 EQX393304:EQX393311 EQX458840:EQX458847 EQX524376:EQX524383 EQX589912:EQX589919 EQX655448:EQX655455 EQX720984:EQX720991 EQX786520:EQX786527 EQX852056:EQX852063 EQX917592:EQX917599 EQX983128:EQX983135 ERB17:ERB39 ERB41:ERB86 ERB65553:ERB65575 ERB65577:ERB65621 ERB131089:ERB131111 ERB131113:ERB131157 ERB196625:ERB196647 ERB196649:ERB196693 ERB262161:ERB262183 ERB262185:ERB262229 ERB327697:ERB327719 ERB327721:ERB327765 ERB393233:ERB393255 ERB393257:ERB393301 ERB458769:ERB458791 ERB458793:ERB458837 ERB524305:ERB524327 ERB524329:ERB524373 ERB589841:ERB589863 ERB589865:ERB589909 ERB655377:ERB655399 ERB655401:ERB655445 ERB720913:ERB720935 ERB720937:ERB720981 ERB786449:ERB786471 ERB786473:ERB786517 ERB851985:ERB852007 ERB852009:ERB852053 ERB917521:ERB917543 ERB917545:ERB917589 ERB983057:ERB983079 ERB983081:ERB983125 FAT89:FAT95 FAT65624:FAT65631 FAT131160:FAT131167 FAT196696:FAT196703 FAT262232:FAT262239 FAT327768:FAT327775 FAT393304:FAT393311 FAT458840:FAT458847 FAT524376:FAT524383 FAT589912:FAT589919 FAT655448:FAT655455 FAT720984:FAT720991 FAT786520:FAT786527 FAT852056:FAT852063 FAT917592:FAT917599 FAT983128:FAT983135 FAX17:FAX39 FAX41:FAX86 FAX65553:FAX65575 FAX65577:FAX65621 FAX131089:FAX131111 FAX131113:FAX131157 FAX196625:FAX196647 FAX196649:FAX196693 FAX262161:FAX262183 FAX262185:FAX262229 FAX327697:FAX327719 FAX327721:FAX327765 FAX393233:FAX393255 FAX393257:FAX393301 FAX458769:FAX458791 FAX458793:FAX458837 FAX524305:FAX524327 FAX524329:FAX524373 FAX589841:FAX589863 FAX589865:FAX589909 FAX655377:FAX655399 FAX655401:FAX655445 FAX720913:FAX720935 FAX720937:FAX720981 FAX786449:FAX786471 FAX786473:FAX786517 FAX851985:FAX852007 FAX852009:FAX852053 FAX917521:FAX917543 FAX917545:FAX917589 FAX983057:FAX983079 FAX983081:FAX983125 FKP89:FKP95 FKP65624:FKP65631 FKP131160:FKP131167 FKP196696:FKP196703 FKP262232:FKP262239 FKP327768:FKP327775 FKP393304:FKP393311 FKP458840:FKP458847 FKP524376:FKP524383 FKP589912:FKP589919 FKP655448:FKP655455 FKP720984:FKP720991 FKP786520:FKP786527 FKP852056:FKP852063 FKP917592:FKP917599 FKP983128:FKP983135 FKT17:FKT39 FKT41:FKT86 FKT65553:FKT65575 FKT65577:FKT65621 FKT131089:FKT131111 FKT131113:FKT131157 FKT196625:FKT196647 FKT196649:FKT196693 FKT262161:FKT262183 FKT262185:FKT262229 FKT327697:FKT327719 FKT327721:FKT327765 FKT393233:FKT393255 FKT393257:FKT393301 FKT458769:FKT458791 FKT458793:FKT458837 FKT524305:FKT524327 FKT524329:FKT524373 FKT589841:FKT589863 FKT589865:FKT589909 FKT655377:FKT655399 FKT655401:FKT655445 FKT720913:FKT720935 FKT720937:FKT720981 FKT786449:FKT786471 FKT786473:FKT786517 FKT851985:FKT852007 FKT852009:FKT852053 FKT917521:FKT917543 FKT917545:FKT917589 FKT983057:FKT983079 FKT983081:FKT983125 FUL89:FUL95 FUL65624:FUL65631 FUL131160:FUL131167 FUL196696:FUL196703 FUL262232:FUL262239 FUL327768:FUL327775 FUL393304:FUL393311 FUL458840:FUL458847 FUL524376:FUL524383 FUL589912:FUL589919 FUL655448:FUL655455 FUL720984:FUL720991 FUL786520:FUL786527 FUL852056:FUL852063 FUL917592:FUL917599 FUL983128:FUL983135 FUP17:FUP39 FUP41:FUP86 FUP65553:FUP65575 FUP65577:FUP65621 FUP131089:FUP131111 FUP131113:FUP131157 FUP196625:FUP196647 FUP196649:FUP196693 FUP262161:FUP262183 FUP262185:FUP262229 FUP327697:FUP327719 FUP327721:FUP327765 FUP393233:FUP393255 FUP393257:FUP393301 FUP458769:FUP458791 FUP458793:FUP458837 FUP524305:FUP524327 FUP524329:FUP524373 FUP589841:FUP589863 FUP589865:FUP589909 FUP655377:FUP655399 FUP655401:FUP655445 FUP720913:FUP720935 FUP720937:FUP720981 FUP786449:FUP786471 FUP786473:FUP786517 FUP851985:FUP852007 FUP852009:FUP852053 FUP917521:FUP917543 FUP917545:FUP917589 FUP983057:FUP983079 FUP983081:FUP983125 GEH89:GEH95 GEH65624:GEH65631 GEH131160:GEH131167 GEH196696:GEH196703 GEH262232:GEH262239 GEH327768:GEH327775 GEH393304:GEH393311 GEH458840:GEH458847 GEH524376:GEH524383 GEH589912:GEH589919 GEH655448:GEH655455 GEH720984:GEH720991 GEH786520:GEH786527 GEH852056:GEH852063 GEH917592:GEH917599 GEH983128:GEH983135 GEL17:GEL39 GEL41:GEL86 GEL65553:GEL65575 GEL65577:GEL65621 GEL131089:GEL131111 GEL131113:GEL131157 GEL196625:GEL196647 GEL196649:GEL196693 GEL262161:GEL262183 GEL262185:GEL262229 GEL327697:GEL327719 GEL327721:GEL327765 GEL393233:GEL393255 GEL393257:GEL393301 GEL458769:GEL458791 GEL458793:GEL458837 GEL524305:GEL524327 GEL524329:GEL524373 GEL589841:GEL589863 GEL589865:GEL589909 GEL655377:GEL655399 GEL655401:GEL655445 GEL720913:GEL720935 GEL720937:GEL720981 GEL786449:GEL786471 GEL786473:GEL786517 GEL851985:GEL852007 GEL852009:GEL852053 GEL917521:GEL917543 GEL917545:GEL917589 GEL983057:GEL983079 GEL983081:GEL983125 GOD89:GOD95 GOD65624:GOD65631 GOD131160:GOD131167 GOD196696:GOD196703 GOD262232:GOD262239 GOD327768:GOD327775 GOD393304:GOD393311 GOD458840:GOD458847 GOD524376:GOD524383 GOD589912:GOD589919 GOD655448:GOD655455 GOD720984:GOD720991 GOD786520:GOD786527 GOD852056:GOD852063 GOD917592:GOD917599 GOD983128:GOD983135 GOH17:GOH39 GOH41:GOH86 GOH65553:GOH65575 GOH65577:GOH65621 GOH131089:GOH131111 GOH131113:GOH131157 GOH196625:GOH196647 GOH196649:GOH196693 GOH262161:GOH262183 GOH262185:GOH262229 GOH327697:GOH327719 GOH327721:GOH327765 GOH393233:GOH393255 GOH393257:GOH393301 GOH458769:GOH458791 GOH458793:GOH458837 GOH524305:GOH524327 GOH524329:GOH524373 GOH589841:GOH589863 GOH589865:GOH589909 GOH655377:GOH655399 GOH655401:GOH655445 GOH720913:GOH720935 GOH720937:GOH720981 GOH786449:GOH786471 GOH786473:GOH786517 GOH851985:GOH852007 GOH852009:GOH852053 GOH917521:GOH917543 GOH917545:GOH917589 GOH983057:GOH983079 GOH983081:GOH983125 GXZ89:GXZ95 GXZ65624:GXZ65631 GXZ131160:GXZ131167 GXZ196696:GXZ196703 GXZ262232:GXZ262239 GXZ327768:GXZ327775 GXZ393304:GXZ393311 GXZ458840:GXZ458847 GXZ524376:GXZ524383 GXZ589912:GXZ589919 GXZ655448:GXZ655455 GXZ720984:GXZ720991 GXZ786520:GXZ786527 GXZ852056:GXZ852063 GXZ917592:GXZ917599 GXZ983128:GXZ983135 GYD17:GYD39 GYD41:GYD86 GYD65553:GYD65575 GYD65577:GYD65621 GYD131089:GYD131111 GYD131113:GYD131157 GYD196625:GYD196647 GYD196649:GYD196693 GYD262161:GYD262183 GYD262185:GYD262229 GYD327697:GYD327719 GYD327721:GYD327765 GYD393233:GYD393255 GYD393257:GYD393301 GYD458769:GYD458791 GYD458793:GYD458837 GYD524305:GYD524327 GYD524329:GYD524373 GYD589841:GYD589863 GYD589865:GYD589909 GYD655377:GYD655399 GYD655401:GYD655445 GYD720913:GYD720935 GYD720937:GYD720981 GYD786449:GYD786471 GYD786473:GYD786517 GYD851985:GYD852007 GYD852009:GYD852053 GYD917521:GYD917543 GYD917545:GYD917589 GYD983057:GYD983079 GYD983081:GYD983125 HHV89:HHV95 HHV65624:HHV65631 HHV131160:HHV131167 HHV196696:HHV196703 HHV262232:HHV262239 HHV327768:HHV327775 HHV393304:HHV393311 HHV458840:HHV458847 HHV524376:HHV524383 HHV589912:HHV589919 HHV655448:HHV655455 HHV720984:HHV720991 HHV786520:HHV786527 HHV852056:HHV852063 HHV917592:HHV917599 HHV983128:HHV983135 HHZ17:HHZ39 HHZ41:HHZ86 HHZ65553:HHZ65575 HHZ65577:HHZ65621 HHZ131089:HHZ131111 HHZ131113:HHZ131157 HHZ196625:HHZ196647 HHZ196649:HHZ196693 HHZ262161:HHZ262183 HHZ262185:HHZ262229 HHZ327697:HHZ327719 HHZ327721:HHZ327765 HHZ393233:HHZ393255 HHZ393257:HHZ393301 HHZ458769:HHZ458791 HHZ458793:HHZ458837 HHZ524305:HHZ524327 HHZ524329:HHZ524373 HHZ589841:HHZ589863 HHZ589865:HHZ589909 HHZ655377:HHZ655399 HHZ655401:HHZ655445 HHZ720913:HHZ720935 HHZ720937:HHZ720981 HHZ786449:HHZ786471 HHZ786473:HHZ786517 HHZ851985:HHZ852007 HHZ852009:HHZ852053 HHZ917521:HHZ917543 HHZ917545:HHZ917589 HHZ983057:HHZ983079 HHZ983081:HHZ983125 HRR89:HRR95 HRR65624:HRR65631 HRR131160:HRR131167 HRR196696:HRR196703 HRR262232:HRR262239 HRR327768:HRR327775 HRR393304:HRR393311 HRR458840:HRR458847 HRR524376:HRR524383 HRR589912:HRR589919 HRR655448:HRR655455 HRR720984:HRR720991 HRR786520:HRR786527 HRR852056:HRR852063 HRR917592:HRR917599 HRR983128:HRR983135 HRV17:HRV39 HRV41:HRV86 HRV65553:HRV65575 HRV65577:HRV65621 HRV131089:HRV131111 HRV131113:HRV131157 HRV196625:HRV196647 HRV196649:HRV196693 HRV262161:HRV262183 HRV262185:HRV262229 HRV327697:HRV327719 HRV327721:HRV327765 HRV393233:HRV393255 HRV393257:HRV393301 HRV458769:HRV458791 HRV458793:HRV458837 HRV524305:HRV524327 HRV524329:HRV524373 HRV589841:HRV589863 HRV589865:HRV589909 HRV655377:HRV655399 HRV655401:HRV655445 HRV720913:HRV720935 HRV720937:HRV720981 HRV786449:HRV786471 HRV786473:HRV786517 HRV851985:HRV852007 HRV852009:HRV852053 HRV917521:HRV917543 HRV917545:HRV917589 HRV983057:HRV983079 HRV983081:HRV983125 IBN89:IBN95 IBN65624:IBN65631 IBN131160:IBN131167 IBN196696:IBN196703 IBN262232:IBN262239 IBN327768:IBN327775 IBN393304:IBN393311 IBN458840:IBN458847 IBN524376:IBN524383 IBN589912:IBN589919 IBN655448:IBN655455 IBN720984:IBN720991 IBN786520:IBN786527 IBN852056:IBN852063 IBN917592:IBN917599 IBN983128:IBN983135 IBR17:IBR39 IBR41:IBR86 IBR65553:IBR65575 IBR65577:IBR65621 IBR131089:IBR131111 IBR131113:IBR131157 IBR196625:IBR196647 IBR196649:IBR196693 IBR262161:IBR262183 IBR262185:IBR262229 IBR327697:IBR327719 IBR327721:IBR327765 IBR393233:IBR393255 IBR393257:IBR393301 IBR458769:IBR458791 IBR458793:IBR458837 IBR524305:IBR524327 IBR524329:IBR524373 IBR589841:IBR589863 IBR589865:IBR589909 IBR655377:IBR655399 IBR655401:IBR655445 IBR720913:IBR720935 IBR720937:IBR720981 IBR786449:IBR786471 IBR786473:IBR786517 IBR851985:IBR852007 IBR852009:IBR852053 IBR917521:IBR917543 IBR917545:IBR917589 IBR983057:IBR983079 IBR983081:IBR983125 ILJ89:ILJ95 ILJ65624:ILJ65631 ILJ131160:ILJ131167 ILJ196696:ILJ196703 ILJ262232:ILJ262239 ILJ327768:ILJ327775 ILJ393304:ILJ393311 ILJ458840:ILJ458847 ILJ524376:ILJ524383 ILJ589912:ILJ589919 ILJ655448:ILJ655455 ILJ720984:ILJ720991 ILJ786520:ILJ786527 ILJ852056:ILJ852063 ILJ917592:ILJ917599 ILJ983128:ILJ983135 ILN17:ILN39 ILN41:ILN86 ILN65553:ILN65575 ILN65577:ILN65621 ILN131089:ILN131111 ILN131113:ILN131157 ILN196625:ILN196647 ILN196649:ILN196693 ILN262161:ILN262183 ILN262185:ILN262229 ILN327697:ILN327719 ILN327721:ILN327765 ILN393233:ILN393255 ILN393257:ILN393301 ILN458769:ILN458791 ILN458793:ILN458837 ILN524305:ILN524327 ILN524329:ILN524373 ILN589841:ILN589863 ILN589865:ILN589909 ILN655377:ILN655399 ILN655401:ILN655445 ILN720913:ILN720935 ILN720937:ILN720981 ILN786449:ILN786471 ILN786473:ILN786517 ILN851985:ILN852007 ILN852009:ILN852053 ILN917521:ILN917543 ILN917545:ILN917589 ILN983057:ILN983079 ILN983081:ILN983125 IVF89:IVF95 IVF65624:IVF65631 IVF131160:IVF131167 IVF196696:IVF196703 IVF262232:IVF262239 IVF327768:IVF327775 IVF393304:IVF393311 IVF458840:IVF458847 IVF524376:IVF524383 IVF589912:IVF589919 IVF655448:IVF655455 IVF720984:IVF720991 IVF786520:IVF786527 IVF852056:IVF852063 IVF917592:IVF917599 IVF983128:IVF983135 IVJ17:IVJ39 IVJ41:IVJ86 IVJ65553:IVJ65575 IVJ65577:IVJ65621 IVJ131089:IVJ131111 IVJ131113:IVJ131157 IVJ196625:IVJ196647 IVJ196649:IVJ196693 IVJ262161:IVJ262183 IVJ262185:IVJ262229 IVJ327697:IVJ327719 IVJ327721:IVJ327765 IVJ393233:IVJ393255 IVJ393257:IVJ393301 IVJ458769:IVJ458791 IVJ458793:IVJ458837 IVJ524305:IVJ524327 IVJ524329:IVJ524373 IVJ589841:IVJ589863 IVJ589865:IVJ589909 IVJ655377:IVJ655399 IVJ655401:IVJ655445 IVJ720913:IVJ720935 IVJ720937:IVJ720981 IVJ786449:IVJ786471 IVJ786473:IVJ786517 IVJ851985:IVJ852007 IVJ852009:IVJ852053 IVJ917521:IVJ917543 IVJ917545:IVJ917589 IVJ983057:IVJ983079 IVJ983081:IVJ983125 JFB89:JFB95 JFB65624:JFB65631 JFB131160:JFB131167 JFB196696:JFB196703 JFB262232:JFB262239 JFB327768:JFB327775 JFB393304:JFB393311 JFB458840:JFB458847 JFB524376:JFB524383 JFB589912:JFB589919 JFB655448:JFB655455 JFB720984:JFB720991 JFB786520:JFB786527 JFB852056:JFB852063 JFB917592:JFB917599 JFB983128:JFB983135 JFF17:JFF39 JFF41:JFF86 JFF65553:JFF65575 JFF65577:JFF65621 JFF131089:JFF131111 JFF131113:JFF131157 JFF196625:JFF196647 JFF196649:JFF196693 JFF262161:JFF262183 JFF262185:JFF262229 JFF327697:JFF327719 JFF327721:JFF327765 JFF393233:JFF393255 JFF393257:JFF393301 JFF458769:JFF458791 JFF458793:JFF458837 JFF524305:JFF524327 JFF524329:JFF524373 JFF589841:JFF589863 JFF589865:JFF589909 JFF655377:JFF655399 JFF655401:JFF655445 JFF720913:JFF720935 JFF720937:JFF720981 JFF786449:JFF786471 JFF786473:JFF786517 JFF851985:JFF852007 JFF852009:JFF852053 JFF917521:JFF917543 JFF917545:JFF917589 JFF983057:JFF983079 JFF983081:JFF983125 JOX89:JOX95 JOX65624:JOX65631 JOX131160:JOX131167 JOX196696:JOX196703 JOX262232:JOX262239 JOX327768:JOX327775 JOX393304:JOX393311 JOX458840:JOX458847 JOX524376:JOX524383 JOX589912:JOX589919 JOX655448:JOX655455 JOX720984:JOX720991 JOX786520:JOX786527 JOX852056:JOX852063 JOX917592:JOX917599 JOX983128:JOX983135 JPB17:JPB39 JPB41:JPB86 JPB65553:JPB65575 JPB65577:JPB65621 JPB131089:JPB131111 JPB131113:JPB131157 JPB196625:JPB196647 JPB196649:JPB196693 JPB262161:JPB262183 JPB262185:JPB262229 JPB327697:JPB327719 JPB327721:JPB327765 JPB393233:JPB393255 JPB393257:JPB393301 JPB458769:JPB458791 JPB458793:JPB458837 JPB524305:JPB524327 JPB524329:JPB524373 JPB589841:JPB589863 JPB589865:JPB589909 JPB655377:JPB655399 JPB655401:JPB655445 JPB720913:JPB720935 JPB720937:JPB720981 JPB786449:JPB786471 JPB786473:JPB786517 JPB851985:JPB852007 JPB852009:JPB852053 JPB917521:JPB917543 JPB917545:JPB917589 JPB983057:JPB983079 JPB983081:JPB983125 JYT89:JYT95 JYT65624:JYT65631 JYT131160:JYT131167 JYT196696:JYT196703 JYT262232:JYT262239 JYT327768:JYT327775 JYT393304:JYT393311 JYT458840:JYT458847 JYT524376:JYT524383 JYT589912:JYT589919 JYT655448:JYT655455 JYT720984:JYT720991 JYT786520:JYT786527 JYT852056:JYT852063 JYT917592:JYT917599 JYT983128:JYT983135 JYX17:JYX39 JYX41:JYX86 JYX65553:JYX65575 JYX65577:JYX65621 JYX131089:JYX131111 JYX131113:JYX131157 JYX196625:JYX196647 JYX196649:JYX196693 JYX262161:JYX262183 JYX262185:JYX262229 JYX327697:JYX327719 JYX327721:JYX327765 JYX393233:JYX393255 JYX393257:JYX393301 JYX458769:JYX458791 JYX458793:JYX458837 JYX524305:JYX524327 JYX524329:JYX524373 JYX589841:JYX589863 JYX589865:JYX589909 JYX655377:JYX655399 JYX655401:JYX655445 JYX720913:JYX720935 JYX720937:JYX720981 JYX786449:JYX786471 JYX786473:JYX786517 JYX851985:JYX852007 JYX852009:JYX852053 JYX917521:JYX917543 JYX917545:JYX917589 JYX983057:JYX983079 JYX983081:JYX983125 KIP89:KIP95 KIP65624:KIP65631 KIP131160:KIP131167 KIP196696:KIP196703 KIP262232:KIP262239 KIP327768:KIP327775 KIP393304:KIP393311 KIP458840:KIP458847 KIP524376:KIP524383 KIP589912:KIP589919 KIP655448:KIP655455 KIP720984:KIP720991 KIP786520:KIP786527 KIP852056:KIP852063 KIP917592:KIP917599 KIP983128:KIP983135 KIT17:KIT39 KIT41:KIT86 KIT65553:KIT65575 KIT65577:KIT65621 KIT131089:KIT131111 KIT131113:KIT131157 KIT196625:KIT196647 KIT196649:KIT196693 KIT262161:KIT262183 KIT262185:KIT262229 KIT327697:KIT327719 KIT327721:KIT327765 KIT393233:KIT393255 KIT393257:KIT393301 KIT458769:KIT458791 KIT458793:KIT458837 KIT524305:KIT524327 KIT524329:KIT524373 KIT589841:KIT589863 KIT589865:KIT589909 KIT655377:KIT655399 KIT655401:KIT655445 KIT720913:KIT720935 KIT720937:KIT720981 KIT786449:KIT786471 KIT786473:KIT786517 KIT851985:KIT852007 KIT852009:KIT852053 KIT917521:KIT917543 KIT917545:KIT917589 KIT983057:KIT983079 KIT983081:KIT983125 KSL89:KSL95 KSL65624:KSL65631 KSL131160:KSL131167 KSL196696:KSL196703 KSL262232:KSL262239 KSL327768:KSL327775 KSL393304:KSL393311 KSL458840:KSL458847 KSL524376:KSL524383 KSL589912:KSL589919 KSL655448:KSL655455 KSL720984:KSL720991 KSL786520:KSL786527 KSL852056:KSL852063 KSL917592:KSL917599 KSL983128:KSL983135 KSP17:KSP39 KSP41:KSP86 KSP65553:KSP65575 KSP65577:KSP65621 KSP131089:KSP131111 KSP131113:KSP131157 KSP196625:KSP196647 KSP196649:KSP196693 KSP262161:KSP262183 KSP262185:KSP262229 KSP327697:KSP327719 KSP327721:KSP327765 KSP393233:KSP393255 KSP393257:KSP393301 KSP458769:KSP458791 KSP458793:KSP458837 KSP524305:KSP524327 KSP524329:KSP524373 KSP589841:KSP589863 KSP589865:KSP589909 KSP655377:KSP655399 KSP655401:KSP655445 KSP720913:KSP720935 KSP720937:KSP720981 KSP786449:KSP786471 KSP786473:KSP786517 KSP851985:KSP852007 KSP852009:KSP852053 KSP917521:KSP917543 KSP917545:KSP917589 KSP983057:KSP983079 KSP983081:KSP983125 LCH89:LCH95 LCH65624:LCH65631 LCH131160:LCH131167 LCH196696:LCH196703 LCH262232:LCH262239 LCH327768:LCH327775 LCH393304:LCH393311 LCH458840:LCH458847 LCH524376:LCH524383 LCH589912:LCH589919 LCH655448:LCH655455 LCH720984:LCH720991 LCH786520:LCH786527 LCH852056:LCH852063 LCH917592:LCH917599 LCH983128:LCH983135 LCL17:LCL39 LCL41:LCL86 LCL65553:LCL65575 LCL65577:LCL65621 LCL131089:LCL131111 LCL131113:LCL131157 LCL196625:LCL196647 LCL196649:LCL196693 LCL262161:LCL262183 LCL262185:LCL262229 LCL327697:LCL327719 LCL327721:LCL327765 LCL393233:LCL393255 LCL393257:LCL393301 LCL458769:LCL458791 LCL458793:LCL458837 LCL524305:LCL524327 LCL524329:LCL524373 LCL589841:LCL589863 LCL589865:LCL589909 LCL655377:LCL655399 LCL655401:LCL655445 LCL720913:LCL720935 LCL720937:LCL720981 LCL786449:LCL786471 LCL786473:LCL786517 LCL851985:LCL852007 LCL852009:LCL852053 LCL917521:LCL917543 LCL917545:LCL917589 LCL983057:LCL983079 LCL983081:LCL983125 LMD89:LMD95 LMD65624:LMD65631 LMD131160:LMD131167 LMD196696:LMD196703 LMD262232:LMD262239 LMD327768:LMD327775 LMD393304:LMD393311 LMD458840:LMD458847 LMD524376:LMD524383 LMD589912:LMD589919 LMD655448:LMD655455 LMD720984:LMD720991 LMD786520:LMD786527 LMD852056:LMD852063 LMD917592:LMD917599 LMD983128:LMD983135 LMH17:LMH39 LMH41:LMH86 LMH65553:LMH65575 LMH65577:LMH65621 LMH131089:LMH131111 LMH131113:LMH131157 LMH196625:LMH196647 LMH196649:LMH196693 LMH262161:LMH262183 LMH262185:LMH262229 LMH327697:LMH327719 LMH327721:LMH327765 LMH393233:LMH393255 LMH393257:LMH393301 LMH458769:LMH458791 LMH458793:LMH458837 LMH524305:LMH524327 LMH524329:LMH524373 LMH589841:LMH589863 LMH589865:LMH589909 LMH655377:LMH655399 LMH655401:LMH655445 LMH720913:LMH720935 LMH720937:LMH720981 LMH786449:LMH786471 LMH786473:LMH786517 LMH851985:LMH852007 LMH852009:LMH852053 LMH917521:LMH917543 LMH917545:LMH917589 LMH983057:LMH983079 LMH983081:LMH983125 LVZ89:LVZ95 LVZ65624:LVZ65631 LVZ131160:LVZ131167 LVZ196696:LVZ196703 LVZ262232:LVZ262239 LVZ327768:LVZ327775 LVZ393304:LVZ393311 LVZ458840:LVZ458847 LVZ524376:LVZ524383 LVZ589912:LVZ589919 LVZ655448:LVZ655455 LVZ720984:LVZ720991 LVZ786520:LVZ786527 LVZ852056:LVZ852063 LVZ917592:LVZ917599 LVZ983128:LVZ983135 LWD17:LWD39 LWD41:LWD86 LWD65553:LWD65575 LWD65577:LWD65621 LWD131089:LWD131111 LWD131113:LWD131157 LWD196625:LWD196647 LWD196649:LWD196693 LWD262161:LWD262183 LWD262185:LWD262229 LWD327697:LWD327719 LWD327721:LWD327765 LWD393233:LWD393255 LWD393257:LWD393301 LWD458769:LWD458791 LWD458793:LWD458837 LWD524305:LWD524327 LWD524329:LWD524373 LWD589841:LWD589863 LWD589865:LWD589909 LWD655377:LWD655399 LWD655401:LWD655445 LWD720913:LWD720935 LWD720937:LWD720981 LWD786449:LWD786471 LWD786473:LWD786517 LWD851985:LWD852007 LWD852009:LWD852053 LWD917521:LWD917543 LWD917545:LWD917589 LWD983057:LWD983079 LWD983081:LWD983125 MFV89:MFV95 MFV65624:MFV65631 MFV131160:MFV131167 MFV196696:MFV196703 MFV262232:MFV262239 MFV327768:MFV327775 MFV393304:MFV393311 MFV458840:MFV458847 MFV524376:MFV524383 MFV589912:MFV589919 MFV655448:MFV655455 MFV720984:MFV720991 MFV786520:MFV786527 MFV852056:MFV852063 MFV917592:MFV917599 MFV983128:MFV983135 MFZ17:MFZ39 MFZ41:MFZ86 MFZ65553:MFZ65575 MFZ65577:MFZ65621 MFZ131089:MFZ131111 MFZ131113:MFZ131157 MFZ196625:MFZ196647 MFZ196649:MFZ196693 MFZ262161:MFZ262183 MFZ262185:MFZ262229 MFZ327697:MFZ327719 MFZ327721:MFZ327765 MFZ393233:MFZ393255 MFZ393257:MFZ393301 MFZ458769:MFZ458791 MFZ458793:MFZ458837 MFZ524305:MFZ524327 MFZ524329:MFZ524373 MFZ589841:MFZ589863 MFZ589865:MFZ589909 MFZ655377:MFZ655399 MFZ655401:MFZ655445 MFZ720913:MFZ720935 MFZ720937:MFZ720981 MFZ786449:MFZ786471 MFZ786473:MFZ786517 MFZ851985:MFZ852007 MFZ852009:MFZ852053 MFZ917521:MFZ917543 MFZ917545:MFZ917589 MFZ983057:MFZ983079 MFZ983081:MFZ983125 MPR89:MPR95 MPR65624:MPR65631 MPR131160:MPR131167 MPR196696:MPR196703 MPR262232:MPR262239 MPR327768:MPR327775 MPR393304:MPR393311 MPR458840:MPR458847 MPR524376:MPR524383 MPR589912:MPR589919 MPR655448:MPR655455 MPR720984:MPR720991 MPR786520:MPR786527 MPR852056:MPR852063 MPR917592:MPR917599 MPR983128:MPR983135 MPV17:MPV39 MPV41:MPV86 MPV65553:MPV65575 MPV65577:MPV65621 MPV131089:MPV131111 MPV131113:MPV131157 MPV196625:MPV196647 MPV196649:MPV196693 MPV262161:MPV262183 MPV262185:MPV262229 MPV327697:MPV327719 MPV327721:MPV327765 MPV393233:MPV393255 MPV393257:MPV393301 MPV458769:MPV458791 MPV458793:MPV458837 MPV524305:MPV524327 MPV524329:MPV524373 MPV589841:MPV589863 MPV589865:MPV589909 MPV655377:MPV655399 MPV655401:MPV655445 MPV720913:MPV720935 MPV720937:MPV720981 MPV786449:MPV786471 MPV786473:MPV786517 MPV851985:MPV852007 MPV852009:MPV852053 MPV917521:MPV917543 MPV917545:MPV917589 MPV983057:MPV983079 MPV983081:MPV983125 MZN89:MZN95 MZN65624:MZN65631 MZN131160:MZN131167 MZN196696:MZN196703 MZN262232:MZN262239 MZN327768:MZN327775 MZN393304:MZN393311 MZN458840:MZN458847 MZN524376:MZN524383 MZN589912:MZN589919 MZN655448:MZN655455 MZN720984:MZN720991 MZN786520:MZN786527 MZN852056:MZN852063 MZN917592:MZN917599 MZN983128:MZN983135 MZR17:MZR39 MZR41:MZR86 MZR65553:MZR65575 MZR65577:MZR65621 MZR131089:MZR131111 MZR131113:MZR131157 MZR196625:MZR196647 MZR196649:MZR196693 MZR262161:MZR262183 MZR262185:MZR262229 MZR327697:MZR327719 MZR327721:MZR327765 MZR393233:MZR393255 MZR393257:MZR393301 MZR458769:MZR458791 MZR458793:MZR458837 MZR524305:MZR524327 MZR524329:MZR524373 MZR589841:MZR589863 MZR589865:MZR589909 MZR655377:MZR655399 MZR655401:MZR655445 MZR720913:MZR720935 MZR720937:MZR720981 MZR786449:MZR786471 MZR786473:MZR786517 MZR851985:MZR852007 MZR852009:MZR852053 MZR917521:MZR917543 MZR917545:MZR917589 MZR983057:MZR983079 MZR983081:MZR983125 NJJ89:NJJ95 NJJ65624:NJJ65631 NJJ131160:NJJ131167 NJJ196696:NJJ196703 NJJ262232:NJJ262239 NJJ327768:NJJ327775 NJJ393304:NJJ393311 NJJ458840:NJJ458847 NJJ524376:NJJ524383 NJJ589912:NJJ589919 NJJ655448:NJJ655455 NJJ720984:NJJ720991 NJJ786520:NJJ786527 NJJ852056:NJJ852063 NJJ917592:NJJ917599 NJJ983128:NJJ983135 NJN17:NJN39 NJN41:NJN86 NJN65553:NJN65575 NJN65577:NJN65621 NJN131089:NJN131111 NJN131113:NJN131157 NJN196625:NJN196647 NJN196649:NJN196693 NJN262161:NJN262183 NJN262185:NJN262229 NJN327697:NJN327719 NJN327721:NJN327765 NJN393233:NJN393255 NJN393257:NJN393301 NJN458769:NJN458791 NJN458793:NJN458837 NJN524305:NJN524327 NJN524329:NJN524373 NJN589841:NJN589863 NJN589865:NJN589909 NJN655377:NJN655399 NJN655401:NJN655445 NJN720913:NJN720935 NJN720937:NJN720981 NJN786449:NJN786471 NJN786473:NJN786517 NJN851985:NJN852007 NJN852009:NJN852053 NJN917521:NJN917543 NJN917545:NJN917589 NJN983057:NJN983079 NJN983081:NJN983125 NTF89:NTF95 NTF65624:NTF65631 NTF131160:NTF131167 NTF196696:NTF196703 NTF262232:NTF262239 NTF327768:NTF327775 NTF393304:NTF393311 NTF458840:NTF458847 NTF524376:NTF524383 NTF589912:NTF589919 NTF655448:NTF655455 NTF720984:NTF720991 NTF786520:NTF786527 NTF852056:NTF852063 NTF917592:NTF917599 NTF983128:NTF983135 NTJ17:NTJ39 NTJ41:NTJ86 NTJ65553:NTJ65575 NTJ65577:NTJ65621 NTJ131089:NTJ131111 NTJ131113:NTJ131157 NTJ196625:NTJ196647 NTJ196649:NTJ196693 NTJ262161:NTJ262183 NTJ262185:NTJ262229 NTJ327697:NTJ327719 NTJ327721:NTJ327765 NTJ393233:NTJ393255 NTJ393257:NTJ393301 NTJ458769:NTJ458791 NTJ458793:NTJ458837 NTJ524305:NTJ524327 NTJ524329:NTJ524373 NTJ589841:NTJ589863 NTJ589865:NTJ589909 NTJ655377:NTJ655399 NTJ655401:NTJ655445 NTJ720913:NTJ720935 NTJ720937:NTJ720981 NTJ786449:NTJ786471 NTJ786473:NTJ786517 NTJ851985:NTJ852007 NTJ852009:NTJ852053 NTJ917521:NTJ917543 NTJ917545:NTJ917589 NTJ983057:NTJ983079 NTJ983081:NTJ983125 ODB89:ODB95 ODB65624:ODB65631 ODB131160:ODB131167 ODB196696:ODB196703 ODB262232:ODB262239 ODB327768:ODB327775 ODB393304:ODB393311 ODB458840:ODB458847 ODB524376:ODB524383 ODB589912:ODB589919 ODB655448:ODB655455 ODB720984:ODB720991 ODB786520:ODB786527 ODB852056:ODB852063 ODB917592:ODB917599 ODB983128:ODB983135 ODF17:ODF39 ODF41:ODF86 ODF65553:ODF65575 ODF65577:ODF65621 ODF131089:ODF131111 ODF131113:ODF131157 ODF196625:ODF196647 ODF196649:ODF196693 ODF262161:ODF262183 ODF262185:ODF262229 ODF327697:ODF327719 ODF327721:ODF327765 ODF393233:ODF393255 ODF393257:ODF393301 ODF458769:ODF458791 ODF458793:ODF458837 ODF524305:ODF524327 ODF524329:ODF524373 ODF589841:ODF589863 ODF589865:ODF589909 ODF655377:ODF655399 ODF655401:ODF655445 ODF720913:ODF720935 ODF720937:ODF720981 ODF786449:ODF786471 ODF786473:ODF786517 ODF851985:ODF852007 ODF852009:ODF852053 ODF917521:ODF917543 ODF917545:ODF917589 ODF983057:ODF983079 ODF983081:ODF983125 OMX89:OMX95 OMX65624:OMX65631 OMX131160:OMX131167 OMX196696:OMX196703 OMX262232:OMX262239 OMX327768:OMX327775 OMX393304:OMX393311 OMX458840:OMX458847 OMX524376:OMX524383 OMX589912:OMX589919 OMX655448:OMX655455 OMX720984:OMX720991 OMX786520:OMX786527 OMX852056:OMX852063 OMX917592:OMX917599 OMX983128:OMX983135 ONB17:ONB39 ONB41:ONB86 ONB65553:ONB65575 ONB65577:ONB65621 ONB131089:ONB131111 ONB131113:ONB131157 ONB196625:ONB196647 ONB196649:ONB196693 ONB262161:ONB262183 ONB262185:ONB262229 ONB327697:ONB327719 ONB327721:ONB327765 ONB393233:ONB393255 ONB393257:ONB393301 ONB458769:ONB458791 ONB458793:ONB458837 ONB524305:ONB524327 ONB524329:ONB524373 ONB589841:ONB589863 ONB589865:ONB589909 ONB655377:ONB655399 ONB655401:ONB655445 ONB720913:ONB720935 ONB720937:ONB720981 ONB786449:ONB786471 ONB786473:ONB786517 ONB851985:ONB852007 ONB852009:ONB852053 ONB917521:ONB917543 ONB917545:ONB917589 ONB983057:ONB983079 ONB983081:ONB983125 OWT89:OWT95 OWT65624:OWT65631 OWT131160:OWT131167 OWT196696:OWT196703 OWT262232:OWT262239 OWT327768:OWT327775 OWT393304:OWT393311 OWT458840:OWT458847 OWT524376:OWT524383 OWT589912:OWT589919 OWT655448:OWT655455 OWT720984:OWT720991 OWT786520:OWT786527 OWT852056:OWT852063 OWT917592:OWT917599 OWT983128:OWT983135 OWX17:OWX39 OWX41:OWX86 OWX65553:OWX65575 OWX65577:OWX65621 OWX131089:OWX131111 OWX131113:OWX131157 OWX196625:OWX196647 OWX196649:OWX196693 OWX262161:OWX262183 OWX262185:OWX262229 OWX327697:OWX327719 OWX327721:OWX327765 OWX393233:OWX393255 OWX393257:OWX393301 OWX458769:OWX458791 OWX458793:OWX458837 OWX524305:OWX524327 OWX524329:OWX524373 OWX589841:OWX589863 OWX589865:OWX589909 OWX655377:OWX655399 OWX655401:OWX655445 OWX720913:OWX720935 OWX720937:OWX720981 OWX786449:OWX786471 OWX786473:OWX786517 OWX851985:OWX852007 OWX852009:OWX852053 OWX917521:OWX917543 OWX917545:OWX917589 OWX983057:OWX983079 OWX983081:OWX983125 PGP89:PGP95 PGP65624:PGP65631 PGP131160:PGP131167 PGP196696:PGP196703 PGP262232:PGP262239 PGP327768:PGP327775 PGP393304:PGP393311 PGP458840:PGP458847 PGP524376:PGP524383 PGP589912:PGP589919 PGP655448:PGP655455 PGP720984:PGP720991 PGP786520:PGP786527 PGP852056:PGP852063 PGP917592:PGP917599 PGP983128:PGP983135 PGT17:PGT39 PGT41:PGT86 PGT65553:PGT65575 PGT65577:PGT65621 PGT131089:PGT131111 PGT131113:PGT131157 PGT196625:PGT196647 PGT196649:PGT196693 PGT262161:PGT262183 PGT262185:PGT262229 PGT327697:PGT327719 PGT327721:PGT327765 PGT393233:PGT393255 PGT393257:PGT393301 PGT458769:PGT458791 PGT458793:PGT458837 PGT524305:PGT524327 PGT524329:PGT524373 PGT589841:PGT589863 PGT589865:PGT589909 PGT655377:PGT655399 PGT655401:PGT655445 PGT720913:PGT720935 PGT720937:PGT720981 PGT786449:PGT786471 PGT786473:PGT786517 PGT851985:PGT852007 PGT852009:PGT852053 PGT917521:PGT917543 PGT917545:PGT917589 PGT983057:PGT983079 PGT983081:PGT983125 PQL89:PQL95 PQL65624:PQL65631 PQL131160:PQL131167 PQL196696:PQL196703 PQL262232:PQL262239 PQL327768:PQL327775 PQL393304:PQL393311 PQL458840:PQL458847 PQL524376:PQL524383 PQL589912:PQL589919 PQL655448:PQL655455 PQL720984:PQL720991 PQL786520:PQL786527 PQL852056:PQL852063 PQL917592:PQL917599 PQL983128:PQL983135 PQP17:PQP39 PQP41:PQP86 PQP65553:PQP65575 PQP65577:PQP65621 PQP131089:PQP131111 PQP131113:PQP131157 PQP196625:PQP196647 PQP196649:PQP196693 PQP262161:PQP262183 PQP262185:PQP262229 PQP327697:PQP327719 PQP327721:PQP327765 PQP393233:PQP393255 PQP393257:PQP393301 PQP458769:PQP458791 PQP458793:PQP458837 PQP524305:PQP524327 PQP524329:PQP524373 PQP589841:PQP589863 PQP589865:PQP589909 PQP655377:PQP655399 PQP655401:PQP655445 PQP720913:PQP720935 PQP720937:PQP720981 PQP786449:PQP786471 PQP786473:PQP786517 PQP851985:PQP852007 PQP852009:PQP852053 PQP917521:PQP917543 PQP917545:PQP917589 PQP983057:PQP983079 PQP983081:PQP983125 QAH89:QAH95 QAH65624:QAH65631 QAH131160:QAH131167 QAH196696:QAH196703 QAH262232:QAH262239 QAH327768:QAH327775 QAH393304:QAH393311 QAH458840:QAH458847 QAH524376:QAH524383 QAH589912:QAH589919 QAH655448:QAH655455 QAH720984:QAH720991 QAH786520:QAH786527 QAH852056:QAH852063 QAH917592:QAH917599 QAH983128:QAH983135 QAL17:QAL39 QAL41:QAL86 QAL65553:QAL65575 QAL65577:QAL65621 QAL131089:QAL131111 QAL131113:QAL131157 QAL196625:QAL196647 QAL196649:QAL196693 QAL262161:QAL262183 QAL262185:QAL262229 QAL327697:QAL327719 QAL327721:QAL327765 QAL393233:QAL393255 QAL393257:QAL393301 QAL458769:QAL458791 QAL458793:QAL458837 QAL524305:QAL524327 QAL524329:QAL524373 QAL589841:QAL589863 QAL589865:QAL589909 QAL655377:QAL655399 QAL655401:QAL655445 QAL720913:QAL720935 QAL720937:QAL720981 QAL786449:QAL786471 QAL786473:QAL786517 QAL851985:QAL852007 QAL852009:QAL852053 QAL917521:QAL917543 QAL917545:QAL917589 QAL983057:QAL983079 QAL983081:QAL983125 QKD89:QKD95 QKD65624:QKD65631 QKD131160:QKD131167 QKD196696:QKD196703 QKD262232:QKD262239 QKD327768:QKD327775 QKD393304:QKD393311 QKD458840:QKD458847 QKD524376:QKD524383 QKD589912:QKD589919 QKD655448:QKD655455 QKD720984:QKD720991 QKD786520:QKD786527 QKD852056:QKD852063 QKD917592:QKD917599 QKD983128:QKD983135 QKH17:QKH39 QKH41:QKH86 QKH65553:QKH65575 QKH65577:QKH65621 QKH131089:QKH131111 QKH131113:QKH131157 QKH196625:QKH196647 QKH196649:QKH196693 QKH262161:QKH262183 QKH262185:QKH262229 QKH327697:QKH327719 QKH327721:QKH327765 QKH393233:QKH393255 QKH393257:QKH393301 QKH458769:QKH458791 QKH458793:QKH458837 QKH524305:QKH524327 QKH524329:QKH524373 QKH589841:QKH589863 QKH589865:QKH589909 QKH655377:QKH655399 QKH655401:QKH655445 QKH720913:QKH720935 QKH720937:QKH720981 QKH786449:QKH786471 QKH786473:QKH786517 QKH851985:QKH852007 QKH852009:QKH852053 QKH917521:QKH917543 QKH917545:QKH917589 QKH983057:QKH983079 QKH983081:QKH983125 QTZ89:QTZ95 QTZ65624:QTZ65631 QTZ131160:QTZ131167 QTZ196696:QTZ196703 QTZ262232:QTZ262239 QTZ327768:QTZ327775 QTZ393304:QTZ393311 QTZ458840:QTZ458847 QTZ524376:QTZ524383 QTZ589912:QTZ589919 QTZ655448:QTZ655455 QTZ720984:QTZ720991 QTZ786520:QTZ786527 QTZ852056:QTZ852063 QTZ917592:QTZ917599 QTZ983128:QTZ983135 QUD17:QUD39 QUD41:QUD86 QUD65553:QUD65575 QUD65577:QUD65621 QUD131089:QUD131111 QUD131113:QUD131157 QUD196625:QUD196647 QUD196649:QUD196693 QUD262161:QUD262183 QUD262185:QUD262229 QUD327697:QUD327719 QUD327721:QUD327765 QUD393233:QUD393255 QUD393257:QUD393301 QUD458769:QUD458791 QUD458793:QUD458837 QUD524305:QUD524327 QUD524329:QUD524373 QUD589841:QUD589863 QUD589865:QUD589909 QUD655377:QUD655399 QUD655401:QUD655445 QUD720913:QUD720935 QUD720937:QUD720981 QUD786449:QUD786471 QUD786473:QUD786517 QUD851985:QUD852007 QUD852009:QUD852053 QUD917521:QUD917543 QUD917545:QUD917589 QUD983057:QUD983079 QUD983081:QUD983125 RDV89:RDV95 RDV65624:RDV65631 RDV131160:RDV131167 RDV196696:RDV196703 RDV262232:RDV262239 RDV327768:RDV327775 RDV393304:RDV393311 RDV458840:RDV458847 RDV524376:RDV524383 RDV589912:RDV589919 RDV655448:RDV655455 RDV720984:RDV720991 RDV786520:RDV786527 RDV852056:RDV852063 RDV917592:RDV917599 RDV983128:RDV983135 RDZ17:RDZ39 RDZ41:RDZ86 RDZ65553:RDZ65575 RDZ65577:RDZ65621 RDZ131089:RDZ131111 RDZ131113:RDZ131157 RDZ196625:RDZ196647 RDZ196649:RDZ196693 RDZ262161:RDZ262183 RDZ262185:RDZ262229 RDZ327697:RDZ327719 RDZ327721:RDZ327765 RDZ393233:RDZ393255 RDZ393257:RDZ393301 RDZ458769:RDZ458791 RDZ458793:RDZ458837 RDZ524305:RDZ524327 RDZ524329:RDZ524373 RDZ589841:RDZ589863 RDZ589865:RDZ589909 RDZ655377:RDZ655399 RDZ655401:RDZ655445 RDZ720913:RDZ720935 RDZ720937:RDZ720981 RDZ786449:RDZ786471 RDZ786473:RDZ786517 RDZ851985:RDZ852007 RDZ852009:RDZ852053 RDZ917521:RDZ917543 RDZ917545:RDZ917589 RDZ983057:RDZ983079 RDZ983081:RDZ983125 RNR89:RNR95 RNR65624:RNR65631 RNR131160:RNR131167 RNR196696:RNR196703 RNR262232:RNR262239 RNR327768:RNR327775 RNR393304:RNR393311 RNR458840:RNR458847 RNR524376:RNR524383 RNR589912:RNR589919 RNR655448:RNR655455 RNR720984:RNR720991 RNR786520:RNR786527 RNR852056:RNR852063 RNR917592:RNR917599 RNR983128:RNR983135 RNV17:RNV39 RNV41:RNV86 RNV65553:RNV65575 RNV65577:RNV65621 RNV131089:RNV131111 RNV131113:RNV131157 RNV196625:RNV196647 RNV196649:RNV196693 RNV262161:RNV262183 RNV262185:RNV262229 RNV327697:RNV327719 RNV327721:RNV327765 RNV393233:RNV393255 RNV393257:RNV393301 RNV458769:RNV458791 RNV458793:RNV458837 RNV524305:RNV524327 RNV524329:RNV524373 RNV589841:RNV589863 RNV589865:RNV589909 RNV655377:RNV655399 RNV655401:RNV655445 RNV720913:RNV720935 RNV720937:RNV720981 RNV786449:RNV786471 RNV786473:RNV786517 RNV851985:RNV852007 RNV852009:RNV852053 RNV917521:RNV917543 RNV917545:RNV917589 RNV983057:RNV983079 RNV983081:RNV983125 RXN89:RXN95 RXN65624:RXN65631 RXN131160:RXN131167 RXN196696:RXN196703 RXN262232:RXN262239 RXN327768:RXN327775 RXN393304:RXN393311 RXN458840:RXN458847 RXN524376:RXN524383 RXN589912:RXN589919 RXN655448:RXN655455 RXN720984:RXN720991 RXN786520:RXN786527 RXN852056:RXN852063 RXN917592:RXN917599 RXN983128:RXN983135 RXR17:RXR39 RXR41:RXR86 RXR65553:RXR65575 RXR65577:RXR65621 RXR131089:RXR131111 RXR131113:RXR131157 RXR196625:RXR196647 RXR196649:RXR196693 RXR262161:RXR262183 RXR262185:RXR262229 RXR327697:RXR327719 RXR327721:RXR327765 RXR393233:RXR393255 RXR393257:RXR393301 RXR458769:RXR458791 RXR458793:RXR458837 RXR524305:RXR524327 RXR524329:RXR524373 RXR589841:RXR589863 RXR589865:RXR589909 RXR655377:RXR655399 RXR655401:RXR655445 RXR720913:RXR720935 RXR720937:RXR720981 RXR786449:RXR786471 RXR786473:RXR786517 RXR851985:RXR852007 RXR852009:RXR852053 RXR917521:RXR917543 RXR917545:RXR917589 RXR983057:RXR983079 RXR983081:RXR983125 SHJ89:SHJ95 SHJ65624:SHJ65631 SHJ131160:SHJ131167 SHJ196696:SHJ196703 SHJ262232:SHJ262239 SHJ327768:SHJ327775 SHJ393304:SHJ393311 SHJ458840:SHJ458847 SHJ524376:SHJ524383 SHJ589912:SHJ589919 SHJ655448:SHJ655455 SHJ720984:SHJ720991 SHJ786520:SHJ786527 SHJ852056:SHJ852063 SHJ917592:SHJ917599 SHJ983128:SHJ983135 SHN17:SHN39 SHN41:SHN86 SHN65553:SHN65575 SHN65577:SHN65621 SHN131089:SHN131111 SHN131113:SHN131157 SHN196625:SHN196647 SHN196649:SHN196693 SHN262161:SHN262183 SHN262185:SHN262229 SHN327697:SHN327719 SHN327721:SHN327765 SHN393233:SHN393255 SHN393257:SHN393301 SHN458769:SHN458791 SHN458793:SHN458837 SHN524305:SHN524327 SHN524329:SHN524373 SHN589841:SHN589863 SHN589865:SHN589909 SHN655377:SHN655399 SHN655401:SHN655445 SHN720913:SHN720935 SHN720937:SHN720981 SHN786449:SHN786471 SHN786473:SHN786517 SHN851985:SHN852007 SHN852009:SHN852053 SHN917521:SHN917543 SHN917545:SHN917589 SHN983057:SHN983079 SHN983081:SHN983125 SRF89:SRF95 SRF65624:SRF65631 SRF131160:SRF131167 SRF196696:SRF196703 SRF262232:SRF262239 SRF327768:SRF327775 SRF393304:SRF393311 SRF458840:SRF458847 SRF524376:SRF524383 SRF589912:SRF589919 SRF655448:SRF655455 SRF720984:SRF720991 SRF786520:SRF786527 SRF852056:SRF852063 SRF917592:SRF917599 SRF983128:SRF983135 SRJ17:SRJ39 SRJ41:SRJ86 SRJ65553:SRJ65575 SRJ65577:SRJ65621 SRJ131089:SRJ131111 SRJ131113:SRJ131157 SRJ196625:SRJ196647 SRJ196649:SRJ196693 SRJ262161:SRJ262183 SRJ262185:SRJ262229 SRJ327697:SRJ327719 SRJ327721:SRJ327765 SRJ393233:SRJ393255 SRJ393257:SRJ393301 SRJ458769:SRJ458791 SRJ458793:SRJ458837 SRJ524305:SRJ524327 SRJ524329:SRJ524373 SRJ589841:SRJ589863 SRJ589865:SRJ589909 SRJ655377:SRJ655399 SRJ655401:SRJ655445 SRJ720913:SRJ720935 SRJ720937:SRJ720981 SRJ786449:SRJ786471 SRJ786473:SRJ786517 SRJ851985:SRJ852007 SRJ852009:SRJ852053 SRJ917521:SRJ917543 SRJ917545:SRJ917589 SRJ983057:SRJ983079 SRJ983081:SRJ983125 TBB89:TBB95 TBB65624:TBB65631 TBB131160:TBB131167 TBB196696:TBB196703 TBB262232:TBB262239 TBB327768:TBB327775 TBB393304:TBB393311 TBB458840:TBB458847 TBB524376:TBB524383 TBB589912:TBB589919 TBB655448:TBB655455 TBB720984:TBB720991 TBB786520:TBB786527 TBB852056:TBB852063 TBB917592:TBB917599 TBB983128:TBB983135 TBF17:TBF39 TBF41:TBF86 TBF65553:TBF65575 TBF65577:TBF65621 TBF131089:TBF131111 TBF131113:TBF131157 TBF196625:TBF196647 TBF196649:TBF196693 TBF262161:TBF262183 TBF262185:TBF262229 TBF327697:TBF327719 TBF327721:TBF327765 TBF393233:TBF393255 TBF393257:TBF393301 TBF458769:TBF458791 TBF458793:TBF458837 TBF524305:TBF524327 TBF524329:TBF524373 TBF589841:TBF589863 TBF589865:TBF589909 TBF655377:TBF655399 TBF655401:TBF655445 TBF720913:TBF720935 TBF720937:TBF720981 TBF786449:TBF786471 TBF786473:TBF786517 TBF851985:TBF852007 TBF852009:TBF852053 TBF917521:TBF917543 TBF917545:TBF917589 TBF983057:TBF983079 TBF983081:TBF983125 TKX89:TKX95 TKX65624:TKX65631 TKX131160:TKX131167 TKX196696:TKX196703 TKX262232:TKX262239 TKX327768:TKX327775 TKX393304:TKX393311 TKX458840:TKX458847 TKX524376:TKX524383 TKX589912:TKX589919 TKX655448:TKX655455 TKX720984:TKX720991 TKX786520:TKX786527 TKX852056:TKX852063 TKX917592:TKX917599 TKX983128:TKX983135 TLB17:TLB39 TLB41:TLB86 TLB65553:TLB65575 TLB65577:TLB65621 TLB131089:TLB131111 TLB131113:TLB131157 TLB196625:TLB196647 TLB196649:TLB196693 TLB262161:TLB262183 TLB262185:TLB262229 TLB327697:TLB327719 TLB327721:TLB327765 TLB393233:TLB393255 TLB393257:TLB393301 TLB458769:TLB458791 TLB458793:TLB458837 TLB524305:TLB524327 TLB524329:TLB524373 TLB589841:TLB589863 TLB589865:TLB589909 TLB655377:TLB655399 TLB655401:TLB655445 TLB720913:TLB720935 TLB720937:TLB720981 TLB786449:TLB786471 TLB786473:TLB786517 TLB851985:TLB852007 TLB852009:TLB852053 TLB917521:TLB917543 TLB917545:TLB917589 TLB983057:TLB983079 TLB983081:TLB983125 TUT89:TUT95 TUT65624:TUT65631 TUT131160:TUT131167 TUT196696:TUT196703 TUT262232:TUT262239 TUT327768:TUT327775 TUT393304:TUT393311 TUT458840:TUT458847 TUT524376:TUT524383 TUT589912:TUT589919 TUT655448:TUT655455 TUT720984:TUT720991 TUT786520:TUT786527 TUT852056:TUT852063 TUT917592:TUT917599 TUT983128:TUT983135 TUX17:TUX39 TUX41:TUX86 TUX65553:TUX65575 TUX65577:TUX65621 TUX131089:TUX131111 TUX131113:TUX131157 TUX196625:TUX196647 TUX196649:TUX196693 TUX262161:TUX262183 TUX262185:TUX262229 TUX327697:TUX327719 TUX327721:TUX327765 TUX393233:TUX393255 TUX393257:TUX393301 TUX458769:TUX458791 TUX458793:TUX458837 TUX524305:TUX524327 TUX524329:TUX524373 TUX589841:TUX589863 TUX589865:TUX589909 TUX655377:TUX655399 TUX655401:TUX655445 TUX720913:TUX720935 TUX720937:TUX720981 TUX786449:TUX786471 TUX786473:TUX786517 TUX851985:TUX852007 TUX852009:TUX852053 TUX917521:TUX917543 TUX917545:TUX917589 TUX983057:TUX983079 TUX983081:TUX983125 UEP89:UEP95 UEP65624:UEP65631 UEP131160:UEP131167 UEP196696:UEP196703 UEP262232:UEP262239 UEP327768:UEP327775 UEP393304:UEP393311 UEP458840:UEP458847 UEP524376:UEP524383 UEP589912:UEP589919 UEP655448:UEP655455 UEP720984:UEP720991 UEP786520:UEP786527 UEP852056:UEP852063 UEP917592:UEP917599 UEP983128:UEP983135 UET17:UET39 UET41:UET86 UET65553:UET65575 UET65577:UET65621 UET131089:UET131111 UET131113:UET131157 UET196625:UET196647 UET196649:UET196693 UET262161:UET262183 UET262185:UET262229 UET327697:UET327719 UET327721:UET327765 UET393233:UET393255 UET393257:UET393301 UET458769:UET458791 UET458793:UET458837 UET524305:UET524327 UET524329:UET524373 UET589841:UET589863 UET589865:UET589909 UET655377:UET655399 UET655401:UET655445 UET720913:UET720935 UET720937:UET720981 UET786449:UET786471 UET786473:UET786517 UET851985:UET852007 UET852009:UET852053 UET917521:UET917543 UET917545:UET917589 UET983057:UET983079 UET983081:UET983125 UOL89:UOL95 UOL65624:UOL65631 UOL131160:UOL131167 UOL196696:UOL196703 UOL262232:UOL262239 UOL327768:UOL327775 UOL393304:UOL393311 UOL458840:UOL458847 UOL524376:UOL524383 UOL589912:UOL589919 UOL655448:UOL655455 UOL720984:UOL720991 UOL786520:UOL786527 UOL852056:UOL852063 UOL917592:UOL917599 UOL983128:UOL983135 UOP17:UOP39 UOP41:UOP86 UOP65553:UOP65575 UOP65577:UOP65621 UOP131089:UOP131111 UOP131113:UOP131157 UOP196625:UOP196647 UOP196649:UOP196693 UOP262161:UOP262183 UOP262185:UOP262229 UOP327697:UOP327719 UOP327721:UOP327765 UOP393233:UOP393255 UOP393257:UOP393301 UOP458769:UOP458791 UOP458793:UOP458837 UOP524305:UOP524327 UOP524329:UOP524373 UOP589841:UOP589863 UOP589865:UOP589909 UOP655377:UOP655399 UOP655401:UOP655445 UOP720913:UOP720935 UOP720937:UOP720981 UOP786449:UOP786471 UOP786473:UOP786517 UOP851985:UOP852007 UOP852009:UOP852053 UOP917521:UOP917543 UOP917545:UOP917589 UOP983057:UOP983079 UOP983081:UOP983125 UYH89:UYH95 UYH65624:UYH65631 UYH131160:UYH131167 UYH196696:UYH196703 UYH262232:UYH262239 UYH327768:UYH327775 UYH393304:UYH393311 UYH458840:UYH458847 UYH524376:UYH524383 UYH589912:UYH589919 UYH655448:UYH655455 UYH720984:UYH720991 UYH786520:UYH786527 UYH852056:UYH852063 UYH917592:UYH917599 UYH983128:UYH983135 UYL17:UYL39 UYL41:UYL86 UYL65553:UYL65575 UYL65577:UYL65621 UYL131089:UYL131111 UYL131113:UYL131157 UYL196625:UYL196647 UYL196649:UYL196693 UYL262161:UYL262183 UYL262185:UYL262229 UYL327697:UYL327719 UYL327721:UYL327765 UYL393233:UYL393255 UYL393257:UYL393301 UYL458769:UYL458791 UYL458793:UYL458837 UYL524305:UYL524327 UYL524329:UYL524373 UYL589841:UYL589863 UYL589865:UYL589909 UYL655377:UYL655399 UYL655401:UYL655445 UYL720913:UYL720935 UYL720937:UYL720981 UYL786449:UYL786471 UYL786473:UYL786517 UYL851985:UYL852007 UYL852009:UYL852053 UYL917521:UYL917543 UYL917545:UYL917589 UYL983057:UYL983079 UYL983081:UYL983125 VID89:VID95 VID65624:VID65631 VID131160:VID131167 VID196696:VID196703 VID262232:VID262239 VID327768:VID327775 VID393304:VID393311 VID458840:VID458847 VID524376:VID524383 VID589912:VID589919 VID655448:VID655455 VID720984:VID720991 VID786520:VID786527 VID852056:VID852063 VID917592:VID917599 VID983128:VID983135 VIH17:VIH39 VIH41:VIH86 VIH65553:VIH65575 VIH65577:VIH65621 VIH131089:VIH131111 VIH131113:VIH131157 VIH196625:VIH196647 VIH196649:VIH196693 VIH262161:VIH262183 VIH262185:VIH262229 VIH327697:VIH327719 VIH327721:VIH327765 VIH393233:VIH393255 VIH393257:VIH393301 VIH458769:VIH458791 VIH458793:VIH458837 VIH524305:VIH524327 VIH524329:VIH524373 VIH589841:VIH589863 VIH589865:VIH589909 VIH655377:VIH655399 VIH655401:VIH655445 VIH720913:VIH720935 VIH720937:VIH720981 VIH786449:VIH786471 VIH786473:VIH786517 VIH851985:VIH852007 VIH852009:VIH852053 VIH917521:VIH917543 VIH917545:VIH917589 VIH983057:VIH983079 VIH983081:VIH983125 VRZ89:VRZ95 VRZ65624:VRZ65631 VRZ131160:VRZ131167 VRZ196696:VRZ196703 VRZ262232:VRZ262239 VRZ327768:VRZ327775 VRZ393304:VRZ393311 VRZ458840:VRZ458847 VRZ524376:VRZ524383 VRZ589912:VRZ589919 VRZ655448:VRZ655455 VRZ720984:VRZ720991 VRZ786520:VRZ786527 VRZ852056:VRZ852063 VRZ917592:VRZ917599 VRZ983128:VRZ983135 VSD17:VSD39 VSD41:VSD86 VSD65553:VSD65575 VSD65577:VSD65621 VSD131089:VSD131111 VSD131113:VSD131157 VSD196625:VSD196647 VSD196649:VSD196693 VSD262161:VSD262183 VSD262185:VSD262229 VSD327697:VSD327719 VSD327721:VSD327765 VSD393233:VSD393255 VSD393257:VSD393301 VSD458769:VSD458791 VSD458793:VSD458837 VSD524305:VSD524327 VSD524329:VSD524373 VSD589841:VSD589863 VSD589865:VSD589909 VSD655377:VSD655399 VSD655401:VSD655445 VSD720913:VSD720935 VSD720937:VSD720981 VSD786449:VSD786471 VSD786473:VSD786517 VSD851985:VSD852007 VSD852009:VSD852053 VSD917521:VSD917543 VSD917545:VSD917589 VSD983057:VSD983079 VSD983081:VSD983125 WBV89:WBV95 WBV65624:WBV65631 WBV131160:WBV131167 WBV196696:WBV196703 WBV262232:WBV262239 WBV327768:WBV327775 WBV393304:WBV393311 WBV458840:WBV458847 WBV524376:WBV524383 WBV589912:WBV589919 WBV655448:WBV655455 WBV720984:WBV720991 WBV786520:WBV786527 WBV852056:WBV852063 WBV917592:WBV917599 WBV983128:WBV983135 WBZ17:WBZ39 WBZ41:WBZ86 WBZ65553:WBZ65575 WBZ65577:WBZ65621 WBZ131089:WBZ131111 WBZ131113:WBZ131157 WBZ196625:WBZ196647 WBZ196649:WBZ196693 WBZ262161:WBZ262183 WBZ262185:WBZ262229 WBZ327697:WBZ327719 WBZ327721:WBZ327765 WBZ393233:WBZ393255 WBZ393257:WBZ393301 WBZ458769:WBZ458791 WBZ458793:WBZ458837 WBZ524305:WBZ524327 WBZ524329:WBZ524373 WBZ589841:WBZ589863 WBZ589865:WBZ589909 WBZ655377:WBZ655399 WBZ655401:WBZ655445 WBZ720913:WBZ720935 WBZ720937:WBZ720981 WBZ786449:WBZ786471 WBZ786473:WBZ786517 WBZ851985:WBZ852007 WBZ852009:WBZ852053 WBZ917521:WBZ917543 WBZ917545:WBZ917589 WBZ983057:WBZ983079 WBZ983081:WBZ983125 WLR89:WLR95 WLR65624:WLR65631 WLR131160:WLR131167 WLR196696:WLR196703 WLR262232:WLR262239 WLR327768:WLR327775 WLR393304:WLR393311 WLR458840:WLR458847 WLR524376:WLR524383 WLR589912:WLR589919 WLR655448:WLR655455 WLR720984:WLR720991 WLR786520:WLR786527 WLR852056:WLR852063 WLR917592:WLR917599 WLR983128:WLR983135 WLV17:WLV39 WLV41:WLV86 WLV65553:WLV65575 WLV65577:WLV65621 WLV131089:WLV131111 WLV131113:WLV131157 WLV196625:WLV196647 WLV196649:WLV196693 WLV262161:WLV262183 WLV262185:WLV262229 WLV327697:WLV327719 WLV327721:WLV327765 WLV393233:WLV393255 WLV393257:WLV393301 WLV458769:WLV458791 WLV458793:WLV458837 WLV524305:WLV524327 WLV524329:WLV524373 WLV589841:WLV589863 WLV589865:WLV589909 WLV655377:WLV655399 WLV655401:WLV655445 WLV720913:WLV720935 WLV720937:WLV720981 WLV786449:WLV786471 WLV786473:WLV786517 WLV851985:WLV852007 WLV852009:WLV852053 WLV917521:WLV917543 WLV917545:WLV917589 WLV983057:WLV983079 WLV983081:WLV983125 WVN89:WVN95 WVN65624:WVN65631 WVN131160:WVN131167 WVN196696:WVN196703 WVN262232:WVN262239 WVN327768:WVN327775 WVN393304:WVN393311 WVN458840:WVN458847 WVN524376:WVN524383 WVN589912:WVN589919 WVN655448:WVN655455 WVN720984:WVN720991 WVN786520:WVN786527 WVN852056:WVN852063 WVN917592:WVN917599 WVN983128:WVN983135 WVR17:WVR39 WVR41:WVR86 WVR65553:WVR65575 WVR65577:WVR65621 WVR131089:WVR131111 WVR131113:WVR131157 WVR196625:WVR196647 WVR196649:WVR196693 WVR262161:WVR262183 WVR262185:WVR262229 WVR327697:WVR327719 WVR327721:WVR327765 WVR393233:WVR393255 WVR393257:WVR393301 WVR458769:WVR458791 WVR458793:WVR458837 WVR524305:WVR524327 WVR524329:WVR524373 WVR589841:WVR589863 WVR589865:WVR589909 WVR655377:WVR655399 WVR655401:WVR655445 WVR720913:WVR720935 WVR720937:WVR720981 WVR786449:WVR786471 WVR786473:WVR786517 WVR851985:WVR852007 WVR852009:WVR852053 WVR917521:WVR917543 WVR917545:WVR917589 WVR983057:WVR983079 WVR983081:WVR983125">
      <formula1>"■ 是,□ 否"</formula1>
    </dataValidation>
    <dataValidation type="list" allowBlank="1" showInputMessage="1" showErrorMessage="1" sqref="E93:E96 E65628:E65632 E131164:E131168 E196700:E196704 E262236:E262240 E327772:E327776 E393308:E393312 E458844:E458848 E524380:E524384 E589916:E589920 E655452:E655456 E720988:E720992 E786524:E786528 E852060:E852064 E917596:E917600 E983132:E983136 JA93:JA96 JA65628:JA65632 JA131164:JA131168 JA196700:JA196704 JA262236:JA262240 JA327772:JA327776 JA393308:JA393312 JA458844:JA458848 JA524380:JA524384 JA589916:JA589920 JA655452:JA655456 JA720988:JA720992 JA786524:JA786528 JA852060:JA852064 JA917596:JA917600 JA983132:JA983136 SW93:SW96 SW65628:SW65632 SW131164:SW131168 SW196700:SW196704 SW262236:SW262240 SW327772:SW327776 SW393308:SW393312 SW458844:SW458848 SW524380:SW524384 SW589916:SW589920 SW655452:SW655456 SW720988:SW720992 SW786524:SW786528 SW852060:SW852064 SW917596:SW917600 SW983132:SW983136 ACS93:ACS96 ACS65628:ACS65632 ACS131164:ACS131168 ACS196700:ACS196704 ACS262236:ACS262240 ACS327772:ACS327776 ACS393308:ACS393312 ACS458844:ACS458848 ACS524380:ACS524384 ACS589916:ACS589920 ACS655452:ACS655456 ACS720988:ACS720992 ACS786524:ACS786528 ACS852060:ACS852064 ACS917596:ACS917600 ACS983132:ACS983136 AMO93:AMO96 AMO65628:AMO65632 AMO131164:AMO131168 AMO196700:AMO196704 AMO262236:AMO262240 AMO327772:AMO327776 AMO393308:AMO393312 AMO458844:AMO458848 AMO524380:AMO524384 AMO589916:AMO589920 AMO655452:AMO655456 AMO720988:AMO720992 AMO786524:AMO786528 AMO852060:AMO852064 AMO917596:AMO917600 AMO983132:AMO983136 AWK93:AWK96 AWK65628:AWK65632 AWK131164:AWK131168 AWK196700:AWK196704 AWK262236:AWK262240 AWK327772:AWK327776 AWK393308:AWK393312 AWK458844:AWK458848 AWK524380:AWK524384 AWK589916:AWK589920 AWK655452:AWK655456 AWK720988:AWK720992 AWK786524:AWK786528 AWK852060:AWK852064 AWK917596:AWK917600 AWK983132:AWK983136 BGG93:BGG96 BGG65628:BGG65632 BGG131164:BGG131168 BGG196700:BGG196704 BGG262236:BGG262240 BGG327772:BGG327776 BGG393308:BGG393312 BGG458844:BGG458848 BGG524380:BGG524384 BGG589916:BGG589920 BGG655452:BGG655456 BGG720988:BGG720992 BGG786524:BGG786528 BGG852060:BGG852064 BGG917596:BGG917600 BGG983132:BGG983136 BQC93:BQC96 BQC65628:BQC65632 BQC131164:BQC131168 BQC196700:BQC196704 BQC262236:BQC262240 BQC327772:BQC327776 BQC393308:BQC393312 BQC458844:BQC458848 BQC524380:BQC524384 BQC589916:BQC589920 BQC655452:BQC655456 BQC720988:BQC720992 BQC786524:BQC786528 BQC852060:BQC852064 BQC917596:BQC917600 BQC983132:BQC983136 BZY93:BZY96 BZY65628:BZY65632 BZY131164:BZY131168 BZY196700:BZY196704 BZY262236:BZY262240 BZY327772:BZY327776 BZY393308:BZY393312 BZY458844:BZY458848 BZY524380:BZY524384 BZY589916:BZY589920 BZY655452:BZY655456 BZY720988:BZY720992 BZY786524:BZY786528 BZY852060:BZY852064 BZY917596:BZY917600 BZY983132:BZY983136 CJU93:CJU96 CJU65628:CJU65632 CJU131164:CJU131168 CJU196700:CJU196704 CJU262236:CJU262240 CJU327772:CJU327776 CJU393308:CJU393312 CJU458844:CJU458848 CJU524380:CJU524384 CJU589916:CJU589920 CJU655452:CJU655456 CJU720988:CJU720992 CJU786524:CJU786528 CJU852060:CJU852064 CJU917596:CJU917600 CJU983132:CJU983136 CTQ93:CTQ96 CTQ65628:CTQ65632 CTQ131164:CTQ131168 CTQ196700:CTQ196704 CTQ262236:CTQ262240 CTQ327772:CTQ327776 CTQ393308:CTQ393312 CTQ458844:CTQ458848 CTQ524380:CTQ524384 CTQ589916:CTQ589920 CTQ655452:CTQ655456 CTQ720988:CTQ720992 CTQ786524:CTQ786528 CTQ852060:CTQ852064 CTQ917596:CTQ917600 CTQ983132:CTQ983136 DDM93:DDM96 DDM65628:DDM65632 DDM131164:DDM131168 DDM196700:DDM196704 DDM262236:DDM262240 DDM327772:DDM327776 DDM393308:DDM393312 DDM458844:DDM458848 DDM524380:DDM524384 DDM589916:DDM589920 DDM655452:DDM655456 DDM720988:DDM720992 DDM786524:DDM786528 DDM852060:DDM852064 DDM917596:DDM917600 DDM983132:DDM983136 DNI93:DNI96 DNI65628:DNI65632 DNI131164:DNI131168 DNI196700:DNI196704 DNI262236:DNI262240 DNI327772:DNI327776 DNI393308:DNI393312 DNI458844:DNI458848 DNI524380:DNI524384 DNI589916:DNI589920 DNI655452:DNI655456 DNI720988:DNI720992 DNI786524:DNI786528 DNI852060:DNI852064 DNI917596:DNI917600 DNI983132:DNI983136 DXE93:DXE96 DXE65628:DXE65632 DXE131164:DXE131168 DXE196700:DXE196704 DXE262236:DXE262240 DXE327772:DXE327776 DXE393308:DXE393312 DXE458844:DXE458848 DXE524380:DXE524384 DXE589916:DXE589920 DXE655452:DXE655456 DXE720988:DXE720992 DXE786524:DXE786528 DXE852060:DXE852064 DXE917596:DXE917600 DXE983132:DXE983136 EHA93:EHA96 EHA65628:EHA65632 EHA131164:EHA131168 EHA196700:EHA196704 EHA262236:EHA262240 EHA327772:EHA327776 EHA393308:EHA393312 EHA458844:EHA458848 EHA524380:EHA524384 EHA589916:EHA589920 EHA655452:EHA655456 EHA720988:EHA720992 EHA786524:EHA786528 EHA852060:EHA852064 EHA917596:EHA917600 EHA983132:EHA983136 EQW93:EQW96 EQW65628:EQW65632 EQW131164:EQW131168 EQW196700:EQW196704 EQW262236:EQW262240 EQW327772:EQW327776 EQW393308:EQW393312 EQW458844:EQW458848 EQW524380:EQW524384 EQW589916:EQW589920 EQW655452:EQW655456 EQW720988:EQW720992 EQW786524:EQW786528 EQW852060:EQW852064 EQW917596:EQW917600 EQW983132:EQW983136 FAS93:FAS96 FAS65628:FAS65632 FAS131164:FAS131168 FAS196700:FAS196704 FAS262236:FAS262240 FAS327772:FAS327776 FAS393308:FAS393312 FAS458844:FAS458848 FAS524380:FAS524384 FAS589916:FAS589920 FAS655452:FAS655456 FAS720988:FAS720992 FAS786524:FAS786528 FAS852060:FAS852064 FAS917596:FAS917600 FAS983132:FAS983136 FKO93:FKO96 FKO65628:FKO65632 FKO131164:FKO131168 FKO196700:FKO196704 FKO262236:FKO262240 FKO327772:FKO327776 FKO393308:FKO393312 FKO458844:FKO458848 FKO524380:FKO524384 FKO589916:FKO589920 FKO655452:FKO655456 FKO720988:FKO720992 FKO786524:FKO786528 FKO852060:FKO852064 FKO917596:FKO917600 FKO983132:FKO983136 FUK93:FUK96 FUK65628:FUK65632 FUK131164:FUK131168 FUK196700:FUK196704 FUK262236:FUK262240 FUK327772:FUK327776 FUK393308:FUK393312 FUK458844:FUK458848 FUK524380:FUK524384 FUK589916:FUK589920 FUK655452:FUK655456 FUK720988:FUK720992 FUK786524:FUK786528 FUK852060:FUK852064 FUK917596:FUK917600 FUK983132:FUK983136 GEG93:GEG96 GEG65628:GEG65632 GEG131164:GEG131168 GEG196700:GEG196704 GEG262236:GEG262240 GEG327772:GEG327776 GEG393308:GEG393312 GEG458844:GEG458848 GEG524380:GEG524384 GEG589916:GEG589920 GEG655452:GEG655456 GEG720988:GEG720992 GEG786524:GEG786528 GEG852060:GEG852064 GEG917596:GEG917600 GEG983132:GEG983136 GOC93:GOC96 GOC65628:GOC65632 GOC131164:GOC131168 GOC196700:GOC196704 GOC262236:GOC262240 GOC327772:GOC327776 GOC393308:GOC393312 GOC458844:GOC458848 GOC524380:GOC524384 GOC589916:GOC589920 GOC655452:GOC655456 GOC720988:GOC720992 GOC786524:GOC786528 GOC852060:GOC852064 GOC917596:GOC917600 GOC983132:GOC983136 GXY93:GXY96 GXY65628:GXY65632 GXY131164:GXY131168 GXY196700:GXY196704 GXY262236:GXY262240 GXY327772:GXY327776 GXY393308:GXY393312 GXY458844:GXY458848 GXY524380:GXY524384 GXY589916:GXY589920 GXY655452:GXY655456 GXY720988:GXY720992 GXY786524:GXY786528 GXY852060:GXY852064 GXY917596:GXY917600 GXY983132:GXY983136 HHU93:HHU96 HHU65628:HHU65632 HHU131164:HHU131168 HHU196700:HHU196704 HHU262236:HHU262240 HHU327772:HHU327776 HHU393308:HHU393312 HHU458844:HHU458848 HHU524380:HHU524384 HHU589916:HHU589920 HHU655452:HHU655456 HHU720988:HHU720992 HHU786524:HHU786528 HHU852060:HHU852064 HHU917596:HHU917600 HHU983132:HHU983136 HRQ93:HRQ96 HRQ65628:HRQ65632 HRQ131164:HRQ131168 HRQ196700:HRQ196704 HRQ262236:HRQ262240 HRQ327772:HRQ327776 HRQ393308:HRQ393312 HRQ458844:HRQ458848 HRQ524380:HRQ524384 HRQ589916:HRQ589920 HRQ655452:HRQ655456 HRQ720988:HRQ720992 HRQ786524:HRQ786528 HRQ852060:HRQ852064 HRQ917596:HRQ917600 HRQ983132:HRQ983136 IBM93:IBM96 IBM65628:IBM65632 IBM131164:IBM131168 IBM196700:IBM196704 IBM262236:IBM262240 IBM327772:IBM327776 IBM393308:IBM393312 IBM458844:IBM458848 IBM524380:IBM524384 IBM589916:IBM589920 IBM655452:IBM655456 IBM720988:IBM720992 IBM786524:IBM786528 IBM852060:IBM852064 IBM917596:IBM917600 IBM983132:IBM983136 ILI93:ILI96 ILI65628:ILI65632 ILI131164:ILI131168 ILI196700:ILI196704 ILI262236:ILI262240 ILI327772:ILI327776 ILI393308:ILI393312 ILI458844:ILI458848 ILI524380:ILI524384 ILI589916:ILI589920 ILI655452:ILI655456 ILI720988:ILI720992 ILI786524:ILI786528 ILI852060:ILI852064 ILI917596:ILI917600 ILI983132:ILI983136 IVE93:IVE96 IVE65628:IVE65632 IVE131164:IVE131168 IVE196700:IVE196704 IVE262236:IVE262240 IVE327772:IVE327776 IVE393308:IVE393312 IVE458844:IVE458848 IVE524380:IVE524384 IVE589916:IVE589920 IVE655452:IVE655456 IVE720988:IVE720992 IVE786524:IVE786528 IVE852060:IVE852064 IVE917596:IVE917600 IVE983132:IVE983136 JFA93:JFA96 JFA65628:JFA65632 JFA131164:JFA131168 JFA196700:JFA196704 JFA262236:JFA262240 JFA327772:JFA327776 JFA393308:JFA393312 JFA458844:JFA458848 JFA524380:JFA524384 JFA589916:JFA589920 JFA655452:JFA655456 JFA720988:JFA720992 JFA786524:JFA786528 JFA852060:JFA852064 JFA917596:JFA917600 JFA983132:JFA983136 JOW93:JOW96 JOW65628:JOW65632 JOW131164:JOW131168 JOW196700:JOW196704 JOW262236:JOW262240 JOW327772:JOW327776 JOW393308:JOW393312 JOW458844:JOW458848 JOW524380:JOW524384 JOW589916:JOW589920 JOW655452:JOW655456 JOW720988:JOW720992 JOW786524:JOW786528 JOW852060:JOW852064 JOW917596:JOW917600 JOW983132:JOW983136 JYS93:JYS96 JYS65628:JYS65632 JYS131164:JYS131168 JYS196700:JYS196704 JYS262236:JYS262240 JYS327772:JYS327776 JYS393308:JYS393312 JYS458844:JYS458848 JYS524380:JYS524384 JYS589916:JYS589920 JYS655452:JYS655456 JYS720988:JYS720992 JYS786524:JYS786528 JYS852060:JYS852064 JYS917596:JYS917600 JYS983132:JYS983136 KIO93:KIO96 KIO65628:KIO65632 KIO131164:KIO131168 KIO196700:KIO196704 KIO262236:KIO262240 KIO327772:KIO327776 KIO393308:KIO393312 KIO458844:KIO458848 KIO524380:KIO524384 KIO589916:KIO589920 KIO655452:KIO655456 KIO720988:KIO720992 KIO786524:KIO786528 KIO852060:KIO852064 KIO917596:KIO917600 KIO983132:KIO983136 KSK93:KSK96 KSK65628:KSK65632 KSK131164:KSK131168 KSK196700:KSK196704 KSK262236:KSK262240 KSK327772:KSK327776 KSK393308:KSK393312 KSK458844:KSK458848 KSK524380:KSK524384 KSK589916:KSK589920 KSK655452:KSK655456 KSK720988:KSK720992 KSK786524:KSK786528 KSK852060:KSK852064 KSK917596:KSK917600 KSK983132:KSK983136 LCG93:LCG96 LCG65628:LCG65632 LCG131164:LCG131168 LCG196700:LCG196704 LCG262236:LCG262240 LCG327772:LCG327776 LCG393308:LCG393312 LCG458844:LCG458848 LCG524380:LCG524384 LCG589916:LCG589920 LCG655452:LCG655456 LCG720988:LCG720992 LCG786524:LCG786528 LCG852060:LCG852064 LCG917596:LCG917600 LCG983132:LCG983136 LMC93:LMC96 LMC65628:LMC65632 LMC131164:LMC131168 LMC196700:LMC196704 LMC262236:LMC262240 LMC327772:LMC327776 LMC393308:LMC393312 LMC458844:LMC458848 LMC524380:LMC524384 LMC589916:LMC589920 LMC655452:LMC655456 LMC720988:LMC720992 LMC786524:LMC786528 LMC852060:LMC852064 LMC917596:LMC917600 LMC983132:LMC983136 LVY93:LVY96 LVY65628:LVY65632 LVY131164:LVY131168 LVY196700:LVY196704 LVY262236:LVY262240 LVY327772:LVY327776 LVY393308:LVY393312 LVY458844:LVY458848 LVY524380:LVY524384 LVY589916:LVY589920 LVY655452:LVY655456 LVY720988:LVY720992 LVY786524:LVY786528 LVY852060:LVY852064 LVY917596:LVY917600 LVY983132:LVY983136 MFU93:MFU96 MFU65628:MFU65632 MFU131164:MFU131168 MFU196700:MFU196704 MFU262236:MFU262240 MFU327772:MFU327776 MFU393308:MFU393312 MFU458844:MFU458848 MFU524380:MFU524384 MFU589916:MFU589920 MFU655452:MFU655456 MFU720988:MFU720992 MFU786524:MFU786528 MFU852060:MFU852064 MFU917596:MFU917600 MFU983132:MFU983136 MPQ93:MPQ96 MPQ65628:MPQ65632 MPQ131164:MPQ131168 MPQ196700:MPQ196704 MPQ262236:MPQ262240 MPQ327772:MPQ327776 MPQ393308:MPQ393312 MPQ458844:MPQ458848 MPQ524380:MPQ524384 MPQ589916:MPQ589920 MPQ655452:MPQ655456 MPQ720988:MPQ720992 MPQ786524:MPQ786528 MPQ852060:MPQ852064 MPQ917596:MPQ917600 MPQ983132:MPQ983136 MZM93:MZM96 MZM65628:MZM65632 MZM131164:MZM131168 MZM196700:MZM196704 MZM262236:MZM262240 MZM327772:MZM327776 MZM393308:MZM393312 MZM458844:MZM458848 MZM524380:MZM524384 MZM589916:MZM589920 MZM655452:MZM655456 MZM720988:MZM720992 MZM786524:MZM786528 MZM852060:MZM852064 MZM917596:MZM917600 MZM983132:MZM983136 NJI93:NJI96 NJI65628:NJI65632 NJI131164:NJI131168 NJI196700:NJI196704 NJI262236:NJI262240 NJI327772:NJI327776 NJI393308:NJI393312 NJI458844:NJI458848 NJI524380:NJI524384 NJI589916:NJI589920 NJI655452:NJI655456 NJI720988:NJI720992 NJI786524:NJI786528 NJI852060:NJI852064 NJI917596:NJI917600 NJI983132:NJI983136 NTE93:NTE96 NTE65628:NTE65632 NTE131164:NTE131168 NTE196700:NTE196704 NTE262236:NTE262240 NTE327772:NTE327776 NTE393308:NTE393312 NTE458844:NTE458848 NTE524380:NTE524384 NTE589916:NTE589920 NTE655452:NTE655456 NTE720988:NTE720992 NTE786524:NTE786528 NTE852060:NTE852064 NTE917596:NTE917600 NTE983132:NTE983136 ODA93:ODA96 ODA65628:ODA65632 ODA131164:ODA131168 ODA196700:ODA196704 ODA262236:ODA262240 ODA327772:ODA327776 ODA393308:ODA393312 ODA458844:ODA458848 ODA524380:ODA524384 ODA589916:ODA589920 ODA655452:ODA655456 ODA720988:ODA720992 ODA786524:ODA786528 ODA852060:ODA852064 ODA917596:ODA917600 ODA983132:ODA983136 OMW93:OMW96 OMW65628:OMW65632 OMW131164:OMW131168 OMW196700:OMW196704 OMW262236:OMW262240 OMW327772:OMW327776 OMW393308:OMW393312 OMW458844:OMW458848 OMW524380:OMW524384 OMW589916:OMW589920 OMW655452:OMW655456 OMW720988:OMW720992 OMW786524:OMW786528 OMW852060:OMW852064 OMW917596:OMW917600 OMW983132:OMW983136 OWS93:OWS96 OWS65628:OWS65632 OWS131164:OWS131168 OWS196700:OWS196704 OWS262236:OWS262240 OWS327772:OWS327776 OWS393308:OWS393312 OWS458844:OWS458848 OWS524380:OWS524384 OWS589916:OWS589920 OWS655452:OWS655456 OWS720988:OWS720992 OWS786524:OWS786528 OWS852060:OWS852064 OWS917596:OWS917600 OWS983132:OWS983136 PGO93:PGO96 PGO65628:PGO65632 PGO131164:PGO131168 PGO196700:PGO196704 PGO262236:PGO262240 PGO327772:PGO327776 PGO393308:PGO393312 PGO458844:PGO458848 PGO524380:PGO524384 PGO589916:PGO589920 PGO655452:PGO655456 PGO720988:PGO720992 PGO786524:PGO786528 PGO852060:PGO852064 PGO917596:PGO917600 PGO983132:PGO983136 PQK93:PQK96 PQK65628:PQK65632 PQK131164:PQK131168 PQK196700:PQK196704 PQK262236:PQK262240 PQK327772:PQK327776 PQK393308:PQK393312 PQK458844:PQK458848 PQK524380:PQK524384 PQK589916:PQK589920 PQK655452:PQK655456 PQK720988:PQK720992 PQK786524:PQK786528 PQK852060:PQK852064 PQK917596:PQK917600 PQK983132:PQK983136 QAG93:QAG96 QAG65628:QAG65632 QAG131164:QAG131168 QAG196700:QAG196704 QAG262236:QAG262240 QAG327772:QAG327776 QAG393308:QAG393312 QAG458844:QAG458848 QAG524380:QAG524384 QAG589916:QAG589920 QAG655452:QAG655456 QAG720988:QAG720992 QAG786524:QAG786528 QAG852060:QAG852064 QAG917596:QAG917600 QAG983132:QAG983136 QKC93:QKC96 QKC65628:QKC65632 QKC131164:QKC131168 QKC196700:QKC196704 QKC262236:QKC262240 QKC327772:QKC327776 QKC393308:QKC393312 QKC458844:QKC458848 QKC524380:QKC524384 QKC589916:QKC589920 QKC655452:QKC655456 QKC720988:QKC720992 QKC786524:QKC786528 QKC852060:QKC852064 QKC917596:QKC917600 QKC983132:QKC983136 QTY93:QTY96 QTY65628:QTY65632 QTY131164:QTY131168 QTY196700:QTY196704 QTY262236:QTY262240 QTY327772:QTY327776 QTY393308:QTY393312 QTY458844:QTY458848 QTY524380:QTY524384 QTY589916:QTY589920 QTY655452:QTY655456 QTY720988:QTY720992 QTY786524:QTY786528 QTY852060:QTY852064 QTY917596:QTY917600 QTY983132:QTY983136 RDU93:RDU96 RDU65628:RDU65632 RDU131164:RDU131168 RDU196700:RDU196704 RDU262236:RDU262240 RDU327772:RDU327776 RDU393308:RDU393312 RDU458844:RDU458848 RDU524380:RDU524384 RDU589916:RDU589920 RDU655452:RDU655456 RDU720988:RDU720992 RDU786524:RDU786528 RDU852060:RDU852064 RDU917596:RDU917600 RDU983132:RDU983136 RNQ93:RNQ96 RNQ65628:RNQ65632 RNQ131164:RNQ131168 RNQ196700:RNQ196704 RNQ262236:RNQ262240 RNQ327772:RNQ327776 RNQ393308:RNQ393312 RNQ458844:RNQ458848 RNQ524380:RNQ524384 RNQ589916:RNQ589920 RNQ655452:RNQ655456 RNQ720988:RNQ720992 RNQ786524:RNQ786528 RNQ852060:RNQ852064 RNQ917596:RNQ917600 RNQ983132:RNQ983136 RXM93:RXM96 RXM65628:RXM65632 RXM131164:RXM131168 RXM196700:RXM196704 RXM262236:RXM262240 RXM327772:RXM327776 RXM393308:RXM393312 RXM458844:RXM458848 RXM524380:RXM524384 RXM589916:RXM589920 RXM655452:RXM655456 RXM720988:RXM720992 RXM786524:RXM786528 RXM852060:RXM852064 RXM917596:RXM917600 RXM983132:RXM983136 SHI93:SHI96 SHI65628:SHI65632 SHI131164:SHI131168 SHI196700:SHI196704 SHI262236:SHI262240 SHI327772:SHI327776 SHI393308:SHI393312 SHI458844:SHI458848 SHI524380:SHI524384 SHI589916:SHI589920 SHI655452:SHI655456 SHI720988:SHI720992 SHI786524:SHI786528 SHI852060:SHI852064 SHI917596:SHI917600 SHI983132:SHI983136 SRE93:SRE96 SRE65628:SRE65632 SRE131164:SRE131168 SRE196700:SRE196704 SRE262236:SRE262240 SRE327772:SRE327776 SRE393308:SRE393312 SRE458844:SRE458848 SRE524380:SRE524384 SRE589916:SRE589920 SRE655452:SRE655456 SRE720988:SRE720992 SRE786524:SRE786528 SRE852060:SRE852064 SRE917596:SRE917600 SRE983132:SRE983136 TBA93:TBA96 TBA65628:TBA65632 TBA131164:TBA131168 TBA196700:TBA196704 TBA262236:TBA262240 TBA327772:TBA327776 TBA393308:TBA393312 TBA458844:TBA458848 TBA524380:TBA524384 TBA589916:TBA589920 TBA655452:TBA655456 TBA720988:TBA720992 TBA786524:TBA786528 TBA852060:TBA852064 TBA917596:TBA917600 TBA983132:TBA983136 TKW93:TKW96 TKW65628:TKW65632 TKW131164:TKW131168 TKW196700:TKW196704 TKW262236:TKW262240 TKW327772:TKW327776 TKW393308:TKW393312 TKW458844:TKW458848 TKW524380:TKW524384 TKW589916:TKW589920 TKW655452:TKW655456 TKW720988:TKW720992 TKW786524:TKW786528 TKW852060:TKW852064 TKW917596:TKW917600 TKW983132:TKW983136 TUS93:TUS96 TUS65628:TUS65632 TUS131164:TUS131168 TUS196700:TUS196704 TUS262236:TUS262240 TUS327772:TUS327776 TUS393308:TUS393312 TUS458844:TUS458848 TUS524380:TUS524384 TUS589916:TUS589920 TUS655452:TUS655456 TUS720988:TUS720992 TUS786524:TUS786528 TUS852060:TUS852064 TUS917596:TUS917600 TUS983132:TUS983136 UEO93:UEO96 UEO65628:UEO65632 UEO131164:UEO131168 UEO196700:UEO196704 UEO262236:UEO262240 UEO327772:UEO327776 UEO393308:UEO393312 UEO458844:UEO458848 UEO524380:UEO524384 UEO589916:UEO589920 UEO655452:UEO655456 UEO720988:UEO720992 UEO786524:UEO786528 UEO852060:UEO852064 UEO917596:UEO917600 UEO983132:UEO983136 UOK93:UOK96 UOK65628:UOK65632 UOK131164:UOK131168 UOK196700:UOK196704 UOK262236:UOK262240 UOK327772:UOK327776 UOK393308:UOK393312 UOK458844:UOK458848 UOK524380:UOK524384 UOK589916:UOK589920 UOK655452:UOK655456 UOK720988:UOK720992 UOK786524:UOK786528 UOK852060:UOK852064 UOK917596:UOK917600 UOK983132:UOK983136 UYG93:UYG96 UYG65628:UYG65632 UYG131164:UYG131168 UYG196700:UYG196704 UYG262236:UYG262240 UYG327772:UYG327776 UYG393308:UYG393312 UYG458844:UYG458848 UYG524380:UYG524384 UYG589916:UYG589920 UYG655452:UYG655456 UYG720988:UYG720992 UYG786524:UYG786528 UYG852060:UYG852064 UYG917596:UYG917600 UYG983132:UYG983136 VIC93:VIC96 VIC65628:VIC65632 VIC131164:VIC131168 VIC196700:VIC196704 VIC262236:VIC262240 VIC327772:VIC327776 VIC393308:VIC393312 VIC458844:VIC458848 VIC524380:VIC524384 VIC589916:VIC589920 VIC655452:VIC655456 VIC720988:VIC720992 VIC786524:VIC786528 VIC852060:VIC852064 VIC917596:VIC917600 VIC983132:VIC983136 VRY93:VRY96 VRY65628:VRY65632 VRY131164:VRY131168 VRY196700:VRY196704 VRY262236:VRY262240 VRY327772:VRY327776 VRY393308:VRY393312 VRY458844:VRY458848 VRY524380:VRY524384 VRY589916:VRY589920 VRY655452:VRY655456 VRY720988:VRY720992 VRY786524:VRY786528 VRY852060:VRY852064 VRY917596:VRY917600 VRY983132:VRY983136 WBU93:WBU96 WBU65628:WBU65632 WBU131164:WBU131168 WBU196700:WBU196704 WBU262236:WBU262240 WBU327772:WBU327776 WBU393308:WBU393312 WBU458844:WBU458848 WBU524380:WBU524384 WBU589916:WBU589920 WBU655452:WBU655456 WBU720988:WBU720992 WBU786524:WBU786528 WBU852060:WBU852064 WBU917596:WBU917600 WBU983132:WBU983136 WLQ93:WLQ96 WLQ65628:WLQ65632 WLQ131164:WLQ131168 WLQ196700:WLQ196704 WLQ262236:WLQ262240 WLQ327772:WLQ327776 WLQ393308:WLQ393312 WLQ458844:WLQ458848 WLQ524380:WLQ524384 WLQ589916:WLQ589920 WLQ655452:WLQ655456 WLQ720988:WLQ720992 WLQ786524:WLQ786528 WLQ852060:WLQ852064 WLQ917596:WLQ917600 WLQ983132:WLQ983136 WVM93:WVM96 WVM65628:WVM65632 WVM131164:WVM131168 WVM196700:WVM196704 WVM262236:WVM262240 WVM327772:WVM327776 WVM393308:WVM393312 WVM458844:WVM458848 WVM524380:WVM524384 WVM589916:WVM589920 WVM655452:WVM655456 WVM720988:WVM720992 WVM786524:WVM786528 WVM852060:WVM852064 WVM917596:WVM917600 WVM983132:WVM983136">
      <formula1>"■基线,□观测项,-"</formula1>
    </dataValidation>
    <dataValidation type="list" allowBlank="1" showInputMessage="1" showErrorMessage="1" sqref="D89:D96 H17:H86 H65553:H65621 H131089:H131157 H196625:H196693 H262161:H262229 H327697:H327765 H393233:H393301 H458769:H458837 H524305:H524373 H589841:H589909 H655377:H655445 H720913:H720981 H786449:H786517 H851985:H852053 H917521:H917589 H983057:H983125 JD17:JD86 JD65553:JD65621 JD131089:JD131157 JD196625:JD196693 JD262161:JD262229 JD327697:JD327765 JD393233:JD393301 JD458769:JD458837 JD524305:JD524373 JD589841:JD589909 JD655377:JD655445 JD720913:JD720981 JD786449:JD786517 JD851985:JD852053 JD917521:JD917589 JD983057:JD983125 SZ17:SZ86 SZ65553:SZ65621 SZ131089:SZ131157 SZ196625:SZ196693 SZ262161:SZ262229 SZ327697:SZ327765 SZ393233:SZ393301 SZ458769:SZ458837 SZ524305:SZ524373 SZ589841:SZ589909 SZ655377:SZ655445 SZ720913:SZ720981 SZ786449:SZ786517 SZ851985:SZ852053 SZ917521:SZ917589 SZ983057:SZ983125 ACV17:ACV86 ACV65553:ACV65621 ACV131089:ACV131157 ACV196625:ACV196693 ACV262161:ACV262229 ACV327697:ACV327765 ACV393233:ACV393301 ACV458769:ACV458837 ACV524305:ACV524373 ACV589841:ACV589909 ACV655377:ACV655445 ACV720913:ACV720981 ACV786449:ACV786517 ACV851985:ACV852053 ACV917521:ACV917589 ACV983057:ACV983125 AMR17:AMR86 AMR65553:AMR65621 AMR131089:AMR131157 AMR196625:AMR196693 AMR262161:AMR262229 AMR327697:AMR327765 AMR393233:AMR393301 AMR458769:AMR458837 AMR524305:AMR524373 AMR589841:AMR589909 AMR655377:AMR655445 AMR720913:AMR720981 AMR786449:AMR786517 AMR851985:AMR852053 AMR917521:AMR917589 AMR983057:AMR983125 AWN17:AWN86 AWN65553:AWN65621 AWN131089:AWN131157 AWN196625:AWN196693 AWN262161:AWN262229 AWN327697:AWN327765 AWN393233:AWN393301 AWN458769:AWN458837 AWN524305:AWN524373 AWN589841:AWN589909 AWN655377:AWN655445 AWN720913:AWN720981 AWN786449:AWN786517 AWN851985:AWN852053 AWN917521:AWN917589 AWN983057:AWN983125 BGJ17:BGJ86 BGJ65553:BGJ65621 BGJ131089:BGJ131157 BGJ196625:BGJ196693 BGJ262161:BGJ262229 BGJ327697:BGJ327765 BGJ393233:BGJ393301 BGJ458769:BGJ458837 BGJ524305:BGJ524373 BGJ589841:BGJ589909 BGJ655377:BGJ655445 BGJ720913:BGJ720981 BGJ786449:BGJ786517 BGJ851985:BGJ852053 BGJ917521:BGJ917589 BGJ983057:BGJ983125 BQF17:BQF86 BQF65553:BQF65621 BQF131089:BQF131157 BQF196625:BQF196693 BQF262161:BQF262229 BQF327697:BQF327765 BQF393233:BQF393301 BQF458769:BQF458837 BQF524305:BQF524373 BQF589841:BQF589909 BQF655377:BQF655445 BQF720913:BQF720981 BQF786449:BQF786517 BQF851985:BQF852053 BQF917521:BQF917589 BQF983057:BQF983125 CAB17:CAB86 CAB65553:CAB65621 CAB131089:CAB131157 CAB196625:CAB196693 CAB262161:CAB262229 CAB327697:CAB327765 CAB393233:CAB393301 CAB458769:CAB458837 CAB524305:CAB524373 CAB589841:CAB589909 CAB655377:CAB655445 CAB720913:CAB720981 CAB786449:CAB786517 CAB851985:CAB852053 CAB917521:CAB917589 CAB983057:CAB983125 CJX17:CJX86 CJX65553:CJX65621 CJX131089:CJX131157 CJX196625:CJX196693 CJX262161:CJX262229 CJX327697:CJX327765 CJX393233:CJX393301 CJX458769:CJX458837 CJX524305:CJX524373 CJX589841:CJX589909 CJX655377:CJX655445 CJX720913:CJX720981 CJX786449:CJX786517 CJX851985:CJX852053 CJX917521:CJX917589 CJX983057:CJX983125 CTT17:CTT86 CTT65553:CTT65621 CTT131089:CTT131157 CTT196625:CTT196693 CTT262161:CTT262229 CTT327697:CTT327765 CTT393233:CTT393301 CTT458769:CTT458837 CTT524305:CTT524373 CTT589841:CTT589909 CTT655377:CTT655445 CTT720913:CTT720981 CTT786449:CTT786517 CTT851985:CTT852053 CTT917521:CTT917589 CTT983057:CTT983125 DDP17:DDP86 DDP65553:DDP65621 DDP131089:DDP131157 DDP196625:DDP196693 DDP262161:DDP262229 DDP327697:DDP327765 DDP393233:DDP393301 DDP458769:DDP458837 DDP524305:DDP524373 DDP589841:DDP589909 DDP655377:DDP655445 DDP720913:DDP720981 DDP786449:DDP786517 DDP851985:DDP852053 DDP917521:DDP917589 DDP983057:DDP983125 DNL17:DNL86 DNL65553:DNL65621 DNL131089:DNL131157 DNL196625:DNL196693 DNL262161:DNL262229 DNL327697:DNL327765 DNL393233:DNL393301 DNL458769:DNL458837 DNL524305:DNL524373 DNL589841:DNL589909 DNL655377:DNL655445 DNL720913:DNL720981 DNL786449:DNL786517 DNL851985:DNL852053 DNL917521:DNL917589 DNL983057:DNL983125 DXH17:DXH86 DXH65553:DXH65621 DXH131089:DXH131157 DXH196625:DXH196693 DXH262161:DXH262229 DXH327697:DXH327765 DXH393233:DXH393301 DXH458769:DXH458837 DXH524305:DXH524373 DXH589841:DXH589909 DXH655377:DXH655445 DXH720913:DXH720981 DXH786449:DXH786517 DXH851985:DXH852053 DXH917521:DXH917589 DXH983057:DXH983125 EHD17:EHD86 EHD65553:EHD65621 EHD131089:EHD131157 EHD196625:EHD196693 EHD262161:EHD262229 EHD327697:EHD327765 EHD393233:EHD393301 EHD458769:EHD458837 EHD524305:EHD524373 EHD589841:EHD589909 EHD655377:EHD655445 EHD720913:EHD720981 EHD786449:EHD786517 EHD851985:EHD852053 EHD917521:EHD917589 EHD983057:EHD983125 EQZ17:EQZ86 EQZ65553:EQZ65621 EQZ131089:EQZ131157 EQZ196625:EQZ196693 EQZ262161:EQZ262229 EQZ327697:EQZ327765 EQZ393233:EQZ393301 EQZ458769:EQZ458837 EQZ524305:EQZ524373 EQZ589841:EQZ589909 EQZ655377:EQZ655445 EQZ720913:EQZ720981 EQZ786449:EQZ786517 EQZ851985:EQZ852053 EQZ917521:EQZ917589 EQZ983057:EQZ983125 FAV17:FAV86 FAV65553:FAV65621 FAV131089:FAV131157 FAV196625:FAV196693 FAV262161:FAV262229 FAV327697:FAV327765 FAV393233:FAV393301 FAV458769:FAV458837 FAV524305:FAV524373 FAV589841:FAV589909 FAV655377:FAV655445 FAV720913:FAV720981 FAV786449:FAV786517 FAV851985:FAV852053 FAV917521:FAV917589 FAV983057:FAV983125 FKR17:FKR86 FKR65553:FKR65621 FKR131089:FKR131157 FKR196625:FKR196693 FKR262161:FKR262229 FKR327697:FKR327765 FKR393233:FKR393301 FKR458769:FKR458837 FKR524305:FKR524373 FKR589841:FKR589909 FKR655377:FKR655445 FKR720913:FKR720981 FKR786449:FKR786517 FKR851985:FKR852053 FKR917521:FKR917589 FKR983057:FKR983125 FUN17:FUN86 FUN65553:FUN65621 FUN131089:FUN131157 FUN196625:FUN196693 FUN262161:FUN262229 FUN327697:FUN327765 FUN393233:FUN393301 FUN458769:FUN458837 FUN524305:FUN524373 FUN589841:FUN589909 FUN655377:FUN655445 FUN720913:FUN720981 FUN786449:FUN786517 FUN851985:FUN852053 FUN917521:FUN917589 FUN983057:FUN983125 GEJ17:GEJ86 GEJ65553:GEJ65621 GEJ131089:GEJ131157 GEJ196625:GEJ196693 GEJ262161:GEJ262229 GEJ327697:GEJ327765 GEJ393233:GEJ393301 GEJ458769:GEJ458837 GEJ524305:GEJ524373 GEJ589841:GEJ589909 GEJ655377:GEJ655445 GEJ720913:GEJ720981 GEJ786449:GEJ786517 GEJ851985:GEJ852053 GEJ917521:GEJ917589 GEJ983057:GEJ983125 GOF17:GOF86 GOF65553:GOF65621 GOF131089:GOF131157 GOF196625:GOF196693 GOF262161:GOF262229 GOF327697:GOF327765 GOF393233:GOF393301 GOF458769:GOF458837 GOF524305:GOF524373 GOF589841:GOF589909 GOF655377:GOF655445 GOF720913:GOF720981 GOF786449:GOF786517 GOF851985:GOF852053 GOF917521:GOF917589 GOF983057:GOF983125 GYB17:GYB86 GYB65553:GYB65621 GYB131089:GYB131157 GYB196625:GYB196693 GYB262161:GYB262229 GYB327697:GYB327765 GYB393233:GYB393301 GYB458769:GYB458837 GYB524305:GYB524373 GYB589841:GYB589909 GYB655377:GYB655445 GYB720913:GYB720981 GYB786449:GYB786517 GYB851985:GYB852053 GYB917521:GYB917589 GYB983057:GYB983125 HHX17:HHX86 HHX65553:HHX65621 HHX131089:HHX131157 HHX196625:HHX196693 HHX262161:HHX262229 HHX327697:HHX327765 HHX393233:HHX393301 HHX458769:HHX458837 HHX524305:HHX524373 HHX589841:HHX589909 HHX655377:HHX655445 HHX720913:HHX720981 HHX786449:HHX786517 HHX851985:HHX852053 HHX917521:HHX917589 HHX983057:HHX983125 HRT17:HRT86 HRT65553:HRT65621 HRT131089:HRT131157 HRT196625:HRT196693 HRT262161:HRT262229 HRT327697:HRT327765 HRT393233:HRT393301 HRT458769:HRT458837 HRT524305:HRT524373 HRT589841:HRT589909 HRT655377:HRT655445 HRT720913:HRT720981 HRT786449:HRT786517 HRT851985:HRT852053 HRT917521:HRT917589 HRT983057:HRT983125 IBP17:IBP86 IBP65553:IBP65621 IBP131089:IBP131157 IBP196625:IBP196693 IBP262161:IBP262229 IBP327697:IBP327765 IBP393233:IBP393301 IBP458769:IBP458837 IBP524305:IBP524373 IBP589841:IBP589909 IBP655377:IBP655445 IBP720913:IBP720981 IBP786449:IBP786517 IBP851985:IBP852053 IBP917521:IBP917589 IBP983057:IBP983125 ILL17:ILL86 ILL65553:ILL65621 ILL131089:ILL131157 ILL196625:ILL196693 ILL262161:ILL262229 ILL327697:ILL327765 ILL393233:ILL393301 ILL458769:ILL458837 ILL524305:ILL524373 ILL589841:ILL589909 ILL655377:ILL655445 ILL720913:ILL720981 ILL786449:ILL786517 ILL851985:ILL852053 ILL917521:ILL917589 ILL983057:ILL983125 IVH17:IVH86 IVH65553:IVH65621 IVH131089:IVH131157 IVH196625:IVH196693 IVH262161:IVH262229 IVH327697:IVH327765 IVH393233:IVH393301 IVH458769:IVH458837 IVH524305:IVH524373 IVH589841:IVH589909 IVH655377:IVH655445 IVH720913:IVH720981 IVH786449:IVH786517 IVH851985:IVH852053 IVH917521:IVH917589 IVH983057:IVH983125 JFD17:JFD86 JFD65553:JFD65621 JFD131089:JFD131157 JFD196625:JFD196693 JFD262161:JFD262229 JFD327697:JFD327765 JFD393233:JFD393301 JFD458769:JFD458837 JFD524305:JFD524373 JFD589841:JFD589909 JFD655377:JFD655445 JFD720913:JFD720981 JFD786449:JFD786517 JFD851985:JFD852053 JFD917521:JFD917589 JFD983057:JFD983125 JOZ17:JOZ86 JOZ65553:JOZ65621 JOZ131089:JOZ131157 JOZ196625:JOZ196693 JOZ262161:JOZ262229 JOZ327697:JOZ327765 JOZ393233:JOZ393301 JOZ458769:JOZ458837 JOZ524305:JOZ524373 JOZ589841:JOZ589909 JOZ655377:JOZ655445 JOZ720913:JOZ720981 JOZ786449:JOZ786517 JOZ851985:JOZ852053 JOZ917521:JOZ917589 JOZ983057:JOZ983125 JYV17:JYV86 JYV65553:JYV65621 JYV131089:JYV131157 JYV196625:JYV196693 JYV262161:JYV262229 JYV327697:JYV327765 JYV393233:JYV393301 JYV458769:JYV458837 JYV524305:JYV524373 JYV589841:JYV589909 JYV655377:JYV655445 JYV720913:JYV720981 JYV786449:JYV786517 JYV851985:JYV852053 JYV917521:JYV917589 JYV983057:JYV983125 KIR17:KIR86 KIR65553:KIR65621 KIR131089:KIR131157 KIR196625:KIR196693 KIR262161:KIR262229 KIR327697:KIR327765 KIR393233:KIR393301 KIR458769:KIR458837 KIR524305:KIR524373 KIR589841:KIR589909 KIR655377:KIR655445 KIR720913:KIR720981 KIR786449:KIR786517 KIR851985:KIR852053 KIR917521:KIR917589 KIR983057:KIR983125 KSN17:KSN86 KSN65553:KSN65621 KSN131089:KSN131157 KSN196625:KSN196693 KSN262161:KSN262229 KSN327697:KSN327765 KSN393233:KSN393301 KSN458769:KSN458837 KSN524305:KSN524373 KSN589841:KSN589909 KSN655377:KSN655445 KSN720913:KSN720981 KSN786449:KSN786517 KSN851985:KSN852053 KSN917521:KSN917589 KSN983057:KSN983125 LCJ17:LCJ86 LCJ65553:LCJ65621 LCJ131089:LCJ131157 LCJ196625:LCJ196693 LCJ262161:LCJ262229 LCJ327697:LCJ327765 LCJ393233:LCJ393301 LCJ458769:LCJ458837 LCJ524305:LCJ524373 LCJ589841:LCJ589909 LCJ655377:LCJ655445 LCJ720913:LCJ720981 LCJ786449:LCJ786517 LCJ851985:LCJ852053 LCJ917521:LCJ917589 LCJ983057:LCJ983125 LMF17:LMF86 LMF65553:LMF65621 LMF131089:LMF131157 LMF196625:LMF196693 LMF262161:LMF262229 LMF327697:LMF327765 LMF393233:LMF393301 LMF458769:LMF458837 LMF524305:LMF524373 LMF589841:LMF589909 LMF655377:LMF655445 LMF720913:LMF720981 LMF786449:LMF786517 LMF851985:LMF852053 LMF917521:LMF917589 LMF983057:LMF983125 LWB17:LWB86 LWB65553:LWB65621 LWB131089:LWB131157 LWB196625:LWB196693 LWB262161:LWB262229 LWB327697:LWB327765 LWB393233:LWB393301 LWB458769:LWB458837 LWB524305:LWB524373 LWB589841:LWB589909 LWB655377:LWB655445 LWB720913:LWB720981 LWB786449:LWB786517 LWB851985:LWB852053 LWB917521:LWB917589 LWB983057:LWB983125 MFX17:MFX86 MFX65553:MFX65621 MFX131089:MFX131157 MFX196625:MFX196693 MFX262161:MFX262229 MFX327697:MFX327765 MFX393233:MFX393301 MFX458769:MFX458837 MFX524305:MFX524373 MFX589841:MFX589909 MFX655377:MFX655445 MFX720913:MFX720981 MFX786449:MFX786517 MFX851985:MFX852053 MFX917521:MFX917589 MFX983057:MFX983125 MPT17:MPT86 MPT65553:MPT65621 MPT131089:MPT131157 MPT196625:MPT196693 MPT262161:MPT262229 MPT327697:MPT327765 MPT393233:MPT393301 MPT458769:MPT458837 MPT524305:MPT524373 MPT589841:MPT589909 MPT655377:MPT655445 MPT720913:MPT720981 MPT786449:MPT786517 MPT851985:MPT852053 MPT917521:MPT917589 MPT983057:MPT983125 MZP17:MZP86 MZP65553:MZP65621 MZP131089:MZP131157 MZP196625:MZP196693 MZP262161:MZP262229 MZP327697:MZP327765 MZP393233:MZP393301 MZP458769:MZP458837 MZP524305:MZP524373 MZP589841:MZP589909 MZP655377:MZP655445 MZP720913:MZP720981 MZP786449:MZP786517 MZP851985:MZP852053 MZP917521:MZP917589 MZP983057:MZP983125 NJL17:NJL86 NJL65553:NJL65621 NJL131089:NJL131157 NJL196625:NJL196693 NJL262161:NJL262229 NJL327697:NJL327765 NJL393233:NJL393301 NJL458769:NJL458837 NJL524305:NJL524373 NJL589841:NJL589909 NJL655377:NJL655445 NJL720913:NJL720981 NJL786449:NJL786517 NJL851985:NJL852053 NJL917521:NJL917589 NJL983057:NJL983125 NTH17:NTH86 NTH65553:NTH65621 NTH131089:NTH131157 NTH196625:NTH196693 NTH262161:NTH262229 NTH327697:NTH327765 NTH393233:NTH393301 NTH458769:NTH458837 NTH524305:NTH524373 NTH589841:NTH589909 NTH655377:NTH655445 NTH720913:NTH720981 NTH786449:NTH786517 NTH851985:NTH852053 NTH917521:NTH917589 NTH983057:NTH983125 ODD17:ODD86 ODD65553:ODD65621 ODD131089:ODD131157 ODD196625:ODD196693 ODD262161:ODD262229 ODD327697:ODD327765 ODD393233:ODD393301 ODD458769:ODD458837 ODD524305:ODD524373 ODD589841:ODD589909 ODD655377:ODD655445 ODD720913:ODD720981 ODD786449:ODD786517 ODD851985:ODD852053 ODD917521:ODD917589 ODD983057:ODD983125 OMZ17:OMZ86 OMZ65553:OMZ65621 OMZ131089:OMZ131157 OMZ196625:OMZ196693 OMZ262161:OMZ262229 OMZ327697:OMZ327765 OMZ393233:OMZ393301 OMZ458769:OMZ458837 OMZ524305:OMZ524373 OMZ589841:OMZ589909 OMZ655377:OMZ655445 OMZ720913:OMZ720981 OMZ786449:OMZ786517 OMZ851985:OMZ852053 OMZ917521:OMZ917589 OMZ983057:OMZ983125 OWV17:OWV86 OWV65553:OWV65621 OWV131089:OWV131157 OWV196625:OWV196693 OWV262161:OWV262229 OWV327697:OWV327765 OWV393233:OWV393301 OWV458769:OWV458837 OWV524305:OWV524373 OWV589841:OWV589909 OWV655377:OWV655445 OWV720913:OWV720981 OWV786449:OWV786517 OWV851985:OWV852053 OWV917521:OWV917589 OWV983057:OWV983125 PGR17:PGR86 PGR65553:PGR65621 PGR131089:PGR131157 PGR196625:PGR196693 PGR262161:PGR262229 PGR327697:PGR327765 PGR393233:PGR393301 PGR458769:PGR458837 PGR524305:PGR524373 PGR589841:PGR589909 PGR655377:PGR655445 PGR720913:PGR720981 PGR786449:PGR786517 PGR851985:PGR852053 PGR917521:PGR917589 PGR983057:PGR983125 PQN17:PQN86 PQN65553:PQN65621 PQN131089:PQN131157 PQN196625:PQN196693 PQN262161:PQN262229 PQN327697:PQN327765 PQN393233:PQN393301 PQN458769:PQN458837 PQN524305:PQN524373 PQN589841:PQN589909 PQN655377:PQN655445 PQN720913:PQN720981 PQN786449:PQN786517 PQN851985:PQN852053 PQN917521:PQN917589 PQN983057:PQN983125 QAJ17:QAJ86 QAJ65553:QAJ65621 QAJ131089:QAJ131157 QAJ196625:QAJ196693 QAJ262161:QAJ262229 QAJ327697:QAJ327765 QAJ393233:QAJ393301 QAJ458769:QAJ458837 QAJ524305:QAJ524373 QAJ589841:QAJ589909 QAJ655377:QAJ655445 QAJ720913:QAJ720981 QAJ786449:QAJ786517 QAJ851985:QAJ852053 QAJ917521:QAJ917589 QAJ983057:QAJ983125 QKF17:QKF86 QKF65553:QKF65621 QKF131089:QKF131157 QKF196625:QKF196693 QKF262161:QKF262229 QKF327697:QKF327765 QKF393233:QKF393301 QKF458769:QKF458837 QKF524305:QKF524373 QKF589841:QKF589909 QKF655377:QKF655445 QKF720913:QKF720981 QKF786449:QKF786517 QKF851985:QKF852053 QKF917521:QKF917589 QKF983057:QKF983125 QUB17:QUB86 QUB65553:QUB65621 QUB131089:QUB131157 QUB196625:QUB196693 QUB262161:QUB262229 QUB327697:QUB327765 QUB393233:QUB393301 QUB458769:QUB458837 QUB524305:QUB524373 QUB589841:QUB589909 QUB655377:QUB655445 QUB720913:QUB720981 QUB786449:QUB786517 QUB851985:QUB852053 QUB917521:QUB917589 QUB983057:QUB983125 RDX17:RDX86 RDX65553:RDX65621 RDX131089:RDX131157 RDX196625:RDX196693 RDX262161:RDX262229 RDX327697:RDX327765 RDX393233:RDX393301 RDX458769:RDX458837 RDX524305:RDX524373 RDX589841:RDX589909 RDX655377:RDX655445 RDX720913:RDX720981 RDX786449:RDX786517 RDX851985:RDX852053 RDX917521:RDX917589 RDX983057:RDX983125 RNT17:RNT86 RNT65553:RNT65621 RNT131089:RNT131157 RNT196625:RNT196693 RNT262161:RNT262229 RNT327697:RNT327765 RNT393233:RNT393301 RNT458769:RNT458837 RNT524305:RNT524373 RNT589841:RNT589909 RNT655377:RNT655445 RNT720913:RNT720981 RNT786449:RNT786517 RNT851985:RNT852053 RNT917521:RNT917589 RNT983057:RNT983125 RXP17:RXP86 RXP65553:RXP65621 RXP131089:RXP131157 RXP196625:RXP196693 RXP262161:RXP262229 RXP327697:RXP327765 RXP393233:RXP393301 RXP458769:RXP458837 RXP524305:RXP524373 RXP589841:RXP589909 RXP655377:RXP655445 RXP720913:RXP720981 RXP786449:RXP786517 RXP851985:RXP852053 RXP917521:RXP917589 RXP983057:RXP983125 SHL17:SHL86 SHL65553:SHL65621 SHL131089:SHL131157 SHL196625:SHL196693 SHL262161:SHL262229 SHL327697:SHL327765 SHL393233:SHL393301 SHL458769:SHL458837 SHL524305:SHL524373 SHL589841:SHL589909 SHL655377:SHL655445 SHL720913:SHL720981 SHL786449:SHL786517 SHL851985:SHL852053 SHL917521:SHL917589 SHL983057:SHL983125 SRH17:SRH86 SRH65553:SRH65621 SRH131089:SRH131157 SRH196625:SRH196693 SRH262161:SRH262229 SRH327697:SRH327765 SRH393233:SRH393301 SRH458769:SRH458837 SRH524305:SRH524373 SRH589841:SRH589909 SRH655377:SRH655445 SRH720913:SRH720981 SRH786449:SRH786517 SRH851985:SRH852053 SRH917521:SRH917589 SRH983057:SRH983125 TBD17:TBD86 TBD65553:TBD65621 TBD131089:TBD131157 TBD196625:TBD196693 TBD262161:TBD262229 TBD327697:TBD327765 TBD393233:TBD393301 TBD458769:TBD458837 TBD524305:TBD524373 TBD589841:TBD589909 TBD655377:TBD655445 TBD720913:TBD720981 TBD786449:TBD786517 TBD851985:TBD852053 TBD917521:TBD917589 TBD983057:TBD983125 TKZ17:TKZ86 TKZ65553:TKZ65621 TKZ131089:TKZ131157 TKZ196625:TKZ196693 TKZ262161:TKZ262229 TKZ327697:TKZ327765 TKZ393233:TKZ393301 TKZ458769:TKZ458837 TKZ524305:TKZ524373 TKZ589841:TKZ589909 TKZ655377:TKZ655445 TKZ720913:TKZ720981 TKZ786449:TKZ786517 TKZ851985:TKZ852053 TKZ917521:TKZ917589 TKZ983057:TKZ983125 TUV17:TUV86 TUV65553:TUV65621 TUV131089:TUV131157 TUV196625:TUV196693 TUV262161:TUV262229 TUV327697:TUV327765 TUV393233:TUV393301 TUV458769:TUV458837 TUV524305:TUV524373 TUV589841:TUV589909 TUV655377:TUV655445 TUV720913:TUV720981 TUV786449:TUV786517 TUV851985:TUV852053 TUV917521:TUV917589 TUV983057:TUV983125 UER17:UER86 UER65553:UER65621 UER131089:UER131157 UER196625:UER196693 UER262161:UER262229 UER327697:UER327765 UER393233:UER393301 UER458769:UER458837 UER524305:UER524373 UER589841:UER589909 UER655377:UER655445 UER720913:UER720981 UER786449:UER786517 UER851985:UER852053 UER917521:UER917589 UER983057:UER983125 UON17:UON86 UON65553:UON65621 UON131089:UON131157 UON196625:UON196693 UON262161:UON262229 UON327697:UON327765 UON393233:UON393301 UON458769:UON458837 UON524305:UON524373 UON589841:UON589909 UON655377:UON655445 UON720913:UON720981 UON786449:UON786517 UON851985:UON852053 UON917521:UON917589 UON983057:UON983125 UYJ17:UYJ86 UYJ65553:UYJ65621 UYJ131089:UYJ131157 UYJ196625:UYJ196693 UYJ262161:UYJ262229 UYJ327697:UYJ327765 UYJ393233:UYJ393301 UYJ458769:UYJ458837 UYJ524305:UYJ524373 UYJ589841:UYJ589909 UYJ655377:UYJ655445 UYJ720913:UYJ720981 UYJ786449:UYJ786517 UYJ851985:UYJ852053 UYJ917521:UYJ917589 UYJ983057:UYJ983125 VIF17:VIF86 VIF65553:VIF65621 VIF131089:VIF131157 VIF196625:VIF196693 VIF262161:VIF262229 VIF327697:VIF327765 VIF393233:VIF393301 VIF458769:VIF458837 VIF524305:VIF524373 VIF589841:VIF589909 VIF655377:VIF655445 VIF720913:VIF720981 VIF786449:VIF786517 VIF851985:VIF852053 VIF917521:VIF917589 VIF983057:VIF983125 VSB17:VSB86 VSB65553:VSB65621 VSB131089:VSB131157 VSB196625:VSB196693 VSB262161:VSB262229 VSB327697:VSB327765 VSB393233:VSB393301 VSB458769:VSB458837 VSB524305:VSB524373 VSB589841:VSB589909 VSB655377:VSB655445 VSB720913:VSB720981 VSB786449:VSB786517 VSB851985:VSB852053 VSB917521:VSB917589 VSB983057:VSB983125 WBX17:WBX86 WBX65553:WBX65621 WBX131089:WBX131157 WBX196625:WBX196693 WBX262161:WBX262229 WBX327697:WBX327765 WBX393233:WBX393301 WBX458769:WBX458837 WBX524305:WBX524373 WBX589841:WBX589909 WBX655377:WBX655445 WBX720913:WBX720981 WBX786449:WBX786517 WBX851985:WBX852053 WBX917521:WBX917589 WBX983057:WBX983125 WLT17:WLT86 WLT65553:WLT65621 WLT131089:WLT131157 WLT196625:WLT196693 WLT262161:WLT262229 WLT327697:WLT327765 WLT393233:WLT393301 WLT458769:WLT458837 WLT524305:WLT524373 WLT589841:WLT589909 WLT655377:WLT655445 WLT720913:WLT720981 WLT786449:WLT786517 WLT851985:WLT852053 WLT917521:WLT917589 WLT983057:WLT983125 WVP17:WVP86 WVP65553:WVP65621 WVP131089:WVP131157 WVP196625:WVP196693 WVP262161:WVP262229 WVP327697:WVP327765 WVP393233:WVP393301 WVP458769:WVP458837 WVP524305:WVP524373 WVP589841:WVP589909 WVP655377:WVP655445 WVP720913:WVP720981 WVP786449:WVP786517 WVP851985:WVP852053 WVP917521:WVP917589 WVP983057:WVP983125">
      <formula1>"-,SFP/人天,天/SFP,人天/SFP,个/页,个/SFP,条/SFP,个/条,%,次"</formula1>
    </dataValidation>
    <dataValidation type="list" allowBlank="1" showInputMessage="1" showErrorMessage="1" sqref="F3:F11 F65539:F65547 F131075:F131083 F196611:F196619 F262147:F262155 F327683:F327691 F393219:F393227 F458755:F458763 F524291:F524299 F589827:F589835 F655363:F655371 F720899:F720907 F786435:F786443 F851971:F851979 F917507:F917515 F983043:F983051 JB3:JB11 JB65539:JB65547 JB131075:JB131083 JB196611:JB196619 JB262147:JB262155 JB327683:JB327691 JB393219:JB393227 JB458755:JB458763 JB524291:JB524299 JB589827:JB589835 JB655363:JB655371 JB720899:JB720907 JB786435:JB786443 JB851971:JB851979 JB917507:JB917515 JB983043:JB983051 SX3:SX11 SX65539:SX65547 SX131075:SX131083 SX196611:SX196619 SX262147:SX262155 SX327683:SX327691 SX393219:SX393227 SX458755:SX458763 SX524291:SX524299 SX589827:SX589835 SX655363:SX655371 SX720899:SX720907 SX786435:SX786443 SX851971:SX851979 SX917507:SX917515 SX983043:SX983051 ACT3:ACT11 ACT65539:ACT65547 ACT131075:ACT131083 ACT196611:ACT196619 ACT262147:ACT262155 ACT327683:ACT327691 ACT393219:ACT393227 ACT458755:ACT458763 ACT524291:ACT524299 ACT589827:ACT589835 ACT655363:ACT655371 ACT720899:ACT720907 ACT786435:ACT786443 ACT851971:ACT851979 ACT917507:ACT917515 ACT983043:ACT983051 AMP3:AMP11 AMP65539:AMP65547 AMP131075:AMP131083 AMP196611:AMP196619 AMP262147:AMP262155 AMP327683:AMP327691 AMP393219:AMP393227 AMP458755:AMP458763 AMP524291:AMP524299 AMP589827:AMP589835 AMP655363:AMP655371 AMP720899:AMP720907 AMP786435:AMP786443 AMP851971:AMP851979 AMP917507:AMP917515 AMP983043:AMP983051 AWL3:AWL11 AWL65539:AWL65547 AWL131075:AWL131083 AWL196611:AWL196619 AWL262147:AWL262155 AWL327683:AWL327691 AWL393219:AWL393227 AWL458755:AWL458763 AWL524291:AWL524299 AWL589827:AWL589835 AWL655363:AWL655371 AWL720899:AWL720907 AWL786435:AWL786443 AWL851971:AWL851979 AWL917507:AWL917515 AWL983043:AWL983051 BGH3:BGH11 BGH65539:BGH65547 BGH131075:BGH131083 BGH196611:BGH196619 BGH262147:BGH262155 BGH327683:BGH327691 BGH393219:BGH393227 BGH458755:BGH458763 BGH524291:BGH524299 BGH589827:BGH589835 BGH655363:BGH655371 BGH720899:BGH720907 BGH786435:BGH786443 BGH851971:BGH851979 BGH917507:BGH917515 BGH983043:BGH983051 BQD3:BQD11 BQD65539:BQD65547 BQD131075:BQD131083 BQD196611:BQD196619 BQD262147:BQD262155 BQD327683:BQD327691 BQD393219:BQD393227 BQD458755:BQD458763 BQD524291:BQD524299 BQD589827:BQD589835 BQD655363:BQD655371 BQD720899:BQD720907 BQD786435:BQD786443 BQD851971:BQD851979 BQD917507:BQD917515 BQD983043:BQD983051 BZZ3:BZZ11 BZZ65539:BZZ65547 BZZ131075:BZZ131083 BZZ196611:BZZ196619 BZZ262147:BZZ262155 BZZ327683:BZZ327691 BZZ393219:BZZ393227 BZZ458755:BZZ458763 BZZ524291:BZZ524299 BZZ589827:BZZ589835 BZZ655363:BZZ655371 BZZ720899:BZZ720907 BZZ786435:BZZ786443 BZZ851971:BZZ851979 BZZ917507:BZZ917515 BZZ983043:BZZ983051 CJV3:CJV11 CJV65539:CJV65547 CJV131075:CJV131083 CJV196611:CJV196619 CJV262147:CJV262155 CJV327683:CJV327691 CJV393219:CJV393227 CJV458755:CJV458763 CJV524291:CJV524299 CJV589827:CJV589835 CJV655363:CJV655371 CJV720899:CJV720907 CJV786435:CJV786443 CJV851971:CJV851979 CJV917507:CJV917515 CJV983043:CJV983051 CTR3:CTR11 CTR65539:CTR65547 CTR131075:CTR131083 CTR196611:CTR196619 CTR262147:CTR262155 CTR327683:CTR327691 CTR393219:CTR393227 CTR458755:CTR458763 CTR524291:CTR524299 CTR589827:CTR589835 CTR655363:CTR655371 CTR720899:CTR720907 CTR786435:CTR786443 CTR851971:CTR851979 CTR917507:CTR917515 CTR983043:CTR983051 DDN3:DDN11 DDN65539:DDN65547 DDN131075:DDN131083 DDN196611:DDN196619 DDN262147:DDN262155 DDN327683:DDN327691 DDN393219:DDN393227 DDN458755:DDN458763 DDN524291:DDN524299 DDN589827:DDN589835 DDN655363:DDN655371 DDN720899:DDN720907 DDN786435:DDN786443 DDN851971:DDN851979 DDN917507:DDN917515 DDN983043:DDN983051 DNJ3:DNJ11 DNJ65539:DNJ65547 DNJ131075:DNJ131083 DNJ196611:DNJ196619 DNJ262147:DNJ262155 DNJ327683:DNJ327691 DNJ393219:DNJ393227 DNJ458755:DNJ458763 DNJ524291:DNJ524299 DNJ589827:DNJ589835 DNJ655363:DNJ655371 DNJ720899:DNJ720907 DNJ786435:DNJ786443 DNJ851971:DNJ851979 DNJ917507:DNJ917515 DNJ983043:DNJ983051 DXF3:DXF11 DXF65539:DXF65547 DXF131075:DXF131083 DXF196611:DXF196619 DXF262147:DXF262155 DXF327683:DXF327691 DXF393219:DXF393227 DXF458755:DXF458763 DXF524291:DXF524299 DXF589827:DXF589835 DXF655363:DXF655371 DXF720899:DXF720907 DXF786435:DXF786443 DXF851971:DXF851979 DXF917507:DXF917515 DXF983043:DXF983051 EHB3:EHB11 EHB65539:EHB65547 EHB131075:EHB131083 EHB196611:EHB196619 EHB262147:EHB262155 EHB327683:EHB327691 EHB393219:EHB393227 EHB458755:EHB458763 EHB524291:EHB524299 EHB589827:EHB589835 EHB655363:EHB655371 EHB720899:EHB720907 EHB786435:EHB786443 EHB851971:EHB851979 EHB917507:EHB917515 EHB983043:EHB983051 EQX3:EQX11 EQX65539:EQX65547 EQX131075:EQX131083 EQX196611:EQX196619 EQX262147:EQX262155 EQX327683:EQX327691 EQX393219:EQX393227 EQX458755:EQX458763 EQX524291:EQX524299 EQX589827:EQX589835 EQX655363:EQX655371 EQX720899:EQX720907 EQX786435:EQX786443 EQX851971:EQX851979 EQX917507:EQX917515 EQX983043:EQX983051 FAT3:FAT11 FAT65539:FAT65547 FAT131075:FAT131083 FAT196611:FAT196619 FAT262147:FAT262155 FAT327683:FAT327691 FAT393219:FAT393227 FAT458755:FAT458763 FAT524291:FAT524299 FAT589827:FAT589835 FAT655363:FAT655371 FAT720899:FAT720907 FAT786435:FAT786443 FAT851971:FAT851979 FAT917507:FAT917515 FAT983043:FAT983051 FKP3:FKP11 FKP65539:FKP65547 FKP131075:FKP131083 FKP196611:FKP196619 FKP262147:FKP262155 FKP327683:FKP327691 FKP393219:FKP393227 FKP458755:FKP458763 FKP524291:FKP524299 FKP589827:FKP589835 FKP655363:FKP655371 FKP720899:FKP720907 FKP786435:FKP786443 FKP851971:FKP851979 FKP917507:FKP917515 FKP983043:FKP983051 FUL3:FUL11 FUL65539:FUL65547 FUL131075:FUL131083 FUL196611:FUL196619 FUL262147:FUL262155 FUL327683:FUL327691 FUL393219:FUL393227 FUL458755:FUL458763 FUL524291:FUL524299 FUL589827:FUL589835 FUL655363:FUL655371 FUL720899:FUL720907 FUL786435:FUL786443 FUL851971:FUL851979 FUL917507:FUL917515 FUL983043:FUL983051 GEH3:GEH11 GEH65539:GEH65547 GEH131075:GEH131083 GEH196611:GEH196619 GEH262147:GEH262155 GEH327683:GEH327691 GEH393219:GEH393227 GEH458755:GEH458763 GEH524291:GEH524299 GEH589827:GEH589835 GEH655363:GEH655371 GEH720899:GEH720907 GEH786435:GEH786443 GEH851971:GEH851979 GEH917507:GEH917515 GEH983043:GEH983051 GOD3:GOD11 GOD65539:GOD65547 GOD131075:GOD131083 GOD196611:GOD196619 GOD262147:GOD262155 GOD327683:GOD327691 GOD393219:GOD393227 GOD458755:GOD458763 GOD524291:GOD524299 GOD589827:GOD589835 GOD655363:GOD655371 GOD720899:GOD720907 GOD786435:GOD786443 GOD851971:GOD851979 GOD917507:GOD917515 GOD983043:GOD983051 GXZ3:GXZ11 GXZ65539:GXZ65547 GXZ131075:GXZ131083 GXZ196611:GXZ196619 GXZ262147:GXZ262155 GXZ327683:GXZ327691 GXZ393219:GXZ393227 GXZ458755:GXZ458763 GXZ524291:GXZ524299 GXZ589827:GXZ589835 GXZ655363:GXZ655371 GXZ720899:GXZ720907 GXZ786435:GXZ786443 GXZ851971:GXZ851979 GXZ917507:GXZ917515 GXZ983043:GXZ983051 HHV3:HHV11 HHV65539:HHV65547 HHV131075:HHV131083 HHV196611:HHV196619 HHV262147:HHV262155 HHV327683:HHV327691 HHV393219:HHV393227 HHV458755:HHV458763 HHV524291:HHV524299 HHV589827:HHV589835 HHV655363:HHV655371 HHV720899:HHV720907 HHV786435:HHV786443 HHV851971:HHV851979 HHV917507:HHV917515 HHV983043:HHV983051 HRR3:HRR11 HRR65539:HRR65547 HRR131075:HRR131083 HRR196611:HRR196619 HRR262147:HRR262155 HRR327683:HRR327691 HRR393219:HRR393227 HRR458755:HRR458763 HRR524291:HRR524299 HRR589827:HRR589835 HRR655363:HRR655371 HRR720899:HRR720907 HRR786435:HRR786443 HRR851971:HRR851979 HRR917507:HRR917515 HRR983043:HRR983051 IBN3:IBN11 IBN65539:IBN65547 IBN131075:IBN131083 IBN196611:IBN196619 IBN262147:IBN262155 IBN327683:IBN327691 IBN393219:IBN393227 IBN458755:IBN458763 IBN524291:IBN524299 IBN589827:IBN589835 IBN655363:IBN655371 IBN720899:IBN720907 IBN786435:IBN786443 IBN851971:IBN851979 IBN917507:IBN917515 IBN983043:IBN983051 ILJ3:ILJ11 ILJ65539:ILJ65547 ILJ131075:ILJ131083 ILJ196611:ILJ196619 ILJ262147:ILJ262155 ILJ327683:ILJ327691 ILJ393219:ILJ393227 ILJ458755:ILJ458763 ILJ524291:ILJ524299 ILJ589827:ILJ589835 ILJ655363:ILJ655371 ILJ720899:ILJ720907 ILJ786435:ILJ786443 ILJ851971:ILJ851979 ILJ917507:ILJ917515 ILJ983043:ILJ983051 IVF3:IVF11 IVF65539:IVF65547 IVF131075:IVF131083 IVF196611:IVF196619 IVF262147:IVF262155 IVF327683:IVF327691 IVF393219:IVF393227 IVF458755:IVF458763 IVF524291:IVF524299 IVF589827:IVF589835 IVF655363:IVF655371 IVF720899:IVF720907 IVF786435:IVF786443 IVF851971:IVF851979 IVF917507:IVF917515 IVF983043:IVF983051 JFB3:JFB11 JFB65539:JFB65547 JFB131075:JFB131083 JFB196611:JFB196619 JFB262147:JFB262155 JFB327683:JFB327691 JFB393219:JFB393227 JFB458755:JFB458763 JFB524291:JFB524299 JFB589827:JFB589835 JFB655363:JFB655371 JFB720899:JFB720907 JFB786435:JFB786443 JFB851971:JFB851979 JFB917507:JFB917515 JFB983043:JFB983051 JOX3:JOX11 JOX65539:JOX65547 JOX131075:JOX131083 JOX196611:JOX196619 JOX262147:JOX262155 JOX327683:JOX327691 JOX393219:JOX393227 JOX458755:JOX458763 JOX524291:JOX524299 JOX589827:JOX589835 JOX655363:JOX655371 JOX720899:JOX720907 JOX786435:JOX786443 JOX851971:JOX851979 JOX917507:JOX917515 JOX983043:JOX983051 JYT3:JYT11 JYT65539:JYT65547 JYT131075:JYT131083 JYT196611:JYT196619 JYT262147:JYT262155 JYT327683:JYT327691 JYT393219:JYT393227 JYT458755:JYT458763 JYT524291:JYT524299 JYT589827:JYT589835 JYT655363:JYT655371 JYT720899:JYT720907 JYT786435:JYT786443 JYT851971:JYT851979 JYT917507:JYT917515 JYT983043:JYT983051 KIP3:KIP11 KIP65539:KIP65547 KIP131075:KIP131083 KIP196611:KIP196619 KIP262147:KIP262155 KIP327683:KIP327691 KIP393219:KIP393227 KIP458755:KIP458763 KIP524291:KIP524299 KIP589827:KIP589835 KIP655363:KIP655371 KIP720899:KIP720907 KIP786435:KIP786443 KIP851971:KIP851979 KIP917507:KIP917515 KIP983043:KIP983051 KSL3:KSL11 KSL65539:KSL65547 KSL131075:KSL131083 KSL196611:KSL196619 KSL262147:KSL262155 KSL327683:KSL327691 KSL393219:KSL393227 KSL458755:KSL458763 KSL524291:KSL524299 KSL589827:KSL589835 KSL655363:KSL655371 KSL720899:KSL720907 KSL786435:KSL786443 KSL851971:KSL851979 KSL917507:KSL917515 KSL983043:KSL983051 LCH3:LCH11 LCH65539:LCH65547 LCH131075:LCH131083 LCH196611:LCH196619 LCH262147:LCH262155 LCH327683:LCH327691 LCH393219:LCH393227 LCH458755:LCH458763 LCH524291:LCH524299 LCH589827:LCH589835 LCH655363:LCH655371 LCH720899:LCH720907 LCH786435:LCH786443 LCH851971:LCH851979 LCH917507:LCH917515 LCH983043:LCH983051 LMD3:LMD11 LMD65539:LMD65547 LMD131075:LMD131083 LMD196611:LMD196619 LMD262147:LMD262155 LMD327683:LMD327691 LMD393219:LMD393227 LMD458755:LMD458763 LMD524291:LMD524299 LMD589827:LMD589835 LMD655363:LMD655371 LMD720899:LMD720907 LMD786435:LMD786443 LMD851971:LMD851979 LMD917507:LMD917515 LMD983043:LMD983051 LVZ3:LVZ11 LVZ65539:LVZ65547 LVZ131075:LVZ131083 LVZ196611:LVZ196619 LVZ262147:LVZ262155 LVZ327683:LVZ327691 LVZ393219:LVZ393227 LVZ458755:LVZ458763 LVZ524291:LVZ524299 LVZ589827:LVZ589835 LVZ655363:LVZ655371 LVZ720899:LVZ720907 LVZ786435:LVZ786443 LVZ851971:LVZ851979 LVZ917507:LVZ917515 LVZ983043:LVZ983051 MFV3:MFV11 MFV65539:MFV65547 MFV131075:MFV131083 MFV196611:MFV196619 MFV262147:MFV262155 MFV327683:MFV327691 MFV393219:MFV393227 MFV458755:MFV458763 MFV524291:MFV524299 MFV589827:MFV589835 MFV655363:MFV655371 MFV720899:MFV720907 MFV786435:MFV786443 MFV851971:MFV851979 MFV917507:MFV917515 MFV983043:MFV983051 MPR3:MPR11 MPR65539:MPR65547 MPR131075:MPR131083 MPR196611:MPR196619 MPR262147:MPR262155 MPR327683:MPR327691 MPR393219:MPR393227 MPR458755:MPR458763 MPR524291:MPR524299 MPR589827:MPR589835 MPR655363:MPR655371 MPR720899:MPR720907 MPR786435:MPR786443 MPR851971:MPR851979 MPR917507:MPR917515 MPR983043:MPR983051 MZN3:MZN11 MZN65539:MZN65547 MZN131075:MZN131083 MZN196611:MZN196619 MZN262147:MZN262155 MZN327683:MZN327691 MZN393219:MZN393227 MZN458755:MZN458763 MZN524291:MZN524299 MZN589827:MZN589835 MZN655363:MZN655371 MZN720899:MZN720907 MZN786435:MZN786443 MZN851971:MZN851979 MZN917507:MZN917515 MZN983043:MZN983051 NJJ3:NJJ11 NJJ65539:NJJ65547 NJJ131075:NJJ131083 NJJ196611:NJJ196619 NJJ262147:NJJ262155 NJJ327683:NJJ327691 NJJ393219:NJJ393227 NJJ458755:NJJ458763 NJJ524291:NJJ524299 NJJ589827:NJJ589835 NJJ655363:NJJ655371 NJJ720899:NJJ720907 NJJ786435:NJJ786443 NJJ851971:NJJ851979 NJJ917507:NJJ917515 NJJ983043:NJJ983051 NTF3:NTF11 NTF65539:NTF65547 NTF131075:NTF131083 NTF196611:NTF196619 NTF262147:NTF262155 NTF327683:NTF327691 NTF393219:NTF393227 NTF458755:NTF458763 NTF524291:NTF524299 NTF589827:NTF589835 NTF655363:NTF655371 NTF720899:NTF720907 NTF786435:NTF786443 NTF851971:NTF851979 NTF917507:NTF917515 NTF983043:NTF983051 ODB3:ODB11 ODB65539:ODB65547 ODB131075:ODB131083 ODB196611:ODB196619 ODB262147:ODB262155 ODB327683:ODB327691 ODB393219:ODB393227 ODB458755:ODB458763 ODB524291:ODB524299 ODB589827:ODB589835 ODB655363:ODB655371 ODB720899:ODB720907 ODB786435:ODB786443 ODB851971:ODB851979 ODB917507:ODB917515 ODB983043:ODB983051 OMX3:OMX11 OMX65539:OMX65547 OMX131075:OMX131083 OMX196611:OMX196619 OMX262147:OMX262155 OMX327683:OMX327691 OMX393219:OMX393227 OMX458755:OMX458763 OMX524291:OMX524299 OMX589827:OMX589835 OMX655363:OMX655371 OMX720899:OMX720907 OMX786435:OMX786443 OMX851971:OMX851979 OMX917507:OMX917515 OMX983043:OMX983051 OWT3:OWT11 OWT65539:OWT65547 OWT131075:OWT131083 OWT196611:OWT196619 OWT262147:OWT262155 OWT327683:OWT327691 OWT393219:OWT393227 OWT458755:OWT458763 OWT524291:OWT524299 OWT589827:OWT589835 OWT655363:OWT655371 OWT720899:OWT720907 OWT786435:OWT786443 OWT851971:OWT851979 OWT917507:OWT917515 OWT983043:OWT983051 PGP3:PGP11 PGP65539:PGP65547 PGP131075:PGP131083 PGP196611:PGP196619 PGP262147:PGP262155 PGP327683:PGP327691 PGP393219:PGP393227 PGP458755:PGP458763 PGP524291:PGP524299 PGP589827:PGP589835 PGP655363:PGP655371 PGP720899:PGP720907 PGP786435:PGP786443 PGP851971:PGP851979 PGP917507:PGP917515 PGP983043:PGP983051 PQL3:PQL11 PQL65539:PQL65547 PQL131075:PQL131083 PQL196611:PQL196619 PQL262147:PQL262155 PQL327683:PQL327691 PQL393219:PQL393227 PQL458755:PQL458763 PQL524291:PQL524299 PQL589827:PQL589835 PQL655363:PQL655371 PQL720899:PQL720907 PQL786435:PQL786443 PQL851971:PQL851979 PQL917507:PQL917515 PQL983043:PQL983051 QAH3:QAH11 QAH65539:QAH65547 QAH131075:QAH131083 QAH196611:QAH196619 QAH262147:QAH262155 QAH327683:QAH327691 QAH393219:QAH393227 QAH458755:QAH458763 QAH524291:QAH524299 QAH589827:QAH589835 QAH655363:QAH655371 QAH720899:QAH720907 QAH786435:QAH786443 QAH851971:QAH851979 QAH917507:QAH917515 QAH983043:QAH983051 QKD3:QKD11 QKD65539:QKD65547 QKD131075:QKD131083 QKD196611:QKD196619 QKD262147:QKD262155 QKD327683:QKD327691 QKD393219:QKD393227 QKD458755:QKD458763 QKD524291:QKD524299 QKD589827:QKD589835 QKD655363:QKD655371 QKD720899:QKD720907 QKD786435:QKD786443 QKD851971:QKD851979 QKD917507:QKD917515 QKD983043:QKD983051 QTZ3:QTZ11 QTZ65539:QTZ65547 QTZ131075:QTZ131083 QTZ196611:QTZ196619 QTZ262147:QTZ262155 QTZ327683:QTZ327691 QTZ393219:QTZ393227 QTZ458755:QTZ458763 QTZ524291:QTZ524299 QTZ589827:QTZ589835 QTZ655363:QTZ655371 QTZ720899:QTZ720907 QTZ786435:QTZ786443 QTZ851971:QTZ851979 QTZ917507:QTZ917515 QTZ983043:QTZ983051 RDV3:RDV11 RDV65539:RDV65547 RDV131075:RDV131083 RDV196611:RDV196619 RDV262147:RDV262155 RDV327683:RDV327691 RDV393219:RDV393227 RDV458755:RDV458763 RDV524291:RDV524299 RDV589827:RDV589835 RDV655363:RDV655371 RDV720899:RDV720907 RDV786435:RDV786443 RDV851971:RDV851979 RDV917507:RDV917515 RDV983043:RDV983051 RNR3:RNR11 RNR65539:RNR65547 RNR131075:RNR131083 RNR196611:RNR196619 RNR262147:RNR262155 RNR327683:RNR327691 RNR393219:RNR393227 RNR458755:RNR458763 RNR524291:RNR524299 RNR589827:RNR589835 RNR655363:RNR655371 RNR720899:RNR720907 RNR786435:RNR786443 RNR851971:RNR851979 RNR917507:RNR917515 RNR983043:RNR983051 RXN3:RXN11 RXN65539:RXN65547 RXN131075:RXN131083 RXN196611:RXN196619 RXN262147:RXN262155 RXN327683:RXN327691 RXN393219:RXN393227 RXN458755:RXN458763 RXN524291:RXN524299 RXN589827:RXN589835 RXN655363:RXN655371 RXN720899:RXN720907 RXN786435:RXN786443 RXN851971:RXN851979 RXN917507:RXN917515 RXN983043:RXN983051 SHJ3:SHJ11 SHJ65539:SHJ65547 SHJ131075:SHJ131083 SHJ196611:SHJ196619 SHJ262147:SHJ262155 SHJ327683:SHJ327691 SHJ393219:SHJ393227 SHJ458755:SHJ458763 SHJ524291:SHJ524299 SHJ589827:SHJ589835 SHJ655363:SHJ655371 SHJ720899:SHJ720907 SHJ786435:SHJ786443 SHJ851971:SHJ851979 SHJ917507:SHJ917515 SHJ983043:SHJ983051 SRF3:SRF11 SRF65539:SRF65547 SRF131075:SRF131083 SRF196611:SRF196619 SRF262147:SRF262155 SRF327683:SRF327691 SRF393219:SRF393227 SRF458755:SRF458763 SRF524291:SRF524299 SRF589827:SRF589835 SRF655363:SRF655371 SRF720899:SRF720907 SRF786435:SRF786443 SRF851971:SRF851979 SRF917507:SRF917515 SRF983043:SRF983051 TBB3:TBB11 TBB65539:TBB65547 TBB131075:TBB131083 TBB196611:TBB196619 TBB262147:TBB262155 TBB327683:TBB327691 TBB393219:TBB393227 TBB458755:TBB458763 TBB524291:TBB524299 TBB589827:TBB589835 TBB655363:TBB655371 TBB720899:TBB720907 TBB786435:TBB786443 TBB851971:TBB851979 TBB917507:TBB917515 TBB983043:TBB983051 TKX3:TKX11 TKX65539:TKX65547 TKX131075:TKX131083 TKX196611:TKX196619 TKX262147:TKX262155 TKX327683:TKX327691 TKX393219:TKX393227 TKX458755:TKX458763 TKX524291:TKX524299 TKX589827:TKX589835 TKX655363:TKX655371 TKX720899:TKX720907 TKX786435:TKX786443 TKX851971:TKX851979 TKX917507:TKX917515 TKX983043:TKX983051 TUT3:TUT11 TUT65539:TUT65547 TUT131075:TUT131083 TUT196611:TUT196619 TUT262147:TUT262155 TUT327683:TUT327691 TUT393219:TUT393227 TUT458755:TUT458763 TUT524291:TUT524299 TUT589827:TUT589835 TUT655363:TUT655371 TUT720899:TUT720907 TUT786435:TUT786443 TUT851971:TUT851979 TUT917507:TUT917515 TUT983043:TUT983051 UEP3:UEP11 UEP65539:UEP65547 UEP131075:UEP131083 UEP196611:UEP196619 UEP262147:UEP262155 UEP327683:UEP327691 UEP393219:UEP393227 UEP458755:UEP458763 UEP524291:UEP524299 UEP589827:UEP589835 UEP655363:UEP655371 UEP720899:UEP720907 UEP786435:UEP786443 UEP851971:UEP851979 UEP917507:UEP917515 UEP983043:UEP983051 UOL3:UOL11 UOL65539:UOL65547 UOL131075:UOL131083 UOL196611:UOL196619 UOL262147:UOL262155 UOL327683:UOL327691 UOL393219:UOL393227 UOL458755:UOL458763 UOL524291:UOL524299 UOL589827:UOL589835 UOL655363:UOL655371 UOL720899:UOL720907 UOL786435:UOL786443 UOL851971:UOL851979 UOL917507:UOL917515 UOL983043:UOL983051 UYH3:UYH11 UYH65539:UYH65547 UYH131075:UYH131083 UYH196611:UYH196619 UYH262147:UYH262155 UYH327683:UYH327691 UYH393219:UYH393227 UYH458755:UYH458763 UYH524291:UYH524299 UYH589827:UYH589835 UYH655363:UYH655371 UYH720899:UYH720907 UYH786435:UYH786443 UYH851971:UYH851979 UYH917507:UYH917515 UYH983043:UYH983051 VID3:VID11 VID65539:VID65547 VID131075:VID131083 VID196611:VID196619 VID262147:VID262155 VID327683:VID327691 VID393219:VID393227 VID458755:VID458763 VID524291:VID524299 VID589827:VID589835 VID655363:VID655371 VID720899:VID720907 VID786435:VID786443 VID851971:VID851979 VID917507:VID917515 VID983043:VID983051 VRZ3:VRZ11 VRZ65539:VRZ65547 VRZ131075:VRZ131083 VRZ196611:VRZ196619 VRZ262147:VRZ262155 VRZ327683:VRZ327691 VRZ393219:VRZ393227 VRZ458755:VRZ458763 VRZ524291:VRZ524299 VRZ589827:VRZ589835 VRZ655363:VRZ655371 VRZ720899:VRZ720907 VRZ786435:VRZ786443 VRZ851971:VRZ851979 VRZ917507:VRZ917515 VRZ983043:VRZ983051 WBV3:WBV11 WBV65539:WBV65547 WBV131075:WBV131083 WBV196611:WBV196619 WBV262147:WBV262155 WBV327683:WBV327691 WBV393219:WBV393227 WBV458755:WBV458763 WBV524291:WBV524299 WBV589827:WBV589835 WBV655363:WBV655371 WBV720899:WBV720907 WBV786435:WBV786443 WBV851971:WBV851979 WBV917507:WBV917515 WBV983043:WBV983051 WLR3:WLR11 WLR65539:WLR65547 WLR131075:WLR131083 WLR196611:WLR196619 WLR262147:WLR262155 WLR327683:WLR327691 WLR393219:WLR393227 WLR458755:WLR458763 WLR524291:WLR524299 WLR589827:WLR589835 WLR655363:WLR655371 WLR720899:WLR720907 WLR786435:WLR786443 WLR851971:WLR851979 WLR917507:WLR917515 WLR983043:WLR983051 WVN3:WVN11 WVN65539:WVN65547 WVN131075:WVN131083 WVN196611:WVN196619 WVN262147:WVN262155 WVN327683:WVN327691 WVN393219:WVN393227 WVN458755:WVN458763 WVN524291:WVN524299 WVN589827:WVN589835 WVN655363:WVN655371 WVN720899:WVN720907 WVN786435:WVN786443 WVN851971:WVN851979 WVN917507:WVN917515 WVN983043:WVN983051">
      <formula1>"高,中,低"</formula1>
    </dataValidation>
  </dataValidations>
  <hyperlinks>
    <hyperlink ref="C89" location="基本类!C4" tooltip="系统复杂度" display="技术复杂度"/>
    <hyperlink ref="C17" location="基本类!C15" display="项目成员平均技能系数"/>
  </hyperlinks>
  <pageMargins left="0.69930555555555596" right="0.69930555555555596" top="0.75" bottom="0.75" header="0.3" footer="0.3"/>
  <pageSetup paperSize="9" orientation="portrait" horizontalDpi="1200" verticalDpi="1200"/>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C000"/>
  </sheetPr>
  <dimension ref="A1:AO46"/>
  <sheetViews>
    <sheetView showGridLines="0" topLeftCell="A28" workbookViewId="0">
      <selection activeCell="AH27" sqref="AH27"/>
    </sheetView>
  </sheetViews>
  <sheetFormatPr defaultColWidth="9" defaultRowHeight="13.5"/>
  <cols>
    <col min="1" max="1" width="9" style="429"/>
    <col min="2" max="2" width="28.75" style="429" customWidth="1"/>
    <col min="3" max="4" width="9" style="429"/>
    <col min="5" max="5" width="11.875" style="429" customWidth="1"/>
    <col min="6" max="6" width="12.875" style="429" customWidth="1"/>
    <col min="7" max="7" width="9" style="429"/>
    <col min="8" max="8" width="11.125" style="429" customWidth="1"/>
    <col min="9" max="10" width="9" style="429"/>
    <col min="11" max="11" width="9.75" style="429" customWidth="1"/>
    <col min="12" max="12" width="9.375" style="429" customWidth="1"/>
    <col min="13" max="13" width="10" style="429" customWidth="1"/>
    <col min="14" max="14" width="9.625" style="429" customWidth="1"/>
    <col min="15" max="15" width="9.875" style="429" customWidth="1"/>
    <col min="16" max="17" width="9" style="429"/>
    <col min="18" max="18" width="16.125" style="429" customWidth="1"/>
    <col min="19" max="35" width="9" style="429"/>
    <col min="36" max="37" width="9" style="429" customWidth="1"/>
    <col min="38" max="16384" width="9" style="429"/>
  </cols>
  <sheetData>
    <row r="1" spans="1:41" ht="17.25">
      <c r="A1" s="430" t="s">
        <v>269</v>
      </c>
      <c r="B1" s="431"/>
      <c r="C1" s="431"/>
      <c r="D1" s="431"/>
      <c r="E1" s="431"/>
      <c r="F1" s="431"/>
      <c r="G1" s="431"/>
      <c r="H1" s="431"/>
      <c r="I1" s="431"/>
      <c r="J1" s="431"/>
      <c r="K1" s="431"/>
      <c r="L1" s="431"/>
      <c r="M1" s="431"/>
      <c r="N1" s="431"/>
      <c r="O1" s="431"/>
      <c r="P1" s="431"/>
      <c r="Q1" s="431"/>
      <c r="R1" s="431"/>
      <c r="S1" s="431"/>
      <c r="T1" s="431"/>
      <c r="U1" s="431"/>
      <c r="V1" s="431"/>
      <c r="W1" s="431"/>
      <c r="X1" s="431"/>
      <c r="Y1" s="431"/>
      <c r="Z1" s="431"/>
      <c r="AA1" s="431"/>
      <c r="AB1" s="431"/>
      <c r="AC1" s="431"/>
      <c r="AD1" s="431"/>
      <c r="AE1" s="431"/>
      <c r="AF1" s="431"/>
      <c r="AG1" s="431"/>
      <c r="AH1" s="431"/>
      <c r="AI1" s="431"/>
      <c r="AJ1" s="431"/>
      <c r="AK1" s="431"/>
      <c r="AL1" s="431"/>
      <c r="AM1" s="431"/>
      <c r="AN1" s="431"/>
      <c r="AO1" s="431"/>
    </row>
    <row r="2" spans="1:41" ht="21">
      <c r="A2" s="432" t="s">
        <v>270</v>
      </c>
      <c r="B2" s="432" t="s">
        <v>271</v>
      </c>
      <c r="C2" s="432"/>
      <c r="D2" s="432"/>
      <c r="E2" s="432"/>
      <c r="F2" s="432"/>
      <c r="G2" s="432"/>
      <c r="H2" s="432"/>
      <c r="I2" s="432"/>
      <c r="J2" s="432"/>
      <c r="K2" s="432"/>
      <c r="L2" s="432"/>
      <c r="M2" s="432"/>
      <c r="N2" s="432"/>
      <c r="O2" s="432"/>
      <c r="P2" s="432"/>
      <c r="Q2" s="432"/>
      <c r="R2" s="432"/>
      <c r="S2" s="432"/>
      <c r="T2" s="432"/>
      <c r="U2" s="432"/>
      <c r="V2" s="432"/>
      <c r="W2" s="432"/>
      <c r="X2" s="432"/>
      <c r="Y2" s="432"/>
      <c r="Z2" s="432"/>
      <c r="AA2" s="432"/>
      <c r="AB2" s="432"/>
      <c r="AC2" s="432"/>
      <c r="AD2" s="432"/>
      <c r="AE2" s="432"/>
      <c r="AF2" s="432"/>
      <c r="AG2" s="432"/>
      <c r="AH2" s="432"/>
      <c r="AI2" s="432"/>
      <c r="AJ2" s="432"/>
      <c r="AK2" s="432"/>
      <c r="AL2" s="432"/>
      <c r="AM2" s="432"/>
      <c r="AN2" s="432"/>
      <c r="AO2" s="432"/>
    </row>
    <row r="3" spans="1:41" ht="18">
      <c r="A3" s="721" t="s">
        <v>272</v>
      </c>
      <c r="B3" s="722"/>
      <c r="C3" s="722"/>
      <c r="D3" s="722"/>
      <c r="E3" s="722"/>
      <c r="F3" s="722"/>
      <c r="G3" s="722"/>
      <c r="H3" s="722"/>
      <c r="I3" s="722"/>
      <c r="J3" s="722"/>
      <c r="K3" s="722"/>
      <c r="L3" s="722"/>
      <c r="M3" s="722"/>
      <c r="N3" s="722"/>
      <c r="O3" s="722"/>
      <c r="P3" s="722"/>
      <c r="Q3" s="722"/>
      <c r="R3" s="722"/>
      <c r="S3" s="722"/>
      <c r="T3" s="722"/>
      <c r="U3" s="722"/>
      <c r="V3" s="722"/>
      <c r="W3" s="722"/>
      <c r="X3" s="722"/>
      <c r="Y3" s="722"/>
      <c r="Z3" s="722"/>
      <c r="AA3" s="722"/>
      <c r="AB3" s="722"/>
      <c r="AC3" s="722"/>
      <c r="AD3" s="722"/>
      <c r="AE3" s="722"/>
      <c r="AF3" s="722"/>
      <c r="AG3" s="722"/>
      <c r="AH3" s="722"/>
      <c r="AI3" s="722"/>
      <c r="AJ3" s="722"/>
      <c r="AK3" s="722"/>
      <c r="AL3" s="722"/>
      <c r="AM3" s="722"/>
      <c r="AN3" s="722"/>
      <c r="AO3" s="722"/>
    </row>
    <row r="4" spans="1:41">
      <c r="A4" s="726" t="s">
        <v>273</v>
      </c>
      <c r="B4" s="726"/>
      <c r="C4" s="726"/>
      <c r="D4" s="726"/>
      <c r="E4" s="726"/>
      <c r="F4" s="726"/>
      <c r="G4" s="726"/>
      <c r="H4" s="726"/>
      <c r="I4" s="726"/>
      <c r="J4" s="726"/>
      <c r="K4" s="726"/>
      <c r="L4" s="726"/>
      <c r="M4" s="726"/>
      <c r="N4" s="726"/>
      <c r="O4" s="726"/>
      <c r="P4" s="726"/>
      <c r="Q4" s="726"/>
      <c r="R4" s="726"/>
      <c r="S4" s="726"/>
      <c r="T4" s="726"/>
      <c r="U4" s="726"/>
      <c r="V4" s="726"/>
      <c r="W4" s="726"/>
      <c r="X4" s="726"/>
      <c r="Y4" s="726"/>
      <c r="Z4" s="726"/>
      <c r="AA4" s="726"/>
      <c r="AB4" s="726"/>
      <c r="AC4" s="726"/>
      <c r="AD4" s="726"/>
      <c r="AE4" s="726"/>
      <c r="AF4" s="726"/>
      <c r="AG4" s="726"/>
      <c r="AH4" s="726"/>
      <c r="AI4" s="726"/>
      <c r="AJ4" s="726"/>
      <c r="AK4" s="726"/>
      <c r="AL4" s="726"/>
      <c r="AM4" s="726"/>
      <c r="AN4" s="726"/>
      <c r="AO4" s="726"/>
    </row>
    <row r="5" spans="1:41">
      <c r="A5" s="726"/>
      <c r="B5" s="726"/>
      <c r="C5" s="726"/>
      <c r="D5" s="726"/>
      <c r="E5" s="726"/>
      <c r="F5" s="726"/>
      <c r="G5" s="726"/>
      <c r="H5" s="726"/>
      <c r="I5" s="726"/>
      <c r="J5" s="726"/>
      <c r="K5" s="726"/>
      <c r="L5" s="726"/>
      <c r="M5" s="726"/>
      <c r="N5" s="726"/>
      <c r="O5" s="726"/>
      <c r="P5" s="726"/>
      <c r="Q5" s="726"/>
      <c r="R5" s="726"/>
      <c r="S5" s="726"/>
      <c r="T5" s="726"/>
      <c r="U5" s="726"/>
      <c r="V5" s="726"/>
      <c r="W5" s="726"/>
      <c r="X5" s="726"/>
      <c r="Y5" s="726"/>
      <c r="Z5" s="726"/>
      <c r="AA5" s="726"/>
      <c r="AB5" s="726"/>
      <c r="AC5" s="726"/>
      <c r="AD5" s="726"/>
      <c r="AE5" s="726"/>
      <c r="AF5" s="726"/>
      <c r="AG5" s="726"/>
      <c r="AH5" s="726"/>
      <c r="AI5" s="726"/>
      <c r="AJ5" s="726"/>
      <c r="AK5" s="726"/>
      <c r="AL5" s="726"/>
      <c r="AM5" s="726"/>
      <c r="AN5" s="726"/>
      <c r="AO5" s="726"/>
    </row>
    <row r="6" spans="1:41">
      <c r="A6" s="726"/>
      <c r="B6" s="726"/>
      <c r="C6" s="726"/>
      <c r="D6" s="726"/>
      <c r="E6" s="726"/>
      <c r="F6" s="726"/>
      <c r="G6" s="726"/>
      <c r="H6" s="726"/>
      <c r="I6" s="726"/>
      <c r="J6" s="726"/>
      <c r="K6" s="726"/>
      <c r="L6" s="726"/>
      <c r="M6" s="726"/>
      <c r="N6" s="726"/>
      <c r="O6" s="726"/>
      <c r="P6" s="726"/>
      <c r="Q6" s="726"/>
      <c r="R6" s="726"/>
      <c r="S6" s="726"/>
      <c r="T6" s="726"/>
      <c r="U6" s="726"/>
      <c r="V6" s="726"/>
      <c r="W6" s="726"/>
      <c r="X6" s="726"/>
      <c r="Y6" s="726"/>
      <c r="Z6" s="726"/>
      <c r="AA6" s="726"/>
      <c r="AB6" s="726"/>
      <c r="AC6" s="726"/>
      <c r="AD6" s="726"/>
      <c r="AE6" s="726"/>
      <c r="AF6" s="726"/>
      <c r="AG6" s="726"/>
      <c r="AH6" s="726"/>
      <c r="AI6" s="726"/>
      <c r="AJ6" s="726"/>
      <c r="AK6" s="726"/>
      <c r="AL6" s="726"/>
      <c r="AM6" s="726"/>
      <c r="AN6" s="726"/>
      <c r="AO6" s="726"/>
    </row>
    <row r="7" spans="1:41" ht="18">
      <c r="A7" s="721" t="s">
        <v>162</v>
      </c>
      <c r="B7" s="722"/>
      <c r="C7" s="722"/>
      <c r="D7" s="722"/>
      <c r="E7" s="722"/>
      <c r="F7" s="722"/>
      <c r="G7" s="722"/>
      <c r="H7" s="722"/>
      <c r="I7" s="722"/>
      <c r="J7" s="722"/>
      <c r="K7" s="722"/>
      <c r="L7" s="722"/>
      <c r="M7" s="722"/>
      <c r="N7" s="722"/>
      <c r="O7" s="722"/>
      <c r="P7" s="722"/>
      <c r="Q7" s="722"/>
      <c r="R7" s="722"/>
      <c r="S7" s="722"/>
      <c r="T7" s="722"/>
      <c r="U7" s="722"/>
      <c r="V7" s="722"/>
      <c r="W7" s="722"/>
      <c r="X7" s="722"/>
      <c r="Y7" s="722"/>
      <c r="Z7" s="722"/>
      <c r="AA7" s="722"/>
      <c r="AB7" s="722"/>
      <c r="AC7" s="722"/>
      <c r="AD7" s="722"/>
      <c r="AE7" s="722"/>
      <c r="AF7" s="722"/>
      <c r="AG7" s="722"/>
      <c r="AH7" s="722"/>
      <c r="AI7" s="722"/>
      <c r="AJ7" s="722"/>
      <c r="AK7" s="722"/>
      <c r="AL7" s="722"/>
      <c r="AM7" s="722"/>
      <c r="AN7" s="722"/>
    </row>
    <row r="8" spans="1:41">
      <c r="A8" s="725" t="s">
        <v>274</v>
      </c>
      <c r="B8" s="725"/>
      <c r="C8" s="725"/>
      <c r="D8" s="725"/>
      <c r="E8" s="725"/>
      <c r="F8" s="725"/>
      <c r="G8" s="725"/>
      <c r="H8" s="725"/>
      <c r="I8" s="725"/>
      <c r="J8" s="725"/>
      <c r="K8" s="725"/>
      <c r="L8" s="725"/>
      <c r="M8" s="725"/>
      <c r="N8" s="725"/>
      <c r="O8" s="725"/>
      <c r="P8" s="725"/>
      <c r="Q8" s="725"/>
      <c r="R8" s="725"/>
      <c r="S8" s="725"/>
      <c r="T8" s="725"/>
      <c r="U8" s="725"/>
      <c r="V8" s="725"/>
      <c r="W8" s="725"/>
      <c r="X8" s="725"/>
      <c r="Y8" s="725"/>
      <c r="Z8" s="725"/>
      <c r="AA8" s="725"/>
      <c r="AB8" s="725"/>
      <c r="AC8" s="725"/>
      <c r="AD8" s="725"/>
      <c r="AE8" s="725"/>
      <c r="AF8" s="725"/>
      <c r="AG8" s="725"/>
      <c r="AH8" s="725"/>
      <c r="AI8" s="725"/>
      <c r="AJ8" s="725"/>
      <c r="AK8" s="725"/>
      <c r="AL8" s="725"/>
      <c r="AM8" s="725"/>
      <c r="AN8" s="725"/>
    </row>
    <row r="9" spans="1:41">
      <c r="A9" s="725"/>
      <c r="B9" s="725"/>
      <c r="C9" s="725"/>
      <c r="D9" s="725"/>
      <c r="E9" s="725"/>
      <c r="F9" s="725"/>
      <c r="G9" s="725"/>
      <c r="H9" s="725"/>
      <c r="I9" s="725"/>
      <c r="J9" s="725"/>
      <c r="K9" s="725"/>
      <c r="L9" s="725"/>
      <c r="M9" s="725"/>
      <c r="N9" s="725"/>
      <c r="O9" s="725"/>
      <c r="P9" s="725"/>
      <c r="Q9" s="725"/>
      <c r="R9" s="725"/>
      <c r="S9" s="725"/>
      <c r="T9" s="725"/>
      <c r="U9" s="725"/>
      <c r="V9" s="725"/>
      <c r="W9" s="725"/>
      <c r="X9" s="725"/>
      <c r="Y9" s="725"/>
      <c r="Z9" s="725"/>
      <c r="AA9" s="725"/>
      <c r="AB9" s="725"/>
      <c r="AC9" s="725"/>
      <c r="AD9" s="725"/>
      <c r="AE9" s="725"/>
      <c r="AF9" s="725"/>
      <c r="AG9" s="725"/>
      <c r="AH9" s="725"/>
      <c r="AI9" s="725"/>
      <c r="AJ9" s="725"/>
      <c r="AK9" s="725"/>
      <c r="AL9" s="725"/>
      <c r="AM9" s="725"/>
      <c r="AN9" s="725"/>
    </row>
    <row r="10" spans="1:41">
      <c r="A10" s="725"/>
      <c r="B10" s="725"/>
      <c r="C10" s="725"/>
      <c r="D10" s="725"/>
      <c r="E10" s="725"/>
      <c r="F10" s="725"/>
      <c r="G10" s="725"/>
      <c r="H10" s="725"/>
      <c r="I10" s="725"/>
      <c r="J10" s="725"/>
      <c r="K10" s="725"/>
      <c r="L10" s="725"/>
      <c r="M10" s="725"/>
      <c r="N10" s="725"/>
      <c r="O10" s="725"/>
      <c r="P10" s="725"/>
      <c r="Q10" s="725"/>
      <c r="R10" s="725"/>
      <c r="S10" s="725"/>
      <c r="T10" s="725"/>
      <c r="U10" s="725"/>
      <c r="V10" s="725"/>
      <c r="W10" s="725"/>
      <c r="X10" s="725"/>
      <c r="Y10" s="725"/>
      <c r="Z10" s="725"/>
      <c r="AA10" s="725"/>
      <c r="AB10" s="725"/>
      <c r="AC10" s="725"/>
      <c r="AD10" s="725"/>
      <c r="AE10" s="725"/>
      <c r="AF10" s="725"/>
      <c r="AG10" s="725"/>
      <c r="AH10" s="725"/>
      <c r="AI10" s="725"/>
      <c r="AJ10" s="725"/>
      <c r="AK10" s="725"/>
      <c r="AL10" s="725"/>
      <c r="AM10" s="725"/>
      <c r="AN10" s="725"/>
    </row>
    <row r="11" spans="1:41" ht="18">
      <c r="A11" s="721" t="s">
        <v>166</v>
      </c>
      <c r="B11" s="722"/>
      <c r="C11" s="722"/>
      <c r="D11" s="722"/>
      <c r="E11" s="722"/>
      <c r="F11" s="722"/>
      <c r="G11" s="722"/>
      <c r="H11" s="722"/>
      <c r="I11" s="722"/>
      <c r="J11" s="722"/>
      <c r="K11" s="722"/>
      <c r="L11" s="722"/>
      <c r="M11" s="722"/>
      <c r="N11" s="722"/>
      <c r="O11" s="722"/>
      <c r="P11" s="722"/>
      <c r="Q11" s="722"/>
      <c r="R11" s="722"/>
      <c r="S11" s="722"/>
      <c r="T11" s="722"/>
      <c r="U11" s="722"/>
      <c r="V11" s="722"/>
      <c r="W11" s="722"/>
      <c r="X11" s="722"/>
      <c r="Y11" s="722"/>
      <c r="Z11" s="722"/>
      <c r="AA11" s="722"/>
      <c r="AB11" s="722"/>
      <c r="AC11" s="722"/>
      <c r="AD11" s="722"/>
      <c r="AE11" s="722"/>
      <c r="AF11" s="722"/>
      <c r="AG11" s="722"/>
      <c r="AH11" s="722"/>
      <c r="AI11" s="722"/>
      <c r="AJ11" s="722"/>
      <c r="AK11" s="722"/>
      <c r="AL11" s="722"/>
      <c r="AM11" s="722"/>
      <c r="AN11" s="722"/>
    </row>
    <row r="12" spans="1:41">
      <c r="A12" s="725" t="s">
        <v>275</v>
      </c>
      <c r="B12" s="725"/>
      <c r="C12" s="725"/>
      <c r="D12" s="725"/>
      <c r="E12" s="725"/>
      <c r="F12" s="725"/>
      <c r="G12" s="725"/>
      <c r="H12" s="725"/>
      <c r="I12" s="725"/>
      <c r="J12" s="725"/>
      <c r="K12" s="725"/>
      <c r="L12" s="725"/>
      <c r="M12" s="725"/>
      <c r="N12" s="725"/>
      <c r="O12" s="725"/>
      <c r="P12" s="725"/>
      <c r="Q12" s="725"/>
      <c r="R12" s="725"/>
      <c r="S12" s="725"/>
      <c r="T12" s="725"/>
      <c r="U12" s="725"/>
      <c r="V12" s="725"/>
      <c r="W12" s="725"/>
      <c r="X12" s="725"/>
      <c r="Y12" s="725"/>
      <c r="Z12" s="725"/>
      <c r="AA12" s="725"/>
      <c r="AB12" s="725"/>
      <c r="AC12" s="725"/>
      <c r="AD12" s="725"/>
      <c r="AE12" s="725"/>
      <c r="AF12" s="725"/>
      <c r="AG12" s="725"/>
      <c r="AH12" s="725"/>
      <c r="AI12" s="725"/>
      <c r="AJ12" s="725"/>
      <c r="AK12" s="725"/>
      <c r="AL12" s="725"/>
      <c r="AM12" s="725"/>
      <c r="AN12" s="725"/>
    </row>
    <row r="13" spans="1:41">
      <c r="A13" s="725"/>
      <c r="B13" s="725"/>
      <c r="C13" s="725"/>
      <c r="D13" s="725"/>
      <c r="E13" s="725"/>
      <c r="F13" s="725"/>
      <c r="G13" s="725"/>
      <c r="H13" s="725"/>
      <c r="I13" s="725"/>
      <c r="J13" s="725"/>
      <c r="K13" s="725"/>
      <c r="L13" s="725"/>
      <c r="M13" s="725"/>
      <c r="N13" s="725"/>
      <c r="O13" s="725"/>
      <c r="P13" s="725"/>
      <c r="Q13" s="725"/>
      <c r="R13" s="725"/>
      <c r="S13" s="725"/>
      <c r="T13" s="725"/>
      <c r="U13" s="725"/>
      <c r="V13" s="725"/>
      <c r="W13" s="725"/>
      <c r="X13" s="725"/>
      <c r="Y13" s="725"/>
      <c r="Z13" s="725"/>
      <c r="AA13" s="725"/>
      <c r="AB13" s="725"/>
      <c r="AC13" s="725"/>
      <c r="AD13" s="725"/>
      <c r="AE13" s="725"/>
      <c r="AF13" s="725"/>
      <c r="AG13" s="725"/>
      <c r="AH13" s="725"/>
      <c r="AI13" s="725"/>
      <c r="AJ13" s="725"/>
      <c r="AK13" s="725"/>
      <c r="AL13" s="725"/>
      <c r="AM13" s="725"/>
      <c r="AN13" s="725"/>
    </row>
    <row r="14" spans="1:41" ht="12.75" customHeight="1">
      <c r="A14" s="725"/>
      <c r="B14" s="725"/>
      <c r="C14" s="725"/>
      <c r="D14" s="725"/>
      <c r="E14" s="725"/>
      <c r="F14" s="725"/>
      <c r="G14" s="725"/>
      <c r="H14" s="725"/>
      <c r="I14" s="725"/>
      <c r="J14" s="725"/>
      <c r="K14" s="725"/>
      <c r="L14" s="725"/>
      <c r="M14" s="725"/>
      <c r="N14" s="725"/>
      <c r="O14" s="725"/>
      <c r="P14" s="725"/>
      <c r="Q14" s="725"/>
      <c r="R14" s="725"/>
      <c r="S14" s="725"/>
      <c r="T14" s="725"/>
      <c r="U14" s="725"/>
      <c r="V14" s="725"/>
      <c r="W14" s="725"/>
      <c r="X14" s="725"/>
      <c r="Y14" s="725"/>
      <c r="Z14" s="725"/>
      <c r="AA14" s="725"/>
      <c r="AB14" s="725"/>
      <c r="AC14" s="725"/>
      <c r="AD14" s="725"/>
      <c r="AE14" s="725"/>
      <c r="AF14" s="725"/>
      <c r="AG14" s="725"/>
      <c r="AH14" s="725"/>
      <c r="AI14" s="725"/>
      <c r="AJ14" s="725"/>
      <c r="AK14" s="725"/>
      <c r="AL14" s="725"/>
      <c r="AM14" s="725"/>
      <c r="AN14" s="725"/>
    </row>
    <row r="15" spans="1:41" ht="16.5">
      <c r="B15" s="433"/>
      <c r="C15" s="433"/>
      <c r="D15" s="433"/>
      <c r="E15" s="433"/>
      <c r="F15" s="433"/>
      <c r="G15" s="433"/>
      <c r="H15" s="433"/>
      <c r="I15" s="433"/>
      <c r="J15" s="433"/>
      <c r="K15" s="433"/>
      <c r="L15" s="433"/>
      <c r="M15" s="433"/>
      <c r="N15" s="433"/>
      <c r="O15" s="433"/>
      <c r="P15" s="433"/>
      <c r="Q15" s="433"/>
      <c r="R15" s="433"/>
      <c r="S15" s="433"/>
      <c r="T15" s="433"/>
      <c r="U15" s="433"/>
      <c r="V15" s="433"/>
      <c r="W15" s="433"/>
      <c r="X15" s="433"/>
      <c r="Y15" s="433"/>
      <c r="Z15" s="433"/>
      <c r="AA15" s="433"/>
      <c r="AB15" s="433"/>
      <c r="AC15" s="433"/>
      <c r="AD15" s="433"/>
      <c r="AE15" s="433"/>
      <c r="AF15" s="433"/>
      <c r="AG15" s="433"/>
      <c r="AH15" s="433"/>
      <c r="AI15" s="433"/>
      <c r="AJ15" s="433"/>
      <c r="AK15" s="433"/>
      <c r="AL15" s="433"/>
      <c r="AM15" s="433"/>
      <c r="AN15" s="433"/>
      <c r="AO15" s="433"/>
    </row>
    <row r="17" spans="1:38" ht="21">
      <c r="A17" s="432" t="s">
        <v>276</v>
      </c>
      <c r="B17" s="432" t="s">
        <v>277</v>
      </c>
      <c r="C17" s="432"/>
      <c r="D17" s="432"/>
      <c r="E17" s="432"/>
      <c r="F17" s="432"/>
      <c r="G17" s="432"/>
      <c r="H17" s="432"/>
      <c r="I17" s="432"/>
      <c r="J17" s="432"/>
      <c r="K17" s="432"/>
      <c r="L17" s="432"/>
      <c r="M17" s="432"/>
      <c r="N17" s="432"/>
      <c r="O17" s="432"/>
      <c r="P17" s="432"/>
      <c r="Q17" s="432"/>
      <c r="R17" s="432"/>
      <c r="S17" s="432"/>
      <c r="T17" s="432"/>
      <c r="U17" s="432"/>
      <c r="V17" s="432"/>
      <c r="W17" s="432"/>
      <c r="X17" s="432"/>
      <c r="Y17" s="432"/>
      <c r="Z17" s="432"/>
      <c r="AA17" s="432"/>
      <c r="AB17" s="432"/>
      <c r="AC17" s="432"/>
      <c r="AD17" s="432"/>
      <c r="AE17" s="432"/>
      <c r="AF17" s="432"/>
      <c r="AG17" s="432"/>
      <c r="AH17" s="432"/>
      <c r="AI17" s="432"/>
      <c r="AJ17" s="432"/>
      <c r="AK17" s="432"/>
      <c r="AL17" s="432"/>
    </row>
    <row r="18" spans="1:38" ht="22.5">
      <c r="A18" s="434" t="s">
        <v>278</v>
      </c>
      <c r="B18" s="435"/>
      <c r="C18" s="435"/>
      <c r="D18" s="436"/>
      <c r="E18" s="436"/>
      <c r="F18" s="723"/>
      <c r="G18" s="723"/>
      <c r="H18" s="723"/>
      <c r="I18" s="723"/>
      <c r="J18" s="723"/>
      <c r="K18" s="723"/>
      <c r="L18" s="723"/>
      <c r="M18" s="723"/>
      <c r="N18" s="723"/>
      <c r="O18" s="723"/>
      <c r="P18" s="723"/>
      <c r="Q18" s="434" t="s">
        <v>279</v>
      </c>
      <c r="R18" s="435"/>
      <c r="S18" s="435"/>
      <c r="T18" s="724" t="s">
        <v>280</v>
      </c>
      <c r="U18" s="724"/>
      <c r="V18" s="724"/>
      <c r="W18" s="724"/>
      <c r="X18" s="724"/>
      <c r="Y18" s="724"/>
      <c r="Z18" s="724"/>
      <c r="AA18" s="724"/>
      <c r="AB18" s="724"/>
      <c r="AC18" s="724"/>
      <c r="AD18" s="724"/>
      <c r="AE18" s="435"/>
      <c r="AF18" s="434" t="s">
        <v>281</v>
      </c>
      <c r="AG18" s="723" t="s">
        <v>282</v>
      </c>
      <c r="AH18" s="723"/>
      <c r="AI18" s="723"/>
      <c r="AJ18" s="723"/>
      <c r="AK18" s="723"/>
      <c r="AL18" s="435"/>
    </row>
    <row r="19" spans="1:38" ht="21">
      <c r="A19" s="751"/>
      <c r="B19" s="727" t="s">
        <v>283</v>
      </c>
      <c r="C19" s="728"/>
      <c r="D19" s="728"/>
      <c r="E19" s="728"/>
      <c r="F19" s="728"/>
      <c r="G19" s="728"/>
      <c r="H19" s="728"/>
      <c r="I19" s="728"/>
      <c r="J19" s="728"/>
      <c r="K19" s="728"/>
      <c r="L19" s="728"/>
      <c r="M19" s="728"/>
      <c r="N19" s="728"/>
      <c r="O19" s="728"/>
      <c r="P19" s="729"/>
      <c r="Q19" s="756"/>
      <c r="R19" s="730" t="s">
        <v>284</v>
      </c>
      <c r="S19" s="731"/>
      <c r="T19" s="731"/>
      <c r="U19" s="731"/>
      <c r="V19" s="731"/>
      <c r="W19" s="731"/>
      <c r="X19" s="731"/>
      <c r="Y19" s="731"/>
      <c r="Z19" s="731"/>
      <c r="AA19" s="731"/>
      <c r="AB19" s="731"/>
      <c r="AC19" s="731"/>
      <c r="AD19" s="731"/>
      <c r="AE19" s="732"/>
      <c r="AF19" s="515"/>
      <c r="AG19" s="733" t="s">
        <v>285</v>
      </c>
      <c r="AH19" s="734"/>
      <c r="AI19" s="734"/>
      <c r="AJ19" s="734"/>
      <c r="AK19" s="735"/>
      <c r="AL19" s="435"/>
    </row>
    <row r="20" spans="1:38" ht="21">
      <c r="A20" s="752"/>
      <c r="B20" s="437"/>
      <c r="C20" s="736" t="s">
        <v>286</v>
      </c>
      <c r="D20" s="737"/>
      <c r="E20" s="737"/>
      <c r="F20" s="738"/>
      <c r="G20" s="739" t="s">
        <v>162</v>
      </c>
      <c r="H20" s="740"/>
      <c r="I20" s="739" t="s">
        <v>287</v>
      </c>
      <c r="J20" s="740"/>
      <c r="K20" s="736" t="s">
        <v>288</v>
      </c>
      <c r="L20" s="737"/>
      <c r="M20" s="737"/>
      <c r="N20" s="737"/>
      <c r="O20" s="737"/>
      <c r="P20" s="738"/>
      <c r="Q20" s="757"/>
      <c r="R20" s="492"/>
      <c r="S20" s="493"/>
      <c r="T20" s="493"/>
      <c r="U20" s="493"/>
      <c r="V20" s="493"/>
      <c r="W20" s="493"/>
      <c r="X20" s="493"/>
      <c r="Y20" s="493"/>
      <c r="Z20" s="493"/>
      <c r="AA20" s="493"/>
      <c r="AB20" s="493"/>
      <c r="AC20" s="514"/>
      <c r="AD20" s="493"/>
      <c r="AE20" s="514"/>
      <c r="AF20" s="516"/>
      <c r="AG20" s="492"/>
      <c r="AH20" s="493"/>
      <c r="AI20" s="493"/>
      <c r="AJ20" s="514"/>
      <c r="AK20" s="514"/>
      <c r="AL20" s="435"/>
    </row>
    <row r="21" spans="1:38" ht="20.25">
      <c r="A21" s="753"/>
      <c r="B21" s="437" t="s">
        <v>289</v>
      </c>
      <c r="C21" s="736" t="s">
        <v>290</v>
      </c>
      <c r="D21" s="738"/>
      <c r="E21" s="743" t="s">
        <v>291</v>
      </c>
      <c r="F21" s="744"/>
      <c r="G21" s="739" t="s">
        <v>292</v>
      </c>
      <c r="H21" s="740"/>
      <c r="I21" s="739"/>
      <c r="J21" s="740"/>
      <c r="K21" s="474" t="s">
        <v>293</v>
      </c>
      <c r="L21" s="475"/>
      <c r="M21" s="474"/>
      <c r="N21" s="475"/>
      <c r="O21" s="474"/>
      <c r="P21" s="475"/>
      <c r="Q21" s="758"/>
      <c r="R21" s="761" t="s">
        <v>294</v>
      </c>
      <c r="S21" s="763" t="s">
        <v>295</v>
      </c>
      <c r="T21" s="745" t="s">
        <v>296</v>
      </c>
      <c r="U21" s="746"/>
      <c r="V21" s="745" t="s">
        <v>297</v>
      </c>
      <c r="W21" s="746"/>
      <c r="X21" s="741" t="s">
        <v>298</v>
      </c>
      <c r="Y21" s="742"/>
      <c r="Z21" s="741" t="s">
        <v>287</v>
      </c>
      <c r="AA21" s="742"/>
      <c r="AB21" s="741" t="s">
        <v>299</v>
      </c>
      <c r="AC21" s="742"/>
      <c r="AD21" s="741" t="s">
        <v>300</v>
      </c>
      <c r="AE21" s="742"/>
      <c r="AF21" s="517"/>
      <c r="AG21" s="521" t="s">
        <v>286</v>
      </c>
      <c r="AH21" s="521" t="s">
        <v>162</v>
      </c>
      <c r="AI21" s="521" t="s">
        <v>287</v>
      </c>
      <c r="AJ21" s="521" t="s">
        <v>301</v>
      </c>
      <c r="AK21" s="521" t="s">
        <v>288</v>
      </c>
      <c r="AL21" s="435"/>
    </row>
    <row r="22" spans="1:38" ht="20.25">
      <c r="A22" s="753"/>
      <c r="B22" s="438" t="s">
        <v>302</v>
      </c>
      <c r="C22" s="439">
        <v>0.215164032619341</v>
      </c>
      <c r="D22" s="440">
        <v>7.20294589126768E-2</v>
      </c>
      <c r="E22" s="441"/>
      <c r="F22" s="442"/>
      <c r="G22" s="439">
        <v>0.55000000000000004</v>
      </c>
      <c r="H22" s="440">
        <v>0.31435413836112802</v>
      </c>
      <c r="I22" s="476"/>
      <c r="J22" s="477"/>
      <c r="K22" s="441"/>
      <c r="L22" s="442"/>
      <c r="M22" s="476"/>
      <c r="N22" s="476"/>
      <c r="O22" s="476"/>
      <c r="P22" s="476"/>
      <c r="Q22" s="758"/>
      <c r="R22" s="762"/>
      <c r="S22" s="764"/>
      <c r="T22" s="494" t="s">
        <v>303</v>
      </c>
      <c r="U22" s="495" t="s">
        <v>304</v>
      </c>
      <c r="V22" s="496"/>
      <c r="W22" s="496"/>
      <c r="X22" s="494" t="s">
        <v>303</v>
      </c>
      <c r="Y22" s="495" t="s">
        <v>304</v>
      </c>
      <c r="Z22" s="494" t="s">
        <v>303</v>
      </c>
      <c r="AA22" s="495" t="s">
        <v>304</v>
      </c>
      <c r="AB22" s="494" t="s">
        <v>303</v>
      </c>
      <c r="AC22" s="495" t="s">
        <v>304</v>
      </c>
      <c r="AD22" s="494" t="s">
        <v>303</v>
      </c>
      <c r="AE22" s="495" t="s">
        <v>304</v>
      </c>
      <c r="AF22" s="517"/>
      <c r="AG22" s="522">
        <f>SUM(T24:U28)-SUM(V24:W28)</f>
        <v>0.41679738143782202</v>
      </c>
      <c r="AH22" s="522">
        <f>0.618-0.139*(X24+Y24)-0.0817*(X26+Y26)-0.107*(X27+Y27)</f>
        <v>0.41155427936580596</v>
      </c>
      <c r="AI22" s="523">
        <f>0.00223+0.282*(Z26+AA26)+0.0599*(Z27+AA27)</f>
        <v>2.3622997290923865E-2</v>
      </c>
      <c r="AJ22" s="524">
        <f>-0.921+1.31*(AB26+AC26)+0.0513*(AB27+AC27)+0.446*(AD27+AE27)</f>
        <v>1.1707999999999998</v>
      </c>
      <c r="AK22" s="523">
        <f>(AD28+AE28)/(AB28+AC28+AJ22)</f>
        <v>1.6622110176886955E-2</v>
      </c>
      <c r="AL22" s="435"/>
    </row>
    <row r="23" spans="1:38" ht="20.25">
      <c r="A23" s="753"/>
      <c r="B23" s="438" t="s">
        <v>305</v>
      </c>
      <c r="C23" s="443">
        <v>0.18801776963787001</v>
      </c>
      <c r="D23" s="444">
        <v>0.106406043343458</v>
      </c>
      <c r="E23" s="445"/>
      <c r="F23" s="444"/>
      <c r="G23" s="443">
        <v>0.41249999999999998</v>
      </c>
      <c r="H23" s="444">
        <v>0.19979498634465701</v>
      </c>
      <c r="I23" s="478"/>
      <c r="J23" s="479"/>
      <c r="K23" s="480"/>
      <c r="L23" s="481"/>
      <c r="M23" s="476"/>
      <c r="N23" s="476"/>
      <c r="O23" s="476"/>
      <c r="P23" s="476"/>
      <c r="Q23" s="758"/>
      <c r="R23" s="497"/>
      <c r="S23" s="498"/>
      <c r="T23" s="499"/>
      <c r="U23" s="500"/>
      <c r="V23" s="501"/>
      <c r="W23" s="501"/>
      <c r="X23" s="499"/>
      <c r="Y23" s="500"/>
      <c r="Z23" s="499"/>
      <c r="AA23" s="518"/>
      <c r="AB23" s="519"/>
      <c r="AC23" s="500"/>
      <c r="AD23" s="519"/>
      <c r="AE23" s="500"/>
      <c r="AF23" s="517"/>
      <c r="AG23" s="525"/>
      <c r="AH23" s="525"/>
      <c r="AI23" s="526"/>
      <c r="AJ23" s="526"/>
      <c r="AK23" s="526"/>
      <c r="AL23" s="527"/>
    </row>
    <row r="24" spans="1:38" ht="20.25">
      <c r="A24" s="753"/>
      <c r="B24" s="446"/>
      <c r="C24" s="447"/>
      <c r="D24" s="447"/>
      <c r="E24" s="448"/>
      <c r="F24" s="448"/>
      <c r="G24" s="436"/>
      <c r="H24" s="436"/>
      <c r="I24" s="447"/>
      <c r="J24" s="482"/>
      <c r="K24" s="483"/>
      <c r="L24" s="484"/>
      <c r="M24" s="483"/>
      <c r="N24" s="484"/>
      <c r="O24" s="483"/>
      <c r="P24" s="484"/>
      <c r="Q24" s="758"/>
      <c r="R24" s="502" t="s">
        <v>306</v>
      </c>
      <c r="S24" s="503">
        <v>2</v>
      </c>
      <c r="T24" s="504">
        <f>IF(U24=0,INDEX(C22:C23,$S$24),0)</f>
        <v>0.18801776963787001</v>
      </c>
      <c r="U24" s="505">
        <v>0</v>
      </c>
      <c r="V24" s="504" t="s">
        <v>156</v>
      </c>
      <c r="W24" s="505" t="s">
        <v>156</v>
      </c>
      <c r="X24" s="504">
        <f>IF(Y24=0,INDEX(G22:G23,$S$24),0)</f>
        <v>0.41249999999999998</v>
      </c>
      <c r="Y24" s="505">
        <v>0</v>
      </c>
      <c r="Z24" s="504" t="s">
        <v>156</v>
      </c>
      <c r="AA24" s="505" t="s">
        <v>156</v>
      </c>
      <c r="AB24" s="504" t="s">
        <v>156</v>
      </c>
      <c r="AC24" s="505" t="s">
        <v>156</v>
      </c>
      <c r="AD24" s="504" t="s">
        <v>156</v>
      </c>
      <c r="AE24" s="505" t="s">
        <v>156</v>
      </c>
      <c r="AF24" s="517"/>
      <c r="AG24" s="435"/>
      <c r="AH24" s="435"/>
      <c r="AI24" s="435"/>
      <c r="AJ24" s="528"/>
      <c r="AK24" s="528"/>
      <c r="AL24" s="435"/>
    </row>
    <row r="25" spans="1:38" ht="20.25">
      <c r="A25" s="753"/>
      <c r="B25" s="449" t="s">
        <v>307</v>
      </c>
      <c r="C25" s="739" t="s">
        <v>290</v>
      </c>
      <c r="D25" s="740"/>
      <c r="E25" s="750" t="s">
        <v>308</v>
      </c>
      <c r="F25" s="749"/>
      <c r="G25" s="747" t="s">
        <v>292</v>
      </c>
      <c r="H25" s="740"/>
      <c r="I25" s="747"/>
      <c r="J25" s="740"/>
      <c r="K25" s="748" t="s">
        <v>198</v>
      </c>
      <c r="L25" s="749"/>
      <c r="M25" s="748"/>
      <c r="N25" s="749"/>
      <c r="O25" s="748"/>
      <c r="P25" s="749"/>
      <c r="Q25" s="758"/>
      <c r="R25" s="506" t="s">
        <v>309</v>
      </c>
      <c r="S25" s="507">
        <v>3</v>
      </c>
      <c r="T25" s="508">
        <f>IF(U25=0,INDEX(C26:C28,$S$25),0)</f>
        <v>7.2628867067143596E-2</v>
      </c>
      <c r="U25" s="509">
        <v>0</v>
      </c>
      <c r="V25" s="508">
        <f>IF(W25=0,INDEX(E26:E28,S25),0)</f>
        <v>3.1376500000000002E-2</v>
      </c>
      <c r="W25" s="509">
        <v>0</v>
      </c>
      <c r="X25" s="508" t="s">
        <v>156</v>
      </c>
      <c r="Y25" s="509" t="s">
        <v>156</v>
      </c>
      <c r="Z25" s="508" t="s">
        <v>156</v>
      </c>
      <c r="AA25" s="509" t="s">
        <v>156</v>
      </c>
      <c r="AB25" s="508" t="s">
        <v>156</v>
      </c>
      <c r="AC25" s="509" t="s">
        <v>156</v>
      </c>
      <c r="AD25" s="508" t="s">
        <v>156</v>
      </c>
      <c r="AE25" s="509" t="s">
        <v>156</v>
      </c>
      <c r="AF25" s="517"/>
      <c r="AG25" s="435"/>
      <c r="AH25" s="435"/>
      <c r="AI25" s="435"/>
      <c r="AJ25" s="435"/>
      <c r="AK25" s="435"/>
      <c r="AL25" s="435"/>
    </row>
    <row r="26" spans="1:38" ht="20.25">
      <c r="A26" s="753"/>
      <c r="B26" s="438" t="s">
        <v>310</v>
      </c>
      <c r="C26" s="439">
        <v>0.124400925007961</v>
      </c>
      <c r="D26" s="440">
        <v>8.9607637085624706E-2</v>
      </c>
      <c r="E26" s="450">
        <v>3.1376500000000002E-2</v>
      </c>
      <c r="F26" s="440">
        <v>1.4461399999999999E-2</v>
      </c>
      <c r="G26" s="439">
        <v>0.34710524803163401</v>
      </c>
      <c r="H26" s="440">
        <v>0.11520445569136099</v>
      </c>
      <c r="I26" s="476"/>
      <c r="J26" s="477"/>
      <c r="K26" s="454"/>
      <c r="L26" s="440"/>
      <c r="M26" s="476"/>
      <c r="N26" s="476"/>
      <c r="O26" s="476"/>
      <c r="P26" s="476"/>
      <c r="Q26" s="758"/>
      <c r="R26" s="506" t="s">
        <v>311</v>
      </c>
      <c r="S26" s="507">
        <v>2</v>
      </c>
      <c r="T26" s="508">
        <f>IF(U26=0,INDEX(C32:C33,$S$26),0)</f>
        <v>0.22950131882296601</v>
      </c>
      <c r="U26" s="509">
        <v>0</v>
      </c>
      <c r="V26" s="508">
        <f>IF(W26=0,INDEX(E32:E33,S26),0)</f>
        <v>0.10050000000000001</v>
      </c>
      <c r="W26" s="509">
        <v>0</v>
      </c>
      <c r="X26" s="508">
        <f t="shared" ref="X26:AB26" si="0">IF(Y26=0,INDEX(G32:G33,$S$26),0)</f>
        <v>0.82499999999999996</v>
      </c>
      <c r="Y26" s="509">
        <v>0</v>
      </c>
      <c r="Z26" s="508">
        <f t="shared" si="0"/>
        <v>7.9407691861078905E-2</v>
      </c>
      <c r="AA26" s="509">
        <v>0</v>
      </c>
      <c r="AB26" s="508">
        <f t="shared" si="0"/>
        <v>0</v>
      </c>
      <c r="AC26" s="509">
        <v>0</v>
      </c>
      <c r="AD26" s="508" t="s">
        <v>156</v>
      </c>
      <c r="AE26" s="509" t="s">
        <v>156</v>
      </c>
      <c r="AF26" s="517"/>
      <c r="AG26" s="435"/>
      <c r="AH26" s="435"/>
      <c r="AI26" s="435"/>
      <c r="AJ26" s="435"/>
      <c r="AK26" s="435"/>
      <c r="AL26" s="435"/>
    </row>
    <row r="27" spans="1:38" ht="20.25">
      <c r="A27" s="754"/>
      <c r="B27" s="438" t="s">
        <v>312</v>
      </c>
      <c r="C27" s="439">
        <v>9.2985351752694304E-2</v>
      </c>
      <c r="D27" s="440">
        <v>5.6648173350115003E-2</v>
      </c>
      <c r="E27" s="450">
        <v>3.1376500000000002E-2</v>
      </c>
      <c r="F27" s="440">
        <v>1.4461399999999999E-2</v>
      </c>
      <c r="G27" s="439">
        <v>0.31146357242357398</v>
      </c>
      <c r="H27" s="440">
        <v>0.108093159471188</v>
      </c>
      <c r="I27" s="478"/>
      <c r="J27" s="479"/>
      <c r="K27" s="485"/>
      <c r="L27" s="456"/>
      <c r="M27" s="476"/>
      <c r="N27" s="476"/>
      <c r="O27" s="476"/>
      <c r="P27" s="476"/>
      <c r="Q27" s="758"/>
      <c r="R27" s="506" t="s">
        <v>313</v>
      </c>
      <c r="S27" s="507">
        <v>2</v>
      </c>
      <c r="T27" s="508">
        <f>IF(U27=0,INDEX(C36:C37,$S$27),0)</f>
        <v>0.14047508817996299</v>
      </c>
      <c r="U27" s="509">
        <v>0</v>
      </c>
      <c r="V27" s="508">
        <f>IF(W27=0,INDEX(E36:E37,S27),0)</f>
        <v>0.1128</v>
      </c>
      <c r="W27" s="509">
        <v>0</v>
      </c>
      <c r="X27" s="508">
        <f t="shared" ref="X27:AB27" si="1">IF(Y27=0,INDEX(G36:G37,$S$27),0)</f>
        <v>0.76360486574013098</v>
      </c>
      <c r="Y27" s="509">
        <v>0</v>
      </c>
      <c r="Z27" s="508">
        <f t="shared" si="1"/>
        <v>-1.6694020265448799E-2</v>
      </c>
      <c r="AA27" s="509">
        <v>0</v>
      </c>
      <c r="AB27" s="508">
        <f t="shared" si="1"/>
        <v>6</v>
      </c>
      <c r="AC27" s="509">
        <v>0</v>
      </c>
      <c r="AD27" s="508">
        <f>IF(AE27=0,INDEX(M36:M37,$S$27),0)</f>
        <v>4</v>
      </c>
      <c r="AE27" s="509">
        <v>0</v>
      </c>
      <c r="AF27" s="517"/>
      <c r="AG27" s="435"/>
      <c r="AH27" s="435"/>
      <c r="AI27" s="435"/>
      <c r="AJ27" s="435"/>
      <c r="AK27" s="435"/>
      <c r="AL27" s="435"/>
    </row>
    <row r="28" spans="1:38" ht="20.25">
      <c r="A28" s="754"/>
      <c r="B28" s="438" t="s">
        <v>314</v>
      </c>
      <c r="C28" s="443">
        <v>7.2628867067143596E-2</v>
      </c>
      <c r="D28" s="444">
        <v>5.2815204475481999E-2</v>
      </c>
      <c r="E28" s="443">
        <v>3.1376500000000002E-2</v>
      </c>
      <c r="F28" s="444">
        <v>1.4461399999999999E-2</v>
      </c>
      <c r="G28" s="443">
        <v>0.23172338290743699</v>
      </c>
      <c r="H28" s="444">
        <v>8.2337523183394795E-2</v>
      </c>
      <c r="I28" s="486"/>
      <c r="J28" s="487"/>
      <c r="K28" s="445"/>
      <c r="L28" s="444"/>
      <c r="M28" s="476"/>
      <c r="N28" s="476"/>
      <c r="O28" s="476"/>
      <c r="P28" s="476"/>
      <c r="Q28" s="758"/>
      <c r="R28" s="506" t="s">
        <v>315</v>
      </c>
      <c r="S28" s="507">
        <v>1</v>
      </c>
      <c r="T28" s="510">
        <f>IF(U28=0,INDEX(C40:C41,$S$28),0)</f>
        <v>4.8035498618301697E-2</v>
      </c>
      <c r="U28" s="511">
        <v>0</v>
      </c>
      <c r="V28" s="510">
        <f>IF(W28=0,INDEX(E40:E41,S28),0)</f>
        <v>1.7184660888422298E-2</v>
      </c>
      <c r="W28" s="511">
        <v>0</v>
      </c>
      <c r="X28" s="510" t="s">
        <v>156</v>
      </c>
      <c r="Y28" s="511" t="s">
        <v>156</v>
      </c>
      <c r="Z28" s="510">
        <f t="shared" ref="Z28:AD28" si="2">IF(AA28=0,INDEX(I40:I41,$S$28),0)</f>
        <v>0.47253176930596302</v>
      </c>
      <c r="AA28" s="511">
        <v>0</v>
      </c>
      <c r="AB28" s="510">
        <f t="shared" si="2"/>
        <v>3.2416666666666698E-2</v>
      </c>
      <c r="AC28" s="511">
        <v>0</v>
      </c>
      <c r="AD28" s="510">
        <f t="shared" si="2"/>
        <v>0.02</v>
      </c>
      <c r="AE28" s="511">
        <v>0</v>
      </c>
      <c r="AF28" s="517"/>
      <c r="AG28" s="435"/>
      <c r="AH28" s="435"/>
      <c r="AI28" s="435"/>
      <c r="AJ28" s="435"/>
      <c r="AK28" s="435"/>
      <c r="AL28" s="435"/>
    </row>
    <row r="29" spans="1:38" ht="20.25">
      <c r="A29" s="755"/>
      <c r="B29" s="451"/>
      <c r="C29" s="452"/>
      <c r="D29" s="452"/>
      <c r="E29" s="448"/>
      <c r="F29" s="448"/>
      <c r="G29" s="436"/>
      <c r="H29" s="436"/>
      <c r="I29" s="452"/>
      <c r="J29" s="488"/>
      <c r="K29" s="452"/>
      <c r="L29" s="488"/>
      <c r="M29" s="452"/>
      <c r="N29" s="488"/>
      <c r="O29" s="452"/>
      <c r="P29" s="488"/>
      <c r="Q29" s="759"/>
      <c r="AF29" s="520"/>
      <c r="AG29" s="435"/>
      <c r="AH29" s="435"/>
      <c r="AI29" s="435"/>
      <c r="AJ29" s="435"/>
      <c r="AK29" s="435"/>
      <c r="AL29" s="435"/>
    </row>
    <row r="30" spans="1:38" ht="18">
      <c r="A30" s="435"/>
      <c r="B30" s="449" t="s">
        <v>316</v>
      </c>
      <c r="C30" s="739" t="s">
        <v>290</v>
      </c>
      <c r="D30" s="740"/>
      <c r="E30" s="750" t="s">
        <v>308</v>
      </c>
      <c r="F30" s="749"/>
      <c r="G30" s="747" t="s">
        <v>292</v>
      </c>
      <c r="H30" s="740"/>
      <c r="I30" s="747" t="s">
        <v>317</v>
      </c>
      <c r="J30" s="740"/>
      <c r="K30" s="747" t="s">
        <v>318</v>
      </c>
      <c r="L30" s="740"/>
      <c r="M30" s="747"/>
      <c r="N30" s="740"/>
      <c r="O30" s="747"/>
      <c r="P30" s="740"/>
      <c r="Q30" s="512"/>
    </row>
    <row r="31" spans="1:38" ht="16.5">
      <c r="A31" s="435"/>
      <c r="B31" s="453" t="s">
        <v>319</v>
      </c>
      <c r="C31" s="454"/>
      <c r="D31" s="440"/>
      <c r="E31" s="439">
        <v>0.10050000000000001</v>
      </c>
      <c r="F31" s="440">
        <v>8.9316813780755705E-2</v>
      </c>
      <c r="G31" s="454"/>
      <c r="H31" s="440"/>
      <c r="I31" s="454"/>
      <c r="J31" s="440"/>
      <c r="K31" s="454"/>
      <c r="L31" s="440"/>
      <c r="M31" s="476"/>
      <c r="N31" s="476"/>
      <c r="O31" s="476"/>
      <c r="P31" s="476"/>
      <c r="Q31" s="512"/>
    </row>
    <row r="32" spans="1:38" ht="16.5">
      <c r="A32" s="435"/>
      <c r="B32" s="453" t="s">
        <v>320</v>
      </c>
      <c r="C32" s="439">
        <v>0.280379815142625</v>
      </c>
      <c r="D32" s="440">
        <v>0.121371383321589</v>
      </c>
      <c r="E32" s="455">
        <v>0.10050000000000001</v>
      </c>
      <c r="F32" s="456">
        <v>8.9316813780755705E-2</v>
      </c>
      <c r="G32" s="439">
        <v>0.96250000000000002</v>
      </c>
      <c r="H32" s="440">
        <v>0.2943417083798</v>
      </c>
      <c r="I32" s="439">
        <v>5.7174052416665601E-3</v>
      </c>
      <c r="J32" s="440">
        <v>9.1775612479415597E-2</v>
      </c>
      <c r="K32" s="455">
        <v>0.3</v>
      </c>
      <c r="L32" s="456">
        <v>0.11930091185410301</v>
      </c>
      <c r="M32" s="476"/>
      <c r="N32" s="476"/>
      <c r="O32" s="476"/>
      <c r="P32" s="476"/>
      <c r="Q32" s="760"/>
    </row>
    <row r="33" spans="1:38" ht="16.5">
      <c r="A33" s="435"/>
      <c r="B33" s="438" t="s">
        <v>321</v>
      </c>
      <c r="C33" s="443">
        <v>0.22950131882296601</v>
      </c>
      <c r="D33" s="444">
        <v>9.3920163044861393E-2</v>
      </c>
      <c r="E33" s="443">
        <v>0.10050000000000001</v>
      </c>
      <c r="F33" s="444">
        <v>8.9316813780755705E-2</v>
      </c>
      <c r="G33" s="443">
        <v>0.82499999999999996</v>
      </c>
      <c r="H33" s="444">
        <v>0.249027259786361</v>
      </c>
      <c r="I33" s="443">
        <v>7.9407691861078905E-2</v>
      </c>
      <c r="J33" s="444">
        <v>0.12546977805704801</v>
      </c>
      <c r="K33" s="445">
        <v>0</v>
      </c>
      <c r="L33" s="444">
        <v>0</v>
      </c>
      <c r="M33" s="476"/>
      <c r="N33" s="476"/>
      <c r="O33" s="476"/>
      <c r="P33" s="476"/>
      <c r="Q33" s="760"/>
    </row>
    <row r="34" spans="1:38" ht="16.5">
      <c r="A34" s="435"/>
      <c r="B34" s="457"/>
      <c r="C34" s="436"/>
      <c r="D34" s="436"/>
      <c r="E34" s="448"/>
      <c r="F34" s="448"/>
      <c r="G34" s="436"/>
      <c r="H34" s="436"/>
      <c r="I34" s="436"/>
      <c r="J34" s="436"/>
      <c r="K34" s="436"/>
      <c r="L34" s="436"/>
      <c r="M34" s="452"/>
      <c r="N34" s="488"/>
      <c r="O34" s="452"/>
      <c r="P34" s="488"/>
      <c r="Q34" s="760"/>
    </row>
    <row r="35" spans="1:38" ht="18">
      <c r="A35" s="435"/>
      <c r="B35" s="449" t="s">
        <v>322</v>
      </c>
      <c r="C35" s="739" t="s">
        <v>290</v>
      </c>
      <c r="D35" s="740"/>
      <c r="E35" s="750" t="s">
        <v>308</v>
      </c>
      <c r="F35" s="749"/>
      <c r="G35" s="747" t="s">
        <v>292</v>
      </c>
      <c r="H35" s="740"/>
      <c r="I35" s="747" t="s">
        <v>317</v>
      </c>
      <c r="J35" s="740"/>
      <c r="K35" s="747" t="s">
        <v>323</v>
      </c>
      <c r="L35" s="740"/>
      <c r="M35" s="747" t="s">
        <v>324</v>
      </c>
      <c r="N35" s="740"/>
      <c r="O35" s="747" t="s">
        <v>325</v>
      </c>
      <c r="P35" s="740"/>
      <c r="Q35" s="512"/>
    </row>
    <row r="36" spans="1:38" ht="16.5">
      <c r="A36" s="435"/>
      <c r="B36" s="458" t="s">
        <v>326</v>
      </c>
      <c r="C36" s="439">
        <v>0.233894005943521</v>
      </c>
      <c r="D36" s="440">
        <v>0.15528689019123201</v>
      </c>
      <c r="E36" s="439">
        <v>0.1128</v>
      </c>
      <c r="F36" s="440">
        <v>8.6100928028995105E-2</v>
      </c>
      <c r="G36" s="439">
        <v>0.80957050162269195</v>
      </c>
      <c r="H36" s="440">
        <v>0.23988175194838099</v>
      </c>
      <c r="I36" s="454">
        <v>0.112173544404925</v>
      </c>
      <c r="J36" s="440">
        <v>0.199416457139246</v>
      </c>
      <c r="K36" s="455">
        <v>14</v>
      </c>
      <c r="L36" s="456">
        <v>4.3822892040977202</v>
      </c>
      <c r="M36" s="439">
        <v>5</v>
      </c>
      <c r="N36" s="440">
        <v>1.2754518416838301</v>
      </c>
      <c r="O36" s="439">
        <v>1.9940662502539199</v>
      </c>
      <c r="P36" s="440">
        <v>0.97185618250309502</v>
      </c>
      <c r="Q36" s="512"/>
    </row>
    <row r="37" spans="1:38" ht="16.5">
      <c r="A37" s="435"/>
      <c r="B37" s="458" t="s">
        <v>327</v>
      </c>
      <c r="C37" s="443">
        <v>0.14047508817996299</v>
      </c>
      <c r="D37" s="444">
        <v>9.3111061584729898E-2</v>
      </c>
      <c r="E37" s="443">
        <v>0.1128</v>
      </c>
      <c r="F37" s="444">
        <v>8.6100928028995105E-2</v>
      </c>
      <c r="G37" s="443">
        <v>0.76360486574013098</v>
      </c>
      <c r="H37" s="444">
        <v>0.305400333764271</v>
      </c>
      <c r="I37" s="445">
        <v>-1.6694020265448799E-2</v>
      </c>
      <c r="J37" s="444">
        <v>0.17407238151918999</v>
      </c>
      <c r="K37" s="443">
        <v>6</v>
      </c>
      <c r="L37" s="444">
        <v>1.5980693459416899</v>
      </c>
      <c r="M37" s="443">
        <v>4</v>
      </c>
      <c r="N37" s="444">
        <v>1.2274959083469701</v>
      </c>
      <c r="O37" s="439">
        <v>0.51202559130476899</v>
      </c>
      <c r="P37" s="440">
        <v>0.31332229188808203</v>
      </c>
      <c r="Q37" s="512"/>
      <c r="R37" s="513"/>
    </row>
    <row r="38" spans="1:38" ht="16.5">
      <c r="A38" s="435"/>
      <c r="B38" s="457"/>
      <c r="C38" s="436"/>
      <c r="D38" s="436"/>
      <c r="E38" s="448"/>
      <c r="F38" s="448"/>
      <c r="G38" s="436"/>
      <c r="H38" s="436"/>
      <c r="I38" s="452"/>
      <c r="J38" s="488"/>
      <c r="K38" s="436"/>
      <c r="L38" s="436"/>
      <c r="M38" s="436"/>
      <c r="N38" s="436"/>
      <c r="O38" s="452"/>
      <c r="P38" s="488"/>
      <c r="Q38" s="512"/>
    </row>
    <row r="39" spans="1:38" ht="18">
      <c r="A39" s="435"/>
      <c r="B39" s="459" t="s">
        <v>328</v>
      </c>
      <c r="C39" s="739" t="s">
        <v>290</v>
      </c>
      <c r="D39" s="740"/>
      <c r="E39" s="739" t="s">
        <v>308</v>
      </c>
      <c r="F39" s="740"/>
      <c r="G39" s="747" t="s">
        <v>292</v>
      </c>
      <c r="H39" s="740"/>
      <c r="I39" s="747" t="s">
        <v>317</v>
      </c>
      <c r="J39" s="740"/>
      <c r="K39" s="747" t="s">
        <v>329</v>
      </c>
      <c r="L39" s="740"/>
      <c r="M39" s="747" t="s">
        <v>330</v>
      </c>
      <c r="N39" s="740"/>
      <c r="O39" s="747"/>
      <c r="P39" s="740"/>
      <c r="Q39" s="512"/>
      <c r="R39" s="512"/>
      <c r="S39" s="512"/>
      <c r="T39" s="512"/>
      <c r="U39" s="512"/>
      <c r="V39" s="512"/>
      <c r="W39" s="512"/>
      <c r="X39" s="512"/>
      <c r="Y39" s="512"/>
      <c r="Z39" s="512"/>
      <c r="AA39" s="512"/>
      <c r="AB39" s="512"/>
      <c r="AC39" s="512"/>
      <c r="AD39" s="512"/>
      <c r="AE39" s="512"/>
      <c r="AF39" s="512"/>
      <c r="AG39" s="435"/>
      <c r="AH39" s="435"/>
      <c r="AI39" s="435"/>
      <c r="AJ39" s="435"/>
      <c r="AK39" s="435"/>
      <c r="AL39" s="435"/>
    </row>
    <row r="40" spans="1:38" ht="16.5">
      <c r="A40" s="435"/>
      <c r="B40" s="458" t="s">
        <v>331</v>
      </c>
      <c r="C40" s="439">
        <v>4.8035498618301697E-2</v>
      </c>
      <c r="D40" s="440">
        <v>2.6792225482916002E-2</v>
      </c>
      <c r="E40" s="439">
        <v>1.7184660888422298E-2</v>
      </c>
      <c r="F40" s="440">
        <v>1.29849246286246E-2</v>
      </c>
      <c r="G40" s="439">
        <v>0.12916399609051399</v>
      </c>
      <c r="H40" s="440">
        <v>5.1686885846281699E-2</v>
      </c>
      <c r="I40" s="439">
        <v>0.47253176930596302</v>
      </c>
      <c r="J40" s="440">
        <v>0.5</v>
      </c>
      <c r="K40" s="439">
        <v>3.2416666666666698E-2</v>
      </c>
      <c r="L40" s="440">
        <v>1.17700316885469E-2</v>
      </c>
      <c r="M40" s="439">
        <v>0.02</v>
      </c>
      <c r="N40" s="440">
        <v>9.2246501820969894E-3</v>
      </c>
      <c r="O40" s="454"/>
      <c r="P40" s="440"/>
      <c r="Q40" s="512"/>
      <c r="AF40" s="512"/>
      <c r="AG40" s="435"/>
      <c r="AH40" s="435"/>
      <c r="AI40" s="435"/>
      <c r="AJ40" s="435"/>
      <c r="AK40" s="435"/>
      <c r="AL40" s="435"/>
    </row>
    <row r="41" spans="1:38" ht="16.5">
      <c r="A41" s="435"/>
      <c r="B41" s="458" t="s">
        <v>332</v>
      </c>
      <c r="C41" s="443">
        <v>5.2868293334134099E-2</v>
      </c>
      <c r="D41" s="444">
        <v>1.7566367197189899E-2</v>
      </c>
      <c r="E41" s="443">
        <v>1.7184660888422298E-2</v>
      </c>
      <c r="F41" s="444">
        <v>1.29849246286246E-2</v>
      </c>
      <c r="G41" s="443">
        <v>0.135380518140301</v>
      </c>
      <c r="H41" s="444">
        <v>1.3733895109257099E-2</v>
      </c>
      <c r="I41" s="443">
        <v>0.25740740740740697</v>
      </c>
      <c r="J41" s="444">
        <v>0.47835401891252999</v>
      </c>
      <c r="K41" s="443">
        <v>3.3000000000000002E-2</v>
      </c>
      <c r="L41" s="444">
        <v>1.26329787234043E-2</v>
      </c>
      <c r="M41" s="443">
        <v>0.02</v>
      </c>
      <c r="N41" s="444">
        <v>0.01</v>
      </c>
      <c r="O41" s="454"/>
      <c r="P41" s="440"/>
      <c r="Q41" s="512"/>
      <c r="AF41" s="512"/>
      <c r="AG41" s="435"/>
      <c r="AH41" s="435"/>
      <c r="AI41" s="435"/>
      <c r="AJ41" s="435"/>
      <c r="AK41" s="435"/>
      <c r="AL41" s="435"/>
    </row>
    <row r="42" spans="1:38" ht="16.5">
      <c r="A42" s="435"/>
      <c r="I42" s="436"/>
      <c r="J42" s="436"/>
      <c r="K42" s="436"/>
      <c r="L42" s="436"/>
      <c r="M42" s="436"/>
      <c r="N42" s="436"/>
      <c r="Q42" s="512"/>
      <c r="AF42" s="512"/>
      <c r="AG42" s="435"/>
      <c r="AH42" s="435"/>
      <c r="AI42" s="435"/>
      <c r="AJ42" s="435"/>
      <c r="AK42" s="435"/>
      <c r="AL42" s="435"/>
    </row>
    <row r="43" spans="1:38">
      <c r="B43" s="460"/>
      <c r="C43" s="461" t="s">
        <v>333</v>
      </c>
      <c r="D43" s="462" t="s">
        <v>334</v>
      </c>
      <c r="E43" s="463"/>
      <c r="F43" s="463"/>
      <c r="G43" s="463"/>
      <c r="H43" s="463"/>
      <c r="I43" s="463"/>
      <c r="J43" s="463"/>
      <c r="K43" s="463"/>
      <c r="L43" s="463"/>
      <c r="M43" s="463"/>
      <c r="N43" s="463"/>
      <c r="O43" s="463"/>
      <c r="P43" s="489"/>
    </row>
    <row r="44" spans="1:38">
      <c r="B44" s="464" t="s">
        <v>335</v>
      </c>
      <c r="C44" s="465" t="s">
        <v>333</v>
      </c>
      <c r="D44" s="466" t="s">
        <v>336</v>
      </c>
      <c r="E44" s="467"/>
      <c r="F44" s="467"/>
      <c r="G44" s="467"/>
      <c r="H44" s="467"/>
      <c r="I44" s="467"/>
      <c r="J44" s="467"/>
      <c r="K44" s="467"/>
      <c r="L44" s="467"/>
      <c r="M44" s="467"/>
      <c r="N44" s="467"/>
      <c r="O44" s="467"/>
      <c r="P44" s="490"/>
    </row>
    <row r="45" spans="1:38">
      <c r="B45" s="468"/>
      <c r="C45" s="469" t="s">
        <v>333</v>
      </c>
      <c r="D45" s="466" t="s">
        <v>337</v>
      </c>
      <c r="E45" s="467"/>
      <c r="F45" s="467"/>
      <c r="G45" s="467"/>
      <c r="H45" s="467"/>
      <c r="I45" s="467"/>
      <c r="J45" s="467"/>
      <c r="K45" s="467"/>
      <c r="L45" s="467"/>
      <c r="M45" s="467"/>
      <c r="N45" s="467"/>
      <c r="O45" s="467"/>
      <c r="P45" s="490"/>
    </row>
    <row r="46" spans="1:38">
      <c r="B46" s="470"/>
      <c r="C46" s="471" t="s">
        <v>333</v>
      </c>
      <c r="D46" s="472" t="s">
        <v>338</v>
      </c>
      <c r="E46" s="473"/>
      <c r="F46" s="473"/>
      <c r="G46" s="473"/>
      <c r="H46" s="473"/>
      <c r="I46" s="473"/>
      <c r="J46" s="473"/>
      <c r="K46" s="473"/>
      <c r="L46" s="473"/>
      <c r="M46" s="473"/>
      <c r="N46" s="473"/>
      <c r="O46" s="473"/>
      <c r="P46" s="491"/>
    </row>
  </sheetData>
  <mergeCells count="59">
    <mergeCell ref="A19:A29"/>
    <mergeCell ref="Q19:Q29"/>
    <mergeCell ref="Q32:Q34"/>
    <mergeCell ref="R21:R22"/>
    <mergeCell ref="S21:S22"/>
    <mergeCell ref="M25:N25"/>
    <mergeCell ref="O25:P25"/>
    <mergeCell ref="C30:D30"/>
    <mergeCell ref="E30:F30"/>
    <mergeCell ref="G30:H30"/>
    <mergeCell ref="I30:J30"/>
    <mergeCell ref="K30:L30"/>
    <mergeCell ref="M30:N30"/>
    <mergeCell ref="O30:P30"/>
    <mergeCell ref="C25:D25"/>
    <mergeCell ref="E25:F25"/>
    <mergeCell ref="M35:N35"/>
    <mergeCell ref="O35:P35"/>
    <mergeCell ref="C39:D39"/>
    <mergeCell ref="E39:F39"/>
    <mergeCell ref="G39:H39"/>
    <mergeCell ref="I39:J39"/>
    <mergeCell ref="K39:L39"/>
    <mergeCell ref="M39:N39"/>
    <mergeCell ref="O39:P39"/>
    <mergeCell ref="C35:D35"/>
    <mergeCell ref="E35:F35"/>
    <mergeCell ref="G35:H35"/>
    <mergeCell ref="I35:J35"/>
    <mergeCell ref="K35:L35"/>
    <mergeCell ref="G25:H25"/>
    <mergeCell ref="I25:J25"/>
    <mergeCell ref="K25:L25"/>
    <mergeCell ref="V21:W21"/>
    <mergeCell ref="X21:Y21"/>
    <mergeCell ref="Z21:AA21"/>
    <mergeCell ref="AB21:AC21"/>
    <mergeCell ref="AD21:AE21"/>
    <mergeCell ref="C21:D21"/>
    <mergeCell ref="E21:F21"/>
    <mergeCell ref="G21:H21"/>
    <mergeCell ref="I21:J21"/>
    <mergeCell ref="T21:U21"/>
    <mergeCell ref="B19:P19"/>
    <mergeCell ref="R19:AE19"/>
    <mergeCell ref="AG19:AK19"/>
    <mergeCell ref="C20:F20"/>
    <mergeCell ref="G20:H20"/>
    <mergeCell ref="I20:J20"/>
    <mergeCell ref="K20:P20"/>
    <mergeCell ref="A3:AO3"/>
    <mergeCell ref="A7:AN7"/>
    <mergeCell ref="A11:AN11"/>
    <mergeCell ref="F18:P18"/>
    <mergeCell ref="T18:AD18"/>
    <mergeCell ref="AG18:AK18"/>
    <mergeCell ref="A12:AN14"/>
    <mergeCell ref="A4:AO6"/>
    <mergeCell ref="A8:AN10"/>
  </mergeCells>
  <phoneticPr fontId="156" type="noConversion"/>
  <conditionalFormatting sqref="V24">
    <cfRule type="cellIs" dxfId="42" priority="8" stopIfTrue="1" operator="equal">
      <formula>0</formula>
    </cfRule>
  </conditionalFormatting>
  <conditionalFormatting sqref="V25">
    <cfRule type="cellIs" dxfId="41" priority="7" stopIfTrue="1" operator="equal">
      <formula>0</formula>
    </cfRule>
  </conditionalFormatting>
  <conditionalFormatting sqref="V26">
    <cfRule type="cellIs" dxfId="40" priority="6" stopIfTrue="1" operator="equal">
      <formula>0</formula>
    </cfRule>
  </conditionalFormatting>
  <conditionalFormatting sqref="AB28">
    <cfRule type="cellIs" dxfId="39" priority="3" stopIfTrue="1" operator="equal">
      <formula>0</formula>
    </cfRule>
  </conditionalFormatting>
  <conditionalFormatting sqref="AD28">
    <cfRule type="cellIs" dxfId="38" priority="2" stopIfTrue="1" operator="equal">
      <formula>0</formula>
    </cfRule>
  </conditionalFormatting>
  <conditionalFormatting sqref="V27:V28">
    <cfRule type="cellIs" dxfId="37" priority="5" stopIfTrue="1" operator="equal">
      <formula>0</formula>
    </cfRule>
  </conditionalFormatting>
  <conditionalFormatting sqref="Z24:Z28">
    <cfRule type="cellIs" dxfId="36" priority="1" stopIfTrue="1" operator="equal">
      <formula>0</formula>
    </cfRule>
  </conditionalFormatting>
  <conditionalFormatting sqref="AB24:AB27">
    <cfRule type="cellIs" dxfId="35" priority="4" stopIfTrue="1" operator="equal">
      <formula>0</formula>
    </cfRule>
  </conditionalFormatting>
  <conditionalFormatting sqref="T24:T28 X24:X28 AD24:AD27">
    <cfRule type="cellIs" dxfId="34" priority="9" stopIfTrue="1" operator="equal">
      <formula>0</formula>
    </cfRule>
  </conditionalFormatting>
  <pageMargins left="0.69930555555555596" right="0.69930555555555596" top="0.75" bottom="0.75" header="0.3" footer="0.3"/>
  <pageSetup paperSize="9" orientation="portrait"/>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X14"/>
  <sheetViews>
    <sheetView workbookViewId="0">
      <selection activeCell="H11" sqref="H11"/>
    </sheetView>
  </sheetViews>
  <sheetFormatPr defaultColWidth="9" defaultRowHeight="13.5"/>
  <cols>
    <col min="2" max="2" width="9" customWidth="1"/>
    <col min="4" max="4" width="7.25" customWidth="1"/>
    <col min="5" max="5" width="7.5" customWidth="1"/>
    <col min="6" max="6" width="10.5" customWidth="1"/>
    <col min="7" max="7" width="7.375" customWidth="1"/>
    <col min="9" max="11" width="9.75" customWidth="1"/>
    <col min="12" max="16" width="5.125" customWidth="1"/>
    <col min="17" max="17" width="10.25" customWidth="1"/>
    <col min="23" max="23" width="10.625" customWidth="1"/>
    <col min="24" max="24" width="31.75" customWidth="1"/>
  </cols>
  <sheetData>
    <row r="1" spans="1:24" ht="18.75" customHeight="1">
      <c r="A1" s="765" t="s">
        <v>339</v>
      </c>
      <c r="B1" s="766"/>
      <c r="C1" s="766"/>
      <c r="D1" s="766"/>
      <c r="E1" s="766"/>
      <c r="F1" s="766"/>
      <c r="G1" s="766"/>
      <c r="H1" s="766"/>
      <c r="I1" s="766"/>
      <c r="J1" s="766"/>
      <c r="K1" s="766"/>
      <c r="L1" s="766"/>
      <c r="M1" s="766"/>
      <c r="N1" s="766"/>
      <c r="O1" s="766"/>
      <c r="P1" s="766"/>
      <c r="Q1" s="766"/>
      <c r="R1" s="766"/>
      <c r="S1" s="766"/>
      <c r="T1" s="422"/>
      <c r="U1" s="767"/>
      <c r="V1" s="767"/>
      <c r="W1" s="767"/>
      <c r="X1" s="768"/>
    </row>
    <row r="2" spans="1:24" ht="18.75" customHeight="1">
      <c r="A2" s="769" t="s">
        <v>340</v>
      </c>
      <c r="B2" s="770"/>
      <c r="C2" s="770"/>
      <c r="D2" s="770"/>
      <c r="E2" s="770"/>
      <c r="F2" s="770"/>
      <c r="G2" s="770"/>
      <c r="H2" s="770"/>
      <c r="I2" s="770"/>
      <c r="J2" s="770"/>
      <c r="K2" s="771"/>
      <c r="L2" s="772" t="s">
        <v>341</v>
      </c>
      <c r="M2" s="773"/>
      <c r="N2" s="773"/>
      <c r="O2" s="773"/>
      <c r="P2" s="773"/>
      <c r="Q2" s="773"/>
      <c r="R2" s="773"/>
      <c r="S2" s="773"/>
      <c r="T2" s="773"/>
      <c r="U2" s="773"/>
      <c r="V2" s="773"/>
      <c r="W2" s="773"/>
      <c r="X2" s="773"/>
    </row>
    <row r="3" spans="1:24" ht="24" customHeight="1">
      <c r="A3" s="416" t="s">
        <v>342</v>
      </c>
      <c r="B3" s="416" t="s">
        <v>343</v>
      </c>
      <c r="C3" s="416" t="s">
        <v>344</v>
      </c>
      <c r="D3" s="416" t="s">
        <v>345</v>
      </c>
      <c r="E3" s="416" t="s">
        <v>346</v>
      </c>
      <c r="F3" s="416" t="s">
        <v>347</v>
      </c>
      <c r="G3" s="416" t="s">
        <v>348</v>
      </c>
      <c r="H3" s="416" t="s">
        <v>162</v>
      </c>
      <c r="I3" s="416" t="s">
        <v>349</v>
      </c>
      <c r="J3" s="416" t="s">
        <v>350</v>
      </c>
      <c r="K3" s="416" t="s">
        <v>351</v>
      </c>
      <c r="L3" s="774" t="s">
        <v>352</v>
      </c>
      <c r="M3" s="775"/>
      <c r="N3" s="775"/>
      <c r="O3" s="775"/>
      <c r="P3" s="776"/>
      <c r="Q3" s="423" t="s">
        <v>353</v>
      </c>
      <c r="R3" s="423" t="s">
        <v>354</v>
      </c>
      <c r="S3" s="423" t="s">
        <v>162</v>
      </c>
      <c r="T3" s="423" t="s">
        <v>287</v>
      </c>
      <c r="U3" s="423" t="s">
        <v>272</v>
      </c>
      <c r="V3" s="423" t="s">
        <v>256</v>
      </c>
      <c r="W3" s="423" t="s">
        <v>355</v>
      </c>
      <c r="X3" s="423" t="s">
        <v>356</v>
      </c>
    </row>
    <row r="4" spans="1:24" ht="84">
      <c r="A4" s="409" t="s">
        <v>357</v>
      </c>
      <c r="B4" s="409" t="s">
        <v>358</v>
      </c>
      <c r="C4" s="409">
        <v>43.7</v>
      </c>
      <c r="D4" s="409">
        <v>476.8</v>
      </c>
      <c r="E4" s="409">
        <v>76</v>
      </c>
      <c r="F4" s="409">
        <v>7</v>
      </c>
      <c r="G4" s="421">
        <v>9.1999999999999998E-2</v>
      </c>
      <c r="H4" s="409">
        <v>0.2626</v>
      </c>
      <c r="I4" s="409">
        <v>154</v>
      </c>
      <c r="J4" s="409">
        <v>4</v>
      </c>
      <c r="K4" s="409">
        <v>8</v>
      </c>
      <c r="L4" s="411">
        <v>1</v>
      </c>
      <c r="M4" s="411">
        <v>2</v>
      </c>
      <c r="N4" s="411">
        <v>1</v>
      </c>
      <c r="O4" s="411">
        <v>1</v>
      </c>
      <c r="P4" s="411">
        <v>1</v>
      </c>
      <c r="Q4" s="424">
        <v>0.62</v>
      </c>
      <c r="R4" s="425">
        <v>0.58020000000000005</v>
      </c>
      <c r="S4" s="425">
        <v>0.35730000000000001</v>
      </c>
      <c r="T4" s="425">
        <v>1.03E-2</v>
      </c>
      <c r="U4" s="425">
        <v>1.5887</v>
      </c>
      <c r="V4" s="425">
        <v>6.3899999999999998E-2</v>
      </c>
      <c r="W4" s="425" t="s">
        <v>359</v>
      </c>
      <c r="X4" s="426" t="s">
        <v>360</v>
      </c>
    </row>
    <row r="5" spans="1:24" ht="132">
      <c r="A5" s="412" t="s">
        <v>361</v>
      </c>
      <c r="B5" s="412" t="s">
        <v>362</v>
      </c>
      <c r="C5" s="409">
        <v>43.7</v>
      </c>
      <c r="D5" s="409">
        <v>476.8</v>
      </c>
      <c r="E5" s="409">
        <v>76</v>
      </c>
      <c r="F5" s="409">
        <v>7</v>
      </c>
      <c r="G5" s="421">
        <v>9.1999999999999998E-2</v>
      </c>
      <c r="H5" s="409">
        <v>0.2626</v>
      </c>
      <c r="I5" s="409">
        <v>154</v>
      </c>
      <c r="J5" s="409">
        <v>4</v>
      </c>
      <c r="K5" s="409">
        <v>8</v>
      </c>
      <c r="L5" s="411">
        <v>1</v>
      </c>
      <c r="M5" s="411">
        <v>2</v>
      </c>
      <c r="N5" s="411">
        <v>1</v>
      </c>
      <c r="O5" s="411">
        <v>1</v>
      </c>
      <c r="P5" s="411">
        <v>1</v>
      </c>
      <c r="Q5" s="427">
        <v>0.83</v>
      </c>
      <c r="R5" s="425">
        <v>0.58020000000000005</v>
      </c>
      <c r="S5" s="425">
        <v>0.35730000000000001</v>
      </c>
      <c r="T5" s="425">
        <v>1.03E-2</v>
      </c>
      <c r="U5" s="425">
        <v>1.5887</v>
      </c>
      <c r="V5" s="425">
        <v>6.3899999999999998E-2</v>
      </c>
      <c r="W5" s="415" t="s">
        <v>363</v>
      </c>
      <c r="X5" s="428" t="s">
        <v>364</v>
      </c>
    </row>
    <row r="6" spans="1:24" ht="60">
      <c r="A6" s="409" t="s">
        <v>365</v>
      </c>
      <c r="B6" s="409" t="s">
        <v>366</v>
      </c>
      <c r="C6" s="409">
        <v>43.7</v>
      </c>
      <c r="D6" s="409">
        <v>476.8</v>
      </c>
      <c r="E6" s="409">
        <v>76</v>
      </c>
      <c r="F6" s="409">
        <v>7</v>
      </c>
      <c r="G6" s="421">
        <v>9.1999999999999998E-2</v>
      </c>
      <c r="H6" s="409">
        <v>0.2626</v>
      </c>
      <c r="I6" s="409">
        <v>154</v>
      </c>
      <c r="J6" s="409">
        <v>4</v>
      </c>
      <c r="K6" s="409">
        <v>8</v>
      </c>
      <c r="L6" s="411">
        <v>1</v>
      </c>
      <c r="M6" s="411">
        <v>2</v>
      </c>
      <c r="N6" s="411">
        <v>1</v>
      </c>
      <c r="O6" s="411">
        <v>1</v>
      </c>
      <c r="P6" s="411">
        <v>1</v>
      </c>
      <c r="Q6" s="424">
        <v>0.91</v>
      </c>
      <c r="R6" s="425">
        <v>0.58020000000000005</v>
      </c>
      <c r="S6" s="425">
        <v>0.35730000000000001</v>
      </c>
      <c r="T6" s="425">
        <v>1.03E-2</v>
      </c>
      <c r="U6" s="425">
        <v>1.5887</v>
      </c>
      <c r="V6" s="425">
        <v>6.3899999999999998E-2</v>
      </c>
      <c r="W6" s="425" t="s">
        <v>363</v>
      </c>
      <c r="X6" s="426" t="s">
        <v>367</v>
      </c>
    </row>
    <row r="7" spans="1:24">
      <c r="A7" s="412"/>
      <c r="B7" s="412"/>
      <c r="C7" s="413"/>
      <c r="D7" s="413"/>
      <c r="E7" s="413"/>
      <c r="F7" s="413"/>
      <c r="G7" s="413"/>
      <c r="H7" s="413"/>
      <c r="I7" s="413"/>
      <c r="J7" s="413"/>
      <c r="K7" s="413"/>
      <c r="L7" s="415"/>
      <c r="M7" s="415"/>
      <c r="N7" s="415"/>
      <c r="O7" s="415"/>
      <c r="P7" s="415"/>
      <c r="Q7" s="427"/>
      <c r="R7" s="415"/>
      <c r="S7" s="415"/>
      <c r="T7" s="415"/>
      <c r="U7" s="415"/>
      <c r="V7" s="415"/>
      <c r="W7" s="415"/>
      <c r="X7" s="415"/>
    </row>
    <row r="8" spans="1:24">
      <c r="A8" s="409"/>
      <c r="B8" s="409"/>
      <c r="C8" s="409"/>
      <c r="D8" s="409"/>
      <c r="E8" s="409"/>
      <c r="F8" s="409"/>
      <c r="G8" s="409"/>
      <c r="H8" s="409"/>
      <c r="I8" s="409"/>
      <c r="J8" s="409"/>
      <c r="K8" s="409"/>
      <c r="L8" s="411"/>
      <c r="M8" s="411"/>
      <c r="N8" s="411"/>
      <c r="O8" s="411"/>
      <c r="P8" s="411"/>
      <c r="Q8" s="424"/>
      <c r="R8" s="411"/>
      <c r="S8" s="411"/>
      <c r="T8" s="411"/>
      <c r="U8" s="411"/>
      <c r="V8" s="411"/>
      <c r="W8" s="425"/>
      <c r="X8" s="425"/>
    </row>
    <row r="9" spans="1:24">
      <c r="A9" s="412"/>
      <c r="B9" s="412"/>
      <c r="C9" s="413"/>
      <c r="D9" s="413"/>
      <c r="E9" s="413"/>
      <c r="F9" s="413"/>
      <c r="G9" s="413"/>
      <c r="H9" s="413"/>
      <c r="I9" s="413"/>
      <c r="J9" s="413"/>
      <c r="K9" s="413"/>
      <c r="L9" s="415"/>
      <c r="M9" s="415"/>
      <c r="N9" s="415"/>
      <c r="O9" s="415"/>
      <c r="P9" s="415"/>
      <c r="Q9" s="427"/>
      <c r="R9" s="415"/>
      <c r="S9" s="415"/>
      <c r="T9" s="415"/>
      <c r="U9" s="415"/>
      <c r="V9" s="415"/>
      <c r="W9" s="415"/>
      <c r="X9" s="415"/>
    </row>
    <row r="10" spans="1:24">
      <c r="A10" s="409"/>
      <c r="B10" s="409"/>
      <c r="C10" s="409"/>
      <c r="D10" s="409"/>
      <c r="E10" s="409"/>
      <c r="F10" s="409"/>
      <c r="G10" s="409"/>
      <c r="H10" s="409"/>
      <c r="I10" s="409"/>
      <c r="J10" s="409"/>
      <c r="K10" s="409"/>
      <c r="L10" s="411"/>
      <c r="M10" s="411"/>
      <c r="N10" s="411"/>
      <c r="O10" s="411"/>
      <c r="P10" s="411"/>
      <c r="Q10" s="424"/>
      <c r="R10" s="411"/>
      <c r="S10" s="411"/>
      <c r="T10" s="411"/>
      <c r="U10" s="411"/>
      <c r="V10" s="411"/>
      <c r="W10" s="425"/>
      <c r="X10" s="425"/>
    </row>
    <row r="11" spans="1:24">
      <c r="A11" s="412"/>
      <c r="B11" s="412"/>
      <c r="C11" s="413"/>
      <c r="D11" s="413"/>
      <c r="E11" s="413"/>
      <c r="F11" s="413"/>
      <c r="G11" s="413"/>
      <c r="H11" s="413"/>
      <c r="I11" s="413"/>
      <c r="J11" s="413"/>
      <c r="K11" s="413"/>
      <c r="L11" s="415"/>
      <c r="M11" s="415"/>
      <c r="N11" s="415"/>
      <c r="O11" s="415"/>
      <c r="P11" s="415"/>
      <c r="Q11" s="427"/>
      <c r="R11" s="415"/>
      <c r="S11" s="415"/>
      <c r="T11" s="415"/>
      <c r="U11" s="415"/>
      <c r="V11" s="415"/>
      <c r="W11" s="415"/>
      <c r="X11" s="415"/>
    </row>
    <row r="12" spans="1:24">
      <c r="A12" s="409"/>
      <c r="B12" s="409"/>
      <c r="C12" s="409"/>
      <c r="D12" s="409"/>
      <c r="E12" s="409"/>
      <c r="F12" s="409"/>
      <c r="G12" s="409"/>
      <c r="H12" s="409"/>
      <c r="I12" s="409"/>
      <c r="J12" s="409"/>
      <c r="K12" s="409"/>
      <c r="L12" s="411"/>
      <c r="M12" s="411"/>
      <c r="N12" s="411"/>
      <c r="O12" s="411"/>
      <c r="P12" s="411"/>
      <c r="Q12" s="424"/>
      <c r="R12" s="411"/>
      <c r="S12" s="411"/>
      <c r="T12" s="411"/>
      <c r="U12" s="411"/>
      <c r="V12" s="411"/>
      <c r="W12" s="425"/>
      <c r="X12" s="425"/>
    </row>
    <row r="13" spans="1:24">
      <c r="A13" s="412"/>
      <c r="B13" s="412"/>
      <c r="C13" s="413"/>
      <c r="D13" s="413"/>
      <c r="E13" s="413"/>
      <c r="F13" s="413"/>
      <c r="G13" s="413"/>
      <c r="H13" s="413"/>
      <c r="I13" s="413"/>
      <c r="J13" s="413"/>
      <c r="K13" s="413"/>
      <c r="L13" s="415"/>
      <c r="M13" s="415"/>
      <c r="N13" s="415"/>
      <c r="O13" s="415"/>
      <c r="P13" s="415"/>
      <c r="Q13" s="427"/>
      <c r="R13" s="415"/>
      <c r="S13" s="415"/>
      <c r="T13" s="415"/>
      <c r="U13" s="415"/>
      <c r="V13" s="415"/>
      <c r="W13" s="415"/>
      <c r="X13" s="415"/>
    </row>
    <row r="14" spans="1:24">
      <c r="A14" s="409"/>
      <c r="B14" s="409"/>
      <c r="C14" s="409"/>
      <c r="D14" s="409"/>
      <c r="E14" s="409"/>
      <c r="F14" s="409"/>
      <c r="G14" s="409"/>
      <c r="H14" s="409"/>
      <c r="I14" s="409"/>
      <c r="J14" s="409"/>
      <c r="K14" s="409"/>
      <c r="L14" s="411"/>
      <c r="M14" s="411"/>
      <c r="N14" s="411"/>
      <c r="O14" s="411"/>
      <c r="P14" s="411"/>
      <c r="Q14" s="424"/>
      <c r="R14" s="411"/>
      <c r="S14" s="411"/>
      <c r="T14" s="411"/>
      <c r="U14" s="411"/>
      <c r="V14" s="411"/>
      <c r="W14" s="425"/>
      <c r="X14" s="425"/>
    </row>
  </sheetData>
  <mergeCells count="5">
    <mergeCell ref="A1:S1"/>
    <mergeCell ref="U1:X1"/>
    <mergeCell ref="A2:K2"/>
    <mergeCell ref="L2:X2"/>
    <mergeCell ref="L3:P3"/>
  </mergeCells>
  <phoneticPr fontId="156" type="noConversion"/>
  <dataValidations count="2">
    <dataValidation type="list" allowBlank="1" showInputMessage="1" showErrorMessage="1" sqref="W4:W14">
      <formula1>"接受,拒绝"</formula1>
    </dataValidation>
    <dataValidation type="list" allowBlank="1" showInputMessage="1" showErrorMessage="1" sqref="B4:B14">
      <formula1>"预估算,确定性估算,变更,需求阶段里程碑结束,设计阶段里程碑,编码阶段里程碑,测试阶段里程碑"</formula1>
    </dataValidation>
  </dataValidations>
  <pageMargins left="0.69930555555555596" right="0.69930555555555596" top="0.75" bottom="0.75" header="0.3" footer="0.3"/>
  <pageSetup paperSize="9" orientation="portrait"/>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C000"/>
  </sheetPr>
  <dimension ref="A1:O20"/>
  <sheetViews>
    <sheetView workbookViewId="0">
      <selection activeCell="E27" sqref="E27"/>
    </sheetView>
  </sheetViews>
  <sheetFormatPr defaultColWidth="9" defaultRowHeight="14.25"/>
  <cols>
    <col min="1" max="1" width="10.625" style="406" customWidth="1"/>
    <col min="2" max="2" width="12.25" style="407" customWidth="1"/>
    <col min="3" max="3" width="10.5" style="407" customWidth="1"/>
    <col min="4" max="4" width="14.625" style="407" customWidth="1"/>
    <col min="5" max="5" width="14.75" style="407" customWidth="1"/>
    <col min="6" max="7" width="16.125" style="407" customWidth="1"/>
    <col min="8" max="9" width="11.5" style="407" customWidth="1"/>
    <col min="10" max="10" width="7.625" style="407" customWidth="1"/>
    <col min="11" max="11" width="10.25" style="407" customWidth="1"/>
    <col min="12" max="12" width="8.625" style="407" customWidth="1"/>
    <col min="13" max="13" width="9" style="407"/>
    <col min="14" max="14" width="1.875" style="407" customWidth="1"/>
    <col min="15" max="15" width="76.875" style="407" customWidth="1"/>
    <col min="16" max="16384" width="9" style="407"/>
  </cols>
  <sheetData>
    <row r="1" spans="1:15" ht="33" customHeight="1">
      <c r="A1" s="777" t="s">
        <v>368</v>
      </c>
      <c r="B1" s="778"/>
      <c r="C1" s="778"/>
      <c r="D1" s="778"/>
      <c r="E1" s="778"/>
      <c r="F1" s="778"/>
      <c r="G1" s="778"/>
      <c r="H1" s="778"/>
      <c r="I1" s="778"/>
    </row>
    <row r="2" spans="1:15" ht="24" customHeight="1">
      <c r="A2" s="779" t="s">
        <v>369</v>
      </c>
      <c r="B2" s="780"/>
      <c r="C2" s="780"/>
      <c r="D2" s="780"/>
      <c r="E2" s="780"/>
      <c r="F2" s="780"/>
      <c r="G2" s="780"/>
      <c r="H2" s="780"/>
      <c r="I2" s="780"/>
      <c r="K2" s="417" t="s">
        <v>370</v>
      </c>
      <c r="L2" s="781" t="s">
        <v>162</v>
      </c>
      <c r="M2" s="782"/>
      <c r="O2" s="787" t="s">
        <v>371</v>
      </c>
    </row>
    <row r="3" spans="1:15" ht="30" customHeight="1">
      <c r="A3" s="408" t="s">
        <v>342</v>
      </c>
      <c r="B3" s="408" t="s">
        <v>372</v>
      </c>
      <c r="C3" s="408" t="s">
        <v>344</v>
      </c>
      <c r="D3" s="408" t="s">
        <v>373</v>
      </c>
      <c r="E3" s="408" t="s">
        <v>374</v>
      </c>
      <c r="F3" s="408" t="s">
        <v>375</v>
      </c>
      <c r="G3" s="408" t="s">
        <v>162</v>
      </c>
      <c r="H3" s="408" t="s">
        <v>376</v>
      </c>
      <c r="I3" s="418" t="s">
        <v>377</v>
      </c>
      <c r="K3" s="419" t="s">
        <v>151</v>
      </c>
      <c r="L3" s="419" t="s">
        <v>152</v>
      </c>
      <c r="M3" s="419" t="s">
        <v>378</v>
      </c>
      <c r="O3" s="788"/>
    </row>
    <row r="4" spans="1:15" ht="14.25" customHeight="1">
      <c r="A4" s="409" t="s">
        <v>357</v>
      </c>
      <c r="B4" s="409" t="s">
        <v>379</v>
      </c>
      <c r="C4" s="409">
        <v>125.2</v>
      </c>
      <c r="D4" s="409">
        <v>0.57110000000000005</v>
      </c>
      <c r="E4" s="409">
        <v>0.95209999999999995</v>
      </c>
      <c r="F4" s="409">
        <v>1.3331</v>
      </c>
      <c r="G4" s="410">
        <f>0.618-0.139*D4-0.0817*E4-0.107*F4</f>
        <v>0.31818882999999998</v>
      </c>
      <c r="H4" s="411">
        <f t="shared" ref="H4:H6" si="0">C4/G4</f>
        <v>393.47704317590285</v>
      </c>
      <c r="I4" s="409">
        <v>476.8</v>
      </c>
      <c r="K4" s="420">
        <v>7.9699999999999993E-2</v>
      </c>
      <c r="L4" s="420">
        <v>0.34089999999999998</v>
      </c>
      <c r="M4" s="420">
        <v>0.60219999999999996</v>
      </c>
      <c r="O4" s="788"/>
    </row>
    <row r="5" spans="1:15">
      <c r="A5" s="412" t="s">
        <v>361</v>
      </c>
      <c r="B5" s="413" t="s">
        <v>380</v>
      </c>
      <c r="C5" s="413"/>
      <c r="D5" s="413"/>
      <c r="E5" s="413"/>
      <c r="F5" s="413"/>
      <c r="G5" s="414"/>
      <c r="H5" s="415" t="e">
        <f t="shared" si="0"/>
        <v>#DIV/0!</v>
      </c>
      <c r="I5" s="413"/>
      <c r="O5" s="788"/>
    </row>
    <row r="6" spans="1:15">
      <c r="A6" s="409" t="s">
        <v>365</v>
      </c>
      <c r="B6" s="409" t="s">
        <v>380</v>
      </c>
      <c r="C6" s="409"/>
      <c r="D6" s="409"/>
      <c r="E6" s="409"/>
      <c r="F6" s="409"/>
      <c r="G6" s="410"/>
      <c r="H6" s="411" t="e">
        <f t="shared" si="0"/>
        <v>#DIV/0!</v>
      </c>
      <c r="I6" s="409"/>
    </row>
    <row r="8" spans="1:15" ht="19.5" customHeight="1">
      <c r="A8" s="765" t="s">
        <v>272</v>
      </c>
      <c r="B8" s="766"/>
      <c r="C8" s="766"/>
      <c r="D8" s="766"/>
      <c r="E8" s="766"/>
      <c r="F8" s="766"/>
      <c r="G8" s="766"/>
      <c r="H8" s="766"/>
    </row>
    <row r="9" spans="1:15" ht="20.25" customHeight="1">
      <c r="A9" s="783" t="s">
        <v>381</v>
      </c>
      <c r="B9" s="784"/>
      <c r="C9" s="784"/>
      <c r="D9" s="784"/>
      <c r="E9" s="784"/>
      <c r="F9" s="784"/>
      <c r="G9" s="784"/>
      <c r="H9" s="784"/>
      <c r="J9" s="417" t="s">
        <v>382</v>
      </c>
      <c r="K9" s="781" t="s">
        <v>272</v>
      </c>
      <c r="L9" s="782"/>
      <c r="O9" s="787" t="s">
        <v>383</v>
      </c>
    </row>
    <row r="10" spans="1:15" ht="30.75" customHeight="1">
      <c r="A10" s="416" t="s">
        <v>342</v>
      </c>
      <c r="B10" s="416" t="s">
        <v>372</v>
      </c>
      <c r="C10" s="416" t="s">
        <v>384</v>
      </c>
      <c r="D10" s="416" t="s">
        <v>318</v>
      </c>
      <c r="E10" s="416" t="s">
        <v>323</v>
      </c>
      <c r="F10" s="416" t="s">
        <v>385</v>
      </c>
      <c r="G10" s="416" t="s">
        <v>272</v>
      </c>
      <c r="H10" s="416" t="s">
        <v>386</v>
      </c>
      <c r="J10" s="419" t="s">
        <v>151</v>
      </c>
      <c r="K10" s="419" t="s">
        <v>152</v>
      </c>
      <c r="L10" s="419" t="s">
        <v>378</v>
      </c>
      <c r="O10" s="788"/>
    </row>
    <row r="11" spans="1:15" ht="14.25" customHeight="1">
      <c r="A11" s="409" t="s">
        <v>357</v>
      </c>
      <c r="B11" s="409" t="s">
        <v>379</v>
      </c>
      <c r="C11" s="409">
        <v>125.2</v>
      </c>
      <c r="D11" s="409">
        <v>0.3</v>
      </c>
      <c r="E11" s="409">
        <v>8</v>
      </c>
      <c r="F11" s="409">
        <v>4</v>
      </c>
      <c r="G11" s="410">
        <f t="shared" ref="G11:G13" si="1">-0.921+1.31*D11+0.0513*E11+0.446*F11</f>
        <v>1.6663999999999999</v>
      </c>
      <c r="H11" s="411">
        <f t="shared" ref="H11:H13" si="2">G11*C11</f>
        <v>208.63327999999998</v>
      </c>
      <c r="J11" s="420">
        <f>IF($J$9="基线-总体",0,IF($J$9="基线-强测试",0,0))</f>
        <v>0</v>
      </c>
      <c r="K11" s="420">
        <f>IF($J$9="基线-总体",1.2265,IF($J$9="基线-强测试",1.9941,0.512))</f>
        <v>1.2264999999999999</v>
      </c>
      <c r="L11" s="420">
        <f>IF($J$9="基线-总体",3.3832,IF($J$9="基线-强测试",4.9096,1.452))</f>
        <v>3.3832</v>
      </c>
      <c r="O11" s="788"/>
    </row>
    <row r="12" spans="1:15">
      <c r="A12" s="412" t="s">
        <v>361</v>
      </c>
      <c r="B12" s="413" t="s">
        <v>380</v>
      </c>
      <c r="C12" s="413"/>
      <c r="D12" s="413"/>
      <c r="E12" s="413"/>
      <c r="F12" s="413"/>
      <c r="G12" s="414">
        <f t="shared" si="1"/>
        <v>-0.92100000000000004</v>
      </c>
      <c r="H12" s="415">
        <f t="shared" si="2"/>
        <v>0</v>
      </c>
      <c r="O12" s="789"/>
    </row>
    <row r="13" spans="1:15">
      <c r="A13" s="409" t="s">
        <v>365</v>
      </c>
      <c r="B13" s="409" t="s">
        <v>380</v>
      </c>
      <c r="C13" s="409"/>
      <c r="D13" s="409"/>
      <c r="E13" s="409"/>
      <c r="F13" s="409"/>
      <c r="G13" s="410">
        <f t="shared" si="1"/>
        <v>-0.92100000000000004</v>
      </c>
      <c r="H13" s="411">
        <f t="shared" si="2"/>
        <v>0</v>
      </c>
    </row>
    <row r="15" spans="1:15" ht="18.75" customHeight="1">
      <c r="A15" s="765" t="s">
        <v>166</v>
      </c>
      <c r="B15" s="766"/>
      <c r="C15" s="766"/>
      <c r="D15" s="766"/>
      <c r="E15" s="766"/>
      <c r="F15" s="766"/>
      <c r="G15" s="766"/>
    </row>
    <row r="16" spans="1:15" ht="17.25" customHeight="1">
      <c r="A16" s="785" t="s">
        <v>387</v>
      </c>
      <c r="B16" s="786"/>
      <c r="C16" s="786"/>
      <c r="D16" s="786"/>
      <c r="E16" s="786"/>
      <c r="F16" s="786"/>
      <c r="G16" s="786"/>
      <c r="J16" s="417" t="s">
        <v>370</v>
      </c>
      <c r="K16" s="781" t="s">
        <v>166</v>
      </c>
      <c r="L16" s="782"/>
      <c r="O16" s="787" t="s">
        <v>388</v>
      </c>
    </row>
    <row r="17" spans="1:15" ht="24">
      <c r="A17" s="416" t="s">
        <v>342</v>
      </c>
      <c r="B17" s="416" t="s">
        <v>372</v>
      </c>
      <c r="C17" s="416" t="s">
        <v>389</v>
      </c>
      <c r="D17" s="416" t="s">
        <v>390</v>
      </c>
      <c r="E17" s="416" t="s">
        <v>391</v>
      </c>
      <c r="F17" s="416" t="s">
        <v>166</v>
      </c>
      <c r="G17" s="416" t="s">
        <v>392</v>
      </c>
      <c r="J17" s="419" t="s">
        <v>151</v>
      </c>
      <c r="K17" s="419" t="s">
        <v>152</v>
      </c>
      <c r="L17" s="419" t="s">
        <v>378</v>
      </c>
      <c r="O17" s="788"/>
    </row>
    <row r="18" spans="1:15">
      <c r="A18" s="409" t="s">
        <v>357</v>
      </c>
      <c r="B18" s="409" t="s">
        <v>379</v>
      </c>
      <c r="C18" s="409">
        <v>76</v>
      </c>
      <c r="D18" s="409">
        <v>5.7000000000000002E-3</v>
      </c>
      <c r="E18" s="409">
        <v>0.11219999999999999</v>
      </c>
      <c r="F18" s="410">
        <f t="shared" ref="F18:F20" si="3">0.00223+0.282*D18+0.0599*E18</f>
        <v>1.055818E-2</v>
      </c>
      <c r="G18" s="411">
        <f t="shared" ref="G18:G20" si="4">F18*C18</f>
        <v>0.80242168000000003</v>
      </c>
      <c r="J18" s="420">
        <v>-0.1</v>
      </c>
      <c r="K18" s="420">
        <v>2.0021503262632901E-2</v>
      </c>
      <c r="L18" s="420">
        <v>0.1</v>
      </c>
      <c r="O18" s="788"/>
    </row>
    <row r="19" spans="1:15">
      <c r="A19" s="412" t="s">
        <v>361</v>
      </c>
      <c r="B19" s="413" t="s">
        <v>380</v>
      </c>
      <c r="C19" s="413"/>
      <c r="D19" s="413"/>
      <c r="E19" s="413"/>
      <c r="F19" s="414">
        <f t="shared" si="3"/>
        <v>2.2300000000000002E-3</v>
      </c>
      <c r="G19" s="415">
        <f t="shared" si="4"/>
        <v>0</v>
      </c>
      <c r="O19" s="789"/>
    </row>
    <row r="20" spans="1:15">
      <c r="A20" s="409" t="s">
        <v>365</v>
      </c>
      <c r="B20" s="409" t="s">
        <v>380</v>
      </c>
      <c r="C20" s="409"/>
      <c r="D20" s="409"/>
      <c r="E20" s="409"/>
      <c r="F20" s="410">
        <f t="shared" si="3"/>
        <v>2.2300000000000002E-3</v>
      </c>
      <c r="G20" s="411">
        <f t="shared" si="4"/>
        <v>0</v>
      </c>
    </row>
  </sheetData>
  <mergeCells count="12">
    <mergeCell ref="A15:G15"/>
    <mergeCell ref="A16:G16"/>
    <mergeCell ref="K16:L16"/>
    <mergeCell ref="O2:O5"/>
    <mergeCell ref="O9:O12"/>
    <mergeCell ref="O16:O19"/>
    <mergeCell ref="A1:I1"/>
    <mergeCell ref="A2:I2"/>
    <mergeCell ref="L2:M2"/>
    <mergeCell ref="A8:H8"/>
    <mergeCell ref="A9:H9"/>
    <mergeCell ref="K9:L9"/>
  </mergeCells>
  <phoneticPr fontId="156" type="noConversion"/>
  <dataValidations count="3">
    <dataValidation type="list" allowBlank="1" showInputMessage="1" showErrorMessage="1" sqref="B4:B6 B11:B13 B18:B20">
      <formula1>"因子预测值,因子实际值"</formula1>
    </dataValidation>
    <dataValidation type="list" allowBlank="1" showInputMessage="1" showErrorMessage="1" sqref="J9">
      <formula1>"基线-总体,基线-强测试,基线-弱测试"</formula1>
    </dataValidation>
    <dataValidation type="list" allowBlank="1" showInputMessage="1" showErrorMessage="1" sqref="JF16 TB16 ACX16 AMT16 AWP16 BGL16 BQH16 CAD16 CJZ16 CTV16 DDR16 DNN16 DXJ16 EHF16 ERB16 FAX16 FKT16 FUP16 GEL16 GOH16 GYD16 HHZ16 HRV16 IBR16 ILN16 IVJ16 JFF16 JPB16 JYX16 KIT16 KSP16 LCL16 LMH16 LWD16 MFZ16 MPV16 MZR16 NJN16 NTJ16 ODF16 ONB16 OWX16 PGT16 PQP16 QAL16 QKH16 QUD16 RDZ16 RNV16 RXR16 SHN16 SRJ16 TBF16 TLB16 TUX16 UET16 UOP16 UYL16 VIH16 VSD16 WBZ16 WLV16 WVR16 J65552 JF65552 TB65552 ACX65552 AMT65552 AWP65552 BGL65552 BQH65552 CAD65552 CJZ65552 CTV65552 DDR65552 DNN65552 DXJ65552 EHF65552 ERB65552 FAX65552 FKT65552 FUP65552 GEL65552 GOH65552 GYD65552 HHZ65552 HRV65552 IBR65552 ILN65552 IVJ65552 JFF65552 JPB65552 JYX65552 KIT65552 KSP65552 LCL65552 LMH65552 LWD65552 MFZ65552 MPV65552 MZR65552 NJN65552 NTJ65552 ODF65552 ONB65552 OWX65552 PGT65552 PQP65552 QAL65552 QKH65552 QUD65552 RDZ65552 RNV65552 RXR65552 SHN65552 SRJ65552 TBF65552 TLB65552 TUX65552 UET65552 UOP65552 UYL65552 VIH65552 VSD65552 WBZ65552 WLV65552 WVR65552 J131088 JF131088 TB131088 ACX131088 AMT131088 AWP131088 BGL131088 BQH131088 CAD131088 CJZ131088 CTV131088 DDR131088 DNN131088 DXJ131088 EHF131088 ERB131088 FAX131088 FKT131088 FUP131088 GEL131088 GOH131088 GYD131088 HHZ131088 HRV131088 IBR131088 ILN131088 IVJ131088 JFF131088 JPB131088 JYX131088 KIT131088 KSP131088 LCL131088 LMH131088 LWD131088 MFZ131088 MPV131088 MZR131088 NJN131088 NTJ131088 ODF131088 ONB131088 OWX131088 PGT131088 PQP131088 QAL131088 QKH131088 QUD131088 RDZ131088 RNV131088 RXR131088 SHN131088 SRJ131088 TBF131088 TLB131088 TUX131088 UET131088 UOP131088 UYL131088 VIH131088 VSD131088 WBZ131088 WLV131088 WVR131088 J196624 JF196624 TB196624 ACX196624 AMT196624 AWP196624 BGL196624 BQH196624 CAD196624 CJZ196624 CTV196624 DDR196624 DNN196624 DXJ196624 EHF196624 ERB196624 FAX196624 FKT196624 FUP196624 GEL196624 GOH196624 GYD196624 HHZ196624 HRV196624 IBR196624 ILN196624 IVJ196624 JFF196624 JPB196624 JYX196624 KIT196624 KSP196624 LCL196624 LMH196624 LWD196624 MFZ196624 MPV196624 MZR196624 NJN196624 NTJ196624 ODF196624 ONB196624 OWX196624 PGT196624 PQP196624 QAL196624 QKH196624 QUD196624 RDZ196624 RNV196624 RXR196624 SHN196624 SRJ196624 TBF196624 TLB196624 TUX196624 UET196624 UOP196624 UYL196624 VIH196624 VSD196624 WBZ196624 WLV196624 WVR196624 J262160 JF262160 TB262160 ACX262160 AMT262160 AWP262160 BGL262160 BQH262160 CAD262160 CJZ262160 CTV262160 DDR262160 DNN262160 DXJ262160 EHF262160 ERB262160 FAX262160 FKT262160 FUP262160 GEL262160 GOH262160 GYD262160 HHZ262160 HRV262160 IBR262160 ILN262160 IVJ262160 JFF262160 JPB262160 JYX262160 KIT262160 KSP262160 LCL262160 LMH262160 LWD262160 MFZ262160 MPV262160 MZR262160 NJN262160 NTJ262160 ODF262160 ONB262160 OWX262160 PGT262160 PQP262160 QAL262160 QKH262160 QUD262160 RDZ262160 RNV262160 RXR262160 SHN262160 SRJ262160 TBF262160 TLB262160 TUX262160 UET262160 UOP262160 UYL262160 VIH262160 VSD262160 WBZ262160 WLV262160 WVR262160 J327696 JF327696 TB327696 ACX327696 AMT327696 AWP327696 BGL327696 BQH327696 CAD327696 CJZ327696 CTV327696 DDR327696 DNN327696 DXJ327696 EHF327696 ERB327696 FAX327696 FKT327696 FUP327696 GEL327696 GOH327696 GYD327696 HHZ327696 HRV327696 IBR327696 ILN327696 IVJ327696 JFF327696 JPB327696 JYX327696 KIT327696 KSP327696 LCL327696 LMH327696 LWD327696 MFZ327696 MPV327696 MZR327696 NJN327696 NTJ327696 ODF327696 ONB327696 OWX327696 PGT327696 PQP327696 QAL327696 QKH327696 QUD327696 RDZ327696 RNV327696 RXR327696 SHN327696 SRJ327696 TBF327696 TLB327696 TUX327696 UET327696 UOP327696 UYL327696 VIH327696 VSD327696 WBZ327696 WLV327696 WVR327696 J393232 JF393232 TB393232 ACX393232 AMT393232 AWP393232 BGL393232 BQH393232 CAD393232 CJZ393232 CTV393232 DDR393232 DNN393232 DXJ393232 EHF393232 ERB393232 FAX393232 FKT393232 FUP393232 GEL393232 GOH393232 GYD393232 HHZ393232 HRV393232 IBR393232 ILN393232 IVJ393232 JFF393232 JPB393232 JYX393232 KIT393232 KSP393232 LCL393232 LMH393232 LWD393232 MFZ393232 MPV393232 MZR393232 NJN393232 NTJ393232 ODF393232 ONB393232 OWX393232 PGT393232 PQP393232 QAL393232 QKH393232 QUD393232 RDZ393232 RNV393232 RXR393232 SHN393232 SRJ393232 TBF393232 TLB393232 TUX393232 UET393232 UOP393232 UYL393232 VIH393232 VSD393232 WBZ393232 WLV393232 WVR393232 J458768 JF458768 TB458768 ACX458768 AMT458768 AWP458768 BGL458768 BQH458768 CAD458768 CJZ458768 CTV458768 DDR458768 DNN458768 DXJ458768 EHF458768 ERB458768 FAX458768 FKT458768 FUP458768 GEL458768 GOH458768 GYD458768 HHZ458768 HRV458768 IBR458768 ILN458768 IVJ458768 JFF458768 JPB458768 JYX458768 KIT458768 KSP458768 LCL458768 LMH458768 LWD458768 MFZ458768 MPV458768 MZR458768 NJN458768 NTJ458768 ODF458768 ONB458768 OWX458768 PGT458768 PQP458768 QAL458768 QKH458768 QUD458768 RDZ458768 RNV458768 RXR458768 SHN458768 SRJ458768 TBF458768 TLB458768 TUX458768 UET458768 UOP458768 UYL458768 VIH458768 VSD458768 WBZ458768 WLV458768 WVR458768 J524304 JF524304 TB524304 ACX524304 AMT524304 AWP524304 BGL524304 BQH524304 CAD524304 CJZ524304 CTV524304 DDR524304 DNN524304 DXJ524304 EHF524304 ERB524304 FAX524304 FKT524304 FUP524304 GEL524304 GOH524304 GYD524304 HHZ524304 HRV524304 IBR524304 ILN524304 IVJ524304 JFF524304 JPB524304 JYX524304 KIT524304 KSP524304 LCL524304 LMH524304 LWD524304 MFZ524304 MPV524304 MZR524304 NJN524304 NTJ524304 ODF524304 ONB524304 OWX524304 PGT524304 PQP524304 QAL524304 QKH524304 QUD524304 RDZ524304 RNV524304 RXR524304 SHN524304 SRJ524304 TBF524304 TLB524304 TUX524304 UET524304 UOP524304 UYL524304 VIH524304 VSD524304 WBZ524304 WLV524304 WVR524304 J589840 JF589840 TB589840 ACX589840 AMT589840 AWP589840 BGL589840 BQH589840 CAD589840 CJZ589840 CTV589840 DDR589840 DNN589840 DXJ589840 EHF589840 ERB589840 FAX589840 FKT589840 FUP589840 GEL589840 GOH589840 GYD589840 HHZ589840 HRV589840 IBR589840 ILN589840 IVJ589840 JFF589840 JPB589840 JYX589840 KIT589840 KSP589840 LCL589840 LMH589840 LWD589840 MFZ589840 MPV589840 MZR589840 NJN589840 NTJ589840 ODF589840 ONB589840 OWX589840 PGT589840 PQP589840 QAL589840 QKH589840 QUD589840 RDZ589840 RNV589840 RXR589840 SHN589840 SRJ589840 TBF589840 TLB589840 TUX589840 UET589840 UOP589840 UYL589840 VIH589840 VSD589840 WBZ589840 WLV589840 WVR589840 J655376 JF655376 TB655376 ACX655376 AMT655376 AWP655376 BGL655376 BQH655376 CAD655376 CJZ655376 CTV655376 DDR655376 DNN655376 DXJ655376 EHF655376 ERB655376 FAX655376 FKT655376 FUP655376 GEL655376 GOH655376 GYD655376 HHZ655376 HRV655376 IBR655376 ILN655376 IVJ655376 JFF655376 JPB655376 JYX655376 KIT655376 KSP655376 LCL655376 LMH655376 LWD655376 MFZ655376 MPV655376 MZR655376 NJN655376 NTJ655376 ODF655376 ONB655376 OWX655376 PGT655376 PQP655376 QAL655376 QKH655376 QUD655376 RDZ655376 RNV655376 RXR655376 SHN655376 SRJ655376 TBF655376 TLB655376 TUX655376 UET655376 UOP655376 UYL655376 VIH655376 VSD655376 WBZ655376 WLV655376 WVR655376 J720912 JF720912 TB720912 ACX720912 AMT720912 AWP720912 BGL720912 BQH720912 CAD720912 CJZ720912 CTV720912 DDR720912 DNN720912 DXJ720912 EHF720912 ERB720912 FAX720912 FKT720912 FUP720912 GEL720912 GOH720912 GYD720912 HHZ720912 HRV720912 IBR720912 ILN720912 IVJ720912 JFF720912 JPB720912 JYX720912 KIT720912 KSP720912 LCL720912 LMH720912 LWD720912 MFZ720912 MPV720912 MZR720912 NJN720912 NTJ720912 ODF720912 ONB720912 OWX720912 PGT720912 PQP720912 QAL720912 QKH720912 QUD720912 RDZ720912 RNV720912 RXR720912 SHN720912 SRJ720912 TBF720912 TLB720912 TUX720912 UET720912 UOP720912 UYL720912 VIH720912 VSD720912 WBZ720912 WLV720912 WVR720912 J786448 JF786448 TB786448 ACX786448 AMT786448 AWP786448 BGL786448 BQH786448 CAD786448 CJZ786448 CTV786448 DDR786448 DNN786448 DXJ786448 EHF786448 ERB786448 FAX786448 FKT786448 FUP786448 GEL786448 GOH786448 GYD786448 HHZ786448 HRV786448 IBR786448 ILN786448 IVJ786448 JFF786448 JPB786448 JYX786448 KIT786448 KSP786448 LCL786448 LMH786448 LWD786448 MFZ786448 MPV786448 MZR786448 NJN786448 NTJ786448 ODF786448 ONB786448 OWX786448 PGT786448 PQP786448 QAL786448 QKH786448 QUD786448 RDZ786448 RNV786448 RXR786448 SHN786448 SRJ786448 TBF786448 TLB786448 TUX786448 UET786448 UOP786448 UYL786448 VIH786448 VSD786448 WBZ786448 WLV786448 WVR786448 J851984 JF851984 TB851984 ACX851984 AMT851984 AWP851984 BGL851984 BQH851984 CAD851984 CJZ851984 CTV851984 DDR851984 DNN851984 DXJ851984 EHF851984 ERB851984 FAX851984 FKT851984 FUP851984 GEL851984 GOH851984 GYD851984 HHZ851984 HRV851984 IBR851984 ILN851984 IVJ851984 JFF851984 JPB851984 JYX851984 KIT851984 KSP851984 LCL851984 LMH851984 LWD851984 MFZ851984 MPV851984 MZR851984 NJN851984 NTJ851984 ODF851984 ONB851984 OWX851984 PGT851984 PQP851984 QAL851984 QKH851984 QUD851984 RDZ851984 RNV851984 RXR851984 SHN851984 SRJ851984 TBF851984 TLB851984 TUX851984 UET851984 UOP851984 UYL851984 VIH851984 VSD851984 WBZ851984 WLV851984 WVR851984 J917520 JF917520 TB917520 ACX917520 AMT917520 AWP917520 BGL917520 BQH917520 CAD917520 CJZ917520 CTV917520 DDR917520 DNN917520 DXJ917520 EHF917520 ERB917520 FAX917520 FKT917520 FUP917520 GEL917520 GOH917520 GYD917520 HHZ917520 HRV917520 IBR917520 ILN917520 IVJ917520 JFF917520 JPB917520 JYX917520 KIT917520 KSP917520 LCL917520 LMH917520 LWD917520 MFZ917520 MPV917520 MZR917520 NJN917520 NTJ917520 ODF917520 ONB917520 OWX917520 PGT917520 PQP917520 QAL917520 QKH917520 QUD917520 RDZ917520 RNV917520 RXR917520 SHN917520 SRJ917520 TBF917520 TLB917520 TUX917520 UET917520 UOP917520 UYL917520 VIH917520 VSD917520 WBZ917520 WLV917520 WVR917520 J983056 JF983056 TB983056 ACX983056 AMT983056 AWP983056 BGL983056 BQH983056 CAD983056 CJZ983056 CTV983056 DDR983056 DNN983056 DXJ983056 EHF983056 ERB983056 FAX983056 FKT983056 FUP983056 GEL983056 GOH983056 GYD983056 HHZ983056 HRV983056 IBR983056 ILN983056 IVJ983056 JFF983056 JPB983056 JYX983056 KIT983056 KSP983056 LCL983056 LMH983056 LWD983056 MFZ983056 MPV983056 MZR983056 NJN983056 NTJ983056 ODF983056 ONB983056 OWX983056 PGT983056 PQP983056 QAL983056 QKH983056 QUD983056 RDZ983056 RNV983056 RXR983056 SHN983056 SRJ983056 TBF983056 TLB983056 TUX983056 UET983056 UOP983056 UYL983056 VIH983056 VSD983056 WBZ983056 WLV983056 WVR983056">
      <formula1>"会议,邮件"</formula1>
    </dataValidation>
  </dataValidations>
  <pageMargins left="0.69930555555555596" right="0.69930555555555596"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7"/>
  </sheetPr>
  <dimension ref="A1:R34"/>
  <sheetViews>
    <sheetView showGridLines="0" workbookViewId="0">
      <selection sqref="A1:J2"/>
    </sheetView>
  </sheetViews>
  <sheetFormatPr defaultColWidth="9" defaultRowHeight="12"/>
  <cols>
    <col min="1" max="1" width="9" style="68"/>
    <col min="2" max="2" width="12.25" style="68" customWidth="1"/>
    <col min="3" max="3" width="8.375" style="68" customWidth="1"/>
    <col min="4" max="5" width="9.375" style="68" customWidth="1"/>
    <col min="6" max="6" width="9" style="68" customWidth="1"/>
    <col min="7" max="7" width="10.125" style="68" customWidth="1"/>
    <col min="8" max="9" width="11.375" style="68" customWidth="1"/>
    <col min="10" max="10" width="11" style="68" customWidth="1"/>
    <col min="11" max="11" width="11.25" style="68" customWidth="1"/>
    <col min="12" max="16384" width="9" style="68"/>
  </cols>
  <sheetData>
    <row r="1" spans="1:18" ht="12" customHeight="1">
      <c r="A1" s="800" t="s">
        <v>393</v>
      </c>
      <c r="B1" s="801"/>
      <c r="C1" s="801"/>
      <c r="D1" s="801"/>
      <c r="E1" s="801"/>
      <c r="F1" s="801"/>
      <c r="G1" s="801"/>
      <c r="H1" s="801"/>
      <c r="I1" s="801"/>
      <c r="J1" s="802"/>
      <c r="K1" s="398"/>
      <c r="L1" s="398"/>
      <c r="M1" s="398"/>
      <c r="N1" s="398"/>
      <c r="O1" s="398"/>
      <c r="P1" s="398"/>
      <c r="Q1" s="398"/>
      <c r="R1" s="398"/>
    </row>
    <row r="2" spans="1:18" ht="12" customHeight="1">
      <c r="A2" s="803"/>
      <c r="B2" s="804"/>
      <c r="C2" s="804"/>
      <c r="D2" s="804"/>
      <c r="E2" s="804"/>
      <c r="F2" s="804"/>
      <c r="G2" s="804"/>
      <c r="H2" s="804"/>
      <c r="I2" s="804"/>
      <c r="J2" s="805"/>
      <c r="K2" s="399"/>
      <c r="L2" s="399"/>
      <c r="M2" s="399"/>
      <c r="N2" s="399"/>
      <c r="O2" s="399"/>
      <c r="P2" s="399"/>
      <c r="Q2" s="399"/>
      <c r="R2" s="399"/>
    </row>
    <row r="3" spans="1:18" ht="20.25">
      <c r="A3" s="790"/>
      <c r="B3" s="790"/>
      <c r="C3" s="790"/>
      <c r="D3" s="790"/>
      <c r="E3" s="790"/>
      <c r="F3" s="790"/>
      <c r="G3" s="790"/>
      <c r="H3" s="790"/>
      <c r="I3" s="790"/>
      <c r="J3" s="790"/>
      <c r="K3" s="399"/>
      <c r="L3" s="399"/>
      <c r="M3" s="399"/>
      <c r="N3" s="399"/>
      <c r="O3" s="399"/>
      <c r="P3" s="399"/>
      <c r="Q3" s="399"/>
      <c r="R3" s="399"/>
    </row>
    <row r="4" spans="1:18" ht="11.25" customHeight="1">
      <c r="A4" s="380"/>
      <c r="B4" s="381"/>
      <c r="C4" s="381"/>
      <c r="D4" s="381"/>
      <c r="E4" s="381"/>
      <c r="F4" s="381"/>
      <c r="G4" s="381"/>
      <c r="H4" s="381"/>
      <c r="I4" s="381"/>
      <c r="J4" s="400"/>
      <c r="K4" s="401"/>
      <c r="L4" s="401"/>
      <c r="M4" s="401"/>
      <c r="N4" s="401"/>
      <c r="O4" s="401"/>
      <c r="P4" s="401"/>
      <c r="Q4" s="401"/>
      <c r="R4" s="401"/>
    </row>
    <row r="5" spans="1:18" ht="13.5" customHeight="1">
      <c r="A5" s="88" t="s">
        <v>394</v>
      </c>
      <c r="B5" s="382"/>
      <c r="C5" s="383"/>
      <c r="D5" s="383"/>
      <c r="E5" s="383"/>
      <c r="F5" s="383"/>
      <c r="G5" s="383"/>
      <c r="H5" s="383"/>
      <c r="I5" s="383"/>
      <c r="J5" s="402"/>
    </row>
    <row r="6" spans="1:18" ht="12" customHeight="1">
      <c r="A6" s="65" t="s">
        <v>395</v>
      </c>
      <c r="B6" s="383"/>
      <c r="C6" s="383"/>
      <c r="D6" s="383"/>
      <c r="E6" s="383"/>
      <c r="F6" s="383"/>
      <c r="G6" s="383"/>
      <c r="H6" s="383"/>
      <c r="I6" s="383"/>
      <c r="J6" s="402"/>
    </row>
    <row r="7" spans="1:18" ht="15.75" customHeight="1">
      <c r="A7" s="65" t="s">
        <v>396</v>
      </c>
      <c r="B7" s="384"/>
      <c r="C7" s="384"/>
      <c r="D7" s="384"/>
      <c r="E7" s="384"/>
      <c r="F7" s="384"/>
      <c r="G7" s="384"/>
      <c r="H7" s="384"/>
      <c r="I7" s="384"/>
      <c r="J7" s="403"/>
    </row>
    <row r="8" spans="1:18" ht="16.5" customHeight="1">
      <c r="A8" s="810" t="s">
        <v>92</v>
      </c>
      <c r="B8" s="798" t="s">
        <v>397</v>
      </c>
      <c r="C8" s="798" t="s">
        <v>398</v>
      </c>
      <c r="D8" s="791" t="s">
        <v>399</v>
      </c>
      <c r="E8" s="792"/>
      <c r="F8" s="792"/>
      <c r="G8" s="793"/>
      <c r="H8" s="798" t="s">
        <v>400</v>
      </c>
      <c r="I8" s="798" t="s">
        <v>401</v>
      </c>
      <c r="J8" s="808" t="s">
        <v>402</v>
      </c>
    </row>
    <row r="9" spans="1:18" ht="23.1" customHeight="1">
      <c r="A9" s="811"/>
      <c r="B9" s="799"/>
      <c r="C9" s="799"/>
      <c r="D9" s="385" t="s">
        <v>403</v>
      </c>
      <c r="E9" s="385" t="s">
        <v>404</v>
      </c>
      <c r="F9" s="385" t="s">
        <v>405</v>
      </c>
      <c r="G9" s="385" t="s">
        <v>406</v>
      </c>
      <c r="H9" s="799"/>
      <c r="I9" s="799"/>
      <c r="J9" s="809"/>
    </row>
    <row r="10" spans="1:18" s="176" customFormat="1" ht="23.1" customHeight="1">
      <c r="A10" s="812" t="s">
        <v>265</v>
      </c>
      <c r="B10" s="81" t="s">
        <v>289</v>
      </c>
      <c r="C10" s="386"/>
      <c r="D10" s="386"/>
      <c r="E10" s="386"/>
      <c r="F10" s="386"/>
      <c r="G10" s="387">
        <f t="shared" ref="G10:G14" si="0">SUM(D10:F10)</f>
        <v>0</v>
      </c>
      <c r="H10" s="386"/>
      <c r="I10" s="386"/>
      <c r="J10" s="404" t="e">
        <f t="shared" ref="J10:J15" si="1">1-(G10/C10)*(ABS(H10)/I10)</f>
        <v>#DIV/0!</v>
      </c>
      <c r="N10" s="176" t="str">
        <f t="shared" ref="N10:N14" si="2">B10</f>
        <v>需求阶段</v>
      </c>
      <c r="O10" s="176" t="e">
        <f t="shared" ref="O10:O15" si="3">J10</f>
        <v>#DIV/0!</v>
      </c>
    </row>
    <row r="11" spans="1:18" s="176" customFormat="1" ht="23.1" customHeight="1">
      <c r="A11" s="813"/>
      <c r="B11" s="81" t="s">
        <v>307</v>
      </c>
      <c r="C11" s="388">
        <f t="shared" ref="C11:C14" si="4">C10+D10-E10</f>
        <v>0</v>
      </c>
      <c r="D11" s="386"/>
      <c r="E11" s="386"/>
      <c r="F11" s="386"/>
      <c r="G11" s="387">
        <f t="shared" si="0"/>
        <v>0</v>
      </c>
      <c r="H11" s="386"/>
      <c r="I11" s="386"/>
      <c r="J11" s="404" t="e">
        <f t="shared" si="1"/>
        <v>#DIV/0!</v>
      </c>
      <c r="N11" s="176" t="str">
        <f t="shared" si="2"/>
        <v>设计阶段</v>
      </c>
      <c r="O11" s="176" t="e">
        <f t="shared" si="3"/>
        <v>#DIV/0!</v>
      </c>
    </row>
    <row r="12" spans="1:18" s="176" customFormat="1" ht="23.1" customHeight="1">
      <c r="A12" s="813"/>
      <c r="B12" s="81" t="s">
        <v>316</v>
      </c>
      <c r="C12" s="388">
        <f t="shared" si="4"/>
        <v>0</v>
      </c>
      <c r="D12" s="386"/>
      <c r="E12" s="386"/>
      <c r="F12" s="386"/>
      <c r="G12" s="387">
        <f t="shared" si="0"/>
        <v>0</v>
      </c>
      <c r="H12" s="386"/>
      <c r="I12" s="386"/>
      <c r="J12" s="404" t="e">
        <f t="shared" si="1"/>
        <v>#DIV/0!</v>
      </c>
      <c r="N12" s="176" t="str">
        <f t="shared" si="2"/>
        <v>开发阶段</v>
      </c>
      <c r="O12" s="176" t="e">
        <f t="shared" si="3"/>
        <v>#DIV/0!</v>
      </c>
    </row>
    <row r="13" spans="1:18" s="176" customFormat="1" ht="23.1" customHeight="1">
      <c r="A13" s="813"/>
      <c r="B13" s="81" t="s">
        <v>322</v>
      </c>
      <c r="C13" s="388">
        <f t="shared" si="4"/>
        <v>0</v>
      </c>
      <c r="D13" s="386"/>
      <c r="E13" s="386"/>
      <c r="F13" s="386"/>
      <c r="G13" s="387">
        <f t="shared" si="0"/>
        <v>0</v>
      </c>
      <c r="H13" s="386"/>
      <c r="I13" s="386"/>
      <c r="J13" s="404" t="e">
        <f t="shared" si="1"/>
        <v>#DIV/0!</v>
      </c>
      <c r="N13" s="176" t="str">
        <f t="shared" si="2"/>
        <v>测试阶段</v>
      </c>
      <c r="O13" s="176" t="e">
        <f t="shared" si="3"/>
        <v>#DIV/0!</v>
      </c>
      <c r="Q13" s="68"/>
    </row>
    <row r="14" spans="1:18" s="176" customFormat="1" ht="23.1" customHeight="1">
      <c r="A14" s="813"/>
      <c r="B14" s="81" t="s">
        <v>328</v>
      </c>
      <c r="C14" s="388">
        <f t="shared" si="4"/>
        <v>0</v>
      </c>
      <c r="D14" s="386"/>
      <c r="E14" s="386"/>
      <c r="F14" s="386"/>
      <c r="G14" s="387">
        <f t="shared" si="0"/>
        <v>0</v>
      </c>
      <c r="H14" s="386"/>
      <c r="I14" s="386"/>
      <c r="J14" s="404" t="e">
        <f t="shared" si="1"/>
        <v>#DIV/0!</v>
      </c>
      <c r="N14" s="176" t="str">
        <f t="shared" si="2"/>
        <v>验收阶段</v>
      </c>
      <c r="O14" s="176" t="e">
        <f t="shared" si="3"/>
        <v>#DIV/0!</v>
      </c>
      <c r="Q14" s="68"/>
    </row>
    <row r="15" spans="1:18" ht="18.75" customHeight="1">
      <c r="A15" s="814"/>
      <c r="B15" s="389" t="s">
        <v>407</v>
      </c>
      <c r="C15" s="390">
        <f>C10</f>
        <v>0</v>
      </c>
      <c r="D15" s="390">
        <f t="shared" ref="D15:H15" si="5">SUM(D10:D14)</f>
        <v>0</v>
      </c>
      <c r="E15" s="391">
        <f t="shared" si="5"/>
        <v>0</v>
      </c>
      <c r="F15" s="392">
        <f t="shared" si="5"/>
        <v>0</v>
      </c>
      <c r="G15" s="393">
        <f t="shared" si="5"/>
        <v>0</v>
      </c>
      <c r="H15" s="393">
        <f t="shared" si="5"/>
        <v>0</v>
      </c>
      <c r="I15" s="393">
        <f>I10</f>
        <v>0</v>
      </c>
      <c r="J15" s="404" t="e">
        <f t="shared" si="1"/>
        <v>#DIV/0!</v>
      </c>
      <c r="O15" s="176" t="e">
        <f t="shared" si="3"/>
        <v>#DIV/0!</v>
      </c>
    </row>
    <row r="16" spans="1:18" ht="18.75" customHeight="1">
      <c r="A16" s="794"/>
      <c r="B16" s="794"/>
      <c r="C16" s="794"/>
      <c r="D16" s="795"/>
      <c r="E16" s="795"/>
      <c r="F16" s="794"/>
      <c r="G16" s="794"/>
      <c r="H16" s="794"/>
      <c r="I16" s="794"/>
      <c r="J16" s="794"/>
    </row>
    <row r="17" spans="1:15" ht="12" customHeight="1">
      <c r="A17" s="394" t="s">
        <v>408</v>
      </c>
      <c r="B17" s="395"/>
      <c r="C17" s="396"/>
      <c r="D17" s="397"/>
      <c r="E17" s="397"/>
      <c r="F17" s="397"/>
      <c r="G17" s="397"/>
      <c r="H17" s="397"/>
      <c r="I17" s="397"/>
      <c r="J17" s="397"/>
    </row>
    <row r="18" spans="1:15" ht="12" customHeight="1">
      <c r="A18" s="796" t="s">
        <v>395</v>
      </c>
      <c r="B18" s="796"/>
      <c r="C18" s="796"/>
      <c r="D18" s="796"/>
      <c r="E18" s="796"/>
      <c r="F18" s="796"/>
      <c r="G18" s="796"/>
      <c r="H18" s="796"/>
      <c r="I18" s="796"/>
      <c r="J18" s="796"/>
    </row>
    <row r="19" spans="1:15" ht="12" customHeight="1">
      <c r="A19" s="797" t="s">
        <v>409</v>
      </c>
      <c r="B19" s="797"/>
      <c r="C19" s="797"/>
      <c r="D19" s="797"/>
      <c r="E19" s="797"/>
      <c r="F19" s="797"/>
      <c r="G19" s="797"/>
      <c r="H19" s="797"/>
      <c r="I19" s="797"/>
      <c r="J19" s="797"/>
    </row>
    <row r="20" spans="1:15" ht="18.75" customHeight="1">
      <c r="A20" s="810" t="s">
        <v>92</v>
      </c>
      <c r="B20" s="798" t="s">
        <v>397</v>
      </c>
      <c r="C20" s="798" t="s">
        <v>398</v>
      </c>
      <c r="D20" s="791" t="s">
        <v>399</v>
      </c>
      <c r="E20" s="792"/>
      <c r="F20" s="792"/>
      <c r="G20" s="793"/>
      <c r="H20" s="798" t="s">
        <v>400</v>
      </c>
      <c r="I20" s="798" t="s">
        <v>401</v>
      </c>
      <c r="J20" s="808" t="s">
        <v>402</v>
      </c>
    </row>
    <row r="21" spans="1:15" ht="20.25" customHeight="1">
      <c r="A21" s="811"/>
      <c r="B21" s="799"/>
      <c r="C21" s="799"/>
      <c r="D21" s="385" t="s">
        <v>403</v>
      </c>
      <c r="E21" s="385" t="s">
        <v>404</v>
      </c>
      <c r="F21" s="385" t="s">
        <v>405</v>
      </c>
      <c r="G21" s="385" t="s">
        <v>406</v>
      </c>
      <c r="H21" s="799"/>
      <c r="I21" s="799"/>
      <c r="J21" s="809"/>
    </row>
    <row r="22" spans="1:15" ht="23.1" customHeight="1">
      <c r="A22" s="812" t="s">
        <v>410</v>
      </c>
      <c r="B22" s="81" t="s">
        <v>289</v>
      </c>
      <c r="C22" s="386"/>
      <c r="D22" s="386"/>
      <c r="E22" s="386"/>
      <c r="F22" s="386"/>
      <c r="G22" s="387">
        <f t="shared" ref="G22:G26" si="6">D22+E22+F22</f>
        <v>0</v>
      </c>
      <c r="H22" s="386"/>
      <c r="I22" s="386"/>
      <c r="J22" s="404" t="e">
        <f t="shared" ref="J22:J27" si="7">1-(G22/C22)*(ABS(H22)/I22)</f>
        <v>#DIV/0!</v>
      </c>
      <c r="N22" s="176" t="str">
        <f t="shared" ref="N22:N26" si="8">B22</f>
        <v>需求阶段</v>
      </c>
      <c r="O22" s="176" t="e">
        <f t="shared" ref="O22:O26" si="9">J22</f>
        <v>#DIV/0!</v>
      </c>
    </row>
    <row r="23" spans="1:15" ht="23.1" customHeight="1">
      <c r="A23" s="813"/>
      <c r="B23" s="81" t="s">
        <v>307</v>
      </c>
      <c r="C23" s="388">
        <f t="shared" ref="C23:C26" si="10">C22+D22-E22</f>
        <v>0</v>
      </c>
      <c r="D23" s="386"/>
      <c r="E23" s="386"/>
      <c r="F23" s="386"/>
      <c r="G23" s="387">
        <f t="shared" si="6"/>
        <v>0</v>
      </c>
      <c r="H23" s="386"/>
      <c r="I23" s="386"/>
      <c r="J23" s="404" t="e">
        <f t="shared" si="7"/>
        <v>#DIV/0!</v>
      </c>
      <c r="N23" s="176" t="str">
        <f t="shared" si="8"/>
        <v>设计阶段</v>
      </c>
      <c r="O23" s="176" t="e">
        <f t="shared" si="9"/>
        <v>#DIV/0!</v>
      </c>
    </row>
    <row r="24" spans="1:15" ht="23.1" customHeight="1">
      <c r="A24" s="813"/>
      <c r="B24" s="81" t="s">
        <v>316</v>
      </c>
      <c r="C24" s="388">
        <f t="shared" si="10"/>
        <v>0</v>
      </c>
      <c r="D24" s="386"/>
      <c r="E24" s="386"/>
      <c r="F24" s="386"/>
      <c r="G24" s="387">
        <f t="shared" si="6"/>
        <v>0</v>
      </c>
      <c r="H24" s="386"/>
      <c r="I24" s="386"/>
      <c r="J24" s="404" t="e">
        <f t="shared" si="7"/>
        <v>#DIV/0!</v>
      </c>
      <c r="N24" s="176" t="str">
        <f t="shared" si="8"/>
        <v>开发阶段</v>
      </c>
      <c r="O24" s="176" t="e">
        <f t="shared" si="9"/>
        <v>#DIV/0!</v>
      </c>
    </row>
    <row r="25" spans="1:15" ht="23.1" customHeight="1">
      <c r="A25" s="813"/>
      <c r="B25" s="81" t="s">
        <v>322</v>
      </c>
      <c r="C25" s="388">
        <f t="shared" si="10"/>
        <v>0</v>
      </c>
      <c r="D25" s="386"/>
      <c r="E25" s="386"/>
      <c r="F25" s="386"/>
      <c r="G25" s="387">
        <f t="shared" si="6"/>
        <v>0</v>
      </c>
      <c r="H25" s="386"/>
      <c r="I25" s="386"/>
      <c r="J25" s="404" t="e">
        <f t="shared" si="7"/>
        <v>#DIV/0!</v>
      </c>
      <c r="N25" s="176" t="str">
        <f t="shared" si="8"/>
        <v>测试阶段</v>
      </c>
      <c r="O25" s="176" t="e">
        <f t="shared" si="9"/>
        <v>#DIV/0!</v>
      </c>
    </row>
    <row r="26" spans="1:15" ht="23.1" customHeight="1">
      <c r="A26" s="813"/>
      <c r="B26" s="81" t="s">
        <v>328</v>
      </c>
      <c r="C26" s="388">
        <f t="shared" si="10"/>
        <v>0</v>
      </c>
      <c r="D26" s="386"/>
      <c r="E26" s="386"/>
      <c r="F26" s="386"/>
      <c r="G26" s="387">
        <f t="shared" si="6"/>
        <v>0</v>
      </c>
      <c r="H26" s="386"/>
      <c r="I26" s="386"/>
      <c r="J26" s="404" t="e">
        <f t="shared" si="7"/>
        <v>#DIV/0!</v>
      </c>
      <c r="N26" s="176" t="str">
        <f t="shared" si="8"/>
        <v>验收阶段</v>
      </c>
      <c r="O26" s="176" t="e">
        <f t="shared" si="9"/>
        <v>#DIV/0!</v>
      </c>
    </row>
    <row r="27" spans="1:15" ht="23.1" customHeight="1">
      <c r="A27" s="814"/>
      <c r="B27" s="389" t="s">
        <v>407</v>
      </c>
      <c r="C27" s="390">
        <f>C22</f>
        <v>0</v>
      </c>
      <c r="D27" s="390">
        <f t="shared" ref="D27:H27" si="11">SUM(D22:D26)</f>
        <v>0</v>
      </c>
      <c r="E27" s="390">
        <f t="shared" si="11"/>
        <v>0</v>
      </c>
      <c r="F27" s="390">
        <f t="shared" si="11"/>
        <v>0</v>
      </c>
      <c r="G27" s="390">
        <f t="shared" si="11"/>
        <v>0</v>
      </c>
      <c r="H27" s="393">
        <f t="shared" si="11"/>
        <v>0</v>
      </c>
      <c r="I27" s="393">
        <f>I22</f>
        <v>0</v>
      </c>
      <c r="J27" s="405" t="e">
        <f t="shared" si="7"/>
        <v>#DIV/0!</v>
      </c>
    </row>
    <row r="29" spans="1:15">
      <c r="A29" s="806" t="s">
        <v>411</v>
      </c>
      <c r="B29" s="807"/>
      <c r="C29" s="807"/>
      <c r="D29" s="807"/>
      <c r="E29" s="807"/>
      <c r="F29" s="807"/>
      <c r="G29" s="807"/>
      <c r="H29" s="807"/>
      <c r="I29" s="807"/>
      <c r="J29" s="807"/>
    </row>
    <row r="30" spans="1:15">
      <c r="A30" s="807"/>
      <c r="B30" s="807"/>
      <c r="C30" s="807"/>
      <c r="D30" s="807"/>
      <c r="E30" s="807"/>
      <c r="F30" s="807"/>
      <c r="G30" s="807"/>
      <c r="H30" s="807"/>
      <c r="I30" s="807"/>
      <c r="J30" s="807"/>
    </row>
    <row r="31" spans="1:15">
      <c r="A31" s="807"/>
      <c r="B31" s="807"/>
      <c r="C31" s="807"/>
      <c r="D31" s="807"/>
      <c r="E31" s="807"/>
      <c r="F31" s="807"/>
      <c r="G31" s="807"/>
      <c r="H31" s="807"/>
      <c r="I31" s="807"/>
      <c r="J31" s="807"/>
    </row>
    <row r="32" spans="1:15">
      <c r="A32" s="807"/>
      <c r="B32" s="807"/>
      <c r="C32" s="807"/>
      <c r="D32" s="807"/>
      <c r="E32" s="807"/>
      <c r="F32" s="807"/>
      <c r="G32" s="807"/>
      <c r="H32" s="807"/>
      <c r="I32" s="807"/>
      <c r="J32" s="807"/>
    </row>
    <row r="33" spans="1:10">
      <c r="A33" s="807"/>
      <c r="B33" s="807"/>
      <c r="C33" s="807"/>
      <c r="D33" s="807"/>
      <c r="E33" s="807"/>
      <c r="F33" s="807"/>
      <c r="G33" s="807"/>
      <c r="H33" s="807"/>
      <c r="I33" s="807"/>
      <c r="J33" s="807"/>
    </row>
    <row r="34" spans="1:10" ht="42" customHeight="1">
      <c r="A34" s="807"/>
      <c r="B34" s="807"/>
      <c r="C34" s="807"/>
      <c r="D34" s="807"/>
      <c r="E34" s="807"/>
      <c r="F34" s="807"/>
      <c r="G34" s="807"/>
      <c r="H34" s="807"/>
      <c r="I34" s="807"/>
      <c r="J34" s="807"/>
    </row>
  </sheetData>
  <mergeCells count="22">
    <mergeCell ref="A1:J2"/>
    <mergeCell ref="A29:J34"/>
    <mergeCell ref="H20:H21"/>
    <mergeCell ref="I8:I9"/>
    <mergeCell ref="I20:I21"/>
    <mergeCell ref="J8:J9"/>
    <mergeCell ref="J20:J21"/>
    <mergeCell ref="D20:G20"/>
    <mergeCell ref="A8:A9"/>
    <mergeCell ref="A10:A15"/>
    <mergeCell ref="A20:A21"/>
    <mergeCell ref="A22:A27"/>
    <mergeCell ref="B8:B9"/>
    <mergeCell ref="B20:B21"/>
    <mergeCell ref="C8:C9"/>
    <mergeCell ref="C20:C21"/>
    <mergeCell ref="A3:J3"/>
    <mergeCell ref="D8:G8"/>
    <mergeCell ref="A16:J16"/>
    <mergeCell ref="A18:J18"/>
    <mergeCell ref="A19:J19"/>
    <mergeCell ref="H8:H9"/>
  </mergeCells>
  <phoneticPr fontId="156" type="noConversion"/>
  <pageMargins left="0.69930555555555596" right="0.69930555555555596" top="0.75" bottom="0.75" header="0.3" footer="0.3"/>
  <pageSetup paperSize="9" orientation="portrait"/>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sheetPr>
  <dimension ref="A1:S46"/>
  <sheetViews>
    <sheetView showGridLines="0" topLeftCell="A28" workbookViewId="0">
      <selection activeCell="K21" sqref="K21"/>
    </sheetView>
  </sheetViews>
  <sheetFormatPr defaultColWidth="9" defaultRowHeight="12"/>
  <cols>
    <col min="1" max="1" width="3.875" style="259" customWidth="1"/>
    <col min="2" max="2" width="21.125" style="64" customWidth="1"/>
    <col min="3" max="7" width="7.25" style="64" customWidth="1"/>
    <col min="8" max="8" width="8.375" style="64" customWidth="1"/>
    <col min="9" max="14" width="7.25" style="64" customWidth="1"/>
    <col min="15" max="15" width="18.375" style="64" customWidth="1"/>
    <col min="16" max="16" width="19.125" style="64" customWidth="1"/>
    <col min="17" max="17" width="4.375" style="64" customWidth="1"/>
    <col min="18" max="18" width="10.75" style="64" customWidth="1"/>
    <col min="19" max="256" width="9" style="64"/>
    <col min="257" max="257" width="3.875" style="64" customWidth="1"/>
    <col min="258" max="258" width="21.125" style="64" customWidth="1"/>
    <col min="259" max="263" width="7.25" style="64" customWidth="1"/>
    <col min="264" max="264" width="8.375" style="64" customWidth="1"/>
    <col min="265" max="270" width="7.25" style="64" customWidth="1"/>
    <col min="271" max="271" width="18.625" style="64" customWidth="1"/>
    <col min="272" max="272" width="19.125" style="64" customWidth="1"/>
    <col min="273" max="273" width="4.375" style="64" customWidth="1"/>
    <col min="274" max="274" width="10.75" style="64" customWidth="1"/>
    <col min="275" max="512" width="9" style="64"/>
    <col min="513" max="513" width="3.875" style="64" customWidth="1"/>
    <col min="514" max="514" width="21.125" style="64" customWidth="1"/>
    <col min="515" max="519" width="7.25" style="64" customWidth="1"/>
    <col min="520" max="520" width="8.375" style="64" customWidth="1"/>
    <col min="521" max="526" width="7.25" style="64" customWidth="1"/>
    <col min="527" max="527" width="18.625" style="64" customWidth="1"/>
    <col min="528" max="528" width="19.125" style="64" customWidth="1"/>
    <col min="529" max="529" width="4.375" style="64" customWidth="1"/>
    <col min="530" max="530" width="10.75" style="64" customWidth="1"/>
    <col min="531" max="768" width="9" style="64"/>
    <col min="769" max="769" width="3.875" style="64" customWidth="1"/>
    <col min="770" max="770" width="21.125" style="64" customWidth="1"/>
    <col min="771" max="775" width="7.25" style="64" customWidth="1"/>
    <col min="776" max="776" width="8.375" style="64" customWidth="1"/>
    <col min="777" max="782" width="7.25" style="64" customWidth="1"/>
    <col min="783" max="783" width="18.625" style="64" customWidth="1"/>
    <col min="784" max="784" width="19.125" style="64" customWidth="1"/>
    <col min="785" max="785" width="4.375" style="64" customWidth="1"/>
    <col min="786" max="786" width="10.75" style="64" customWidth="1"/>
    <col min="787" max="1024" width="9" style="64"/>
    <col min="1025" max="1025" width="3.875" style="64" customWidth="1"/>
    <col min="1026" max="1026" width="21.125" style="64" customWidth="1"/>
    <col min="1027" max="1031" width="7.25" style="64" customWidth="1"/>
    <col min="1032" max="1032" width="8.375" style="64" customWidth="1"/>
    <col min="1033" max="1038" width="7.25" style="64" customWidth="1"/>
    <col min="1039" max="1039" width="18.625" style="64" customWidth="1"/>
    <col min="1040" max="1040" width="19.125" style="64" customWidth="1"/>
    <col min="1041" max="1041" width="4.375" style="64" customWidth="1"/>
    <col min="1042" max="1042" width="10.75" style="64" customWidth="1"/>
    <col min="1043" max="1280" width="9" style="64"/>
    <col min="1281" max="1281" width="3.875" style="64" customWidth="1"/>
    <col min="1282" max="1282" width="21.125" style="64" customWidth="1"/>
    <col min="1283" max="1287" width="7.25" style="64" customWidth="1"/>
    <col min="1288" max="1288" width="8.375" style="64" customWidth="1"/>
    <col min="1289" max="1294" width="7.25" style="64" customWidth="1"/>
    <col min="1295" max="1295" width="18.625" style="64" customWidth="1"/>
    <col min="1296" max="1296" width="19.125" style="64" customWidth="1"/>
    <col min="1297" max="1297" width="4.375" style="64" customWidth="1"/>
    <col min="1298" max="1298" width="10.75" style="64" customWidth="1"/>
    <col min="1299" max="1536" width="9" style="64"/>
    <col min="1537" max="1537" width="3.875" style="64" customWidth="1"/>
    <col min="1538" max="1538" width="21.125" style="64" customWidth="1"/>
    <col min="1539" max="1543" width="7.25" style="64" customWidth="1"/>
    <col min="1544" max="1544" width="8.375" style="64" customWidth="1"/>
    <col min="1545" max="1550" width="7.25" style="64" customWidth="1"/>
    <col min="1551" max="1551" width="18.625" style="64" customWidth="1"/>
    <col min="1552" max="1552" width="19.125" style="64" customWidth="1"/>
    <col min="1553" max="1553" width="4.375" style="64" customWidth="1"/>
    <col min="1554" max="1554" width="10.75" style="64" customWidth="1"/>
    <col min="1555" max="1792" width="9" style="64"/>
    <col min="1793" max="1793" width="3.875" style="64" customWidth="1"/>
    <col min="1794" max="1794" width="21.125" style="64" customWidth="1"/>
    <col min="1795" max="1799" width="7.25" style="64" customWidth="1"/>
    <col min="1800" max="1800" width="8.375" style="64" customWidth="1"/>
    <col min="1801" max="1806" width="7.25" style="64" customWidth="1"/>
    <col min="1807" max="1807" width="18.625" style="64" customWidth="1"/>
    <col min="1808" max="1808" width="19.125" style="64" customWidth="1"/>
    <col min="1809" max="1809" width="4.375" style="64" customWidth="1"/>
    <col min="1810" max="1810" width="10.75" style="64" customWidth="1"/>
    <col min="1811" max="2048" width="9" style="64"/>
    <col min="2049" max="2049" width="3.875" style="64" customWidth="1"/>
    <col min="2050" max="2050" width="21.125" style="64" customWidth="1"/>
    <col min="2051" max="2055" width="7.25" style="64" customWidth="1"/>
    <col min="2056" max="2056" width="8.375" style="64" customWidth="1"/>
    <col min="2057" max="2062" width="7.25" style="64" customWidth="1"/>
    <col min="2063" max="2063" width="18.625" style="64" customWidth="1"/>
    <col min="2064" max="2064" width="19.125" style="64" customWidth="1"/>
    <col min="2065" max="2065" width="4.375" style="64" customWidth="1"/>
    <col min="2066" max="2066" width="10.75" style="64" customWidth="1"/>
    <col min="2067" max="2304" width="9" style="64"/>
    <col min="2305" max="2305" width="3.875" style="64" customWidth="1"/>
    <col min="2306" max="2306" width="21.125" style="64" customWidth="1"/>
    <col min="2307" max="2311" width="7.25" style="64" customWidth="1"/>
    <col min="2312" max="2312" width="8.375" style="64" customWidth="1"/>
    <col min="2313" max="2318" width="7.25" style="64" customWidth="1"/>
    <col min="2319" max="2319" width="18.625" style="64" customWidth="1"/>
    <col min="2320" max="2320" width="19.125" style="64" customWidth="1"/>
    <col min="2321" max="2321" width="4.375" style="64" customWidth="1"/>
    <col min="2322" max="2322" width="10.75" style="64" customWidth="1"/>
    <col min="2323" max="2560" width="9" style="64"/>
    <col min="2561" max="2561" width="3.875" style="64" customWidth="1"/>
    <col min="2562" max="2562" width="21.125" style="64" customWidth="1"/>
    <col min="2563" max="2567" width="7.25" style="64" customWidth="1"/>
    <col min="2568" max="2568" width="8.375" style="64" customWidth="1"/>
    <col min="2569" max="2574" width="7.25" style="64" customWidth="1"/>
    <col min="2575" max="2575" width="18.625" style="64" customWidth="1"/>
    <col min="2576" max="2576" width="19.125" style="64" customWidth="1"/>
    <col min="2577" max="2577" width="4.375" style="64" customWidth="1"/>
    <col min="2578" max="2578" width="10.75" style="64" customWidth="1"/>
    <col min="2579" max="2816" width="9" style="64"/>
    <col min="2817" max="2817" width="3.875" style="64" customWidth="1"/>
    <col min="2818" max="2818" width="21.125" style="64" customWidth="1"/>
    <col min="2819" max="2823" width="7.25" style="64" customWidth="1"/>
    <col min="2824" max="2824" width="8.375" style="64" customWidth="1"/>
    <col min="2825" max="2830" width="7.25" style="64" customWidth="1"/>
    <col min="2831" max="2831" width="18.625" style="64" customWidth="1"/>
    <col min="2832" max="2832" width="19.125" style="64" customWidth="1"/>
    <col min="2833" max="2833" width="4.375" style="64" customWidth="1"/>
    <col min="2834" max="2834" width="10.75" style="64" customWidth="1"/>
    <col min="2835" max="3072" width="9" style="64"/>
    <col min="3073" max="3073" width="3.875" style="64" customWidth="1"/>
    <col min="3074" max="3074" width="21.125" style="64" customWidth="1"/>
    <col min="3075" max="3079" width="7.25" style="64" customWidth="1"/>
    <col min="3080" max="3080" width="8.375" style="64" customWidth="1"/>
    <col min="3081" max="3086" width="7.25" style="64" customWidth="1"/>
    <col min="3087" max="3087" width="18.625" style="64" customWidth="1"/>
    <col min="3088" max="3088" width="19.125" style="64" customWidth="1"/>
    <col min="3089" max="3089" width="4.375" style="64" customWidth="1"/>
    <col min="3090" max="3090" width="10.75" style="64" customWidth="1"/>
    <col min="3091" max="3328" width="9" style="64"/>
    <col min="3329" max="3329" width="3.875" style="64" customWidth="1"/>
    <col min="3330" max="3330" width="21.125" style="64" customWidth="1"/>
    <col min="3331" max="3335" width="7.25" style="64" customWidth="1"/>
    <col min="3336" max="3336" width="8.375" style="64" customWidth="1"/>
    <col min="3337" max="3342" width="7.25" style="64" customWidth="1"/>
    <col min="3343" max="3343" width="18.625" style="64" customWidth="1"/>
    <col min="3344" max="3344" width="19.125" style="64" customWidth="1"/>
    <col min="3345" max="3345" width="4.375" style="64" customWidth="1"/>
    <col min="3346" max="3346" width="10.75" style="64" customWidth="1"/>
    <col min="3347" max="3584" width="9" style="64"/>
    <col min="3585" max="3585" width="3.875" style="64" customWidth="1"/>
    <col min="3586" max="3586" width="21.125" style="64" customWidth="1"/>
    <col min="3587" max="3591" width="7.25" style="64" customWidth="1"/>
    <col min="3592" max="3592" width="8.375" style="64" customWidth="1"/>
    <col min="3593" max="3598" width="7.25" style="64" customWidth="1"/>
    <col min="3599" max="3599" width="18.625" style="64" customWidth="1"/>
    <col min="3600" max="3600" width="19.125" style="64" customWidth="1"/>
    <col min="3601" max="3601" width="4.375" style="64" customWidth="1"/>
    <col min="3602" max="3602" width="10.75" style="64" customWidth="1"/>
    <col min="3603" max="3840" width="9" style="64"/>
    <col min="3841" max="3841" width="3.875" style="64" customWidth="1"/>
    <col min="3842" max="3842" width="21.125" style="64" customWidth="1"/>
    <col min="3843" max="3847" width="7.25" style="64" customWidth="1"/>
    <col min="3848" max="3848" width="8.375" style="64" customWidth="1"/>
    <col min="3849" max="3854" width="7.25" style="64" customWidth="1"/>
    <col min="3855" max="3855" width="18.625" style="64" customWidth="1"/>
    <col min="3856" max="3856" width="19.125" style="64" customWidth="1"/>
    <col min="3857" max="3857" width="4.375" style="64" customWidth="1"/>
    <col min="3858" max="3858" width="10.75" style="64" customWidth="1"/>
    <col min="3859" max="4096" width="9" style="64"/>
    <col min="4097" max="4097" width="3.875" style="64" customWidth="1"/>
    <col min="4098" max="4098" width="21.125" style="64" customWidth="1"/>
    <col min="4099" max="4103" width="7.25" style="64" customWidth="1"/>
    <col min="4104" max="4104" width="8.375" style="64" customWidth="1"/>
    <col min="4105" max="4110" width="7.25" style="64" customWidth="1"/>
    <col min="4111" max="4111" width="18.625" style="64" customWidth="1"/>
    <col min="4112" max="4112" width="19.125" style="64" customWidth="1"/>
    <col min="4113" max="4113" width="4.375" style="64" customWidth="1"/>
    <col min="4114" max="4114" width="10.75" style="64" customWidth="1"/>
    <col min="4115" max="4352" width="9" style="64"/>
    <col min="4353" max="4353" width="3.875" style="64" customWidth="1"/>
    <col min="4354" max="4354" width="21.125" style="64" customWidth="1"/>
    <col min="4355" max="4359" width="7.25" style="64" customWidth="1"/>
    <col min="4360" max="4360" width="8.375" style="64" customWidth="1"/>
    <col min="4361" max="4366" width="7.25" style="64" customWidth="1"/>
    <col min="4367" max="4367" width="18.625" style="64" customWidth="1"/>
    <col min="4368" max="4368" width="19.125" style="64" customWidth="1"/>
    <col min="4369" max="4369" width="4.375" style="64" customWidth="1"/>
    <col min="4370" max="4370" width="10.75" style="64" customWidth="1"/>
    <col min="4371" max="4608" width="9" style="64"/>
    <col min="4609" max="4609" width="3.875" style="64" customWidth="1"/>
    <col min="4610" max="4610" width="21.125" style="64" customWidth="1"/>
    <col min="4611" max="4615" width="7.25" style="64" customWidth="1"/>
    <col min="4616" max="4616" width="8.375" style="64" customWidth="1"/>
    <col min="4617" max="4622" width="7.25" style="64" customWidth="1"/>
    <col min="4623" max="4623" width="18.625" style="64" customWidth="1"/>
    <col min="4624" max="4624" width="19.125" style="64" customWidth="1"/>
    <col min="4625" max="4625" width="4.375" style="64" customWidth="1"/>
    <col min="4626" max="4626" width="10.75" style="64" customWidth="1"/>
    <col min="4627" max="4864" width="9" style="64"/>
    <col min="4865" max="4865" width="3.875" style="64" customWidth="1"/>
    <col min="4866" max="4866" width="21.125" style="64" customWidth="1"/>
    <col min="4867" max="4871" width="7.25" style="64" customWidth="1"/>
    <col min="4872" max="4872" width="8.375" style="64" customWidth="1"/>
    <col min="4873" max="4878" width="7.25" style="64" customWidth="1"/>
    <col min="4879" max="4879" width="18.625" style="64" customWidth="1"/>
    <col min="4880" max="4880" width="19.125" style="64" customWidth="1"/>
    <col min="4881" max="4881" width="4.375" style="64" customWidth="1"/>
    <col min="4882" max="4882" width="10.75" style="64" customWidth="1"/>
    <col min="4883" max="5120" width="9" style="64"/>
    <col min="5121" max="5121" width="3.875" style="64" customWidth="1"/>
    <col min="5122" max="5122" width="21.125" style="64" customWidth="1"/>
    <col min="5123" max="5127" width="7.25" style="64" customWidth="1"/>
    <col min="5128" max="5128" width="8.375" style="64" customWidth="1"/>
    <col min="5129" max="5134" width="7.25" style="64" customWidth="1"/>
    <col min="5135" max="5135" width="18.625" style="64" customWidth="1"/>
    <col min="5136" max="5136" width="19.125" style="64" customWidth="1"/>
    <col min="5137" max="5137" width="4.375" style="64" customWidth="1"/>
    <col min="5138" max="5138" width="10.75" style="64" customWidth="1"/>
    <col min="5139" max="5376" width="9" style="64"/>
    <col min="5377" max="5377" width="3.875" style="64" customWidth="1"/>
    <col min="5378" max="5378" width="21.125" style="64" customWidth="1"/>
    <col min="5379" max="5383" width="7.25" style="64" customWidth="1"/>
    <col min="5384" max="5384" width="8.375" style="64" customWidth="1"/>
    <col min="5385" max="5390" width="7.25" style="64" customWidth="1"/>
    <col min="5391" max="5391" width="18.625" style="64" customWidth="1"/>
    <col min="5392" max="5392" width="19.125" style="64" customWidth="1"/>
    <col min="5393" max="5393" width="4.375" style="64" customWidth="1"/>
    <col min="5394" max="5394" width="10.75" style="64" customWidth="1"/>
    <col min="5395" max="5632" width="9" style="64"/>
    <col min="5633" max="5633" width="3.875" style="64" customWidth="1"/>
    <col min="5634" max="5634" width="21.125" style="64" customWidth="1"/>
    <col min="5635" max="5639" width="7.25" style="64" customWidth="1"/>
    <col min="5640" max="5640" width="8.375" style="64" customWidth="1"/>
    <col min="5641" max="5646" width="7.25" style="64" customWidth="1"/>
    <col min="5647" max="5647" width="18.625" style="64" customWidth="1"/>
    <col min="5648" max="5648" width="19.125" style="64" customWidth="1"/>
    <col min="5649" max="5649" width="4.375" style="64" customWidth="1"/>
    <col min="5650" max="5650" width="10.75" style="64" customWidth="1"/>
    <col min="5651" max="5888" width="9" style="64"/>
    <col min="5889" max="5889" width="3.875" style="64" customWidth="1"/>
    <col min="5890" max="5890" width="21.125" style="64" customWidth="1"/>
    <col min="5891" max="5895" width="7.25" style="64" customWidth="1"/>
    <col min="5896" max="5896" width="8.375" style="64" customWidth="1"/>
    <col min="5897" max="5902" width="7.25" style="64" customWidth="1"/>
    <col min="5903" max="5903" width="18.625" style="64" customWidth="1"/>
    <col min="5904" max="5904" width="19.125" style="64" customWidth="1"/>
    <col min="5905" max="5905" width="4.375" style="64" customWidth="1"/>
    <col min="5906" max="5906" width="10.75" style="64" customWidth="1"/>
    <col min="5907" max="6144" width="9" style="64"/>
    <col min="6145" max="6145" width="3.875" style="64" customWidth="1"/>
    <col min="6146" max="6146" width="21.125" style="64" customWidth="1"/>
    <col min="6147" max="6151" width="7.25" style="64" customWidth="1"/>
    <col min="6152" max="6152" width="8.375" style="64" customWidth="1"/>
    <col min="6153" max="6158" width="7.25" style="64" customWidth="1"/>
    <col min="6159" max="6159" width="18.625" style="64" customWidth="1"/>
    <col min="6160" max="6160" width="19.125" style="64" customWidth="1"/>
    <col min="6161" max="6161" width="4.375" style="64" customWidth="1"/>
    <col min="6162" max="6162" width="10.75" style="64" customWidth="1"/>
    <col min="6163" max="6400" width="9" style="64"/>
    <col min="6401" max="6401" width="3.875" style="64" customWidth="1"/>
    <col min="6402" max="6402" width="21.125" style="64" customWidth="1"/>
    <col min="6403" max="6407" width="7.25" style="64" customWidth="1"/>
    <col min="6408" max="6408" width="8.375" style="64" customWidth="1"/>
    <col min="6409" max="6414" width="7.25" style="64" customWidth="1"/>
    <col min="6415" max="6415" width="18.625" style="64" customWidth="1"/>
    <col min="6416" max="6416" width="19.125" style="64" customWidth="1"/>
    <col min="6417" max="6417" width="4.375" style="64" customWidth="1"/>
    <col min="6418" max="6418" width="10.75" style="64" customWidth="1"/>
    <col min="6419" max="6656" width="9" style="64"/>
    <col min="6657" max="6657" width="3.875" style="64" customWidth="1"/>
    <col min="6658" max="6658" width="21.125" style="64" customWidth="1"/>
    <col min="6659" max="6663" width="7.25" style="64" customWidth="1"/>
    <col min="6664" max="6664" width="8.375" style="64" customWidth="1"/>
    <col min="6665" max="6670" width="7.25" style="64" customWidth="1"/>
    <col min="6671" max="6671" width="18.625" style="64" customWidth="1"/>
    <col min="6672" max="6672" width="19.125" style="64" customWidth="1"/>
    <col min="6673" max="6673" width="4.375" style="64" customWidth="1"/>
    <col min="6674" max="6674" width="10.75" style="64" customWidth="1"/>
    <col min="6675" max="6912" width="9" style="64"/>
    <col min="6913" max="6913" width="3.875" style="64" customWidth="1"/>
    <col min="6914" max="6914" width="21.125" style="64" customWidth="1"/>
    <col min="6915" max="6919" width="7.25" style="64" customWidth="1"/>
    <col min="6920" max="6920" width="8.375" style="64" customWidth="1"/>
    <col min="6921" max="6926" width="7.25" style="64" customWidth="1"/>
    <col min="6927" max="6927" width="18.625" style="64" customWidth="1"/>
    <col min="6928" max="6928" width="19.125" style="64" customWidth="1"/>
    <col min="6929" max="6929" width="4.375" style="64" customWidth="1"/>
    <col min="6930" max="6930" width="10.75" style="64" customWidth="1"/>
    <col min="6931" max="7168" width="9" style="64"/>
    <col min="7169" max="7169" width="3.875" style="64" customWidth="1"/>
    <col min="7170" max="7170" width="21.125" style="64" customWidth="1"/>
    <col min="7171" max="7175" width="7.25" style="64" customWidth="1"/>
    <col min="7176" max="7176" width="8.375" style="64" customWidth="1"/>
    <col min="7177" max="7182" width="7.25" style="64" customWidth="1"/>
    <col min="7183" max="7183" width="18.625" style="64" customWidth="1"/>
    <col min="7184" max="7184" width="19.125" style="64" customWidth="1"/>
    <col min="7185" max="7185" width="4.375" style="64" customWidth="1"/>
    <col min="7186" max="7186" width="10.75" style="64" customWidth="1"/>
    <col min="7187" max="7424" width="9" style="64"/>
    <col min="7425" max="7425" width="3.875" style="64" customWidth="1"/>
    <col min="7426" max="7426" width="21.125" style="64" customWidth="1"/>
    <col min="7427" max="7431" width="7.25" style="64" customWidth="1"/>
    <col min="7432" max="7432" width="8.375" style="64" customWidth="1"/>
    <col min="7433" max="7438" width="7.25" style="64" customWidth="1"/>
    <col min="7439" max="7439" width="18.625" style="64" customWidth="1"/>
    <col min="7440" max="7440" width="19.125" style="64" customWidth="1"/>
    <col min="7441" max="7441" width="4.375" style="64" customWidth="1"/>
    <col min="7442" max="7442" width="10.75" style="64" customWidth="1"/>
    <col min="7443" max="7680" width="9" style="64"/>
    <col min="7681" max="7681" width="3.875" style="64" customWidth="1"/>
    <col min="7682" max="7682" width="21.125" style="64" customWidth="1"/>
    <col min="7683" max="7687" width="7.25" style="64" customWidth="1"/>
    <col min="7688" max="7688" width="8.375" style="64" customWidth="1"/>
    <col min="7689" max="7694" width="7.25" style="64" customWidth="1"/>
    <col min="7695" max="7695" width="18.625" style="64" customWidth="1"/>
    <col min="7696" max="7696" width="19.125" style="64" customWidth="1"/>
    <col min="7697" max="7697" width="4.375" style="64" customWidth="1"/>
    <col min="7698" max="7698" width="10.75" style="64" customWidth="1"/>
    <col min="7699" max="7936" width="9" style="64"/>
    <col min="7937" max="7937" width="3.875" style="64" customWidth="1"/>
    <col min="7938" max="7938" width="21.125" style="64" customWidth="1"/>
    <col min="7939" max="7943" width="7.25" style="64" customWidth="1"/>
    <col min="7944" max="7944" width="8.375" style="64" customWidth="1"/>
    <col min="7945" max="7950" width="7.25" style="64" customWidth="1"/>
    <col min="7951" max="7951" width="18.625" style="64" customWidth="1"/>
    <col min="7952" max="7952" width="19.125" style="64" customWidth="1"/>
    <col min="7953" max="7953" width="4.375" style="64" customWidth="1"/>
    <col min="7954" max="7954" width="10.75" style="64" customWidth="1"/>
    <col min="7955" max="8192" width="9" style="64"/>
    <col min="8193" max="8193" width="3.875" style="64" customWidth="1"/>
    <col min="8194" max="8194" width="21.125" style="64" customWidth="1"/>
    <col min="8195" max="8199" width="7.25" style="64" customWidth="1"/>
    <col min="8200" max="8200" width="8.375" style="64" customWidth="1"/>
    <col min="8201" max="8206" width="7.25" style="64" customWidth="1"/>
    <col min="8207" max="8207" width="18.625" style="64" customWidth="1"/>
    <col min="8208" max="8208" width="19.125" style="64" customWidth="1"/>
    <col min="8209" max="8209" width="4.375" style="64" customWidth="1"/>
    <col min="8210" max="8210" width="10.75" style="64" customWidth="1"/>
    <col min="8211" max="8448" width="9" style="64"/>
    <col min="8449" max="8449" width="3.875" style="64" customWidth="1"/>
    <col min="8450" max="8450" width="21.125" style="64" customWidth="1"/>
    <col min="8451" max="8455" width="7.25" style="64" customWidth="1"/>
    <col min="8456" max="8456" width="8.375" style="64" customWidth="1"/>
    <col min="8457" max="8462" width="7.25" style="64" customWidth="1"/>
    <col min="8463" max="8463" width="18.625" style="64" customWidth="1"/>
    <col min="8464" max="8464" width="19.125" style="64" customWidth="1"/>
    <col min="8465" max="8465" width="4.375" style="64" customWidth="1"/>
    <col min="8466" max="8466" width="10.75" style="64" customWidth="1"/>
    <col min="8467" max="8704" width="9" style="64"/>
    <col min="8705" max="8705" width="3.875" style="64" customWidth="1"/>
    <col min="8706" max="8706" width="21.125" style="64" customWidth="1"/>
    <col min="8707" max="8711" width="7.25" style="64" customWidth="1"/>
    <col min="8712" max="8712" width="8.375" style="64" customWidth="1"/>
    <col min="8713" max="8718" width="7.25" style="64" customWidth="1"/>
    <col min="8719" max="8719" width="18.625" style="64" customWidth="1"/>
    <col min="8720" max="8720" width="19.125" style="64" customWidth="1"/>
    <col min="8721" max="8721" width="4.375" style="64" customWidth="1"/>
    <col min="8722" max="8722" width="10.75" style="64" customWidth="1"/>
    <col min="8723" max="8960" width="9" style="64"/>
    <col min="8961" max="8961" width="3.875" style="64" customWidth="1"/>
    <col min="8962" max="8962" width="21.125" style="64" customWidth="1"/>
    <col min="8963" max="8967" width="7.25" style="64" customWidth="1"/>
    <col min="8968" max="8968" width="8.375" style="64" customWidth="1"/>
    <col min="8969" max="8974" width="7.25" style="64" customWidth="1"/>
    <col min="8975" max="8975" width="18.625" style="64" customWidth="1"/>
    <col min="8976" max="8976" width="19.125" style="64" customWidth="1"/>
    <col min="8977" max="8977" width="4.375" style="64" customWidth="1"/>
    <col min="8978" max="8978" width="10.75" style="64" customWidth="1"/>
    <col min="8979" max="9216" width="9" style="64"/>
    <col min="9217" max="9217" width="3.875" style="64" customWidth="1"/>
    <col min="9218" max="9218" width="21.125" style="64" customWidth="1"/>
    <col min="9219" max="9223" width="7.25" style="64" customWidth="1"/>
    <col min="9224" max="9224" width="8.375" style="64" customWidth="1"/>
    <col min="9225" max="9230" width="7.25" style="64" customWidth="1"/>
    <col min="9231" max="9231" width="18.625" style="64" customWidth="1"/>
    <col min="9232" max="9232" width="19.125" style="64" customWidth="1"/>
    <col min="9233" max="9233" width="4.375" style="64" customWidth="1"/>
    <col min="9234" max="9234" width="10.75" style="64" customWidth="1"/>
    <col min="9235" max="9472" width="9" style="64"/>
    <col min="9473" max="9473" width="3.875" style="64" customWidth="1"/>
    <col min="9474" max="9474" width="21.125" style="64" customWidth="1"/>
    <col min="9475" max="9479" width="7.25" style="64" customWidth="1"/>
    <col min="9480" max="9480" width="8.375" style="64" customWidth="1"/>
    <col min="9481" max="9486" width="7.25" style="64" customWidth="1"/>
    <col min="9487" max="9487" width="18.625" style="64" customWidth="1"/>
    <col min="9488" max="9488" width="19.125" style="64" customWidth="1"/>
    <col min="9489" max="9489" width="4.375" style="64" customWidth="1"/>
    <col min="9490" max="9490" width="10.75" style="64" customWidth="1"/>
    <col min="9491" max="9728" width="9" style="64"/>
    <col min="9729" max="9729" width="3.875" style="64" customWidth="1"/>
    <col min="9730" max="9730" width="21.125" style="64" customWidth="1"/>
    <col min="9731" max="9735" width="7.25" style="64" customWidth="1"/>
    <col min="9736" max="9736" width="8.375" style="64" customWidth="1"/>
    <col min="9737" max="9742" width="7.25" style="64" customWidth="1"/>
    <col min="9743" max="9743" width="18.625" style="64" customWidth="1"/>
    <col min="9744" max="9744" width="19.125" style="64" customWidth="1"/>
    <col min="9745" max="9745" width="4.375" style="64" customWidth="1"/>
    <col min="9746" max="9746" width="10.75" style="64" customWidth="1"/>
    <col min="9747" max="9984" width="9" style="64"/>
    <col min="9985" max="9985" width="3.875" style="64" customWidth="1"/>
    <col min="9986" max="9986" width="21.125" style="64" customWidth="1"/>
    <col min="9987" max="9991" width="7.25" style="64" customWidth="1"/>
    <col min="9992" max="9992" width="8.375" style="64" customWidth="1"/>
    <col min="9993" max="9998" width="7.25" style="64" customWidth="1"/>
    <col min="9999" max="9999" width="18.625" style="64" customWidth="1"/>
    <col min="10000" max="10000" width="19.125" style="64" customWidth="1"/>
    <col min="10001" max="10001" width="4.375" style="64" customWidth="1"/>
    <col min="10002" max="10002" width="10.75" style="64" customWidth="1"/>
    <col min="10003" max="10240" width="9" style="64"/>
    <col min="10241" max="10241" width="3.875" style="64" customWidth="1"/>
    <col min="10242" max="10242" width="21.125" style="64" customWidth="1"/>
    <col min="10243" max="10247" width="7.25" style="64" customWidth="1"/>
    <col min="10248" max="10248" width="8.375" style="64" customWidth="1"/>
    <col min="10249" max="10254" width="7.25" style="64" customWidth="1"/>
    <col min="10255" max="10255" width="18.625" style="64" customWidth="1"/>
    <col min="10256" max="10256" width="19.125" style="64" customWidth="1"/>
    <col min="10257" max="10257" width="4.375" style="64" customWidth="1"/>
    <col min="10258" max="10258" width="10.75" style="64" customWidth="1"/>
    <col min="10259" max="10496" width="9" style="64"/>
    <col min="10497" max="10497" width="3.875" style="64" customWidth="1"/>
    <col min="10498" max="10498" width="21.125" style="64" customWidth="1"/>
    <col min="10499" max="10503" width="7.25" style="64" customWidth="1"/>
    <col min="10504" max="10504" width="8.375" style="64" customWidth="1"/>
    <col min="10505" max="10510" width="7.25" style="64" customWidth="1"/>
    <col min="10511" max="10511" width="18.625" style="64" customWidth="1"/>
    <col min="10512" max="10512" width="19.125" style="64" customWidth="1"/>
    <col min="10513" max="10513" width="4.375" style="64" customWidth="1"/>
    <col min="10514" max="10514" width="10.75" style="64" customWidth="1"/>
    <col min="10515" max="10752" width="9" style="64"/>
    <col min="10753" max="10753" width="3.875" style="64" customWidth="1"/>
    <col min="10754" max="10754" width="21.125" style="64" customWidth="1"/>
    <col min="10755" max="10759" width="7.25" style="64" customWidth="1"/>
    <col min="10760" max="10760" width="8.375" style="64" customWidth="1"/>
    <col min="10761" max="10766" width="7.25" style="64" customWidth="1"/>
    <col min="10767" max="10767" width="18.625" style="64" customWidth="1"/>
    <col min="10768" max="10768" width="19.125" style="64" customWidth="1"/>
    <col min="10769" max="10769" width="4.375" style="64" customWidth="1"/>
    <col min="10770" max="10770" width="10.75" style="64" customWidth="1"/>
    <col min="10771" max="11008" width="9" style="64"/>
    <col min="11009" max="11009" width="3.875" style="64" customWidth="1"/>
    <col min="11010" max="11010" width="21.125" style="64" customWidth="1"/>
    <col min="11011" max="11015" width="7.25" style="64" customWidth="1"/>
    <col min="11016" max="11016" width="8.375" style="64" customWidth="1"/>
    <col min="11017" max="11022" width="7.25" style="64" customWidth="1"/>
    <col min="11023" max="11023" width="18.625" style="64" customWidth="1"/>
    <col min="11024" max="11024" width="19.125" style="64" customWidth="1"/>
    <col min="11025" max="11025" width="4.375" style="64" customWidth="1"/>
    <col min="11026" max="11026" width="10.75" style="64" customWidth="1"/>
    <col min="11027" max="11264" width="9" style="64"/>
    <col min="11265" max="11265" width="3.875" style="64" customWidth="1"/>
    <col min="11266" max="11266" width="21.125" style="64" customWidth="1"/>
    <col min="11267" max="11271" width="7.25" style="64" customWidth="1"/>
    <col min="11272" max="11272" width="8.375" style="64" customWidth="1"/>
    <col min="11273" max="11278" width="7.25" style="64" customWidth="1"/>
    <col min="11279" max="11279" width="18.625" style="64" customWidth="1"/>
    <col min="11280" max="11280" width="19.125" style="64" customWidth="1"/>
    <col min="11281" max="11281" width="4.375" style="64" customWidth="1"/>
    <col min="11282" max="11282" width="10.75" style="64" customWidth="1"/>
    <col min="11283" max="11520" width="9" style="64"/>
    <col min="11521" max="11521" width="3.875" style="64" customWidth="1"/>
    <col min="11522" max="11522" width="21.125" style="64" customWidth="1"/>
    <col min="11523" max="11527" width="7.25" style="64" customWidth="1"/>
    <col min="11528" max="11528" width="8.375" style="64" customWidth="1"/>
    <col min="11529" max="11534" width="7.25" style="64" customWidth="1"/>
    <col min="11535" max="11535" width="18.625" style="64" customWidth="1"/>
    <col min="11536" max="11536" width="19.125" style="64" customWidth="1"/>
    <col min="11537" max="11537" width="4.375" style="64" customWidth="1"/>
    <col min="11538" max="11538" width="10.75" style="64" customWidth="1"/>
    <col min="11539" max="11776" width="9" style="64"/>
    <col min="11777" max="11777" width="3.875" style="64" customWidth="1"/>
    <col min="11778" max="11778" width="21.125" style="64" customWidth="1"/>
    <col min="11779" max="11783" width="7.25" style="64" customWidth="1"/>
    <col min="11784" max="11784" width="8.375" style="64" customWidth="1"/>
    <col min="11785" max="11790" width="7.25" style="64" customWidth="1"/>
    <col min="11791" max="11791" width="18.625" style="64" customWidth="1"/>
    <col min="11792" max="11792" width="19.125" style="64" customWidth="1"/>
    <col min="11793" max="11793" width="4.375" style="64" customWidth="1"/>
    <col min="11794" max="11794" width="10.75" style="64" customWidth="1"/>
    <col min="11795" max="12032" width="9" style="64"/>
    <col min="12033" max="12033" width="3.875" style="64" customWidth="1"/>
    <col min="12034" max="12034" width="21.125" style="64" customWidth="1"/>
    <col min="12035" max="12039" width="7.25" style="64" customWidth="1"/>
    <col min="12040" max="12040" width="8.375" style="64" customWidth="1"/>
    <col min="12041" max="12046" width="7.25" style="64" customWidth="1"/>
    <col min="12047" max="12047" width="18.625" style="64" customWidth="1"/>
    <col min="12048" max="12048" width="19.125" style="64" customWidth="1"/>
    <col min="12049" max="12049" width="4.375" style="64" customWidth="1"/>
    <col min="12050" max="12050" width="10.75" style="64" customWidth="1"/>
    <col min="12051" max="12288" width="9" style="64"/>
    <col min="12289" max="12289" width="3.875" style="64" customWidth="1"/>
    <col min="12290" max="12290" width="21.125" style="64" customWidth="1"/>
    <col min="12291" max="12295" width="7.25" style="64" customWidth="1"/>
    <col min="12296" max="12296" width="8.375" style="64" customWidth="1"/>
    <col min="12297" max="12302" width="7.25" style="64" customWidth="1"/>
    <col min="12303" max="12303" width="18.625" style="64" customWidth="1"/>
    <col min="12304" max="12304" width="19.125" style="64" customWidth="1"/>
    <col min="12305" max="12305" width="4.375" style="64" customWidth="1"/>
    <col min="12306" max="12306" width="10.75" style="64" customWidth="1"/>
    <col min="12307" max="12544" width="9" style="64"/>
    <col min="12545" max="12545" width="3.875" style="64" customWidth="1"/>
    <col min="12546" max="12546" width="21.125" style="64" customWidth="1"/>
    <col min="12547" max="12551" width="7.25" style="64" customWidth="1"/>
    <col min="12552" max="12552" width="8.375" style="64" customWidth="1"/>
    <col min="12553" max="12558" width="7.25" style="64" customWidth="1"/>
    <col min="12559" max="12559" width="18.625" style="64" customWidth="1"/>
    <col min="12560" max="12560" width="19.125" style="64" customWidth="1"/>
    <col min="12561" max="12561" width="4.375" style="64" customWidth="1"/>
    <col min="12562" max="12562" width="10.75" style="64" customWidth="1"/>
    <col min="12563" max="12800" width="9" style="64"/>
    <col min="12801" max="12801" width="3.875" style="64" customWidth="1"/>
    <col min="12802" max="12802" width="21.125" style="64" customWidth="1"/>
    <col min="12803" max="12807" width="7.25" style="64" customWidth="1"/>
    <col min="12808" max="12808" width="8.375" style="64" customWidth="1"/>
    <col min="12809" max="12814" width="7.25" style="64" customWidth="1"/>
    <col min="12815" max="12815" width="18.625" style="64" customWidth="1"/>
    <col min="12816" max="12816" width="19.125" style="64" customWidth="1"/>
    <col min="12817" max="12817" width="4.375" style="64" customWidth="1"/>
    <col min="12818" max="12818" width="10.75" style="64" customWidth="1"/>
    <col min="12819" max="13056" width="9" style="64"/>
    <col min="13057" max="13057" width="3.875" style="64" customWidth="1"/>
    <col min="13058" max="13058" width="21.125" style="64" customWidth="1"/>
    <col min="13059" max="13063" width="7.25" style="64" customWidth="1"/>
    <col min="13064" max="13064" width="8.375" style="64" customWidth="1"/>
    <col min="13065" max="13070" width="7.25" style="64" customWidth="1"/>
    <col min="13071" max="13071" width="18.625" style="64" customWidth="1"/>
    <col min="13072" max="13072" width="19.125" style="64" customWidth="1"/>
    <col min="13073" max="13073" width="4.375" style="64" customWidth="1"/>
    <col min="13074" max="13074" width="10.75" style="64" customWidth="1"/>
    <col min="13075" max="13312" width="9" style="64"/>
    <col min="13313" max="13313" width="3.875" style="64" customWidth="1"/>
    <col min="13314" max="13314" width="21.125" style="64" customWidth="1"/>
    <col min="13315" max="13319" width="7.25" style="64" customWidth="1"/>
    <col min="13320" max="13320" width="8.375" style="64" customWidth="1"/>
    <col min="13321" max="13326" width="7.25" style="64" customWidth="1"/>
    <col min="13327" max="13327" width="18.625" style="64" customWidth="1"/>
    <col min="13328" max="13328" width="19.125" style="64" customWidth="1"/>
    <col min="13329" max="13329" width="4.375" style="64" customWidth="1"/>
    <col min="13330" max="13330" width="10.75" style="64" customWidth="1"/>
    <col min="13331" max="13568" width="9" style="64"/>
    <col min="13569" max="13569" width="3.875" style="64" customWidth="1"/>
    <col min="13570" max="13570" width="21.125" style="64" customWidth="1"/>
    <col min="13571" max="13575" width="7.25" style="64" customWidth="1"/>
    <col min="13576" max="13576" width="8.375" style="64" customWidth="1"/>
    <col min="13577" max="13582" width="7.25" style="64" customWidth="1"/>
    <col min="13583" max="13583" width="18.625" style="64" customWidth="1"/>
    <col min="13584" max="13584" width="19.125" style="64" customWidth="1"/>
    <col min="13585" max="13585" width="4.375" style="64" customWidth="1"/>
    <col min="13586" max="13586" width="10.75" style="64" customWidth="1"/>
    <col min="13587" max="13824" width="9" style="64"/>
    <col min="13825" max="13825" width="3.875" style="64" customWidth="1"/>
    <col min="13826" max="13826" width="21.125" style="64" customWidth="1"/>
    <col min="13827" max="13831" width="7.25" style="64" customWidth="1"/>
    <col min="13832" max="13832" width="8.375" style="64" customWidth="1"/>
    <col min="13833" max="13838" width="7.25" style="64" customWidth="1"/>
    <col min="13839" max="13839" width="18.625" style="64" customWidth="1"/>
    <col min="13840" max="13840" width="19.125" style="64" customWidth="1"/>
    <col min="13841" max="13841" width="4.375" style="64" customWidth="1"/>
    <col min="13842" max="13842" width="10.75" style="64" customWidth="1"/>
    <col min="13843" max="14080" width="9" style="64"/>
    <col min="14081" max="14081" width="3.875" style="64" customWidth="1"/>
    <col min="14082" max="14082" width="21.125" style="64" customWidth="1"/>
    <col min="14083" max="14087" width="7.25" style="64" customWidth="1"/>
    <col min="14088" max="14088" width="8.375" style="64" customWidth="1"/>
    <col min="14089" max="14094" width="7.25" style="64" customWidth="1"/>
    <col min="14095" max="14095" width="18.625" style="64" customWidth="1"/>
    <col min="14096" max="14096" width="19.125" style="64" customWidth="1"/>
    <col min="14097" max="14097" width="4.375" style="64" customWidth="1"/>
    <col min="14098" max="14098" width="10.75" style="64" customWidth="1"/>
    <col min="14099" max="14336" width="9" style="64"/>
    <col min="14337" max="14337" width="3.875" style="64" customWidth="1"/>
    <col min="14338" max="14338" width="21.125" style="64" customWidth="1"/>
    <col min="14339" max="14343" width="7.25" style="64" customWidth="1"/>
    <col min="14344" max="14344" width="8.375" style="64" customWidth="1"/>
    <col min="14345" max="14350" width="7.25" style="64" customWidth="1"/>
    <col min="14351" max="14351" width="18.625" style="64" customWidth="1"/>
    <col min="14352" max="14352" width="19.125" style="64" customWidth="1"/>
    <col min="14353" max="14353" width="4.375" style="64" customWidth="1"/>
    <col min="14354" max="14354" width="10.75" style="64" customWidth="1"/>
    <col min="14355" max="14592" width="9" style="64"/>
    <col min="14593" max="14593" width="3.875" style="64" customWidth="1"/>
    <col min="14594" max="14594" width="21.125" style="64" customWidth="1"/>
    <col min="14595" max="14599" width="7.25" style="64" customWidth="1"/>
    <col min="14600" max="14600" width="8.375" style="64" customWidth="1"/>
    <col min="14601" max="14606" width="7.25" style="64" customWidth="1"/>
    <col min="14607" max="14607" width="18.625" style="64" customWidth="1"/>
    <col min="14608" max="14608" width="19.125" style="64" customWidth="1"/>
    <col min="14609" max="14609" width="4.375" style="64" customWidth="1"/>
    <col min="14610" max="14610" width="10.75" style="64" customWidth="1"/>
    <col min="14611" max="14848" width="9" style="64"/>
    <col min="14849" max="14849" width="3.875" style="64" customWidth="1"/>
    <col min="14850" max="14850" width="21.125" style="64" customWidth="1"/>
    <col min="14851" max="14855" width="7.25" style="64" customWidth="1"/>
    <col min="14856" max="14856" width="8.375" style="64" customWidth="1"/>
    <col min="14857" max="14862" width="7.25" style="64" customWidth="1"/>
    <col min="14863" max="14863" width="18.625" style="64" customWidth="1"/>
    <col min="14864" max="14864" width="19.125" style="64" customWidth="1"/>
    <col min="14865" max="14865" width="4.375" style="64" customWidth="1"/>
    <col min="14866" max="14866" width="10.75" style="64" customWidth="1"/>
    <col min="14867" max="15104" width="9" style="64"/>
    <col min="15105" max="15105" width="3.875" style="64" customWidth="1"/>
    <col min="15106" max="15106" width="21.125" style="64" customWidth="1"/>
    <col min="15107" max="15111" width="7.25" style="64" customWidth="1"/>
    <col min="15112" max="15112" width="8.375" style="64" customWidth="1"/>
    <col min="15113" max="15118" width="7.25" style="64" customWidth="1"/>
    <col min="15119" max="15119" width="18.625" style="64" customWidth="1"/>
    <col min="15120" max="15120" width="19.125" style="64" customWidth="1"/>
    <col min="15121" max="15121" width="4.375" style="64" customWidth="1"/>
    <col min="15122" max="15122" width="10.75" style="64" customWidth="1"/>
    <col min="15123" max="15360" width="9" style="64"/>
    <col min="15361" max="15361" width="3.875" style="64" customWidth="1"/>
    <col min="15362" max="15362" width="21.125" style="64" customWidth="1"/>
    <col min="15363" max="15367" width="7.25" style="64" customWidth="1"/>
    <col min="15368" max="15368" width="8.375" style="64" customWidth="1"/>
    <col min="15369" max="15374" width="7.25" style="64" customWidth="1"/>
    <col min="15375" max="15375" width="18.625" style="64" customWidth="1"/>
    <col min="15376" max="15376" width="19.125" style="64" customWidth="1"/>
    <col min="15377" max="15377" width="4.375" style="64" customWidth="1"/>
    <col min="15378" max="15378" width="10.75" style="64" customWidth="1"/>
    <col min="15379" max="15616" width="9" style="64"/>
    <col min="15617" max="15617" width="3.875" style="64" customWidth="1"/>
    <col min="15618" max="15618" width="21.125" style="64" customWidth="1"/>
    <col min="15619" max="15623" width="7.25" style="64" customWidth="1"/>
    <col min="15624" max="15624" width="8.375" style="64" customWidth="1"/>
    <col min="15625" max="15630" width="7.25" style="64" customWidth="1"/>
    <col min="15631" max="15631" width="18.625" style="64" customWidth="1"/>
    <col min="15632" max="15632" width="19.125" style="64" customWidth="1"/>
    <col min="15633" max="15633" width="4.375" style="64" customWidth="1"/>
    <col min="15634" max="15634" width="10.75" style="64" customWidth="1"/>
    <col min="15635" max="15872" width="9" style="64"/>
    <col min="15873" max="15873" width="3.875" style="64" customWidth="1"/>
    <col min="15874" max="15874" width="21.125" style="64" customWidth="1"/>
    <col min="15875" max="15879" width="7.25" style="64" customWidth="1"/>
    <col min="15880" max="15880" width="8.375" style="64" customWidth="1"/>
    <col min="15881" max="15886" width="7.25" style="64" customWidth="1"/>
    <col min="15887" max="15887" width="18.625" style="64" customWidth="1"/>
    <col min="15888" max="15888" width="19.125" style="64" customWidth="1"/>
    <col min="15889" max="15889" width="4.375" style="64" customWidth="1"/>
    <col min="15890" max="15890" width="10.75" style="64" customWidth="1"/>
    <col min="15891" max="16128" width="9" style="64"/>
    <col min="16129" max="16129" width="3.875" style="64" customWidth="1"/>
    <col min="16130" max="16130" width="21.125" style="64" customWidth="1"/>
    <col min="16131" max="16135" width="7.25" style="64" customWidth="1"/>
    <col min="16136" max="16136" width="8.375" style="64" customWidth="1"/>
    <col min="16137" max="16142" width="7.25" style="64" customWidth="1"/>
    <col min="16143" max="16143" width="18.625" style="64" customWidth="1"/>
    <col min="16144" max="16144" width="19.125" style="64" customWidth="1"/>
    <col min="16145" max="16145" width="4.375" style="64" customWidth="1"/>
    <col min="16146" max="16146" width="10.75" style="64" customWidth="1"/>
    <col min="16147" max="16384" width="9" style="64"/>
  </cols>
  <sheetData>
    <row r="1" spans="1:19" ht="24" customHeight="1">
      <c r="A1" s="815" t="s">
        <v>69</v>
      </c>
      <c r="B1" s="815"/>
      <c r="C1" s="815"/>
      <c r="D1" s="815"/>
      <c r="E1" s="815"/>
      <c r="F1" s="815"/>
      <c r="G1" s="815"/>
      <c r="H1" s="815"/>
      <c r="I1" s="815"/>
      <c r="J1" s="815"/>
      <c r="K1" s="815"/>
      <c r="L1" s="815"/>
      <c r="M1" s="815"/>
      <c r="N1" s="815"/>
      <c r="O1" s="815"/>
      <c r="P1" s="815"/>
    </row>
    <row r="2" spans="1:19" ht="24" customHeight="1">
      <c r="A2" s="88" t="s">
        <v>412</v>
      </c>
      <c r="B2" s="344"/>
      <c r="C2" s="155"/>
      <c r="D2" s="155"/>
      <c r="E2" s="155"/>
      <c r="F2" s="155"/>
      <c r="G2" s="155"/>
      <c r="H2" s="155"/>
      <c r="I2" s="155"/>
      <c r="J2" s="155"/>
      <c r="K2" s="155"/>
      <c r="L2" s="155"/>
      <c r="M2" s="155"/>
      <c r="N2" s="155"/>
      <c r="O2" s="155"/>
      <c r="P2" s="155"/>
    </row>
    <row r="3" spans="1:19" s="65" customFormat="1" ht="14.25" customHeight="1">
      <c r="A3" s="65" t="s">
        <v>413</v>
      </c>
      <c r="B3" s="74"/>
      <c r="C3" s="74"/>
      <c r="D3" s="75"/>
      <c r="E3" s="75"/>
      <c r="F3" s="75"/>
      <c r="G3" s="75"/>
    </row>
    <row r="4" spans="1:19">
      <c r="A4" s="65" t="s">
        <v>414</v>
      </c>
    </row>
    <row r="5" spans="1:19">
      <c r="A5" s="156" t="s">
        <v>415</v>
      </c>
    </row>
    <row r="6" spans="1:19" ht="15" customHeight="1">
      <c r="A6" s="830" t="s">
        <v>60</v>
      </c>
      <c r="B6" s="832" t="s">
        <v>416</v>
      </c>
      <c r="C6" s="816" t="s">
        <v>289</v>
      </c>
      <c r="D6" s="817"/>
      <c r="E6" s="816" t="s">
        <v>307</v>
      </c>
      <c r="F6" s="817"/>
      <c r="G6" s="816" t="s">
        <v>417</v>
      </c>
      <c r="H6" s="817"/>
      <c r="I6" s="816" t="s">
        <v>322</v>
      </c>
      <c r="J6" s="817"/>
      <c r="K6" s="816" t="s">
        <v>328</v>
      </c>
      <c r="L6" s="817"/>
      <c r="M6" s="816" t="s">
        <v>418</v>
      </c>
      <c r="N6" s="817"/>
      <c r="O6" s="818" t="s">
        <v>419</v>
      </c>
      <c r="P6" s="820" t="s">
        <v>420</v>
      </c>
      <c r="R6" s="852" t="s">
        <v>421</v>
      </c>
      <c r="S6" s="853"/>
    </row>
    <row r="7" spans="1:19" ht="15" customHeight="1">
      <c r="A7" s="831"/>
      <c r="B7" s="833"/>
      <c r="C7" s="345" t="s">
        <v>422</v>
      </c>
      <c r="D7" s="345" t="s">
        <v>423</v>
      </c>
      <c r="E7" s="346" t="s">
        <v>422</v>
      </c>
      <c r="F7" s="345" t="s">
        <v>423</v>
      </c>
      <c r="G7" s="345" t="s">
        <v>422</v>
      </c>
      <c r="H7" s="345" t="s">
        <v>423</v>
      </c>
      <c r="I7" s="365" t="s">
        <v>422</v>
      </c>
      <c r="J7" s="365" t="s">
        <v>423</v>
      </c>
      <c r="K7" s="365" t="s">
        <v>422</v>
      </c>
      <c r="L7" s="365" t="s">
        <v>423</v>
      </c>
      <c r="M7" s="345" t="s">
        <v>422</v>
      </c>
      <c r="N7" s="365" t="s">
        <v>423</v>
      </c>
      <c r="O7" s="819"/>
      <c r="P7" s="821"/>
      <c r="R7" s="854"/>
      <c r="S7" s="855"/>
    </row>
    <row r="8" spans="1:19" ht="15" customHeight="1">
      <c r="A8" s="270">
        <v>1</v>
      </c>
      <c r="B8" s="347" t="s">
        <v>424</v>
      </c>
      <c r="C8" s="348">
        <f>$M8*S8</f>
        <v>0</v>
      </c>
      <c r="D8" s="349"/>
      <c r="E8" s="348">
        <f>$M8*S10</f>
        <v>0</v>
      </c>
      <c r="F8" s="350"/>
      <c r="G8" s="348">
        <f>M8*S12</f>
        <v>0</v>
      </c>
      <c r="H8" s="351"/>
      <c r="I8" s="348">
        <f>M8*S14</f>
        <v>0</v>
      </c>
      <c r="J8" s="349"/>
      <c r="K8" s="348">
        <f>M8*S16</f>
        <v>0</v>
      </c>
      <c r="L8" s="349"/>
      <c r="M8" s="366"/>
      <c r="N8" s="355">
        <f t="shared" ref="N8:N12" si="0">SUM(D8,F8,H8,J8,L8)</f>
        <v>0</v>
      </c>
      <c r="O8" s="367" t="e">
        <f t="shared" ref="O8:O12" si="1">N8/M8</f>
        <v>#DIV/0!</v>
      </c>
      <c r="P8" s="368" t="e">
        <f t="shared" ref="P8:P12" si="2">N8/$N$13</f>
        <v>#DIV/0!</v>
      </c>
      <c r="R8" s="842" t="s">
        <v>289</v>
      </c>
      <c r="S8" s="847"/>
    </row>
    <row r="9" spans="1:19" ht="15" customHeight="1">
      <c r="A9" s="270">
        <v>2</v>
      </c>
      <c r="B9" s="347" t="s">
        <v>425</v>
      </c>
      <c r="C9" s="348">
        <f>$M9*S8</f>
        <v>0</v>
      </c>
      <c r="D9" s="349"/>
      <c r="E9" s="348">
        <f>M9*S10</f>
        <v>0</v>
      </c>
      <c r="F9" s="350"/>
      <c r="G9" s="348">
        <f>M9*S12</f>
        <v>0</v>
      </c>
      <c r="H9" s="351"/>
      <c r="I9" s="348">
        <f>M9*S14</f>
        <v>0</v>
      </c>
      <c r="J9" s="349"/>
      <c r="K9" s="348">
        <f>M9*S16</f>
        <v>0</v>
      </c>
      <c r="L9" s="349"/>
      <c r="M9" s="366"/>
      <c r="N9" s="355">
        <f t="shared" si="0"/>
        <v>0</v>
      </c>
      <c r="O9" s="367" t="e">
        <f t="shared" si="1"/>
        <v>#DIV/0!</v>
      </c>
      <c r="P9" s="368" t="e">
        <f t="shared" si="2"/>
        <v>#DIV/0!</v>
      </c>
      <c r="R9" s="843"/>
      <c r="S9" s="848"/>
    </row>
    <row r="10" spans="1:19" ht="15" customHeight="1">
      <c r="A10" s="270">
        <v>3</v>
      </c>
      <c r="B10" s="347" t="s">
        <v>426</v>
      </c>
      <c r="C10" s="348">
        <f>M10*S8</f>
        <v>0</v>
      </c>
      <c r="D10" s="349"/>
      <c r="E10" s="348">
        <f>M10*S10</f>
        <v>0</v>
      </c>
      <c r="F10" s="350"/>
      <c r="G10" s="348">
        <f>M10*S12</f>
        <v>0</v>
      </c>
      <c r="H10" s="351"/>
      <c r="I10" s="348">
        <f>M10*S14</f>
        <v>0</v>
      </c>
      <c r="J10" s="349"/>
      <c r="K10" s="348">
        <f>M10*S16</f>
        <v>0</v>
      </c>
      <c r="L10" s="349"/>
      <c r="M10" s="366"/>
      <c r="N10" s="355">
        <f t="shared" si="0"/>
        <v>0</v>
      </c>
      <c r="O10" s="367" t="e">
        <f t="shared" si="1"/>
        <v>#DIV/0!</v>
      </c>
      <c r="P10" s="368" t="e">
        <f t="shared" si="2"/>
        <v>#DIV/0!</v>
      </c>
      <c r="R10" s="844" t="s">
        <v>307</v>
      </c>
      <c r="S10" s="849"/>
    </row>
    <row r="11" spans="1:19" ht="15" customHeight="1">
      <c r="A11" s="270">
        <v>4</v>
      </c>
      <c r="B11" s="347" t="s">
        <v>427</v>
      </c>
      <c r="C11" s="348">
        <f>M11*S8</f>
        <v>0</v>
      </c>
      <c r="D11" s="349"/>
      <c r="E11" s="348">
        <f>M11*S10</f>
        <v>0</v>
      </c>
      <c r="F11" s="350"/>
      <c r="G11" s="348">
        <f>M11*S12</f>
        <v>0</v>
      </c>
      <c r="H11" s="351"/>
      <c r="I11" s="348">
        <f>M11*S14</f>
        <v>0</v>
      </c>
      <c r="J11" s="349"/>
      <c r="K11" s="348">
        <f>M11*S16</f>
        <v>0</v>
      </c>
      <c r="L11" s="349"/>
      <c r="M11" s="366"/>
      <c r="N11" s="355">
        <f t="shared" si="0"/>
        <v>0</v>
      </c>
      <c r="O11" s="367" t="e">
        <f t="shared" si="1"/>
        <v>#DIV/0!</v>
      </c>
      <c r="P11" s="368" t="e">
        <f t="shared" si="2"/>
        <v>#DIV/0!</v>
      </c>
      <c r="R11" s="843"/>
      <c r="S11" s="848"/>
    </row>
    <row r="12" spans="1:19" ht="15" customHeight="1">
      <c r="A12" s="270">
        <v>5</v>
      </c>
      <c r="B12" s="347" t="s">
        <v>428</v>
      </c>
      <c r="C12" s="348">
        <f>M12*S8</f>
        <v>0</v>
      </c>
      <c r="D12" s="349"/>
      <c r="E12" s="348">
        <f>M12*S10</f>
        <v>0</v>
      </c>
      <c r="F12" s="350"/>
      <c r="G12" s="348">
        <f>M12*S12</f>
        <v>0</v>
      </c>
      <c r="H12" s="351"/>
      <c r="I12" s="348">
        <f>M12*S14</f>
        <v>0</v>
      </c>
      <c r="J12" s="349"/>
      <c r="K12" s="348">
        <f>M12*S16</f>
        <v>0</v>
      </c>
      <c r="L12" s="349"/>
      <c r="M12" s="366"/>
      <c r="N12" s="355">
        <f t="shared" si="0"/>
        <v>0</v>
      </c>
      <c r="O12" s="367" t="e">
        <f t="shared" si="1"/>
        <v>#DIV/0!</v>
      </c>
      <c r="P12" s="368" t="e">
        <f t="shared" si="2"/>
        <v>#DIV/0!</v>
      </c>
      <c r="R12" s="845" t="s">
        <v>417</v>
      </c>
      <c r="S12" s="849"/>
    </row>
    <row r="13" spans="1:19" ht="15" customHeight="1">
      <c r="A13" s="270">
        <v>6</v>
      </c>
      <c r="B13" s="347" t="s">
        <v>429</v>
      </c>
      <c r="C13" s="352">
        <f t="shared" ref="C13:N13" si="3">SUM(C8:C12)</f>
        <v>0</v>
      </c>
      <c r="D13" s="352">
        <f t="shared" si="3"/>
        <v>0</v>
      </c>
      <c r="E13" s="352">
        <f t="shared" si="3"/>
        <v>0</v>
      </c>
      <c r="F13" s="352">
        <f t="shared" si="3"/>
        <v>0</v>
      </c>
      <c r="G13" s="352">
        <f t="shared" si="3"/>
        <v>0</v>
      </c>
      <c r="H13" s="352">
        <f t="shared" si="3"/>
        <v>0</v>
      </c>
      <c r="I13" s="369">
        <f t="shared" si="3"/>
        <v>0</v>
      </c>
      <c r="J13" s="369">
        <f t="shared" si="3"/>
        <v>0</v>
      </c>
      <c r="K13" s="369">
        <f t="shared" si="3"/>
        <v>0</v>
      </c>
      <c r="L13" s="369">
        <f t="shared" si="3"/>
        <v>0</v>
      </c>
      <c r="M13" s="370">
        <f t="shared" si="3"/>
        <v>0</v>
      </c>
      <c r="N13" s="371">
        <f t="shared" si="3"/>
        <v>0</v>
      </c>
      <c r="O13" s="367"/>
      <c r="P13" s="368"/>
      <c r="R13" s="846"/>
      <c r="S13" s="848"/>
    </row>
    <row r="14" spans="1:19" ht="15" customHeight="1">
      <c r="A14" s="353">
        <v>7</v>
      </c>
      <c r="B14" s="354" t="s">
        <v>430</v>
      </c>
      <c r="C14" s="822">
        <f>规模!C7</f>
        <v>0</v>
      </c>
      <c r="D14" s="823"/>
      <c r="E14" s="822">
        <f>规模!C8</f>
        <v>0</v>
      </c>
      <c r="F14" s="823"/>
      <c r="G14" s="822">
        <f>规模!C9</f>
        <v>0</v>
      </c>
      <c r="H14" s="823"/>
      <c r="I14" s="822">
        <f>规模!C10</f>
        <v>0</v>
      </c>
      <c r="J14" s="823"/>
      <c r="K14" s="822">
        <f>规模!C11</f>
        <v>0</v>
      </c>
      <c r="L14" s="823"/>
      <c r="M14" s="822">
        <f>K14</f>
        <v>0</v>
      </c>
      <c r="N14" s="823"/>
      <c r="O14" s="367"/>
      <c r="P14" s="372"/>
      <c r="R14" s="844" t="s">
        <v>322</v>
      </c>
      <c r="S14" s="850"/>
    </row>
    <row r="15" spans="1:19" s="208" customFormat="1" ht="15" customHeight="1">
      <c r="A15" s="353">
        <v>8</v>
      </c>
      <c r="B15" s="354" t="s">
        <v>431</v>
      </c>
      <c r="C15" s="824" t="e">
        <f t="shared" ref="C15:G15" si="4">D13/C13</f>
        <v>#DIV/0!</v>
      </c>
      <c r="D15" s="825"/>
      <c r="E15" s="824" t="e">
        <f t="shared" si="4"/>
        <v>#DIV/0!</v>
      </c>
      <c r="F15" s="825"/>
      <c r="G15" s="824" t="e">
        <f t="shared" si="4"/>
        <v>#DIV/0!</v>
      </c>
      <c r="H15" s="825"/>
      <c r="I15" s="824" t="e">
        <f t="shared" ref="I15:M15" si="5">J13/I13</f>
        <v>#DIV/0!</v>
      </c>
      <c r="J15" s="825"/>
      <c r="K15" s="824" t="e">
        <f t="shared" si="5"/>
        <v>#DIV/0!</v>
      </c>
      <c r="L15" s="825"/>
      <c r="M15" s="824" t="e">
        <f t="shared" si="5"/>
        <v>#DIV/0!</v>
      </c>
      <c r="N15" s="825"/>
      <c r="O15" s="367"/>
      <c r="P15" s="372"/>
      <c r="R15" s="843"/>
      <c r="S15" s="851"/>
    </row>
    <row r="16" spans="1:19" s="208" customFormat="1" ht="15" customHeight="1">
      <c r="A16" s="353">
        <v>9</v>
      </c>
      <c r="B16" s="354" t="s">
        <v>432</v>
      </c>
      <c r="C16" s="826" t="e">
        <f t="shared" ref="C16:G16" si="6">D13/C13-1</f>
        <v>#DIV/0!</v>
      </c>
      <c r="D16" s="827"/>
      <c r="E16" s="826" t="e">
        <f t="shared" si="6"/>
        <v>#DIV/0!</v>
      </c>
      <c r="F16" s="827"/>
      <c r="G16" s="826" t="e">
        <f t="shared" si="6"/>
        <v>#DIV/0!</v>
      </c>
      <c r="H16" s="827"/>
      <c r="I16" s="826" t="e">
        <f t="shared" ref="I16:M16" si="7">J13/I13-1</f>
        <v>#DIV/0!</v>
      </c>
      <c r="J16" s="827"/>
      <c r="K16" s="826" t="e">
        <f t="shared" si="7"/>
        <v>#DIV/0!</v>
      </c>
      <c r="L16" s="827"/>
      <c r="M16" s="826" t="e">
        <f t="shared" si="7"/>
        <v>#DIV/0!</v>
      </c>
      <c r="N16" s="827"/>
      <c r="O16" s="367"/>
      <c r="P16" s="839"/>
      <c r="R16" s="376" t="s">
        <v>328</v>
      </c>
      <c r="S16" s="377"/>
    </row>
    <row r="17" spans="1:19" s="343" customFormat="1" ht="15" customHeight="1">
      <c r="A17" s="353">
        <v>10</v>
      </c>
      <c r="B17" s="356" t="s">
        <v>433</v>
      </c>
      <c r="C17" s="826" t="e">
        <f>D13/C13-100%</f>
        <v>#DIV/0!</v>
      </c>
      <c r="D17" s="827"/>
      <c r="E17" s="826" t="e">
        <f>(D13+F13)/(C13+E13)-100%</f>
        <v>#DIV/0!</v>
      </c>
      <c r="F17" s="827"/>
      <c r="G17" s="826" t="e">
        <f>(D13+F13+H13)/(C13+E13+G13)-100%</f>
        <v>#DIV/0!</v>
      </c>
      <c r="H17" s="827"/>
      <c r="I17" s="826" t="e">
        <f>(D13+F13+H13+J13)/(C13+E13+G13+I13)-100%</f>
        <v>#DIV/0!</v>
      </c>
      <c r="J17" s="827"/>
      <c r="K17" s="826" t="e">
        <f>(D13+F13+H13+J13+L13)/(C13+E13+G13+I13+K13)-100%</f>
        <v>#DIV/0!</v>
      </c>
      <c r="L17" s="827"/>
      <c r="M17" s="826" t="e">
        <f>K17</f>
        <v>#DIV/0!</v>
      </c>
      <c r="N17" s="827"/>
      <c r="O17" s="367"/>
      <c r="P17" s="840"/>
      <c r="R17" s="378"/>
      <c r="S17" s="379"/>
    </row>
    <row r="18" spans="1:19" s="343" customFormat="1" ht="15" customHeight="1">
      <c r="A18" s="357">
        <v>11</v>
      </c>
      <c r="B18" s="358" t="s">
        <v>434</v>
      </c>
      <c r="C18" s="828" t="e">
        <f t="shared" ref="C18:G18" si="8">D8/$N8</f>
        <v>#DIV/0!</v>
      </c>
      <c r="D18" s="829"/>
      <c r="E18" s="828" t="e">
        <f t="shared" si="8"/>
        <v>#DIV/0!</v>
      </c>
      <c r="F18" s="829"/>
      <c r="G18" s="828" t="e">
        <f t="shared" si="8"/>
        <v>#DIV/0!</v>
      </c>
      <c r="H18" s="829"/>
      <c r="I18" s="828" t="e">
        <f>J8/N8</f>
        <v>#DIV/0!</v>
      </c>
      <c r="J18" s="829"/>
      <c r="K18" s="828" t="e">
        <f>L8/N8</f>
        <v>#DIV/0!</v>
      </c>
      <c r="L18" s="829"/>
      <c r="M18" s="828"/>
      <c r="N18" s="829"/>
      <c r="O18" s="373"/>
      <c r="P18" s="841"/>
      <c r="R18" s="64"/>
      <c r="S18" s="64"/>
    </row>
    <row r="19" spans="1:19">
      <c r="A19" s="359"/>
      <c r="B19" s="175"/>
      <c r="C19" s="360"/>
      <c r="D19" s="360"/>
      <c r="E19" s="360"/>
      <c r="F19" s="360"/>
      <c r="G19" s="360"/>
      <c r="H19" s="360"/>
      <c r="I19" s="360"/>
      <c r="J19" s="360"/>
      <c r="K19" s="360"/>
      <c r="L19" s="360"/>
      <c r="M19" s="360"/>
      <c r="N19" s="360"/>
      <c r="O19" s="360"/>
      <c r="P19" s="175"/>
    </row>
    <row r="20" spans="1:19">
      <c r="B20" s="354" t="s">
        <v>435</v>
      </c>
      <c r="C20" s="354"/>
      <c r="D20" s="354"/>
      <c r="E20" s="354" t="s">
        <v>289</v>
      </c>
      <c r="F20" s="354" t="s">
        <v>307</v>
      </c>
      <c r="G20" s="354" t="s">
        <v>436</v>
      </c>
      <c r="H20" s="354" t="s">
        <v>322</v>
      </c>
      <c r="I20" s="354" t="s">
        <v>328</v>
      </c>
    </row>
    <row r="21" spans="1:19" ht="12" customHeight="1">
      <c r="B21" s="834" t="s">
        <v>437</v>
      </c>
      <c r="C21" s="836" t="s">
        <v>438</v>
      </c>
      <c r="D21" s="193" t="s">
        <v>151</v>
      </c>
      <c r="E21" s="361">
        <v>0</v>
      </c>
      <c r="F21" s="361">
        <v>1.5E-3</v>
      </c>
      <c r="G21" s="361">
        <v>7.9474874860599995E-2</v>
      </c>
      <c r="H21" s="361">
        <v>0.09</v>
      </c>
      <c r="I21" s="361">
        <v>0</v>
      </c>
    </row>
    <row r="22" spans="1:19">
      <c r="B22" s="835"/>
      <c r="C22" s="837"/>
      <c r="D22" s="194" t="s">
        <v>152</v>
      </c>
      <c r="E22" s="194">
        <v>0.55000000000000004</v>
      </c>
      <c r="F22" s="194">
        <v>0.34710524803163401</v>
      </c>
      <c r="G22" s="194">
        <v>0.96250000000000002</v>
      </c>
      <c r="H22" s="194">
        <v>0.80957050162269195</v>
      </c>
      <c r="I22" s="194">
        <v>0.12916399609051399</v>
      </c>
      <c r="O22" s="64" t="s">
        <v>289</v>
      </c>
      <c r="P22" s="374" t="e">
        <f>C17</f>
        <v>#DIV/0!</v>
      </c>
    </row>
    <row r="23" spans="1:19">
      <c r="B23" s="835"/>
      <c r="C23" s="838"/>
      <c r="D23" s="193" t="s">
        <v>378</v>
      </c>
      <c r="E23" s="361">
        <v>1.49306241508338</v>
      </c>
      <c r="F23" s="361">
        <v>0.69269999999999998</v>
      </c>
      <c r="G23" s="361">
        <v>1.8455251251394</v>
      </c>
      <c r="H23" s="361">
        <v>1.5289999999999999</v>
      </c>
      <c r="I23" s="361">
        <v>0.284224653629359</v>
      </c>
      <c r="O23" s="64" t="s">
        <v>307</v>
      </c>
      <c r="P23" s="374" t="e">
        <f>E17</f>
        <v>#DIV/0!</v>
      </c>
    </row>
    <row r="24" spans="1:19">
      <c r="B24" s="835"/>
      <c r="C24" s="362" t="s">
        <v>422</v>
      </c>
      <c r="D24" s="279" t="s">
        <v>439</v>
      </c>
      <c r="E24" s="363" t="e">
        <f>C13/C14</f>
        <v>#DIV/0!</v>
      </c>
      <c r="F24" s="363" t="e">
        <f>E13/E14</f>
        <v>#DIV/0!</v>
      </c>
      <c r="G24" s="363" t="e">
        <f>G13/G14</f>
        <v>#DIV/0!</v>
      </c>
      <c r="H24" s="363" t="e">
        <f>I13/I14</f>
        <v>#DIV/0!</v>
      </c>
      <c r="I24" s="363" t="e">
        <f>K13/K14</f>
        <v>#DIV/0!</v>
      </c>
      <c r="P24" s="374"/>
    </row>
    <row r="25" spans="1:19">
      <c r="B25" s="835"/>
      <c r="C25" s="362" t="s">
        <v>423</v>
      </c>
      <c r="D25" s="279" t="s">
        <v>440</v>
      </c>
      <c r="E25" s="363" t="e">
        <f>D13/C14</f>
        <v>#DIV/0!</v>
      </c>
      <c r="F25" s="363" t="e">
        <f>F13/E14</f>
        <v>#DIV/0!</v>
      </c>
      <c r="G25" s="363" t="e">
        <f>H13/G14</f>
        <v>#DIV/0!</v>
      </c>
      <c r="H25" s="363" t="e">
        <f>J13/I14</f>
        <v>#DIV/0!</v>
      </c>
      <c r="I25" s="375" t="e">
        <f>L13/K14</f>
        <v>#DIV/0!</v>
      </c>
      <c r="O25" s="64" t="s">
        <v>441</v>
      </c>
      <c r="P25" s="374" t="e">
        <f>G17</f>
        <v>#DIV/0!</v>
      </c>
    </row>
    <row r="26" spans="1:19">
      <c r="O26" s="64" t="s">
        <v>322</v>
      </c>
      <c r="P26" s="374" t="e">
        <f>I17</f>
        <v>#DIV/0!</v>
      </c>
    </row>
    <row r="27" spans="1:19">
      <c r="O27" s="64" t="s">
        <v>328</v>
      </c>
      <c r="P27" s="374" t="e">
        <f>K17</f>
        <v>#DIV/0!</v>
      </c>
    </row>
    <row r="28" spans="1:19">
      <c r="P28" s="374"/>
    </row>
    <row r="37" spans="1:1" ht="14.25" customHeight="1"/>
    <row r="39" spans="1:1" ht="14.25">
      <c r="A39" s="364"/>
    </row>
    <row r="43" spans="1:1" ht="12" customHeight="1"/>
    <row r="46" spans="1:1" ht="13.5" customHeight="1"/>
  </sheetData>
  <mergeCells count="53">
    <mergeCell ref="S8:S9"/>
    <mergeCell ref="S10:S11"/>
    <mergeCell ref="S12:S13"/>
    <mergeCell ref="S14:S15"/>
    <mergeCell ref="R6:S7"/>
    <mergeCell ref="P16:P18"/>
    <mergeCell ref="R8:R9"/>
    <mergeCell ref="R10:R11"/>
    <mergeCell ref="R12:R13"/>
    <mergeCell ref="R14:R15"/>
    <mergeCell ref="M18:N18"/>
    <mergeCell ref="A6:A7"/>
    <mergeCell ref="B6:B7"/>
    <mergeCell ref="B21:B25"/>
    <mergeCell ref="C21:C23"/>
    <mergeCell ref="C18:D18"/>
    <mergeCell ref="E18:F18"/>
    <mergeCell ref="G18:H18"/>
    <mergeCell ref="I18:J18"/>
    <mergeCell ref="K18:L18"/>
    <mergeCell ref="M16:N16"/>
    <mergeCell ref="C17:D17"/>
    <mergeCell ref="E17:F17"/>
    <mergeCell ref="G17:H17"/>
    <mergeCell ref="I17:J17"/>
    <mergeCell ref="K17:L17"/>
    <mergeCell ref="M17:N17"/>
    <mergeCell ref="C16:D16"/>
    <mergeCell ref="E16:F16"/>
    <mergeCell ref="G16:H16"/>
    <mergeCell ref="I16:J16"/>
    <mergeCell ref="K16:L16"/>
    <mergeCell ref="M14:N14"/>
    <mergeCell ref="C15:D15"/>
    <mergeCell ref="E15:F15"/>
    <mergeCell ref="G15:H15"/>
    <mergeCell ref="I15:J15"/>
    <mergeCell ref="K15:L15"/>
    <mergeCell ref="M15:N15"/>
    <mergeCell ref="C14:D14"/>
    <mergeCell ref="E14:F14"/>
    <mergeCell ref="G14:H14"/>
    <mergeCell ref="I14:J14"/>
    <mergeCell ref="K14:L14"/>
    <mergeCell ref="A1:P1"/>
    <mergeCell ref="C6:D6"/>
    <mergeCell ref="E6:F6"/>
    <mergeCell ref="G6:H6"/>
    <mergeCell ref="I6:J6"/>
    <mergeCell ref="K6:L6"/>
    <mergeCell ref="M6:N6"/>
    <mergeCell ref="O6:O7"/>
    <mergeCell ref="P6:P7"/>
  </mergeCells>
  <phoneticPr fontId="156" type="noConversion"/>
  <pageMargins left="0.69930555555555596" right="0.69930555555555596" top="0.75" bottom="0.75" header="0.3" footer="0.3"/>
  <pageSetup paperSize="9" orientation="portrait"/>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sheetPr>
  <dimension ref="A1:I33"/>
  <sheetViews>
    <sheetView workbookViewId="0">
      <selection activeCell="G20" sqref="G20"/>
    </sheetView>
  </sheetViews>
  <sheetFormatPr defaultColWidth="9" defaultRowHeight="12"/>
  <cols>
    <col min="1" max="1" width="2.75" style="259" customWidth="1"/>
    <col min="2" max="2" width="20.875" style="64" customWidth="1"/>
    <col min="3" max="3" width="23.125" style="259" customWidth="1"/>
    <col min="4" max="4" width="17.375" style="259" customWidth="1"/>
    <col min="5" max="5" width="21.625" style="259" customWidth="1"/>
    <col min="6" max="6" width="9.75" style="64" customWidth="1"/>
    <col min="7" max="7" width="8.25" style="64" customWidth="1"/>
    <col min="8" max="8" width="8" style="64" customWidth="1"/>
    <col min="9" max="9" width="4.5" style="64" customWidth="1"/>
    <col min="10" max="10" width="6.75" style="64" customWidth="1"/>
    <col min="11" max="11" width="5.375" style="64" customWidth="1"/>
    <col min="12" max="12" width="6" style="64" customWidth="1"/>
    <col min="13" max="256" width="9" style="64"/>
    <col min="257" max="257" width="2.75" style="64" customWidth="1"/>
    <col min="258" max="258" width="20.875" style="64" customWidth="1"/>
    <col min="259" max="259" width="23.125" style="64" customWidth="1"/>
    <col min="260" max="260" width="15.125" style="64" customWidth="1"/>
    <col min="261" max="261" width="21.625" style="64" customWidth="1"/>
    <col min="262" max="262" width="9.75" style="64" customWidth="1"/>
    <col min="263" max="263" width="8.25" style="64" customWidth="1"/>
    <col min="264" max="264" width="8" style="64" customWidth="1"/>
    <col min="265" max="265" width="4.5" style="64" customWidth="1"/>
    <col min="266" max="266" width="6.75" style="64" customWidth="1"/>
    <col min="267" max="267" width="5.375" style="64" customWidth="1"/>
    <col min="268" max="268" width="6" style="64" customWidth="1"/>
    <col min="269" max="512" width="9" style="64"/>
    <col min="513" max="513" width="2.75" style="64" customWidth="1"/>
    <col min="514" max="514" width="20.875" style="64" customWidth="1"/>
    <col min="515" max="515" width="23.125" style="64" customWidth="1"/>
    <col min="516" max="516" width="15.125" style="64" customWidth="1"/>
    <col min="517" max="517" width="21.625" style="64" customWidth="1"/>
    <col min="518" max="518" width="9.75" style="64" customWidth="1"/>
    <col min="519" max="519" width="8.25" style="64" customWidth="1"/>
    <col min="520" max="520" width="8" style="64" customWidth="1"/>
    <col min="521" max="521" width="4.5" style="64" customWidth="1"/>
    <col min="522" max="522" width="6.75" style="64" customWidth="1"/>
    <col min="523" max="523" width="5.375" style="64" customWidth="1"/>
    <col min="524" max="524" width="6" style="64" customWidth="1"/>
    <col min="525" max="768" width="9" style="64"/>
    <col min="769" max="769" width="2.75" style="64" customWidth="1"/>
    <col min="770" max="770" width="20.875" style="64" customWidth="1"/>
    <col min="771" max="771" width="23.125" style="64" customWidth="1"/>
    <col min="772" max="772" width="15.125" style="64" customWidth="1"/>
    <col min="773" max="773" width="21.625" style="64" customWidth="1"/>
    <col min="774" max="774" width="9.75" style="64" customWidth="1"/>
    <col min="775" max="775" width="8.25" style="64" customWidth="1"/>
    <col min="776" max="776" width="8" style="64" customWidth="1"/>
    <col min="777" max="777" width="4.5" style="64" customWidth="1"/>
    <col min="778" max="778" width="6.75" style="64" customWidth="1"/>
    <col min="779" max="779" width="5.375" style="64" customWidth="1"/>
    <col min="780" max="780" width="6" style="64" customWidth="1"/>
    <col min="781" max="1024" width="9" style="64"/>
    <col min="1025" max="1025" width="2.75" style="64" customWidth="1"/>
    <col min="1026" max="1026" width="20.875" style="64" customWidth="1"/>
    <col min="1027" max="1027" width="23.125" style="64" customWidth="1"/>
    <col min="1028" max="1028" width="15.125" style="64" customWidth="1"/>
    <col min="1029" max="1029" width="21.625" style="64" customWidth="1"/>
    <col min="1030" max="1030" width="9.75" style="64" customWidth="1"/>
    <col min="1031" max="1031" width="8.25" style="64" customWidth="1"/>
    <col min="1032" max="1032" width="8" style="64" customWidth="1"/>
    <col min="1033" max="1033" width="4.5" style="64" customWidth="1"/>
    <col min="1034" max="1034" width="6.75" style="64" customWidth="1"/>
    <col min="1035" max="1035" width="5.375" style="64" customWidth="1"/>
    <col min="1036" max="1036" width="6" style="64" customWidth="1"/>
    <col min="1037" max="1280" width="9" style="64"/>
    <col min="1281" max="1281" width="2.75" style="64" customWidth="1"/>
    <col min="1282" max="1282" width="20.875" style="64" customWidth="1"/>
    <col min="1283" max="1283" width="23.125" style="64" customWidth="1"/>
    <col min="1284" max="1284" width="15.125" style="64" customWidth="1"/>
    <col min="1285" max="1285" width="21.625" style="64" customWidth="1"/>
    <col min="1286" max="1286" width="9.75" style="64" customWidth="1"/>
    <col min="1287" max="1287" width="8.25" style="64" customWidth="1"/>
    <col min="1288" max="1288" width="8" style="64" customWidth="1"/>
    <col min="1289" max="1289" width="4.5" style="64" customWidth="1"/>
    <col min="1290" max="1290" width="6.75" style="64" customWidth="1"/>
    <col min="1291" max="1291" width="5.375" style="64" customWidth="1"/>
    <col min="1292" max="1292" width="6" style="64" customWidth="1"/>
    <col min="1293" max="1536" width="9" style="64"/>
    <col min="1537" max="1537" width="2.75" style="64" customWidth="1"/>
    <col min="1538" max="1538" width="20.875" style="64" customWidth="1"/>
    <col min="1539" max="1539" width="23.125" style="64" customWidth="1"/>
    <col min="1540" max="1540" width="15.125" style="64" customWidth="1"/>
    <col min="1541" max="1541" width="21.625" style="64" customWidth="1"/>
    <col min="1542" max="1542" width="9.75" style="64" customWidth="1"/>
    <col min="1543" max="1543" width="8.25" style="64" customWidth="1"/>
    <col min="1544" max="1544" width="8" style="64" customWidth="1"/>
    <col min="1545" max="1545" width="4.5" style="64" customWidth="1"/>
    <col min="1546" max="1546" width="6.75" style="64" customWidth="1"/>
    <col min="1547" max="1547" width="5.375" style="64" customWidth="1"/>
    <col min="1548" max="1548" width="6" style="64" customWidth="1"/>
    <col min="1549" max="1792" width="9" style="64"/>
    <col min="1793" max="1793" width="2.75" style="64" customWidth="1"/>
    <col min="1794" max="1794" width="20.875" style="64" customWidth="1"/>
    <col min="1795" max="1795" width="23.125" style="64" customWidth="1"/>
    <col min="1796" max="1796" width="15.125" style="64" customWidth="1"/>
    <col min="1797" max="1797" width="21.625" style="64" customWidth="1"/>
    <col min="1798" max="1798" width="9.75" style="64" customWidth="1"/>
    <col min="1799" max="1799" width="8.25" style="64" customWidth="1"/>
    <col min="1800" max="1800" width="8" style="64" customWidth="1"/>
    <col min="1801" max="1801" width="4.5" style="64" customWidth="1"/>
    <col min="1802" max="1802" width="6.75" style="64" customWidth="1"/>
    <col min="1803" max="1803" width="5.375" style="64" customWidth="1"/>
    <col min="1804" max="1804" width="6" style="64" customWidth="1"/>
    <col min="1805" max="2048" width="9" style="64"/>
    <col min="2049" max="2049" width="2.75" style="64" customWidth="1"/>
    <col min="2050" max="2050" width="20.875" style="64" customWidth="1"/>
    <col min="2051" max="2051" width="23.125" style="64" customWidth="1"/>
    <col min="2052" max="2052" width="15.125" style="64" customWidth="1"/>
    <col min="2053" max="2053" width="21.625" style="64" customWidth="1"/>
    <col min="2054" max="2054" width="9.75" style="64" customWidth="1"/>
    <col min="2055" max="2055" width="8.25" style="64" customWidth="1"/>
    <col min="2056" max="2056" width="8" style="64" customWidth="1"/>
    <col min="2057" max="2057" width="4.5" style="64" customWidth="1"/>
    <col min="2058" max="2058" width="6.75" style="64" customWidth="1"/>
    <col min="2059" max="2059" width="5.375" style="64" customWidth="1"/>
    <col min="2060" max="2060" width="6" style="64" customWidth="1"/>
    <col min="2061" max="2304" width="9" style="64"/>
    <col min="2305" max="2305" width="2.75" style="64" customWidth="1"/>
    <col min="2306" max="2306" width="20.875" style="64" customWidth="1"/>
    <col min="2307" max="2307" width="23.125" style="64" customWidth="1"/>
    <col min="2308" max="2308" width="15.125" style="64" customWidth="1"/>
    <col min="2309" max="2309" width="21.625" style="64" customWidth="1"/>
    <col min="2310" max="2310" width="9.75" style="64" customWidth="1"/>
    <col min="2311" max="2311" width="8.25" style="64" customWidth="1"/>
    <col min="2312" max="2312" width="8" style="64" customWidth="1"/>
    <col min="2313" max="2313" width="4.5" style="64" customWidth="1"/>
    <col min="2314" max="2314" width="6.75" style="64" customWidth="1"/>
    <col min="2315" max="2315" width="5.375" style="64" customWidth="1"/>
    <col min="2316" max="2316" width="6" style="64" customWidth="1"/>
    <col min="2317" max="2560" width="9" style="64"/>
    <col min="2561" max="2561" width="2.75" style="64" customWidth="1"/>
    <col min="2562" max="2562" width="20.875" style="64" customWidth="1"/>
    <col min="2563" max="2563" width="23.125" style="64" customWidth="1"/>
    <col min="2564" max="2564" width="15.125" style="64" customWidth="1"/>
    <col min="2565" max="2565" width="21.625" style="64" customWidth="1"/>
    <col min="2566" max="2566" width="9.75" style="64" customWidth="1"/>
    <col min="2567" max="2567" width="8.25" style="64" customWidth="1"/>
    <col min="2568" max="2568" width="8" style="64" customWidth="1"/>
    <col min="2569" max="2569" width="4.5" style="64" customWidth="1"/>
    <col min="2570" max="2570" width="6.75" style="64" customWidth="1"/>
    <col min="2571" max="2571" width="5.375" style="64" customWidth="1"/>
    <col min="2572" max="2572" width="6" style="64" customWidth="1"/>
    <col min="2573" max="2816" width="9" style="64"/>
    <col min="2817" max="2817" width="2.75" style="64" customWidth="1"/>
    <col min="2818" max="2818" width="20.875" style="64" customWidth="1"/>
    <col min="2819" max="2819" width="23.125" style="64" customWidth="1"/>
    <col min="2820" max="2820" width="15.125" style="64" customWidth="1"/>
    <col min="2821" max="2821" width="21.625" style="64" customWidth="1"/>
    <col min="2822" max="2822" width="9.75" style="64" customWidth="1"/>
    <col min="2823" max="2823" width="8.25" style="64" customWidth="1"/>
    <col min="2824" max="2824" width="8" style="64" customWidth="1"/>
    <col min="2825" max="2825" width="4.5" style="64" customWidth="1"/>
    <col min="2826" max="2826" width="6.75" style="64" customWidth="1"/>
    <col min="2827" max="2827" width="5.375" style="64" customWidth="1"/>
    <col min="2828" max="2828" width="6" style="64" customWidth="1"/>
    <col min="2829" max="3072" width="9" style="64"/>
    <col min="3073" max="3073" width="2.75" style="64" customWidth="1"/>
    <col min="3074" max="3074" width="20.875" style="64" customWidth="1"/>
    <col min="3075" max="3075" width="23.125" style="64" customWidth="1"/>
    <col min="3076" max="3076" width="15.125" style="64" customWidth="1"/>
    <col min="3077" max="3077" width="21.625" style="64" customWidth="1"/>
    <col min="3078" max="3078" width="9.75" style="64" customWidth="1"/>
    <col min="3079" max="3079" width="8.25" style="64" customWidth="1"/>
    <col min="3080" max="3080" width="8" style="64" customWidth="1"/>
    <col min="3081" max="3081" width="4.5" style="64" customWidth="1"/>
    <col min="3082" max="3082" width="6.75" style="64" customWidth="1"/>
    <col min="3083" max="3083" width="5.375" style="64" customWidth="1"/>
    <col min="3084" max="3084" width="6" style="64" customWidth="1"/>
    <col min="3085" max="3328" width="9" style="64"/>
    <col min="3329" max="3329" width="2.75" style="64" customWidth="1"/>
    <col min="3330" max="3330" width="20.875" style="64" customWidth="1"/>
    <col min="3331" max="3331" width="23.125" style="64" customWidth="1"/>
    <col min="3332" max="3332" width="15.125" style="64" customWidth="1"/>
    <col min="3333" max="3333" width="21.625" style="64" customWidth="1"/>
    <col min="3334" max="3334" width="9.75" style="64" customWidth="1"/>
    <col min="3335" max="3335" width="8.25" style="64" customWidth="1"/>
    <col min="3336" max="3336" width="8" style="64" customWidth="1"/>
    <col min="3337" max="3337" width="4.5" style="64" customWidth="1"/>
    <col min="3338" max="3338" width="6.75" style="64" customWidth="1"/>
    <col min="3339" max="3339" width="5.375" style="64" customWidth="1"/>
    <col min="3340" max="3340" width="6" style="64" customWidth="1"/>
    <col min="3341" max="3584" width="9" style="64"/>
    <col min="3585" max="3585" width="2.75" style="64" customWidth="1"/>
    <col min="3586" max="3586" width="20.875" style="64" customWidth="1"/>
    <col min="3587" max="3587" width="23.125" style="64" customWidth="1"/>
    <col min="3588" max="3588" width="15.125" style="64" customWidth="1"/>
    <col min="3589" max="3589" width="21.625" style="64" customWidth="1"/>
    <col min="3590" max="3590" width="9.75" style="64" customWidth="1"/>
    <col min="3591" max="3591" width="8.25" style="64" customWidth="1"/>
    <col min="3592" max="3592" width="8" style="64" customWidth="1"/>
    <col min="3593" max="3593" width="4.5" style="64" customWidth="1"/>
    <col min="3594" max="3594" width="6.75" style="64" customWidth="1"/>
    <col min="3595" max="3595" width="5.375" style="64" customWidth="1"/>
    <col min="3596" max="3596" width="6" style="64" customWidth="1"/>
    <col min="3597" max="3840" width="9" style="64"/>
    <col min="3841" max="3841" width="2.75" style="64" customWidth="1"/>
    <col min="3842" max="3842" width="20.875" style="64" customWidth="1"/>
    <col min="3843" max="3843" width="23.125" style="64" customWidth="1"/>
    <col min="3844" max="3844" width="15.125" style="64" customWidth="1"/>
    <col min="3845" max="3845" width="21.625" style="64" customWidth="1"/>
    <col min="3846" max="3846" width="9.75" style="64" customWidth="1"/>
    <col min="3847" max="3847" width="8.25" style="64" customWidth="1"/>
    <col min="3848" max="3848" width="8" style="64" customWidth="1"/>
    <col min="3849" max="3849" width="4.5" style="64" customWidth="1"/>
    <col min="3850" max="3850" width="6.75" style="64" customWidth="1"/>
    <col min="3851" max="3851" width="5.375" style="64" customWidth="1"/>
    <col min="3852" max="3852" width="6" style="64" customWidth="1"/>
    <col min="3853" max="4096" width="9" style="64"/>
    <col min="4097" max="4097" width="2.75" style="64" customWidth="1"/>
    <col min="4098" max="4098" width="20.875" style="64" customWidth="1"/>
    <col min="4099" max="4099" width="23.125" style="64" customWidth="1"/>
    <col min="4100" max="4100" width="15.125" style="64" customWidth="1"/>
    <col min="4101" max="4101" width="21.625" style="64" customWidth="1"/>
    <col min="4102" max="4102" width="9.75" style="64" customWidth="1"/>
    <col min="4103" max="4103" width="8.25" style="64" customWidth="1"/>
    <col min="4104" max="4104" width="8" style="64" customWidth="1"/>
    <col min="4105" max="4105" width="4.5" style="64" customWidth="1"/>
    <col min="4106" max="4106" width="6.75" style="64" customWidth="1"/>
    <col min="4107" max="4107" width="5.375" style="64" customWidth="1"/>
    <col min="4108" max="4108" width="6" style="64" customWidth="1"/>
    <col min="4109" max="4352" width="9" style="64"/>
    <col min="4353" max="4353" width="2.75" style="64" customWidth="1"/>
    <col min="4354" max="4354" width="20.875" style="64" customWidth="1"/>
    <col min="4355" max="4355" width="23.125" style="64" customWidth="1"/>
    <col min="4356" max="4356" width="15.125" style="64" customWidth="1"/>
    <col min="4357" max="4357" width="21.625" style="64" customWidth="1"/>
    <col min="4358" max="4358" width="9.75" style="64" customWidth="1"/>
    <col min="4359" max="4359" width="8.25" style="64" customWidth="1"/>
    <col min="4360" max="4360" width="8" style="64" customWidth="1"/>
    <col min="4361" max="4361" width="4.5" style="64" customWidth="1"/>
    <col min="4362" max="4362" width="6.75" style="64" customWidth="1"/>
    <col min="4363" max="4363" width="5.375" style="64" customWidth="1"/>
    <col min="4364" max="4364" width="6" style="64" customWidth="1"/>
    <col min="4365" max="4608" width="9" style="64"/>
    <col min="4609" max="4609" width="2.75" style="64" customWidth="1"/>
    <col min="4610" max="4610" width="20.875" style="64" customWidth="1"/>
    <col min="4611" max="4611" width="23.125" style="64" customWidth="1"/>
    <col min="4612" max="4612" width="15.125" style="64" customWidth="1"/>
    <col min="4613" max="4613" width="21.625" style="64" customWidth="1"/>
    <col min="4614" max="4614" width="9.75" style="64" customWidth="1"/>
    <col min="4615" max="4615" width="8.25" style="64" customWidth="1"/>
    <col min="4616" max="4616" width="8" style="64" customWidth="1"/>
    <col min="4617" max="4617" width="4.5" style="64" customWidth="1"/>
    <col min="4618" max="4618" width="6.75" style="64" customWidth="1"/>
    <col min="4619" max="4619" width="5.375" style="64" customWidth="1"/>
    <col min="4620" max="4620" width="6" style="64" customWidth="1"/>
    <col min="4621" max="4864" width="9" style="64"/>
    <col min="4865" max="4865" width="2.75" style="64" customWidth="1"/>
    <col min="4866" max="4866" width="20.875" style="64" customWidth="1"/>
    <col min="4867" max="4867" width="23.125" style="64" customWidth="1"/>
    <col min="4868" max="4868" width="15.125" style="64" customWidth="1"/>
    <col min="4869" max="4869" width="21.625" style="64" customWidth="1"/>
    <col min="4870" max="4870" width="9.75" style="64" customWidth="1"/>
    <col min="4871" max="4871" width="8.25" style="64" customWidth="1"/>
    <col min="4872" max="4872" width="8" style="64" customWidth="1"/>
    <col min="4873" max="4873" width="4.5" style="64" customWidth="1"/>
    <col min="4874" max="4874" width="6.75" style="64" customWidth="1"/>
    <col min="4875" max="4875" width="5.375" style="64" customWidth="1"/>
    <col min="4876" max="4876" width="6" style="64" customWidth="1"/>
    <col min="4877" max="5120" width="9" style="64"/>
    <col min="5121" max="5121" width="2.75" style="64" customWidth="1"/>
    <col min="5122" max="5122" width="20.875" style="64" customWidth="1"/>
    <col min="5123" max="5123" width="23.125" style="64" customWidth="1"/>
    <col min="5124" max="5124" width="15.125" style="64" customWidth="1"/>
    <col min="5125" max="5125" width="21.625" style="64" customWidth="1"/>
    <col min="5126" max="5126" width="9.75" style="64" customWidth="1"/>
    <col min="5127" max="5127" width="8.25" style="64" customWidth="1"/>
    <col min="5128" max="5128" width="8" style="64" customWidth="1"/>
    <col min="5129" max="5129" width="4.5" style="64" customWidth="1"/>
    <col min="5130" max="5130" width="6.75" style="64" customWidth="1"/>
    <col min="5131" max="5131" width="5.375" style="64" customWidth="1"/>
    <col min="5132" max="5132" width="6" style="64" customWidth="1"/>
    <col min="5133" max="5376" width="9" style="64"/>
    <col min="5377" max="5377" width="2.75" style="64" customWidth="1"/>
    <col min="5378" max="5378" width="20.875" style="64" customWidth="1"/>
    <col min="5379" max="5379" width="23.125" style="64" customWidth="1"/>
    <col min="5380" max="5380" width="15.125" style="64" customWidth="1"/>
    <col min="5381" max="5381" width="21.625" style="64" customWidth="1"/>
    <col min="5382" max="5382" width="9.75" style="64" customWidth="1"/>
    <col min="5383" max="5383" width="8.25" style="64" customWidth="1"/>
    <col min="5384" max="5384" width="8" style="64" customWidth="1"/>
    <col min="5385" max="5385" width="4.5" style="64" customWidth="1"/>
    <col min="5386" max="5386" width="6.75" style="64" customWidth="1"/>
    <col min="5387" max="5387" width="5.375" style="64" customWidth="1"/>
    <col min="5388" max="5388" width="6" style="64" customWidth="1"/>
    <col min="5389" max="5632" width="9" style="64"/>
    <col min="5633" max="5633" width="2.75" style="64" customWidth="1"/>
    <col min="5634" max="5634" width="20.875" style="64" customWidth="1"/>
    <col min="5635" max="5635" width="23.125" style="64" customWidth="1"/>
    <col min="5636" max="5636" width="15.125" style="64" customWidth="1"/>
    <col min="5637" max="5637" width="21.625" style="64" customWidth="1"/>
    <col min="5638" max="5638" width="9.75" style="64" customWidth="1"/>
    <col min="5639" max="5639" width="8.25" style="64" customWidth="1"/>
    <col min="5640" max="5640" width="8" style="64" customWidth="1"/>
    <col min="5641" max="5641" width="4.5" style="64" customWidth="1"/>
    <col min="5642" max="5642" width="6.75" style="64" customWidth="1"/>
    <col min="5643" max="5643" width="5.375" style="64" customWidth="1"/>
    <col min="5644" max="5644" width="6" style="64" customWidth="1"/>
    <col min="5645" max="5888" width="9" style="64"/>
    <col min="5889" max="5889" width="2.75" style="64" customWidth="1"/>
    <col min="5890" max="5890" width="20.875" style="64" customWidth="1"/>
    <col min="5891" max="5891" width="23.125" style="64" customWidth="1"/>
    <col min="5892" max="5892" width="15.125" style="64" customWidth="1"/>
    <col min="5893" max="5893" width="21.625" style="64" customWidth="1"/>
    <col min="5894" max="5894" width="9.75" style="64" customWidth="1"/>
    <col min="5895" max="5895" width="8.25" style="64" customWidth="1"/>
    <col min="5896" max="5896" width="8" style="64" customWidth="1"/>
    <col min="5897" max="5897" width="4.5" style="64" customWidth="1"/>
    <col min="5898" max="5898" width="6.75" style="64" customWidth="1"/>
    <col min="5899" max="5899" width="5.375" style="64" customWidth="1"/>
    <col min="5900" max="5900" width="6" style="64" customWidth="1"/>
    <col min="5901" max="6144" width="9" style="64"/>
    <col min="6145" max="6145" width="2.75" style="64" customWidth="1"/>
    <col min="6146" max="6146" width="20.875" style="64" customWidth="1"/>
    <col min="6147" max="6147" width="23.125" style="64" customWidth="1"/>
    <col min="6148" max="6148" width="15.125" style="64" customWidth="1"/>
    <col min="6149" max="6149" width="21.625" style="64" customWidth="1"/>
    <col min="6150" max="6150" width="9.75" style="64" customWidth="1"/>
    <col min="6151" max="6151" width="8.25" style="64" customWidth="1"/>
    <col min="6152" max="6152" width="8" style="64" customWidth="1"/>
    <col min="6153" max="6153" width="4.5" style="64" customWidth="1"/>
    <col min="6154" max="6154" width="6.75" style="64" customWidth="1"/>
    <col min="6155" max="6155" width="5.375" style="64" customWidth="1"/>
    <col min="6156" max="6156" width="6" style="64" customWidth="1"/>
    <col min="6157" max="6400" width="9" style="64"/>
    <col min="6401" max="6401" width="2.75" style="64" customWidth="1"/>
    <col min="6402" max="6402" width="20.875" style="64" customWidth="1"/>
    <col min="6403" max="6403" width="23.125" style="64" customWidth="1"/>
    <col min="6404" max="6404" width="15.125" style="64" customWidth="1"/>
    <col min="6405" max="6405" width="21.625" style="64" customWidth="1"/>
    <col min="6406" max="6406" width="9.75" style="64" customWidth="1"/>
    <col min="6407" max="6407" width="8.25" style="64" customWidth="1"/>
    <col min="6408" max="6408" width="8" style="64" customWidth="1"/>
    <col min="6409" max="6409" width="4.5" style="64" customWidth="1"/>
    <col min="6410" max="6410" width="6.75" style="64" customWidth="1"/>
    <col min="6411" max="6411" width="5.375" style="64" customWidth="1"/>
    <col min="6412" max="6412" width="6" style="64" customWidth="1"/>
    <col min="6413" max="6656" width="9" style="64"/>
    <col min="6657" max="6657" width="2.75" style="64" customWidth="1"/>
    <col min="6658" max="6658" width="20.875" style="64" customWidth="1"/>
    <col min="6659" max="6659" width="23.125" style="64" customWidth="1"/>
    <col min="6660" max="6660" width="15.125" style="64" customWidth="1"/>
    <col min="6661" max="6661" width="21.625" style="64" customWidth="1"/>
    <col min="6662" max="6662" width="9.75" style="64" customWidth="1"/>
    <col min="6663" max="6663" width="8.25" style="64" customWidth="1"/>
    <col min="6664" max="6664" width="8" style="64" customWidth="1"/>
    <col min="6665" max="6665" width="4.5" style="64" customWidth="1"/>
    <col min="6666" max="6666" width="6.75" style="64" customWidth="1"/>
    <col min="6667" max="6667" width="5.375" style="64" customWidth="1"/>
    <col min="6668" max="6668" width="6" style="64" customWidth="1"/>
    <col min="6669" max="6912" width="9" style="64"/>
    <col min="6913" max="6913" width="2.75" style="64" customWidth="1"/>
    <col min="6914" max="6914" width="20.875" style="64" customWidth="1"/>
    <col min="6915" max="6915" width="23.125" style="64" customWidth="1"/>
    <col min="6916" max="6916" width="15.125" style="64" customWidth="1"/>
    <col min="6917" max="6917" width="21.625" style="64" customWidth="1"/>
    <col min="6918" max="6918" width="9.75" style="64" customWidth="1"/>
    <col min="6919" max="6919" width="8.25" style="64" customWidth="1"/>
    <col min="6920" max="6920" width="8" style="64" customWidth="1"/>
    <col min="6921" max="6921" width="4.5" style="64" customWidth="1"/>
    <col min="6922" max="6922" width="6.75" style="64" customWidth="1"/>
    <col min="6923" max="6923" width="5.375" style="64" customWidth="1"/>
    <col min="6924" max="6924" width="6" style="64" customWidth="1"/>
    <col min="6925" max="7168" width="9" style="64"/>
    <col min="7169" max="7169" width="2.75" style="64" customWidth="1"/>
    <col min="7170" max="7170" width="20.875" style="64" customWidth="1"/>
    <col min="7171" max="7171" width="23.125" style="64" customWidth="1"/>
    <col min="7172" max="7172" width="15.125" style="64" customWidth="1"/>
    <col min="7173" max="7173" width="21.625" style="64" customWidth="1"/>
    <col min="7174" max="7174" width="9.75" style="64" customWidth="1"/>
    <col min="7175" max="7175" width="8.25" style="64" customWidth="1"/>
    <col min="7176" max="7176" width="8" style="64" customWidth="1"/>
    <col min="7177" max="7177" width="4.5" style="64" customWidth="1"/>
    <col min="7178" max="7178" width="6.75" style="64" customWidth="1"/>
    <col min="7179" max="7179" width="5.375" style="64" customWidth="1"/>
    <col min="7180" max="7180" width="6" style="64" customWidth="1"/>
    <col min="7181" max="7424" width="9" style="64"/>
    <col min="7425" max="7425" width="2.75" style="64" customWidth="1"/>
    <col min="7426" max="7426" width="20.875" style="64" customWidth="1"/>
    <col min="7427" max="7427" width="23.125" style="64" customWidth="1"/>
    <col min="7428" max="7428" width="15.125" style="64" customWidth="1"/>
    <col min="7429" max="7429" width="21.625" style="64" customWidth="1"/>
    <col min="7430" max="7430" width="9.75" style="64" customWidth="1"/>
    <col min="7431" max="7431" width="8.25" style="64" customWidth="1"/>
    <col min="7432" max="7432" width="8" style="64" customWidth="1"/>
    <col min="7433" max="7433" width="4.5" style="64" customWidth="1"/>
    <col min="7434" max="7434" width="6.75" style="64" customWidth="1"/>
    <col min="7435" max="7435" width="5.375" style="64" customWidth="1"/>
    <col min="7436" max="7436" width="6" style="64" customWidth="1"/>
    <col min="7437" max="7680" width="9" style="64"/>
    <col min="7681" max="7681" width="2.75" style="64" customWidth="1"/>
    <col min="7682" max="7682" width="20.875" style="64" customWidth="1"/>
    <col min="7683" max="7683" width="23.125" style="64" customWidth="1"/>
    <col min="7684" max="7684" width="15.125" style="64" customWidth="1"/>
    <col min="7685" max="7685" width="21.625" style="64" customWidth="1"/>
    <col min="7686" max="7686" width="9.75" style="64" customWidth="1"/>
    <col min="7687" max="7687" width="8.25" style="64" customWidth="1"/>
    <col min="7688" max="7688" width="8" style="64" customWidth="1"/>
    <col min="7689" max="7689" width="4.5" style="64" customWidth="1"/>
    <col min="7690" max="7690" width="6.75" style="64" customWidth="1"/>
    <col min="7691" max="7691" width="5.375" style="64" customWidth="1"/>
    <col min="7692" max="7692" width="6" style="64" customWidth="1"/>
    <col min="7693" max="7936" width="9" style="64"/>
    <col min="7937" max="7937" width="2.75" style="64" customWidth="1"/>
    <col min="7938" max="7938" width="20.875" style="64" customWidth="1"/>
    <col min="7939" max="7939" width="23.125" style="64" customWidth="1"/>
    <col min="7940" max="7940" width="15.125" style="64" customWidth="1"/>
    <col min="7941" max="7941" width="21.625" style="64" customWidth="1"/>
    <col min="7942" max="7942" width="9.75" style="64" customWidth="1"/>
    <col min="7943" max="7943" width="8.25" style="64" customWidth="1"/>
    <col min="7944" max="7944" width="8" style="64" customWidth="1"/>
    <col min="7945" max="7945" width="4.5" style="64" customWidth="1"/>
    <col min="7946" max="7946" width="6.75" style="64" customWidth="1"/>
    <col min="7947" max="7947" width="5.375" style="64" customWidth="1"/>
    <col min="7948" max="7948" width="6" style="64" customWidth="1"/>
    <col min="7949" max="8192" width="9" style="64"/>
    <col min="8193" max="8193" width="2.75" style="64" customWidth="1"/>
    <col min="8194" max="8194" width="20.875" style="64" customWidth="1"/>
    <col min="8195" max="8195" width="23.125" style="64" customWidth="1"/>
    <col min="8196" max="8196" width="15.125" style="64" customWidth="1"/>
    <col min="8197" max="8197" width="21.625" style="64" customWidth="1"/>
    <col min="8198" max="8198" width="9.75" style="64" customWidth="1"/>
    <col min="8199" max="8199" width="8.25" style="64" customWidth="1"/>
    <col min="8200" max="8200" width="8" style="64" customWidth="1"/>
    <col min="8201" max="8201" width="4.5" style="64" customWidth="1"/>
    <col min="8202" max="8202" width="6.75" style="64" customWidth="1"/>
    <col min="8203" max="8203" width="5.375" style="64" customWidth="1"/>
    <col min="8204" max="8204" width="6" style="64" customWidth="1"/>
    <col min="8205" max="8448" width="9" style="64"/>
    <col min="8449" max="8449" width="2.75" style="64" customWidth="1"/>
    <col min="8450" max="8450" width="20.875" style="64" customWidth="1"/>
    <col min="8451" max="8451" width="23.125" style="64" customWidth="1"/>
    <col min="8452" max="8452" width="15.125" style="64" customWidth="1"/>
    <col min="8453" max="8453" width="21.625" style="64" customWidth="1"/>
    <col min="8454" max="8454" width="9.75" style="64" customWidth="1"/>
    <col min="8455" max="8455" width="8.25" style="64" customWidth="1"/>
    <col min="8456" max="8456" width="8" style="64" customWidth="1"/>
    <col min="8457" max="8457" width="4.5" style="64" customWidth="1"/>
    <col min="8458" max="8458" width="6.75" style="64" customWidth="1"/>
    <col min="8459" max="8459" width="5.375" style="64" customWidth="1"/>
    <col min="8460" max="8460" width="6" style="64" customWidth="1"/>
    <col min="8461" max="8704" width="9" style="64"/>
    <col min="8705" max="8705" width="2.75" style="64" customWidth="1"/>
    <col min="8706" max="8706" width="20.875" style="64" customWidth="1"/>
    <col min="8707" max="8707" width="23.125" style="64" customWidth="1"/>
    <col min="8708" max="8708" width="15.125" style="64" customWidth="1"/>
    <col min="8709" max="8709" width="21.625" style="64" customWidth="1"/>
    <col min="8710" max="8710" width="9.75" style="64" customWidth="1"/>
    <col min="8711" max="8711" width="8.25" style="64" customWidth="1"/>
    <col min="8712" max="8712" width="8" style="64" customWidth="1"/>
    <col min="8713" max="8713" width="4.5" style="64" customWidth="1"/>
    <col min="8714" max="8714" width="6.75" style="64" customWidth="1"/>
    <col min="8715" max="8715" width="5.375" style="64" customWidth="1"/>
    <col min="8716" max="8716" width="6" style="64" customWidth="1"/>
    <col min="8717" max="8960" width="9" style="64"/>
    <col min="8961" max="8961" width="2.75" style="64" customWidth="1"/>
    <col min="8962" max="8962" width="20.875" style="64" customWidth="1"/>
    <col min="8963" max="8963" width="23.125" style="64" customWidth="1"/>
    <col min="8964" max="8964" width="15.125" style="64" customWidth="1"/>
    <col min="8965" max="8965" width="21.625" style="64" customWidth="1"/>
    <col min="8966" max="8966" width="9.75" style="64" customWidth="1"/>
    <col min="8967" max="8967" width="8.25" style="64" customWidth="1"/>
    <col min="8968" max="8968" width="8" style="64" customWidth="1"/>
    <col min="8969" max="8969" width="4.5" style="64" customWidth="1"/>
    <col min="8970" max="8970" width="6.75" style="64" customWidth="1"/>
    <col min="8971" max="8971" width="5.375" style="64" customWidth="1"/>
    <col min="8972" max="8972" width="6" style="64" customWidth="1"/>
    <col min="8973" max="9216" width="9" style="64"/>
    <col min="9217" max="9217" width="2.75" style="64" customWidth="1"/>
    <col min="9218" max="9218" width="20.875" style="64" customWidth="1"/>
    <col min="9219" max="9219" width="23.125" style="64" customWidth="1"/>
    <col min="9220" max="9220" width="15.125" style="64" customWidth="1"/>
    <col min="9221" max="9221" width="21.625" style="64" customWidth="1"/>
    <col min="9222" max="9222" width="9.75" style="64" customWidth="1"/>
    <col min="9223" max="9223" width="8.25" style="64" customWidth="1"/>
    <col min="9224" max="9224" width="8" style="64" customWidth="1"/>
    <col min="9225" max="9225" width="4.5" style="64" customWidth="1"/>
    <col min="9226" max="9226" width="6.75" style="64" customWidth="1"/>
    <col min="9227" max="9227" width="5.375" style="64" customWidth="1"/>
    <col min="9228" max="9228" width="6" style="64" customWidth="1"/>
    <col min="9229" max="9472" width="9" style="64"/>
    <col min="9473" max="9473" width="2.75" style="64" customWidth="1"/>
    <col min="9474" max="9474" width="20.875" style="64" customWidth="1"/>
    <col min="9475" max="9475" width="23.125" style="64" customWidth="1"/>
    <col min="9476" max="9476" width="15.125" style="64" customWidth="1"/>
    <col min="9477" max="9477" width="21.625" style="64" customWidth="1"/>
    <col min="9478" max="9478" width="9.75" style="64" customWidth="1"/>
    <col min="9479" max="9479" width="8.25" style="64" customWidth="1"/>
    <col min="9480" max="9480" width="8" style="64" customWidth="1"/>
    <col min="9481" max="9481" width="4.5" style="64" customWidth="1"/>
    <col min="9482" max="9482" width="6.75" style="64" customWidth="1"/>
    <col min="9483" max="9483" width="5.375" style="64" customWidth="1"/>
    <col min="9484" max="9484" width="6" style="64" customWidth="1"/>
    <col min="9485" max="9728" width="9" style="64"/>
    <col min="9729" max="9729" width="2.75" style="64" customWidth="1"/>
    <col min="9730" max="9730" width="20.875" style="64" customWidth="1"/>
    <col min="9731" max="9731" width="23.125" style="64" customWidth="1"/>
    <col min="9732" max="9732" width="15.125" style="64" customWidth="1"/>
    <col min="9733" max="9733" width="21.625" style="64" customWidth="1"/>
    <col min="9734" max="9734" width="9.75" style="64" customWidth="1"/>
    <col min="9735" max="9735" width="8.25" style="64" customWidth="1"/>
    <col min="9736" max="9736" width="8" style="64" customWidth="1"/>
    <col min="9737" max="9737" width="4.5" style="64" customWidth="1"/>
    <col min="9738" max="9738" width="6.75" style="64" customWidth="1"/>
    <col min="9739" max="9739" width="5.375" style="64" customWidth="1"/>
    <col min="9740" max="9740" width="6" style="64" customWidth="1"/>
    <col min="9741" max="9984" width="9" style="64"/>
    <col min="9985" max="9985" width="2.75" style="64" customWidth="1"/>
    <col min="9986" max="9986" width="20.875" style="64" customWidth="1"/>
    <col min="9987" max="9987" width="23.125" style="64" customWidth="1"/>
    <col min="9988" max="9988" width="15.125" style="64" customWidth="1"/>
    <col min="9989" max="9989" width="21.625" style="64" customWidth="1"/>
    <col min="9990" max="9990" width="9.75" style="64" customWidth="1"/>
    <col min="9991" max="9991" width="8.25" style="64" customWidth="1"/>
    <col min="9992" max="9992" width="8" style="64" customWidth="1"/>
    <col min="9993" max="9993" width="4.5" style="64" customWidth="1"/>
    <col min="9994" max="9994" width="6.75" style="64" customWidth="1"/>
    <col min="9995" max="9995" width="5.375" style="64" customWidth="1"/>
    <col min="9996" max="9996" width="6" style="64" customWidth="1"/>
    <col min="9997" max="10240" width="9" style="64"/>
    <col min="10241" max="10241" width="2.75" style="64" customWidth="1"/>
    <col min="10242" max="10242" width="20.875" style="64" customWidth="1"/>
    <col min="10243" max="10243" width="23.125" style="64" customWidth="1"/>
    <col min="10244" max="10244" width="15.125" style="64" customWidth="1"/>
    <col min="10245" max="10245" width="21.625" style="64" customWidth="1"/>
    <col min="10246" max="10246" width="9.75" style="64" customWidth="1"/>
    <col min="10247" max="10247" width="8.25" style="64" customWidth="1"/>
    <col min="10248" max="10248" width="8" style="64" customWidth="1"/>
    <col min="10249" max="10249" width="4.5" style="64" customWidth="1"/>
    <col min="10250" max="10250" width="6.75" style="64" customWidth="1"/>
    <col min="10251" max="10251" width="5.375" style="64" customWidth="1"/>
    <col min="10252" max="10252" width="6" style="64" customWidth="1"/>
    <col min="10253" max="10496" width="9" style="64"/>
    <col min="10497" max="10497" width="2.75" style="64" customWidth="1"/>
    <col min="10498" max="10498" width="20.875" style="64" customWidth="1"/>
    <col min="10499" max="10499" width="23.125" style="64" customWidth="1"/>
    <col min="10500" max="10500" width="15.125" style="64" customWidth="1"/>
    <col min="10501" max="10501" width="21.625" style="64" customWidth="1"/>
    <col min="10502" max="10502" width="9.75" style="64" customWidth="1"/>
    <col min="10503" max="10503" width="8.25" style="64" customWidth="1"/>
    <col min="10504" max="10504" width="8" style="64" customWidth="1"/>
    <col min="10505" max="10505" width="4.5" style="64" customWidth="1"/>
    <col min="10506" max="10506" width="6.75" style="64" customWidth="1"/>
    <col min="10507" max="10507" width="5.375" style="64" customWidth="1"/>
    <col min="10508" max="10508" width="6" style="64" customWidth="1"/>
    <col min="10509" max="10752" width="9" style="64"/>
    <col min="10753" max="10753" width="2.75" style="64" customWidth="1"/>
    <col min="10754" max="10754" width="20.875" style="64" customWidth="1"/>
    <col min="10755" max="10755" width="23.125" style="64" customWidth="1"/>
    <col min="10756" max="10756" width="15.125" style="64" customWidth="1"/>
    <col min="10757" max="10757" width="21.625" style="64" customWidth="1"/>
    <col min="10758" max="10758" width="9.75" style="64" customWidth="1"/>
    <col min="10759" max="10759" width="8.25" style="64" customWidth="1"/>
    <col min="10760" max="10760" width="8" style="64" customWidth="1"/>
    <col min="10761" max="10761" width="4.5" style="64" customWidth="1"/>
    <col min="10762" max="10762" width="6.75" style="64" customWidth="1"/>
    <col min="10763" max="10763" width="5.375" style="64" customWidth="1"/>
    <col min="10764" max="10764" width="6" style="64" customWidth="1"/>
    <col min="10765" max="11008" width="9" style="64"/>
    <col min="11009" max="11009" width="2.75" style="64" customWidth="1"/>
    <col min="11010" max="11010" width="20.875" style="64" customWidth="1"/>
    <col min="11011" max="11011" width="23.125" style="64" customWidth="1"/>
    <col min="11012" max="11012" width="15.125" style="64" customWidth="1"/>
    <col min="11013" max="11013" width="21.625" style="64" customWidth="1"/>
    <col min="11014" max="11014" width="9.75" style="64" customWidth="1"/>
    <col min="11015" max="11015" width="8.25" style="64" customWidth="1"/>
    <col min="11016" max="11016" width="8" style="64" customWidth="1"/>
    <col min="11017" max="11017" width="4.5" style="64" customWidth="1"/>
    <col min="11018" max="11018" width="6.75" style="64" customWidth="1"/>
    <col min="11019" max="11019" width="5.375" style="64" customWidth="1"/>
    <col min="11020" max="11020" width="6" style="64" customWidth="1"/>
    <col min="11021" max="11264" width="9" style="64"/>
    <col min="11265" max="11265" width="2.75" style="64" customWidth="1"/>
    <col min="11266" max="11266" width="20.875" style="64" customWidth="1"/>
    <col min="11267" max="11267" width="23.125" style="64" customWidth="1"/>
    <col min="11268" max="11268" width="15.125" style="64" customWidth="1"/>
    <col min="11269" max="11269" width="21.625" style="64" customWidth="1"/>
    <col min="11270" max="11270" width="9.75" style="64" customWidth="1"/>
    <col min="11271" max="11271" width="8.25" style="64" customWidth="1"/>
    <col min="11272" max="11272" width="8" style="64" customWidth="1"/>
    <col min="11273" max="11273" width="4.5" style="64" customWidth="1"/>
    <col min="11274" max="11274" width="6.75" style="64" customWidth="1"/>
    <col min="11275" max="11275" width="5.375" style="64" customWidth="1"/>
    <col min="11276" max="11276" width="6" style="64" customWidth="1"/>
    <col min="11277" max="11520" width="9" style="64"/>
    <col min="11521" max="11521" width="2.75" style="64" customWidth="1"/>
    <col min="11522" max="11522" width="20.875" style="64" customWidth="1"/>
    <col min="11523" max="11523" width="23.125" style="64" customWidth="1"/>
    <col min="11524" max="11524" width="15.125" style="64" customWidth="1"/>
    <col min="11525" max="11525" width="21.625" style="64" customWidth="1"/>
    <col min="11526" max="11526" width="9.75" style="64" customWidth="1"/>
    <col min="11527" max="11527" width="8.25" style="64" customWidth="1"/>
    <col min="11528" max="11528" width="8" style="64" customWidth="1"/>
    <col min="11529" max="11529" width="4.5" style="64" customWidth="1"/>
    <col min="11530" max="11530" width="6.75" style="64" customWidth="1"/>
    <col min="11531" max="11531" width="5.375" style="64" customWidth="1"/>
    <col min="11532" max="11532" width="6" style="64" customWidth="1"/>
    <col min="11533" max="11776" width="9" style="64"/>
    <col min="11777" max="11777" width="2.75" style="64" customWidth="1"/>
    <col min="11778" max="11778" width="20.875" style="64" customWidth="1"/>
    <col min="11779" max="11779" width="23.125" style="64" customWidth="1"/>
    <col min="11780" max="11780" width="15.125" style="64" customWidth="1"/>
    <col min="11781" max="11781" width="21.625" style="64" customWidth="1"/>
    <col min="11782" max="11782" width="9.75" style="64" customWidth="1"/>
    <col min="11783" max="11783" width="8.25" style="64" customWidth="1"/>
    <col min="11784" max="11784" width="8" style="64" customWidth="1"/>
    <col min="11785" max="11785" width="4.5" style="64" customWidth="1"/>
    <col min="11786" max="11786" width="6.75" style="64" customWidth="1"/>
    <col min="11787" max="11787" width="5.375" style="64" customWidth="1"/>
    <col min="11788" max="11788" width="6" style="64" customWidth="1"/>
    <col min="11789" max="12032" width="9" style="64"/>
    <col min="12033" max="12033" width="2.75" style="64" customWidth="1"/>
    <col min="12034" max="12034" width="20.875" style="64" customWidth="1"/>
    <col min="12035" max="12035" width="23.125" style="64" customWidth="1"/>
    <col min="12036" max="12036" width="15.125" style="64" customWidth="1"/>
    <col min="12037" max="12037" width="21.625" style="64" customWidth="1"/>
    <col min="12038" max="12038" width="9.75" style="64" customWidth="1"/>
    <col min="12039" max="12039" width="8.25" style="64" customWidth="1"/>
    <col min="12040" max="12040" width="8" style="64" customWidth="1"/>
    <col min="12041" max="12041" width="4.5" style="64" customWidth="1"/>
    <col min="12042" max="12042" width="6.75" style="64" customWidth="1"/>
    <col min="12043" max="12043" width="5.375" style="64" customWidth="1"/>
    <col min="12044" max="12044" width="6" style="64" customWidth="1"/>
    <col min="12045" max="12288" width="9" style="64"/>
    <col min="12289" max="12289" width="2.75" style="64" customWidth="1"/>
    <col min="12290" max="12290" width="20.875" style="64" customWidth="1"/>
    <col min="12291" max="12291" width="23.125" style="64" customWidth="1"/>
    <col min="12292" max="12292" width="15.125" style="64" customWidth="1"/>
    <col min="12293" max="12293" width="21.625" style="64" customWidth="1"/>
    <col min="12294" max="12294" width="9.75" style="64" customWidth="1"/>
    <col min="12295" max="12295" width="8.25" style="64" customWidth="1"/>
    <col min="12296" max="12296" width="8" style="64" customWidth="1"/>
    <col min="12297" max="12297" width="4.5" style="64" customWidth="1"/>
    <col min="12298" max="12298" width="6.75" style="64" customWidth="1"/>
    <col min="12299" max="12299" width="5.375" style="64" customWidth="1"/>
    <col min="12300" max="12300" width="6" style="64" customWidth="1"/>
    <col min="12301" max="12544" width="9" style="64"/>
    <col min="12545" max="12545" width="2.75" style="64" customWidth="1"/>
    <col min="12546" max="12546" width="20.875" style="64" customWidth="1"/>
    <col min="12547" max="12547" width="23.125" style="64" customWidth="1"/>
    <col min="12548" max="12548" width="15.125" style="64" customWidth="1"/>
    <col min="12549" max="12549" width="21.625" style="64" customWidth="1"/>
    <col min="12550" max="12550" width="9.75" style="64" customWidth="1"/>
    <col min="12551" max="12551" width="8.25" style="64" customWidth="1"/>
    <col min="12552" max="12552" width="8" style="64" customWidth="1"/>
    <col min="12553" max="12553" width="4.5" style="64" customWidth="1"/>
    <col min="12554" max="12554" width="6.75" style="64" customWidth="1"/>
    <col min="12555" max="12555" width="5.375" style="64" customWidth="1"/>
    <col min="12556" max="12556" width="6" style="64" customWidth="1"/>
    <col min="12557" max="12800" width="9" style="64"/>
    <col min="12801" max="12801" width="2.75" style="64" customWidth="1"/>
    <col min="12802" max="12802" width="20.875" style="64" customWidth="1"/>
    <col min="12803" max="12803" width="23.125" style="64" customWidth="1"/>
    <col min="12804" max="12804" width="15.125" style="64" customWidth="1"/>
    <col min="12805" max="12805" width="21.625" style="64" customWidth="1"/>
    <col min="12806" max="12806" width="9.75" style="64" customWidth="1"/>
    <col min="12807" max="12807" width="8.25" style="64" customWidth="1"/>
    <col min="12808" max="12808" width="8" style="64" customWidth="1"/>
    <col min="12809" max="12809" width="4.5" style="64" customWidth="1"/>
    <col min="12810" max="12810" width="6.75" style="64" customWidth="1"/>
    <col min="12811" max="12811" width="5.375" style="64" customWidth="1"/>
    <col min="12812" max="12812" width="6" style="64" customWidth="1"/>
    <col min="12813" max="13056" width="9" style="64"/>
    <col min="13057" max="13057" width="2.75" style="64" customWidth="1"/>
    <col min="13058" max="13058" width="20.875" style="64" customWidth="1"/>
    <col min="13059" max="13059" width="23.125" style="64" customWidth="1"/>
    <col min="13060" max="13060" width="15.125" style="64" customWidth="1"/>
    <col min="13061" max="13061" width="21.625" style="64" customWidth="1"/>
    <col min="13062" max="13062" width="9.75" style="64" customWidth="1"/>
    <col min="13063" max="13063" width="8.25" style="64" customWidth="1"/>
    <col min="13064" max="13064" width="8" style="64" customWidth="1"/>
    <col min="13065" max="13065" width="4.5" style="64" customWidth="1"/>
    <col min="13066" max="13066" width="6.75" style="64" customWidth="1"/>
    <col min="13067" max="13067" width="5.375" style="64" customWidth="1"/>
    <col min="13068" max="13068" width="6" style="64" customWidth="1"/>
    <col min="13069" max="13312" width="9" style="64"/>
    <col min="13313" max="13313" width="2.75" style="64" customWidth="1"/>
    <col min="13314" max="13314" width="20.875" style="64" customWidth="1"/>
    <col min="13315" max="13315" width="23.125" style="64" customWidth="1"/>
    <col min="13316" max="13316" width="15.125" style="64" customWidth="1"/>
    <col min="13317" max="13317" width="21.625" style="64" customWidth="1"/>
    <col min="13318" max="13318" width="9.75" style="64" customWidth="1"/>
    <col min="13319" max="13319" width="8.25" style="64" customWidth="1"/>
    <col min="13320" max="13320" width="8" style="64" customWidth="1"/>
    <col min="13321" max="13321" width="4.5" style="64" customWidth="1"/>
    <col min="13322" max="13322" width="6.75" style="64" customWidth="1"/>
    <col min="13323" max="13323" width="5.375" style="64" customWidth="1"/>
    <col min="13324" max="13324" width="6" style="64" customWidth="1"/>
    <col min="13325" max="13568" width="9" style="64"/>
    <col min="13569" max="13569" width="2.75" style="64" customWidth="1"/>
    <col min="13570" max="13570" width="20.875" style="64" customWidth="1"/>
    <col min="13571" max="13571" width="23.125" style="64" customWidth="1"/>
    <col min="13572" max="13572" width="15.125" style="64" customWidth="1"/>
    <col min="13573" max="13573" width="21.625" style="64" customWidth="1"/>
    <col min="13574" max="13574" width="9.75" style="64" customWidth="1"/>
    <col min="13575" max="13575" width="8.25" style="64" customWidth="1"/>
    <col min="13576" max="13576" width="8" style="64" customWidth="1"/>
    <col min="13577" max="13577" width="4.5" style="64" customWidth="1"/>
    <col min="13578" max="13578" width="6.75" style="64" customWidth="1"/>
    <col min="13579" max="13579" width="5.375" style="64" customWidth="1"/>
    <col min="13580" max="13580" width="6" style="64" customWidth="1"/>
    <col min="13581" max="13824" width="9" style="64"/>
    <col min="13825" max="13825" width="2.75" style="64" customWidth="1"/>
    <col min="13826" max="13826" width="20.875" style="64" customWidth="1"/>
    <col min="13827" max="13827" width="23.125" style="64" customWidth="1"/>
    <col min="13828" max="13828" width="15.125" style="64" customWidth="1"/>
    <col min="13829" max="13829" width="21.625" style="64" customWidth="1"/>
    <col min="13830" max="13830" width="9.75" style="64" customWidth="1"/>
    <col min="13831" max="13831" width="8.25" style="64" customWidth="1"/>
    <col min="13832" max="13832" width="8" style="64" customWidth="1"/>
    <col min="13833" max="13833" width="4.5" style="64" customWidth="1"/>
    <col min="13834" max="13834" width="6.75" style="64" customWidth="1"/>
    <col min="13835" max="13835" width="5.375" style="64" customWidth="1"/>
    <col min="13836" max="13836" width="6" style="64" customWidth="1"/>
    <col min="13837" max="14080" width="9" style="64"/>
    <col min="14081" max="14081" width="2.75" style="64" customWidth="1"/>
    <col min="14082" max="14082" width="20.875" style="64" customWidth="1"/>
    <col min="14083" max="14083" width="23.125" style="64" customWidth="1"/>
    <col min="14084" max="14084" width="15.125" style="64" customWidth="1"/>
    <col min="14085" max="14085" width="21.625" style="64" customWidth="1"/>
    <col min="14086" max="14086" width="9.75" style="64" customWidth="1"/>
    <col min="14087" max="14087" width="8.25" style="64" customWidth="1"/>
    <col min="14088" max="14088" width="8" style="64" customWidth="1"/>
    <col min="14089" max="14089" width="4.5" style="64" customWidth="1"/>
    <col min="14090" max="14090" width="6.75" style="64" customWidth="1"/>
    <col min="14091" max="14091" width="5.375" style="64" customWidth="1"/>
    <col min="14092" max="14092" width="6" style="64" customWidth="1"/>
    <col min="14093" max="14336" width="9" style="64"/>
    <col min="14337" max="14337" width="2.75" style="64" customWidth="1"/>
    <col min="14338" max="14338" width="20.875" style="64" customWidth="1"/>
    <col min="14339" max="14339" width="23.125" style="64" customWidth="1"/>
    <col min="14340" max="14340" width="15.125" style="64" customWidth="1"/>
    <col min="14341" max="14341" width="21.625" style="64" customWidth="1"/>
    <col min="14342" max="14342" width="9.75" style="64" customWidth="1"/>
    <col min="14343" max="14343" width="8.25" style="64" customWidth="1"/>
    <col min="14344" max="14344" width="8" style="64" customWidth="1"/>
    <col min="14345" max="14345" width="4.5" style="64" customWidth="1"/>
    <col min="14346" max="14346" width="6.75" style="64" customWidth="1"/>
    <col min="14347" max="14347" width="5.375" style="64" customWidth="1"/>
    <col min="14348" max="14348" width="6" style="64" customWidth="1"/>
    <col min="14349" max="14592" width="9" style="64"/>
    <col min="14593" max="14593" width="2.75" style="64" customWidth="1"/>
    <col min="14594" max="14594" width="20.875" style="64" customWidth="1"/>
    <col min="14595" max="14595" width="23.125" style="64" customWidth="1"/>
    <col min="14596" max="14596" width="15.125" style="64" customWidth="1"/>
    <col min="14597" max="14597" width="21.625" style="64" customWidth="1"/>
    <col min="14598" max="14598" width="9.75" style="64" customWidth="1"/>
    <col min="14599" max="14599" width="8.25" style="64" customWidth="1"/>
    <col min="14600" max="14600" width="8" style="64" customWidth="1"/>
    <col min="14601" max="14601" width="4.5" style="64" customWidth="1"/>
    <col min="14602" max="14602" width="6.75" style="64" customWidth="1"/>
    <col min="14603" max="14603" width="5.375" style="64" customWidth="1"/>
    <col min="14604" max="14604" width="6" style="64" customWidth="1"/>
    <col min="14605" max="14848" width="9" style="64"/>
    <col min="14849" max="14849" width="2.75" style="64" customWidth="1"/>
    <col min="14850" max="14850" width="20.875" style="64" customWidth="1"/>
    <col min="14851" max="14851" width="23.125" style="64" customWidth="1"/>
    <col min="14852" max="14852" width="15.125" style="64" customWidth="1"/>
    <col min="14853" max="14853" width="21.625" style="64" customWidth="1"/>
    <col min="14854" max="14854" width="9.75" style="64" customWidth="1"/>
    <col min="14855" max="14855" width="8.25" style="64" customWidth="1"/>
    <col min="14856" max="14856" width="8" style="64" customWidth="1"/>
    <col min="14857" max="14857" width="4.5" style="64" customWidth="1"/>
    <col min="14858" max="14858" width="6.75" style="64" customWidth="1"/>
    <col min="14859" max="14859" width="5.375" style="64" customWidth="1"/>
    <col min="14860" max="14860" width="6" style="64" customWidth="1"/>
    <col min="14861" max="15104" width="9" style="64"/>
    <col min="15105" max="15105" width="2.75" style="64" customWidth="1"/>
    <col min="15106" max="15106" width="20.875" style="64" customWidth="1"/>
    <col min="15107" max="15107" width="23.125" style="64" customWidth="1"/>
    <col min="15108" max="15108" width="15.125" style="64" customWidth="1"/>
    <col min="15109" max="15109" width="21.625" style="64" customWidth="1"/>
    <col min="15110" max="15110" width="9.75" style="64" customWidth="1"/>
    <col min="15111" max="15111" width="8.25" style="64" customWidth="1"/>
    <col min="15112" max="15112" width="8" style="64" customWidth="1"/>
    <col min="15113" max="15113" width="4.5" style="64" customWidth="1"/>
    <col min="15114" max="15114" width="6.75" style="64" customWidth="1"/>
    <col min="15115" max="15115" width="5.375" style="64" customWidth="1"/>
    <col min="15116" max="15116" width="6" style="64" customWidth="1"/>
    <col min="15117" max="15360" width="9" style="64"/>
    <col min="15361" max="15361" width="2.75" style="64" customWidth="1"/>
    <col min="15362" max="15362" width="20.875" style="64" customWidth="1"/>
    <col min="15363" max="15363" width="23.125" style="64" customWidth="1"/>
    <col min="15364" max="15364" width="15.125" style="64" customWidth="1"/>
    <col min="15365" max="15365" width="21.625" style="64" customWidth="1"/>
    <col min="15366" max="15366" width="9.75" style="64" customWidth="1"/>
    <col min="15367" max="15367" width="8.25" style="64" customWidth="1"/>
    <col min="15368" max="15368" width="8" style="64" customWidth="1"/>
    <col min="15369" max="15369" width="4.5" style="64" customWidth="1"/>
    <col min="15370" max="15370" width="6.75" style="64" customWidth="1"/>
    <col min="15371" max="15371" width="5.375" style="64" customWidth="1"/>
    <col min="15372" max="15372" width="6" style="64" customWidth="1"/>
    <col min="15373" max="15616" width="9" style="64"/>
    <col min="15617" max="15617" width="2.75" style="64" customWidth="1"/>
    <col min="15618" max="15618" width="20.875" style="64" customWidth="1"/>
    <col min="15619" max="15619" width="23.125" style="64" customWidth="1"/>
    <col min="15620" max="15620" width="15.125" style="64" customWidth="1"/>
    <col min="15621" max="15621" width="21.625" style="64" customWidth="1"/>
    <col min="15622" max="15622" width="9.75" style="64" customWidth="1"/>
    <col min="15623" max="15623" width="8.25" style="64" customWidth="1"/>
    <col min="15624" max="15624" width="8" style="64" customWidth="1"/>
    <col min="15625" max="15625" width="4.5" style="64" customWidth="1"/>
    <col min="15626" max="15626" width="6.75" style="64" customWidth="1"/>
    <col min="15627" max="15627" width="5.375" style="64" customWidth="1"/>
    <col min="15628" max="15628" width="6" style="64" customWidth="1"/>
    <col min="15629" max="15872" width="9" style="64"/>
    <col min="15873" max="15873" width="2.75" style="64" customWidth="1"/>
    <col min="15874" max="15874" width="20.875" style="64" customWidth="1"/>
    <col min="15875" max="15875" width="23.125" style="64" customWidth="1"/>
    <col min="15876" max="15876" width="15.125" style="64" customWidth="1"/>
    <col min="15877" max="15877" width="21.625" style="64" customWidth="1"/>
    <col min="15878" max="15878" width="9.75" style="64" customWidth="1"/>
    <col min="15879" max="15879" width="8.25" style="64" customWidth="1"/>
    <col min="15880" max="15880" width="8" style="64" customWidth="1"/>
    <col min="15881" max="15881" width="4.5" style="64" customWidth="1"/>
    <col min="15882" max="15882" width="6.75" style="64" customWidth="1"/>
    <col min="15883" max="15883" width="5.375" style="64" customWidth="1"/>
    <col min="15884" max="15884" width="6" style="64" customWidth="1"/>
    <col min="15885" max="16128" width="9" style="64"/>
    <col min="16129" max="16129" width="2.75" style="64" customWidth="1"/>
    <col min="16130" max="16130" width="20.875" style="64" customWidth="1"/>
    <col min="16131" max="16131" width="23.125" style="64" customWidth="1"/>
    <col min="16132" max="16132" width="15.125" style="64" customWidth="1"/>
    <col min="16133" max="16133" width="21.625" style="64" customWidth="1"/>
    <col min="16134" max="16134" width="9.75" style="64" customWidth="1"/>
    <col min="16135" max="16135" width="8.25" style="64" customWidth="1"/>
    <col min="16136" max="16136" width="8" style="64" customWidth="1"/>
    <col min="16137" max="16137" width="4.5" style="64" customWidth="1"/>
    <col min="16138" max="16138" width="6.75" style="64" customWidth="1"/>
    <col min="16139" max="16139" width="5.375" style="64" customWidth="1"/>
    <col min="16140" max="16140" width="6" style="64" customWidth="1"/>
    <col min="16141" max="16384" width="9" style="64"/>
  </cols>
  <sheetData>
    <row r="1" spans="1:9" ht="24" customHeight="1">
      <c r="A1" s="815" t="s">
        <v>442</v>
      </c>
      <c r="B1" s="815"/>
      <c r="C1" s="815"/>
      <c r="D1" s="815"/>
      <c r="E1" s="815"/>
      <c r="F1" s="815"/>
      <c r="G1" s="815"/>
      <c r="H1" s="815"/>
      <c r="I1" s="815"/>
    </row>
    <row r="3" spans="1:9">
      <c r="A3" s="88" t="s">
        <v>443</v>
      </c>
      <c r="B3" s="321"/>
      <c r="C3" s="322"/>
    </row>
    <row r="4" spans="1:9">
      <c r="A4" s="65" t="s">
        <v>444</v>
      </c>
    </row>
    <row r="5" spans="1:9" ht="12.75">
      <c r="A5" s="153" t="s">
        <v>445</v>
      </c>
      <c r="B5" s="323"/>
      <c r="C5" s="324" t="s">
        <v>446</v>
      </c>
      <c r="D5" s="324" t="e">
        <f>D11/C11*100</f>
        <v>#DIV/0!</v>
      </c>
      <c r="E5" s="64"/>
    </row>
    <row r="6" spans="1:9" ht="15" customHeight="1">
      <c r="A6" s="325" t="s">
        <v>60</v>
      </c>
      <c r="B6" s="111" t="s">
        <v>447</v>
      </c>
      <c r="C6" s="326" t="s">
        <v>448</v>
      </c>
      <c r="D6" s="327" t="s">
        <v>449</v>
      </c>
      <c r="E6" s="64"/>
    </row>
    <row r="7" spans="1:9" ht="15" customHeight="1">
      <c r="A7" s="328">
        <v>1</v>
      </c>
      <c r="B7" s="329" t="s">
        <v>289</v>
      </c>
      <c r="C7" s="130">
        <f>需求!I10</f>
        <v>0</v>
      </c>
      <c r="D7" s="330"/>
      <c r="E7" s="64"/>
    </row>
    <row r="8" spans="1:9" ht="15" customHeight="1">
      <c r="A8" s="328">
        <v>2</v>
      </c>
      <c r="B8" s="331" t="s">
        <v>307</v>
      </c>
      <c r="C8" s="130">
        <f>需求!I11</f>
        <v>0</v>
      </c>
      <c r="D8" s="330"/>
      <c r="E8" s="64"/>
    </row>
    <row r="9" spans="1:9" ht="15" customHeight="1">
      <c r="A9" s="328">
        <v>3</v>
      </c>
      <c r="B9" s="331" t="s">
        <v>436</v>
      </c>
      <c r="C9" s="130">
        <f>需求!I12</f>
        <v>0</v>
      </c>
      <c r="D9" s="330"/>
      <c r="E9" s="64"/>
    </row>
    <row r="10" spans="1:9" ht="15" customHeight="1">
      <c r="A10" s="328">
        <v>4</v>
      </c>
      <c r="B10" s="331" t="s">
        <v>322</v>
      </c>
      <c r="C10" s="130">
        <f>需求!I13</f>
        <v>0</v>
      </c>
      <c r="D10" s="330"/>
      <c r="E10" s="64"/>
    </row>
    <row r="11" spans="1:9" ht="15" customHeight="1">
      <c r="A11" s="332">
        <v>5</v>
      </c>
      <c r="B11" s="333" t="s">
        <v>328</v>
      </c>
      <c r="C11" s="130">
        <f>需求!I14</f>
        <v>0</v>
      </c>
      <c r="D11" s="317"/>
      <c r="E11" s="64"/>
    </row>
    <row r="12" spans="1:9" ht="16.5" customHeight="1">
      <c r="A12" s="153"/>
      <c r="B12" s="66"/>
      <c r="E12" s="149"/>
    </row>
    <row r="13" spans="1:9" s="320" customFormat="1" ht="29.25" customHeight="1">
      <c r="A13" s="334"/>
      <c r="C13" s="334"/>
      <c r="D13" s="334"/>
      <c r="E13" s="334"/>
    </row>
    <row r="14" spans="1:9" s="66" customFormat="1">
      <c r="A14" s="335" t="s">
        <v>450</v>
      </c>
      <c r="B14" s="89"/>
      <c r="C14" s="149"/>
      <c r="D14" s="149"/>
      <c r="E14" s="149"/>
    </row>
    <row r="15" spans="1:9">
      <c r="A15" s="336" t="s">
        <v>451</v>
      </c>
    </row>
    <row r="16" spans="1:9" ht="13.5">
      <c r="A16" s="336" t="s">
        <v>452</v>
      </c>
    </row>
    <row r="18" spans="1:8" ht="15" customHeight="1">
      <c r="A18" s="325" t="s">
        <v>60</v>
      </c>
      <c r="B18" s="111" t="s">
        <v>453</v>
      </c>
      <c r="C18" s="111" t="s">
        <v>454</v>
      </c>
      <c r="D18" s="337" t="s">
        <v>455</v>
      </c>
      <c r="E18" s="64"/>
    </row>
    <row r="19" spans="1:8" ht="15" customHeight="1">
      <c r="A19" s="338">
        <v>1</v>
      </c>
      <c r="B19" s="339">
        <f>C11</f>
        <v>0</v>
      </c>
      <c r="C19" s="339">
        <f>工作量分布!N13</f>
        <v>0</v>
      </c>
      <c r="D19" s="339" t="e">
        <f>B19/C19</f>
        <v>#DIV/0!</v>
      </c>
      <c r="E19" s="64"/>
    </row>
    <row r="24" spans="1:8">
      <c r="A24" s="335" t="s">
        <v>456</v>
      </c>
      <c r="B24" s="89"/>
      <c r="C24" s="149"/>
      <c r="D24" s="149"/>
      <c r="E24" s="149"/>
      <c r="F24" s="66"/>
      <c r="G24" s="66"/>
      <c r="H24" s="66"/>
    </row>
    <row r="25" spans="1:8">
      <c r="A25" s="340" t="s">
        <v>457</v>
      </c>
    </row>
    <row r="26" spans="1:8">
      <c r="A26" s="340" t="s">
        <v>458</v>
      </c>
    </row>
    <row r="28" spans="1:8" ht="12.75">
      <c r="A28" s="325" t="s">
        <v>60</v>
      </c>
      <c r="B28" s="341" t="s">
        <v>258</v>
      </c>
      <c r="D28" s="64"/>
      <c r="E28" s="64"/>
    </row>
    <row r="29" spans="1:8" ht="15.75" customHeight="1">
      <c r="A29" s="338">
        <v>1</v>
      </c>
      <c r="B29" s="342"/>
      <c r="D29" s="64"/>
      <c r="E29" s="64"/>
    </row>
    <row r="33" spans="5:5">
      <c r="E33" s="64"/>
    </row>
  </sheetData>
  <mergeCells count="1">
    <mergeCell ref="A1:I1"/>
  </mergeCells>
  <phoneticPr fontId="156" type="noConversion"/>
  <pageMargins left="0.75" right="0.75" top="1" bottom="0.81944444444444398" header="0.5" footer="0.5"/>
  <pageSetup paperSize="9" orientation="landscape"/>
  <headerFooter alignWithMargins="0"/>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7"/>
  </sheetPr>
  <dimension ref="A1:N44"/>
  <sheetViews>
    <sheetView topLeftCell="A4" workbookViewId="0">
      <selection activeCell="E44" sqref="E44"/>
    </sheetView>
  </sheetViews>
  <sheetFormatPr defaultColWidth="9" defaultRowHeight="12"/>
  <cols>
    <col min="1" max="1" width="10.125" style="259" customWidth="1"/>
    <col min="2" max="2" width="14.625" style="260" customWidth="1"/>
    <col min="3" max="3" width="13.25" style="260" customWidth="1"/>
    <col min="4" max="4" width="15.25" style="260" customWidth="1"/>
    <col min="5" max="5" width="16.25" style="261" customWidth="1"/>
    <col min="6" max="6" width="20.125" style="261" customWidth="1"/>
    <col min="7" max="7" width="18.125" style="261" customWidth="1"/>
    <col min="8" max="9" width="11.375" style="64" customWidth="1"/>
    <col min="10" max="10" width="12.375" style="64" customWidth="1"/>
    <col min="11" max="11" width="12.75" style="64" customWidth="1"/>
    <col min="12" max="12" width="15.375" style="64" customWidth="1"/>
    <col min="13" max="256" width="9" style="64"/>
    <col min="257" max="257" width="10.125" style="64" customWidth="1"/>
    <col min="258" max="259" width="11.875" style="64" customWidth="1"/>
    <col min="260" max="260" width="11" style="64" customWidth="1"/>
    <col min="261" max="261" width="11.125" style="64" customWidth="1"/>
    <col min="262" max="262" width="18.5" style="64" customWidth="1"/>
    <col min="263" max="263" width="18.125" style="64" customWidth="1"/>
    <col min="264" max="265" width="11.375" style="64" customWidth="1"/>
    <col min="266" max="266" width="12.375" style="64" customWidth="1"/>
    <col min="267" max="267" width="12.75" style="64" customWidth="1"/>
    <col min="268" max="268" width="15.375" style="64" customWidth="1"/>
    <col min="269" max="512" width="9" style="64"/>
    <col min="513" max="513" width="10.125" style="64" customWidth="1"/>
    <col min="514" max="515" width="11.875" style="64" customWidth="1"/>
    <col min="516" max="516" width="11" style="64" customWidth="1"/>
    <col min="517" max="517" width="11.125" style="64" customWidth="1"/>
    <col min="518" max="518" width="18.5" style="64" customWidth="1"/>
    <col min="519" max="519" width="18.125" style="64" customWidth="1"/>
    <col min="520" max="521" width="11.375" style="64" customWidth="1"/>
    <col min="522" max="522" width="12.375" style="64" customWidth="1"/>
    <col min="523" max="523" width="12.75" style="64" customWidth="1"/>
    <col min="524" max="524" width="15.375" style="64" customWidth="1"/>
    <col min="525" max="768" width="9" style="64"/>
    <col min="769" max="769" width="10.125" style="64" customWidth="1"/>
    <col min="770" max="771" width="11.875" style="64" customWidth="1"/>
    <col min="772" max="772" width="11" style="64" customWidth="1"/>
    <col min="773" max="773" width="11.125" style="64" customWidth="1"/>
    <col min="774" max="774" width="18.5" style="64" customWidth="1"/>
    <col min="775" max="775" width="18.125" style="64" customWidth="1"/>
    <col min="776" max="777" width="11.375" style="64" customWidth="1"/>
    <col min="778" max="778" width="12.375" style="64" customWidth="1"/>
    <col min="779" max="779" width="12.75" style="64" customWidth="1"/>
    <col min="780" max="780" width="15.375" style="64" customWidth="1"/>
    <col min="781" max="1024" width="9" style="64"/>
    <col min="1025" max="1025" width="10.125" style="64" customWidth="1"/>
    <col min="1026" max="1027" width="11.875" style="64" customWidth="1"/>
    <col min="1028" max="1028" width="11" style="64" customWidth="1"/>
    <col min="1029" max="1029" width="11.125" style="64" customWidth="1"/>
    <col min="1030" max="1030" width="18.5" style="64" customWidth="1"/>
    <col min="1031" max="1031" width="18.125" style="64" customWidth="1"/>
    <col min="1032" max="1033" width="11.375" style="64" customWidth="1"/>
    <col min="1034" max="1034" width="12.375" style="64" customWidth="1"/>
    <col min="1035" max="1035" width="12.75" style="64" customWidth="1"/>
    <col min="1036" max="1036" width="15.375" style="64" customWidth="1"/>
    <col min="1037" max="1280" width="9" style="64"/>
    <col min="1281" max="1281" width="10.125" style="64" customWidth="1"/>
    <col min="1282" max="1283" width="11.875" style="64" customWidth="1"/>
    <col min="1284" max="1284" width="11" style="64" customWidth="1"/>
    <col min="1285" max="1285" width="11.125" style="64" customWidth="1"/>
    <col min="1286" max="1286" width="18.5" style="64" customWidth="1"/>
    <col min="1287" max="1287" width="18.125" style="64" customWidth="1"/>
    <col min="1288" max="1289" width="11.375" style="64" customWidth="1"/>
    <col min="1290" max="1290" width="12.375" style="64" customWidth="1"/>
    <col min="1291" max="1291" width="12.75" style="64" customWidth="1"/>
    <col min="1292" max="1292" width="15.375" style="64" customWidth="1"/>
    <col min="1293" max="1536" width="9" style="64"/>
    <col min="1537" max="1537" width="10.125" style="64" customWidth="1"/>
    <col min="1538" max="1539" width="11.875" style="64" customWidth="1"/>
    <col min="1540" max="1540" width="11" style="64" customWidth="1"/>
    <col min="1541" max="1541" width="11.125" style="64" customWidth="1"/>
    <col min="1542" max="1542" width="18.5" style="64" customWidth="1"/>
    <col min="1543" max="1543" width="18.125" style="64" customWidth="1"/>
    <col min="1544" max="1545" width="11.375" style="64" customWidth="1"/>
    <col min="1546" max="1546" width="12.375" style="64" customWidth="1"/>
    <col min="1547" max="1547" width="12.75" style="64" customWidth="1"/>
    <col min="1548" max="1548" width="15.375" style="64" customWidth="1"/>
    <col min="1549" max="1792" width="9" style="64"/>
    <col min="1793" max="1793" width="10.125" style="64" customWidth="1"/>
    <col min="1794" max="1795" width="11.875" style="64" customWidth="1"/>
    <col min="1796" max="1796" width="11" style="64" customWidth="1"/>
    <col min="1797" max="1797" width="11.125" style="64" customWidth="1"/>
    <col min="1798" max="1798" width="18.5" style="64" customWidth="1"/>
    <col min="1799" max="1799" width="18.125" style="64" customWidth="1"/>
    <col min="1800" max="1801" width="11.375" style="64" customWidth="1"/>
    <col min="1802" max="1802" width="12.375" style="64" customWidth="1"/>
    <col min="1803" max="1803" width="12.75" style="64" customWidth="1"/>
    <col min="1804" max="1804" width="15.375" style="64" customWidth="1"/>
    <col min="1805" max="2048" width="9" style="64"/>
    <col min="2049" max="2049" width="10.125" style="64" customWidth="1"/>
    <col min="2050" max="2051" width="11.875" style="64" customWidth="1"/>
    <col min="2052" max="2052" width="11" style="64" customWidth="1"/>
    <col min="2053" max="2053" width="11.125" style="64" customWidth="1"/>
    <col min="2054" max="2054" width="18.5" style="64" customWidth="1"/>
    <col min="2055" max="2055" width="18.125" style="64" customWidth="1"/>
    <col min="2056" max="2057" width="11.375" style="64" customWidth="1"/>
    <col min="2058" max="2058" width="12.375" style="64" customWidth="1"/>
    <col min="2059" max="2059" width="12.75" style="64" customWidth="1"/>
    <col min="2060" max="2060" width="15.375" style="64" customWidth="1"/>
    <col min="2061" max="2304" width="9" style="64"/>
    <col min="2305" max="2305" width="10.125" style="64" customWidth="1"/>
    <col min="2306" max="2307" width="11.875" style="64" customWidth="1"/>
    <col min="2308" max="2308" width="11" style="64" customWidth="1"/>
    <col min="2309" max="2309" width="11.125" style="64" customWidth="1"/>
    <col min="2310" max="2310" width="18.5" style="64" customWidth="1"/>
    <col min="2311" max="2311" width="18.125" style="64" customWidth="1"/>
    <col min="2312" max="2313" width="11.375" style="64" customWidth="1"/>
    <col min="2314" max="2314" width="12.375" style="64" customWidth="1"/>
    <col min="2315" max="2315" width="12.75" style="64" customWidth="1"/>
    <col min="2316" max="2316" width="15.375" style="64" customWidth="1"/>
    <col min="2317" max="2560" width="9" style="64"/>
    <col min="2561" max="2561" width="10.125" style="64" customWidth="1"/>
    <col min="2562" max="2563" width="11.875" style="64" customWidth="1"/>
    <col min="2564" max="2564" width="11" style="64" customWidth="1"/>
    <col min="2565" max="2565" width="11.125" style="64" customWidth="1"/>
    <col min="2566" max="2566" width="18.5" style="64" customWidth="1"/>
    <col min="2567" max="2567" width="18.125" style="64" customWidth="1"/>
    <col min="2568" max="2569" width="11.375" style="64" customWidth="1"/>
    <col min="2570" max="2570" width="12.375" style="64" customWidth="1"/>
    <col min="2571" max="2571" width="12.75" style="64" customWidth="1"/>
    <col min="2572" max="2572" width="15.375" style="64" customWidth="1"/>
    <col min="2573" max="2816" width="9" style="64"/>
    <col min="2817" max="2817" width="10.125" style="64" customWidth="1"/>
    <col min="2818" max="2819" width="11.875" style="64" customWidth="1"/>
    <col min="2820" max="2820" width="11" style="64" customWidth="1"/>
    <col min="2821" max="2821" width="11.125" style="64" customWidth="1"/>
    <col min="2822" max="2822" width="18.5" style="64" customWidth="1"/>
    <col min="2823" max="2823" width="18.125" style="64" customWidth="1"/>
    <col min="2824" max="2825" width="11.375" style="64" customWidth="1"/>
    <col min="2826" max="2826" width="12.375" style="64" customWidth="1"/>
    <col min="2827" max="2827" width="12.75" style="64" customWidth="1"/>
    <col min="2828" max="2828" width="15.375" style="64" customWidth="1"/>
    <col min="2829" max="3072" width="9" style="64"/>
    <col min="3073" max="3073" width="10.125" style="64" customWidth="1"/>
    <col min="3074" max="3075" width="11.875" style="64" customWidth="1"/>
    <col min="3076" max="3076" width="11" style="64" customWidth="1"/>
    <col min="3077" max="3077" width="11.125" style="64" customWidth="1"/>
    <col min="3078" max="3078" width="18.5" style="64" customWidth="1"/>
    <col min="3079" max="3079" width="18.125" style="64" customWidth="1"/>
    <col min="3080" max="3081" width="11.375" style="64" customWidth="1"/>
    <col min="3082" max="3082" width="12.375" style="64" customWidth="1"/>
    <col min="3083" max="3083" width="12.75" style="64" customWidth="1"/>
    <col min="3084" max="3084" width="15.375" style="64" customWidth="1"/>
    <col min="3085" max="3328" width="9" style="64"/>
    <col min="3329" max="3329" width="10.125" style="64" customWidth="1"/>
    <col min="3330" max="3331" width="11.875" style="64" customWidth="1"/>
    <col min="3332" max="3332" width="11" style="64" customWidth="1"/>
    <col min="3333" max="3333" width="11.125" style="64" customWidth="1"/>
    <col min="3334" max="3334" width="18.5" style="64" customWidth="1"/>
    <col min="3335" max="3335" width="18.125" style="64" customWidth="1"/>
    <col min="3336" max="3337" width="11.375" style="64" customWidth="1"/>
    <col min="3338" max="3338" width="12.375" style="64" customWidth="1"/>
    <col min="3339" max="3339" width="12.75" style="64" customWidth="1"/>
    <col min="3340" max="3340" width="15.375" style="64" customWidth="1"/>
    <col min="3341" max="3584" width="9" style="64"/>
    <col min="3585" max="3585" width="10.125" style="64" customWidth="1"/>
    <col min="3586" max="3587" width="11.875" style="64" customWidth="1"/>
    <col min="3588" max="3588" width="11" style="64" customWidth="1"/>
    <col min="3589" max="3589" width="11.125" style="64" customWidth="1"/>
    <col min="3590" max="3590" width="18.5" style="64" customWidth="1"/>
    <col min="3591" max="3591" width="18.125" style="64" customWidth="1"/>
    <col min="3592" max="3593" width="11.375" style="64" customWidth="1"/>
    <col min="3594" max="3594" width="12.375" style="64" customWidth="1"/>
    <col min="3595" max="3595" width="12.75" style="64" customWidth="1"/>
    <col min="3596" max="3596" width="15.375" style="64" customWidth="1"/>
    <col min="3597" max="3840" width="9" style="64"/>
    <col min="3841" max="3841" width="10.125" style="64" customWidth="1"/>
    <col min="3842" max="3843" width="11.875" style="64" customWidth="1"/>
    <col min="3844" max="3844" width="11" style="64" customWidth="1"/>
    <col min="3845" max="3845" width="11.125" style="64" customWidth="1"/>
    <col min="3846" max="3846" width="18.5" style="64" customWidth="1"/>
    <col min="3847" max="3847" width="18.125" style="64" customWidth="1"/>
    <col min="3848" max="3849" width="11.375" style="64" customWidth="1"/>
    <col min="3850" max="3850" width="12.375" style="64" customWidth="1"/>
    <col min="3851" max="3851" width="12.75" style="64" customWidth="1"/>
    <col min="3852" max="3852" width="15.375" style="64" customWidth="1"/>
    <col min="3853" max="4096" width="9" style="64"/>
    <col min="4097" max="4097" width="10.125" style="64" customWidth="1"/>
    <col min="4098" max="4099" width="11.875" style="64" customWidth="1"/>
    <col min="4100" max="4100" width="11" style="64" customWidth="1"/>
    <col min="4101" max="4101" width="11.125" style="64" customWidth="1"/>
    <col min="4102" max="4102" width="18.5" style="64" customWidth="1"/>
    <col min="4103" max="4103" width="18.125" style="64" customWidth="1"/>
    <col min="4104" max="4105" width="11.375" style="64" customWidth="1"/>
    <col min="4106" max="4106" width="12.375" style="64" customWidth="1"/>
    <col min="4107" max="4107" width="12.75" style="64" customWidth="1"/>
    <col min="4108" max="4108" width="15.375" style="64" customWidth="1"/>
    <col min="4109" max="4352" width="9" style="64"/>
    <col min="4353" max="4353" width="10.125" style="64" customWidth="1"/>
    <col min="4354" max="4355" width="11.875" style="64" customWidth="1"/>
    <col min="4356" max="4356" width="11" style="64" customWidth="1"/>
    <col min="4357" max="4357" width="11.125" style="64" customWidth="1"/>
    <col min="4358" max="4358" width="18.5" style="64" customWidth="1"/>
    <col min="4359" max="4359" width="18.125" style="64" customWidth="1"/>
    <col min="4360" max="4361" width="11.375" style="64" customWidth="1"/>
    <col min="4362" max="4362" width="12.375" style="64" customWidth="1"/>
    <col min="4363" max="4363" width="12.75" style="64" customWidth="1"/>
    <col min="4364" max="4364" width="15.375" style="64" customWidth="1"/>
    <col min="4365" max="4608" width="9" style="64"/>
    <col min="4609" max="4609" width="10.125" style="64" customWidth="1"/>
    <col min="4610" max="4611" width="11.875" style="64" customWidth="1"/>
    <col min="4612" max="4612" width="11" style="64" customWidth="1"/>
    <col min="4613" max="4613" width="11.125" style="64" customWidth="1"/>
    <col min="4614" max="4614" width="18.5" style="64" customWidth="1"/>
    <col min="4615" max="4615" width="18.125" style="64" customWidth="1"/>
    <col min="4616" max="4617" width="11.375" style="64" customWidth="1"/>
    <col min="4618" max="4618" width="12.375" style="64" customWidth="1"/>
    <col min="4619" max="4619" width="12.75" style="64" customWidth="1"/>
    <col min="4620" max="4620" width="15.375" style="64" customWidth="1"/>
    <col min="4621" max="4864" width="9" style="64"/>
    <col min="4865" max="4865" width="10.125" style="64" customWidth="1"/>
    <col min="4866" max="4867" width="11.875" style="64" customWidth="1"/>
    <col min="4868" max="4868" width="11" style="64" customWidth="1"/>
    <col min="4869" max="4869" width="11.125" style="64" customWidth="1"/>
    <col min="4870" max="4870" width="18.5" style="64" customWidth="1"/>
    <col min="4871" max="4871" width="18.125" style="64" customWidth="1"/>
    <col min="4872" max="4873" width="11.375" style="64" customWidth="1"/>
    <col min="4874" max="4874" width="12.375" style="64" customWidth="1"/>
    <col min="4875" max="4875" width="12.75" style="64" customWidth="1"/>
    <col min="4876" max="4876" width="15.375" style="64" customWidth="1"/>
    <col min="4877" max="5120" width="9" style="64"/>
    <col min="5121" max="5121" width="10.125" style="64" customWidth="1"/>
    <col min="5122" max="5123" width="11.875" style="64" customWidth="1"/>
    <col min="5124" max="5124" width="11" style="64" customWidth="1"/>
    <col min="5125" max="5125" width="11.125" style="64" customWidth="1"/>
    <col min="5126" max="5126" width="18.5" style="64" customWidth="1"/>
    <col min="5127" max="5127" width="18.125" style="64" customWidth="1"/>
    <col min="5128" max="5129" width="11.375" style="64" customWidth="1"/>
    <col min="5130" max="5130" width="12.375" style="64" customWidth="1"/>
    <col min="5131" max="5131" width="12.75" style="64" customWidth="1"/>
    <col min="5132" max="5132" width="15.375" style="64" customWidth="1"/>
    <col min="5133" max="5376" width="9" style="64"/>
    <col min="5377" max="5377" width="10.125" style="64" customWidth="1"/>
    <col min="5378" max="5379" width="11.875" style="64" customWidth="1"/>
    <col min="5380" max="5380" width="11" style="64" customWidth="1"/>
    <col min="5381" max="5381" width="11.125" style="64" customWidth="1"/>
    <col min="5382" max="5382" width="18.5" style="64" customWidth="1"/>
    <col min="5383" max="5383" width="18.125" style="64" customWidth="1"/>
    <col min="5384" max="5385" width="11.375" style="64" customWidth="1"/>
    <col min="5386" max="5386" width="12.375" style="64" customWidth="1"/>
    <col min="5387" max="5387" width="12.75" style="64" customWidth="1"/>
    <col min="5388" max="5388" width="15.375" style="64" customWidth="1"/>
    <col min="5389" max="5632" width="9" style="64"/>
    <col min="5633" max="5633" width="10.125" style="64" customWidth="1"/>
    <col min="5634" max="5635" width="11.875" style="64" customWidth="1"/>
    <col min="5636" max="5636" width="11" style="64" customWidth="1"/>
    <col min="5637" max="5637" width="11.125" style="64" customWidth="1"/>
    <col min="5638" max="5638" width="18.5" style="64" customWidth="1"/>
    <col min="5639" max="5639" width="18.125" style="64" customWidth="1"/>
    <col min="5640" max="5641" width="11.375" style="64" customWidth="1"/>
    <col min="5642" max="5642" width="12.375" style="64" customWidth="1"/>
    <col min="5643" max="5643" width="12.75" style="64" customWidth="1"/>
    <col min="5644" max="5644" width="15.375" style="64" customWidth="1"/>
    <col min="5645" max="5888" width="9" style="64"/>
    <col min="5889" max="5889" width="10.125" style="64" customWidth="1"/>
    <col min="5890" max="5891" width="11.875" style="64" customWidth="1"/>
    <col min="5892" max="5892" width="11" style="64" customWidth="1"/>
    <col min="5893" max="5893" width="11.125" style="64" customWidth="1"/>
    <col min="5894" max="5894" width="18.5" style="64" customWidth="1"/>
    <col min="5895" max="5895" width="18.125" style="64" customWidth="1"/>
    <col min="5896" max="5897" width="11.375" style="64" customWidth="1"/>
    <col min="5898" max="5898" width="12.375" style="64" customWidth="1"/>
    <col min="5899" max="5899" width="12.75" style="64" customWidth="1"/>
    <col min="5900" max="5900" width="15.375" style="64" customWidth="1"/>
    <col min="5901" max="6144" width="9" style="64"/>
    <col min="6145" max="6145" width="10.125" style="64" customWidth="1"/>
    <col min="6146" max="6147" width="11.875" style="64" customWidth="1"/>
    <col min="6148" max="6148" width="11" style="64" customWidth="1"/>
    <col min="6149" max="6149" width="11.125" style="64" customWidth="1"/>
    <col min="6150" max="6150" width="18.5" style="64" customWidth="1"/>
    <col min="6151" max="6151" width="18.125" style="64" customWidth="1"/>
    <col min="6152" max="6153" width="11.375" style="64" customWidth="1"/>
    <col min="6154" max="6154" width="12.375" style="64" customWidth="1"/>
    <col min="6155" max="6155" width="12.75" style="64" customWidth="1"/>
    <col min="6156" max="6156" width="15.375" style="64" customWidth="1"/>
    <col min="6157" max="6400" width="9" style="64"/>
    <col min="6401" max="6401" width="10.125" style="64" customWidth="1"/>
    <col min="6402" max="6403" width="11.875" style="64" customWidth="1"/>
    <col min="6404" max="6404" width="11" style="64" customWidth="1"/>
    <col min="6405" max="6405" width="11.125" style="64" customWidth="1"/>
    <col min="6406" max="6406" width="18.5" style="64" customWidth="1"/>
    <col min="6407" max="6407" width="18.125" style="64" customWidth="1"/>
    <col min="6408" max="6409" width="11.375" style="64" customWidth="1"/>
    <col min="6410" max="6410" width="12.375" style="64" customWidth="1"/>
    <col min="6411" max="6411" width="12.75" style="64" customWidth="1"/>
    <col min="6412" max="6412" width="15.375" style="64" customWidth="1"/>
    <col min="6413" max="6656" width="9" style="64"/>
    <col min="6657" max="6657" width="10.125" style="64" customWidth="1"/>
    <col min="6658" max="6659" width="11.875" style="64" customWidth="1"/>
    <col min="6660" max="6660" width="11" style="64" customWidth="1"/>
    <col min="6661" max="6661" width="11.125" style="64" customWidth="1"/>
    <col min="6662" max="6662" width="18.5" style="64" customWidth="1"/>
    <col min="6663" max="6663" width="18.125" style="64" customWidth="1"/>
    <col min="6664" max="6665" width="11.375" style="64" customWidth="1"/>
    <col min="6666" max="6666" width="12.375" style="64" customWidth="1"/>
    <col min="6667" max="6667" width="12.75" style="64" customWidth="1"/>
    <col min="6668" max="6668" width="15.375" style="64" customWidth="1"/>
    <col min="6669" max="6912" width="9" style="64"/>
    <col min="6913" max="6913" width="10.125" style="64" customWidth="1"/>
    <col min="6914" max="6915" width="11.875" style="64" customWidth="1"/>
    <col min="6916" max="6916" width="11" style="64" customWidth="1"/>
    <col min="6917" max="6917" width="11.125" style="64" customWidth="1"/>
    <col min="6918" max="6918" width="18.5" style="64" customWidth="1"/>
    <col min="6919" max="6919" width="18.125" style="64" customWidth="1"/>
    <col min="6920" max="6921" width="11.375" style="64" customWidth="1"/>
    <col min="6922" max="6922" width="12.375" style="64" customWidth="1"/>
    <col min="6923" max="6923" width="12.75" style="64" customWidth="1"/>
    <col min="6924" max="6924" width="15.375" style="64" customWidth="1"/>
    <col min="6925" max="7168" width="9" style="64"/>
    <col min="7169" max="7169" width="10.125" style="64" customWidth="1"/>
    <col min="7170" max="7171" width="11.875" style="64" customWidth="1"/>
    <col min="7172" max="7172" width="11" style="64" customWidth="1"/>
    <col min="7173" max="7173" width="11.125" style="64" customWidth="1"/>
    <col min="7174" max="7174" width="18.5" style="64" customWidth="1"/>
    <col min="7175" max="7175" width="18.125" style="64" customWidth="1"/>
    <col min="7176" max="7177" width="11.375" style="64" customWidth="1"/>
    <col min="7178" max="7178" width="12.375" style="64" customWidth="1"/>
    <col min="7179" max="7179" width="12.75" style="64" customWidth="1"/>
    <col min="7180" max="7180" width="15.375" style="64" customWidth="1"/>
    <col min="7181" max="7424" width="9" style="64"/>
    <col min="7425" max="7425" width="10.125" style="64" customWidth="1"/>
    <col min="7426" max="7427" width="11.875" style="64" customWidth="1"/>
    <col min="7428" max="7428" width="11" style="64" customWidth="1"/>
    <col min="7429" max="7429" width="11.125" style="64" customWidth="1"/>
    <col min="7430" max="7430" width="18.5" style="64" customWidth="1"/>
    <col min="7431" max="7431" width="18.125" style="64" customWidth="1"/>
    <col min="7432" max="7433" width="11.375" style="64" customWidth="1"/>
    <col min="7434" max="7434" width="12.375" style="64" customWidth="1"/>
    <col min="7435" max="7435" width="12.75" style="64" customWidth="1"/>
    <col min="7436" max="7436" width="15.375" style="64" customWidth="1"/>
    <col min="7437" max="7680" width="9" style="64"/>
    <col min="7681" max="7681" width="10.125" style="64" customWidth="1"/>
    <col min="7682" max="7683" width="11.875" style="64" customWidth="1"/>
    <col min="7684" max="7684" width="11" style="64" customWidth="1"/>
    <col min="7685" max="7685" width="11.125" style="64" customWidth="1"/>
    <col min="7686" max="7686" width="18.5" style="64" customWidth="1"/>
    <col min="7687" max="7687" width="18.125" style="64" customWidth="1"/>
    <col min="7688" max="7689" width="11.375" style="64" customWidth="1"/>
    <col min="7690" max="7690" width="12.375" style="64" customWidth="1"/>
    <col min="7691" max="7691" width="12.75" style="64" customWidth="1"/>
    <col min="7692" max="7692" width="15.375" style="64" customWidth="1"/>
    <col min="7693" max="7936" width="9" style="64"/>
    <col min="7937" max="7937" width="10.125" style="64" customWidth="1"/>
    <col min="7938" max="7939" width="11.875" style="64" customWidth="1"/>
    <col min="7940" max="7940" width="11" style="64" customWidth="1"/>
    <col min="7941" max="7941" width="11.125" style="64" customWidth="1"/>
    <col min="7942" max="7942" width="18.5" style="64" customWidth="1"/>
    <col min="7943" max="7943" width="18.125" style="64" customWidth="1"/>
    <col min="7944" max="7945" width="11.375" style="64" customWidth="1"/>
    <col min="7946" max="7946" width="12.375" style="64" customWidth="1"/>
    <col min="7947" max="7947" width="12.75" style="64" customWidth="1"/>
    <col min="7948" max="7948" width="15.375" style="64" customWidth="1"/>
    <col min="7949" max="8192" width="9" style="64"/>
    <col min="8193" max="8193" width="10.125" style="64" customWidth="1"/>
    <col min="8194" max="8195" width="11.875" style="64" customWidth="1"/>
    <col min="8196" max="8196" width="11" style="64" customWidth="1"/>
    <col min="8197" max="8197" width="11.125" style="64" customWidth="1"/>
    <col min="8198" max="8198" width="18.5" style="64" customWidth="1"/>
    <col min="8199" max="8199" width="18.125" style="64" customWidth="1"/>
    <col min="8200" max="8201" width="11.375" style="64" customWidth="1"/>
    <col min="8202" max="8202" width="12.375" style="64" customWidth="1"/>
    <col min="8203" max="8203" width="12.75" style="64" customWidth="1"/>
    <col min="8204" max="8204" width="15.375" style="64" customWidth="1"/>
    <col min="8205" max="8448" width="9" style="64"/>
    <col min="8449" max="8449" width="10.125" style="64" customWidth="1"/>
    <col min="8450" max="8451" width="11.875" style="64" customWidth="1"/>
    <col min="8452" max="8452" width="11" style="64" customWidth="1"/>
    <col min="8453" max="8453" width="11.125" style="64" customWidth="1"/>
    <col min="8454" max="8454" width="18.5" style="64" customWidth="1"/>
    <col min="8455" max="8455" width="18.125" style="64" customWidth="1"/>
    <col min="8456" max="8457" width="11.375" style="64" customWidth="1"/>
    <col min="8458" max="8458" width="12.375" style="64" customWidth="1"/>
    <col min="8459" max="8459" width="12.75" style="64" customWidth="1"/>
    <col min="8460" max="8460" width="15.375" style="64" customWidth="1"/>
    <col min="8461" max="8704" width="9" style="64"/>
    <col min="8705" max="8705" width="10.125" style="64" customWidth="1"/>
    <col min="8706" max="8707" width="11.875" style="64" customWidth="1"/>
    <col min="8708" max="8708" width="11" style="64" customWidth="1"/>
    <col min="8709" max="8709" width="11.125" style="64" customWidth="1"/>
    <col min="8710" max="8710" width="18.5" style="64" customWidth="1"/>
    <col min="8711" max="8711" width="18.125" style="64" customWidth="1"/>
    <col min="8712" max="8713" width="11.375" style="64" customWidth="1"/>
    <col min="8714" max="8714" width="12.375" style="64" customWidth="1"/>
    <col min="8715" max="8715" width="12.75" style="64" customWidth="1"/>
    <col min="8716" max="8716" width="15.375" style="64" customWidth="1"/>
    <col min="8717" max="8960" width="9" style="64"/>
    <col min="8961" max="8961" width="10.125" style="64" customWidth="1"/>
    <col min="8962" max="8963" width="11.875" style="64" customWidth="1"/>
    <col min="8964" max="8964" width="11" style="64" customWidth="1"/>
    <col min="8965" max="8965" width="11.125" style="64" customWidth="1"/>
    <col min="8966" max="8966" width="18.5" style="64" customWidth="1"/>
    <col min="8967" max="8967" width="18.125" style="64" customWidth="1"/>
    <col min="8968" max="8969" width="11.375" style="64" customWidth="1"/>
    <col min="8970" max="8970" width="12.375" style="64" customWidth="1"/>
    <col min="8971" max="8971" width="12.75" style="64" customWidth="1"/>
    <col min="8972" max="8972" width="15.375" style="64" customWidth="1"/>
    <col min="8973" max="9216" width="9" style="64"/>
    <col min="9217" max="9217" width="10.125" style="64" customWidth="1"/>
    <col min="9218" max="9219" width="11.875" style="64" customWidth="1"/>
    <col min="9220" max="9220" width="11" style="64" customWidth="1"/>
    <col min="9221" max="9221" width="11.125" style="64" customWidth="1"/>
    <col min="9222" max="9222" width="18.5" style="64" customWidth="1"/>
    <col min="9223" max="9223" width="18.125" style="64" customWidth="1"/>
    <col min="9224" max="9225" width="11.375" style="64" customWidth="1"/>
    <col min="9226" max="9226" width="12.375" style="64" customWidth="1"/>
    <col min="9227" max="9227" width="12.75" style="64" customWidth="1"/>
    <col min="9228" max="9228" width="15.375" style="64" customWidth="1"/>
    <col min="9229" max="9472" width="9" style="64"/>
    <col min="9473" max="9473" width="10.125" style="64" customWidth="1"/>
    <col min="9474" max="9475" width="11.875" style="64" customWidth="1"/>
    <col min="9476" max="9476" width="11" style="64" customWidth="1"/>
    <col min="9477" max="9477" width="11.125" style="64" customWidth="1"/>
    <col min="9478" max="9478" width="18.5" style="64" customWidth="1"/>
    <col min="9479" max="9479" width="18.125" style="64" customWidth="1"/>
    <col min="9480" max="9481" width="11.375" style="64" customWidth="1"/>
    <col min="9482" max="9482" width="12.375" style="64" customWidth="1"/>
    <col min="9483" max="9483" width="12.75" style="64" customWidth="1"/>
    <col min="9484" max="9484" width="15.375" style="64" customWidth="1"/>
    <col min="9485" max="9728" width="9" style="64"/>
    <col min="9729" max="9729" width="10.125" style="64" customWidth="1"/>
    <col min="9730" max="9731" width="11.875" style="64" customWidth="1"/>
    <col min="9732" max="9732" width="11" style="64" customWidth="1"/>
    <col min="9733" max="9733" width="11.125" style="64" customWidth="1"/>
    <col min="9734" max="9734" width="18.5" style="64" customWidth="1"/>
    <col min="9735" max="9735" width="18.125" style="64" customWidth="1"/>
    <col min="9736" max="9737" width="11.375" style="64" customWidth="1"/>
    <col min="9738" max="9738" width="12.375" style="64" customWidth="1"/>
    <col min="9739" max="9739" width="12.75" style="64" customWidth="1"/>
    <col min="9740" max="9740" width="15.375" style="64" customWidth="1"/>
    <col min="9741" max="9984" width="9" style="64"/>
    <col min="9985" max="9985" width="10.125" style="64" customWidth="1"/>
    <col min="9986" max="9987" width="11.875" style="64" customWidth="1"/>
    <col min="9988" max="9988" width="11" style="64" customWidth="1"/>
    <col min="9989" max="9989" width="11.125" style="64" customWidth="1"/>
    <col min="9990" max="9990" width="18.5" style="64" customWidth="1"/>
    <col min="9991" max="9991" width="18.125" style="64" customWidth="1"/>
    <col min="9992" max="9993" width="11.375" style="64" customWidth="1"/>
    <col min="9994" max="9994" width="12.375" style="64" customWidth="1"/>
    <col min="9995" max="9995" width="12.75" style="64" customWidth="1"/>
    <col min="9996" max="9996" width="15.375" style="64" customWidth="1"/>
    <col min="9997" max="10240" width="9" style="64"/>
    <col min="10241" max="10241" width="10.125" style="64" customWidth="1"/>
    <col min="10242" max="10243" width="11.875" style="64" customWidth="1"/>
    <col min="10244" max="10244" width="11" style="64" customWidth="1"/>
    <col min="10245" max="10245" width="11.125" style="64" customWidth="1"/>
    <col min="10246" max="10246" width="18.5" style="64" customWidth="1"/>
    <col min="10247" max="10247" width="18.125" style="64" customWidth="1"/>
    <col min="10248" max="10249" width="11.375" style="64" customWidth="1"/>
    <col min="10250" max="10250" width="12.375" style="64" customWidth="1"/>
    <col min="10251" max="10251" width="12.75" style="64" customWidth="1"/>
    <col min="10252" max="10252" width="15.375" style="64" customWidth="1"/>
    <col min="10253" max="10496" width="9" style="64"/>
    <col min="10497" max="10497" width="10.125" style="64" customWidth="1"/>
    <col min="10498" max="10499" width="11.875" style="64" customWidth="1"/>
    <col min="10500" max="10500" width="11" style="64" customWidth="1"/>
    <col min="10501" max="10501" width="11.125" style="64" customWidth="1"/>
    <col min="10502" max="10502" width="18.5" style="64" customWidth="1"/>
    <col min="10503" max="10503" width="18.125" style="64" customWidth="1"/>
    <col min="10504" max="10505" width="11.375" style="64" customWidth="1"/>
    <col min="10506" max="10506" width="12.375" style="64" customWidth="1"/>
    <col min="10507" max="10507" width="12.75" style="64" customWidth="1"/>
    <col min="10508" max="10508" width="15.375" style="64" customWidth="1"/>
    <col min="10509" max="10752" width="9" style="64"/>
    <col min="10753" max="10753" width="10.125" style="64" customWidth="1"/>
    <col min="10754" max="10755" width="11.875" style="64" customWidth="1"/>
    <col min="10756" max="10756" width="11" style="64" customWidth="1"/>
    <col min="10757" max="10757" width="11.125" style="64" customWidth="1"/>
    <col min="10758" max="10758" width="18.5" style="64" customWidth="1"/>
    <col min="10759" max="10759" width="18.125" style="64" customWidth="1"/>
    <col min="10760" max="10761" width="11.375" style="64" customWidth="1"/>
    <col min="10762" max="10762" width="12.375" style="64" customWidth="1"/>
    <col min="10763" max="10763" width="12.75" style="64" customWidth="1"/>
    <col min="10764" max="10764" width="15.375" style="64" customWidth="1"/>
    <col min="10765" max="11008" width="9" style="64"/>
    <col min="11009" max="11009" width="10.125" style="64" customWidth="1"/>
    <col min="11010" max="11011" width="11.875" style="64" customWidth="1"/>
    <col min="11012" max="11012" width="11" style="64" customWidth="1"/>
    <col min="11013" max="11013" width="11.125" style="64" customWidth="1"/>
    <col min="11014" max="11014" width="18.5" style="64" customWidth="1"/>
    <col min="11015" max="11015" width="18.125" style="64" customWidth="1"/>
    <col min="11016" max="11017" width="11.375" style="64" customWidth="1"/>
    <col min="11018" max="11018" width="12.375" style="64" customWidth="1"/>
    <col min="11019" max="11019" width="12.75" style="64" customWidth="1"/>
    <col min="11020" max="11020" width="15.375" style="64" customWidth="1"/>
    <col min="11021" max="11264" width="9" style="64"/>
    <col min="11265" max="11265" width="10.125" style="64" customWidth="1"/>
    <col min="11266" max="11267" width="11.875" style="64" customWidth="1"/>
    <col min="11268" max="11268" width="11" style="64" customWidth="1"/>
    <col min="11269" max="11269" width="11.125" style="64" customWidth="1"/>
    <col min="11270" max="11270" width="18.5" style="64" customWidth="1"/>
    <col min="11271" max="11271" width="18.125" style="64" customWidth="1"/>
    <col min="11272" max="11273" width="11.375" style="64" customWidth="1"/>
    <col min="11274" max="11274" width="12.375" style="64" customWidth="1"/>
    <col min="11275" max="11275" width="12.75" style="64" customWidth="1"/>
    <col min="11276" max="11276" width="15.375" style="64" customWidth="1"/>
    <col min="11277" max="11520" width="9" style="64"/>
    <col min="11521" max="11521" width="10.125" style="64" customWidth="1"/>
    <col min="11522" max="11523" width="11.875" style="64" customWidth="1"/>
    <col min="11524" max="11524" width="11" style="64" customWidth="1"/>
    <col min="11525" max="11525" width="11.125" style="64" customWidth="1"/>
    <col min="11526" max="11526" width="18.5" style="64" customWidth="1"/>
    <col min="11527" max="11527" width="18.125" style="64" customWidth="1"/>
    <col min="11528" max="11529" width="11.375" style="64" customWidth="1"/>
    <col min="11530" max="11530" width="12.375" style="64" customWidth="1"/>
    <col min="11531" max="11531" width="12.75" style="64" customWidth="1"/>
    <col min="11532" max="11532" width="15.375" style="64" customWidth="1"/>
    <col min="11533" max="11776" width="9" style="64"/>
    <col min="11777" max="11777" width="10.125" style="64" customWidth="1"/>
    <col min="11778" max="11779" width="11.875" style="64" customWidth="1"/>
    <col min="11780" max="11780" width="11" style="64" customWidth="1"/>
    <col min="11781" max="11781" width="11.125" style="64" customWidth="1"/>
    <col min="11782" max="11782" width="18.5" style="64" customWidth="1"/>
    <col min="11783" max="11783" width="18.125" style="64" customWidth="1"/>
    <col min="11784" max="11785" width="11.375" style="64" customWidth="1"/>
    <col min="11786" max="11786" width="12.375" style="64" customWidth="1"/>
    <col min="11787" max="11787" width="12.75" style="64" customWidth="1"/>
    <col min="11788" max="11788" width="15.375" style="64" customWidth="1"/>
    <col min="11789" max="12032" width="9" style="64"/>
    <col min="12033" max="12033" width="10.125" style="64" customWidth="1"/>
    <col min="12034" max="12035" width="11.875" style="64" customWidth="1"/>
    <col min="12036" max="12036" width="11" style="64" customWidth="1"/>
    <col min="12037" max="12037" width="11.125" style="64" customWidth="1"/>
    <col min="12038" max="12038" width="18.5" style="64" customWidth="1"/>
    <col min="12039" max="12039" width="18.125" style="64" customWidth="1"/>
    <col min="12040" max="12041" width="11.375" style="64" customWidth="1"/>
    <col min="12042" max="12042" width="12.375" style="64" customWidth="1"/>
    <col min="12043" max="12043" width="12.75" style="64" customWidth="1"/>
    <col min="12044" max="12044" width="15.375" style="64" customWidth="1"/>
    <col min="12045" max="12288" width="9" style="64"/>
    <col min="12289" max="12289" width="10.125" style="64" customWidth="1"/>
    <col min="12290" max="12291" width="11.875" style="64" customWidth="1"/>
    <col min="12292" max="12292" width="11" style="64" customWidth="1"/>
    <col min="12293" max="12293" width="11.125" style="64" customWidth="1"/>
    <col min="12294" max="12294" width="18.5" style="64" customWidth="1"/>
    <col min="12295" max="12295" width="18.125" style="64" customWidth="1"/>
    <col min="12296" max="12297" width="11.375" style="64" customWidth="1"/>
    <col min="12298" max="12298" width="12.375" style="64" customWidth="1"/>
    <col min="12299" max="12299" width="12.75" style="64" customWidth="1"/>
    <col min="12300" max="12300" width="15.375" style="64" customWidth="1"/>
    <col min="12301" max="12544" width="9" style="64"/>
    <col min="12545" max="12545" width="10.125" style="64" customWidth="1"/>
    <col min="12546" max="12547" width="11.875" style="64" customWidth="1"/>
    <col min="12548" max="12548" width="11" style="64" customWidth="1"/>
    <col min="12549" max="12549" width="11.125" style="64" customWidth="1"/>
    <col min="12550" max="12550" width="18.5" style="64" customWidth="1"/>
    <col min="12551" max="12551" width="18.125" style="64" customWidth="1"/>
    <col min="12552" max="12553" width="11.375" style="64" customWidth="1"/>
    <col min="12554" max="12554" width="12.375" style="64" customWidth="1"/>
    <col min="12555" max="12555" width="12.75" style="64" customWidth="1"/>
    <col min="12556" max="12556" width="15.375" style="64" customWidth="1"/>
    <col min="12557" max="12800" width="9" style="64"/>
    <col min="12801" max="12801" width="10.125" style="64" customWidth="1"/>
    <col min="12802" max="12803" width="11.875" style="64" customWidth="1"/>
    <col min="12804" max="12804" width="11" style="64" customWidth="1"/>
    <col min="12805" max="12805" width="11.125" style="64" customWidth="1"/>
    <col min="12806" max="12806" width="18.5" style="64" customWidth="1"/>
    <col min="12807" max="12807" width="18.125" style="64" customWidth="1"/>
    <col min="12808" max="12809" width="11.375" style="64" customWidth="1"/>
    <col min="12810" max="12810" width="12.375" style="64" customWidth="1"/>
    <col min="12811" max="12811" width="12.75" style="64" customWidth="1"/>
    <col min="12812" max="12812" width="15.375" style="64" customWidth="1"/>
    <col min="12813" max="13056" width="9" style="64"/>
    <col min="13057" max="13057" width="10.125" style="64" customWidth="1"/>
    <col min="13058" max="13059" width="11.875" style="64" customWidth="1"/>
    <col min="13060" max="13060" width="11" style="64" customWidth="1"/>
    <col min="13061" max="13061" width="11.125" style="64" customWidth="1"/>
    <col min="13062" max="13062" width="18.5" style="64" customWidth="1"/>
    <col min="13063" max="13063" width="18.125" style="64" customWidth="1"/>
    <col min="13064" max="13065" width="11.375" style="64" customWidth="1"/>
    <col min="13066" max="13066" width="12.375" style="64" customWidth="1"/>
    <col min="13067" max="13067" width="12.75" style="64" customWidth="1"/>
    <col min="13068" max="13068" width="15.375" style="64" customWidth="1"/>
    <col min="13069" max="13312" width="9" style="64"/>
    <col min="13313" max="13313" width="10.125" style="64" customWidth="1"/>
    <col min="13314" max="13315" width="11.875" style="64" customWidth="1"/>
    <col min="13316" max="13316" width="11" style="64" customWidth="1"/>
    <col min="13317" max="13317" width="11.125" style="64" customWidth="1"/>
    <col min="13318" max="13318" width="18.5" style="64" customWidth="1"/>
    <col min="13319" max="13319" width="18.125" style="64" customWidth="1"/>
    <col min="13320" max="13321" width="11.375" style="64" customWidth="1"/>
    <col min="13322" max="13322" width="12.375" style="64" customWidth="1"/>
    <col min="13323" max="13323" width="12.75" style="64" customWidth="1"/>
    <col min="13324" max="13324" width="15.375" style="64" customWidth="1"/>
    <col min="13325" max="13568" width="9" style="64"/>
    <col min="13569" max="13569" width="10.125" style="64" customWidth="1"/>
    <col min="13570" max="13571" width="11.875" style="64" customWidth="1"/>
    <col min="13572" max="13572" width="11" style="64" customWidth="1"/>
    <col min="13573" max="13573" width="11.125" style="64" customWidth="1"/>
    <col min="13574" max="13574" width="18.5" style="64" customWidth="1"/>
    <col min="13575" max="13575" width="18.125" style="64" customWidth="1"/>
    <col min="13576" max="13577" width="11.375" style="64" customWidth="1"/>
    <col min="13578" max="13578" width="12.375" style="64" customWidth="1"/>
    <col min="13579" max="13579" width="12.75" style="64" customWidth="1"/>
    <col min="13580" max="13580" width="15.375" style="64" customWidth="1"/>
    <col min="13581" max="13824" width="9" style="64"/>
    <col min="13825" max="13825" width="10.125" style="64" customWidth="1"/>
    <col min="13826" max="13827" width="11.875" style="64" customWidth="1"/>
    <col min="13828" max="13828" width="11" style="64" customWidth="1"/>
    <col min="13829" max="13829" width="11.125" style="64" customWidth="1"/>
    <col min="13830" max="13830" width="18.5" style="64" customWidth="1"/>
    <col min="13831" max="13831" width="18.125" style="64" customWidth="1"/>
    <col min="13832" max="13833" width="11.375" style="64" customWidth="1"/>
    <col min="13834" max="13834" width="12.375" style="64" customWidth="1"/>
    <col min="13835" max="13835" width="12.75" style="64" customWidth="1"/>
    <col min="13836" max="13836" width="15.375" style="64" customWidth="1"/>
    <col min="13837" max="14080" width="9" style="64"/>
    <col min="14081" max="14081" width="10.125" style="64" customWidth="1"/>
    <col min="14082" max="14083" width="11.875" style="64" customWidth="1"/>
    <col min="14084" max="14084" width="11" style="64" customWidth="1"/>
    <col min="14085" max="14085" width="11.125" style="64" customWidth="1"/>
    <col min="14086" max="14086" width="18.5" style="64" customWidth="1"/>
    <col min="14087" max="14087" width="18.125" style="64" customWidth="1"/>
    <col min="14088" max="14089" width="11.375" style="64" customWidth="1"/>
    <col min="14090" max="14090" width="12.375" style="64" customWidth="1"/>
    <col min="14091" max="14091" width="12.75" style="64" customWidth="1"/>
    <col min="14092" max="14092" width="15.375" style="64" customWidth="1"/>
    <col min="14093" max="14336" width="9" style="64"/>
    <col min="14337" max="14337" width="10.125" style="64" customWidth="1"/>
    <col min="14338" max="14339" width="11.875" style="64" customWidth="1"/>
    <col min="14340" max="14340" width="11" style="64" customWidth="1"/>
    <col min="14341" max="14341" width="11.125" style="64" customWidth="1"/>
    <col min="14342" max="14342" width="18.5" style="64" customWidth="1"/>
    <col min="14343" max="14343" width="18.125" style="64" customWidth="1"/>
    <col min="14344" max="14345" width="11.375" style="64" customWidth="1"/>
    <col min="14346" max="14346" width="12.375" style="64" customWidth="1"/>
    <col min="14347" max="14347" width="12.75" style="64" customWidth="1"/>
    <col min="14348" max="14348" width="15.375" style="64" customWidth="1"/>
    <col min="14349" max="14592" width="9" style="64"/>
    <col min="14593" max="14593" width="10.125" style="64" customWidth="1"/>
    <col min="14594" max="14595" width="11.875" style="64" customWidth="1"/>
    <col min="14596" max="14596" width="11" style="64" customWidth="1"/>
    <col min="14597" max="14597" width="11.125" style="64" customWidth="1"/>
    <col min="14598" max="14598" width="18.5" style="64" customWidth="1"/>
    <col min="14599" max="14599" width="18.125" style="64" customWidth="1"/>
    <col min="14600" max="14601" width="11.375" style="64" customWidth="1"/>
    <col min="14602" max="14602" width="12.375" style="64" customWidth="1"/>
    <col min="14603" max="14603" width="12.75" style="64" customWidth="1"/>
    <col min="14604" max="14604" width="15.375" style="64" customWidth="1"/>
    <col min="14605" max="14848" width="9" style="64"/>
    <col min="14849" max="14849" width="10.125" style="64" customWidth="1"/>
    <col min="14850" max="14851" width="11.875" style="64" customWidth="1"/>
    <col min="14852" max="14852" width="11" style="64" customWidth="1"/>
    <col min="14853" max="14853" width="11.125" style="64" customWidth="1"/>
    <col min="14854" max="14854" width="18.5" style="64" customWidth="1"/>
    <col min="14855" max="14855" width="18.125" style="64" customWidth="1"/>
    <col min="14856" max="14857" width="11.375" style="64" customWidth="1"/>
    <col min="14858" max="14858" width="12.375" style="64" customWidth="1"/>
    <col min="14859" max="14859" width="12.75" style="64" customWidth="1"/>
    <col min="14860" max="14860" width="15.375" style="64" customWidth="1"/>
    <col min="14861" max="15104" width="9" style="64"/>
    <col min="15105" max="15105" width="10.125" style="64" customWidth="1"/>
    <col min="15106" max="15107" width="11.875" style="64" customWidth="1"/>
    <col min="15108" max="15108" width="11" style="64" customWidth="1"/>
    <col min="15109" max="15109" width="11.125" style="64" customWidth="1"/>
    <col min="15110" max="15110" width="18.5" style="64" customWidth="1"/>
    <col min="15111" max="15111" width="18.125" style="64" customWidth="1"/>
    <col min="15112" max="15113" width="11.375" style="64" customWidth="1"/>
    <col min="15114" max="15114" width="12.375" style="64" customWidth="1"/>
    <col min="15115" max="15115" width="12.75" style="64" customWidth="1"/>
    <col min="15116" max="15116" width="15.375" style="64" customWidth="1"/>
    <col min="15117" max="15360" width="9" style="64"/>
    <col min="15361" max="15361" width="10.125" style="64" customWidth="1"/>
    <col min="15362" max="15363" width="11.875" style="64" customWidth="1"/>
    <col min="15364" max="15364" width="11" style="64" customWidth="1"/>
    <col min="15365" max="15365" width="11.125" style="64" customWidth="1"/>
    <col min="15366" max="15366" width="18.5" style="64" customWidth="1"/>
    <col min="15367" max="15367" width="18.125" style="64" customWidth="1"/>
    <col min="15368" max="15369" width="11.375" style="64" customWidth="1"/>
    <col min="15370" max="15370" width="12.375" style="64" customWidth="1"/>
    <col min="15371" max="15371" width="12.75" style="64" customWidth="1"/>
    <col min="15372" max="15372" width="15.375" style="64" customWidth="1"/>
    <col min="15373" max="15616" width="9" style="64"/>
    <col min="15617" max="15617" width="10.125" style="64" customWidth="1"/>
    <col min="15618" max="15619" width="11.875" style="64" customWidth="1"/>
    <col min="15620" max="15620" width="11" style="64" customWidth="1"/>
    <col min="15621" max="15621" width="11.125" style="64" customWidth="1"/>
    <col min="15622" max="15622" width="18.5" style="64" customWidth="1"/>
    <col min="15623" max="15623" width="18.125" style="64" customWidth="1"/>
    <col min="15624" max="15625" width="11.375" style="64" customWidth="1"/>
    <col min="15626" max="15626" width="12.375" style="64" customWidth="1"/>
    <col min="15627" max="15627" width="12.75" style="64" customWidth="1"/>
    <col min="15628" max="15628" width="15.375" style="64" customWidth="1"/>
    <col min="15629" max="15872" width="9" style="64"/>
    <col min="15873" max="15873" width="10.125" style="64" customWidth="1"/>
    <col min="15874" max="15875" width="11.875" style="64" customWidth="1"/>
    <col min="15876" max="15876" width="11" style="64" customWidth="1"/>
    <col min="15877" max="15877" width="11.125" style="64" customWidth="1"/>
    <col min="15878" max="15878" width="18.5" style="64" customWidth="1"/>
    <col min="15879" max="15879" width="18.125" style="64" customWidth="1"/>
    <col min="15880" max="15881" width="11.375" style="64" customWidth="1"/>
    <col min="15882" max="15882" width="12.375" style="64" customWidth="1"/>
    <col min="15883" max="15883" width="12.75" style="64" customWidth="1"/>
    <col min="15884" max="15884" width="15.375" style="64" customWidth="1"/>
    <col min="15885" max="16128" width="9" style="64"/>
    <col min="16129" max="16129" width="10.125" style="64" customWidth="1"/>
    <col min="16130" max="16131" width="11.875" style="64" customWidth="1"/>
    <col min="16132" max="16132" width="11" style="64" customWidth="1"/>
    <col min="16133" max="16133" width="11.125" style="64" customWidth="1"/>
    <col min="16134" max="16134" width="18.5" style="64" customWidth="1"/>
    <col min="16135" max="16135" width="18.125" style="64" customWidth="1"/>
    <col min="16136" max="16137" width="11.375" style="64" customWidth="1"/>
    <col min="16138" max="16138" width="12.375" style="64" customWidth="1"/>
    <col min="16139" max="16139" width="12.75" style="64" customWidth="1"/>
    <col min="16140" max="16140" width="15.375" style="64" customWidth="1"/>
    <col min="16141" max="16384" width="9" style="64"/>
  </cols>
  <sheetData>
    <row r="1" spans="1:12" ht="21" customHeight="1">
      <c r="A1" s="815" t="s">
        <v>459</v>
      </c>
      <c r="B1" s="815"/>
      <c r="C1" s="815"/>
      <c r="D1" s="815"/>
      <c r="E1" s="815"/>
      <c r="F1" s="815"/>
      <c r="G1" s="815"/>
      <c r="H1" s="815"/>
      <c r="I1" s="815"/>
      <c r="J1" s="815"/>
      <c r="K1" s="815"/>
      <c r="L1" s="815"/>
    </row>
    <row r="2" spans="1:12" ht="17.25" customHeight="1">
      <c r="A2" s="88" t="s">
        <v>460</v>
      </c>
      <c r="B2" s="154"/>
      <c r="C2" s="70"/>
      <c r="D2" s="70"/>
      <c r="E2" s="262"/>
      <c r="F2" s="262"/>
      <c r="G2" s="262"/>
      <c r="H2" s="155"/>
      <c r="I2" s="155"/>
      <c r="J2" s="155"/>
      <c r="K2" s="155"/>
    </row>
    <row r="3" spans="1:12">
      <c r="A3" s="65" t="s">
        <v>461</v>
      </c>
      <c r="B3" s="261"/>
      <c r="C3" s="261"/>
      <c r="H3" s="263"/>
      <c r="I3" s="263"/>
    </row>
    <row r="4" spans="1:12" ht="15" customHeight="1">
      <c r="A4" s="856" t="s">
        <v>462</v>
      </c>
      <c r="B4" s="857"/>
      <c r="C4" s="857"/>
      <c r="D4" s="857"/>
      <c r="E4" s="857"/>
      <c r="F4" s="858"/>
      <c r="G4" s="265" t="s">
        <v>463</v>
      </c>
      <c r="H4" s="266">
        <f>H10</f>
        <v>0</v>
      </c>
      <c r="I4" s="859" t="e">
        <f>J10</f>
        <v>#DIV/0!</v>
      </c>
      <c r="J4" s="860"/>
    </row>
    <row r="5" spans="1:12" ht="15" customHeight="1">
      <c r="A5" s="267" t="s">
        <v>464</v>
      </c>
      <c r="B5" s="268" t="s">
        <v>465</v>
      </c>
      <c r="C5" s="268" t="s">
        <v>466</v>
      </c>
      <c r="D5" s="268" t="s">
        <v>467</v>
      </c>
      <c r="E5" s="269" t="s">
        <v>468</v>
      </c>
      <c r="F5" s="269" t="s">
        <v>469</v>
      </c>
      <c r="G5" s="269" t="s">
        <v>470</v>
      </c>
      <c r="H5" s="269" t="s">
        <v>471</v>
      </c>
      <c r="I5" s="311" t="s">
        <v>472</v>
      </c>
      <c r="J5" s="311" t="s">
        <v>473</v>
      </c>
      <c r="K5" s="268" t="s">
        <v>474</v>
      </c>
      <c r="L5" s="312" t="s">
        <v>475</v>
      </c>
    </row>
    <row r="6" spans="1:12" ht="15" customHeight="1">
      <c r="A6" s="270" t="s">
        <v>289</v>
      </c>
      <c r="B6" s="271"/>
      <c r="C6" s="272"/>
      <c r="D6" s="271"/>
      <c r="E6" s="271"/>
      <c r="F6" s="271"/>
      <c r="G6" s="273"/>
      <c r="H6" s="274">
        <f>IF(AND(F6="",E6=C6),0,IF((E6=G6),0,IF(OR(F6=""),NETWORKDAYS(C6,E6),NETWORKDAYS(G6,E6))))</f>
        <v>0</v>
      </c>
      <c r="I6" s="313" t="e">
        <f>IF(OR(F6=""),H6/NETWORKDAYS(B6,C6),H6/NETWORKDAYS(F6,G6))</f>
        <v>#DIV/0!</v>
      </c>
      <c r="J6" s="313" t="e">
        <f>IF(OR(F6=""),H6/NETWORKDAYS(B$6,C6),H6/NETWORKDAYS(F$6,G6))</f>
        <v>#DIV/0!</v>
      </c>
      <c r="K6" s="314"/>
      <c r="L6" s="315"/>
    </row>
    <row r="7" spans="1:12" ht="15" customHeight="1">
      <c r="A7" s="270" t="s">
        <v>307</v>
      </c>
      <c r="B7" s="271"/>
      <c r="C7" s="271"/>
      <c r="D7" s="271"/>
      <c r="E7" s="271"/>
      <c r="F7" s="271"/>
      <c r="G7" s="271"/>
      <c r="H7" s="274">
        <f t="shared" ref="H7:H10" si="0">IF(AND(F7="",E7=C7),0,IF((E7=G7),0,IF(OR(F7=""),NETWORKDAYS(C7,E7),NETWORKDAYS(G7,E7))))</f>
        <v>0</v>
      </c>
      <c r="I7" s="313" t="e">
        <f t="shared" ref="I7:I10" si="1">IF(OR(F7=""),H7/NETWORKDAYS(B7,C7),H7/NETWORKDAYS(F7,G7))</f>
        <v>#DIV/0!</v>
      </c>
      <c r="J7" s="313" t="e">
        <f t="shared" ref="J7:J10" si="2">IF(OR(F7=""),H7/NETWORKDAYS(B$6,C7),H7/NETWORKDAYS(F$6,G7))</f>
        <v>#DIV/0!</v>
      </c>
      <c r="K7" s="314"/>
      <c r="L7" s="315"/>
    </row>
    <row r="8" spans="1:12" ht="15" customHeight="1">
      <c r="A8" s="270" t="s">
        <v>436</v>
      </c>
      <c r="B8" s="271"/>
      <c r="C8" s="271"/>
      <c r="D8" s="271"/>
      <c r="E8" s="271"/>
      <c r="F8" s="271"/>
      <c r="G8" s="271"/>
      <c r="H8" s="274">
        <f t="shared" si="0"/>
        <v>0</v>
      </c>
      <c r="I8" s="313" t="e">
        <f t="shared" si="1"/>
        <v>#DIV/0!</v>
      </c>
      <c r="J8" s="313" t="e">
        <f t="shared" si="2"/>
        <v>#DIV/0!</v>
      </c>
      <c r="K8" s="314"/>
      <c r="L8" s="315"/>
    </row>
    <row r="9" spans="1:12" ht="15" customHeight="1">
      <c r="A9" s="270" t="s">
        <v>322</v>
      </c>
      <c r="B9" s="271"/>
      <c r="C9" s="271"/>
      <c r="D9" s="271"/>
      <c r="E9" s="271"/>
      <c r="F9" s="271"/>
      <c r="G9" s="271"/>
      <c r="H9" s="274">
        <f t="shared" si="0"/>
        <v>0</v>
      </c>
      <c r="I9" s="313" t="e">
        <f t="shared" si="1"/>
        <v>#DIV/0!</v>
      </c>
      <c r="J9" s="313" t="e">
        <f t="shared" si="2"/>
        <v>#DIV/0!</v>
      </c>
      <c r="K9" s="314"/>
      <c r="L9" s="315"/>
    </row>
    <row r="10" spans="1:12" ht="15" customHeight="1">
      <c r="A10" s="275" t="s">
        <v>328</v>
      </c>
      <c r="B10" s="276"/>
      <c r="C10" s="276"/>
      <c r="D10" s="276"/>
      <c r="E10" s="276"/>
      <c r="F10" s="276"/>
      <c r="G10" s="276"/>
      <c r="H10" s="274">
        <f t="shared" si="0"/>
        <v>0</v>
      </c>
      <c r="I10" s="313" t="e">
        <f t="shared" si="1"/>
        <v>#DIV/0!</v>
      </c>
      <c r="J10" s="313" t="e">
        <f t="shared" si="2"/>
        <v>#DIV/0!</v>
      </c>
      <c r="K10" s="316"/>
      <c r="L10" s="317"/>
    </row>
    <row r="11" spans="1:12" ht="14.25" customHeight="1">
      <c r="A11" s="277"/>
      <c r="B11" s="277"/>
      <c r="C11" s="277"/>
      <c r="D11" s="277"/>
      <c r="E11" s="277"/>
      <c r="F11" s="277"/>
      <c r="G11" s="277"/>
      <c r="H11" s="278"/>
      <c r="I11" s="278"/>
      <c r="J11" s="278"/>
      <c r="K11" s="278"/>
    </row>
    <row r="12" spans="1:12" ht="14.25" customHeight="1">
      <c r="A12" s="862" t="s">
        <v>476</v>
      </c>
      <c r="B12" s="280" t="s">
        <v>477</v>
      </c>
      <c r="C12" s="280" t="str">
        <f>CONCATENATE("第",COLUMN(C12)-COLUMN($B$12),"周")</f>
        <v>第1周</v>
      </c>
      <c r="D12" s="280" t="str">
        <f>CONCATENATE("第",COLUMN(D12)-COLUMN($B$12),"周")</f>
        <v>第2周</v>
      </c>
      <c r="E12" s="280" t="str">
        <f>CONCATENATE("第",COLUMN(E12)-COLUMN($B$12),"周")</f>
        <v>第3周</v>
      </c>
      <c r="F12" s="280" t="str">
        <f>CONCATENATE("第",COLUMN(F12)-COLUMN($B$12),"周")</f>
        <v>第4周</v>
      </c>
      <c r="G12" s="280" t="str">
        <f>CONCATENATE("第",COLUMN(G12)-COLUMN($B$12),"周")</f>
        <v>第5周</v>
      </c>
      <c r="H12" s="280" t="s">
        <v>478</v>
      </c>
    </row>
    <row r="13" spans="1:12" ht="14.25" customHeight="1">
      <c r="A13" s="862"/>
      <c r="B13" s="279" t="s">
        <v>287</v>
      </c>
      <c r="C13" s="281"/>
      <c r="D13" s="281"/>
      <c r="E13" s="281"/>
      <c r="F13" s="281"/>
      <c r="G13" s="281"/>
      <c r="H13" s="282">
        <v>0</v>
      </c>
    </row>
    <row r="14" spans="1:12" ht="14.25" customHeight="1">
      <c r="A14" s="863" t="s">
        <v>438</v>
      </c>
      <c r="B14" s="193" t="s">
        <v>151</v>
      </c>
      <c r="C14" s="283">
        <v>-0.1</v>
      </c>
      <c r="D14" s="283">
        <v>-0.1</v>
      </c>
      <c r="E14" s="283">
        <v>-0.1</v>
      </c>
      <c r="F14" s="283">
        <v>-0.1</v>
      </c>
      <c r="G14" s="283">
        <v>-0.1</v>
      </c>
      <c r="H14" s="282">
        <v>-0.1</v>
      </c>
    </row>
    <row r="15" spans="1:12" ht="14.25" customHeight="1">
      <c r="A15" s="863"/>
      <c r="B15" s="194" t="s">
        <v>152</v>
      </c>
      <c r="C15" s="284">
        <v>0.02</v>
      </c>
      <c r="D15" s="284">
        <v>0.02</v>
      </c>
      <c r="E15" s="284">
        <v>0.02</v>
      </c>
      <c r="F15" s="284">
        <v>0.02</v>
      </c>
      <c r="G15" s="284">
        <v>0.02</v>
      </c>
      <c r="H15" s="282">
        <v>0.02</v>
      </c>
    </row>
    <row r="16" spans="1:12" ht="14.25" customHeight="1">
      <c r="A16" s="863"/>
      <c r="B16" s="193" t="s">
        <v>378</v>
      </c>
      <c r="C16" s="283">
        <v>0.1</v>
      </c>
      <c r="D16" s="283">
        <v>0.1</v>
      </c>
      <c r="E16" s="283">
        <v>0.1</v>
      </c>
      <c r="F16" s="283">
        <v>0.1</v>
      </c>
      <c r="G16" s="283">
        <v>0.1</v>
      </c>
      <c r="H16" s="282">
        <v>0.1</v>
      </c>
    </row>
    <row r="17" spans="1:14" ht="14.25" customHeight="1">
      <c r="A17" s="263"/>
      <c r="B17" s="263"/>
      <c r="C17" s="263"/>
      <c r="D17" s="263"/>
      <c r="E17" s="263"/>
      <c r="F17" s="263"/>
      <c r="G17" s="263"/>
      <c r="H17" s="232"/>
    </row>
    <row r="18" spans="1:14" ht="14.25" customHeight="1">
      <c r="A18" s="263"/>
      <c r="B18" s="263"/>
      <c r="C18" s="263"/>
      <c r="D18" s="263"/>
      <c r="E18" s="263"/>
      <c r="F18" s="263"/>
      <c r="G18" s="263"/>
    </row>
    <row r="19" spans="1:14" ht="14.25" customHeight="1">
      <c r="A19" s="263"/>
      <c r="B19" s="263"/>
      <c r="C19" s="263"/>
      <c r="D19" s="263"/>
      <c r="E19" s="263"/>
      <c r="F19" s="263"/>
      <c r="G19" s="263"/>
    </row>
    <row r="20" spans="1:14" ht="14.25" customHeight="1">
      <c r="A20" s="263"/>
      <c r="B20" s="263"/>
      <c r="C20" s="263"/>
      <c r="D20" s="263"/>
      <c r="E20" s="263"/>
      <c r="F20" s="263"/>
      <c r="G20" s="263"/>
    </row>
    <row r="21" spans="1:14" ht="14.25" customHeight="1">
      <c r="A21" s="263"/>
      <c r="B21" s="263"/>
      <c r="C21" s="263"/>
      <c r="D21" s="263"/>
      <c r="E21" s="263"/>
      <c r="F21" s="263"/>
      <c r="G21" s="263"/>
      <c r="H21" s="232"/>
    </row>
    <row r="22" spans="1:14" ht="14.25" customHeight="1">
      <c r="A22" s="263"/>
      <c r="B22" s="263"/>
      <c r="C22" s="263"/>
      <c r="D22" s="263"/>
      <c r="E22" s="263"/>
      <c r="F22" s="263"/>
      <c r="G22" s="263"/>
      <c r="H22" s="232"/>
    </row>
    <row r="23" spans="1:14" ht="14.25" customHeight="1">
      <c r="A23" s="263"/>
      <c r="B23" s="263"/>
      <c r="C23" s="263"/>
      <c r="D23" s="263"/>
      <c r="E23" s="263"/>
      <c r="F23" s="263"/>
      <c r="G23" s="263"/>
      <c r="H23" s="868" t="s">
        <v>479</v>
      </c>
      <c r="I23" s="868"/>
      <c r="J23" s="868"/>
      <c r="K23" s="868"/>
      <c r="L23" s="868"/>
      <c r="M23" s="868"/>
      <c r="N23" s="868"/>
    </row>
    <row r="24" spans="1:14" ht="14.25" customHeight="1">
      <c r="A24" s="263"/>
      <c r="B24" s="263"/>
      <c r="C24" s="263"/>
      <c r="D24" s="263"/>
      <c r="E24" s="263"/>
      <c r="F24" s="263"/>
      <c r="G24" s="263"/>
      <c r="H24" s="868"/>
      <c r="I24" s="868"/>
      <c r="J24" s="868"/>
      <c r="K24" s="868"/>
      <c r="L24" s="868"/>
      <c r="M24" s="868"/>
      <c r="N24" s="868"/>
    </row>
    <row r="25" spans="1:14" ht="14.25" customHeight="1">
      <c r="A25" s="263"/>
      <c r="B25" s="263"/>
      <c r="C25" s="263"/>
      <c r="D25" s="263"/>
      <c r="E25" s="263"/>
      <c r="F25" s="263"/>
      <c r="G25" s="263"/>
      <c r="H25" s="868"/>
      <c r="I25" s="868"/>
      <c r="J25" s="868"/>
      <c r="K25" s="868"/>
      <c r="L25" s="868"/>
      <c r="M25" s="868"/>
      <c r="N25" s="868"/>
    </row>
    <row r="26" spans="1:14" ht="10.5" customHeight="1">
      <c r="A26" s="263"/>
      <c r="B26" s="263"/>
      <c r="C26" s="263"/>
      <c r="D26" s="263"/>
      <c r="E26" s="263"/>
      <c r="F26" s="263"/>
      <c r="G26" s="263"/>
      <c r="H26" s="868"/>
      <c r="I26" s="868"/>
      <c r="J26" s="868"/>
      <c r="K26" s="868"/>
      <c r="L26" s="868"/>
      <c r="M26" s="868"/>
      <c r="N26" s="868"/>
    </row>
    <row r="27" spans="1:14" ht="14.25" customHeight="1">
      <c r="A27" s="263"/>
      <c r="B27" s="263"/>
      <c r="C27" s="263"/>
      <c r="D27" s="263"/>
      <c r="E27" s="263"/>
      <c r="F27" s="263"/>
      <c r="G27" s="263"/>
      <c r="H27" s="232"/>
    </row>
    <row r="28" spans="1:14" ht="14.25" customHeight="1">
      <c r="A28" s="263"/>
      <c r="B28" s="263"/>
      <c r="C28" s="263"/>
      <c r="D28" s="263"/>
      <c r="E28" s="263"/>
      <c r="F28" s="263"/>
      <c r="G28" s="263"/>
      <c r="H28" s="232"/>
    </row>
    <row r="29" spans="1:14" ht="14.25" customHeight="1">
      <c r="A29" s="263"/>
      <c r="B29" s="263"/>
      <c r="C29" s="263"/>
      <c r="D29" s="263"/>
      <c r="E29" s="263"/>
      <c r="F29" s="263"/>
      <c r="G29" s="263"/>
      <c r="H29" s="232"/>
    </row>
    <row r="30" spans="1:14" ht="14.25" customHeight="1">
      <c r="A30" s="263"/>
      <c r="B30" s="263"/>
      <c r="C30" s="263"/>
      <c r="D30" s="263"/>
      <c r="E30" s="263"/>
      <c r="F30" s="263"/>
      <c r="G30" s="263"/>
      <c r="H30" s="232"/>
    </row>
    <row r="31" spans="1:14" ht="14.25" customHeight="1">
      <c r="A31" s="263"/>
      <c r="B31" s="263"/>
      <c r="C31" s="263"/>
      <c r="D31" s="263"/>
      <c r="E31" s="263"/>
      <c r="F31" s="263"/>
      <c r="G31" s="263"/>
      <c r="H31" s="232"/>
    </row>
    <row r="32" spans="1:14">
      <c r="A32" s="88" t="s">
        <v>480</v>
      </c>
      <c r="B32" s="285"/>
      <c r="H32" s="232"/>
    </row>
    <row r="33" spans="1:10">
      <c r="A33" s="861" t="s">
        <v>481</v>
      </c>
      <c r="B33" s="861"/>
      <c r="C33" s="861"/>
      <c r="D33" s="861"/>
      <c r="G33" s="286"/>
      <c r="H33" s="232"/>
    </row>
    <row r="34" spans="1:10">
      <c r="A34" s="264" t="s">
        <v>482</v>
      </c>
      <c r="B34" s="264"/>
      <c r="C34" s="264"/>
      <c r="D34" s="264"/>
      <c r="G34" s="286"/>
      <c r="H34" s="232"/>
    </row>
    <row r="35" spans="1:10" ht="15" customHeight="1">
      <c r="A35" s="864" t="s">
        <v>264</v>
      </c>
      <c r="B35" s="866" t="e">
        <f>C36/D36</f>
        <v>#DIV/0!</v>
      </c>
      <c r="C35" s="287" t="s">
        <v>483</v>
      </c>
      <c r="D35" s="288" t="s">
        <v>484</v>
      </c>
      <c r="H35" s="232"/>
    </row>
    <row r="36" spans="1:10" ht="15" customHeight="1">
      <c r="A36" s="865"/>
      <c r="B36" s="867"/>
      <c r="C36" s="289"/>
      <c r="D36" s="290"/>
    </row>
    <row r="37" spans="1:10" ht="15" customHeight="1"/>
    <row r="38" spans="1:10" ht="15" customHeight="1">
      <c r="A38" s="88" t="s">
        <v>485</v>
      </c>
      <c r="B38" s="285"/>
    </row>
    <row r="39" spans="1:10">
      <c r="A39" s="796" t="s">
        <v>486</v>
      </c>
      <c r="B39" s="796"/>
      <c r="C39" s="796"/>
      <c r="D39" s="796"/>
      <c r="E39" s="796"/>
      <c r="F39" s="796"/>
      <c r="G39" s="796"/>
      <c r="H39" s="796"/>
      <c r="I39" s="796"/>
    </row>
    <row r="40" spans="1:10">
      <c r="A40" s="65" t="s">
        <v>487</v>
      </c>
      <c r="B40" s="65"/>
      <c r="C40" s="65"/>
      <c r="D40" s="65"/>
      <c r="E40" s="65"/>
      <c r="F40" s="65"/>
      <c r="G40" s="65"/>
      <c r="H40" s="65"/>
      <c r="I40" s="65"/>
    </row>
    <row r="41" spans="1:10" ht="24">
      <c r="A41" s="291" t="s">
        <v>488</v>
      </c>
      <c r="B41" s="292" t="s">
        <v>489</v>
      </c>
      <c r="C41" s="293" t="s">
        <v>490</v>
      </c>
      <c r="D41" s="292" t="s">
        <v>491</v>
      </c>
      <c r="E41" s="292" t="s">
        <v>492</v>
      </c>
      <c r="F41" s="294" t="s">
        <v>493</v>
      </c>
      <c r="G41" s="295" t="s">
        <v>150</v>
      </c>
      <c r="I41" s="318" t="s">
        <v>494</v>
      </c>
      <c r="J41" s="319" t="e">
        <f>C42</f>
        <v>#DIV/0!</v>
      </c>
    </row>
    <row r="42" spans="1:10" ht="17.25" customHeight="1">
      <c r="A42" s="296"/>
      <c r="B42" s="297"/>
      <c r="C42" s="298" t="e">
        <f>(B42-A42)/A42*100%</f>
        <v>#DIV/0!</v>
      </c>
      <c r="D42" s="299"/>
      <c r="E42" s="299"/>
      <c r="F42" s="300" t="e">
        <f>(E42-D42)/D42*100%</f>
        <v>#DIV/0!</v>
      </c>
      <c r="G42" s="301"/>
      <c r="I42" s="318" t="s">
        <v>495</v>
      </c>
      <c r="J42" s="302" t="e">
        <f>F42</f>
        <v>#DIV/0!</v>
      </c>
    </row>
    <row r="43" spans="1:10" ht="24">
      <c r="A43" s="302"/>
      <c r="B43" s="303"/>
      <c r="C43" s="303"/>
      <c r="D43" s="304" t="s">
        <v>489</v>
      </c>
      <c r="E43" s="305" t="s">
        <v>496</v>
      </c>
      <c r="F43" s="306"/>
      <c r="G43" s="307"/>
      <c r="I43" s="318" t="s">
        <v>497</v>
      </c>
      <c r="J43" s="302" t="e">
        <f>F44</f>
        <v>#DIV/0!</v>
      </c>
    </row>
    <row r="44" spans="1:10" ht="17.25" customHeight="1">
      <c r="A44" s="302"/>
      <c r="B44" s="303"/>
      <c r="C44" s="303"/>
      <c r="D44" s="308"/>
      <c r="E44" s="309"/>
      <c r="F44" s="310" t="e">
        <f>(E44-D44)/D44*100%</f>
        <v>#DIV/0!</v>
      </c>
      <c r="G44" s="307"/>
    </row>
  </sheetData>
  <mergeCells count="10">
    <mergeCell ref="A1:L1"/>
    <mergeCell ref="A4:F4"/>
    <mergeCell ref="I4:J4"/>
    <mergeCell ref="A33:D33"/>
    <mergeCell ref="A39:I39"/>
    <mergeCell ref="A12:A13"/>
    <mergeCell ref="A14:A16"/>
    <mergeCell ref="A35:A36"/>
    <mergeCell ref="B35:B36"/>
    <mergeCell ref="H23:N26"/>
  </mergeCells>
  <phoneticPr fontId="156" type="noConversion"/>
  <pageMargins left="0.98402777777777795" right="0.74791666666666701" top="0.98402777777777795" bottom="0.98402777777777795" header="0.51180555555555596" footer="0.51180555555555596"/>
  <pageSetup paperSize="9"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58371" r:id="rId3" name="Button 3">
              <controlPr defaultSize="0" print="0" autoPict="0" macro="[0]!Button1_Click_week_added">
                <anchor moveWithCells="1" sizeWithCells="1">
                  <from>
                    <xdr:col>7</xdr:col>
                    <xdr:colOff>9525</xdr:colOff>
                    <xdr:row>16</xdr:row>
                    <xdr:rowOff>171450</xdr:rowOff>
                  </from>
                  <to>
                    <xdr:col>7</xdr:col>
                    <xdr:colOff>676275</xdr:colOff>
                    <xdr:row>18</xdr:row>
                    <xdr:rowOff>133350</xdr:rowOff>
                  </to>
                </anchor>
              </controlPr>
            </control>
          </mc:Choice>
        </mc:AlternateContent>
        <mc:AlternateContent xmlns:mc="http://schemas.openxmlformats.org/markup-compatibility/2006">
          <mc:Choice Requires="x14">
            <control shapeId="58372" r:id="rId4" name="Button 4">
              <controlPr defaultSize="0" print="0" autoPict="0" macro="[0]!Button2_Click_week_delete">
                <anchor moveWithCells="1" sizeWithCells="1">
                  <from>
                    <xdr:col>7</xdr:col>
                    <xdr:colOff>19050</xdr:colOff>
                    <xdr:row>19</xdr:row>
                    <xdr:rowOff>28575</xdr:rowOff>
                  </from>
                  <to>
                    <xdr:col>7</xdr:col>
                    <xdr:colOff>685800</xdr:colOff>
                    <xdr:row>20</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7"/>
  </sheetPr>
  <dimension ref="A1:N132"/>
  <sheetViews>
    <sheetView workbookViewId="0">
      <selection activeCell="B6" sqref="B6:F6"/>
    </sheetView>
  </sheetViews>
  <sheetFormatPr defaultColWidth="9" defaultRowHeight="12"/>
  <cols>
    <col min="1" max="1" width="9.875" style="232" customWidth="1"/>
    <col min="2" max="2" width="9" style="232"/>
    <col min="3" max="3" width="9.375" style="232" customWidth="1"/>
    <col min="4" max="9" width="9" style="232"/>
    <col min="10" max="10" width="8.25" style="232" customWidth="1"/>
    <col min="11" max="11" width="10.25" style="232" customWidth="1"/>
    <col min="12" max="16384" width="9" style="232"/>
  </cols>
  <sheetData>
    <row r="1" spans="1:14" ht="24.75" customHeight="1">
      <c r="A1" s="815" t="s">
        <v>498</v>
      </c>
      <c r="B1" s="815"/>
      <c r="C1" s="815"/>
      <c r="D1" s="815"/>
      <c r="E1" s="815"/>
      <c r="F1" s="815"/>
      <c r="G1" s="815"/>
      <c r="H1" s="815"/>
      <c r="I1" s="815"/>
      <c r="J1" s="815"/>
      <c r="K1" s="815"/>
      <c r="L1" s="815"/>
      <c r="M1" s="815"/>
      <c r="N1" s="815"/>
    </row>
    <row r="2" spans="1:14" ht="27" customHeight="1">
      <c r="A2" s="869" t="s">
        <v>499</v>
      </c>
      <c r="B2" s="869"/>
      <c r="C2" s="869"/>
      <c r="D2" s="869"/>
      <c r="E2" s="869"/>
      <c r="F2" s="869"/>
      <c r="G2" s="869"/>
      <c r="H2" s="869"/>
      <c r="I2" s="869"/>
      <c r="J2" s="70"/>
      <c r="K2" s="70"/>
      <c r="L2" s="70"/>
      <c r="M2" s="70"/>
      <c r="N2" s="70"/>
    </row>
    <row r="3" spans="1:14" ht="12" customHeight="1">
      <c r="A3" s="234" t="s">
        <v>500</v>
      </c>
      <c r="B3" s="233"/>
      <c r="C3" s="233"/>
      <c r="D3" s="233"/>
      <c r="E3" s="233"/>
      <c r="F3" s="233"/>
      <c r="G3" s="233"/>
      <c r="H3" s="233"/>
      <c r="I3" s="233"/>
      <c r="J3" s="70"/>
      <c r="K3" s="70"/>
      <c r="L3" s="70"/>
      <c r="M3" s="70"/>
      <c r="N3" s="70"/>
    </row>
    <row r="4" spans="1:14" ht="17.25" customHeight="1">
      <c r="A4" s="88" t="s">
        <v>501</v>
      </c>
      <c r="B4" s="88"/>
      <c r="C4" s="235"/>
    </row>
    <row r="5" spans="1:14" ht="25.5" customHeight="1">
      <c r="A5" s="870" t="s">
        <v>502</v>
      </c>
      <c r="B5" s="870" t="s">
        <v>503</v>
      </c>
      <c r="C5" s="870"/>
      <c r="D5" s="870"/>
      <c r="E5" s="870"/>
      <c r="F5" s="870"/>
      <c r="G5" s="876" t="s">
        <v>504</v>
      </c>
      <c r="H5" s="876" t="s">
        <v>505</v>
      </c>
      <c r="I5" s="870" t="s">
        <v>506</v>
      </c>
      <c r="J5" s="872" t="s">
        <v>507</v>
      </c>
      <c r="K5" s="874" t="s">
        <v>508</v>
      </c>
      <c r="L5" s="871" t="s">
        <v>438</v>
      </c>
      <c r="M5" s="871"/>
      <c r="N5" s="871"/>
    </row>
    <row r="6" spans="1:14" ht="13.5" customHeight="1">
      <c r="A6" s="870"/>
      <c r="B6" s="166" t="s">
        <v>751</v>
      </c>
      <c r="C6" s="166" t="s">
        <v>752</v>
      </c>
      <c r="D6" s="166" t="s">
        <v>753</v>
      </c>
      <c r="E6" s="166" t="s">
        <v>754</v>
      </c>
      <c r="F6" s="166" t="s">
        <v>755</v>
      </c>
      <c r="G6" s="877"/>
      <c r="H6" s="877"/>
      <c r="I6" s="870"/>
      <c r="J6" s="873"/>
      <c r="K6" s="870"/>
      <c r="L6" s="193" t="s">
        <v>151</v>
      </c>
      <c r="M6" s="194" t="s">
        <v>152</v>
      </c>
      <c r="N6" s="193" t="s">
        <v>378</v>
      </c>
    </row>
    <row r="7" spans="1:14" ht="14.25" customHeight="1">
      <c r="A7" s="166" t="str">
        <f t="shared" ref="A7:A8" si="0">CONCATENATE("第",ROW(A7)-ROW($A$6),"次评审")</f>
        <v>第1次评审</v>
      </c>
      <c r="B7" s="236"/>
      <c r="C7" s="236"/>
      <c r="D7" s="236"/>
      <c r="E7" s="236"/>
      <c r="F7" s="236"/>
      <c r="G7" s="236"/>
      <c r="H7" s="236"/>
      <c r="I7" s="238">
        <f t="shared" ref="I7:I9" si="1">SUM($B7:$F7)</f>
        <v>0</v>
      </c>
      <c r="J7" s="236"/>
      <c r="K7" s="243" t="e">
        <f t="shared" ref="K7:K10" si="2">I7/J7</f>
        <v>#DIV/0!</v>
      </c>
      <c r="L7" s="197">
        <v>0</v>
      </c>
      <c r="M7" s="198">
        <v>0.3075</v>
      </c>
      <c r="N7" s="197">
        <v>0.65469999999999995</v>
      </c>
    </row>
    <row r="8" spans="1:14">
      <c r="A8" s="166" t="str">
        <f t="shared" si="0"/>
        <v>第2次评审</v>
      </c>
      <c r="B8" s="236"/>
      <c r="C8" s="236"/>
      <c r="D8" s="236"/>
      <c r="E8" s="236"/>
      <c r="F8" s="236"/>
      <c r="G8" s="236"/>
      <c r="H8" s="236"/>
      <c r="I8" s="238">
        <f t="shared" si="1"/>
        <v>0</v>
      </c>
      <c r="J8" s="236"/>
      <c r="K8" s="243" t="e">
        <f t="shared" si="2"/>
        <v>#DIV/0!</v>
      </c>
      <c r="L8" s="197">
        <v>0</v>
      </c>
      <c r="M8" s="198">
        <v>0.3075</v>
      </c>
      <c r="N8" s="197">
        <v>0.65469999999999995</v>
      </c>
    </row>
    <row r="9" spans="1:14">
      <c r="A9" s="166" t="s">
        <v>509</v>
      </c>
      <c r="B9" s="237" t="s">
        <v>156</v>
      </c>
      <c r="C9" s="237" t="s">
        <v>156</v>
      </c>
      <c r="D9" s="237" t="s">
        <v>156</v>
      </c>
      <c r="E9" s="237" t="s">
        <v>156</v>
      </c>
      <c r="F9" s="237" t="s">
        <v>156</v>
      </c>
      <c r="G9" s="237" t="s">
        <v>156</v>
      </c>
      <c r="H9" s="237" t="s">
        <v>156</v>
      </c>
      <c r="I9" s="237">
        <f t="shared" si="1"/>
        <v>0</v>
      </c>
      <c r="J9" s="237" t="s">
        <v>156</v>
      </c>
      <c r="K9" s="244" t="e">
        <f t="shared" si="2"/>
        <v>#VALUE!</v>
      </c>
      <c r="L9" s="245">
        <v>0</v>
      </c>
      <c r="M9" s="245">
        <v>0.3075</v>
      </c>
      <c r="N9" s="245">
        <v>0.65469999999999995</v>
      </c>
    </row>
    <row r="10" spans="1:14">
      <c r="A10" s="166" t="s">
        <v>510</v>
      </c>
      <c r="B10" s="238">
        <f t="shared" ref="B10:H10" si="3">SUM(B7:B9)</f>
        <v>0</v>
      </c>
      <c r="C10" s="238">
        <f t="shared" si="3"/>
        <v>0</v>
      </c>
      <c r="D10" s="238">
        <f t="shared" si="3"/>
        <v>0</v>
      </c>
      <c r="E10" s="238">
        <f t="shared" si="3"/>
        <v>0</v>
      </c>
      <c r="F10" s="238">
        <f t="shared" si="3"/>
        <v>0</v>
      </c>
      <c r="G10" s="238">
        <f t="shared" si="3"/>
        <v>0</v>
      </c>
      <c r="H10" s="238">
        <f t="shared" si="3"/>
        <v>0</v>
      </c>
      <c r="I10" s="238" t="str">
        <f>IF(SUM(I7:I9)=0,"-",SUM(I7:I9))</f>
        <v>-</v>
      </c>
      <c r="J10" s="238" t="str">
        <f>IF(SUM(J7:J9)=0,"-",SUM(J7:J9))</f>
        <v>-</v>
      </c>
      <c r="K10" s="243" t="e">
        <f t="shared" si="2"/>
        <v>#VALUE!</v>
      </c>
      <c r="L10" s="246"/>
      <c r="M10" s="246"/>
      <c r="N10" s="246"/>
    </row>
    <row r="13" spans="1:14">
      <c r="L13" s="247"/>
    </row>
    <row r="14" spans="1:14">
      <c r="L14" s="247"/>
    </row>
    <row r="15" spans="1:14">
      <c r="L15" s="247"/>
    </row>
    <row r="16" spans="1:14">
      <c r="L16" s="247"/>
    </row>
    <row r="17" spans="1:14">
      <c r="L17" s="247"/>
    </row>
    <row r="27" spans="1:14" ht="27">
      <c r="A27" s="88" t="s">
        <v>511</v>
      </c>
      <c r="B27" s="88"/>
      <c r="C27" s="235"/>
      <c r="D27" s="239"/>
      <c r="E27" s="239"/>
      <c r="F27" s="239"/>
      <c r="G27" s="239"/>
      <c r="H27" s="239"/>
      <c r="I27" s="239"/>
      <c r="J27" s="239"/>
      <c r="K27" s="239"/>
    </row>
    <row r="28" spans="1:14">
      <c r="A28" s="870" t="s">
        <v>502</v>
      </c>
      <c r="B28" s="870" t="s">
        <v>503</v>
      </c>
      <c r="C28" s="870"/>
      <c r="D28" s="870"/>
      <c r="E28" s="870"/>
      <c r="F28" s="870"/>
      <c r="G28" s="876" t="s">
        <v>504</v>
      </c>
      <c r="H28" s="876" t="s">
        <v>505</v>
      </c>
      <c r="I28" s="870" t="s">
        <v>506</v>
      </c>
      <c r="J28" s="872" t="s">
        <v>507</v>
      </c>
      <c r="K28" s="874" t="s">
        <v>508</v>
      </c>
      <c r="L28" s="871" t="s">
        <v>438</v>
      </c>
      <c r="M28" s="871"/>
      <c r="N28" s="871"/>
    </row>
    <row r="29" spans="1:14">
      <c r="A29" s="870"/>
      <c r="B29" s="643" t="s">
        <v>751</v>
      </c>
      <c r="C29" s="643" t="s">
        <v>752</v>
      </c>
      <c r="D29" s="643" t="s">
        <v>753</v>
      </c>
      <c r="E29" s="643" t="s">
        <v>754</v>
      </c>
      <c r="F29" s="643" t="s">
        <v>755</v>
      </c>
      <c r="G29" s="877"/>
      <c r="H29" s="877"/>
      <c r="I29" s="870"/>
      <c r="J29" s="873"/>
      <c r="K29" s="870"/>
      <c r="L29" s="193" t="s">
        <v>151</v>
      </c>
      <c r="M29" s="194" t="s">
        <v>152</v>
      </c>
      <c r="N29" s="193" t="s">
        <v>378</v>
      </c>
    </row>
    <row r="30" spans="1:14" ht="18.75" customHeight="1">
      <c r="A30" s="166" t="str">
        <f t="shared" ref="A30:A32" si="4">CONCATENATE("第",ROW(A30)-ROW($A$29),"次评审")</f>
        <v>第1次评审</v>
      </c>
      <c r="B30" s="236"/>
      <c r="C30" s="236"/>
      <c r="D30" s="236"/>
      <c r="E30" s="236"/>
      <c r="F30" s="236"/>
      <c r="G30" s="236"/>
      <c r="H30" s="236"/>
      <c r="I30" s="238">
        <f t="shared" ref="I30:I33" si="5">SUM($B30:$F30)</f>
        <v>0</v>
      </c>
      <c r="J30" s="236"/>
      <c r="K30" s="243" t="e">
        <f>I30/J30</f>
        <v>#DIV/0!</v>
      </c>
      <c r="L30" s="197">
        <v>0</v>
      </c>
      <c r="M30" s="198">
        <v>0.28660000000000002</v>
      </c>
      <c r="N30" s="197">
        <v>0.61099999999999999</v>
      </c>
    </row>
    <row r="31" spans="1:14">
      <c r="A31" s="166" t="str">
        <f t="shared" si="4"/>
        <v>第2次评审</v>
      </c>
      <c r="B31" s="236"/>
      <c r="C31" s="236"/>
      <c r="D31" s="236"/>
      <c r="E31" s="236"/>
      <c r="F31" s="236"/>
      <c r="G31" s="236"/>
      <c r="H31" s="236"/>
      <c r="I31" s="248">
        <f t="shared" si="5"/>
        <v>0</v>
      </c>
      <c r="J31" s="236"/>
      <c r="K31" s="243" t="e">
        <f t="shared" ref="K31:K34" si="6">I31/J31</f>
        <v>#DIV/0!</v>
      </c>
      <c r="L31" s="197">
        <v>0</v>
      </c>
      <c r="M31" s="198">
        <v>0.28660000000000002</v>
      </c>
      <c r="N31" s="197">
        <v>0.61099999999999999</v>
      </c>
    </row>
    <row r="32" spans="1:14">
      <c r="A32" s="166" t="str">
        <f t="shared" si="4"/>
        <v>第3次评审</v>
      </c>
      <c r="B32" s="236"/>
      <c r="C32" s="236"/>
      <c r="D32" s="236"/>
      <c r="E32" s="236"/>
      <c r="F32" s="236"/>
      <c r="G32" s="236"/>
      <c r="H32" s="236"/>
      <c r="I32" s="248">
        <f t="shared" si="5"/>
        <v>0</v>
      </c>
      <c r="J32" s="236"/>
      <c r="K32" s="243" t="e">
        <f t="shared" si="6"/>
        <v>#DIV/0!</v>
      </c>
      <c r="L32" s="197">
        <v>0</v>
      </c>
      <c r="M32" s="198">
        <v>0.28660000000000002</v>
      </c>
      <c r="N32" s="197">
        <v>0.61099999999999999</v>
      </c>
    </row>
    <row r="33" spans="1:14">
      <c r="A33" s="166" t="s">
        <v>509</v>
      </c>
      <c r="B33" s="240" t="s">
        <v>156</v>
      </c>
      <c r="C33" s="240" t="s">
        <v>156</v>
      </c>
      <c r="D33" s="240" t="s">
        <v>156</v>
      </c>
      <c r="E33" s="240" t="s">
        <v>156</v>
      </c>
      <c r="F33" s="240" t="s">
        <v>156</v>
      </c>
      <c r="G33" s="240" t="s">
        <v>156</v>
      </c>
      <c r="H33" s="240" t="s">
        <v>156</v>
      </c>
      <c r="I33" s="237">
        <f t="shared" si="5"/>
        <v>0</v>
      </c>
      <c r="J33" s="249" t="s">
        <v>156</v>
      </c>
      <c r="K33" s="244" t="e">
        <f t="shared" si="6"/>
        <v>#VALUE!</v>
      </c>
      <c r="L33" s="250">
        <v>0</v>
      </c>
      <c r="M33" s="250">
        <v>0.28660000000000002</v>
      </c>
      <c r="N33" s="250">
        <v>0.61099999999999999</v>
      </c>
    </row>
    <row r="34" spans="1:14">
      <c r="A34" s="166" t="s">
        <v>510</v>
      </c>
      <c r="B34" s="238">
        <f t="shared" ref="B34:J34" si="7">SUM(B30:B33)</f>
        <v>0</v>
      </c>
      <c r="C34" s="238">
        <f t="shared" si="7"/>
        <v>0</v>
      </c>
      <c r="D34" s="238">
        <f t="shared" si="7"/>
        <v>0</v>
      </c>
      <c r="E34" s="238">
        <f t="shared" si="7"/>
        <v>0</v>
      </c>
      <c r="F34" s="238">
        <f t="shared" si="7"/>
        <v>0</v>
      </c>
      <c r="G34" s="238">
        <f t="shared" si="7"/>
        <v>0</v>
      </c>
      <c r="H34" s="238">
        <f t="shared" si="7"/>
        <v>0</v>
      </c>
      <c r="I34" s="238">
        <f t="shared" si="7"/>
        <v>0</v>
      </c>
      <c r="J34" s="238">
        <f t="shared" si="7"/>
        <v>0</v>
      </c>
      <c r="K34" s="243" t="e">
        <f t="shared" si="6"/>
        <v>#DIV/0!</v>
      </c>
      <c r="L34" s="246"/>
      <c r="M34" s="246"/>
      <c r="N34" s="246"/>
    </row>
    <row r="37" spans="1:14">
      <c r="L37" s="247"/>
    </row>
    <row r="38" spans="1:14">
      <c r="L38" s="247"/>
    </row>
    <row r="39" spans="1:14">
      <c r="L39" s="247"/>
    </row>
    <row r="40" spans="1:14">
      <c r="L40" s="247"/>
    </row>
    <row r="41" spans="1:14">
      <c r="L41" s="247"/>
    </row>
    <row r="43" spans="1:14" ht="18" customHeight="1"/>
    <row r="45" spans="1:14" ht="13.5" customHeight="1"/>
    <row r="53" spans="1:14" ht="27">
      <c r="A53" s="88" t="s">
        <v>512</v>
      </c>
      <c r="B53" s="88"/>
      <c r="C53" s="235"/>
      <c r="D53" s="239"/>
      <c r="E53" s="239"/>
      <c r="F53" s="239"/>
      <c r="G53" s="239"/>
      <c r="H53" s="239"/>
      <c r="I53" s="239"/>
      <c r="J53" s="239"/>
      <c r="K53" s="239"/>
    </row>
    <row r="54" spans="1:14">
      <c r="A54" s="870" t="s">
        <v>502</v>
      </c>
      <c r="B54" s="870" t="s">
        <v>503</v>
      </c>
      <c r="C54" s="870"/>
      <c r="D54" s="870"/>
      <c r="E54" s="870"/>
      <c r="F54" s="870"/>
      <c r="G54" s="876" t="s">
        <v>504</v>
      </c>
      <c r="H54" s="876" t="s">
        <v>505</v>
      </c>
      <c r="I54" s="870" t="s">
        <v>506</v>
      </c>
      <c r="J54" s="872" t="s">
        <v>507</v>
      </c>
      <c r="K54" s="874" t="s">
        <v>508</v>
      </c>
      <c r="L54" s="871" t="s">
        <v>438</v>
      </c>
      <c r="M54" s="871"/>
      <c r="N54" s="871"/>
    </row>
    <row r="55" spans="1:14">
      <c r="A55" s="870"/>
      <c r="B55" s="643" t="s">
        <v>751</v>
      </c>
      <c r="C55" s="643" t="s">
        <v>752</v>
      </c>
      <c r="D55" s="643" t="s">
        <v>753</v>
      </c>
      <c r="E55" s="643" t="s">
        <v>754</v>
      </c>
      <c r="F55" s="643" t="s">
        <v>755</v>
      </c>
      <c r="G55" s="877"/>
      <c r="H55" s="877"/>
      <c r="I55" s="870"/>
      <c r="J55" s="873"/>
      <c r="K55" s="870"/>
      <c r="L55" s="193" t="s">
        <v>151</v>
      </c>
      <c r="M55" s="194" t="s">
        <v>152</v>
      </c>
      <c r="N55" s="193" t="s">
        <v>378</v>
      </c>
    </row>
    <row r="56" spans="1:14">
      <c r="A56" s="166" t="str">
        <f t="shared" ref="A56:A58" si="8">CONCATENATE("第",ROW(A56)-ROW($A$55),"次评审")</f>
        <v>第1次评审</v>
      </c>
      <c r="B56" s="241"/>
      <c r="C56" s="241"/>
      <c r="D56" s="241"/>
      <c r="E56" s="241"/>
      <c r="F56" s="241"/>
      <c r="G56" s="241"/>
      <c r="H56" s="241"/>
      <c r="I56" s="242">
        <f t="shared" ref="I56:I59" si="9">SUM($B56:$F56)</f>
        <v>0</v>
      </c>
      <c r="J56" s="241"/>
      <c r="K56" s="251" t="e">
        <f t="shared" ref="K56:K60" si="10">I56/J56</f>
        <v>#DIV/0!</v>
      </c>
      <c r="L56" s="197">
        <v>0</v>
      </c>
      <c r="M56" s="198">
        <v>0.23330000000000001</v>
      </c>
      <c r="N56" s="197">
        <v>0.71309999999999996</v>
      </c>
    </row>
    <row r="57" spans="1:14">
      <c r="A57" s="166" t="str">
        <f t="shared" si="8"/>
        <v>第2次评审</v>
      </c>
      <c r="B57" s="241"/>
      <c r="C57" s="241"/>
      <c r="D57" s="241"/>
      <c r="E57" s="241"/>
      <c r="F57" s="241"/>
      <c r="G57" s="241"/>
      <c r="H57" s="241"/>
      <c r="I57" s="252">
        <f t="shared" si="9"/>
        <v>0</v>
      </c>
      <c r="J57" s="241"/>
      <c r="K57" s="251" t="e">
        <f t="shared" si="10"/>
        <v>#DIV/0!</v>
      </c>
      <c r="L57" s="197">
        <v>0</v>
      </c>
      <c r="M57" s="198">
        <v>0.23330000000000001</v>
      </c>
      <c r="N57" s="197">
        <v>0.71309999999999996</v>
      </c>
    </row>
    <row r="58" spans="1:14">
      <c r="A58" s="166" t="str">
        <f t="shared" si="8"/>
        <v>第3次评审</v>
      </c>
      <c r="B58" s="241"/>
      <c r="C58" s="241"/>
      <c r="D58" s="241"/>
      <c r="E58" s="241"/>
      <c r="F58" s="241"/>
      <c r="G58" s="241"/>
      <c r="H58" s="241"/>
      <c r="I58" s="252">
        <f t="shared" si="9"/>
        <v>0</v>
      </c>
      <c r="J58" s="241"/>
      <c r="K58" s="251" t="e">
        <f t="shared" si="10"/>
        <v>#DIV/0!</v>
      </c>
      <c r="L58" s="197">
        <v>0</v>
      </c>
      <c r="M58" s="198">
        <v>0.23330000000000001</v>
      </c>
      <c r="N58" s="197">
        <v>0.71309999999999996</v>
      </c>
    </row>
    <row r="59" spans="1:14">
      <c r="A59" s="166" t="s">
        <v>509</v>
      </c>
      <c r="B59" s="240"/>
      <c r="C59" s="240"/>
      <c r="D59" s="240"/>
      <c r="E59" s="240"/>
      <c r="F59" s="240"/>
      <c r="G59" s="240"/>
      <c r="H59" s="240"/>
      <c r="I59" s="237">
        <f t="shared" si="9"/>
        <v>0</v>
      </c>
      <c r="J59" s="240" t="s">
        <v>156</v>
      </c>
      <c r="K59" s="244" t="e">
        <f t="shared" si="10"/>
        <v>#VALUE!</v>
      </c>
      <c r="L59" s="250">
        <v>0</v>
      </c>
      <c r="M59" s="250">
        <v>0.23330000000000001</v>
      </c>
      <c r="N59" s="250">
        <v>0.71309999999999996</v>
      </c>
    </row>
    <row r="60" spans="1:14">
      <c r="A60" s="166" t="s">
        <v>510</v>
      </c>
      <c r="B60" s="242">
        <f t="shared" ref="B60:J60" si="11">SUM(B56:B59)</f>
        <v>0</v>
      </c>
      <c r="C60" s="242">
        <f t="shared" si="11"/>
        <v>0</v>
      </c>
      <c r="D60" s="242">
        <f t="shared" si="11"/>
        <v>0</v>
      </c>
      <c r="E60" s="242">
        <f t="shared" si="11"/>
        <v>0</v>
      </c>
      <c r="F60" s="242">
        <f t="shared" si="11"/>
        <v>0</v>
      </c>
      <c r="G60" s="242">
        <f t="shared" si="11"/>
        <v>0</v>
      </c>
      <c r="H60" s="242">
        <f t="shared" si="11"/>
        <v>0</v>
      </c>
      <c r="I60" s="242">
        <f t="shared" si="11"/>
        <v>0</v>
      </c>
      <c r="J60" s="242">
        <f t="shared" si="11"/>
        <v>0</v>
      </c>
      <c r="K60" s="253" t="e">
        <f t="shared" si="10"/>
        <v>#DIV/0!</v>
      </c>
    </row>
    <row r="62" spans="1:14">
      <c r="L62" s="247"/>
    </row>
    <row r="63" spans="1:14">
      <c r="L63" s="247"/>
    </row>
    <row r="64" spans="1:14">
      <c r="L64" s="247"/>
    </row>
    <row r="65" spans="1:12">
      <c r="L65" s="247"/>
    </row>
    <row r="66" spans="1:12">
      <c r="L66" s="247"/>
    </row>
    <row r="67" spans="1:12">
      <c r="L67" s="247"/>
    </row>
    <row r="80" spans="1:12" ht="27">
      <c r="A80" s="88" t="s">
        <v>513</v>
      </c>
      <c r="B80" s="88"/>
      <c r="C80" s="235"/>
      <c r="D80" s="239"/>
      <c r="E80" s="239"/>
      <c r="F80" s="239"/>
      <c r="G80" s="239"/>
      <c r="H80" s="239"/>
      <c r="I80" s="239"/>
      <c r="J80" s="239"/>
      <c r="K80" s="239"/>
    </row>
    <row r="81" spans="1:14">
      <c r="A81" s="870" t="s">
        <v>502</v>
      </c>
      <c r="B81" s="870" t="s">
        <v>503</v>
      </c>
      <c r="C81" s="870"/>
      <c r="D81" s="870"/>
      <c r="E81" s="870"/>
      <c r="F81" s="870"/>
      <c r="G81" s="876" t="s">
        <v>504</v>
      </c>
      <c r="H81" s="876" t="s">
        <v>505</v>
      </c>
      <c r="I81" s="870" t="s">
        <v>506</v>
      </c>
      <c r="J81" s="872" t="s">
        <v>514</v>
      </c>
      <c r="K81" s="874" t="s">
        <v>515</v>
      </c>
      <c r="L81" s="871" t="s">
        <v>438</v>
      </c>
      <c r="M81" s="871"/>
      <c r="N81" s="871"/>
    </row>
    <row r="82" spans="1:14">
      <c r="A82" s="870"/>
      <c r="B82" s="643" t="s">
        <v>751</v>
      </c>
      <c r="C82" s="643" t="s">
        <v>752</v>
      </c>
      <c r="D82" s="643" t="s">
        <v>753</v>
      </c>
      <c r="E82" s="643" t="s">
        <v>754</v>
      </c>
      <c r="F82" s="643" t="s">
        <v>755</v>
      </c>
      <c r="G82" s="877"/>
      <c r="H82" s="877"/>
      <c r="I82" s="870"/>
      <c r="J82" s="873"/>
      <c r="K82" s="870"/>
      <c r="L82" s="193" t="s">
        <v>151</v>
      </c>
      <c r="M82" s="194" t="s">
        <v>152</v>
      </c>
      <c r="N82" s="193" t="s">
        <v>378</v>
      </c>
    </row>
    <row r="83" spans="1:14">
      <c r="A83" s="166" t="str">
        <f>CONCATENATE("第",ROW(A83)-ROW($A$82),"次评审")</f>
        <v>第1次评审</v>
      </c>
      <c r="B83" s="236"/>
      <c r="C83" s="236"/>
      <c r="D83" s="236"/>
      <c r="E83" s="236"/>
      <c r="F83" s="236"/>
      <c r="G83" s="236"/>
      <c r="H83" s="236"/>
      <c r="I83" s="248">
        <f t="shared" ref="I83:I86" si="12">SUM($B83:$F83)</f>
        <v>0</v>
      </c>
      <c r="J83" s="236"/>
      <c r="K83" s="243" t="e">
        <f t="shared" ref="K83:K87" si="13">I83/J83</f>
        <v>#DIV/0!</v>
      </c>
      <c r="L83" s="197">
        <v>0</v>
      </c>
      <c r="M83" s="198">
        <v>4.351E-2</v>
      </c>
      <c r="N83" s="197">
        <v>8.7900000000000006E-2</v>
      </c>
    </row>
    <row r="84" spans="1:14">
      <c r="A84" s="166" t="str">
        <f t="shared" ref="A84:A85" si="14">CONCATENATE("第",ROW(A84)-ROW($A$82),"次评审")</f>
        <v>第2次评审</v>
      </c>
      <c r="B84" s="236"/>
      <c r="C84" s="236"/>
      <c r="D84" s="236"/>
      <c r="E84" s="236"/>
      <c r="F84" s="236"/>
      <c r="G84" s="236"/>
      <c r="H84" s="236"/>
      <c r="I84" s="248">
        <f t="shared" si="12"/>
        <v>0</v>
      </c>
      <c r="J84" s="236"/>
      <c r="K84" s="243" t="e">
        <f t="shared" si="13"/>
        <v>#DIV/0!</v>
      </c>
      <c r="L84" s="197">
        <v>0</v>
      </c>
      <c r="M84" s="198">
        <v>4.351E-2</v>
      </c>
      <c r="N84" s="197">
        <v>8.7900000000000006E-2</v>
      </c>
    </row>
    <row r="85" spans="1:14">
      <c r="A85" s="166" t="str">
        <f t="shared" si="14"/>
        <v>第3次评审</v>
      </c>
      <c r="B85" s="236"/>
      <c r="C85" s="236"/>
      <c r="D85" s="236"/>
      <c r="E85" s="236"/>
      <c r="F85" s="236"/>
      <c r="G85" s="236"/>
      <c r="H85" s="236"/>
      <c r="I85" s="248">
        <f t="shared" si="12"/>
        <v>0</v>
      </c>
      <c r="J85" s="236"/>
      <c r="K85" s="243" t="e">
        <f t="shared" si="13"/>
        <v>#DIV/0!</v>
      </c>
      <c r="L85" s="197">
        <v>0</v>
      </c>
      <c r="M85" s="198">
        <v>4.351E-2</v>
      </c>
      <c r="N85" s="197">
        <v>8.7900000000000006E-2</v>
      </c>
    </row>
    <row r="86" spans="1:14">
      <c r="A86" s="166" t="s">
        <v>509</v>
      </c>
      <c r="B86" s="237"/>
      <c r="C86" s="237"/>
      <c r="D86" s="237"/>
      <c r="E86" s="237"/>
      <c r="F86" s="237"/>
      <c r="G86" s="237"/>
      <c r="H86" s="237"/>
      <c r="I86" s="255">
        <f t="shared" si="12"/>
        <v>0</v>
      </c>
      <c r="J86" s="237" t="s">
        <v>156</v>
      </c>
      <c r="K86" s="256" t="e">
        <f t="shared" si="13"/>
        <v>#VALUE!</v>
      </c>
      <c r="L86" s="250">
        <v>0</v>
      </c>
      <c r="M86" s="250">
        <v>4.351E-2</v>
      </c>
      <c r="N86" s="250">
        <v>8.7900000000000006E-2</v>
      </c>
    </row>
    <row r="87" spans="1:14">
      <c r="A87" s="166" t="s">
        <v>510</v>
      </c>
      <c r="B87" s="238">
        <f t="shared" ref="B87:J87" si="15">SUM(B83:B86)</f>
        <v>0</v>
      </c>
      <c r="C87" s="238">
        <f t="shared" si="15"/>
        <v>0</v>
      </c>
      <c r="D87" s="238">
        <f t="shared" si="15"/>
        <v>0</v>
      </c>
      <c r="E87" s="238">
        <f t="shared" si="15"/>
        <v>0</v>
      </c>
      <c r="F87" s="238">
        <f t="shared" si="15"/>
        <v>0</v>
      </c>
      <c r="G87" s="238">
        <f t="shared" si="15"/>
        <v>0</v>
      </c>
      <c r="H87" s="238">
        <f t="shared" si="15"/>
        <v>0</v>
      </c>
      <c r="I87" s="238">
        <f t="shared" si="15"/>
        <v>0</v>
      </c>
      <c r="J87" s="238">
        <f t="shared" si="15"/>
        <v>0</v>
      </c>
      <c r="K87" s="243" t="e">
        <f t="shared" si="13"/>
        <v>#DIV/0!</v>
      </c>
      <c r="L87" s="257"/>
      <c r="M87" s="257"/>
      <c r="N87" s="257"/>
    </row>
    <row r="89" spans="1:14">
      <c r="L89" s="247"/>
    </row>
    <row r="90" spans="1:14">
      <c r="L90" s="247"/>
    </row>
    <row r="91" spans="1:14">
      <c r="L91" s="247"/>
    </row>
    <row r="92" spans="1:14">
      <c r="L92" s="247"/>
    </row>
    <row r="93" spans="1:14">
      <c r="L93" s="247"/>
    </row>
    <row r="105" spans="1:14" ht="27">
      <c r="A105" s="88" t="s">
        <v>516</v>
      </c>
      <c r="B105" s="88"/>
      <c r="C105" s="235"/>
      <c r="D105" s="239"/>
      <c r="E105" s="239"/>
      <c r="F105" s="239"/>
      <c r="G105" s="239"/>
      <c r="H105" s="239"/>
      <c r="I105" s="239"/>
      <c r="J105" s="239"/>
      <c r="K105" s="239"/>
    </row>
    <row r="106" spans="1:14">
      <c r="A106" s="870" t="s">
        <v>517</v>
      </c>
      <c r="B106" s="870" t="s">
        <v>503</v>
      </c>
      <c r="C106" s="870"/>
      <c r="D106" s="870"/>
      <c r="E106" s="870"/>
      <c r="F106" s="870"/>
      <c r="G106" s="876" t="s">
        <v>504</v>
      </c>
      <c r="H106" s="876" t="s">
        <v>505</v>
      </c>
      <c r="I106" s="870" t="s">
        <v>506</v>
      </c>
      <c r="J106" s="872" t="s">
        <v>518</v>
      </c>
      <c r="K106" s="874" t="s">
        <v>519</v>
      </c>
      <c r="L106" s="871" t="s">
        <v>438</v>
      </c>
      <c r="M106" s="871"/>
      <c r="N106" s="871"/>
    </row>
    <row r="107" spans="1:14">
      <c r="A107" s="870"/>
      <c r="B107" s="643" t="s">
        <v>751</v>
      </c>
      <c r="C107" s="643" t="s">
        <v>752</v>
      </c>
      <c r="D107" s="643" t="s">
        <v>753</v>
      </c>
      <c r="E107" s="643" t="s">
        <v>754</v>
      </c>
      <c r="F107" s="643" t="s">
        <v>755</v>
      </c>
      <c r="G107" s="877"/>
      <c r="H107" s="877"/>
      <c r="I107" s="870"/>
      <c r="J107" s="873"/>
      <c r="K107" s="870"/>
      <c r="L107" s="193" t="s">
        <v>151</v>
      </c>
      <c r="M107" s="194" t="s">
        <v>152</v>
      </c>
      <c r="N107" s="193" t="s">
        <v>378</v>
      </c>
    </row>
    <row r="108" spans="1:14">
      <c r="A108" s="166" t="str">
        <f t="shared" ref="A108:A111" si="16">CONCATENATE("第",ROW(A108)-ROW($A$107),"次走查")</f>
        <v>第1次走查</v>
      </c>
      <c r="B108" s="254"/>
      <c r="C108" s="254"/>
      <c r="D108" s="254"/>
      <c r="E108" s="254"/>
      <c r="F108" s="254"/>
      <c r="G108" s="254"/>
      <c r="H108" s="254"/>
      <c r="I108" s="238">
        <f t="shared" ref="I108:I112" si="17">SUM($B108:$F108)</f>
        <v>0</v>
      </c>
      <c r="J108" s="254"/>
      <c r="K108" s="243" t="e">
        <f t="shared" ref="K108:K113" si="18">I108/J108</f>
        <v>#DIV/0!</v>
      </c>
      <c r="L108" s="197">
        <v>0</v>
      </c>
      <c r="M108" s="198">
        <v>0.3</v>
      </c>
      <c r="N108" s="197">
        <v>0.65790273556231005</v>
      </c>
    </row>
    <row r="109" spans="1:14">
      <c r="A109" s="166" t="str">
        <f t="shared" si="16"/>
        <v>第2次走查</v>
      </c>
      <c r="B109" s="254"/>
      <c r="C109" s="254"/>
      <c r="D109" s="254"/>
      <c r="E109" s="254"/>
      <c r="F109" s="254"/>
      <c r="G109" s="254"/>
      <c r="H109" s="254"/>
      <c r="I109" s="238">
        <f t="shared" si="17"/>
        <v>0</v>
      </c>
      <c r="J109" s="254"/>
      <c r="K109" s="243" t="e">
        <f t="shared" si="18"/>
        <v>#DIV/0!</v>
      </c>
      <c r="L109" s="197">
        <v>0</v>
      </c>
      <c r="M109" s="198">
        <v>0.3</v>
      </c>
      <c r="N109" s="197">
        <v>0.65790273556231005</v>
      </c>
    </row>
    <row r="110" spans="1:14">
      <c r="A110" s="166" t="str">
        <f t="shared" si="16"/>
        <v>第3次走查</v>
      </c>
      <c r="B110" s="254"/>
      <c r="C110" s="254"/>
      <c r="D110" s="254"/>
      <c r="E110" s="254"/>
      <c r="F110" s="254"/>
      <c r="G110" s="254"/>
      <c r="H110" s="254"/>
      <c r="I110" s="238">
        <f t="shared" si="17"/>
        <v>0</v>
      </c>
      <c r="J110" s="254"/>
      <c r="K110" s="243" t="e">
        <f t="shared" si="18"/>
        <v>#DIV/0!</v>
      </c>
      <c r="L110" s="197">
        <v>0</v>
      </c>
      <c r="M110" s="198">
        <v>0.3</v>
      </c>
      <c r="N110" s="197">
        <v>0.65790273556231005</v>
      </c>
    </row>
    <row r="111" spans="1:14">
      <c r="A111" s="166" t="str">
        <f t="shared" si="16"/>
        <v>第4次走查</v>
      </c>
      <c r="B111" s="254"/>
      <c r="C111" s="254"/>
      <c r="D111" s="254"/>
      <c r="E111" s="254"/>
      <c r="F111" s="254"/>
      <c r="G111" s="254"/>
      <c r="H111" s="254"/>
      <c r="I111" s="238">
        <f t="shared" si="17"/>
        <v>0</v>
      </c>
      <c r="J111" s="254"/>
      <c r="K111" s="243" t="e">
        <f t="shared" si="18"/>
        <v>#DIV/0!</v>
      </c>
      <c r="L111" s="197">
        <v>0</v>
      </c>
      <c r="M111" s="198">
        <v>0.3</v>
      </c>
      <c r="N111" s="197">
        <v>0.65790273556231005</v>
      </c>
    </row>
    <row r="112" spans="1:14">
      <c r="A112" s="166" t="s">
        <v>520</v>
      </c>
      <c r="B112" s="237"/>
      <c r="C112" s="237"/>
      <c r="D112" s="237"/>
      <c r="E112" s="237"/>
      <c r="F112" s="237"/>
      <c r="G112" s="237"/>
      <c r="H112" s="237"/>
      <c r="I112" s="255">
        <f t="shared" si="17"/>
        <v>0</v>
      </c>
      <c r="J112" s="237" t="s">
        <v>156</v>
      </c>
      <c r="K112" s="256" t="e">
        <f t="shared" si="18"/>
        <v>#VALUE!</v>
      </c>
      <c r="L112" s="250">
        <v>0</v>
      </c>
      <c r="M112" s="250">
        <v>0.3</v>
      </c>
      <c r="N112" s="250">
        <v>0.65790273556231005</v>
      </c>
    </row>
    <row r="113" spans="1:14">
      <c r="A113" s="166" t="s">
        <v>510</v>
      </c>
      <c r="B113" s="238">
        <f t="shared" ref="B113:J113" si="19">SUM(B106:B112)</f>
        <v>0</v>
      </c>
      <c r="C113" s="238">
        <f t="shared" si="19"/>
        <v>0</v>
      </c>
      <c r="D113" s="238">
        <f t="shared" si="19"/>
        <v>0</v>
      </c>
      <c r="E113" s="238">
        <f t="shared" si="19"/>
        <v>0</v>
      </c>
      <c r="F113" s="238">
        <f t="shared" si="19"/>
        <v>0</v>
      </c>
      <c r="G113" s="238">
        <f t="shared" si="19"/>
        <v>0</v>
      </c>
      <c r="H113" s="238">
        <f t="shared" si="19"/>
        <v>0</v>
      </c>
      <c r="I113" s="238">
        <f t="shared" si="19"/>
        <v>0</v>
      </c>
      <c r="J113" s="238">
        <f t="shared" si="19"/>
        <v>0</v>
      </c>
      <c r="K113" s="243" t="e">
        <f t="shared" si="18"/>
        <v>#DIV/0!</v>
      </c>
      <c r="L113" s="257"/>
      <c r="M113" s="257"/>
      <c r="N113" s="257"/>
    </row>
    <row r="115" spans="1:14">
      <c r="L115" s="247" t="s">
        <v>140</v>
      </c>
    </row>
    <row r="116" spans="1:14">
      <c r="L116" s="247" t="s">
        <v>521</v>
      </c>
    </row>
    <row r="117" spans="1:14">
      <c r="L117" s="247" t="s">
        <v>522</v>
      </c>
    </row>
    <row r="118" spans="1:14">
      <c r="L118" s="247" t="s">
        <v>523</v>
      </c>
    </row>
    <row r="119" spans="1:14">
      <c r="L119" s="247" t="s">
        <v>524</v>
      </c>
    </row>
    <row r="132" spans="1:11" ht="27">
      <c r="A132" s="258"/>
      <c r="B132" s="875"/>
      <c r="C132" s="875"/>
      <c r="D132" s="875"/>
      <c r="E132" s="875"/>
      <c r="F132" s="875"/>
      <c r="G132" s="875"/>
      <c r="H132" s="875"/>
      <c r="I132" s="875"/>
      <c r="J132" s="875"/>
      <c r="K132" s="875"/>
    </row>
  </sheetData>
  <mergeCells count="43">
    <mergeCell ref="B132:K132"/>
    <mergeCell ref="A5:A6"/>
    <mergeCell ref="A28:A29"/>
    <mergeCell ref="A54:A55"/>
    <mergeCell ref="A81:A82"/>
    <mergeCell ref="A106:A107"/>
    <mergeCell ref="G5:G6"/>
    <mergeCell ref="G28:G29"/>
    <mergeCell ref="G54:G55"/>
    <mergeCell ref="G81:G82"/>
    <mergeCell ref="G106:G107"/>
    <mergeCell ref="H5:H6"/>
    <mergeCell ref="H28:H29"/>
    <mergeCell ref="H54:H55"/>
    <mergeCell ref="H81:H82"/>
    <mergeCell ref="H106:H107"/>
    <mergeCell ref="B54:F54"/>
    <mergeCell ref="L54:N54"/>
    <mergeCell ref="B81:F81"/>
    <mergeCell ref="L81:N81"/>
    <mergeCell ref="B106:F106"/>
    <mergeCell ref="L106:N106"/>
    <mergeCell ref="I54:I55"/>
    <mergeCell ref="I81:I82"/>
    <mergeCell ref="I106:I107"/>
    <mergeCell ref="J54:J55"/>
    <mergeCell ref="J81:J82"/>
    <mergeCell ref="J106:J107"/>
    <mergeCell ref="K54:K55"/>
    <mergeCell ref="K81:K82"/>
    <mergeCell ref="K106:K107"/>
    <mergeCell ref="A1:N1"/>
    <mergeCell ref="A2:I2"/>
    <mergeCell ref="B5:F5"/>
    <mergeCell ref="L5:N5"/>
    <mergeCell ref="B28:F28"/>
    <mergeCell ref="L28:N28"/>
    <mergeCell ref="I5:I6"/>
    <mergeCell ref="I28:I29"/>
    <mergeCell ref="J5:J6"/>
    <mergeCell ref="J28:J29"/>
    <mergeCell ref="K5:K6"/>
    <mergeCell ref="K28:K29"/>
  </mergeCells>
  <phoneticPr fontId="156" type="noConversion"/>
  <conditionalFormatting sqref="K86">
    <cfRule type="cellIs" dxfId="33" priority="13" operator="lessThan">
      <formula>$L$33</formula>
    </cfRule>
    <cfRule type="cellIs" dxfId="32" priority="14" operator="greaterThan">
      <formula>$N$33</formula>
    </cfRule>
  </conditionalFormatting>
  <conditionalFormatting sqref="K7:K10">
    <cfRule type="cellIs" dxfId="31" priority="880" operator="lessThan">
      <formula>$L$9</formula>
    </cfRule>
    <cfRule type="cellIs" dxfId="30" priority="881" operator="greaterThan">
      <formula>$N$9</formula>
    </cfRule>
    <cfRule type="cellIs" dxfId="29" priority="882" operator="greaterThan">
      <formula>0.6547</formula>
    </cfRule>
  </conditionalFormatting>
  <conditionalFormatting sqref="K83:K87">
    <cfRule type="cellIs" dxfId="28" priority="886" operator="greaterThan">
      <formula>$N$86</formula>
    </cfRule>
    <cfRule type="cellIs" dxfId="27" priority="887" operator="lessThan">
      <formula>$L$86</formula>
    </cfRule>
    <cfRule type="cellIs" dxfId="26" priority="888" operator="greaterThan">
      <formula>$N$86</formula>
    </cfRule>
  </conditionalFormatting>
  <conditionalFormatting sqref="K108:K113">
    <cfRule type="cellIs" dxfId="25" priority="890" operator="greaterThan">
      <formula>$N$112</formula>
    </cfRule>
  </conditionalFormatting>
  <conditionalFormatting sqref="K59 K30:K34">
    <cfRule type="cellIs" dxfId="24" priority="17" operator="lessThan">
      <formula>$L$33</formula>
    </cfRule>
    <cfRule type="cellIs" dxfId="23" priority="18" operator="greaterThan">
      <formula>$N$33</formula>
    </cfRule>
  </conditionalFormatting>
  <conditionalFormatting sqref="K86 K56:K60">
    <cfRule type="cellIs" dxfId="22" priority="11" operator="lessThan">
      <formula>$L$59</formula>
    </cfRule>
    <cfRule type="cellIs" dxfId="21" priority="12" operator="greaterThan">
      <formula>$N$59</formula>
    </cfRule>
  </conditionalFormatting>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2466" r:id="rId3" name="Button 2">
              <controlPr defaultSize="0" print="0" autoPict="0" macro="[0]!Button3_Click_Crreview_add">
                <anchor moveWithCells="1">
                  <from>
                    <xdr:col>0</xdr:col>
                    <xdr:colOff>114300</xdr:colOff>
                    <xdr:row>10</xdr:row>
                    <xdr:rowOff>104775</xdr:rowOff>
                  </from>
                  <to>
                    <xdr:col>1</xdr:col>
                    <xdr:colOff>266700</xdr:colOff>
                    <xdr:row>12</xdr:row>
                    <xdr:rowOff>19050</xdr:rowOff>
                  </to>
                </anchor>
              </controlPr>
            </control>
          </mc:Choice>
        </mc:AlternateContent>
        <mc:AlternateContent xmlns:mc="http://schemas.openxmlformats.org/markup-compatibility/2006">
          <mc:Choice Requires="x14">
            <control shapeId="62468" r:id="rId4" name="Button 4">
              <controlPr defaultSize="0" print="0" autoPict="0" macro="[0]!Button4_Click_Frreview_add">
                <anchor moveWithCells="1">
                  <from>
                    <xdr:col>0</xdr:col>
                    <xdr:colOff>95250</xdr:colOff>
                    <xdr:row>35</xdr:row>
                    <xdr:rowOff>47625</xdr:rowOff>
                  </from>
                  <to>
                    <xdr:col>1</xdr:col>
                    <xdr:colOff>257175</xdr:colOff>
                    <xdr:row>36</xdr:row>
                    <xdr:rowOff>142875</xdr:rowOff>
                  </to>
                </anchor>
              </controlPr>
            </control>
          </mc:Choice>
        </mc:AlternateContent>
        <mc:AlternateContent xmlns:mc="http://schemas.openxmlformats.org/markup-compatibility/2006">
          <mc:Choice Requires="x14">
            <control shapeId="62469" r:id="rId5" name="Button 5">
              <controlPr defaultSize="0" print="0" autoPict="0" macro="[0]!button5_Click_Dreview_add">
                <anchor moveWithCells="1">
                  <from>
                    <xdr:col>0</xdr:col>
                    <xdr:colOff>85725</xdr:colOff>
                    <xdr:row>60</xdr:row>
                    <xdr:rowOff>104775</xdr:rowOff>
                  </from>
                  <to>
                    <xdr:col>1</xdr:col>
                    <xdr:colOff>238125</xdr:colOff>
                    <xdr:row>62</xdr:row>
                    <xdr:rowOff>57150</xdr:rowOff>
                  </to>
                </anchor>
              </controlPr>
            </control>
          </mc:Choice>
        </mc:AlternateContent>
        <mc:AlternateContent xmlns:mc="http://schemas.openxmlformats.org/markup-compatibility/2006">
          <mc:Choice Requires="x14">
            <control shapeId="62472" r:id="rId6" name="Button 8">
              <controlPr defaultSize="0" print="0" autoPict="0" macro="[0]!button6_Click_Tcreview_add">
                <anchor moveWithCells="1">
                  <from>
                    <xdr:col>0</xdr:col>
                    <xdr:colOff>104775</xdr:colOff>
                    <xdr:row>87</xdr:row>
                    <xdr:rowOff>76200</xdr:rowOff>
                  </from>
                  <to>
                    <xdr:col>1</xdr:col>
                    <xdr:colOff>295275</xdr:colOff>
                    <xdr:row>89</xdr:row>
                    <xdr:rowOff>19050</xdr:rowOff>
                  </to>
                </anchor>
              </controlPr>
            </control>
          </mc:Choice>
        </mc:AlternateContent>
        <mc:AlternateContent xmlns:mc="http://schemas.openxmlformats.org/markup-compatibility/2006">
          <mc:Choice Requires="x14">
            <control shapeId="62473" r:id="rId7" name="Button 9">
              <controlPr defaultSize="0" print="0" autoPict="0" macro="[0]!Button7_Click_Creview_add">
                <anchor moveWithCells="1">
                  <from>
                    <xdr:col>0</xdr:col>
                    <xdr:colOff>200025</xdr:colOff>
                    <xdr:row>113</xdr:row>
                    <xdr:rowOff>85725</xdr:rowOff>
                  </from>
                  <to>
                    <xdr:col>1</xdr:col>
                    <xdr:colOff>342900</xdr:colOff>
                    <xdr:row>115</xdr:row>
                    <xdr:rowOff>19050</xdr:rowOff>
                  </to>
                </anchor>
              </controlPr>
            </control>
          </mc:Choice>
        </mc:AlternateContent>
        <mc:AlternateContent xmlns:mc="http://schemas.openxmlformats.org/markup-compatibility/2006">
          <mc:Choice Requires="x14">
            <control shapeId="62474" r:id="rId8" name="Button 10">
              <controlPr defaultSize="0" print="0" autoPict="0" macro="[0]!Button9_Click_Crreview_delete">
                <anchor moveWithCells="1">
                  <from>
                    <xdr:col>0</xdr:col>
                    <xdr:colOff>114300</xdr:colOff>
                    <xdr:row>12</xdr:row>
                    <xdr:rowOff>85725</xdr:rowOff>
                  </from>
                  <to>
                    <xdr:col>1</xdr:col>
                    <xdr:colOff>266700</xdr:colOff>
                    <xdr:row>14</xdr:row>
                    <xdr:rowOff>0</xdr:rowOff>
                  </to>
                </anchor>
              </controlPr>
            </control>
          </mc:Choice>
        </mc:AlternateContent>
        <mc:AlternateContent xmlns:mc="http://schemas.openxmlformats.org/markup-compatibility/2006">
          <mc:Choice Requires="x14">
            <control shapeId="62475" r:id="rId9" name="Button 11">
              <controlPr defaultSize="0" print="0" autoPict="0" macro="[0]!Button10_Click_Frreview_delete">
                <anchor moveWithCells="1">
                  <from>
                    <xdr:col>0</xdr:col>
                    <xdr:colOff>85725</xdr:colOff>
                    <xdr:row>37</xdr:row>
                    <xdr:rowOff>76200</xdr:rowOff>
                  </from>
                  <to>
                    <xdr:col>1</xdr:col>
                    <xdr:colOff>247650</xdr:colOff>
                    <xdr:row>39</xdr:row>
                    <xdr:rowOff>28575</xdr:rowOff>
                  </to>
                </anchor>
              </controlPr>
            </control>
          </mc:Choice>
        </mc:AlternateContent>
        <mc:AlternateContent xmlns:mc="http://schemas.openxmlformats.org/markup-compatibility/2006">
          <mc:Choice Requires="x14">
            <control shapeId="62476" r:id="rId10" name="Button 12">
              <controlPr defaultSize="0" print="0" autoPict="0" macro="[0]!Button11_Click_Dreview_delete">
                <anchor moveWithCells="1">
                  <from>
                    <xdr:col>0</xdr:col>
                    <xdr:colOff>85725</xdr:colOff>
                    <xdr:row>62</xdr:row>
                    <xdr:rowOff>114300</xdr:rowOff>
                  </from>
                  <to>
                    <xdr:col>1</xdr:col>
                    <xdr:colOff>247650</xdr:colOff>
                    <xdr:row>64</xdr:row>
                    <xdr:rowOff>66675</xdr:rowOff>
                  </to>
                </anchor>
              </controlPr>
            </control>
          </mc:Choice>
        </mc:AlternateContent>
        <mc:AlternateContent xmlns:mc="http://schemas.openxmlformats.org/markup-compatibility/2006">
          <mc:Choice Requires="x14">
            <control shapeId="62477" r:id="rId11" name="Button 13">
              <controlPr defaultSize="0" print="0" autoPict="0" macro="[0]!Button12_Click_Tcreview_delete">
                <anchor moveWithCells="1">
                  <from>
                    <xdr:col>0</xdr:col>
                    <xdr:colOff>114300</xdr:colOff>
                    <xdr:row>89</xdr:row>
                    <xdr:rowOff>142875</xdr:rowOff>
                  </from>
                  <to>
                    <xdr:col>1</xdr:col>
                    <xdr:colOff>276225</xdr:colOff>
                    <xdr:row>91</xdr:row>
                    <xdr:rowOff>95250</xdr:rowOff>
                  </to>
                </anchor>
              </controlPr>
            </control>
          </mc:Choice>
        </mc:AlternateContent>
        <mc:AlternateContent xmlns:mc="http://schemas.openxmlformats.org/markup-compatibility/2006">
          <mc:Choice Requires="x14">
            <control shapeId="62479" r:id="rId12" name="Button 15">
              <controlPr defaultSize="0" print="0" autoPict="0" macro="[0]!Button13_Click_Creview_delete">
                <anchor moveWithCells="1">
                  <from>
                    <xdr:col>0</xdr:col>
                    <xdr:colOff>180975</xdr:colOff>
                    <xdr:row>115</xdr:row>
                    <xdr:rowOff>104775</xdr:rowOff>
                  </from>
                  <to>
                    <xdr:col>1</xdr:col>
                    <xdr:colOff>342900</xdr:colOff>
                    <xdr:row>117</xdr:row>
                    <xdr:rowOff>57150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7"/>
  </sheetPr>
  <dimension ref="A1:O129"/>
  <sheetViews>
    <sheetView showGridLines="0" tabSelected="1" workbookViewId="0">
      <selection sqref="A1:N1"/>
    </sheetView>
  </sheetViews>
  <sheetFormatPr defaultColWidth="9" defaultRowHeight="12"/>
  <cols>
    <col min="1" max="1" width="12" style="68" customWidth="1"/>
    <col min="2" max="2" width="12.625" style="68" customWidth="1"/>
    <col min="3" max="3" width="12" style="68" customWidth="1"/>
    <col min="4" max="4" width="10.125" style="68" customWidth="1"/>
    <col min="5" max="5" width="11.375" style="68" customWidth="1"/>
    <col min="6" max="6" width="12.875" style="68" customWidth="1"/>
    <col min="7" max="7" width="9.25" style="68" customWidth="1"/>
    <col min="8" max="8" width="8.875" style="68" customWidth="1"/>
    <col min="9" max="9" width="10" style="68" customWidth="1"/>
    <col min="10" max="10" width="9.875" style="68" customWidth="1"/>
    <col min="11" max="11" width="10.5" style="68" customWidth="1"/>
    <col min="12" max="12" width="10.75" style="68" customWidth="1"/>
    <col min="13" max="13" width="9" style="68" customWidth="1"/>
    <col min="14" max="14" width="9.625" style="68" customWidth="1"/>
    <col min="15" max="15" width="16.25" style="68" customWidth="1"/>
    <col min="16" max="256" width="9" style="68"/>
    <col min="257" max="257" width="12" style="68" customWidth="1"/>
    <col min="258" max="258" width="17.25" style="68" customWidth="1"/>
    <col min="259" max="259" width="8.75" style="68" customWidth="1"/>
    <col min="260" max="260" width="8.375" style="68" customWidth="1"/>
    <col min="261" max="261" width="10.375" style="68" customWidth="1"/>
    <col min="262" max="262" width="9.125" style="68" customWidth="1"/>
    <col min="263" max="263" width="9.25" style="68" customWidth="1"/>
    <col min="264" max="264" width="8.875" style="68" customWidth="1"/>
    <col min="265" max="265" width="10" style="68" customWidth="1"/>
    <col min="266" max="266" width="9.875" style="68" customWidth="1"/>
    <col min="267" max="267" width="9" style="68" customWidth="1"/>
    <col min="268" max="268" width="10.75" style="68" customWidth="1"/>
    <col min="269" max="269" width="9" style="68" customWidth="1"/>
    <col min="270" max="270" width="9.625" style="68" customWidth="1"/>
    <col min="271" max="271" width="16.25" style="68" customWidth="1"/>
    <col min="272" max="512" width="9" style="68"/>
    <col min="513" max="513" width="12" style="68" customWidth="1"/>
    <col min="514" max="514" width="17.25" style="68" customWidth="1"/>
    <col min="515" max="515" width="8.75" style="68" customWidth="1"/>
    <col min="516" max="516" width="8.375" style="68" customWidth="1"/>
    <col min="517" max="517" width="10.375" style="68" customWidth="1"/>
    <col min="518" max="518" width="9.125" style="68" customWidth="1"/>
    <col min="519" max="519" width="9.25" style="68" customWidth="1"/>
    <col min="520" max="520" width="8.875" style="68" customWidth="1"/>
    <col min="521" max="521" width="10" style="68" customWidth="1"/>
    <col min="522" max="522" width="9.875" style="68" customWidth="1"/>
    <col min="523" max="523" width="9" style="68" customWidth="1"/>
    <col min="524" max="524" width="10.75" style="68" customWidth="1"/>
    <col min="525" max="525" width="9" style="68" customWidth="1"/>
    <col min="526" max="526" width="9.625" style="68" customWidth="1"/>
    <col min="527" max="527" width="16.25" style="68" customWidth="1"/>
    <col min="528" max="768" width="9" style="68"/>
    <col min="769" max="769" width="12" style="68" customWidth="1"/>
    <col min="770" max="770" width="17.25" style="68" customWidth="1"/>
    <col min="771" max="771" width="8.75" style="68" customWidth="1"/>
    <col min="772" max="772" width="8.375" style="68" customWidth="1"/>
    <col min="773" max="773" width="10.375" style="68" customWidth="1"/>
    <col min="774" max="774" width="9.125" style="68" customWidth="1"/>
    <col min="775" max="775" width="9.25" style="68" customWidth="1"/>
    <col min="776" max="776" width="8.875" style="68" customWidth="1"/>
    <col min="777" max="777" width="10" style="68" customWidth="1"/>
    <col min="778" max="778" width="9.875" style="68" customWidth="1"/>
    <col min="779" max="779" width="9" style="68" customWidth="1"/>
    <col min="780" max="780" width="10.75" style="68" customWidth="1"/>
    <col min="781" max="781" width="9" style="68" customWidth="1"/>
    <col min="782" max="782" width="9.625" style="68" customWidth="1"/>
    <col min="783" max="783" width="16.25" style="68" customWidth="1"/>
    <col min="784" max="1024" width="9" style="68"/>
    <col min="1025" max="1025" width="12" style="68" customWidth="1"/>
    <col min="1026" max="1026" width="17.25" style="68" customWidth="1"/>
    <col min="1027" max="1027" width="8.75" style="68" customWidth="1"/>
    <col min="1028" max="1028" width="8.375" style="68" customWidth="1"/>
    <col min="1029" max="1029" width="10.375" style="68" customWidth="1"/>
    <col min="1030" max="1030" width="9.125" style="68" customWidth="1"/>
    <col min="1031" max="1031" width="9.25" style="68" customWidth="1"/>
    <col min="1032" max="1032" width="8.875" style="68" customWidth="1"/>
    <col min="1033" max="1033" width="10" style="68" customWidth="1"/>
    <col min="1034" max="1034" width="9.875" style="68" customWidth="1"/>
    <col min="1035" max="1035" width="9" style="68" customWidth="1"/>
    <col min="1036" max="1036" width="10.75" style="68" customWidth="1"/>
    <col min="1037" max="1037" width="9" style="68" customWidth="1"/>
    <col min="1038" max="1038" width="9.625" style="68" customWidth="1"/>
    <col min="1039" max="1039" width="16.25" style="68" customWidth="1"/>
    <col min="1040" max="1280" width="9" style="68"/>
    <col min="1281" max="1281" width="12" style="68" customWidth="1"/>
    <col min="1282" max="1282" width="17.25" style="68" customWidth="1"/>
    <col min="1283" max="1283" width="8.75" style="68" customWidth="1"/>
    <col min="1284" max="1284" width="8.375" style="68" customWidth="1"/>
    <col min="1285" max="1285" width="10.375" style="68" customWidth="1"/>
    <col min="1286" max="1286" width="9.125" style="68" customWidth="1"/>
    <col min="1287" max="1287" width="9.25" style="68" customWidth="1"/>
    <col min="1288" max="1288" width="8.875" style="68" customWidth="1"/>
    <col min="1289" max="1289" width="10" style="68" customWidth="1"/>
    <col min="1290" max="1290" width="9.875" style="68" customWidth="1"/>
    <col min="1291" max="1291" width="9" style="68" customWidth="1"/>
    <col min="1292" max="1292" width="10.75" style="68" customWidth="1"/>
    <col min="1293" max="1293" width="9" style="68" customWidth="1"/>
    <col min="1294" max="1294" width="9.625" style="68" customWidth="1"/>
    <col min="1295" max="1295" width="16.25" style="68" customWidth="1"/>
    <col min="1296" max="1536" width="9" style="68"/>
    <col min="1537" max="1537" width="12" style="68" customWidth="1"/>
    <col min="1538" max="1538" width="17.25" style="68" customWidth="1"/>
    <col min="1539" max="1539" width="8.75" style="68" customWidth="1"/>
    <col min="1540" max="1540" width="8.375" style="68" customWidth="1"/>
    <col min="1541" max="1541" width="10.375" style="68" customWidth="1"/>
    <col min="1542" max="1542" width="9.125" style="68" customWidth="1"/>
    <col min="1543" max="1543" width="9.25" style="68" customWidth="1"/>
    <col min="1544" max="1544" width="8.875" style="68" customWidth="1"/>
    <col min="1545" max="1545" width="10" style="68" customWidth="1"/>
    <col min="1546" max="1546" width="9.875" style="68" customWidth="1"/>
    <col min="1547" max="1547" width="9" style="68" customWidth="1"/>
    <col min="1548" max="1548" width="10.75" style="68" customWidth="1"/>
    <col min="1549" max="1549" width="9" style="68" customWidth="1"/>
    <col min="1550" max="1550" width="9.625" style="68" customWidth="1"/>
    <col min="1551" max="1551" width="16.25" style="68" customWidth="1"/>
    <col min="1552" max="1792" width="9" style="68"/>
    <col min="1793" max="1793" width="12" style="68" customWidth="1"/>
    <col min="1794" max="1794" width="17.25" style="68" customWidth="1"/>
    <col min="1795" max="1795" width="8.75" style="68" customWidth="1"/>
    <col min="1796" max="1796" width="8.375" style="68" customWidth="1"/>
    <col min="1797" max="1797" width="10.375" style="68" customWidth="1"/>
    <col min="1798" max="1798" width="9.125" style="68" customWidth="1"/>
    <col min="1799" max="1799" width="9.25" style="68" customWidth="1"/>
    <col min="1800" max="1800" width="8.875" style="68" customWidth="1"/>
    <col min="1801" max="1801" width="10" style="68" customWidth="1"/>
    <col min="1802" max="1802" width="9.875" style="68" customWidth="1"/>
    <col min="1803" max="1803" width="9" style="68" customWidth="1"/>
    <col min="1804" max="1804" width="10.75" style="68" customWidth="1"/>
    <col min="1805" max="1805" width="9" style="68" customWidth="1"/>
    <col min="1806" max="1806" width="9.625" style="68" customWidth="1"/>
    <col min="1807" max="1807" width="16.25" style="68" customWidth="1"/>
    <col min="1808" max="2048" width="9" style="68"/>
    <col min="2049" max="2049" width="12" style="68" customWidth="1"/>
    <col min="2050" max="2050" width="17.25" style="68" customWidth="1"/>
    <col min="2051" max="2051" width="8.75" style="68" customWidth="1"/>
    <col min="2052" max="2052" width="8.375" style="68" customWidth="1"/>
    <col min="2053" max="2053" width="10.375" style="68" customWidth="1"/>
    <col min="2054" max="2054" width="9.125" style="68" customWidth="1"/>
    <col min="2055" max="2055" width="9.25" style="68" customWidth="1"/>
    <col min="2056" max="2056" width="8.875" style="68" customWidth="1"/>
    <col min="2057" max="2057" width="10" style="68" customWidth="1"/>
    <col min="2058" max="2058" width="9.875" style="68" customWidth="1"/>
    <col min="2059" max="2059" width="9" style="68" customWidth="1"/>
    <col min="2060" max="2060" width="10.75" style="68" customWidth="1"/>
    <col min="2061" max="2061" width="9" style="68" customWidth="1"/>
    <col min="2062" max="2062" width="9.625" style="68" customWidth="1"/>
    <col min="2063" max="2063" width="16.25" style="68" customWidth="1"/>
    <col min="2064" max="2304" width="9" style="68"/>
    <col min="2305" max="2305" width="12" style="68" customWidth="1"/>
    <col min="2306" max="2306" width="17.25" style="68" customWidth="1"/>
    <col min="2307" max="2307" width="8.75" style="68" customWidth="1"/>
    <col min="2308" max="2308" width="8.375" style="68" customWidth="1"/>
    <col min="2309" max="2309" width="10.375" style="68" customWidth="1"/>
    <col min="2310" max="2310" width="9.125" style="68" customWidth="1"/>
    <col min="2311" max="2311" width="9.25" style="68" customWidth="1"/>
    <col min="2312" max="2312" width="8.875" style="68" customWidth="1"/>
    <col min="2313" max="2313" width="10" style="68" customWidth="1"/>
    <col min="2314" max="2314" width="9.875" style="68" customWidth="1"/>
    <col min="2315" max="2315" width="9" style="68" customWidth="1"/>
    <col min="2316" max="2316" width="10.75" style="68" customWidth="1"/>
    <col min="2317" max="2317" width="9" style="68" customWidth="1"/>
    <col min="2318" max="2318" width="9.625" style="68" customWidth="1"/>
    <col min="2319" max="2319" width="16.25" style="68" customWidth="1"/>
    <col min="2320" max="2560" width="9" style="68"/>
    <col min="2561" max="2561" width="12" style="68" customWidth="1"/>
    <col min="2562" max="2562" width="17.25" style="68" customWidth="1"/>
    <col min="2563" max="2563" width="8.75" style="68" customWidth="1"/>
    <col min="2564" max="2564" width="8.375" style="68" customWidth="1"/>
    <col min="2565" max="2565" width="10.375" style="68" customWidth="1"/>
    <col min="2566" max="2566" width="9.125" style="68" customWidth="1"/>
    <col min="2567" max="2567" width="9.25" style="68" customWidth="1"/>
    <col min="2568" max="2568" width="8.875" style="68" customWidth="1"/>
    <col min="2569" max="2569" width="10" style="68" customWidth="1"/>
    <col min="2570" max="2570" width="9.875" style="68" customWidth="1"/>
    <col min="2571" max="2571" width="9" style="68" customWidth="1"/>
    <col min="2572" max="2572" width="10.75" style="68" customWidth="1"/>
    <col min="2573" max="2573" width="9" style="68" customWidth="1"/>
    <col min="2574" max="2574" width="9.625" style="68" customWidth="1"/>
    <col min="2575" max="2575" width="16.25" style="68" customWidth="1"/>
    <col min="2576" max="2816" width="9" style="68"/>
    <col min="2817" max="2817" width="12" style="68" customWidth="1"/>
    <col min="2818" max="2818" width="17.25" style="68" customWidth="1"/>
    <col min="2819" max="2819" width="8.75" style="68" customWidth="1"/>
    <col min="2820" max="2820" width="8.375" style="68" customWidth="1"/>
    <col min="2821" max="2821" width="10.375" style="68" customWidth="1"/>
    <col min="2822" max="2822" width="9.125" style="68" customWidth="1"/>
    <col min="2823" max="2823" width="9.25" style="68" customWidth="1"/>
    <col min="2824" max="2824" width="8.875" style="68" customWidth="1"/>
    <col min="2825" max="2825" width="10" style="68" customWidth="1"/>
    <col min="2826" max="2826" width="9.875" style="68" customWidth="1"/>
    <col min="2827" max="2827" width="9" style="68" customWidth="1"/>
    <col min="2828" max="2828" width="10.75" style="68" customWidth="1"/>
    <col min="2829" max="2829" width="9" style="68" customWidth="1"/>
    <col min="2830" max="2830" width="9.625" style="68" customWidth="1"/>
    <col min="2831" max="2831" width="16.25" style="68" customWidth="1"/>
    <col min="2832" max="3072" width="9" style="68"/>
    <col min="3073" max="3073" width="12" style="68" customWidth="1"/>
    <col min="3074" max="3074" width="17.25" style="68" customWidth="1"/>
    <col min="3075" max="3075" width="8.75" style="68" customWidth="1"/>
    <col min="3076" max="3076" width="8.375" style="68" customWidth="1"/>
    <col min="3077" max="3077" width="10.375" style="68" customWidth="1"/>
    <col min="3078" max="3078" width="9.125" style="68" customWidth="1"/>
    <col min="3079" max="3079" width="9.25" style="68" customWidth="1"/>
    <col min="3080" max="3080" width="8.875" style="68" customWidth="1"/>
    <col min="3081" max="3081" width="10" style="68" customWidth="1"/>
    <col min="3082" max="3082" width="9.875" style="68" customWidth="1"/>
    <col min="3083" max="3083" width="9" style="68" customWidth="1"/>
    <col min="3084" max="3084" width="10.75" style="68" customWidth="1"/>
    <col min="3085" max="3085" width="9" style="68" customWidth="1"/>
    <col min="3086" max="3086" width="9.625" style="68" customWidth="1"/>
    <col min="3087" max="3087" width="16.25" style="68" customWidth="1"/>
    <col min="3088" max="3328" width="9" style="68"/>
    <col min="3329" max="3329" width="12" style="68" customWidth="1"/>
    <col min="3330" max="3330" width="17.25" style="68" customWidth="1"/>
    <col min="3331" max="3331" width="8.75" style="68" customWidth="1"/>
    <col min="3332" max="3332" width="8.375" style="68" customWidth="1"/>
    <col min="3333" max="3333" width="10.375" style="68" customWidth="1"/>
    <col min="3334" max="3334" width="9.125" style="68" customWidth="1"/>
    <col min="3335" max="3335" width="9.25" style="68" customWidth="1"/>
    <col min="3336" max="3336" width="8.875" style="68" customWidth="1"/>
    <col min="3337" max="3337" width="10" style="68" customWidth="1"/>
    <col min="3338" max="3338" width="9.875" style="68" customWidth="1"/>
    <col min="3339" max="3339" width="9" style="68" customWidth="1"/>
    <col min="3340" max="3340" width="10.75" style="68" customWidth="1"/>
    <col min="3341" max="3341" width="9" style="68" customWidth="1"/>
    <col min="3342" max="3342" width="9.625" style="68" customWidth="1"/>
    <col min="3343" max="3343" width="16.25" style="68" customWidth="1"/>
    <col min="3344" max="3584" width="9" style="68"/>
    <col min="3585" max="3585" width="12" style="68" customWidth="1"/>
    <col min="3586" max="3586" width="17.25" style="68" customWidth="1"/>
    <col min="3587" max="3587" width="8.75" style="68" customWidth="1"/>
    <col min="3588" max="3588" width="8.375" style="68" customWidth="1"/>
    <col min="3589" max="3589" width="10.375" style="68" customWidth="1"/>
    <col min="3590" max="3590" width="9.125" style="68" customWidth="1"/>
    <col min="3591" max="3591" width="9.25" style="68" customWidth="1"/>
    <col min="3592" max="3592" width="8.875" style="68" customWidth="1"/>
    <col min="3593" max="3593" width="10" style="68" customWidth="1"/>
    <col min="3594" max="3594" width="9.875" style="68" customWidth="1"/>
    <col min="3595" max="3595" width="9" style="68" customWidth="1"/>
    <col min="3596" max="3596" width="10.75" style="68" customWidth="1"/>
    <col min="3597" max="3597" width="9" style="68" customWidth="1"/>
    <col min="3598" max="3598" width="9.625" style="68" customWidth="1"/>
    <col min="3599" max="3599" width="16.25" style="68" customWidth="1"/>
    <col min="3600" max="3840" width="9" style="68"/>
    <col min="3841" max="3841" width="12" style="68" customWidth="1"/>
    <col min="3842" max="3842" width="17.25" style="68" customWidth="1"/>
    <col min="3843" max="3843" width="8.75" style="68" customWidth="1"/>
    <col min="3844" max="3844" width="8.375" style="68" customWidth="1"/>
    <col min="3845" max="3845" width="10.375" style="68" customWidth="1"/>
    <col min="3846" max="3846" width="9.125" style="68" customWidth="1"/>
    <col min="3847" max="3847" width="9.25" style="68" customWidth="1"/>
    <col min="3848" max="3848" width="8.875" style="68" customWidth="1"/>
    <col min="3849" max="3849" width="10" style="68" customWidth="1"/>
    <col min="3850" max="3850" width="9.875" style="68" customWidth="1"/>
    <col min="3851" max="3851" width="9" style="68" customWidth="1"/>
    <col min="3852" max="3852" width="10.75" style="68" customWidth="1"/>
    <col min="3853" max="3853" width="9" style="68" customWidth="1"/>
    <col min="3854" max="3854" width="9.625" style="68" customWidth="1"/>
    <col min="3855" max="3855" width="16.25" style="68" customWidth="1"/>
    <col min="3856" max="4096" width="9" style="68"/>
    <col min="4097" max="4097" width="12" style="68" customWidth="1"/>
    <col min="4098" max="4098" width="17.25" style="68" customWidth="1"/>
    <col min="4099" max="4099" width="8.75" style="68" customWidth="1"/>
    <col min="4100" max="4100" width="8.375" style="68" customWidth="1"/>
    <col min="4101" max="4101" width="10.375" style="68" customWidth="1"/>
    <col min="4102" max="4102" width="9.125" style="68" customWidth="1"/>
    <col min="4103" max="4103" width="9.25" style="68" customWidth="1"/>
    <col min="4104" max="4104" width="8.875" style="68" customWidth="1"/>
    <col min="4105" max="4105" width="10" style="68" customWidth="1"/>
    <col min="4106" max="4106" width="9.875" style="68" customWidth="1"/>
    <col min="4107" max="4107" width="9" style="68" customWidth="1"/>
    <col min="4108" max="4108" width="10.75" style="68" customWidth="1"/>
    <col min="4109" max="4109" width="9" style="68" customWidth="1"/>
    <col min="4110" max="4110" width="9.625" style="68" customWidth="1"/>
    <col min="4111" max="4111" width="16.25" style="68" customWidth="1"/>
    <col min="4112" max="4352" width="9" style="68"/>
    <col min="4353" max="4353" width="12" style="68" customWidth="1"/>
    <col min="4354" max="4354" width="17.25" style="68" customWidth="1"/>
    <col min="4355" max="4355" width="8.75" style="68" customWidth="1"/>
    <col min="4356" max="4356" width="8.375" style="68" customWidth="1"/>
    <col min="4357" max="4357" width="10.375" style="68" customWidth="1"/>
    <col min="4358" max="4358" width="9.125" style="68" customWidth="1"/>
    <col min="4359" max="4359" width="9.25" style="68" customWidth="1"/>
    <col min="4360" max="4360" width="8.875" style="68" customWidth="1"/>
    <col min="4361" max="4361" width="10" style="68" customWidth="1"/>
    <col min="4362" max="4362" width="9.875" style="68" customWidth="1"/>
    <col min="4363" max="4363" width="9" style="68" customWidth="1"/>
    <col min="4364" max="4364" width="10.75" style="68" customWidth="1"/>
    <col min="4365" max="4365" width="9" style="68" customWidth="1"/>
    <col min="4366" max="4366" width="9.625" style="68" customWidth="1"/>
    <col min="4367" max="4367" width="16.25" style="68" customWidth="1"/>
    <col min="4368" max="4608" width="9" style="68"/>
    <col min="4609" max="4609" width="12" style="68" customWidth="1"/>
    <col min="4610" max="4610" width="17.25" style="68" customWidth="1"/>
    <col min="4611" max="4611" width="8.75" style="68" customWidth="1"/>
    <col min="4612" max="4612" width="8.375" style="68" customWidth="1"/>
    <col min="4613" max="4613" width="10.375" style="68" customWidth="1"/>
    <col min="4614" max="4614" width="9.125" style="68" customWidth="1"/>
    <col min="4615" max="4615" width="9.25" style="68" customWidth="1"/>
    <col min="4616" max="4616" width="8.875" style="68" customWidth="1"/>
    <col min="4617" max="4617" width="10" style="68" customWidth="1"/>
    <col min="4618" max="4618" width="9.875" style="68" customWidth="1"/>
    <col min="4619" max="4619" width="9" style="68" customWidth="1"/>
    <col min="4620" max="4620" width="10.75" style="68" customWidth="1"/>
    <col min="4621" max="4621" width="9" style="68" customWidth="1"/>
    <col min="4622" max="4622" width="9.625" style="68" customWidth="1"/>
    <col min="4623" max="4623" width="16.25" style="68" customWidth="1"/>
    <col min="4624" max="4864" width="9" style="68"/>
    <col min="4865" max="4865" width="12" style="68" customWidth="1"/>
    <col min="4866" max="4866" width="17.25" style="68" customWidth="1"/>
    <col min="4867" max="4867" width="8.75" style="68" customWidth="1"/>
    <col min="4868" max="4868" width="8.375" style="68" customWidth="1"/>
    <col min="4869" max="4869" width="10.375" style="68" customWidth="1"/>
    <col min="4870" max="4870" width="9.125" style="68" customWidth="1"/>
    <col min="4871" max="4871" width="9.25" style="68" customWidth="1"/>
    <col min="4872" max="4872" width="8.875" style="68" customWidth="1"/>
    <col min="4873" max="4873" width="10" style="68" customWidth="1"/>
    <col min="4874" max="4874" width="9.875" style="68" customWidth="1"/>
    <col min="4875" max="4875" width="9" style="68" customWidth="1"/>
    <col min="4876" max="4876" width="10.75" style="68" customWidth="1"/>
    <col min="4877" max="4877" width="9" style="68" customWidth="1"/>
    <col min="4878" max="4878" width="9.625" style="68" customWidth="1"/>
    <col min="4879" max="4879" width="16.25" style="68" customWidth="1"/>
    <col min="4880" max="5120" width="9" style="68"/>
    <col min="5121" max="5121" width="12" style="68" customWidth="1"/>
    <col min="5122" max="5122" width="17.25" style="68" customWidth="1"/>
    <col min="5123" max="5123" width="8.75" style="68" customWidth="1"/>
    <col min="5124" max="5124" width="8.375" style="68" customWidth="1"/>
    <col min="5125" max="5125" width="10.375" style="68" customWidth="1"/>
    <col min="5126" max="5126" width="9.125" style="68" customWidth="1"/>
    <col min="5127" max="5127" width="9.25" style="68" customWidth="1"/>
    <col min="5128" max="5128" width="8.875" style="68" customWidth="1"/>
    <col min="5129" max="5129" width="10" style="68" customWidth="1"/>
    <col min="5130" max="5130" width="9.875" style="68" customWidth="1"/>
    <col min="5131" max="5131" width="9" style="68" customWidth="1"/>
    <col min="5132" max="5132" width="10.75" style="68" customWidth="1"/>
    <col min="5133" max="5133" width="9" style="68" customWidth="1"/>
    <col min="5134" max="5134" width="9.625" style="68" customWidth="1"/>
    <col min="5135" max="5135" width="16.25" style="68" customWidth="1"/>
    <col min="5136" max="5376" width="9" style="68"/>
    <col min="5377" max="5377" width="12" style="68" customWidth="1"/>
    <col min="5378" max="5378" width="17.25" style="68" customWidth="1"/>
    <col min="5379" max="5379" width="8.75" style="68" customWidth="1"/>
    <col min="5380" max="5380" width="8.375" style="68" customWidth="1"/>
    <col min="5381" max="5381" width="10.375" style="68" customWidth="1"/>
    <col min="5382" max="5382" width="9.125" style="68" customWidth="1"/>
    <col min="5383" max="5383" width="9.25" style="68" customWidth="1"/>
    <col min="5384" max="5384" width="8.875" style="68" customWidth="1"/>
    <col min="5385" max="5385" width="10" style="68" customWidth="1"/>
    <col min="5386" max="5386" width="9.875" style="68" customWidth="1"/>
    <col min="5387" max="5387" width="9" style="68" customWidth="1"/>
    <col min="5388" max="5388" width="10.75" style="68" customWidth="1"/>
    <col min="5389" max="5389" width="9" style="68" customWidth="1"/>
    <col min="5390" max="5390" width="9.625" style="68" customWidth="1"/>
    <col min="5391" max="5391" width="16.25" style="68" customWidth="1"/>
    <col min="5392" max="5632" width="9" style="68"/>
    <col min="5633" max="5633" width="12" style="68" customWidth="1"/>
    <col min="5634" max="5634" width="17.25" style="68" customWidth="1"/>
    <col min="5635" max="5635" width="8.75" style="68" customWidth="1"/>
    <col min="5636" max="5636" width="8.375" style="68" customWidth="1"/>
    <col min="5637" max="5637" width="10.375" style="68" customWidth="1"/>
    <col min="5638" max="5638" width="9.125" style="68" customWidth="1"/>
    <col min="5639" max="5639" width="9.25" style="68" customWidth="1"/>
    <col min="5640" max="5640" width="8.875" style="68" customWidth="1"/>
    <col min="5641" max="5641" width="10" style="68" customWidth="1"/>
    <col min="5642" max="5642" width="9.875" style="68" customWidth="1"/>
    <col min="5643" max="5643" width="9" style="68" customWidth="1"/>
    <col min="5644" max="5644" width="10.75" style="68" customWidth="1"/>
    <col min="5645" max="5645" width="9" style="68" customWidth="1"/>
    <col min="5646" max="5646" width="9.625" style="68" customWidth="1"/>
    <col min="5647" max="5647" width="16.25" style="68" customWidth="1"/>
    <col min="5648" max="5888" width="9" style="68"/>
    <col min="5889" max="5889" width="12" style="68" customWidth="1"/>
    <col min="5890" max="5890" width="17.25" style="68" customWidth="1"/>
    <col min="5891" max="5891" width="8.75" style="68" customWidth="1"/>
    <col min="5892" max="5892" width="8.375" style="68" customWidth="1"/>
    <col min="5893" max="5893" width="10.375" style="68" customWidth="1"/>
    <col min="5894" max="5894" width="9.125" style="68" customWidth="1"/>
    <col min="5895" max="5895" width="9.25" style="68" customWidth="1"/>
    <col min="5896" max="5896" width="8.875" style="68" customWidth="1"/>
    <col min="5897" max="5897" width="10" style="68" customWidth="1"/>
    <col min="5898" max="5898" width="9.875" style="68" customWidth="1"/>
    <col min="5899" max="5899" width="9" style="68" customWidth="1"/>
    <col min="5900" max="5900" width="10.75" style="68" customWidth="1"/>
    <col min="5901" max="5901" width="9" style="68" customWidth="1"/>
    <col min="5902" max="5902" width="9.625" style="68" customWidth="1"/>
    <col min="5903" max="5903" width="16.25" style="68" customWidth="1"/>
    <col min="5904" max="6144" width="9" style="68"/>
    <col min="6145" max="6145" width="12" style="68" customWidth="1"/>
    <col min="6146" max="6146" width="17.25" style="68" customWidth="1"/>
    <col min="6147" max="6147" width="8.75" style="68" customWidth="1"/>
    <col min="6148" max="6148" width="8.375" style="68" customWidth="1"/>
    <col min="6149" max="6149" width="10.375" style="68" customWidth="1"/>
    <col min="6150" max="6150" width="9.125" style="68" customWidth="1"/>
    <col min="6151" max="6151" width="9.25" style="68" customWidth="1"/>
    <col min="6152" max="6152" width="8.875" style="68" customWidth="1"/>
    <col min="6153" max="6153" width="10" style="68" customWidth="1"/>
    <col min="6154" max="6154" width="9.875" style="68" customWidth="1"/>
    <col min="6155" max="6155" width="9" style="68" customWidth="1"/>
    <col min="6156" max="6156" width="10.75" style="68" customWidth="1"/>
    <col min="6157" max="6157" width="9" style="68" customWidth="1"/>
    <col min="6158" max="6158" width="9.625" style="68" customWidth="1"/>
    <col min="6159" max="6159" width="16.25" style="68" customWidth="1"/>
    <col min="6160" max="6400" width="9" style="68"/>
    <col min="6401" max="6401" width="12" style="68" customWidth="1"/>
    <col min="6402" max="6402" width="17.25" style="68" customWidth="1"/>
    <col min="6403" max="6403" width="8.75" style="68" customWidth="1"/>
    <col min="6404" max="6404" width="8.375" style="68" customWidth="1"/>
    <col min="6405" max="6405" width="10.375" style="68" customWidth="1"/>
    <col min="6406" max="6406" width="9.125" style="68" customWidth="1"/>
    <col min="6407" max="6407" width="9.25" style="68" customWidth="1"/>
    <col min="6408" max="6408" width="8.875" style="68" customWidth="1"/>
    <col min="6409" max="6409" width="10" style="68" customWidth="1"/>
    <col min="6410" max="6410" width="9.875" style="68" customWidth="1"/>
    <col min="6411" max="6411" width="9" style="68" customWidth="1"/>
    <col min="6412" max="6412" width="10.75" style="68" customWidth="1"/>
    <col min="6413" max="6413" width="9" style="68" customWidth="1"/>
    <col min="6414" max="6414" width="9.625" style="68" customWidth="1"/>
    <col min="6415" max="6415" width="16.25" style="68" customWidth="1"/>
    <col min="6416" max="6656" width="9" style="68"/>
    <col min="6657" max="6657" width="12" style="68" customWidth="1"/>
    <col min="6658" max="6658" width="17.25" style="68" customWidth="1"/>
    <col min="6659" max="6659" width="8.75" style="68" customWidth="1"/>
    <col min="6660" max="6660" width="8.375" style="68" customWidth="1"/>
    <col min="6661" max="6661" width="10.375" style="68" customWidth="1"/>
    <col min="6662" max="6662" width="9.125" style="68" customWidth="1"/>
    <col min="6663" max="6663" width="9.25" style="68" customWidth="1"/>
    <col min="6664" max="6664" width="8.875" style="68" customWidth="1"/>
    <col min="6665" max="6665" width="10" style="68" customWidth="1"/>
    <col min="6666" max="6666" width="9.875" style="68" customWidth="1"/>
    <col min="6667" max="6667" width="9" style="68" customWidth="1"/>
    <col min="6668" max="6668" width="10.75" style="68" customWidth="1"/>
    <col min="6669" max="6669" width="9" style="68" customWidth="1"/>
    <col min="6670" max="6670" width="9.625" style="68" customWidth="1"/>
    <col min="6671" max="6671" width="16.25" style="68" customWidth="1"/>
    <col min="6672" max="6912" width="9" style="68"/>
    <col min="6913" max="6913" width="12" style="68" customWidth="1"/>
    <col min="6914" max="6914" width="17.25" style="68" customWidth="1"/>
    <col min="6915" max="6915" width="8.75" style="68" customWidth="1"/>
    <col min="6916" max="6916" width="8.375" style="68" customWidth="1"/>
    <col min="6917" max="6917" width="10.375" style="68" customWidth="1"/>
    <col min="6918" max="6918" width="9.125" style="68" customWidth="1"/>
    <col min="6919" max="6919" width="9.25" style="68" customWidth="1"/>
    <col min="6920" max="6920" width="8.875" style="68" customWidth="1"/>
    <col min="6921" max="6921" width="10" style="68" customWidth="1"/>
    <col min="6922" max="6922" width="9.875" style="68" customWidth="1"/>
    <col min="6923" max="6923" width="9" style="68" customWidth="1"/>
    <col min="6924" max="6924" width="10.75" style="68" customWidth="1"/>
    <col min="6925" max="6925" width="9" style="68" customWidth="1"/>
    <col min="6926" max="6926" width="9.625" style="68" customWidth="1"/>
    <col min="6927" max="6927" width="16.25" style="68" customWidth="1"/>
    <col min="6928" max="7168" width="9" style="68"/>
    <col min="7169" max="7169" width="12" style="68" customWidth="1"/>
    <col min="7170" max="7170" width="17.25" style="68" customWidth="1"/>
    <col min="7171" max="7171" width="8.75" style="68" customWidth="1"/>
    <col min="7172" max="7172" width="8.375" style="68" customWidth="1"/>
    <col min="7173" max="7173" width="10.375" style="68" customWidth="1"/>
    <col min="7174" max="7174" width="9.125" style="68" customWidth="1"/>
    <col min="7175" max="7175" width="9.25" style="68" customWidth="1"/>
    <col min="7176" max="7176" width="8.875" style="68" customWidth="1"/>
    <col min="7177" max="7177" width="10" style="68" customWidth="1"/>
    <col min="7178" max="7178" width="9.875" style="68" customWidth="1"/>
    <col min="7179" max="7179" width="9" style="68" customWidth="1"/>
    <col min="7180" max="7180" width="10.75" style="68" customWidth="1"/>
    <col min="7181" max="7181" width="9" style="68" customWidth="1"/>
    <col min="7182" max="7182" width="9.625" style="68" customWidth="1"/>
    <col min="7183" max="7183" width="16.25" style="68" customWidth="1"/>
    <col min="7184" max="7424" width="9" style="68"/>
    <col min="7425" max="7425" width="12" style="68" customWidth="1"/>
    <col min="7426" max="7426" width="17.25" style="68" customWidth="1"/>
    <col min="7427" max="7427" width="8.75" style="68" customWidth="1"/>
    <col min="7428" max="7428" width="8.375" style="68" customWidth="1"/>
    <col min="7429" max="7429" width="10.375" style="68" customWidth="1"/>
    <col min="7430" max="7430" width="9.125" style="68" customWidth="1"/>
    <col min="7431" max="7431" width="9.25" style="68" customWidth="1"/>
    <col min="7432" max="7432" width="8.875" style="68" customWidth="1"/>
    <col min="7433" max="7433" width="10" style="68" customWidth="1"/>
    <col min="7434" max="7434" width="9.875" style="68" customWidth="1"/>
    <col min="7435" max="7435" width="9" style="68" customWidth="1"/>
    <col min="7436" max="7436" width="10.75" style="68" customWidth="1"/>
    <col min="7437" max="7437" width="9" style="68" customWidth="1"/>
    <col min="7438" max="7438" width="9.625" style="68" customWidth="1"/>
    <col min="7439" max="7439" width="16.25" style="68" customWidth="1"/>
    <col min="7440" max="7680" width="9" style="68"/>
    <col min="7681" max="7681" width="12" style="68" customWidth="1"/>
    <col min="7682" max="7682" width="17.25" style="68" customWidth="1"/>
    <col min="7683" max="7683" width="8.75" style="68" customWidth="1"/>
    <col min="7684" max="7684" width="8.375" style="68" customWidth="1"/>
    <col min="7685" max="7685" width="10.375" style="68" customWidth="1"/>
    <col min="7686" max="7686" width="9.125" style="68" customWidth="1"/>
    <col min="7687" max="7687" width="9.25" style="68" customWidth="1"/>
    <col min="7688" max="7688" width="8.875" style="68" customWidth="1"/>
    <col min="7689" max="7689" width="10" style="68" customWidth="1"/>
    <col min="7690" max="7690" width="9.875" style="68" customWidth="1"/>
    <col min="7691" max="7691" width="9" style="68" customWidth="1"/>
    <col min="7692" max="7692" width="10.75" style="68" customWidth="1"/>
    <col min="7693" max="7693" width="9" style="68" customWidth="1"/>
    <col min="7694" max="7694" width="9.625" style="68" customWidth="1"/>
    <col min="7695" max="7695" width="16.25" style="68" customWidth="1"/>
    <col min="7696" max="7936" width="9" style="68"/>
    <col min="7937" max="7937" width="12" style="68" customWidth="1"/>
    <col min="7938" max="7938" width="17.25" style="68" customWidth="1"/>
    <col min="7939" max="7939" width="8.75" style="68" customWidth="1"/>
    <col min="7940" max="7940" width="8.375" style="68" customWidth="1"/>
    <col min="7941" max="7941" width="10.375" style="68" customWidth="1"/>
    <col min="7942" max="7942" width="9.125" style="68" customWidth="1"/>
    <col min="7943" max="7943" width="9.25" style="68" customWidth="1"/>
    <col min="7944" max="7944" width="8.875" style="68" customWidth="1"/>
    <col min="7945" max="7945" width="10" style="68" customWidth="1"/>
    <col min="7946" max="7946" width="9.875" style="68" customWidth="1"/>
    <col min="7947" max="7947" width="9" style="68" customWidth="1"/>
    <col min="7948" max="7948" width="10.75" style="68" customWidth="1"/>
    <col min="7949" max="7949" width="9" style="68" customWidth="1"/>
    <col min="7950" max="7950" width="9.625" style="68" customWidth="1"/>
    <col min="7951" max="7951" width="16.25" style="68" customWidth="1"/>
    <col min="7952" max="8192" width="9" style="68"/>
    <col min="8193" max="8193" width="12" style="68" customWidth="1"/>
    <col min="8194" max="8194" width="17.25" style="68" customWidth="1"/>
    <col min="8195" max="8195" width="8.75" style="68" customWidth="1"/>
    <col min="8196" max="8196" width="8.375" style="68" customWidth="1"/>
    <col min="8197" max="8197" width="10.375" style="68" customWidth="1"/>
    <col min="8198" max="8198" width="9.125" style="68" customWidth="1"/>
    <col min="8199" max="8199" width="9.25" style="68" customWidth="1"/>
    <col min="8200" max="8200" width="8.875" style="68" customWidth="1"/>
    <col min="8201" max="8201" width="10" style="68" customWidth="1"/>
    <col min="8202" max="8202" width="9.875" style="68" customWidth="1"/>
    <col min="8203" max="8203" width="9" style="68" customWidth="1"/>
    <col min="8204" max="8204" width="10.75" style="68" customWidth="1"/>
    <col min="8205" max="8205" width="9" style="68" customWidth="1"/>
    <col min="8206" max="8206" width="9.625" style="68" customWidth="1"/>
    <col min="8207" max="8207" width="16.25" style="68" customWidth="1"/>
    <col min="8208" max="8448" width="9" style="68"/>
    <col min="8449" max="8449" width="12" style="68" customWidth="1"/>
    <col min="8450" max="8450" width="17.25" style="68" customWidth="1"/>
    <col min="8451" max="8451" width="8.75" style="68" customWidth="1"/>
    <col min="8452" max="8452" width="8.375" style="68" customWidth="1"/>
    <col min="8453" max="8453" width="10.375" style="68" customWidth="1"/>
    <col min="8454" max="8454" width="9.125" style="68" customWidth="1"/>
    <col min="8455" max="8455" width="9.25" style="68" customWidth="1"/>
    <col min="8456" max="8456" width="8.875" style="68" customWidth="1"/>
    <col min="8457" max="8457" width="10" style="68" customWidth="1"/>
    <col min="8458" max="8458" width="9.875" style="68" customWidth="1"/>
    <col min="8459" max="8459" width="9" style="68" customWidth="1"/>
    <col min="8460" max="8460" width="10.75" style="68" customWidth="1"/>
    <col min="8461" max="8461" width="9" style="68" customWidth="1"/>
    <col min="8462" max="8462" width="9.625" style="68" customWidth="1"/>
    <col min="8463" max="8463" width="16.25" style="68" customWidth="1"/>
    <col min="8464" max="8704" width="9" style="68"/>
    <col min="8705" max="8705" width="12" style="68" customWidth="1"/>
    <col min="8706" max="8706" width="17.25" style="68" customWidth="1"/>
    <col min="8707" max="8707" width="8.75" style="68" customWidth="1"/>
    <col min="8708" max="8708" width="8.375" style="68" customWidth="1"/>
    <col min="8709" max="8709" width="10.375" style="68" customWidth="1"/>
    <col min="8710" max="8710" width="9.125" style="68" customWidth="1"/>
    <col min="8711" max="8711" width="9.25" style="68" customWidth="1"/>
    <col min="8712" max="8712" width="8.875" style="68" customWidth="1"/>
    <col min="8713" max="8713" width="10" style="68" customWidth="1"/>
    <col min="8714" max="8714" width="9.875" style="68" customWidth="1"/>
    <col min="8715" max="8715" width="9" style="68" customWidth="1"/>
    <col min="8716" max="8716" width="10.75" style="68" customWidth="1"/>
    <col min="8717" max="8717" width="9" style="68" customWidth="1"/>
    <col min="8718" max="8718" width="9.625" style="68" customWidth="1"/>
    <col min="8719" max="8719" width="16.25" style="68" customWidth="1"/>
    <col min="8720" max="8960" width="9" style="68"/>
    <col min="8961" max="8961" width="12" style="68" customWidth="1"/>
    <col min="8962" max="8962" width="17.25" style="68" customWidth="1"/>
    <col min="8963" max="8963" width="8.75" style="68" customWidth="1"/>
    <col min="8964" max="8964" width="8.375" style="68" customWidth="1"/>
    <col min="8965" max="8965" width="10.375" style="68" customWidth="1"/>
    <col min="8966" max="8966" width="9.125" style="68" customWidth="1"/>
    <col min="8967" max="8967" width="9.25" style="68" customWidth="1"/>
    <col min="8968" max="8968" width="8.875" style="68" customWidth="1"/>
    <col min="8969" max="8969" width="10" style="68" customWidth="1"/>
    <col min="8970" max="8970" width="9.875" style="68" customWidth="1"/>
    <col min="8971" max="8971" width="9" style="68" customWidth="1"/>
    <col min="8972" max="8972" width="10.75" style="68" customWidth="1"/>
    <col min="8973" max="8973" width="9" style="68" customWidth="1"/>
    <col min="8974" max="8974" width="9.625" style="68" customWidth="1"/>
    <col min="8975" max="8975" width="16.25" style="68" customWidth="1"/>
    <col min="8976" max="9216" width="9" style="68"/>
    <col min="9217" max="9217" width="12" style="68" customWidth="1"/>
    <col min="9218" max="9218" width="17.25" style="68" customWidth="1"/>
    <col min="9219" max="9219" width="8.75" style="68" customWidth="1"/>
    <col min="9220" max="9220" width="8.375" style="68" customWidth="1"/>
    <col min="9221" max="9221" width="10.375" style="68" customWidth="1"/>
    <col min="9222" max="9222" width="9.125" style="68" customWidth="1"/>
    <col min="9223" max="9223" width="9.25" style="68" customWidth="1"/>
    <col min="9224" max="9224" width="8.875" style="68" customWidth="1"/>
    <col min="9225" max="9225" width="10" style="68" customWidth="1"/>
    <col min="9226" max="9226" width="9.875" style="68" customWidth="1"/>
    <col min="9227" max="9227" width="9" style="68" customWidth="1"/>
    <col min="9228" max="9228" width="10.75" style="68" customWidth="1"/>
    <col min="9229" max="9229" width="9" style="68" customWidth="1"/>
    <col min="9230" max="9230" width="9.625" style="68" customWidth="1"/>
    <col min="9231" max="9231" width="16.25" style="68" customWidth="1"/>
    <col min="9232" max="9472" width="9" style="68"/>
    <col min="9473" max="9473" width="12" style="68" customWidth="1"/>
    <col min="9474" max="9474" width="17.25" style="68" customWidth="1"/>
    <col min="9475" max="9475" width="8.75" style="68" customWidth="1"/>
    <col min="9476" max="9476" width="8.375" style="68" customWidth="1"/>
    <col min="9477" max="9477" width="10.375" style="68" customWidth="1"/>
    <col min="9478" max="9478" width="9.125" style="68" customWidth="1"/>
    <col min="9479" max="9479" width="9.25" style="68" customWidth="1"/>
    <col min="9480" max="9480" width="8.875" style="68" customWidth="1"/>
    <col min="9481" max="9481" width="10" style="68" customWidth="1"/>
    <col min="9482" max="9482" width="9.875" style="68" customWidth="1"/>
    <col min="9483" max="9483" width="9" style="68" customWidth="1"/>
    <col min="9484" max="9484" width="10.75" style="68" customWidth="1"/>
    <col min="9485" max="9485" width="9" style="68" customWidth="1"/>
    <col min="9486" max="9486" width="9.625" style="68" customWidth="1"/>
    <col min="9487" max="9487" width="16.25" style="68" customWidth="1"/>
    <col min="9488" max="9728" width="9" style="68"/>
    <col min="9729" max="9729" width="12" style="68" customWidth="1"/>
    <col min="9730" max="9730" width="17.25" style="68" customWidth="1"/>
    <col min="9731" max="9731" width="8.75" style="68" customWidth="1"/>
    <col min="9732" max="9732" width="8.375" style="68" customWidth="1"/>
    <col min="9733" max="9733" width="10.375" style="68" customWidth="1"/>
    <col min="9734" max="9734" width="9.125" style="68" customWidth="1"/>
    <col min="9735" max="9735" width="9.25" style="68" customWidth="1"/>
    <col min="9736" max="9736" width="8.875" style="68" customWidth="1"/>
    <col min="9737" max="9737" width="10" style="68" customWidth="1"/>
    <col min="9738" max="9738" width="9.875" style="68" customWidth="1"/>
    <col min="9739" max="9739" width="9" style="68" customWidth="1"/>
    <col min="9740" max="9740" width="10.75" style="68" customWidth="1"/>
    <col min="9741" max="9741" width="9" style="68" customWidth="1"/>
    <col min="9742" max="9742" width="9.625" style="68" customWidth="1"/>
    <col min="9743" max="9743" width="16.25" style="68" customWidth="1"/>
    <col min="9744" max="9984" width="9" style="68"/>
    <col min="9985" max="9985" width="12" style="68" customWidth="1"/>
    <col min="9986" max="9986" width="17.25" style="68" customWidth="1"/>
    <col min="9987" max="9987" width="8.75" style="68" customWidth="1"/>
    <col min="9988" max="9988" width="8.375" style="68" customWidth="1"/>
    <col min="9989" max="9989" width="10.375" style="68" customWidth="1"/>
    <col min="9990" max="9990" width="9.125" style="68" customWidth="1"/>
    <col min="9991" max="9991" width="9.25" style="68" customWidth="1"/>
    <col min="9992" max="9992" width="8.875" style="68" customWidth="1"/>
    <col min="9993" max="9993" width="10" style="68" customWidth="1"/>
    <col min="9994" max="9994" width="9.875" style="68" customWidth="1"/>
    <col min="9995" max="9995" width="9" style="68" customWidth="1"/>
    <col min="9996" max="9996" width="10.75" style="68" customWidth="1"/>
    <col min="9997" max="9997" width="9" style="68" customWidth="1"/>
    <col min="9998" max="9998" width="9.625" style="68" customWidth="1"/>
    <col min="9999" max="9999" width="16.25" style="68" customWidth="1"/>
    <col min="10000" max="10240" width="9" style="68"/>
    <col min="10241" max="10241" width="12" style="68" customWidth="1"/>
    <col min="10242" max="10242" width="17.25" style="68" customWidth="1"/>
    <col min="10243" max="10243" width="8.75" style="68" customWidth="1"/>
    <col min="10244" max="10244" width="8.375" style="68" customWidth="1"/>
    <col min="10245" max="10245" width="10.375" style="68" customWidth="1"/>
    <col min="10246" max="10246" width="9.125" style="68" customWidth="1"/>
    <col min="10247" max="10247" width="9.25" style="68" customWidth="1"/>
    <col min="10248" max="10248" width="8.875" style="68" customWidth="1"/>
    <col min="10249" max="10249" width="10" style="68" customWidth="1"/>
    <col min="10250" max="10250" width="9.875" style="68" customWidth="1"/>
    <col min="10251" max="10251" width="9" style="68" customWidth="1"/>
    <col min="10252" max="10252" width="10.75" style="68" customWidth="1"/>
    <col min="10253" max="10253" width="9" style="68" customWidth="1"/>
    <col min="10254" max="10254" width="9.625" style="68" customWidth="1"/>
    <col min="10255" max="10255" width="16.25" style="68" customWidth="1"/>
    <col min="10256" max="10496" width="9" style="68"/>
    <col min="10497" max="10497" width="12" style="68" customWidth="1"/>
    <col min="10498" max="10498" width="17.25" style="68" customWidth="1"/>
    <col min="10499" max="10499" width="8.75" style="68" customWidth="1"/>
    <col min="10500" max="10500" width="8.375" style="68" customWidth="1"/>
    <col min="10501" max="10501" width="10.375" style="68" customWidth="1"/>
    <col min="10502" max="10502" width="9.125" style="68" customWidth="1"/>
    <col min="10503" max="10503" width="9.25" style="68" customWidth="1"/>
    <col min="10504" max="10504" width="8.875" style="68" customWidth="1"/>
    <col min="10505" max="10505" width="10" style="68" customWidth="1"/>
    <col min="10506" max="10506" width="9.875" style="68" customWidth="1"/>
    <col min="10507" max="10507" width="9" style="68" customWidth="1"/>
    <col min="10508" max="10508" width="10.75" style="68" customWidth="1"/>
    <col min="10509" max="10509" width="9" style="68" customWidth="1"/>
    <col min="10510" max="10510" width="9.625" style="68" customWidth="1"/>
    <col min="10511" max="10511" width="16.25" style="68" customWidth="1"/>
    <col min="10512" max="10752" width="9" style="68"/>
    <col min="10753" max="10753" width="12" style="68" customWidth="1"/>
    <col min="10754" max="10754" width="17.25" style="68" customWidth="1"/>
    <col min="10755" max="10755" width="8.75" style="68" customWidth="1"/>
    <col min="10756" max="10756" width="8.375" style="68" customWidth="1"/>
    <col min="10757" max="10757" width="10.375" style="68" customWidth="1"/>
    <col min="10758" max="10758" width="9.125" style="68" customWidth="1"/>
    <col min="10759" max="10759" width="9.25" style="68" customWidth="1"/>
    <col min="10760" max="10760" width="8.875" style="68" customWidth="1"/>
    <col min="10761" max="10761" width="10" style="68" customWidth="1"/>
    <col min="10762" max="10762" width="9.875" style="68" customWidth="1"/>
    <col min="10763" max="10763" width="9" style="68" customWidth="1"/>
    <col min="10764" max="10764" width="10.75" style="68" customWidth="1"/>
    <col min="10765" max="10765" width="9" style="68" customWidth="1"/>
    <col min="10766" max="10766" width="9.625" style="68" customWidth="1"/>
    <col min="10767" max="10767" width="16.25" style="68" customWidth="1"/>
    <col min="10768" max="11008" width="9" style="68"/>
    <col min="11009" max="11009" width="12" style="68" customWidth="1"/>
    <col min="11010" max="11010" width="17.25" style="68" customWidth="1"/>
    <col min="11011" max="11011" width="8.75" style="68" customWidth="1"/>
    <col min="11012" max="11012" width="8.375" style="68" customWidth="1"/>
    <col min="11013" max="11013" width="10.375" style="68" customWidth="1"/>
    <col min="11014" max="11014" width="9.125" style="68" customWidth="1"/>
    <col min="11015" max="11015" width="9.25" style="68" customWidth="1"/>
    <col min="11016" max="11016" width="8.875" style="68" customWidth="1"/>
    <col min="11017" max="11017" width="10" style="68" customWidth="1"/>
    <col min="11018" max="11018" width="9.875" style="68" customWidth="1"/>
    <col min="11019" max="11019" width="9" style="68" customWidth="1"/>
    <col min="11020" max="11020" width="10.75" style="68" customWidth="1"/>
    <col min="11021" max="11021" width="9" style="68" customWidth="1"/>
    <col min="11022" max="11022" width="9.625" style="68" customWidth="1"/>
    <col min="11023" max="11023" width="16.25" style="68" customWidth="1"/>
    <col min="11024" max="11264" width="9" style="68"/>
    <col min="11265" max="11265" width="12" style="68" customWidth="1"/>
    <col min="11266" max="11266" width="17.25" style="68" customWidth="1"/>
    <col min="11267" max="11267" width="8.75" style="68" customWidth="1"/>
    <col min="11268" max="11268" width="8.375" style="68" customWidth="1"/>
    <col min="11269" max="11269" width="10.375" style="68" customWidth="1"/>
    <col min="11270" max="11270" width="9.125" style="68" customWidth="1"/>
    <col min="11271" max="11271" width="9.25" style="68" customWidth="1"/>
    <col min="11272" max="11272" width="8.875" style="68" customWidth="1"/>
    <col min="11273" max="11273" width="10" style="68" customWidth="1"/>
    <col min="11274" max="11274" width="9.875" style="68" customWidth="1"/>
    <col min="11275" max="11275" width="9" style="68" customWidth="1"/>
    <col min="11276" max="11276" width="10.75" style="68" customWidth="1"/>
    <col min="11277" max="11277" width="9" style="68" customWidth="1"/>
    <col min="11278" max="11278" width="9.625" style="68" customWidth="1"/>
    <col min="11279" max="11279" width="16.25" style="68" customWidth="1"/>
    <col min="11280" max="11520" width="9" style="68"/>
    <col min="11521" max="11521" width="12" style="68" customWidth="1"/>
    <col min="11522" max="11522" width="17.25" style="68" customWidth="1"/>
    <col min="11523" max="11523" width="8.75" style="68" customWidth="1"/>
    <col min="11524" max="11524" width="8.375" style="68" customWidth="1"/>
    <col min="11525" max="11525" width="10.375" style="68" customWidth="1"/>
    <col min="11526" max="11526" width="9.125" style="68" customWidth="1"/>
    <col min="11527" max="11527" width="9.25" style="68" customWidth="1"/>
    <col min="11528" max="11528" width="8.875" style="68" customWidth="1"/>
    <col min="11529" max="11529" width="10" style="68" customWidth="1"/>
    <col min="11530" max="11530" width="9.875" style="68" customWidth="1"/>
    <col min="11531" max="11531" width="9" style="68" customWidth="1"/>
    <col min="11532" max="11532" width="10.75" style="68" customWidth="1"/>
    <col min="11533" max="11533" width="9" style="68" customWidth="1"/>
    <col min="11534" max="11534" width="9.625" style="68" customWidth="1"/>
    <col min="11535" max="11535" width="16.25" style="68" customWidth="1"/>
    <col min="11536" max="11776" width="9" style="68"/>
    <col min="11777" max="11777" width="12" style="68" customWidth="1"/>
    <col min="11778" max="11778" width="17.25" style="68" customWidth="1"/>
    <col min="11779" max="11779" width="8.75" style="68" customWidth="1"/>
    <col min="11780" max="11780" width="8.375" style="68" customWidth="1"/>
    <col min="11781" max="11781" width="10.375" style="68" customWidth="1"/>
    <col min="11782" max="11782" width="9.125" style="68" customWidth="1"/>
    <col min="11783" max="11783" width="9.25" style="68" customWidth="1"/>
    <col min="11784" max="11784" width="8.875" style="68" customWidth="1"/>
    <col min="11785" max="11785" width="10" style="68" customWidth="1"/>
    <col min="11786" max="11786" width="9.875" style="68" customWidth="1"/>
    <col min="11787" max="11787" width="9" style="68" customWidth="1"/>
    <col min="11788" max="11788" width="10.75" style="68" customWidth="1"/>
    <col min="11789" max="11789" width="9" style="68" customWidth="1"/>
    <col min="11790" max="11790" width="9.625" style="68" customWidth="1"/>
    <col min="11791" max="11791" width="16.25" style="68" customWidth="1"/>
    <col min="11792" max="12032" width="9" style="68"/>
    <col min="12033" max="12033" width="12" style="68" customWidth="1"/>
    <col min="12034" max="12034" width="17.25" style="68" customWidth="1"/>
    <col min="12035" max="12035" width="8.75" style="68" customWidth="1"/>
    <col min="12036" max="12036" width="8.375" style="68" customWidth="1"/>
    <col min="12037" max="12037" width="10.375" style="68" customWidth="1"/>
    <col min="12038" max="12038" width="9.125" style="68" customWidth="1"/>
    <col min="12039" max="12039" width="9.25" style="68" customWidth="1"/>
    <col min="12040" max="12040" width="8.875" style="68" customWidth="1"/>
    <col min="12041" max="12041" width="10" style="68" customWidth="1"/>
    <col min="12042" max="12042" width="9.875" style="68" customWidth="1"/>
    <col min="12043" max="12043" width="9" style="68" customWidth="1"/>
    <col min="12044" max="12044" width="10.75" style="68" customWidth="1"/>
    <col min="12045" max="12045" width="9" style="68" customWidth="1"/>
    <col min="12046" max="12046" width="9.625" style="68" customWidth="1"/>
    <col min="12047" max="12047" width="16.25" style="68" customWidth="1"/>
    <col min="12048" max="12288" width="9" style="68"/>
    <col min="12289" max="12289" width="12" style="68" customWidth="1"/>
    <col min="12290" max="12290" width="17.25" style="68" customWidth="1"/>
    <col min="12291" max="12291" width="8.75" style="68" customWidth="1"/>
    <col min="12292" max="12292" width="8.375" style="68" customWidth="1"/>
    <col min="12293" max="12293" width="10.375" style="68" customWidth="1"/>
    <col min="12294" max="12294" width="9.125" style="68" customWidth="1"/>
    <col min="12295" max="12295" width="9.25" style="68" customWidth="1"/>
    <col min="12296" max="12296" width="8.875" style="68" customWidth="1"/>
    <col min="12297" max="12297" width="10" style="68" customWidth="1"/>
    <col min="12298" max="12298" width="9.875" style="68" customWidth="1"/>
    <col min="12299" max="12299" width="9" style="68" customWidth="1"/>
    <col min="12300" max="12300" width="10.75" style="68" customWidth="1"/>
    <col min="12301" max="12301" width="9" style="68" customWidth="1"/>
    <col min="12302" max="12302" width="9.625" style="68" customWidth="1"/>
    <col min="12303" max="12303" width="16.25" style="68" customWidth="1"/>
    <col min="12304" max="12544" width="9" style="68"/>
    <col min="12545" max="12545" width="12" style="68" customWidth="1"/>
    <col min="12546" max="12546" width="17.25" style="68" customWidth="1"/>
    <col min="12547" max="12547" width="8.75" style="68" customWidth="1"/>
    <col min="12548" max="12548" width="8.375" style="68" customWidth="1"/>
    <col min="12549" max="12549" width="10.375" style="68" customWidth="1"/>
    <col min="12550" max="12550" width="9.125" style="68" customWidth="1"/>
    <col min="12551" max="12551" width="9.25" style="68" customWidth="1"/>
    <col min="12552" max="12552" width="8.875" style="68" customWidth="1"/>
    <col min="12553" max="12553" width="10" style="68" customWidth="1"/>
    <col min="12554" max="12554" width="9.875" style="68" customWidth="1"/>
    <col min="12555" max="12555" width="9" style="68" customWidth="1"/>
    <col min="12556" max="12556" width="10.75" style="68" customWidth="1"/>
    <col min="12557" max="12557" width="9" style="68" customWidth="1"/>
    <col min="12558" max="12558" width="9.625" style="68" customWidth="1"/>
    <col min="12559" max="12559" width="16.25" style="68" customWidth="1"/>
    <col min="12560" max="12800" width="9" style="68"/>
    <col min="12801" max="12801" width="12" style="68" customWidth="1"/>
    <col min="12802" max="12802" width="17.25" style="68" customWidth="1"/>
    <col min="12803" max="12803" width="8.75" style="68" customWidth="1"/>
    <col min="12804" max="12804" width="8.375" style="68" customWidth="1"/>
    <col min="12805" max="12805" width="10.375" style="68" customWidth="1"/>
    <col min="12806" max="12806" width="9.125" style="68" customWidth="1"/>
    <col min="12807" max="12807" width="9.25" style="68" customWidth="1"/>
    <col min="12808" max="12808" width="8.875" style="68" customWidth="1"/>
    <col min="12809" max="12809" width="10" style="68" customWidth="1"/>
    <col min="12810" max="12810" width="9.875" style="68" customWidth="1"/>
    <col min="12811" max="12811" width="9" style="68" customWidth="1"/>
    <col min="12812" max="12812" width="10.75" style="68" customWidth="1"/>
    <col min="12813" max="12813" width="9" style="68" customWidth="1"/>
    <col min="12814" max="12814" width="9.625" style="68" customWidth="1"/>
    <col min="12815" max="12815" width="16.25" style="68" customWidth="1"/>
    <col min="12816" max="13056" width="9" style="68"/>
    <col min="13057" max="13057" width="12" style="68" customWidth="1"/>
    <col min="13058" max="13058" width="17.25" style="68" customWidth="1"/>
    <col min="13059" max="13059" width="8.75" style="68" customWidth="1"/>
    <col min="13060" max="13060" width="8.375" style="68" customWidth="1"/>
    <col min="13061" max="13061" width="10.375" style="68" customWidth="1"/>
    <col min="13062" max="13062" width="9.125" style="68" customWidth="1"/>
    <col min="13063" max="13063" width="9.25" style="68" customWidth="1"/>
    <col min="13064" max="13064" width="8.875" style="68" customWidth="1"/>
    <col min="13065" max="13065" width="10" style="68" customWidth="1"/>
    <col min="13066" max="13066" width="9.875" style="68" customWidth="1"/>
    <col min="13067" max="13067" width="9" style="68" customWidth="1"/>
    <col min="13068" max="13068" width="10.75" style="68" customWidth="1"/>
    <col min="13069" max="13069" width="9" style="68" customWidth="1"/>
    <col min="13070" max="13070" width="9.625" style="68" customWidth="1"/>
    <col min="13071" max="13071" width="16.25" style="68" customWidth="1"/>
    <col min="13072" max="13312" width="9" style="68"/>
    <col min="13313" max="13313" width="12" style="68" customWidth="1"/>
    <col min="13314" max="13314" width="17.25" style="68" customWidth="1"/>
    <col min="13315" max="13315" width="8.75" style="68" customWidth="1"/>
    <col min="13316" max="13316" width="8.375" style="68" customWidth="1"/>
    <col min="13317" max="13317" width="10.375" style="68" customWidth="1"/>
    <col min="13318" max="13318" width="9.125" style="68" customWidth="1"/>
    <col min="13319" max="13319" width="9.25" style="68" customWidth="1"/>
    <col min="13320" max="13320" width="8.875" style="68" customWidth="1"/>
    <col min="13321" max="13321" width="10" style="68" customWidth="1"/>
    <col min="13322" max="13322" width="9.875" style="68" customWidth="1"/>
    <col min="13323" max="13323" width="9" style="68" customWidth="1"/>
    <col min="13324" max="13324" width="10.75" style="68" customWidth="1"/>
    <col min="13325" max="13325" width="9" style="68" customWidth="1"/>
    <col min="13326" max="13326" width="9.625" style="68" customWidth="1"/>
    <col min="13327" max="13327" width="16.25" style="68" customWidth="1"/>
    <col min="13328" max="13568" width="9" style="68"/>
    <col min="13569" max="13569" width="12" style="68" customWidth="1"/>
    <col min="13570" max="13570" width="17.25" style="68" customWidth="1"/>
    <col min="13571" max="13571" width="8.75" style="68" customWidth="1"/>
    <col min="13572" max="13572" width="8.375" style="68" customWidth="1"/>
    <col min="13573" max="13573" width="10.375" style="68" customWidth="1"/>
    <col min="13574" max="13574" width="9.125" style="68" customWidth="1"/>
    <col min="13575" max="13575" width="9.25" style="68" customWidth="1"/>
    <col min="13576" max="13576" width="8.875" style="68" customWidth="1"/>
    <col min="13577" max="13577" width="10" style="68" customWidth="1"/>
    <col min="13578" max="13578" width="9.875" style="68" customWidth="1"/>
    <col min="13579" max="13579" width="9" style="68" customWidth="1"/>
    <col min="13580" max="13580" width="10.75" style="68" customWidth="1"/>
    <col min="13581" max="13581" width="9" style="68" customWidth="1"/>
    <col min="13582" max="13582" width="9.625" style="68" customWidth="1"/>
    <col min="13583" max="13583" width="16.25" style="68" customWidth="1"/>
    <col min="13584" max="13824" width="9" style="68"/>
    <col min="13825" max="13825" width="12" style="68" customWidth="1"/>
    <col min="13826" max="13826" width="17.25" style="68" customWidth="1"/>
    <col min="13827" max="13827" width="8.75" style="68" customWidth="1"/>
    <col min="13828" max="13828" width="8.375" style="68" customWidth="1"/>
    <col min="13829" max="13829" width="10.375" style="68" customWidth="1"/>
    <col min="13830" max="13830" width="9.125" style="68" customWidth="1"/>
    <col min="13831" max="13831" width="9.25" style="68" customWidth="1"/>
    <col min="13832" max="13832" width="8.875" style="68" customWidth="1"/>
    <col min="13833" max="13833" width="10" style="68" customWidth="1"/>
    <col min="13834" max="13834" width="9.875" style="68" customWidth="1"/>
    <col min="13835" max="13835" width="9" style="68" customWidth="1"/>
    <col min="13836" max="13836" width="10.75" style="68" customWidth="1"/>
    <col min="13837" max="13837" width="9" style="68" customWidth="1"/>
    <col min="13838" max="13838" width="9.625" style="68" customWidth="1"/>
    <col min="13839" max="13839" width="16.25" style="68" customWidth="1"/>
    <col min="13840" max="14080" width="9" style="68"/>
    <col min="14081" max="14081" width="12" style="68" customWidth="1"/>
    <col min="14082" max="14082" width="17.25" style="68" customWidth="1"/>
    <col min="14083" max="14083" width="8.75" style="68" customWidth="1"/>
    <col min="14084" max="14084" width="8.375" style="68" customWidth="1"/>
    <col min="14085" max="14085" width="10.375" style="68" customWidth="1"/>
    <col min="14086" max="14086" width="9.125" style="68" customWidth="1"/>
    <col min="14087" max="14087" width="9.25" style="68" customWidth="1"/>
    <col min="14088" max="14088" width="8.875" style="68" customWidth="1"/>
    <col min="14089" max="14089" width="10" style="68" customWidth="1"/>
    <col min="14090" max="14090" width="9.875" style="68" customWidth="1"/>
    <col min="14091" max="14091" width="9" style="68" customWidth="1"/>
    <col min="14092" max="14092" width="10.75" style="68" customWidth="1"/>
    <col min="14093" max="14093" width="9" style="68" customWidth="1"/>
    <col min="14094" max="14094" width="9.625" style="68" customWidth="1"/>
    <col min="14095" max="14095" width="16.25" style="68" customWidth="1"/>
    <col min="14096" max="14336" width="9" style="68"/>
    <col min="14337" max="14337" width="12" style="68" customWidth="1"/>
    <col min="14338" max="14338" width="17.25" style="68" customWidth="1"/>
    <col min="14339" max="14339" width="8.75" style="68" customWidth="1"/>
    <col min="14340" max="14340" width="8.375" style="68" customWidth="1"/>
    <col min="14341" max="14341" width="10.375" style="68" customWidth="1"/>
    <col min="14342" max="14342" width="9.125" style="68" customWidth="1"/>
    <col min="14343" max="14343" width="9.25" style="68" customWidth="1"/>
    <col min="14344" max="14344" width="8.875" style="68" customWidth="1"/>
    <col min="14345" max="14345" width="10" style="68" customWidth="1"/>
    <col min="14346" max="14346" width="9.875" style="68" customWidth="1"/>
    <col min="14347" max="14347" width="9" style="68" customWidth="1"/>
    <col min="14348" max="14348" width="10.75" style="68" customWidth="1"/>
    <col min="14349" max="14349" width="9" style="68" customWidth="1"/>
    <col min="14350" max="14350" width="9.625" style="68" customWidth="1"/>
    <col min="14351" max="14351" width="16.25" style="68" customWidth="1"/>
    <col min="14352" max="14592" width="9" style="68"/>
    <col min="14593" max="14593" width="12" style="68" customWidth="1"/>
    <col min="14594" max="14594" width="17.25" style="68" customWidth="1"/>
    <col min="14595" max="14595" width="8.75" style="68" customWidth="1"/>
    <col min="14596" max="14596" width="8.375" style="68" customWidth="1"/>
    <col min="14597" max="14597" width="10.375" style="68" customWidth="1"/>
    <col min="14598" max="14598" width="9.125" style="68" customWidth="1"/>
    <col min="14599" max="14599" width="9.25" style="68" customWidth="1"/>
    <col min="14600" max="14600" width="8.875" style="68" customWidth="1"/>
    <col min="14601" max="14601" width="10" style="68" customWidth="1"/>
    <col min="14602" max="14602" width="9.875" style="68" customWidth="1"/>
    <col min="14603" max="14603" width="9" style="68" customWidth="1"/>
    <col min="14604" max="14604" width="10.75" style="68" customWidth="1"/>
    <col min="14605" max="14605" width="9" style="68" customWidth="1"/>
    <col min="14606" max="14606" width="9.625" style="68" customWidth="1"/>
    <col min="14607" max="14607" width="16.25" style="68" customWidth="1"/>
    <col min="14608" max="14848" width="9" style="68"/>
    <col min="14849" max="14849" width="12" style="68" customWidth="1"/>
    <col min="14850" max="14850" width="17.25" style="68" customWidth="1"/>
    <col min="14851" max="14851" width="8.75" style="68" customWidth="1"/>
    <col min="14852" max="14852" width="8.375" style="68" customWidth="1"/>
    <col min="14853" max="14853" width="10.375" style="68" customWidth="1"/>
    <col min="14854" max="14854" width="9.125" style="68" customWidth="1"/>
    <col min="14855" max="14855" width="9.25" style="68" customWidth="1"/>
    <col min="14856" max="14856" width="8.875" style="68" customWidth="1"/>
    <col min="14857" max="14857" width="10" style="68" customWidth="1"/>
    <col min="14858" max="14858" width="9.875" style="68" customWidth="1"/>
    <col min="14859" max="14859" width="9" style="68" customWidth="1"/>
    <col min="14860" max="14860" width="10.75" style="68" customWidth="1"/>
    <col min="14861" max="14861" width="9" style="68" customWidth="1"/>
    <col min="14862" max="14862" width="9.625" style="68" customWidth="1"/>
    <col min="14863" max="14863" width="16.25" style="68" customWidth="1"/>
    <col min="14864" max="15104" width="9" style="68"/>
    <col min="15105" max="15105" width="12" style="68" customWidth="1"/>
    <col min="15106" max="15106" width="17.25" style="68" customWidth="1"/>
    <col min="15107" max="15107" width="8.75" style="68" customWidth="1"/>
    <col min="15108" max="15108" width="8.375" style="68" customWidth="1"/>
    <col min="15109" max="15109" width="10.375" style="68" customWidth="1"/>
    <col min="15110" max="15110" width="9.125" style="68" customWidth="1"/>
    <col min="15111" max="15111" width="9.25" style="68" customWidth="1"/>
    <col min="15112" max="15112" width="8.875" style="68" customWidth="1"/>
    <col min="15113" max="15113" width="10" style="68" customWidth="1"/>
    <col min="15114" max="15114" width="9.875" style="68" customWidth="1"/>
    <col min="15115" max="15115" width="9" style="68" customWidth="1"/>
    <col min="15116" max="15116" width="10.75" style="68" customWidth="1"/>
    <col min="15117" max="15117" width="9" style="68" customWidth="1"/>
    <col min="15118" max="15118" width="9.625" style="68" customWidth="1"/>
    <col min="15119" max="15119" width="16.25" style="68" customWidth="1"/>
    <col min="15120" max="15360" width="9" style="68"/>
    <col min="15361" max="15361" width="12" style="68" customWidth="1"/>
    <col min="15362" max="15362" width="17.25" style="68" customWidth="1"/>
    <col min="15363" max="15363" width="8.75" style="68" customWidth="1"/>
    <col min="15364" max="15364" width="8.375" style="68" customWidth="1"/>
    <col min="15365" max="15365" width="10.375" style="68" customWidth="1"/>
    <col min="15366" max="15366" width="9.125" style="68" customWidth="1"/>
    <col min="15367" max="15367" width="9.25" style="68" customWidth="1"/>
    <col min="15368" max="15368" width="8.875" style="68" customWidth="1"/>
    <col min="15369" max="15369" width="10" style="68" customWidth="1"/>
    <col min="15370" max="15370" width="9.875" style="68" customWidth="1"/>
    <col min="15371" max="15371" width="9" style="68" customWidth="1"/>
    <col min="15372" max="15372" width="10.75" style="68" customWidth="1"/>
    <col min="15373" max="15373" width="9" style="68" customWidth="1"/>
    <col min="15374" max="15374" width="9.625" style="68" customWidth="1"/>
    <col min="15375" max="15375" width="16.25" style="68" customWidth="1"/>
    <col min="15376" max="15616" width="9" style="68"/>
    <col min="15617" max="15617" width="12" style="68" customWidth="1"/>
    <col min="15618" max="15618" width="17.25" style="68" customWidth="1"/>
    <col min="15619" max="15619" width="8.75" style="68" customWidth="1"/>
    <col min="15620" max="15620" width="8.375" style="68" customWidth="1"/>
    <col min="15621" max="15621" width="10.375" style="68" customWidth="1"/>
    <col min="15622" max="15622" width="9.125" style="68" customWidth="1"/>
    <col min="15623" max="15623" width="9.25" style="68" customWidth="1"/>
    <col min="15624" max="15624" width="8.875" style="68" customWidth="1"/>
    <col min="15625" max="15625" width="10" style="68" customWidth="1"/>
    <col min="15626" max="15626" width="9.875" style="68" customWidth="1"/>
    <col min="15627" max="15627" width="9" style="68" customWidth="1"/>
    <col min="15628" max="15628" width="10.75" style="68" customWidth="1"/>
    <col min="15629" max="15629" width="9" style="68" customWidth="1"/>
    <col min="15630" max="15630" width="9.625" style="68" customWidth="1"/>
    <col min="15631" max="15631" width="16.25" style="68" customWidth="1"/>
    <col min="15632" max="15872" width="9" style="68"/>
    <col min="15873" max="15873" width="12" style="68" customWidth="1"/>
    <col min="15874" max="15874" width="17.25" style="68" customWidth="1"/>
    <col min="15875" max="15875" width="8.75" style="68" customWidth="1"/>
    <col min="15876" max="15876" width="8.375" style="68" customWidth="1"/>
    <col min="15877" max="15877" width="10.375" style="68" customWidth="1"/>
    <col min="15878" max="15878" width="9.125" style="68" customWidth="1"/>
    <col min="15879" max="15879" width="9.25" style="68" customWidth="1"/>
    <col min="15880" max="15880" width="8.875" style="68" customWidth="1"/>
    <col min="15881" max="15881" width="10" style="68" customWidth="1"/>
    <col min="15882" max="15882" width="9.875" style="68" customWidth="1"/>
    <col min="15883" max="15883" width="9" style="68" customWidth="1"/>
    <col min="15884" max="15884" width="10.75" style="68" customWidth="1"/>
    <col min="15885" max="15885" width="9" style="68" customWidth="1"/>
    <col min="15886" max="15886" width="9.625" style="68" customWidth="1"/>
    <col min="15887" max="15887" width="16.25" style="68" customWidth="1"/>
    <col min="15888" max="16128" width="9" style="68"/>
    <col min="16129" max="16129" width="12" style="68" customWidth="1"/>
    <col min="16130" max="16130" width="17.25" style="68" customWidth="1"/>
    <col min="16131" max="16131" width="8.75" style="68" customWidth="1"/>
    <col min="16132" max="16132" width="8.375" style="68" customWidth="1"/>
    <col min="16133" max="16133" width="10.375" style="68" customWidth="1"/>
    <col min="16134" max="16134" width="9.125" style="68" customWidth="1"/>
    <col min="16135" max="16135" width="9.25" style="68" customWidth="1"/>
    <col min="16136" max="16136" width="8.875" style="68" customWidth="1"/>
    <col min="16137" max="16137" width="10" style="68" customWidth="1"/>
    <col min="16138" max="16138" width="9.875" style="68" customWidth="1"/>
    <col min="16139" max="16139" width="9" style="68" customWidth="1"/>
    <col min="16140" max="16140" width="10.75" style="68" customWidth="1"/>
    <col min="16141" max="16141" width="9" style="68" customWidth="1"/>
    <col min="16142" max="16142" width="9.625" style="68" customWidth="1"/>
    <col min="16143" max="16143" width="16.25" style="68" customWidth="1"/>
    <col min="16144" max="16384" width="9" style="68"/>
  </cols>
  <sheetData>
    <row r="1" spans="1:14" ht="20.25">
      <c r="A1" s="815" t="s">
        <v>525</v>
      </c>
      <c r="B1" s="815"/>
      <c r="C1" s="815"/>
      <c r="D1" s="815"/>
      <c r="E1" s="815"/>
      <c r="F1" s="815"/>
      <c r="G1" s="815"/>
      <c r="H1" s="815"/>
      <c r="I1" s="815"/>
      <c r="J1" s="815"/>
      <c r="K1" s="815"/>
      <c r="L1" s="815"/>
      <c r="M1" s="815"/>
      <c r="N1" s="815"/>
    </row>
    <row r="2" spans="1:14" ht="21">
      <c r="A2" s="88" t="s">
        <v>526</v>
      </c>
      <c r="B2" s="154"/>
      <c r="C2" s="155"/>
      <c r="D2" s="155"/>
      <c r="E2" s="155"/>
      <c r="F2" s="155"/>
      <c r="G2" s="155"/>
      <c r="H2" s="155"/>
      <c r="I2" s="155"/>
      <c r="J2" s="155"/>
      <c r="K2" s="155"/>
      <c r="L2" s="155"/>
      <c r="M2" s="155"/>
      <c r="N2" s="155"/>
    </row>
    <row r="3" spans="1:14" ht="12.75">
      <c r="A3" s="65" t="s">
        <v>527</v>
      </c>
      <c r="B3" s="65"/>
      <c r="C3" s="74"/>
      <c r="D3" s="74"/>
      <c r="E3" s="74"/>
      <c r="F3" s="74"/>
      <c r="G3" s="74"/>
      <c r="H3" s="74"/>
      <c r="I3" s="74"/>
      <c r="J3" s="75"/>
      <c r="K3" s="75"/>
      <c r="L3" s="75"/>
      <c r="M3" s="75"/>
      <c r="N3" s="75"/>
    </row>
    <row r="4" spans="1:14" ht="12.75">
      <c r="A4" s="65" t="s">
        <v>528</v>
      </c>
      <c r="B4" s="65"/>
      <c r="C4" s="74"/>
      <c r="D4" s="74"/>
      <c r="E4" s="74"/>
      <c r="F4" s="74"/>
      <c r="G4" s="74"/>
      <c r="H4" s="74"/>
      <c r="I4" s="74"/>
      <c r="J4" s="75"/>
      <c r="K4" s="75"/>
      <c r="L4" s="75"/>
      <c r="M4" s="75"/>
      <c r="N4" s="75"/>
    </row>
    <row r="5" spans="1:14" ht="12.75">
      <c r="A5" s="156" t="s">
        <v>529</v>
      </c>
      <c r="B5" s="65"/>
      <c r="C5" s="74"/>
      <c r="D5" s="74"/>
      <c r="E5" s="157"/>
      <c r="F5" s="158"/>
      <c r="G5" s="643" t="s">
        <v>756</v>
      </c>
      <c r="H5" s="643" t="s">
        <v>757</v>
      </c>
      <c r="I5" s="643" t="s">
        <v>758</v>
      </c>
      <c r="J5" s="643" t="s">
        <v>759</v>
      </c>
      <c r="K5" s="643" t="s">
        <v>760</v>
      </c>
      <c r="L5" s="65"/>
      <c r="M5" s="65"/>
      <c r="N5" s="65"/>
    </row>
    <row r="6" spans="1:14" ht="19.5" customHeight="1">
      <c r="A6" s="159" t="s">
        <v>530</v>
      </c>
      <c r="B6" s="160"/>
      <c r="C6" s="161" t="s">
        <v>531</v>
      </c>
      <c r="D6" s="162"/>
      <c r="E6" s="157"/>
      <c r="F6" s="163" t="s">
        <v>532</v>
      </c>
      <c r="G6" s="164">
        <v>3</v>
      </c>
      <c r="H6" s="164">
        <v>2</v>
      </c>
      <c r="I6" s="164">
        <v>1</v>
      </c>
      <c r="J6" s="164">
        <v>0.2</v>
      </c>
      <c r="K6" s="192">
        <v>0.1</v>
      </c>
      <c r="L6" s="65"/>
      <c r="M6" s="65"/>
      <c r="N6" s="65"/>
    </row>
    <row r="7" spans="1:14" ht="5.25" customHeight="1">
      <c r="A7" s="165"/>
      <c r="B7" s="65"/>
      <c r="C7" s="165"/>
      <c r="D7" s="74"/>
      <c r="E7" s="74"/>
      <c r="F7" s="74"/>
      <c r="G7" s="74"/>
      <c r="H7" s="74"/>
      <c r="I7" s="74"/>
      <c r="J7" s="65"/>
      <c r="K7" s="65"/>
      <c r="L7" s="65"/>
      <c r="M7" s="65"/>
      <c r="N7" s="65"/>
    </row>
    <row r="8" spans="1:14" ht="15" customHeight="1">
      <c r="A8" s="877" t="s">
        <v>533</v>
      </c>
      <c r="B8" s="870" t="s">
        <v>503</v>
      </c>
      <c r="C8" s="870"/>
      <c r="D8" s="870"/>
      <c r="E8" s="870"/>
      <c r="F8" s="870"/>
      <c r="G8" s="872" t="s">
        <v>534</v>
      </c>
      <c r="H8" s="872" t="s">
        <v>351</v>
      </c>
      <c r="I8" s="870" t="s">
        <v>535</v>
      </c>
      <c r="J8" s="870" t="s">
        <v>536</v>
      </c>
      <c r="K8" s="870" t="s">
        <v>537</v>
      </c>
      <c r="L8" s="871" t="s">
        <v>438</v>
      </c>
      <c r="M8" s="871"/>
      <c r="N8" s="871"/>
    </row>
    <row r="9" spans="1:14" ht="15" customHeight="1">
      <c r="A9" s="870"/>
      <c r="B9" s="643" t="s">
        <v>751</v>
      </c>
      <c r="C9" s="643" t="s">
        <v>752</v>
      </c>
      <c r="D9" s="643" t="s">
        <v>753</v>
      </c>
      <c r="E9" s="643" t="s">
        <v>754</v>
      </c>
      <c r="F9" s="643" t="s">
        <v>755</v>
      </c>
      <c r="G9" s="873"/>
      <c r="H9" s="873"/>
      <c r="I9" s="870"/>
      <c r="J9" s="870"/>
      <c r="K9" s="870"/>
      <c r="L9" s="193" t="s">
        <v>151</v>
      </c>
      <c r="M9" s="194" t="s">
        <v>152</v>
      </c>
      <c r="N9" s="193" t="s">
        <v>378</v>
      </c>
    </row>
    <row r="10" spans="1:14" ht="15" customHeight="1">
      <c r="A10" s="166" t="str">
        <f t="shared" ref="A10:A13" si="0">CONCATENATE("测试第",ROW(A10)-ROW($A$9),"轮")</f>
        <v>测试第1轮</v>
      </c>
      <c r="B10" s="167"/>
      <c r="C10" s="167"/>
      <c r="D10" s="167"/>
      <c r="E10" s="167"/>
      <c r="F10" s="167"/>
      <c r="G10" s="168">
        <f>I10-H10</f>
        <v>0</v>
      </c>
      <c r="H10" s="169"/>
      <c r="I10" s="168">
        <f>B10*$G$6+C10*$H$6+D10*$I$6+E10*$J$6+F10*$K$6</f>
        <v>0</v>
      </c>
      <c r="J10" s="195"/>
      <c r="K10" s="196" t="e">
        <f t="shared" ref="K10:K16" si="1">I10/J10</f>
        <v>#DIV/0!</v>
      </c>
      <c r="L10" s="197">
        <f t="shared" ref="L10:L14" si="2">$L$15</f>
        <v>0</v>
      </c>
      <c r="M10" s="198">
        <f t="shared" ref="M10:M14" si="3">$M$15</f>
        <v>0.51200000000000001</v>
      </c>
      <c r="N10" s="197">
        <f t="shared" ref="N10:N14" si="4">$N$15</f>
        <v>1.452</v>
      </c>
    </row>
    <row r="11" spans="1:14" ht="15" customHeight="1">
      <c r="A11" s="166" t="str">
        <f t="shared" si="0"/>
        <v>测试第2轮</v>
      </c>
      <c r="B11" s="167"/>
      <c r="C11" s="167"/>
      <c r="D11" s="167"/>
      <c r="E11" s="167"/>
      <c r="F11" s="167"/>
      <c r="G11" s="168">
        <f t="shared" ref="G11:G13" si="5">I11-H11</f>
        <v>0</v>
      </c>
      <c r="H11" s="169"/>
      <c r="I11" s="168">
        <f t="shared" ref="I11:I16" si="6">B11*$G$6+C11*$H$6+D11*$I$6+E11*$J$6+F11*$K$6</f>
        <v>0</v>
      </c>
      <c r="J11" s="195"/>
      <c r="K11" s="196" t="e">
        <f t="shared" si="1"/>
        <v>#DIV/0!</v>
      </c>
      <c r="L11" s="197">
        <f t="shared" si="2"/>
        <v>0</v>
      </c>
      <c r="M11" s="198">
        <f t="shared" si="3"/>
        <v>0.51200000000000001</v>
      </c>
      <c r="N11" s="197">
        <f t="shared" si="4"/>
        <v>1.452</v>
      </c>
    </row>
    <row r="12" spans="1:14" ht="15" customHeight="1">
      <c r="A12" s="166" t="str">
        <f t="shared" si="0"/>
        <v>测试第3轮</v>
      </c>
      <c r="B12" s="167"/>
      <c r="C12" s="167"/>
      <c r="D12" s="167"/>
      <c r="E12" s="167"/>
      <c r="F12" s="167"/>
      <c r="G12" s="168">
        <f t="shared" si="5"/>
        <v>0</v>
      </c>
      <c r="H12" s="169"/>
      <c r="I12" s="168">
        <f t="shared" si="6"/>
        <v>0</v>
      </c>
      <c r="J12" s="195"/>
      <c r="K12" s="196" t="e">
        <f t="shared" si="1"/>
        <v>#DIV/0!</v>
      </c>
      <c r="L12" s="197">
        <f t="shared" si="2"/>
        <v>0</v>
      </c>
      <c r="M12" s="198">
        <f t="shared" si="3"/>
        <v>0.51200000000000001</v>
      </c>
      <c r="N12" s="197">
        <f t="shared" si="4"/>
        <v>1.452</v>
      </c>
    </row>
    <row r="13" spans="1:14">
      <c r="A13" s="166" t="str">
        <f t="shared" si="0"/>
        <v>测试第4轮</v>
      </c>
      <c r="B13" s="167"/>
      <c r="C13" s="167"/>
      <c r="D13" s="167"/>
      <c r="E13" s="167"/>
      <c r="F13" s="167"/>
      <c r="G13" s="168">
        <f t="shared" si="5"/>
        <v>0</v>
      </c>
      <c r="H13" s="169"/>
      <c r="I13" s="168">
        <f t="shared" si="6"/>
        <v>0</v>
      </c>
      <c r="J13" s="195"/>
      <c r="K13" s="196" t="e">
        <f t="shared" si="1"/>
        <v>#DIV/0!</v>
      </c>
      <c r="L13" s="197">
        <f t="shared" si="2"/>
        <v>0</v>
      </c>
      <c r="M13" s="198">
        <f t="shared" si="3"/>
        <v>0.51200000000000001</v>
      </c>
      <c r="N13" s="197">
        <f t="shared" si="4"/>
        <v>1.452</v>
      </c>
    </row>
    <row r="14" spans="1:14">
      <c r="A14" s="166" t="s">
        <v>538</v>
      </c>
      <c r="B14" s="170" t="str">
        <f t="shared" ref="B14:F14" si="7">"-"</f>
        <v>-</v>
      </c>
      <c r="C14" s="170" t="str">
        <f t="shared" si="7"/>
        <v>-</v>
      </c>
      <c r="D14" s="170" t="str">
        <f t="shared" si="7"/>
        <v>-</v>
      </c>
      <c r="E14" s="170" t="str">
        <f t="shared" si="7"/>
        <v>-</v>
      </c>
      <c r="F14" s="170" t="str">
        <f t="shared" si="7"/>
        <v>-</v>
      </c>
      <c r="G14" s="171" t="s">
        <v>156</v>
      </c>
      <c r="H14" s="171" t="s">
        <v>156</v>
      </c>
      <c r="I14" s="199" t="e">
        <f t="shared" si="6"/>
        <v>#VALUE!</v>
      </c>
      <c r="J14" s="200" t="s">
        <v>156</v>
      </c>
      <c r="K14" s="201" t="e">
        <f t="shared" si="1"/>
        <v>#VALUE!</v>
      </c>
      <c r="L14" s="202">
        <f t="shared" si="2"/>
        <v>0</v>
      </c>
      <c r="M14" s="202">
        <f t="shared" si="3"/>
        <v>0.51200000000000001</v>
      </c>
      <c r="N14" s="202">
        <f t="shared" si="4"/>
        <v>1.452</v>
      </c>
    </row>
    <row r="15" spans="1:14" ht="12.75" customHeight="1">
      <c r="A15" s="166" t="s">
        <v>539</v>
      </c>
      <c r="B15" s="172">
        <f t="shared" ref="B15:H15" si="8">SUM(B10:B14)</f>
        <v>0</v>
      </c>
      <c r="C15" s="172">
        <f t="shared" si="8"/>
        <v>0</v>
      </c>
      <c r="D15" s="172">
        <f t="shared" si="8"/>
        <v>0</v>
      </c>
      <c r="E15" s="172">
        <f t="shared" si="8"/>
        <v>0</v>
      </c>
      <c r="F15" s="172">
        <f t="shared" si="8"/>
        <v>0</v>
      </c>
      <c r="G15" s="168">
        <f t="shared" si="8"/>
        <v>0</v>
      </c>
      <c r="H15" s="168">
        <f t="shared" si="8"/>
        <v>0</v>
      </c>
      <c r="I15" s="168">
        <f t="shared" si="6"/>
        <v>0</v>
      </c>
      <c r="J15" s="203">
        <f>规模!C11</f>
        <v>0</v>
      </c>
      <c r="K15" s="196" t="e">
        <f t="shared" si="1"/>
        <v>#DIV/0!</v>
      </c>
      <c r="L15" s="197">
        <f>IF($B$6="强测试",0,0)</f>
        <v>0</v>
      </c>
      <c r="M15" s="198">
        <f>IF($B$6="强测试",1.9941,0.512)</f>
        <v>0.51200000000000001</v>
      </c>
      <c r="N15" s="197">
        <f>IF($B$6="强测试",4.9096,1.452)</f>
        <v>1.452</v>
      </c>
    </row>
    <row r="16" spans="1:14" ht="12.75" customHeight="1">
      <c r="A16" s="166" t="s">
        <v>328</v>
      </c>
      <c r="B16" s="167"/>
      <c r="C16" s="167"/>
      <c r="D16" s="167"/>
      <c r="E16" s="167"/>
      <c r="F16" s="167"/>
      <c r="G16" s="167"/>
      <c r="H16" s="167"/>
      <c r="I16" s="168">
        <f t="shared" si="6"/>
        <v>0</v>
      </c>
      <c r="J16" s="203">
        <f>规模!C11</f>
        <v>0</v>
      </c>
      <c r="K16" s="196" t="e">
        <f t="shared" si="1"/>
        <v>#DIV/0!</v>
      </c>
      <c r="L16" s="197">
        <f>IF($D$6="内部验收",0.013,0.013)</f>
        <v>1.2999999999999999E-2</v>
      </c>
      <c r="M16" s="198">
        <f>IF($D$6="内部验收",0.0324,0.033)</f>
        <v>3.3000000000000002E-2</v>
      </c>
      <c r="N16" s="197">
        <f>IF($D$6="内部验收",0.0677,0.0709)</f>
        <v>7.0900000000000005E-2</v>
      </c>
    </row>
    <row r="17" spans="1:14">
      <c r="A17" s="173" t="s">
        <v>288</v>
      </c>
      <c r="B17" s="174" t="s">
        <v>156</v>
      </c>
      <c r="C17" s="174" t="s">
        <v>156</v>
      </c>
      <c r="D17" s="174" t="s">
        <v>156</v>
      </c>
      <c r="E17" s="174" t="s">
        <v>156</v>
      </c>
      <c r="F17" s="174" t="s">
        <v>156</v>
      </c>
      <c r="G17" s="174" t="s">
        <v>156</v>
      </c>
      <c r="H17" s="174" t="s">
        <v>156</v>
      </c>
      <c r="I17" s="204"/>
      <c r="J17" s="204" t="s">
        <v>156</v>
      </c>
      <c r="K17" s="205" t="e">
        <f>I17/(I15+I16+过程产出缺陷度量!I113)</f>
        <v>#DIV/0!</v>
      </c>
      <c r="L17" s="197">
        <v>0</v>
      </c>
      <c r="M17" s="198">
        <v>2.9600000000000001E-2</v>
      </c>
      <c r="N17" s="197">
        <v>8.3503875379939196E-2</v>
      </c>
    </row>
    <row r="18" spans="1:14" ht="12.75" customHeight="1"/>
    <row r="19" spans="1:14" ht="16.5" customHeight="1"/>
    <row r="20" spans="1:14" ht="23.1" customHeight="1">
      <c r="L20" s="206"/>
      <c r="M20" s="206"/>
      <c r="N20" s="206"/>
    </row>
    <row r="21" spans="1:14">
      <c r="L21" s="206"/>
      <c r="M21" s="206"/>
      <c r="N21" s="206"/>
    </row>
    <row r="22" spans="1:14" ht="15" customHeight="1"/>
    <row r="23" spans="1:14" ht="12" customHeight="1"/>
    <row r="24" spans="1:14" ht="24.95" customHeight="1"/>
    <row r="25" spans="1:14" ht="18" customHeight="1"/>
    <row r="27" spans="1:14" ht="23.1" customHeight="1"/>
    <row r="28" spans="1:14" ht="23.1" customHeight="1"/>
    <row r="29" spans="1:14" ht="23.1" customHeight="1"/>
    <row r="30" spans="1:14" ht="23.1" customHeight="1"/>
    <row r="31" spans="1:14" ht="23.1" customHeight="1">
      <c r="A31" s="97" t="s">
        <v>540</v>
      </c>
      <c r="B31" s="89"/>
      <c r="G31" s="97" t="s">
        <v>541</v>
      </c>
      <c r="H31" s="106"/>
      <c r="I31" s="89"/>
      <c r="J31" s="89"/>
    </row>
    <row r="32" spans="1:14" ht="23.1" customHeight="1">
      <c r="A32" s="98" t="s">
        <v>542</v>
      </c>
      <c r="G32" s="98" t="s">
        <v>543</v>
      </c>
    </row>
    <row r="33" spans="1:15" ht="23.1" customHeight="1">
      <c r="A33" s="175" t="s">
        <v>544</v>
      </c>
      <c r="F33" s="176"/>
      <c r="G33" s="175" t="s">
        <v>545</v>
      </c>
      <c r="H33" s="98"/>
      <c r="M33" s="176"/>
      <c r="N33" s="176"/>
    </row>
    <row r="34" spans="1:15" ht="15.75" customHeight="1">
      <c r="A34" s="882" t="s">
        <v>546</v>
      </c>
      <c r="B34" s="177" t="s">
        <v>547</v>
      </c>
      <c r="C34" s="178"/>
      <c r="D34" s="884" t="s">
        <v>548</v>
      </c>
      <c r="E34" s="886" t="e">
        <f>1-(C34/C35)</f>
        <v>#DIV/0!</v>
      </c>
      <c r="F34" s="176"/>
      <c r="G34" s="888" t="s">
        <v>549</v>
      </c>
      <c r="H34" s="891" t="s">
        <v>550</v>
      </c>
      <c r="I34" s="913" t="s">
        <v>551</v>
      </c>
      <c r="J34" s="914"/>
      <c r="K34" s="912" t="s">
        <v>150</v>
      </c>
      <c r="M34" s="176"/>
      <c r="N34" s="176"/>
    </row>
    <row r="35" spans="1:15" ht="23.1" customHeight="1">
      <c r="A35" s="883"/>
      <c r="B35" s="179" t="s">
        <v>552</v>
      </c>
      <c r="C35" s="180"/>
      <c r="D35" s="885"/>
      <c r="E35" s="887"/>
      <c r="G35" s="889"/>
      <c r="H35" s="892"/>
      <c r="I35" s="915"/>
      <c r="J35" s="916"/>
      <c r="K35" s="912"/>
      <c r="O35" s="67"/>
    </row>
    <row r="36" spans="1:15" ht="23.1" customHeight="1">
      <c r="G36" s="890"/>
      <c r="H36" s="181">
        <v>12</v>
      </c>
      <c r="I36" s="878">
        <v>10</v>
      </c>
      <c r="J36" s="879"/>
      <c r="K36" s="207"/>
      <c r="O36" s="67"/>
    </row>
    <row r="37" spans="1:15" ht="23.1" customHeight="1">
      <c r="A37" s="882" t="s">
        <v>224</v>
      </c>
      <c r="B37" s="177" t="s">
        <v>553</v>
      </c>
      <c r="C37" s="178"/>
      <c r="D37" s="884" t="s">
        <v>548</v>
      </c>
      <c r="E37" s="886" t="e">
        <f>1-(C37/C38)</f>
        <v>#DIV/0!</v>
      </c>
      <c r="G37" s="182"/>
      <c r="H37" s="183"/>
      <c r="I37" s="183"/>
      <c r="J37" s="183"/>
      <c r="K37" s="148"/>
      <c r="O37" s="67"/>
    </row>
    <row r="38" spans="1:15" ht="23.1" customHeight="1">
      <c r="A38" s="883"/>
      <c r="B38" s="179" t="s">
        <v>554</v>
      </c>
      <c r="C38" s="180"/>
      <c r="D38" s="885"/>
      <c r="E38" s="887"/>
      <c r="G38" s="182"/>
      <c r="H38" s="183"/>
      <c r="I38" s="183"/>
      <c r="J38" s="183"/>
      <c r="K38" s="148"/>
      <c r="O38" s="67"/>
    </row>
    <row r="39" spans="1:15">
      <c r="G39" s="182"/>
      <c r="H39" s="183"/>
      <c r="I39" s="183"/>
      <c r="J39" s="183"/>
      <c r="K39" s="148"/>
    </row>
    <row r="40" spans="1:15">
      <c r="A40" s="97" t="s">
        <v>555</v>
      </c>
      <c r="B40" s="89"/>
    </row>
    <row r="41" spans="1:15">
      <c r="A41" s="98" t="s">
        <v>556</v>
      </c>
    </row>
    <row r="42" spans="1:15" ht="23.1" customHeight="1">
      <c r="A42" s="175" t="s">
        <v>557</v>
      </c>
    </row>
    <row r="43" spans="1:15" ht="23.1" customHeight="1"/>
    <row r="44" spans="1:15" ht="23.1" customHeight="1">
      <c r="A44" s="184" t="s">
        <v>81</v>
      </c>
      <c r="B44" s="185" t="s">
        <v>558</v>
      </c>
      <c r="C44" s="185" t="s">
        <v>559</v>
      </c>
      <c r="D44" s="880" t="s">
        <v>150</v>
      </c>
      <c r="E44" s="881"/>
    </row>
    <row r="45" spans="1:15" ht="23.1" customHeight="1">
      <c r="A45" s="186">
        <v>1</v>
      </c>
      <c r="B45" s="634"/>
      <c r="C45" s="187"/>
      <c r="D45" s="893"/>
      <c r="E45" s="894"/>
    </row>
    <row r="46" spans="1:15" ht="23.1" customHeight="1">
      <c r="A46" s="186">
        <v>2</v>
      </c>
      <c r="B46" s="634"/>
      <c r="C46" s="187"/>
      <c r="D46" s="893"/>
      <c r="E46" s="894"/>
    </row>
    <row r="47" spans="1:15" ht="23.1" customHeight="1">
      <c r="A47" s="186">
        <v>3</v>
      </c>
      <c r="B47" s="634"/>
      <c r="C47" s="187"/>
      <c r="D47" s="893"/>
      <c r="E47" s="894"/>
    </row>
    <row r="48" spans="1:15" ht="23.1" customHeight="1">
      <c r="A48" s="188">
        <v>4</v>
      </c>
      <c r="B48" s="635"/>
      <c r="C48" s="189"/>
      <c r="D48" s="895"/>
      <c r="E48" s="896"/>
    </row>
    <row r="49" spans="1:14" ht="23.1" customHeight="1">
      <c r="B49" s="67"/>
    </row>
    <row r="50" spans="1:14">
      <c r="B50" s="67"/>
    </row>
    <row r="51" spans="1:14">
      <c r="A51" s="97" t="s">
        <v>560</v>
      </c>
      <c r="B51" s="642"/>
    </row>
    <row r="52" spans="1:14">
      <c r="A52" s="98" t="s">
        <v>561</v>
      </c>
      <c r="B52" s="67"/>
    </row>
    <row r="53" spans="1:14" ht="20.25" customHeight="1">
      <c r="A53" s="175" t="s">
        <v>557</v>
      </c>
      <c r="B53" s="67"/>
    </row>
    <row r="54" spans="1:14">
      <c r="A54" s="184" t="s">
        <v>81</v>
      </c>
      <c r="B54" s="184" t="s">
        <v>562</v>
      </c>
      <c r="C54" s="185" t="s">
        <v>559</v>
      </c>
      <c r="D54" s="880" t="s">
        <v>150</v>
      </c>
      <c r="E54" s="881"/>
    </row>
    <row r="55" spans="1:14">
      <c r="A55" s="186">
        <v>1</v>
      </c>
      <c r="B55" s="636"/>
      <c r="C55" s="190"/>
      <c r="D55" s="897"/>
      <c r="E55" s="898"/>
    </row>
    <row r="56" spans="1:14">
      <c r="A56" s="186">
        <v>2</v>
      </c>
      <c r="B56" s="636"/>
      <c r="C56" s="190"/>
      <c r="D56" s="897"/>
      <c r="E56" s="898"/>
    </row>
    <row r="57" spans="1:14">
      <c r="A57" s="186">
        <v>3</v>
      </c>
      <c r="B57" s="636"/>
      <c r="C57" s="190"/>
      <c r="D57" s="897"/>
      <c r="E57" s="898"/>
    </row>
    <row r="58" spans="1:14">
      <c r="A58" s="186">
        <v>4</v>
      </c>
      <c r="B58" s="636"/>
      <c r="C58" s="190"/>
      <c r="D58" s="897"/>
      <c r="E58" s="898"/>
    </row>
    <row r="59" spans="1:14">
      <c r="A59" s="188">
        <v>4</v>
      </c>
      <c r="B59" s="637"/>
      <c r="C59" s="191"/>
      <c r="D59" s="899"/>
      <c r="E59" s="900"/>
    </row>
    <row r="60" spans="1:14">
      <c r="B60" s="67"/>
    </row>
    <row r="61" spans="1:14">
      <c r="B61" s="67"/>
    </row>
    <row r="62" spans="1:14">
      <c r="A62" s="98" t="s">
        <v>563</v>
      </c>
      <c r="B62" s="67"/>
      <c r="H62" s="67"/>
      <c r="I62" s="208"/>
      <c r="J62" s="67"/>
      <c r="K62" s="67"/>
      <c r="L62" s="67"/>
      <c r="M62" s="208"/>
      <c r="N62" s="67"/>
    </row>
    <row r="63" spans="1:14">
      <c r="A63" s="98" t="s">
        <v>564</v>
      </c>
      <c r="B63" s="67"/>
    </row>
    <row r="64" spans="1:14">
      <c r="A64" s="98" t="s">
        <v>565</v>
      </c>
      <c r="B64" s="67"/>
      <c r="I64" s="98"/>
    </row>
    <row r="65" spans="1:9">
      <c r="A65" s="98" t="s">
        <v>566</v>
      </c>
      <c r="B65" s="67"/>
      <c r="I65" s="98"/>
    </row>
    <row r="66" spans="1:9">
      <c r="A66" s="184" t="s">
        <v>81</v>
      </c>
      <c r="B66" s="184" t="s">
        <v>567</v>
      </c>
      <c r="C66" s="185" t="s">
        <v>559</v>
      </c>
      <c r="D66" s="901" t="s">
        <v>150</v>
      </c>
      <c r="E66" s="902"/>
      <c r="F66" s="903"/>
    </row>
    <row r="67" spans="1:9">
      <c r="A67" s="186">
        <v>1</v>
      </c>
      <c r="B67" s="638"/>
      <c r="C67" s="190"/>
      <c r="D67" s="904"/>
      <c r="E67" s="905"/>
      <c r="F67" s="906"/>
      <c r="I67" s="98"/>
    </row>
    <row r="68" spans="1:9">
      <c r="A68" s="186">
        <v>2</v>
      </c>
      <c r="B68" s="639"/>
      <c r="C68" s="190"/>
      <c r="D68" s="904"/>
      <c r="E68" s="905"/>
      <c r="F68" s="906"/>
    </row>
    <row r="69" spans="1:9">
      <c r="A69" s="186">
        <v>3</v>
      </c>
      <c r="B69" s="639"/>
      <c r="C69" s="190"/>
      <c r="D69" s="904"/>
      <c r="E69" s="905"/>
      <c r="F69" s="906"/>
    </row>
    <row r="70" spans="1:9">
      <c r="A70" s="186">
        <v>4</v>
      </c>
      <c r="B70" s="639"/>
      <c r="C70" s="190"/>
      <c r="D70" s="904"/>
      <c r="E70" s="905"/>
      <c r="F70" s="906"/>
    </row>
    <row r="71" spans="1:9">
      <c r="A71" s="186">
        <v>5</v>
      </c>
      <c r="B71" s="640"/>
      <c r="C71" s="209"/>
      <c r="D71" s="904"/>
      <c r="E71" s="905"/>
      <c r="F71" s="906"/>
    </row>
    <row r="72" spans="1:9">
      <c r="A72" s="210">
        <v>6</v>
      </c>
      <c r="B72" s="211"/>
      <c r="C72" s="211"/>
      <c r="D72" s="904"/>
      <c r="E72" s="905"/>
      <c r="F72" s="906"/>
    </row>
    <row r="73" spans="1:9">
      <c r="A73" s="212">
        <v>7</v>
      </c>
      <c r="B73" s="641"/>
      <c r="C73" s="213"/>
      <c r="D73" s="907"/>
      <c r="E73" s="908"/>
      <c r="F73" s="909"/>
    </row>
    <row r="74" spans="1:9">
      <c r="B74" s="67"/>
    </row>
    <row r="76" spans="1:9" ht="27" customHeight="1"/>
    <row r="106" spans="1:11">
      <c r="A106" s="910" t="s">
        <v>568</v>
      </c>
      <c r="B106" s="910"/>
      <c r="C106" s="910"/>
      <c r="D106" s="910"/>
      <c r="E106" s="910"/>
      <c r="F106" s="910"/>
      <c r="G106" s="910"/>
      <c r="H106" s="910"/>
      <c r="I106" s="910"/>
      <c r="J106" s="910"/>
      <c r="K106" s="910"/>
    </row>
    <row r="107" spans="1:11" ht="12.75">
      <c r="A107" s="214" t="s">
        <v>569</v>
      </c>
      <c r="B107" s="215" t="s">
        <v>570</v>
      </c>
      <c r="C107" s="215" t="s">
        <v>571</v>
      </c>
      <c r="D107" s="215" t="s">
        <v>572</v>
      </c>
      <c r="E107" s="215" t="s">
        <v>573</v>
      </c>
      <c r="F107" s="215" t="s">
        <v>574</v>
      </c>
      <c r="G107" s="215" t="s">
        <v>575</v>
      </c>
      <c r="H107" s="215" t="s">
        <v>576</v>
      </c>
      <c r="I107" s="229" t="s">
        <v>562</v>
      </c>
      <c r="J107" s="229" t="s">
        <v>577</v>
      </c>
      <c r="K107" s="229" t="s">
        <v>578</v>
      </c>
    </row>
    <row r="108" spans="1:11" ht="12.75">
      <c r="A108" s="216" t="s">
        <v>579</v>
      </c>
      <c r="B108" s="217" t="s">
        <v>580</v>
      </c>
      <c r="C108" s="218" t="s">
        <v>581</v>
      </c>
      <c r="D108" s="218" t="s">
        <v>582</v>
      </c>
      <c r="E108" s="218" t="s">
        <v>583</v>
      </c>
      <c r="F108" s="218" t="s">
        <v>584</v>
      </c>
      <c r="G108" s="218" t="s">
        <v>585</v>
      </c>
      <c r="H108" s="218" t="s">
        <v>586</v>
      </c>
      <c r="I108" s="230" t="s">
        <v>587</v>
      </c>
      <c r="J108" s="230" t="s">
        <v>68</v>
      </c>
      <c r="K108" s="230" t="s">
        <v>588</v>
      </c>
    </row>
    <row r="109" spans="1:11" ht="26.25">
      <c r="A109" s="219" t="s">
        <v>589</v>
      </c>
      <c r="B109" s="217" t="s">
        <v>590</v>
      </c>
      <c r="C109" s="218" t="s">
        <v>591</v>
      </c>
      <c r="D109" s="218" t="s">
        <v>592</v>
      </c>
      <c r="E109" s="218" t="s">
        <v>593</v>
      </c>
      <c r="F109" s="218" t="s">
        <v>594</v>
      </c>
      <c r="G109" s="218" t="s">
        <v>595</v>
      </c>
      <c r="H109" s="218" t="s">
        <v>596</v>
      </c>
      <c r="I109" s="230" t="s">
        <v>597</v>
      </c>
      <c r="J109" s="230" t="s">
        <v>582</v>
      </c>
      <c r="K109" s="230" t="s">
        <v>598</v>
      </c>
    </row>
    <row r="110" spans="1:11" ht="26.25">
      <c r="A110" s="220" t="s">
        <v>599</v>
      </c>
      <c r="B110" s="217" t="s">
        <v>600</v>
      </c>
      <c r="C110" s="218" t="s">
        <v>601</v>
      </c>
      <c r="D110" s="221"/>
      <c r="E110" s="218" t="s">
        <v>602</v>
      </c>
      <c r="F110" s="218" t="s">
        <v>603</v>
      </c>
      <c r="G110" s="218" t="s">
        <v>604</v>
      </c>
      <c r="H110" s="218" t="s">
        <v>605</v>
      </c>
      <c r="I110" s="230" t="s">
        <v>606</v>
      </c>
      <c r="J110" s="230" t="s">
        <v>607</v>
      </c>
      <c r="K110" s="230" t="s">
        <v>608</v>
      </c>
    </row>
    <row r="111" spans="1:11" ht="16.5">
      <c r="A111" s="222" t="s">
        <v>609</v>
      </c>
      <c r="B111" s="217" t="s">
        <v>610</v>
      </c>
      <c r="C111" s="218" t="s">
        <v>611</v>
      </c>
      <c r="D111" s="221"/>
      <c r="E111" s="218" t="s">
        <v>612</v>
      </c>
      <c r="F111" s="221"/>
      <c r="G111" s="218" t="s">
        <v>613</v>
      </c>
      <c r="H111" s="218" t="s">
        <v>614</v>
      </c>
      <c r="I111" s="230" t="s">
        <v>615</v>
      </c>
      <c r="J111" s="218" t="s">
        <v>616</v>
      </c>
      <c r="K111" s="218"/>
    </row>
    <row r="112" spans="1:11" ht="16.5">
      <c r="A112" s="223" t="s">
        <v>617</v>
      </c>
      <c r="B112" s="224" t="s">
        <v>618</v>
      </c>
      <c r="C112" s="218" t="s">
        <v>619</v>
      </c>
      <c r="D112" s="221"/>
      <c r="E112" s="218" t="s">
        <v>620</v>
      </c>
      <c r="F112" s="221"/>
      <c r="G112" s="221"/>
      <c r="H112" s="221"/>
      <c r="I112" s="218" t="s">
        <v>616</v>
      </c>
      <c r="J112" s="218"/>
      <c r="K112" s="218"/>
    </row>
    <row r="113" spans="1:11" ht="24">
      <c r="A113" s="225" t="s">
        <v>621</v>
      </c>
      <c r="B113" s="224" t="s">
        <v>622</v>
      </c>
      <c r="C113" s="218" t="s">
        <v>623</v>
      </c>
      <c r="D113" s="221"/>
      <c r="E113" s="218" t="s">
        <v>624</v>
      </c>
      <c r="F113" s="221"/>
      <c r="G113" s="221"/>
      <c r="H113" s="221"/>
      <c r="I113" s="231"/>
      <c r="J113" s="231"/>
      <c r="K113" s="231"/>
    </row>
    <row r="114" spans="1:11" ht="24">
      <c r="A114" s="216" t="s">
        <v>625</v>
      </c>
      <c r="B114" s="224" t="s">
        <v>626</v>
      </c>
      <c r="C114" s="218" t="s">
        <v>627</v>
      </c>
      <c r="D114" s="221"/>
      <c r="E114" s="218" t="s">
        <v>628</v>
      </c>
      <c r="F114" s="221"/>
      <c r="G114" s="221"/>
      <c r="H114" s="221"/>
      <c r="I114" s="231"/>
      <c r="J114" s="231"/>
      <c r="K114" s="231"/>
    </row>
    <row r="115" spans="1:11" ht="16.5">
      <c r="A115" s="225" t="s">
        <v>629</v>
      </c>
      <c r="B115" s="224" t="s">
        <v>630</v>
      </c>
      <c r="C115" s="218" t="s">
        <v>631</v>
      </c>
      <c r="D115" s="221"/>
      <c r="E115" s="221"/>
      <c r="F115" s="221"/>
      <c r="G115" s="221"/>
      <c r="H115" s="221"/>
      <c r="I115" s="231"/>
      <c r="J115" s="231"/>
      <c r="K115" s="231"/>
    </row>
    <row r="116" spans="1:11" ht="16.5">
      <c r="A116" s="216" t="s">
        <v>632</v>
      </c>
      <c r="B116" s="224" t="s">
        <v>633</v>
      </c>
      <c r="C116" s="218" t="s">
        <v>634</v>
      </c>
      <c r="D116" s="221"/>
      <c r="E116" s="221"/>
      <c r="F116" s="221"/>
      <c r="G116" s="221"/>
      <c r="H116" s="221"/>
      <c r="I116" s="231"/>
      <c r="J116" s="231"/>
      <c r="K116" s="231"/>
    </row>
    <row r="117" spans="1:11" ht="16.5">
      <c r="A117" s="226"/>
      <c r="B117" s="224" t="s">
        <v>635</v>
      </c>
      <c r="C117" s="218" t="s">
        <v>636</v>
      </c>
      <c r="D117" s="221"/>
      <c r="E117" s="221"/>
      <c r="F117" s="221"/>
      <c r="G117" s="221"/>
      <c r="H117" s="221"/>
      <c r="I117" s="231"/>
      <c r="J117" s="231"/>
      <c r="K117" s="231"/>
    </row>
    <row r="118" spans="1:11" ht="16.5">
      <c r="A118" s="226"/>
      <c r="B118" s="227" t="s">
        <v>637</v>
      </c>
      <c r="C118" s="218" t="s">
        <v>638</v>
      </c>
      <c r="D118" s="221"/>
      <c r="E118" s="221"/>
      <c r="F118" s="221"/>
      <c r="G118" s="221"/>
      <c r="H118" s="221"/>
      <c r="I118" s="231"/>
      <c r="J118" s="231"/>
      <c r="K118" s="231"/>
    </row>
    <row r="119" spans="1:11" ht="16.5">
      <c r="A119" s="226"/>
      <c r="B119" s="227" t="s">
        <v>639</v>
      </c>
      <c r="C119" s="218" t="s">
        <v>640</v>
      </c>
      <c r="D119" s="221"/>
      <c r="E119" s="221"/>
      <c r="F119" s="221"/>
      <c r="G119" s="221"/>
      <c r="H119" s="221"/>
      <c r="I119" s="231"/>
      <c r="J119" s="231"/>
      <c r="K119" s="231"/>
    </row>
    <row r="120" spans="1:11" ht="16.5">
      <c r="A120" s="226"/>
      <c r="B120" s="228" t="s">
        <v>641</v>
      </c>
      <c r="C120" s="221"/>
      <c r="D120" s="221"/>
      <c r="E120" s="221"/>
      <c r="F120" s="221"/>
      <c r="G120" s="221"/>
      <c r="H120" s="221"/>
      <c r="I120" s="231"/>
      <c r="J120" s="231"/>
      <c r="K120" s="231"/>
    </row>
    <row r="121" spans="1:11" ht="16.5">
      <c r="A121" s="226"/>
      <c r="B121" s="228" t="s">
        <v>642</v>
      </c>
      <c r="C121" s="221"/>
      <c r="D121" s="221"/>
      <c r="E121" s="221"/>
      <c r="F121" s="221"/>
      <c r="G121" s="221"/>
      <c r="H121" s="221"/>
      <c r="I121" s="231"/>
      <c r="J121" s="231"/>
      <c r="K121" s="231"/>
    </row>
    <row r="122" spans="1:11" ht="16.5">
      <c r="A122" s="226"/>
      <c r="B122" s="228" t="s">
        <v>643</v>
      </c>
      <c r="C122" s="221"/>
      <c r="D122" s="221"/>
      <c r="E122" s="221"/>
      <c r="F122" s="221"/>
      <c r="G122" s="221"/>
      <c r="H122" s="221"/>
      <c r="I122" s="231"/>
      <c r="J122" s="231"/>
      <c r="K122" s="231"/>
    </row>
    <row r="123" spans="1:11" ht="16.5">
      <c r="A123" s="226"/>
      <c r="B123" s="228" t="s">
        <v>644</v>
      </c>
      <c r="C123" s="221"/>
      <c r="D123" s="221"/>
      <c r="E123" s="221"/>
      <c r="F123" s="221"/>
      <c r="G123" s="221"/>
      <c r="H123" s="221"/>
      <c r="I123" s="231"/>
      <c r="J123" s="231"/>
      <c r="K123" s="231"/>
    </row>
    <row r="124" spans="1:11" ht="16.5">
      <c r="A124" s="226"/>
      <c r="B124" s="228" t="s">
        <v>645</v>
      </c>
      <c r="C124" s="221"/>
      <c r="D124" s="221"/>
      <c r="E124" s="221"/>
      <c r="F124" s="221"/>
      <c r="G124" s="221"/>
      <c r="H124" s="221"/>
      <c r="I124" s="231"/>
      <c r="J124" s="231"/>
      <c r="K124" s="231"/>
    </row>
    <row r="125" spans="1:11" ht="16.5">
      <c r="A125" s="226"/>
      <c r="B125" s="228" t="s">
        <v>646</v>
      </c>
      <c r="C125" s="221"/>
      <c r="D125" s="221"/>
      <c r="E125" s="221"/>
      <c r="F125" s="221"/>
      <c r="G125" s="221"/>
      <c r="H125" s="221"/>
      <c r="I125" s="231"/>
      <c r="J125" s="231"/>
      <c r="K125" s="231"/>
    </row>
    <row r="126" spans="1:11" ht="16.5">
      <c r="A126" s="226"/>
      <c r="B126" s="228" t="s">
        <v>647</v>
      </c>
      <c r="C126" s="221"/>
      <c r="D126" s="221"/>
      <c r="E126" s="221"/>
      <c r="F126" s="221"/>
      <c r="G126" s="221"/>
      <c r="H126" s="221"/>
      <c r="I126" s="231"/>
      <c r="J126" s="231"/>
      <c r="K126" s="231"/>
    </row>
    <row r="127" spans="1:11" ht="16.5">
      <c r="A127" s="226"/>
      <c r="B127" s="228" t="s">
        <v>648</v>
      </c>
      <c r="C127" s="221"/>
      <c r="D127" s="221"/>
      <c r="E127" s="221"/>
      <c r="F127" s="221"/>
      <c r="G127" s="221"/>
      <c r="H127" s="221"/>
      <c r="I127" s="231"/>
      <c r="J127" s="231"/>
      <c r="K127" s="231"/>
    </row>
    <row r="128" spans="1:11" ht="16.5">
      <c r="A128" s="226"/>
      <c r="B128" s="228" t="s">
        <v>649</v>
      </c>
      <c r="C128" s="221"/>
      <c r="D128" s="221"/>
      <c r="E128" s="221"/>
      <c r="F128" s="221"/>
      <c r="G128" s="221"/>
      <c r="H128" s="221"/>
      <c r="I128" s="231"/>
      <c r="J128" s="231"/>
      <c r="K128" s="231"/>
    </row>
    <row r="129" spans="1:11" ht="12.75">
      <c r="A129" s="911" t="s">
        <v>650</v>
      </c>
      <c r="B129" s="911"/>
      <c r="C129" s="911"/>
      <c r="D129" s="911"/>
      <c r="E129" s="231"/>
      <c r="F129" s="231"/>
      <c r="G129" s="231"/>
      <c r="H129" s="231"/>
      <c r="I129" s="231"/>
      <c r="J129" s="231"/>
      <c r="K129" s="231"/>
    </row>
  </sheetData>
  <mergeCells count="41">
    <mergeCell ref="I8:I9"/>
    <mergeCell ref="J8:J9"/>
    <mergeCell ref="K8:K9"/>
    <mergeCell ref="K34:K35"/>
    <mergeCell ref="I34:J35"/>
    <mergeCell ref="D71:F71"/>
    <mergeCell ref="D72:F72"/>
    <mergeCell ref="D73:F73"/>
    <mergeCell ref="A106:K106"/>
    <mergeCell ref="A129:D129"/>
    <mergeCell ref="D66:F66"/>
    <mergeCell ref="D67:F67"/>
    <mergeCell ref="D68:F68"/>
    <mergeCell ref="D69:F69"/>
    <mergeCell ref="D70:F70"/>
    <mergeCell ref="D55:E55"/>
    <mergeCell ref="D56:E56"/>
    <mergeCell ref="D57:E57"/>
    <mergeCell ref="D58:E58"/>
    <mergeCell ref="D59:E59"/>
    <mergeCell ref="D45:E45"/>
    <mergeCell ref="D46:E46"/>
    <mergeCell ref="D47:E47"/>
    <mergeCell ref="D48:E48"/>
    <mergeCell ref="D54:E54"/>
    <mergeCell ref="A1:N1"/>
    <mergeCell ref="B8:F8"/>
    <mergeCell ref="L8:N8"/>
    <mergeCell ref="I36:J36"/>
    <mergeCell ref="D44:E44"/>
    <mergeCell ref="A8:A9"/>
    <mergeCell ref="A34:A35"/>
    <mergeCell ref="A37:A38"/>
    <mergeCell ref="D34:D35"/>
    <mergeCell ref="D37:D38"/>
    <mergeCell ref="E34:E35"/>
    <mergeCell ref="E37:E38"/>
    <mergeCell ref="G8:G9"/>
    <mergeCell ref="G34:G36"/>
    <mergeCell ref="H8:H9"/>
    <mergeCell ref="H34:H35"/>
  </mergeCells>
  <phoneticPr fontId="156" type="noConversion"/>
  <conditionalFormatting sqref="K16">
    <cfRule type="cellIs" dxfId="20" priority="2" operator="greaterThan">
      <formula>$N$16</formula>
    </cfRule>
  </conditionalFormatting>
  <conditionalFormatting sqref="K17">
    <cfRule type="cellIs" dxfId="19" priority="1" operator="greaterThan">
      <formula>$N$17</formula>
    </cfRule>
  </conditionalFormatting>
  <conditionalFormatting sqref="K10:K15">
    <cfRule type="cellIs" dxfId="18" priority="892" operator="greaterThan">
      <formula>$N$14</formula>
    </cfRule>
  </conditionalFormatting>
  <dataValidations count="2">
    <dataValidation type="list" allowBlank="1" showInputMessage="1" showErrorMessage="1" sqref="B6">
      <formula1>"强测试,弱测试"</formula1>
    </dataValidation>
    <dataValidation type="list" allowBlank="1" showInputMessage="1" showErrorMessage="1" sqref="D6">
      <formula1>"内部验收,外部验收"</formula1>
    </dataValidation>
  </dataValidation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3492" r:id="rId3" name="Button 4">
              <controlPr defaultSize="0" print="0" autoPict="0" macro="[0]!Button14_Click_Test_delete">
                <anchor moveWithCells="1">
                  <from>
                    <xdr:col>0</xdr:col>
                    <xdr:colOff>85725</xdr:colOff>
                    <xdr:row>20</xdr:row>
                    <xdr:rowOff>28575</xdr:rowOff>
                  </from>
                  <to>
                    <xdr:col>1</xdr:col>
                    <xdr:colOff>66675</xdr:colOff>
                    <xdr:row>21</xdr:row>
                    <xdr:rowOff>133350</xdr:rowOff>
                  </to>
                </anchor>
              </controlPr>
            </control>
          </mc:Choice>
        </mc:AlternateContent>
        <mc:AlternateContent xmlns:mc="http://schemas.openxmlformats.org/markup-compatibility/2006">
          <mc:Choice Requires="x14">
            <control shapeId="63491" r:id="rId4" name="Button 3">
              <controlPr defaultSize="0" print="0" autoPict="0" macro="[0]!button8_Click_Test_add">
                <anchor moveWithCells="1">
                  <from>
                    <xdr:col>0</xdr:col>
                    <xdr:colOff>95250</xdr:colOff>
                    <xdr:row>18</xdr:row>
                    <xdr:rowOff>28575</xdr:rowOff>
                  </from>
                  <to>
                    <xdr:col>1</xdr:col>
                    <xdr:colOff>76200</xdr:colOff>
                    <xdr:row>19</xdr:row>
                    <xdr:rowOff>47625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7"/>
  </sheetPr>
  <dimension ref="A1:Q72"/>
  <sheetViews>
    <sheetView showGridLines="0" workbookViewId="0">
      <selection sqref="A1:P1"/>
    </sheetView>
  </sheetViews>
  <sheetFormatPr defaultColWidth="9" defaultRowHeight="12"/>
  <cols>
    <col min="1" max="1" width="18.125" style="68" customWidth="1"/>
    <col min="2" max="2" width="17.125" style="68" customWidth="1"/>
    <col min="3" max="3" width="13.875" style="69" customWidth="1"/>
    <col min="4" max="4" width="12.25" style="69" customWidth="1"/>
    <col min="5" max="5" width="12.625" style="68" customWidth="1"/>
    <col min="6" max="6" width="13.625" style="68" customWidth="1"/>
    <col min="7" max="7" width="11.75" style="68" customWidth="1"/>
    <col min="8" max="8" width="13.25" style="68" customWidth="1"/>
    <col min="9" max="9" width="11.625" style="68" customWidth="1"/>
    <col min="10" max="10" width="12.625" style="68" customWidth="1"/>
    <col min="11" max="11" width="9.5" style="68" customWidth="1"/>
    <col min="12" max="12" width="10.75" style="68" customWidth="1"/>
    <col min="13" max="13" width="8" style="68" customWidth="1"/>
    <col min="14" max="15" width="9" style="68"/>
    <col min="16" max="16" width="9.375" style="68" customWidth="1"/>
    <col min="17" max="17" width="9" style="68"/>
    <col min="18" max="18" width="7.5" style="68" customWidth="1"/>
    <col min="19" max="19" width="9.875" style="68" customWidth="1"/>
    <col min="20" max="256" width="9" style="68"/>
    <col min="257" max="257" width="14.375" style="68" customWidth="1"/>
    <col min="258" max="258" width="11.875" style="68" customWidth="1"/>
    <col min="259" max="259" width="13.875" style="68" customWidth="1"/>
    <col min="260" max="260" width="12.25" style="68" customWidth="1"/>
    <col min="261" max="261" width="12.625" style="68" customWidth="1"/>
    <col min="262" max="262" width="13.625" style="68" customWidth="1"/>
    <col min="263" max="263" width="11.75" style="68" customWidth="1"/>
    <col min="264" max="264" width="13.25" style="68" customWidth="1"/>
    <col min="265" max="265" width="11.625" style="68" customWidth="1"/>
    <col min="266" max="266" width="12.625" style="68" customWidth="1"/>
    <col min="267" max="267" width="9.5" style="68" customWidth="1"/>
    <col min="268" max="268" width="10.75" style="68" customWidth="1"/>
    <col min="269" max="269" width="8" style="68" customWidth="1"/>
    <col min="270" max="271" width="9" style="68"/>
    <col min="272" max="272" width="9.375" style="68" customWidth="1"/>
    <col min="273" max="273" width="9" style="68"/>
    <col min="274" max="274" width="7.5" style="68" customWidth="1"/>
    <col min="275" max="275" width="9.875" style="68" customWidth="1"/>
    <col min="276" max="512" width="9" style="68"/>
    <col min="513" max="513" width="14.375" style="68" customWidth="1"/>
    <col min="514" max="514" width="11.875" style="68" customWidth="1"/>
    <col min="515" max="515" width="13.875" style="68" customWidth="1"/>
    <col min="516" max="516" width="12.25" style="68" customWidth="1"/>
    <col min="517" max="517" width="12.625" style="68" customWidth="1"/>
    <col min="518" max="518" width="13.625" style="68" customWidth="1"/>
    <col min="519" max="519" width="11.75" style="68" customWidth="1"/>
    <col min="520" max="520" width="13.25" style="68" customWidth="1"/>
    <col min="521" max="521" width="11.625" style="68" customWidth="1"/>
    <col min="522" max="522" width="12.625" style="68" customWidth="1"/>
    <col min="523" max="523" width="9.5" style="68" customWidth="1"/>
    <col min="524" max="524" width="10.75" style="68" customWidth="1"/>
    <col min="525" max="525" width="8" style="68" customWidth="1"/>
    <col min="526" max="527" width="9" style="68"/>
    <col min="528" max="528" width="9.375" style="68" customWidth="1"/>
    <col min="529" max="529" width="9" style="68"/>
    <col min="530" max="530" width="7.5" style="68" customWidth="1"/>
    <col min="531" max="531" width="9.875" style="68" customWidth="1"/>
    <col min="532" max="768" width="9" style="68"/>
    <col min="769" max="769" width="14.375" style="68" customWidth="1"/>
    <col min="770" max="770" width="11.875" style="68" customWidth="1"/>
    <col min="771" max="771" width="13.875" style="68" customWidth="1"/>
    <col min="772" max="772" width="12.25" style="68" customWidth="1"/>
    <col min="773" max="773" width="12.625" style="68" customWidth="1"/>
    <col min="774" max="774" width="13.625" style="68" customWidth="1"/>
    <col min="775" max="775" width="11.75" style="68" customWidth="1"/>
    <col min="776" max="776" width="13.25" style="68" customWidth="1"/>
    <col min="777" max="777" width="11.625" style="68" customWidth="1"/>
    <col min="778" max="778" width="12.625" style="68" customWidth="1"/>
    <col min="779" max="779" width="9.5" style="68" customWidth="1"/>
    <col min="780" max="780" width="10.75" style="68" customWidth="1"/>
    <col min="781" max="781" width="8" style="68" customWidth="1"/>
    <col min="782" max="783" width="9" style="68"/>
    <col min="784" max="784" width="9.375" style="68" customWidth="1"/>
    <col min="785" max="785" width="9" style="68"/>
    <col min="786" max="786" width="7.5" style="68" customWidth="1"/>
    <col min="787" max="787" width="9.875" style="68" customWidth="1"/>
    <col min="788" max="1024" width="9" style="68"/>
    <col min="1025" max="1025" width="14.375" style="68" customWidth="1"/>
    <col min="1026" max="1026" width="11.875" style="68" customWidth="1"/>
    <col min="1027" max="1027" width="13.875" style="68" customWidth="1"/>
    <col min="1028" max="1028" width="12.25" style="68" customWidth="1"/>
    <col min="1029" max="1029" width="12.625" style="68" customWidth="1"/>
    <col min="1030" max="1030" width="13.625" style="68" customWidth="1"/>
    <col min="1031" max="1031" width="11.75" style="68" customWidth="1"/>
    <col min="1032" max="1032" width="13.25" style="68" customWidth="1"/>
    <col min="1033" max="1033" width="11.625" style="68" customWidth="1"/>
    <col min="1034" max="1034" width="12.625" style="68" customWidth="1"/>
    <col min="1035" max="1035" width="9.5" style="68" customWidth="1"/>
    <col min="1036" max="1036" width="10.75" style="68" customWidth="1"/>
    <col min="1037" max="1037" width="8" style="68" customWidth="1"/>
    <col min="1038" max="1039" width="9" style="68"/>
    <col min="1040" max="1040" width="9.375" style="68" customWidth="1"/>
    <col min="1041" max="1041" width="9" style="68"/>
    <col min="1042" max="1042" width="7.5" style="68" customWidth="1"/>
    <col min="1043" max="1043" width="9.875" style="68" customWidth="1"/>
    <col min="1044" max="1280" width="9" style="68"/>
    <col min="1281" max="1281" width="14.375" style="68" customWidth="1"/>
    <col min="1282" max="1282" width="11.875" style="68" customWidth="1"/>
    <col min="1283" max="1283" width="13.875" style="68" customWidth="1"/>
    <col min="1284" max="1284" width="12.25" style="68" customWidth="1"/>
    <col min="1285" max="1285" width="12.625" style="68" customWidth="1"/>
    <col min="1286" max="1286" width="13.625" style="68" customWidth="1"/>
    <col min="1287" max="1287" width="11.75" style="68" customWidth="1"/>
    <col min="1288" max="1288" width="13.25" style="68" customWidth="1"/>
    <col min="1289" max="1289" width="11.625" style="68" customWidth="1"/>
    <col min="1290" max="1290" width="12.625" style="68" customWidth="1"/>
    <col min="1291" max="1291" width="9.5" style="68" customWidth="1"/>
    <col min="1292" max="1292" width="10.75" style="68" customWidth="1"/>
    <col min="1293" max="1293" width="8" style="68" customWidth="1"/>
    <col min="1294" max="1295" width="9" style="68"/>
    <col min="1296" max="1296" width="9.375" style="68" customWidth="1"/>
    <col min="1297" max="1297" width="9" style="68"/>
    <col min="1298" max="1298" width="7.5" style="68" customWidth="1"/>
    <col min="1299" max="1299" width="9.875" style="68" customWidth="1"/>
    <col min="1300" max="1536" width="9" style="68"/>
    <col min="1537" max="1537" width="14.375" style="68" customWidth="1"/>
    <col min="1538" max="1538" width="11.875" style="68" customWidth="1"/>
    <col min="1539" max="1539" width="13.875" style="68" customWidth="1"/>
    <col min="1540" max="1540" width="12.25" style="68" customWidth="1"/>
    <col min="1541" max="1541" width="12.625" style="68" customWidth="1"/>
    <col min="1542" max="1542" width="13.625" style="68" customWidth="1"/>
    <col min="1543" max="1543" width="11.75" style="68" customWidth="1"/>
    <col min="1544" max="1544" width="13.25" style="68" customWidth="1"/>
    <col min="1545" max="1545" width="11.625" style="68" customWidth="1"/>
    <col min="1546" max="1546" width="12.625" style="68" customWidth="1"/>
    <col min="1547" max="1547" width="9.5" style="68" customWidth="1"/>
    <col min="1548" max="1548" width="10.75" style="68" customWidth="1"/>
    <col min="1549" max="1549" width="8" style="68" customWidth="1"/>
    <col min="1550" max="1551" width="9" style="68"/>
    <col min="1552" max="1552" width="9.375" style="68" customWidth="1"/>
    <col min="1553" max="1553" width="9" style="68"/>
    <col min="1554" max="1554" width="7.5" style="68" customWidth="1"/>
    <col min="1555" max="1555" width="9.875" style="68" customWidth="1"/>
    <col min="1556" max="1792" width="9" style="68"/>
    <col min="1793" max="1793" width="14.375" style="68" customWidth="1"/>
    <col min="1794" max="1794" width="11.875" style="68" customWidth="1"/>
    <col min="1795" max="1795" width="13.875" style="68" customWidth="1"/>
    <col min="1796" max="1796" width="12.25" style="68" customWidth="1"/>
    <col min="1797" max="1797" width="12.625" style="68" customWidth="1"/>
    <col min="1798" max="1798" width="13.625" style="68" customWidth="1"/>
    <col min="1799" max="1799" width="11.75" style="68" customWidth="1"/>
    <col min="1800" max="1800" width="13.25" style="68" customWidth="1"/>
    <col min="1801" max="1801" width="11.625" style="68" customWidth="1"/>
    <col min="1802" max="1802" width="12.625" style="68" customWidth="1"/>
    <col min="1803" max="1803" width="9.5" style="68" customWidth="1"/>
    <col min="1804" max="1804" width="10.75" style="68" customWidth="1"/>
    <col min="1805" max="1805" width="8" style="68" customWidth="1"/>
    <col min="1806" max="1807" width="9" style="68"/>
    <col min="1808" max="1808" width="9.375" style="68" customWidth="1"/>
    <col min="1809" max="1809" width="9" style="68"/>
    <col min="1810" max="1810" width="7.5" style="68" customWidth="1"/>
    <col min="1811" max="1811" width="9.875" style="68" customWidth="1"/>
    <col min="1812" max="2048" width="9" style="68"/>
    <col min="2049" max="2049" width="14.375" style="68" customWidth="1"/>
    <col min="2050" max="2050" width="11.875" style="68" customWidth="1"/>
    <col min="2051" max="2051" width="13.875" style="68" customWidth="1"/>
    <col min="2052" max="2052" width="12.25" style="68" customWidth="1"/>
    <col min="2053" max="2053" width="12.625" style="68" customWidth="1"/>
    <col min="2054" max="2054" width="13.625" style="68" customWidth="1"/>
    <col min="2055" max="2055" width="11.75" style="68" customWidth="1"/>
    <col min="2056" max="2056" width="13.25" style="68" customWidth="1"/>
    <col min="2057" max="2057" width="11.625" style="68" customWidth="1"/>
    <col min="2058" max="2058" width="12.625" style="68" customWidth="1"/>
    <col min="2059" max="2059" width="9.5" style="68" customWidth="1"/>
    <col min="2060" max="2060" width="10.75" style="68" customWidth="1"/>
    <col min="2061" max="2061" width="8" style="68" customWidth="1"/>
    <col min="2062" max="2063" width="9" style="68"/>
    <col min="2064" max="2064" width="9.375" style="68" customWidth="1"/>
    <col min="2065" max="2065" width="9" style="68"/>
    <col min="2066" max="2066" width="7.5" style="68" customWidth="1"/>
    <col min="2067" max="2067" width="9.875" style="68" customWidth="1"/>
    <col min="2068" max="2304" width="9" style="68"/>
    <col min="2305" max="2305" width="14.375" style="68" customWidth="1"/>
    <col min="2306" max="2306" width="11.875" style="68" customWidth="1"/>
    <col min="2307" max="2307" width="13.875" style="68" customWidth="1"/>
    <col min="2308" max="2308" width="12.25" style="68" customWidth="1"/>
    <col min="2309" max="2309" width="12.625" style="68" customWidth="1"/>
    <col min="2310" max="2310" width="13.625" style="68" customWidth="1"/>
    <col min="2311" max="2311" width="11.75" style="68" customWidth="1"/>
    <col min="2312" max="2312" width="13.25" style="68" customWidth="1"/>
    <col min="2313" max="2313" width="11.625" style="68" customWidth="1"/>
    <col min="2314" max="2314" width="12.625" style="68" customWidth="1"/>
    <col min="2315" max="2315" width="9.5" style="68" customWidth="1"/>
    <col min="2316" max="2316" width="10.75" style="68" customWidth="1"/>
    <col min="2317" max="2317" width="8" style="68" customWidth="1"/>
    <col min="2318" max="2319" width="9" style="68"/>
    <col min="2320" max="2320" width="9.375" style="68" customWidth="1"/>
    <col min="2321" max="2321" width="9" style="68"/>
    <col min="2322" max="2322" width="7.5" style="68" customWidth="1"/>
    <col min="2323" max="2323" width="9.875" style="68" customWidth="1"/>
    <col min="2324" max="2560" width="9" style="68"/>
    <col min="2561" max="2561" width="14.375" style="68" customWidth="1"/>
    <col min="2562" max="2562" width="11.875" style="68" customWidth="1"/>
    <col min="2563" max="2563" width="13.875" style="68" customWidth="1"/>
    <col min="2564" max="2564" width="12.25" style="68" customWidth="1"/>
    <col min="2565" max="2565" width="12.625" style="68" customWidth="1"/>
    <col min="2566" max="2566" width="13.625" style="68" customWidth="1"/>
    <col min="2567" max="2567" width="11.75" style="68" customWidth="1"/>
    <col min="2568" max="2568" width="13.25" style="68" customWidth="1"/>
    <col min="2569" max="2569" width="11.625" style="68" customWidth="1"/>
    <col min="2570" max="2570" width="12.625" style="68" customWidth="1"/>
    <col min="2571" max="2571" width="9.5" style="68" customWidth="1"/>
    <col min="2572" max="2572" width="10.75" style="68" customWidth="1"/>
    <col min="2573" max="2573" width="8" style="68" customWidth="1"/>
    <col min="2574" max="2575" width="9" style="68"/>
    <col min="2576" max="2576" width="9.375" style="68" customWidth="1"/>
    <col min="2577" max="2577" width="9" style="68"/>
    <col min="2578" max="2578" width="7.5" style="68" customWidth="1"/>
    <col min="2579" max="2579" width="9.875" style="68" customWidth="1"/>
    <col min="2580" max="2816" width="9" style="68"/>
    <col min="2817" max="2817" width="14.375" style="68" customWidth="1"/>
    <col min="2818" max="2818" width="11.875" style="68" customWidth="1"/>
    <col min="2819" max="2819" width="13.875" style="68" customWidth="1"/>
    <col min="2820" max="2820" width="12.25" style="68" customWidth="1"/>
    <col min="2821" max="2821" width="12.625" style="68" customWidth="1"/>
    <col min="2822" max="2822" width="13.625" style="68" customWidth="1"/>
    <col min="2823" max="2823" width="11.75" style="68" customWidth="1"/>
    <col min="2824" max="2824" width="13.25" style="68" customWidth="1"/>
    <col min="2825" max="2825" width="11.625" style="68" customWidth="1"/>
    <col min="2826" max="2826" width="12.625" style="68" customWidth="1"/>
    <col min="2827" max="2827" width="9.5" style="68" customWidth="1"/>
    <col min="2828" max="2828" width="10.75" style="68" customWidth="1"/>
    <col min="2829" max="2829" width="8" style="68" customWidth="1"/>
    <col min="2830" max="2831" width="9" style="68"/>
    <col min="2832" max="2832" width="9.375" style="68" customWidth="1"/>
    <col min="2833" max="2833" width="9" style="68"/>
    <col min="2834" max="2834" width="7.5" style="68" customWidth="1"/>
    <col min="2835" max="2835" width="9.875" style="68" customWidth="1"/>
    <col min="2836" max="3072" width="9" style="68"/>
    <col min="3073" max="3073" width="14.375" style="68" customWidth="1"/>
    <col min="3074" max="3074" width="11.875" style="68" customWidth="1"/>
    <col min="3075" max="3075" width="13.875" style="68" customWidth="1"/>
    <col min="3076" max="3076" width="12.25" style="68" customWidth="1"/>
    <col min="3077" max="3077" width="12.625" style="68" customWidth="1"/>
    <col min="3078" max="3078" width="13.625" style="68" customWidth="1"/>
    <col min="3079" max="3079" width="11.75" style="68" customWidth="1"/>
    <col min="3080" max="3080" width="13.25" style="68" customWidth="1"/>
    <col min="3081" max="3081" width="11.625" style="68" customWidth="1"/>
    <col min="3082" max="3082" width="12.625" style="68" customWidth="1"/>
    <col min="3083" max="3083" width="9.5" style="68" customWidth="1"/>
    <col min="3084" max="3084" width="10.75" style="68" customWidth="1"/>
    <col min="3085" max="3085" width="8" style="68" customWidth="1"/>
    <col min="3086" max="3087" width="9" style="68"/>
    <col min="3088" max="3088" width="9.375" style="68" customWidth="1"/>
    <col min="3089" max="3089" width="9" style="68"/>
    <col min="3090" max="3090" width="7.5" style="68" customWidth="1"/>
    <col min="3091" max="3091" width="9.875" style="68" customWidth="1"/>
    <col min="3092" max="3328" width="9" style="68"/>
    <col min="3329" max="3329" width="14.375" style="68" customWidth="1"/>
    <col min="3330" max="3330" width="11.875" style="68" customWidth="1"/>
    <col min="3331" max="3331" width="13.875" style="68" customWidth="1"/>
    <col min="3332" max="3332" width="12.25" style="68" customWidth="1"/>
    <col min="3333" max="3333" width="12.625" style="68" customWidth="1"/>
    <col min="3334" max="3334" width="13.625" style="68" customWidth="1"/>
    <col min="3335" max="3335" width="11.75" style="68" customWidth="1"/>
    <col min="3336" max="3336" width="13.25" style="68" customWidth="1"/>
    <col min="3337" max="3337" width="11.625" style="68" customWidth="1"/>
    <col min="3338" max="3338" width="12.625" style="68" customWidth="1"/>
    <col min="3339" max="3339" width="9.5" style="68" customWidth="1"/>
    <col min="3340" max="3340" width="10.75" style="68" customWidth="1"/>
    <col min="3341" max="3341" width="8" style="68" customWidth="1"/>
    <col min="3342" max="3343" width="9" style="68"/>
    <col min="3344" max="3344" width="9.375" style="68" customWidth="1"/>
    <col min="3345" max="3345" width="9" style="68"/>
    <col min="3346" max="3346" width="7.5" style="68" customWidth="1"/>
    <col min="3347" max="3347" width="9.875" style="68" customWidth="1"/>
    <col min="3348" max="3584" width="9" style="68"/>
    <col min="3585" max="3585" width="14.375" style="68" customWidth="1"/>
    <col min="3586" max="3586" width="11.875" style="68" customWidth="1"/>
    <col min="3587" max="3587" width="13.875" style="68" customWidth="1"/>
    <col min="3588" max="3588" width="12.25" style="68" customWidth="1"/>
    <col min="3589" max="3589" width="12.625" style="68" customWidth="1"/>
    <col min="3590" max="3590" width="13.625" style="68" customWidth="1"/>
    <col min="3591" max="3591" width="11.75" style="68" customWidth="1"/>
    <col min="3592" max="3592" width="13.25" style="68" customWidth="1"/>
    <col min="3593" max="3593" width="11.625" style="68" customWidth="1"/>
    <col min="3594" max="3594" width="12.625" style="68" customWidth="1"/>
    <col min="3595" max="3595" width="9.5" style="68" customWidth="1"/>
    <col min="3596" max="3596" width="10.75" style="68" customWidth="1"/>
    <col min="3597" max="3597" width="8" style="68" customWidth="1"/>
    <col min="3598" max="3599" width="9" style="68"/>
    <col min="3600" max="3600" width="9.375" style="68" customWidth="1"/>
    <col min="3601" max="3601" width="9" style="68"/>
    <col min="3602" max="3602" width="7.5" style="68" customWidth="1"/>
    <col min="3603" max="3603" width="9.875" style="68" customWidth="1"/>
    <col min="3604" max="3840" width="9" style="68"/>
    <col min="3841" max="3841" width="14.375" style="68" customWidth="1"/>
    <col min="3842" max="3842" width="11.875" style="68" customWidth="1"/>
    <col min="3843" max="3843" width="13.875" style="68" customWidth="1"/>
    <col min="3844" max="3844" width="12.25" style="68" customWidth="1"/>
    <col min="3845" max="3845" width="12.625" style="68" customWidth="1"/>
    <col min="3846" max="3846" width="13.625" style="68" customWidth="1"/>
    <col min="3847" max="3847" width="11.75" style="68" customWidth="1"/>
    <col min="3848" max="3848" width="13.25" style="68" customWidth="1"/>
    <col min="3849" max="3849" width="11.625" style="68" customWidth="1"/>
    <col min="3850" max="3850" width="12.625" style="68" customWidth="1"/>
    <col min="3851" max="3851" width="9.5" style="68" customWidth="1"/>
    <col min="3852" max="3852" width="10.75" style="68" customWidth="1"/>
    <col min="3853" max="3853" width="8" style="68" customWidth="1"/>
    <col min="3854" max="3855" width="9" style="68"/>
    <col min="3856" max="3856" width="9.375" style="68" customWidth="1"/>
    <col min="3857" max="3857" width="9" style="68"/>
    <col min="3858" max="3858" width="7.5" style="68" customWidth="1"/>
    <col min="3859" max="3859" width="9.875" style="68" customWidth="1"/>
    <col min="3860" max="4096" width="9" style="68"/>
    <col min="4097" max="4097" width="14.375" style="68" customWidth="1"/>
    <col min="4098" max="4098" width="11.875" style="68" customWidth="1"/>
    <col min="4099" max="4099" width="13.875" style="68" customWidth="1"/>
    <col min="4100" max="4100" width="12.25" style="68" customWidth="1"/>
    <col min="4101" max="4101" width="12.625" style="68" customWidth="1"/>
    <col min="4102" max="4102" width="13.625" style="68" customWidth="1"/>
    <col min="4103" max="4103" width="11.75" style="68" customWidth="1"/>
    <col min="4104" max="4104" width="13.25" style="68" customWidth="1"/>
    <col min="4105" max="4105" width="11.625" style="68" customWidth="1"/>
    <col min="4106" max="4106" width="12.625" style="68" customWidth="1"/>
    <col min="4107" max="4107" width="9.5" style="68" customWidth="1"/>
    <col min="4108" max="4108" width="10.75" style="68" customWidth="1"/>
    <col min="4109" max="4109" width="8" style="68" customWidth="1"/>
    <col min="4110" max="4111" width="9" style="68"/>
    <col min="4112" max="4112" width="9.375" style="68" customWidth="1"/>
    <col min="4113" max="4113" width="9" style="68"/>
    <col min="4114" max="4114" width="7.5" style="68" customWidth="1"/>
    <col min="4115" max="4115" width="9.875" style="68" customWidth="1"/>
    <col min="4116" max="4352" width="9" style="68"/>
    <col min="4353" max="4353" width="14.375" style="68" customWidth="1"/>
    <col min="4354" max="4354" width="11.875" style="68" customWidth="1"/>
    <col min="4355" max="4355" width="13.875" style="68" customWidth="1"/>
    <col min="4356" max="4356" width="12.25" style="68" customWidth="1"/>
    <col min="4357" max="4357" width="12.625" style="68" customWidth="1"/>
    <col min="4358" max="4358" width="13.625" style="68" customWidth="1"/>
    <col min="4359" max="4359" width="11.75" style="68" customWidth="1"/>
    <col min="4360" max="4360" width="13.25" style="68" customWidth="1"/>
    <col min="4361" max="4361" width="11.625" style="68" customWidth="1"/>
    <col min="4362" max="4362" width="12.625" style="68" customWidth="1"/>
    <col min="4363" max="4363" width="9.5" style="68" customWidth="1"/>
    <col min="4364" max="4364" width="10.75" style="68" customWidth="1"/>
    <col min="4365" max="4365" width="8" style="68" customWidth="1"/>
    <col min="4366" max="4367" width="9" style="68"/>
    <col min="4368" max="4368" width="9.375" style="68" customWidth="1"/>
    <col min="4369" max="4369" width="9" style="68"/>
    <col min="4370" max="4370" width="7.5" style="68" customWidth="1"/>
    <col min="4371" max="4371" width="9.875" style="68" customWidth="1"/>
    <col min="4372" max="4608" width="9" style="68"/>
    <col min="4609" max="4609" width="14.375" style="68" customWidth="1"/>
    <col min="4610" max="4610" width="11.875" style="68" customWidth="1"/>
    <col min="4611" max="4611" width="13.875" style="68" customWidth="1"/>
    <col min="4612" max="4612" width="12.25" style="68" customWidth="1"/>
    <col min="4613" max="4613" width="12.625" style="68" customWidth="1"/>
    <col min="4614" max="4614" width="13.625" style="68" customWidth="1"/>
    <col min="4615" max="4615" width="11.75" style="68" customWidth="1"/>
    <col min="4616" max="4616" width="13.25" style="68" customWidth="1"/>
    <col min="4617" max="4617" width="11.625" style="68" customWidth="1"/>
    <col min="4618" max="4618" width="12.625" style="68" customWidth="1"/>
    <col min="4619" max="4619" width="9.5" style="68" customWidth="1"/>
    <col min="4620" max="4620" width="10.75" style="68" customWidth="1"/>
    <col min="4621" max="4621" width="8" style="68" customWidth="1"/>
    <col min="4622" max="4623" width="9" style="68"/>
    <col min="4624" max="4624" width="9.375" style="68" customWidth="1"/>
    <col min="4625" max="4625" width="9" style="68"/>
    <col min="4626" max="4626" width="7.5" style="68" customWidth="1"/>
    <col min="4627" max="4627" width="9.875" style="68" customWidth="1"/>
    <col min="4628" max="4864" width="9" style="68"/>
    <col min="4865" max="4865" width="14.375" style="68" customWidth="1"/>
    <col min="4866" max="4866" width="11.875" style="68" customWidth="1"/>
    <col min="4867" max="4867" width="13.875" style="68" customWidth="1"/>
    <col min="4868" max="4868" width="12.25" style="68" customWidth="1"/>
    <col min="4869" max="4869" width="12.625" style="68" customWidth="1"/>
    <col min="4870" max="4870" width="13.625" style="68" customWidth="1"/>
    <col min="4871" max="4871" width="11.75" style="68" customWidth="1"/>
    <col min="4872" max="4872" width="13.25" style="68" customWidth="1"/>
    <col min="4873" max="4873" width="11.625" style="68" customWidth="1"/>
    <col min="4874" max="4874" width="12.625" style="68" customWidth="1"/>
    <col min="4875" max="4875" width="9.5" style="68" customWidth="1"/>
    <col min="4876" max="4876" width="10.75" style="68" customWidth="1"/>
    <col min="4877" max="4877" width="8" style="68" customWidth="1"/>
    <col min="4878" max="4879" width="9" style="68"/>
    <col min="4880" max="4880" width="9.375" style="68" customWidth="1"/>
    <col min="4881" max="4881" width="9" style="68"/>
    <col min="4882" max="4882" width="7.5" style="68" customWidth="1"/>
    <col min="4883" max="4883" width="9.875" style="68" customWidth="1"/>
    <col min="4884" max="5120" width="9" style="68"/>
    <col min="5121" max="5121" width="14.375" style="68" customWidth="1"/>
    <col min="5122" max="5122" width="11.875" style="68" customWidth="1"/>
    <col min="5123" max="5123" width="13.875" style="68" customWidth="1"/>
    <col min="5124" max="5124" width="12.25" style="68" customWidth="1"/>
    <col min="5125" max="5125" width="12.625" style="68" customWidth="1"/>
    <col min="5126" max="5126" width="13.625" style="68" customWidth="1"/>
    <col min="5127" max="5127" width="11.75" style="68" customWidth="1"/>
    <col min="5128" max="5128" width="13.25" style="68" customWidth="1"/>
    <col min="5129" max="5129" width="11.625" style="68" customWidth="1"/>
    <col min="5130" max="5130" width="12.625" style="68" customWidth="1"/>
    <col min="5131" max="5131" width="9.5" style="68" customWidth="1"/>
    <col min="5132" max="5132" width="10.75" style="68" customWidth="1"/>
    <col min="5133" max="5133" width="8" style="68" customWidth="1"/>
    <col min="5134" max="5135" width="9" style="68"/>
    <col min="5136" max="5136" width="9.375" style="68" customWidth="1"/>
    <col min="5137" max="5137" width="9" style="68"/>
    <col min="5138" max="5138" width="7.5" style="68" customWidth="1"/>
    <col min="5139" max="5139" width="9.875" style="68" customWidth="1"/>
    <col min="5140" max="5376" width="9" style="68"/>
    <col min="5377" max="5377" width="14.375" style="68" customWidth="1"/>
    <col min="5378" max="5378" width="11.875" style="68" customWidth="1"/>
    <col min="5379" max="5379" width="13.875" style="68" customWidth="1"/>
    <col min="5380" max="5380" width="12.25" style="68" customWidth="1"/>
    <col min="5381" max="5381" width="12.625" style="68" customWidth="1"/>
    <col min="5382" max="5382" width="13.625" style="68" customWidth="1"/>
    <col min="5383" max="5383" width="11.75" style="68" customWidth="1"/>
    <col min="5384" max="5384" width="13.25" style="68" customWidth="1"/>
    <col min="5385" max="5385" width="11.625" style="68" customWidth="1"/>
    <col min="5386" max="5386" width="12.625" style="68" customWidth="1"/>
    <col min="5387" max="5387" width="9.5" style="68" customWidth="1"/>
    <col min="5388" max="5388" width="10.75" style="68" customWidth="1"/>
    <col min="5389" max="5389" width="8" style="68" customWidth="1"/>
    <col min="5390" max="5391" width="9" style="68"/>
    <col min="5392" max="5392" width="9.375" style="68" customWidth="1"/>
    <col min="5393" max="5393" width="9" style="68"/>
    <col min="5394" max="5394" width="7.5" style="68" customWidth="1"/>
    <col min="5395" max="5395" width="9.875" style="68" customWidth="1"/>
    <col min="5396" max="5632" width="9" style="68"/>
    <col min="5633" max="5633" width="14.375" style="68" customWidth="1"/>
    <col min="5634" max="5634" width="11.875" style="68" customWidth="1"/>
    <col min="5635" max="5635" width="13.875" style="68" customWidth="1"/>
    <col min="5636" max="5636" width="12.25" style="68" customWidth="1"/>
    <col min="5637" max="5637" width="12.625" style="68" customWidth="1"/>
    <col min="5638" max="5638" width="13.625" style="68" customWidth="1"/>
    <col min="5639" max="5639" width="11.75" style="68" customWidth="1"/>
    <col min="5640" max="5640" width="13.25" style="68" customWidth="1"/>
    <col min="5641" max="5641" width="11.625" style="68" customWidth="1"/>
    <col min="5642" max="5642" width="12.625" style="68" customWidth="1"/>
    <col min="5643" max="5643" width="9.5" style="68" customWidth="1"/>
    <col min="5644" max="5644" width="10.75" style="68" customWidth="1"/>
    <col min="5645" max="5645" width="8" style="68" customWidth="1"/>
    <col min="5646" max="5647" width="9" style="68"/>
    <col min="5648" max="5648" width="9.375" style="68" customWidth="1"/>
    <col min="5649" max="5649" width="9" style="68"/>
    <col min="5650" max="5650" width="7.5" style="68" customWidth="1"/>
    <col min="5651" max="5651" width="9.875" style="68" customWidth="1"/>
    <col min="5652" max="5888" width="9" style="68"/>
    <col min="5889" max="5889" width="14.375" style="68" customWidth="1"/>
    <col min="5890" max="5890" width="11.875" style="68" customWidth="1"/>
    <col min="5891" max="5891" width="13.875" style="68" customWidth="1"/>
    <col min="5892" max="5892" width="12.25" style="68" customWidth="1"/>
    <col min="5893" max="5893" width="12.625" style="68" customWidth="1"/>
    <col min="5894" max="5894" width="13.625" style="68" customWidth="1"/>
    <col min="5895" max="5895" width="11.75" style="68" customWidth="1"/>
    <col min="5896" max="5896" width="13.25" style="68" customWidth="1"/>
    <col min="5897" max="5897" width="11.625" style="68" customWidth="1"/>
    <col min="5898" max="5898" width="12.625" style="68" customWidth="1"/>
    <col min="5899" max="5899" width="9.5" style="68" customWidth="1"/>
    <col min="5900" max="5900" width="10.75" style="68" customWidth="1"/>
    <col min="5901" max="5901" width="8" style="68" customWidth="1"/>
    <col min="5902" max="5903" width="9" style="68"/>
    <col min="5904" max="5904" width="9.375" style="68" customWidth="1"/>
    <col min="5905" max="5905" width="9" style="68"/>
    <col min="5906" max="5906" width="7.5" style="68" customWidth="1"/>
    <col min="5907" max="5907" width="9.875" style="68" customWidth="1"/>
    <col min="5908" max="6144" width="9" style="68"/>
    <col min="6145" max="6145" width="14.375" style="68" customWidth="1"/>
    <col min="6146" max="6146" width="11.875" style="68" customWidth="1"/>
    <col min="6147" max="6147" width="13.875" style="68" customWidth="1"/>
    <col min="6148" max="6148" width="12.25" style="68" customWidth="1"/>
    <col min="6149" max="6149" width="12.625" style="68" customWidth="1"/>
    <col min="6150" max="6150" width="13.625" style="68" customWidth="1"/>
    <col min="6151" max="6151" width="11.75" style="68" customWidth="1"/>
    <col min="6152" max="6152" width="13.25" style="68" customWidth="1"/>
    <col min="6153" max="6153" width="11.625" style="68" customWidth="1"/>
    <col min="6154" max="6154" width="12.625" style="68" customWidth="1"/>
    <col min="6155" max="6155" width="9.5" style="68" customWidth="1"/>
    <col min="6156" max="6156" width="10.75" style="68" customWidth="1"/>
    <col min="6157" max="6157" width="8" style="68" customWidth="1"/>
    <col min="6158" max="6159" width="9" style="68"/>
    <col min="6160" max="6160" width="9.375" style="68" customWidth="1"/>
    <col min="6161" max="6161" width="9" style="68"/>
    <col min="6162" max="6162" width="7.5" style="68" customWidth="1"/>
    <col min="6163" max="6163" width="9.875" style="68" customWidth="1"/>
    <col min="6164" max="6400" width="9" style="68"/>
    <col min="6401" max="6401" width="14.375" style="68" customWidth="1"/>
    <col min="6402" max="6402" width="11.875" style="68" customWidth="1"/>
    <col min="6403" max="6403" width="13.875" style="68" customWidth="1"/>
    <col min="6404" max="6404" width="12.25" style="68" customWidth="1"/>
    <col min="6405" max="6405" width="12.625" style="68" customWidth="1"/>
    <col min="6406" max="6406" width="13.625" style="68" customWidth="1"/>
    <col min="6407" max="6407" width="11.75" style="68" customWidth="1"/>
    <col min="6408" max="6408" width="13.25" style="68" customWidth="1"/>
    <col min="6409" max="6409" width="11.625" style="68" customWidth="1"/>
    <col min="6410" max="6410" width="12.625" style="68" customWidth="1"/>
    <col min="6411" max="6411" width="9.5" style="68" customWidth="1"/>
    <col min="6412" max="6412" width="10.75" style="68" customWidth="1"/>
    <col min="6413" max="6413" width="8" style="68" customWidth="1"/>
    <col min="6414" max="6415" width="9" style="68"/>
    <col min="6416" max="6416" width="9.375" style="68" customWidth="1"/>
    <col min="6417" max="6417" width="9" style="68"/>
    <col min="6418" max="6418" width="7.5" style="68" customWidth="1"/>
    <col min="6419" max="6419" width="9.875" style="68" customWidth="1"/>
    <col min="6420" max="6656" width="9" style="68"/>
    <col min="6657" max="6657" width="14.375" style="68" customWidth="1"/>
    <col min="6658" max="6658" width="11.875" style="68" customWidth="1"/>
    <col min="6659" max="6659" width="13.875" style="68" customWidth="1"/>
    <col min="6660" max="6660" width="12.25" style="68" customWidth="1"/>
    <col min="6661" max="6661" width="12.625" style="68" customWidth="1"/>
    <col min="6662" max="6662" width="13.625" style="68" customWidth="1"/>
    <col min="6663" max="6663" width="11.75" style="68" customWidth="1"/>
    <col min="6664" max="6664" width="13.25" style="68" customWidth="1"/>
    <col min="6665" max="6665" width="11.625" style="68" customWidth="1"/>
    <col min="6666" max="6666" width="12.625" style="68" customWidth="1"/>
    <col min="6667" max="6667" width="9.5" style="68" customWidth="1"/>
    <col min="6668" max="6668" width="10.75" style="68" customWidth="1"/>
    <col min="6669" max="6669" width="8" style="68" customWidth="1"/>
    <col min="6670" max="6671" width="9" style="68"/>
    <col min="6672" max="6672" width="9.375" style="68" customWidth="1"/>
    <col min="6673" max="6673" width="9" style="68"/>
    <col min="6674" max="6674" width="7.5" style="68" customWidth="1"/>
    <col min="6675" max="6675" width="9.875" style="68" customWidth="1"/>
    <col min="6676" max="6912" width="9" style="68"/>
    <col min="6913" max="6913" width="14.375" style="68" customWidth="1"/>
    <col min="6914" max="6914" width="11.875" style="68" customWidth="1"/>
    <col min="6915" max="6915" width="13.875" style="68" customWidth="1"/>
    <col min="6916" max="6916" width="12.25" style="68" customWidth="1"/>
    <col min="6917" max="6917" width="12.625" style="68" customWidth="1"/>
    <col min="6918" max="6918" width="13.625" style="68" customWidth="1"/>
    <col min="6919" max="6919" width="11.75" style="68" customWidth="1"/>
    <col min="6920" max="6920" width="13.25" style="68" customWidth="1"/>
    <col min="6921" max="6921" width="11.625" style="68" customWidth="1"/>
    <col min="6922" max="6922" width="12.625" style="68" customWidth="1"/>
    <col min="6923" max="6923" width="9.5" style="68" customWidth="1"/>
    <col min="6924" max="6924" width="10.75" style="68" customWidth="1"/>
    <col min="6925" max="6925" width="8" style="68" customWidth="1"/>
    <col min="6926" max="6927" width="9" style="68"/>
    <col min="6928" max="6928" width="9.375" style="68" customWidth="1"/>
    <col min="6929" max="6929" width="9" style="68"/>
    <col min="6930" max="6930" width="7.5" style="68" customWidth="1"/>
    <col min="6931" max="6931" width="9.875" style="68" customWidth="1"/>
    <col min="6932" max="7168" width="9" style="68"/>
    <col min="7169" max="7169" width="14.375" style="68" customWidth="1"/>
    <col min="7170" max="7170" width="11.875" style="68" customWidth="1"/>
    <col min="7171" max="7171" width="13.875" style="68" customWidth="1"/>
    <col min="7172" max="7172" width="12.25" style="68" customWidth="1"/>
    <col min="7173" max="7173" width="12.625" style="68" customWidth="1"/>
    <col min="7174" max="7174" width="13.625" style="68" customWidth="1"/>
    <col min="7175" max="7175" width="11.75" style="68" customWidth="1"/>
    <col min="7176" max="7176" width="13.25" style="68" customWidth="1"/>
    <col min="7177" max="7177" width="11.625" style="68" customWidth="1"/>
    <col min="7178" max="7178" width="12.625" style="68" customWidth="1"/>
    <col min="7179" max="7179" width="9.5" style="68" customWidth="1"/>
    <col min="7180" max="7180" width="10.75" style="68" customWidth="1"/>
    <col min="7181" max="7181" width="8" style="68" customWidth="1"/>
    <col min="7182" max="7183" width="9" style="68"/>
    <col min="7184" max="7184" width="9.375" style="68" customWidth="1"/>
    <col min="7185" max="7185" width="9" style="68"/>
    <col min="7186" max="7186" width="7.5" style="68" customWidth="1"/>
    <col min="7187" max="7187" width="9.875" style="68" customWidth="1"/>
    <col min="7188" max="7424" width="9" style="68"/>
    <col min="7425" max="7425" width="14.375" style="68" customWidth="1"/>
    <col min="7426" max="7426" width="11.875" style="68" customWidth="1"/>
    <col min="7427" max="7427" width="13.875" style="68" customWidth="1"/>
    <col min="7428" max="7428" width="12.25" style="68" customWidth="1"/>
    <col min="7429" max="7429" width="12.625" style="68" customWidth="1"/>
    <col min="7430" max="7430" width="13.625" style="68" customWidth="1"/>
    <col min="7431" max="7431" width="11.75" style="68" customWidth="1"/>
    <col min="7432" max="7432" width="13.25" style="68" customWidth="1"/>
    <col min="7433" max="7433" width="11.625" style="68" customWidth="1"/>
    <col min="7434" max="7434" width="12.625" style="68" customWidth="1"/>
    <col min="7435" max="7435" width="9.5" style="68" customWidth="1"/>
    <col min="7436" max="7436" width="10.75" style="68" customWidth="1"/>
    <col min="7437" max="7437" width="8" style="68" customWidth="1"/>
    <col min="7438" max="7439" width="9" style="68"/>
    <col min="7440" max="7440" width="9.375" style="68" customWidth="1"/>
    <col min="7441" max="7441" width="9" style="68"/>
    <col min="7442" max="7442" width="7.5" style="68" customWidth="1"/>
    <col min="7443" max="7443" width="9.875" style="68" customWidth="1"/>
    <col min="7444" max="7680" width="9" style="68"/>
    <col min="7681" max="7681" width="14.375" style="68" customWidth="1"/>
    <col min="7682" max="7682" width="11.875" style="68" customWidth="1"/>
    <col min="7683" max="7683" width="13.875" style="68" customWidth="1"/>
    <col min="7684" max="7684" width="12.25" style="68" customWidth="1"/>
    <col min="7685" max="7685" width="12.625" style="68" customWidth="1"/>
    <col min="7686" max="7686" width="13.625" style="68" customWidth="1"/>
    <col min="7687" max="7687" width="11.75" style="68" customWidth="1"/>
    <col min="7688" max="7688" width="13.25" style="68" customWidth="1"/>
    <col min="7689" max="7689" width="11.625" style="68" customWidth="1"/>
    <col min="7690" max="7690" width="12.625" style="68" customWidth="1"/>
    <col min="7691" max="7691" width="9.5" style="68" customWidth="1"/>
    <col min="7692" max="7692" width="10.75" style="68" customWidth="1"/>
    <col min="7693" max="7693" width="8" style="68" customWidth="1"/>
    <col min="7694" max="7695" width="9" style="68"/>
    <col min="7696" max="7696" width="9.375" style="68" customWidth="1"/>
    <col min="7697" max="7697" width="9" style="68"/>
    <col min="7698" max="7698" width="7.5" style="68" customWidth="1"/>
    <col min="7699" max="7699" width="9.875" style="68" customWidth="1"/>
    <col min="7700" max="7936" width="9" style="68"/>
    <col min="7937" max="7937" width="14.375" style="68" customWidth="1"/>
    <col min="7938" max="7938" width="11.875" style="68" customWidth="1"/>
    <col min="7939" max="7939" width="13.875" style="68" customWidth="1"/>
    <col min="7940" max="7940" width="12.25" style="68" customWidth="1"/>
    <col min="7941" max="7941" width="12.625" style="68" customWidth="1"/>
    <col min="7942" max="7942" width="13.625" style="68" customWidth="1"/>
    <col min="7943" max="7943" width="11.75" style="68" customWidth="1"/>
    <col min="7944" max="7944" width="13.25" style="68" customWidth="1"/>
    <col min="7945" max="7945" width="11.625" style="68" customWidth="1"/>
    <col min="7946" max="7946" width="12.625" style="68" customWidth="1"/>
    <col min="7947" max="7947" width="9.5" style="68" customWidth="1"/>
    <col min="7948" max="7948" width="10.75" style="68" customWidth="1"/>
    <col min="7949" max="7949" width="8" style="68" customWidth="1"/>
    <col min="7950" max="7951" width="9" style="68"/>
    <col min="7952" max="7952" width="9.375" style="68" customWidth="1"/>
    <col min="7953" max="7953" width="9" style="68"/>
    <col min="7954" max="7954" width="7.5" style="68" customWidth="1"/>
    <col min="7955" max="7955" width="9.875" style="68" customWidth="1"/>
    <col min="7956" max="8192" width="9" style="68"/>
    <col min="8193" max="8193" width="14.375" style="68" customWidth="1"/>
    <col min="8194" max="8194" width="11.875" style="68" customWidth="1"/>
    <col min="8195" max="8195" width="13.875" style="68" customWidth="1"/>
    <col min="8196" max="8196" width="12.25" style="68" customWidth="1"/>
    <col min="8197" max="8197" width="12.625" style="68" customWidth="1"/>
    <col min="8198" max="8198" width="13.625" style="68" customWidth="1"/>
    <col min="8199" max="8199" width="11.75" style="68" customWidth="1"/>
    <col min="8200" max="8200" width="13.25" style="68" customWidth="1"/>
    <col min="8201" max="8201" width="11.625" style="68" customWidth="1"/>
    <col min="8202" max="8202" width="12.625" style="68" customWidth="1"/>
    <col min="8203" max="8203" width="9.5" style="68" customWidth="1"/>
    <col min="8204" max="8204" width="10.75" style="68" customWidth="1"/>
    <col min="8205" max="8205" width="8" style="68" customWidth="1"/>
    <col min="8206" max="8207" width="9" style="68"/>
    <col min="8208" max="8208" width="9.375" style="68" customWidth="1"/>
    <col min="8209" max="8209" width="9" style="68"/>
    <col min="8210" max="8210" width="7.5" style="68" customWidth="1"/>
    <col min="8211" max="8211" width="9.875" style="68" customWidth="1"/>
    <col min="8212" max="8448" width="9" style="68"/>
    <col min="8449" max="8449" width="14.375" style="68" customWidth="1"/>
    <col min="8450" max="8450" width="11.875" style="68" customWidth="1"/>
    <col min="8451" max="8451" width="13.875" style="68" customWidth="1"/>
    <col min="8452" max="8452" width="12.25" style="68" customWidth="1"/>
    <col min="8453" max="8453" width="12.625" style="68" customWidth="1"/>
    <col min="8454" max="8454" width="13.625" style="68" customWidth="1"/>
    <col min="8455" max="8455" width="11.75" style="68" customWidth="1"/>
    <col min="8456" max="8456" width="13.25" style="68" customWidth="1"/>
    <col min="8457" max="8457" width="11.625" style="68" customWidth="1"/>
    <col min="8458" max="8458" width="12.625" style="68" customWidth="1"/>
    <col min="8459" max="8459" width="9.5" style="68" customWidth="1"/>
    <col min="8460" max="8460" width="10.75" style="68" customWidth="1"/>
    <col min="8461" max="8461" width="8" style="68" customWidth="1"/>
    <col min="8462" max="8463" width="9" style="68"/>
    <col min="8464" max="8464" width="9.375" style="68" customWidth="1"/>
    <col min="8465" max="8465" width="9" style="68"/>
    <col min="8466" max="8466" width="7.5" style="68" customWidth="1"/>
    <col min="8467" max="8467" width="9.875" style="68" customWidth="1"/>
    <col min="8468" max="8704" width="9" style="68"/>
    <col min="8705" max="8705" width="14.375" style="68" customWidth="1"/>
    <col min="8706" max="8706" width="11.875" style="68" customWidth="1"/>
    <col min="8707" max="8707" width="13.875" style="68" customWidth="1"/>
    <col min="8708" max="8708" width="12.25" style="68" customWidth="1"/>
    <col min="8709" max="8709" width="12.625" style="68" customWidth="1"/>
    <col min="8710" max="8710" width="13.625" style="68" customWidth="1"/>
    <col min="8711" max="8711" width="11.75" style="68" customWidth="1"/>
    <col min="8712" max="8712" width="13.25" style="68" customWidth="1"/>
    <col min="8713" max="8713" width="11.625" style="68" customWidth="1"/>
    <col min="8714" max="8714" width="12.625" style="68" customWidth="1"/>
    <col min="8715" max="8715" width="9.5" style="68" customWidth="1"/>
    <col min="8716" max="8716" width="10.75" style="68" customWidth="1"/>
    <col min="8717" max="8717" width="8" style="68" customWidth="1"/>
    <col min="8718" max="8719" width="9" style="68"/>
    <col min="8720" max="8720" width="9.375" style="68" customWidth="1"/>
    <col min="8721" max="8721" width="9" style="68"/>
    <col min="8722" max="8722" width="7.5" style="68" customWidth="1"/>
    <col min="8723" max="8723" width="9.875" style="68" customWidth="1"/>
    <col min="8724" max="8960" width="9" style="68"/>
    <col min="8961" max="8961" width="14.375" style="68" customWidth="1"/>
    <col min="8962" max="8962" width="11.875" style="68" customWidth="1"/>
    <col min="8963" max="8963" width="13.875" style="68" customWidth="1"/>
    <col min="8964" max="8964" width="12.25" style="68" customWidth="1"/>
    <col min="8965" max="8965" width="12.625" style="68" customWidth="1"/>
    <col min="8966" max="8966" width="13.625" style="68" customWidth="1"/>
    <col min="8967" max="8967" width="11.75" style="68" customWidth="1"/>
    <col min="8968" max="8968" width="13.25" style="68" customWidth="1"/>
    <col min="8969" max="8969" width="11.625" style="68" customWidth="1"/>
    <col min="8970" max="8970" width="12.625" style="68" customWidth="1"/>
    <col min="8971" max="8971" width="9.5" style="68" customWidth="1"/>
    <col min="8972" max="8972" width="10.75" style="68" customWidth="1"/>
    <col min="8973" max="8973" width="8" style="68" customWidth="1"/>
    <col min="8974" max="8975" width="9" style="68"/>
    <col min="8976" max="8976" width="9.375" style="68" customWidth="1"/>
    <col min="8977" max="8977" width="9" style="68"/>
    <col min="8978" max="8978" width="7.5" style="68" customWidth="1"/>
    <col min="8979" max="8979" width="9.875" style="68" customWidth="1"/>
    <col min="8980" max="9216" width="9" style="68"/>
    <col min="9217" max="9217" width="14.375" style="68" customWidth="1"/>
    <col min="9218" max="9218" width="11.875" style="68" customWidth="1"/>
    <col min="9219" max="9219" width="13.875" style="68" customWidth="1"/>
    <col min="9220" max="9220" width="12.25" style="68" customWidth="1"/>
    <col min="9221" max="9221" width="12.625" style="68" customWidth="1"/>
    <col min="9222" max="9222" width="13.625" style="68" customWidth="1"/>
    <col min="9223" max="9223" width="11.75" style="68" customWidth="1"/>
    <col min="9224" max="9224" width="13.25" style="68" customWidth="1"/>
    <col min="9225" max="9225" width="11.625" style="68" customWidth="1"/>
    <col min="9226" max="9226" width="12.625" style="68" customWidth="1"/>
    <col min="9227" max="9227" width="9.5" style="68" customWidth="1"/>
    <col min="9228" max="9228" width="10.75" style="68" customWidth="1"/>
    <col min="9229" max="9229" width="8" style="68" customWidth="1"/>
    <col min="9230" max="9231" width="9" style="68"/>
    <col min="9232" max="9232" width="9.375" style="68" customWidth="1"/>
    <col min="9233" max="9233" width="9" style="68"/>
    <col min="9234" max="9234" width="7.5" style="68" customWidth="1"/>
    <col min="9235" max="9235" width="9.875" style="68" customWidth="1"/>
    <col min="9236" max="9472" width="9" style="68"/>
    <col min="9473" max="9473" width="14.375" style="68" customWidth="1"/>
    <col min="9474" max="9474" width="11.875" style="68" customWidth="1"/>
    <col min="9475" max="9475" width="13.875" style="68" customWidth="1"/>
    <col min="9476" max="9476" width="12.25" style="68" customWidth="1"/>
    <col min="9477" max="9477" width="12.625" style="68" customWidth="1"/>
    <col min="9478" max="9478" width="13.625" style="68" customWidth="1"/>
    <col min="9479" max="9479" width="11.75" style="68" customWidth="1"/>
    <col min="9480" max="9480" width="13.25" style="68" customWidth="1"/>
    <col min="9481" max="9481" width="11.625" style="68" customWidth="1"/>
    <col min="9482" max="9482" width="12.625" style="68" customWidth="1"/>
    <col min="9483" max="9483" width="9.5" style="68" customWidth="1"/>
    <col min="9484" max="9484" width="10.75" style="68" customWidth="1"/>
    <col min="9485" max="9485" width="8" style="68" customWidth="1"/>
    <col min="9486" max="9487" width="9" style="68"/>
    <col min="9488" max="9488" width="9.375" style="68" customWidth="1"/>
    <col min="9489" max="9489" width="9" style="68"/>
    <col min="9490" max="9490" width="7.5" style="68" customWidth="1"/>
    <col min="9491" max="9491" width="9.875" style="68" customWidth="1"/>
    <col min="9492" max="9728" width="9" style="68"/>
    <col min="9729" max="9729" width="14.375" style="68" customWidth="1"/>
    <col min="9730" max="9730" width="11.875" style="68" customWidth="1"/>
    <col min="9731" max="9731" width="13.875" style="68" customWidth="1"/>
    <col min="9732" max="9732" width="12.25" style="68" customWidth="1"/>
    <col min="9733" max="9733" width="12.625" style="68" customWidth="1"/>
    <col min="9734" max="9734" width="13.625" style="68" customWidth="1"/>
    <col min="9735" max="9735" width="11.75" style="68" customWidth="1"/>
    <col min="9736" max="9736" width="13.25" style="68" customWidth="1"/>
    <col min="9737" max="9737" width="11.625" style="68" customWidth="1"/>
    <col min="9738" max="9738" width="12.625" style="68" customWidth="1"/>
    <col min="9739" max="9739" width="9.5" style="68" customWidth="1"/>
    <col min="9740" max="9740" width="10.75" style="68" customWidth="1"/>
    <col min="9741" max="9741" width="8" style="68" customWidth="1"/>
    <col min="9742" max="9743" width="9" style="68"/>
    <col min="9744" max="9744" width="9.375" style="68" customWidth="1"/>
    <col min="9745" max="9745" width="9" style="68"/>
    <col min="9746" max="9746" width="7.5" style="68" customWidth="1"/>
    <col min="9747" max="9747" width="9.875" style="68" customWidth="1"/>
    <col min="9748" max="9984" width="9" style="68"/>
    <col min="9985" max="9985" width="14.375" style="68" customWidth="1"/>
    <col min="9986" max="9986" width="11.875" style="68" customWidth="1"/>
    <col min="9987" max="9987" width="13.875" style="68" customWidth="1"/>
    <col min="9988" max="9988" width="12.25" style="68" customWidth="1"/>
    <col min="9989" max="9989" width="12.625" style="68" customWidth="1"/>
    <col min="9990" max="9990" width="13.625" style="68" customWidth="1"/>
    <col min="9991" max="9991" width="11.75" style="68" customWidth="1"/>
    <col min="9992" max="9992" width="13.25" style="68" customWidth="1"/>
    <col min="9993" max="9993" width="11.625" style="68" customWidth="1"/>
    <col min="9994" max="9994" width="12.625" style="68" customWidth="1"/>
    <col min="9995" max="9995" width="9.5" style="68" customWidth="1"/>
    <col min="9996" max="9996" width="10.75" style="68" customWidth="1"/>
    <col min="9997" max="9997" width="8" style="68" customWidth="1"/>
    <col min="9998" max="9999" width="9" style="68"/>
    <col min="10000" max="10000" width="9.375" style="68" customWidth="1"/>
    <col min="10001" max="10001" width="9" style="68"/>
    <col min="10002" max="10002" width="7.5" style="68" customWidth="1"/>
    <col min="10003" max="10003" width="9.875" style="68" customWidth="1"/>
    <col min="10004" max="10240" width="9" style="68"/>
    <col min="10241" max="10241" width="14.375" style="68" customWidth="1"/>
    <col min="10242" max="10242" width="11.875" style="68" customWidth="1"/>
    <col min="10243" max="10243" width="13.875" style="68" customWidth="1"/>
    <col min="10244" max="10244" width="12.25" style="68" customWidth="1"/>
    <col min="10245" max="10245" width="12.625" style="68" customWidth="1"/>
    <col min="10246" max="10246" width="13.625" style="68" customWidth="1"/>
    <col min="10247" max="10247" width="11.75" style="68" customWidth="1"/>
    <col min="10248" max="10248" width="13.25" style="68" customWidth="1"/>
    <col min="10249" max="10249" width="11.625" style="68" customWidth="1"/>
    <col min="10250" max="10250" width="12.625" style="68" customWidth="1"/>
    <col min="10251" max="10251" width="9.5" style="68" customWidth="1"/>
    <col min="10252" max="10252" width="10.75" style="68" customWidth="1"/>
    <col min="10253" max="10253" width="8" style="68" customWidth="1"/>
    <col min="10254" max="10255" width="9" style="68"/>
    <col min="10256" max="10256" width="9.375" style="68" customWidth="1"/>
    <col min="10257" max="10257" width="9" style="68"/>
    <col min="10258" max="10258" width="7.5" style="68" customWidth="1"/>
    <col min="10259" max="10259" width="9.875" style="68" customWidth="1"/>
    <col min="10260" max="10496" width="9" style="68"/>
    <col min="10497" max="10497" width="14.375" style="68" customWidth="1"/>
    <col min="10498" max="10498" width="11.875" style="68" customWidth="1"/>
    <col min="10499" max="10499" width="13.875" style="68" customWidth="1"/>
    <col min="10500" max="10500" width="12.25" style="68" customWidth="1"/>
    <col min="10501" max="10501" width="12.625" style="68" customWidth="1"/>
    <col min="10502" max="10502" width="13.625" style="68" customWidth="1"/>
    <col min="10503" max="10503" width="11.75" style="68" customWidth="1"/>
    <col min="10504" max="10504" width="13.25" style="68" customWidth="1"/>
    <col min="10505" max="10505" width="11.625" style="68" customWidth="1"/>
    <col min="10506" max="10506" width="12.625" style="68" customWidth="1"/>
    <col min="10507" max="10507" width="9.5" style="68" customWidth="1"/>
    <col min="10508" max="10508" width="10.75" style="68" customWidth="1"/>
    <col min="10509" max="10509" width="8" style="68" customWidth="1"/>
    <col min="10510" max="10511" width="9" style="68"/>
    <col min="10512" max="10512" width="9.375" style="68" customWidth="1"/>
    <col min="10513" max="10513" width="9" style="68"/>
    <col min="10514" max="10514" width="7.5" style="68" customWidth="1"/>
    <col min="10515" max="10515" width="9.875" style="68" customWidth="1"/>
    <col min="10516" max="10752" width="9" style="68"/>
    <col min="10753" max="10753" width="14.375" style="68" customWidth="1"/>
    <col min="10754" max="10754" width="11.875" style="68" customWidth="1"/>
    <col min="10755" max="10755" width="13.875" style="68" customWidth="1"/>
    <col min="10756" max="10756" width="12.25" style="68" customWidth="1"/>
    <col min="10757" max="10757" width="12.625" style="68" customWidth="1"/>
    <col min="10758" max="10758" width="13.625" style="68" customWidth="1"/>
    <col min="10759" max="10759" width="11.75" style="68" customWidth="1"/>
    <col min="10760" max="10760" width="13.25" style="68" customWidth="1"/>
    <col min="10761" max="10761" width="11.625" style="68" customWidth="1"/>
    <col min="10762" max="10762" width="12.625" style="68" customWidth="1"/>
    <col min="10763" max="10763" width="9.5" style="68" customWidth="1"/>
    <col min="10764" max="10764" width="10.75" style="68" customWidth="1"/>
    <col min="10765" max="10765" width="8" style="68" customWidth="1"/>
    <col min="10766" max="10767" width="9" style="68"/>
    <col min="10768" max="10768" width="9.375" style="68" customWidth="1"/>
    <col min="10769" max="10769" width="9" style="68"/>
    <col min="10770" max="10770" width="7.5" style="68" customWidth="1"/>
    <col min="10771" max="10771" width="9.875" style="68" customWidth="1"/>
    <col min="10772" max="11008" width="9" style="68"/>
    <col min="11009" max="11009" width="14.375" style="68" customWidth="1"/>
    <col min="11010" max="11010" width="11.875" style="68" customWidth="1"/>
    <col min="11011" max="11011" width="13.875" style="68" customWidth="1"/>
    <col min="11012" max="11012" width="12.25" style="68" customWidth="1"/>
    <col min="11013" max="11013" width="12.625" style="68" customWidth="1"/>
    <col min="11014" max="11014" width="13.625" style="68" customWidth="1"/>
    <col min="11015" max="11015" width="11.75" style="68" customWidth="1"/>
    <col min="11016" max="11016" width="13.25" style="68" customWidth="1"/>
    <col min="11017" max="11017" width="11.625" style="68" customWidth="1"/>
    <col min="11018" max="11018" width="12.625" style="68" customWidth="1"/>
    <col min="11019" max="11019" width="9.5" style="68" customWidth="1"/>
    <col min="11020" max="11020" width="10.75" style="68" customWidth="1"/>
    <col min="11021" max="11021" width="8" style="68" customWidth="1"/>
    <col min="11022" max="11023" width="9" style="68"/>
    <col min="11024" max="11024" width="9.375" style="68" customWidth="1"/>
    <col min="11025" max="11025" width="9" style="68"/>
    <col min="11026" max="11026" width="7.5" style="68" customWidth="1"/>
    <col min="11027" max="11027" width="9.875" style="68" customWidth="1"/>
    <col min="11028" max="11264" width="9" style="68"/>
    <col min="11265" max="11265" width="14.375" style="68" customWidth="1"/>
    <col min="11266" max="11266" width="11.875" style="68" customWidth="1"/>
    <col min="11267" max="11267" width="13.875" style="68" customWidth="1"/>
    <col min="11268" max="11268" width="12.25" style="68" customWidth="1"/>
    <col min="11269" max="11269" width="12.625" style="68" customWidth="1"/>
    <col min="11270" max="11270" width="13.625" style="68" customWidth="1"/>
    <col min="11271" max="11271" width="11.75" style="68" customWidth="1"/>
    <col min="11272" max="11272" width="13.25" style="68" customWidth="1"/>
    <col min="11273" max="11273" width="11.625" style="68" customWidth="1"/>
    <col min="11274" max="11274" width="12.625" style="68" customWidth="1"/>
    <col min="11275" max="11275" width="9.5" style="68" customWidth="1"/>
    <col min="11276" max="11276" width="10.75" style="68" customWidth="1"/>
    <col min="11277" max="11277" width="8" style="68" customWidth="1"/>
    <col min="11278" max="11279" width="9" style="68"/>
    <col min="11280" max="11280" width="9.375" style="68" customWidth="1"/>
    <col min="11281" max="11281" width="9" style="68"/>
    <col min="11282" max="11282" width="7.5" style="68" customWidth="1"/>
    <col min="11283" max="11283" width="9.875" style="68" customWidth="1"/>
    <col min="11284" max="11520" width="9" style="68"/>
    <col min="11521" max="11521" width="14.375" style="68" customWidth="1"/>
    <col min="11522" max="11522" width="11.875" style="68" customWidth="1"/>
    <col min="11523" max="11523" width="13.875" style="68" customWidth="1"/>
    <col min="11524" max="11524" width="12.25" style="68" customWidth="1"/>
    <col min="11525" max="11525" width="12.625" style="68" customWidth="1"/>
    <col min="11526" max="11526" width="13.625" style="68" customWidth="1"/>
    <col min="11527" max="11527" width="11.75" style="68" customWidth="1"/>
    <col min="11528" max="11528" width="13.25" style="68" customWidth="1"/>
    <col min="11529" max="11529" width="11.625" style="68" customWidth="1"/>
    <col min="11530" max="11530" width="12.625" style="68" customWidth="1"/>
    <col min="11531" max="11531" width="9.5" style="68" customWidth="1"/>
    <col min="11532" max="11532" width="10.75" style="68" customWidth="1"/>
    <col min="11533" max="11533" width="8" style="68" customWidth="1"/>
    <col min="11534" max="11535" width="9" style="68"/>
    <col min="11536" max="11536" width="9.375" style="68" customWidth="1"/>
    <col min="11537" max="11537" width="9" style="68"/>
    <col min="11538" max="11538" width="7.5" style="68" customWidth="1"/>
    <col min="11539" max="11539" width="9.875" style="68" customWidth="1"/>
    <col min="11540" max="11776" width="9" style="68"/>
    <col min="11777" max="11777" width="14.375" style="68" customWidth="1"/>
    <col min="11778" max="11778" width="11.875" style="68" customWidth="1"/>
    <col min="11779" max="11779" width="13.875" style="68" customWidth="1"/>
    <col min="11780" max="11780" width="12.25" style="68" customWidth="1"/>
    <col min="11781" max="11781" width="12.625" style="68" customWidth="1"/>
    <col min="11782" max="11782" width="13.625" style="68" customWidth="1"/>
    <col min="11783" max="11783" width="11.75" style="68" customWidth="1"/>
    <col min="11784" max="11784" width="13.25" style="68" customWidth="1"/>
    <col min="11785" max="11785" width="11.625" style="68" customWidth="1"/>
    <col min="11786" max="11786" width="12.625" style="68" customWidth="1"/>
    <col min="11787" max="11787" width="9.5" style="68" customWidth="1"/>
    <col min="11788" max="11788" width="10.75" style="68" customWidth="1"/>
    <col min="11789" max="11789" width="8" style="68" customWidth="1"/>
    <col min="11790" max="11791" width="9" style="68"/>
    <col min="11792" max="11792" width="9.375" style="68" customWidth="1"/>
    <col min="11793" max="11793" width="9" style="68"/>
    <col min="11794" max="11794" width="7.5" style="68" customWidth="1"/>
    <col min="11795" max="11795" width="9.875" style="68" customWidth="1"/>
    <col min="11796" max="12032" width="9" style="68"/>
    <col min="12033" max="12033" width="14.375" style="68" customWidth="1"/>
    <col min="12034" max="12034" width="11.875" style="68" customWidth="1"/>
    <col min="12035" max="12035" width="13.875" style="68" customWidth="1"/>
    <col min="12036" max="12036" width="12.25" style="68" customWidth="1"/>
    <col min="12037" max="12037" width="12.625" style="68" customWidth="1"/>
    <col min="12038" max="12038" width="13.625" style="68" customWidth="1"/>
    <col min="12039" max="12039" width="11.75" style="68" customWidth="1"/>
    <col min="12040" max="12040" width="13.25" style="68" customWidth="1"/>
    <col min="12041" max="12041" width="11.625" style="68" customWidth="1"/>
    <col min="12042" max="12042" width="12.625" style="68" customWidth="1"/>
    <col min="12043" max="12043" width="9.5" style="68" customWidth="1"/>
    <col min="12044" max="12044" width="10.75" style="68" customWidth="1"/>
    <col min="12045" max="12045" width="8" style="68" customWidth="1"/>
    <col min="12046" max="12047" width="9" style="68"/>
    <col min="12048" max="12048" width="9.375" style="68" customWidth="1"/>
    <col min="12049" max="12049" width="9" style="68"/>
    <col min="12050" max="12050" width="7.5" style="68" customWidth="1"/>
    <col min="12051" max="12051" width="9.875" style="68" customWidth="1"/>
    <col min="12052" max="12288" width="9" style="68"/>
    <col min="12289" max="12289" width="14.375" style="68" customWidth="1"/>
    <col min="12290" max="12290" width="11.875" style="68" customWidth="1"/>
    <col min="12291" max="12291" width="13.875" style="68" customWidth="1"/>
    <col min="12292" max="12292" width="12.25" style="68" customWidth="1"/>
    <col min="12293" max="12293" width="12.625" style="68" customWidth="1"/>
    <col min="12294" max="12294" width="13.625" style="68" customWidth="1"/>
    <col min="12295" max="12295" width="11.75" style="68" customWidth="1"/>
    <col min="12296" max="12296" width="13.25" style="68" customWidth="1"/>
    <col min="12297" max="12297" width="11.625" style="68" customWidth="1"/>
    <col min="12298" max="12298" width="12.625" style="68" customWidth="1"/>
    <col min="12299" max="12299" width="9.5" style="68" customWidth="1"/>
    <col min="12300" max="12300" width="10.75" style="68" customWidth="1"/>
    <col min="12301" max="12301" width="8" style="68" customWidth="1"/>
    <col min="12302" max="12303" width="9" style="68"/>
    <col min="12304" max="12304" width="9.375" style="68" customWidth="1"/>
    <col min="12305" max="12305" width="9" style="68"/>
    <col min="12306" max="12306" width="7.5" style="68" customWidth="1"/>
    <col min="12307" max="12307" width="9.875" style="68" customWidth="1"/>
    <col min="12308" max="12544" width="9" style="68"/>
    <col min="12545" max="12545" width="14.375" style="68" customWidth="1"/>
    <col min="12546" max="12546" width="11.875" style="68" customWidth="1"/>
    <col min="12547" max="12547" width="13.875" style="68" customWidth="1"/>
    <col min="12548" max="12548" width="12.25" style="68" customWidth="1"/>
    <col min="12549" max="12549" width="12.625" style="68" customWidth="1"/>
    <col min="12550" max="12550" width="13.625" style="68" customWidth="1"/>
    <col min="12551" max="12551" width="11.75" style="68" customWidth="1"/>
    <col min="12552" max="12552" width="13.25" style="68" customWidth="1"/>
    <col min="12553" max="12553" width="11.625" style="68" customWidth="1"/>
    <col min="12554" max="12554" width="12.625" style="68" customWidth="1"/>
    <col min="12555" max="12555" width="9.5" style="68" customWidth="1"/>
    <col min="12556" max="12556" width="10.75" style="68" customWidth="1"/>
    <col min="12557" max="12557" width="8" style="68" customWidth="1"/>
    <col min="12558" max="12559" width="9" style="68"/>
    <col min="12560" max="12560" width="9.375" style="68" customWidth="1"/>
    <col min="12561" max="12561" width="9" style="68"/>
    <col min="12562" max="12562" width="7.5" style="68" customWidth="1"/>
    <col min="12563" max="12563" width="9.875" style="68" customWidth="1"/>
    <col min="12564" max="12800" width="9" style="68"/>
    <col min="12801" max="12801" width="14.375" style="68" customWidth="1"/>
    <col min="12802" max="12802" width="11.875" style="68" customWidth="1"/>
    <col min="12803" max="12803" width="13.875" style="68" customWidth="1"/>
    <col min="12804" max="12804" width="12.25" style="68" customWidth="1"/>
    <col min="12805" max="12805" width="12.625" style="68" customWidth="1"/>
    <col min="12806" max="12806" width="13.625" style="68" customWidth="1"/>
    <col min="12807" max="12807" width="11.75" style="68" customWidth="1"/>
    <col min="12808" max="12808" width="13.25" style="68" customWidth="1"/>
    <col min="12809" max="12809" width="11.625" style="68" customWidth="1"/>
    <col min="12810" max="12810" width="12.625" style="68" customWidth="1"/>
    <col min="12811" max="12811" width="9.5" style="68" customWidth="1"/>
    <col min="12812" max="12812" width="10.75" style="68" customWidth="1"/>
    <col min="12813" max="12813" width="8" style="68" customWidth="1"/>
    <col min="12814" max="12815" width="9" style="68"/>
    <col min="12816" max="12816" width="9.375" style="68" customWidth="1"/>
    <col min="12817" max="12817" width="9" style="68"/>
    <col min="12818" max="12818" width="7.5" style="68" customWidth="1"/>
    <col min="12819" max="12819" width="9.875" style="68" customWidth="1"/>
    <col min="12820" max="13056" width="9" style="68"/>
    <col min="13057" max="13057" width="14.375" style="68" customWidth="1"/>
    <col min="13058" max="13058" width="11.875" style="68" customWidth="1"/>
    <col min="13059" max="13059" width="13.875" style="68" customWidth="1"/>
    <col min="13060" max="13060" width="12.25" style="68" customWidth="1"/>
    <col min="13061" max="13061" width="12.625" style="68" customWidth="1"/>
    <col min="13062" max="13062" width="13.625" style="68" customWidth="1"/>
    <col min="13063" max="13063" width="11.75" style="68" customWidth="1"/>
    <col min="13064" max="13064" width="13.25" style="68" customWidth="1"/>
    <col min="13065" max="13065" width="11.625" style="68" customWidth="1"/>
    <col min="13066" max="13066" width="12.625" style="68" customWidth="1"/>
    <col min="13067" max="13067" width="9.5" style="68" customWidth="1"/>
    <col min="13068" max="13068" width="10.75" style="68" customWidth="1"/>
    <col min="13069" max="13069" width="8" style="68" customWidth="1"/>
    <col min="13070" max="13071" width="9" style="68"/>
    <col min="13072" max="13072" width="9.375" style="68" customWidth="1"/>
    <col min="13073" max="13073" width="9" style="68"/>
    <col min="13074" max="13074" width="7.5" style="68" customWidth="1"/>
    <col min="13075" max="13075" width="9.875" style="68" customWidth="1"/>
    <col min="13076" max="13312" width="9" style="68"/>
    <col min="13313" max="13313" width="14.375" style="68" customWidth="1"/>
    <col min="13314" max="13314" width="11.875" style="68" customWidth="1"/>
    <col min="13315" max="13315" width="13.875" style="68" customWidth="1"/>
    <col min="13316" max="13316" width="12.25" style="68" customWidth="1"/>
    <col min="13317" max="13317" width="12.625" style="68" customWidth="1"/>
    <col min="13318" max="13318" width="13.625" style="68" customWidth="1"/>
    <col min="13319" max="13319" width="11.75" style="68" customWidth="1"/>
    <col min="13320" max="13320" width="13.25" style="68" customWidth="1"/>
    <col min="13321" max="13321" width="11.625" style="68" customWidth="1"/>
    <col min="13322" max="13322" width="12.625" style="68" customWidth="1"/>
    <col min="13323" max="13323" width="9.5" style="68" customWidth="1"/>
    <col min="13324" max="13324" width="10.75" style="68" customWidth="1"/>
    <col min="13325" max="13325" width="8" style="68" customWidth="1"/>
    <col min="13326" max="13327" width="9" style="68"/>
    <col min="13328" max="13328" width="9.375" style="68" customWidth="1"/>
    <col min="13329" max="13329" width="9" style="68"/>
    <col min="13330" max="13330" width="7.5" style="68" customWidth="1"/>
    <col min="13331" max="13331" width="9.875" style="68" customWidth="1"/>
    <col min="13332" max="13568" width="9" style="68"/>
    <col min="13569" max="13569" width="14.375" style="68" customWidth="1"/>
    <col min="13570" max="13570" width="11.875" style="68" customWidth="1"/>
    <col min="13571" max="13571" width="13.875" style="68" customWidth="1"/>
    <col min="13572" max="13572" width="12.25" style="68" customWidth="1"/>
    <col min="13573" max="13573" width="12.625" style="68" customWidth="1"/>
    <col min="13574" max="13574" width="13.625" style="68" customWidth="1"/>
    <col min="13575" max="13575" width="11.75" style="68" customWidth="1"/>
    <col min="13576" max="13576" width="13.25" style="68" customWidth="1"/>
    <col min="13577" max="13577" width="11.625" style="68" customWidth="1"/>
    <col min="13578" max="13578" width="12.625" style="68" customWidth="1"/>
    <col min="13579" max="13579" width="9.5" style="68" customWidth="1"/>
    <col min="13580" max="13580" width="10.75" style="68" customWidth="1"/>
    <col min="13581" max="13581" width="8" style="68" customWidth="1"/>
    <col min="13582" max="13583" width="9" style="68"/>
    <col min="13584" max="13584" width="9.375" style="68" customWidth="1"/>
    <col min="13585" max="13585" width="9" style="68"/>
    <col min="13586" max="13586" width="7.5" style="68" customWidth="1"/>
    <col min="13587" max="13587" width="9.875" style="68" customWidth="1"/>
    <col min="13588" max="13824" width="9" style="68"/>
    <col min="13825" max="13825" width="14.375" style="68" customWidth="1"/>
    <col min="13826" max="13826" width="11.875" style="68" customWidth="1"/>
    <col min="13827" max="13827" width="13.875" style="68" customWidth="1"/>
    <col min="13828" max="13828" width="12.25" style="68" customWidth="1"/>
    <col min="13829" max="13829" width="12.625" style="68" customWidth="1"/>
    <col min="13830" max="13830" width="13.625" style="68" customWidth="1"/>
    <col min="13831" max="13831" width="11.75" style="68" customWidth="1"/>
    <col min="13832" max="13832" width="13.25" style="68" customWidth="1"/>
    <col min="13833" max="13833" width="11.625" style="68" customWidth="1"/>
    <col min="13834" max="13834" width="12.625" style="68" customWidth="1"/>
    <col min="13835" max="13835" width="9.5" style="68" customWidth="1"/>
    <col min="13836" max="13836" width="10.75" style="68" customWidth="1"/>
    <col min="13837" max="13837" width="8" style="68" customWidth="1"/>
    <col min="13838" max="13839" width="9" style="68"/>
    <col min="13840" max="13840" width="9.375" style="68" customWidth="1"/>
    <col min="13841" max="13841" width="9" style="68"/>
    <col min="13842" max="13842" width="7.5" style="68" customWidth="1"/>
    <col min="13843" max="13843" width="9.875" style="68" customWidth="1"/>
    <col min="13844" max="14080" width="9" style="68"/>
    <col min="14081" max="14081" width="14.375" style="68" customWidth="1"/>
    <col min="14082" max="14082" width="11.875" style="68" customWidth="1"/>
    <col min="14083" max="14083" width="13.875" style="68" customWidth="1"/>
    <col min="14084" max="14084" width="12.25" style="68" customWidth="1"/>
    <col min="14085" max="14085" width="12.625" style="68" customWidth="1"/>
    <col min="14086" max="14086" width="13.625" style="68" customWidth="1"/>
    <col min="14087" max="14087" width="11.75" style="68" customWidth="1"/>
    <col min="14088" max="14088" width="13.25" style="68" customWidth="1"/>
    <col min="14089" max="14089" width="11.625" style="68" customWidth="1"/>
    <col min="14090" max="14090" width="12.625" style="68" customWidth="1"/>
    <col min="14091" max="14091" width="9.5" style="68" customWidth="1"/>
    <col min="14092" max="14092" width="10.75" style="68" customWidth="1"/>
    <col min="14093" max="14093" width="8" style="68" customWidth="1"/>
    <col min="14094" max="14095" width="9" style="68"/>
    <col min="14096" max="14096" width="9.375" style="68" customWidth="1"/>
    <col min="14097" max="14097" width="9" style="68"/>
    <col min="14098" max="14098" width="7.5" style="68" customWidth="1"/>
    <col min="14099" max="14099" width="9.875" style="68" customWidth="1"/>
    <col min="14100" max="14336" width="9" style="68"/>
    <col min="14337" max="14337" width="14.375" style="68" customWidth="1"/>
    <col min="14338" max="14338" width="11.875" style="68" customWidth="1"/>
    <col min="14339" max="14339" width="13.875" style="68" customWidth="1"/>
    <col min="14340" max="14340" width="12.25" style="68" customWidth="1"/>
    <col min="14341" max="14341" width="12.625" style="68" customWidth="1"/>
    <col min="14342" max="14342" width="13.625" style="68" customWidth="1"/>
    <col min="14343" max="14343" width="11.75" style="68" customWidth="1"/>
    <col min="14344" max="14344" width="13.25" style="68" customWidth="1"/>
    <col min="14345" max="14345" width="11.625" style="68" customWidth="1"/>
    <col min="14346" max="14346" width="12.625" style="68" customWidth="1"/>
    <col min="14347" max="14347" width="9.5" style="68" customWidth="1"/>
    <col min="14348" max="14348" width="10.75" style="68" customWidth="1"/>
    <col min="14349" max="14349" width="8" style="68" customWidth="1"/>
    <col min="14350" max="14351" width="9" style="68"/>
    <col min="14352" max="14352" width="9.375" style="68" customWidth="1"/>
    <col min="14353" max="14353" width="9" style="68"/>
    <col min="14354" max="14354" width="7.5" style="68" customWidth="1"/>
    <col min="14355" max="14355" width="9.875" style="68" customWidth="1"/>
    <col min="14356" max="14592" width="9" style="68"/>
    <col min="14593" max="14593" width="14.375" style="68" customWidth="1"/>
    <col min="14594" max="14594" width="11.875" style="68" customWidth="1"/>
    <col min="14595" max="14595" width="13.875" style="68" customWidth="1"/>
    <col min="14596" max="14596" width="12.25" style="68" customWidth="1"/>
    <col min="14597" max="14597" width="12.625" style="68" customWidth="1"/>
    <col min="14598" max="14598" width="13.625" style="68" customWidth="1"/>
    <col min="14599" max="14599" width="11.75" style="68" customWidth="1"/>
    <col min="14600" max="14600" width="13.25" style="68" customWidth="1"/>
    <col min="14601" max="14601" width="11.625" style="68" customWidth="1"/>
    <col min="14602" max="14602" width="12.625" style="68" customWidth="1"/>
    <col min="14603" max="14603" width="9.5" style="68" customWidth="1"/>
    <col min="14604" max="14604" width="10.75" style="68" customWidth="1"/>
    <col min="14605" max="14605" width="8" style="68" customWidth="1"/>
    <col min="14606" max="14607" width="9" style="68"/>
    <col min="14608" max="14608" width="9.375" style="68" customWidth="1"/>
    <col min="14609" max="14609" width="9" style="68"/>
    <col min="14610" max="14610" width="7.5" style="68" customWidth="1"/>
    <col min="14611" max="14611" width="9.875" style="68" customWidth="1"/>
    <col min="14612" max="14848" width="9" style="68"/>
    <col min="14849" max="14849" width="14.375" style="68" customWidth="1"/>
    <col min="14850" max="14850" width="11.875" style="68" customWidth="1"/>
    <col min="14851" max="14851" width="13.875" style="68" customWidth="1"/>
    <col min="14852" max="14852" width="12.25" style="68" customWidth="1"/>
    <col min="14853" max="14853" width="12.625" style="68" customWidth="1"/>
    <col min="14854" max="14854" width="13.625" style="68" customWidth="1"/>
    <col min="14855" max="14855" width="11.75" style="68" customWidth="1"/>
    <col min="14856" max="14856" width="13.25" style="68" customWidth="1"/>
    <col min="14857" max="14857" width="11.625" style="68" customWidth="1"/>
    <col min="14858" max="14858" width="12.625" style="68" customWidth="1"/>
    <col min="14859" max="14859" width="9.5" style="68" customWidth="1"/>
    <col min="14860" max="14860" width="10.75" style="68" customWidth="1"/>
    <col min="14861" max="14861" width="8" style="68" customWidth="1"/>
    <col min="14862" max="14863" width="9" style="68"/>
    <col min="14864" max="14864" width="9.375" style="68" customWidth="1"/>
    <col min="14865" max="14865" width="9" style="68"/>
    <col min="14866" max="14866" width="7.5" style="68" customWidth="1"/>
    <col min="14867" max="14867" width="9.875" style="68" customWidth="1"/>
    <col min="14868" max="15104" width="9" style="68"/>
    <col min="15105" max="15105" width="14.375" style="68" customWidth="1"/>
    <col min="15106" max="15106" width="11.875" style="68" customWidth="1"/>
    <col min="15107" max="15107" width="13.875" style="68" customWidth="1"/>
    <col min="15108" max="15108" width="12.25" style="68" customWidth="1"/>
    <col min="15109" max="15109" width="12.625" style="68" customWidth="1"/>
    <col min="15110" max="15110" width="13.625" style="68" customWidth="1"/>
    <col min="15111" max="15111" width="11.75" style="68" customWidth="1"/>
    <col min="15112" max="15112" width="13.25" style="68" customWidth="1"/>
    <col min="15113" max="15113" width="11.625" style="68" customWidth="1"/>
    <col min="15114" max="15114" width="12.625" style="68" customWidth="1"/>
    <col min="15115" max="15115" width="9.5" style="68" customWidth="1"/>
    <col min="15116" max="15116" width="10.75" style="68" customWidth="1"/>
    <col min="15117" max="15117" width="8" style="68" customWidth="1"/>
    <col min="15118" max="15119" width="9" style="68"/>
    <col min="15120" max="15120" width="9.375" style="68" customWidth="1"/>
    <col min="15121" max="15121" width="9" style="68"/>
    <col min="15122" max="15122" width="7.5" style="68" customWidth="1"/>
    <col min="15123" max="15123" width="9.875" style="68" customWidth="1"/>
    <col min="15124" max="15360" width="9" style="68"/>
    <col min="15361" max="15361" width="14.375" style="68" customWidth="1"/>
    <col min="15362" max="15362" width="11.875" style="68" customWidth="1"/>
    <col min="15363" max="15363" width="13.875" style="68" customWidth="1"/>
    <col min="15364" max="15364" width="12.25" style="68" customWidth="1"/>
    <col min="15365" max="15365" width="12.625" style="68" customWidth="1"/>
    <col min="15366" max="15366" width="13.625" style="68" customWidth="1"/>
    <col min="15367" max="15367" width="11.75" style="68" customWidth="1"/>
    <col min="15368" max="15368" width="13.25" style="68" customWidth="1"/>
    <col min="15369" max="15369" width="11.625" style="68" customWidth="1"/>
    <col min="15370" max="15370" width="12.625" style="68" customWidth="1"/>
    <col min="15371" max="15371" width="9.5" style="68" customWidth="1"/>
    <col min="15372" max="15372" width="10.75" style="68" customWidth="1"/>
    <col min="15373" max="15373" width="8" style="68" customWidth="1"/>
    <col min="15374" max="15375" width="9" style="68"/>
    <col min="15376" max="15376" width="9.375" style="68" customWidth="1"/>
    <col min="15377" max="15377" width="9" style="68"/>
    <col min="15378" max="15378" width="7.5" style="68" customWidth="1"/>
    <col min="15379" max="15379" width="9.875" style="68" customWidth="1"/>
    <col min="15380" max="15616" width="9" style="68"/>
    <col min="15617" max="15617" width="14.375" style="68" customWidth="1"/>
    <col min="15618" max="15618" width="11.875" style="68" customWidth="1"/>
    <col min="15619" max="15619" width="13.875" style="68" customWidth="1"/>
    <col min="15620" max="15620" width="12.25" style="68" customWidth="1"/>
    <col min="15621" max="15621" width="12.625" style="68" customWidth="1"/>
    <col min="15622" max="15622" width="13.625" style="68" customWidth="1"/>
    <col min="15623" max="15623" width="11.75" style="68" customWidth="1"/>
    <col min="15624" max="15624" width="13.25" style="68" customWidth="1"/>
    <col min="15625" max="15625" width="11.625" style="68" customWidth="1"/>
    <col min="15626" max="15626" width="12.625" style="68" customWidth="1"/>
    <col min="15627" max="15627" width="9.5" style="68" customWidth="1"/>
    <col min="15628" max="15628" width="10.75" style="68" customWidth="1"/>
    <col min="15629" max="15629" width="8" style="68" customWidth="1"/>
    <col min="15630" max="15631" width="9" style="68"/>
    <col min="15632" max="15632" width="9.375" style="68" customWidth="1"/>
    <col min="15633" max="15633" width="9" style="68"/>
    <col min="15634" max="15634" width="7.5" style="68" customWidth="1"/>
    <col min="15635" max="15635" width="9.875" style="68" customWidth="1"/>
    <col min="15636" max="15872" width="9" style="68"/>
    <col min="15873" max="15873" width="14.375" style="68" customWidth="1"/>
    <col min="15874" max="15874" width="11.875" style="68" customWidth="1"/>
    <col min="15875" max="15875" width="13.875" style="68" customWidth="1"/>
    <col min="15876" max="15876" width="12.25" style="68" customWidth="1"/>
    <col min="15877" max="15877" width="12.625" style="68" customWidth="1"/>
    <col min="15878" max="15878" width="13.625" style="68" customWidth="1"/>
    <col min="15879" max="15879" width="11.75" style="68" customWidth="1"/>
    <col min="15880" max="15880" width="13.25" style="68" customWidth="1"/>
    <col min="15881" max="15881" width="11.625" style="68" customWidth="1"/>
    <col min="15882" max="15882" width="12.625" style="68" customWidth="1"/>
    <col min="15883" max="15883" width="9.5" style="68" customWidth="1"/>
    <col min="15884" max="15884" width="10.75" style="68" customWidth="1"/>
    <col min="15885" max="15885" width="8" style="68" customWidth="1"/>
    <col min="15886" max="15887" width="9" style="68"/>
    <col min="15888" max="15888" width="9.375" style="68" customWidth="1"/>
    <col min="15889" max="15889" width="9" style="68"/>
    <col min="15890" max="15890" width="7.5" style="68" customWidth="1"/>
    <col min="15891" max="15891" width="9.875" style="68" customWidth="1"/>
    <col min="15892" max="16128" width="9" style="68"/>
    <col min="16129" max="16129" width="14.375" style="68" customWidth="1"/>
    <col min="16130" max="16130" width="11.875" style="68" customWidth="1"/>
    <col min="16131" max="16131" width="13.875" style="68" customWidth="1"/>
    <col min="16132" max="16132" width="12.25" style="68" customWidth="1"/>
    <col min="16133" max="16133" width="12.625" style="68" customWidth="1"/>
    <col min="16134" max="16134" width="13.625" style="68" customWidth="1"/>
    <col min="16135" max="16135" width="11.75" style="68" customWidth="1"/>
    <col min="16136" max="16136" width="13.25" style="68" customWidth="1"/>
    <col min="16137" max="16137" width="11.625" style="68" customWidth="1"/>
    <col min="16138" max="16138" width="12.625" style="68" customWidth="1"/>
    <col min="16139" max="16139" width="9.5" style="68" customWidth="1"/>
    <col min="16140" max="16140" width="10.75" style="68" customWidth="1"/>
    <col min="16141" max="16141" width="8" style="68" customWidth="1"/>
    <col min="16142" max="16143" width="9" style="68"/>
    <col min="16144" max="16144" width="9.375" style="68" customWidth="1"/>
    <col min="16145" max="16145" width="9" style="68"/>
    <col min="16146" max="16146" width="7.5" style="68" customWidth="1"/>
    <col min="16147" max="16147" width="9.875" style="68" customWidth="1"/>
    <col min="16148" max="16384" width="9" style="68"/>
  </cols>
  <sheetData>
    <row r="1" spans="1:17" s="64" customFormat="1" ht="24" customHeight="1">
      <c r="A1" s="815" t="s">
        <v>651</v>
      </c>
      <c r="B1" s="815"/>
      <c r="C1" s="815"/>
      <c r="D1" s="815"/>
      <c r="E1" s="815"/>
      <c r="F1" s="815"/>
      <c r="G1" s="815"/>
      <c r="H1" s="815"/>
      <c r="I1" s="815"/>
      <c r="J1" s="815"/>
      <c r="K1" s="815"/>
      <c r="L1" s="815"/>
      <c r="M1" s="815"/>
      <c r="N1" s="815"/>
      <c r="O1" s="815"/>
      <c r="P1" s="815"/>
    </row>
    <row r="2" spans="1:17" s="64" customFormat="1" ht="24" customHeight="1">
      <c r="A2" s="70"/>
      <c r="B2" s="70"/>
      <c r="C2" s="70"/>
      <c r="D2" s="70"/>
      <c r="E2" s="70"/>
      <c r="F2" s="70"/>
      <c r="G2" s="70"/>
      <c r="H2" s="70"/>
      <c r="I2" s="70"/>
      <c r="J2" s="70"/>
      <c r="K2" s="70"/>
      <c r="L2" s="70"/>
      <c r="M2" s="70"/>
      <c r="N2" s="70"/>
      <c r="O2" s="70"/>
      <c r="P2" s="70"/>
    </row>
    <row r="3" spans="1:17" s="65" customFormat="1" ht="24">
      <c r="A3" s="71" t="s">
        <v>652</v>
      </c>
      <c r="B3" s="72"/>
      <c r="C3" s="73"/>
      <c r="D3" s="74"/>
      <c r="E3" s="75"/>
      <c r="F3" s="75"/>
      <c r="G3" s="75"/>
      <c r="I3" s="131" t="s">
        <v>653</v>
      </c>
      <c r="J3" s="132" t="s">
        <v>105</v>
      </c>
      <c r="K3" s="132" t="s">
        <v>654</v>
      </c>
      <c r="L3" s="132" t="s">
        <v>655</v>
      </c>
      <c r="M3" s="132" t="s">
        <v>656</v>
      </c>
      <c r="N3" s="132" t="s">
        <v>657</v>
      </c>
      <c r="O3" s="132" t="s">
        <v>658</v>
      </c>
      <c r="P3" s="133" t="s">
        <v>659</v>
      </c>
      <c r="Q3" s="133" t="s">
        <v>660</v>
      </c>
    </row>
    <row r="4" spans="1:17" s="65" customFormat="1" ht="14.25" customHeight="1">
      <c r="A4" s="65" t="s">
        <v>661</v>
      </c>
      <c r="B4" s="76"/>
      <c r="C4" s="74"/>
      <c r="D4" s="74"/>
      <c r="E4" s="75"/>
      <c r="F4" s="75"/>
      <c r="G4" s="75"/>
      <c r="I4" s="134" t="s">
        <v>662</v>
      </c>
      <c r="J4" s="135"/>
      <c r="K4" s="136"/>
      <c r="L4" s="137"/>
      <c r="M4" s="136"/>
      <c r="N4" s="136"/>
      <c r="O4" s="136"/>
      <c r="P4" s="136"/>
      <c r="Q4" s="144"/>
    </row>
    <row r="5" spans="1:17" s="65" customFormat="1" ht="18.75" customHeight="1">
      <c r="A5" s="65" t="s">
        <v>663</v>
      </c>
      <c r="C5" s="74"/>
      <c r="D5" s="74"/>
      <c r="I5" s="138" t="s">
        <v>664</v>
      </c>
      <c r="J5" s="139" t="e">
        <f t="shared" ref="J5:Q5" si="0">J4/(SUM($J$4:$N$4)+$O$4+$P$4+$Q$4)</f>
        <v>#DIV/0!</v>
      </c>
      <c r="K5" s="139" t="e">
        <f t="shared" si="0"/>
        <v>#DIV/0!</v>
      </c>
      <c r="L5" s="139" t="e">
        <f t="shared" si="0"/>
        <v>#DIV/0!</v>
      </c>
      <c r="M5" s="139" t="e">
        <f t="shared" si="0"/>
        <v>#DIV/0!</v>
      </c>
      <c r="N5" s="139" t="e">
        <f t="shared" si="0"/>
        <v>#DIV/0!</v>
      </c>
      <c r="O5" s="139" t="e">
        <f t="shared" si="0"/>
        <v>#DIV/0!</v>
      </c>
      <c r="P5" s="139" t="e">
        <f t="shared" si="0"/>
        <v>#DIV/0!</v>
      </c>
      <c r="Q5" s="139" t="e">
        <f t="shared" si="0"/>
        <v>#DIV/0!</v>
      </c>
    </row>
    <row r="6" spans="1:17" s="65" customFormat="1" ht="42" customHeight="1">
      <c r="A6" s="917" t="s">
        <v>665</v>
      </c>
      <c r="B6" s="918"/>
      <c r="C6" s="77" t="s">
        <v>261</v>
      </c>
      <c r="D6" s="919" t="e">
        <f>SUM($E$8:$E$21)/SUM($D$8:$D$21)*100</f>
        <v>#DIV/0!</v>
      </c>
      <c r="E6" s="920"/>
      <c r="F6" s="78" t="s">
        <v>260</v>
      </c>
      <c r="G6" s="79" t="e">
        <f>((COUNTIF(G8:G21,"1"))/(COUNTIF(F8:F21,"1")+COUNTIF(F8:F21,"0")))*100</f>
        <v>#DIV/0!</v>
      </c>
    </row>
    <row r="7" spans="1:17" s="65" customFormat="1" ht="34.5" customHeight="1">
      <c r="A7" s="80" t="s">
        <v>666</v>
      </c>
      <c r="B7" s="80" t="s">
        <v>667</v>
      </c>
      <c r="C7" s="80" t="s">
        <v>668</v>
      </c>
      <c r="D7" s="80" t="s">
        <v>669</v>
      </c>
      <c r="E7" s="80" t="s">
        <v>670</v>
      </c>
      <c r="F7" s="80" t="s">
        <v>671</v>
      </c>
      <c r="G7" s="80" t="s">
        <v>672</v>
      </c>
      <c r="H7" s="81" t="str">
        <f t="shared" ref="H7:J7" si="1">CONCATENATE("第",COLUMN(H7)-COLUMN($G$7),"周")</f>
        <v>第1周</v>
      </c>
      <c r="I7" s="81" t="str">
        <f t="shared" si="1"/>
        <v>第2周</v>
      </c>
      <c r="J7" s="81" t="str">
        <f t="shared" si="1"/>
        <v>第3周</v>
      </c>
    </row>
    <row r="8" spans="1:17" s="66" customFormat="1" ht="15" customHeight="1">
      <c r="A8" s="82"/>
      <c r="B8" s="82"/>
      <c r="C8" s="82"/>
      <c r="D8" s="83"/>
      <c r="E8" s="84" t="str">
        <f t="shared" ref="E8:E21" si="2">IF(ISBLANK(C8),"-",IF(5&lt;=C8,1.6,IF(AND(3&lt;=C8,5&gt;C8),1.25,IF(AND(2&lt;=C8,3&gt;C8),1,IF(AND(2&gt;C8,1.5&lt;=C8),0.8,IF(AND(1.5&gt;C8,1&lt;=C8),0.7,0.5))))))</f>
        <v>-</v>
      </c>
      <c r="F8" s="85"/>
      <c r="G8" s="85"/>
      <c r="H8" s="86"/>
      <c r="I8" s="86"/>
      <c r="J8" s="86"/>
    </row>
    <row r="9" spans="1:17" s="66" customFormat="1" ht="15" customHeight="1">
      <c r="A9" s="82"/>
      <c r="B9" s="82"/>
      <c r="C9" s="82"/>
      <c r="D9" s="83"/>
      <c r="E9" s="84" t="str">
        <f t="shared" si="2"/>
        <v>-</v>
      </c>
      <c r="F9" s="85"/>
      <c r="G9" s="85"/>
      <c r="H9" s="86"/>
      <c r="I9" s="86"/>
      <c r="J9" s="86"/>
    </row>
    <row r="10" spans="1:17" s="66" customFormat="1" ht="15" customHeight="1">
      <c r="A10" s="82"/>
      <c r="B10" s="82"/>
      <c r="C10" s="82"/>
      <c r="D10" s="83"/>
      <c r="E10" s="84" t="str">
        <f t="shared" si="2"/>
        <v>-</v>
      </c>
      <c r="F10" s="85"/>
      <c r="G10" s="85"/>
      <c r="H10" s="86"/>
      <c r="I10" s="86"/>
      <c r="J10" s="86"/>
    </row>
    <row r="11" spans="1:17" s="66" customFormat="1" ht="15" customHeight="1">
      <c r="A11" s="82"/>
      <c r="B11" s="82"/>
      <c r="C11" s="82"/>
      <c r="D11" s="83"/>
      <c r="E11" s="84" t="str">
        <f t="shared" si="2"/>
        <v>-</v>
      </c>
      <c r="F11" s="85"/>
      <c r="G11" s="85"/>
      <c r="H11" s="86"/>
      <c r="I11" s="86"/>
      <c r="J11" s="86"/>
    </row>
    <row r="12" spans="1:17" s="66" customFormat="1" ht="15" customHeight="1">
      <c r="A12" s="82"/>
      <c r="B12" s="82"/>
      <c r="C12" s="82"/>
      <c r="D12" s="83"/>
      <c r="E12" s="84" t="str">
        <f t="shared" si="2"/>
        <v>-</v>
      </c>
      <c r="F12" s="85"/>
      <c r="G12" s="85"/>
      <c r="H12" s="86"/>
      <c r="I12" s="86"/>
      <c r="J12" s="86"/>
    </row>
    <row r="13" spans="1:17" s="66" customFormat="1" ht="15" customHeight="1">
      <c r="A13" s="82"/>
      <c r="B13" s="82"/>
      <c r="C13" s="82"/>
      <c r="D13" s="83"/>
      <c r="E13" s="84" t="str">
        <f t="shared" si="2"/>
        <v>-</v>
      </c>
      <c r="F13" s="85"/>
      <c r="G13" s="85"/>
      <c r="H13" s="86"/>
      <c r="I13" s="86"/>
      <c r="J13" s="86"/>
    </row>
    <row r="14" spans="1:17" s="66" customFormat="1" ht="15" customHeight="1">
      <c r="A14" s="82"/>
      <c r="B14" s="82"/>
      <c r="C14" s="82"/>
      <c r="D14" s="83"/>
      <c r="E14" s="84" t="str">
        <f t="shared" si="2"/>
        <v>-</v>
      </c>
      <c r="F14" s="85"/>
      <c r="G14" s="85"/>
      <c r="H14" s="86"/>
      <c r="I14" s="86"/>
      <c r="J14" s="86"/>
    </row>
    <row r="15" spans="1:17" s="66" customFormat="1" ht="15" customHeight="1">
      <c r="A15" s="82"/>
      <c r="B15" s="82"/>
      <c r="C15" s="82"/>
      <c r="D15" s="83"/>
      <c r="E15" s="84" t="str">
        <f t="shared" si="2"/>
        <v>-</v>
      </c>
      <c r="F15" s="85"/>
      <c r="G15" s="85"/>
      <c r="H15" s="86"/>
      <c r="I15" s="86"/>
      <c r="J15" s="86"/>
    </row>
    <row r="16" spans="1:17" s="66" customFormat="1" ht="15" customHeight="1">
      <c r="A16" s="82"/>
      <c r="B16" s="82"/>
      <c r="C16" s="82"/>
      <c r="D16" s="83"/>
      <c r="E16" s="84" t="str">
        <f t="shared" si="2"/>
        <v>-</v>
      </c>
      <c r="F16" s="85"/>
      <c r="G16" s="85"/>
      <c r="H16" s="86"/>
      <c r="I16" s="86"/>
      <c r="J16" s="86"/>
    </row>
    <row r="17" spans="1:10" s="66" customFormat="1" ht="15" customHeight="1">
      <c r="A17" s="82"/>
      <c r="B17" s="82"/>
      <c r="C17" s="82"/>
      <c r="D17" s="83"/>
      <c r="E17" s="84" t="str">
        <f t="shared" si="2"/>
        <v>-</v>
      </c>
      <c r="F17" s="85"/>
      <c r="G17" s="85"/>
      <c r="H17" s="86"/>
      <c r="I17" s="86"/>
      <c r="J17" s="86"/>
    </row>
    <row r="18" spans="1:10" s="66" customFormat="1" ht="15" customHeight="1">
      <c r="A18" s="82"/>
      <c r="B18" s="82"/>
      <c r="C18" s="82"/>
      <c r="D18" s="83"/>
      <c r="E18" s="84" t="str">
        <f t="shared" si="2"/>
        <v>-</v>
      </c>
      <c r="F18" s="85"/>
      <c r="G18" s="85"/>
      <c r="H18" s="86"/>
      <c r="I18" s="86"/>
      <c r="J18" s="86"/>
    </row>
    <row r="19" spans="1:10" s="66" customFormat="1" ht="15" customHeight="1">
      <c r="A19" s="82"/>
      <c r="B19" s="82"/>
      <c r="C19" s="82"/>
      <c r="D19" s="83"/>
      <c r="E19" s="84" t="str">
        <f t="shared" ref="E19" si="3">IF(ISBLANK(C19),"-",IF(5&lt;=C19,1.6,IF(AND(3&lt;=C19,5&gt;C19),1.25,IF(AND(2&lt;=C19,3&gt;C19),1,IF(AND(2&gt;C19,1.5&lt;=C19),0.8,IF(AND(1.5&gt;C19,1&lt;=C19),0.7,0.5))))))</f>
        <v>-</v>
      </c>
      <c r="F19" s="87"/>
      <c r="G19" s="87"/>
      <c r="H19" s="86"/>
      <c r="I19" s="86"/>
      <c r="J19" s="86"/>
    </row>
    <row r="20" spans="1:10" s="66" customFormat="1" ht="15" customHeight="1">
      <c r="A20" s="82"/>
      <c r="B20" s="82"/>
      <c r="C20" s="82"/>
      <c r="D20" s="83"/>
      <c r="E20" s="84" t="str">
        <f t="shared" si="2"/>
        <v>-</v>
      </c>
      <c r="F20" s="87"/>
      <c r="G20" s="87"/>
      <c r="H20" s="86"/>
      <c r="I20" s="86"/>
      <c r="J20" s="86"/>
    </row>
    <row r="21" spans="1:10" s="66" customFormat="1" ht="15" customHeight="1">
      <c r="A21" s="82"/>
      <c r="B21" s="82"/>
      <c r="C21" s="82"/>
      <c r="D21" s="83"/>
      <c r="E21" s="84" t="str">
        <f t="shared" si="2"/>
        <v>-</v>
      </c>
      <c r="F21" s="87"/>
      <c r="G21" s="87"/>
      <c r="H21" s="86"/>
      <c r="I21" s="86"/>
      <c r="J21" s="86"/>
    </row>
    <row r="24" spans="1:10">
      <c r="A24" s="88" t="s">
        <v>673</v>
      </c>
      <c r="B24" s="89"/>
    </row>
    <row r="25" spans="1:10">
      <c r="A25" s="65" t="s">
        <v>674</v>
      </c>
    </row>
    <row r="26" spans="1:10">
      <c r="A26" s="65" t="s">
        <v>458</v>
      </c>
    </row>
    <row r="27" spans="1:10">
      <c r="A27" s="65"/>
    </row>
    <row r="28" spans="1:10">
      <c r="A28" s="90" t="s">
        <v>675</v>
      </c>
      <c r="B28" s="91" t="s">
        <v>105</v>
      </c>
      <c r="C28" s="91" t="s">
        <v>676</v>
      </c>
      <c r="D28" s="91" t="s">
        <v>677</v>
      </c>
      <c r="E28" s="91" t="s">
        <v>678</v>
      </c>
      <c r="F28" s="92" t="s">
        <v>679</v>
      </c>
      <c r="G28" s="91" t="s">
        <v>680</v>
      </c>
      <c r="H28" s="91" t="s">
        <v>681</v>
      </c>
      <c r="I28" s="91" t="s">
        <v>682</v>
      </c>
      <c r="J28" s="140" t="s">
        <v>683</v>
      </c>
    </row>
    <row r="29" spans="1:10">
      <c r="A29" s="93" t="e">
        <f>AVERAGE(E8:E21)</f>
        <v>#DIV/0!</v>
      </c>
      <c r="B29" s="94" t="e">
        <f>AVERAGEIF($A$8:$A$21,"项目经理",$E$8:$E$21)</f>
        <v>#DIV/0!</v>
      </c>
      <c r="C29" s="94" t="e">
        <f>AVERAGEIF(A8:A21,"策划工程师",E8:E21)</f>
        <v>#DIV/0!</v>
      </c>
      <c r="D29" s="94" t="e">
        <f>AVERAGEIF(A8:A21,"需求分析师",E8:E21)</f>
        <v>#DIV/0!</v>
      </c>
      <c r="E29" s="94" t="e">
        <f>AVERAGEIF(A8:A21,"开发工程师",E8:E21)</f>
        <v>#DIV/0!</v>
      </c>
      <c r="F29" s="94" t="e">
        <f>AVERAGEIF(A8:A21,"测试工程师",E8:E21)</f>
        <v>#DIV/0!</v>
      </c>
      <c r="G29" s="94" t="e">
        <f>AVERAGEIF(A8:A21,"UI及美工",E8:E21)</f>
        <v>#DIV/0!</v>
      </c>
      <c r="H29" s="94" t="e">
        <f>AVERAGEIF(A8:A21,"架构师",E8:E21)</f>
        <v>#DIV/0!</v>
      </c>
      <c r="I29" s="94" t="e">
        <f>AVERAGEIF(A8:A21,"质量保证工程师",E8:E21)</f>
        <v>#DIV/0!</v>
      </c>
      <c r="J29" s="141" t="e">
        <f>AVERAGEIF(A8:A21,"配置管理员",E8:E21)</f>
        <v>#DIV/0!</v>
      </c>
    </row>
    <row r="30" spans="1:10" s="67" customFormat="1">
      <c r="A30" s="95"/>
      <c r="B30" s="95"/>
      <c r="C30" s="96"/>
      <c r="D30" s="96"/>
      <c r="E30" s="96"/>
      <c r="F30" s="96"/>
      <c r="G30" s="96"/>
      <c r="H30" s="96"/>
      <c r="I30" s="96"/>
      <c r="J30" s="142"/>
    </row>
    <row r="31" spans="1:10">
      <c r="A31" s="97" t="s">
        <v>684</v>
      </c>
      <c r="B31" s="89"/>
    </row>
    <row r="32" spans="1:10">
      <c r="A32" s="98" t="s">
        <v>685</v>
      </c>
    </row>
    <row r="33" spans="1:11">
      <c r="A33" s="98" t="s">
        <v>686</v>
      </c>
    </row>
    <row r="35" spans="1:11">
      <c r="A35" s="99" t="s">
        <v>447</v>
      </c>
      <c r="B35" s="100" t="s">
        <v>687</v>
      </c>
      <c r="C35" s="100" t="s">
        <v>688</v>
      </c>
      <c r="D35" s="921" t="s">
        <v>689</v>
      </c>
      <c r="E35" s="922"/>
    </row>
    <row r="36" spans="1:11">
      <c r="A36" s="101" t="s">
        <v>289</v>
      </c>
      <c r="B36" s="102"/>
      <c r="C36" s="102"/>
      <c r="D36" s="923" t="e">
        <f t="shared" ref="D36:D40" si="4">C36/B36*100</f>
        <v>#DIV/0!</v>
      </c>
      <c r="E36" s="924"/>
    </row>
    <row r="37" spans="1:11">
      <c r="A37" s="101" t="s">
        <v>307</v>
      </c>
      <c r="B37" s="102"/>
      <c r="C37" s="102"/>
      <c r="D37" s="923" t="e">
        <f t="shared" si="4"/>
        <v>#DIV/0!</v>
      </c>
      <c r="E37" s="924"/>
    </row>
    <row r="38" spans="1:11">
      <c r="A38" s="101" t="s">
        <v>436</v>
      </c>
      <c r="B38" s="102"/>
      <c r="C38" s="102"/>
      <c r="D38" s="923" t="e">
        <f t="shared" si="4"/>
        <v>#DIV/0!</v>
      </c>
      <c r="E38" s="924"/>
    </row>
    <row r="39" spans="1:11">
      <c r="A39" s="101" t="s">
        <v>322</v>
      </c>
      <c r="B39" s="102"/>
      <c r="C39" s="103"/>
      <c r="D39" s="923" t="e">
        <f t="shared" si="4"/>
        <v>#DIV/0!</v>
      </c>
      <c r="E39" s="924"/>
    </row>
    <row r="40" spans="1:11" ht="15.75" customHeight="1">
      <c r="A40" s="104" t="s">
        <v>328</v>
      </c>
      <c r="B40" s="105"/>
      <c r="C40" s="105"/>
      <c r="D40" s="925" t="e">
        <f t="shared" si="4"/>
        <v>#DIV/0!</v>
      </c>
      <c r="E40" s="926"/>
      <c r="K40" s="143" t="e">
        <f t="shared" ref="K40:K44" si="5">H48</f>
        <v>#DIV/0!</v>
      </c>
    </row>
    <row r="41" spans="1:11">
      <c r="K41" s="143" t="e">
        <f t="shared" si="5"/>
        <v>#DIV/0!</v>
      </c>
    </row>
    <row r="42" spans="1:11">
      <c r="K42" s="143" t="e">
        <f t="shared" si="5"/>
        <v>#DIV/0!</v>
      </c>
    </row>
    <row r="43" spans="1:11">
      <c r="A43" s="88" t="s">
        <v>690</v>
      </c>
      <c r="B43" s="106"/>
      <c r="C43" s="107"/>
      <c r="K43" s="143" t="e">
        <f t="shared" si="5"/>
        <v>#DIV/0!</v>
      </c>
    </row>
    <row r="44" spans="1:11">
      <c r="A44" s="65" t="s">
        <v>691</v>
      </c>
      <c r="K44" s="143" t="e">
        <f t="shared" si="5"/>
        <v>#DIV/0!</v>
      </c>
    </row>
    <row r="45" spans="1:11">
      <c r="A45" s="65" t="s">
        <v>692</v>
      </c>
    </row>
    <row r="47" spans="1:11">
      <c r="A47" s="108" t="s">
        <v>447</v>
      </c>
      <c r="B47" s="109" t="s">
        <v>693</v>
      </c>
      <c r="C47" s="110" t="s">
        <v>694</v>
      </c>
      <c r="D47" s="111" t="s">
        <v>695</v>
      </c>
      <c r="E47" s="111" t="s">
        <v>696</v>
      </c>
      <c r="F47" s="111" t="s">
        <v>697</v>
      </c>
      <c r="G47" s="112" t="s">
        <v>698</v>
      </c>
      <c r="H47" s="113" t="s">
        <v>699</v>
      </c>
      <c r="J47" s="68" t="str">
        <f t="shared" ref="J47:J51" si="6">A48</f>
        <v>需求阶段</v>
      </c>
    </row>
    <row r="48" spans="1:11">
      <c r="A48" s="114" t="s">
        <v>289</v>
      </c>
      <c r="B48" s="115"/>
      <c r="C48" s="116"/>
      <c r="D48" s="117"/>
      <c r="E48" s="117"/>
      <c r="F48" s="117"/>
      <c r="G48" s="118">
        <f t="shared" ref="G48:G53" si="7">B48+C48+E48-D48-F48</f>
        <v>0</v>
      </c>
      <c r="H48" s="119" t="e">
        <f t="shared" ref="H48:H53" si="8">SUM(C48:F48)/B48</f>
        <v>#DIV/0!</v>
      </c>
      <c r="J48" s="68" t="str">
        <f t="shared" si="6"/>
        <v>设计阶段</v>
      </c>
    </row>
    <row r="49" spans="1:11">
      <c r="A49" s="114" t="s">
        <v>307</v>
      </c>
      <c r="B49" s="115"/>
      <c r="C49" s="116"/>
      <c r="D49" s="117"/>
      <c r="E49" s="117"/>
      <c r="F49" s="117"/>
      <c r="G49" s="118">
        <f t="shared" si="7"/>
        <v>0</v>
      </c>
      <c r="H49" s="119" t="e">
        <f t="shared" si="8"/>
        <v>#DIV/0!</v>
      </c>
      <c r="J49" s="68" t="str">
        <f t="shared" si="6"/>
        <v>编码阶段</v>
      </c>
    </row>
    <row r="50" spans="1:11">
      <c r="A50" s="114" t="s">
        <v>436</v>
      </c>
      <c r="B50" s="115"/>
      <c r="C50" s="116"/>
      <c r="D50" s="117"/>
      <c r="E50" s="117"/>
      <c r="F50" s="117"/>
      <c r="G50" s="118">
        <f t="shared" si="7"/>
        <v>0</v>
      </c>
      <c r="H50" s="119" t="e">
        <f t="shared" si="8"/>
        <v>#DIV/0!</v>
      </c>
      <c r="J50" s="68" t="str">
        <f t="shared" si="6"/>
        <v>测试阶段</v>
      </c>
    </row>
    <row r="51" spans="1:11">
      <c r="A51" s="114" t="s">
        <v>322</v>
      </c>
      <c r="B51" s="115"/>
      <c r="C51" s="116"/>
      <c r="D51" s="117"/>
      <c r="E51" s="117"/>
      <c r="F51" s="117"/>
      <c r="G51" s="118">
        <f t="shared" si="7"/>
        <v>0</v>
      </c>
      <c r="H51" s="119" t="e">
        <f t="shared" si="8"/>
        <v>#DIV/0!</v>
      </c>
      <c r="J51" s="68" t="str">
        <f t="shared" si="6"/>
        <v>验收阶段</v>
      </c>
    </row>
    <row r="52" spans="1:11">
      <c r="A52" s="114" t="s">
        <v>328</v>
      </c>
      <c r="B52" s="115"/>
      <c r="C52" s="116"/>
      <c r="D52" s="117"/>
      <c r="E52" s="117"/>
      <c r="F52" s="117"/>
      <c r="G52" s="118">
        <f t="shared" si="7"/>
        <v>0</v>
      </c>
      <c r="H52" s="119" t="e">
        <f t="shared" si="8"/>
        <v>#DIV/0!</v>
      </c>
    </row>
    <row r="53" spans="1:11" ht="17.25" customHeight="1">
      <c r="A53" s="120" t="s">
        <v>407</v>
      </c>
      <c r="B53" s="121">
        <f>MAX(B48:B52)</f>
        <v>0</v>
      </c>
      <c r="C53" s="121">
        <f t="shared" ref="C53:F53" si="9">SUM(C48:C52)</f>
        <v>0</v>
      </c>
      <c r="D53" s="121">
        <f t="shared" si="9"/>
        <v>0</v>
      </c>
      <c r="E53" s="121">
        <f t="shared" si="9"/>
        <v>0</v>
      </c>
      <c r="F53" s="121">
        <f t="shared" si="9"/>
        <v>0</v>
      </c>
      <c r="G53" s="122">
        <f t="shared" si="7"/>
        <v>0</v>
      </c>
      <c r="H53" s="123" t="e">
        <f t="shared" si="8"/>
        <v>#DIV/0!</v>
      </c>
    </row>
    <row r="54" spans="1:11" ht="12" customHeight="1">
      <c r="K54" s="143" t="e">
        <f t="shared" ref="K54:K58" si="10">D61</f>
        <v>#DIV/0!</v>
      </c>
    </row>
    <row r="55" spans="1:11" ht="12" customHeight="1">
      <c r="J55" s="98"/>
      <c r="K55" s="143" t="e">
        <f t="shared" si="10"/>
        <v>#DIV/0!</v>
      </c>
    </row>
    <row r="56" spans="1:11" ht="12" customHeight="1">
      <c r="B56" s="124"/>
      <c r="K56" s="143" t="e">
        <f t="shared" si="10"/>
        <v>#DIV/0!</v>
      </c>
    </row>
    <row r="57" spans="1:11" ht="12" customHeight="1">
      <c r="A57" s="927" t="s">
        <v>700</v>
      </c>
      <c r="B57" s="928"/>
      <c r="C57" s="929"/>
      <c r="K57" s="143" t="e">
        <f t="shared" si="10"/>
        <v>#DIV/0!</v>
      </c>
    </row>
    <row r="58" spans="1:11" ht="12" customHeight="1">
      <c r="A58" s="98" t="s">
        <v>701</v>
      </c>
      <c r="K58" s="143" t="e">
        <f t="shared" si="10"/>
        <v>#DIV/0!</v>
      </c>
    </row>
    <row r="59" spans="1:11" ht="12" customHeight="1">
      <c r="A59" s="98" t="s">
        <v>702</v>
      </c>
      <c r="C59" s="68"/>
      <c r="D59" s="68"/>
    </row>
    <row r="60" spans="1:11">
      <c r="A60" s="125" t="s">
        <v>447</v>
      </c>
      <c r="B60" s="126" t="s">
        <v>703</v>
      </c>
      <c r="C60" s="126" t="s">
        <v>704</v>
      </c>
      <c r="D60" s="127" t="s">
        <v>705</v>
      </c>
    </row>
    <row r="61" spans="1:11">
      <c r="A61" s="128" t="s">
        <v>289</v>
      </c>
      <c r="B61" s="129">
        <f>工作量分布!C13</f>
        <v>0</v>
      </c>
      <c r="C61" s="129">
        <f>工作量分布!D13</f>
        <v>0</v>
      </c>
      <c r="D61" s="130" t="e">
        <f t="shared" ref="D61:D66" si="11">C61/B61</f>
        <v>#DIV/0!</v>
      </c>
      <c r="I61" s="68" t="str">
        <f t="shared" ref="I61:I65" si="12">A61</f>
        <v>需求阶段</v>
      </c>
    </row>
    <row r="62" spans="1:11">
      <c r="A62" s="128" t="s">
        <v>307</v>
      </c>
      <c r="B62" s="129">
        <f>工作量分布!E13</f>
        <v>0</v>
      </c>
      <c r="C62" s="129">
        <f>工作量分布!F13</f>
        <v>0</v>
      </c>
      <c r="D62" s="130" t="e">
        <f t="shared" si="11"/>
        <v>#DIV/0!</v>
      </c>
      <c r="I62" s="68" t="str">
        <f t="shared" si="12"/>
        <v>设计阶段</v>
      </c>
    </row>
    <row r="63" spans="1:11">
      <c r="A63" s="128" t="s">
        <v>436</v>
      </c>
      <c r="B63" s="129">
        <f>工作量分布!G13</f>
        <v>0</v>
      </c>
      <c r="C63" s="129">
        <f>工作量分布!H13</f>
        <v>0</v>
      </c>
      <c r="D63" s="130" t="e">
        <f t="shared" si="11"/>
        <v>#DIV/0!</v>
      </c>
      <c r="I63" s="68" t="str">
        <f t="shared" si="12"/>
        <v>编码阶段</v>
      </c>
    </row>
    <row r="64" spans="1:11">
      <c r="A64" s="128" t="s">
        <v>322</v>
      </c>
      <c r="B64" s="129">
        <f>工作量分布!I13</f>
        <v>0</v>
      </c>
      <c r="C64" s="129">
        <f>工作量分布!J13</f>
        <v>0</v>
      </c>
      <c r="D64" s="130" t="e">
        <f t="shared" si="11"/>
        <v>#DIV/0!</v>
      </c>
      <c r="I64" s="68" t="str">
        <f t="shared" si="12"/>
        <v>测试阶段</v>
      </c>
    </row>
    <row r="65" spans="1:9">
      <c r="A65" s="128" t="s">
        <v>328</v>
      </c>
      <c r="B65" s="129">
        <f>工作量分布!K13</f>
        <v>0</v>
      </c>
      <c r="C65" s="129">
        <f>工作量分布!L13</f>
        <v>0</v>
      </c>
      <c r="D65" s="130" t="e">
        <f t="shared" si="11"/>
        <v>#DIV/0!</v>
      </c>
      <c r="I65" s="68" t="str">
        <f t="shared" si="12"/>
        <v>验收阶段</v>
      </c>
    </row>
    <row r="66" spans="1:9">
      <c r="A66" s="120" t="s">
        <v>510</v>
      </c>
      <c r="B66" s="145">
        <f>SUM(B61:B65)</f>
        <v>0</v>
      </c>
      <c r="C66" s="145">
        <f>SUM(C61:C65)</f>
        <v>0</v>
      </c>
      <c r="D66" s="146" t="e">
        <f t="shared" si="11"/>
        <v>#DIV/0!</v>
      </c>
      <c r="E66" s="147"/>
      <c r="F66" s="148"/>
    </row>
    <row r="67" spans="1:9">
      <c r="A67" s="149"/>
      <c r="B67" s="148"/>
      <c r="C67" s="150"/>
      <c r="D67" s="151"/>
      <c r="E67" s="152"/>
      <c r="F67" s="147"/>
      <c r="G67" s="148"/>
    </row>
    <row r="68" spans="1:9" ht="18" customHeight="1">
      <c r="E68" s="152"/>
      <c r="F68" s="147"/>
      <c r="G68" s="148"/>
    </row>
    <row r="69" spans="1:9" ht="18.75" customHeight="1"/>
    <row r="72" spans="1:9">
      <c r="A72" s="153"/>
    </row>
  </sheetData>
  <mergeCells count="10">
    <mergeCell ref="D37:E37"/>
    <mergeCell ref="D38:E38"/>
    <mergeCell ref="D39:E39"/>
    <mergeCell ref="D40:E40"/>
    <mergeCell ref="A57:C57"/>
    <mergeCell ref="A1:P1"/>
    <mergeCell ref="A6:B6"/>
    <mergeCell ref="D6:E6"/>
    <mergeCell ref="D35:E35"/>
    <mergeCell ref="D36:E36"/>
  </mergeCells>
  <phoneticPr fontId="156" type="noConversion"/>
  <dataValidations count="3">
    <dataValidation type="list" allowBlank="1" showInputMessage="1" showErrorMessage="1" sqref="A8:A21 A65540:A65553 A131076:A131089 A196612:A196625 A262148:A262161 A327684:A327697 A393220:A393233 A458756:A458769 A524292:A524305 A589828:A589841 A655364:A655377 A720900:A720913 A786436:A786449 A851972:A851985 A917508:A917521 A983044:A983057 IH8:IH21 IW65540:IW65553 IW131076:IW131089 IW196612:IW196625 IW262148:IW262161 IW327684:IW327697 IW393220:IW393233 IW458756:IW458769 IW524292:IW524305 IW589828:IW589841 IW655364:IW655377 IW720900:IW720913 IW786436:IW786449 IW851972:IW851985 IW917508:IW917521 IW983044:IW983057 SD8:SD21 SS65540:SS65553 SS131076:SS131089 SS196612:SS196625 SS262148:SS262161 SS327684:SS327697 SS393220:SS393233 SS458756:SS458769 SS524292:SS524305 SS589828:SS589841 SS655364:SS655377 SS720900:SS720913 SS786436:SS786449 SS851972:SS851985 SS917508:SS917521 SS983044:SS983057 ABZ8:ABZ21 ACO65540:ACO65553 ACO131076:ACO131089 ACO196612:ACO196625 ACO262148:ACO262161 ACO327684:ACO327697 ACO393220:ACO393233 ACO458756:ACO458769 ACO524292:ACO524305 ACO589828:ACO589841 ACO655364:ACO655377 ACO720900:ACO720913 ACO786436:ACO786449 ACO851972:ACO851985 ACO917508:ACO917521 ACO983044:ACO983057 ALV8:ALV21 AMK65540:AMK65553 AMK131076:AMK131089 AMK196612:AMK196625 AMK262148:AMK262161 AMK327684:AMK327697 AMK393220:AMK393233 AMK458756:AMK458769 AMK524292:AMK524305 AMK589828:AMK589841 AMK655364:AMK655377 AMK720900:AMK720913 AMK786436:AMK786449 AMK851972:AMK851985 AMK917508:AMK917521 AMK983044:AMK983057 AVR8:AVR21 AWG65540:AWG65553 AWG131076:AWG131089 AWG196612:AWG196625 AWG262148:AWG262161 AWG327684:AWG327697 AWG393220:AWG393233 AWG458756:AWG458769 AWG524292:AWG524305 AWG589828:AWG589841 AWG655364:AWG655377 AWG720900:AWG720913 AWG786436:AWG786449 AWG851972:AWG851985 AWG917508:AWG917521 AWG983044:AWG983057 BFN8:BFN21 BGC65540:BGC65553 BGC131076:BGC131089 BGC196612:BGC196625 BGC262148:BGC262161 BGC327684:BGC327697 BGC393220:BGC393233 BGC458756:BGC458769 BGC524292:BGC524305 BGC589828:BGC589841 BGC655364:BGC655377 BGC720900:BGC720913 BGC786436:BGC786449 BGC851972:BGC851985 BGC917508:BGC917521 BGC983044:BGC983057 BPJ8:BPJ21 BPY65540:BPY65553 BPY131076:BPY131089 BPY196612:BPY196625 BPY262148:BPY262161 BPY327684:BPY327697 BPY393220:BPY393233 BPY458756:BPY458769 BPY524292:BPY524305 BPY589828:BPY589841 BPY655364:BPY655377 BPY720900:BPY720913 BPY786436:BPY786449 BPY851972:BPY851985 BPY917508:BPY917521 BPY983044:BPY983057 BZF8:BZF21 BZU65540:BZU65553 BZU131076:BZU131089 BZU196612:BZU196625 BZU262148:BZU262161 BZU327684:BZU327697 BZU393220:BZU393233 BZU458756:BZU458769 BZU524292:BZU524305 BZU589828:BZU589841 BZU655364:BZU655377 BZU720900:BZU720913 BZU786436:BZU786449 BZU851972:BZU851985 BZU917508:BZU917521 BZU983044:BZU983057 CJB8:CJB21 CJQ65540:CJQ65553 CJQ131076:CJQ131089 CJQ196612:CJQ196625 CJQ262148:CJQ262161 CJQ327684:CJQ327697 CJQ393220:CJQ393233 CJQ458756:CJQ458769 CJQ524292:CJQ524305 CJQ589828:CJQ589841 CJQ655364:CJQ655377 CJQ720900:CJQ720913 CJQ786436:CJQ786449 CJQ851972:CJQ851985 CJQ917508:CJQ917521 CJQ983044:CJQ983057 CSX8:CSX21 CTM65540:CTM65553 CTM131076:CTM131089 CTM196612:CTM196625 CTM262148:CTM262161 CTM327684:CTM327697 CTM393220:CTM393233 CTM458756:CTM458769 CTM524292:CTM524305 CTM589828:CTM589841 CTM655364:CTM655377 CTM720900:CTM720913 CTM786436:CTM786449 CTM851972:CTM851985 CTM917508:CTM917521 CTM983044:CTM983057 DCT8:DCT21 DDI65540:DDI65553 DDI131076:DDI131089 DDI196612:DDI196625 DDI262148:DDI262161 DDI327684:DDI327697 DDI393220:DDI393233 DDI458756:DDI458769 DDI524292:DDI524305 DDI589828:DDI589841 DDI655364:DDI655377 DDI720900:DDI720913 DDI786436:DDI786449 DDI851972:DDI851985 DDI917508:DDI917521 DDI983044:DDI983057 DMP8:DMP21 DNE65540:DNE65553 DNE131076:DNE131089 DNE196612:DNE196625 DNE262148:DNE262161 DNE327684:DNE327697 DNE393220:DNE393233 DNE458756:DNE458769 DNE524292:DNE524305 DNE589828:DNE589841 DNE655364:DNE655377 DNE720900:DNE720913 DNE786436:DNE786449 DNE851972:DNE851985 DNE917508:DNE917521 DNE983044:DNE983057 DWL8:DWL21 DXA65540:DXA65553 DXA131076:DXA131089 DXA196612:DXA196625 DXA262148:DXA262161 DXA327684:DXA327697 DXA393220:DXA393233 DXA458756:DXA458769 DXA524292:DXA524305 DXA589828:DXA589841 DXA655364:DXA655377 DXA720900:DXA720913 DXA786436:DXA786449 DXA851972:DXA851985 DXA917508:DXA917521 DXA983044:DXA983057 EGH8:EGH21 EGW65540:EGW65553 EGW131076:EGW131089 EGW196612:EGW196625 EGW262148:EGW262161 EGW327684:EGW327697 EGW393220:EGW393233 EGW458756:EGW458769 EGW524292:EGW524305 EGW589828:EGW589841 EGW655364:EGW655377 EGW720900:EGW720913 EGW786436:EGW786449 EGW851972:EGW851985 EGW917508:EGW917521 EGW983044:EGW983057 EQD8:EQD21 EQS65540:EQS65553 EQS131076:EQS131089 EQS196612:EQS196625 EQS262148:EQS262161 EQS327684:EQS327697 EQS393220:EQS393233 EQS458756:EQS458769 EQS524292:EQS524305 EQS589828:EQS589841 EQS655364:EQS655377 EQS720900:EQS720913 EQS786436:EQS786449 EQS851972:EQS851985 EQS917508:EQS917521 EQS983044:EQS983057 EZZ8:EZZ21 FAO65540:FAO65553 FAO131076:FAO131089 FAO196612:FAO196625 FAO262148:FAO262161 FAO327684:FAO327697 FAO393220:FAO393233 FAO458756:FAO458769 FAO524292:FAO524305 FAO589828:FAO589841 FAO655364:FAO655377 FAO720900:FAO720913 FAO786436:FAO786449 FAO851972:FAO851985 FAO917508:FAO917521 FAO983044:FAO983057 FJV8:FJV21 FKK65540:FKK65553 FKK131076:FKK131089 FKK196612:FKK196625 FKK262148:FKK262161 FKK327684:FKK327697 FKK393220:FKK393233 FKK458756:FKK458769 FKK524292:FKK524305 FKK589828:FKK589841 FKK655364:FKK655377 FKK720900:FKK720913 FKK786436:FKK786449 FKK851972:FKK851985 FKK917508:FKK917521 FKK983044:FKK983057 FTR8:FTR21 FUG65540:FUG65553 FUG131076:FUG131089 FUG196612:FUG196625 FUG262148:FUG262161 FUG327684:FUG327697 FUG393220:FUG393233 FUG458756:FUG458769 FUG524292:FUG524305 FUG589828:FUG589841 FUG655364:FUG655377 FUG720900:FUG720913 FUG786436:FUG786449 FUG851972:FUG851985 FUG917508:FUG917521 FUG983044:FUG983057 GDN8:GDN21 GEC65540:GEC65553 GEC131076:GEC131089 GEC196612:GEC196625 GEC262148:GEC262161 GEC327684:GEC327697 GEC393220:GEC393233 GEC458756:GEC458769 GEC524292:GEC524305 GEC589828:GEC589841 GEC655364:GEC655377 GEC720900:GEC720913 GEC786436:GEC786449 GEC851972:GEC851985 GEC917508:GEC917521 GEC983044:GEC983057 GNJ8:GNJ21 GNY65540:GNY65553 GNY131076:GNY131089 GNY196612:GNY196625 GNY262148:GNY262161 GNY327684:GNY327697 GNY393220:GNY393233 GNY458756:GNY458769 GNY524292:GNY524305 GNY589828:GNY589841 GNY655364:GNY655377 GNY720900:GNY720913 GNY786436:GNY786449 GNY851972:GNY851985 GNY917508:GNY917521 GNY983044:GNY983057 GXF8:GXF21 GXU65540:GXU65553 GXU131076:GXU131089 GXU196612:GXU196625 GXU262148:GXU262161 GXU327684:GXU327697 GXU393220:GXU393233 GXU458756:GXU458769 GXU524292:GXU524305 GXU589828:GXU589841 GXU655364:GXU655377 GXU720900:GXU720913 GXU786436:GXU786449 GXU851972:GXU851985 GXU917508:GXU917521 GXU983044:GXU983057 HHB8:HHB21 HHQ65540:HHQ65553 HHQ131076:HHQ131089 HHQ196612:HHQ196625 HHQ262148:HHQ262161 HHQ327684:HHQ327697 HHQ393220:HHQ393233 HHQ458756:HHQ458769 HHQ524292:HHQ524305 HHQ589828:HHQ589841 HHQ655364:HHQ655377 HHQ720900:HHQ720913 HHQ786436:HHQ786449 HHQ851972:HHQ851985 HHQ917508:HHQ917521 HHQ983044:HHQ983057 HQX8:HQX21 HRM65540:HRM65553 HRM131076:HRM131089 HRM196612:HRM196625 HRM262148:HRM262161 HRM327684:HRM327697 HRM393220:HRM393233 HRM458756:HRM458769 HRM524292:HRM524305 HRM589828:HRM589841 HRM655364:HRM655377 HRM720900:HRM720913 HRM786436:HRM786449 HRM851972:HRM851985 HRM917508:HRM917521 HRM983044:HRM983057 IAT8:IAT21 IBI65540:IBI65553 IBI131076:IBI131089 IBI196612:IBI196625 IBI262148:IBI262161 IBI327684:IBI327697 IBI393220:IBI393233 IBI458756:IBI458769 IBI524292:IBI524305 IBI589828:IBI589841 IBI655364:IBI655377 IBI720900:IBI720913 IBI786436:IBI786449 IBI851972:IBI851985 IBI917508:IBI917521 IBI983044:IBI983057 IKP8:IKP21 ILE65540:ILE65553 ILE131076:ILE131089 ILE196612:ILE196625 ILE262148:ILE262161 ILE327684:ILE327697 ILE393220:ILE393233 ILE458756:ILE458769 ILE524292:ILE524305 ILE589828:ILE589841 ILE655364:ILE655377 ILE720900:ILE720913 ILE786436:ILE786449 ILE851972:ILE851985 ILE917508:ILE917521 ILE983044:ILE983057 IUL8:IUL21 IVA65540:IVA65553 IVA131076:IVA131089 IVA196612:IVA196625 IVA262148:IVA262161 IVA327684:IVA327697 IVA393220:IVA393233 IVA458756:IVA458769 IVA524292:IVA524305 IVA589828:IVA589841 IVA655364:IVA655377 IVA720900:IVA720913 IVA786436:IVA786449 IVA851972:IVA851985 IVA917508:IVA917521 IVA983044:IVA983057 JEH8:JEH21 JEW65540:JEW65553 JEW131076:JEW131089 JEW196612:JEW196625 JEW262148:JEW262161 JEW327684:JEW327697 JEW393220:JEW393233 JEW458756:JEW458769 JEW524292:JEW524305 JEW589828:JEW589841 JEW655364:JEW655377 JEW720900:JEW720913 JEW786436:JEW786449 JEW851972:JEW851985 JEW917508:JEW917521 JEW983044:JEW983057 JOD8:JOD21 JOS65540:JOS65553 JOS131076:JOS131089 JOS196612:JOS196625 JOS262148:JOS262161 JOS327684:JOS327697 JOS393220:JOS393233 JOS458756:JOS458769 JOS524292:JOS524305 JOS589828:JOS589841 JOS655364:JOS655377 JOS720900:JOS720913 JOS786436:JOS786449 JOS851972:JOS851985 JOS917508:JOS917521 JOS983044:JOS983057 JXZ8:JXZ21 JYO65540:JYO65553 JYO131076:JYO131089 JYO196612:JYO196625 JYO262148:JYO262161 JYO327684:JYO327697 JYO393220:JYO393233 JYO458756:JYO458769 JYO524292:JYO524305 JYO589828:JYO589841 JYO655364:JYO655377 JYO720900:JYO720913 JYO786436:JYO786449 JYO851972:JYO851985 JYO917508:JYO917521 JYO983044:JYO983057 KHV8:KHV21 KIK65540:KIK65553 KIK131076:KIK131089 KIK196612:KIK196625 KIK262148:KIK262161 KIK327684:KIK327697 KIK393220:KIK393233 KIK458756:KIK458769 KIK524292:KIK524305 KIK589828:KIK589841 KIK655364:KIK655377 KIK720900:KIK720913 KIK786436:KIK786449 KIK851972:KIK851985 KIK917508:KIK917521 KIK983044:KIK983057 KRR8:KRR21 KSG65540:KSG65553 KSG131076:KSG131089 KSG196612:KSG196625 KSG262148:KSG262161 KSG327684:KSG327697 KSG393220:KSG393233 KSG458756:KSG458769 KSG524292:KSG524305 KSG589828:KSG589841 KSG655364:KSG655377 KSG720900:KSG720913 KSG786436:KSG786449 KSG851972:KSG851985 KSG917508:KSG917521 KSG983044:KSG983057 LBN8:LBN21 LCC65540:LCC65553 LCC131076:LCC131089 LCC196612:LCC196625 LCC262148:LCC262161 LCC327684:LCC327697 LCC393220:LCC393233 LCC458756:LCC458769 LCC524292:LCC524305 LCC589828:LCC589841 LCC655364:LCC655377 LCC720900:LCC720913 LCC786436:LCC786449 LCC851972:LCC851985 LCC917508:LCC917521 LCC983044:LCC983057 LLJ8:LLJ21 LLY65540:LLY65553 LLY131076:LLY131089 LLY196612:LLY196625 LLY262148:LLY262161 LLY327684:LLY327697 LLY393220:LLY393233 LLY458756:LLY458769 LLY524292:LLY524305 LLY589828:LLY589841 LLY655364:LLY655377 LLY720900:LLY720913 LLY786436:LLY786449 LLY851972:LLY851985 LLY917508:LLY917521 LLY983044:LLY983057 LVF8:LVF21 LVU65540:LVU65553 LVU131076:LVU131089 LVU196612:LVU196625 LVU262148:LVU262161 LVU327684:LVU327697 LVU393220:LVU393233 LVU458756:LVU458769 LVU524292:LVU524305 LVU589828:LVU589841 LVU655364:LVU655377 LVU720900:LVU720913 LVU786436:LVU786449 LVU851972:LVU851985 LVU917508:LVU917521 LVU983044:LVU983057 MFB8:MFB21 MFQ65540:MFQ65553 MFQ131076:MFQ131089 MFQ196612:MFQ196625 MFQ262148:MFQ262161 MFQ327684:MFQ327697 MFQ393220:MFQ393233 MFQ458756:MFQ458769 MFQ524292:MFQ524305 MFQ589828:MFQ589841 MFQ655364:MFQ655377 MFQ720900:MFQ720913 MFQ786436:MFQ786449 MFQ851972:MFQ851985 MFQ917508:MFQ917521 MFQ983044:MFQ983057 MOX8:MOX21 MPM65540:MPM65553 MPM131076:MPM131089 MPM196612:MPM196625 MPM262148:MPM262161 MPM327684:MPM327697 MPM393220:MPM393233 MPM458756:MPM458769 MPM524292:MPM524305 MPM589828:MPM589841 MPM655364:MPM655377 MPM720900:MPM720913 MPM786436:MPM786449 MPM851972:MPM851985 MPM917508:MPM917521 MPM983044:MPM983057 MYT8:MYT21 MZI65540:MZI65553 MZI131076:MZI131089 MZI196612:MZI196625 MZI262148:MZI262161 MZI327684:MZI327697 MZI393220:MZI393233 MZI458756:MZI458769 MZI524292:MZI524305 MZI589828:MZI589841 MZI655364:MZI655377 MZI720900:MZI720913 MZI786436:MZI786449 MZI851972:MZI851985 MZI917508:MZI917521 MZI983044:MZI983057 NIP8:NIP21 NJE65540:NJE65553 NJE131076:NJE131089 NJE196612:NJE196625 NJE262148:NJE262161 NJE327684:NJE327697 NJE393220:NJE393233 NJE458756:NJE458769 NJE524292:NJE524305 NJE589828:NJE589841 NJE655364:NJE655377 NJE720900:NJE720913 NJE786436:NJE786449 NJE851972:NJE851985 NJE917508:NJE917521 NJE983044:NJE983057 NSL8:NSL21 NTA65540:NTA65553 NTA131076:NTA131089 NTA196612:NTA196625 NTA262148:NTA262161 NTA327684:NTA327697 NTA393220:NTA393233 NTA458756:NTA458769 NTA524292:NTA524305 NTA589828:NTA589841 NTA655364:NTA655377 NTA720900:NTA720913 NTA786436:NTA786449 NTA851972:NTA851985 NTA917508:NTA917521 NTA983044:NTA983057 OCH8:OCH21 OCW65540:OCW65553 OCW131076:OCW131089 OCW196612:OCW196625 OCW262148:OCW262161 OCW327684:OCW327697 OCW393220:OCW393233 OCW458756:OCW458769 OCW524292:OCW524305 OCW589828:OCW589841 OCW655364:OCW655377 OCW720900:OCW720913 OCW786436:OCW786449 OCW851972:OCW851985 OCW917508:OCW917521 OCW983044:OCW983057 OMD8:OMD21 OMS65540:OMS65553 OMS131076:OMS131089 OMS196612:OMS196625 OMS262148:OMS262161 OMS327684:OMS327697 OMS393220:OMS393233 OMS458756:OMS458769 OMS524292:OMS524305 OMS589828:OMS589841 OMS655364:OMS655377 OMS720900:OMS720913 OMS786436:OMS786449 OMS851972:OMS851985 OMS917508:OMS917521 OMS983044:OMS983057 OVZ8:OVZ21 OWO65540:OWO65553 OWO131076:OWO131089 OWO196612:OWO196625 OWO262148:OWO262161 OWO327684:OWO327697 OWO393220:OWO393233 OWO458756:OWO458769 OWO524292:OWO524305 OWO589828:OWO589841 OWO655364:OWO655377 OWO720900:OWO720913 OWO786436:OWO786449 OWO851972:OWO851985 OWO917508:OWO917521 OWO983044:OWO983057 PFV8:PFV21 PGK65540:PGK65553 PGK131076:PGK131089 PGK196612:PGK196625 PGK262148:PGK262161 PGK327684:PGK327697 PGK393220:PGK393233 PGK458756:PGK458769 PGK524292:PGK524305 PGK589828:PGK589841 PGK655364:PGK655377 PGK720900:PGK720913 PGK786436:PGK786449 PGK851972:PGK851985 PGK917508:PGK917521 PGK983044:PGK983057 PPR8:PPR21 PQG65540:PQG65553 PQG131076:PQG131089 PQG196612:PQG196625 PQG262148:PQG262161 PQG327684:PQG327697 PQG393220:PQG393233 PQG458756:PQG458769 PQG524292:PQG524305 PQG589828:PQG589841 PQG655364:PQG655377 PQG720900:PQG720913 PQG786436:PQG786449 PQG851972:PQG851985 PQG917508:PQG917521 PQG983044:PQG983057 PZN8:PZN21 QAC65540:QAC65553 QAC131076:QAC131089 QAC196612:QAC196625 QAC262148:QAC262161 QAC327684:QAC327697 QAC393220:QAC393233 QAC458756:QAC458769 QAC524292:QAC524305 QAC589828:QAC589841 QAC655364:QAC655377 QAC720900:QAC720913 QAC786436:QAC786449 QAC851972:QAC851985 QAC917508:QAC917521 QAC983044:QAC983057 QJJ8:QJJ21 QJY65540:QJY65553 QJY131076:QJY131089 QJY196612:QJY196625 QJY262148:QJY262161 QJY327684:QJY327697 QJY393220:QJY393233 QJY458756:QJY458769 QJY524292:QJY524305 QJY589828:QJY589841 QJY655364:QJY655377 QJY720900:QJY720913 QJY786436:QJY786449 QJY851972:QJY851985 QJY917508:QJY917521 QJY983044:QJY983057 QTF8:QTF21 QTU65540:QTU65553 QTU131076:QTU131089 QTU196612:QTU196625 QTU262148:QTU262161 QTU327684:QTU327697 QTU393220:QTU393233 QTU458756:QTU458769 QTU524292:QTU524305 QTU589828:QTU589841 QTU655364:QTU655377 QTU720900:QTU720913 QTU786436:QTU786449 QTU851972:QTU851985 QTU917508:QTU917521 QTU983044:QTU983057 RDB8:RDB21 RDQ65540:RDQ65553 RDQ131076:RDQ131089 RDQ196612:RDQ196625 RDQ262148:RDQ262161 RDQ327684:RDQ327697 RDQ393220:RDQ393233 RDQ458756:RDQ458769 RDQ524292:RDQ524305 RDQ589828:RDQ589841 RDQ655364:RDQ655377 RDQ720900:RDQ720913 RDQ786436:RDQ786449 RDQ851972:RDQ851985 RDQ917508:RDQ917521 RDQ983044:RDQ983057 RMX8:RMX21 RNM65540:RNM65553 RNM131076:RNM131089 RNM196612:RNM196625 RNM262148:RNM262161 RNM327684:RNM327697 RNM393220:RNM393233 RNM458756:RNM458769 RNM524292:RNM524305 RNM589828:RNM589841 RNM655364:RNM655377 RNM720900:RNM720913 RNM786436:RNM786449 RNM851972:RNM851985 RNM917508:RNM917521 RNM983044:RNM983057 RWT8:RWT21 RXI65540:RXI65553 RXI131076:RXI131089 RXI196612:RXI196625 RXI262148:RXI262161 RXI327684:RXI327697 RXI393220:RXI393233 RXI458756:RXI458769 RXI524292:RXI524305 RXI589828:RXI589841 RXI655364:RXI655377 RXI720900:RXI720913 RXI786436:RXI786449 RXI851972:RXI851985 RXI917508:RXI917521 RXI983044:RXI983057 SGP8:SGP21 SHE65540:SHE65553 SHE131076:SHE131089 SHE196612:SHE196625 SHE262148:SHE262161 SHE327684:SHE327697 SHE393220:SHE393233 SHE458756:SHE458769 SHE524292:SHE524305 SHE589828:SHE589841 SHE655364:SHE655377 SHE720900:SHE720913 SHE786436:SHE786449 SHE851972:SHE851985 SHE917508:SHE917521 SHE983044:SHE983057 SQL8:SQL21 SRA65540:SRA65553 SRA131076:SRA131089 SRA196612:SRA196625 SRA262148:SRA262161 SRA327684:SRA327697 SRA393220:SRA393233 SRA458756:SRA458769 SRA524292:SRA524305 SRA589828:SRA589841 SRA655364:SRA655377 SRA720900:SRA720913 SRA786436:SRA786449 SRA851972:SRA851985 SRA917508:SRA917521 SRA983044:SRA983057 TAH8:TAH21 TAW65540:TAW65553 TAW131076:TAW131089 TAW196612:TAW196625 TAW262148:TAW262161 TAW327684:TAW327697 TAW393220:TAW393233 TAW458756:TAW458769 TAW524292:TAW524305 TAW589828:TAW589841 TAW655364:TAW655377 TAW720900:TAW720913 TAW786436:TAW786449 TAW851972:TAW851985 TAW917508:TAW917521 TAW983044:TAW983057 TKD8:TKD21 TKS65540:TKS65553 TKS131076:TKS131089 TKS196612:TKS196625 TKS262148:TKS262161 TKS327684:TKS327697 TKS393220:TKS393233 TKS458756:TKS458769 TKS524292:TKS524305 TKS589828:TKS589841 TKS655364:TKS655377 TKS720900:TKS720913 TKS786436:TKS786449 TKS851972:TKS851985 TKS917508:TKS917521 TKS983044:TKS983057 TTZ8:TTZ21 TUO65540:TUO65553 TUO131076:TUO131089 TUO196612:TUO196625 TUO262148:TUO262161 TUO327684:TUO327697 TUO393220:TUO393233 TUO458756:TUO458769 TUO524292:TUO524305 TUO589828:TUO589841 TUO655364:TUO655377 TUO720900:TUO720913 TUO786436:TUO786449 TUO851972:TUO851985 TUO917508:TUO917521 TUO983044:TUO983057 UDV8:UDV21 UEK65540:UEK65553 UEK131076:UEK131089 UEK196612:UEK196625 UEK262148:UEK262161 UEK327684:UEK327697 UEK393220:UEK393233 UEK458756:UEK458769 UEK524292:UEK524305 UEK589828:UEK589841 UEK655364:UEK655377 UEK720900:UEK720913 UEK786436:UEK786449 UEK851972:UEK851985 UEK917508:UEK917521 UEK983044:UEK983057 UNR8:UNR21 UOG65540:UOG65553 UOG131076:UOG131089 UOG196612:UOG196625 UOG262148:UOG262161 UOG327684:UOG327697 UOG393220:UOG393233 UOG458756:UOG458769 UOG524292:UOG524305 UOG589828:UOG589841 UOG655364:UOG655377 UOG720900:UOG720913 UOG786436:UOG786449 UOG851972:UOG851985 UOG917508:UOG917521 UOG983044:UOG983057 UXN8:UXN21 UYC65540:UYC65553 UYC131076:UYC131089 UYC196612:UYC196625 UYC262148:UYC262161 UYC327684:UYC327697 UYC393220:UYC393233 UYC458756:UYC458769 UYC524292:UYC524305 UYC589828:UYC589841 UYC655364:UYC655377 UYC720900:UYC720913 UYC786436:UYC786449 UYC851972:UYC851985 UYC917508:UYC917521 UYC983044:UYC983057 VHJ8:VHJ21 VHY65540:VHY65553 VHY131076:VHY131089 VHY196612:VHY196625 VHY262148:VHY262161 VHY327684:VHY327697 VHY393220:VHY393233 VHY458756:VHY458769 VHY524292:VHY524305 VHY589828:VHY589841 VHY655364:VHY655377 VHY720900:VHY720913 VHY786436:VHY786449 VHY851972:VHY851985 VHY917508:VHY917521 VHY983044:VHY983057 VRF8:VRF21 VRU65540:VRU65553 VRU131076:VRU131089 VRU196612:VRU196625 VRU262148:VRU262161 VRU327684:VRU327697 VRU393220:VRU393233 VRU458756:VRU458769 VRU524292:VRU524305 VRU589828:VRU589841 VRU655364:VRU655377 VRU720900:VRU720913 VRU786436:VRU786449 VRU851972:VRU851985 VRU917508:VRU917521 VRU983044:VRU983057 WBB8:WBB21 WBQ65540:WBQ65553 WBQ131076:WBQ131089 WBQ196612:WBQ196625 WBQ262148:WBQ262161 WBQ327684:WBQ327697 WBQ393220:WBQ393233 WBQ458756:WBQ458769 WBQ524292:WBQ524305 WBQ589828:WBQ589841 WBQ655364:WBQ655377 WBQ720900:WBQ720913 WBQ786436:WBQ786449 WBQ851972:WBQ851985 WBQ917508:WBQ917521 WBQ983044:WBQ983057 WKX8:WKX21 WLM65540:WLM65553 WLM131076:WLM131089 WLM196612:WLM196625 WLM262148:WLM262161 WLM327684:WLM327697 WLM393220:WLM393233 WLM458756:WLM458769 WLM524292:WLM524305 WLM589828:WLM589841 WLM655364:WLM655377 WLM720900:WLM720913 WLM786436:WLM786449 WLM851972:WLM851985 WLM917508:WLM917521 WLM983044:WLM983057 WUT8:WUT21 WVI65540:WVI65553 WVI131076:WVI131089 WVI196612:WVI196625 WVI262148:WVI262161 WVI327684:WVI327697 WVI393220:WVI393233 WVI458756:WVI458769 WVI524292:WVI524305 WVI589828:WVI589841 WVI655364:WVI655377 WVI720900:WVI720913 WVI786436:WVI786449 WVI851972:WVI851985 WVI917508:WVI917521 WVI983044:WVI983057">
      <formula1>"项目经理,开发工程师,产品经理,策划工程师,需求分析师,配置管理员,质量保证工程师,UI及美工,3D建模工程师,架构师,测试工程师,其他"</formula1>
    </dataValidation>
    <dataValidation type="list" allowBlank="1" showInputMessage="1" showErrorMessage="1" sqref="F65540:G65553 JB65540:JC65553 SX65540:SY65553 ACT65540:ACU65553 AMP65540:AMQ65553 AWL65540:AWM65553 BGH65540:BGI65553 BQD65540:BQE65553 BZZ65540:CAA65553 CJV65540:CJW65553 CTR65540:CTS65553 DDN65540:DDO65553 DNJ65540:DNK65553 DXF65540:DXG65553 EHB65540:EHC65553 EQX65540:EQY65553 FAT65540:FAU65553 FKP65540:FKQ65553 FUL65540:FUM65553 GEH65540:GEI65553 GOD65540:GOE65553 GXZ65540:GYA65553 HHV65540:HHW65553 HRR65540:HRS65553 IBN65540:IBO65553 ILJ65540:ILK65553 IVF65540:IVG65553 JFB65540:JFC65553 JOX65540:JOY65553 JYT65540:JYU65553 KIP65540:KIQ65553 KSL65540:KSM65553 LCH65540:LCI65553 LMD65540:LME65553 LVZ65540:LWA65553 MFV65540:MFW65553 MPR65540:MPS65553 MZN65540:MZO65553 NJJ65540:NJK65553 NTF65540:NTG65553 ODB65540:ODC65553 OMX65540:OMY65553 OWT65540:OWU65553 PGP65540:PGQ65553 PQL65540:PQM65553 QAH65540:QAI65553 QKD65540:QKE65553 QTZ65540:QUA65553 RDV65540:RDW65553 RNR65540:RNS65553 RXN65540:RXO65553 SHJ65540:SHK65553 SRF65540:SRG65553 TBB65540:TBC65553 TKX65540:TKY65553 TUT65540:TUU65553 UEP65540:UEQ65553 UOL65540:UOM65553 UYH65540:UYI65553 VID65540:VIE65553 VRZ65540:VSA65553 WBV65540:WBW65553 WLR65540:WLS65553 WVN65540:WVO65553 F131076:G131089 JB131076:JC131089 SX131076:SY131089 ACT131076:ACU131089 AMP131076:AMQ131089 AWL131076:AWM131089 BGH131076:BGI131089 BQD131076:BQE131089 BZZ131076:CAA131089 CJV131076:CJW131089 CTR131076:CTS131089 DDN131076:DDO131089 DNJ131076:DNK131089 DXF131076:DXG131089 EHB131076:EHC131089 EQX131076:EQY131089 FAT131076:FAU131089 FKP131076:FKQ131089 FUL131076:FUM131089 GEH131076:GEI131089 GOD131076:GOE131089 GXZ131076:GYA131089 HHV131076:HHW131089 HRR131076:HRS131089 IBN131076:IBO131089 ILJ131076:ILK131089 IVF131076:IVG131089 JFB131076:JFC131089 JOX131076:JOY131089 JYT131076:JYU131089 KIP131076:KIQ131089 KSL131076:KSM131089 LCH131076:LCI131089 LMD131076:LME131089 LVZ131076:LWA131089 MFV131076:MFW131089 MPR131076:MPS131089 MZN131076:MZO131089 NJJ131076:NJK131089 NTF131076:NTG131089 ODB131076:ODC131089 OMX131076:OMY131089 OWT131076:OWU131089 PGP131076:PGQ131089 PQL131076:PQM131089 QAH131076:QAI131089 QKD131076:QKE131089 QTZ131076:QUA131089 RDV131076:RDW131089 RNR131076:RNS131089 RXN131076:RXO131089 SHJ131076:SHK131089 SRF131076:SRG131089 TBB131076:TBC131089 TKX131076:TKY131089 TUT131076:TUU131089 UEP131076:UEQ131089 UOL131076:UOM131089 UYH131076:UYI131089 VID131076:VIE131089 VRZ131076:VSA131089 WBV131076:WBW131089 WLR131076:WLS131089 WVN131076:WVO131089 F196612:G196625 JB196612:JC196625 SX196612:SY196625 ACT196612:ACU196625 AMP196612:AMQ196625 AWL196612:AWM196625 BGH196612:BGI196625 BQD196612:BQE196625 BZZ196612:CAA196625 CJV196612:CJW196625 CTR196612:CTS196625 DDN196612:DDO196625 DNJ196612:DNK196625 DXF196612:DXG196625 EHB196612:EHC196625 EQX196612:EQY196625 FAT196612:FAU196625 FKP196612:FKQ196625 FUL196612:FUM196625 GEH196612:GEI196625 GOD196612:GOE196625 GXZ196612:GYA196625 HHV196612:HHW196625 HRR196612:HRS196625 IBN196612:IBO196625 ILJ196612:ILK196625 IVF196612:IVG196625 JFB196612:JFC196625 JOX196612:JOY196625 JYT196612:JYU196625 KIP196612:KIQ196625 KSL196612:KSM196625 LCH196612:LCI196625 LMD196612:LME196625 LVZ196612:LWA196625 MFV196612:MFW196625 MPR196612:MPS196625 MZN196612:MZO196625 NJJ196612:NJK196625 NTF196612:NTG196625 ODB196612:ODC196625 OMX196612:OMY196625 OWT196612:OWU196625 PGP196612:PGQ196625 PQL196612:PQM196625 QAH196612:QAI196625 QKD196612:QKE196625 QTZ196612:QUA196625 RDV196612:RDW196625 RNR196612:RNS196625 RXN196612:RXO196625 SHJ196612:SHK196625 SRF196612:SRG196625 TBB196612:TBC196625 TKX196612:TKY196625 TUT196612:TUU196625 UEP196612:UEQ196625 UOL196612:UOM196625 UYH196612:UYI196625 VID196612:VIE196625 VRZ196612:VSA196625 WBV196612:WBW196625 WLR196612:WLS196625 WVN196612:WVO196625 F262148:G262161 JB262148:JC262161 SX262148:SY262161 ACT262148:ACU262161 AMP262148:AMQ262161 AWL262148:AWM262161 BGH262148:BGI262161 BQD262148:BQE262161 BZZ262148:CAA262161 CJV262148:CJW262161 CTR262148:CTS262161 DDN262148:DDO262161 DNJ262148:DNK262161 DXF262148:DXG262161 EHB262148:EHC262161 EQX262148:EQY262161 FAT262148:FAU262161 FKP262148:FKQ262161 FUL262148:FUM262161 GEH262148:GEI262161 GOD262148:GOE262161 GXZ262148:GYA262161 HHV262148:HHW262161 HRR262148:HRS262161 IBN262148:IBO262161 ILJ262148:ILK262161 IVF262148:IVG262161 JFB262148:JFC262161 JOX262148:JOY262161 JYT262148:JYU262161 KIP262148:KIQ262161 KSL262148:KSM262161 LCH262148:LCI262161 LMD262148:LME262161 LVZ262148:LWA262161 MFV262148:MFW262161 MPR262148:MPS262161 MZN262148:MZO262161 NJJ262148:NJK262161 NTF262148:NTG262161 ODB262148:ODC262161 OMX262148:OMY262161 OWT262148:OWU262161 PGP262148:PGQ262161 PQL262148:PQM262161 QAH262148:QAI262161 QKD262148:QKE262161 QTZ262148:QUA262161 RDV262148:RDW262161 RNR262148:RNS262161 RXN262148:RXO262161 SHJ262148:SHK262161 SRF262148:SRG262161 TBB262148:TBC262161 TKX262148:TKY262161 TUT262148:TUU262161 UEP262148:UEQ262161 UOL262148:UOM262161 UYH262148:UYI262161 VID262148:VIE262161 VRZ262148:VSA262161 WBV262148:WBW262161 WLR262148:WLS262161 WVN262148:WVO262161 F327684:G327697 JB327684:JC327697 SX327684:SY327697 ACT327684:ACU327697 AMP327684:AMQ327697 AWL327684:AWM327697 BGH327684:BGI327697 BQD327684:BQE327697 BZZ327684:CAA327697 CJV327684:CJW327697 CTR327684:CTS327697 DDN327684:DDO327697 DNJ327684:DNK327697 DXF327684:DXG327697 EHB327684:EHC327697 EQX327684:EQY327697 FAT327684:FAU327697 FKP327684:FKQ327697 FUL327684:FUM327697 GEH327684:GEI327697 GOD327684:GOE327697 GXZ327684:GYA327697 HHV327684:HHW327697 HRR327684:HRS327697 IBN327684:IBO327697 ILJ327684:ILK327697 IVF327684:IVG327697 JFB327684:JFC327697 JOX327684:JOY327697 JYT327684:JYU327697 KIP327684:KIQ327697 KSL327684:KSM327697 LCH327684:LCI327697 LMD327684:LME327697 LVZ327684:LWA327697 MFV327684:MFW327697 MPR327684:MPS327697 MZN327684:MZO327697 NJJ327684:NJK327697 NTF327684:NTG327697 ODB327684:ODC327697 OMX327684:OMY327697 OWT327684:OWU327697 PGP327684:PGQ327697 PQL327684:PQM327697 QAH327684:QAI327697 QKD327684:QKE327697 QTZ327684:QUA327697 RDV327684:RDW327697 RNR327684:RNS327697 RXN327684:RXO327697 SHJ327684:SHK327697 SRF327684:SRG327697 TBB327684:TBC327697 TKX327684:TKY327697 TUT327684:TUU327697 UEP327684:UEQ327697 UOL327684:UOM327697 UYH327684:UYI327697 VID327684:VIE327697 VRZ327684:VSA327697 WBV327684:WBW327697 WLR327684:WLS327697 WVN327684:WVO327697 F393220:G393233 JB393220:JC393233 SX393220:SY393233 ACT393220:ACU393233 AMP393220:AMQ393233 AWL393220:AWM393233 BGH393220:BGI393233 BQD393220:BQE393233 BZZ393220:CAA393233 CJV393220:CJW393233 CTR393220:CTS393233 DDN393220:DDO393233 DNJ393220:DNK393233 DXF393220:DXG393233 EHB393220:EHC393233 EQX393220:EQY393233 FAT393220:FAU393233 FKP393220:FKQ393233 FUL393220:FUM393233 GEH393220:GEI393233 GOD393220:GOE393233 GXZ393220:GYA393233 HHV393220:HHW393233 HRR393220:HRS393233 IBN393220:IBO393233 ILJ393220:ILK393233 IVF393220:IVG393233 JFB393220:JFC393233 JOX393220:JOY393233 JYT393220:JYU393233 KIP393220:KIQ393233 KSL393220:KSM393233 LCH393220:LCI393233 LMD393220:LME393233 LVZ393220:LWA393233 MFV393220:MFW393233 MPR393220:MPS393233 MZN393220:MZO393233 NJJ393220:NJK393233 NTF393220:NTG393233 ODB393220:ODC393233 OMX393220:OMY393233 OWT393220:OWU393233 PGP393220:PGQ393233 PQL393220:PQM393233 QAH393220:QAI393233 QKD393220:QKE393233 QTZ393220:QUA393233 RDV393220:RDW393233 RNR393220:RNS393233 RXN393220:RXO393233 SHJ393220:SHK393233 SRF393220:SRG393233 TBB393220:TBC393233 TKX393220:TKY393233 TUT393220:TUU393233 UEP393220:UEQ393233 UOL393220:UOM393233 UYH393220:UYI393233 VID393220:VIE393233 VRZ393220:VSA393233 WBV393220:WBW393233 WLR393220:WLS393233 WVN393220:WVO393233 F458756:G458769 JB458756:JC458769 SX458756:SY458769 ACT458756:ACU458769 AMP458756:AMQ458769 AWL458756:AWM458769 BGH458756:BGI458769 BQD458756:BQE458769 BZZ458756:CAA458769 CJV458756:CJW458769 CTR458756:CTS458769 DDN458756:DDO458769 DNJ458756:DNK458769 DXF458756:DXG458769 EHB458756:EHC458769 EQX458756:EQY458769 FAT458756:FAU458769 FKP458756:FKQ458769 FUL458756:FUM458769 GEH458756:GEI458769 GOD458756:GOE458769 GXZ458756:GYA458769 HHV458756:HHW458769 HRR458756:HRS458769 IBN458756:IBO458769 ILJ458756:ILK458769 IVF458756:IVG458769 JFB458756:JFC458769 JOX458756:JOY458769 JYT458756:JYU458769 KIP458756:KIQ458769 KSL458756:KSM458769 LCH458756:LCI458769 LMD458756:LME458769 LVZ458756:LWA458769 MFV458756:MFW458769 MPR458756:MPS458769 MZN458756:MZO458769 NJJ458756:NJK458769 NTF458756:NTG458769 ODB458756:ODC458769 OMX458756:OMY458769 OWT458756:OWU458769 PGP458756:PGQ458769 PQL458756:PQM458769 QAH458756:QAI458769 QKD458756:QKE458769 QTZ458756:QUA458769 RDV458756:RDW458769 RNR458756:RNS458769 RXN458756:RXO458769 SHJ458756:SHK458769 SRF458756:SRG458769 TBB458756:TBC458769 TKX458756:TKY458769 TUT458756:TUU458769 UEP458756:UEQ458769 UOL458756:UOM458769 UYH458756:UYI458769 VID458756:VIE458769 VRZ458756:VSA458769 WBV458756:WBW458769 WLR458756:WLS458769 WVN458756:WVO458769 F524292:G524305 JB524292:JC524305 SX524292:SY524305 ACT524292:ACU524305 AMP524292:AMQ524305 AWL524292:AWM524305 BGH524292:BGI524305 BQD524292:BQE524305 BZZ524292:CAA524305 CJV524292:CJW524305 CTR524292:CTS524305 DDN524292:DDO524305 DNJ524292:DNK524305 DXF524292:DXG524305 EHB524292:EHC524305 EQX524292:EQY524305 FAT524292:FAU524305 FKP524292:FKQ524305 FUL524292:FUM524305 GEH524292:GEI524305 GOD524292:GOE524305 GXZ524292:GYA524305 HHV524292:HHW524305 HRR524292:HRS524305 IBN524292:IBO524305 ILJ524292:ILK524305 IVF524292:IVG524305 JFB524292:JFC524305 JOX524292:JOY524305 JYT524292:JYU524305 KIP524292:KIQ524305 KSL524292:KSM524305 LCH524292:LCI524305 LMD524292:LME524305 LVZ524292:LWA524305 MFV524292:MFW524305 MPR524292:MPS524305 MZN524292:MZO524305 NJJ524292:NJK524305 NTF524292:NTG524305 ODB524292:ODC524305 OMX524292:OMY524305 OWT524292:OWU524305 PGP524292:PGQ524305 PQL524292:PQM524305 QAH524292:QAI524305 QKD524292:QKE524305 QTZ524292:QUA524305 RDV524292:RDW524305 RNR524292:RNS524305 RXN524292:RXO524305 SHJ524292:SHK524305 SRF524292:SRG524305 TBB524292:TBC524305 TKX524292:TKY524305 TUT524292:TUU524305 UEP524292:UEQ524305 UOL524292:UOM524305 UYH524292:UYI524305 VID524292:VIE524305 VRZ524292:VSA524305 WBV524292:WBW524305 WLR524292:WLS524305 WVN524292:WVO524305 F589828:G589841 JB589828:JC589841 SX589828:SY589841 ACT589828:ACU589841 AMP589828:AMQ589841 AWL589828:AWM589841 BGH589828:BGI589841 BQD589828:BQE589841 BZZ589828:CAA589841 CJV589828:CJW589841 CTR589828:CTS589841 DDN589828:DDO589841 DNJ589828:DNK589841 DXF589828:DXG589841 EHB589828:EHC589841 EQX589828:EQY589841 FAT589828:FAU589841 FKP589828:FKQ589841 FUL589828:FUM589841 GEH589828:GEI589841 GOD589828:GOE589841 GXZ589828:GYA589841 HHV589828:HHW589841 HRR589828:HRS589841 IBN589828:IBO589841 ILJ589828:ILK589841 IVF589828:IVG589841 JFB589828:JFC589841 JOX589828:JOY589841 JYT589828:JYU589841 KIP589828:KIQ589841 KSL589828:KSM589841 LCH589828:LCI589841 LMD589828:LME589841 LVZ589828:LWA589841 MFV589828:MFW589841 MPR589828:MPS589841 MZN589828:MZO589841 NJJ589828:NJK589841 NTF589828:NTG589841 ODB589828:ODC589841 OMX589828:OMY589841 OWT589828:OWU589841 PGP589828:PGQ589841 PQL589828:PQM589841 QAH589828:QAI589841 QKD589828:QKE589841 QTZ589828:QUA589841 RDV589828:RDW589841 RNR589828:RNS589841 RXN589828:RXO589841 SHJ589828:SHK589841 SRF589828:SRG589841 TBB589828:TBC589841 TKX589828:TKY589841 TUT589828:TUU589841 UEP589828:UEQ589841 UOL589828:UOM589841 UYH589828:UYI589841 VID589828:VIE589841 VRZ589828:VSA589841 WBV589828:WBW589841 WLR589828:WLS589841 WVN589828:WVO589841 F655364:G655377 JB655364:JC655377 SX655364:SY655377 ACT655364:ACU655377 AMP655364:AMQ655377 AWL655364:AWM655377 BGH655364:BGI655377 BQD655364:BQE655377 BZZ655364:CAA655377 CJV655364:CJW655377 CTR655364:CTS655377 DDN655364:DDO655377 DNJ655364:DNK655377 DXF655364:DXG655377 EHB655364:EHC655377 EQX655364:EQY655377 FAT655364:FAU655377 FKP655364:FKQ655377 FUL655364:FUM655377 GEH655364:GEI655377 GOD655364:GOE655377 GXZ655364:GYA655377 HHV655364:HHW655377 HRR655364:HRS655377 IBN655364:IBO655377 ILJ655364:ILK655377 IVF655364:IVG655377 JFB655364:JFC655377 JOX655364:JOY655377 JYT655364:JYU655377 KIP655364:KIQ655377 KSL655364:KSM655377 LCH655364:LCI655377 LMD655364:LME655377 LVZ655364:LWA655377 MFV655364:MFW655377 MPR655364:MPS655377 MZN655364:MZO655377 NJJ655364:NJK655377 NTF655364:NTG655377 ODB655364:ODC655377 OMX655364:OMY655377 OWT655364:OWU655377 PGP655364:PGQ655377 PQL655364:PQM655377 QAH655364:QAI655377 QKD655364:QKE655377 QTZ655364:QUA655377 RDV655364:RDW655377 RNR655364:RNS655377 RXN655364:RXO655377 SHJ655364:SHK655377 SRF655364:SRG655377 TBB655364:TBC655377 TKX655364:TKY655377 TUT655364:TUU655377 UEP655364:UEQ655377 UOL655364:UOM655377 UYH655364:UYI655377 VID655364:VIE655377 VRZ655364:VSA655377 WBV655364:WBW655377 WLR655364:WLS655377 WVN655364:WVO655377 F720900:G720913 JB720900:JC720913 SX720900:SY720913 ACT720900:ACU720913 AMP720900:AMQ720913 AWL720900:AWM720913 BGH720900:BGI720913 BQD720900:BQE720913 BZZ720900:CAA720913 CJV720900:CJW720913 CTR720900:CTS720913 DDN720900:DDO720913 DNJ720900:DNK720913 DXF720900:DXG720913 EHB720900:EHC720913 EQX720900:EQY720913 FAT720900:FAU720913 FKP720900:FKQ720913 FUL720900:FUM720913 GEH720900:GEI720913 GOD720900:GOE720913 GXZ720900:GYA720913 HHV720900:HHW720913 HRR720900:HRS720913 IBN720900:IBO720913 ILJ720900:ILK720913 IVF720900:IVG720913 JFB720900:JFC720913 JOX720900:JOY720913 JYT720900:JYU720913 KIP720900:KIQ720913 KSL720900:KSM720913 LCH720900:LCI720913 LMD720900:LME720913 LVZ720900:LWA720913 MFV720900:MFW720913 MPR720900:MPS720913 MZN720900:MZO720913 NJJ720900:NJK720913 NTF720900:NTG720913 ODB720900:ODC720913 OMX720900:OMY720913 OWT720900:OWU720913 PGP720900:PGQ720913 PQL720900:PQM720913 QAH720900:QAI720913 QKD720900:QKE720913 QTZ720900:QUA720913 RDV720900:RDW720913 RNR720900:RNS720913 RXN720900:RXO720913 SHJ720900:SHK720913 SRF720900:SRG720913 TBB720900:TBC720913 TKX720900:TKY720913 TUT720900:TUU720913 UEP720900:UEQ720913 UOL720900:UOM720913 UYH720900:UYI720913 VID720900:VIE720913 VRZ720900:VSA720913 WBV720900:WBW720913 WLR720900:WLS720913 WVN720900:WVO720913 F786436:G786449 JB786436:JC786449 SX786436:SY786449 ACT786436:ACU786449 AMP786436:AMQ786449 AWL786436:AWM786449 BGH786436:BGI786449 BQD786436:BQE786449 BZZ786436:CAA786449 CJV786436:CJW786449 CTR786436:CTS786449 DDN786436:DDO786449 DNJ786436:DNK786449 DXF786436:DXG786449 EHB786436:EHC786449 EQX786436:EQY786449 FAT786436:FAU786449 FKP786436:FKQ786449 FUL786436:FUM786449 GEH786436:GEI786449 GOD786436:GOE786449 GXZ786436:GYA786449 HHV786436:HHW786449 HRR786436:HRS786449 IBN786436:IBO786449 ILJ786436:ILK786449 IVF786436:IVG786449 JFB786436:JFC786449 JOX786436:JOY786449 JYT786436:JYU786449 KIP786436:KIQ786449 KSL786436:KSM786449 LCH786436:LCI786449 LMD786436:LME786449 LVZ786436:LWA786449 MFV786436:MFW786449 MPR786436:MPS786449 MZN786436:MZO786449 NJJ786436:NJK786449 NTF786436:NTG786449 ODB786436:ODC786449 OMX786436:OMY786449 OWT786436:OWU786449 PGP786436:PGQ786449 PQL786436:PQM786449 QAH786436:QAI786449 QKD786436:QKE786449 QTZ786436:QUA786449 RDV786436:RDW786449 RNR786436:RNS786449 RXN786436:RXO786449 SHJ786436:SHK786449 SRF786436:SRG786449 TBB786436:TBC786449 TKX786436:TKY786449 TUT786436:TUU786449 UEP786436:UEQ786449 UOL786436:UOM786449 UYH786436:UYI786449 VID786436:VIE786449 VRZ786436:VSA786449 WBV786436:WBW786449 WLR786436:WLS786449 WVN786436:WVO786449 F851972:G851985 JB851972:JC851985 SX851972:SY851985 ACT851972:ACU851985 AMP851972:AMQ851985 AWL851972:AWM851985 BGH851972:BGI851985 BQD851972:BQE851985 BZZ851972:CAA851985 CJV851972:CJW851985 CTR851972:CTS851985 DDN851972:DDO851985 DNJ851972:DNK851985 DXF851972:DXG851985 EHB851972:EHC851985 EQX851972:EQY851985 FAT851972:FAU851985 FKP851972:FKQ851985 FUL851972:FUM851985 GEH851972:GEI851985 GOD851972:GOE851985 GXZ851972:GYA851985 HHV851972:HHW851985 HRR851972:HRS851985 IBN851972:IBO851985 ILJ851972:ILK851985 IVF851972:IVG851985 JFB851972:JFC851985 JOX851972:JOY851985 JYT851972:JYU851985 KIP851972:KIQ851985 KSL851972:KSM851985 LCH851972:LCI851985 LMD851972:LME851985 LVZ851972:LWA851985 MFV851972:MFW851985 MPR851972:MPS851985 MZN851972:MZO851985 NJJ851972:NJK851985 NTF851972:NTG851985 ODB851972:ODC851985 OMX851972:OMY851985 OWT851972:OWU851985 PGP851972:PGQ851985 PQL851972:PQM851985 QAH851972:QAI851985 QKD851972:QKE851985 QTZ851972:QUA851985 RDV851972:RDW851985 RNR851972:RNS851985 RXN851972:RXO851985 SHJ851972:SHK851985 SRF851972:SRG851985 TBB851972:TBC851985 TKX851972:TKY851985 TUT851972:TUU851985 UEP851972:UEQ851985 UOL851972:UOM851985 UYH851972:UYI851985 VID851972:VIE851985 VRZ851972:VSA851985 WBV851972:WBW851985 WLR851972:WLS851985 WVN851972:WVO851985 F917508:G917521 JB917508:JC917521 SX917508:SY917521 ACT917508:ACU917521 AMP917508:AMQ917521 AWL917508:AWM917521 BGH917508:BGI917521 BQD917508:BQE917521 BZZ917508:CAA917521 CJV917508:CJW917521 CTR917508:CTS917521 DDN917508:DDO917521 DNJ917508:DNK917521 DXF917508:DXG917521 EHB917508:EHC917521 EQX917508:EQY917521 FAT917508:FAU917521 FKP917508:FKQ917521 FUL917508:FUM917521 GEH917508:GEI917521 GOD917508:GOE917521 GXZ917508:GYA917521 HHV917508:HHW917521 HRR917508:HRS917521 IBN917508:IBO917521 ILJ917508:ILK917521 IVF917508:IVG917521 JFB917508:JFC917521 JOX917508:JOY917521 JYT917508:JYU917521 KIP917508:KIQ917521 KSL917508:KSM917521 LCH917508:LCI917521 LMD917508:LME917521 LVZ917508:LWA917521 MFV917508:MFW917521 MPR917508:MPS917521 MZN917508:MZO917521 NJJ917508:NJK917521 NTF917508:NTG917521 ODB917508:ODC917521 OMX917508:OMY917521 OWT917508:OWU917521 PGP917508:PGQ917521 PQL917508:PQM917521 QAH917508:QAI917521 QKD917508:QKE917521 QTZ917508:QUA917521 RDV917508:RDW917521 RNR917508:RNS917521 RXN917508:RXO917521 SHJ917508:SHK917521 SRF917508:SRG917521 TBB917508:TBC917521 TKX917508:TKY917521 TUT917508:TUU917521 UEP917508:UEQ917521 UOL917508:UOM917521 UYH917508:UYI917521 VID917508:VIE917521 VRZ917508:VSA917521 WBV917508:WBW917521 WLR917508:WLS917521 WVN917508:WVO917521 F983044:G983057 JB983044:JC983057 SX983044:SY983057 ACT983044:ACU983057 AMP983044:AMQ983057 AWL983044:AWM983057 BGH983044:BGI983057 BQD983044:BQE983057 BZZ983044:CAA983057 CJV983044:CJW983057 CTR983044:CTS983057 DDN983044:DDO983057 DNJ983044:DNK983057 DXF983044:DXG983057 EHB983044:EHC983057 EQX983044:EQY983057 FAT983044:FAU983057 FKP983044:FKQ983057 FUL983044:FUM983057 GEH983044:GEI983057 GOD983044:GOE983057 GXZ983044:GYA983057 HHV983044:HHW983057 HRR983044:HRS983057 IBN983044:IBO983057 ILJ983044:ILK983057 IVF983044:IVG983057 JFB983044:JFC983057 JOX983044:JOY983057 JYT983044:JYU983057 KIP983044:KIQ983057 KSL983044:KSM983057 LCH983044:LCI983057 LMD983044:LME983057 LVZ983044:LWA983057 MFV983044:MFW983057 MPR983044:MPS983057 MZN983044:MZO983057 NJJ983044:NJK983057 NTF983044:NTG983057 ODB983044:ODC983057 OMX983044:OMY983057 OWT983044:OWU983057 PGP983044:PGQ983057 PQL983044:PQM983057 QAH983044:QAI983057 QKD983044:QKE983057 QTZ983044:QUA983057 RDV983044:RDW983057 RNR983044:RNS983057 RXN983044:RXO983057 SHJ983044:SHK983057 SRF983044:SRG983057 TBB983044:TBC983057 TKX983044:TKY983057 TUT983044:TUU983057 UEP983044:UEQ983057 UOL983044:UOM983057 UYH983044:UYI983057 VID983044:VIE983057 VRZ983044:VSA983057 WBV983044:WBW983057 WLR983044:WLS983057 WVN983044:WVO983057 IM8:IN21 SI8:SJ21 ACE8:ACF21 AMA8:AMB21 AVW8:AVX21 BFS8:BFT21 BPO8:BPP21 BZK8:BZL21 CJG8:CJH21 CTC8:CTD21 DCY8:DCZ21 DMU8:DMV21 DWQ8:DWR21 EGM8:EGN21 EQI8:EQJ21 FAE8:FAF21 FKA8:FKB21 FTW8:FTX21 GDS8:GDT21 GNO8:GNP21 GXK8:GXL21 HHG8:HHH21 HRC8:HRD21 IAY8:IAZ21 IKU8:IKV21 IUQ8:IUR21 JEM8:JEN21 JOI8:JOJ21 JYE8:JYF21 KIA8:KIB21 KRW8:KRX21 LBS8:LBT21 LLO8:LLP21 LVK8:LVL21 MFG8:MFH21 MPC8:MPD21 MYY8:MYZ21 NIU8:NIV21 NSQ8:NSR21 OCM8:OCN21 OMI8:OMJ21 OWE8:OWF21 PGA8:PGB21 PPW8:PPX21 PZS8:PZT21 QJO8:QJP21 QTK8:QTL21 RDG8:RDH21 RNC8:RND21 RWY8:RWZ21 SGU8:SGV21 SQQ8:SQR21 TAM8:TAN21 TKI8:TKJ21 TUE8:TUF21 UEA8:UEB21 UNW8:UNX21 UXS8:UXT21 VHO8:VHP21 VRK8:VRL21 WBG8:WBH21 WLC8:WLD21 WUY8:WUZ21 F8:G21">
      <formula1>"0,1,N/A"</formula1>
    </dataValidation>
    <dataValidation allowBlank="1" showInputMessage="1" showErrorMessage="1" prompt="估算规模是“开发工作量估算”sheet中列出的需求项总数。" sqref="K3:K4 K65535:K65536 K131071:K131072 K196607:K196608 K262143:K262144 K327679:K327680 K393215:K393216 K458751:K458752 K524287:K524288 K589823:K589824 K655359:K655360 K720895:K720896 K786431:K786432 K851967:K851968 K917503:K917504 K983039:K983040 JE3:JE4 JG65535:JG65536 JG131071:JG131072 JG196607:JG196608 JG262143:JG262144 JG327679:JG327680 JG393215:JG393216 JG458751:JG458752 JG524287:JG524288 JG589823:JG589824 JG655359:JG655360 JG720895:JG720896 JG786431:JG786432 JG851967:JG851968 JG917503:JG917504 JG983039:JG983040 TA3:TA4 TC65535:TC65536 TC131071:TC131072 TC196607:TC196608 TC262143:TC262144 TC327679:TC327680 TC393215:TC393216 TC458751:TC458752 TC524287:TC524288 TC589823:TC589824 TC655359:TC655360 TC720895:TC720896 TC786431:TC786432 TC851967:TC851968 TC917503:TC917504 TC983039:TC983040 ACW3:ACW4 ACY65535:ACY65536 ACY131071:ACY131072 ACY196607:ACY196608 ACY262143:ACY262144 ACY327679:ACY327680 ACY393215:ACY393216 ACY458751:ACY458752 ACY524287:ACY524288 ACY589823:ACY589824 ACY655359:ACY655360 ACY720895:ACY720896 ACY786431:ACY786432 ACY851967:ACY851968 ACY917503:ACY917504 ACY983039:ACY983040 AMS3:AMS4 AMU65535:AMU65536 AMU131071:AMU131072 AMU196607:AMU196608 AMU262143:AMU262144 AMU327679:AMU327680 AMU393215:AMU393216 AMU458751:AMU458752 AMU524287:AMU524288 AMU589823:AMU589824 AMU655359:AMU655360 AMU720895:AMU720896 AMU786431:AMU786432 AMU851967:AMU851968 AMU917503:AMU917504 AMU983039:AMU983040 AWO3:AWO4 AWQ65535:AWQ65536 AWQ131071:AWQ131072 AWQ196607:AWQ196608 AWQ262143:AWQ262144 AWQ327679:AWQ327680 AWQ393215:AWQ393216 AWQ458751:AWQ458752 AWQ524287:AWQ524288 AWQ589823:AWQ589824 AWQ655359:AWQ655360 AWQ720895:AWQ720896 AWQ786431:AWQ786432 AWQ851967:AWQ851968 AWQ917503:AWQ917504 AWQ983039:AWQ983040 BGK3:BGK4 BGM65535:BGM65536 BGM131071:BGM131072 BGM196607:BGM196608 BGM262143:BGM262144 BGM327679:BGM327680 BGM393215:BGM393216 BGM458751:BGM458752 BGM524287:BGM524288 BGM589823:BGM589824 BGM655359:BGM655360 BGM720895:BGM720896 BGM786431:BGM786432 BGM851967:BGM851968 BGM917503:BGM917504 BGM983039:BGM983040 BQG3:BQG4 BQI65535:BQI65536 BQI131071:BQI131072 BQI196607:BQI196608 BQI262143:BQI262144 BQI327679:BQI327680 BQI393215:BQI393216 BQI458751:BQI458752 BQI524287:BQI524288 BQI589823:BQI589824 BQI655359:BQI655360 BQI720895:BQI720896 BQI786431:BQI786432 BQI851967:BQI851968 BQI917503:BQI917504 BQI983039:BQI983040 CAC3:CAC4 CAE65535:CAE65536 CAE131071:CAE131072 CAE196607:CAE196608 CAE262143:CAE262144 CAE327679:CAE327680 CAE393215:CAE393216 CAE458751:CAE458752 CAE524287:CAE524288 CAE589823:CAE589824 CAE655359:CAE655360 CAE720895:CAE720896 CAE786431:CAE786432 CAE851967:CAE851968 CAE917503:CAE917504 CAE983039:CAE983040 CJY3:CJY4 CKA65535:CKA65536 CKA131071:CKA131072 CKA196607:CKA196608 CKA262143:CKA262144 CKA327679:CKA327680 CKA393215:CKA393216 CKA458751:CKA458752 CKA524287:CKA524288 CKA589823:CKA589824 CKA655359:CKA655360 CKA720895:CKA720896 CKA786431:CKA786432 CKA851967:CKA851968 CKA917503:CKA917504 CKA983039:CKA983040 CTU3:CTU4 CTW65535:CTW65536 CTW131071:CTW131072 CTW196607:CTW196608 CTW262143:CTW262144 CTW327679:CTW327680 CTW393215:CTW393216 CTW458751:CTW458752 CTW524287:CTW524288 CTW589823:CTW589824 CTW655359:CTW655360 CTW720895:CTW720896 CTW786431:CTW786432 CTW851967:CTW851968 CTW917503:CTW917504 CTW983039:CTW983040 DDQ3:DDQ4 DDS65535:DDS65536 DDS131071:DDS131072 DDS196607:DDS196608 DDS262143:DDS262144 DDS327679:DDS327680 DDS393215:DDS393216 DDS458751:DDS458752 DDS524287:DDS524288 DDS589823:DDS589824 DDS655359:DDS655360 DDS720895:DDS720896 DDS786431:DDS786432 DDS851967:DDS851968 DDS917503:DDS917504 DDS983039:DDS983040 DNM3:DNM4 DNO65535:DNO65536 DNO131071:DNO131072 DNO196607:DNO196608 DNO262143:DNO262144 DNO327679:DNO327680 DNO393215:DNO393216 DNO458751:DNO458752 DNO524287:DNO524288 DNO589823:DNO589824 DNO655359:DNO655360 DNO720895:DNO720896 DNO786431:DNO786432 DNO851967:DNO851968 DNO917503:DNO917504 DNO983039:DNO983040 DXI3:DXI4 DXK65535:DXK65536 DXK131071:DXK131072 DXK196607:DXK196608 DXK262143:DXK262144 DXK327679:DXK327680 DXK393215:DXK393216 DXK458751:DXK458752 DXK524287:DXK524288 DXK589823:DXK589824 DXK655359:DXK655360 DXK720895:DXK720896 DXK786431:DXK786432 DXK851967:DXK851968 DXK917503:DXK917504 DXK983039:DXK983040 EHE3:EHE4 EHG65535:EHG65536 EHG131071:EHG131072 EHG196607:EHG196608 EHG262143:EHG262144 EHG327679:EHG327680 EHG393215:EHG393216 EHG458751:EHG458752 EHG524287:EHG524288 EHG589823:EHG589824 EHG655359:EHG655360 EHG720895:EHG720896 EHG786431:EHG786432 EHG851967:EHG851968 EHG917503:EHG917504 EHG983039:EHG983040 ERA3:ERA4 ERC65535:ERC65536 ERC131071:ERC131072 ERC196607:ERC196608 ERC262143:ERC262144 ERC327679:ERC327680 ERC393215:ERC393216 ERC458751:ERC458752 ERC524287:ERC524288 ERC589823:ERC589824 ERC655359:ERC655360 ERC720895:ERC720896 ERC786431:ERC786432 ERC851967:ERC851968 ERC917503:ERC917504 ERC983039:ERC983040 FAW3:FAW4 FAY65535:FAY65536 FAY131071:FAY131072 FAY196607:FAY196608 FAY262143:FAY262144 FAY327679:FAY327680 FAY393215:FAY393216 FAY458751:FAY458752 FAY524287:FAY524288 FAY589823:FAY589824 FAY655359:FAY655360 FAY720895:FAY720896 FAY786431:FAY786432 FAY851967:FAY851968 FAY917503:FAY917504 FAY983039:FAY983040 FKS3:FKS4 FKU65535:FKU65536 FKU131071:FKU131072 FKU196607:FKU196608 FKU262143:FKU262144 FKU327679:FKU327680 FKU393215:FKU393216 FKU458751:FKU458752 FKU524287:FKU524288 FKU589823:FKU589824 FKU655359:FKU655360 FKU720895:FKU720896 FKU786431:FKU786432 FKU851967:FKU851968 FKU917503:FKU917504 FKU983039:FKU983040 FUO3:FUO4 FUQ65535:FUQ65536 FUQ131071:FUQ131072 FUQ196607:FUQ196608 FUQ262143:FUQ262144 FUQ327679:FUQ327680 FUQ393215:FUQ393216 FUQ458751:FUQ458752 FUQ524287:FUQ524288 FUQ589823:FUQ589824 FUQ655359:FUQ655360 FUQ720895:FUQ720896 FUQ786431:FUQ786432 FUQ851967:FUQ851968 FUQ917503:FUQ917504 FUQ983039:FUQ983040 GEK3:GEK4 GEM65535:GEM65536 GEM131071:GEM131072 GEM196607:GEM196608 GEM262143:GEM262144 GEM327679:GEM327680 GEM393215:GEM393216 GEM458751:GEM458752 GEM524287:GEM524288 GEM589823:GEM589824 GEM655359:GEM655360 GEM720895:GEM720896 GEM786431:GEM786432 GEM851967:GEM851968 GEM917503:GEM917504 GEM983039:GEM983040 GOG3:GOG4 GOI65535:GOI65536 GOI131071:GOI131072 GOI196607:GOI196608 GOI262143:GOI262144 GOI327679:GOI327680 GOI393215:GOI393216 GOI458751:GOI458752 GOI524287:GOI524288 GOI589823:GOI589824 GOI655359:GOI655360 GOI720895:GOI720896 GOI786431:GOI786432 GOI851967:GOI851968 GOI917503:GOI917504 GOI983039:GOI983040 GYC3:GYC4 GYE65535:GYE65536 GYE131071:GYE131072 GYE196607:GYE196608 GYE262143:GYE262144 GYE327679:GYE327680 GYE393215:GYE393216 GYE458751:GYE458752 GYE524287:GYE524288 GYE589823:GYE589824 GYE655359:GYE655360 GYE720895:GYE720896 GYE786431:GYE786432 GYE851967:GYE851968 GYE917503:GYE917504 GYE983039:GYE983040 HHY3:HHY4 HIA65535:HIA65536 HIA131071:HIA131072 HIA196607:HIA196608 HIA262143:HIA262144 HIA327679:HIA327680 HIA393215:HIA393216 HIA458751:HIA458752 HIA524287:HIA524288 HIA589823:HIA589824 HIA655359:HIA655360 HIA720895:HIA720896 HIA786431:HIA786432 HIA851967:HIA851968 HIA917503:HIA917504 HIA983039:HIA983040 HRU3:HRU4 HRW65535:HRW65536 HRW131071:HRW131072 HRW196607:HRW196608 HRW262143:HRW262144 HRW327679:HRW327680 HRW393215:HRW393216 HRW458751:HRW458752 HRW524287:HRW524288 HRW589823:HRW589824 HRW655359:HRW655360 HRW720895:HRW720896 HRW786431:HRW786432 HRW851967:HRW851968 HRW917503:HRW917504 HRW983039:HRW983040 IBQ3:IBQ4 IBS65535:IBS65536 IBS131071:IBS131072 IBS196607:IBS196608 IBS262143:IBS262144 IBS327679:IBS327680 IBS393215:IBS393216 IBS458751:IBS458752 IBS524287:IBS524288 IBS589823:IBS589824 IBS655359:IBS655360 IBS720895:IBS720896 IBS786431:IBS786432 IBS851967:IBS851968 IBS917503:IBS917504 IBS983039:IBS983040 ILM3:ILM4 ILO65535:ILO65536 ILO131071:ILO131072 ILO196607:ILO196608 ILO262143:ILO262144 ILO327679:ILO327680 ILO393215:ILO393216 ILO458751:ILO458752 ILO524287:ILO524288 ILO589823:ILO589824 ILO655359:ILO655360 ILO720895:ILO720896 ILO786431:ILO786432 ILO851967:ILO851968 ILO917503:ILO917504 ILO983039:ILO983040 IVI3:IVI4 IVK65535:IVK65536 IVK131071:IVK131072 IVK196607:IVK196608 IVK262143:IVK262144 IVK327679:IVK327680 IVK393215:IVK393216 IVK458751:IVK458752 IVK524287:IVK524288 IVK589823:IVK589824 IVK655359:IVK655360 IVK720895:IVK720896 IVK786431:IVK786432 IVK851967:IVK851968 IVK917503:IVK917504 IVK983039:IVK983040 JFE3:JFE4 JFG65535:JFG65536 JFG131071:JFG131072 JFG196607:JFG196608 JFG262143:JFG262144 JFG327679:JFG327680 JFG393215:JFG393216 JFG458751:JFG458752 JFG524287:JFG524288 JFG589823:JFG589824 JFG655359:JFG655360 JFG720895:JFG720896 JFG786431:JFG786432 JFG851967:JFG851968 JFG917503:JFG917504 JFG983039:JFG983040 JPA3:JPA4 JPC65535:JPC65536 JPC131071:JPC131072 JPC196607:JPC196608 JPC262143:JPC262144 JPC327679:JPC327680 JPC393215:JPC393216 JPC458751:JPC458752 JPC524287:JPC524288 JPC589823:JPC589824 JPC655359:JPC655360 JPC720895:JPC720896 JPC786431:JPC786432 JPC851967:JPC851968 JPC917503:JPC917504 JPC983039:JPC983040 JYW3:JYW4 JYY65535:JYY65536 JYY131071:JYY131072 JYY196607:JYY196608 JYY262143:JYY262144 JYY327679:JYY327680 JYY393215:JYY393216 JYY458751:JYY458752 JYY524287:JYY524288 JYY589823:JYY589824 JYY655359:JYY655360 JYY720895:JYY720896 JYY786431:JYY786432 JYY851967:JYY851968 JYY917503:JYY917504 JYY983039:JYY983040 KIS3:KIS4 KIU65535:KIU65536 KIU131071:KIU131072 KIU196607:KIU196608 KIU262143:KIU262144 KIU327679:KIU327680 KIU393215:KIU393216 KIU458751:KIU458752 KIU524287:KIU524288 KIU589823:KIU589824 KIU655359:KIU655360 KIU720895:KIU720896 KIU786431:KIU786432 KIU851967:KIU851968 KIU917503:KIU917504 KIU983039:KIU983040 KSO3:KSO4 KSQ65535:KSQ65536 KSQ131071:KSQ131072 KSQ196607:KSQ196608 KSQ262143:KSQ262144 KSQ327679:KSQ327680 KSQ393215:KSQ393216 KSQ458751:KSQ458752 KSQ524287:KSQ524288 KSQ589823:KSQ589824 KSQ655359:KSQ655360 KSQ720895:KSQ720896 KSQ786431:KSQ786432 KSQ851967:KSQ851968 KSQ917503:KSQ917504 KSQ983039:KSQ983040 LCK3:LCK4 LCM65535:LCM65536 LCM131071:LCM131072 LCM196607:LCM196608 LCM262143:LCM262144 LCM327679:LCM327680 LCM393215:LCM393216 LCM458751:LCM458752 LCM524287:LCM524288 LCM589823:LCM589824 LCM655359:LCM655360 LCM720895:LCM720896 LCM786431:LCM786432 LCM851967:LCM851968 LCM917503:LCM917504 LCM983039:LCM983040 LMG3:LMG4 LMI65535:LMI65536 LMI131071:LMI131072 LMI196607:LMI196608 LMI262143:LMI262144 LMI327679:LMI327680 LMI393215:LMI393216 LMI458751:LMI458752 LMI524287:LMI524288 LMI589823:LMI589824 LMI655359:LMI655360 LMI720895:LMI720896 LMI786431:LMI786432 LMI851967:LMI851968 LMI917503:LMI917504 LMI983039:LMI983040 LWC3:LWC4 LWE65535:LWE65536 LWE131071:LWE131072 LWE196607:LWE196608 LWE262143:LWE262144 LWE327679:LWE327680 LWE393215:LWE393216 LWE458751:LWE458752 LWE524287:LWE524288 LWE589823:LWE589824 LWE655359:LWE655360 LWE720895:LWE720896 LWE786431:LWE786432 LWE851967:LWE851968 LWE917503:LWE917504 LWE983039:LWE983040 MFY3:MFY4 MGA65535:MGA65536 MGA131071:MGA131072 MGA196607:MGA196608 MGA262143:MGA262144 MGA327679:MGA327680 MGA393215:MGA393216 MGA458751:MGA458752 MGA524287:MGA524288 MGA589823:MGA589824 MGA655359:MGA655360 MGA720895:MGA720896 MGA786431:MGA786432 MGA851967:MGA851968 MGA917503:MGA917504 MGA983039:MGA983040 MPU3:MPU4 MPW65535:MPW65536 MPW131071:MPW131072 MPW196607:MPW196608 MPW262143:MPW262144 MPW327679:MPW327680 MPW393215:MPW393216 MPW458751:MPW458752 MPW524287:MPW524288 MPW589823:MPW589824 MPW655359:MPW655360 MPW720895:MPW720896 MPW786431:MPW786432 MPW851967:MPW851968 MPW917503:MPW917504 MPW983039:MPW983040 MZQ3:MZQ4 MZS65535:MZS65536 MZS131071:MZS131072 MZS196607:MZS196608 MZS262143:MZS262144 MZS327679:MZS327680 MZS393215:MZS393216 MZS458751:MZS458752 MZS524287:MZS524288 MZS589823:MZS589824 MZS655359:MZS655360 MZS720895:MZS720896 MZS786431:MZS786432 MZS851967:MZS851968 MZS917503:MZS917504 MZS983039:MZS983040 NJM3:NJM4 NJO65535:NJO65536 NJO131071:NJO131072 NJO196607:NJO196608 NJO262143:NJO262144 NJO327679:NJO327680 NJO393215:NJO393216 NJO458751:NJO458752 NJO524287:NJO524288 NJO589823:NJO589824 NJO655359:NJO655360 NJO720895:NJO720896 NJO786431:NJO786432 NJO851967:NJO851968 NJO917503:NJO917504 NJO983039:NJO983040 NTI3:NTI4 NTK65535:NTK65536 NTK131071:NTK131072 NTK196607:NTK196608 NTK262143:NTK262144 NTK327679:NTK327680 NTK393215:NTK393216 NTK458751:NTK458752 NTK524287:NTK524288 NTK589823:NTK589824 NTK655359:NTK655360 NTK720895:NTK720896 NTK786431:NTK786432 NTK851967:NTK851968 NTK917503:NTK917504 NTK983039:NTK983040 ODE3:ODE4 ODG65535:ODG65536 ODG131071:ODG131072 ODG196607:ODG196608 ODG262143:ODG262144 ODG327679:ODG327680 ODG393215:ODG393216 ODG458751:ODG458752 ODG524287:ODG524288 ODG589823:ODG589824 ODG655359:ODG655360 ODG720895:ODG720896 ODG786431:ODG786432 ODG851967:ODG851968 ODG917503:ODG917504 ODG983039:ODG983040 ONA3:ONA4 ONC65535:ONC65536 ONC131071:ONC131072 ONC196607:ONC196608 ONC262143:ONC262144 ONC327679:ONC327680 ONC393215:ONC393216 ONC458751:ONC458752 ONC524287:ONC524288 ONC589823:ONC589824 ONC655359:ONC655360 ONC720895:ONC720896 ONC786431:ONC786432 ONC851967:ONC851968 ONC917503:ONC917504 ONC983039:ONC983040 OWW3:OWW4 OWY65535:OWY65536 OWY131071:OWY131072 OWY196607:OWY196608 OWY262143:OWY262144 OWY327679:OWY327680 OWY393215:OWY393216 OWY458751:OWY458752 OWY524287:OWY524288 OWY589823:OWY589824 OWY655359:OWY655360 OWY720895:OWY720896 OWY786431:OWY786432 OWY851967:OWY851968 OWY917503:OWY917504 OWY983039:OWY983040 PGS3:PGS4 PGU65535:PGU65536 PGU131071:PGU131072 PGU196607:PGU196608 PGU262143:PGU262144 PGU327679:PGU327680 PGU393215:PGU393216 PGU458751:PGU458752 PGU524287:PGU524288 PGU589823:PGU589824 PGU655359:PGU655360 PGU720895:PGU720896 PGU786431:PGU786432 PGU851967:PGU851968 PGU917503:PGU917504 PGU983039:PGU983040 PQO3:PQO4 PQQ65535:PQQ65536 PQQ131071:PQQ131072 PQQ196607:PQQ196608 PQQ262143:PQQ262144 PQQ327679:PQQ327680 PQQ393215:PQQ393216 PQQ458751:PQQ458752 PQQ524287:PQQ524288 PQQ589823:PQQ589824 PQQ655359:PQQ655360 PQQ720895:PQQ720896 PQQ786431:PQQ786432 PQQ851967:PQQ851968 PQQ917503:PQQ917504 PQQ983039:PQQ983040 QAK3:QAK4 QAM65535:QAM65536 QAM131071:QAM131072 QAM196607:QAM196608 QAM262143:QAM262144 QAM327679:QAM327680 QAM393215:QAM393216 QAM458751:QAM458752 QAM524287:QAM524288 QAM589823:QAM589824 QAM655359:QAM655360 QAM720895:QAM720896 QAM786431:QAM786432 QAM851967:QAM851968 QAM917503:QAM917504 QAM983039:QAM983040 QKG3:QKG4 QKI65535:QKI65536 QKI131071:QKI131072 QKI196607:QKI196608 QKI262143:QKI262144 QKI327679:QKI327680 QKI393215:QKI393216 QKI458751:QKI458752 QKI524287:QKI524288 QKI589823:QKI589824 QKI655359:QKI655360 QKI720895:QKI720896 QKI786431:QKI786432 QKI851967:QKI851968 QKI917503:QKI917504 QKI983039:QKI983040 QUC3:QUC4 QUE65535:QUE65536 QUE131071:QUE131072 QUE196607:QUE196608 QUE262143:QUE262144 QUE327679:QUE327680 QUE393215:QUE393216 QUE458751:QUE458752 QUE524287:QUE524288 QUE589823:QUE589824 QUE655359:QUE655360 QUE720895:QUE720896 QUE786431:QUE786432 QUE851967:QUE851968 QUE917503:QUE917504 QUE983039:QUE983040 RDY3:RDY4 REA65535:REA65536 REA131071:REA131072 REA196607:REA196608 REA262143:REA262144 REA327679:REA327680 REA393215:REA393216 REA458751:REA458752 REA524287:REA524288 REA589823:REA589824 REA655359:REA655360 REA720895:REA720896 REA786431:REA786432 REA851967:REA851968 REA917503:REA917504 REA983039:REA983040 RNU3:RNU4 RNW65535:RNW65536 RNW131071:RNW131072 RNW196607:RNW196608 RNW262143:RNW262144 RNW327679:RNW327680 RNW393215:RNW393216 RNW458751:RNW458752 RNW524287:RNW524288 RNW589823:RNW589824 RNW655359:RNW655360 RNW720895:RNW720896 RNW786431:RNW786432 RNW851967:RNW851968 RNW917503:RNW917504 RNW983039:RNW983040 RXQ3:RXQ4 RXS65535:RXS65536 RXS131071:RXS131072 RXS196607:RXS196608 RXS262143:RXS262144 RXS327679:RXS327680 RXS393215:RXS393216 RXS458751:RXS458752 RXS524287:RXS524288 RXS589823:RXS589824 RXS655359:RXS655360 RXS720895:RXS720896 RXS786431:RXS786432 RXS851967:RXS851968 RXS917503:RXS917504 RXS983039:RXS983040 SHM3:SHM4 SHO65535:SHO65536 SHO131071:SHO131072 SHO196607:SHO196608 SHO262143:SHO262144 SHO327679:SHO327680 SHO393215:SHO393216 SHO458751:SHO458752 SHO524287:SHO524288 SHO589823:SHO589824 SHO655359:SHO655360 SHO720895:SHO720896 SHO786431:SHO786432 SHO851967:SHO851968 SHO917503:SHO917504 SHO983039:SHO983040 SRI3:SRI4 SRK65535:SRK65536 SRK131071:SRK131072 SRK196607:SRK196608 SRK262143:SRK262144 SRK327679:SRK327680 SRK393215:SRK393216 SRK458751:SRK458752 SRK524287:SRK524288 SRK589823:SRK589824 SRK655359:SRK655360 SRK720895:SRK720896 SRK786431:SRK786432 SRK851967:SRK851968 SRK917503:SRK917504 SRK983039:SRK983040 TBE3:TBE4 TBG65535:TBG65536 TBG131071:TBG131072 TBG196607:TBG196608 TBG262143:TBG262144 TBG327679:TBG327680 TBG393215:TBG393216 TBG458751:TBG458752 TBG524287:TBG524288 TBG589823:TBG589824 TBG655359:TBG655360 TBG720895:TBG720896 TBG786431:TBG786432 TBG851967:TBG851968 TBG917503:TBG917504 TBG983039:TBG983040 TLA3:TLA4 TLC65535:TLC65536 TLC131071:TLC131072 TLC196607:TLC196608 TLC262143:TLC262144 TLC327679:TLC327680 TLC393215:TLC393216 TLC458751:TLC458752 TLC524287:TLC524288 TLC589823:TLC589824 TLC655359:TLC655360 TLC720895:TLC720896 TLC786431:TLC786432 TLC851967:TLC851968 TLC917503:TLC917504 TLC983039:TLC983040 TUW3:TUW4 TUY65535:TUY65536 TUY131071:TUY131072 TUY196607:TUY196608 TUY262143:TUY262144 TUY327679:TUY327680 TUY393215:TUY393216 TUY458751:TUY458752 TUY524287:TUY524288 TUY589823:TUY589824 TUY655359:TUY655360 TUY720895:TUY720896 TUY786431:TUY786432 TUY851967:TUY851968 TUY917503:TUY917504 TUY983039:TUY983040 UES3:UES4 UEU65535:UEU65536 UEU131071:UEU131072 UEU196607:UEU196608 UEU262143:UEU262144 UEU327679:UEU327680 UEU393215:UEU393216 UEU458751:UEU458752 UEU524287:UEU524288 UEU589823:UEU589824 UEU655359:UEU655360 UEU720895:UEU720896 UEU786431:UEU786432 UEU851967:UEU851968 UEU917503:UEU917504 UEU983039:UEU983040 UOO3:UOO4 UOQ65535:UOQ65536 UOQ131071:UOQ131072 UOQ196607:UOQ196608 UOQ262143:UOQ262144 UOQ327679:UOQ327680 UOQ393215:UOQ393216 UOQ458751:UOQ458752 UOQ524287:UOQ524288 UOQ589823:UOQ589824 UOQ655359:UOQ655360 UOQ720895:UOQ720896 UOQ786431:UOQ786432 UOQ851967:UOQ851968 UOQ917503:UOQ917504 UOQ983039:UOQ983040 UYK3:UYK4 UYM65535:UYM65536 UYM131071:UYM131072 UYM196607:UYM196608 UYM262143:UYM262144 UYM327679:UYM327680 UYM393215:UYM393216 UYM458751:UYM458752 UYM524287:UYM524288 UYM589823:UYM589824 UYM655359:UYM655360 UYM720895:UYM720896 UYM786431:UYM786432 UYM851967:UYM851968 UYM917503:UYM917504 UYM983039:UYM983040 VIG3:VIG4 VII65535:VII65536 VII131071:VII131072 VII196607:VII196608 VII262143:VII262144 VII327679:VII327680 VII393215:VII393216 VII458751:VII458752 VII524287:VII524288 VII589823:VII589824 VII655359:VII655360 VII720895:VII720896 VII786431:VII786432 VII851967:VII851968 VII917503:VII917504 VII983039:VII983040 VSC3:VSC4 VSE65535:VSE65536 VSE131071:VSE131072 VSE196607:VSE196608 VSE262143:VSE262144 VSE327679:VSE327680 VSE393215:VSE393216 VSE458751:VSE458752 VSE524287:VSE524288 VSE589823:VSE589824 VSE655359:VSE655360 VSE720895:VSE720896 VSE786431:VSE786432 VSE851967:VSE851968 VSE917503:VSE917504 VSE983039:VSE983040 WBY3:WBY4 WCA65535:WCA65536 WCA131071:WCA131072 WCA196607:WCA196608 WCA262143:WCA262144 WCA327679:WCA327680 WCA393215:WCA393216 WCA458751:WCA458752 WCA524287:WCA524288 WCA589823:WCA589824 WCA655359:WCA655360 WCA720895:WCA720896 WCA786431:WCA786432 WCA851967:WCA851968 WCA917503:WCA917504 WCA983039:WCA983040 WLU3:WLU4 WLW65535:WLW65536 WLW131071:WLW131072 WLW196607:WLW196608 WLW262143:WLW262144 WLW327679:WLW327680 WLW393215:WLW393216 WLW458751:WLW458752 WLW524287:WLW524288 WLW589823:WLW589824 WLW655359:WLW655360 WLW720895:WLW720896 WLW786431:WLW786432 WLW851967:WLW851968 WLW917503:WLW917504 WLW983039:WLW983040 WVQ3:WVQ4 WVS65535:WVS65536 WVS131071:WVS131072 WVS196607:WVS196608 WVS262143:WVS262144 WVS327679:WVS327680 WVS393215:WVS393216 WVS458751:WVS458752 WVS524287:WVS524288 WVS589823:WVS589824 WVS655359:WVS655360 WVS720895:WVS720896 WVS786431:WVS786432 WVS851967:WVS851968 WVS917503:WVS917504 WVS983039:WVS983040"/>
  </dataValidations>
  <pageMargins left="0.75" right="0.75" top="1" bottom="1" header="0.5" footer="0.5"/>
  <pageSetup paperSize="9"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1989" r:id="rId3" name="Button 5">
              <controlPr defaultSize="0" print="0" autoPict="0" macro="[0]!Button15_Click_Member_add">
                <anchor moveWithCells="1">
                  <from>
                    <xdr:col>0</xdr:col>
                    <xdr:colOff>38100</xdr:colOff>
                    <xdr:row>21</xdr:row>
                    <xdr:rowOff>47625</xdr:rowOff>
                  </from>
                  <to>
                    <xdr:col>0</xdr:col>
                    <xdr:colOff>685800</xdr:colOff>
                    <xdr:row>22</xdr:row>
                    <xdr:rowOff>57150</xdr:rowOff>
                  </to>
                </anchor>
              </controlPr>
            </control>
          </mc:Choice>
        </mc:AlternateContent>
        <mc:AlternateContent xmlns:mc="http://schemas.openxmlformats.org/markup-compatibility/2006">
          <mc:Choice Requires="x14">
            <control shapeId="41992" r:id="rId4" name="Button 8">
              <controlPr defaultSize="0" print="0" autoPict="0" macro="[0]!Button16_Click_Member_delete">
                <anchor moveWithCells="1">
                  <from>
                    <xdr:col>0</xdr:col>
                    <xdr:colOff>742950</xdr:colOff>
                    <xdr:row>21</xdr:row>
                    <xdr:rowOff>47625</xdr:rowOff>
                  </from>
                  <to>
                    <xdr:col>1</xdr:col>
                    <xdr:colOff>9525</xdr:colOff>
                    <xdr:row>22</xdr:row>
                    <xdr:rowOff>57150</xdr:rowOff>
                  </to>
                </anchor>
              </controlPr>
            </control>
          </mc:Choice>
        </mc:AlternateContent>
        <mc:AlternateContent xmlns:mc="http://schemas.openxmlformats.org/markup-compatibility/2006">
          <mc:Choice Requires="x14">
            <control shapeId="42008" r:id="rId5" name="Button 24">
              <controlPr defaultSize="0" print="0" autoPict="0" macro="[0]!Button17_Click_week_add">
                <anchor moveWithCells="1">
                  <from>
                    <xdr:col>10</xdr:col>
                    <xdr:colOff>209550</xdr:colOff>
                    <xdr:row>7</xdr:row>
                    <xdr:rowOff>85725</xdr:rowOff>
                  </from>
                  <to>
                    <xdr:col>11</xdr:col>
                    <xdr:colOff>200025</xdr:colOff>
                    <xdr:row>8</xdr:row>
                    <xdr:rowOff>171450</xdr:rowOff>
                  </to>
                </anchor>
              </controlPr>
            </control>
          </mc:Choice>
        </mc:AlternateContent>
        <mc:AlternateContent xmlns:mc="http://schemas.openxmlformats.org/markup-compatibility/2006">
          <mc:Choice Requires="x14">
            <control shapeId="42014" r:id="rId6" name="Button 30">
              <controlPr defaultSize="0" print="0" autoPict="0" macro="[0]!Button18_Click_week_delete">
                <anchor moveWithCells="1">
                  <from>
                    <xdr:col>10</xdr:col>
                    <xdr:colOff>200025</xdr:colOff>
                    <xdr:row>9</xdr:row>
                    <xdr:rowOff>76200</xdr:rowOff>
                  </from>
                  <to>
                    <xdr:col>11</xdr:col>
                    <xdr:colOff>200025</xdr:colOff>
                    <xdr:row>10</xdr:row>
                    <xdr:rowOff>152400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U113"/>
  <sheetViews>
    <sheetView topLeftCell="A97" workbookViewId="0">
      <selection activeCell="M20" sqref="M20"/>
    </sheetView>
  </sheetViews>
  <sheetFormatPr defaultColWidth="9" defaultRowHeight="16.5"/>
  <cols>
    <col min="1" max="1" width="8.75" style="23" customWidth="1"/>
    <col min="2" max="2" width="20.75" style="23" customWidth="1"/>
    <col min="3" max="7" width="9" style="23"/>
    <col min="8" max="8" width="11.375" style="23" customWidth="1"/>
    <col min="9" max="13" width="9" style="23"/>
    <col min="14" max="14" width="8.25" style="23" customWidth="1"/>
    <col min="15" max="15" width="19.25" style="23" customWidth="1"/>
    <col min="16" max="16" width="9" style="23"/>
    <col min="17" max="17" width="18.375" style="23" customWidth="1"/>
    <col min="18" max="16384" width="9" style="23"/>
  </cols>
  <sheetData>
    <row r="1" spans="1:7" s="20" customFormat="1">
      <c r="A1" s="20" t="s">
        <v>706</v>
      </c>
    </row>
    <row r="2" spans="1:7">
      <c r="B2" s="23" t="s">
        <v>707</v>
      </c>
    </row>
    <row r="4" spans="1:7" s="20" customFormat="1">
      <c r="A4" s="20" t="s">
        <v>708</v>
      </c>
    </row>
    <row r="5" spans="1:7" s="21" customFormat="1" ht="18">
      <c r="A5" s="24" t="s">
        <v>709</v>
      </c>
    </row>
    <row r="6" spans="1:7" ht="45">
      <c r="B6" s="25" t="s">
        <v>710</v>
      </c>
      <c r="C6" s="26" t="s">
        <v>711</v>
      </c>
      <c r="D6" s="27" t="s">
        <v>712</v>
      </c>
      <c r="E6" s="26" t="s">
        <v>713</v>
      </c>
      <c r="F6" s="26" t="s">
        <v>714</v>
      </c>
      <c r="G6" s="28" t="s">
        <v>715</v>
      </c>
    </row>
    <row r="7" spans="1:7">
      <c r="B7" s="29" t="s">
        <v>716</v>
      </c>
      <c r="C7" s="30"/>
      <c r="D7" s="31"/>
      <c r="E7" s="32"/>
      <c r="F7" s="32"/>
      <c r="G7" s="33" t="e">
        <f>(F7-E7)/E7</f>
        <v>#DIV/0!</v>
      </c>
    </row>
    <row r="8" spans="1:7">
      <c r="B8" s="34" t="s">
        <v>617</v>
      </c>
      <c r="C8" s="35"/>
      <c r="D8" s="36"/>
      <c r="E8" s="36"/>
      <c r="F8" s="36"/>
      <c r="G8" s="33" t="e">
        <f>(F8-E8)/E8</f>
        <v>#DIV/0!</v>
      </c>
    </row>
    <row r="10" spans="1:7">
      <c r="C10" s="37" t="s">
        <v>422</v>
      </c>
      <c r="D10" s="38" t="s">
        <v>423</v>
      </c>
      <c r="E10" s="27" t="s">
        <v>151</v>
      </c>
      <c r="F10" s="27" t="s">
        <v>152</v>
      </c>
      <c r="G10" s="27" t="s">
        <v>153</v>
      </c>
    </row>
    <row r="11" spans="1:7">
      <c r="B11" s="39" t="s">
        <v>717</v>
      </c>
      <c r="C11" s="40"/>
      <c r="D11" s="40"/>
      <c r="E11" s="41"/>
      <c r="F11" s="41"/>
      <c r="G11" s="42"/>
    </row>
    <row r="12" spans="1:7">
      <c r="B12" s="43" t="s">
        <v>718</v>
      </c>
      <c r="C12" s="44"/>
      <c r="D12" s="44"/>
      <c r="E12" s="45"/>
      <c r="F12" s="46"/>
      <c r="G12" s="47"/>
    </row>
    <row r="14" spans="1:7">
      <c r="B14" s="23" t="s">
        <v>719</v>
      </c>
    </row>
    <row r="15" spans="1:7">
      <c r="B15" s="23" t="s">
        <v>720</v>
      </c>
    </row>
    <row r="17" spans="1:15" s="21" customFormat="1" ht="18">
      <c r="A17" s="24" t="s">
        <v>721</v>
      </c>
    </row>
    <row r="20" spans="1:15">
      <c r="O20" s="23" t="s">
        <v>722</v>
      </c>
    </row>
    <row r="30" spans="1:15">
      <c r="C30" s="38" t="s">
        <v>423</v>
      </c>
      <c r="D30" s="48" t="s">
        <v>151</v>
      </c>
      <c r="E30" s="49" t="s">
        <v>152</v>
      </c>
      <c r="F30" s="49" t="s">
        <v>153</v>
      </c>
    </row>
    <row r="31" spans="1:15">
      <c r="B31" s="50" t="s">
        <v>723</v>
      </c>
      <c r="C31" s="40"/>
      <c r="D31" s="41"/>
      <c r="E31" s="41"/>
      <c r="F31" s="42"/>
    </row>
    <row r="32" spans="1:15">
      <c r="B32" s="51" t="s">
        <v>724</v>
      </c>
      <c r="C32" s="44"/>
      <c r="D32" s="52"/>
      <c r="E32" s="53"/>
      <c r="F32" s="54"/>
    </row>
    <row r="33" spans="1:7">
      <c r="B33" s="22" t="s">
        <v>725</v>
      </c>
    </row>
    <row r="34" spans="1:7">
      <c r="B34" s="22" t="s">
        <v>726</v>
      </c>
    </row>
    <row r="36" spans="1:7">
      <c r="B36" s="50" t="s">
        <v>727</v>
      </c>
      <c r="C36" s="40"/>
      <c r="D36" s="40"/>
      <c r="E36" s="41"/>
      <c r="F36" s="41"/>
      <c r="G36" s="42"/>
    </row>
    <row r="37" spans="1:7">
      <c r="B37" s="51" t="s">
        <v>728</v>
      </c>
      <c r="C37" s="55"/>
      <c r="D37" s="44"/>
      <c r="E37" s="52"/>
      <c r="F37" s="53"/>
      <c r="G37" s="54"/>
    </row>
    <row r="38" spans="1:7" s="22" customFormat="1">
      <c r="B38" s="22" t="s">
        <v>729</v>
      </c>
    </row>
    <row r="41" spans="1:7">
      <c r="B41" s="23" t="s">
        <v>730</v>
      </c>
    </row>
    <row r="44" spans="1:7">
      <c r="D44" s="56"/>
    </row>
    <row r="46" spans="1:7" s="20" customFormat="1">
      <c r="A46" s="20" t="s">
        <v>731</v>
      </c>
    </row>
    <row r="47" spans="1:7">
      <c r="B47" s="23" t="s">
        <v>732</v>
      </c>
      <c r="D47" s="56"/>
    </row>
    <row r="74" spans="2:21">
      <c r="B74" s="23" t="s">
        <v>733</v>
      </c>
      <c r="D74" s="56"/>
    </row>
    <row r="75" spans="2:21">
      <c r="B75" s="57" t="s">
        <v>734</v>
      </c>
      <c r="C75" s="938" t="s">
        <v>735</v>
      </c>
      <c r="D75" s="939"/>
      <c r="E75" s="939"/>
      <c r="F75" s="939"/>
      <c r="G75" s="940"/>
      <c r="H75" s="58" t="s">
        <v>736</v>
      </c>
      <c r="M75" s="63"/>
      <c r="N75" s="63"/>
      <c r="O75" s="63"/>
      <c r="P75" s="63"/>
      <c r="Q75" s="63"/>
      <c r="R75" s="63"/>
      <c r="S75" s="63"/>
      <c r="T75" s="63"/>
      <c r="U75" s="63"/>
    </row>
    <row r="76" spans="2:21">
      <c r="B76" s="59">
        <v>1</v>
      </c>
      <c r="C76" s="930"/>
      <c r="D76" s="931"/>
      <c r="E76" s="931"/>
      <c r="F76" s="931"/>
      <c r="G76" s="932"/>
      <c r="H76" s="60"/>
      <c r="M76" s="63"/>
      <c r="N76" s="63"/>
      <c r="O76" s="63"/>
      <c r="P76" s="63"/>
      <c r="Q76" s="63"/>
      <c r="R76" s="63"/>
      <c r="S76" s="63"/>
      <c r="T76" s="63"/>
      <c r="U76" s="63"/>
    </row>
    <row r="77" spans="2:21" ht="17.25" customHeight="1">
      <c r="B77" s="59">
        <v>2</v>
      </c>
      <c r="C77" s="930"/>
      <c r="D77" s="931"/>
      <c r="E77" s="931"/>
      <c r="F77" s="931"/>
      <c r="G77" s="932"/>
      <c r="H77" s="60"/>
      <c r="M77" s="63"/>
      <c r="N77" s="63"/>
      <c r="O77" s="63"/>
      <c r="P77" s="63"/>
      <c r="Q77" s="63"/>
      <c r="R77" s="63"/>
      <c r="S77" s="63"/>
      <c r="T77" s="63"/>
      <c r="U77" s="63"/>
    </row>
    <row r="78" spans="2:21" ht="17.25" customHeight="1">
      <c r="B78" s="59">
        <v>3</v>
      </c>
      <c r="C78" s="930"/>
      <c r="D78" s="931"/>
      <c r="E78" s="931"/>
      <c r="F78" s="931"/>
      <c r="G78" s="932"/>
      <c r="H78" s="60"/>
      <c r="M78" s="63"/>
      <c r="N78" s="63"/>
      <c r="O78" s="63"/>
      <c r="P78" s="63"/>
      <c r="Q78" s="63"/>
      <c r="R78" s="63"/>
      <c r="S78" s="63"/>
      <c r="T78" s="63"/>
      <c r="U78" s="63"/>
    </row>
    <row r="79" spans="2:21" ht="17.25" customHeight="1">
      <c r="B79" s="59">
        <v>4</v>
      </c>
      <c r="C79" s="930"/>
      <c r="D79" s="931"/>
      <c r="E79" s="931"/>
      <c r="F79" s="931"/>
      <c r="G79" s="932"/>
      <c r="H79" s="60"/>
      <c r="M79" s="63"/>
      <c r="N79" s="63"/>
      <c r="O79" s="63"/>
      <c r="P79" s="63"/>
      <c r="Q79" s="63"/>
      <c r="R79" s="63"/>
      <c r="S79" s="63"/>
      <c r="T79" s="63"/>
      <c r="U79" s="63"/>
    </row>
    <row r="80" spans="2:21" ht="18" customHeight="1">
      <c r="B80" s="59">
        <v>5</v>
      </c>
      <c r="C80" s="930"/>
      <c r="D80" s="931"/>
      <c r="E80" s="931"/>
      <c r="F80" s="931"/>
      <c r="G80" s="932"/>
      <c r="H80" s="60"/>
    </row>
    <row r="81" spans="2:8">
      <c r="B81" s="59">
        <v>6</v>
      </c>
      <c r="C81" s="930"/>
      <c r="D81" s="931"/>
      <c r="E81" s="931"/>
      <c r="F81" s="931"/>
      <c r="G81" s="932"/>
      <c r="H81" s="60"/>
    </row>
    <row r="82" spans="2:8">
      <c r="B82" s="61"/>
      <c r="C82" s="933" t="s">
        <v>510</v>
      </c>
      <c r="D82" s="934"/>
      <c r="E82" s="934"/>
      <c r="F82" s="934"/>
      <c r="G82" s="935"/>
      <c r="H82" s="62">
        <f>SUM(H76:H81)</f>
        <v>0</v>
      </c>
    </row>
    <row r="84" spans="2:8">
      <c r="B84" s="23" t="s">
        <v>737</v>
      </c>
      <c r="D84" s="56"/>
    </row>
    <row r="104" spans="1:11" s="20" customFormat="1">
      <c r="A104" s="20" t="s">
        <v>738</v>
      </c>
    </row>
    <row r="105" spans="1:11" ht="38.25" customHeight="1">
      <c r="B105" s="936" t="s">
        <v>739</v>
      </c>
      <c r="C105" s="937"/>
      <c r="D105" s="937"/>
      <c r="E105" s="937"/>
      <c r="F105" s="937"/>
      <c r="G105" s="937"/>
      <c r="H105" s="937"/>
      <c r="I105" s="937"/>
      <c r="J105" s="937"/>
      <c r="K105" s="937"/>
    </row>
    <row r="107" spans="1:11" s="20" customFormat="1">
      <c r="A107" s="20" t="s">
        <v>740</v>
      </c>
    </row>
    <row r="108" spans="1:11">
      <c r="B108" s="23" t="s">
        <v>741</v>
      </c>
    </row>
    <row r="109" spans="1:11">
      <c r="B109" s="23" t="s">
        <v>742</v>
      </c>
    </row>
    <row r="110" spans="1:11">
      <c r="B110" s="23" t="s">
        <v>743</v>
      </c>
    </row>
    <row r="112" spans="1:11">
      <c r="B112" s="23" t="s">
        <v>744</v>
      </c>
    </row>
    <row r="113" spans="2:2">
      <c r="B113" s="23" t="s">
        <v>745</v>
      </c>
    </row>
  </sheetData>
  <mergeCells count="9">
    <mergeCell ref="C80:G80"/>
    <mergeCell ref="C81:G81"/>
    <mergeCell ref="C82:G82"/>
    <mergeCell ref="B105:K105"/>
    <mergeCell ref="C75:G75"/>
    <mergeCell ref="C76:G76"/>
    <mergeCell ref="C77:G77"/>
    <mergeCell ref="C78:G78"/>
    <mergeCell ref="C79:G79"/>
  </mergeCells>
  <phoneticPr fontId="156" type="noConversion"/>
  <pageMargins left="0.69930555555555596" right="0.69930555555555596" top="0.75" bottom="0.75" header="0.3" footer="0.3"/>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00FF"/>
  </sheetPr>
  <dimension ref="A1:J26"/>
  <sheetViews>
    <sheetView zoomScale="85" zoomScaleNormal="85" workbookViewId="0">
      <selection activeCell="K16" sqref="K16"/>
    </sheetView>
  </sheetViews>
  <sheetFormatPr defaultColWidth="9" defaultRowHeight="17.25"/>
  <cols>
    <col min="1" max="1" width="4.875" style="2" customWidth="1"/>
    <col min="2" max="2" width="22.125" style="2" customWidth="1"/>
    <col min="3" max="3" width="19.25" style="3" customWidth="1"/>
    <col min="4" max="4" width="25.25" style="3" customWidth="1"/>
    <col min="5" max="5" width="19.375" style="3" customWidth="1"/>
    <col min="6" max="6" width="18.125" style="2" customWidth="1"/>
    <col min="7" max="7" width="19" style="2" customWidth="1"/>
    <col min="8" max="8" width="20.5" style="2" customWidth="1"/>
    <col min="9" max="9" width="16" style="2" customWidth="1"/>
    <col min="10" max="256" width="9" style="2"/>
    <col min="257" max="257" width="4.875" style="2" customWidth="1"/>
    <col min="258" max="258" width="22.125" style="2" customWidth="1"/>
    <col min="259" max="259" width="19.25" style="2" customWidth="1"/>
    <col min="260" max="260" width="25.25" style="2" customWidth="1"/>
    <col min="261" max="261" width="19.375" style="2" customWidth="1"/>
    <col min="262" max="262" width="18.125" style="2" customWidth="1"/>
    <col min="263" max="263" width="19" style="2" customWidth="1"/>
    <col min="264" max="264" width="20.5" style="2" customWidth="1"/>
    <col min="265" max="265" width="16" style="2" customWidth="1"/>
    <col min="266" max="512" width="9" style="2"/>
    <col min="513" max="513" width="4.875" style="2" customWidth="1"/>
    <col min="514" max="514" width="22.125" style="2" customWidth="1"/>
    <col min="515" max="515" width="19.25" style="2" customWidth="1"/>
    <col min="516" max="516" width="25.25" style="2" customWidth="1"/>
    <col min="517" max="517" width="19.375" style="2" customWidth="1"/>
    <col min="518" max="518" width="18.125" style="2" customWidth="1"/>
    <col min="519" max="519" width="19" style="2" customWidth="1"/>
    <col min="520" max="520" width="20.5" style="2" customWidth="1"/>
    <col min="521" max="521" width="16" style="2" customWidth="1"/>
    <col min="522" max="768" width="9" style="2"/>
    <col min="769" max="769" width="4.875" style="2" customWidth="1"/>
    <col min="770" max="770" width="22.125" style="2" customWidth="1"/>
    <col min="771" max="771" width="19.25" style="2" customWidth="1"/>
    <col min="772" max="772" width="25.25" style="2" customWidth="1"/>
    <col min="773" max="773" width="19.375" style="2" customWidth="1"/>
    <col min="774" max="774" width="18.125" style="2" customWidth="1"/>
    <col min="775" max="775" width="19" style="2" customWidth="1"/>
    <col min="776" max="776" width="20.5" style="2" customWidth="1"/>
    <col min="777" max="777" width="16" style="2" customWidth="1"/>
    <col min="778" max="1024" width="9" style="2"/>
    <col min="1025" max="1025" width="4.875" style="2" customWidth="1"/>
    <col min="1026" max="1026" width="22.125" style="2" customWidth="1"/>
    <col min="1027" max="1027" width="19.25" style="2" customWidth="1"/>
    <col min="1028" max="1028" width="25.25" style="2" customWidth="1"/>
    <col min="1029" max="1029" width="19.375" style="2" customWidth="1"/>
    <col min="1030" max="1030" width="18.125" style="2" customWidth="1"/>
    <col min="1031" max="1031" width="19" style="2" customWidth="1"/>
    <col min="1032" max="1032" width="20.5" style="2" customWidth="1"/>
    <col min="1033" max="1033" width="16" style="2" customWidth="1"/>
    <col min="1034" max="1280" width="9" style="2"/>
    <col min="1281" max="1281" width="4.875" style="2" customWidth="1"/>
    <col min="1282" max="1282" width="22.125" style="2" customWidth="1"/>
    <col min="1283" max="1283" width="19.25" style="2" customWidth="1"/>
    <col min="1284" max="1284" width="25.25" style="2" customWidth="1"/>
    <col min="1285" max="1285" width="19.375" style="2" customWidth="1"/>
    <col min="1286" max="1286" width="18.125" style="2" customWidth="1"/>
    <col min="1287" max="1287" width="19" style="2" customWidth="1"/>
    <col min="1288" max="1288" width="20.5" style="2" customWidth="1"/>
    <col min="1289" max="1289" width="16" style="2" customWidth="1"/>
    <col min="1290" max="1536" width="9" style="2"/>
    <col min="1537" max="1537" width="4.875" style="2" customWidth="1"/>
    <col min="1538" max="1538" width="22.125" style="2" customWidth="1"/>
    <col min="1539" max="1539" width="19.25" style="2" customWidth="1"/>
    <col min="1540" max="1540" width="25.25" style="2" customWidth="1"/>
    <col min="1541" max="1541" width="19.375" style="2" customWidth="1"/>
    <col min="1542" max="1542" width="18.125" style="2" customWidth="1"/>
    <col min="1543" max="1543" width="19" style="2" customWidth="1"/>
    <col min="1544" max="1544" width="20.5" style="2" customWidth="1"/>
    <col min="1545" max="1545" width="16" style="2" customWidth="1"/>
    <col min="1546" max="1792" width="9" style="2"/>
    <col min="1793" max="1793" width="4.875" style="2" customWidth="1"/>
    <col min="1794" max="1794" width="22.125" style="2" customWidth="1"/>
    <col min="1795" max="1795" width="19.25" style="2" customWidth="1"/>
    <col min="1796" max="1796" width="25.25" style="2" customWidth="1"/>
    <col min="1797" max="1797" width="19.375" style="2" customWidth="1"/>
    <col min="1798" max="1798" width="18.125" style="2" customWidth="1"/>
    <col min="1799" max="1799" width="19" style="2" customWidth="1"/>
    <col min="1800" max="1800" width="20.5" style="2" customWidth="1"/>
    <col min="1801" max="1801" width="16" style="2" customWidth="1"/>
    <col min="1802" max="2048" width="9" style="2"/>
    <col min="2049" max="2049" width="4.875" style="2" customWidth="1"/>
    <col min="2050" max="2050" width="22.125" style="2" customWidth="1"/>
    <col min="2051" max="2051" width="19.25" style="2" customWidth="1"/>
    <col min="2052" max="2052" width="25.25" style="2" customWidth="1"/>
    <col min="2053" max="2053" width="19.375" style="2" customWidth="1"/>
    <col min="2054" max="2054" width="18.125" style="2" customWidth="1"/>
    <col min="2055" max="2055" width="19" style="2" customWidth="1"/>
    <col min="2056" max="2056" width="20.5" style="2" customWidth="1"/>
    <col min="2057" max="2057" width="16" style="2" customWidth="1"/>
    <col min="2058" max="2304" width="9" style="2"/>
    <col min="2305" max="2305" width="4.875" style="2" customWidth="1"/>
    <col min="2306" max="2306" width="22.125" style="2" customWidth="1"/>
    <col min="2307" max="2307" width="19.25" style="2" customWidth="1"/>
    <col min="2308" max="2308" width="25.25" style="2" customWidth="1"/>
    <col min="2309" max="2309" width="19.375" style="2" customWidth="1"/>
    <col min="2310" max="2310" width="18.125" style="2" customWidth="1"/>
    <col min="2311" max="2311" width="19" style="2" customWidth="1"/>
    <col min="2312" max="2312" width="20.5" style="2" customWidth="1"/>
    <col min="2313" max="2313" width="16" style="2" customWidth="1"/>
    <col min="2314" max="2560" width="9" style="2"/>
    <col min="2561" max="2561" width="4.875" style="2" customWidth="1"/>
    <col min="2562" max="2562" width="22.125" style="2" customWidth="1"/>
    <col min="2563" max="2563" width="19.25" style="2" customWidth="1"/>
    <col min="2564" max="2564" width="25.25" style="2" customWidth="1"/>
    <col min="2565" max="2565" width="19.375" style="2" customWidth="1"/>
    <col min="2566" max="2566" width="18.125" style="2" customWidth="1"/>
    <col min="2567" max="2567" width="19" style="2" customWidth="1"/>
    <col min="2568" max="2568" width="20.5" style="2" customWidth="1"/>
    <col min="2569" max="2569" width="16" style="2" customWidth="1"/>
    <col min="2570" max="2816" width="9" style="2"/>
    <col min="2817" max="2817" width="4.875" style="2" customWidth="1"/>
    <col min="2818" max="2818" width="22.125" style="2" customWidth="1"/>
    <col min="2819" max="2819" width="19.25" style="2" customWidth="1"/>
    <col min="2820" max="2820" width="25.25" style="2" customWidth="1"/>
    <col min="2821" max="2821" width="19.375" style="2" customWidth="1"/>
    <col min="2822" max="2822" width="18.125" style="2" customWidth="1"/>
    <col min="2823" max="2823" width="19" style="2" customWidth="1"/>
    <col min="2824" max="2824" width="20.5" style="2" customWidth="1"/>
    <col min="2825" max="2825" width="16" style="2" customWidth="1"/>
    <col min="2826" max="3072" width="9" style="2"/>
    <col min="3073" max="3073" width="4.875" style="2" customWidth="1"/>
    <col min="3074" max="3074" width="22.125" style="2" customWidth="1"/>
    <col min="3075" max="3075" width="19.25" style="2" customWidth="1"/>
    <col min="3076" max="3076" width="25.25" style="2" customWidth="1"/>
    <col min="3077" max="3077" width="19.375" style="2" customWidth="1"/>
    <col min="3078" max="3078" width="18.125" style="2" customWidth="1"/>
    <col min="3079" max="3079" width="19" style="2" customWidth="1"/>
    <col min="3080" max="3080" width="20.5" style="2" customWidth="1"/>
    <col min="3081" max="3081" width="16" style="2" customWidth="1"/>
    <col min="3082" max="3328" width="9" style="2"/>
    <col min="3329" max="3329" width="4.875" style="2" customWidth="1"/>
    <col min="3330" max="3330" width="22.125" style="2" customWidth="1"/>
    <col min="3331" max="3331" width="19.25" style="2" customWidth="1"/>
    <col min="3332" max="3332" width="25.25" style="2" customWidth="1"/>
    <col min="3333" max="3333" width="19.375" style="2" customWidth="1"/>
    <col min="3334" max="3334" width="18.125" style="2" customWidth="1"/>
    <col min="3335" max="3335" width="19" style="2" customWidth="1"/>
    <col min="3336" max="3336" width="20.5" style="2" customWidth="1"/>
    <col min="3337" max="3337" width="16" style="2" customWidth="1"/>
    <col min="3338" max="3584" width="9" style="2"/>
    <col min="3585" max="3585" width="4.875" style="2" customWidth="1"/>
    <col min="3586" max="3586" width="22.125" style="2" customWidth="1"/>
    <col min="3587" max="3587" width="19.25" style="2" customWidth="1"/>
    <col min="3588" max="3588" width="25.25" style="2" customWidth="1"/>
    <col min="3589" max="3589" width="19.375" style="2" customWidth="1"/>
    <col min="3590" max="3590" width="18.125" style="2" customWidth="1"/>
    <col min="3591" max="3591" width="19" style="2" customWidth="1"/>
    <col min="3592" max="3592" width="20.5" style="2" customWidth="1"/>
    <col min="3593" max="3593" width="16" style="2" customWidth="1"/>
    <col min="3594" max="3840" width="9" style="2"/>
    <col min="3841" max="3841" width="4.875" style="2" customWidth="1"/>
    <col min="3842" max="3842" width="22.125" style="2" customWidth="1"/>
    <col min="3843" max="3843" width="19.25" style="2" customWidth="1"/>
    <col min="3844" max="3844" width="25.25" style="2" customWidth="1"/>
    <col min="3845" max="3845" width="19.375" style="2" customWidth="1"/>
    <col min="3846" max="3846" width="18.125" style="2" customWidth="1"/>
    <col min="3847" max="3847" width="19" style="2" customWidth="1"/>
    <col min="3848" max="3848" width="20.5" style="2" customWidth="1"/>
    <col min="3849" max="3849" width="16" style="2" customWidth="1"/>
    <col min="3850" max="4096" width="9" style="2"/>
    <col min="4097" max="4097" width="4.875" style="2" customWidth="1"/>
    <col min="4098" max="4098" width="22.125" style="2" customWidth="1"/>
    <col min="4099" max="4099" width="19.25" style="2" customWidth="1"/>
    <col min="4100" max="4100" width="25.25" style="2" customWidth="1"/>
    <col min="4101" max="4101" width="19.375" style="2" customWidth="1"/>
    <col min="4102" max="4102" width="18.125" style="2" customWidth="1"/>
    <col min="4103" max="4103" width="19" style="2" customWidth="1"/>
    <col min="4104" max="4104" width="20.5" style="2" customWidth="1"/>
    <col min="4105" max="4105" width="16" style="2" customWidth="1"/>
    <col min="4106" max="4352" width="9" style="2"/>
    <col min="4353" max="4353" width="4.875" style="2" customWidth="1"/>
    <col min="4354" max="4354" width="22.125" style="2" customWidth="1"/>
    <col min="4355" max="4355" width="19.25" style="2" customWidth="1"/>
    <col min="4356" max="4356" width="25.25" style="2" customWidth="1"/>
    <col min="4357" max="4357" width="19.375" style="2" customWidth="1"/>
    <col min="4358" max="4358" width="18.125" style="2" customWidth="1"/>
    <col min="4359" max="4359" width="19" style="2" customWidth="1"/>
    <col min="4360" max="4360" width="20.5" style="2" customWidth="1"/>
    <col min="4361" max="4361" width="16" style="2" customWidth="1"/>
    <col min="4362" max="4608" width="9" style="2"/>
    <col min="4609" max="4609" width="4.875" style="2" customWidth="1"/>
    <col min="4610" max="4610" width="22.125" style="2" customWidth="1"/>
    <col min="4611" max="4611" width="19.25" style="2" customWidth="1"/>
    <col min="4612" max="4612" width="25.25" style="2" customWidth="1"/>
    <col min="4613" max="4613" width="19.375" style="2" customWidth="1"/>
    <col min="4614" max="4614" width="18.125" style="2" customWidth="1"/>
    <col min="4615" max="4615" width="19" style="2" customWidth="1"/>
    <col min="4616" max="4616" width="20.5" style="2" customWidth="1"/>
    <col min="4617" max="4617" width="16" style="2" customWidth="1"/>
    <col min="4618" max="4864" width="9" style="2"/>
    <col min="4865" max="4865" width="4.875" style="2" customWidth="1"/>
    <col min="4866" max="4866" width="22.125" style="2" customWidth="1"/>
    <col min="4867" max="4867" width="19.25" style="2" customWidth="1"/>
    <col min="4868" max="4868" width="25.25" style="2" customWidth="1"/>
    <col min="4869" max="4869" width="19.375" style="2" customWidth="1"/>
    <col min="4870" max="4870" width="18.125" style="2" customWidth="1"/>
    <col min="4871" max="4871" width="19" style="2" customWidth="1"/>
    <col min="4872" max="4872" width="20.5" style="2" customWidth="1"/>
    <col min="4873" max="4873" width="16" style="2" customWidth="1"/>
    <col min="4874" max="5120" width="9" style="2"/>
    <col min="5121" max="5121" width="4.875" style="2" customWidth="1"/>
    <col min="5122" max="5122" width="22.125" style="2" customWidth="1"/>
    <col min="5123" max="5123" width="19.25" style="2" customWidth="1"/>
    <col min="5124" max="5124" width="25.25" style="2" customWidth="1"/>
    <col min="5125" max="5125" width="19.375" style="2" customWidth="1"/>
    <col min="5126" max="5126" width="18.125" style="2" customWidth="1"/>
    <col min="5127" max="5127" width="19" style="2" customWidth="1"/>
    <col min="5128" max="5128" width="20.5" style="2" customWidth="1"/>
    <col min="5129" max="5129" width="16" style="2" customWidth="1"/>
    <col min="5130" max="5376" width="9" style="2"/>
    <col min="5377" max="5377" width="4.875" style="2" customWidth="1"/>
    <col min="5378" max="5378" width="22.125" style="2" customWidth="1"/>
    <col min="5379" max="5379" width="19.25" style="2" customWidth="1"/>
    <col min="5380" max="5380" width="25.25" style="2" customWidth="1"/>
    <col min="5381" max="5381" width="19.375" style="2" customWidth="1"/>
    <col min="5382" max="5382" width="18.125" style="2" customWidth="1"/>
    <col min="5383" max="5383" width="19" style="2" customWidth="1"/>
    <col min="5384" max="5384" width="20.5" style="2" customWidth="1"/>
    <col min="5385" max="5385" width="16" style="2" customWidth="1"/>
    <col min="5386" max="5632" width="9" style="2"/>
    <col min="5633" max="5633" width="4.875" style="2" customWidth="1"/>
    <col min="5634" max="5634" width="22.125" style="2" customWidth="1"/>
    <col min="5635" max="5635" width="19.25" style="2" customWidth="1"/>
    <col min="5636" max="5636" width="25.25" style="2" customWidth="1"/>
    <col min="5637" max="5637" width="19.375" style="2" customWidth="1"/>
    <col min="5638" max="5638" width="18.125" style="2" customWidth="1"/>
    <col min="5639" max="5639" width="19" style="2" customWidth="1"/>
    <col min="5640" max="5640" width="20.5" style="2" customWidth="1"/>
    <col min="5641" max="5641" width="16" style="2" customWidth="1"/>
    <col min="5642" max="5888" width="9" style="2"/>
    <col min="5889" max="5889" width="4.875" style="2" customWidth="1"/>
    <col min="5890" max="5890" width="22.125" style="2" customWidth="1"/>
    <col min="5891" max="5891" width="19.25" style="2" customWidth="1"/>
    <col min="5892" max="5892" width="25.25" style="2" customWidth="1"/>
    <col min="5893" max="5893" width="19.375" style="2" customWidth="1"/>
    <col min="5894" max="5894" width="18.125" style="2" customWidth="1"/>
    <col min="5895" max="5895" width="19" style="2" customWidth="1"/>
    <col min="5896" max="5896" width="20.5" style="2" customWidth="1"/>
    <col min="5897" max="5897" width="16" style="2" customWidth="1"/>
    <col min="5898" max="6144" width="9" style="2"/>
    <col min="6145" max="6145" width="4.875" style="2" customWidth="1"/>
    <col min="6146" max="6146" width="22.125" style="2" customWidth="1"/>
    <col min="6147" max="6147" width="19.25" style="2" customWidth="1"/>
    <col min="6148" max="6148" width="25.25" style="2" customWidth="1"/>
    <col min="6149" max="6149" width="19.375" style="2" customWidth="1"/>
    <col min="6150" max="6150" width="18.125" style="2" customWidth="1"/>
    <col min="6151" max="6151" width="19" style="2" customWidth="1"/>
    <col min="6152" max="6152" width="20.5" style="2" customWidth="1"/>
    <col min="6153" max="6153" width="16" style="2" customWidth="1"/>
    <col min="6154" max="6400" width="9" style="2"/>
    <col min="6401" max="6401" width="4.875" style="2" customWidth="1"/>
    <col min="6402" max="6402" width="22.125" style="2" customWidth="1"/>
    <col min="6403" max="6403" width="19.25" style="2" customWidth="1"/>
    <col min="6404" max="6404" width="25.25" style="2" customWidth="1"/>
    <col min="6405" max="6405" width="19.375" style="2" customWidth="1"/>
    <col min="6406" max="6406" width="18.125" style="2" customWidth="1"/>
    <col min="6407" max="6407" width="19" style="2" customWidth="1"/>
    <col min="6408" max="6408" width="20.5" style="2" customWidth="1"/>
    <col min="6409" max="6409" width="16" style="2" customWidth="1"/>
    <col min="6410" max="6656" width="9" style="2"/>
    <col min="6657" max="6657" width="4.875" style="2" customWidth="1"/>
    <col min="6658" max="6658" width="22.125" style="2" customWidth="1"/>
    <col min="6659" max="6659" width="19.25" style="2" customWidth="1"/>
    <col min="6660" max="6660" width="25.25" style="2" customWidth="1"/>
    <col min="6661" max="6661" width="19.375" style="2" customWidth="1"/>
    <col min="6662" max="6662" width="18.125" style="2" customWidth="1"/>
    <col min="6663" max="6663" width="19" style="2" customWidth="1"/>
    <col min="6664" max="6664" width="20.5" style="2" customWidth="1"/>
    <col min="6665" max="6665" width="16" style="2" customWidth="1"/>
    <col min="6666" max="6912" width="9" style="2"/>
    <col min="6913" max="6913" width="4.875" style="2" customWidth="1"/>
    <col min="6914" max="6914" width="22.125" style="2" customWidth="1"/>
    <col min="6915" max="6915" width="19.25" style="2" customWidth="1"/>
    <col min="6916" max="6916" width="25.25" style="2" customWidth="1"/>
    <col min="6917" max="6917" width="19.375" style="2" customWidth="1"/>
    <col min="6918" max="6918" width="18.125" style="2" customWidth="1"/>
    <col min="6919" max="6919" width="19" style="2" customWidth="1"/>
    <col min="6920" max="6920" width="20.5" style="2" customWidth="1"/>
    <col min="6921" max="6921" width="16" style="2" customWidth="1"/>
    <col min="6922" max="7168" width="9" style="2"/>
    <col min="7169" max="7169" width="4.875" style="2" customWidth="1"/>
    <col min="7170" max="7170" width="22.125" style="2" customWidth="1"/>
    <col min="7171" max="7171" width="19.25" style="2" customWidth="1"/>
    <col min="7172" max="7172" width="25.25" style="2" customWidth="1"/>
    <col min="7173" max="7173" width="19.375" style="2" customWidth="1"/>
    <col min="7174" max="7174" width="18.125" style="2" customWidth="1"/>
    <col min="7175" max="7175" width="19" style="2" customWidth="1"/>
    <col min="7176" max="7176" width="20.5" style="2" customWidth="1"/>
    <col min="7177" max="7177" width="16" style="2" customWidth="1"/>
    <col min="7178" max="7424" width="9" style="2"/>
    <col min="7425" max="7425" width="4.875" style="2" customWidth="1"/>
    <col min="7426" max="7426" width="22.125" style="2" customWidth="1"/>
    <col min="7427" max="7427" width="19.25" style="2" customWidth="1"/>
    <col min="7428" max="7428" width="25.25" style="2" customWidth="1"/>
    <col min="7429" max="7429" width="19.375" style="2" customWidth="1"/>
    <col min="7430" max="7430" width="18.125" style="2" customWidth="1"/>
    <col min="7431" max="7431" width="19" style="2" customWidth="1"/>
    <col min="7432" max="7432" width="20.5" style="2" customWidth="1"/>
    <col min="7433" max="7433" width="16" style="2" customWidth="1"/>
    <col min="7434" max="7680" width="9" style="2"/>
    <col min="7681" max="7681" width="4.875" style="2" customWidth="1"/>
    <col min="7682" max="7682" width="22.125" style="2" customWidth="1"/>
    <col min="7683" max="7683" width="19.25" style="2" customWidth="1"/>
    <col min="7684" max="7684" width="25.25" style="2" customWidth="1"/>
    <col min="7685" max="7685" width="19.375" style="2" customWidth="1"/>
    <col min="7686" max="7686" width="18.125" style="2" customWidth="1"/>
    <col min="7687" max="7687" width="19" style="2" customWidth="1"/>
    <col min="7688" max="7688" width="20.5" style="2" customWidth="1"/>
    <col min="7689" max="7689" width="16" style="2" customWidth="1"/>
    <col min="7690" max="7936" width="9" style="2"/>
    <col min="7937" max="7937" width="4.875" style="2" customWidth="1"/>
    <col min="7938" max="7938" width="22.125" style="2" customWidth="1"/>
    <col min="7939" max="7939" width="19.25" style="2" customWidth="1"/>
    <col min="7940" max="7940" width="25.25" style="2" customWidth="1"/>
    <col min="7941" max="7941" width="19.375" style="2" customWidth="1"/>
    <col min="7942" max="7942" width="18.125" style="2" customWidth="1"/>
    <col min="7943" max="7943" width="19" style="2" customWidth="1"/>
    <col min="7944" max="7944" width="20.5" style="2" customWidth="1"/>
    <col min="7945" max="7945" width="16" style="2" customWidth="1"/>
    <col min="7946" max="8192" width="9" style="2"/>
    <col min="8193" max="8193" width="4.875" style="2" customWidth="1"/>
    <col min="8194" max="8194" width="22.125" style="2" customWidth="1"/>
    <col min="8195" max="8195" width="19.25" style="2" customWidth="1"/>
    <col min="8196" max="8196" width="25.25" style="2" customWidth="1"/>
    <col min="8197" max="8197" width="19.375" style="2" customWidth="1"/>
    <col min="8198" max="8198" width="18.125" style="2" customWidth="1"/>
    <col min="8199" max="8199" width="19" style="2" customWidth="1"/>
    <col min="8200" max="8200" width="20.5" style="2" customWidth="1"/>
    <col min="8201" max="8201" width="16" style="2" customWidth="1"/>
    <col min="8202" max="8448" width="9" style="2"/>
    <col min="8449" max="8449" width="4.875" style="2" customWidth="1"/>
    <col min="8450" max="8450" width="22.125" style="2" customWidth="1"/>
    <col min="8451" max="8451" width="19.25" style="2" customWidth="1"/>
    <col min="8452" max="8452" width="25.25" style="2" customWidth="1"/>
    <col min="8453" max="8453" width="19.375" style="2" customWidth="1"/>
    <col min="8454" max="8454" width="18.125" style="2" customWidth="1"/>
    <col min="8455" max="8455" width="19" style="2" customWidth="1"/>
    <col min="8456" max="8456" width="20.5" style="2" customWidth="1"/>
    <col min="8457" max="8457" width="16" style="2" customWidth="1"/>
    <col min="8458" max="8704" width="9" style="2"/>
    <col min="8705" max="8705" width="4.875" style="2" customWidth="1"/>
    <col min="8706" max="8706" width="22.125" style="2" customWidth="1"/>
    <col min="8707" max="8707" width="19.25" style="2" customWidth="1"/>
    <col min="8708" max="8708" width="25.25" style="2" customWidth="1"/>
    <col min="8709" max="8709" width="19.375" style="2" customWidth="1"/>
    <col min="8710" max="8710" width="18.125" style="2" customWidth="1"/>
    <col min="8711" max="8711" width="19" style="2" customWidth="1"/>
    <col min="8712" max="8712" width="20.5" style="2" customWidth="1"/>
    <col min="8713" max="8713" width="16" style="2" customWidth="1"/>
    <col min="8714" max="8960" width="9" style="2"/>
    <col min="8961" max="8961" width="4.875" style="2" customWidth="1"/>
    <col min="8962" max="8962" width="22.125" style="2" customWidth="1"/>
    <col min="8963" max="8963" width="19.25" style="2" customWidth="1"/>
    <col min="8964" max="8964" width="25.25" style="2" customWidth="1"/>
    <col min="8965" max="8965" width="19.375" style="2" customWidth="1"/>
    <col min="8966" max="8966" width="18.125" style="2" customWidth="1"/>
    <col min="8967" max="8967" width="19" style="2" customWidth="1"/>
    <col min="8968" max="8968" width="20.5" style="2" customWidth="1"/>
    <col min="8969" max="8969" width="16" style="2" customWidth="1"/>
    <col min="8970" max="9216" width="9" style="2"/>
    <col min="9217" max="9217" width="4.875" style="2" customWidth="1"/>
    <col min="9218" max="9218" width="22.125" style="2" customWidth="1"/>
    <col min="9219" max="9219" width="19.25" style="2" customWidth="1"/>
    <col min="9220" max="9220" width="25.25" style="2" customWidth="1"/>
    <col min="9221" max="9221" width="19.375" style="2" customWidth="1"/>
    <col min="9222" max="9222" width="18.125" style="2" customWidth="1"/>
    <col min="9223" max="9223" width="19" style="2" customWidth="1"/>
    <col min="9224" max="9224" width="20.5" style="2" customWidth="1"/>
    <col min="9225" max="9225" width="16" style="2" customWidth="1"/>
    <col min="9226" max="9472" width="9" style="2"/>
    <col min="9473" max="9473" width="4.875" style="2" customWidth="1"/>
    <col min="9474" max="9474" width="22.125" style="2" customWidth="1"/>
    <col min="9475" max="9475" width="19.25" style="2" customWidth="1"/>
    <col min="9476" max="9476" width="25.25" style="2" customWidth="1"/>
    <col min="9477" max="9477" width="19.375" style="2" customWidth="1"/>
    <col min="9478" max="9478" width="18.125" style="2" customWidth="1"/>
    <col min="9479" max="9479" width="19" style="2" customWidth="1"/>
    <col min="9480" max="9480" width="20.5" style="2" customWidth="1"/>
    <col min="9481" max="9481" width="16" style="2" customWidth="1"/>
    <col min="9482" max="9728" width="9" style="2"/>
    <col min="9729" max="9729" width="4.875" style="2" customWidth="1"/>
    <col min="9730" max="9730" width="22.125" style="2" customWidth="1"/>
    <col min="9731" max="9731" width="19.25" style="2" customWidth="1"/>
    <col min="9732" max="9732" width="25.25" style="2" customWidth="1"/>
    <col min="9733" max="9733" width="19.375" style="2" customWidth="1"/>
    <col min="9734" max="9734" width="18.125" style="2" customWidth="1"/>
    <col min="9735" max="9735" width="19" style="2" customWidth="1"/>
    <col min="9736" max="9736" width="20.5" style="2" customWidth="1"/>
    <col min="9737" max="9737" width="16" style="2" customWidth="1"/>
    <col min="9738" max="9984" width="9" style="2"/>
    <col min="9985" max="9985" width="4.875" style="2" customWidth="1"/>
    <col min="9986" max="9986" width="22.125" style="2" customWidth="1"/>
    <col min="9987" max="9987" width="19.25" style="2" customWidth="1"/>
    <col min="9988" max="9988" width="25.25" style="2" customWidth="1"/>
    <col min="9989" max="9989" width="19.375" style="2" customWidth="1"/>
    <col min="9990" max="9990" width="18.125" style="2" customWidth="1"/>
    <col min="9991" max="9991" width="19" style="2" customWidth="1"/>
    <col min="9992" max="9992" width="20.5" style="2" customWidth="1"/>
    <col min="9993" max="9993" width="16" style="2" customWidth="1"/>
    <col min="9994" max="10240" width="9" style="2"/>
    <col min="10241" max="10241" width="4.875" style="2" customWidth="1"/>
    <col min="10242" max="10242" width="22.125" style="2" customWidth="1"/>
    <col min="10243" max="10243" width="19.25" style="2" customWidth="1"/>
    <col min="10244" max="10244" width="25.25" style="2" customWidth="1"/>
    <col min="10245" max="10245" width="19.375" style="2" customWidth="1"/>
    <col min="10246" max="10246" width="18.125" style="2" customWidth="1"/>
    <col min="10247" max="10247" width="19" style="2" customWidth="1"/>
    <col min="10248" max="10248" width="20.5" style="2" customWidth="1"/>
    <col min="10249" max="10249" width="16" style="2" customWidth="1"/>
    <col min="10250" max="10496" width="9" style="2"/>
    <col min="10497" max="10497" width="4.875" style="2" customWidth="1"/>
    <col min="10498" max="10498" width="22.125" style="2" customWidth="1"/>
    <col min="10499" max="10499" width="19.25" style="2" customWidth="1"/>
    <col min="10500" max="10500" width="25.25" style="2" customWidth="1"/>
    <col min="10501" max="10501" width="19.375" style="2" customWidth="1"/>
    <col min="10502" max="10502" width="18.125" style="2" customWidth="1"/>
    <col min="10503" max="10503" width="19" style="2" customWidth="1"/>
    <col min="10504" max="10504" width="20.5" style="2" customWidth="1"/>
    <col min="10505" max="10505" width="16" style="2" customWidth="1"/>
    <col min="10506" max="10752" width="9" style="2"/>
    <col min="10753" max="10753" width="4.875" style="2" customWidth="1"/>
    <col min="10754" max="10754" width="22.125" style="2" customWidth="1"/>
    <col min="10755" max="10755" width="19.25" style="2" customWidth="1"/>
    <col min="10756" max="10756" width="25.25" style="2" customWidth="1"/>
    <col min="10757" max="10757" width="19.375" style="2" customWidth="1"/>
    <col min="10758" max="10758" width="18.125" style="2" customWidth="1"/>
    <col min="10759" max="10759" width="19" style="2" customWidth="1"/>
    <col min="10760" max="10760" width="20.5" style="2" customWidth="1"/>
    <col min="10761" max="10761" width="16" style="2" customWidth="1"/>
    <col min="10762" max="11008" width="9" style="2"/>
    <col min="11009" max="11009" width="4.875" style="2" customWidth="1"/>
    <col min="11010" max="11010" width="22.125" style="2" customWidth="1"/>
    <col min="11011" max="11011" width="19.25" style="2" customWidth="1"/>
    <col min="11012" max="11012" width="25.25" style="2" customWidth="1"/>
    <col min="11013" max="11013" width="19.375" style="2" customWidth="1"/>
    <col min="11014" max="11014" width="18.125" style="2" customWidth="1"/>
    <col min="11015" max="11015" width="19" style="2" customWidth="1"/>
    <col min="11016" max="11016" width="20.5" style="2" customWidth="1"/>
    <col min="11017" max="11017" width="16" style="2" customWidth="1"/>
    <col min="11018" max="11264" width="9" style="2"/>
    <col min="11265" max="11265" width="4.875" style="2" customWidth="1"/>
    <col min="11266" max="11266" width="22.125" style="2" customWidth="1"/>
    <col min="11267" max="11267" width="19.25" style="2" customWidth="1"/>
    <col min="11268" max="11268" width="25.25" style="2" customWidth="1"/>
    <col min="11269" max="11269" width="19.375" style="2" customWidth="1"/>
    <col min="11270" max="11270" width="18.125" style="2" customWidth="1"/>
    <col min="11271" max="11271" width="19" style="2" customWidth="1"/>
    <col min="11272" max="11272" width="20.5" style="2" customWidth="1"/>
    <col min="11273" max="11273" width="16" style="2" customWidth="1"/>
    <col min="11274" max="11520" width="9" style="2"/>
    <col min="11521" max="11521" width="4.875" style="2" customWidth="1"/>
    <col min="11522" max="11522" width="22.125" style="2" customWidth="1"/>
    <col min="11523" max="11523" width="19.25" style="2" customWidth="1"/>
    <col min="11524" max="11524" width="25.25" style="2" customWidth="1"/>
    <col min="11525" max="11525" width="19.375" style="2" customWidth="1"/>
    <col min="11526" max="11526" width="18.125" style="2" customWidth="1"/>
    <col min="11527" max="11527" width="19" style="2" customWidth="1"/>
    <col min="11528" max="11528" width="20.5" style="2" customWidth="1"/>
    <col min="11529" max="11529" width="16" style="2" customWidth="1"/>
    <col min="11530" max="11776" width="9" style="2"/>
    <col min="11777" max="11777" width="4.875" style="2" customWidth="1"/>
    <col min="11778" max="11778" width="22.125" style="2" customWidth="1"/>
    <col min="11779" max="11779" width="19.25" style="2" customWidth="1"/>
    <col min="11780" max="11780" width="25.25" style="2" customWidth="1"/>
    <col min="11781" max="11781" width="19.375" style="2" customWidth="1"/>
    <col min="11782" max="11782" width="18.125" style="2" customWidth="1"/>
    <col min="11783" max="11783" width="19" style="2" customWidth="1"/>
    <col min="11784" max="11784" width="20.5" style="2" customWidth="1"/>
    <col min="11785" max="11785" width="16" style="2" customWidth="1"/>
    <col min="11786" max="12032" width="9" style="2"/>
    <col min="12033" max="12033" width="4.875" style="2" customWidth="1"/>
    <col min="12034" max="12034" width="22.125" style="2" customWidth="1"/>
    <col min="12035" max="12035" width="19.25" style="2" customWidth="1"/>
    <col min="12036" max="12036" width="25.25" style="2" customWidth="1"/>
    <col min="12037" max="12037" width="19.375" style="2" customWidth="1"/>
    <col min="12038" max="12038" width="18.125" style="2" customWidth="1"/>
    <col min="12039" max="12039" width="19" style="2" customWidth="1"/>
    <col min="12040" max="12040" width="20.5" style="2" customWidth="1"/>
    <col min="12041" max="12041" width="16" style="2" customWidth="1"/>
    <col min="12042" max="12288" width="9" style="2"/>
    <col min="12289" max="12289" width="4.875" style="2" customWidth="1"/>
    <col min="12290" max="12290" width="22.125" style="2" customWidth="1"/>
    <col min="12291" max="12291" width="19.25" style="2" customWidth="1"/>
    <col min="12292" max="12292" width="25.25" style="2" customWidth="1"/>
    <col min="12293" max="12293" width="19.375" style="2" customWidth="1"/>
    <col min="12294" max="12294" width="18.125" style="2" customWidth="1"/>
    <col min="12295" max="12295" width="19" style="2" customWidth="1"/>
    <col min="12296" max="12296" width="20.5" style="2" customWidth="1"/>
    <col min="12297" max="12297" width="16" style="2" customWidth="1"/>
    <col min="12298" max="12544" width="9" style="2"/>
    <col min="12545" max="12545" width="4.875" style="2" customWidth="1"/>
    <col min="12546" max="12546" width="22.125" style="2" customWidth="1"/>
    <col min="12547" max="12547" width="19.25" style="2" customWidth="1"/>
    <col min="12548" max="12548" width="25.25" style="2" customWidth="1"/>
    <col min="12549" max="12549" width="19.375" style="2" customWidth="1"/>
    <col min="12550" max="12550" width="18.125" style="2" customWidth="1"/>
    <col min="12551" max="12551" width="19" style="2" customWidth="1"/>
    <col min="12552" max="12552" width="20.5" style="2" customWidth="1"/>
    <col min="12553" max="12553" width="16" style="2" customWidth="1"/>
    <col min="12554" max="12800" width="9" style="2"/>
    <col min="12801" max="12801" width="4.875" style="2" customWidth="1"/>
    <col min="12802" max="12802" width="22.125" style="2" customWidth="1"/>
    <col min="12803" max="12803" width="19.25" style="2" customWidth="1"/>
    <col min="12804" max="12804" width="25.25" style="2" customWidth="1"/>
    <col min="12805" max="12805" width="19.375" style="2" customWidth="1"/>
    <col min="12806" max="12806" width="18.125" style="2" customWidth="1"/>
    <col min="12807" max="12807" width="19" style="2" customWidth="1"/>
    <col min="12808" max="12808" width="20.5" style="2" customWidth="1"/>
    <col min="12809" max="12809" width="16" style="2" customWidth="1"/>
    <col min="12810" max="13056" width="9" style="2"/>
    <col min="13057" max="13057" width="4.875" style="2" customWidth="1"/>
    <col min="13058" max="13058" width="22.125" style="2" customWidth="1"/>
    <col min="13059" max="13059" width="19.25" style="2" customWidth="1"/>
    <col min="13060" max="13060" width="25.25" style="2" customWidth="1"/>
    <col min="13061" max="13061" width="19.375" style="2" customWidth="1"/>
    <col min="13062" max="13062" width="18.125" style="2" customWidth="1"/>
    <col min="13063" max="13063" width="19" style="2" customWidth="1"/>
    <col min="13064" max="13064" width="20.5" style="2" customWidth="1"/>
    <col min="13065" max="13065" width="16" style="2" customWidth="1"/>
    <col min="13066" max="13312" width="9" style="2"/>
    <col min="13313" max="13313" width="4.875" style="2" customWidth="1"/>
    <col min="13314" max="13314" width="22.125" style="2" customWidth="1"/>
    <col min="13315" max="13315" width="19.25" style="2" customWidth="1"/>
    <col min="13316" max="13316" width="25.25" style="2" customWidth="1"/>
    <col min="13317" max="13317" width="19.375" style="2" customWidth="1"/>
    <col min="13318" max="13318" width="18.125" style="2" customWidth="1"/>
    <col min="13319" max="13319" width="19" style="2" customWidth="1"/>
    <col min="13320" max="13320" width="20.5" style="2" customWidth="1"/>
    <col min="13321" max="13321" width="16" style="2" customWidth="1"/>
    <col min="13322" max="13568" width="9" style="2"/>
    <col min="13569" max="13569" width="4.875" style="2" customWidth="1"/>
    <col min="13570" max="13570" width="22.125" style="2" customWidth="1"/>
    <col min="13571" max="13571" width="19.25" style="2" customWidth="1"/>
    <col min="13572" max="13572" width="25.25" style="2" customWidth="1"/>
    <col min="13573" max="13573" width="19.375" style="2" customWidth="1"/>
    <col min="13574" max="13574" width="18.125" style="2" customWidth="1"/>
    <col min="13575" max="13575" width="19" style="2" customWidth="1"/>
    <col min="13576" max="13576" width="20.5" style="2" customWidth="1"/>
    <col min="13577" max="13577" width="16" style="2" customWidth="1"/>
    <col min="13578" max="13824" width="9" style="2"/>
    <col min="13825" max="13825" width="4.875" style="2" customWidth="1"/>
    <col min="13826" max="13826" width="22.125" style="2" customWidth="1"/>
    <col min="13827" max="13827" width="19.25" style="2" customWidth="1"/>
    <col min="13828" max="13828" width="25.25" style="2" customWidth="1"/>
    <col min="13829" max="13829" width="19.375" style="2" customWidth="1"/>
    <col min="13830" max="13830" width="18.125" style="2" customWidth="1"/>
    <col min="13831" max="13831" width="19" style="2" customWidth="1"/>
    <col min="13832" max="13832" width="20.5" style="2" customWidth="1"/>
    <col min="13833" max="13833" width="16" style="2" customWidth="1"/>
    <col min="13834" max="14080" width="9" style="2"/>
    <col min="14081" max="14081" width="4.875" style="2" customWidth="1"/>
    <col min="14082" max="14082" width="22.125" style="2" customWidth="1"/>
    <col min="14083" max="14083" width="19.25" style="2" customWidth="1"/>
    <col min="14084" max="14084" width="25.25" style="2" customWidth="1"/>
    <col min="14085" max="14085" width="19.375" style="2" customWidth="1"/>
    <col min="14086" max="14086" width="18.125" style="2" customWidth="1"/>
    <col min="14087" max="14087" width="19" style="2" customWidth="1"/>
    <col min="14088" max="14088" width="20.5" style="2" customWidth="1"/>
    <col min="14089" max="14089" width="16" style="2" customWidth="1"/>
    <col min="14090" max="14336" width="9" style="2"/>
    <col min="14337" max="14337" width="4.875" style="2" customWidth="1"/>
    <col min="14338" max="14338" width="22.125" style="2" customWidth="1"/>
    <col min="14339" max="14339" width="19.25" style="2" customWidth="1"/>
    <col min="14340" max="14340" width="25.25" style="2" customWidth="1"/>
    <col min="14341" max="14341" width="19.375" style="2" customWidth="1"/>
    <col min="14342" max="14342" width="18.125" style="2" customWidth="1"/>
    <col min="14343" max="14343" width="19" style="2" customWidth="1"/>
    <col min="14344" max="14344" width="20.5" style="2" customWidth="1"/>
    <col min="14345" max="14345" width="16" style="2" customWidth="1"/>
    <col min="14346" max="14592" width="9" style="2"/>
    <col min="14593" max="14593" width="4.875" style="2" customWidth="1"/>
    <col min="14594" max="14594" width="22.125" style="2" customWidth="1"/>
    <col min="14595" max="14595" width="19.25" style="2" customWidth="1"/>
    <col min="14596" max="14596" width="25.25" style="2" customWidth="1"/>
    <col min="14597" max="14597" width="19.375" style="2" customWidth="1"/>
    <col min="14598" max="14598" width="18.125" style="2" customWidth="1"/>
    <col min="14599" max="14599" width="19" style="2" customWidth="1"/>
    <col min="14600" max="14600" width="20.5" style="2" customWidth="1"/>
    <col min="14601" max="14601" width="16" style="2" customWidth="1"/>
    <col min="14602" max="14848" width="9" style="2"/>
    <col min="14849" max="14849" width="4.875" style="2" customWidth="1"/>
    <col min="14850" max="14850" width="22.125" style="2" customWidth="1"/>
    <col min="14851" max="14851" width="19.25" style="2" customWidth="1"/>
    <col min="14852" max="14852" width="25.25" style="2" customWidth="1"/>
    <col min="14853" max="14853" width="19.375" style="2" customWidth="1"/>
    <col min="14854" max="14854" width="18.125" style="2" customWidth="1"/>
    <col min="14855" max="14855" width="19" style="2" customWidth="1"/>
    <col min="14856" max="14856" width="20.5" style="2" customWidth="1"/>
    <col min="14857" max="14857" width="16" style="2" customWidth="1"/>
    <col min="14858" max="15104" width="9" style="2"/>
    <col min="15105" max="15105" width="4.875" style="2" customWidth="1"/>
    <col min="15106" max="15106" width="22.125" style="2" customWidth="1"/>
    <col min="15107" max="15107" width="19.25" style="2" customWidth="1"/>
    <col min="15108" max="15108" width="25.25" style="2" customWidth="1"/>
    <col min="15109" max="15109" width="19.375" style="2" customWidth="1"/>
    <col min="15110" max="15110" width="18.125" style="2" customWidth="1"/>
    <col min="15111" max="15111" width="19" style="2" customWidth="1"/>
    <col min="15112" max="15112" width="20.5" style="2" customWidth="1"/>
    <col min="15113" max="15113" width="16" style="2" customWidth="1"/>
    <col min="15114" max="15360" width="9" style="2"/>
    <col min="15361" max="15361" width="4.875" style="2" customWidth="1"/>
    <col min="15362" max="15362" width="22.125" style="2" customWidth="1"/>
    <col min="15363" max="15363" width="19.25" style="2" customWidth="1"/>
    <col min="15364" max="15364" width="25.25" style="2" customWidth="1"/>
    <col min="15365" max="15365" width="19.375" style="2" customWidth="1"/>
    <col min="15366" max="15366" width="18.125" style="2" customWidth="1"/>
    <col min="15367" max="15367" width="19" style="2" customWidth="1"/>
    <col min="15368" max="15368" width="20.5" style="2" customWidth="1"/>
    <col min="15369" max="15369" width="16" style="2" customWidth="1"/>
    <col min="15370" max="15616" width="9" style="2"/>
    <col min="15617" max="15617" width="4.875" style="2" customWidth="1"/>
    <col min="15618" max="15618" width="22.125" style="2" customWidth="1"/>
    <col min="15619" max="15619" width="19.25" style="2" customWidth="1"/>
    <col min="15620" max="15620" width="25.25" style="2" customWidth="1"/>
    <col min="15621" max="15621" width="19.375" style="2" customWidth="1"/>
    <col min="15622" max="15622" width="18.125" style="2" customWidth="1"/>
    <col min="15623" max="15623" width="19" style="2" customWidth="1"/>
    <col min="15624" max="15624" width="20.5" style="2" customWidth="1"/>
    <col min="15625" max="15625" width="16" style="2" customWidth="1"/>
    <col min="15626" max="15872" width="9" style="2"/>
    <col min="15873" max="15873" width="4.875" style="2" customWidth="1"/>
    <col min="15874" max="15874" width="22.125" style="2" customWidth="1"/>
    <col min="15875" max="15875" width="19.25" style="2" customWidth="1"/>
    <col min="15876" max="15876" width="25.25" style="2" customWidth="1"/>
    <col min="15877" max="15877" width="19.375" style="2" customWidth="1"/>
    <col min="15878" max="15878" width="18.125" style="2" customWidth="1"/>
    <col min="15879" max="15879" width="19" style="2" customWidth="1"/>
    <col min="15880" max="15880" width="20.5" style="2" customWidth="1"/>
    <col min="15881" max="15881" width="16" style="2" customWidth="1"/>
    <col min="15882" max="16128" width="9" style="2"/>
    <col min="16129" max="16129" width="4.875" style="2" customWidth="1"/>
    <col min="16130" max="16130" width="22.125" style="2" customWidth="1"/>
    <col min="16131" max="16131" width="19.25" style="2" customWidth="1"/>
    <col min="16132" max="16132" width="25.25" style="2" customWidth="1"/>
    <col min="16133" max="16133" width="19.375" style="2" customWidth="1"/>
    <col min="16134" max="16134" width="18.125" style="2" customWidth="1"/>
    <col min="16135" max="16135" width="19" style="2" customWidth="1"/>
    <col min="16136" max="16136" width="20.5" style="2" customWidth="1"/>
    <col min="16137" max="16137" width="16" style="2" customWidth="1"/>
    <col min="16138" max="16384" width="9" style="2"/>
  </cols>
  <sheetData>
    <row r="1" spans="1:10" s="1" customFormat="1" ht="16.5">
      <c r="B1" s="944" t="s">
        <v>746</v>
      </c>
      <c r="C1" s="944"/>
      <c r="D1" s="944"/>
      <c r="E1" s="944"/>
    </row>
    <row r="2" spans="1:10" s="1" customFormat="1" ht="16.5">
      <c r="B2" s="944"/>
      <c r="C2" s="944"/>
      <c r="D2" s="944"/>
      <c r="E2" s="944"/>
    </row>
    <row r="3" spans="1:10" s="1" customFormat="1" ht="28.5" customHeight="1">
      <c r="B3" s="945"/>
      <c r="C3" s="945"/>
      <c r="D3" s="945"/>
      <c r="E3" s="945"/>
      <c r="F3" s="4"/>
      <c r="G3" s="4"/>
      <c r="H3" s="4"/>
      <c r="I3" s="4"/>
    </row>
    <row r="4" spans="1:10" ht="24.95" customHeight="1">
      <c r="A4" s="5"/>
      <c r="B4" s="6"/>
      <c r="C4" s="946" t="s">
        <v>286</v>
      </c>
      <c r="D4" s="947"/>
      <c r="E4" s="7" t="s">
        <v>162</v>
      </c>
      <c r="F4" s="7" t="s">
        <v>287</v>
      </c>
      <c r="G4" s="946" t="s">
        <v>288</v>
      </c>
      <c r="H4" s="948"/>
      <c r="I4" s="947"/>
      <c r="J4" s="17"/>
    </row>
    <row r="5" spans="1:10" ht="24.95" customHeight="1">
      <c r="A5" s="5"/>
      <c r="B5" s="8" t="s">
        <v>747</v>
      </c>
      <c r="C5" s="9" t="s">
        <v>290</v>
      </c>
      <c r="D5" s="10" t="s">
        <v>291</v>
      </c>
      <c r="E5" s="10" t="s">
        <v>292</v>
      </c>
      <c r="F5" s="10"/>
      <c r="G5" s="10" t="s">
        <v>293</v>
      </c>
      <c r="H5" s="11"/>
      <c r="I5" s="11"/>
      <c r="J5" s="17"/>
    </row>
    <row r="6" spans="1:10" ht="24.95" customHeight="1">
      <c r="A6" s="5"/>
      <c r="B6" s="11" t="s">
        <v>302</v>
      </c>
      <c r="C6" s="12" t="str">
        <f>IF(项目度量分析计划!E22=模型!C22,"Y","N")</f>
        <v>Y</v>
      </c>
      <c r="D6" s="13"/>
      <c r="E6" s="12" t="str">
        <f>IF(项目度量分析计划!E24=模型!G22,"Y","N")</f>
        <v>Y</v>
      </c>
      <c r="F6" s="12"/>
      <c r="G6" s="12"/>
      <c r="H6" s="12"/>
      <c r="I6" s="12"/>
      <c r="J6" s="17"/>
    </row>
    <row r="7" spans="1:10" ht="24.95" customHeight="1">
      <c r="A7" s="5"/>
      <c r="B7" s="11" t="s">
        <v>305</v>
      </c>
      <c r="C7" s="12" t="str">
        <f>IF(项目度量分析计划!E23=模型!C23,"Y","N")</f>
        <v>Y</v>
      </c>
      <c r="D7" s="13"/>
      <c r="E7" s="12" t="str">
        <f>IF(项目度量分析计划!E25=模型!G23,"Y","N")</f>
        <v>Y</v>
      </c>
      <c r="F7" s="12"/>
      <c r="G7" s="12"/>
      <c r="H7" s="12"/>
      <c r="I7" s="12"/>
      <c r="J7" s="17"/>
    </row>
    <row r="8" spans="1:10" ht="9.9499999999999993" customHeight="1">
      <c r="A8" s="5"/>
      <c r="B8" s="941"/>
      <c r="C8" s="942"/>
      <c r="D8" s="942"/>
      <c r="E8" s="942"/>
      <c r="F8" s="942"/>
      <c r="G8" s="942"/>
      <c r="H8" s="942"/>
      <c r="I8" s="943"/>
      <c r="J8" s="17"/>
    </row>
    <row r="9" spans="1:10" ht="24.95" customHeight="1">
      <c r="A9" s="5"/>
      <c r="B9" s="8" t="s">
        <v>307</v>
      </c>
      <c r="C9" s="10" t="s">
        <v>290</v>
      </c>
      <c r="D9" s="10" t="s">
        <v>308</v>
      </c>
      <c r="E9" s="10" t="s">
        <v>292</v>
      </c>
      <c r="F9" s="10"/>
      <c r="G9" s="10" t="s">
        <v>198</v>
      </c>
      <c r="H9" s="10"/>
      <c r="I9" s="10"/>
      <c r="J9" s="17"/>
    </row>
    <row r="10" spans="1:10" ht="24.95" customHeight="1">
      <c r="A10" s="5"/>
      <c r="B10" s="11" t="s">
        <v>748</v>
      </c>
      <c r="C10" s="12" t="str">
        <f>IF(项目度量分析计划!E29=模型!C26,"Y","N")</f>
        <v>Y</v>
      </c>
      <c r="D10" s="12" t="str">
        <f>IF(项目度量分析计划!E30=模型!E26,"Y","N")</f>
        <v>Y</v>
      </c>
      <c r="E10" s="12" t="str">
        <f>IF(项目度量分析计划!E31=模型!G26,"Y","N")</f>
        <v>Y</v>
      </c>
      <c r="F10" s="12"/>
      <c r="G10" s="12"/>
      <c r="H10" s="12"/>
      <c r="I10" s="12"/>
      <c r="J10" s="17"/>
    </row>
    <row r="11" spans="1:10" ht="24.95" customHeight="1">
      <c r="A11" s="5"/>
      <c r="B11" s="11" t="s">
        <v>749</v>
      </c>
      <c r="C11" s="12" t="str">
        <f>IF(项目度量分析计划!E33=模型!C27,"Y","N")</f>
        <v>Y</v>
      </c>
      <c r="D11" s="12" t="str">
        <f>IF(项目度量分析计划!E34=模型!E27,"Y","N")</f>
        <v>Y</v>
      </c>
      <c r="E11" s="12" t="str">
        <f>IF(项目度量分析计划!E35=模型!G27,"Y","N")</f>
        <v>Y</v>
      </c>
      <c r="F11" s="12"/>
      <c r="G11" s="12"/>
      <c r="H11" s="12"/>
      <c r="I11" s="12"/>
      <c r="J11" s="17"/>
    </row>
    <row r="12" spans="1:10" ht="24.95" customHeight="1">
      <c r="A12" s="5"/>
      <c r="B12" s="11" t="s">
        <v>314</v>
      </c>
      <c r="C12" s="12" t="str">
        <f>IF(项目度量分析计划!E37=模型!C28,"Y","N")</f>
        <v>Y</v>
      </c>
      <c r="D12" s="12" t="str">
        <f>IF(项目度量分析计划!E38=模型!E28,"Y","N")</f>
        <v>Y</v>
      </c>
      <c r="E12" s="12" t="str">
        <f>IF(项目度量分析计划!E39=模型!G28,"Y","N")</f>
        <v>Y</v>
      </c>
      <c r="F12" s="12"/>
      <c r="G12" s="12"/>
      <c r="H12" s="12"/>
      <c r="I12" s="12"/>
      <c r="J12" s="17"/>
    </row>
    <row r="13" spans="1:10" ht="9.9499999999999993" customHeight="1">
      <c r="A13" s="5"/>
      <c r="B13" s="941"/>
      <c r="C13" s="942"/>
      <c r="D13" s="942"/>
      <c r="E13" s="942"/>
      <c r="F13" s="942"/>
      <c r="G13" s="942"/>
      <c r="H13" s="942"/>
      <c r="I13" s="943"/>
      <c r="J13" s="17"/>
    </row>
    <row r="14" spans="1:10" ht="24.95" customHeight="1">
      <c r="A14" s="5"/>
      <c r="B14" s="8" t="s">
        <v>316</v>
      </c>
      <c r="C14" s="10" t="s">
        <v>290</v>
      </c>
      <c r="D14" s="10" t="s">
        <v>308</v>
      </c>
      <c r="E14" s="10" t="s">
        <v>292</v>
      </c>
      <c r="F14" s="10"/>
      <c r="G14" s="10" t="s">
        <v>318</v>
      </c>
      <c r="H14" s="10"/>
      <c r="I14" s="10"/>
      <c r="J14" s="17"/>
    </row>
    <row r="15" spans="1:10" ht="24.95" customHeight="1">
      <c r="A15" s="5"/>
      <c r="B15" s="11" t="s">
        <v>319</v>
      </c>
      <c r="C15" s="12" t="str">
        <f>IF(项目度量分析计划!E42=模型!C31,"Y","N")</f>
        <v>Y</v>
      </c>
      <c r="D15" s="12" t="str">
        <f>IF(项目度量分析计划!E43=模型!E31,"Y","N")</f>
        <v>Y</v>
      </c>
      <c r="E15" s="12" t="str">
        <f>IF(项目度量分析计划!E44=模型!G31,"Y","N")</f>
        <v>Y</v>
      </c>
      <c r="F15" s="12"/>
      <c r="G15" s="12" t="str">
        <f>IF(项目度量分析计划!E46=模型!K31,"Y","N")</f>
        <v>Y</v>
      </c>
      <c r="H15" s="12"/>
      <c r="I15" s="12"/>
      <c r="J15" s="17"/>
    </row>
    <row r="16" spans="1:10" ht="24.95" customHeight="1">
      <c r="A16" s="5"/>
      <c r="B16" s="11" t="s">
        <v>320</v>
      </c>
      <c r="C16" s="12" t="str">
        <f>IF(项目度量分析计划!E47=模型!C32,"Y","N")</f>
        <v>Y</v>
      </c>
      <c r="D16" s="12" t="str">
        <f>IF(项目度量分析计划!E48=模型!E32,"Y","N")</f>
        <v>Y</v>
      </c>
      <c r="E16" s="12" t="str">
        <f>IF(项目度量分析计划!E49=模型!G32,"Y","N")</f>
        <v>Y</v>
      </c>
      <c r="F16" s="12"/>
      <c r="G16" s="12" t="str">
        <f>IF(项目度量分析计划!E51=模型!K32,"Y","N")</f>
        <v>Y</v>
      </c>
      <c r="H16" s="12"/>
      <c r="I16" s="12"/>
      <c r="J16" s="17"/>
    </row>
    <row r="17" spans="1:10" ht="24.95" customHeight="1">
      <c r="A17" s="5"/>
      <c r="B17" s="11" t="s">
        <v>321</v>
      </c>
      <c r="C17" s="12" t="str">
        <f>IF(项目度量分析计划!E52=模型!C33,"Y","N")</f>
        <v>Y</v>
      </c>
      <c r="D17" s="12" t="str">
        <f>IF(项目度量分析计划!E53=模型!E33,"Y","N")</f>
        <v>Y</v>
      </c>
      <c r="E17" s="12" t="str">
        <f>IF(项目度量分析计划!E54=模型!G33,"Y","N")</f>
        <v>Y</v>
      </c>
      <c r="F17" s="12"/>
      <c r="G17" s="12" t="str">
        <f>IF(项目度量分析计划!E55=模型!K33,"Y","N")</f>
        <v>Y</v>
      </c>
      <c r="H17" s="12"/>
      <c r="I17" s="12"/>
      <c r="J17" s="17"/>
    </row>
    <row r="18" spans="1:10" ht="9.9499999999999993" customHeight="1">
      <c r="A18" s="5"/>
      <c r="B18" s="941"/>
      <c r="C18" s="942"/>
      <c r="D18" s="942"/>
      <c r="E18" s="942"/>
      <c r="F18" s="942"/>
      <c r="G18" s="942"/>
      <c r="H18" s="942"/>
      <c r="I18" s="943"/>
      <c r="J18" s="17"/>
    </row>
    <row r="19" spans="1:10" ht="24.95" customHeight="1">
      <c r="A19" s="5"/>
      <c r="B19" s="8" t="s">
        <v>322</v>
      </c>
      <c r="C19" s="10" t="s">
        <v>290</v>
      </c>
      <c r="D19" s="10" t="s">
        <v>308</v>
      </c>
      <c r="E19" s="10" t="s">
        <v>292</v>
      </c>
      <c r="F19" s="10" t="s">
        <v>317</v>
      </c>
      <c r="G19" s="10" t="s">
        <v>323</v>
      </c>
      <c r="H19" s="10" t="s">
        <v>324</v>
      </c>
      <c r="I19" s="10" t="s">
        <v>325</v>
      </c>
      <c r="J19" s="17"/>
    </row>
    <row r="20" spans="1:10" ht="24.95" customHeight="1">
      <c r="A20" s="5"/>
      <c r="B20" s="11" t="s">
        <v>326</v>
      </c>
      <c r="C20" s="12" t="str">
        <f>IF(项目度量分析计划!E61=模型!C36,"Y","N")</f>
        <v>Y</v>
      </c>
      <c r="D20" s="12" t="str">
        <f>IF(项目度量分析计划!E62=模型!E36,"Y","N")</f>
        <v>Y</v>
      </c>
      <c r="E20" s="12" t="str">
        <f>IF(项目度量分析计划!E63=模型!G36,"Y","N")</f>
        <v>Y</v>
      </c>
      <c r="F20" s="12" t="str">
        <f>IF(项目度量分析计划!E64=模型!I36,"Y","N")</f>
        <v>Y</v>
      </c>
      <c r="G20" s="12" t="str">
        <f>IF(项目度量分析计划!E57=模型!K36,"Y","N")</f>
        <v>Y</v>
      </c>
      <c r="H20" s="12" t="str">
        <f>IF(项目度量分析计划!E65=模型!M36,"Y","N")</f>
        <v>Y</v>
      </c>
      <c r="I20" s="18" t="str">
        <f>IF(项目度量分析计划!E66=模型!O36,"Y","N")</f>
        <v>Y</v>
      </c>
      <c r="J20" s="17"/>
    </row>
    <row r="21" spans="1:10" ht="24.95" customHeight="1">
      <c r="A21" s="5"/>
      <c r="B21" s="11" t="s">
        <v>327</v>
      </c>
      <c r="C21" s="12" t="str">
        <f>IF(项目度量分析计划!E67=模型!C37,"Y","N")</f>
        <v>Y</v>
      </c>
      <c r="D21" s="12" t="str">
        <f>IF(项目度量分析计划!E68=模型!E37,"Y","N")</f>
        <v>Y</v>
      </c>
      <c r="E21" s="12" t="str">
        <f>IF(项目度量分析计划!E69=模型!G37,"Y","N")</f>
        <v>Y</v>
      </c>
      <c r="F21" s="12" t="str">
        <f>IF(项目度量分析计划!E70=模型!I37,"Y","N")</f>
        <v>Y</v>
      </c>
      <c r="G21" s="12" t="str">
        <f>IF(项目度量分析计划!E58=模型!K37,"Y","N")</f>
        <v>Y</v>
      </c>
      <c r="H21" s="12" t="str">
        <f>IF(项目度量分析计划!E71=模型!M37,"Y","N")</f>
        <v>Y</v>
      </c>
      <c r="I21" s="18" t="str">
        <f>IF(项目度量分析计划!E72=模型!O37,"Y","N")</f>
        <v>Y</v>
      </c>
      <c r="J21" s="17"/>
    </row>
    <row r="22" spans="1:10" ht="9.9499999999999993" customHeight="1">
      <c r="A22" s="5"/>
      <c r="B22" s="941"/>
      <c r="C22" s="942"/>
      <c r="D22" s="942"/>
      <c r="E22" s="942"/>
      <c r="F22" s="942"/>
      <c r="G22" s="942"/>
      <c r="H22" s="942"/>
      <c r="I22" s="943"/>
      <c r="J22" s="17"/>
    </row>
    <row r="23" spans="1:10" ht="24.95" customHeight="1">
      <c r="A23" s="5"/>
      <c r="B23" s="8" t="s">
        <v>328</v>
      </c>
      <c r="C23" s="10" t="s">
        <v>290</v>
      </c>
      <c r="D23" s="10" t="s">
        <v>308</v>
      </c>
      <c r="E23" s="10" t="s">
        <v>292</v>
      </c>
      <c r="F23" s="10" t="s">
        <v>750</v>
      </c>
      <c r="G23" s="10" t="s">
        <v>329</v>
      </c>
      <c r="H23" s="10" t="s">
        <v>330</v>
      </c>
      <c r="I23" s="10"/>
      <c r="J23" s="17"/>
    </row>
    <row r="24" spans="1:10" ht="24.95" customHeight="1">
      <c r="A24" s="5"/>
      <c r="B24" s="11" t="s">
        <v>331</v>
      </c>
      <c r="C24" s="12" t="str">
        <f>IF(项目度量分析计划!E74=模型!C40,"Y","N")</f>
        <v>Y</v>
      </c>
      <c r="D24" s="12" t="str">
        <f>IF(项目度量分析计划!E75=模型!E40,"Y","N")</f>
        <v>Y</v>
      </c>
      <c r="E24" s="12" t="str">
        <f>IF(项目度量分析计划!E76=模型!G40,"Y","N")</f>
        <v>Y</v>
      </c>
      <c r="F24" s="12" t="str">
        <f>IF(项目度量分析计划!E77=模型!I40,"Y","N")</f>
        <v>Y</v>
      </c>
      <c r="G24" s="12" t="str">
        <f>IF(项目度量分析计划!E78=模型!K40,"Y","N")</f>
        <v>Y</v>
      </c>
      <c r="H24" s="14" t="str">
        <f>IF(项目度量分析计划!E84=模型!M40,"Y","N")</f>
        <v>Y</v>
      </c>
      <c r="I24" s="12"/>
      <c r="J24" s="19"/>
    </row>
    <row r="25" spans="1:10" ht="24.95" customHeight="1">
      <c r="A25" s="5"/>
      <c r="B25" s="11" t="s">
        <v>332</v>
      </c>
      <c r="C25" s="12" t="str">
        <f>IF(项目度量分析计划!E79=模型!C41,"Y","N")</f>
        <v>Y</v>
      </c>
      <c r="D25" s="12" t="str">
        <f>IF(项目度量分析计划!E80=模型!E41,"Y","N")</f>
        <v>Y</v>
      </c>
      <c r="E25" s="12" t="str">
        <f>IF(项目度量分析计划!E81=模型!G41,"Y","N")</f>
        <v>Y</v>
      </c>
      <c r="F25" s="12" t="str">
        <f>IF(项目度量分析计划!E82=模型!I41,"Y","N")</f>
        <v>Y</v>
      </c>
      <c r="G25" s="12" t="str">
        <f>IF(项目度量分析计划!E83=模型!K41,"Y","N")</f>
        <v>Y</v>
      </c>
      <c r="H25" s="12" t="str">
        <f>IF(项目度量分析计划!E84=模型!M41,"Y","N")</f>
        <v>Y</v>
      </c>
      <c r="I25" s="12"/>
      <c r="J25" s="19"/>
    </row>
    <row r="26" spans="1:10">
      <c r="B26" s="15"/>
      <c r="C26" s="16"/>
      <c r="D26" s="16"/>
      <c r="E26" s="16"/>
      <c r="F26" s="15"/>
      <c r="G26" s="15"/>
      <c r="H26" s="15"/>
      <c r="I26" s="15"/>
    </row>
  </sheetData>
  <mergeCells count="7">
    <mergeCell ref="B22:I22"/>
    <mergeCell ref="B1:E3"/>
    <mergeCell ref="C4:D4"/>
    <mergeCell ref="G4:I4"/>
    <mergeCell ref="B8:I8"/>
    <mergeCell ref="B13:I13"/>
    <mergeCell ref="B18:I18"/>
  </mergeCells>
  <phoneticPr fontId="156" type="noConversion"/>
  <conditionalFormatting sqref="C7">
    <cfRule type="cellIs" dxfId="17" priority="17" stopIfTrue="1" operator="equal">
      <formula>"Y"</formula>
    </cfRule>
  </conditionalFormatting>
  <conditionalFormatting sqref="C6:C7">
    <cfRule type="cellIs" dxfId="16" priority="18" stopIfTrue="1" operator="equal">
      <formula>"N"</formula>
    </cfRule>
    <cfRule type="dataBar" priority="19">
      <dataBar>
        <cfvo type="min"/>
        <cfvo type="max"/>
        <color rgb="FF638EC6"/>
      </dataBar>
      <extLst>
        <ext xmlns:x14="http://schemas.microsoft.com/office/spreadsheetml/2009/9/main" uri="{B025F937-C7B1-47D3-B67F-A62EFF666E3E}">
          <x14:id>{7244F646-DF56-4BD0-92A4-578AC3E8C811}</x14:id>
        </ext>
      </extLst>
    </cfRule>
    <cfRule type="colorScale" priority="20">
      <colorScale>
        <cfvo type="min"/>
        <cfvo type="percentile" val="50"/>
        <cfvo type="max"/>
        <color rgb="FFF8696B"/>
        <color rgb="FFFFEB84"/>
        <color rgb="FF63BE7B"/>
      </colorScale>
    </cfRule>
    <cfRule type="cellIs" dxfId="15" priority="14" stopIfTrue="1" operator="equal">
      <formula>"Y"</formula>
    </cfRule>
    <cfRule type="cellIs" dxfId="14" priority="15" stopIfTrue="1" operator="equal">
      <formula>"N"</formula>
    </cfRule>
    <cfRule type="cellIs" dxfId="13" priority="16" stopIfTrue="1" operator="equal">
      <formula>"N"</formula>
    </cfRule>
  </conditionalFormatting>
  <conditionalFormatting sqref="E6:E7">
    <cfRule type="cellIs" dxfId="12" priority="12" stopIfTrue="1" operator="equal">
      <formula>"Y"</formula>
    </cfRule>
    <cfRule type="cellIs" dxfId="11" priority="13" stopIfTrue="1" operator="equal">
      <formula>"N"</formula>
    </cfRule>
  </conditionalFormatting>
  <conditionalFormatting sqref="G6:G7">
    <cfRule type="cellIs" dxfId="10" priority="1" stopIfTrue="1" operator="equal">
      <formula>"Y"</formula>
    </cfRule>
    <cfRule type="cellIs" dxfId="9" priority="2" stopIfTrue="1" operator="equal">
      <formula>"N"</formula>
    </cfRule>
  </conditionalFormatting>
  <conditionalFormatting sqref="C6:F7">
    <cfRule type="cellIs" dxfId="8" priority="7" stopIfTrue="1" operator="equal">
      <formula>"Y"</formula>
    </cfRule>
  </conditionalFormatting>
  <conditionalFormatting sqref="C10:G12">
    <cfRule type="cellIs" dxfId="7" priority="10" stopIfTrue="1" operator="equal">
      <formula>"Y"</formula>
    </cfRule>
    <cfRule type="cellIs" dxfId="6" priority="11" stopIfTrue="1" operator="equal">
      <formula>"N"</formula>
    </cfRule>
  </conditionalFormatting>
  <conditionalFormatting sqref="C15:G17">
    <cfRule type="cellIs" dxfId="5" priority="8" stopIfTrue="1" operator="equal">
      <formula>"N"</formula>
    </cfRule>
    <cfRule type="cellIs" dxfId="4" priority="9" stopIfTrue="1" operator="equal">
      <formula>"Y"</formula>
    </cfRule>
  </conditionalFormatting>
  <conditionalFormatting sqref="C20:I21">
    <cfRule type="cellIs" dxfId="3" priority="5" stopIfTrue="1" operator="equal">
      <formula>"N"</formula>
    </cfRule>
    <cfRule type="cellIs" dxfId="2" priority="6" stopIfTrue="1" operator="equal">
      <formula>"Y"</formula>
    </cfRule>
  </conditionalFormatting>
  <conditionalFormatting sqref="C24:I25">
    <cfRule type="cellIs" dxfId="1" priority="3" stopIfTrue="1" operator="equal">
      <formula>"Y"</formula>
    </cfRule>
    <cfRule type="cellIs" dxfId="0" priority="4" stopIfTrue="1" operator="equal">
      <formula>"N"</formula>
    </cfRule>
  </conditionalFormatting>
  <pageMargins left="0.69930555555555596" right="0.69930555555555596" top="0.75" bottom="0.75" header="0.3" footer="0.3"/>
  <pageSetup paperSize="9" orientation="portrait"/>
  <extLst>
    <ext xmlns:x14="http://schemas.microsoft.com/office/spreadsheetml/2009/9/main" uri="{78C0D931-6437-407d-A8EE-F0AAD7539E65}">
      <x14:conditionalFormattings>
        <x14:conditionalFormatting xmlns:xm="http://schemas.microsoft.com/office/excel/2006/main">
          <x14:cfRule type="dataBar" id="{7244F646-DF56-4BD0-92A4-578AC3E8C811}">
            <x14:dataBar minLength="0" maxLength="100" negativeBarColorSameAsPositive="1" axisPosition="none">
              <x14:cfvo type="min"/>
              <x14:cfvo type="max"/>
            </x14:dataBar>
          </x14:cfRule>
          <xm:sqref>C6:C7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17</vt:i4>
      </vt:variant>
      <vt:variant>
        <vt:lpstr>命名范围</vt:lpstr>
      </vt:variant>
      <vt:variant>
        <vt:i4>44</vt:i4>
      </vt:variant>
    </vt:vector>
  </HeadingPairs>
  <TitlesOfParts>
    <vt:vector size="61" baseType="lpstr">
      <vt:lpstr>报告封面</vt:lpstr>
      <vt:lpstr>目录</vt:lpstr>
      <vt:lpstr>填写说明</vt:lpstr>
      <vt:lpstr>项目属性</vt:lpstr>
      <vt:lpstr>项目度量分析计划</vt:lpstr>
      <vt:lpstr>模型</vt:lpstr>
      <vt:lpstr>预测-结果</vt:lpstr>
      <vt:lpstr>预测-指导</vt:lpstr>
      <vt:lpstr>需求</vt:lpstr>
      <vt:lpstr>工作量分布</vt:lpstr>
      <vt:lpstr>规模</vt:lpstr>
      <vt:lpstr>项目进度</vt:lpstr>
      <vt:lpstr>过程产出缺陷度量</vt:lpstr>
      <vt:lpstr>测试及验收缺陷度量</vt:lpstr>
      <vt:lpstr>人员统计</vt:lpstr>
      <vt:lpstr>根因分析</vt:lpstr>
      <vt:lpstr>模型数据检查</vt:lpstr>
      <vt:lpstr>Diskname</vt:lpstr>
      <vt:lpstr>for_add</vt:lpstr>
      <vt:lpstr>for_Creview</vt:lpstr>
      <vt:lpstr>for_CRreview</vt:lpstr>
      <vt:lpstr>for_Dreview</vt:lpstr>
      <vt:lpstr>for_FRreview</vt:lpstr>
      <vt:lpstr>for_set_all1</vt:lpstr>
      <vt:lpstr>for_set_all2</vt:lpstr>
      <vt:lpstr>for_set_all3</vt:lpstr>
      <vt:lpstr>for_set_all4</vt:lpstr>
      <vt:lpstr>for_set_all5</vt:lpstr>
      <vt:lpstr>for_set_all6</vt:lpstr>
      <vt:lpstr>for_set_calculate1</vt:lpstr>
      <vt:lpstr>for_set_calculate2</vt:lpstr>
      <vt:lpstr>for_set_calculate3</vt:lpstr>
      <vt:lpstr>for_set_calculate4</vt:lpstr>
      <vt:lpstr>for_set_calculate5</vt:lpstr>
      <vt:lpstr>for_set_calculate6</vt:lpstr>
      <vt:lpstr>for_set_PPB</vt:lpstr>
      <vt:lpstr>for_set_PPB1</vt:lpstr>
      <vt:lpstr>for_set_PPB2</vt:lpstr>
      <vt:lpstr>for_set_PPB3</vt:lpstr>
      <vt:lpstr>for_set_PPB4</vt:lpstr>
      <vt:lpstr>for_set_PPB5</vt:lpstr>
      <vt:lpstr>for_set_PPB6</vt:lpstr>
      <vt:lpstr>for_set_review1</vt:lpstr>
      <vt:lpstr>for_set_review2</vt:lpstr>
      <vt:lpstr>for_set_review3</vt:lpstr>
      <vt:lpstr>for_set_review4</vt:lpstr>
      <vt:lpstr>for_set_review5</vt:lpstr>
      <vt:lpstr>for_set_test</vt:lpstr>
      <vt:lpstr>for_set_week</vt:lpstr>
      <vt:lpstr>for_TCreview</vt:lpstr>
      <vt:lpstr>for_Test</vt:lpstr>
      <vt:lpstr>PDeviation</vt:lpstr>
      <vt:lpstr>Username</vt:lpstr>
      <vt:lpstr>VCreview</vt:lpstr>
      <vt:lpstr>VCRreview</vt:lpstr>
      <vt:lpstr>VDeviation</vt:lpstr>
      <vt:lpstr>VDreview</vt:lpstr>
      <vt:lpstr>VFRreview</vt:lpstr>
      <vt:lpstr>VTCreview</vt:lpstr>
      <vt:lpstr>VTest</vt:lpstr>
      <vt:lpstr>Vweek</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Windows 用户</cp:lastModifiedBy>
  <dcterms:created xsi:type="dcterms:W3CDTF">2006-09-16T00:00:00Z</dcterms:created>
  <dcterms:modified xsi:type="dcterms:W3CDTF">2016-11-21T01:15:09Z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2052-10.1.0.5975</vt:lpwstr>
  </property>
</Properties>
</file>

<file path=userCustomization/customUI.xml>�� 
</file>