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9.xml" ContentType="application/vnd.openxmlformats-officedocument.drawing+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840" windowHeight="13050" tabRatio="879" firstSheet="1" activeTab="1"/>
  </bookViews>
  <sheets>
    <sheet name="CB_DATA_" sheetId="1" state="veryHidden" r:id="rId1"/>
    <sheet name="报告封面" sheetId="2" r:id="rId2"/>
    <sheet name="目录" sheetId="3" r:id="rId3"/>
    <sheet name="填写说明" sheetId="4" r:id="rId4"/>
    <sheet name="项目属性" sheetId="5" r:id="rId5"/>
    <sheet name="需求" sheetId="6" r:id="rId6"/>
    <sheet name="规模" sheetId="8" r:id="rId7"/>
    <sheet name="工作量分布" sheetId="7" r:id="rId8"/>
    <sheet name="项目进度" sheetId="9" r:id="rId9"/>
    <sheet name="过程产出缺陷度量" sheetId="10" r:id="rId10"/>
    <sheet name="测试及验收缺陷度量" sheetId="11" r:id="rId11"/>
    <sheet name="人员统计" sheetId="12" r:id="rId12"/>
    <sheet name="根因分析" sheetId="13" r:id="rId13"/>
  </sheets>
  <externalReferences>
    <externalReference r:id="rId14"/>
    <externalReference r:id="rId15"/>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3b7fc0a952824749a7a123081e56bd5a" localSheetId="0" hidden="1">#N/A</definedName>
    <definedName name="CB_8f037fb5059742769ccd74434d8102df" localSheetId="0" hidden="1">#N/A</definedName>
    <definedName name="CB_9e4ed787d34c466b837959029a3f7097" localSheetId="0" hidden="1">#N/A</definedName>
    <definedName name="CB_ba82796bf54740a6bac0ab276199f0f4" localSheetId="0" hidden="1">#N/A</definedName>
    <definedName name="CB_Block_00000000000000000000000000000000" localSheetId="0" hidden="1">"'7.0.0.0"</definedName>
    <definedName name="CB_Block_00000000000000000000000000000001" localSheetId="0" hidden="1">"'635921043179610421"</definedName>
    <definedName name="CB_Block_00000000000000000000000000000003" localSheetId="0" hidden="1">"'11.1.2391.0"</definedName>
    <definedName name="CB_BlockExt_00000000000000000000000000000003" localSheetId="0" hidden="1">"'11.1.2.1.000"</definedName>
    <definedName name="CB_d4563f781c39494e8534ca99376a494d" localSheetId="0" hidden="1">#N/A</definedName>
    <definedName name="CBCR_2d88abcb2eea4a479ada8dd81e1edb8a" localSheetId="0" hidden="1">CB_DATA_!$A$10003</definedName>
    <definedName name="CBCR_397fa0bc92d24e3090fe6f89e330fd99" localSheetId="0" hidden="1">CB_DATA_!$A$10002</definedName>
    <definedName name="CBCR_4f427fef9b4240d0a6e30858423c0076" localSheetId="0" hidden="1">CB_DATA_!$A$10004</definedName>
    <definedName name="CBCR_642cc9dd1d1a43bf91713ae7a49d521c" localSheetId="0" hidden="1">CB_DATA_!$A$10001</definedName>
    <definedName name="CBCR_d7422f91d4824e1aad5e9c1756553551" localSheetId="0" hidden="1">CB_DATA_!$A$10005</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Ref" localSheetId="0" hidden="1">CB_DATA_!$A$14</definedName>
    <definedName name="CBx_StorageType" localSheetId="0" hidden="1">2</definedName>
    <definedName name="Diskname">目录!$D$27</definedName>
    <definedName name="for_add">项目进度!$H$13:$H$17</definedName>
    <definedName name="for_Creview">过程产出缺陷度量!$A$113:$N$113</definedName>
    <definedName name="for_CRreview">过程产出缺陷度量!$A$10:$N$10</definedName>
    <definedName name="for_Dreview">过程产出缺陷度量!$A$60:$N$60</definedName>
    <definedName name="for_FRreview">过程产出缺陷度量!$A$34:$N$34</definedName>
    <definedName name="for_set_all1">过程产出缺陷度量!$I$10</definedName>
    <definedName name="for_set_all2">过程产出缺陷度量!$I$34</definedName>
    <definedName name="for_set_all3">过程产出缺陷度量!$I$60</definedName>
    <definedName name="for_set_all4">过程产出缺陷度量!$I$87</definedName>
    <definedName name="for_set_all5">过程产出缺陷度量!$I$113</definedName>
    <definedName name="for_set_all6">测试及验收缺陷度量!$I$15</definedName>
    <definedName name="for_set_calculate1">过程产出缺陷度量!$K$10</definedName>
    <definedName name="for_set_calculate2">过程产出缺陷度量!$K$34</definedName>
    <definedName name="for_set_calculate3">过程产出缺陷度量!$K$60</definedName>
    <definedName name="for_set_calculate4">过程产出缺陷度量!$K$87</definedName>
    <definedName name="for_set_calculate5">过程产出缺陷度量!$K$113</definedName>
    <definedName name="for_set_calculate6">测试及验收缺陷度量!$K$15</definedName>
    <definedName name="for_set_PPB">项目进度!$H$15:$H$17</definedName>
    <definedName name="for_set_PPB1">过程产出缺陷度量!$L$10:$N$10</definedName>
    <definedName name="for_set_PPB2">过程产出缺陷度量!$L$34:$N$34</definedName>
    <definedName name="for_set_PPB3">过程产出缺陷度量!$L$60:$N$60</definedName>
    <definedName name="for_set_PPB4">过程产出缺陷度量!$L$87:$N$87</definedName>
    <definedName name="for_set_PPB5">过程产出缺陷度量!$L$113:$N$113</definedName>
    <definedName name="for_set_PPB6">测试及验收缺陷度量!$L$15:$N$15</definedName>
    <definedName name="for_set_review1">过程产出缺陷度量!$A$7</definedName>
    <definedName name="for_set_review2">过程产出缺陷度量!$A$31</definedName>
    <definedName name="for_set_review3">过程产出缺陷度量!$A$57</definedName>
    <definedName name="for_set_review4">过程产出缺陷度量!$A$84</definedName>
    <definedName name="for_set_review5">过程产出缺陷度量!$A$109</definedName>
    <definedName name="for_set_test">测试及验收缺陷度量!$A$11</definedName>
    <definedName name="for_set_week">项目进度!$C$13</definedName>
    <definedName name="for_TCreview">过程产出缺陷度量!$A$87:$N$87</definedName>
    <definedName name="for_Test">测试及验收缺陷度量!$A$15:$N$15</definedName>
    <definedName name="PDeviation">项目进度!$B$14</definedName>
    <definedName name="Username">目录!$D$28</definedName>
    <definedName name="VCreview">过程产出缺陷度量!$A$113</definedName>
    <definedName name="VCRreview">过程产出缺陷度量!$A$10</definedName>
    <definedName name="VDeviation">项目进度!$H$14</definedName>
    <definedName name="VDreview">过程产出缺陷度量!$A$60</definedName>
    <definedName name="VFRreview">过程产出缺陷度量!$A$34</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过程产出缺陷度量!$A$87</definedName>
    <definedName name="VTest">测试及验收缺陷度量!$A$15</definedName>
    <definedName name="Vweek">项目进度!$H$13</definedName>
    <definedName name="W" hidden="1">#REF!</definedName>
    <definedName name="测试加权缺陷密度的均值于画图">OFFSET(测试及验收缺陷度量!$M$11,,,COUNTA(测试及验收缺陷度量!$M$11:$M$15)-1)</definedName>
    <definedName name="测试加权缺陷密度的上限于画图">OFFSET(测试及验收缺陷度量!$N$11,,,COUNTA(测试及验收缺陷度量!$N$11:$N$15)-1)</definedName>
    <definedName name="测试加权缺陷密度的下限于画图">OFFSET(测试及验收缺陷度量!$L$11,,,COUNTA(测试及验收缺陷度量!$L$11:$L$15)-1)</definedName>
    <definedName name="测试加权缺陷密度于画图">OFFSET(测试及验收缺陷度量!$K$11,,,COUNTA(测试及验收缺陷度量!$K$11:$K$15)-1)</definedName>
    <definedName name="测试轮次于画图">OFFSET(测试及验收缺陷度量!$A$11,,,COUNTA(测试及验收缺陷度量!$A$11:$A$15)-1)</definedName>
    <definedName name="测试用例评审次数于画图">OFFSET(过程产出缺陷度量!$A$84,,,COUNTA(过程产出缺陷度量!$A$84:$A$87)-1)</definedName>
    <definedName name="测试用例评审缺陷密度的均值于画图">OFFSET(过程产出缺陷度量!$M$84,,,COUNTA(过程产出缺陷度量!$M$84:$M$87)-1)</definedName>
    <definedName name="测试用例评审缺陷密度的上限于画图">OFFSET(过程产出缺陷度量!$N$84,,,COUNTA(过程产出缺陷度量!$N$84:$N$87)-1)</definedName>
    <definedName name="测试用例评审缺陷密度的下限于画图">OFFSET(过程产出缺陷度量!$L$84,,,COUNTA(过程产出缺陷度量!$L$84:$L$87)-1)</definedName>
    <definedName name="测试用例评审缺陷密度于画图">OFFSET(过程产出缺陷度量!$K$84,,,COUNTA(过程产出缺陷度量!$K$84:$K$87)-1)</definedName>
    <definedName name="代码走查次数于画图">OFFSET(过程产出缺陷度量!$A$109,,,COUNTA(过程产出缺陷度量!$A$109:$A$113)-1)</definedName>
    <definedName name="代码走查缺陷密度的均值于画图">OFFSET(过程产出缺陷度量!$M$109,,,COUNTA(过程产出缺陷度量!$M$109:$M$113)-1)</definedName>
    <definedName name="代码走查缺陷密度的上限于画图">OFFSET(过程产出缺陷度量!$N$109,,,COUNTA(过程产出缺陷度量!$N$109:$N$113)-1)</definedName>
    <definedName name="代码走查缺陷密度的下限于画图">OFFSET(过程产出缺陷度量!$L$109,,,COUNTA(过程产出缺陷度量!$L$109:$L$113)-1)</definedName>
    <definedName name="代码走查缺陷密度于画图">OFFSET(过程产出缺陷度量!$K$109,,,COUNTA(过程产出缺陷度量!$K$109:$K$113)-1)</definedName>
    <definedName name="进度偏差的均值于画图">OFFSET(项目进度!$C$16,,,,COUNTA(项目进度!$C$16:$H$16)-1)</definedName>
    <definedName name="进度偏差的上限于画图">OFFSET(项目进度!$C$17,,,,COUNTA(项目进度!$C$17:$H$17)-1)</definedName>
    <definedName name="进度偏差的下限于画图">OFFSET(项目进度!$C$15,,,,COUNTA(项目进度!$C$15:$H$15)-1)</definedName>
    <definedName name="客户需求评审次数">OFFSET(过程产出缺陷度量!$A$7,,,COUNTA(过程产出缺陷度量!$A$7:$A$10)-1)</definedName>
    <definedName name="客户需求评审缺陷密度">OFFSET(过程产出缺陷度量!$K$7,,,COUNTA(过程产出缺陷度量!$K$7:$K$10)-1)</definedName>
    <definedName name="客户需求评审缺陷密度的均值">OFFSET(过程产出缺陷度量!$M$7,,,COUNTA(过程产出缺陷度量!$M$7:$M$10)-1)</definedName>
    <definedName name="客户需求评审缺陷密度的上限">OFFSET(过程产出缺陷度量!$N$7,,,COUNTA(过程产出缺陷度量!$N$7:$N$10)-1)</definedName>
    <definedName name="客户需求评审缺陷密度的下限">OFFSET(过程产出缺陷度量!$L$7,,,COUNTA(过程产出缺陷度量!$L$7:$L$10)-1)</definedName>
    <definedName name="人员">OFFSET(人员统计!$A$8,,,COUNTA(人员统计!$A$8:$A$22)+COUNTBLANK(人员统计!$A$8:$A$22))</definedName>
    <definedName name="设计评审次数于画图">OFFSET(过程产出缺陷度量!$A$57,,,COUNTA(过程产出缺陷度量!$A$57:$A$60)-1)</definedName>
    <definedName name="设计评审缺陷密度的均值于画图">OFFSET(过程产出缺陷度量!$M$57,,,COUNTA(过程产出缺陷度量!$M$57:$M$60)-1)</definedName>
    <definedName name="设计评审缺陷密度的上限于画图">OFFSET(过程产出缺陷度量!$N$57,,,COUNTA(过程产出缺陷度量!$N$57:$N$60)-1)</definedName>
    <definedName name="设计评审缺陷密度的下限于画图">OFFSET(过程产出缺陷度量!$L$57,,,COUNTA(过程产出缺陷度量!$L$57:$L$60)-1)</definedName>
    <definedName name="设计评审缺陷密度于画图">OFFSET(过程产出缺陷度量!$K$57,,,COUNTA(过程产出缺陷度量!$K$57:$K$60)-1)</definedName>
    <definedName name="需求规格评审次数于画图">OFFSET(过程产出缺陷度量!$A$31,,,COUNTA(过程产出缺陷度量!$A$31:$A$34)-1)</definedName>
    <definedName name="需求规格评审缺陷密度的均值于画图">OFFSET(过程产出缺陷度量!$M$31,,,COUNTA(过程产出缺陷度量!$M$31:$M$34)-1)</definedName>
    <definedName name="需求规格评审缺陷密度的上限于画图">OFFSET(过程产出缺陷度量!$N$31,,,COUNTA(过程产出缺陷度量!$N$31:$N$34)-1)</definedName>
    <definedName name="需求规格评审缺陷密度的下限于画图">OFFSET(过程产出缺陷度量!$L$31,,,COUNTA(过程产出缺陷度量!$L$31:$L$34)-1)</definedName>
    <definedName name="需求规格评审缺陷密度于画图">OFFSET(过程产出缺陷度量!$K$31,,,COUNTA(过程产出缺陷度量!$K$31:$K$34)-1)</definedName>
    <definedName name="周次">OFFSET(人员统计!#REF!,,,,COUNTA(人员统计!$J$8:$J$8))</definedName>
    <definedName name="周次于画图">OFFSET(项目进度!$C$13,,,,COUNTA(项目进度!$C$13:$H$13)-1)</definedName>
    <definedName name="周进度偏差于画图">OFFSET(项目进度!$C$14,,,,COUNTA(项目进度!$C$14:$H$14)-1)</definedName>
    <definedName name="最后一周">OFFSET(人员统计!$J$8,,,COUNTA(人员统计!$Q$8:$Q$22)+COUNTBLANK(人员统计!$Q$8:$Q$22))</definedName>
  </definedNames>
  <calcPr calcId="145621"/>
</workbook>
</file>

<file path=xl/calcChain.xml><?xml version="1.0" encoding="utf-8"?>
<calcChain xmlns="http://schemas.openxmlformats.org/spreadsheetml/2006/main">
  <c r="C78" i="6" l="1"/>
  <c r="C79" i="6" s="1"/>
  <c r="C80" i="6" s="1"/>
  <c r="C81" i="6" s="1"/>
  <c r="C82" i="6" s="1"/>
  <c r="C65" i="6"/>
  <c r="C66" i="6" s="1"/>
  <c r="C67" i="6" s="1"/>
  <c r="C68" i="6" s="1"/>
  <c r="C69" i="6" s="1"/>
  <c r="C38" i="6"/>
  <c r="C39" i="6" s="1"/>
  <c r="C40" i="6" s="1"/>
  <c r="C41" i="6" s="1"/>
  <c r="C42" i="6" s="1"/>
  <c r="C52" i="6"/>
  <c r="C53" i="6" s="1"/>
  <c r="C54" i="6" s="1"/>
  <c r="C55" i="6" s="1"/>
  <c r="C51" i="6"/>
  <c r="C24" i="6" l="1"/>
  <c r="C25" i="6" s="1"/>
  <c r="C26" i="6" s="1"/>
  <c r="C27" i="6" s="1"/>
  <c r="C28" i="6" s="1"/>
  <c r="C11" i="6"/>
  <c r="C12" i="6" s="1"/>
  <c r="C13" i="6" s="1"/>
  <c r="C14" i="6" s="1"/>
  <c r="C15" i="6" s="1"/>
  <c r="H82" i="13"/>
  <c r="G8" i="13"/>
  <c r="G7" i="13"/>
  <c r="C70" i="12"/>
  <c r="B70" i="12"/>
  <c r="I69" i="12"/>
  <c r="D69" i="12"/>
  <c r="J69" i="12" s="1"/>
  <c r="I68" i="12"/>
  <c r="D68" i="12"/>
  <c r="J68" i="12" s="1"/>
  <c r="I67" i="12"/>
  <c r="D67" i="12"/>
  <c r="J67" i="12" s="1"/>
  <c r="I66" i="12"/>
  <c r="D66" i="12"/>
  <c r="J66" i="12" s="1"/>
  <c r="I65" i="12"/>
  <c r="D65" i="12"/>
  <c r="K58" i="12" s="1"/>
  <c r="I64" i="12"/>
  <c r="D64" i="12"/>
  <c r="J64" i="12" s="1"/>
  <c r="F56" i="12"/>
  <c r="D56" i="12"/>
  <c r="G56" i="12" s="1"/>
  <c r="C56" i="12"/>
  <c r="J54" i="12"/>
  <c r="J53" i="12"/>
  <c r="J52" i="12"/>
  <c r="J51" i="12"/>
  <c r="H51" i="12"/>
  <c r="K50" i="12" s="1"/>
  <c r="J50" i="12"/>
  <c r="H50" i="12"/>
  <c r="G50" i="12"/>
  <c r="B51" i="12" s="1"/>
  <c r="G51" i="12" s="1"/>
  <c r="B52" i="12" s="1"/>
  <c r="K49" i="12"/>
  <c r="J49" i="12"/>
  <c r="K43" i="12"/>
  <c r="K42" i="12"/>
  <c r="D42" i="12"/>
  <c r="D41" i="12"/>
  <c r="D40" i="12"/>
  <c r="D39" i="12"/>
  <c r="D38" i="12"/>
  <c r="D37" i="12"/>
  <c r="J30" i="12"/>
  <c r="H30" i="12"/>
  <c r="F30" i="12"/>
  <c r="B30" i="12"/>
  <c r="E22" i="12"/>
  <c r="I30" i="12" s="1"/>
  <c r="E21" i="12"/>
  <c r="E20" i="12"/>
  <c r="E19" i="12"/>
  <c r="E18" i="12"/>
  <c r="E17" i="12"/>
  <c r="E16" i="12"/>
  <c r="E15" i="12"/>
  <c r="E30" i="12" s="1"/>
  <c r="E14" i="12"/>
  <c r="D30" i="12" s="1"/>
  <c r="E13" i="12"/>
  <c r="E12" i="12"/>
  <c r="G30" i="12" s="1"/>
  <c r="E11" i="12"/>
  <c r="C30" i="12" s="1"/>
  <c r="E10" i="12"/>
  <c r="E9" i="12"/>
  <c r="A30" i="12" s="1"/>
  <c r="J8" i="12"/>
  <c r="I8" i="12"/>
  <c r="H8" i="12"/>
  <c r="G7" i="12"/>
  <c r="D7" i="12"/>
  <c r="T6" i="12"/>
  <c r="S6" i="12"/>
  <c r="Q6" i="12"/>
  <c r="P6" i="12"/>
  <c r="O6" i="12"/>
  <c r="N6" i="12"/>
  <c r="M6" i="12"/>
  <c r="V5" i="12"/>
  <c r="I62" i="11"/>
  <c r="D62" i="11"/>
  <c r="I61" i="11"/>
  <c r="D61" i="11"/>
  <c r="I60" i="11"/>
  <c r="D60" i="11"/>
  <c r="I59" i="11"/>
  <c r="D59" i="11"/>
  <c r="N38" i="11"/>
  <c r="M38" i="11"/>
  <c r="L38" i="11"/>
  <c r="J38" i="11"/>
  <c r="H38" i="11"/>
  <c r="I39" i="11" s="1"/>
  <c r="F38" i="11"/>
  <c r="B38" i="11"/>
  <c r="M37" i="11"/>
  <c r="F37" i="11"/>
  <c r="E37" i="11"/>
  <c r="E38" i="11" s="1"/>
  <c r="D37" i="11"/>
  <c r="D38" i="11" s="1"/>
  <c r="C37" i="11"/>
  <c r="C38" i="11" s="1"/>
  <c r="B37" i="11"/>
  <c r="I37" i="11" s="1"/>
  <c r="K37" i="11" s="1"/>
  <c r="M36" i="11"/>
  <c r="K36" i="11"/>
  <c r="I36" i="11"/>
  <c r="G36" i="11"/>
  <c r="A36" i="11"/>
  <c r="L35" i="11"/>
  <c r="I35" i="11"/>
  <c r="A35" i="11"/>
  <c r="M34" i="11"/>
  <c r="K34" i="11"/>
  <c r="I34" i="11"/>
  <c r="G34" i="11"/>
  <c r="A34" i="11"/>
  <c r="N33" i="11"/>
  <c r="I33" i="11"/>
  <c r="A33" i="11"/>
  <c r="N27" i="11"/>
  <c r="M27" i="11"/>
  <c r="L27" i="11"/>
  <c r="H27" i="11"/>
  <c r="I28" i="11" s="1"/>
  <c r="F27" i="11"/>
  <c r="B27" i="11"/>
  <c r="M26" i="11"/>
  <c r="F26" i="11"/>
  <c r="E26" i="11"/>
  <c r="E27" i="11" s="1"/>
  <c r="D26" i="11"/>
  <c r="D27" i="11" s="1"/>
  <c r="C26" i="11"/>
  <c r="C27" i="11" s="1"/>
  <c r="B26" i="11"/>
  <c r="I26" i="11" s="1"/>
  <c r="K26" i="11" s="1"/>
  <c r="M25" i="11"/>
  <c r="K25" i="11"/>
  <c r="I25" i="11"/>
  <c r="G25" i="11"/>
  <c r="A25" i="11"/>
  <c r="L24" i="11"/>
  <c r="I24" i="11"/>
  <c r="A24" i="11"/>
  <c r="M23" i="11"/>
  <c r="K23" i="11"/>
  <c r="I23" i="11"/>
  <c r="G23" i="11"/>
  <c r="A23" i="11"/>
  <c r="N22" i="11"/>
  <c r="I22" i="11"/>
  <c r="A22" i="11"/>
  <c r="N16" i="11"/>
  <c r="M16" i="11"/>
  <c r="M35" i="11" s="1"/>
  <c r="L16" i="11"/>
  <c r="J16" i="11"/>
  <c r="H16" i="11"/>
  <c r="I17" i="11" s="1"/>
  <c r="F16" i="11"/>
  <c r="B16" i="11"/>
  <c r="M15" i="11"/>
  <c r="F15" i="11"/>
  <c r="E15" i="11"/>
  <c r="E16" i="11" s="1"/>
  <c r="D15" i="11"/>
  <c r="D16" i="11" s="1"/>
  <c r="C15" i="11"/>
  <c r="C16" i="11" s="1"/>
  <c r="B15" i="11"/>
  <c r="I15" i="11" s="1"/>
  <c r="K15" i="11" s="1"/>
  <c r="M14" i="11"/>
  <c r="K14" i="11"/>
  <c r="I14" i="11"/>
  <c r="G14" i="11"/>
  <c r="A14" i="11"/>
  <c r="N13" i="11"/>
  <c r="M13" i="11"/>
  <c r="L13" i="11"/>
  <c r="I13" i="11"/>
  <c r="A13" i="11"/>
  <c r="M12" i="11"/>
  <c r="K12" i="11"/>
  <c r="I12" i="11"/>
  <c r="G12" i="11"/>
  <c r="A12" i="11"/>
  <c r="N11" i="11"/>
  <c r="M11" i="11"/>
  <c r="L11" i="11"/>
  <c r="I11" i="11"/>
  <c r="A11" i="11"/>
  <c r="H114" i="10"/>
  <c r="G114" i="10"/>
  <c r="F114" i="10"/>
  <c r="E114" i="10"/>
  <c r="D114" i="10"/>
  <c r="C114" i="10"/>
  <c r="B114" i="10"/>
  <c r="K113" i="10"/>
  <c r="I113" i="10"/>
  <c r="K112" i="10"/>
  <c r="I112" i="10"/>
  <c r="A112" i="10"/>
  <c r="I111" i="10"/>
  <c r="K111" i="10" s="1"/>
  <c r="A111" i="10"/>
  <c r="K110" i="10"/>
  <c r="I110" i="10"/>
  <c r="A110" i="10"/>
  <c r="I109" i="10"/>
  <c r="K109" i="10" s="1"/>
  <c r="A109" i="10"/>
  <c r="H88" i="10"/>
  <c r="G88" i="10"/>
  <c r="F88" i="10"/>
  <c r="E88" i="10"/>
  <c r="D88" i="10"/>
  <c r="C88" i="10"/>
  <c r="B88" i="10"/>
  <c r="K87" i="10"/>
  <c r="I87" i="10"/>
  <c r="K86" i="10"/>
  <c r="I86" i="10"/>
  <c r="A86" i="10"/>
  <c r="I85" i="10"/>
  <c r="K85" i="10" s="1"/>
  <c r="A85" i="10"/>
  <c r="K84" i="10"/>
  <c r="I84" i="10"/>
  <c r="A84" i="10"/>
  <c r="I61" i="10"/>
  <c r="K61" i="10" s="1"/>
  <c r="H61" i="10"/>
  <c r="G61" i="10"/>
  <c r="F61" i="10"/>
  <c r="E61" i="10"/>
  <c r="D61" i="10"/>
  <c r="C61" i="10"/>
  <c r="B61" i="10"/>
  <c r="K60" i="10"/>
  <c r="I60" i="10"/>
  <c r="K59" i="10"/>
  <c r="I59" i="10"/>
  <c r="A59" i="10"/>
  <c r="I58" i="10"/>
  <c r="K58" i="10" s="1"/>
  <c r="A58" i="10"/>
  <c r="K57" i="10"/>
  <c r="I57" i="10"/>
  <c r="A57" i="10"/>
  <c r="I35" i="10"/>
  <c r="K35" i="10" s="1"/>
  <c r="H35" i="10"/>
  <c r="G35" i="10"/>
  <c r="F35" i="10"/>
  <c r="E35" i="10"/>
  <c r="D35" i="10"/>
  <c r="C35" i="10"/>
  <c r="B35" i="10"/>
  <c r="K34" i="10"/>
  <c r="I34" i="10"/>
  <c r="K33" i="10"/>
  <c r="I33" i="10"/>
  <c r="A33" i="10"/>
  <c r="I32" i="10"/>
  <c r="K32" i="10" s="1"/>
  <c r="A32" i="10"/>
  <c r="K31" i="10"/>
  <c r="I31" i="10"/>
  <c r="A31" i="10"/>
  <c r="I11" i="10"/>
  <c r="K11" i="10" s="1"/>
  <c r="H11" i="10"/>
  <c r="G11" i="10"/>
  <c r="F11" i="10"/>
  <c r="E11" i="10"/>
  <c r="D11" i="10"/>
  <c r="C11" i="10"/>
  <c r="B11" i="10"/>
  <c r="K10" i="10"/>
  <c r="I10" i="10"/>
  <c r="K9" i="10"/>
  <c r="I9" i="10"/>
  <c r="A9" i="10"/>
  <c r="I8" i="10"/>
  <c r="K8" i="10" s="1"/>
  <c r="A8" i="10"/>
  <c r="K7" i="10"/>
  <c r="I7" i="10"/>
  <c r="A7" i="10"/>
  <c r="F47" i="9"/>
  <c r="J46" i="9"/>
  <c r="F45" i="9"/>
  <c r="J45" i="9" s="1"/>
  <c r="C45" i="9"/>
  <c r="J44" i="9"/>
  <c r="B39" i="9"/>
  <c r="B38" i="9"/>
  <c r="B37" i="9"/>
  <c r="G13" i="9"/>
  <c r="F13" i="9"/>
  <c r="E13" i="9"/>
  <c r="D13" i="9"/>
  <c r="C13" i="9"/>
  <c r="J11" i="9"/>
  <c r="I11" i="9"/>
  <c r="H11" i="9"/>
  <c r="J10" i="9"/>
  <c r="H10" i="9"/>
  <c r="I10" i="9" s="1"/>
  <c r="J9" i="9"/>
  <c r="I9" i="9"/>
  <c r="H9" i="9"/>
  <c r="J8" i="9"/>
  <c r="H8" i="9"/>
  <c r="I8" i="9" s="1"/>
  <c r="J7" i="9"/>
  <c r="I7" i="9"/>
  <c r="H7" i="9"/>
  <c r="J6" i="9"/>
  <c r="H6" i="9"/>
  <c r="I6" i="9" s="1"/>
  <c r="I4" i="9"/>
  <c r="H4" i="9"/>
  <c r="B22" i="8"/>
  <c r="B21" i="8"/>
  <c r="C20" i="8"/>
  <c r="B20" i="8"/>
  <c r="B19" i="8"/>
  <c r="D5" i="8"/>
  <c r="O101" i="7"/>
  <c r="O100" i="7"/>
  <c r="N100" i="7"/>
  <c r="L100" i="7"/>
  <c r="J100" i="7"/>
  <c r="H100" i="7"/>
  <c r="G111" i="7" s="1"/>
  <c r="F100" i="7"/>
  <c r="D100" i="7"/>
  <c r="R126" i="7" s="1"/>
  <c r="P99" i="7"/>
  <c r="Q99" i="7" s="1"/>
  <c r="M99" i="7"/>
  <c r="K99" i="7"/>
  <c r="I99" i="7"/>
  <c r="G99" i="7"/>
  <c r="E99" i="7"/>
  <c r="C99" i="7"/>
  <c r="Q98" i="7"/>
  <c r="P98" i="7"/>
  <c r="M98" i="7"/>
  <c r="K98" i="7"/>
  <c r="I98" i="7"/>
  <c r="G98" i="7"/>
  <c r="E98" i="7"/>
  <c r="C98" i="7"/>
  <c r="P97" i="7"/>
  <c r="Q97" i="7" s="1"/>
  <c r="M97" i="7"/>
  <c r="K97" i="7"/>
  <c r="I97" i="7"/>
  <c r="G97" i="7"/>
  <c r="E97" i="7"/>
  <c r="C97" i="7"/>
  <c r="P96" i="7"/>
  <c r="Q96" i="7" s="1"/>
  <c r="M96" i="7"/>
  <c r="K96" i="7"/>
  <c r="I96" i="7"/>
  <c r="G96" i="7"/>
  <c r="E96" i="7"/>
  <c r="C96" i="7"/>
  <c r="P95" i="7"/>
  <c r="I105" i="7" s="1"/>
  <c r="M95" i="7"/>
  <c r="M100" i="7" s="1"/>
  <c r="K95" i="7"/>
  <c r="I95" i="7"/>
  <c r="I100" i="7" s="1"/>
  <c r="G95" i="7"/>
  <c r="E95" i="7"/>
  <c r="E100" i="7" s="1"/>
  <c r="C95" i="7"/>
  <c r="R89" i="7"/>
  <c r="R88" i="7"/>
  <c r="R87" i="7"/>
  <c r="R85" i="7"/>
  <c r="J69" i="7"/>
  <c r="H69" i="7"/>
  <c r="F69" i="7"/>
  <c r="K63" i="7"/>
  <c r="G63" i="7"/>
  <c r="C63" i="7"/>
  <c r="O59" i="7"/>
  <c r="O58" i="7"/>
  <c r="N58" i="7"/>
  <c r="M58" i="7"/>
  <c r="M60" i="7" s="1"/>
  <c r="L58" i="7"/>
  <c r="I69" i="7" s="1"/>
  <c r="J58" i="7"/>
  <c r="I58" i="7"/>
  <c r="I60" i="7" s="1"/>
  <c r="H58" i="7"/>
  <c r="R86" i="7" s="1"/>
  <c r="F58" i="7"/>
  <c r="E58" i="7"/>
  <c r="E60" i="7" s="1"/>
  <c r="D58" i="7"/>
  <c r="R84" i="7" s="1"/>
  <c r="Q57" i="7"/>
  <c r="P57" i="7"/>
  <c r="M57" i="7"/>
  <c r="K57" i="7"/>
  <c r="I57" i="7"/>
  <c r="G57" i="7"/>
  <c r="E57" i="7"/>
  <c r="C57" i="7"/>
  <c r="P56" i="7"/>
  <c r="Q56" i="7" s="1"/>
  <c r="M56" i="7"/>
  <c r="K56" i="7"/>
  <c r="I56" i="7"/>
  <c r="G56" i="7"/>
  <c r="E56" i="7"/>
  <c r="C56" i="7"/>
  <c r="Q55" i="7"/>
  <c r="P55" i="7"/>
  <c r="M55" i="7"/>
  <c r="K55" i="7"/>
  <c r="I55" i="7"/>
  <c r="G55" i="7"/>
  <c r="E55" i="7"/>
  <c r="C55" i="7"/>
  <c r="P54" i="7"/>
  <c r="Q54" i="7" s="1"/>
  <c r="M54" i="7"/>
  <c r="K54" i="7"/>
  <c r="K58" i="7" s="1"/>
  <c r="K61" i="7" s="1"/>
  <c r="I54" i="7"/>
  <c r="G54" i="7"/>
  <c r="G58" i="7" s="1"/>
  <c r="G61" i="7" s="1"/>
  <c r="E54" i="7"/>
  <c r="C54" i="7"/>
  <c r="C58" i="7" s="1"/>
  <c r="Q53" i="7"/>
  <c r="P53" i="7"/>
  <c r="M63" i="7" s="1"/>
  <c r="O63" i="7" s="1"/>
  <c r="M53" i="7"/>
  <c r="K53" i="7"/>
  <c r="I53" i="7"/>
  <c r="G53" i="7"/>
  <c r="E53" i="7"/>
  <c r="C53" i="7"/>
  <c r="R40" i="7"/>
  <c r="G25" i="7"/>
  <c r="I19" i="7"/>
  <c r="K16" i="7"/>
  <c r="C16" i="7"/>
  <c r="O15" i="7"/>
  <c r="P14" i="7"/>
  <c r="O17" i="7" s="1"/>
  <c r="O14" i="7"/>
  <c r="N14" i="7"/>
  <c r="L14" i="7"/>
  <c r="J14" i="7"/>
  <c r="H14" i="7"/>
  <c r="F14" i="7"/>
  <c r="D14" i="7"/>
  <c r="R13" i="7"/>
  <c r="W47" i="7" s="1"/>
  <c r="P13" i="7"/>
  <c r="Q13" i="7" s="1"/>
  <c r="M13" i="7"/>
  <c r="K13" i="7"/>
  <c r="I13" i="7"/>
  <c r="G13" i="7"/>
  <c r="E13" i="7"/>
  <c r="C13" i="7"/>
  <c r="Q12" i="7"/>
  <c r="P12" i="7"/>
  <c r="M12" i="7"/>
  <c r="K12" i="7"/>
  <c r="I12" i="7"/>
  <c r="G12" i="7"/>
  <c r="E12" i="7"/>
  <c r="C12" i="7"/>
  <c r="R11" i="7"/>
  <c r="W45" i="7" s="1"/>
  <c r="P11" i="7"/>
  <c r="Q11" i="7" s="1"/>
  <c r="M11" i="7"/>
  <c r="K11" i="7"/>
  <c r="I11" i="7"/>
  <c r="G11" i="7"/>
  <c r="E11" i="7"/>
  <c r="C11" i="7"/>
  <c r="Q10" i="7"/>
  <c r="P10" i="7"/>
  <c r="M10" i="7"/>
  <c r="K10" i="7"/>
  <c r="I10" i="7"/>
  <c r="G10" i="7"/>
  <c r="E10" i="7"/>
  <c r="C10" i="7"/>
  <c r="R9" i="7"/>
  <c r="W43" i="7" s="1"/>
  <c r="P9" i="7"/>
  <c r="M9" i="7"/>
  <c r="M14" i="7" s="1"/>
  <c r="K9" i="7"/>
  <c r="K14" i="7" s="1"/>
  <c r="I9" i="7"/>
  <c r="I14" i="7" s="1"/>
  <c r="G9" i="7"/>
  <c r="G14" i="7" s="1"/>
  <c r="E9" i="7"/>
  <c r="E14" i="7" s="1"/>
  <c r="C9" i="7"/>
  <c r="C14" i="7" s="1"/>
  <c r="I83" i="6"/>
  <c r="H83" i="6"/>
  <c r="F83" i="6"/>
  <c r="E83" i="6"/>
  <c r="D83" i="6"/>
  <c r="C83" i="6"/>
  <c r="N82" i="6"/>
  <c r="G82" i="6"/>
  <c r="J82" i="6" s="1"/>
  <c r="O82" i="6" s="1"/>
  <c r="N81" i="6"/>
  <c r="G81" i="6"/>
  <c r="J81" i="6" s="1"/>
  <c r="O81" i="6" s="1"/>
  <c r="N80" i="6"/>
  <c r="G80" i="6"/>
  <c r="J80" i="6" s="1"/>
  <c r="O80" i="6" s="1"/>
  <c r="N79" i="6"/>
  <c r="G79" i="6"/>
  <c r="J79" i="6" s="1"/>
  <c r="O79" i="6" s="1"/>
  <c r="N78" i="6"/>
  <c r="G78" i="6"/>
  <c r="J78" i="6" s="1"/>
  <c r="O78" i="6" s="1"/>
  <c r="N77" i="6"/>
  <c r="G77" i="6"/>
  <c r="J77" i="6" s="1"/>
  <c r="O77" i="6" s="1"/>
  <c r="I70" i="6"/>
  <c r="H70" i="6"/>
  <c r="F70" i="6"/>
  <c r="E70" i="6"/>
  <c r="D70" i="6"/>
  <c r="C70" i="6"/>
  <c r="N69" i="6"/>
  <c r="G69" i="6"/>
  <c r="J69" i="6" s="1"/>
  <c r="O69" i="6" s="1"/>
  <c r="N68" i="6"/>
  <c r="G68" i="6"/>
  <c r="J68" i="6" s="1"/>
  <c r="O68" i="6" s="1"/>
  <c r="N67" i="6"/>
  <c r="G67" i="6"/>
  <c r="J67" i="6" s="1"/>
  <c r="O67" i="6" s="1"/>
  <c r="N66" i="6"/>
  <c r="G66" i="6"/>
  <c r="J66" i="6" s="1"/>
  <c r="O66" i="6" s="1"/>
  <c r="N65" i="6"/>
  <c r="G65" i="6"/>
  <c r="J65" i="6" s="1"/>
  <c r="O65" i="6" s="1"/>
  <c r="N64" i="6"/>
  <c r="G64" i="6"/>
  <c r="J64" i="6" s="1"/>
  <c r="O64" i="6" s="1"/>
  <c r="I56" i="6"/>
  <c r="H56" i="6"/>
  <c r="F56" i="6"/>
  <c r="E56" i="6"/>
  <c r="D56" i="6"/>
  <c r="C56" i="6"/>
  <c r="N55" i="6"/>
  <c r="G55" i="6"/>
  <c r="J55" i="6" s="1"/>
  <c r="O55" i="6" s="1"/>
  <c r="N54" i="6"/>
  <c r="G54" i="6"/>
  <c r="J54" i="6" s="1"/>
  <c r="O54" i="6" s="1"/>
  <c r="N53" i="6"/>
  <c r="G53" i="6"/>
  <c r="J53" i="6" s="1"/>
  <c r="O53" i="6" s="1"/>
  <c r="N52" i="6"/>
  <c r="G52" i="6"/>
  <c r="J52" i="6" s="1"/>
  <c r="O52" i="6" s="1"/>
  <c r="N51" i="6"/>
  <c r="G51" i="6"/>
  <c r="J51" i="6" s="1"/>
  <c r="O51" i="6" s="1"/>
  <c r="N50" i="6"/>
  <c r="G50" i="6"/>
  <c r="J50" i="6" s="1"/>
  <c r="O50" i="6" s="1"/>
  <c r="I43" i="6"/>
  <c r="H43" i="6"/>
  <c r="F43" i="6"/>
  <c r="E43" i="6"/>
  <c r="D43" i="6"/>
  <c r="C43" i="6"/>
  <c r="N42" i="6"/>
  <c r="G42" i="6"/>
  <c r="J42" i="6" s="1"/>
  <c r="O42" i="6" s="1"/>
  <c r="N41" i="6"/>
  <c r="G41" i="6"/>
  <c r="J41" i="6" s="1"/>
  <c r="O41" i="6" s="1"/>
  <c r="N40" i="6"/>
  <c r="G40" i="6"/>
  <c r="J40" i="6" s="1"/>
  <c r="O40" i="6" s="1"/>
  <c r="N39" i="6"/>
  <c r="G39" i="6"/>
  <c r="J39" i="6" s="1"/>
  <c r="O39" i="6" s="1"/>
  <c r="N38" i="6"/>
  <c r="G38" i="6"/>
  <c r="J38" i="6" s="1"/>
  <c r="O38" i="6" s="1"/>
  <c r="N37" i="6"/>
  <c r="G37" i="6"/>
  <c r="J37" i="6" s="1"/>
  <c r="O37" i="6" s="1"/>
  <c r="I29" i="6"/>
  <c r="H29" i="6"/>
  <c r="F29" i="6"/>
  <c r="E29" i="6"/>
  <c r="D29" i="6"/>
  <c r="C29" i="6"/>
  <c r="N28" i="6"/>
  <c r="G28" i="6"/>
  <c r="N27" i="6"/>
  <c r="G27" i="6"/>
  <c r="N26" i="6"/>
  <c r="G26" i="6"/>
  <c r="N25" i="6"/>
  <c r="G25" i="6"/>
  <c r="N24" i="6"/>
  <c r="G24" i="6"/>
  <c r="N23" i="6"/>
  <c r="G23" i="6"/>
  <c r="J23" i="6" s="1"/>
  <c r="O23" i="6" s="1"/>
  <c r="I16" i="6"/>
  <c r="H16" i="6"/>
  <c r="F16" i="6"/>
  <c r="E16" i="6"/>
  <c r="D16" i="6"/>
  <c r="C16" i="6"/>
  <c r="N15" i="6"/>
  <c r="G15" i="6"/>
  <c r="N14" i="6"/>
  <c r="G14" i="6"/>
  <c r="N13" i="6"/>
  <c r="G13" i="6"/>
  <c r="N12" i="6"/>
  <c r="G12" i="6"/>
  <c r="N11" i="6"/>
  <c r="G11" i="6"/>
  <c r="N10" i="6"/>
  <c r="G10" i="6"/>
  <c r="J10" i="6" s="1"/>
  <c r="O10" i="6" s="1"/>
  <c r="A10005" i="1"/>
  <c r="A10004" i="1"/>
  <c r="A10003" i="1"/>
  <c r="A10002" i="1"/>
  <c r="A10001" i="1"/>
  <c r="A11" i="1"/>
  <c r="P2" i="1"/>
  <c r="K60" i="12" l="1"/>
  <c r="K61" i="12"/>
  <c r="D70" i="12"/>
  <c r="K57" i="12"/>
  <c r="K59" i="12"/>
  <c r="K102" i="7"/>
  <c r="C100" i="7"/>
  <c r="G100" i="7"/>
  <c r="I104" i="7" s="1"/>
  <c r="R112" i="7" s="1"/>
  <c r="K100" i="7"/>
  <c r="P100" i="7"/>
  <c r="O103" i="7" s="1"/>
  <c r="C102" i="7"/>
  <c r="J11" i="6"/>
  <c r="O11" i="6" s="1"/>
  <c r="J25" i="6"/>
  <c r="O25" i="6" s="1"/>
  <c r="J26" i="6"/>
  <c r="O26" i="6" s="1"/>
  <c r="J27" i="6"/>
  <c r="O27" i="6" s="1"/>
  <c r="J28" i="6"/>
  <c r="O28" i="6" s="1"/>
  <c r="J24" i="6"/>
  <c r="O24" i="6" s="1"/>
  <c r="J12" i="6"/>
  <c r="O12" i="6" s="1"/>
  <c r="J13" i="6"/>
  <c r="O13" i="6" s="1"/>
  <c r="J14" i="6"/>
  <c r="O14" i="6" s="1"/>
  <c r="J15" i="6"/>
  <c r="O15" i="6" s="1"/>
  <c r="M62" i="7"/>
  <c r="E62" i="7"/>
  <c r="R68" i="7" s="1"/>
  <c r="C61" i="7"/>
  <c r="I62" i="7"/>
  <c r="R70" i="7" s="1"/>
  <c r="G16" i="6"/>
  <c r="J16" i="6" s="1"/>
  <c r="G29" i="6"/>
  <c r="J29" i="6" s="1"/>
  <c r="G43" i="6"/>
  <c r="J43" i="6" s="1"/>
  <c r="G56" i="6"/>
  <c r="J56" i="6" s="1"/>
  <c r="G83" i="6"/>
  <c r="J83" i="6" s="1"/>
  <c r="C19" i="8"/>
  <c r="D19" i="8" s="1"/>
  <c r="R41" i="7"/>
  <c r="F25" i="7"/>
  <c r="E16" i="7"/>
  <c r="R43" i="7"/>
  <c r="I16" i="7"/>
  <c r="R45" i="7"/>
  <c r="J25" i="7"/>
  <c r="M16" i="7"/>
  <c r="E17" i="7"/>
  <c r="M17" i="7"/>
  <c r="G18" i="7"/>
  <c r="R25" i="7" s="1"/>
  <c r="R55" i="7"/>
  <c r="W89" i="7" s="1"/>
  <c r="R57" i="7"/>
  <c r="W91" i="7" s="1"/>
  <c r="R95" i="7"/>
  <c r="W129" i="7" s="1"/>
  <c r="R97" i="7"/>
  <c r="W131" i="7" s="1"/>
  <c r="R99" i="7"/>
  <c r="W133" i="7" s="1"/>
  <c r="R127" i="7"/>
  <c r="F111" i="7"/>
  <c r="E102" i="7"/>
  <c r="R129" i="7"/>
  <c r="I102" i="7"/>
  <c r="R131" i="7"/>
  <c r="J111" i="7"/>
  <c r="M102" i="7"/>
  <c r="E103" i="7"/>
  <c r="M103" i="7"/>
  <c r="G104" i="7"/>
  <c r="R111" i="7" s="1"/>
  <c r="C22" i="8"/>
  <c r="I114" i="10"/>
  <c r="K114" i="10" s="1"/>
  <c r="K11" i="11"/>
  <c r="G11" i="11"/>
  <c r="K13" i="11"/>
  <c r="G13" i="11"/>
  <c r="I16" i="11"/>
  <c r="K33" i="11"/>
  <c r="G33" i="11"/>
  <c r="I38" i="11"/>
  <c r="G70" i="6"/>
  <c r="J70" i="6" s="1"/>
  <c r="K19" i="7"/>
  <c r="G19" i="7"/>
  <c r="C19" i="7"/>
  <c r="Q9" i="7"/>
  <c r="R10" i="7"/>
  <c r="W44" i="7" s="1"/>
  <c r="R12" i="7"/>
  <c r="W46" i="7" s="1"/>
  <c r="M18" i="7"/>
  <c r="I18" i="7"/>
  <c r="R26" i="7" s="1"/>
  <c r="E18" i="7"/>
  <c r="R24" i="7" s="1"/>
  <c r="C17" i="7"/>
  <c r="G17" i="7"/>
  <c r="C21" i="8"/>
  <c r="R44" i="7"/>
  <c r="H25" i="7"/>
  <c r="K17" i="7"/>
  <c r="G16" i="7"/>
  <c r="O16" i="7"/>
  <c r="I17" i="7"/>
  <c r="C18" i="7"/>
  <c r="R23" i="7" s="1"/>
  <c r="K18" i="7"/>
  <c r="R27" i="7" s="1"/>
  <c r="E19" i="7"/>
  <c r="M19" i="7"/>
  <c r="O19" i="7" s="1"/>
  <c r="E25" i="7"/>
  <c r="I25" i="7"/>
  <c r="R42" i="7"/>
  <c r="R54" i="7"/>
  <c r="W88" i="7" s="1"/>
  <c r="R56" i="7"/>
  <c r="W90" i="7" s="1"/>
  <c r="E61" i="7"/>
  <c r="I61" i="7"/>
  <c r="M61" i="7"/>
  <c r="K105" i="7"/>
  <c r="G105" i="7"/>
  <c r="C105" i="7"/>
  <c r="Q95" i="7"/>
  <c r="R96" i="7"/>
  <c r="W130" i="7" s="1"/>
  <c r="R98" i="7"/>
  <c r="W132" i="7" s="1"/>
  <c r="M104" i="7"/>
  <c r="E104" i="7"/>
  <c r="R110" i="7" s="1"/>
  <c r="C103" i="7"/>
  <c r="G103" i="7"/>
  <c r="R130" i="7"/>
  <c r="H111" i="7"/>
  <c r="K103" i="7"/>
  <c r="G102" i="7"/>
  <c r="I103" i="7"/>
  <c r="C104" i="7"/>
  <c r="R109" i="7" s="1"/>
  <c r="K104" i="7"/>
  <c r="R113" i="7" s="1"/>
  <c r="E105" i="7"/>
  <c r="M105" i="7"/>
  <c r="O105" i="7" s="1"/>
  <c r="E111" i="7"/>
  <c r="I111" i="7"/>
  <c r="R128" i="7"/>
  <c r="D20" i="8"/>
  <c r="D22" i="8"/>
  <c r="K22" i="11"/>
  <c r="G22" i="11"/>
  <c r="I27" i="11"/>
  <c r="J28" i="11" s="1"/>
  <c r="H52" i="12"/>
  <c r="G52" i="12"/>
  <c r="R53" i="7"/>
  <c r="W87" i="7" s="1"/>
  <c r="P58" i="7"/>
  <c r="C60" i="7"/>
  <c r="G60" i="7"/>
  <c r="K60" i="7"/>
  <c r="C62" i="7"/>
  <c r="R67" i="7" s="1"/>
  <c r="G62" i="7"/>
  <c r="R69" i="7" s="1"/>
  <c r="K62" i="7"/>
  <c r="R71" i="7" s="1"/>
  <c r="E63" i="7"/>
  <c r="I63" i="7"/>
  <c r="E69" i="7"/>
  <c r="G69" i="7"/>
  <c r="I88" i="10"/>
  <c r="K88" i="10" s="1"/>
  <c r="L37" i="11"/>
  <c r="L36" i="11"/>
  <c r="L34" i="11"/>
  <c r="L26" i="11"/>
  <c r="L25" i="11"/>
  <c r="L23" i="11"/>
  <c r="L15" i="11"/>
  <c r="L14" i="11"/>
  <c r="L12" i="11"/>
  <c r="N37" i="11"/>
  <c r="N36" i="11"/>
  <c r="N34" i="11"/>
  <c r="N26" i="11"/>
  <c r="N25" i="11"/>
  <c r="N23" i="11"/>
  <c r="N15" i="11"/>
  <c r="N14" i="11"/>
  <c r="N12" i="11"/>
  <c r="L22" i="11"/>
  <c r="K24" i="11"/>
  <c r="G24" i="11"/>
  <c r="N24" i="11"/>
  <c r="K28" i="11"/>
  <c r="L33" i="11"/>
  <c r="K35" i="11"/>
  <c r="G35" i="11"/>
  <c r="N35" i="11"/>
  <c r="H56" i="12"/>
  <c r="J65" i="12"/>
  <c r="M22" i="11"/>
  <c r="M24" i="11"/>
  <c r="M33" i="11"/>
  <c r="O102" i="7" l="1"/>
  <c r="O60" i="7"/>
  <c r="O61" i="7"/>
  <c r="B54" i="12"/>
  <c r="B53" i="12"/>
  <c r="K27" i="11"/>
  <c r="R114" i="7"/>
  <c r="O104" i="7"/>
  <c r="R28" i="7"/>
  <c r="O18" i="7"/>
  <c r="K38" i="11"/>
  <c r="J39" i="11"/>
  <c r="K39" i="11" s="1"/>
  <c r="G16" i="11"/>
  <c r="O62" i="7"/>
  <c r="R72" i="7"/>
  <c r="K44" i="12"/>
  <c r="K51" i="12"/>
  <c r="G27" i="11"/>
  <c r="J27" i="11"/>
  <c r="D21" i="8"/>
  <c r="G38" i="11"/>
  <c r="K16" i="11"/>
  <c r="J17" i="11"/>
  <c r="K17" i="11" s="1"/>
  <c r="H54" i="12" l="1"/>
  <c r="G54" i="12"/>
  <c r="B55" i="12" s="1"/>
  <c r="G53" i="12"/>
  <c r="H53" i="12"/>
  <c r="K52" i="12" s="1"/>
  <c r="K45" i="12" l="1"/>
  <c r="K53" i="12"/>
  <c r="G55" i="12"/>
  <c r="H55" i="12"/>
  <c r="K54" i="12" l="1"/>
  <c r="K46" i="12"/>
</calcChain>
</file>

<file path=xl/comments1.xml><?xml version="1.0" encoding="utf-8"?>
<comments xmlns="http://schemas.openxmlformats.org/spreadsheetml/2006/main">
  <authors>
    <author>作者</author>
  </authors>
  <commentList>
    <comment ref="A9" authorId="0">
      <text>
        <r>
          <rPr>
            <b/>
            <sz val="9"/>
            <rFont val="宋体"/>
            <family val="3"/>
            <charset val="134"/>
          </rPr>
          <t>注：每种软件类型都有它自已的劳动率，具有不同的开发成本。</t>
        </r>
        <r>
          <rPr>
            <sz val="9"/>
            <rFont val="宋体"/>
            <family val="3"/>
            <charset val="134"/>
          </rPr>
          <t xml:space="preserve">
</t>
        </r>
      </text>
    </comment>
    <comment ref="A14" authorId="0">
      <text>
        <r>
          <rPr>
            <b/>
            <sz val="9"/>
            <rFont val="宋体"/>
            <family val="3"/>
            <charset val="134"/>
          </rPr>
          <t>立项申请表中获取，包括所有参与项目的总成员数，不包括CCB组长和CCB成员数</t>
        </r>
        <r>
          <rPr>
            <sz val="9"/>
            <rFont val="Tahoma"/>
            <family val="2"/>
          </rPr>
          <t xml:space="preserve">
</t>
        </r>
      </text>
    </comment>
  </commentList>
</comments>
</file>

<file path=xl/comments2.xml><?xml version="1.0" encoding="utf-8"?>
<comments xmlns="http://schemas.openxmlformats.org/spreadsheetml/2006/main">
  <authors>
    <author>gta</author>
    <author>作者</author>
  </authors>
  <commentList>
    <comment ref="D8" authorId="0">
      <text>
        <r>
          <rPr>
            <b/>
            <sz val="9"/>
            <rFont val="宋体"/>
            <family val="3"/>
            <charset val="134"/>
          </rPr>
          <t>gta:</t>
        </r>
        <r>
          <rPr>
            <sz val="9"/>
            <rFont val="宋体"/>
            <family val="3"/>
            <charset val="134"/>
          </rPr>
          <t xml:space="preserve">
</t>
        </r>
        <r>
          <rPr>
            <sz val="9"/>
            <rFont val="宋体"/>
            <family val="3"/>
            <charset val="134"/>
          </rPr>
          <t>变更影响的客户需求说明书的CR和NCR个数</t>
        </r>
      </text>
    </comment>
    <comment ref="H8"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 ref="I8" authorId="0">
      <text>
        <r>
          <rPr>
            <b/>
            <sz val="9"/>
            <rFont val="宋体"/>
            <family val="3"/>
            <charset val="134"/>
          </rPr>
          <t>gta:</t>
        </r>
        <r>
          <rPr>
            <sz val="9"/>
            <rFont val="宋体"/>
            <family val="3"/>
            <charset val="134"/>
          </rPr>
          <t xml:space="preserve">
</t>
        </r>
        <r>
          <rPr>
            <sz val="9"/>
            <rFont val="宋体"/>
            <family val="3"/>
            <charset val="134"/>
          </rPr>
          <t>数据来源于变更前的估算表SFP数</t>
        </r>
      </text>
    </comment>
    <comment ref="D21" authorId="0">
      <text>
        <r>
          <rPr>
            <b/>
            <sz val="9"/>
            <rFont val="宋体"/>
            <family val="3"/>
            <charset val="134"/>
          </rPr>
          <t>gta:</t>
        </r>
        <r>
          <rPr>
            <sz val="9"/>
            <rFont val="宋体"/>
            <family val="3"/>
            <charset val="134"/>
          </rPr>
          <t xml:space="preserve">
</t>
        </r>
        <r>
          <rPr>
            <sz val="9"/>
            <rFont val="宋体"/>
            <family val="3"/>
            <charset val="134"/>
          </rPr>
          <t>变更影响的需求规格说明书的FR和NFR个数</t>
        </r>
      </text>
    </comment>
    <comment ref="I21" authorId="0">
      <text>
        <r>
          <rPr>
            <b/>
            <sz val="9"/>
            <rFont val="宋体"/>
            <family val="3"/>
            <charset val="134"/>
          </rPr>
          <t>gta:</t>
        </r>
        <r>
          <rPr>
            <sz val="9"/>
            <rFont val="宋体"/>
            <family val="3"/>
            <charset val="134"/>
          </rPr>
          <t xml:space="preserve">
</t>
        </r>
        <r>
          <rPr>
            <sz val="9"/>
            <rFont val="宋体"/>
            <family val="3"/>
            <charset val="134"/>
          </rPr>
          <t>数据来源于变更前的估算表SFP数</t>
        </r>
      </text>
    </comment>
    <comment ref="H35"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 ref="H62"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List>
</comments>
</file>

<file path=xl/comments3.xml><?xml version="1.0" encoding="utf-8"?>
<comments xmlns="http://schemas.openxmlformats.org/spreadsheetml/2006/main">
  <authors>
    <author>gta</author>
  </authors>
  <commentList>
    <comment ref="C6" authorId="0">
      <text>
        <r>
          <rPr>
            <b/>
            <sz val="9"/>
            <rFont val="宋体"/>
            <family val="3"/>
            <charset val="134"/>
          </rPr>
          <t>gta:</t>
        </r>
        <r>
          <rPr>
            <sz val="9"/>
            <rFont val="宋体"/>
            <family val="3"/>
            <charset val="134"/>
          </rPr>
          <t xml:space="preserve">
</t>
        </r>
        <r>
          <rPr>
            <sz val="9"/>
            <rFont val="宋体"/>
            <family val="3"/>
            <charset val="134"/>
          </rPr>
          <t>数据来源于确定性估算</t>
        </r>
      </text>
    </comment>
    <comment ref="D6" authorId="0">
      <text>
        <r>
          <rPr>
            <b/>
            <sz val="9"/>
            <rFont val="宋体"/>
            <family val="3"/>
            <charset val="134"/>
          </rPr>
          <t>gta:</t>
        </r>
        <r>
          <rPr>
            <sz val="9"/>
            <rFont val="宋体"/>
            <family val="3"/>
            <charset val="134"/>
          </rPr>
          <t xml:space="preserve">
</t>
        </r>
        <r>
          <rPr>
            <sz val="9"/>
            <rFont val="宋体"/>
            <family val="3"/>
            <charset val="134"/>
          </rPr>
          <t>数据来源于确定性估算表，选取确定性估算表中有复用的功能点，计算涉及复用的SFP，与估算表中复用比例无关。</t>
        </r>
      </text>
    </comment>
    <comment ref="A19" authorId="0">
      <text>
        <r>
          <rPr>
            <b/>
            <sz val="9"/>
            <rFont val="宋体"/>
            <family val="3"/>
            <charset val="134"/>
          </rPr>
          <t>gta:</t>
        </r>
        <r>
          <rPr>
            <sz val="9"/>
            <rFont val="宋体"/>
            <family val="3"/>
            <charset val="134"/>
          </rPr>
          <t xml:space="preserve">
</t>
        </r>
        <r>
          <rPr>
            <sz val="9"/>
            <rFont val="宋体"/>
            <family val="3"/>
            <charset val="134"/>
          </rPr>
          <t xml:space="preserve">迭代一
</t>
        </r>
      </text>
    </comment>
    <comment ref="A20" authorId="0">
      <text>
        <r>
          <rPr>
            <b/>
            <sz val="9"/>
            <rFont val="宋体"/>
            <family val="3"/>
            <charset val="134"/>
          </rPr>
          <t>gta:</t>
        </r>
        <r>
          <rPr>
            <sz val="9"/>
            <rFont val="宋体"/>
            <family val="3"/>
            <charset val="134"/>
          </rPr>
          <t xml:space="preserve">
</t>
        </r>
        <r>
          <rPr>
            <sz val="9"/>
            <rFont val="宋体"/>
            <family val="3"/>
            <charset val="134"/>
          </rPr>
          <t>迭代二</t>
        </r>
      </text>
    </comment>
    <comment ref="A21" authorId="0">
      <text>
        <r>
          <rPr>
            <b/>
            <sz val="9"/>
            <rFont val="宋体"/>
            <family val="3"/>
            <charset val="134"/>
          </rPr>
          <t>gta:</t>
        </r>
        <r>
          <rPr>
            <sz val="9"/>
            <rFont val="宋体"/>
            <family val="3"/>
            <charset val="134"/>
          </rPr>
          <t xml:space="preserve">
</t>
        </r>
        <r>
          <rPr>
            <sz val="9"/>
            <rFont val="宋体"/>
            <family val="3"/>
            <charset val="134"/>
          </rPr>
          <t>迭代三</t>
        </r>
      </text>
    </comment>
    <comment ref="A22" authorId="0">
      <text>
        <r>
          <rPr>
            <b/>
            <sz val="9"/>
            <rFont val="宋体"/>
            <family val="3"/>
            <charset val="134"/>
          </rPr>
          <t>gta:</t>
        </r>
        <r>
          <rPr>
            <sz val="9"/>
            <rFont val="宋体"/>
            <family val="3"/>
            <charset val="134"/>
          </rPr>
          <t xml:space="preserve">
</t>
        </r>
        <r>
          <rPr>
            <sz val="9"/>
            <rFont val="宋体"/>
            <family val="3"/>
            <charset val="134"/>
          </rPr>
          <t>项目总规模、工作量、生产率</t>
        </r>
      </text>
    </comment>
  </commentList>
</comments>
</file>

<file path=xl/comments4.xml><?xml version="1.0" encoding="utf-8"?>
<comments xmlns="http://schemas.openxmlformats.org/spreadsheetml/2006/main">
  <authors>
    <author>作者</author>
    <author>gta</author>
  </authors>
  <commentList>
    <comment ref="T7" authorId="0">
      <text>
        <r>
          <rPr>
            <b/>
            <sz val="9"/>
            <rFont val="宋体"/>
            <family val="3"/>
            <charset val="134"/>
          </rPr>
          <t>项目组项目情况调整工作量配比。但比例需与估算表保持一致</t>
        </r>
      </text>
    </comment>
    <comment ref="D8" authorId="0">
      <text>
        <r>
          <rPr>
            <sz val="9"/>
            <rFont val="宋体"/>
            <family val="3"/>
            <charset val="134"/>
          </rPr>
          <t>来源于工时系统或个人周报</t>
        </r>
        <r>
          <rPr>
            <sz val="9"/>
            <rFont val="Tahoma"/>
            <family val="2"/>
          </rPr>
          <t xml:space="preserve">
</t>
        </r>
      </text>
    </comment>
    <comment ref="F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H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J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L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N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O8" authorId="0">
      <text>
        <r>
          <rPr>
            <b/>
            <sz val="9"/>
            <rFont val="宋体"/>
            <family val="3"/>
            <charset val="134"/>
          </rPr>
          <t>从估算表（确定性估算）中获取每个活动的的工作量</t>
        </r>
        <r>
          <rPr>
            <sz val="9"/>
            <rFont val="Tahoma"/>
            <family val="2"/>
          </rPr>
          <t xml:space="preserve">
</t>
        </r>
      </text>
    </comment>
    <comment ref="T51" authorId="0">
      <text>
        <r>
          <rPr>
            <b/>
            <sz val="9"/>
            <rFont val="宋体"/>
            <family val="3"/>
            <charset val="134"/>
          </rPr>
          <t>项目组项目情况调整工作量配比。但比例需与估算表保持一致</t>
        </r>
      </text>
    </comment>
    <comment ref="D52" authorId="0">
      <text>
        <r>
          <rPr>
            <sz val="9"/>
            <rFont val="宋体"/>
            <family val="3"/>
            <charset val="134"/>
          </rPr>
          <t>从个人周报中获取，项目的实际工作量</t>
        </r>
        <r>
          <rPr>
            <sz val="9"/>
            <rFont val="Tahoma"/>
            <family val="2"/>
          </rPr>
          <t xml:space="preserve">
</t>
        </r>
      </text>
    </comment>
    <comment ref="O52" authorId="0">
      <text>
        <r>
          <rPr>
            <b/>
            <sz val="9"/>
            <rFont val="宋体"/>
            <family val="3"/>
            <charset val="134"/>
          </rPr>
          <t>从估算表（确定性估算）中获取每个活动的的工作量</t>
        </r>
        <r>
          <rPr>
            <sz val="9"/>
            <rFont val="Tahoma"/>
            <family val="2"/>
          </rPr>
          <t xml:space="preserve">
</t>
        </r>
      </text>
    </comment>
    <comment ref="T93" authorId="0">
      <text>
        <r>
          <rPr>
            <b/>
            <sz val="9"/>
            <rFont val="宋体"/>
            <family val="3"/>
            <charset val="134"/>
          </rPr>
          <t>项目组项目情况调整工作量配比。但比例需与估算表保持一致</t>
        </r>
      </text>
    </comment>
    <comment ref="D94" authorId="0">
      <text>
        <r>
          <rPr>
            <sz val="9"/>
            <rFont val="宋体"/>
            <family val="3"/>
            <charset val="134"/>
          </rPr>
          <t>从个人周报中获取，项目的实际工作量</t>
        </r>
        <r>
          <rPr>
            <sz val="9"/>
            <rFont val="Tahoma"/>
            <family val="2"/>
          </rPr>
          <t xml:space="preserve">
</t>
        </r>
      </text>
    </comment>
    <comment ref="O94" authorId="0">
      <text>
        <r>
          <rPr>
            <b/>
            <sz val="9"/>
            <rFont val="宋体"/>
            <family val="3"/>
            <charset val="134"/>
          </rPr>
          <t>从估算表（确定性估算）中获取每个活动的的工作量</t>
        </r>
        <r>
          <rPr>
            <sz val="9"/>
            <rFont val="Tahoma"/>
            <family val="2"/>
          </rPr>
          <t xml:space="preserve">
</t>
        </r>
      </text>
    </comment>
  </commentList>
</comments>
</file>

<file path=xl/comments5.xml><?xml version="1.0" encoding="utf-8"?>
<comments xmlns="http://schemas.openxmlformats.org/spreadsheetml/2006/main">
  <authors>
    <author>gta</author>
  </authors>
  <commentList>
    <comment ref="K5" authorId="0">
      <text>
        <r>
          <rPr>
            <b/>
            <sz val="9"/>
            <rFont val="宋体"/>
            <family val="3"/>
            <charset val="134"/>
          </rPr>
          <t>gta:</t>
        </r>
        <r>
          <rPr>
            <sz val="9"/>
            <rFont val="宋体"/>
            <family val="3"/>
            <charset val="134"/>
          </rPr>
          <t xml:space="preserve">
</t>
        </r>
        <r>
          <rPr>
            <sz val="9"/>
            <rFont val="宋体"/>
            <family val="3"/>
            <charset val="134"/>
          </rPr>
          <t>当阶段偏差或累计偏差其中之一出现偏差超过20%时，则必须进行偏差原因分析及采取相应的措施</t>
        </r>
      </text>
    </comment>
  </commentList>
</comments>
</file>

<file path=xl/comments6.xml><?xml version="1.0" encoding="utf-8"?>
<comments xmlns="http://schemas.openxmlformats.org/spreadsheetml/2006/main">
  <authors>
    <author>gta</author>
  </authors>
  <commentList>
    <comment ref="J5"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 ref="J29"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 ref="J55"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List>
</comments>
</file>

<file path=xl/comments7.xml><?xml version="1.0" encoding="utf-8"?>
<comments xmlns="http://schemas.openxmlformats.org/spreadsheetml/2006/main">
  <authors>
    <author>作者</author>
    <author>gta</author>
  </authors>
  <commentList>
    <comment ref="U4" authorId="0">
      <text>
        <r>
          <rPr>
            <b/>
            <sz val="9"/>
            <rFont val="宋体"/>
            <family val="3"/>
            <charset val="134"/>
          </rPr>
          <t>其他角色或管理员</t>
        </r>
      </text>
    </comment>
    <comment ref="F49" authorId="0">
      <text>
        <r>
          <rPr>
            <sz val="9"/>
            <rFont val="宋体"/>
            <family val="3"/>
            <charset val="134"/>
          </rPr>
          <t xml:space="preserve">从A项目调到B项目
</t>
        </r>
      </text>
    </comment>
    <comment ref="B63" authorId="1">
      <text>
        <r>
          <rPr>
            <b/>
            <sz val="9"/>
            <rFont val="宋体"/>
            <family val="3"/>
            <charset val="134"/>
          </rPr>
          <t>gta:</t>
        </r>
        <r>
          <rPr>
            <sz val="9"/>
            <rFont val="宋体"/>
            <family val="3"/>
            <charset val="134"/>
          </rPr>
          <t xml:space="preserve">
</t>
        </r>
        <r>
          <rPr>
            <sz val="9"/>
            <rFont val="宋体"/>
            <family val="3"/>
            <charset val="134"/>
          </rPr>
          <t>实际标准工作量：人员投入总工作量-每周超过5天的工作量</t>
        </r>
      </text>
    </comment>
  </commentList>
</comments>
</file>

<file path=xl/sharedStrings.xml><?xml version="1.0" encoding="utf-8"?>
<sst xmlns="http://schemas.openxmlformats.org/spreadsheetml/2006/main" count="1148" uniqueCount="538">
  <si>
    <t>Crystal Ball Data</t>
  </si>
  <si>
    <t>Workbook Variables</t>
  </si>
  <si>
    <t>Last Var Column</t>
  </si>
  <si>
    <t xml:space="preserve">    Name:</t>
  </si>
  <si>
    <t xml:space="preserve">    Value:</t>
  </si>
  <si>
    <t>Worksheet Data</t>
  </si>
  <si>
    <t>Last Data Column Used</t>
  </si>
  <si>
    <t>Sheet Ref</t>
  </si>
  <si>
    <t>Sheet Guid</t>
  </si>
  <si>
    <t>420f52c2-b41f-4b27-a52a-cc0b293d1261</t>
  </si>
  <si>
    <t>Deleted sheet count</t>
  </si>
  <si>
    <t>Last row used</t>
  </si>
  <si>
    <t>Data blocks</t>
  </si>
  <si>
    <t>CB_Block_0</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</si>
  <si>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</si>
  <si>
    <t>Decisioneering:7.0.0.0</t>
  </si>
  <si>
    <t>CB_Block_7.4.0.0:1</t>
  </si>
  <si>
    <t>㜸〱攵㔹㝤㙣ㅣ挵ㄵ扦扤昳慤㜷捦㜶戲㝣ㄵ㔴〲ㄸ〸〵㈷攱㜲㥦昱ㅤ攰愶昶挵〹づ戱ㅤ㙣ㄳ㑡晦攸戲㜷㍢㤷㕣㝣ㅦ捥敤摡搸攰ㄴㅣ㑡搳㈶搰ㄴ㘸㤴㈶㔰搲㔴㈲㐹换㔷愵ㄲ〸ㄱ愸㠰㔴㐴昹㤰慡戶㔲搵㐲㐵搵挶㜱㔲㠲愸ㄴ愰晤慢昴晤㘶㜷捦㘷晢敥㈸㈸㘹㠵扡㤲㥦㘷摥㝢昳收敤㙦摥扣㌷㌷敢ㄲ㕣㉥搷挷昴攰㍦㥥㍡㌴ㄶ昴㡦ㄹ㈶换昹ㄳ㠵㙣㤶愵捣㑣㈱㙦昸摢㡢㐵㙤㙣㑤挶㌰㍤愴㈰慡ㄹ㤲ㅢ㕥搵挸摣捥㈴㜵㠴ㄵつ㔲昲扡㕣㤲㈴扢㐹㑥㉤晥愷㌸ㅤㄹ愳攴㍡㄰挸㘴ㄱ愴㥥㐸愳㐴㘴㈰搱搱㥢摣㐸㌳昵㥢㠵㈲㕢搲扣捥戲搷ㄶっ晡㠳晥㔰㌸ㅥ昴〷㤶㌴㈷㠶戳收㜰㤱戵攵搹戰㔹搴戲㑢㥡搷づ㈷戳㤹搴つ㙣㙣愰㌰挸昲㙤㉣ㄹ〸㈷戵㐸㉣ㄸ㠹㐶搳昱㜸慣㔱㈶换㍤扤㠹づ㝦て㌳㑦㤳㑤㉦㕥㈳戸㠲愵㌲㜸㕦挶㡡㤹晣㝡㍦捤㌰挳㝦㝦敦㤰改敦敤敦㘳㥢㠶㌳㐵㤶㘳㜹㤳扦愸扡戶挸搲慣挸昲㈹㘶捣㔳㍢㐷㔳㉣㥢㘰搹㙣ㅦ㑢ㅢつ敡慡㘲㘱㜸愸㉢慦戳搱㍡㜵㥤㔶㤴搴㔵挳ㄹ扤㕢ㅢ㙡捡摤㘴戰㍥㉤扦㥥昵㘸㌹收捤㠱敤慥㜳搵㜹㕣㥥㑦㜴㈳搱搱敡㥦㌱つ愰㤶㥡㘷㜹て㠰挸攱ㅢ㔸㌱捦戲㝥㜲ㅡ戰㔵ち㠰敢㌵㘳㠳愹㈵戳㑣㘸戰挳〳捥挰愶㑦昶ㄱ挵㈳㌷㠰㌴ㄲㄱ敡㑥㔱㔴㤵㙢㐲攴㔶㌵户㥡㜴慢㈹户慡扢㔵收㔶搳㙥㜵扤㕢摤攰㔶㌳㙥㜵愳㕢ㅤ㈴ㅤ攷㤱敡敢摤昶戳昵昷㍤㡦慣昹敤攰捡扢挷㙥㜱敦㔹㍥戴㑢㐰㈰㘱㈹㝣昲㍣㕢㕤㥥㑦つ㔹㈱㈲〸敦搳捣㤸晤㈷㉦摥㜹敤㤶扥慥㔵〷昶㕤㉥㕤扣敥㠵慦㜹ㄱ㝡㑢㘷扤㝦㤵搵戳攲㌱㌳挲㍥㍦㙢㐷㉥㝦㤶戵㍢摢㐱昰ㅣ㈰㜸㉥㐷昰㕤ㅢ挱㐳㜷㝡㜶散昲㡥㜴㍣晣愶㤹攸㥥㜰扦㈳㘰摦㕡挰㝦挱ㄹ㜶㍥㠶㕤挰㠷㑤搹挳〶挷戶ㅣ㔹昵攱晥慦ㅣ㜹昱戱㉢戵摤㝦晦㐰〰㠸搶戰㉦㍡挳㉥挴戰〵㝣搸㕦敤㘱愳换搷晤㉥扥愰愷敢㥥挸㙢扢㕢㌷㜶㜵㝢ㄱ㔶㥦㍥捣㤱㜳㘴扥㔳㈸㌷ㄸ摥摣捡㐲搱昰㜸㙡㠶㜴㑤㈱㐲㕣扥ㄸ攴ㄲ㈲㕥挴昱㈷㙥㈲愰㈳㘸㐲戲㍥㐷㝢慢㝢㝤搱㥢戳昶敦ち㘶愴攴ㅣ敤㜰扥搷㐵㙡㘵㠷㔹㘳㉥㔱挸㥢㙣搴㕣愱㤹㕡㝤㙥慤㐶㐹挲㥣㐷〳㐹㙦戱㙤愰搱改挲㑥愹〳㜳㡡㈳㜱慣㌶㑤㌳挸昸㌹㑥慦㙣㡥㤲㙤㙢㉡㤹捦〳挳㔶ぢ㔶㥢㌸捦㌱改戳㝢㘴㑦攱捤㌲㘳つ㥣㘱㔹㐲晤愰〲攲愹戳晦㔹ㅤ㔱扣㝣搶愶㥢㤹㜴挸㐳㠲〸戱㉢㠹㌵㔷㘲㘱㈵㌳愹攴㑤㘶㈶㙢昸挹つ㥥㐵㘱攷扦㍤摦改昲ㅢ扥㕢捦㍦㍦㜶晥晢挴㘶㙡㌶捤㈸㈸攲愵㤰搲戶戱戵㈸㌶㉦㈳㠶捦㈷㌷搳㍦ㄹ搲戹挲㕡戲㍡攴散㥡搸㘳ぢ晢搶ㄴ㌴㝤愵㤶愲㉡㕤㙦搷㘸㈹㔱挸つ㔱挰ㄶㄵ搴㠷㐴㐱㘷㙢㡢㠵㤱㡣捥㡡ㄲㄸ晤㜴㍥愸挳㌶ㄴ㜹愴ㅢㄴㅢㅥ㤷搷摢㈰㔵㥡慢换戱戵戰挲昹愳㙢㡥晤㤳㌷挶㤶㈳愳晢㝣扣敡戴㔰㔳㕥㐴㐴㐰㑤㐰敡㤰ㄷ㠳㉣〱ぢ搵〱㕡搶㔳づ敥搵挴㔲㘶㠰㝢㑤昸㥡戹〸㉥㈵㌵㠲ㄷ摡㔵㠴戵㘴〲ちㄳ㈰㥥攵昳㌲㤸㙢㈵㈲㈰ぢ㜳㥦㘳㘰挵㠹㜸㤱㡦㙢㈷ㅡ捡昸晦愷㠹愶捥挹㌰㌳ㄲ㑤㑢愵晣㔰㍡摢㤴㑡晡捡攱㍣㌶摡攲晦㑣㝢㘰㙣㠸ㄹ晦㡢愴昲㜹㑥㘲㍥敦㉢㤴㠰㍥つ挲昸摤㔱㍦㠲㜲愸慡㉥〹㜸㠳攳ㄳ慦㈵摡搰摢㕦㕡扣戹扢慦つ㝡㍥ㄹ㡡㔵㠴戵㘴〲㑥㍣捥搶挴戴㜶㍡㔹〱㜳㥤㐴〴㙣㌱扥㌵㔷㠲戵ち㉣㥣㜹㉡愷㤳敢㐹㌲㉢㥤㠴㉡愴㤳搵愴㐶㍥㐳㝢慥捦㕣㔸㑢㈶攰戸攵昸㕣㤶〲㙦㠴戹㍥㈲〲㡥㔹摣攷㝥戰〶挰挲㠱慢戲捦㌷㤱㘴㤶捦㤱ち㍥摦㑣㙡攴㌳戴攷晡捣㠵戵㘴〲捥㝡ㄵ㝣晥㍡捣愹㐴〴ㅣ戱ㅣ〵扥昶㔶㕥扦ㄵちㅡㄴ㜰晣慡愰㤰㠴㐲ちち愸㠱㡥〲㑥慡昶㔲敡㔰㘰㐴㤴ㄶ㈲㌰㉤㐹㐴㕣捡㈲扢㉢愷搱㐰戵㜰㐶㤷捤扦㥥搸昲〶㈸㉣愹慣㤰㠱挲㐶㈸愰㐸㌸ㄶ捡收ㅦ㠴㐲㤶㠸㠲㝣㕦㌶㍦捦晣㄰收挰㐷收㜷㐶㤷捤㥦㠷㐲〱ち愸ちㄵㄴ㠶愰戰〹ち搸〹㡥〲㐲搴㝥晦㈲ㄴ愸昴扡ㄴ〴㜵搹晣㍣扣㈱㌴挱㐷㜸㍢愳换收ㅦ㠶挲〸ㄴ㄰晡ㄵㄴ㙥㠳挲㈸ㄴ㄰戸㡥㐲搹晢㡦㐱攱㜶㈲ち〲戴㙣㝥ㅥ慡㄰摥〱㍥㐲搵ㄹ㕤㌶晦㌸ㄴ㌶㐳〱㘱㕣㐱攱ㅢ㔰戸ㄳち〸㐲㐷愱㙣晥扢愰㌰㐱㐴㐱戰㤵捤捦挳づ挲㉤㄰摥㙡ぢ挵扢愹㜱㐵愲㈳搱愷㠶攳慤㘹㉤㤰㑣挵㐳㝡㈸挲挲㠱㜸㈰捤㤶愵㘳㜱ㄶづ〷搲㝡㍣慥㘸昶ㄸ昹㥢搴㔰㄰㠹㌰㉦摦㠳ㅥて㐹昴戸っ㐱㠸慤㉡㙥㈵㔲慦㜶㙥愲㜳搲㤰昸㙤敡㥣㤵攸㔰慤昴搶愵搳挱㍦㘳㡥㠹摦㈱昶㍣戰㠷捣㝥扡㐶挰㥤㠱戸㡤㜸㑤ㄶ慦㕤ㅦ改㌷㌵㔳摣㍥捤愲ㅦ晡搹㘱㥤㈹〸㜳㍥捤扤搴ㄸ戹㘳扣慦㔰㌰挷改ㄷ㄰㑢㘹㠶㘹㡣㑦敥晣搶搱挳㝢㑥㍣昸捣昱㝤昷㑥㍤戶晤攸ぢてㅥ摢戹㝢昲㠹晤㤳捦晤㝣㜲挷捦搶㠵晤㐱昵挴扥攷愶ㅥ㝡㜲昲挸晥ㄳ㕢㜷ㅣ摦㜷㔰㥤扡敢晥挹挳㜷㑦㍥扦攳慡㘰㡢㝦㌴㙢㡣㡥ㅦ㍢戸㙦昲㤱敤攳㔳摦摦㝢昴挸㠱愹敦㙥昵㜷㜷戶昷㙣㙥晥㜲㕢㜳挰ㅦづ挷愲昲㝤㌴户戵挵㝣㤲攰慡㑦㔳㤷攳攲愶晦㥥昲㍢〱愱㐸㔵〲㍦搵捦㝡㝢昳㔵愱㥥㘸攲㜰户昱愱㥡㝢昵㝤㘱㤳㉤㜸㙡晦㔰攱㙦捦㑣㜴敦㙤㘳晦㝡㝢晥愹㥦㉡搸㡥挰㔸晣ㅥㄱ㙢㤵㈲改㐸愸㌵捤搲昱㘴㈴ㄴ〹攸〱㙤ㄹ㉤㔵㉣ㅡ㡢㠴挲愹㐰愰㜵㤹挲㜷㉦愹换昷ㄳ㔱戰㕦昹㉡㍤㠰ㅥ摦戸㈵ㄹ戶㉡攰㤳戱㑡㌲㔶㐷挶㕡挸〰㕦〶摣㑡㤶〸〷㜸㌷㌵㐶捦㈸挰挷づ㙤㍦晥搴捥愹攷㡦㥣搸晤㙣㌹挶搱㘰㐸摥㐳戳㑢ㄲ〰攵㄰㈳㠱㔴㠱㤸搹㐸㉥㍦攷㐰昸捤ㅦ摣搲晥攳〷㍡ㄷㅤ摡扢收㌲㐱慦〶㌱㌲づ㠷昸㠷搴戰㈰㕥ㄶ〹愵㔲㜱㕤て敡㐱㉤ㄲ㑥愶攳挱搶㘰㔸㘳慤㕡㈴慥㐷㐳挱㤴挲ㄳㄴ愹换㡦㄰㔱㤰㤲㌸挴㝢搱攳戹愹㈴㐳㌶攲㄰捦㐲㤷㈳捥㈱㐶慡攲ㅡ晢愹㘱挵㤱㜸㠰㥡つ戴㘵㤲㕡㌲㤳挵ㄶ㌹㐸㡣〹攱㡣攲㍦昹散愳挷ㅥ摥敢㑦㜴昶つ戴㜷昵っ摣㜲搵搵㜴ㅦㄹ散㕣ㅣづ戴㉥〹昸㘳㠱㐰扣㘵㌳攲ㅢ搹戳ち昸㌷摢ㄸ㙦㕢㔰晦㜸㜷攱愳㌵㑦ㅦ㝣改扡挳愳㡦晥㔱㔸㔷つ㝣愴㕢づ晥㘳搴戰挰て改戱㤸㤶㑣㈵㐳㡣㘹ㄱ㉤搲ㅡ搷㜴㉤愶敢戱㈰ぢ㌲㍤ㄹ搳ㄴ㥥㥤㐹㕤㝥㥣㠸㠲㝣捣挱㝦〲㍤㥥㤸㑢㌲愴攲摡昱㡤㍣捤攳晢㘹㙡㡣㥤㔱㝣㡦晦攲㈱㑡㌳㤳ㄳ㍢㈶㥦㝤搲㡥敦敢㤰㐳〲昱㜰㑣㍥㐴搳㑢㠴慥ㅤ攰愸㄰㔵㌰㕥㙤㐳㜹昲摡㈷㙦晣攵㙢攷慥㝥攱捦昹挴㡦㉥㝡㝤㐸攸慡㠶㌱㑡ち挷昸㌰㌵㉣㡣昵搶㐸㈸㐴㘱慤㐷㘲㤴改㠳㥡愶㐷㔹㍣ㄵ㙣㡤㉥㡢㐶挳搱㘸㔰攱ㄵ㠸搴攵攷㠸㈸愸㌹ㅣ攳㈳攸昱攲㔳㤲摤㐵慤摡ㄸ㑦搸ㅡ攲㑢搴戸敤㡣㘲㝣㘲㘲搷搴捥摤㌳㜲㠸㠵㜱㔴㝥㤹㈶㤷㈴㝥㉤㠷㈸摥㐲摤㉡〸户搹㐰扥戳收攴戶晥昷昶昶ㅣ㕥㍡㝥搱㔷扢敦㝢㑢戸慥ち挲㕥㤴扣挰慣摦㔷㜳㙥㕡㘷㕦㔰愳㘴㥦㤷敢㌲攸㑡㥣㍥〰っㄴ摡㑢ㄷ摦㘷昱摢〳攲㉦㜶敥昵慥㤸收戴㈷㡤㐲㜶搸㘴捥戰摥㘲㘹ㅣ摤㘲搱てち㍥㡥㙡攰㜹搳扤戲晢慢ぢ愷戹㕤㜹㠳ㄵ㑤愶㍢ㄶつ扡㑣慥㜳㝢㠴攸㈷扤〹搵㘹扡昱户㙦摡㥣㕢㝤㠹㕥攷挲ち㌷ㄹㅤㄹ㤳㝦㑣㠱㕣㤰㜱搸㄰㕦㈱㈲户㉤㙣㕦ㄸっ〴〲㈱㙦㥣㘰晤㙣㜳㈲㈶愷㝦㐵㘱〶㍣㍥昹㔵愲挲㍤㐴㘰ㅡ慣挶㕦ㄱ愱㙢戸ㄵ㠵㥣㤶挹㥦慥捦㈳㈸晣戳㝦昴昱㘵户愶㈹㝤㈷㜱づ㍡搸㈶㡤戹摥㔴㜲愰挸昸ㄷづ㠹㜷攸ㄷ㜷㔳敥收㐲㜱㌰㔹㈸っ攲㕥㜲ㅥ敦ㄹㅢㄸ㌳昱搱愱㈱㘷㥤㤷搰ㄶ〴挱㌳攳㑣㔱㝥扥挰㑢㡡慦ㄱ㘹㙡捦㘶㥢ㅤ㡢㠶昸㍡戱㍣昴慤㐳㝣㠳ㅡ㉢㑥挷愱㐸〸摢㕢攱攵扥昹ㅤ㤷㍣㝤攵つ㡦㉥㝡愳愱愵敤㙣㑤〸搹㠲㌹ㅦ㌱㜰ㄸ挱㍥ㄱ㘴ㅣ㘵挴㕦ㄳ㈹挵㐰㐴㔸㑡挳㥣挵昲挹扦㠱ㅥ捥㉢づ㑢挰〱〰㜰换㜸㍤ㄹ㉦㈴攳㘵㠴㐵搵晣㘸戱〵戳扦㡡〸愸搸㤶ㅦ愸昷攲ㅦ㘰捡㠹挵愰昰愵ㄹ㝥扣㠵㈹㔰搴㑢㝥愰㐶㤷晣㄰晦㐴㍤て㉤㡥攵换愵搵㝣㘹戶〵㜳扥㉦愰㠰㔹扥愰晣㠹㝦㈱㔲昲㈵㉣㕣㌴挳㤷愳㈴ㄴ㔰攳㑡扥愰㘶㤴㝣㈹挳攴㠲㙡㝥㥣㙦ぢ收㝣戰㐰㤲户晣㐰㠹㄰摦㈵㔲昲㈳㉡㥣㍢挳㡦昷㐸㈸愰づ㤴晣㐰㘶慤攴挷晣㙡㝥捣戳〵戳扦㠰搴㘱摦搶捡㈱挸摥昵㌹㔵挳挷㔹㈹愷㘶㔹㝥扤戹愱昴㐱戶ㅥ〹㕥㤲㑦㤱㤲㥢晥昰〸㠸㈴㔸㤵㍦㈰㔲攲㘲㕤㌹昷挳㜲㉥㄰收摣㡦捡戹㜸㕦捥晤㐷ㄹ㜷㍥㈶㐱昶㤱攸捦㌵ㅦ挶愷㝢㌰㍡摤㠳戱改ㅥ㡣㤴㝡つ晦〶㌱㤵挳㑢</t>
  </si>
  <si>
    <t>Decisioneering:7.4.0.0</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</si>
  <si>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</si>
  <si>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</si>
  <si>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</si>
  <si>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</si>
  <si>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</si>
  <si>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</si>
  <si>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</si>
  <si>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</si>
  <si>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</si>
  <si>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</si>
  <si>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</si>
  <si>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</si>
  <si>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</si>
  <si>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</si>
  <si>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</si>
  <si>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</si>
  <si>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</si>
  <si>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</si>
  <si>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</si>
  <si>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</si>
  <si>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</si>
  <si>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</si>
  <si>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重要声明</t>
  </si>
  <si>
    <t>版权声明</t>
  </si>
  <si>
    <t>商标声明</t>
  </si>
  <si>
    <r>
      <rPr>
        <b/>
        <u/>
        <sz val="12"/>
        <color indexed="8"/>
        <rFont val="宋体"/>
        <family val="3"/>
        <charset val="134"/>
      </rPr>
      <t>不作保证声明</t>
    </r>
    <r>
      <rPr>
        <b/>
        <u/>
        <sz val="12"/>
        <color indexed="8"/>
        <rFont val="Arial"/>
        <family val="2"/>
      </rPr>
      <t xml:space="preserve"> </t>
    </r>
  </si>
  <si>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</si>
  <si>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</si>
  <si>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</si>
  <si>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</si>
  <si>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</si>
  <si>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</si>
  <si>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</si>
  <si>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</si>
  <si>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</si>
  <si>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</si>
  <si>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</si>
  <si>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</si>
  <si>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</si>
  <si>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</si>
  <si>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</si>
  <si>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</si>
  <si>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</si>
  <si>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</si>
  <si>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</si>
  <si>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</si>
  <si>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</si>
  <si>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</si>
  <si>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jing.wei</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</si>
  <si>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</si>
  <si>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</si>
  <si>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</si>
  <si>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</si>
  <si>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</si>
  <si>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</si>
  <si>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</si>
  <si>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</si>
  <si>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</si>
  <si>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</si>
  <si>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</si>
  <si>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</si>
  <si>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</si>
  <si>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</si>
  <si>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</si>
  <si>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</si>
  <si>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市场通标准版V2.4</t>
  </si>
  <si>
    <t>项目选用生命周期</t>
  </si>
  <si>
    <t>迭代开发模型</t>
  </si>
  <si>
    <t>项目定义过程</t>
  </si>
  <si>
    <r>
      <rPr>
        <sz val="10"/>
        <rFont val="宋体"/>
        <family val="3"/>
        <charset val="134"/>
      </rPr>
      <t>迭代一需求阶段、迭代一设计阶段、迭代一编码阶段、</t>
    </r>
    <r>
      <rPr>
        <b/>
        <sz val="10"/>
        <rFont val="宋体"/>
        <family val="3"/>
        <charset val="134"/>
      </rPr>
      <t>迭代一</t>
    </r>
    <r>
      <rPr>
        <sz val="10"/>
        <rFont val="宋体"/>
        <family val="3"/>
        <charset val="134"/>
      </rPr>
      <t>测试阶段、迭代一验收阶段、</t>
    </r>
  </si>
  <si>
    <t>应用领域</t>
  </si>
  <si>
    <t>证券</t>
  </si>
  <si>
    <t>项目类型</t>
  </si>
  <si>
    <t>微型</t>
  </si>
  <si>
    <t>客户</t>
  </si>
  <si>
    <t>高校</t>
  </si>
  <si>
    <t>技术</t>
  </si>
  <si>
    <t>C++、SQL Server</t>
  </si>
  <si>
    <t>软件类型</t>
  </si>
  <si>
    <t>其他</t>
  </si>
  <si>
    <t>采用的语言</t>
  </si>
  <si>
    <t>C++</t>
  </si>
  <si>
    <t>采用的数据库</t>
  </si>
  <si>
    <t>SQL Server</t>
  </si>
  <si>
    <t>项目所属部门</t>
  </si>
  <si>
    <t>金融大数据机构</t>
  </si>
  <si>
    <t>项目经理</t>
  </si>
  <si>
    <t>冯天星</t>
  </si>
  <si>
    <t>团队规模</t>
  </si>
  <si>
    <t>项目组成员</t>
  </si>
  <si>
    <t>冯天星、夏亚红、闫晓良、王飞、郑庆、熊芸、吴子文</t>
  </si>
  <si>
    <t>本报告制作及维护人</t>
  </si>
  <si>
    <t>本报告初次填写时间</t>
  </si>
  <si>
    <t>本报告末次填写时间</t>
  </si>
  <si>
    <t>注:蓝色字体是给出的例子，编制时请删除内容</t>
  </si>
  <si>
    <t>需求稳定度</t>
  </si>
  <si>
    <t>迭代一</t>
  </si>
  <si>
    <t>度量一：客户需求稳定度</t>
  </si>
  <si>
    <t>目的：支持对项目质量、成本、进度的分析和控制</t>
  </si>
  <si>
    <t>度量单位：客户需求中的功能性和非功能性个数（即CR与NCR个数）</t>
  </si>
  <si>
    <t>阶段名称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</si>
  <si>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</si>
  <si>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</si>
  <si>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</si>
  <si>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</si>
  <si>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</si>
  <si>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</si>
  <si>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</si>
  <si>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</si>
  <si>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</si>
  <si>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客户需求稳定度</t>
  </si>
  <si>
    <t>需求分析</t>
  </si>
  <si>
    <t>架构设计</t>
  </si>
  <si>
    <t>快速设计</t>
  </si>
  <si>
    <t>编码实现</t>
  </si>
  <si>
    <t>迭代测试</t>
  </si>
  <si>
    <t>迭代演示</t>
  </si>
  <si>
    <t>累计</t>
  </si>
  <si>
    <t xml:space="preserve">度量二：US/需求规格稳定度 </t>
  </si>
  <si>
    <t>度量单位：软件瀑布开发项目SFP, 迭代项目需求任务条数，3D模型个数、场景数</t>
  </si>
  <si>
    <t>US/需求规格稳定度</t>
  </si>
  <si>
    <t>迭代二</t>
  </si>
  <si>
    <t>迭代三</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</si>
  <si>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</si>
  <si>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</si>
  <si>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</si>
  <si>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说明：工作量“总计”中的“计划”列数据来源于确定性估算表。各阶段的“实际”列数据来源于工时系统或个人周报，“计划”列数据由公式自动计算，无需改动。</t>
  </si>
  <si>
    <t>度量活动</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</si>
  <si>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</si>
  <si>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</si>
  <si>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</si>
  <si>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</si>
  <si>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</si>
  <si>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</si>
  <si>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</si>
  <si>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</si>
  <si>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</si>
  <si>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</si>
  <si>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</si>
  <si>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</si>
  <si>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</si>
  <si>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</si>
  <si>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</si>
  <si>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</si>
  <si>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</si>
  <si>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度量定义</t>
  </si>
  <si>
    <t>阶段单位规模工作量=阶段实际工作量/当前SFP值</t>
  </si>
  <si>
    <t>目标</t>
  </si>
  <si>
    <t>LOL</t>
  </si>
  <si>
    <t>OL</t>
  </si>
  <si>
    <t>UOL</t>
  </si>
  <si>
    <t>项目数据</t>
  </si>
  <si>
    <t>其他（风险预留）</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</si>
  <si>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</si>
  <si>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</si>
  <si>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</si>
  <si>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</si>
  <si>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</si>
  <si>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阶段</t>
  </si>
  <si>
    <t>标准功能点规模（SFP）</t>
  </si>
  <si>
    <t>复用的功能点（SFP）</t>
  </si>
  <si>
    <t>立项阶段</t>
  </si>
  <si>
    <t>迭代一阶段</t>
  </si>
  <si>
    <t>迭代二阶段</t>
  </si>
  <si>
    <t>迭代三阶段</t>
  </si>
  <si>
    <t>系统测试阶段</t>
  </si>
  <si>
    <t>验收阶段</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</si>
  <si>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</si>
  <si>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</si>
  <si>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</si>
  <si>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项目实际工作量</t>
  </si>
  <si>
    <t>项目生产率</t>
  </si>
  <si>
    <t>总</t>
  </si>
  <si>
    <t>度量三：技术复杂度</t>
  </si>
  <si>
    <t>目的1：支持对项目进度偏差、生产率、质量的分析，计算公式TCF = 0.6 + 0.01 x ∑（技术复杂度影响因素）</t>
  </si>
  <si>
    <t>度量单位：0</t>
  </si>
  <si>
    <t>技术复杂度</t>
  </si>
  <si>
    <t>项目进度</t>
  </si>
  <si>
    <t>度量一： 项目进度偏差</t>
  </si>
  <si>
    <t>目的：控制项目的进度</t>
  </si>
  <si>
    <t>度量单位：开始及完成时间</t>
  </si>
  <si>
    <t>总体偏差</t>
  </si>
  <si>
    <t>SPE/Phase</t>
  </si>
  <si>
    <t>计划开始时间</t>
  </si>
  <si>
    <t>计划完成时间</t>
  </si>
  <si>
    <t>实际开始时间</t>
  </si>
  <si>
    <t>实际完成时间</t>
  </si>
  <si>
    <t>变更后计划开始时间</t>
  </si>
  <si>
    <t>变更后计划结束时间</t>
  </si>
  <si>
    <t>偏差天数</t>
  </si>
  <si>
    <t>阶段偏差率</t>
  </si>
  <si>
    <t>阶段累计偏差率</t>
  </si>
  <si>
    <t>偏差分析</t>
  </si>
  <si>
    <t>改进措施</t>
  </si>
  <si>
    <t>周次</t>
  </si>
  <si>
    <t>……第N周</t>
  </si>
  <si>
    <t>进度偏差</t>
  </si>
  <si>
    <t>说明：
1.周次的进度偏差取自Project，但请注意，Project中的值填入度量表时需要取倒数；
2.如需增加或删除周次，请点击上面的按钮；
3.最后一列请勿人为删除，否则将导致表格出错</t>
  </si>
  <si>
    <t>度量二：项目周期压力系数</t>
  </si>
  <si>
    <t>目的：通过项目压力系,判断项目受外在因素的影响有大小,从来</t>
  </si>
  <si>
    <t>度量单位:天数</t>
  </si>
  <si>
    <t>项目周期压力系数</t>
  </si>
  <si>
    <t>估算工期</t>
  </si>
  <si>
    <t>内定工期</t>
  </si>
  <si>
    <t>度量三：估算的进度偏差</t>
  </si>
  <si>
    <t>目的：了解各级估算之前的偏差,形成基线,便于研发提供更加工期结果更加准确</t>
  </si>
  <si>
    <t>度量单位: 人月、SFP</t>
  </si>
  <si>
    <t>量级估算
（人月）</t>
  </si>
  <si>
    <t>预算估算
（人月）</t>
  </si>
  <si>
    <t>量级估算与预算估算的偏差(%)</t>
  </si>
  <si>
    <t>预算估算
（SFP）</t>
  </si>
  <si>
    <t>确定性估算
（SFP)</t>
  </si>
  <si>
    <t>预算与确定性估算的偏差
(%)</t>
  </si>
  <si>
    <t>备注</t>
  </si>
  <si>
    <t xml:space="preserve"> 量级估算与预算估算偏差</t>
  </si>
  <si>
    <t>预算估算与确定性估算偏差</t>
  </si>
  <si>
    <t>确定性估算
（人月）</t>
  </si>
  <si>
    <t>预算估算与确定性偏差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</si>
  <si>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</si>
  <si>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</si>
  <si>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</si>
  <si>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</si>
  <si>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</si>
  <si>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</si>
  <si>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</si>
  <si>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</si>
  <si>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</si>
  <si>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</si>
  <si>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缺陷密度
（个/页）</t>
  </si>
  <si>
    <t>致命缺陷</t>
  </si>
  <si>
    <t>严重缺陷</t>
  </si>
  <si>
    <t>一般缺陷</t>
  </si>
  <si>
    <t>微小缺陷</t>
  </si>
  <si>
    <t>建议缺陷</t>
  </si>
  <si>
    <t>第N次评审</t>
  </si>
  <si>
    <t>-</t>
  </si>
  <si>
    <t>合计</t>
  </si>
  <si>
    <t>度量二：需求规格说明书评审缺陷密度</t>
  </si>
  <si>
    <t>度量三：设计评审缺陷密度</t>
  </si>
  <si>
    <t>度量四：测试用例评审缺陷密度</t>
  </si>
  <si>
    <t>评审规模（条）</t>
  </si>
  <si>
    <t>缺陷密度
（个/条）</t>
  </si>
  <si>
    <t>度量四：代码走查缺陷密度</t>
  </si>
  <si>
    <t>走查次数</t>
  </si>
  <si>
    <t>评审规模（SFP）</t>
  </si>
  <si>
    <t>缺陷密度
（个/SFP）</t>
  </si>
  <si>
    <t>第N次走查</t>
  </si>
  <si>
    <t>说明：</t>
  </si>
  <si>
    <t>1.缺陷数据取自评审报告；</t>
  </si>
  <si>
    <t>2.走查形式不限；</t>
  </si>
  <si>
    <t>3.若需增加走查次数，请点击添加按钮；</t>
  </si>
  <si>
    <t>4.请勿对“第N次评审”行进行删除或者填写，以免造成不必要的错误</t>
  </si>
  <si>
    <t>测试及验收缺陷度量统计分析报告</t>
  </si>
  <si>
    <t>度量一：测试及验收发现的缺陷:</t>
  </si>
  <si>
    <t>目的：评价产品的发布前的质量</t>
  </si>
  <si>
    <t>度量单位：个/SFP</t>
  </si>
  <si>
    <t>说明：本页缺陷数据来源于缺陷库</t>
  </si>
  <si>
    <t>致命</t>
  </si>
  <si>
    <t>严重</t>
  </si>
  <si>
    <t>一般</t>
  </si>
  <si>
    <t>微小</t>
  </si>
  <si>
    <t>建议</t>
  </si>
  <si>
    <t>测试方式选择：</t>
  </si>
  <si>
    <t>弱测试</t>
  </si>
  <si>
    <t>验收方式选择：</t>
  </si>
  <si>
    <t>外部验收</t>
  </si>
  <si>
    <t>测试缺陷加权分</t>
  </si>
  <si>
    <t>缺陷收集节点</t>
  </si>
  <si>
    <t>解决缺陷加权数</t>
  </si>
  <si>
    <t>遗留缺陷加权数</t>
  </si>
  <si>
    <t>缺陷总数</t>
  </si>
  <si>
    <t>缺陷密度</t>
  </si>
  <si>
    <t>S1测试第N轮</t>
  </si>
  <si>
    <t>测试合计</t>
  </si>
  <si>
    <t>遗留缺陷</t>
  </si>
  <si>
    <t>S2测试第N轮</t>
  </si>
  <si>
    <t>测试第N轮</t>
  </si>
  <si>
    <t>度量二:准入测试的通过率</t>
  </si>
  <si>
    <t>度量三：测试的计划执行轮次及实际的执行轮次</t>
  </si>
  <si>
    <t>目的：促进公司级产品质量提高,评估开发的版本质量</t>
  </si>
  <si>
    <t>目的：</t>
  </si>
  <si>
    <t>度量单位：</t>
  </si>
  <si>
    <t>度量单位：次数</t>
  </si>
  <si>
    <t>准入测试用例不通过的条数</t>
  </si>
  <si>
    <t>准入测试用例的总数</t>
  </si>
  <si>
    <t>准入测试用例的通过率</t>
  </si>
  <si>
    <t>准入不通过的次数</t>
  </si>
  <si>
    <t>转测试总次数</t>
  </si>
  <si>
    <t>准入测试通过率</t>
  </si>
  <si>
    <t>计划执行的轮次</t>
  </si>
  <si>
    <t>实际执行的轮次</t>
  </si>
  <si>
    <t>系统测试</t>
  </si>
  <si>
    <t>度量四：缺陷来源(引入阶段)</t>
  </si>
  <si>
    <t>目的：评估产品质量开展根因分析</t>
  </si>
  <si>
    <t>度量单位：缺陷个数</t>
  </si>
  <si>
    <t>项目阶段</t>
  </si>
  <si>
    <t>数量</t>
  </si>
  <si>
    <t>需求阶段</t>
  </si>
  <si>
    <t>设计阶段</t>
  </si>
  <si>
    <t>编码阶段</t>
  </si>
  <si>
    <t>其它</t>
  </si>
  <si>
    <t>度量五：缺陷位置</t>
  </si>
  <si>
    <t>目的：通过指标判断缺陷存在的位置,评估产品质量</t>
  </si>
  <si>
    <t>缺陷位置</t>
  </si>
  <si>
    <t>页面</t>
  </si>
  <si>
    <t>脚本</t>
  </si>
  <si>
    <t>后台代码</t>
  </si>
  <si>
    <t>运行环境</t>
  </si>
  <si>
    <t>度量六：缺陷类型</t>
  </si>
  <si>
    <t>目的:通过缺陷类型评估开发的产品质量</t>
  </si>
  <si>
    <t>单位:缺陷个数</t>
  </si>
  <si>
    <t>度量数据来源: Devsuite</t>
  </si>
  <si>
    <t>缺陷类型</t>
  </si>
  <si>
    <t>需求方面</t>
  </si>
  <si>
    <t>遗漏需求、需求描述不清</t>
  </si>
  <si>
    <t>界面错误</t>
  </si>
  <si>
    <t>主要是前端界面设计或实现的问题</t>
  </si>
  <si>
    <t>功能性错误</t>
  </si>
  <si>
    <t>功能与需求不符、程序实现异常</t>
  </si>
  <si>
    <t>数据源错误</t>
  </si>
  <si>
    <t>数据提取、数据源错误</t>
  </si>
  <si>
    <t>性能方面</t>
  </si>
  <si>
    <t>包括兼容性、安全性等</t>
  </si>
  <si>
    <t>接口问题</t>
  </si>
  <si>
    <t>主要是指调用第三方接口的问题</t>
  </si>
  <si>
    <t>辅助工具</t>
  </si>
  <si>
    <t>为提高或协助测试而开发的工具</t>
  </si>
  <si>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</si>
  <si>
    <t>Activity</t>
  </si>
  <si>
    <t>Trigger</t>
  </si>
  <si>
    <t>Impact</t>
  </si>
  <si>
    <t>Target</t>
  </si>
  <si>
    <t>Defect Type</t>
  </si>
  <si>
    <t>Qualifier</t>
  </si>
  <si>
    <t>Source</t>
  </si>
  <si>
    <t>Age</t>
  </si>
  <si>
    <t>缺陷来源</t>
  </si>
  <si>
    <t>缺陷原因</t>
  </si>
  <si>
    <t>设计审查</t>
  </si>
  <si>
    <t>基本功能</t>
  </si>
  <si>
    <t>安装性</t>
  </si>
  <si>
    <t>设计</t>
  </si>
  <si>
    <t>初始化错误</t>
  </si>
  <si>
    <t>不正确的</t>
  </si>
  <si>
    <t>内部代码</t>
  </si>
  <si>
    <t>基本</t>
  </si>
  <si>
    <t>未自测</t>
  </si>
  <si>
    <t>代码检查</t>
  </si>
  <si>
    <t>顺序操作</t>
  </si>
  <si>
    <t>安全性</t>
  </si>
  <si>
    <t>代码</t>
  </si>
  <si>
    <t>代码检查错误</t>
  </si>
  <si>
    <t>遗失的</t>
  </si>
  <si>
    <t>重用资源库中代码</t>
  </si>
  <si>
    <t>新的</t>
  </si>
  <si>
    <r>
      <rPr>
        <sz val="10.5"/>
        <color rgb="FF000000"/>
        <rFont val="宋体"/>
        <family val="3"/>
        <charset val="134"/>
      </rPr>
      <t>未测出</t>
    </r>
    <r>
      <rPr>
        <sz val="10.5"/>
        <color indexed="8"/>
        <rFont val="Arial"/>
        <family val="2"/>
      </rPr>
      <t>-</t>
    </r>
    <r>
      <rPr>
        <sz val="10.5"/>
        <color indexed="8"/>
        <rFont val="宋体"/>
        <family val="3"/>
        <charset val="134"/>
      </rPr>
      <t>标准不明</t>
    </r>
  </si>
  <si>
    <t>单元测试</t>
  </si>
  <si>
    <t>异常或边界值输入操作</t>
  </si>
  <si>
    <t>性能</t>
  </si>
  <si>
    <t>算法问题</t>
  </si>
  <si>
    <t>外部的错误</t>
  </si>
  <si>
    <t>外部代码</t>
  </si>
  <si>
    <t>重写</t>
  </si>
  <si>
    <t>编码</t>
  </si>
  <si>
    <r>
      <rPr>
        <sz val="10.5"/>
        <color rgb="FF000000"/>
        <rFont val="宋体"/>
        <family val="3"/>
        <charset val="134"/>
      </rPr>
      <t>未测出</t>
    </r>
    <r>
      <rPr>
        <sz val="10.5"/>
        <color indexed="8"/>
        <rFont val="Arial"/>
        <family val="2"/>
      </rPr>
      <t>-</t>
    </r>
    <r>
      <rPr>
        <sz val="10.5"/>
        <color indexed="8"/>
        <rFont val="宋体"/>
        <family val="3"/>
        <charset val="134"/>
      </rPr>
      <t>其它原因</t>
    </r>
  </si>
  <si>
    <t>功能测试</t>
  </si>
  <si>
    <t>迭代操作</t>
  </si>
  <si>
    <t>可维护性</t>
  </si>
  <si>
    <t>植入代码</t>
  </si>
  <si>
    <t>重新修复</t>
  </si>
  <si>
    <t>阻碍</t>
  </si>
  <si>
    <t>可操作性</t>
  </si>
  <si>
    <r>
      <rPr>
        <sz val="10"/>
        <color rgb="FF000000"/>
        <rFont val="Arial"/>
        <family val="2"/>
      </rPr>
      <t>Beta</t>
    </r>
    <r>
      <rPr>
        <sz val="10"/>
        <color indexed="8"/>
        <rFont val="宋体"/>
        <family val="3"/>
        <charset val="134"/>
      </rPr>
      <t>测试</t>
    </r>
  </si>
  <si>
    <t>负荷压力</t>
  </si>
  <si>
    <t>可移植性</t>
  </si>
  <si>
    <t>代码关联或继承错误</t>
  </si>
  <si>
    <t>修复测试</t>
  </si>
  <si>
    <t>数据恢复与出错处理</t>
  </si>
  <si>
    <t>文档方面</t>
  </si>
  <si>
    <t>时间相关性错误</t>
  </si>
  <si>
    <r>
      <rPr>
        <sz val="10"/>
        <color rgb="FF000000"/>
        <rFont val="Arial"/>
        <family val="2"/>
      </rPr>
      <t>GUI</t>
    </r>
    <r>
      <rPr>
        <sz val="10"/>
        <color indexed="8"/>
        <rFont val="宋体"/>
        <family val="3"/>
        <charset val="134"/>
      </rPr>
      <t>检查</t>
    </r>
  </si>
  <si>
    <t>系统启动与重启</t>
  </si>
  <si>
    <t>可用性</t>
  </si>
  <si>
    <t>性能测试</t>
  </si>
  <si>
    <t>硬件配置</t>
  </si>
  <si>
    <t>标准化</t>
  </si>
  <si>
    <t>软件配置</t>
  </si>
  <si>
    <t>可靠性</t>
  </si>
  <si>
    <t>简单路径</t>
  </si>
  <si>
    <t>复杂路径</t>
  </si>
  <si>
    <t>成熟能力</t>
  </si>
  <si>
    <t>设计一致性</t>
  </si>
  <si>
    <t>逻辑或数据流</t>
  </si>
  <si>
    <t>横向兼容性</t>
  </si>
  <si>
    <t>向后兼容性</t>
  </si>
  <si>
    <t>语言依赖性</t>
  </si>
  <si>
    <t>并发</t>
  </si>
  <si>
    <t>内部文件</t>
  </si>
  <si>
    <t>副作用</t>
  </si>
  <si>
    <t>罕见的情形</t>
  </si>
  <si>
    <r>
      <rPr>
        <sz val="10.5"/>
        <color rgb="FF000000"/>
        <rFont val="宋体"/>
        <family val="3"/>
        <charset val="134"/>
      </rP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</si>
  <si>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人员度量统计分析报告</t>
  </si>
  <si>
    <t>度量一：项目组成员每周的工作量投入情况</t>
  </si>
  <si>
    <t>角色</t>
  </si>
  <si>
    <t>开发工程师</t>
  </si>
  <si>
    <t>UI及美工工程师</t>
  </si>
  <si>
    <t>策划工程师</t>
  </si>
  <si>
    <t>测试工程师</t>
  </si>
  <si>
    <t>开发
总人数</t>
  </si>
  <si>
    <t>配置管理员</t>
  </si>
  <si>
    <t>质量保证</t>
  </si>
  <si>
    <t>其他人员总数</t>
  </si>
  <si>
    <t>项目总人数</t>
  </si>
  <si>
    <t>目的：度量每周人员投入情况，为计划时安排资源提供输入</t>
  </si>
  <si>
    <r>
      <rPr>
        <sz val="10"/>
        <rFont val="宋体"/>
        <family val="3"/>
        <charset val="134"/>
      </rPr>
      <t>第</t>
    </r>
    <r>
      <rPr>
        <sz val="10"/>
        <rFont val="Times New Roman"/>
        <family val="1"/>
      </rPr>
      <t>1~2</t>
    </r>
    <r>
      <rPr>
        <sz val="10"/>
        <rFont val="宋体"/>
        <family val="3"/>
        <charset val="134"/>
      </rPr>
      <t>周</t>
    </r>
  </si>
  <si>
    <r>
      <rPr>
        <sz val="10"/>
        <rFont val="宋体"/>
        <family val="3"/>
        <charset val="134"/>
      </rPr>
      <t>第</t>
    </r>
    <r>
      <rPr>
        <sz val="10"/>
        <rFont val="Times New Roman"/>
        <family val="1"/>
      </rPr>
      <t>2~5</t>
    </r>
    <r>
      <rPr>
        <sz val="10"/>
        <rFont val="宋体"/>
        <family val="3"/>
        <charset val="134"/>
      </rPr>
      <t>周</t>
    </r>
  </si>
  <si>
    <r>
      <rPr>
        <sz val="10"/>
        <rFont val="宋体"/>
        <family val="3"/>
        <charset val="134"/>
      </rPr>
      <t>第</t>
    </r>
    <r>
      <rPr>
        <sz val="10"/>
        <rFont val="Times New Roman"/>
        <family val="1"/>
      </rPr>
      <t>6~8</t>
    </r>
    <r>
      <rPr>
        <sz val="10"/>
        <rFont val="宋体"/>
        <family val="3"/>
        <charset val="134"/>
      </rPr>
      <t>周</t>
    </r>
  </si>
  <si>
    <t>第8~10周</t>
  </si>
  <si>
    <t>第11~12周</t>
  </si>
  <si>
    <t>第12周</t>
  </si>
  <si>
    <t>累计工作量</t>
  </si>
  <si>
    <t>度量单位：项目成员每周投入的工作量（人天）</t>
  </si>
  <si>
    <t>工作量比例</t>
  </si>
  <si>
    <t>技能符合度</t>
  </si>
  <si>
    <t>业务知识符合度</t>
  </si>
  <si>
    <t>项目角色</t>
  </si>
  <si>
    <t>项目成员</t>
  </si>
  <si>
    <t>工作年限</t>
  </si>
  <si>
    <t>要求的
技能系数</t>
  </si>
  <si>
    <t>实际的
技能系数</t>
  </si>
  <si>
    <t>要求的
人员业务知识</t>
  </si>
  <si>
    <t>实际的
人员业务知识</t>
  </si>
  <si>
    <t>张三</t>
  </si>
  <si>
    <t>产品经理</t>
  </si>
  <si>
    <t>UI及美工</t>
  </si>
  <si>
    <t>李四</t>
  </si>
  <si>
    <t>3D建模工程师</t>
  </si>
  <si>
    <t>需求分析师</t>
  </si>
  <si>
    <t>N/A</t>
  </si>
  <si>
    <t>质量保证工程师</t>
  </si>
  <si>
    <t>度量二：团队平均技能系数</t>
  </si>
  <si>
    <t>目的：度量团队的整体技能水平，该指标越高，说明项目团队的整体技能水平越高。</t>
  </si>
  <si>
    <t>团队技能平均系数</t>
  </si>
  <si>
    <t>策划团队</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</si>
  <si>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</si>
  <si>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</si>
  <si>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</si>
  <si>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</si>
  <si>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</si>
  <si>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</si>
  <si>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</si>
  <si>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</si>
  <si>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</si>
  <si>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</si>
  <si>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</si>
  <si>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</si>
  <si>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</si>
  <si>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</si>
  <si>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</si>
  <si>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</si>
  <si>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</si>
  <si>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</si>
  <si>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</si>
  <si>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</si>
  <si>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</si>
  <si>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</si>
  <si>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</si>
  <si>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</si>
  <si>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应投入的工作量</t>
  </si>
  <si>
    <t>实际投入工作量</t>
  </si>
  <si>
    <t>稼动率</t>
  </si>
  <si>
    <t>测试阶段</t>
  </si>
  <si>
    <t>1、识别异常点</t>
  </si>
  <si>
    <t>“项目工作量偏差率”控制图，产品测试阶段的工作量偏差超出上限。</t>
  </si>
  <si>
    <t>2、过程相关数据收集及分析</t>
  </si>
  <si>
    <t>1）产品测试阶段分析</t>
  </si>
  <si>
    <t>活动名称</t>
  </si>
  <si>
    <t>单位规模工作量
（人时/FP）</t>
  </si>
  <si>
    <t>规模FP</t>
  </si>
  <si>
    <t>计划工作量(人时)</t>
  </si>
  <si>
    <t>实际工作量（人时）</t>
  </si>
  <si>
    <t>偏差率</t>
  </si>
  <si>
    <t>集成测试</t>
  </si>
  <si>
    <t>U0L</t>
  </si>
  <si>
    <t>集成测试工作量（人时）</t>
  </si>
  <si>
    <t>集成测试单位规模工作量</t>
  </si>
  <si>
    <r>
      <rPr>
        <sz val="10"/>
        <rFont val="微软雅黑"/>
        <family val="2"/>
        <charset val="134"/>
      </rP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</si>
  <si>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</si>
  <si>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</si>
  <si>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</si>
  <si>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</si>
  <si>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</si>
  <si>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</si>
  <si>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</si>
  <si>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</si>
  <si>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</si>
  <si>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</si>
  <si>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</si>
  <si>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</si>
  <si>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</si>
  <si>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</si>
  <si>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</si>
  <si>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</si>
  <si>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</si>
  <si>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</si>
  <si>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</si>
  <si>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</si>
  <si>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</si>
  <si>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</si>
  <si>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</si>
  <si>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</si>
  <si>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</si>
  <si>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</si>
  <si>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t>标准功能点规模（SFP）</t>
    <phoneticPr fontId="126" type="noConversion"/>
  </si>
  <si>
    <t>7人</t>
    <phoneticPr fontId="126" type="noConversion"/>
  </si>
  <si>
    <t>规模（SFP）</t>
    <phoneticPr fontId="126" type="noConversion"/>
  </si>
  <si>
    <r>
      <t>版权所有 © 2014</t>
    </r>
    <r>
      <rPr>
        <sz val="11"/>
        <color theme="1"/>
        <rFont val="宋体"/>
        <family val="3"/>
        <charset val="134"/>
      </rPr>
      <t xml:space="preserve">, 深圳国泰安教育技术有限公司，保留所有权利。
</t>
    </r>
    <phoneticPr fontId="126" type="noConversion"/>
  </si>
  <si>
    <t>深圳国泰安教育技术有限公司和深圳国泰安教育技术有限公司的产品是深圳国泰安教育技术有限公司专有。在提及其他公司及其产品时将使用各自公司所拥有的商标，这种使用的目的仅限于引用。</t>
    <phoneticPr fontId="126" type="noConversion"/>
  </si>
  <si>
    <t>深圳国泰安教育技术有限公司不对此文档中的任何内容作任何明示或暗示的陈述或保证，而且不对特定目的的适销性及适用性或者任何间接、特殊或连带的损失承担任何责任。</t>
    <phoneticPr fontId="12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</si>
</sst>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0_ "/>
    <numFmt numFmtId="177" formatCode="0_);[Red]\(0\)"/>
    <numFmt numFmtId="178" formatCode="_(* #,##0.00_);_(* \(#,##0.00\);_(* &quot;-&quot;??_);_(@_)"/>
    <numFmt numFmtId="179" formatCode="0.000_ "/>
    <numFmt numFmtId="180" formatCode="_(&quot;$&quot;* #,##0_);_(&quot;$&quot;* \(#,##0\);_(&quot;$&quot;* &quot;-&quot;_);_(@_)"/>
    <numFmt numFmtId="181" formatCode="yyyy\/mm\/dd"/>
    <numFmt numFmtId="182" formatCode="0.0_ "/>
    <numFmt numFmtId="183" formatCode="yyyy/m/d;@"/>
    <numFmt numFmtId="184" formatCode="_ &quot;\&quot;* #,##0.00_ ;_ &quot;\&quot;* \-#,##0.00_ ;_ &quot;\&quot;* &quot;-&quot;??_ ;_ @_ "/>
    <numFmt numFmtId="185" formatCode="_(* #,##0_);_(* \(#,##0\);_(* &quot;-&quot;_);_(@_)"/>
    <numFmt numFmtId="186" formatCode="&quot;$&quot;#,##0_);[Red]\(&quot;$&quot;#,##0\)"/>
    <numFmt numFmtId="187" formatCode="0.000_);[Red]\(0.000\)"/>
    <numFmt numFmtId="188" formatCode="#,##0;\-#,##0;&quot;-&quot;"/>
    <numFmt numFmtId="189" formatCode="yyyy/mm/dd"/>
    <numFmt numFmtId="190" formatCode="0.00_);[Red]\(0.00\)"/>
    <numFmt numFmtId="191" formatCode="0.000000_ "/>
    <numFmt numFmtId="192" formatCode="0.0000_);[Red]\(0.0000\)"/>
    <numFmt numFmtId="193" formatCode="_ &quot;\&quot;* #,##0_ ;_ &quot;\&quot;* \-#,##0_ ;_ &quot;\&quot;* &quot;-&quot;_ ;_ @_ "/>
    <numFmt numFmtId="194" formatCode="0.0%"/>
    <numFmt numFmtId="195" formatCode="0.0000_ "/>
    <numFmt numFmtId="196" formatCode="_(&quot;$&quot;* #,##0.00_);_(&quot;$&quot;* \(#,##0.00\);_(&quot;$&quot;* &quot;-&quot;??_);_(@_)"/>
    <numFmt numFmtId="197" formatCode="m/d"/>
    <numFmt numFmtId="198" formatCode="0.00_ "/>
  </numFmts>
  <fonts count="127">
    <font>
      <sz val="11"/>
      <color theme="1"/>
      <name val="宋体"/>
      <charset val="134"/>
      <scheme val="minor"/>
    </font>
    <font>
      <sz val="10"/>
      <name val="微软雅黑"/>
      <family val="2"/>
      <charset val="134"/>
    </font>
    <font>
      <sz val="12"/>
      <name val="微软雅黑"/>
      <family val="2"/>
      <charset val="134"/>
    </font>
    <font>
      <b/>
      <sz val="12"/>
      <name val="微软雅黑"/>
      <family val="2"/>
      <charset val="134"/>
    </font>
    <font>
      <b/>
      <sz val="9"/>
      <color theme="0"/>
      <name val="宋体"/>
      <family val="3"/>
      <charset val="134"/>
    </font>
    <font>
      <sz val="9"/>
      <color theme="1"/>
      <name val="宋体"/>
      <family val="3"/>
      <charset val="134"/>
    </font>
    <font>
      <sz val="9"/>
      <color rgb="FFFF0000"/>
      <name val="宋体"/>
      <family val="3"/>
      <charset val="134"/>
    </font>
    <font>
      <u/>
      <sz val="10"/>
      <name val="微软雅黑"/>
      <family val="2"/>
      <charset val="134"/>
    </font>
    <font>
      <b/>
      <sz val="10"/>
      <color indexed="9"/>
      <name val="微软雅黑"/>
      <family val="2"/>
      <charset val="134"/>
    </font>
    <font>
      <b/>
      <sz val="10"/>
      <name val="微软雅黑"/>
      <family val="2"/>
      <charset val="134"/>
    </font>
    <font>
      <b/>
      <sz val="10"/>
      <color rgb="FFFFFFFF"/>
      <name val="微软雅黑"/>
      <family val="2"/>
      <charset val="134"/>
    </font>
    <font>
      <sz val="10"/>
      <color rgb="FF000000"/>
      <name val="微软雅黑"/>
      <family val="2"/>
      <charset val="134"/>
    </font>
    <font>
      <sz val="12"/>
      <name val="宋体"/>
      <family val="3"/>
      <charset val="134"/>
    </font>
    <font>
      <sz val="10"/>
      <name val="宋体"/>
      <family val="3"/>
      <charset val="134"/>
    </font>
    <font>
      <sz val="16"/>
      <name val="宋体"/>
      <family val="3"/>
      <charset val="134"/>
    </font>
    <font>
      <sz val="10"/>
      <name val="Times New Roman"/>
      <family val="1"/>
    </font>
    <font>
      <b/>
      <sz val="10"/>
      <name val="宋体"/>
      <family val="3"/>
      <charset val="134"/>
    </font>
    <font>
      <sz val="10"/>
      <color theme="1"/>
      <name val="宋体"/>
      <family val="3"/>
      <charset val="134"/>
      <scheme val="minor"/>
    </font>
    <font>
      <sz val="16"/>
      <name val="Times New Roman"/>
      <family val="1"/>
    </font>
    <font>
      <sz val="10"/>
      <color rgb="FFFF0000"/>
      <name val="宋体"/>
      <family val="3"/>
      <charset val="134"/>
    </font>
    <font>
      <sz val="10"/>
      <color theme="0"/>
      <name val="宋体"/>
      <family val="3"/>
      <charset val="134"/>
    </font>
    <font>
      <b/>
      <sz val="10"/>
      <color theme="0"/>
      <name val="宋体"/>
      <family val="3"/>
      <charset val="134"/>
    </font>
    <font>
      <sz val="10"/>
      <color theme="1"/>
      <name val="宋体"/>
      <family val="3"/>
      <charset val="134"/>
    </font>
    <font>
      <sz val="9"/>
      <name val="宋体"/>
      <family val="3"/>
      <charset val="134"/>
    </font>
    <font>
      <sz val="9"/>
      <color rgb="FF000000"/>
      <name val="宋体"/>
      <family val="3"/>
      <charset val="134"/>
    </font>
    <font>
      <sz val="9"/>
      <name val="仿宋"/>
      <family val="3"/>
      <charset val="134"/>
    </font>
    <font>
      <b/>
      <sz val="10"/>
      <color rgb="FF000000"/>
      <name val="Arial"/>
      <family val="2"/>
    </font>
    <font>
      <sz val="10"/>
      <color rgb="FF000000"/>
      <name val="宋体"/>
      <family val="3"/>
      <charset val="134"/>
    </font>
    <font>
      <sz val="10"/>
      <color rgb="FFFFFFFF"/>
      <name val="宋体"/>
      <family val="3"/>
      <charset val="134"/>
    </font>
    <font>
      <sz val="10"/>
      <color rgb="FF000000"/>
      <name val="Arial"/>
      <family val="2"/>
    </font>
    <font>
      <sz val="10.5"/>
      <color rgb="FF000000"/>
      <name val="宋体"/>
      <family val="3"/>
      <charset val="134"/>
    </font>
    <font>
      <b/>
      <sz val="10"/>
      <color rgb="FF000000"/>
      <name val="宋体"/>
      <family val="3"/>
      <charset val="134"/>
    </font>
    <font>
      <sz val="22"/>
      <name val="宋体"/>
      <family val="3"/>
      <charset val="134"/>
    </font>
    <font>
      <sz val="10"/>
      <color theme="5"/>
      <name val="宋体"/>
      <family val="3"/>
      <charset val="134"/>
    </font>
    <font>
      <sz val="10"/>
      <color indexed="12"/>
      <name val="宋体"/>
      <family val="3"/>
      <charset val="134"/>
    </font>
    <font>
      <b/>
      <sz val="10"/>
      <name val="Times New Roman"/>
      <family val="1"/>
    </font>
    <font>
      <sz val="10"/>
      <color rgb="FFC00000"/>
      <name val="宋体"/>
      <family val="3"/>
      <charset val="134"/>
    </font>
    <font>
      <sz val="10"/>
      <color rgb="FF0066FF"/>
      <name val="宋体"/>
      <family val="3"/>
      <charset val="134"/>
    </font>
    <font>
      <b/>
      <sz val="10"/>
      <color theme="1"/>
      <name val="宋体"/>
      <family val="3"/>
      <charset val="134"/>
    </font>
    <font>
      <b/>
      <sz val="12"/>
      <name val="宋体"/>
      <family val="3"/>
      <charset val="134"/>
    </font>
    <font>
      <sz val="11"/>
      <name val="宋体"/>
      <family val="3"/>
      <charset val="134"/>
      <scheme val="minor"/>
    </font>
    <font>
      <b/>
      <sz val="11"/>
      <color theme="1"/>
      <name val="宋体"/>
      <family val="3"/>
      <charset val="134"/>
      <scheme val="minor"/>
    </font>
    <font>
      <b/>
      <sz val="16"/>
      <name val="宋体"/>
      <family val="3"/>
      <charset val="134"/>
    </font>
    <font>
      <sz val="10"/>
      <color rgb="FF7030A0"/>
      <name val="宋体"/>
      <family val="3"/>
      <charset val="134"/>
    </font>
    <font>
      <b/>
      <sz val="9"/>
      <name val="宋体"/>
      <family val="3"/>
      <charset val="134"/>
    </font>
    <font>
      <b/>
      <sz val="10"/>
      <name val="Comic Sans MS"/>
      <family val="4"/>
    </font>
    <font>
      <b/>
      <sz val="12"/>
      <name val="Comic Sans MS"/>
      <family val="4"/>
    </font>
    <font>
      <u/>
      <sz val="12"/>
      <color indexed="12"/>
      <name val="宋体"/>
      <family val="3"/>
      <charset val="134"/>
    </font>
    <font>
      <sz val="12"/>
      <name val="Comic Sans MS"/>
      <family val="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sz val="11"/>
      <color indexed="17"/>
      <name val="微软雅黑"/>
      <family val="2"/>
      <charset val="134"/>
    </font>
    <font>
      <b/>
      <sz val="11"/>
      <color indexed="52"/>
      <name val="宋体"/>
      <family val="3"/>
      <charset val="134"/>
    </font>
    <font>
      <sz val="11"/>
      <color indexed="8"/>
      <name val="宋体"/>
      <family val="3"/>
      <charset val="134"/>
    </font>
    <font>
      <sz val="11"/>
      <name val="Times New Roman"/>
      <family val="1"/>
    </font>
    <font>
      <u/>
      <sz val="10"/>
      <color indexed="12"/>
      <name val="ＭＳ Ｐ明朝"/>
      <charset val="128"/>
    </font>
    <font>
      <sz val="11"/>
      <color indexed="8"/>
      <name val="Calibri"/>
      <family val="2"/>
    </font>
    <font>
      <b/>
      <sz val="11"/>
      <color indexed="63"/>
      <name val="宋体"/>
      <family val="3"/>
      <charset val="134"/>
    </font>
    <font>
      <sz val="11"/>
      <color indexed="62"/>
      <name val="Calibri"/>
      <family val="2"/>
    </font>
    <font>
      <sz val="11"/>
      <color indexed="9"/>
      <name val="Calibri"/>
      <family val="2"/>
    </font>
    <font>
      <sz val="9"/>
      <color indexed="20"/>
      <name val="幼圆"/>
      <family val="3"/>
      <charset val="134"/>
    </font>
    <font>
      <b/>
      <sz val="13"/>
      <color indexed="62"/>
      <name val="Calibri"/>
      <family val="2"/>
    </font>
    <font>
      <u/>
      <sz val="10"/>
      <color indexed="36"/>
      <name val="ＭＳ Ｐ明朝"/>
      <charset val="134"/>
    </font>
    <font>
      <sz val="12"/>
      <name val="Times New Roman"/>
      <family val="1"/>
    </font>
    <font>
      <sz val="9"/>
      <color indexed="17"/>
      <name val="幼圆"/>
      <family val="3"/>
      <charset val="134"/>
    </font>
    <font>
      <b/>
      <sz val="11"/>
      <color indexed="62"/>
      <name val="Calibri"/>
      <family val="2"/>
    </font>
    <font>
      <sz val="10"/>
      <name val="Helv"/>
      <family val="2"/>
    </font>
    <font>
      <b/>
      <sz val="11"/>
      <color indexed="8"/>
      <name val="Calibri"/>
      <family val="2"/>
    </font>
    <font>
      <sz val="11"/>
      <color indexed="60"/>
      <name val="宋体"/>
      <family val="3"/>
      <charset val="134"/>
    </font>
    <font>
      <b/>
      <sz val="11"/>
      <color indexed="53"/>
      <name val="Calibri"/>
      <family val="2"/>
    </font>
    <font>
      <sz val="7"/>
      <name val="Small Fonts"/>
      <family val="2"/>
    </font>
    <font>
      <sz val="8"/>
      <name val="Arial"/>
      <family val="2"/>
    </font>
    <font>
      <b/>
      <sz val="13"/>
      <color indexed="56"/>
      <name val="宋体"/>
      <family val="3"/>
      <charset val="134"/>
    </font>
    <font>
      <sz val="11"/>
      <name val="ＭＳ 明朝"/>
      <charset val="134"/>
    </font>
    <font>
      <sz val="12"/>
      <name val="바탕체"/>
      <charset val="134"/>
    </font>
    <font>
      <u/>
      <sz val="10"/>
      <color indexed="12"/>
      <name val="ＭＳ Ｐ明朝"/>
      <charset val="134"/>
    </font>
    <font>
      <sz val="11"/>
      <color indexed="10"/>
      <name val="宋体"/>
      <family val="3"/>
      <charset val="134"/>
    </font>
    <font>
      <sz val="10"/>
      <name val="Arial"/>
      <family val="2"/>
    </font>
    <font>
      <b/>
      <sz val="18"/>
      <color indexed="56"/>
      <name val="Cambria"/>
      <family val="1"/>
    </font>
    <font>
      <sz val="11"/>
      <color indexed="16"/>
      <name val="Calibri"/>
      <family val="2"/>
    </font>
    <font>
      <u/>
      <sz val="10.8"/>
      <color indexed="12"/>
      <name val="宋体"/>
      <family val="3"/>
      <charset val="134"/>
    </font>
    <font>
      <sz val="11"/>
      <color indexed="9"/>
      <name val="宋体"/>
      <family val="3"/>
      <charset val="134"/>
    </font>
    <font>
      <sz val="9"/>
      <color indexed="20"/>
      <name val="微软雅黑"/>
      <family val="2"/>
      <charset val="134"/>
    </font>
    <font>
      <sz val="11"/>
      <color indexed="60"/>
      <name val="Calibri"/>
      <family val="2"/>
    </font>
    <font>
      <b/>
      <sz val="18"/>
      <color indexed="62"/>
      <name val="Cambria"/>
      <family val="1"/>
    </font>
    <font>
      <sz val="10"/>
      <color indexed="8"/>
      <name val="Arial"/>
      <family val="2"/>
    </font>
    <font>
      <b/>
      <sz val="11"/>
      <color indexed="9"/>
      <name val="Calibri"/>
      <family val="2"/>
    </font>
    <font>
      <i/>
      <sz val="11"/>
      <color indexed="23"/>
      <name val="Calibri"/>
      <family val="2"/>
    </font>
    <font>
      <sz val="11"/>
      <color indexed="17"/>
      <name val="Calibri"/>
      <family val="2"/>
    </font>
    <font>
      <b/>
      <sz val="12"/>
      <name val="Arial"/>
      <family val="2"/>
    </font>
    <font>
      <b/>
      <sz val="15"/>
      <color indexed="62"/>
      <name val="Calibri"/>
      <family val="2"/>
    </font>
    <font>
      <sz val="11"/>
      <color indexed="20"/>
      <name val="微软雅黑"/>
      <family val="2"/>
      <charset val="134"/>
    </font>
    <font>
      <sz val="11"/>
      <color indexed="53"/>
      <name val="Calibri"/>
      <family val="2"/>
    </font>
    <font>
      <b/>
      <sz val="11"/>
      <color indexed="9"/>
      <name val="宋体"/>
      <family val="3"/>
      <charset val="134"/>
    </font>
    <font>
      <sz val="10"/>
      <name val="MS Sans Serif"/>
      <family val="2"/>
    </font>
    <font>
      <sz val="12"/>
      <name val="M"/>
      <charset val="136"/>
    </font>
    <font>
      <sz val="12"/>
      <name val="MS Sans Serif"/>
      <family val="2"/>
    </font>
    <font>
      <sz val="11"/>
      <color indexed="10"/>
      <name val="Calibri"/>
      <family val="2"/>
    </font>
    <font>
      <sz val="11"/>
      <name val="ＭＳ Ｐゴシック"/>
      <family val="2"/>
    </font>
    <font>
      <sz val="11"/>
      <name val="ＭＳ Ｐゴシック"/>
      <family val="2"/>
    </font>
    <font>
      <b/>
      <sz val="18"/>
      <color indexed="56"/>
      <name val="宋体"/>
      <family val="3"/>
      <charset val="134"/>
    </font>
    <font>
      <b/>
      <sz val="11"/>
      <color indexed="63"/>
      <name val="Calibri"/>
      <family val="2"/>
    </font>
    <font>
      <b/>
      <sz val="12"/>
      <name val="MS Sans Serif"/>
      <family val="2"/>
    </font>
    <font>
      <sz val="11"/>
      <color indexed="17"/>
      <name val="宋体"/>
      <family val="3"/>
      <charset val="134"/>
    </font>
    <font>
      <sz val="9"/>
      <color indexed="17"/>
      <name val="微软雅黑"/>
      <family val="2"/>
      <charset val="134"/>
    </font>
    <font>
      <i/>
      <sz val="11"/>
      <color indexed="23"/>
      <name val="宋体"/>
      <family val="3"/>
      <charset val="134"/>
    </font>
    <font>
      <b/>
      <sz val="15"/>
      <color indexed="62"/>
      <name val="宋体"/>
      <family val="3"/>
      <charset val="134"/>
    </font>
    <font>
      <b/>
      <sz val="11"/>
      <color indexed="8"/>
      <name val="宋体"/>
      <family val="3"/>
      <charset val="134"/>
    </font>
    <font>
      <b/>
      <sz val="15"/>
      <color indexed="56"/>
      <name val="宋体"/>
      <family val="3"/>
      <charset val="134"/>
    </font>
    <font>
      <b/>
      <sz val="13"/>
      <color indexed="62"/>
      <name val="宋体"/>
      <family val="3"/>
      <charset val="134"/>
    </font>
    <font>
      <sz val="11"/>
      <color indexed="52"/>
      <name val="宋体"/>
      <family val="3"/>
      <charset val="134"/>
    </font>
    <font>
      <b/>
      <sz val="11"/>
      <color indexed="56"/>
      <name val="宋体"/>
      <family val="3"/>
      <charset val="134"/>
    </font>
    <font>
      <u/>
      <sz val="10"/>
      <color indexed="36"/>
      <name val="ＭＳ Ｐ明朝"/>
      <charset val="128"/>
    </font>
    <font>
      <sz val="11"/>
      <color indexed="20"/>
      <name val="宋体"/>
      <family val="3"/>
      <charset val="134"/>
    </font>
    <font>
      <sz val="11"/>
      <color indexed="62"/>
      <name val="宋体"/>
      <family val="3"/>
      <charset val="134"/>
    </font>
    <font>
      <sz val="10.5"/>
      <color indexed="8"/>
      <name val="Arial"/>
      <family val="2"/>
    </font>
    <font>
      <sz val="10"/>
      <color indexed="8"/>
      <name val="宋体"/>
      <family val="3"/>
      <charset val="134"/>
    </font>
    <font>
      <sz val="11"/>
      <color theme="1"/>
      <name val="宋体"/>
      <family val="3"/>
      <charset val="134"/>
    </font>
    <font>
      <b/>
      <u/>
      <sz val="12"/>
      <color indexed="8"/>
      <name val="Arial"/>
      <family val="2"/>
    </font>
    <font>
      <sz val="11"/>
      <color theme="1"/>
      <name val="宋体"/>
      <family val="3"/>
      <charset val="134"/>
      <scheme val="minor"/>
    </font>
    <font>
      <sz val="8"/>
      <color rgb="FF000000"/>
      <name val="宋体"/>
      <family val="3"/>
      <charset val="134"/>
    </font>
    <font>
      <sz val="9"/>
      <name val="Tahoma"/>
      <family val="2"/>
    </font>
    <font>
      <sz val="11"/>
      <color rgb="FFFF0000"/>
      <name val="宋体"/>
      <family val="3"/>
      <charset val="134"/>
    </font>
    <font>
      <sz val="9"/>
      <name val="宋体"/>
      <family val="3"/>
      <charset val="134"/>
      <scheme val="minor"/>
    </font>
  </fonts>
  <fills count="85">
    <fill>
      <patternFill patternType="none"/>
    </fill>
    <fill>
      <patternFill patternType="gray125"/>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95117038483843"/>
        <bgColor theme="4" tint="0.79995117038483843"/>
      </patternFill>
    </fill>
    <fill>
      <patternFill patternType="solid">
        <fgColor theme="4" tint="0.59999389629810485"/>
        <bgColor theme="4" tint="0.59999389629810485"/>
      </patternFill>
    </fill>
    <fill>
      <patternFill patternType="solid">
        <fgColor theme="5" tint="0.39994506668294322"/>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249977111117893"/>
        <bgColor indexed="25"/>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indexed="9"/>
        <bgColor indexed="64"/>
      </patternFill>
    </fill>
    <fill>
      <patternFill patternType="solid">
        <fgColor rgb="FF00FFFF"/>
        <bgColor indexed="64"/>
      </patternFill>
    </fill>
    <fill>
      <patternFill patternType="solid">
        <fgColor rgb="FFD8E4BC"/>
        <bgColor indexed="64"/>
      </patternFill>
    </fill>
    <fill>
      <patternFill patternType="solid">
        <fgColor theme="4" tint="0.39994506668294322"/>
        <bgColor indexed="64"/>
      </patternFill>
    </fill>
    <fill>
      <patternFill patternType="solid">
        <fgColor rgb="FFCCFFFF"/>
        <bgColor indexed="64"/>
      </patternFill>
    </fill>
    <fill>
      <patternFill patternType="solid">
        <fgColor indexed="65"/>
        <bgColor indexed="64"/>
      </patternFill>
    </fill>
    <fill>
      <patternFill patternType="solid">
        <fgColor theme="3" tint="0.59999389629810485"/>
        <bgColor indexed="64"/>
      </patternFill>
    </fill>
    <fill>
      <patternFill patternType="solid">
        <fgColor rgb="FF92D050"/>
        <bgColor indexed="64"/>
      </patternFill>
    </fill>
    <fill>
      <patternFill patternType="darkTrellis">
        <bgColor indexed="9"/>
      </patternFill>
    </fill>
    <fill>
      <patternFill patternType="solid">
        <fgColor theme="0"/>
        <bgColor indexed="64"/>
      </patternFill>
    </fill>
    <fill>
      <patternFill patternType="solid">
        <fgColor theme="6" tint="0.59999389629810485"/>
        <bgColor indexed="64"/>
      </patternFill>
    </fill>
    <fill>
      <patternFill patternType="solid">
        <fgColor theme="0" tint="-0.499984740745262"/>
        <bgColor theme="4"/>
      </patternFill>
    </fill>
    <fill>
      <patternFill patternType="solid">
        <fgColor theme="0" tint="-0.14996795556505021"/>
        <bgColor theme="4" tint="0.79995117038483843"/>
      </patternFill>
    </fill>
    <fill>
      <patternFill patternType="darkTrellis">
        <bgColor rgb="FFCCFFFF"/>
      </patternFill>
    </fill>
    <fill>
      <patternFill patternType="darkTrellis"/>
    </fill>
    <fill>
      <patternFill patternType="solid">
        <fgColor theme="0"/>
        <bgColor theme="4"/>
      </patternFill>
    </fill>
    <fill>
      <patternFill patternType="solid">
        <fgColor theme="0"/>
        <bgColor theme="4" tint="0.79995117038483843"/>
      </patternFill>
    </fill>
    <fill>
      <patternFill patternType="solid">
        <fgColor indexed="15"/>
        <bgColor indexed="64"/>
      </patternFill>
    </fill>
    <fill>
      <patternFill patternType="solid">
        <fgColor rgb="FF99CCFF"/>
        <bgColor indexed="64"/>
      </patternFill>
    </fill>
    <fill>
      <patternFill patternType="solid">
        <fgColor rgb="FF33CCCC"/>
        <bgColor indexed="64"/>
      </patternFill>
    </fill>
    <fill>
      <patternFill patternType="solid">
        <fgColor rgb="FF0066CC"/>
        <bgColor indexed="64"/>
      </patternFill>
    </fill>
    <fill>
      <patternFill patternType="solid">
        <fgColor rgb="FF00FF00"/>
        <bgColor indexed="64"/>
      </patternFill>
    </fill>
    <fill>
      <patternFill patternType="solid">
        <fgColor rgb="FFFFCC00"/>
        <bgColor indexed="64"/>
      </patternFill>
    </fill>
    <fill>
      <patternFill patternType="solid">
        <fgColor rgb="FFFFFF00"/>
        <bgColor indexed="64"/>
      </patternFill>
    </fill>
    <fill>
      <patternFill patternType="solid">
        <fgColor theme="4"/>
        <bgColor indexed="64"/>
      </patternFill>
    </fill>
    <fill>
      <patternFill patternType="solid">
        <fgColor theme="9" tint="0.59999389629810485"/>
        <bgColor indexed="64"/>
      </patternFill>
    </fill>
    <fill>
      <patternFill patternType="solid">
        <fgColor theme="0" tint="-0.34998626667073579"/>
        <bgColor theme="4" tint="0.59999389629810485"/>
      </patternFill>
    </fill>
    <fill>
      <patternFill patternType="solid">
        <fgColor theme="9" tint="0.79995117038483843"/>
        <bgColor indexed="64"/>
      </patternFill>
    </fill>
    <fill>
      <patternFill patternType="solid">
        <fgColor indexed="42"/>
        <bgColor indexed="64"/>
      </patternFill>
    </fill>
    <fill>
      <patternFill patternType="solid">
        <fgColor indexed="22"/>
        <bgColor indexed="64"/>
      </patternFill>
    </fill>
    <fill>
      <patternFill patternType="solid">
        <fgColor indexed="46"/>
        <bgColor indexed="64"/>
      </patternFill>
    </fill>
    <fill>
      <patternFill patternType="solid">
        <fgColor indexed="22"/>
        <bgColor indexed="22"/>
      </patternFill>
    </fill>
    <fill>
      <patternFill patternType="solid">
        <fgColor indexed="47"/>
        <bgColor indexed="47"/>
      </patternFill>
    </fill>
    <fill>
      <patternFill patternType="solid">
        <fgColor indexed="52"/>
        <bgColor indexed="52"/>
      </patternFill>
    </fill>
    <fill>
      <patternFill patternType="solid">
        <fgColor indexed="45"/>
        <bgColor indexed="64"/>
      </patternFill>
    </fill>
    <fill>
      <patternFill patternType="solid">
        <fgColor indexed="55"/>
        <bgColor indexed="55"/>
      </patternFill>
    </fill>
    <fill>
      <patternFill patternType="lightUp">
        <fgColor indexed="9"/>
        <bgColor indexed="55"/>
      </patternFill>
    </fill>
    <fill>
      <patternFill patternType="gray0625">
        <fgColor indexed="44"/>
        <bgColor indexed="26"/>
      </patternFill>
    </fill>
    <fill>
      <patternFill patternType="solid">
        <fgColor indexed="43"/>
        <bgColor indexed="64"/>
      </patternFill>
    </fill>
    <fill>
      <patternFill patternType="solid">
        <fgColor indexed="51"/>
        <bgColor indexed="64"/>
      </patternFill>
    </fill>
    <fill>
      <patternFill patternType="solid">
        <fgColor indexed="31"/>
        <bgColor indexed="64"/>
      </patternFill>
    </fill>
    <fill>
      <patternFill patternType="solid">
        <fgColor indexed="31"/>
        <bgColor indexed="31"/>
      </patternFill>
    </fill>
    <fill>
      <patternFill patternType="solid">
        <fgColor indexed="9"/>
        <bgColor indexed="9"/>
      </patternFill>
    </fill>
    <fill>
      <patternFill patternType="lightUp">
        <fgColor indexed="9"/>
        <bgColor indexed="29"/>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4"/>
        <bgColor indexed="54"/>
      </patternFill>
    </fill>
    <fill>
      <patternFill patternType="solid">
        <fgColor indexed="30"/>
        <bgColor indexed="64"/>
      </patternFill>
    </fill>
    <fill>
      <patternFill patternType="solid">
        <fgColor indexed="26"/>
        <bgColor indexed="26"/>
      </patternFill>
    </fill>
    <fill>
      <patternFill patternType="solid">
        <fgColor indexed="49"/>
        <bgColor indexed="49"/>
      </patternFill>
    </fill>
    <fill>
      <patternFill patternType="solid">
        <fgColor indexed="45"/>
        <bgColor indexed="45"/>
      </patternFill>
    </fill>
    <fill>
      <patternFill patternType="solid">
        <fgColor indexed="36"/>
        <bgColor indexed="64"/>
      </patternFill>
    </fill>
    <fill>
      <patternFill patternType="solid">
        <fgColor indexed="49"/>
        <bgColor indexed="64"/>
      </patternFill>
    </fill>
    <fill>
      <patternFill patternType="solid">
        <fgColor indexed="25"/>
        <bgColor indexed="64"/>
      </patternFill>
    </fill>
    <fill>
      <patternFill patternType="solid">
        <fgColor indexed="25"/>
        <bgColor indexed="25"/>
      </patternFill>
    </fill>
    <fill>
      <patternFill patternType="solid">
        <fgColor indexed="42"/>
        <bgColor indexed="42"/>
      </patternFill>
    </fill>
    <fill>
      <patternFill patternType="solid">
        <fgColor indexed="52"/>
        <bgColor indexed="64"/>
      </patternFill>
    </fill>
    <fill>
      <patternFill patternType="solid">
        <fgColor indexed="43"/>
        <bgColor indexed="43"/>
      </patternFill>
    </fill>
    <fill>
      <patternFill patternType="solid">
        <fgColor indexed="44"/>
        <bgColor indexed="44"/>
      </patternFill>
    </fill>
    <fill>
      <patternFill patternType="solid">
        <fgColor indexed="27"/>
        <bgColor indexed="27"/>
      </patternFill>
    </fill>
    <fill>
      <patternFill patternType="lightUp">
        <fgColor indexed="9"/>
        <bgColor indexed="22"/>
      </patternFill>
    </fill>
    <fill>
      <patternFill patternType="solid">
        <fgColor indexed="62"/>
        <bgColor indexed="64"/>
      </patternFill>
    </fill>
    <fill>
      <patternFill patternType="solid">
        <fgColor indexed="26"/>
        <bgColor indexed="64"/>
      </patternFill>
    </fill>
    <fill>
      <patternFill patternType="solid">
        <fgColor indexed="55"/>
        <bgColor indexed="64"/>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s>
  <borders count="250">
    <border>
      <left/>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rgb="FF0000FF"/>
      </right>
      <top/>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thin">
        <color indexed="39"/>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double">
        <color indexed="39"/>
      </left>
      <right style="thin">
        <color indexed="39"/>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thin">
        <color auto="1"/>
      </left>
      <right/>
      <top style="dashed">
        <color indexed="39"/>
      </top>
      <bottom style="double">
        <color indexed="39"/>
      </bottom>
      <diagonal/>
    </border>
    <border>
      <left/>
      <right style="double">
        <color rgb="FF0000FF"/>
      </right>
      <top style="dashed">
        <color indexed="12"/>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thin">
        <color auto="1"/>
      </right>
      <top style="hair">
        <color indexed="39"/>
      </top>
      <bottom style="hair">
        <color indexed="39"/>
      </bottom>
      <diagonal/>
    </border>
    <border>
      <left style="thin">
        <color auto="1"/>
      </left>
      <right style="thin">
        <color auto="1"/>
      </right>
      <top style="hair">
        <color indexed="39"/>
      </top>
      <bottom style="hair">
        <color indexed="39"/>
      </bottom>
      <diagonal/>
    </border>
    <border>
      <left style="thin">
        <color auto="1"/>
      </left>
      <right style="thin">
        <color auto="1"/>
      </right>
      <top style="hair">
        <color auto="1"/>
      </top>
      <bottom style="hair">
        <color auto="1"/>
      </bottom>
      <diagonal/>
    </border>
    <border>
      <left style="thin">
        <color auto="1"/>
      </left>
      <right style="thin">
        <color auto="1"/>
      </right>
      <top style="hair">
        <color indexed="39"/>
      </top>
      <bottom style="hair">
        <color auto="1"/>
      </bottom>
      <diagonal/>
    </border>
    <border>
      <left style="thin">
        <color auto="1"/>
      </left>
      <right style="double">
        <color indexed="39"/>
      </right>
      <top style="thin">
        <color auto="1"/>
      </top>
      <bottom style="hair">
        <color auto="1"/>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thin">
        <color auto="1"/>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rgb="FF0000FF"/>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thin">
        <color auto="1"/>
      </left>
      <right style="thin">
        <color auto="1"/>
      </right>
      <top style="double">
        <color indexed="12"/>
      </top>
      <bottom style="thin">
        <color auto="1"/>
      </bottom>
      <diagonal/>
    </border>
    <border>
      <left style="thin">
        <color auto="1"/>
      </left>
      <right style="double">
        <color indexed="12"/>
      </right>
      <top style="double">
        <color indexed="12"/>
      </top>
      <bottom style="thin">
        <color auto="1"/>
      </bottom>
      <diagonal/>
    </border>
    <border>
      <left style="thin">
        <color auto="1"/>
      </left>
      <right style="thin">
        <color auto="1"/>
      </right>
      <top/>
      <bottom style="double">
        <color rgb="FF0000FF"/>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theme="0"/>
      </left>
      <right style="thin">
        <color theme="0"/>
      </right>
      <top/>
      <bottom style="thin">
        <color theme="0"/>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right/>
      <top style="medium">
        <color auto="1"/>
      </top>
      <bottom/>
      <diagonal/>
    </border>
    <border>
      <left/>
      <right style="medium">
        <color auto="1"/>
      </right>
      <top style="medium">
        <color auto="1"/>
      </top>
      <bottom style="medium">
        <color auto="1"/>
      </bottom>
      <diagonal/>
    </border>
    <border>
      <left/>
      <right/>
      <top/>
      <bottom style="thin">
        <color theme="0"/>
      </bottom>
      <diagonal/>
    </border>
    <border>
      <left style="thin">
        <color auto="1"/>
      </left>
      <right/>
      <top style="thin">
        <color auto="1"/>
      </top>
      <bottom style="double">
        <color indexed="39"/>
      </bottom>
      <diagonal/>
    </border>
    <border>
      <left/>
      <right/>
      <top style="thin">
        <color auto="1"/>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right/>
      <top style="double">
        <color indexed="39"/>
      </top>
      <bottom/>
      <diagonal/>
    </border>
    <border>
      <left style="double">
        <color rgb="FF0033CC"/>
      </left>
      <right style="thin">
        <color auto="1"/>
      </right>
      <top style="double">
        <color indexed="12"/>
      </top>
      <bottom style="thin">
        <color theme="1"/>
      </bottom>
      <diagonal/>
    </border>
    <border>
      <left style="thin">
        <color auto="1"/>
      </left>
      <right style="thin">
        <color auto="1"/>
      </right>
      <top style="double">
        <color indexed="12"/>
      </top>
      <bottom style="thin">
        <color theme="1"/>
      </bottom>
      <diagonal/>
    </border>
    <border>
      <left style="thin">
        <color auto="1"/>
      </left>
      <right style="thin">
        <color auto="1"/>
      </right>
      <top style="double">
        <color indexed="39"/>
      </top>
      <bottom/>
      <diagonal/>
    </border>
    <border>
      <left style="thin">
        <color auto="1"/>
      </left>
      <right style="double">
        <color rgb="FF0033CC"/>
      </right>
      <top style="double">
        <color indexed="12"/>
      </top>
      <bottom style="thin">
        <color theme="1"/>
      </bottom>
      <diagonal/>
    </border>
    <border>
      <left style="double">
        <color rgb="FF0033CC"/>
      </left>
      <right style="thin">
        <color auto="1"/>
      </right>
      <top style="thin">
        <color theme="1"/>
      </top>
      <bottom style="double">
        <color rgb="FF0033CC"/>
      </bottom>
      <diagonal/>
    </border>
    <border>
      <left style="thin">
        <color auto="1"/>
      </left>
      <right style="thin">
        <color auto="1"/>
      </right>
      <top style="thin">
        <color theme="1"/>
      </top>
      <bottom style="double">
        <color rgb="FF0033CC"/>
      </bottom>
      <diagonal/>
    </border>
    <border>
      <left style="thin">
        <color auto="1"/>
      </left>
      <right style="thin">
        <color auto="1"/>
      </right>
      <top style="thin">
        <color theme="1"/>
      </top>
      <bottom/>
      <diagonal/>
    </border>
    <border>
      <left style="thin">
        <color auto="1"/>
      </left>
      <right style="thin">
        <color auto="1"/>
      </right>
      <top style="thin">
        <color theme="1"/>
      </top>
      <bottom style="hair">
        <color auto="1"/>
      </bottom>
      <diagonal/>
    </border>
    <border>
      <left style="thin">
        <color auto="1"/>
      </left>
      <right style="double">
        <color rgb="FF0033CC"/>
      </right>
      <top style="thin">
        <color theme="1"/>
      </top>
      <bottom style="double">
        <color rgb="FF0033CC"/>
      </bottom>
      <diagonal/>
    </border>
    <border>
      <left style="double">
        <color rgb="FF0000FF"/>
      </left>
      <right style="thin">
        <color auto="1"/>
      </right>
      <top style="hair">
        <color auto="1"/>
      </top>
      <bottom style="hair">
        <color auto="1"/>
      </bottom>
      <diagonal/>
    </border>
    <border>
      <left style="thin">
        <color auto="1"/>
      </left>
      <right style="double">
        <color rgb="FF0000FF"/>
      </right>
      <top style="hair">
        <color auto="1"/>
      </top>
      <bottom style="hair">
        <color auto="1"/>
      </bottom>
      <diagonal/>
    </border>
    <border>
      <left style="double">
        <color rgb="FF0000FF"/>
      </left>
      <right style="thin">
        <color auto="1"/>
      </right>
      <top/>
      <bottom style="double">
        <color rgb="FF0033CC"/>
      </bottom>
      <diagonal/>
    </border>
    <border>
      <left style="thin">
        <color auto="1"/>
      </left>
      <right style="thin">
        <color auto="1"/>
      </right>
      <top/>
      <bottom style="double">
        <color rgb="FF0033CC"/>
      </bottom>
      <diagonal/>
    </border>
    <border>
      <left style="thin">
        <color auto="1"/>
      </left>
      <right style="double">
        <color rgb="FF0000FF"/>
      </right>
      <top/>
      <bottom style="double">
        <color rgb="FF0033CC"/>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double">
        <color indexed="39"/>
      </right>
      <top style="double">
        <color indexed="39"/>
      </top>
      <bottom style="double">
        <color indexed="39"/>
      </bottom>
      <diagonal/>
    </border>
    <border>
      <left style="double">
        <color indexed="39"/>
      </left>
      <right style="thin">
        <color auto="1"/>
      </right>
      <top style="double">
        <color indexed="39"/>
      </top>
      <bottom style="hair">
        <color auto="1"/>
      </bottom>
      <diagonal/>
    </border>
    <border>
      <left style="thin">
        <color auto="1"/>
      </left>
      <right/>
      <top style="double">
        <color indexed="39"/>
      </top>
      <bottom style="hair">
        <color auto="1"/>
      </bottom>
      <diagonal/>
    </border>
    <border>
      <left style="double">
        <color indexed="39"/>
      </left>
      <right style="thin">
        <color auto="1"/>
      </right>
      <top/>
      <bottom style="hair">
        <color auto="1"/>
      </bottom>
      <diagonal/>
    </border>
    <border>
      <left style="thin">
        <color auto="1"/>
      </left>
      <right style="thin">
        <color auto="1"/>
      </right>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double">
        <color indexed="39"/>
      </bottom>
      <diagonal/>
    </border>
    <border>
      <left style="thin">
        <color auto="1"/>
      </left>
      <right/>
      <top style="hair">
        <color auto="1"/>
      </top>
      <bottom style="double">
        <color indexed="39"/>
      </bottom>
      <diagonal/>
    </border>
    <border>
      <left style="double">
        <color indexed="39"/>
      </left>
      <right style="thin">
        <color auto="1"/>
      </right>
      <top style="hair">
        <color auto="1"/>
      </top>
      <bottom style="double">
        <color indexed="39"/>
      </bottom>
      <diagonal/>
    </border>
    <border>
      <left style="thin">
        <color auto="1"/>
      </left>
      <right style="thin">
        <color auto="1"/>
      </right>
      <top/>
      <bottom style="double">
        <color indexed="39"/>
      </bottom>
      <diagonal/>
    </border>
    <border>
      <left style="thin">
        <color auto="1"/>
      </left>
      <right style="double">
        <color indexed="39"/>
      </right>
      <top/>
      <bottom style="double">
        <color indexed="39"/>
      </bottom>
      <diagonal/>
    </border>
    <border>
      <left style="thin">
        <color auto="1"/>
      </left>
      <right style="double">
        <color rgb="FF0000FF"/>
      </right>
      <top style="double">
        <color indexed="39"/>
      </top>
      <bottom style="hair">
        <color auto="1"/>
      </bottom>
      <diagonal/>
    </border>
    <border>
      <left style="thin">
        <color auto="1"/>
      </left>
      <right style="double">
        <color rgb="FF0000FF"/>
      </right>
      <top style="hair">
        <color auto="1"/>
      </top>
      <bottom style="double">
        <color indexed="39"/>
      </bottom>
      <diagonal/>
    </border>
    <border>
      <left/>
      <right/>
      <top/>
      <bottom style="double">
        <color indexed="39"/>
      </bottom>
      <diagonal/>
    </border>
    <border>
      <left style="double">
        <color indexed="39"/>
      </left>
      <right style="hair">
        <color indexed="39"/>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right style="hair">
        <color indexed="39"/>
      </right>
      <top style="double">
        <color indexed="39"/>
      </top>
      <bottom style="hair">
        <color indexed="39"/>
      </bottom>
      <diagonal/>
    </border>
    <border>
      <left style="double">
        <color indexed="39"/>
      </left>
      <right style="hair">
        <color indexed="39"/>
      </right>
      <top/>
      <bottom style="hair">
        <color indexed="39"/>
      </bottom>
      <diagonal/>
    </border>
    <border>
      <left style="hair">
        <color indexed="39"/>
      </left>
      <right style="hair">
        <color indexed="39"/>
      </right>
      <top style="hair">
        <color indexed="39"/>
      </top>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hair">
        <color indexed="39"/>
      </left>
      <right style="double">
        <color indexed="39"/>
      </right>
      <top style="double">
        <color indexed="39"/>
      </top>
      <bottom/>
      <diagonal/>
    </border>
    <border>
      <left style="double">
        <color indexed="39"/>
      </left>
      <right/>
      <top style="double">
        <color indexed="39"/>
      </top>
      <bottom/>
      <diagonal/>
    </border>
    <border>
      <left/>
      <right style="double">
        <color indexed="39"/>
      </right>
      <top style="double">
        <color indexed="39"/>
      </top>
      <bottom/>
      <diagonal/>
    </border>
    <border>
      <left style="hair">
        <color indexed="39"/>
      </left>
      <right style="double">
        <color indexed="39"/>
      </right>
      <top/>
      <bottom style="hair">
        <color indexed="39"/>
      </bottom>
      <diagonal/>
    </border>
    <border>
      <left style="double">
        <color indexed="39"/>
      </left>
      <right/>
      <top/>
      <bottom style="hair">
        <color indexed="39"/>
      </bottom>
      <diagonal/>
    </border>
    <border>
      <left/>
      <right style="double">
        <color indexed="39"/>
      </right>
      <top/>
      <bottom style="hair">
        <color indexed="39"/>
      </bottom>
      <diagonal/>
    </border>
    <border>
      <left style="hair">
        <color indexed="39"/>
      </left>
      <right/>
      <top/>
      <bottom style="hair">
        <color indexed="39"/>
      </bottom>
      <diagonal/>
    </border>
    <border>
      <left style="double">
        <color rgb="FF0066FF"/>
      </left>
      <right style="hair">
        <color rgb="FF0066FF"/>
      </right>
      <top style="hair">
        <color indexed="12"/>
      </top>
      <bottom/>
      <diagonal/>
    </border>
    <border>
      <left style="hair">
        <color rgb="FF0066FF"/>
      </left>
      <right style="double">
        <color rgb="FF0066FF"/>
      </right>
      <top style="hair">
        <color indexed="12"/>
      </top>
      <bottom/>
      <diagonal/>
    </border>
    <border>
      <left style="double">
        <color rgb="FF0066FF"/>
      </left>
      <right style="hair">
        <color rgb="FF0066FF"/>
      </right>
      <top/>
      <bottom style="hair">
        <color rgb="FF0066FF"/>
      </bottom>
      <diagonal/>
    </border>
    <border>
      <left style="hair">
        <color rgb="FF0066FF"/>
      </left>
      <right style="double">
        <color rgb="FF0066FF"/>
      </right>
      <top/>
      <bottom style="hair">
        <color rgb="FF0066FF"/>
      </bottom>
      <diagonal/>
    </border>
    <border>
      <left style="double">
        <color rgb="FF0066FF"/>
      </left>
      <right style="hair">
        <color rgb="FF0066FF"/>
      </right>
      <top style="hair">
        <color rgb="FF0066FF"/>
      </top>
      <bottom/>
      <diagonal/>
    </border>
    <border>
      <left style="hair">
        <color rgb="FF0066FF"/>
      </left>
      <right style="double">
        <color rgb="FF0066FF"/>
      </right>
      <top style="hair">
        <color rgb="FF0066FF"/>
      </top>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double">
        <color rgb="FF0066FF"/>
      </left>
      <right style="hair">
        <color rgb="FF0066FF"/>
      </right>
      <top style="hair">
        <color rgb="FF0066FF"/>
      </top>
      <bottom style="double">
        <color rgb="FF0066FF"/>
      </bottom>
      <diagonal/>
    </border>
    <border>
      <left style="hair">
        <color rgb="FF0066FF"/>
      </left>
      <right style="double">
        <color rgb="FF0066FF"/>
      </right>
      <top style="hair">
        <color rgb="FF0066FF"/>
      </top>
      <bottom style="double">
        <color rgb="FF0066FF"/>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thin">
        <color auto="1"/>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style="thin">
        <color auto="1"/>
      </left>
      <right style="double">
        <color rgb="FF0000FF"/>
      </right>
      <top style="thin">
        <color auto="1"/>
      </top>
      <bottom style="double">
        <color rgb="FF0000FF"/>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44"/>
      </bottom>
      <diagonal/>
    </border>
    <border>
      <left style="double">
        <color indexed="63"/>
      </left>
      <right style="double">
        <color indexed="63"/>
      </right>
      <top style="double">
        <color indexed="63"/>
      </top>
      <bottom style="double">
        <color indexed="63"/>
      </bottom>
      <diagonal/>
    </border>
    <border>
      <left/>
      <right/>
      <top style="medium">
        <color auto="1"/>
      </top>
      <bottom style="medium">
        <color auto="1"/>
      </bottom>
      <diagonal/>
    </border>
    <border>
      <left/>
      <right/>
      <top/>
      <bottom style="thick">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54"/>
      </top>
      <bottom style="double">
        <color indexed="54"/>
      </bottom>
      <diagonal/>
    </border>
    <border>
      <left/>
      <right/>
      <top/>
      <bottom style="thick">
        <color indexed="49"/>
      </bottom>
      <diagonal/>
    </border>
    <border>
      <left/>
      <right/>
      <top style="thin">
        <color indexed="62"/>
      </top>
      <bottom style="double">
        <color indexed="62"/>
      </bottom>
      <diagonal/>
    </border>
    <border>
      <left/>
      <right/>
      <top/>
      <bottom style="thick">
        <color indexed="6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double">
        <color rgb="FF0000FF"/>
      </left>
      <right style="thin">
        <color indexed="64"/>
      </right>
      <top style="double">
        <color rgb="FF0000FF"/>
      </top>
      <bottom style="thin">
        <color indexed="64"/>
      </bottom>
      <diagonal/>
    </border>
    <border>
      <left style="thin">
        <color indexed="64"/>
      </left>
      <right style="thin">
        <color indexed="64"/>
      </right>
      <top style="double">
        <color rgb="FF0000FF"/>
      </top>
      <bottom style="thin">
        <color indexed="64"/>
      </bottom>
      <diagonal/>
    </border>
    <border>
      <left style="thin">
        <color indexed="64"/>
      </left>
      <right style="double">
        <color rgb="FF0000FF"/>
      </right>
      <top style="double">
        <color rgb="FF0000FF"/>
      </top>
      <bottom style="thin">
        <color indexed="64"/>
      </bottom>
      <diagonal/>
    </border>
    <border>
      <left style="double">
        <color rgb="FF0000FF"/>
      </left>
      <right style="thin">
        <color indexed="64"/>
      </right>
      <top style="thin">
        <color indexed="64"/>
      </top>
      <bottom style="thin">
        <color indexed="64"/>
      </bottom>
      <diagonal/>
    </border>
    <border>
      <left style="thin">
        <color indexed="64"/>
      </left>
      <right style="double">
        <color rgb="FF0000FF"/>
      </right>
      <top style="thin">
        <color indexed="64"/>
      </top>
      <bottom style="thin">
        <color indexed="64"/>
      </bottom>
      <diagonal/>
    </border>
    <border>
      <left style="double">
        <color rgb="FF0000FF"/>
      </left>
      <right style="thin">
        <color indexed="64"/>
      </right>
      <top style="thin">
        <color indexed="64"/>
      </top>
      <bottom style="double">
        <color rgb="FF0000FF"/>
      </bottom>
      <diagonal/>
    </border>
    <border>
      <left style="thin">
        <color indexed="64"/>
      </left>
      <right style="thin">
        <color indexed="64"/>
      </right>
      <top style="thin">
        <color indexed="64"/>
      </top>
      <bottom style="double">
        <color rgb="FF0000FF"/>
      </bottom>
      <diagonal/>
    </border>
    <border>
      <left style="thin">
        <color indexed="64"/>
      </left>
      <right style="double">
        <color rgb="FF0000FF"/>
      </right>
      <top style="thin">
        <color indexed="64"/>
      </top>
      <bottom style="double">
        <color rgb="FF0000FF"/>
      </bottom>
      <diagonal/>
    </border>
    <border>
      <left style="hair">
        <color auto="1"/>
      </left>
      <right style="double">
        <color indexed="39"/>
      </right>
      <top style="double">
        <color indexed="39"/>
      </top>
      <bottom style="hair">
        <color auto="1"/>
      </bottom>
      <diagonal/>
    </border>
    <border>
      <left style="hair">
        <color auto="1"/>
      </left>
      <right style="double">
        <color indexed="39"/>
      </right>
      <top style="hair">
        <color auto="1"/>
      </top>
      <bottom style="hair">
        <color auto="1"/>
      </bottom>
      <diagonal/>
    </border>
    <border>
      <left style="hair">
        <color auto="1"/>
      </left>
      <right style="double">
        <color indexed="39"/>
      </right>
      <top style="hair">
        <color auto="1"/>
      </top>
      <bottom style="double">
        <color indexed="39"/>
      </bottom>
      <diagonal/>
    </border>
  </borders>
  <cellStyleXfs count="322">
    <xf numFmtId="0" fontId="0" fillId="0" borderId="0"/>
    <xf numFmtId="0" fontId="59" fillId="45" borderId="0" applyNumberFormat="0" applyBorder="0" applyAlignment="0" applyProtection="0"/>
    <xf numFmtId="0" fontId="55" fillId="43" borderId="224" applyNumberFormat="0" applyAlignment="0" applyProtection="0">
      <alignment vertical="center"/>
    </xf>
    <xf numFmtId="0" fontId="61" fillId="46" borderId="224" applyNumberFormat="0" applyAlignment="0" applyProtection="0">
      <alignment vertical="center"/>
    </xf>
    <xf numFmtId="0" fontId="62" fillId="46" borderId="0" applyNumberFormat="0" applyBorder="0" applyAlignment="0" applyProtection="0">
      <alignment vertical="center"/>
    </xf>
    <xf numFmtId="0" fontId="59" fillId="44" borderId="0" applyNumberFormat="0" applyBorder="0" applyAlignment="0" applyProtection="0"/>
    <xf numFmtId="0" fontId="47" fillId="0" borderId="0" applyNumberFormat="0" applyFill="0" applyBorder="0" applyAlignment="0" applyProtection="0">
      <alignment vertical="top"/>
      <protection locked="0"/>
    </xf>
    <xf numFmtId="183" fontId="57" fillId="0" borderId="26">
      <alignment horizontal="center" vertical="center"/>
      <protection locked="0"/>
    </xf>
    <xf numFmtId="0" fontId="62" fillId="49" borderId="0" applyNumberFormat="0" applyBorder="0" applyAlignment="0" applyProtection="0"/>
    <xf numFmtId="0" fontId="67" fillId="42" borderId="0" applyNumberFormat="0" applyBorder="0" applyAlignment="0" applyProtection="0">
      <alignment vertical="center"/>
    </xf>
    <xf numFmtId="0" fontId="70" fillId="50" borderId="0" applyNumberFormat="0" applyBorder="0" applyAlignment="0" applyProtection="0"/>
    <xf numFmtId="0" fontId="54" fillId="42" borderId="0" applyNumberFormat="0" applyBorder="0" applyAlignment="0" applyProtection="0">
      <alignment vertical="center"/>
    </xf>
    <xf numFmtId="0" fontId="12" fillId="0" borderId="0">
      <alignment vertical="center"/>
    </xf>
    <xf numFmtId="9" fontId="56" fillId="0" borderId="0" applyFont="0" applyFill="0" applyBorder="0" applyAlignment="0" applyProtection="0">
      <alignment vertical="center"/>
    </xf>
    <xf numFmtId="9" fontId="13" fillId="0" borderId="0" applyFont="0" applyFill="0" applyBorder="0" applyAlignment="0" applyProtection="0"/>
    <xf numFmtId="0" fontId="66" fillId="0" borderId="0"/>
    <xf numFmtId="0" fontId="62" fillId="47" borderId="0" applyNumberFormat="0" applyBorder="0" applyAlignment="0" applyProtection="0">
      <alignment vertical="center"/>
    </xf>
    <xf numFmtId="0" fontId="69" fillId="0" borderId="0"/>
    <xf numFmtId="0" fontId="65" fillId="0" borderId="0" applyNumberFormat="0" applyFill="0" applyBorder="0" applyAlignment="0" applyProtection="0">
      <alignment vertical="top"/>
      <protection locked="0"/>
    </xf>
    <xf numFmtId="0" fontId="61" fillId="46" borderId="224" applyNumberFormat="0" applyAlignment="0" applyProtection="0"/>
    <xf numFmtId="0" fontId="56" fillId="44" borderId="0" applyNumberFormat="0" applyBorder="0" applyAlignment="0" applyProtection="0">
      <alignment vertical="center"/>
    </xf>
    <xf numFmtId="0" fontId="15" fillId="0" borderId="0"/>
    <xf numFmtId="0" fontId="59" fillId="42" borderId="0" applyNumberFormat="0" applyBorder="0" applyAlignment="0" applyProtection="0">
      <alignment vertical="center"/>
    </xf>
    <xf numFmtId="0" fontId="68" fillId="0" borderId="227" applyNumberFormat="0" applyFill="0" applyAlignment="0" applyProtection="0"/>
    <xf numFmtId="0" fontId="63" fillId="48" borderId="0" applyNumberFormat="0" applyBorder="0" applyAlignment="0" applyProtection="0">
      <alignment vertical="center"/>
    </xf>
    <xf numFmtId="0" fontId="60" fillId="43" borderId="225" applyNumberFormat="0" applyAlignment="0" applyProtection="0">
      <alignment vertical="center"/>
    </xf>
    <xf numFmtId="0" fontId="59" fillId="45" borderId="0" applyNumberFormat="0" applyBorder="0" applyAlignment="0" applyProtection="0">
      <alignment vertical="center"/>
    </xf>
    <xf numFmtId="0" fontId="57" fillId="51" borderId="26">
      <alignment horizontal="center" vertical="center"/>
    </xf>
    <xf numFmtId="0" fontId="68" fillId="0" borderId="227" applyNumberFormat="0" applyFill="0" applyAlignment="0" applyProtection="0">
      <alignment vertical="center"/>
    </xf>
    <xf numFmtId="0" fontId="71" fillId="52" borderId="0" applyNumberFormat="0" applyBorder="0" applyAlignment="0" applyProtection="0">
      <alignment vertical="center"/>
    </xf>
    <xf numFmtId="0" fontId="69" fillId="0" borderId="0">
      <alignment vertical="center"/>
    </xf>
    <xf numFmtId="0" fontId="59" fillId="48" borderId="0" applyNumberFormat="0" applyBorder="0" applyAlignment="0" applyProtection="0">
      <alignment vertical="center"/>
    </xf>
    <xf numFmtId="0" fontId="59" fillId="48" borderId="0" applyNumberFormat="0" applyBorder="0" applyAlignment="0" applyProtection="0"/>
    <xf numFmtId="0" fontId="59" fillId="42" borderId="0" applyNumberFormat="0" applyBorder="0" applyAlignment="0" applyProtection="0"/>
    <xf numFmtId="0" fontId="59" fillId="54" borderId="0" applyNumberFormat="0" applyBorder="0" applyAlignment="0" applyProtection="0">
      <alignment vertical="center"/>
    </xf>
    <xf numFmtId="0" fontId="59" fillId="55" borderId="0" applyNumberFormat="0" applyBorder="0" applyAlignment="0" applyProtection="0">
      <alignment vertical="center"/>
    </xf>
    <xf numFmtId="0" fontId="69" fillId="0" borderId="0">
      <alignment vertical="center"/>
    </xf>
    <xf numFmtId="0" fontId="72" fillId="56" borderId="224" applyNumberFormat="0" applyAlignment="0" applyProtection="0">
      <alignment vertical="center"/>
    </xf>
    <xf numFmtId="37" fontId="73" fillId="0" borderId="0"/>
    <xf numFmtId="0" fontId="69" fillId="0" borderId="0"/>
    <xf numFmtId="0" fontId="70" fillId="57" borderId="0" applyNumberFormat="0" applyBorder="0" applyAlignment="0" applyProtection="0">
      <alignment vertical="center"/>
    </xf>
    <xf numFmtId="0" fontId="59" fillId="54" borderId="0" applyNumberFormat="0" applyBorder="0" applyAlignment="0" applyProtection="0"/>
    <xf numFmtId="0" fontId="59" fillId="55" borderId="0" applyNumberFormat="0" applyBorder="0" applyAlignment="0" applyProtection="0"/>
    <xf numFmtId="0" fontId="69" fillId="0" borderId="0"/>
    <xf numFmtId="0" fontId="72" fillId="56" borderId="224" applyNumberFormat="0" applyAlignment="0" applyProtection="0"/>
    <xf numFmtId="0" fontId="69" fillId="0" borderId="0">
      <alignment vertical="center"/>
    </xf>
    <xf numFmtId="0" fontId="66" fillId="0" borderId="0">
      <alignment vertical="center"/>
    </xf>
    <xf numFmtId="38" fontId="74" fillId="43" borderId="0" applyNumberFormat="0" applyBorder="0" applyAlignment="0" applyProtection="0"/>
    <xf numFmtId="0" fontId="75" fillId="0" borderId="226" applyNumberFormat="0" applyFill="0" applyAlignment="0" applyProtection="0">
      <alignment vertical="center"/>
    </xf>
    <xf numFmtId="0" fontId="59" fillId="44" borderId="0" applyNumberFormat="0" applyBorder="0" applyAlignment="0" applyProtection="0">
      <alignment vertical="center"/>
    </xf>
    <xf numFmtId="0" fontId="12" fillId="0" borderId="0">
      <alignment vertical="center"/>
    </xf>
    <xf numFmtId="0" fontId="59" fillId="58" borderId="0" applyNumberFormat="0" applyBorder="0" applyAlignment="0" applyProtection="0"/>
    <xf numFmtId="0" fontId="59" fillId="58" borderId="0" applyNumberFormat="0" applyBorder="0" applyAlignment="0" applyProtection="0">
      <alignment vertical="center"/>
    </xf>
    <xf numFmtId="0" fontId="59" fillId="59" borderId="0" applyNumberFormat="0" applyBorder="0" applyAlignment="0" applyProtection="0"/>
    <xf numFmtId="0" fontId="59" fillId="59" borderId="0" applyNumberFormat="0" applyBorder="0" applyAlignment="0" applyProtection="0">
      <alignment vertical="center"/>
    </xf>
    <xf numFmtId="0" fontId="56" fillId="54" borderId="0" applyNumberFormat="0" applyBorder="0" applyAlignment="0" applyProtection="0">
      <alignment vertical="center"/>
    </xf>
    <xf numFmtId="0" fontId="56" fillId="48" borderId="0" applyNumberFormat="0" applyBorder="0" applyAlignment="0" applyProtection="0">
      <alignment vertical="center"/>
    </xf>
    <xf numFmtId="0" fontId="56" fillId="42" borderId="0" applyNumberFormat="0" applyBorder="0" applyAlignment="0" applyProtection="0">
      <alignment vertical="center"/>
    </xf>
    <xf numFmtId="0" fontId="64" fillId="0" borderId="226" applyNumberFormat="0" applyFill="0" applyAlignment="0" applyProtection="0"/>
    <xf numFmtId="0" fontId="56" fillId="44" borderId="0" applyNumberFormat="0" applyBorder="0" applyAlignment="0" applyProtection="0">
      <alignment vertical="center"/>
    </xf>
    <xf numFmtId="0" fontId="122" fillId="0" borderId="0">
      <alignment vertical="center"/>
    </xf>
    <xf numFmtId="0" fontId="56" fillId="58" borderId="0" applyNumberFormat="0" applyBorder="0" applyAlignment="0" applyProtection="0">
      <alignment vertical="center"/>
    </xf>
    <xf numFmtId="0" fontId="57" fillId="59" borderId="26">
      <alignment horizontal="center" vertical="center"/>
    </xf>
    <xf numFmtId="0" fontId="56" fillId="59" borderId="0" applyNumberFormat="0" applyBorder="0" applyAlignment="0" applyProtection="0">
      <alignment vertical="center"/>
    </xf>
    <xf numFmtId="0" fontId="59" fillId="60" borderId="0" applyNumberFormat="0" applyBorder="0" applyAlignment="0" applyProtection="0"/>
    <xf numFmtId="0" fontId="59" fillId="60" borderId="0" applyNumberFormat="0" applyBorder="0" applyAlignment="0" applyProtection="0">
      <alignment vertical="center"/>
    </xf>
    <xf numFmtId="0" fontId="59" fillId="61" borderId="0" applyNumberFormat="0" applyBorder="0" applyAlignment="0" applyProtection="0"/>
    <xf numFmtId="0" fontId="59" fillId="61" borderId="0" applyNumberFormat="0" applyBorder="0" applyAlignment="0" applyProtection="0">
      <alignment vertical="center"/>
    </xf>
    <xf numFmtId="0" fontId="59" fillId="62" borderId="0" applyNumberFormat="0" applyBorder="0" applyAlignment="0" applyProtection="0"/>
    <xf numFmtId="0" fontId="59" fillId="62" borderId="0" applyNumberFormat="0" applyBorder="0" applyAlignment="0" applyProtection="0">
      <alignment vertical="center"/>
    </xf>
    <xf numFmtId="0" fontId="59" fillId="44" borderId="0" applyNumberFormat="0" applyBorder="0" applyAlignment="0" applyProtection="0"/>
    <xf numFmtId="186" fontId="76" fillId="0" borderId="0"/>
    <xf numFmtId="0" fontId="58" fillId="0" borderId="0" applyNumberFormat="0" applyFill="0" applyBorder="0" applyAlignment="0" applyProtection="0">
      <alignment vertical="top"/>
      <protection locked="0"/>
    </xf>
    <xf numFmtId="0" fontId="59" fillId="44" borderId="0" applyNumberFormat="0" applyBorder="0" applyAlignment="0" applyProtection="0">
      <alignment vertical="center"/>
    </xf>
    <xf numFmtId="186" fontId="76" fillId="0" borderId="0">
      <alignment vertical="center"/>
    </xf>
    <xf numFmtId="0" fontId="78" fillId="0" borderId="0" applyNumberFormat="0" applyFill="0" applyBorder="0" applyAlignment="0" applyProtection="0">
      <alignment vertical="top"/>
      <protection locked="0"/>
    </xf>
    <xf numFmtId="0" fontId="59" fillId="60" borderId="0" applyNumberFormat="0" applyBorder="0" applyAlignment="0" applyProtection="0"/>
    <xf numFmtId="0" fontId="79" fillId="0" borderId="0" applyNumberFormat="0" applyFill="0" applyBorder="0" applyAlignment="0" applyProtection="0">
      <alignment vertical="center"/>
    </xf>
    <xf numFmtId="0" fontId="59" fillId="60" borderId="0" applyNumberFormat="0" applyBorder="0" applyAlignment="0" applyProtection="0">
      <alignment vertical="center"/>
    </xf>
    <xf numFmtId="0" fontId="59" fillId="53" borderId="0" applyNumberFormat="0" applyBorder="0" applyAlignment="0" applyProtection="0"/>
    <xf numFmtId="178" fontId="77" fillId="0" borderId="0" applyFont="0" applyFill="0" applyBorder="0" applyAlignment="0" applyProtection="0"/>
    <xf numFmtId="0" fontId="59" fillId="53" borderId="0" applyNumberFormat="0" applyBorder="0" applyAlignment="0" applyProtection="0">
      <alignment vertical="center"/>
    </xf>
    <xf numFmtId="0" fontId="12" fillId="0" borderId="0">
      <alignment vertical="center"/>
    </xf>
    <xf numFmtId="0" fontId="56" fillId="60" borderId="0" applyNumberFormat="0" applyBorder="0" applyAlignment="0" applyProtection="0">
      <alignment vertical="center"/>
    </xf>
    <xf numFmtId="0" fontId="80" fillId="0" borderId="0"/>
    <xf numFmtId="0" fontId="56" fillId="61" borderId="0" applyNumberFormat="0" applyBorder="0" applyAlignment="0" applyProtection="0">
      <alignment vertical="center"/>
    </xf>
    <xf numFmtId="0" fontId="56" fillId="62" borderId="0" applyNumberFormat="0" applyBorder="0" applyAlignment="0" applyProtection="0">
      <alignment vertical="center"/>
    </xf>
    <xf numFmtId="0" fontId="56" fillId="60" borderId="0" applyNumberFormat="0" applyBorder="0" applyAlignment="0" applyProtection="0">
      <alignment vertical="center"/>
    </xf>
    <xf numFmtId="0" fontId="56" fillId="53" borderId="0" applyNumberFormat="0" applyBorder="0" applyAlignment="0" applyProtection="0">
      <alignment vertical="center"/>
    </xf>
    <xf numFmtId="0" fontId="62" fillId="64" borderId="0" applyNumberFormat="0" applyBorder="0" applyAlignment="0" applyProtection="0"/>
    <xf numFmtId="0" fontId="62" fillId="64" borderId="0" applyNumberFormat="0" applyBorder="0" applyAlignment="0" applyProtection="0">
      <alignment vertical="center"/>
    </xf>
    <xf numFmtId="0" fontId="62" fillId="61" borderId="0" applyNumberFormat="0" applyBorder="0" applyAlignment="0" applyProtection="0"/>
    <xf numFmtId="0" fontId="81" fillId="0" borderId="0" applyNumberFormat="0" applyFill="0" applyBorder="0" applyAlignment="0" applyProtection="0">
      <alignment vertical="center"/>
    </xf>
    <xf numFmtId="0" fontId="12" fillId="0" borderId="0"/>
    <xf numFmtId="0" fontId="62" fillId="61" borderId="0" applyNumberFormat="0" applyBorder="0" applyAlignment="0" applyProtection="0">
      <alignment vertical="center"/>
    </xf>
    <xf numFmtId="0" fontId="12" fillId="0" borderId="0">
      <alignment vertical="center"/>
    </xf>
    <xf numFmtId="0" fontId="62" fillId="62" borderId="0" applyNumberFormat="0" applyBorder="0" applyAlignment="0" applyProtection="0"/>
    <xf numFmtId="0" fontId="12" fillId="0" borderId="0"/>
    <xf numFmtId="0" fontId="62" fillId="62" borderId="0" applyNumberFormat="0" applyBorder="0" applyAlignment="0" applyProtection="0">
      <alignment vertical="center"/>
    </xf>
    <xf numFmtId="0" fontId="82" fillId="67" borderId="0" applyNumberFormat="0" applyBorder="0" applyAlignment="0" applyProtection="0"/>
    <xf numFmtId="0" fontId="12" fillId="0" borderId="0">
      <alignment vertical="center"/>
    </xf>
    <xf numFmtId="0" fontId="62" fillId="68" borderId="0" applyNumberFormat="0" applyBorder="0" applyAlignment="0" applyProtection="0"/>
    <xf numFmtId="0" fontId="12" fillId="0" borderId="0"/>
    <xf numFmtId="0" fontId="62" fillId="68" borderId="0" applyNumberFormat="0" applyBorder="0" applyAlignment="0" applyProtection="0">
      <alignment vertical="center"/>
    </xf>
    <xf numFmtId="0" fontId="12" fillId="0" borderId="0">
      <alignment vertical="center"/>
    </xf>
    <xf numFmtId="0" fontId="62" fillId="69" borderId="0" applyNumberFormat="0" applyBorder="0" applyAlignment="0" applyProtection="0"/>
    <xf numFmtId="0" fontId="56" fillId="0" borderId="0">
      <alignment vertical="center"/>
    </xf>
    <xf numFmtId="0" fontId="84" fillId="68" borderId="0" applyNumberFormat="0" applyBorder="0" applyAlignment="0" applyProtection="0">
      <alignment vertical="center"/>
    </xf>
    <xf numFmtId="0" fontId="62" fillId="69" borderId="0" applyNumberFormat="0" applyBorder="0" applyAlignment="0" applyProtection="0">
      <alignment vertical="center"/>
    </xf>
    <xf numFmtId="0" fontId="62" fillId="73" borderId="0" applyNumberFormat="0" applyBorder="0" applyAlignment="0" applyProtection="0"/>
    <xf numFmtId="0" fontId="122" fillId="0" borderId="0">
      <alignment vertical="center"/>
    </xf>
    <xf numFmtId="0" fontId="62" fillId="73" borderId="0" applyNumberFormat="0" applyBorder="0" applyAlignment="0" applyProtection="0">
      <alignment vertical="center"/>
    </xf>
    <xf numFmtId="0" fontId="84" fillId="64" borderId="0" applyNumberFormat="0" applyBorder="0" applyAlignment="0" applyProtection="0">
      <alignment vertical="center"/>
    </xf>
    <xf numFmtId="0" fontId="68" fillId="0" borderId="0" applyNumberFormat="0" applyFill="0" applyBorder="0" applyAlignment="0" applyProtection="0"/>
    <xf numFmtId="0" fontId="84" fillId="61" borderId="0" applyNumberFormat="0" applyBorder="0" applyAlignment="0" applyProtection="0">
      <alignment vertical="center"/>
    </xf>
    <xf numFmtId="0" fontId="12" fillId="0" borderId="0">
      <alignment vertical="center"/>
    </xf>
    <xf numFmtId="0" fontId="84" fillId="62" borderId="0" applyNumberFormat="0" applyBorder="0" applyAlignment="0" applyProtection="0">
      <alignment vertical="center"/>
    </xf>
    <xf numFmtId="0" fontId="84" fillId="68" borderId="0" applyNumberFormat="0" applyBorder="0" applyAlignment="0" applyProtection="0">
      <alignment vertical="center"/>
    </xf>
    <xf numFmtId="0" fontId="86" fillId="74" borderId="0" applyNumberFormat="0" applyBorder="0" applyAlignment="0" applyProtection="0"/>
    <xf numFmtId="0" fontId="84" fillId="69" borderId="0" applyNumberFormat="0" applyBorder="0" applyAlignment="0" applyProtection="0">
      <alignment vertical="center"/>
    </xf>
    <xf numFmtId="0" fontId="84" fillId="73" borderId="0" applyNumberFormat="0" applyBorder="0" applyAlignment="0" applyProtection="0">
      <alignment vertical="center"/>
    </xf>
    <xf numFmtId="0" fontId="62" fillId="63" borderId="0" applyNumberFormat="0" applyBorder="0" applyAlignment="0" applyProtection="0"/>
    <xf numFmtId="193" fontId="77" fillId="0" borderId="0" applyFont="0" applyFill="0" applyBorder="0" applyAlignment="0" applyProtection="0"/>
    <xf numFmtId="0" fontId="59" fillId="55" borderId="0" applyNumberFormat="0" applyBorder="0" applyAlignment="0" applyProtection="0"/>
    <xf numFmtId="0" fontId="59" fillId="55" borderId="0" applyNumberFormat="0" applyBorder="0" applyAlignment="0" applyProtection="0">
      <alignment vertical="center"/>
    </xf>
    <xf numFmtId="0" fontId="62" fillId="75" borderId="0" applyNumberFormat="0" applyBorder="0" applyAlignment="0" applyProtection="0"/>
    <xf numFmtId="0" fontId="62" fillId="75" borderId="0" applyNumberFormat="0" applyBorder="0" applyAlignment="0" applyProtection="0">
      <alignment vertical="center"/>
    </xf>
    <xf numFmtId="0" fontId="56" fillId="0" borderId="0"/>
    <xf numFmtId="0" fontId="62" fillId="63" borderId="0" applyNumberFormat="0" applyBorder="0" applyAlignment="0" applyProtection="0">
      <alignment vertical="center"/>
    </xf>
    <xf numFmtId="0" fontId="62" fillId="71" borderId="0" applyNumberFormat="0" applyBorder="0" applyAlignment="0" applyProtection="0"/>
    <xf numFmtId="196" fontId="66" fillId="0" borderId="0">
      <alignment horizontal="justify" vertical="center"/>
    </xf>
    <xf numFmtId="0" fontId="54" fillId="42" borderId="0" applyNumberFormat="0" applyBorder="0" applyAlignment="0" applyProtection="0">
      <alignment vertical="center"/>
    </xf>
    <xf numFmtId="0" fontId="59" fillId="65" borderId="0" applyNumberFormat="0" applyBorder="0" applyAlignment="0" applyProtection="0"/>
    <xf numFmtId="0" fontId="59" fillId="65" borderId="0" applyNumberFormat="0" applyBorder="0" applyAlignment="0" applyProtection="0">
      <alignment vertical="center"/>
    </xf>
    <xf numFmtId="0" fontId="62" fillId="49" borderId="0" applyNumberFormat="0" applyBorder="0" applyAlignment="0" applyProtection="0">
      <alignment vertical="center"/>
    </xf>
    <xf numFmtId="0" fontId="83" fillId="0" borderId="0" applyNumberFormat="0" applyFill="0" applyBorder="0" applyProtection="0">
      <alignment vertical="center"/>
    </xf>
    <xf numFmtId="0" fontId="62" fillId="71" borderId="0" applyNumberFormat="0" applyBorder="0" applyAlignment="0" applyProtection="0">
      <alignment vertical="center"/>
    </xf>
    <xf numFmtId="0" fontId="54" fillId="42" borderId="0" applyNumberFormat="0" applyBorder="0" applyAlignment="0" applyProtection="0">
      <alignment vertical="center"/>
    </xf>
    <xf numFmtId="0" fontId="62" fillId="70" borderId="0" applyNumberFormat="0" applyBorder="0" applyAlignment="0" applyProtection="0"/>
    <xf numFmtId="0" fontId="62" fillId="49" borderId="0" applyNumberFormat="0" applyBorder="0" applyAlignment="0" applyProtection="0"/>
    <xf numFmtId="0" fontId="59" fillId="65" borderId="0" applyNumberFormat="0" applyBorder="0" applyAlignment="0" applyProtection="0"/>
    <xf numFmtId="0" fontId="62" fillId="66" borderId="0" applyNumberFormat="0" applyBorder="0" applyAlignment="0" applyProtection="0">
      <alignment vertical="center"/>
    </xf>
    <xf numFmtId="0" fontId="59" fillId="65" borderId="0" applyNumberFormat="0" applyBorder="0" applyAlignment="0" applyProtection="0">
      <alignment vertical="center"/>
    </xf>
    <xf numFmtId="0" fontId="59" fillId="72" borderId="0" applyNumberFormat="0" applyBorder="0" applyAlignment="0" applyProtection="0"/>
    <xf numFmtId="0" fontId="59" fillId="72" borderId="0" applyNumberFormat="0" applyBorder="0" applyAlignment="0" applyProtection="0">
      <alignment vertical="center"/>
    </xf>
    <xf numFmtId="0" fontId="62" fillId="45" borderId="0" applyNumberFormat="0" applyBorder="0" applyAlignment="0" applyProtection="0"/>
    <xf numFmtId="0" fontId="70" fillId="50" borderId="0" applyNumberFormat="0" applyBorder="0" applyAlignment="0" applyProtection="0">
      <alignment vertical="center"/>
    </xf>
    <xf numFmtId="0" fontId="62" fillId="45" borderId="0" applyNumberFormat="0" applyBorder="0" applyAlignment="0" applyProtection="0">
      <alignment vertical="center"/>
    </xf>
    <xf numFmtId="0" fontId="62" fillId="49" borderId="0" applyNumberFormat="0" applyBorder="0" applyAlignment="0" applyProtection="0">
      <alignment vertical="center"/>
    </xf>
    <xf numFmtId="0" fontId="62" fillId="63" borderId="0" applyNumberFormat="0" applyBorder="0" applyAlignment="0" applyProtection="0"/>
    <xf numFmtId="0" fontId="59" fillId="55" borderId="0" applyNumberFormat="0" applyBorder="0" applyAlignment="0" applyProtection="0"/>
    <xf numFmtId="9" fontId="12" fillId="0" borderId="0" applyFont="0" applyFill="0" applyBorder="0" applyAlignment="0" applyProtection="0">
      <alignment vertical="center"/>
    </xf>
    <xf numFmtId="0" fontId="59" fillId="55" borderId="0" applyNumberFormat="0" applyBorder="0" applyAlignment="0" applyProtection="0">
      <alignment vertical="center"/>
    </xf>
    <xf numFmtId="0" fontId="59" fillId="45" borderId="0" applyNumberFormat="0" applyBorder="0" applyAlignment="0" applyProtection="0"/>
    <xf numFmtId="0" fontId="59" fillId="45" borderId="0" applyNumberFormat="0" applyBorder="0" applyAlignment="0" applyProtection="0">
      <alignment vertical="center"/>
    </xf>
    <xf numFmtId="0" fontId="59" fillId="46" borderId="0" applyNumberFormat="0" applyBorder="0" applyAlignment="0" applyProtection="0"/>
    <xf numFmtId="0" fontId="12" fillId="0" borderId="0">
      <alignment vertical="center"/>
    </xf>
    <xf numFmtId="0" fontId="62" fillId="45" borderId="0" applyNumberFormat="0" applyBorder="0" applyAlignment="0" applyProtection="0"/>
    <xf numFmtId="0" fontId="62" fillId="45" borderId="0" applyNumberFormat="0" applyBorder="0" applyAlignment="0" applyProtection="0">
      <alignment vertical="center"/>
    </xf>
    <xf numFmtId="0" fontId="62" fillId="63" borderId="0" applyNumberFormat="0" applyBorder="0" applyAlignment="0" applyProtection="0">
      <alignment vertical="center"/>
    </xf>
    <xf numFmtId="0" fontId="62" fillId="47" borderId="0" applyNumberFormat="0" applyBorder="0" applyAlignment="0" applyProtection="0"/>
    <xf numFmtId="0" fontId="62" fillId="66" borderId="0" applyNumberFormat="0" applyBorder="0" applyAlignment="0" applyProtection="0"/>
    <xf numFmtId="0" fontId="59" fillId="76" borderId="0" applyNumberFormat="0" applyBorder="0" applyAlignment="0" applyProtection="0"/>
    <xf numFmtId="0" fontId="59" fillId="76" borderId="0" applyNumberFormat="0" applyBorder="0" applyAlignment="0" applyProtection="0">
      <alignment vertical="center"/>
    </xf>
    <xf numFmtId="0" fontId="59" fillId="55" borderId="0" applyNumberFormat="0" applyBorder="0" applyAlignment="0" applyProtection="0"/>
    <xf numFmtId="0" fontId="59" fillId="55" borderId="0" applyNumberFormat="0" applyBorder="0" applyAlignment="0" applyProtection="0">
      <alignment vertical="center"/>
    </xf>
    <xf numFmtId="0" fontId="87" fillId="0" borderId="0" applyNumberFormat="0" applyFill="0" applyBorder="0" applyAlignment="0" applyProtection="0"/>
    <xf numFmtId="0" fontId="62" fillId="75" borderId="0" applyNumberFormat="0" applyBorder="0" applyAlignment="0" applyProtection="0"/>
    <xf numFmtId="0" fontId="80" fillId="0" borderId="0"/>
    <xf numFmtId="0" fontId="62" fillId="75" borderId="0" applyNumberFormat="0" applyBorder="0" applyAlignment="0" applyProtection="0">
      <alignment vertical="center"/>
    </xf>
    <xf numFmtId="0" fontId="80" fillId="0" borderId="0">
      <alignment vertical="center"/>
    </xf>
    <xf numFmtId="0" fontId="59" fillId="65" borderId="0" applyNumberFormat="0" applyBorder="0" applyAlignment="0" applyProtection="0"/>
    <xf numFmtId="0" fontId="59" fillId="65" borderId="0" applyNumberFormat="0" applyBorder="0" applyAlignment="0" applyProtection="0">
      <alignment vertical="center"/>
    </xf>
    <xf numFmtId="0" fontId="59" fillId="46" borderId="0" applyNumberFormat="0" applyBorder="0" applyAlignment="0" applyProtection="0">
      <alignment vertical="center"/>
    </xf>
    <xf numFmtId="0" fontId="62" fillId="46" borderId="0" applyNumberFormat="0" applyBorder="0" applyAlignment="0" applyProtection="0"/>
    <xf numFmtId="0" fontId="82" fillId="67" borderId="0" applyNumberFormat="0" applyBorder="0" applyAlignment="0" applyProtection="0">
      <alignment vertical="center"/>
    </xf>
    <xf numFmtId="188" fontId="88" fillId="0" borderId="0" applyFill="0" applyBorder="0" applyAlignment="0"/>
    <xf numFmtId="188" fontId="88" fillId="0" borderId="0" applyFill="0" applyBorder="0" applyAlignment="0">
      <alignment vertical="center"/>
    </xf>
    <xf numFmtId="0" fontId="89" fillId="49" borderId="228" applyNumberFormat="0" applyAlignment="0" applyProtection="0"/>
    <xf numFmtId="0" fontId="56" fillId="0" borderId="0">
      <alignment vertical="center"/>
    </xf>
    <xf numFmtId="0" fontId="89" fillId="49" borderId="228" applyNumberFormat="0" applyAlignment="0" applyProtection="0">
      <alignment vertical="center"/>
    </xf>
    <xf numFmtId="0" fontId="56" fillId="0" borderId="0">
      <alignment vertical="center"/>
    </xf>
    <xf numFmtId="0" fontId="70" fillId="57" borderId="0" applyNumberFormat="0" applyBorder="0" applyAlignment="0" applyProtection="0"/>
    <xf numFmtId="0" fontId="70" fillId="77" borderId="0" applyNumberFormat="0" applyBorder="0" applyAlignment="0" applyProtection="0"/>
    <xf numFmtId="0" fontId="70" fillId="77" borderId="0" applyNumberFormat="0" applyBorder="0" applyAlignment="0" applyProtection="0">
      <alignment vertical="center"/>
    </xf>
    <xf numFmtId="0" fontId="90" fillId="0" borderId="0" applyNumberFormat="0" applyFill="0" applyBorder="0" applyAlignment="0" applyProtection="0"/>
    <xf numFmtId="0" fontId="84" fillId="78" borderId="0" applyNumberFormat="0" applyBorder="0" applyAlignment="0" applyProtection="0">
      <alignment vertical="center"/>
    </xf>
    <xf numFmtId="0" fontId="90" fillId="0" borderId="0" applyNumberFormat="0" applyFill="0" applyBorder="0" applyAlignment="0" applyProtection="0">
      <alignment vertical="center"/>
    </xf>
    <xf numFmtId="0" fontId="91" fillId="72" borderId="0" applyNumberFormat="0" applyBorder="0" applyAlignment="0" applyProtection="0"/>
    <xf numFmtId="0" fontId="12" fillId="0" borderId="0">
      <alignment vertical="center"/>
    </xf>
    <xf numFmtId="0" fontId="83" fillId="0" borderId="0" applyNumberFormat="0" applyFill="0" applyBorder="0" applyAlignment="0" applyProtection="0">
      <alignment vertical="top"/>
      <protection locked="0"/>
    </xf>
    <xf numFmtId="0" fontId="91" fillId="72" borderId="0" applyNumberFormat="0" applyBorder="0" applyAlignment="0" applyProtection="0">
      <alignment vertical="center"/>
    </xf>
    <xf numFmtId="38" fontId="74" fillId="43" borderId="0" applyNumberFormat="0" applyBorder="0" applyAlignment="0" applyProtection="0">
      <alignment vertical="center"/>
    </xf>
    <xf numFmtId="0" fontId="92" fillId="0" borderId="229" applyNumberFormat="0" applyAlignment="0" applyProtection="0">
      <alignment horizontal="left" vertical="center"/>
    </xf>
    <xf numFmtId="196" fontId="66" fillId="0" borderId="0">
      <alignment horizontal="justify"/>
    </xf>
    <xf numFmtId="0" fontId="92" fillId="0" borderId="24">
      <alignment horizontal="left" vertical="center"/>
    </xf>
    <xf numFmtId="0" fontId="93" fillId="0" borderId="230" applyNumberFormat="0" applyFill="0" applyAlignment="0" applyProtection="0"/>
    <xf numFmtId="0" fontId="94" fillId="48" borderId="0" applyNumberFormat="0" applyBorder="0" applyAlignment="0" applyProtection="0">
      <alignment vertical="center"/>
    </xf>
    <xf numFmtId="178" fontId="80" fillId="0" borderId="0" applyFont="0" applyFill="0" applyBorder="0" applyAlignment="0" applyProtection="0"/>
    <xf numFmtId="0" fontId="93" fillId="0" borderId="230" applyNumberFormat="0" applyFill="0" applyAlignment="0" applyProtection="0">
      <alignment vertical="center"/>
    </xf>
    <xf numFmtId="0" fontId="94" fillId="48" borderId="0" applyNumberFormat="0" applyBorder="0" applyAlignment="0" applyProtection="0">
      <alignment vertical="center"/>
    </xf>
    <xf numFmtId="0" fontId="64" fillId="0" borderId="226" applyNumberFormat="0" applyFill="0" applyAlignment="0" applyProtection="0">
      <alignment vertical="center"/>
    </xf>
    <xf numFmtId="0" fontId="68" fillId="0" borderId="0" applyNumberFormat="0" applyFill="0" applyBorder="0" applyAlignment="0" applyProtection="0">
      <alignment vertical="center"/>
    </xf>
    <xf numFmtId="10" fontId="74" fillId="79" borderId="26" applyNumberFormat="0" applyBorder="0" applyAlignment="0" applyProtection="0"/>
    <xf numFmtId="10" fontId="74" fillId="79" borderId="26" applyNumberFormat="0" applyBorder="0" applyAlignment="0" applyProtection="0">
      <alignment vertical="center"/>
    </xf>
    <xf numFmtId="0" fontId="61" fillId="46" borderId="224" applyNumberFormat="0" applyAlignment="0" applyProtection="0"/>
    <xf numFmtId="0" fontId="95" fillId="0" borderId="231" applyNumberFormat="0" applyFill="0" applyAlignment="0" applyProtection="0"/>
    <xf numFmtId="0" fontId="96" fillId="80" borderId="228" applyNumberFormat="0" applyAlignment="0" applyProtection="0">
      <alignment vertical="center"/>
    </xf>
    <xf numFmtId="0" fontId="95" fillId="0" borderId="231" applyNumberFormat="0" applyFill="0" applyAlignment="0" applyProtection="0">
      <alignment vertical="center"/>
    </xf>
    <xf numFmtId="38" fontId="97" fillId="0" borderId="0" applyFont="0" applyFill="0" applyBorder="0" applyAlignment="0" applyProtection="0"/>
    <xf numFmtId="40" fontId="97" fillId="0" borderId="0" applyFont="0" applyFill="0" applyBorder="0" applyAlignment="0" applyProtection="0"/>
    <xf numFmtId="0" fontId="85" fillId="48" borderId="0" applyNumberFormat="0" applyBorder="0" applyAlignment="0" applyProtection="0">
      <alignment vertical="center"/>
    </xf>
    <xf numFmtId="0" fontId="98" fillId="0" borderId="0" applyFont="0" applyFill="0" applyBorder="0" applyAlignment="0" applyProtection="0"/>
    <xf numFmtId="0" fontId="98" fillId="0" borderId="0" applyFont="0" applyFill="0" applyBorder="0" applyAlignment="0" applyProtection="0"/>
    <xf numFmtId="185" fontId="80" fillId="0" borderId="0" applyFont="0" applyFill="0" applyBorder="0" applyAlignment="0" applyProtection="0"/>
    <xf numFmtId="0" fontId="86" fillId="74" borderId="0" applyNumberFormat="0" applyBorder="0" applyAlignment="0" applyProtection="0">
      <alignment vertical="center"/>
    </xf>
    <xf numFmtId="37" fontId="73" fillId="0" borderId="0">
      <alignment vertical="center"/>
    </xf>
    <xf numFmtId="0" fontId="99" fillId="0" borderId="0" applyNumberFormat="0" applyFill="0">
      <alignment horizontal="left" vertical="center"/>
    </xf>
    <xf numFmtId="0" fontId="100" fillId="0" borderId="0" applyNumberFormat="0" applyFill="0" applyBorder="0" applyAlignment="0" applyProtection="0"/>
    <xf numFmtId="0" fontId="101" fillId="65" borderId="232" applyNumberFormat="0" applyFont="0" applyAlignment="0" applyProtection="0"/>
    <xf numFmtId="0" fontId="102" fillId="65" borderId="232" applyNumberFormat="0" applyFont="0" applyAlignment="0" applyProtection="0">
      <alignment vertical="center"/>
    </xf>
    <xf numFmtId="0" fontId="103" fillId="0" borderId="0" applyNumberFormat="0" applyFill="0" applyBorder="0" applyAlignment="0" applyProtection="0">
      <alignment vertical="center"/>
    </xf>
    <xf numFmtId="0" fontId="104" fillId="56" borderId="225" applyNumberFormat="0" applyAlignment="0" applyProtection="0"/>
    <xf numFmtId="0" fontId="104" fillId="56" borderId="225" applyNumberFormat="0" applyAlignment="0" applyProtection="0">
      <alignment vertical="center"/>
    </xf>
    <xf numFmtId="10" fontId="80" fillId="0" borderId="0" applyFont="0" applyFill="0" applyBorder="0" applyAlignment="0" applyProtection="0"/>
    <xf numFmtId="10" fontId="80" fillId="0" borderId="0" applyFont="0" applyFill="0" applyBorder="0" applyAlignment="0" applyProtection="0">
      <alignment vertical="center"/>
    </xf>
    <xf numFmtId="0" fontId="87" fillId="0" borderId="0" applyNumberFormat="0" applyFill="0" applyBorder="0" applyAlignment="0" applyProtection="0">
      <alignment vertical="center"/>
    </xf>
    <xf numFmtId="0" fontId="105" fillId="0" borderId="26">
      <alignment horizontal="center"/>
    </xf>
    <xf numFmtId="0" fontId="66" fillId="0" borderId="0"/>
    <xf numFmtId="0" fontId="94" fillId="48" borderId="0" applyNumberFormat="0" applyBorder="0" applyAlignment="0" applyProtection="0">
      <alignment vertical="center"/>
    </xf>
    <xf numFmtId="0" fontId="66" fillId="0" borderId="0">
      <alignment vertical="center"/>
    </xf>
    <xf numFmtId="0" fontId="105" fillId="0" borderId="26">
      <alignment horizontal="center" vertical="center"/>
    </xf>
    <xf numFmtId="0" fontId="105" fillId="0" borderId="0">
      <alignment horizontal="center" vertical="center"/>
    </xf>
    <xf numFmtId="0" fontId="81" fillId="0" borderId="0" applyNumberFormat="0" applyFill="0" applyBorder="0" applyAlignment="0" applyProtection="0"/>
    <xf numFmtId="0" fontId="12" fillId="0" borderId="0"/>
    <xf numFmtId="0" fontId="70" fillId="0" borderId="233" applyNumberFormat="0" applyFill="0" applyAlignment="0" applyProtection="0"/>
    <xf numFmtId="0" fontId="70" fillId="0" borderId="233" applyNumberFormat="0" applyFill="0" applyAlignment="0" applyProtection="0">
      <alignment vertical="center"/>
    </xf>
    <xf numFmtId="0" fontId="100" fillId="0" borderId="0" applyNumberFormat="0" applyFill="0" applyBorder="0" applyAlignment="0" applyProtection="0">
      <alignment vertical="center"/>
    </xf>
    <xf numFmtId="9" fontId="56" fillId="0" borderId="0" applyFont="0" applyFill="0" applyBorder="0" applyAlignment="0" applyProtection="0">
      <alignment vertical="center"/>
    </xf>
    <xf numFmtId="0" fontId="67" fillId="42" borderId="0" applyNumberFormat="0" applyBorder="0" applyAlignment="0" applyProtection="0">
      <alignment vertical="center"/>
    </xf>
    <xf numFmtId="9" fontId="12" fillId="0" borderId="0" applyFont="0" applyFill="0" applyBorder="0" applyAlignment="0" applyProtection="0"/>
    <xf numFmtId="9" fontId="56" fillId="0" borderId="0" applyFont="0" applyFill="0" applyBorder="0" applyAlignment="0" applyProtection="0">
      <alignment vertical="center"/>
    </xf>
    <xf numFmtId="9" fontId="12" fillId="0" borderId="0" applyFont="0" applyFill="0" applyBorder="0" applyAlignment="0" applyProtection="0">
      <alignment vertical="center"/>
    </xf>
    <xf numFmtId="198" fontId="57" fillId="0" borderId="26">
      <alignment horizontal="center" vertical="center" wrapText="1"/>
    </xf>
    <xf numFmtId="196" fontId="80" fillId="0" borderId="0" applyFont="0" applyFill="0" applyBorder="0" applyAlignment="0" applyProtection="0"/>
    <xf numFmtId="180" fontId="80" fillId="0" borderId="0" applyFont="0" applyFill="0" applyBorder="0" applyAlignment="0" applyProtection="0"/>
    <xf numFmtId="0" fontId="109" fillId="0" borderId="234" applyNumberFormat="0" applyFill="0" applyProtection="0">
      <alignment vertical="center"/>
    </xf>
    <xf numFmtId="0" fontId="94" fillId="48" borderId="0" applyNumberFormat="0" applyBorder="0" applyAlignment="0" applyProtection="0">
      <alignment vertical="center"/>
    </xf>
    <xf numFmtId="0" fontId="111" fillId="0" borderId="236" applyNumberFormat="0" applyFill="0" applyAlignment="0" applyProtection="0">
      <alignment vertical="center"/>
    </xf>
    <xf numFmtId="0" fontId="112" fillId="0" borderId="226" applyNumberFormat="0" applyFill="0" applyProtection="0">
      <alignment vertical="center"/>
    </xf>
    <xf numFmtId="0" fontId="67" fillId="42" borderId="0" applyNumberFormat="0" applyBorder="0" applyAlignment="0" applyProtection="0">
      <alignment vertical="center"/>
    </xf>
    <xf numFmtId="0" fontId="114" fillId="0" borderId="237" applyNumberFormat="0" applyFill="0" applyAlignment="0" applyProtection="0">
      <alignment vertical="center"/>
    </xf>
    <xf numFmtId="0" fontId="114" fillId="0" borderId="0" applyNumberFormat="0" applyFill="0" applyBorder="0" applyAlignment="0" applyProtection="0">
      <alignment vertical="center"/>
    </xf>
    <xf numFmtId="0" fontId="101" fillId="0" borderId="0"/>
    <xf numFmtId="0" fontId="115" fillId="0" borderId="0" applyNumberFormat="0" applyFill="0" applyBorder="0" applyAlignment="0" applyProtection="0">
      <alignment vertical="top"/>
      <protection locked="0"/>
    </xf>
    <xf numFmtId="0" fontId="116" fillId="48" borderId="0" applyNumberFormat="0" applyBorder="0" applyAlignment="0" applyProtection="0">
      <alignment vertical="center"/>
    </xf>
    <xf numFmtId="0" fontId="94" fillId="48" borderId="0" applyNumberFormat="0" applyBorder="0" applyAlignment="0" applyProtection="0">
      <alignment vertical="center"/>
    </xf>
    <xf numFmtId="0" fontId="12" fillId="0" borderId="0">
      <alignment vertical="center"/>
    </xf>
    <xf numFmtId="0" fontId="94" fillId="48" borderId="0" applyNumberFormat="0" applyBorder="0" applyAlignment="0" applyProtection="0">
      <alignment vertical="center"/>
    </xf>
    <xf numFmtId="0" fontId="94" fillId="48" borderId="0" applyNumberFormat="0" applyBorder="0" applyAlignment="0" applyProtection="0">
      <alignment vertical="center"/>
    </xf>
    <xf numFmtId="0" fontId="94"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85"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83" fillId="0" borderId="0" applyNumberFormat="0" applyFill="0" applyBorder="0" applyAlignment="0" applyProtection="0">
      <alignment vertical="top"/>
      <protection locked="0"/>
    </xf>
    <xf numFmtId="0" fontId="15" fillId="0" borderId="0">
      <alignment vertical="center"/>
    </xf>
    <xf numFmtId="0" fontId="12" fillId="0" borderId="0"/>
    <xf numFmtId="0" fontId="107" fillId="42" borderId="0" applyNumberFormat="0" applyBorder="0" applyAlignment="0" applyProtection="0">
      <alignment vertical="center"/>
    </xf>
    <xf numFmtId="0" fontId="12" fillId="0" borderId="0">
      <alignment vertical="center"/>
    </xf>
    <xf numFmtId="0" fontId="12" fillId="0" borderId="0">
      <alignment vertical="center"/>
    </xf>
    <xf numFmtId="0" fontId="13" fillId="0" borderId="0"/>
    <xf numFmtId="0" fontId="12" fillId="0" borderId="0">
      <alignment vertical="center"/>
    </xf>
    <xf numFmtId="0" fontId="12" fillId="0" borderId="0">
      <alignment vertical="center"/>
    </xf>
    <xf numFmtId="0" fontId="12" fillId="0" borderId="0"/>
    <xf numFmtId="0" fontId="12" fillId="0" borderId="0">
      <alignment vertical="center"/>
    </xf>
    <xf numFmtId="0" fontId="56" fillId="0" borderId="0">
      <alignment vertical="center"/>
    </xf>
    <xf numFmtId="0" fontId="12" fillId="0" borderId="0">
      <alignment vertical="center"/>
    </xf>
    <xf numFmtId="185" fontId="77" fillId="0" borderId="0" applyFont="0" applyFill="0" applyBorder="0" applyAlignment="0" applyProtection="0"/>
    <xf numFmtId="0" fontId="12" fillId="0" borderId="0">
      <alignment vertical="center"/>
    </xf>
    <xf numFmtId="0" fontId="12" fillId="0" borderId="0">
      <alignment vertical="center"/>
    </xf>
    <xf numFmtId="0" fontId="12" fillId="0" borderId="0">
      <alignment vertical="center"/>
    </xf>
    <xf numFmtId="0" fontId="12" fillId="0" borderId="0"/>
    <xf numFmtId="0" fontId="12" fillId="0" borderId="0"/>
    <xf numFmtId="0" fontId="12" fillId="0" borderId="0">
      <alignment vertical="center"/>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106"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7" fillId="42" borderId="0" applyNumberFormat="0" applyBorder="0" applyAlignment="0" applyProtection="0">
      <alignment vertical="center"/>
    </xf>
    <xf numFmtId="0" fontId="107" fillId="42" borderId="0" applyNumberFormat="0" applyBorder="0" applyAlignment="0" applyProtection="0">
      <alignment vertical="center"/>
    </xf>
    <xf numFmtId="0" fontId="67" fillId="42" borderId="0" applyNumberFormat="0" applyBorder="0" applyAlignment="0" applyProtection="0">
      <alignment vertical="center"/>
    </xf>
    <xf numFmtId="0" fontId="67" fillId="42" borderId="0" applyNumberFormat="0" applyBorder="0" applyAlignment="0" applyProtection="0">
      <alignment vertical="center"/>
    </xf>
    <xf numFmtId="0" fontId="110" fillId="0" borderId="235" applyNumberFormat="0" applyFill="0" applyAlignment="0" applyProtection="0">
      <alignment vertical="center"/>
    </xf>
    <xf numFmtId="0" fontId="108" fillId="0" borderId="0" applyNumberFormat="0" applyFill="0" applyBorder="0" applyAlignment="0" applyProtection="0">
      <alignment vertical="center"/>
    </xf>
    <xf numFmtId="0" fontId="57" fillId="81" borderId="26">
      <alignment horizontal="center" vertical="center"/>
    </xf>
    <xf numFmtId="0" fontId="113" fillId="0" borderId="231" applyNumberFormat="0" applyFill="0" applyAlignment="0" applyProtection="0">
      <alignment vertical="center"/>
    </xf>
    <xf numFmtId="0" fontId="84" fillId="82" borderId="0" applyNumberFormat="0" applyBorder="0" applyAlignment="0" applyProtection="0">
      <alignment vertical="center"/>
    </xf>
    <xf numFmtId="0" fontId="84" fillId="83" borderId="0" applyNumberFormat="0" applyBorder="0" applyAlignment="0" applyProtection="0">
      <alignment vertical="center"/>
    </xf>
    <xf numFmtId="0" fontId="84" fillId="69" borderId="0" applyNumberFormat="0" applyBorder="0" applyAlignment="0" applyProtection="0">
      <alignment vertical="center"/>
    </xf>
    <xf numFmtId="0" fontId="84" fillId="84" borderId="0" applyNumberFormat="0" applyBorder="0" applyAlignment="0" applyProtection="0">
      <alignment vertical="center"/>
    </xf>
    <xf numFmtId="0" fontId="117" fillId="59" borderId="224" applyNumberFormat="0" applyAlignment="0" applyProtection="0">
      <alignment vertical="center"/>
    </xf>
    <xf numFmtId="0" fontId="57" fillId="0" borderId="26">
      <alignment vertical="center" wrapText="1"/>
      <protection locked="0"/>
    </xf>
    <xf numFmtId="0" fontId="57" fillId="79" borderId="26">
      <alignment horizontal="center" vertical="center" wrapText="1"/>
    </xf>
    <xf numFmtId="0" fontId="66" fillId="0" borderId="0"/>
    <xf numFmtId="0" fontId="66" fillId="0" borderId="0">
      <alignment vertical="center"/>
    </xf>
    <xf numFmtId="0" fontId="77" fillId="0" borderId="0"/>
    <xf numFmtId="0" fontId="80" fillId="0" borderId="0"/>
    <xf numFmtId="0" fontId="12" fillId="79" borderId="232" applyNumberFormat="0" applyFont="0" applyAlignment="0" applyProtection="0">
      <alignment vertical="center"/>
    </xf>
    <xf numFmtId="0" fontId="12" fillId="79" borderId="232" applyNumberFormat="0" applyFont="0" applyAlignment="0" applyProtection="0">
      <alignment vertical="center"/>
    </xf>
    <xf numFmtId="0" fontId="13" fillId="79" borderId="232" applyNumberFormat="0" applyFont="0" applyAlignment="0" applyProtection="0">
      <alignment vertical="center"/>
    </xf>
    <xf numFmtId="184" fontId="77" fillId="0" borderId="0" applyFont="0" applyFill="0" applyBorder="0" applyAlignment="0" applyProtection="0"/>
    <xf numFmtId="0" fontId="77" fillId="0" borderId="0"/>
  </cellStyleXfs>
  <cellXfs count="640">
    <xf numFmtId="0" fontId="0" fillId="0" borderId="0" xfId="0"/>
    <xf numFmtId="0" fontId="1" fillId="2" borderId="0" xfId="276" applyFont="1" applyFill="1" applyAlignment="1">
      <alignment vertical="center"/>
    </xf>
    <xf numFmtId="0" fontId="2" fillId="0" borderId="0" xfId="276" applyFont="1" applyAlignment="1">
      <alignment vertical="center"/>
    </xf>
    <xf numFmtId="0" fontId="1" fillId="0" borderId="0" xfId="276" applyFont="1" applyAlignment="1">
      <alignment horizontal="left" vertical="center" indent="1"/>
    </xf>
    <xf numFmtId="0" fontId="1" fillId="0" borderId="0" xfId="276" applyFont="1" applyAlignment="1">
      <alignment vertical="center"/>
    </xf>
    <xf numFmtId="0" fontId="3" fillId="0" borderId="0" xfId="276" applyFont="1" applyAlignment="1">
      <alignment vertical="center"/>
    </xf>
    <xf numFmtId="0" fontId="4" fillId="3" borderId="1" xfId="276" applyFont="1" applyFill="1" applyBorder="1" applyAlignment="1">
      <alignment vertical="center"/>
    </xf>
    <xf numFmtId="0" fontId="4" fillId="3" borderId="1" xfId="276" applyFont="1" applyFill="1" applyBorder="1" applyAlignment="1">
      <alignment horizontal="center" vertical="center" wrapText="1"/>
    </xf>
    <xf numFmtId="0" fontId="4" fillId="3" borderId="1" xfId="276" applyFont="1" applyFill="1" applyBorder="1" applyAlignment="1">
      <alignment horizontal="center" vertical="center"/>
    </xf>
    <xf numFmtId="0" fontId="1" fillId="0" borderId="0" xfId="276" applyFont="1" applyAlignment="1">
      <alignment horizontal="center" vertical="center"/>
    </xf>
    <xf numFmtId="0" fontId="5" fillId="4" borderId="1" xfId="276" applyFont="1" applyFill="1" applyBorder="1" applyAlignment="1">
      <alignment vertical="center"/>
    </xf>
    <xf numFmtId="195" fontId="5" fillId="5" borderId="1" xfId="276" applyNumberFormat="1" applyFont="1" applyFill="1" applyBorder="1" applyAlignment="1">
      <alignment horizontal="center" vertical="center"/>
    </xf>
    <xf numFmtId="0" fontId="5" fillId="5" borderId="1" xfId="276" applyFont="1" applyFill="1" applyBorder="1" applyAlignment="1">
      <alignment horizontal="center" vertical="center"/>
    </xf>
    <xf numFmtId="0" fontId="6" fillId="5" borderId="1" xfId="276" applyFont="1" applyFill="1" applyBorder="1" applyAlignment="1">
      <alignment horizontal="center" vertical="center"/>
    </xf>
    <xf numFmtId="194" fontId="1" fillId="0" borderId="0" xfId="276" applyNumberFormat="1" applyFont="1" applyAlignment="1">
      <alignment vertical="center"/>
    </xf>
    <xf numFmtId="0" fontId="5" fillId="6" borderId="1" xfId="276" applyFont="1" applyFill="1" applyBorder="1" applyAlignment="1">
      <alignment vertical="center"/>
    </xf>
    <xf numFmtId="195" fontId="5" fillId="6" borderId="1" xfId="276" applyNumberFormat="1" applyFont="1" applyFill="1" applyBorder="1" applyAlignment="1">
      <alignment horizontal="center" vertical="center"/>
    </xf>
    <xf numFmtId="0" fontId="5" fillId="6" borderId="1" xfId="276" applyFont="1" applyFill="1" applyBorder="1" applyAlignment="1">
      <alignment horizontal="center" vertical="center"/>
    </xf>
    <xf numFmtId="0" fontId="1" fillId="7" borderId="2" xfId="276" applyFont="1" applyFill="1" applyBorder="1" applyAlignment="1">
      <alignment horizontal="center" vertical="center"/>
    </xf>
    <xf numFmtId="0" fontId="1" fillId="8" borderId="2" xfId="276" applyFont="1" applyFill="1" applyBorder="1" applyAlignment="1">
      <alignment horizontal="center" vertical="center"/>
    </xf>
    <xf numFmtId="0" fontId="1" fillId="0" borderId="3" xfId="276" applyFont="1" applyBorder="1" applyAlignment="1">
      <alignment vertical="center" wrapText="1"/>
    </xf>
    <xf numFmtId="0" fontId="1" fillId="0" borderId="4" xfId="276" applyFont="1" applyBorder="1" applyAlignment="1">
      <alignment horizontal="center" vertical="center"/>
    </xf>
    <xf numFmtId="0" fontId="1" fillId="0" borderId="4" xfId="276" applyFont="1" applyBorder="1" applyAlignment="1">
      <alignment vertical="center"/>
    </xf>
    <xf numFmtId="0" fontId="1" fillId="0" borderId="5" xfId="276" applyFont="1" applyBorder="1" applyAlignment="1">
      <alignment vertical="center"/>
    </xf>
    <xf numFmtId="0" fontId="1" fillId="0" borderId="6" xfId="276" applyFont="1" applyBorder="1" applyAlignment="1">
      <alignment vertical="center" wrapText="1"/>
    </xf>
    <xf numFmtId="195" fontId="1" fillId="0" borderId="7" xfId="276" applyNumberFormat="1" applyFont="1" applyBorder="1" applyAlignment="1">
      <alignment horizontal="center" vertical="center"/>
    </xf>
    <xf numFmtId="192" fontId="1" fillId="9" borderId="7" xfId="274" applyNumberFormat="1" applyFont="1" applyFill="1" applyBorder="1" applyAlignment="1">
      <alignment horizontal="center" vertical="center" wrapText="1"/>
    </xf>
    <xf numFmtId="192" fontId="7" fillId="9" borderId="7" xfId="127" applyNumberFormat="1" applyFont="1" applyFill="1" applyBorder="1" applyAlignment="1">
      <alignment horizontal="center" vertical="top"/>
    </xf>
    <xf numFmtId="192" fontId="1" fillId="9" borderId="8" xfId="274" applyNumberFormat="1" applyFont="1" applyFill="1" applyBorder="1" applyAlignment="1">
      <alignment horizontal="center" vertical="center" wrapText="1"/>
    </xf>
    <xf numFmtId="0" fontId="8" fillId="10" borderId="9" xfId="129" applyFont="1" applyFill="1" applyBorder="1" applyAlignment="1">
      <alignment horizontal="center" vertical="center" wrapText="1"/>
    </xf>
    <xf numFmtId="0" fontId="8" fillId="10" borderId="10" xfId="129" applyFont="1" applyFill="1" applyBorder="1" applyAlignment="1">
      <alignment horizontal="center" vertical="center" wrapText="1"/>
    </xf>
    <xf numFmtId="0" fontId="1" fillId="0" borderId="3" xfId="276" applyFont="1" applyBorder="1" applyAlignment="1">
      <alignment vertical="center"/>
    </xf>
    <xf numFmtId="0" fontId="1" fillId="0" borderId="6" xfId="276" applyFont="1" applyBorder="1" applyAlignment="1">
      <alignment vertical="center"/>
    </xf>
    <xf numFmtId="0" fontId="1" fillId="0" borderId="7" xfId="276" applyFont="1" applyBorder="1" applyAlignment="1">
      <alignment horizontal="center" vertical="center"/>
    </xf>
    <xf numFmtId="0" fontId="9" fillId="0" borderId="0" xfId="276" applyFont="1" applyAlignment="1">
      <alignment vertical="center"/>
    </xf>
    <xf numFmtId="0" fontId="10" fillId="11" borderId="11" xfId="276" applyFont="1" applyFill="1" applyBorder="1" applyAlignment="1">
      <alignment horizontal="center" vertical="center" wrapText="1" readingOrder="1"/>
    </xf>
    <xf numFmtId="0" fontId="10" fillId="11" borderId="14" xfId="276" applyFont="1" applyFill="1" applyBorder="1" applyAlignment="1">
      <alignment horizontal="center" vertical="center" wrapText="1" readingOrder="1"/>
    </xf>
    <xf numFmtId="0" fontId="11" fillId="12" borderId="15" xfId="276" applyFont="1" applyFill="1" applyBorder="1" applyAlignment="1">
      <alignment horizontal="center" vertical="center" wrapText="1" readingOrder="1"/>
    </xf>
    <xf numFmtId="0" fontId="11" fillId="12" borderId="18" xfId="276" applyFont="1" applyFill="1" applyBorder="1" applyAlignment="1">
      <alignment horizontal="center" vertical="center" wrapText="1" readingOrder="1"/>
    </xf>
    <xf numFmtId="0" fontId="11" fillId="13" borderId="19" xfId="276" applyFont="1" applyFill="1" applyBorder="1" applyAlignment="1">
      <alignment horizontal="center" vertical="center" wrapText="1" readingOrder="1"/>
    </xf>
    <xf numFmtId="0" fontId="11" fillId="13" borderId="22" xfId="276" applyFont="1" applyFill="1" applyBorder="1" applyAlignment="1">
      <alignment horizontal="center" vertical="center" wrapText="1" readingOrder="1"/>
    </xf>
    <xf numFmtId="0" fontId="0" fillId="0" borderId="0" xfId="276" applyFont="1"/>
    <xf numFmtId="0" fontId="13" fillId="14" borderId="0" xfId="273" applyFont="1" applyFill="1"/>
    <xf numFmtId="0" fontId="13" fillId="14" borderId="0" xfId="273" applyFont="1" applyFill="1" applyAlignment="1">
      <alignment horizontal="left"/>
    </xf>
    <xf numFmtId="0" fontId="13" fillId="14" borderId="0" xfId="273" applyFont="1" applyFill="1" applyBorder="1"/>
    <xf numFmtId="0" fontId="13" fillId="0" borderId="0" xfId="273" applyFill="1"/>
    <xf numFmtId="0" fontId="13" fillId="0" borderId="0" xfId="273"/>
    <xf numFmtId="0" fontId="13" fillId="0" borderId="0" xfId="273" applyAlignment="1">
      <alignment horizontal="center"/>
    </xf>
    <xf numFmtId="0" fontId="14" fillId="14" borderId="0" xfId="273" applyFont="1" applyFill="1" applyAlignment="1">
      <alignment horizontal="center"/>
    </xf>
    <xf numFmtId="0" fontId="13" fillId="15" borderId="23" xfId="273" applyFill="1" applyBorder="1" applyAlignment="1">
      <alignment horizontal="left"/>
    </xf>
    <xf numFmtId="0" fontId="13" fillId="15" borderId="24" xfId="273" applyFill="1" applyBorder="1" applyAlignment="1">
      <alignment horizontal="left"/>
    </xf>
    <xf numFmtId="0" fontId="15" fillId="15" borderId="25" xfId="273" applyFont="1" applyFill="1" applyBorder="1" applyAlignment="1">
      <alignment horizontal="center"/>
    </xf>
    <xf numFmtId="0" fontId="15" fillId="14" borderId="0" xfId="273" applyFont="1" applyFill="1" applyAlignment="1">
      <alignment horizontal="center"/>
    </xf>
    <xf numFmtId="197" fontId="16" fillId="16" borderId="26" xfId="284" applyNumberFormat="1" applyFont="1" applyFill="1" applyBorder="1" applyAlignment="1">
      <alignment horizontal="center" vertical="center" wrapText="1"/>
    </xf>
    <xf numFmtId="0" fontId="13" fillId="14" borderId="0" xfId="273" applyFill="1" applyAlignment="1">
      <alignment horizontal="left"/>
    </xf>
    <xf numFmtId="0" fontId="15" fillId="14" borderId="26" xfId="273" applyFont="1" applyFill="1" applyBorder="1" applyAlignment="1">
      <alignment horizontal="center" vertical="center"/>
    </xf>
    <xf numFmtId="0" fontId="13" fillId="14" borderId="26" xfId="273" applyFont="1" applyFill="1" applyBorder="1" applyAlignment="1">
      <alignment horizontal="center" vertical="center"/>
    </xf>
    <xf numFmtId="0" fontId="13" fillId="14" borderId="27" xfId="273" applyFont="1" applyFill="1" applyBorder="1" applyAlignment="1">
      <alignment horizontal="left"/>
    </xf>
    <xf numFmtId="0" fontId="16" fillId="17" borderId="28" xfId="273" applyFont="1" applyFill="1" applyBorder="1" applyAlignment="1">
      <alignment horizontal="center" vertical="center"/>
    </xf>
    <xf numFmtId="0" fontId="16" fillId="17" borderId="30" xfId="273" applyFont="1" applyFill="1" applyBorder="1" applyAlignment="1">
      <alignment horizontal="center" vertical="center"/>
    </xf>
    <xf numFmtId="195" fontId="13" fillId="18" borderId="29" xfId="273" applyNumberFormat="1" applyFont="1" applyFill="1" applyBorder="1" applyAlignment="1">
      <alignment horizontal="center" vertical="center"/>
    </xf>
    <xf numFmtId="0" fontId="13" fillId="14" borderId="26" xfId="273" applyFont="1" applyFill="1" applyBorder="1" applyAlignment="1">
      <alignment horizontal="center"/>
    </xf>
    <xf numFmtId="198" fontId="13" fillId="14" borderId="26" xfId="273" applyNumberFormat="1" applyFont="1" applyFill="1" applyBorder="1" applyAlignment="1">
      <alignment horizontal="center" vertical="top"/>
    </xf>
    <xf numFmtId="198" fontId="17" fillId="18" borderId="26" xfId="110" applyNumberFormat="1" applyFont="1" applyFill="1" applyBorder="1" applyAlignment="1">
      <alignment horizontal="center" vertical="center" wrapText="1"/>
    </xf>
    <xf numFmtId="0" fontId="17" fillId="0" borderId="26" xfId="110" applyNumberFormat="1" applyFont="1" applyFill="1" applyBorder="1" applyAlignment="1">
      <alignment horizontal="center" vertical="center" wrapText="1"/>
    </xf>
    <xf numFmtId="0" fontId="17" fillId="19" borderId="26" xfId="110" applyNumberFormat="1" applyFont="1" applyFill="1" applyBorder="1" applyAlignment="1">
      <alignment horizontal="center" vertical="center" wrapText="1"/>
    </xf>
    <xf numFmtId="0" fontId="13" fillId="15" borderId="23" xfId="273" applyFont="1" applyFill="1" applyBorder="1" applyAlignment="1">
      <alignment horizontal="left"/>
    </xf>
    <xf numFmtId="0" fontId="13" fillId="15" borderId="25" xfId="273" applyFill="1" applyBorder="1"/>
    <xf numFmtId="197" fontId="16" fillId="20" borderId="31" xfId="284" applyNumberFormat="1" applyFont="1" applyFill="1" applyBorder="1" applyAlignment="1">
      <alignment horizontal="center" vertical="center"/>
    </xf>
    <xf numFmtId="0" fontId="16" fillId="16" borderId="32" xfId="273" applyFont="1" applyFill="1" applyBorder="1" applyAlignment="1">
      <alignment horizontal="center" vertical="center"/>
    </xf>
    <xf numFmtId="0" fontId="16" fillId="16" borderId="32" xfId="273" applyFont="1" applyFill="1" applyBorder="1" applyAlignment="1">
      <alignment horizontal="center"/>
    </xf>
    <xf numFmtId="198" fontId="13" fillId="0" borderId="33" xfId="273" applyNumberFormat="1" applyBorder="1" applyAlignment="1">
      <alignment horizontal="center" vertical="center"/>
    </xf>
    <xf numFmtId="198" fontId="13" fillId="18" borderId="34" xfId="273" applyNumberFormat="1" applyFill="1" applyBorder="1" applyAlignment="1">
      <alignment horizontal="center" vertical="center"/>
    </xf>
    <xf numFmtId="0" fontId="13" fillId="18" borderId="34" xfId="273" applyFill="1" applyBorder="1" applyAlignment="1">
      <alignment horizontal="center" vertical="center"/>
    </xf>
    <xf numFmtId="198" fontId="13" fillId="0" borderId="0" xfId="273" applyNumberFormat="1" applyFill="1" applyBorder="1" applyAlignment="1">
      <alignment horizontal="center" vertical="center"/>
    </xf>
    <xf numFmtId="0" fontId="13" fillId="0" borderId="0" xfId="273" applyFill="1" applyBorder="1" applyAlignment="1">
      <alignment horizontal="center" vertical="center"/>
    </xf>
    <xf numFmtId="0" fontId="13" fillId="15" borderId="23" xfId="273" applyFont="1" applyFill="1" applyBorder="1"/>
    <xf numFmtId="0" fontId="13" fillId="0" borderId="0" xfId="273" applyFont="1"/>
    <xf numFmtId="197" fontId="16" fillId="16" borderId="35" xfId="284" applyNumberFormat="1" applyFont="1" applyFill="1" applyBorder="1" applyAlignment="1">
      <alignment horizontal="center" vertical="center"/>
    </xf>
    <xf numFmtId="0" fontId="16" fillId="16" borderId="36" xfId="273" applyFont="1" applyFill="1" applyBorder="1" applyAlignment="1">
      <alignment horizontal="center" vertical="center"/>
    </xf>
    <xf numFmtId="0" fontId="16" fillId="14" borderId="39" xfId="273" applyFont="1" applyFill="1" applyBorder="1" applyAlignment="1">
      <alignment horizontal="center"/>
    </xf>
    <xf numFmtId="0" fontId="13" fillId="14" borderId="40" xfId="273" applyFont="1" applyFill="1" applyBorder="1" applyAlignment="1">
      <alignment horizontal="center"/>
    </xf>
    <xf numFmtId="0" fontId="13" fillId="14" borderId="40" xfId="273" applyFill="1" applyBorder="1" applyAlignment="1">
      <alignment horizontal="center"/>
    </xf>
    <xf numFmtId="0" fontId="16" fillId="14" borderId="43" xfId="273" applyFont="1" applyFill="1" applyBorder="1" applyAlignment="1">
      <alignment horizontal="center"/>
    </xf>
    <xf numFmtId="0" fontId="13" fillId="14" borderId="44" xfId="273" applyFont="1" applyFill="1" applyBorder="1" applyAlignment="1">
      <alignment horizontal="center"/>
    </xf>
    <xf numFmtId="0" fontId="13" fillId="15" borderId="24" xfId="273" applyFill="1" applyBorder="1"/>
    <xf numFmtId="0" fontId="13" fillId="15" borderId="25" xfId="273" applyFill="1" applyBorder="1" applyAlignment="1">
      <alignment horizontal="center"/>
    </xf>
    <xf numFmtId="197" fontId="16" fillId="16" borderId="47" xfId="284" applyNumberFormat="1" applyFont="1" applyFill="1" applyBorder="1" applyAlignment="1">
      <alignment horizontal="center" vertical="center"/>
    </xf>
    <xf numFmtId="0" fontId="16" fillId="16" borderId="48" xfId="273" applyFont="1" applyFill="1" applyBorder="1" applyAlignment="1">
      <alignment horizontal="center" vertical="center"/>
    </xf>
    <xf numFmtId="0" fontId="16" fillId="16" borderId="49" xfId="273" applyFont="1" applyFill="1" applyBorder="1" applyAlignment="1">
      <alignment horizontal="center" vertical="center"/>
    </xf>
    <xf numFmtId="0" fontId="16" fillId="16" borderId="50" xfId="273" applyFont="1" applyFill="1" applyBorder="1" applyAlignment="1">
      <alignment horizontal="center" vertical="center"/>
    </xf>
    <xf numFmtId="0" fontId="16" fillId="16" borderId="51" xfId="273" applyFont="1" applyFill="1" applyBorder="1" applyAlignment="1">
      <alignment horizontal="center" vertical="center"/>
    </xf>
    <xf numFmtId="0" fontId="16" fillId="20" borderId="52" xfId="273" applyFont="1" applyFill="1" applyBorder="1" applyAlignment="1">
      <alignment horizontal="center" vertical="center"/>
    </xf>
    <xf numFmtId="0" fontId="16" fillId="16" borderId="53" xfId="273" applyFont="1" applyFill="1" applyBorder="1" applyAlignment="1">
      <alignment horizontal="center"/>
    </xf>
    <xf numFmtId="0" fontId="13" fillId="14" borderId="54" xfId="273" applyFont="1" applyFill="1" applyBorder="1" applyAlignment="1">
      <alignment horizontal="center"/>
    </xf>
    <xf numFmtId="0" fontId="13" fillId="14" borderId="55" xfId="273" applyFont="1" applyFill="1" applyBorder="1" applyAlignment="1">
      <alignment horizontal="center"/>
    </xf>
    <xf numFmtId="0" fontId="13" fillId="0" borderId="55" xfId="273" applyBorder="1" applyAlignment="1">
      <alignment horizontal="center"/>
    </xf>
    <xf numFmtId="0" fontId="13" fillId="18" borderId="56" xfId="273" applyFont="1" applyFill="1" applyBorder="1" applyAlignment="1">
      <alignment horizontal="center"/>
    </xf>
    <xf numFmtId="10" fontId="13" fillId="18" borderId="57" xfId="273" applyNumberFormat="1" applyFill="1" applyBorder="1" applyAlignment="1">
      <alignment horizontal="center"/>
    </xf>
    <xf numFmtId="197" fontId="16" fillId="16" borderId="58" xfId="284" applyNumberFormat="1" applyFont="1" applyFill="1" applyBorder="1" applyAlignment="1">
      <alignment horizontal="center" vertical="center"/>
    </xf>
    <xf numFmtId="0" fontId="13" fillId="0" borderId="59" xfId="273" applyBorder="1" applyAlignment="1">
      <alignment horizontal="center"/>
    </xf>
    <xf numFmtId="177" fontId="13" fillId="18" borderId="60" xfId="284" applyNumberFormat="1" applyFont="1" applyFill="1" applyBorder="1" applyAlignment="1">
      <alignment horizontal="center" vertical="center"/>
    </xf>
    <xf numFmtId="10" fontId="13" fillId="18" borderId="61" xfId="273" applyNumberFormat="1" applyFill="1" applyBorder="1" applyAlignment="1">
      <alignment horizontal="center"/>
    </xf>
    <xf numFmtId="0" fontId="13" fillId="0" borderId="0" xfId="273" applyFont="1" applyAlignment="1">
      <alignment horizontal="center"/>
    </xf>
    <xf numFmtId="197" fontId="16" fillId="16" borderId="64" xfId="284" applyNumberFormat="1" applyFont="1" applyFill="1" applyBorder="1" applyAlignment="1">
      <alignment horizontal="center" vertical="center" wrapText="1"/>
    </xf>
    <xf numFmtId="197" fontId="16" fillId="16" borderId="62" xfId="284" applyNumberFormat="1" applyFont="1" applyFill="1" applyBorder="1" applyAlignment="1">
      <alignment horizontal="center" vertical="center" wrapText="1"/>
    </xf>
    <xf numFmtId="0" fontId="16" fillId="0" borderId="65" xfId="273" applyFont="1" applyFill="1" applyBorder="1" applyAlignment="1">
      <alignment horizontal="center" vertical="center" wrapText="1"/>
    </xf>
    <xf numFmtId="190" fontId="13" fillId="0" borderId="26" xfId="273" applyNumberFormat="1" applyFont="1" applyFill="1" applyBorder="1" applyAlignment="1">
      <alignment horizontal="center" vertical="center" wrapText="1"/>
    </xf>
    <xf numFmtId="0" fontId="17" fillId="0" borderId="26" xfId="110" applyFont="1" applyFill="1" applyBorder="1" applyAlignment="1">
      <alignment horizontal="center" vertical="center" wrapText="1"/>
    </xf>
    <xf numFmtId="0" fontId="13" fillId="0" borderId="26" xfId="273" applyFont="1" applyFill="1" applyBorder="1" applyAlignment="1">
      <alignment horizontal="center" vertical="center" wrapText="1"/>
    </xf>
    <xf numFmtId="0" fontId="16" fillId="0" borderId="66" xfId="273" applyFont="1" applyFill="1" applyBorder="1" applyAlignment="1">
      <alignment horizontal="center" vertical="center" wrapText="1"/>
    </xf>
    <xf numFmtId="182" fontId="17" fillId="18" borderId="67" xfId="110" applyNumberFormat="1" applyFont="1" applyFill="1" applyBorder="1" applyAlignment="1">
      <alignment horizontal="center" vertical="center" wrapText="1"/>
    </xf>
    <xf numFmtId="0" fontId="16" fillId="16" borderId="68" xfId="273" applyFont="1" applyFill="1" applyBorder="1" applyAlignment="1">
      <alignment horizontal="center" vertical="center"/>
    </xf>
    <xf numFmtId="0" fontId="13" fillId="18" borderId="69" xfId="273" applyFont="1" applyFill="1" applyBorder="1" applyAlignment="1">
      <alignment horizontal="center" vertical="center"/>
    </xf>
    <xf numFmtId="0" fontId="13" fillId="0" borderId="0" xfId="273" applyFont="1" applyFill="1" applyBorder="1" applyAlignment="1">
      <alignment horizontal="center" vertical="center"/>
    </xf>
    <xf numFmtId="198" fontId="13" fillId="0" borderId="0" xfId="273" applyNumberFormat="1"/>
    <xf numFmtId="197" fontId="16" fillId="16" borderId="70" xfId="284" applyNumberFormat="1" applyFont="1" applyFill="1" applyBorder="1" applyAlignment="1">
      <alignment horizontal="center" vertical="center" wrapText="1"/>
    </xf>
    <xf numFmtId="197" fontId="16" fillId="16" borderId="71" xfId="284" applyNumberFormat="1" applyFont="1" applyFill="1" applyBorder="1" applyAlignment="1">
      <alignment horizontal="center" vertical="center" wrapText="1"/>
    </xf>
    <xf numFmtId="0" fontId="17" fillId="0" borderId="2" xfId="110" applyFont="1" applyFill="1" applyBorder="1" applyAlignment="1">
      <alignment horizontal="center" vertical="center" wrapText="1"/>
    </xf>
    <xf numFmtId="182" fontId="17" fillId="0" borderId="26" xfId="110" applyNumberFormat="1" applyFont="1" applyFill="1" applyBorder="1" applyAlignment="1">
      <alignment horizontal="center" vertical="center" wrapText="1"/>
    </xf>
    <xf numFmtId="182" fontId="17" fillId="18" borderId="72" xfId="110" applyNumberFormat="1" applyFont="1" applyFill="1" applyBorder="1" applyAlignment="1">
      <alignment horizontal="center" vertical="center" wrapText="1"/>
    </xf>
    <xf numFmtId="198" fontId="13" fillId="0" borderId="0" xfId="284" applyNumberFormat="1" applyFont="1" applyFill="1" applyBorder="1" applyAlignment="1">
      <alignment horizontal="center" vertical="center"/>
    </xf>
    <xf numFmtId="0" fontId="13" fillId="0" borderId="0" xfId="273" applyBorder="1" applyAlignment="1">
      <alignment horizontal="center"/>
    </xf>
    <xf numFmtId="0" fontId="13" fillId="14" borderId="0" xfId="273" applyFont="1" applyFill="1" applyBorder="1" applyAlignment="1">
      <alignment horizontal="center"/>
    </xf>
    <xf numFmtId="0" fontId="13" fillId="0" borderId="0" xfId="284" applyNumberFormat="1" applyFont="1" applyFill="1" applyBorder="1" applyAlignment="1">
      <alignment horizontal="center" vertical="center"/>
    </xf>
    <xf numFmtId="0" fontId="13" fillId="0" borderId="0" xfId="273" applyFill="1" applyBorder="1" applyAlignment="1">
      <alignment horizontal="center"/>
    </xf>
    <xf numFmtId="0" fontId="13" fillId="14" borderId="0" xfId="273" applyFont="1" applyFill="1" applyBorder="1" applyAlignment="1">
      <alignment horizontal="left"/>
    </xf>
    <xf numFmtId="0" fontId="14" fillId="15" borderId="25" xfId="273" applyFont="1" applyFill="1" applyBorder="1" applyAlignment="1">
      <alignment horizontal="center"/>
    </xf>
    <xf numFmtId="0" fontId="18" fillId="14" borderId="0" xfId="273" applyFont="1" applyFill="1" applyAlignment="1">
      <alignment horizontal="center"/>
    </xf>
    <xf numFmtId="0" fontId="19" fillId="14" borderId="0" xfId="273" applyFont="1" applyFill="1" applyAlignment="1">
      <alignment horizontal="left"/>
    </xf>
    <xf numFmtId="0" fontId="15" fillId="14" borderId="0" xfId="273" applyFont="1" applyFill="1" applyBorder="1" applyAlignment="1">
      <alignment horizontal="center"/>
    </xf>
    <xf numFmtId="0" fontId="15" fillId="14" borderId="73" xfId="273" applyFont="1" applyFill="1" applyBorder="1" applyAlignment="1">
      <alignment horizontal="center"/>
    </xf>
    <xf numFmtId="58" fontId="16" fillId="16" borderId="74" xfId="273" applyNumberFormat="1" applyFont="1" applyFill="1" applyBorder="1" applyAlignment="1">
      <alignment horizontal="center" vertical="center"/>
    </xf>
    <xf numFmtId="58" fontId="16" fillId="16" borderId="75" xfId="273" applyNumberFormat="1" applyFont="1" applyFill="1" applyBorder="1" applyAlignment="1">
      <alignment horizontal="center" vertical="center"/>
    </xf>
    <xf numFmtId="0" fontId="13" fillId="14" borderId="76" xfId="273" applyFont="1" applyFill="1" applyBorder="1" applyAlignment="1">
      <alignment horizontal="center" vertical="center"/>
    </xf>
    <xf numFmtId="58" fontId="16" fillId="16" borderId="76" xfId="273" applyNumberFormat="1" applyFont="1" applyFill="1" applyBorder="1" applyAlignment="1">
      <alignment horizontal="center" vertical="center"/>
    </xf>
    <xf numFmtId="0" fontId="15" fillId="14" borderId="77" xfId="273" applyFont="1" applyFill="1" applyBorder="1" applyAlignment="1">
      <alignment horizontal="center" vertical="center"/>
    </xf>
    <xf numFmtId="58" fontId="16" fillId="16" borderId="78" xfId="273" applyNumberFormat="1" applyFont="1" applyFill="1" applyBorder="1" applyAlignment="1">
      <alignment horizontal="center" vertical="center"/>
    </xf>
    <xf numFmtId="182" fontId="17" fillId="18" borderId="79" xfId="110" applyNumberFormat="1" applyFont="1" applyFill="1" applyBorder="1" applyAlignment="1">
      <alignment horizontal="center" vertical="center" wrapText="1"/>
    </xf>
    <xf numFmtId="58" fontId="16" fillId="16" borderId="80" xfId="273" applyNumberFormat="1" applyFont="1" applyFill="1" applyBorder="1" applyAlignment="1">
      <alignment horizontal="center" vertical="center"/>
    </xf>
    <xf numFmtId="58" fontId="16" fillId="21" borderId="0" xfId="273" applyNumberFormat="1" applyFont="1" applyFill="1" applyBorder="1" applyAlignment="1">
      <alignment horizontal="center" vertical="center"/>
    </xf>
    <xf numFmtId="58" fontId="16" fillId="16" borderId="1" xfId="273" applyNumberFormat="1" applyFont="1" applyFill="1" applyBorder="1" applyAlignment="1">
      <alignment horizontal="center" vertical="center"/>
    </xf>
    <xf numFmtId="177" fontId="13" fillId="14" borderId="1" xfId="273" applyNumberFormat="1" applyFont="1" applyFill="1" applyBorder="1" applyAlignment="1">
      <alignment horizontal="center" vertical="center"/>
    </xf>
    <xf numFmtId="182" fontId="17" fillId="18" borderId="1" xfId="110" applyNumberFormat="1" applyFont="1" applyFill="1" applyBorder="1" applyAlignment="1">
      <alignment horizontal="center" vertical="center" wrapText="1"/>
    </xf>
    <xf numFmtId="182" fontId="13" fillId="14" borderId="1" xfId="273" applyNumberFormat="1" applyFont="1" applyFill="1" applyBorder="1" applyAlignment="1">
      <alignment horizontal="center" vertical="center"/>
    </xf>
    <xf numFmtId="177" fontId="13" fillId="22" borderId="1" xfId="273" applyNumberFormat="1" applyFont="1" applyFill="1" applyBorder="1" applyAlignment="1">
      <alignment horizontal="center" vertical="center"/>
    </xf>
    <xf numFmtId="182" fontId="13" fillId="22" borderId="1" xfId="273" applyNumberFormat="1" applyFont="1" applyFill="1" applyBorder="1" applyAlignment="1">
      <alignment horizontal="center" vertical="center"/>
    </xf>
    <xf numFmtId="176" fontId="17" fillId="18" borderId="1" xfId="110" applyNumberFormat="1" applyFont="1" applyFill="1" applyBorder="1" applyAlignment="1">
      <alignment horizontal="center" vertical="center" wrapText="1"/>
    </xf>
    <xf numFmtId="58" fontId="16" fillId="16" borderId="0" xfId="273" applyNumberFormat="1" applyFont="1" applyFill="1" applyBorder="1" applyAlignment="1">
      <alignment horizontal="center" vertical="center"/>
    </xf>
    <xf numFmtId="177" fontId="13" fillId="14" borderId="0" xfId="273" applyNumberFormat="1" applyFont="1" applyFill="1" applyBorder="1" applyAlignment="1">
      <alignment horizontal="center" vertical="center"/>
    </xf>
    <xf numFmtId="177" fontId="13" fillId="23" borderId="0" xfId="273" applyNumberFormat="1" applyFont="1" applyFill="1" applyBorder="1" applyAlignment="1">
      <alignment horizontal="center" vertical="center"/>
    </xf>
    <xf numFmtId="58" fontId="16" fillId="23" borderId="0" xfId="273" applyNumberFormat="1" applyFont="1" applyFill="1" applyBorder="1" applyAlignment="1">
      <alignment horizontal="center" vertical="center"/>
    </xf>
    <xf numFmtId="0" fontId="16" fillId="24" borderId="26" xfId="273" applyFont="1" applyFill="1" applyBorder="1" applyAlignment="1">
      <alignment horizontal="center" vertical="center"/>
    </xf>
    <xf numFmtId="0" fontId="16" fillId="24" borderId="26" xfId="273" applyFont="1" applyFill="1" applyBorder="1" applyAlignment="1">
      <alignment horizontal="center" vertical="center" wrapText="1"/>
    </xf>
    <xf numFmtId="0" fontId="16" fillId="24" borderId="26" xfId="273" applyFont="1" applyFill="1" applyBorder="1"/>
    <xf numFmtId="0" fontId="13" fillId="0" borderId="26" xfId="273" applyBorder="1" applyAlignment="1">
      <alignment horizontal="center" vertical="center"/>
    </xf>
    <xf numFmtId="0" fontId="13" fillId="18" borderId="26" xfId="273" applyNumberFormat="1" applyFont="1" applyFill="1" applyBorder="1" applyAlignment="1">
      <alignment horizontal="center"/>
    </xf>
    <xf numFmtId="0" fontId="15" fillId="14" borderId="0" xfId="273" applyFont="1" applyFill="1" applyAlignment="1">
      <alignment horizontal="left"/>
    </xf>
    <xf numFmtId="58" fontId="16" fillId="16" borderId="82" xfId="273" applyNumberFormat="1" applyFont="1" applyFill="1" applyBorder="1" applyAlignment="1">
      <alignment horizontal="center" vertical="center"/>
    </xf>
    <xf numFmtId="182" fontId="17" fillId="18" borderId="83" xfId="110" applyNumberFormat="1" applyFont="1" applyFill="1" applyBorder="1" applyAlignment="1">
      <alignment horizontal="center" vertical="center" wrapText="1"/>
    </xf>
    <xf numFmtId="0" fontId="21" fillId="25" borderId="1" xfId="0" applyFont="1" applyFill="1" applyBorder="1" applyAlignment="1">
      <alignment horizontal="center" vertical="center" wrapText="1"/>
    </xf>
    <xf numFmtId="195" fontId="22" fillId="26" borderId="1" xfId="0" applyNumberFormat="1" applyFont="1" applyFill="1" applyBorder="1" applyAlignment="1">
      <alignment horizontal="center" vertical="center" wrapText="1"/>
    </xf>
    <xf numFmtId="0" fontId="13" fillId="0" borderId="1" xfId="273" applyBorder="1" applyAlignment="1">
      <alignment horizontal="center" vertical="center"/>
    </xf>
    <xf numFmtId="187" fontId="22" fillId="18" borderId="1" xfId="273" applyNumberFormat="1" applyFont="1" applyFill="1" applyBorder="1" applyAlignment="1">
      <alignment horizontal="center" vertical="center"/>
    </xf>
    <xf numFmtId="195" fontId="13" fillId="25" borderId="1" xfId="0" applyNumberFormat="1" applyFont="1" applyFill="1" applyBorder="1" applyAlignment="1">
      <alignment horizontal="center" vertical="center" wrapText="1"/>
    </xf>
    <xf numFmtId="195" fontId="13" fillId="26" borderId="1" xfId="0" applyNumberFormat="1" applyFont="1" applyFill="1" applyBorder="1" applyAlignment="1">
      <alignment horizontal="center" vertical="center" wrapText="1"/>
    </xf>
    <xf numFmtId="182" fontId="17" fillId="27" borderId="1" xfId="110" applyNumberFormat="1" applyFont="1" applyFill="1" applyBorder="1" applyAlignment="1">
      <alignment horizontal="center" vertical="center" wrapText="1"/>
    </xf>
    <xf numFmtId="0" fontId="13" fillId="28" borderId="1" xfId="273" applyFill="1" applyBorder="1" applyAlignment="1">
      <alignment horizontal="center" vertical="center"/>
    </xf>
    <xf numFmtId="187" fontId="22" fillId="27" borderId="1" xfId="273" applyNumberFormat="1" applyFont="1" applyFill="1" applyBorder="1" applyAlignment="1">
      <alignment horizontal="center" vertical="center"/>
    </xf>
    <xf numFmtId="195" fontId="13" fillId="28" borderId="1" xfId="273" applyNumberFormat="1" applyFill="1" applyBorder="1" applyAlignment="1">
      <alignment horizontal="center" vertical="center"/>
    </xf>
    <xf numFmtId="182" fontId="17" fillId="18" borderId="0" xfId="110" applyNumberFormat="1" applyFont="1" applyFill="1" applyBorder="1" applyAlignment="1">
      <alignment horizontal="center" vertical="center" wrapText="1"/>
    </xf>
    <xf numFmtId="187" fontId="22" fillId="18" borderId="0" xfId="273" applyNumberFormat="1" applyFont="1" applyFill="1" applyBorder="1" applyAlignment="1">
      <alignment horizontal="center" vertical="center"/>
    </xf>
    <xf numFmtId="182" fontId="17" fillId="23" borderId="0" xfId="110" applyNumberFormat="1" applyFont="1" applyFill="1" applyBorder="1" applyAlignment="1">
      <alignment horizontal="center" vertical="center" wrapText="1"/>
    </xf>
    <xf numFmtId="187" fontId="22" fillId="23" borderId="0" xfId="273" applyNumberFormat="1" applyFont="1" applyFill="1" applyBorder="1" applyAlignment="1">
      <alignment horizontal="center" vertical="center"/>
    </xf>
    <xf numFmtId="195" fontId="13" fillId="29" borderId="1" xfId="0" applyNumberFormat="1" applyFont="1" applyFill="1" applyBorder="1" applyAlignment="1">
      <alignment horizontal="center" vertical="center" wrapText="1"/>
    </xf>
    <xf numFmtId="195" fontId="13" fillId="30" borderId="1" xfId="0" applyNumberFormat="1" applyFont="1" applyFill="1" applyBorder="1" applyAlignment="1">
      <alignment horizontal="center" vertical="center" wrapText="1"/>
    </xf>
    <xf numFmtId="195" fontId="13" fillId="25" borderId="0" xfId="0" applyNumberFormat="1" applyFont="1" applyFill="1" applyBorder="1" applyAlignment="1">
      <alignment horizontal="center" vertical="center" wrapText="1"/>
    </xf>
    <xf numFmtId="195" fontId="13" fillId="26" borderId="0" xfId="0" applyNumberFormat="1" applyFont="1" applyFill="1" applyBorder="1" applyAlignment="1">
      <alignment horizontal="center" vertical="center" wrapText="1"/>
    </xf>
    <xf numFmtId="195" fontId="13" fillId="29" borderId="0" xfId="0" applyNumberFormat="1" applyFont="1" applyFill="1" applyBorder="1" applyAlignment="1">
      <alignment horizontal="center" vertical="center" wrapText="1"/>
    </xf>
    <xf numFmtId="195" fontId="13" fillId="30" borderId="0" xfId="0" applyNumberFormat="1" applyFont="1" applyFill="1" applyBorder="1" applyAlignment="1">
      <alignment horizontal="center" vertical="center" wrapText="1"/>
    </xf>
    <xf numFmtId="195" fontId="13" fillId="0" borderId="0" xfId="273" applyNumberFormat="1"/>
    <xf numFmtId="0" fontId="13" fillId="0" borderId="0" xfId="273" applyAlignment="1">
      <alignment wrapText="1"/>
    </xf>
    <xf numFmtId="0" fontId="13" fillId="0" borderId="0" xfId="273" applyFont="1" applyFill="1" applyBorder="1"/>
    <xf numFmtId="58" fontId="13" fillId="31" borderId="73" xfId="273" applyNumberFormat="1" applyFont="1" applyFill="1" applyBorder="1" applyAlignment="1">
      <alignment horizontal="center" vertical="center" wrapText="1"/>
    </xf>
    <xf numFmtId="58" fontId="13" fillId="31" borderId="74" xfId="273" applyNumberFormat="1" applyFont="1" applyFill="1" applyBorder="1" applyAlignment="1">
      <alignment horizontal="center" vertical="center" wrapText="1"/>
    </xf>
    <xf numFmtId="0" fontId="23" fillId="0" borderId="84" xfId="273" applyFont="1" applyBorder="1" applyAlignment="1">
      <alignment horizontal="center" vertical="center"/>
    </xf>
    <xf numFmtId="0" fontId="23" fillId="0" borderId="24" xfId="273" applyFont="1" applyBorder="1" applyAlignment="1">
      <alignment horizontal="center" vertical="center"/>
    </xf>
    <xf numFmtId="0" fontId="23" fillId="0" borderId="85" xfId="273" applyFont="1" applyBorder="1" applyAlignment="1">
      <alignment horizontal="center" vertical="center"/>
    </xf>
    <xf numFmtId="0" fontId="23" fillId="0" borderId="78" xfId="273" applyFont="1" applyBorder="1" applyAlignment="1">
      <alignment horizontal="center" vertical="center"/>
    </xf>
    <xf numFmtId="0" fontId="23" fillId="0" borderId="88" xfId="273" applyFont="1" applyBorder="1" applyAlignment="1">
      <alignment horizontal="center" vertical="center"/>
    </xf>
    <xf numFmtId="0" fontId="23" fillId="0" borderId="89" xfId="273" applyFont="1" applyBorder="1" applyAlignment="1">
      <alignment horizontal="center" vertical="center"/>
    </xf>
    <xf numFmtId="0" fontId="24" fillId="0" borderId="26" xfId="273" applyFont="1" applyBorder="1" applyAlignment="1">
      <alignment horizontal="center" vertical="center" wrapText="1"/>
    </xf>
    <xf numFmtId="0" fontId="23" fillId="0" borderId="26" xfId="273" applyFont="1" applyBorder="1" applyAlignment="1">
      <alignment horizontal="center" vertical="center"/>
    </xf>
    <xf numFmtId="0" fontId="24" fillId="0" borderId="79" xfId="273" applyFont="1" applyBorder="1" applyAlignment="1">
      <alignment horizontal="center" vertical="center" wrapText="1"/>
    </xf>
    <xf numFmtId="0" fontId="23" fillId="0" borderId="79" xfId="273" applyFont="1" applyBorder="1" applyAlignment="1">
      <alignment horizontal="center" vertical="center"/>
    </xf>
    <xf numFmtId="0" fontId="25" fillId="0" borderId="26" xfId="273" applyFont="1" applyBorder="1" applyAlignment="1">
      <alignment horizontal="center" vertical="center"/>
    </xf>
    <xf numFmtId="0" fontId="23" fillId="0" borderId="26" xfId="273" applyFont="1" applyFill="1" applyBorder="1" applyAlignment="1">
      <alignment horizontal="center" vertical="center"/>
    </xf>
    <xf numFmtId="0" fontId="23" fillId="0" borderId="96" xfId="273" applyFont="1" applyFill="1" applyBorder="1" applyAlignment="1">
      <alignment horizontal="center" vertical="center"/>
    </xf>
    <xf numFmtId="0" fontId="23" fillId="0" borderId="2" xfId="273" applyFont="1" applyFill="1" applyBorder="1" applyAlignment="1">
      <alignment horizontal="center" vertical="center"/>
    </xf>
    <xf numFmtId="0" fontId="23" fillId="0" borderId="97" xfId="273" applyFont="1" applyBorder="1" applyAlignment="1">
      <alignment horizontal="center" vertical="center"/>
    </xf>
    <xf numFmtId="0" fontId="23" fillId="0" borderId="98" xfId="273" applyFont="1" applyFill="1" applyBorder="1" applyAlignment="1">
      <alignment horizontal="center" vertical="center"/>
    </xf>
    <xf numFmtId="0" fontId="23" fillId="0" borderId="99" xfId="273" applyFont="1" applyBorder="1" applyAlignment="1">
      <alignment horizontal="center" vertical="center"/>
    </xf>
    <xf numFmtId="0" fontId="23" fillId="0" borderId="100" xfId="273" applyFont="1" applyFill="1" applyBorder="1" applyAlignment="1">
      <alignment horizontal="center" vertical="center"/>
    </xf>
    <xf numFmtId="0" fontId="23" fillId="0" borderId="100" xfId="273" applyFont="1" applyBorder="1" applyAlignment="1">
      <alignment horizontal="center" vertical="center"/>
    </xf>
    <xf numFmtId="0" fontId="13" fillId="0" borderId="0" xfId="273" applyFont="1" applyFill="1"/>
    <xf numFmtId="0" fontId="26" fillId="32" borderId="102" xfId="273" applyFont="1" applyFill="1" applyBorder="1" applyAlignment="1">
      <alignment horizontal="left" vertical="center" wrapText="1"/>
    </xf>
    <xf numFmtId="0" fontId="26" fillId="32" borderId="103" xfId="273" applyFont="1" applyFill="1" applyBorder="1" applyAlignment="1">
      <alignment horizontal="left" vertical="center" wrapText="1"/>
    </xf>
    <xf numFmtId="0" fontId="27" fillId="0" borderId="102" xfId="273" applyFont="1" applyBorder="1" applyAlignment="1">
      <alignment horizontal="left" vertical="center" wrapText="1"/>
    </xf>
    <xf numFmtId="0" fontId="27" fillId="33" borderId="103" xfId="273" applyFont="1" applyFill="1" applyBorder="1" applyAlignment="1">
      <alignment horizontal="left" vertical="center" wrapText="1"/>
    </xf>
    <xf numFmtId="0" fontId="27" fillId="0" borderId="103" xfId="273" applyFont="1" applyBorder="1" applyAlignment="1">
      <alignment horizontal="left" vertical="center" wrapText="1"/>
    </xf>
    <xf numFmtId="0" fontId="28" fillId="34" borderId="102" xfId="273" applyFont="1" applyFill="1" applyBorder="1" applyAlignment="1">
      <alignment horizontal="left" vertical="center" wrapText="1"/>
    </xf>
    <xf numFmtId="0" fontId="27" fillId="35" borderId="102" xfId="273" applyFont="1" applyFill="1" applyBorder="1" applyAlignment="1">
      <alignment horizontal="left" vertical="center" wrapText="1"/>
    </xf>
    <xf numFmtId="0" fontId="11" fillId="0" borderId="103" xfId="273" applyFont="1" applyBorder="1" applyAlignment="1">
      <alignment horizontal="left" vertical="center" wrapText="1"/>
    </xf>
    <xf numFmtId="0" fontId="27" fillId="33" borderId="102" xfId="273" applyFont="1" applyFill="1" applyBorder="1" applyAlignment="1">
      <alignment horizontal="left" vertical="center" wrapText="1"/>
    </xf>
    <xf numFmtId="0" fontId="27" fillId="36" borderId="102" xfId="273" applyFont="1" applyFill="1" applyBorder="1" applyAlignment="1">
      <alignment horizontal="left" vertical="center" wrapText="1"/>
    </xf>
    <xf numFmtId="0" fontId="27" fillId="36" borderId="103" xfId="273" applyFont="1" applyFill="1" applyBorder="1" applyAlignment="1">
      <alignment horizontal="left" vertical="center" wrapText="1"/>
    </xf>
    <xf numFmtId="0" fontId="29" fillId="0" borderId="102" xfId="273" applyFont="1" applyBorder="1" applyAlignment="1">
      <alignment horizontal="left" vertical="center" wrapText="1"/>
    </xf>
    <xf numFmtId="0" fontId="11" fillId="0" borderId="102" xfId="273" applyFont="1" applyBorder="1" applyAlignment="1">
      <alignment horizontal="left" vertical="center" wrapText="1"/>
    </xf>
    <xf numFmtId="0" fontId="27" fillId="35" borderId="103" xfId="273" applyFont="1" applyFill="1" applyBorder="1" applyAlignment="1">
      <alignment horizontal="left" vertical="center" wrapText="1"/>
    </xf>
    <xf numFmtId="0" fontId="28" fillId="34" borderId="103" xfId="273" applyFont="1" applyFill="1" applyBorder="1" applyAlignment="1">
      <alignment horizontal="left" vertical="center" wrapText="1"/>
    </xf>
    <xf numFmtId="0" fontId="15" fillId="0" borderId="0" xfId="273" applyFont="1" applyAlignment="1">
      <alignment vertical="center" wrapText="1"/>
    </xf>
    <xf numFmtId="0" fontId="31" fillId="32" borderId="105" xfId="273" applyFont="1" applyFill="1" applyBorder="1" applyAlignment="1">
      <alignment horizontal="left" vertical="center" wrapText="1"/>
    </xf>
    <xf numFmtId="0" fontId="30" fillId="0" borderId="103" xfId="273" applyFont="1" applyBorder="1" applyAlignment="1">
      <alignment horizontal="left" vertical="center" wrapText="1"/>
    </xf>
    <xf numFmtId="0" fontId="13" fillId="14" borderId="0" xfId="273" applyNumberFormat="1" applyFont="1" applyFill="1"/>
    <xf numFmtId="0" fontId="13" fillId="14" borderId="0" xfId="273" applyFont="1" applyFill="1" applyAlignment="1">
      <alignment horizontal="left" vertical="top" wrapText="1"/>
    </xf>
    <xf numFmtId="0" fontId="19" fillId="14" borderId="0" xfId="273" applyFont="1" applyFill="1" applyAlignment="1">
      <alignment horizontal="left" vertical="top"/>
    </xf>
    <xf numFmtId="0" fontId="13" fillId="15" borderId="26" xfId="273" applyFont="1" applyFill="1" applyBorder="1" applyAlignment="1">
      <alignment horizontal="left"/>
    </xf>
    <xf numFmtId="0" fontId="13" fillId="14" borderId="1" xfId="273" applyNumberFormat="1" applyFont="1" applyFill="1" applyBorder="1" applyAlignment="1">
      <alignment horizontal="center" vertical="center"/>
    </xf>
    <xf numFmtId="0" fontId="13" fillId="22" borderId="1" xfId="273" applyNumberFormat="1" applyFont="1" applyFill="1" applyBorder="1" applyAlignment="1">
      <alignment horizontal="center" vertical="center"/>
    </xf>
    <xf numFmtId="0" fontId="13" fillId="18" borderId="1" xfId="273" applyNumberFormat="1" applyFont="1" applyFill="1" applyBorder="1" applyAlignment="1">
      <alignment horizontal="center" vertical="center"/>
    </xf>
    <xf numFmtId="0" fontId="32" fillId="14" borderId="106" xfId="273" applyNumberFormat="1" applyFont="1" applyFill="1" applyBorder="1" applyAlignment="1">
      <alignment vertical="top"/>
    </xf>
    <xf numFmtId="0" fontId="13" fillId="22" borderId="1" xfId="273" applyNumberFormat="1" applyFont="1" applyFill="1" applyBorder="1" applyAlignment="1">
      <alignment horizontal="center"/>
    </xf>
    <xf numFmtId="0" fontId="13" fillId="14" borderId="1" xfId="273" applyNumberFormat="1" applyFont="1" applyFill="1" applyBorder="1" applyAlignment="1">
      <alignment horizontal="center"/>
    </xf>
    <xf numFmtId="0" fontId="13" fillId="18" borderId="1" xfId="273" applyNumberFormat="1" applyFont="1" applyFill="1" applyBorder="1" applyAlignment="1">
      <alignment horizontal="center"/>
    </xf>
    <xf numFmtId="179" fontId="13" fillId="18" borderId="1" xfId="273" applyNumberFormat="1" applyFont="1" applyFill="1" applyBorder="1" applyAlignment="1">
      <alignment horizontal="center" vertical="center"/>
    </xf>
    <xf numFmtId="179" fontId="13" fillId="22" borderId="1" xfId="273" applyNumberFormat="1" applyFont="1" applyFill="1" applyBorder="1" applyAlignment="1">
      <alignment horizontal="center" vertical="center"/>
    </xf>
    <xf numFmtId="195" fontId="13" fillId="22" borderId="1" xfId="273" applyNumberFormat="1" applyFont="1" applyFill="1" applyBorder="1" applyAlignment="1">
      <alignment horizontal="center" vertical="center"/>
    </xf>
    <xf numFmtId="0" fontId="13" fillId="14" borderId="0" xfId="273" applyNumberFormat="1" applyFont="1" applyFill="1" applyAlignment="1">
      <alignment vertical="center"/>
    </xf>
    <xf numFmtId="0" fontId="33" fillId="14" borderId="0" xfId="273" applyNumberFormat="1" applyFont="1" applyFill="1"/>
    <xf numFmtId="0" fontId="13" fillId="18" borderId="1" xfId="273" applyFont="1" applyFill="1" applyBorder="1" applyAlignment="1">
      <alignment horizontal="center" vertical="center"/>
    </xf>
    <xf numFmtId="0" fontId="13" fillId="22" borderId="1" xfId="273" applyNumberFormat="1" applyFont="1" applyFill="1" applyBorder="1"/>
    <xf numFmtId="195" fontId="13" fillId="22" borderId="1" xfId="273" applyNumberFormat="1" applyFont="1" applyFill="1" applyBorder="1" applyAlignment="1">
      <alignment horizontal="center"/>
    </xf>
    <xf numFmtId="0" fontId="13" fillId="14" borderId="0" xfId="273" applyNumberFormat="1" applyFont="1" applyFill="1" applyAlignment="1">
      <alignment horizontal="center" vertical="center"/>
    </xf>
    <xf numFmtId="179" fontId="13" fillId="18" borderId="1" xfId="273" applyNumberFormat="1" applyFont="1" applyFill="1" applyBorder="1" applyAlignment="1">
      <alignment horizontal="center"/>
    </xf>
    <xf numFmtId="0" fontId="13" fillId="18" borderId="1" xfId="273" applyFont="1" applyFill="1" applyBorder="1" applyAlignment="1">
      <alignment horizontal="center"/>
    </xf>
    <xf numFmtId="179" fontId="13" fillId="14" borderId="1" xfId="273" applyNumberFormat="1" applyFont="1" applyFill="1" applyBorder="1" applyAlignment="1">
      <alignment horizontal="center"/>
    </xf>
    <xf numFmtId="0" fontId="13" fillId="27" borderId="1" xfId="273" applyNumberFormat="1" applyFont="1" applyFill="1" applyBorder="1" applyAlignment="1">
      <alignment horizontal="center" vertical="center"/>
    </xf>
    <xf numFmtId="179" fontId="13" fillId="27" borderId="1" xfId="273" applyNumberFormat="1" applyFont="1" applyFill="1" applyBorder="1" applyAlignment="1">
      <alignment horizontal="center" vertical="center"/>
    </xf>
    <xf numFmtId="0" fontId="13" fillId="14" borderId="1" xfId="273" applyNumberFormat="1" applyFont="1" applyFill="1" applyBorder="1"/>
    <xf numFmtId="0" fontId="13" fillId="14" borderId="0" xfId="273" applyFont="1" applyFill="1" applyAlignment="1">
      <alignment horizontal="center" vertical="center"/>
    </xf>
    <xf numFmtId="0" fontId="32" fillId="14" borderId="0" xfId="273" applyNumberFormat="1" applyFont="1" applyFill="1" applyAlignment="1">
      <alignment horizontal="center" vertical="top"/>
    </xf>
    <xf numFmtId="0" fontId="13" fillId="14" borderId="0" xfId="273" applyFont="1" applyFill="1" applyAlignment="1">
      <alignment horizontal="center"/>
    </xf>
    <xf numFmtId="58" fontId="13" fillId="14" borderId="0" xfId="273" applyNumberFormat="1" applyFont="1" applyFill="1" applyAlignment="1">
      <alignment horizontal="center"/>
    </xf>
    <xf numFmtId="58" fontId="13" fillId="14" borderId="0" xfId="273" applyNumberFormat="1" applyFont="1" applyFill="1"/>
    <xf numFmtId="58" fontId="18" fillId="14" borderId="0" xfId="273" applyNumberFormat="1" applyFont="1" applyFill="1" applyAlignment="1">
      <alignment horizontal="center"/>
    </xf>
    <xf numFmtId="0" fontId="13" fillId="14" borderId="0" xfId="273" applyFill="1"/>
    <xf numFmtId="58" fontId="34" fillId="14" borderId="0" xfId="273" applyNumberFormat="1" applyFont="1" applyFill="1" applyBorder="1" applyAlignment="1">
      <alignment horizontal="left"/>
    </xf>
    <xf numFmtId="58" fontId="16" fillId="17" borderId="109" xfId="273" applyNumberFormat="1" applyFont="1" applyFill="1" applyBorder="1" applyAlignment="1">
      <alignment horizontal="center" vertical="center"/>
    </xf>
    <xf numFmtId="176" fontId="34" fillId="18" borderId="110" xfId="273" applyNumberFormat="1" applyFont="1" applyFill="1" applyBorder="1" applyAlignment="1">
      <alignment horizontal="center" vertical="center"/>
    </xf>
    <xf numFmtId="0" fontId="35" fillId="16" borderId="111" xfId="273" applyFont="1" applyFill="1" applyBorder="1" applyAlignment="1">
      <alignment horizontal="center" vertical="center"/>
    </xf>
    <xf numFmtId="58" fontId="16" fillId="16" borderId="112" xfId="273" applyNumberFormat="1" applyFont="1" applyFill="1" applyBorder="1" applyAlignment="1">
      <alignment horizontal="center" vertical="center"/>
    </xf>
    <xf numFmtId="58" fontId="16" fillId="16" borderId="113" xfId="273" applyNumberFormat="1" applyFont="1" applyFill="1" applyBorder="1" applyAlignment="1">
      <alignment horizontal="center" vertical="center"/>
    </xf>
    <xf numFmtId="0" fontId="16" fillId="16" borderId="114" xfId="273" applyFont="1" applyFill="1" applyBorder="1" applyAlignment="1">
      <alignment horizontal="center"/>
    </xf>
    <xf numFmtId="189" fontId="13" fillId="0" borderId="115" xfId="286" applyNumberFormat="1" applyFont="1" applyFill="1" applyBorder="1" applyAlignment="1">
      <alignment horizontal="center" vertical="center" wrapText="1"/>
    </xf>
    <xf numFmtId="189" fontId="36" fillId="0" borderId="115" xfId="286" applyNumberFormat="1" applyFont="1" applyFill="1" applyBorder="1" applyAlignment="1">
      <alignment horizontal="center" vertical="center" wrapText="1"/>
    </xf>
    <xf numFmtId="189" fontId="13" fillId="14" borderId="0" xfId="273" applyNumberFormat="1" applyFont="1" applyFill="1" applyAlignment="1">
      <alignment horizontal="center"/>
    </xf>
    <xf numFmtId="176" fontId="34" fillId="18" borderId="115" xfId="273" applyNumberFormat="1" applyFont="1" applyFill="1" applyBorder="1" applyAlignment="1">
      <alignment horizontal="center"/>
    </xf>
    <xf numFmtId="0" fontId="16" fillId="16" borderId="116" xfId="273" applyFont="1" applyFill="1" applyBorder="1" applyAlignment="1">
      <alignment horizontal="center"/>
    </xf>
    <xf numFmtId="189" fontId="13" fillId="0" borderId="117" xfId="286" applyNumberFormat="1" applyFont="1" applyFill="1" applyBorder="1" applyAlignment="1">
      <alignment horizontal="center" vertical="center" wrapText="1"/>
    </xf>
    <xf numFmtId="0" fontId="13" fillId="14" borderId="118" xfId="273" applyFill="1" applyBorder="1"/>
    <xf numFmtId="0" fontId="13" fillId="14" borderId="118" xfId="273" applyFont="1" applyFill="1" applyBorder="1"/>
    <xf numFmtId="0" fontId="16" fillId="16" borderId="1" xfId="273" applyFont="1" applyFill="1" applyBorder="1" applyAlignment="1">
      <alignment horizontal="center" vertical="center"/>
    </xf>
    <xf numFmtId="0" fontId="16" fillId="16" borderId="1" xfId="273" applyFont="1" applyFill="1" applyBorder="1" applyAlignment="1">
      <alignment horizontal="center"/>
    </xf>
    <xf numFmtId="10" fontId="13" fillId="0" borderId="1" xfId="273" applyNumberFormat="1" applyFont="1" applyFill="1" applyBorder="1" applyAlignment="1">
      <alignment horizontal="center" vertical="center"/>
    </xf>
    <xf numFmtId="10" fontId="13" fillId="28" borderId="1" xfId="286" applyNumberFormat="1" applyFont="1" applyFill="1" applyBorder="1" applyAlignment="1">
      <alignment horizontal="center" vertical="center" wrapText="1"/>
    </xf>
    <xf numFmtId="10" fontId="21" fillId="25" borderId="1" xfId="0" applyNumberFormat="1" applyFont="1" applyFill="1" applyBorder="1" applyAlignment="1">
      <alignment horizontal="center" vertical="center" wrapText="1"/>
    </xf>
    <xf numFmtId="10" fontId="22" fillId="26" borderId="1" xfId="0" applyNumberFormat="1" applyFont="1" applyFill="1" applyBorder="1" applyAlignment="1">
      <alignment horizontal="center" vertical="center" wrapText="1"/>
    </xf>
    <xf numFmtId="58" fontId="13" fillId="15" borderId="25" xfId="273" applyNumberFormat="1" applyFont="1" applyFill="1" applyBorder="1" applyAlignment="1">
      <alignment horizontal="center"/>
    </xf>
    <xf numFmtId="198" fontId="13" fillId="14" borderId="0" xfId="273" applyNumberFormat="1" applyFont="1" applyFill="1"/>
    <xf numFmtId="0" fontId="16" fillId="38" borderId="26" xfId="273" applyFont="1" applyFill="1" applyBorder="1" applyAlignment="1">
      <alignment horizontal="center" vertical="center"/>
    </xf>
    <xf numFmtId="0" fontId="16" fillId="16" borderId="26" xfId="273" applyFont="1" applyFill="1" applyBorder="1" applyAlignment="1">
      <alignment horizontal="left" vertical="center"/>
    </xf>
    <xf numFmtId="0" fontId="16" fillId="16" borderId="26" xfId="273" applyFont="1" applyFill="1" applyBorder="1" applyAlignment="1">
      <alignment horizontal="center" vertical="center"/>
    </xf>
    <xf numFmtId="0" fontId="13" fillId="18" borderId="26" xfId="273" applyNumberFormat="1" applyFont="1" applyFill="1" applyBorder="1" applyAlignment="1">
      <alignment horizontal="center" vertical="center"/>
    </xf>
    <xf numFmtId="0" fontId="13" fillId="23" borderId="26" xfId="273" applyFont="1" applyFill="1" applyBorder="1" applyAlignment="1">
      <alignment horizontal="center" vertical="center"/>
    </xf>
    <xf numFmtId="0" fontId="16" fillId="38" borderId="26" xfId="273" applyNumberFormat="1" applyFont="1" applyFill="1" applyBorder="1" applyAlignment="1">
      <alignment horizontal="center"/>
    </xf>
    <xf numFmtId="0" fontId="13" fillId="14" borderId="26" xfId="273" applyNumberFormat="1" applyFont="1" applyFill="1" applyBorder="1" applyAlignment="1">
      <alignment horizontal="center"/>
    </xf>
    <xf numFmtId="0" fontId="16" fillId="16" borderId="119" xfId="273" applyFont="1" applyFill="1" applyBorder="1" applyAlignment="1">
      <alignment horizontal="center" vertical="center" wrapText="1"/>
    </xf>
    <xf numFmtId="0" fontId="16" fillId="16" borderId="120" xfId="273" applyFont="1" applyFill="1" applyBorder="1" applyAlignment="1">
      <alignment horizontal="center" vertical="center" wrapText="1"/>
    </xf>
    <xf numFmtId="0" fontId="16" fillId="17" borderId="121" xfId="273" applyFont="1" applyFill="1" applyBorder="1" applyAlignment="1">
      <alignment horizontal="center" vertical="center" wrapText="1"/>
    </xf>
    <xf numFmtId="0" fontId="16" fillId="17" borderId="120" xfId="273" applyFont="1" applyFill="1" applyBorder="1" applyAlignment="1">
      <alignment horizontal="center" vertical="center" wrapText="1"/>
    </xf>
    <xf numFmtId="0" fontId="16" fillId="16" borderId="122" xfId="273" applyFont="1" applyFill="1" applyBorder="1" applyAlignment="1">
      <alignment horizontal="center" vertical="center" wrapText="1"/>
    </xf>
    <xf numFmtId="0" fontId="13" fillId="14" borderId="123" xfId="273" applyNumberFormat="1" applyFont="1" applyFill="1" applyBorder="1" applyAlignment="1">
      <alignment horizontal="center" vertical="center"/>
    </xf>
    <xf numFmtId="0" fontId="13" fillId="14" borderId="124" xfId="273" applyNumberFormat="1" applyFont="1" applyFill="1" applyBorder="1" applyAlignment="1">
      <alignment horizontal="center" vertical="center"/>
    </xf>
    <xf numFmtId="176" fontId="13" fillId="18" borderId="59" xfId="273" applyNumberFormat="1" applyFont="1" applyFill="1" applyBorder="1" applyAlignment="1">
      <alignment horizontal="center" vertical="center"/>
    </xf>
    <xf numFmtId="0" fontId="13" fillId="14" borderId="125" xfId="273" applyNumberFormat="1" applyFont="1" applyFill="1" applyBorder="1" applyAlignment="1">
      <alignment horizontal="center" vertical="center"/>
    </xf>
    <xf numFmtId="0" fontId="13" fillId="18" borderId="126" xfId="273" applyNumberFormat="1" applyFont="1" applyFill="1" applyBorder="1" applyAlignment="1">
      <alignment horizontal="center" vertical="center"/>
    </xf>
    <xf numFmtId="0" fontId="13" fillId="14" borderId="127" xfId="273" applyNumberFormat="1" applyFont="1" applyFill="1" applyBorder="1" applyAlignment="1">
      <alignment horizontal="center" vertical="center"/>
    </xf>
    <xf numFmtId="58" fontId="13" fillId="14" borderId="0" xfId="273" applyNumberFormat="1" applyFont="1" applyFill="1" applyAlignment="1">
      <alignment horizontal="center" vertical="center"/>
    </xf>
    <xf numFmtId="0" fontId="16" fillId="16" borderId="128" xfId="273" applyFont="1" applyFill="1" applyBorder="1" applyAlignment="1">
      <alignment horizontal="center" vertical="center" wrapText="1"/>
    </xf>
    <xf numFmtId="0" fontId="16" fillId="16" borderId="55" xfId="273" applyFont="1" applyFill="1" applyBorder="1" applyAlignment="1">
      <alignment horizontal="center" vertical="center" wrapText="1"/>
    </xf>
    <xf numFmtId="58" fontId="13" fillId="14" borderId="129" xfId="273" applyNumberFormat="1" applyFont="1" applyFill="1" applyBorder="1" applyAlignment="1">
      <alignment vertical="center"/>
    </xf>
    <xf numFmtId="58" fontId="13" fillId="14" borderId="0" xfId="273" applyNumberFormat="1" applyFont="1" applyFill="1" applyAlignment="1">
      <alignment vertical="center"/>
    </xf>
    <xf numFmtId="0" fontId="13" fillId="14" borderId="130" xfId="273" applyNumberFormat="1" applyFont="1" applyFill="1" applyBorder="1" applyAlignment="1">
      <alignment horizontal="center" vertical="center"/>
    </xf>
    <xf numFmtId="0" fontId="13" fillId="14" borderId="131" xfId="273" applyNumberFormat="1" applyFont="1" applyFill="1" applyBorder="1" applyAlignment="1">
      <alignment horizontal="center" vertical="center"/>
    </xf>
    <xf numFmtId="0" fontId="13" fillId="18" borderId="132" xfId="273" applyNumberFormat="1" applyFont="1" applyFill="1" applyBorder="1" applyAlignment="1">
      <alignment horizontal="center" vertical="center"/>
    </xf>
    <xf numFmtId="58" fontId="16" fillId="17" borderId="113" xfId="273" applyNumberFormat="1" applyFont="1" applyFill="1" applyBorder="1" applyAlignment="1">
      <alignment horizontal="center" vertical="center"/>
    </xf>
    <xf numFmtId="58" fontId="16" fillId="16" borderId="135" xfId="273" applyNumberFormat="1" applyFont="1" applyFill="1" applyBorder="1" applyAlignment="1">
      <alignment horizontal="center" vertical="center"/>
    </xf>
    <xf numFmtId="9" fontId="34" fillId="18" borderId="115" xfId="273" applyNumberFormat="1" applyFont="1" applyFill="1" applyBorder="1" applyAlignment="1">
      <alignment horizontal="center"/>
    </xf>
    <xf numFmtId="10" fontId="34" fillId="14" borderId="115" xfId="273" applyNumberFormat="1" applyFont="1" applyFill="1" applyBorder="1" applyAlignment="1">
      <alignment horizontal="center"/>
    </xf>
    <xf numFmtId="10" fontId="34" fillId="14" borderId="136" xfId="273" applyNumberFormat="1" applyFont="1" applyFill="1" applyBorder="1" applyAlignment="1">
      <alignment horizontal="center"/>
    </xf>
    <xf numFmtId="10" fontId="34" fillId="14" borderId="117" xfId="273" applyNumberFormat="1" applyFont="1" applyFill="1" applyBorder="1" applyAlignment="1">
      <alignment horizontal="center"/>
    </xf>
    <xf numFmtId="0" fontId="13" fillId="14" borderId="137" xfId="273" applyFont="1" applyFill="1" applyBorder="1" applyAlignment="1">
      <alignment horizontal="center"/>
    </xf>
    <xf numFmtId="0" fontId="13" fillId="14" borderId="0" xfId="273" applyFont="1" applyFill="1" applyAlignment="1">
      <alignment horizontal="left" vertical="center"/>
    </xf>
    <xf numFmtId="176" fontId="13" fillId="14" borderId="0" xfId="273" applyNumberFormat="1" applyFont="1" applyFill="1" applyAlignment="1">
      <alignment horizontal="center" vertical="center"/>
    </xf>
    <xf numFmtId="0" fontId="16" fillId="14" borderId="0" xfId="273" applyFont="1" applyFill="1" applyBorder="1"/>
    <xf numFmtId="0" fontId="13" fillId="15" borderId="24" xfId="273" applyFont="1" applyFill="1" applyBorder="1"/>
    <xf numFmtId="0" fontId="13" fillId="15" borderId="25" xfId="273" applyFont="1" applyFill="1" applyBorder="1" applyAlignment="1">
      <alignment horizontal="center"/>
    </xf>
    <xf numFmtId="0" fontId="34" fillId="14" borderId="0" xfId="273" applyFont="1" applyFill="1" applyBorder="1" applyAlignment="1">
      <alignment horizontal="left"/>
    </xf>
    <xf numFmtId="0" fontId="16" fillId="17" borderId="138" xfId="273" applyFont="1" applyFill="1" applyBorder="1" applyAlignment="1">
      <alignment horizontal="center" vertical="center"/>
    </xf>
    <xf numFmtId="198" fontId="13" fillId="14" borderId="139" xfId="273" applyNumberFormat="1" applyFont="1" applyFill="1" applyBorder="1" applyAlignment="1">
      <alignment horizontal="center" vertical="center"/>
    </xf>
    <xf numFmtId="0" fontId="15" fillId="14" borderId="140" xfId="273" applyFont="1" applyFill="1" applyBorder="1" applyAlignment="1">
      <alignment horizontal="center" vertical="center"/>
    </xf>
    <xf numFmtId="0" fontId="16" fillId="16" borderId="141" xfId="273" applyFont="1" applyFill="1" applyBorder="1" applyAlignment="1">
      <alignment horizontal="center" vertical="center"/>
    </xf>
    <xf numFmtId="0" fontId="16" fillId="16" borderId="142" xfId="273" applyFont="1" applyFill="1" applyBorder="1" applyAlignment="1">
      <alignment horizontal="center"/>
    </xf>
    <xf numFmtId="0" fontId="16" fillId="16" borderId="143" xfId="273" applyFont="1" applyFill="1" applyBorder="1"/>
    <xf numFmtId="0" fontId="16" fillId="16" borderId="55" xfId="273" applyFont="1" applyFill="1" applyBorder="1"/>
    <xf numFmtId="0" fontId="16" fillId="16" borderId="145" xfId="273" applyFont="1" applyFill="1" applyBorder="1"/>
    <xf numFmtId="0" fontId="16" fillId="14" borderId="0" xfId="273" applyFont="1" applyFill="1" applyBorder="1" applyAlignment="1">
      <alignment horizontal="center"/>
    </xf>
    <xf numFmtId="0" fontId="13" fillId="15" borderId="23" xfId="273" applyFont="1" applyFill="1" applyBorder="1" applyAlignment="1">
      <alignment horizontal="left" vertical="top"/>
    </xf>
    <xf numFmtId="0" fontId="13" fillId="14" borderId="0" xfId="273" applyFill="1" applyBorder="1" applyAlignment="1">
      <alignment horizontal="left" vertical="top"/>
    </xf>
    <xf numFmtId="0" fontId="16" fillId="16" borderId="121" xfId="273" applyFont="1" applyFill="1" applyBorder="1" applyAlignment="1">
      <alignment horizontal="center" vertical="center"/>
    </xf>
    <xf numFmtId="0" fontId="16" fillId="16" borderId="147" xfId="273" applyFont="1" applyFill="1" applyBorder="1" applyAlignment="1">
      <alignment horizontal="center"/>
    </xf>
    <xf numFmtId="0" fontId="16" fillId="18" borderId="26" xfId="273" applyFont="1" applyFill="1" applyBorder="1" applyAlignment="1">
      <alignment horizontal="center" vertical="center"/>
    </xf>
    <xf numFmtId="198" fontId="13" fillId="18" borderId="26" xfId="273" applyNumberFormat="1" applyFill="1" applyBorder="1" applyAlignment="1">
      <alignment horizontal="center"/>
    </xf>
    <xf numFmtId="0" fontId="16" fillId="18" borderId="26" xfId="273" applyFont="1" applyFill="1" applyBorder="1" applyAlignment="1">
      <alignment horizontal="center"/>
    </xf>
    <xf numFmtId="0" fontId="16" fillId="18" borderId="148" xfId="273" applyFont="1" applyFill="1" applyBorder="1" applyAlignment="1">
      <alignment horizontal="center"/>
    </xf>
    <xf numFmtId="198" fontId="13" fillId="18" borderId="149" xfId="273" applyNumberFormat="1" applyFill="1" applyBorder="1" applyAlignment="1">
      <alignment horizontal="center"/>
    </xf>
    <xf numFmtId="0" fontId="13" fillId="14" borderId="0" xfId="273" applyFont="1" applyFill="1" applyBorder="1" applyAlignment="1">
      <alignment horizontal="left" vertical="top"/>
    </xf>
    <xf numFmtId="0" fontId="16" fillId="17" borderId="150" xfId="273" applyFont="1" applyFill="1" applyBorder="1" applyAlignment="1">
      <alignment horizontal="center" vertical="center"/>
    </xf>
    <xf numFmtId="0" fontId="13" fillId="14" borderId="151" xfId="273" applyFont="1" applyFill="1" applyBorder="1" applyAlignment="1">
      <alignment horizontal="center"/>
    </xf>
    <xf numFmtId="0" fontId="19" fillId="0" borderId="0" xfId="273" applyFont="1" applyFill="1"/>
    <xf numFmtId="0" fontId="18" fillId="15" borderId="25" xfId="273" applyFont="1" applyFill="1" applyBorder="1" applyAlignment="1">
      <alignment horizontal="center"/>
    </xf>
    <xf numFmtId="0" fontId="16" fillId="39" borderId="152" xfId="273" applyFont="1" applyFill="1" applyBorder="1" applyAlignment="1">
      <alignment horizontal="left"/>
    </xf>
    <xf numFmtId="0" fontId="0" fillId="39" borderId="152" xfId="0" applyFill="1" applyBorder="1" applyAlignment="1"/>
    <xf numFmtId="0" fontId="0" fillId="0" borderId="152" xfId="0" applyBorder="1" applyAlignment="1"/>
    <xf numFmtId="0" fontId="16" fillId="16" borderId="115" xfId="273" applyFont="1" applyFill="1" applyBorder="1" applyAlignment="1">
      <alignment horizontal="center" vertical="center"/>
    </xf>
    <xf numFmtId="0" fontId="16" fillId="16" borderId="158" xfId="273" applyFont="1" applyFill="1" applyBorder="1" applyAlignment="1">
      <alignment horizontal="center" vertical="center"/>
    </xf>
    <xf numFmtId="0" fontId="16" fillId="16" borderId="115" xfId="273" applyFont="1" applyFill="1" applyBorder="1"/>
    <xf numFmtId="0" fontId="34" fillId="18" borderId="115" xfId="273" applyFont="1" applyFill="1" applyBorder="1" applyAlignment="1">
      <alignment horizontal="center"/>
    </xf>
    <xf numFmtId="0" fontId="13" fillId="14" borderId="159" xfId="273" applyFont="1" applyFill="1" applyBorder="1" applyAlignment="1">
      <alignment horizontal="center"/>
    </xf>
    <xf numFmtId="0" fontId="13" fillId="14" borderId="160" xfId="273" applyFont="1" applyFill="1" applyBorder="1" applyAlignment="1">
      <alignment horizontal="center"/>
    </xf>
    <xf numFmtId="0" fontId="13" fillId="14" borderId="115" xfId="273" applyFont="1" applyFill="1" applyBorder="1" applyAlignment="1">
      <alignment horizontal="center"/>
    </xf>
    <xf numFmtId="0" fontId="34" fillId="18" borderId="115" xfId="273" applyFont="1" applyFill="1" applyBorder="1" applyAlignment="1">
      <alignment horizontal="right"/>
    </xf>
    <xf numFmtId="0" fontId="16" fillId="17" borderId="114" xfId="273" applyFont="1" applyFill="1" applyBorder="1" applyAlignment="1">
      <alignment horizontal="center"/>
    </xf>
    <xf numFmtId="0" fontId="16" fillId="17" borderId="158" xfId="273" applyFont="1" applyFill="1" applyBorder="1"/>
    <xf numFmtId="0" fontId="16" fillId="17" borderId="115" xfId="273" applyFont="1" applyFill="1" applyBorder="1"/>
    <xf numFmtId="0" fontId="16" fillId="17" borderId="116" xfId="273" applyFont="1" applyFill="1" applyBorder="1" applyAlignment="1">
      <alignment horizontal="center"/>
    </xf>
    <xf numFmtId="0" fontId="16" fillId="17" borderId="117" xfId="273" applyFont="1" applyFill="1" applyBorder="1"/>
    <xf numFmtId="0" fontId="13" fillId="0" borderId="0" xfId="273" applyFont="1" applyFill="1" applyBorder="1" applyAlignment="1">
      <alignment horizontal="center"/>
    </xf>
    <xf numFmtId="10" fontId="37" fillId="0" borderId="0" xfId="273" applyNumberFormat="1" applyFont="1" applyFill="1" applyBorder="1" applyAlignment="1">
      <alignment horizontal="center"/>
    </xf>
    <xf numFmtId="195" fontId="22" fillId="40" borderId="1" xfId="0" applyNumberFormat="1" applyFont="1" applyFill="1" applyBorder="1" applyAlignment="1">
      <alignment horizontal="center" vertical="center" wrapText="1"/>
    </xf>
    <xf numFmtId="0" fontId="38" fillId="16" borderId="1" xfId="273" applyFont="1" applyFill="1" applyBorder="1" applyAlignment="1">
      <alignment vertical="center"/>
    </xf>
    <xf numFmtId="0" fontId="34" fillId="18" borderId="1" xfId="273" applyFont="1" applyFill="1" applyBorder="1" applyAlignment="1">
      <alignment horizontal="center"/>
    </xf>
    <xf numFmtId="0" fontId="39" fillId="14" borderId="0" xfId="273" applyFont="1" applyFill="1"/>
    <xf numFmtId="0" fontId="16" fillId="16" borderId="159" xfId="273" applyFont="1" applyFill="1" applyBorder="1" applyAlignment="1">
      <alignment horizontal="center" vertical="center"/>
    </xf>
    <xf numFmtId="0" fontId="17" fillId="23" borderId="115" xfId="110" applyFont="1" applyFill="1" applyBorder="1" applyAlignment="1">
      <alignment horizontal="center" vertical="center" wrapText="1"/>
    </xf>
    <xf numFmtId="0" fontId="34" fillId="18" borderId="159" xfId="273" applyFont="1" applyFill="1" applyBorder="1" applyAlignment="1">
      <alignment horizontal="center"/>
    </xf>
    <xf numFmtId="0" fontId="34" fillId="18" borderId="159" xfId="273" applyFont="1" applyFill="1" applyBorder="1" applyAlignment="1">
      <alignment horizontal="right"/>
    </xf>
    <xf numFmtId="0" fontId="34" fillId="18" borderId="115" xfId="273" applyFont="1" applyFill="1" applyBorder="1"/>
    <xf numFmtId="0" fontId="34" fillId="18" borderId="159" xfId="273" applyFont="1" applyFill="1" applyBorder="1"/>
    <xf numFmtId="0" fontId="34" fillId="18" borderId="165" xfId="273" applyFont="1" applyFill="1" applyBorder="1" applyAlignment="1">
      <alignment horizontal="center"/>
    </xf>
    <xf numFmtId="198" fontId="34" fillId="18" borderId="172" xfId="273" applyNumberFormat="1" applyFont="1" applyFill="1" applyBorder="1" applyAlignment="1">
      <alignment horizontal="center"/>
    </xf>
    <xf numFmtId="9" fontId="37" fillId="18" borderId="169" xfId="273" applyNumberFormat="1" applyFont="1" applyFill="1" applyBorder="1" applyAlignment="1">
      <alignment horizontal="center"/>
    </xf>
    <xf numFmtId="0" fontId="38" fillId="16" borderId="177" xfId="273" applyFont="1" applyFill="1" applyBorder="1" applyAlignment="1">
      <alignment horizontal="center" vertical="center"/>
    </xf>
    <xf numFmtId="9" fontId="37" fillId="18" borderId="179" xfId="273" applyNumberFormat="1" applyFont="1" applyFill="1" applyBorder="1" applyAlignment="1">
      <alignment horizontal="center"/>
    </xf>
    <xf numFmtId="9" fontId="22" fillId="0" borderId="178" xfId="273" applyNumberFormat="1" applyFont="1" applyFill="1" applyBorder="1" applyAlignment="1">
      <alignment horizontal="center" vertical="center"/>
    </xf>
    <xf numFmtId="0" fontId="38" fillId="16" borderId="181" xfId="273" applyFont="1" applyFill="1" applyBorder="1" applyAlignment="1">
      <alignment horizontal="center" vertical="center"/>
    </xf>
    <xf numFmtId="9" fontId="22" fillId="0" borderId="182" xfId="273" applyNumberFormat="1" applyFont="1" applyFill="1" applyBorder="1" applyAlignment="1">
      <alignment horizontal="center" vertical="center"/>
    </xf>
    <xf numFmtId="10" fontId="37" fillId="18" borderId="183" xfId="273" applyNumberFormat="1" applyFont="1" applyFill="1" applyBorder="1" applyAlignment="1"/>
    <xf numFmtId="10" fontId="13" fillId="14" borderId="0" xfId="273" applyNumberFormat="1" applyFont="1" applyFill="1"/>
    <xf numFmtId="9" fontId="13" fillId="14" borderId="0" xfId="273" applyNumberFormat="1" applyFont="1" applyFill="1"/>
    <xf numFmtId="0" fontId="41" fillId="39" borderId="152" xfId="0" applyFont="1" applyFill="1" applyBorder="1" applyAlignment="1"/>
    <xf numFmtId="0" fontId="13" fillId="0" borderId="0" xfId="273" applyAlignment="1">
      <alignment vertical="center"/>
    </xf>
    <xf numFmtId="0" fontId="42" fillId="0" borderId="188" xfId="273" applyFont="1" applyBorder="1" applyAlignment="1">
      <alignment horizontal="center" vertical="center"/>
    </xf>
    <xf numFmtId="0" fontId="13" fillId="15" borderId="25" xfId="273" applyFont="1" applyFill="1" applyBorder="1" applyAlignment="1">
      <alignment horizontal="left" vertical="center"/>
    </xf>
    <xf numFmtId="0" fontId="13" fillId="0" borderId="0" xfId="273" applyFont="1" applyBorder="1" applyAlignment="1">
      <alignment horizontal="left" vertical="center"/>
    </xf>
    <xf numFmtId="0" fontId="13" fillId="0" borderId="189" xfId="273" applyBorder="1"/>
    <xf numFmtId="58" fontId="16" fillId="16" borderId="26" xfId="273" applyNumberFormat="1" applyFont="1" applyFill="1" applyBorder="1" applyAlignment="1">
      <alignment horizontal="center" vertical="center" wrapText="1"/>
    </xf>
    <xf numFmtId="0" fontId="22" fillId="18" borderId="26" xfId="273" applyFont="1" applyFill="1" applyBorder="1" applyAlignment="1">
      <alignment horizontal="center" vertical="center"/>
    </xf>
    <xf numFmtId="0" fontId="16" fillId="16" borderId="67" xfId="273" applyFont="1" applyFill="1" applyBorder="1" applyAlignment="1">
      <alignment horizontal="center" vertical="center"/>
    </xf>
    <xf numFmtId="0" fontId="22" fillId="18" borderId="200" xfId="273" applyFont="1" applyFill="1" applyBorder="1" applyAlignment="1">
      <alignment horizontal="center" vertical="center"/>
    </xf>
    <xf numFmtId="0" fontId="22" fillId="18" borderId="201" xfId="273" applyFont="1" applyFill="1" applyBorder="1" applyAlignment="1">
      <alignment horizontal="center" vertical="center"/>
    </xf>
    <xf numFmtId="0" fontId="22" fillId="18" borderId="202" xfId="273" applyFont="1" applyFill="1" applyBorder="1" applyAlignment="1">
      <alignment horizontal="center" vertical="center"/>
    </xf>
    <xf numFmtId="0" fontId="22" fillId="18" borderId="67" xfId="273" applyFont="1" applyFill="1" applyBorder="1" applyAlignment="1">
      <alignment horizontal="center" vertical="center"/>
    </xf>
    <xf numFmtId="0" fontId="13" fillId="15" borderId="26" xfId="273" applyFont="1" applyFill="1" applyBorder="1" applyAlignment="1"/>
    <xf numFmtId="0" fontId="13" fillId="14" borderId="203" xfId="273" applyFont="1" applyFill="1" applyBorder="1" applyAlignment="1"/>
    <xf numFmtId="0" fontId="13" fillId="14" borderId="0" xfId="273" applyFont="1" applyFill="1" applyAlignment="1"/>
    <xf numFmtId="0" fontId="13" fillId="23" borderId="26" xfId="273" applyFill="1" applyBorder="1" applyAlignment="1">
      <alignment horizontal="center" vertical="center"/>
    </xf>
    <xf numFmtId="0" fontId="42" fillId="0" borderId="186" xfId="273" applyFont="1" applyBorder="1" applyAlignment="1">
      <alignment vertical="center"/>
    </xf>
    <xf numFmtId="0" fontId="42" fillId="0" borderId="0" xfId="273" applyFont="1" applyBorder="1" applyAlignment="1">
      <alignment vertical="center"/>
    </xf>
    <xf numFmtId="0" fontId="13" fillId="0" borderId="206" xfId="273" applyFont="1" applyBorder="1" applyAlignment="1">
      <alignment horizontal="left" vertical="center"/>
    </xf>
    <xf numFmtId="0" fontId="13" fillId="0" borderId="207" xfId="273" applyBorder="1"/>
    <xf numFmtId="198" fontId="22" fillId="18" borderId="63" xfId="273" applyNumberFormat="1" applyFont="1" applyFill="1" applyBorder="1" applyAlignment="1">
      <alignment horizontal="center" vertical="center"/>
    </xf>
    <xf numFmtId="192" fontId="13" fillId="0" borderId="0" xfId="273" applyNumberFormat="1" applyAlignment="1">
      <alignment vertical="center"/>
    </xf>
    <xf numFmtId="195" fontId="13" fillId="0" borderId="0" xfId="273" applyNumberFormat="1" applyAlignment="1">
      <alignment vertical="center"/>
    </xf>
    <xf numFmtId="198" fontId="22" fillId="18" borderId="210" xfId="273" applyNumberFormat="1" applyFont="1" applyFill="1" applyBorder="1" applyAlignment="1">
      <alignment horizontal="center" vertical="center"/>
    </xf>
    <xf numFmtId="0" fontId="13" fillId="0" borderId="26" xfId="273" applyFont="1" applyBorder="1" applyAlignment="1">
      <alignment horizontal="left"/>
    </xf>
    <xf numFmtId="0" fontId="13" fillId="0" borderId="26" xfId="0" applyFont="1" applyBorder="1" applyAlignment="1">
      <alignment horizontal="left"/>
    </xf>
    <xf numFmtId="0" fontId="13" fillId="0" borderId="26" xfId="273" applyBorder="1" applyAlignment="1">
      <alignment horizontal="left"/>
    </xf>
    <xf numFmtId="14" fontId="13" fillId="0" borderId="26" xfId="0" applyNumberFormat="1" applyFont="1" applyBorder="1" applyAlignment="1">
      <alignment horizontal="left"/>
    </xf>
    <xf numFmtId="0" fontId="43" fillId="0" borderId="0" xfId="273" applyFont="1" applyFill="1" applyBorder="1" applyAlignment="1">
      <alignment horizontal="left"/>
    </xf>
    <xf numFmtId="0" fontId="0" fillId="0" borderId="26" xfId="0" applyBorder="1" applyAlignment="1">
      <alignment vertical="center"/>
    </xf>
    <xf numFmtId="0" fontId="44" fillId="24" borderId="26" xfId="0" applyFont="1" applyFill="1" applyBorder="1" applyAlignment="1">
      <alignment horizontal="center" vertical="center"/>
    </xf>
    <xf numFmtId="0" fontId="12" fillId="0" borderId="196" xfId="0" applyFont="1" applyBorder="1" applyAlignment="1">
      <alignment vertical="center"/>
    </xf>
    <xf numFmtId="0" fontId="13" fillId="14" borderId="26" xfId="0" applyFont="1" applyFill="1" applyBorder="1" applyAlignment="1">
      <alignment horizontal="center"/>
    </xf>
    <xf numFmtId="0" fontId="34" fillId="18" borderId="26" xfId="0" applyFont="1" applyFill="1" applyBorder="1" applyAlignment="1">
      <alignment horizontal="center"/>
    </xf>
    <xf numFmtId="0" fontId="16" fillId="31" borderId="26" xfId="0" applyFont="1" applyFill="1" applyBorder="1" applyAlignment="1">
      <alignment horizontal="center" vertical="center"/>
    </xf>
    <xf numFmtId="0" fontId="16" fillId="20" borderId="26" xfId="0" applyFont="1" applyFill="1" applyBorder="1" applyAlignment="1">
      <alignment horizontal="center"/>
    </xf>
    <xf numFmtId="0" fontId="13" fillId="14" borderId="0" xfId="285" applyFont="1" applyFill="1" applyBorder="1" applyAlignment="1">
      <alignment horizontal="left"/>
    </xf>
    <xf numFmtId="0" fontId="13" fillId="14" borderId="0" xfId="285" applyFont="1" applyFill="1" applyAlignment="1">
      <alignment horizontal="left"/>
    </xf>
    <xf numFmtId="0" fontId="45" fillId="14" borderId="0" xfId="285" applyFont="1" applyFill="1" applyAlignment="1">
      <alignment horizontal="left"/>
    </xf>
    <xf numFmtId="0" fontId="13" fillId="14" borderId="211" xfId="285" applyFont="1" applyFill="1" applyBorder="1" applyAlignment="1">
      <alignment horizontal="left"/>
    </xf>
    <xf numFmtId="0" fontId="13" fillId="14" borderId="212" xfId="285" applyFont="1" applyFill="1" applyBorder="1" applyAlignment="1">
      <alignment horizontal="left"/>
    </xf>
    <xf numFmtId="0" fontId="45" fillId="14" borderId="212" xfId="285" applyFont="1" applyFill="1" applyBorder="1" applyAlignment="1">
      <alignment horizontal="left"/>
    </xf>
    <xf numFmtId="0" fontId="13" fillId="14" borderId="213" xfId="285" applyFont="1" applyFill="1" applyBorder="1" applyAlignment="1">
      <alignment horizontal="left"/>
    </xf>
    <xf numFmtId="176" fontId="13" fillId="14" borderId="0" xfId="285" applyNumberFormat="1" applyFont="1" applyFill="1" applyAlignment="1">
      <alignment horizontal="left"/>
    </xf>
    <xf numFmtId="0" fontId="12" fillId="14" borderId="214" xfId="285" applyFont="1" applyFill="1" applyBorder="1" applyAlignment="1">
      <alignment horizontal="left"/>
    </xf>
    <xf numFmtId="0" fontId="12" fillId="14" borderId="215" xfId="285" applyFont="1" applyFill="1" applyBorder="1" applyAlignment="1">
      <alignment horizontal="left"/>
    </xf>
    <xf numFmtId="0" fontId="12" fillId="14" borderId="0" xfId="285" applyFont="1" applyFill="1" applyBorder="1" applyAlignment="1">
      <alignment horizontal="left"/>
    </xf>
    <xf numFmtId="0" fontId="46" fillId="14" borderId="0" xfId="285" applyFont="1" applyFill="1" applyBorder="1" applyAlignment="1">
      <alignment horizontal="left"/>
    </xf>
    <xf numFmtId="0" fontId="47" fillId="14" borderId="0" xfId="6" applyFill="1" applyBorder="1" applyAlignment="1" applyProtection="1">
      <alignment horizontal="left"/>
    </xf>
    <xf numFmtId="0" fontId="47" fillId="14" borderId="0" xfId="6" applyFont="1" applyFill="1" applyBorder="1" applyAlignment="1" applyProtection="1">
      <alignment horizontal="left"/>
    </xf>
    <xf numFmtId="0" fontId="47" fillId="14" borderId="0" xfId="6" applyFill="1" applyAlignment="1" applyProtection="1">
      <alignment horizontal="left"/>
    </xf>
    <xf numFmtId="0" fontId="48" fillId="14" borderId="0" xfId="285" applyFont="1" applyFill="1" applyBorder="1" applyAlignment="1">
      <alignment horizontal="left"/>
    </xf>
    <xf numFmtId="0" fontId="47" fillId="0" borderId="0" xfId="6" applyFont="1" applyAlignment="1" applyProtection="1"/>
    <xf numFmtId="0" fontId="45" fillId="14" borderId="0" xfId="285" applyFont="1" applyFill="1" applyBorder="1" applyAlignment="1">
      <alignment horizontal="left"/>
    </xf>
    <xf numFmtId="0" fontId="13" fillId="14" borderId="215" xfId="285" applyFont="1" applyFill="1" applyBorder="1" applyAlignment="1">
      <alignment horizontal="left"/>
    </xf>
    <xf numFmtId="0" fontId="13" fillId="14" borderId="214" xfId="285" applyFont="1" applyFill="1" applyBorder="1" applyAlignment="1">
      <alignment horizontal="left"/>
    </xf>
    <xf numFmtId="0" fontId="13" fillId="14" borderId="216" xfId="285" applyFont="1" applyFill="1" applyBorder="1" applyAlignment="1">
      <alignment horizontal="left"/>
    </xf>
    <xf numFmtId="0" fontId="45" fillId="14" borderId="216" xfId="285" applyFont="1" applyFill="1" applyBorder="1" applyAlignment="1">
      <alignment horizontal="left"/>
    </xf>
    <xf numFmtId="0" fontId="13" fillId="14" borderId="217" xfId="285" applyFont="1" applyFill="1" applyBorder="1" applyAlignment="1">
      <alignment horizontal="left"/>
    </xf>
    <xf numFmtId="0" fontId="13" fillId="14" borderId="220" xfId="285" applyFont="1" applyFill="1" applyBorder="1" applyAlignment="1">
      <alignment horizontal="left"/>
    </xf>
    <xf numFmtId="0" fontId="45" fillId="14" borderId="220" xfId="285" applyFont="1" applyFill="1" applyBorder="1" applyAlignment="1">
      <alignment horizontal="left"/>
    </xf>
    <xf numFmtId="0" fontId="13" fillId="14" borderId="219" xfId="285" applyFont="1" applyFill="1" applyBorder="1" applyAlignment="1">
      <alignment horizontal="left"/>
    </xf>
    <xf numFmtId="0" fontId="13" fillId="14" borderId="0" xfId="285" applyFont="1" applyFill="1" applyBorder="1" applyAlignment="1" applyProtection="1">
      <alignment horizontal="left"/>
    </xf>
    <xf numFmtId="0" fontId="13" fillId="14" borderId="222" xfId="285" applyFont="1" applyFill="1" applyBorder="1" applyAlignment="1">
      <alignment horizontal="left"/>
    </xf>
    <xf numFmtId="0" fontId="13" fillId="0" borderId="0" xfId="273" applyAlignment="1">
      <alignment horizontal="center" vertical="center"/>
    </xf>
    <xf numFmtId="0" fontId="50" fillId="0" borderId="26" xfId="273" applyFont="1" applyBorder="1" applyAlignment="1">
      <alignment horizontal="center" vertical="center"/>
    </xf>
    <xf numFmtId="0" fontId="51" fillId="0" borderId="26" xfId="273" applyFont="1" applyBorder="1" applyAlignment="1">
      <alignment horizontal="center" vertical="center"/>
    </xf>
    <xf numFmtId="49" fontId="13" fillId="0" borderId="26" xfId="273" applyNumberFormat="1" applyBorder="1" applyAlignment="1">
      <alignment horizontal="center" vertical="center"/>
    </xf>
    <xf numFmtId="181" fontId="13" fillId="0" borderId="26" xfId="273" applyNumberFormat="1" applyBorder="1" applyAlignment="1">
      <alignment horizontal="center" vertical="center"/>
    </xf>
    <xf numFmtId="0" fontId="13" fillId="0" borderId="26" xfId="273" applyFont="1" applyBorder="1" applyAlignment="1">
      <alignment horizontal="center" vertical="center"/>
    </xf>
    <xf numFmtId="181" fontId="13" fillId="0" borderId="26" xfId="273" applyNumberFormat="1" applyFont="1" applyBorder="1" applyAlignment="1">
      <alignment horizontal="center" vertical="center"/>
    </xf>
    <xf numFmtId="0" fontId="13" fillId="0" borderId="26" xfId="273" applyFont="1" applyBorder="1" applyAlignment="1">
      <alignment horizontal="center" vertical="center" wrapText="1"/>
    </xf>
    <xf numFmtId="0" fontId="53" fillId="0" borderId="26" xfId="273" applyFont="1" applyBorder="1" applyAlignment="1">
      <alignment horizontal="left" vertical="center" wrapText="1"/>
    </xf>
    <xf numFmtId="0" fontId="12" fillId="14" borderId="0" xfId="273" applyFont="1" applyFill="1" applyBorder="1" applyAlignment="1">
      <alignment vertical="center"/>
    </xf>
    <xf numFmtId="0" fontId="12" fillId="14" borderId="0" xfId="273" applyNumberFormat="1" applyFont="1" applyFill="1" applyBorder="1" applyAlignment="1">
      <alignment horizontal="center" vertical="center"/>
    </xf>
    <xf numFmtId="0" fontId="12" fillId="14" borderId="0" xfId="273" applyNumberFormat="1" applyFont="1" applyFill="1" applyBorder="1" applyAlignment="1">
      <alignment vertical="center"/>
    </xf>
    <xf numFmtId="0" fontId="13" fillId="14" borderId="0" xfId="273" applyNumberFormat="1" applyFill="1" applyBorder="1"/>
    <xf numFmtId="0" fontId="12" fillId="14" borderId="0" xfId="273" applyNumberFormat="1" applyFont="1" applyFill="1" applyBorder="1"/>
    <xf numFmtId="0" fontId="12" fillId="14" borderId="0" xfId="273" applyFont="1" applyFill="1" applyBorder="1"/>
    <xf numFmtId="0" fontId="41" fillId="0" borderId="0" xfId="0" applyFont="1"/>
    <xf numFmtId="0" fontId="0" fillId="0" borderId="0" xfId="0" quotePrefix="1"/>
    <xf numFmtId="0" fontId="13" fillId="0" borderId="26" xfId="273" applyFont="1" applyFill="1" applyBorder="1" applyAlignment="1">
      <alignment horizontal="left"/>
    </xf>
    <xf numFmtId="0" fontId="13" fillId="0" borderId="26" xfId="0" applyFont="1" applyFill="1" applyBorder="1" applyAlignment="1">
      <alignment horizontal="left"/>
    </xf>
    <xf numFmtId="0" fontId="13" fillId="18" borderId="1" xfId="273" applyFill="1" applyBorder="1" applyAlignment="1">
      <alignment horizontal="center" vertical="center"/>
    </xf>
    <xf numFmtId="197" fontId="16" fillId="16" borderId="239" xfId="284" applyNumberFormat="1" applyFont="1" applyFill="1" applyBorder="1" applyAlignment="1">
      <alignment horizontal="center" vertical="center"/>
    </xf>
    <xf numFmtId="197" fontId="16" fillId="16" borderId="240" xfId="284" applyNumberFormat="1" applyFont="1" applyFill="1" applyBorder="1" applyAlignment="1">
      <alignment horizontal="center" vertical="center"/>
    </xf>
    <xf numFmtId="197" fontId="16" fillId="20" borderId="241" xfId="284" applyNumberFormat="1" applyFont="1" applyFill="1" applyBorder="1" applyAlignment="1">
      <alignment horizontal="center" vertical="center"/>
    </xf>
    <xf numFmtId="0" fontId="16" fillId="16" borderId="242" xfId="273" applyFont="1" applyFill="1" applyBorder="1" applyAlignment="1">
      <alignment horizontal="center"/>
    </xf>
    <xf numFmtId="198" fontId="13" fillId="18" borderId="243" xfId="284" applyNumberFormat="1" applyFont="1" applyFill="1" applyBorder="1" applyAlignment="1">
      <alignment horizontal="center" vertical="center"/>
    </xf>
    <xf numFmtId="197" fontId="16" fillId="16" borderId="244" xfId="284" applyNumberFormat="1" applyFont="1" applyFill="1" applyBorder="1" applyAlignment="1">
      <alignment horizontal="center" vertical="center"/>
    </xf>
    <xf numFmtId="198" fontId="13" fillId="18" borderId="245" xfId="284" applyNumberFormat="1" applyFont="1" applyFill="1" applyBorder="1" applyAlignment="1">
      <alignment horizontal="center" vertical="center"/>
    </xf>
    <xf numFmtId="198" fontId="13" fillId="18" borderId="246" xfId="284" applyNumberFormat="1" applyFont="1" applyFill="1" applyBorder="1" applyAlignment="1">
      <alignment horizontal="center" vertical="center"/>
    </xf>
    <xf numFmtId="0" fontId="17" fillId="0" borderId="238" xfId="0" applyFont="1" applyBorder="1" applyAlignment="1">
      <alignment horizontal="center"/>
    </xf>
    <xf numFmtId="0" fontId="0" fillId="0" borderId="0" xfId="0" applyBorder="1"/>
    <xf numFmtId="0" fontId="13" fillId="0" borderId="144" xfId="273" applyFont="1" applyFill="1" applyBorder="1" applyAlignment="1">
      <alignment horizontal="center"/>
    </xf>
    <xf numFmtId="0" fontId="13" fillId="0" borderId="146" xfId="273" applyFill="1" applyBorder="1" applyAlignment="1">
      <alignment horizontal="center"/>
    </xf>
    <xf numFmtId="0" fontId="16" fillId="16" borderId="247" xfId="273" applyFont="1" applyFill="1" applyBorder="1" applyAlignment="1">
      <alignment horizontal="center" vertical="center"/>
    </xf>
    <xf numFmtId="0" fontId="13" fillId="14" borderId="248" xfId="273" applyFont="1" applyFill="1" applyBorder="1" applyAlignment="1">
      <alignment horizontal="center"/>
    </xf>
    <xf numFmtId="0" fontId="16" fillId="16" borderId="147" xfId="273" applyFont="1" applyFill="1" applyBorder="1"/>
    <xf numFmtId="0" fontId="13" fillId="14" borderId="249" xfId="273" applyFont="1" applyFill="1" applyBorder="1" applyAlignment="1">
      <alignment horizontal="center"/>
    </xf>
    <xf numFmtId="0" fontId="52" fillId="0" borderId="2" xfId="273" applyFont="1" applyBorder="1" applyAlignment="1">
      <alignment horizontal="left" vertical="center" wrapText="1"/>
    </xf>
    <xf numFmtId="0" fontId="52" fillId="0" borderId="96" xfId="273" applyFont="1" applyBorder="1" applyAlignment="1">
      <alignment horizontal="left" vertical="center" wrapText="1"/>
    </xf>
    <xf numFmtId="0" fontId="52" fillId="0" borderId="196" xfId="273" applyFont="1" applyBorder="1" applyAlignment="1">
      <alignment horizontal="left" vertical="center" wrapText="1"/>
    </xf>
    <xf numFmtId="0" fontId="49" fillId="0" borderId="0" xfId="273" applyFont="1" applyAlignment="1">
      <alignment horizontal="center" vertical="center"/>
    </xf>
    <xf numFmtId="0" fontId="13" fillId="0" borderId="26" xfId="273" applyBorder="1" applyAlignment="1">
      <alignment horizontal="center" vertical="center"/>
    </xf>
    <xf numFmtId="0" fontId="13" fillId="0" borderId="26" xfId="273" applyFont="1" applyBorder="1" applyAlignment="1">
      <alignment horizontal="left" vertical="center" wrapText="1"/>
    </xf>
    <xf numFmtId="0" fontId="13" fillId="0" borderId="26" xfId="273" applyBorder="1" applyAlignment="1">
      <alignment horizontal="left" vertical="center" wrapText="1"/>
    </xf>
    <xf numFmtId="0" fontId="42" fillId="14" borderId="0" xfId="285" applyFont="1" applyFill="1" applyBorder="1" applyAlignment="1">
      <alignment horizontal="center"/>
    </xf>
    <xf numFmtId="0" fontId="13" fillId="14" borderId="218" xfId="285" applyFont="1" applyFill="1" applyBorder="1" applyAlignment="1">
      <alignment horizontal="center" vertical="center"/>
    </xf>
    <xf numFmtId="0" fontId="13" fillId="14" borderId="219" xfId="285" applyFont="1" applyFill="1" applyBorder="1" applyAlignment="1">
      <alignment horizontal="center" vertical="center"/>
    </xf>
    <xf numFmtId="0" fontId="13" fillId="14" borderId="221" xfId="285" applyFont="1" applyFill="1" applyBorder="1" applyAlignment="1">
      <alignment horizontal="center" vertical="center"/>
    </xf>
    <xf numFmtId="0" fontId="13" fillId="14" borderId="222" xfId="285" applyFont="1" applyFill="1" applyBorder="1" applyAlignment="1">
      <alignment horizontal="center" vertical="center"/>
    </xf>
    <xf numFmtId="0" fontId="13" fillId="14" borderId="223" xfId="285" applyFont="1" applyFill="1" applyBorder="1" applyAlignment="1">
      <alignment horizontal="center" vertical="center"/>
    </xf>
    <xf numFmtId="0" fontId="13" fillId="14" borderId="217" xfId="285" applyFont="1" applyFill="1" applyBorder="1" applyAlignment="1">
      <alignment horizontal="center" vertical="center"/>
    </xf>
    <xf numFmtId="0" fontId="12" fillId="0" borderId="23" xfId="0" applyFont="1" applyBorder="1" applyAlignment="1">
      <alignment horizontal="left" vertical="center"/>
    </xf>
    <xf numFmtId="0" fontId="12" fillId="0" borderId="24" xfId="0" applyFont="1" applyBorder="1" applyAlignment="1">
      <alignment horizontal="left" vertical="center"/>
    </xf>
    <xf numFmtId="0" fontId="12" fillId="0" borderId="25" xfId="0" applyFont="1" applyBorder="1" applyAlignment="1">
      <alignment horizontal="left" vertical="center"/>
    </xf>
    <xf numFmtId="0" fontId="13" fillId="0" borderId="26" xfId="0" applyFont="1" applyBorder="1" applyAlignment="1">
      <alignment horizontal="left" vertical="top" wrapText="1"/>
    </xf>
    <xf numFmtId="0" fontId="0" fillId="0" borderId="26" xfId="0" applyBorder="1" applyAlignment="1">
      <alignment vertical="center"/>
    </xf>
    <xf numFmtId="0" fontId="16" fillId="42" borderId="26" xfId="0" applyFont="1" applyFill="1" applyBorder="1" applyAlignment="1">
      <alignment horizontal="center" vertical="center"/>
    </xf>
    <xf numFmtId="0" fontId="39" fillId="0" borderId="26" xfId="0" applyFont="1" applyBorder="1" applyAlignment="1">
      <alignment vertical="center"/>
    </xf>
    <xf numFmtId="0" fontId="44" fillId="24" borderId="23" xfId="0" applyFont="1" applyFill="1" applyBorder="1" applyAlignment="1">
      <alignment horizontal="center" vertical="center"/>
    </xf>
    <xf numFmtId="0" fontId="44" fillId="24" borderId="24" xfId="0" applyFont="1" applyFill="1" applyBorder="1" applyAlignment="1">
      <alignment horizontal="center" vertical="center"/>
    </xf>
    <xf numFmtId="0" fontId="44" fillId="24" borderId="25" xfId="0" applyFont="1" applyFill="1" applyBorder="1" applyAlignment="1">
      <alignment horizontal="center" vertical="center"/>
    </xf>
    <xf numFmtId="0" fontId="14" fillId="0" borderId="0" xfId="273" applyFont="1" applyAlignment="1">
      <alignment horizontal="center"/>
    </xf>
    <xf numFmtId="0" fontId="42" fillId="0" borderId="185" xfId="273" applyFont="1" applyBorder="1" applyAlignment="1">
      <alignment horizontal="center" vertical="center"/>
    </xf>
    <xf numFmtId="0" fontId="42" fillId="0" borderId="186" xfId="273" applyFont="1" applyBorder="1" applyAlignment="1">
      <alignment horizontal="center" vertical="center"/>
    </xf>
    <xf numFmtId="0" fontId="42" fillId="0" borderId="204" xfId="273" applyFont="1" applyBorder="1" applyAlignment="1">
      <alignment horizontal="center" vertical="center"/>
    </xf>
    <xf numFmtId="0" fontId="42" fillId="0" borderId="187" xfId="273" applyFont="1" applyBorder="1" applyAlignment="1">
      <alignment horizontal="center" vertical="center"/>
    </xf>
    <xf numFmtId="0" fontId="42" fillId="0" borderId="188" xfId="273" applyFont="1" applyBorder="1" applyAlignment="1">
      <alignment horizontal="center" vertical="center"/>
    </xf>
    <xf numFmtId="0" fontId="42" fillId="0" borderId="205" xfId="273" applyFont="1" applyBorder="1" applyAlignment="1">
      <alignment horizontal="center" vertical="center"/>
    </xf>
    <xf numFmtId="58" fontId="16" fillId="16" borderId="191" xfId="273" applyNumberFormat="1" applyFont="1" applyFill="1" applyBorder="1" applyAlignment="1">
      <alignment horizontal="center" vertical="center" wrapText="1"/>
    </xf>
    <xf numFmtId="58" fontId="16" fillId="16" borderId="196" xfId="273" applyNumberFormat="1" applyFont="1" applyFill="1" applyBorder="1" applyAlignment="1">
      <alignment horizontal="center" vertical="center" wrapText="1"/>
    </xf>
    <xf numFmtId="58" fontId="16" fillId="17" borderId="208" xfId="273" applyNumberFormat="1" applyFont="1" applyFill="1" applyBorder="1" applyAlignment="1">
      <alignment horizontal="center" vertical="center" wrapText="1"/>
    </xf>
    <xf numFmtId="58" fontId="16" fillId="17" borderId="209" xfId="273" applyNumberFormat="1" applyFont="1" applyFill="1" applyBorder="1" applyAlignment="1">
      <alignment horizontal="center" vertical="center" wrapText="1"/>
    </xf>
    <xf numFmtId="58" fontId="16" fillId="16" borderId="190" xfId="273" applyNumberFormat="1" applyFont="1" applyFill="1" applyBorder="1" applyAlignment="1">
      <alignment horizontal="center" vertical="center" wrapText="1"/>
    </xf>
    <xf numFmtId="58" fontId="16" fillId="16" borderId="195" xfId="273" applyNumberFormat="1" applyFont="1" applyFill="1" applyBorder="1" applyAlignment="1">
      <alignment horizontal="center" vertical="center" wrapText="1"/>
    </xf>
    <xf numFmtId="0" fontId="16" fillId="16" borderId="197" xfId="273" applyFont="1" applyFill="1" applyBorder="1" applyAlignment="1">
      <alignment horizontal="center" vertical="center" wrapText="1"/>
    </xf>
    <xf numFmtId="0" fontId="16" fillId="16" borderId="198" xfId="273" applyFont="1" applyFill="1" applyBorder="1" applyAlignment="1">
      <alignment horizontal="center" vertical="center" wrapText="1"/>
    </xf>
    <xf numFmtId="0" fontId="16" fillId="16" borderId="199" xfId="273" applyFont="1" applyFill="1" applyBorder="1" applyAlignment="1">
      <alignment horizontal="center" vertical="center" wrapText="1"/>
    </xf>
    <xf numFmtId="0" fontId="13" fillId="14" borderId="0" xfId="273" applyFont="1" applyFill="1" applyAlignment="1">
      <alignment horizontal="left"/>
    </xf>
    <xf numFmtId="0" fontId="13" fillId="14" borderId="189" xfId="273" applyFont="1" applyFill="1" applyBorder="1" applyAlignment="1">
      <alignment horizontal="left"/>
    </xf>
    <xf numFmtId="58" fontId="16" fillId="16" borderId="192" xfId="273" applyNumberFormat="1" applyFont="1" applyFill="1" applyBorder="1" applyAlignment="1">
      <alignment horizontal="center" vertical="center" wrapText="1"/>
    </xf>
    <xf numFmtId="58" fontId="16" fillId="16" borderId="193" xfId="273" applyNumberFormat="1" applyFont="1" applyFill="1" applyBorder="1" applyAlignment="1">
      <alignment horizontal="center" vertical="center" wrapText="1"/>
    </xf>
    <xf numFmtId="58" fontId="16" fillId="16" borderId="194" xfId="273" applyNumberFormat="1" applyFont="1" applyFill="1" applyBorder="1" applyAlignment="1">
      <alignment horizontal="center" vertical="center" wrapText="1"/>
    </xf>
    <xf numFmtId="0" fontId="16" fillId="41" borderId="26" xfId="273" applyFont="1" applyFill="1" applyBorder="1" applyAlignment="1">
      <alignment horizontal="left" vertical="center"/>
    </xf>
    <xf numFmtId="0" fontId="13" fillId="0" borderId="193" xfId="273" applyBorder="1" applyAlignment="1">
      <alignment horizontal="center"/>
    </xf>
    <xf numFmtId="0" fontId="13" fillId="0" borderId="0" xfId="273" applyBorder="1" applyAlignment="1">
      <alignment horizontal="center"/>
    </xf>
    <xf numFmtId="0" fontId="13" fillId="0" borderId="193" xfId="273" applyFill="1" applyBorder="1" applyAlignment="1">
      <alignment horizontal="center"/>
    </xf>
    <xf numFmtId="0" fontId="13" fillId="0" borderId="0" xfId="273" applyFill="1" applyBorder="1" applyAlignment="1">
      <alignment horizontal="center"/>
    </xf>
    <xf numFmtId="0" fontId="14" fillId="14" borderId="0" xfId="273" applyFont="1" applyFill="1" applyAlignment="1">
      <alignment horizontal="center"/>
    </xf>
    <xf numFmtId="9" fontId="22" fillId="14" borderId="178" xfId="273" applyNumberFormat="1" applyFont="1" applyFill="1" applyBorder="1" applyAlignment="1">
      <alignment horizontal="center" vertical="center"/>
    </xf>
    <xf numFmtId="9" fontId="22" fillId="14" borderId="176" xfId="273" applyNumberFormat="1" applyFont="1" applyFill="1" applyBorder="1" applyAlignment="1">
      <alignment horizontal="center" vertical="center"/>
    </xf>
    <xf numFmtId="9" fontId="22" fillId="0" borderId="178" xfId="273" applyNumberFormat="1" applyFont="1" applyFill="1" applyBorder="1" applyAlignment="1">
      <alignment horizontal="center" vertical="center"/>
    </xf>
    <xf numFmtId="9" fontId="22" fillId="0" borderId="176" xfId="273" applyNumberFormat="1" applyFont="1" applyFill="1" applyBorder="1" applyAlignment="1">
      <alignment horizontal="center" vertical="center"/>
    </xf>
    <xf numFmtId="0" fontId="13" fillId="31" borderId="167" xfId="273" applyFont="1" applyFill="1" applyBorder="1" applyAlignment="1">
      <alignment horizontal="center" vertical="center"/>
    </xf>
    <xf numFmtId="0" fontId="13" fillId="31" borderId="168" xfId="273" applyFont="1" applyFill="1" applyBorder="1" applyAlignment="1">
      <alignment horizontal="center" vertical="center"/>
    </xf>
    <xf numFmtId="0" fontId="13" fillId="31" borderId="170" xfId="273" applyFont="1" applyFill="1" applyBorder="1" applyAlignment="1">
      <alignment horizontal="center" vertical="center"/>
    </xf>
    <xf numFmtId="0" fontId="13" fillId="31" borderId="171" xfId="273" applyFont="1" applyFill="1" applyBorder="1" applyAlignment="1">
      <alignment horizontal="center" vertical="center"/>
    </xf>
    <xf numFmtId="9" fontId="22" fillId="14" borderId="174" xfId="273" applyNumberFormat="1" applyFont="1" applyFill="1" applyBorder="1" applyAlignment="1">
      <alignment horizontal="center" vertical="center"/>
    </xf>
    <xf numFmtId="0" fontId="16" fillId="17" borderId="154" xfId="273" applyFont="1" applyFill="1" applyBorder="1" applyAlignment="1">
      <alignment horizontal="center" vertical="center"/>
    </xf>
    <xf numFmtId="0" fontId="16" fillId="17" borderId="113" xfId="273" applyFont="1" applyFill="1" applyBorder="1" applyAlignment="1">
      <alignment horizontal="center" vertical="center"/>
    </xf>
    <xf numFmtId="0" fontId="16" fillId="17" borderId="166" xfId="273" applyFont="1" applyFill="1" applyBorder="1" applyAlignment="1">
      <alignment horizontal="center" vertical="center"/>
    </xf>
    <xf numFmtId="0" fontId="16" fillId="17" borderId="169" xfId="273" applyFont="1" applyFill="1" applyBorder="1" applyAlignment="1">
      <alignment horizontal="center" vertical="center"/>
    </xf>
    <xf numFmtId="0" fontId="13" fillId="0" borderId="180" xfId="273" applyFont="1" applyFill="1" applyBorder="1" applyAlignment="1">
      <alignment horizontal="center"/>
    </xf>
    <xf numFmtId="0" fontId="13" fillId="0" borderId="179" xfId="273" applyFont="1" applyFill="1" applyBorder="1" applyAlignment="1">
      <alignment horizontal="center"/>
    </xf>
    <xf numFmtId="0" fontId="13" fillId="0" borderId="184" xfId="273" applyFont="1" applyFill="1" applyBorder="1" applyAlignment="1">
      <alignment horizontal="center"/>
    </xf>
    <xf numFmtId="0" fontId="38" fillId="16" borderId="173" xfId="273" applyFont="1" applyFill="1" applyBorder="1" applyAlignment="1">
      <alignment horizontal="center" vertical="center"/>
    </xf>
    <xf numFmtId="0" fontId="38" fillId="16" borderId="175" xfId="273" applyFont="1" applyFill="1" applyBorder="1" applyAlignment="1">
      <alignment horizontal="center" vertical="center"/>
    </xf>
    <xf numFmtId="0" fontId="38" fillId="16" borderId="177" xfId="273" applyFont="1" applyFill="1" applyBorder="1" applyAlignment="1">
      <alignment horizontal="center" vertical="center"/>
    </xf>
    <xf numFmtId="0" fontId="38" fillId="16" borderId="177" xfId="273" applyNumberFormat="1" applyFont="1" applyFill="1" applyBorder="1" applyAlignment="1">
      <alignment horizontal="center" vertical="center" wrapText="1"/>
    </xf>
    <xf numFmtId="0" fontId="38" fillId="16" borderId="175" xfId="273" applyNumberFormat="1" applyFont="1" applyFill="1" applyBorder="1" applyAlignment="1">
      <alignment horizontal="center" vertical="center" wrapText="1"/>
    </xf>
    <xf numFmtId="0" fontId="15" fillId="0" borderId="153" xfId="273" applyFont="1" applyFill="1" applyBorder="1" applyAlignment="1">
      <alignment horizontal="center" vertical="center"/>
    </xf>
    <xf numFmtId="0" fontId="15" fillId="0" borderId="157" xfId="273" applyFont="1" applyFill="1" applyBorder="1" applyAlignment="1">
      <alignment horizontal="center" vertical="center"/>
    </xf>
    <xf numFmtId="0" fontId="16" fillId="31" borderId="154" xfId="273" applyFont="1" applyFill="1" applyBorder="1" applyAlignment="1">
      <alignment horizontal="center" vertical="center"/>
    </xf>
    <xf numFmtId="0" fontId="16" fillId="31" borderId="113" xfId="273" applyFont="1" applyFill="1" applyBorder="1" applyAlignment="1">
      <alignment horizontal="center" vertical="center"/>
    </xf>
    <xf numFmtId="0" fontId="21" fillId="25" borderId="9" xfId="0" applyFont="1" applyFill="1" applyBorder="1" applyAlignment="1">
      <alignment horizontal="center" vertical="center" wrapText="1"/>
    </xf>
    <xf numFmtId="0" fontId="21" fillId="25" borderId="163" xfId="0" applyFont="1" applyFill="1" applyBorder="1" applyAlignment="1">
      <alignment horizontal="center" vertical="center" wrapText="1"/>
    </xf>
    <xf numFmtId="0" fontId="20" fillId="25" borderId="10" xfId="0" applyFont="1" applyFill="1" applyBorder="1" applyAlignment="1">
      <alignment horizontal="left" vertical="center" wrapText="1"/>
    </xf>
    <xf numFmtId="0" fontId="20" fillId="25" borderId="164" xfId="0" applyFont="1" applyFill="1" applyBorder="1" applyAlignment="1">
      <alignment horizontal="left" vertical="center" wrapText="1"/>
    </xf>
    <xf numFmtId="0" fontId="20" fillId="25" borderId="81" xfId="0" applyFont="1" applyFill="1" applyBorder="1" applyAlignment="1">
      <alignment horizontal="left" vertical="center" wrapText="1"/>
    </xf>
    <xf numFmtId="10" fontId="37" fillId="18" borderId="159" xfId="273" applyNumberFormat="1" applyFont="1" applyFill="1" applyBorder="1" applyAlignment="1">
      <alignment horizontal="center"/>
    </xf>
    <xf numFmtId="10" fontId="37" fillId="18" borderId="160" xfId="273" applyNumberFormat="1" applyFont="1" applyFill="1" applyBorder="1" applyAlignment="1">
      <alignment horizontal="center"/>
    </xf>
    <xf numFmtId="198" fontId="34" fillId="18" borderId="159" xfId="273" applyNumberFormat="1" applyFont="1" applyFill="1" applyBorder="1" applyAlignment="1">
      <alignment horizontal="center"/>
    </xf>
    <xf numFmtId="198" fontId="34" fillId="18" borderId="160" xfId="273" applyNumberFormat="1" applyFont="1" applyFill="1" applyBorder="1" applyAlignment="1">
      <alignment horizontal="center"/>
    </xf>
    <xf numFmtId="0" fontId="16" fillId="16" borderId="155" xfId="273" applyFont="1" applyFill="1" applyBorder="1" applyAlignment="1">
      <alignment horizontal="center" vertical="center"/>
    </xf>
    <xf numFmtId="0" fontId="16" fillId="16" borderId="156" xfId="273" applyFont="1" applyFill="1" applyBorder="1" applyAlignment="1">
      <alignment horizontal="center" vertical="center"/>
    </xf>
    <xf numFmtId="0" fontId="0" fillId="0" borderId="160" xfId="0" applyBorder="1" applyAlignment="1">
      <alignment horizontal="center"/>
    </xf>
    <xf numFmtId="10" fontId="37" fillId="18" borderId="161" xfId="273" applyNumberFormat="1" applyFont="1" applyFill="1" applyBorder="1" applyAlignment="1">
      <alignment horizontal="center"/>
    </xf>
    <xf numFmtId="10" fontId="37" fillId="18" borderId="162" xfId="273" applyNumberFormat="1" applyFont="1" applyFill="1" applyBorder="1" applyAlignment="1">
      <alignment horizontal="center"/>
    </xf>
    <xf numFmtId="0" fontId="0" fillId="0" borderId="162" xfId="0" applyBorder="1" applyAlignment="1">
      <alignment horizontal="center"/>
    </xf>
    <xf numFmtId="0" fontId="0" fillId="0" borderId="156" xfId="0" applyBorder="1" applyAlignment="1">
      <alignment horizontal="center" vertical="center"/>
    </xf>
    <xf numFmtId="0" fontId="34" fillId="23" borderId="159" xfId="273" applyFont="1" applyFill="1" applyBorder="1" applyAlignment="1">
      <alignment horizontal="center"/>
    </xf>
    <xf numFmtId="0" fontId="34" fillId="23" borderId="160" xfId="273" applyFont="1" applyFill="1" applyBorder="1" applyAlignment="1">
      <alignment horizontal="center"/>
    </xf>
    <xf numFmtId="0" fontId="0" fillId="23" borderId="160" xfId="0" applyFill="1" applyBorder="1" applyAlignment="1">
      <alignment horizontal="center"/>
    </xf>
    <xf numFmtId="0" fontId="13" fillId="23" borderId="159" xfId="273" applyFont="1" applyFill="1" applyBorder="1" applyAlignment="1">
      <alignment horizontal="center"/>
    </xf>
    <xf numFmtId="0" fontId="13" fillId="23" borderId="160" xfId="273" applyFont="1" applyFill="1" applyBorder="1" applyAlignment="1">
      <alignment horizontal="center"/>
    </xf>
    <xf numFmtId="0" fontId="40" fillId="23" borderId="160" xfId="0" applyFont="1" applyFill="1" applyBorder="1" applyAlignment="1">
      <alignment horizontal="center"/>
    </xf>
    <xf numFmtId="58" fontId="34" fillId="14" borderId="107" xfId="273" applyNumberFormat="1" applyFont="1" applyFill="1" applyBorder="1" applyAlignment="1">
      <alignment horizontal="center"/>
    </xf>
    <xf numFmtId="58" fontId="34" fillId="14" borderId="108" xfId="273" applyNumberFormat="1" applyFont="1" applyFill="1" applyBorder="1" applyAlignment="1">
      <alignment horizontal="center"/>
    </xf>
    <xf numFmtId="58" fontId="34" fillId="14" borderId="61" xfId="273" applyNumberFormat="1" applyFont="1" applyFill="1" applyBorder="1" applyAlignment="1">
      <alignment horizontal="center"/>
    </xf>
    <xf numFmtId="194" fontId="34" fillId="18" borderId="133" xfId="273" applyNumberFormat="1" applyFont="1" applyFill="1" applyBorder="1" applyAlignment="1">
      <alignment horizontal="center" vertical="center"/>
    </xf>
    <xf numFmtId="194" fontId="34" fillId="18" borderId="134" xfId="273" applyNumberFormat="1" applyFont="1" applyFill="1" applyBorder="1" applyAlignment="1">
      <alignment horizontal="center" vertical="center"/>
    </xf>
    <xf numFmtId="0" fontId="13" fillId="14" borderId="0" xfId="273" applyFont="1" applyFill="1" applyBorder="1" applyAlignment="1">
      <alignment horizontal="left"/>
    </xf>
    <xf numFmtId="0" fontId="16" fillId="16" borderId="1" xfId="273" applyFont="1" applyFill="1" applyBorder="1" applyAlignment="1">
      <alignment horizontal="center" vertical="center"/>
    </xf>
    <xf numFmtId="0" fontId="20" fillId="25" borderId="1" xfId="0" applyFont="1" applyFill="1" applyBorder="1" applyAlignment="1">
      <alignment horizontal="left" vertical="center" wrapText="1"/>
    </xf>
    <xf numFmtId="0" fontId="36" fillId="37" borderId="0" xfId="273" applyNumberFormat="1" applyFont="1" applyFill="1" applyAlignment="1">
      <alignment horizontal="left" vertical="top" wrapText="1"/>
    </xf>
    <xf numFmtId="0" fontId="32" fillId="14" borderId="106" xfId="273" applyNumberFormat="1" applyFont="1" applyFill="1" applyBorder="1" applyAlignment="1">
      <alignment horizontal="left" vertical="top"/>
    </xf>
    <xf numFmtId="58" fontId="16" fillId="16" borderId="1" xfId="273" applyNumberFormat="1" applyFont="1" applyFill="1" applyBorder="1" applyAlignment="1">
      <alignment horizontal="center" vertical="center"/>
    </xf>
    <xf numFmtId="58" fontId="16" fillId="16" borderId="10" xfId="273" applyNumberFormat="1" applyFont="1" applyFill="1" applyBorder="1" applyAlignment="1">
      <alignment horizontal="center" vertical="center"/>
    </xf>
    <xf numFmtId="58" fontId="16" fillId="16" borderId="81" xfId="273" applyNumberFormat="1" applyFont="1" applyFill="1" applyBorder="1" applyAlignment="1">
      <alignment horizontal="center" vertical="center"/>
    </xf>
    <xf numFmtId="0" fontId="20" fillId="25" borderId="1" xfId="0" applyFont="1" applyFill="1" applyBorder="1" applyAlignment="1">
      <alignment horizontal="center" vertical="center" wrapText="1"/>
    </xf>
    <xf numFmtId="58" fontId="16" fillId="16" borderId="10" xfId="273" applyNumberFormat="1" applyFont="1" applyFill="1" applyBorder="1" applyAlignment="1">
      <alignment horizontal="center" vertical="center" wrapText="1"/>
    </xf>
    <xf numFmtId="58" fontId="16" fillId="16" borderId="81" xfId="273" applyNumberFormat="1" applyFont="1" applyFill="1" applyBorder="1" applyAlignment="1">
      <alignment horizontal="center" vertical="center" wrapText="1"/>
    </xf>
    <xf numFmtId="58" fontId="16" fillId="16" borderId="1" xfId="273" applyNumberFormat="1" applyFont="1" applyFill="1" applyBorder="1" applyAlignment="1">
      <alignment horizontal="center" vertical="center" wrapText="1"/>
    </xf>
    <xf numFmtId="0" fontId="13" fillId="14" borderId="0" xfId="273" applyFont="1" applyFill="1" applyAlignment="1">
      <alignment horizontal="left" vertical="top" wrapText="1"/>
    </xf>
    <xf numFmtId="0" fontId="23" fillId="0" borderId="101" xfId="273" applyFont="1" applyBorder="1" applyAlignment="1">
      <alignment horizontal="left" vertical="center"/>
    </xf>
    <xf numFmtId="0" fontId="23" fillId="0" borderId="88" xfId="273" applyFont="1" applyBorder="1" applyAlignment="1">
      <alignment horizontal="left" vertical="center"/>
    </xf>
    <xf numFmtId="0" fontId="23" fillId="0" borderId="91" xfId="273" applyFont="1" applyBorder="1" applyAlignment="1">
      <alignment horizontal="left" vertical="center"/>
    </xf>
    <xf numFmtId="0" fontId="13" fillId="0" borderId="0" xfId="273" applyFont="1" applyAlignment="1">
      <alignment horizontal="left" vertical="top" wrapText="1"/>
    </xf>
    <xf numFmtId="0" fontId="30" fillId="0" borderId="104" xfId="273" applyFont="1" applyBorder="1" applyAlignment="1">
      <alignment horizontal="left" vertical="center" wrapText="1"/>
    </xf>
    <xf numFmtId="0" fontId="23" fillId="0" borderId="23" xfId="273" applyFont="1" applyBorder="1" applyAlignment="1">
      <alignment horizontal="left" vertical="center"/>
    </xf>
    <xf numFmtId="0" fontId="23" fillId="0" borderId="24" xfId="273" applyFont="1" applyBorder="1" applyAlignment="1">
      <alignment horizontal="left" vertical="center"/>
    </xf>
    <xf numFmtId="0" fontId="23" fillId="0" borderId="87" xfId="273" applyFont="1" applyBorder="1" applyAlignment="1">
      <alignment horizontal="left" vertical="center"/>
    </xf>
    <xf numFmtId="0" fontId="23" fillId="0" borderId="26" xfId="273" applyFont="1" applyBorder="1" applyAlignment="1">
      <alignment horizontal="center" vertical="center"/>
    </xf>
    <xf numFmtId="0" fontId="23" fillId="0" borderId="92" xfId="273" applyFont="1" applyBorder="1" applyAlignment="1">
      <alignment horizontal="center" vertical="center"/>
    </xf>
    <xf numFmtId="0" fontId="23" fillId="0" borderId="79" xfId="273" applyFont="1" applyBorder="1" applyAlignment="1">
      <alignment horizontal="center" vertical="center"/>
    </xf>
    <xf numFmtId="0" fontId="23" fillId="0" borderId="83" xfId="273" applyFont="1" applyBorder="1" applyAlignment="1">
      <alignment horizontal="center" vertical="center"/>
    </xf>
    <xf numFmtId="58" fontId="13" fillId="31" borderId="93" xfId="273" applyNumberFormat="1" applyFont="1" applyFill="1" applyBorder="1" applyAlignment="1">
      <alignment horizontal="center" vertical="center" wrapText="1"/>
    </xf>
    <xf numFmtId="58" fontId="13" fillId="31" borderId="94" xfId="273" applyNumberFormat="1" applyFont="1" applyFill="1" applyBorder="1" applyAlignment="1">
      <alignment horizontal="center" vertical="center" wrapText="1"/>
    </xf>
    <xf numFmtId="58" fontId="13" fillId="31" borderId="95" xfId="273" applyNumberFormat="1" applyFont="1" applyFill="1" applyBorder="1" applyAlignment="1">
      <alignment horizontal="center" vertical="center" wrapText="1"/>
    </xf>
    <xf numFmtId="0" fontId="23" fillId="0" borderId="86" xfId="273" applyFont="1" applyBorder="1" applyAlignment="1">
      <alignment horizontal="center" vertical="center"/>
    </xf>
    <xf numFmtId="0" fontId="23" fillId="0" borderId="87" xfId="273" applyFont="1" applyBorder="1" applyAlignment="1">
      <alignment horizontal="center" vertical="center"/>
    </xf>
    <xf numFmtId="0" fontId="23" fillId="0" borderId="90" xfId="273" applyFont="1" applyBorder="1" applyAlignment="1">
      <alignment horizontal="center" vertical="center"/>
    </xf>
    <xf numFmtId="0" fontId="23" fillId="0" borderId="91" xfId="273" applyFont="1" applyBorder="1" applyAlignment="1">
      <alignment horizontal="center" vertical="center"/>
    </xf>
    <xf numFmtId="58" fontId="13" fillId="31" borderId="74" xfId="273" applyNumberFormat="1" applyFont="1" applyFill="1" applyBorder="1" applyAlignment="1">
      <alignment horizontal="center" vertical="center" wrapText="1"/>
    </xf>
    <xf numFmtId="58" fontId="13" fillId="31" borderId="82" xfId="273" applyNumberFormat="1" applyFont="1" applyFill="1" applyBorder="1" applyAlignment="1">
      <alignment horizontal="center" vertical="center" wrapText="1"/>
    </xf>
    <xf numFmtId="198" fontId="17" fillId="18" borderId="41" xfId="110" applyNumberFormat="1" applyFont="1" applyFill="1" applyBorder="1" applyAlignment="1">
      <alignment horizontal="center" vertical="center" wrapText="1"/>
    </xf>
    <xf numFmtId="198" fontId="17" fillId="18" borderId="42" xfId="110" applyNumberFormat="1" applyFont="1" applyFill="1" applyBorder="1" applyAlignment="1">
      <alignment horizontal="center" vertical="center" wrapText="1"/>
    </xf>
    <xf numFmtId="198" fontId="17" fillId="18" borderId="45" xfId="110" applyNumberFormat="1" applyFont="1" applyFill="1" applyBorder="1" applyAlignment="1">
      <alignment horizontal="center" vertical="center" wrapText="1"/>
    </xf>
    <xf numFmtId="198" fontId="17" fillId="18" borderId="46" xfId="110" applyNumberFormat="1" applyFont="1" applyFill="1" applyBorder="1" applyAlignment="1">
      <alignment horizontal="center" vertical="center" wrapText="1"/>
    </xf>
    <xf numFmtId="0" fontId="13" fillId="15" borderId="23" xfId="273" applyFont="1" applyFill="1" applyBorder="1" applyAlignment="1">
      <alignment horizontal="left"/>
    </xf>
    <xf numFmtId="0" fontId="13" fillId="15" borderId="24" xfId="273" applyFont="1" applyFill="1" applyBorder="1" applyAlignment="1">
      <alignment horizontal="left"/>
    </xf>
    <xf numFmtId="0" fontId="13" fillId="15" borderId="25" xfId="273" applyFont="1" applyFill="1" applyBorder="1" applyAlignment="1">
      <alignment horizontal="left"/>
    </xf>
    <xf numFmtId="191" fontId="15" fillId="18" borderId="28" xfId="273" applyNumberFormat="1" applyFont="1" applyFill="1" applyBorder="1" applyAlignment="1">
      <alignment horizontal="center" vertical="center"/>
    </xf>
    <xf numFmtId="191" fontId="15" fillId="18" borderId="29" xfId="273" applyNumberFormat="1" applyFont="1" applyFill="1" applyBorder="1" applyAlignment="1">
      <alignment horizontal="center" vertical="center"/>
    </xf>
    <xf numFmtId="0" fontId="16" fillId="20" borderId="37" xfId="273" applyFont="1" applyFill="1" applyBorder="1" applyAlignment="1">
      <alignment horizontal="center" vertical="center"/>
    </xf>
    <xf numFmtId="0" fontId="16" fillId="20" borderId="38" xfId="273" applyFont="1" applyFill="1" applyBorder="1" applyAlignment="1">
      <alignment horizontal="center" vertical="center"/>
    </xf>
    <xf numFmtId="0" fontId="11" fillId="12" borderId="16" xfId="276" applyFont="1" applyFill="1" applyBorder="1" applyAlignment="1">
      <alignment horizontal="left" vertical="top" wrapText="1" readingOrder="1"/>
    </xf>
    <xf numFmtId="0" fontId="11" fillId="12" borderId="17" xfId="276" applyFont="1" applyFill="1" applyBorder="1" applyAlignment="1">
      <alignment horizontal="left" vertical="top" wrapText="1" readingOrder="1"/>
    </xf>
    <xf numFmtId="0" fontId="11" fillId="12" borderId="15" xfId="276" applyFont="1" applyFill="1" applyBorder="1" applyAlignment="1">
      <alignment horizontal="left" vertical="top" wrapText="1" readingOrder="1"/>
    </xf>
    <xf numFmtId="0" fontId="11" fillId="13" borderId="20" xfId="276" applyFont="1" applyFill="1" applyBorder="1" applyAlignment="1">
      <alignment vertical="center" wrapText="1" readingOrder="1"/>
    </xf>
    <xf numFmtId="0" fontId="11" fillId="13" borderId="21" xfId="276" applyFont="1" applyFill="1" applyBorder="1" applyAlignment="1">
      <alignment vertical="center" wrapText="1" readingOrder="1"/>
    </xf>
    <xf numFmtId="0" fontId="11" fillId="13" borderId="19" xfId="276" applyFont="1" applyFill="1" applyBorder="1" applyAlignment="1">
      <alignment vertical="center" wrapText="1" readingOrder="1"/>
    </xf>
    <xf numFmtId="0" fontId="1" fillId="0" borderId="0" xfId="276" applyFont="1" applyAlignment="1">
      <alignment horizontal="left" vertical="top" wrapText="1"/>
    </xf>
    <xf numFmtId="0" fontId="12" fillId="0" borderId="0" xfId="276" applyAlignment="1">
      <alignment horizontal="left" vertical="top" wrapText="1"/>
    </xf>
    <xf numFmtId="0" fontId="10" fillId="11" borderId="12" xfId="276" applyFont="1" applyFill="1" applyBorder="1" applyAlignment="1">
      <alignment horizontal="center" vertical="center" wrapText="1" readingOrder="1"/>
    </xf>
    <xf numFmtId="0" fontId="10" fillId="11" borderId="13" xfId="276" applyFont="1" applyFill="1" applyBorder="1" applyAlignment="1">
      <alignment horizontal="center" vertical="center" wrapText="1" readingOrder="1"/>
    </xf>
    <xf numFmtId="0" fontId="10" fillId="11" borderId="11" xfId="276" applyFont="1" applyFill="1" applyBorder="1" applyAlignment="1">
      <alignment horizontal="center" vertical="center" wrapText="1" readingOrder="1"/>
    </xf>
  </cellXfs>
  <cellStyles count="322">
    <cellStyle name="_Yanlian-CRS-CMMI ML4-SERVICE PLAN_20080408" xfId="39"/>
    <cellStyle name="_Yanlian-CRS-CMMI ML4-SERVICE PLAN_20080408 2" xfId="30"/>
    <cellStyle name="_项目度量管理模版323" xfId="43"/>
    <cellStyle name="_项目度量管理模版323 2" xfId="36"/>
    <cellStyle name="_项目预算模板(成本)" xfId="17"/>
    <cellStyle name="_项目预算模板(成本) 2" xfId="45"/>
    <cellStyle name="0,0_x000d__x000a_NA_x000d__x000a_" xfId="15"/>
    <cellStyle name="0,0_x000d__x000a_NA_x000d__x000a_ 2" xfId="46"/>
    <cellStyle name="20% - Accent1" xfId="41"/>
    <cellStyle name="20% - Accent1 2" xfId="34"/>
    <cellStyle name="20% - Accent2" xfId="32"/>
    <cellStyle name="20% - Accent2 2" xfId="31"/>
    <cellStyle name="20% - Accent3" xfId="33"/>
    <cellStyle name="20% - Accent3 2" xfId="22"/>
    <cellStyle name="20% - Accent4" xfId="5"/>
    <cellStyle name="20% - Accent4 2" xfId="49"/>
    <cellStyle name="20% - Accent5" xfId="51"/>
    <cellStyle name="20% - Accent5 2" xfId="52"/>
    <cellStyle name="20% - Accent6" xfId="53"/>
    <cellStyle name="20% - Accent6 2" xfId="54"/>
    <cellStyle name="20% - 强调文字颜色 1 2" xfId="55"/>
    <cellStyle name="20% - 强调文字颜色 2 2" xfId="56"/>
    <cellStyle name="20% - 强调文字颜色 3 2" xfId="57"/>
    <cellStyle name="20% - 强调文字颜色 4 2" xfId="59"/>
    <cellStyle name="20% - 强调文字颜色 5 2" xfId="61"/>
    <cellStyle name="20% - 强调文字颜色 6 2" xfId="63"/>
    <cellStyle name="40% - Accent1" xfId="64"/>
    <cellStyle name="40% - Accent1 2" xfId="65"/>
    <cellStyle name="40% - Accent2" xfId="66"/>
    <cellStyle name="40% - Accent2 2" xfId="67"/>
    <cellStyle name="40% - Accent3" xfId="68"/>
    <cellStyle name="40% - Accent3 2" xfId="69"/>
    <cellStyle name="40% - Accent4" xfId="70"/>
    <cellStyle name="40% - Accent4 2" xfId="73"/>
    <cellStyle name="40% - Accent5" xfId="76"/>
    <cellStyle name="40% - Accent5 2" xfId="78"/>
    <cellStyle name="40% - Accent6" xfId="79"/>
    <cellStyle name="40% - Accent6 2" xfId="81"/>
    <cellStyle name="40% - 强调文字颜色 1 2" xfId="83"/>
    <cellStyle name="40% - 强调文字颜色 2 2" xfId="85"/>
    <cellStyle name="40% - 强调文字颜色 3 2" xfId="86"/>
    <cellStyle name="40% - 强调文字颜色 4 2" xfId="20"/>
    <cellStyle name="40% - 强调文字颜色 5 2" xfId="87"/>
    <cellStyle name="40% - 强调文字颜色 6 2" xfId="88"/>
    <cellStyle name="60% - Accent1" xfId="89"/>
    <cellStyle name="60% - Accent1 2" xfId="90"/>
    <cellStyle name="60% - Accent2" xfId="91"/>
    <cellStyle name="60% - Accent2 2" xfId="94"/>
    <cellStyle name="60% - Accent3" xfId="96"/>
    <cellStyle name="60% - Accent3 2" xfId="98"/>
    <cellStyle name="60% - Accent4" xfId="101"/>
    <cellStyle name="60% - Accent4 2" xfId="103"/>
    <cellStyle name="60% - Accent5" xfId="105"/>
    <cellStyle name="60% - Accent5 2" xfId="108"/>
    <cellStyle name="60% - Accent6" xfId="109"/>
    <cellStyle name="60% - Accent6 2" xfId="111"/>
    <cellStyle name="60% - 强调文字颜色 1 2" xfId="112"/>
    <cellStyle name="60% - 强调文字颜色 2 2" xfId="114"/>
    <cellStyle name="60% - 强调文字颜色 3 2" xfId="116"/>
    <cellStyle name="60% - 强调文字颜色 4 2" xfId="117"/>
    <cellStyle name="60% - 强调文字颜色 5 2" xfId="119"/>
    <cellStyle name="60% - 强调文字颜色 6 2" xfId="120"/>
    <cellStyle name="Accent1" xfId="121"/>
    <cellStyle name="Accent1 - 20%" xfId="42"/>
    <cellStyle name="Accent1 - 20% 2" xfId="35"/>
    <cellStyle name="Accent1 - 40%" xfId="123"/>
    <cellStyle name="Accent1 - 40% 2" xfId="124"/>
    <cellStyle name="Accent1 - 60%" xfId="125"/>
    <cellStyle name="Accent1 - 60% 2" xfId="126"/>
    <cellStyle name="Accent1 2" xfId="128"/>
    <cellStyle name="Accent2" xfId="129"/>
    <cellStyle name="Accent2 - 20%" xfId="132"/>
    <cellStyle name="Accent2 - 20% 2" xfId="133"/>
    <cellStyle name="Accent2 - 40%" xfId="1"/>
    <cellStyle name="Accent2 - 40% 2" xfId="26"/>
    <cellStyle name="Accent2 - 60%" xfId="8"/>
    <cellStyle name="Accent2 - 60% 2" xfId="134"/>
    <cellStyle name="Accent2 2" xfId="136"/>
    <cellStyle name="Accent2 3" xfId="138"/>
    <cellStyle name="Accent3" xfId="139"/>
    <cellStyle name="Accent3 - 20%" xfId="140"/>
    <cellStyle name="Accent3 - 20% 2" xfId="142"/>
    <cellStyle name="Accent3 - 40%" xfId="143"/>
    <cellStyle name="Accent3 - 40% 2" xfId="144"/>
    <cellStyle name="Accent3 - 60%" xfId="145"/>
    <cellStyle name="Accent3 - 60% 2" xfId="147"/>
    <cellStyle name="Accent3 2" xfId="148"/>
    <cellStyle name="Accent4" xfId="149"/>
    <cellStyle name="Accent4 - 20%" xfId="150"/>
    <cellStyle name="Accent4 - 20% 2" xfId="152"/>
    <cellStyle name="Accent4 - 40%" xfId="153"/>
    <cellStyle name="Accent4 - 40% 2" xfId="154"/>
    <cellStyle name="Accent4 - 60%" xfId="157"/>
    <cellStyle name="Accent4 - 60% 2" xfId="158"/>
    <cellStyle name="Accent4 2" xfId="159"/>
    <cellStyle name="Accent5" xfId="161"/>
    <cellStyle name="Accent5 - 20%" xfId="162"/>
    <cellStyle name="Accent5 - 20% 2" xfId="163"/>
    <cellStyle name="Accent5 - 40%" xfId="164"/>
    <cellStyle name="Accent5 - 40% 2" xfId="165"/>
    <cellStyle name="Accent5 - 60%" xfId="167"/>
    <cellStyle name="Accent5 - 60% 2" xfId="169"/>
    <cellStyle name="Accent5 2" xfId="141"/>
    <cellStyle name="Accent6" xfId="160"/>
    <cellStyle name="Accent6 - 20%" xfId="171"/>
    <cellStyle name="Accent6 - 20% 2" xfId="172"/>
    <cellStyle name="Accent6 - 40%" xfId="155"/>
    <cellStyle name="Accent6 - 40% 2" xfId="173"/>
    <cellStyle name="Accent6 - 60%" xfId="174"/>
    <cellStyle name="Accent6 - 60% 2" xfId="4"/>
    <cellStyle name="Accent6 2" xfId="16"/>
    <cellStyle name="Bad" xfId="99"/>
    <cellStyle name="Bad 2" xfId="175"/>
    <cellStyle name="Calc Currency (0)" xfId="176"/>
    <cellStyle name="Calc Currency (0) 2" xfId="177"/>
    <cellStyle name="Calculation" xfId="44"/>
    <cellStyle name="Calculation 2" xfId="37"/>
    <cellStyle name="Check Cell" xfId="178"/>
    <cellStyle name="Check Cell 2" xfId="180"/>
    <cellStyle name="Emphasis 1" xfId="10"/>
    <cellStyle name="Emphasis 1 2" xfId="146"/>
    <cellStyle name="Emphasis 2" xfId="182"/>
    <cellStyle name="Emphasis 2 2" xfId="40"/>
    <cellStyle name="Emphasis 3" xfId="183"/>
    <cellStyle name="Emphasis 3 2" xfId="184"/>
    <cellStyle name="Explanatory Text" xfId="185"/>
    <cellStyle name="Explanatory Text 2" xfId="187"/>
    <cellStyle name="Good" xfId="188"/>
    <cellStyle name="Good 2" xfId="191"/>
    <cellStyle name="Grey" xfId="47"/>
    <cellStyle name="Grey 2" xfId="192"/>
    <cellStyle name="Header1" xfId="193"/>
    <cellStyle name="Header2" xfId="195"/>
    <cellStyle name="Heading 1" xfId="196"/>
    <cellStyle name="Heading 1 2" xfId="199"/>
    <cellStyle name="Heading 2" xfId="58"/>
    <cellStyle name="Heading 2 2" xfId="201"/>
    <cellStyle name="Heading 3" xfId="23"/>
    <cellStyle name="Heading 3 2" xfId="28"/>
    <cellStyle name="Heading 4" xfId="113"/>
    <cellStyle name="Heading 4 2" xfId="202"/>
    <cellStyle name="Input" xfId="19"/>
    <cellStyle name="Input [yellow]" xfId="203"/>
    <cellStyle name="Input [yellow] 2" xfId="204"/>
    <cellStyle name="Input 2" xfId="3"/>
    <cellStyle name="Input_2011年佰钧成组织度量数据表-提交" xfId="205"/>
    <cellStyle name="Linked Cell" xfId="206"/>
    <cellStyle name="Linked Cell 2" xfId="208"/>
    <cellStyle name="LISAM" xfId="194"/>
    <cellStyle name="LISAM 2" xfId="130"/>
    <cellStyle name="Milliers [0]_1" xfId="209"/>
    <cellStyle name="Milliers_1" xfId="210"/>
    <cellStyle name="Mon閠aire [0]_1OP" xfId="212"/>
    <cellStyle name="Mon閠aire_10]" xfId="213"/>
    <cellStyle name="Neutral" xfId="118"/>
    <cellStyle name="Neutral 2" xfId="215"/>
    <cellStyle name="no dec" xfId="38"/>
    <cellStyle name="no dec 2" xfId="216"/>
    <cellStyle name="Normal - Style1" xfId="71"/>
    <cellStyle name="Normal - Style1 2" xfId="74"/>
    <cellStyle name="Normal_#18-Internet" xfId="84"/>
    <cellStyle name="Note" xfId="219"/>
    <cellStyle name="Note 2" xfId="220"/>
    <cellStyle name="Output" xfId="222"/>
    <cellStyle name="Output 2" xfId="223"/>
    <cellStyle name="Percent [2]" xfId="224"/>
    <cellStyle name="Percent [2] 2" xfId="225"/>
    <cellStyle name="Sheet Title" xfId="166"/>
    <cellStyle name="Sheet Title 2" xfId="226"/>
    <cellStyle name="style" xfId="227"/>
    <cellStyle name="Style 1" xfId="228"/>
    <cellStyle name="Style 1 2" xfId="230"/>
    <cellStyle name="style 2" xfId="231"/>
    <cellStyle name="style1" xfId="232"/>
    <cellStyle name="style2" xfId="217"/>
    <cellStyle name="Title" xfId="233"/>
    <cellStyle name="Title 2" xfId="92"/>
    <cellStyle name="Total" xfId="235"/>
    <cellStyle name="Total 2" xfId="236"/>
    <cellStyle name="Warning Text" xfId="218"/>
    <cellStyle name="Warning Text 2" xfId="237"/>
    <cellStyle name="ハイパーリンク" xfId="72"/>
    <cellStyle name="ハイパーリンク 2" xfId="75"/>
    <cellStyle name="百分比 2" xfId="238"/>
    <cellStyle name="百分比 2 2" xfId="240"/>
    <cellStyle name="百分比 2 2 2" xfId="151"/>
    <cellStyle name="百分比 2 3" xfId="241"/>
    <cellStyle name="百分比 3" xfId="242"/>
    <cellStyle name="百分比 4" xfId="13"/>
    <cellStyle name="百分比 5" xfId="14"/>
    <cellStyle name="版本" xfId="243"/>
    <cellStyle name="捠壿 [0.00]_1997 Turns杮" xfId="244"/>
    <cellStyle name="捠壿_1997 Turns7 Tu" xfId="245"/>
    <cellStyle name="标题 1 1" xfId="246"/>
    <cellStyle name="标题 1 2" xfId="248"/>
    <cellStyle name="标题 2 1" xfId="249"/>
    <cellStyle name="标题 2 2" xfId="48"/>
    <cellStyle name="标题 3 2" xfId="251"/>
    <cellStyle name="标题 4 2" xfId="252"/>
    <cellStyle name="标题 5" xfId="221"/>
    <cellStyle name="標準_22_画面設計書" xfId="253"/>
    <cellStyle name="表示済みのハイパーリンク" xfId="254"/>
    <cellStyle name="表示済みのハイパーリンク 2" xfId="18"/>
    <cellStyle name="差 2" xfId="255"/>
    <cellStyle name="差_CIENET-CRS-CMMI ML5-SERVICE PLAN_20071027" xfId="256"/>
    <cellStyle name="差_CIENET-CRS-CMMI ML5-SERVICE PLAN_20071027 2" xfId="258"/>
    <cellStyle name="差_CIENET-CRS-CMMI ML5-SERVICE PLAN_20071209" xfId="259"/>
    <cellStyle name="差_CIENET-CRS-CMMI ML5-SERVICE PLAN_20071209 2" xfId="229"/>
    <cellStyle name="差_MySoft-CRS-CMMI ML3-ServicePlan-20080118" xfId="197"/>
    <cellStyle name="差_MySoft-CRS-CMMI ML3-ServicePlan-20080118 2" xfId="200"/>
    <cellStyle name="差_NEWYULONG-CRS-CMMI ML5-SERVICE PLAN_20071125" xfId="247"/>
    <cellStyle name="差_NEWYULONG-CRS-CMMI ML5-SERVICE PLAN_20071125 2" xfId="260"/>
    <cellStyle name="差_PROJ-04-T02C 项目里程碑报告" xfId="261"/>
    <cellStyle name="差_PROJ-04-T02C 项目里程碑报告 2" xfId="262"/>
    <cellStyle name="差_REF-TEMP-PMC-项目周报" xfId="263"/>
    <cellStyle name="差_REF-TEMP-PMC-项目周报 2" xfId="211"/>
    <cellStyle name="差_YD_OPM_STANDARD_OSSP过程文档体系文件编写规范_样式" xfId="264"/>
    <cellStyle name="差_YD_OPM_STANDARD_OSSP过程文档体系文件编写规范_样式 2" xfId="265"/>
    <cellStyle name="差_决策分析" xfId="266"/>
    <cellStyle name="差_决策分析 2" xfId="24"/>
    <cellStyle name="常规" xfId="0" builtinId="0"/>
    <cellStyle name="常规 10" xfId="189"/>
    <cellStyle name="常规 11" xfId="268"/>
    <cellStyle name="常规 12" xfId="168"/>
    <cellStyle name="常规 12 2" xfId="170"/>
    <cellStyle name="常规 13" xfId="269"/>
    <cellStyle name="常规 13 2" xfId="257"/>
    <cellStyle name="常规 14" xfId="271"/>
    <cellStyle name="常规 14 2" xfId="272"/>
    <cellStyle name="常规 15" xfId="179"/>
    <cellStyle name="常规 16" xfId="273"/>
    <cellStyle name="常规 2" xfId="234"/>
    <cellStyle name="常规 2 2" xfId="93"/>
    <cellStyle name="常规 2 2 12" xfId="274"/>
    <cellStyle name="常规 2 2 2" xfId="95"/>
    <cellStyle name="常规 2 3" xfId="97"/>
    <cellStyle name="常规 2 3 2" xfId="100"/>
    <cellStyle name="常规 2 4" xfId="102"/>
    <cellStyle name="常规 2 4 2" xfId="104"/>
    <cellStyle name="常规 2 5" xfId="106"/>
    <cellStyle name="常规 2 6" xfId="110"/>
    <cellStyle name="常规 2_ODC属性分类和评估" xfId="275"/>
    <cellStyle name="常规 3" xfId="60"/>
    <cellStyle name="常规 3 2" xfId="276"/>
    <cellStyle name="常规 3 2 2" xfId="277"/>
    <cellStyle name="常规 3 3" xfId="156"/>
    <cellStyle name="常规 3 4" xfId="278"/>
    <cellStyle name="常规 3_2011年佰钧成组织度量数据表-提交" xfId="181"/>
    <cellStyle name="常规 4" xfId="50"/>
    <cellStyle name="常规 4 2" xfId="279"/>
    <cellStyle name="常规 4_测试和验收流程" xfId="281"/>
    <cellStyle name="常规 5" xfId="115"/>
    <cellStyle name="常规 6" xfId="12"/>
    <cellStyle name="常规 7" xfId="282"/>
    <cellStyle name="常规 8" xfId="82"/>
    <cellStyle name="常规 9" xfId="283"/>
    <cellStyle name="常规_PM_PR_20020401" xfId="284"/>
    <cellStyle name="常规_sst3A1" xfId="285"/>
    <cellStyle name="常规_度量数据收集参考列表-V0.1" xfId="286"/>
    <cellStyle name="常规_原始数据 2" xfId="127"/>
    <cellStyle name="超链接" xfId="6" builtinId="8"/>
    <cellStyle name="超链接 2" xfId="135"/>
    <cellStyle name="超链接 3" xfId="287"/>
    <cellStyle name="超链接 4" xfId="288"/>
    <cellStyle name="超链接 5" xfId="289"/>
    <cellStyle name="超链接 6" xfId="290"/>
    <cellStyle name="超链接 7" xfId="291"/>
    <cellStyle name="超链接 8" xfId="267"/>
    <cellStyle name="超链接 9" xfId="190"/>
    <cellStyle name="好 2" xfId="292"/>
    <cellStyle name="好_CIENET-CRS-CMMI ML5-SERVICE PLAN_20071027" xfId="293"/>
    <cellStyle name="好_CIENET-CRS-CMMI ML5-SERVICE PLAN_20071027 2" xfId="294"/>
    <cellStyle name="好_CIENET-CRS-CMMI ML5-SERVICE PLAN_20071209" xfId="295"/>
    <cellStyle name="好_CIENET-CRS-CMMI ML5-SERVICE PLAN_20071209 2" xfId="296"/>
    <cellStyle name="好_MySoft-CRS-CMMI ML3-ServicePlan-20080118" xfId="131"/>
    <cellStyle name="好_MySoft-CRS-CMMI ML3-ServicePlan-20080118 2" xfId="137"/>
    <cellStyle name="好_NEWYULONG-CRS-CMMI ML5-SERVICE PLAN_20071125" xfId="297"/>
    <cellStyle name="好_NEWYULONG-CRS-CMMI ML5-SERVICE PLAN_20071125 2" xfId="11"/>
    <cellStyle name="好_PROJ-04-T02C 项目里程碑报告" xfId="9"/>
    <cellStyle name="好_PROJ-04-T02C 项目里程碑报告 2" xfId="239"/>
    <cellStyle name="好_REF-TEMP-PMC-项目周报" xfId="299"/>
    <cellStyle name="好_REF-TEMP-PMC-项目周报 2" xfId="270"/>
    <cellStyle name="好_YD_OPM_STANDARD_OSSP过程文档体系文件编写规范_样式" xfId="250"/>
    <cellStyle name="好_YD_OPM_STANDARD_OSSP过程文档体系文件编写规范_样式 2" xfId="298"/>
    <cellStyle name="好_决策分析" xfId="300"/>
    <cellStyle name="好_决策分析 2" xfId="301"/>
    <cellStyle name="汇总 2" xfId="302"/>
    <cellStyle name="计算 2" xfId="2"/>
    <cellStyle name="检查单元格 2" xfId="207"/>
    <cellStyle name="解释性文本 2" xfId="303"/>
    <cellStyle name="禁止写入" xfId="304"/>
    <cellStyle name="警告文本 2" xfId="77"/>
    <cellStyle name="链接单元格 2" xfId="305"/>
    <cellStyle name="普通_expenses_AR-ITD (2)" xfId="21"/>
    <cellStyle name="强调文字颜色 1 2" xfId="186"/>
    <cellStyle name="强调文字颜色 2 2" xfId="306"/>
    <cellStyle name="强调文字颜色 3 2" xfId="307"/>
    <cellStyle name="强调文字颜色 4 2" xfId="107"/>
    <cellStyle name="强调文字颜色 5 2" xfId="308"/>
    <cellStyle name="强调文字颜色 6 2" xfId="309"/>
    <cellStyle name="日期" xfId="7"/>
    <cellStyle name="适中 2" xfId="29"/>
    <cellStyle name="输出 2" xfId="25"/>
    <cellStyle name="输入 2" xfId="310"/>
    <cellStyle name="填充色1" xfId="312"/>
    <cellStyle name="填充色2" xfId="62"/>
    <cellStyle name="样式 1" xfId="313"/>
    <cellStyle name="样式 1 2" xfId="314"/>
    <cellStyle name="一般_CPK" xfId="315"/>
    <cellStyle name="昗弨_1997 Turns7 Tu" xfId="316"/>
    <cellStyle name="正文" xfId="311"/>
    <cellStyle name="寘嬫愗傝 [0.00]_1997 Turnsyns Wins" xfId="198"/>
    <cellStyle name="寘嬫愗傝_1997 Turns7 Turnsy" xfId="214"/>
    <cellStyle name="注释 2" xfId="317"/>
    <cellStyle name="注释 2 2" xfId="318"/>
    <cellStyle name="注释 3" xfId="319"/>
    <cellStyle name="自动填写" xfId="27"/>
    <cellStyle name="콤마 [0]_laroux" xfId="280"/>
    <cellStyle name="콤마_laroux" xfId="80"/>
    <cellStyle name="통화 [0]_laroux" xfId="122"/>
    <cellStyle name="통화_laroux" xfId="320"/>
    <cellStyle name="표준_AP" xfId="321"/>
  </cellStyles>
  <dxfs count="22">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rgb="FF9C0006"/>
      </font>
    </dxf>
    <dxf>
      <font>
        <strike/>
        <color rgb="FFFF0000"/>
      </font>
    </dxf>
  </dxfs>
  <tableStyles count="0" defaultTableStyle="TableStyleMedium2"/>
  <colors>
    <mruColors>
      <color rgb="FF0000FF"/>
      <color rgb="FFCCFFFF"/>
      <color rgb="FFFF00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需求!$N$10:$N$15</c:f>
              <c:strCache>
                <c:ptCount val="6"/>
                <c:pt idx="0">
                  <c:v>需求分析</c:v>
                </c:pt>
                <c:pt idx="1">
                  <c:v>架构设计</c:v>
                </c:pt>
                <c:pt idx="2">
                  <c:v>快速设计</c:v>
                </c:pt>
                <c:pt idx="3">
                  <c:v>编码实现</c:v>
                </c:pt>
                <c:pt idx="4">
                  <c:v>迭代测试</c:v>
                </c:pt>
                <c:pt idx="5">
                  <c:v>迭代演示</c:v>
                </c:pt>
              </c:strCache>
            </c:strRef>
          </c:cat>
          <c:val>
            <c:numRef>
              <c:f>需求!$O$10:$O$15</c:f>
              <c:numCache>
                <c:formatCode>0.0000_);[Red]\(0.0000\)</c:formatCode>
                <c:ptCount val="6"/>
                <c:pt idx="0">
                  <c:v>1</c:v>
                </c:pt>
                <c:pt idx="1">
                  <c:v>0.99629425287356321</c:v>
                </c:pt>
                <c:pt idx="2">
                  <c:v>0.99556213017751483</c:v>
                </c:pt>
                <c:pt idx="3">
                  <c:v>0.99878734102336586</c:v>
                </c:pt>
                <c:pt idx="4">
                  <c:v>1</c:v>
                </c:pt>
                <c:pt idx="5">
                  <c:v>1</c:v>
                </c:pt>
              </c:numCache>
            </c:numRef>
          </c:val>
        </c:ser>
        <c:dLbls>
          <c:showLegendKey val="0"/>
          <c:showVal val="0"/>
          <c:showCatName val="0"/>
          <c:showSerName val="0"/>
          <c:showPercent val="0"/>
          <c:showBubbleSize val="0"/>
        </c:dLbls>
        <c:gapWidth val="150"/>
        <c:axId val="123801600"/>
        <c:axId val="314287232"/>
      </c:barChart>
      <c:catAx>
        <c:axId val="12380160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287232"/>
        <c:crosses val="autoZero"/>
        <c:auto val="1"/>
        <c:lblAlgn val="ctr"/>
        <c:lblOffset val="100"/>
        <c:noMultiLvlLbl val="0"/>
      </c:catAx>
      <c:valAx>
        <c:axId val="314287232"/>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238016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Pt>
            <c:idx val="5"/>
            <c:invertIfNegative val="0"/>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需求!$N$23:$N$28</c:f>
              <c:strCache>
                <c:ptCount val="6"/>
                <c:pt idx="0">
                  <c:v>需求分析</c:v>
                </c:pt>
                <c:pt idx="1">
                  <c:v>架构设计</c:v>
                </c:pt>
                <c:pt idx="2">
                  <c:v>快速设计</c:v>
                </c:pt>
                <c:pt idx="3">
                  <c:v>编码实现</c:v>
                </c:pt>
                <c:pt idx="4">
                  <c:v>迭代测试</c:v>
                </c:pt>
                <c:pt idx="5">
                  <c:v>迭代演示</c:v>
                </c:pt>
              </c:strCache>
            </c:strRef>
          </c:cat>
          <c:val>
            <c:numRef>
              <c:f>需求!$O$23:$O$28</c:f>
              <c:numCache>
                <c:formatCode>0.0000_ </c:formatCode>
                <c:ptCount val="6"/>
                <c:pt idx="0">
                  <c:v>1</c:v>
                </c:pt>
                <c:pt idx="1">
                  <c:v>0.98764750957854408</c:v>
                </c:pt>
                <c:pt idx="2">
                  <c:v>0.97277059223961881</c:v>
                </c:pt>
                <c:pt idx="3">
                  <c:v>0.99769241592795832</c:v>
                </c:pt>
                <c:pt idx="4">
                  <c:v>1</c:v>
                </c:pt>
                <c:pt idx="5">
                  <c:v>1</c:v>
                </c:pt>
              </c:numCache>
            </c:numRef>
          </c:val>
        </c:ser>
        <c:dLbls>
          <c:showLegendKey val="0"/>
          <c:showVal val="0"/>
          <c:showCatName val="0"/>
          <c:showSerName val="0"/>
          <c:showPercent val="0"/>
          <c:showBubbleSize val="0"/>
        </c:dLbls>
        <c:gapWidth val="150"/>
        <c:axId val="226865664"/>
        <c:axId val="314288960"/>
      </c:barChart>
      <c:catAx>
        <c:axId val="22686566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288960"/>
        <c:crosses val="autoZero"/>
        <c:auto val="1"/>
        <c:lblAlgn val="ctr"/>
        <c:lblOffset val="100"/>
        <c:noMultiLvlLbl val="0"/>
      </c:catAx>
      <c:valAx>
        <c:axId val="314288960"/>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8656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需求!$N$37:$N$42</c:f>
              <c:strCache>
                <c:ptCount val="6"/>
                <c:pt idx="0">
                  <c:v>需求分析</c:v>
                </c:pt>
                <c:pt idx="1">
                  <c:v>架构设计</c:v>
                </c:pt>
                <c:pt idx="2">
                  <c:v>快速设计</c:v>
                </c:pt>
                <c:pt idx="3">
                  <c:v>编码实现</c:v>
                </c:pt>
                <c:pt idx="4">
                  <c:v>迭代测试</c:v>
                </c:pt>
                <c:pt idx="5">
                  <c:v>迭代演示</c:v>
                </c:pt>
              </c:strCache>
            </c:strRef>
          </c:cat>
          <c:val>
            <c:numRef>
              <c:f>需求!$O$37:$O$42</c:f>
              <c:numCache>
                <c:formatCode>0.0000_);[Red]\(0.0000\)</c:formatCode>
                <c:ptCount val="6"/>
                <c:pt idx="0">
                  <c:v>1</c:v>
                </c:pt>
                <c:pt idx="1">
                  <c:v>0.99629425287356321</c:v>
                </c:pt>
                <c:pt idx="2">
                  <c:v>0.99556213017751483</c:v>
                </c:pt>
                <c:pt idx="3">
                  <c:v>0.99878734102336586</c:v>
                </c:pt>
                <c:pt idx="4">
                  <c:v>1</c:v>
                </c:pt>
                <c:pt idx="5">
                  <c:v>1</c:v>
                </c:pt>
              </c:numCache>
            </c:numRef>
          </c:val>
        </c:ser>
        <c:dLbls>
          <c:showLegendKey val="0"/>
          <c:showVal val="0"/>
          <c:showCatName val="0"/>
          <c:showSerName val="0"/>
          <c:showPercent val="0"/>
          <c:showBubbleSize val="0"/>
        </c:dLbls>
        <c:gapWidth val="150"/>
        <c:axId val="226866176"/>
        <c:axId val="314290688"/>
      </c:barChart>
      <c:catAx>
        <c:axId val="22686617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290688"/>
        <c:crosses val="autoZero"/>
        <c:auto val="1"/>
        <c:lblAlgn val="ctr"/>
        <c:lblOffset val="100"/>
        <c:noMultiLvlLbl val="0"/>
      </c:catAx>
      <c:valAx>
        <c:axId val="314290688"/>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86617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需求!$N$50:$N$55</c:f>
              <c:strCache>
                <c:ptCount val="6"/>
                <c:pt idx="0">
                  <c:v>需求分析</c:v>
                </c:pt>
                <c:pt idx="1">
                  <c:v>架构设计</c:v>
                </c:pt>
                <c:pt idx="2">
                  <c:v>快速设计</c:v>
                </c:pt>
                <c:pt idx="3">
                  <c:v>编码实现</c:v>
                </c:pt>
                <c:pt idx="4">
                  <c:v>迭代测试</c:v>
                </c:pt>
                <c:pt idx="5">
                  <c:v>迭代演示</c:v>
                </c:pt>
              </c:strCache>
            </c:strRef>
          </c:cat>
          <c:val>
            <c:numRef>
              <c:f>需求!$O$50:$O$55</c:f>
              <c:numCache>
                <c:formatCode>0.0000_ </c:formatCode>
                <c:ptCount val="6"/>
                <c:pt idx="0">
                  <c:v>1</c:v>
                </c:pt>
                <c:pt idx="1">
                  <c:v>0.98764750957854408</c:v>
                </c:pt>
                <c:pt idx="2">
                  <c:v>0.97277059223961881</c:v>
                </c:pt>
                <c:pt idx="3">
                  <c:v>0.99769241592795832</c:v>
                </c:pt>
                <c:pt idx="4">
                  <c:v>1</c:v>
                </c:pt>
                <c:pt idx="5">
                  <c:v>1</c:v>
                </c:pt>
              </c:numCache>
            </c:numRef>
          </c:val>
        </c:ser>
        <c:dLbls>
          <c:showLegendKey val="0"/>
          <c:showVal val="0"/>
          <c:showCatName val="0"/>
          <c:showSerName val="0"/>
          <c:showPercent val="0"/>
          <c:showBubbleSize val="0"/>
        </c:dLbls>
        <c:gapWidth val="150"/>
        <c:axId val="226866688"/>
        <c:axId val="314292416"/>
      </c:barChart>
      <c:catAx>
        <c:axId val="2268666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292416"/>
        <c:crosses val="autoZero"/>
        <c:auto val="1"/>
        <c:lblAlgn val="ctr"/>
        <c:lblOffset val="100"/>
        <c:noMultiLvlLbl val="0"/>
      </c:catAx>
      <c:valAx>
        <c:axId val="314292416"/>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8666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需求!$N$64:$N$69</c:f>
            </c:multiLvlStrRef>
          </c:cat>
          <c:val>
            <c:numRef>
              <c:f>需求!$O$64:$O$69</c:f>
            </c:numRef>
          </c:val>
        </c:ser>
        <c:dLbls>
          <c:showLegendKey val="0"/>
          <c:showVal val="0"/>
          <c:showCatName val="0"/>
          <c:showSerName val="0"/>
          <c:showPercent val="0"/>
          <c:showBubbleSize val="0"/>
        </c:dLbls>
        <c:gapWidth val="150"/>
        <c:axId val="226867200"/>
        <c:axId val="224591872"/>
      </c:barChart>
      <c:catAx>
        <c:axId val="22686720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591872"/>
        <c:crosses val="autoZero"/>
        <c:auto val="1"/>
        <c:lblAlgn val="ctr"/>
        <c:lblOffset val="100"/>
        <c:noMultiLvlLbl val="0"/>
      </c:catAx>
      <c:valAx>
        <c:axId val="224591872"/>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8672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需求!$N$77:$N$82</c:f>
            </c:multiLvlStrRef>
          </c:cat>
          <c:val>
            <c:numRef>
              <c:f>需求!$O$77:$O$82</c:f>
            </c:numRef>
          </c:val>
        </c:ser>
        <c:dLbls>
          <c:showLegendKey val="0"/>
          <c:showVal val="0"/>
          <c:showCatName val="0"/>
          <c:showSerName val="0"/>
          <c:showPercent val="0"/>
          <c:showBubbleSize val="0"/>
        </c:dLbls>
        <c:gapWidth val="150"/>
        <c:axId val="226867712"/>
        <c:axId val="224593600"/>
      </c:barChart>
      <c:catAx>
        <c:axId val="2268677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593600"/>
        <c:crosses val="autoZero"/>
        <c:auto val="1"/>
        <c:lblAlgn val="ctr"/>
        <c:lblOffset val="100"/>
        <c:noMultiLvlLbl val="0"/>
      </c:catAx>
      <c:valAx>
        <c:axId val="224593600"/>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8677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迭代一</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tx>
            <c:strRef>
              <c:f>工作量分布!$V$43</c:f>
              <c:strCache>
                <c:ptCount val="1"/>
                <c:pt idx="0">
                  <c:v>工程活动</c:v>
                </c:pt>
              </c:strCache>
            </c:strRef>
          </c:tx>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工作量分布!$V$43:$V$47</c:f>
              <c:strCache>
                <c:ptCount val="5"/>
                <c:pt idx="0">
                  <c:v>工程活动</c:v>
                </c:pt>
                <c:pt idx="1">
                  <c:v>项目管理活动</c:v>
                </c:pt>
                <c:pt idx="2">
                  <c:v>配置管理活动</c:v>
                </c:pt>
                <c:pt idx="3">
                  <c:v>质量保证活动</c:v>
                </c:pt>
                <c:pt idx="4">
                  <c:v>其他（风险预留）</c:v>
                </c:pt>
              </c:strCache>
            </c:strRef>
          </c:cat>
          <c:val>
            <c:numRef>
              <c:f>工作量分布!$W$43:$W$47</c:f>
              <c:numCache>
                <c:formatCode>0%</c:formatCode>
                <c:ptCount val="5"/>
                <c:pt idx="0">
                  <c:v>0.72447103243680577</c:v>
                </c:pt>
                <c:pt idx="1">
                  <c:v>8.2599847990781378E-2</c:v>
                </c:pt>
                <c:pt idx="2">
                  <c:v>4.1299923995390689E-2</c:v>
                </c:pt>
                <c:pt idx="3">
                  <c:v>4.1299923995390689E-2</c:v>
                </c:pt>
                <c:pt idx="4">
                  <c:v>0.1103292715816314</c:v>
                </c:pt>
              </c:numCache>
            </c:numRef>
          </c:val>
        </c:ser>
        <c:ser>
          <c:idx val="1"/>
          <c:order val="1"/>
          <c:tx>
            <c:strRef>
              <c:f>工作量分布!$V$44</c:f>
              <c:strCache>
                <c:ptCount val="1"/>
                <c:pt idx="0">
                  <c:v>项目管理活动</c:v>
                </c:pt>
              </c:strCache>
            </c:strRef>
          </c:tx>
          <c:dPt>
            <c:idx val="0"/>
            <c:bubble3D val="0"/>
          </c:dPt>
          <c:val>
            <c:numLit>
              <c:formatCode>General</c:formatCode>
              <c:ptCount val="1"/>
              <c:pt idx="0">
                <c:v>1</c:v>
              </c:pt>
            </c:numLit>
          </c:val>
        </c:ser>
        <c:ser>
          <c:idx val="2"/>
          <c:order val="2"/>
          <c:tx>
            <c:strRef>
              <c:f>工作量分布!$V$45</c:f>
              <c:strCache>
                <c:ptCount val="1"/>
                <c:pt idx="0">
                  <c:v>配置管理活动</c:v>
                </c:pt>
              </c:strCache>
            </c:strRef>
          </c:tx>
          <c:dPt>
            <c:idx val="0"/>
            <c:bubble3D val="0"/>
          </c:dPt>
          <c:val>
            <c:numLit>
              <c:formatCode>General</c:formatCode>
              <c:ptCount val="1"/>
              <c:pt idx="0">
                <c:v>1</c:v>
              </c:pt>
            </c:numLit>
          </c:val>
        </c:ser>
        <c:ser>
          <c:idx val="3"/>
          <c:order val="3"/>
          <c:tx>
            <c:strRef>
              <c:f>工作量分布!$V$46</c:f>
              <c:strCache>
                <c:ptCount val="1"/>
                <c:pt idx="0">
                  <c:v>质量保证活动</c:v>
                </c:pt>
              </c:strCache>
            </c:strRef>
          </c:tx>
          <c:dPt>
            <c:idx val="0"/>
            <c:bubble3D val="0"/>
          </c:dPt>
          <c:val>
            <c:numLit>
              <c:formatCode>General</c:formatCode>
              <c:ptCount val="1"/>
              <c:pt idx="0">
                <c:v>1</c:v>
              </c:pt>
            </c:numLit>
          </c:val>
        </c:ser>
        <c:ser>
          <c:idx val="4"/>
          <c:order val="4"/>
          <c:tx>
            <c:strRef>
              <c:f>工作量分布!$V$47</c:f>
              <c:strCache>
                <c:ptCount val="1"/>
                <c:pt idx="0">
                  <c:v>其他（风险预留）</c:v>
                </c:pt>
              </c:strCache>
            </c:strRef>
          </c:tx>
          <c:dPt>
            <c:idx val="0"/>
            <c:bubble3D val="0"/>
          </c:dPt>
          <c:val>
            <c:numLit>
              <c:formatCode>General</c:formatCode>
              <c:ptCount val="1"/>
              <c:pt idx="0">
                <c:v>1</c:v>
              </c:pt>
            </c:numLit>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迭代一</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Pt>
            <c:idx val="0"/>
            <c:bubble3D val="0"/>
          </c:dPt>
          <c:dPt>
            <c:idx val="1"/>
            <c:bubble3D val="0"/>
          </c:dPt>
          <c:dPt>
            <c:idx val="2"/>
            <c:bubble3D val="0"/>
          </c:dPt>
          <c:dPt>
            <c:idx val="3"/>
            <c:bubble3D val="0"/>
          </c:dPt>
          <c:dPt>
            <c:idx val="4"/>
            <c:bubble3D val="0"/>
          </c:dPt>
          <c:dPt>
            <c:idx val="5"/>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工作量分布!$Q$40:$Q$45</c:f>
              <c:strCache>
                <c:ptCount val="6"/>
                <c:pt idx="0">
                  <c:v>需求分析</c:v>
                </c:pt>
                <c:pt idx="1">
                  <c:v>架构设计</c:v>
                </c:pt>
                <c:pt idx="2">
                  <c:v>快速设计</c:v>
                </c:pt>
                <c:pt idx="3">
                  <c:v>编码实现</c:v>
                </c:pt>
                <c:pt idx="4">
                  <c:v>迭代测试</c:v>
                </c:pt>
                <c:pt idx="5">
                  <c:v>迭代演示</c:v>
                </c:pt>
              </c:strCache>
            </c:strRef>
          </c:cat>
          <c:val>
            <c:numRef>
              <c:f>工作量分布!$R$40:$R$45</c:f>
              <c:numCache>
                <c:formatCode>General</c:formatCode>
                <c:ptCount val="6"/>
                <c:pt idx="0">
                  <c:v>109.67399999999999</c:v>
                </c:pt>
                <c:pt idx="1">
                  <c:v>33.606999999999999</c:v>
                </c:pt>
                <c:pt idx="2">
                  <c:v>101</c:v>
                </c:pt>
                <c:pt idx="3">
                  <c:v>62.5</c:v>
                </c:pt>
                <c:pt idx="4">
                  <c:v>67.900000000000006</c:v>
                </c:pt>
                <c:pt idx="5">
                  <c:v>14.114999999999998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cat>
            <c:strRef>
              <c:f>工作量分布!$Q$23:$Q$27</c:f>
              <c:strCache>
                <c:ptCount val="5"/>
                <c:pt idx="0">
                  <c:v>需求分析</c:v>
                </c:pt>
                <c:pt idx="1">
                  <c:v>架构设计</c:v>
                </c:pt>
                <c:pt idx="2">
                  <c:v>快速设计</c:v>
                </c:pt>
                <c:pt idx="3">
                  <c:v>编码实现</c:v>
                </c:pt>
                <c:pt idx="4">
                  <c:v>迭代测试</c:v>
                </c:pt>
              </c:strCache>
            </c:strRef>
          </c:cat>
          <c:val>
            <c:numRef>
              <c:f>工作量分布!$R$23:$R$27</c:f>
              <c:numCache>
                <c:formatCode>0.00%</c:formatCode>
                <c:ptCount val="5"/>
                <c:pt idx="0">
                  <c:v>0.11413159418523122</c:v>
                </c:pt>
                <c:pt idx="1">
                  <c:v>0.14363137142218618</c:v>
                </c:pt>
                <c:pt idx="2">
                  <c:v>0.24077347392801651</c:v>
                </c:pt>
                <c:pt idx="3">
                  <c:v>0.14270123291242975</c:v>
                </c:pt>
                <c:pt idx="4">
                  <c:v>0.16281521212798489</c:v>
                </c:pt>
              </c:numCache>
            </c:numRef>
          </c:val>
        </c:ser>
        <c:dLbls>
          <c:showLegendKey val="0"/>
          <c:showVal val="0"/>
          <c:showCatName val="0"/>
          <c:showSerName val="0"/>
          <c:showPercent val="0"/>
          <c:showBubbleSize val="0"/>
        </c:dLbls>
        <c:gapWidth val="150"/>
        <c:axId val="314689024"/>
        <c:axId val="224598208"/>
      </c:barChart>
      <c:catAx>
        <c:axId val="3146890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598208"/>
        <c:crosses val="autoZero"/>
        <c:auto val="1"/>
        <c:lblAlgn val="ctr"/>
        <c:lblOffset val="100"/>
        <c:noMultiLvlLbl val="0"/>
      </c:catAx>
      <c:valAx>
        <c:axId val="224598208"/>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68902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迭代一阶段单位规模工作量的控制图</a:t>
            </a:r>
            <a:endParaRPr lang="en-US" altLang="zh-CN"/>
          </a:p>
        </c:rich>
      </c:tx>
      <c:overlay val="0"/>
    </c:title>
    <c:autoTitleDeleted val="0"/>
    <c:plotArea>
      <c:layout/>
      <c:lineChart>
        <c:grouping val="standard"/>
        <c:varyColors val="0"/>
        <c:ser>
          <c:idx val="0"/>
          <c:order val="0"/>
          <c:tx>
            <c:strRef>
              <c:f>工作量分布!$D$22</c:f>
              <c:strCache>
                <c:ptCount val="1"/>
                <c:pt idx="0">
                  <c:v>LOL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工作量分布!$E$22:$K$22</c:f>
              <c:numCache>
                <c:formatCode>0.0000_ </c:formatCode>
                <c:ptCount val="7"/>
                <c:pt idx="0">
                  <c:v>0</c:v>
                </c:pt>
                <c:pt idx="1">
                  <c:v>1.5E-3</c:v>
                </c:pt>
                <c:pt idx="2">
                  <c:v>7.9474874860599995E-2</c:v>
                </c:pt>
                <c:pt idx="3">
                  <c:v>0.09</c:v>
                </c:pt>
                <c:pt idx="4">
                  <c:v>0.08</c:v>
                </c:pt>
                <c:pt idx="5">
                  <c:v>0</c:v>
                </c:pt>
              </c:numCache>
            </c:numRef>
          </c:val>
          <c:smooth val="0"/>
        </c:ser>
        <c:ser>
          <c:idx val="1"/>
          <c:order val="1"/>
          <c:tx>
            <c:strRef>
              <c:f>工作量分布!$D$23</c:f>
              <c:strCache>
                <c:ptCount val="1"/>
                <c:pt idx="0">
                  <c:v>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工作量分布!$E$23:$K$23</c:f>
              <c:numCache>
                <c:formatCode>0.0000_ </c:formatCode>
                <c:ptCount val="7"/>
                <c:pt idx="0">
                  <c:v>0.55000000000000004</c:v>
                </c:pt>
                <c:pt idx="1">
                  <c:v>0.34710524803163401</c:v>
                </c:pt>
                <c:pt idx="2">
                  <c:v>0.96250000000000002</c:v>
                </c:pt>
                <c:pt idx="3">
                  <c:v>0.80957050162269195</c:v>
                </c:pt>
                <c:pt idx="4">
                  <c:v>0.7</c:v>
                </c:pt>
                <c:pt idx="5">
                  <c:v>0.12920000000000001</c:v>
                </c:pt>
              </c:numCache>
            </c:numRef>
          </c:val>
          <c:smooth val="0"/>
        </c:ser>
        <c:ser>
          <c:idx val="2"/>
          <c:order val="2"/>
          <c:tx>
            <c:strRef>
              <c:f>工作量分布!$D$24</c:f>
              <c:strCache>
                <c:ptCount val="1"/>
                <c:pt idx="0">
                  <c:v>UOL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工作量分布!$E$24:$K$24</c:f>
              <c:numCache>
                <c:formatCode>0.0000_ </c:formatCode>
                <c:ptCount val="7"/>
                <c:pt idx="0">
                  <c:v>1.49306241508338</c:v>
                </c:pt>
                <c:pt idx="1">
                  <c:v>0.69269999999999998</c:v>
                </c:pt>
                <c:pt idx="2">
                  <c:v>1.8455251251394</c:v>
                </c:pt>
                <c:pt idx="3">
                  <c:v>1.5289999999999999</c:v>
                </c:pt>
                <c:pt idx="4">
                  <c:v>1.3</c:v>
                </c:pt>
                <c:pt idx="5">
                  <c:v>0.28420000000000001</c:v>
                </c:pt>
              </c:numCache>
            </c:numRef>
          </c:val>
          <c:smooth val="0"/>
        </c:ser>
        <c:ser>
          <c:idx val="3"/>
          <c:order val="3"/>
          <c:tx>
            <c:strRef>
              <c:f>工作量分布!$D$25</c:f>
              <c:strCache>
                <c:ptCount val="1"/>
                <c:pt idx="0">
                  <c:v>项目数据</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工作量分布!$E$25:$K$25</c:f>
              <c:numCache>
                <c:formatCode>General</c:formatCode>
                <c:ptCount val="7"/>
                <c:pt idx="0">
                  <c:v>0.82152808988764037</c:v>
                </c:pt>
                <c:pt idx="1">
                  <c:v>0.67213999999999996</c:v>
                </c:pt>
                <c:pt idx="2">
                  <c:v>1.578125</c:v>
                </c:pt>
                <c:pt idx="3">
                  <c:v>0.36310160427807492</c:v>
                </c:pt>
                <c:pt idx="4">
                  <c:v>0.36310160427807492</c:v>
                </c:pt>
                <c:pt idx="5">
                  <c:v>7.5481283422459883E-2</c:v>
                </c:pt>
              </c:numCache>
            </c:numRef>
          </c:val>
          <c:smooth val="0"/>
        </c:ser>
        <c:dLbls>
          <c:showLegendKey val="0"/>
          <c:showVal val="0"/>
          <c:showCatName val="0"/>
          <c:showSerName val="0"/>
          <c:showPercent val="0"/>
          <c:showBubbleSize val="0"/>
        </c:dLbls>
        <c:marker val="1"/>
        <c:smooth val="0"/>
        <c:axId val="314689536"/>
        <c:axId val="224788480"/>
      </c:lineChart>
      <c:catAx>
        <c:axId val="3146895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788480"/>
        <c:crosses val="autoZero"/>
        <c:auto val="1"/>
        <c:lblAlgn val="ctr"/>
        <c:lblOffset val="100"/>
        <c:noMultiLvlLbl val="0"/>
      </c:catAx>
      <c:valAx>
        <c:axId val="22478848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6895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迭代二</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Pt>
            <c:idx val="0"/>
            <c:bubble3D val="0"/>
          </c:dPt>
          <c:dPt>
            <c:idx val="1"/>
            <c:bubble3D val="0"/>
          </c:dPt>
          <c:dPt>
            <c:idx val="2"/>
            <c:bubble3D val="0"/>
          </c:dPt>
          <c:dPt>
            <c:idx val="3"/>
            <c:bubble3D val="0"/>
          </c:dPt>
          <c:dPt>
            <c:idx val="4"/>
            <c:bubble3D val="0"/>
          </c:dPt>
          <c:dPt>
            <c:idx val="5"/>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工作量分布!$Q$84:$Q$89</c:f>
              <c:strCache>
                <c:ptCount val="6"/>
                <c:pt idx="0">
                  <c:v>需求分析</c:v>
                </c:pt>
                <c:pt idx="1">
                  <c:v>架构设计</c:v>
                </c:pt>
                <c:pt idx="2">
                  <c:v>快速设计</c:v>
                </c:pt>
                <c:pt idx="3">
                  <c:v>编码实现</c:v>
                </c:pt>
                <c:pt idx="4">
                  <c:v>迭代测试</c:v>
                </c:pt>
                <c:pt idx="5">
                  <c:v>迭代演示</c:v>
                </c:pt>
              </c:strCache>
            </c:strRef>
          </c:cat>
          <c:val>
            <c:numRef>
              <c:f>工作量分布!$R$84:$R$89</c:f>
              <c:numCache>
                <c:formatCode>General</c:formatCode>
                <c:ptCount val="6"/>
                <c:pt idx="0">
                  <c:v>109.67399999999999</c:v>
                </c:pt>
                <c:pt idx="1">
                  <c:v>33.606999999999999</c:v>
                </c:pt>
                <c:pt idx="2">
                  <c:v>101</c:v>
                </c:pt>
                <c:pt idx="3">
                  <c:v>62.5</c:v>
                </c:pt>
                <c:pt idx="4">
                  <c:v>67.900000000000006</c:v>
                </c:pt>
                <c:pt idx="5">
                  <c:v>14.114999999999998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工作量分布!$Q$67:$Q$72</c:f>
              <c:strCache>
                <c:ptCount val="6"/>
                <c:pt idx="0">
                  <c:v>需求分析</c:v>
                </c:pt>
                <c:pt idx="1">
                  <c:v>架构设计</c:v>
                </c:pt>
                <c:pt idx="2">
                  <c:v>快速设计</c:v>
                </c:pt>
                <c:pt idx="3">
                  <c:v>编码实现</c:v>
                </c:pt>
                <c:pt idx="4">
                  <c:v>迭代测试</c:v>
                </c:pt>
                <c:pt idx="5">
                  <c:v>迭代演示</c:v>
                </c:pt>
              </c:strCache>
            </c:strRef>
          </c:cat>
          <c:val>
            <c:numRef>
              <c:f>工作量分布!$R$67:$R$72</c:f>
              <c:numCache>
                <c:formatCode>0.00%</c:formatCode>
                <c:ptCount val="6"/>
                <c:pt idx="0">
                  <c:v>0.11413159418523122</c:v>
                </c:pt>
                <c:pt idx="1">
                  <c:v>0.14363137142218618</c:v>
                </c:pt>
                <c:pt idx="2">
                  <c:v>0.24077347392801651</c:v>
                </c:pt>
                <c:pt idx="3">
                  <c:v>0.14270123291242975</c:v>
                </c:pt>
                <c:pt idx="4">
                  <c:v>0.16281521212798489</c:v>
                </c:pt>
                <c:pt idx="5">
                  <c:v>0.15142297581029363</c:v>
                </c:pt>
              </c:numCache>
            </c:numRef>
          </c:val>
        </c:ser>
        <c:dLbls>
          <c:showLegendKey val="0"/>
          <c:showVal val="0"/>
          <c:showCatName val="0"/>
          <c:showSerName val="0"/>
          <c:showPercent val="0"/>
          <c:showBubbleSize val="0"/>
        </c:dLbls>
        <c:gapWidth val="150"/>
        <c:axId val="314690560"/>
        <c:axId val="224791936"/>
      </c:barChart>
      <c:catAx>
        <c:axId val="31469056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791936"/>
        <c:crosses val="autoZero"/>
        <c:auto val="1"/>
        <c:lblAlgn val="ctr"/>
        <c:lblOffset val="100"/>
        <c:noMultiLvlLbl val="0"/>
      </c:catAx>
      <c:valAx>
        <c:axId val="224791936"/>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6905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工作量分布!$D$66</c:f>
              <c:strCache>
                <c:ptCount val="1"/>
                <c:pt idx="0">
                  <c:v>LOL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工作量分布!$E$66:$J$66</c:f>
              <c:numCache>
                <c:formatCode>0.0000_ </c:formatCode>
                <c:ptCount val="6"/>
                <c:pt idx="0">
                  <c:v>0</c:v>
                </c:pt>
                <c:pt idx="1">
                  <c:v>1.5E-3</c:v>
                </c:pt>
                <c:pt idx="2">
                  <c:v>7.9474874860599995E-2</c:v>
                </c:pt>
                <c:pt idx="3">
                  <c:v>0.09</c:v>
                </c:pt>
                <c:pt idx="4">
                  <c:v>0.08</c:v>
                </c:pt>
                <c:pt idx="5">
                  <c:v>0</c:v>
                </c:pt>
              </c:numCache>
            </c:numRef>
          </c:val>
          <c:smooth val="0"/>
        </c:ser>
        <c:ser>
          <c:idx val="1"/>
          <c:order val="1"/>
          <c:tx>
            <c:strRef>
              <c:f>工作量分布!$D$67</c:f>
              <c:strCache>
                <c:ptCount val="1"/>
                <c:pt idx="0">
                  <c:v>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工作量分布!$E$67:$J$67</c:f>
              <c:numCache>
                <c:formatCode>0.0000_ </c:formatCode>
                <c:ptCount val="6"/>
                <c:pt idx="0">
                  <c:v>0.55000000000000004</c:v>
                </c:pt>
                <c:pt idx="1">
                  <c:v>0.34710524803163401</c:v>
                </c:pt>
                <c:pt idx="2">
                  <c:v>0.96250000000000002</c:v>
                </c:pt>
                <c:pt idx="3">
                  <c:v>0.80957050162269195</c:v>
                </c:pt>
                <c:pt idx="4">
                  <c:v>0.7</c:v>
                </c:pt>
                <c:pt idx="5">
                  <c:v>0.12920000000000001</c:v>
                </c:pt>
              </c:numCache>
            </c:numRef>
          </c:val>
          <c:smooth val="0"/>
        </c:ser>
        <c:ser>
          <c:idx val="2"/>
          <c:order val="2"/>
          <c:tx>
            <c:strRef>
              <c:f>工作量分布!$D$68</c:f>
              <c:strCache>
                <c:ptCount val="1"/>
                <c:pt idx="0">
                  <c:v>UOL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工作量分布!$E$68:$J$68</c:f>
              <c:numCache>
                <c:formatCode>0.0000_ </c:formatCode>
                <c:ptCount val="6"/>
                <c:pt idx="0">
                  <c:v>1.49306241508338</c:v>
                </c:pt>
                <c:pt idx="1">
                  <c:v>0.69269999999999998</c:v>
                </c:pt>
                <c:pt idx="2">
                  <c:v>1.8455251251394</c:v>
                </c:pt>
                <c:pt idx="3">
                  <c:v>1.5289999999999999</c:v>
                </c:pt>
                <c:pt idx="4">
                  <c:v>1.3</c:v>
                </c:pt>
                <c:pt idx="5">
                  <c:v>0.28420000000000001</c:v>
                </c:pt>
              </c:numCache>
            </c:numRef>
          </c:val>
          <c:smooth val="0"/>
        </c:ser>
        <c:ser>
          <c:idx val="3"/>
          <c:order val="3"/>
          <c:tx>
            <c:strRef>
              <c:f>工作量分布!$D$69</c:f>
              <c:strCache>
                <c:ptCount val="1"/>
                <c:pt idx="0">
                  <c:v>项目数据</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工作量分布!$E$69:$J$69</c:f>
              <c:numCache>
                <c:formatCode>General</c:formatCode>
                <c:ptCount val="6"/>
                <c:pt idx="0">
                  <c:v>0.82461654135338336</c:v>
                </c:pt>
                <c:pt idx="1">
                  <c:v>0.25268421052631579</c:v>
                </c:pt>
                <c:pt idx="2">
                  <c:v>0.76515151515151514</c:v>
                </c:pt>
                <c:pt idx="3">
                  <c:v>0.51052631578947372</c:v>
                </c:pt>
                <c:pt idx="4">
                  <c:v>0.51052631578947372</c:v>
                </c:pt>
                <c:pt idx="5">
                  <c:v>0.10612781954887217</c:v>
                </c:pt>
              </c:numCache>
            </c:numRef>
          </c:val>
          <c:smooth val="0"/>
        </c:ser>
        <c:dLbls>
          <c:showLegendKey val="0"/>
          <c:showVal val="0"/>
          <c:showCatName val="0"/>
          <c:showSerName val="0"/>
          <c:showPercent val="0"/>
          <c:showBubbleSize val="0"/>
        </c:dLbls>
        <c:marker val="1"/>
        <c:smooth val="0"/>
        <c:axId val="226914304"/>
        <c:axId val="224793664"/>
      </c:lineChart>
      <c:catAx>
        <c:axId val="22691430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4793664"/>
        <c:crosses val="autoZero"/>
        <c:auto val="1"/>
        <c:lblAlgn val="ctr"/>
        <c:lblOffset val="100"/>
        <c:noMultiLvlLbl val="0"/>
      </c:catAx>
      <c:valAx>
        <c:axId val="2247936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143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迭代三</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工作量分布!$V$129:$V$133</c:f>
              <c:strCache>
                <c:ptCount val="5"/>
                <c:pt idx="0">
                  <c:v>工程活动</c:v>
                </c:pt>
                <c:pt idx="1">
                  <c:v>项目管理活动</c:v>
                </c:pt>
                <c:pt idx="2">
                  <c:v>配置管理活动</c:v>
                </c:pt>
                <c:pt idx="3">
                  <c:v>质量保证活动</c:v>
                </c:pt>
                <c:pt idx="4">
                  <c:v>其他（风险预留）</c:v>
                </c:pt>
              </c:strCache>
            </c:strRef>
          </c:cat>
          <c:val>
            <c:numRef>
              <c:f>工作量分布!$W$129:$W$133</c:f>
              <c:numCache>
                <c:formatCode>0%</c:formatCode>
                <c:ptCount val="5"/>
                <c:pt idx="0">
                  <c:v>0.72447103243680577</c:v>
                </c:pt>
                <c:pt idx="1">
                  <c:v>8.2599847990781378E-2</c:v>
                </c:pt>
                <c:pt idx="2">
                  <c:v>4.1299923995390689E-2</c:v>
                </c:pt>
                <c:pt idx="3">
                  <c:v>4.1299923995390689E-2</c:v>
                </c:pt>
                <c:pt idx="4">
                  <c:v>0.1103292715816314</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迭代三</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工作量分布!$Q$126:$Q$131</c:f>
              <c:strCache>
                <c:ptCount val="6"/>
                <c:pt idx="0">
                  <c:v>需求分析</c:v>
                </c:pt>
                <c:pt idx="1">
                  <c:v>架构设计</c:v>
                </c:pt>
                <c:pt idx="2">
                  <c:v>快速设计</c:v>
                </c:pt>
                <c:pt idx="3">
                  <c:v>编码实现</c:v>
                </c:pt>
                <c:pt idx="4">
                  <c:v>迭代测试</c:v>
                </c:pt>
                <c:pt idx="5">
                  <c:v>迭代演示</c:v>
                </c:pt>
              </c:strCache>
            </c:strRef>
          </c:cat>
          <c:val>
            <c:numRef>
              <c:f>工作量分布!$R$126:$R$131</c:f>
              <c:numCache>
                <c:formatCode>General</c:formatCode>
                <c:ptCount val="6"/>
                <c:pt idx="0">
                  <c:v>109.67399999999999</c:v>
                </c:pt>
                <c:pt idx="1">
                  <c:v>33.606999999999999</c:v>
                </c:pt>
                <c:pt idx="2">
                  <c:v>101</c:v>
                </c:pt>
                <c:pt idx="3">
                  <c:v>62.5</c:v>
                </c:pt>
                <c:pt idx="4">
                  <c:v>67.900000000000006</c:v>
                </c:pt>
                <c:pt idx="5">
                  <c:v>14.114999999999998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cat>
            <c:strRef>
              <c:f>工作量分布!$Q$109:$Q$114</c:f>
              <c:strCache>
                <c:ptCount val="6"/>
                <c:pt idx="0">
                  <c:v>需求分析</c:v>
                </c:pt>
                <c:pt idx="1">
                  <c:v>架构设计</c:v>
                </c:pt>
                <c:pt idx="2">
                  <c:v>快速设计</c:v>
                </c:pt>
                <c:pt idx="3">
                  <c:v>编码实现</c:v>
                </c:pt>
                <c:pt idx="4">
                  <c:v>迭代测试</c:v>
                </c:pt>
                <c:pt idx="5">
                  <c:v>迭代演示</c:v>
                </c:pt>
              </c:strCache>
            </c:strRef>
          </c:cat>
          <c:val>
            <c:numRef>
              <c:f>工作量分布!$R$109:$R$114</c:f>
              <c:numCache>
                <c:formatCode>0.00%</c:formatCode>
                <c:ptCount val="6"/>
                <c:pt idx="0">
                  <c:v>0.11413159418523122</c:v>
                </c:pt>
                <c:pt idx="1">
                  <c:v>0.14363137142218618</c:v>
                </c:pt>
                <c:pt idx="2">
                  <c:v>0.24077347392801651</c:v>
                </c:pt>
                <c:pt idx="3">
                  <c:v>0.14270123291242975</c:v>
                </c:pt>
                <c:pt idx="4">
                  <c:v>0.16281521212798489</c:v>
                </c:pt>
                <c:pt idx="5">
                  <c:v>0.15142297581029363</c:v>
                </c:pt>
              </c:numCache>
            </c:numRef>
          </c:val>
        </c:ser>
        <c:dLbls>
          <c:showLegendKey val="0"/>
          <c:showVal val="0"/>
          <c:showCatName val="0"/>
          <c:showSerName val="0"/>
          <c:showPercent val="0"/>
          <c:showBubbleSize val="0"/>
        </c:dLbls>
        <c:gapWidth val="150"/>
        <c:axId val="226915328"/>
        <c:axId val="226977472"/>
      </c:barChart>
      <c:catAx>
        <c:axId val="22691532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77472"/>
        <c:crosses val="autoZero"/>
        <c:auto val="1"/>
        <c:lblAlgn val="ctr"/>
        <c:lblOffset val="100"/>
        <c:noMultiLvlLbl val="0"/>
      </c:catAx>
      <c:valAx>
        <c:axId val="226977472"/>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153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迭代三阶段单位规模工作量的控制图</a:t>
            </a:r>
            <a:endParaRPr lang="en-US" altLang="zh-CN"/>
          </a:p>
        </c:rich>
      </c:tx>
      <c:overlay val="0"/>
    </c:title>
    <c:autoTitleDeleted val="0"/>
    <c:plotArea>
      <c:layout/>
      <c:lineChart>
        <c:grouping val="standard"/>
        <c:varyColors val="0"/>
        <c:ser>
          <c:idx val="0"/>
          <c:order val="0"/>
          <c:tx>
            <c:strRef>
              <c:f>工作量分布!$D$108</c:f>
              <c:strCache>
                <c:ptCount val="1"/>
                <c:pt idx="0">
                  <c:v>LOL</c:v>
                </c:pt>
              </c:strCache>
            </c:strRef>
          </c:tx>
          <c:val>
            <c:numRef>
              <c:f>工作量分布!$E$108:$J$108</c:f>
              <c:numCache>
                <c:formatCode>0.0000_ </c:formatCode>
                <c:ptCount val="6"/>
                <c:pt idx="0">
                  <c:v>0</c:v>
                </c:pt>
                <c:pt idx="1">
                  <c:v>1.5E-3</c:v>
                </c:pt>
                <c:pt idx="2">
                  <c:v>7.9474874860599995E-2</c:v>
                </c:pt>
                <c:pt idx="3">
                  <c:v>0.09</c:v>
                </c:pt>
                <c:pt idx="4">
                  <c:v>0.08</c:v>
                </c:pt>
                <c:pt idx="5">
                  <c:v>0</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1"/>
          <c:order val="1"/>
          <c:tx>
            <c:strRef>
              <c:f>工作量分布!$D$109</c:f>
              <c:strCache>
                <c:ptCount val="1"/>
                <c:pt idx="0">
                  <c:v>OL</c:v>
                </c:pt>
              </c:strCache>
            </c:strRef>
          </c:tx>
          <c:val>
            <c:numRef>
              <c:f>工作量分布!$E$109:$J$109</c:f>
              <c:numCache>
                <c:formatCode>0.0000_ </c:formatCode>
                <c:ptCount val="6"/>
                <c:pt idx="0">
                  <c:v>0.55000000000000004</c:v>
                </c:pt>
                <c:pt idx="1">
                  <c:v>0.34710524803163401</c:v>
                </c:pt>
                <c:pt idx="2">
                  <c:v>0.96250000000000002</c:v>
                </c:pt>
                <c:pt idx="3">
                  <c:v>0.80957050162269195</c:v>
                </c:pt>
                <c:pt idx="4">
                  <c:v>0.7</c:v>
                </c:pt>
                <c:pt idx="5">
                  <c:v>0.12920000000000001</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2"/>
          <c:order val="2"/>
          <c:tx>
            <c:strRef>
              <c:f>工作量分布!$D$110</c:f>
              <c:strCache>
                <c:ptCount val="1"/>
                <c:pt idx="0">
                  <c:v>UOL</c:v>
                </c:pt>
              </c:strCache>
            </c:strRef>
          </c:tx>
          <c:val>
            <c:numRef>
              <c:f>工作量分布!$E$110:$J$110</c:f>
              <c:numCache>
                <c:formatCode>0.0000_ </c:formatCode>
                <c:ptCount val="6"/>
                <c:pt idx="0">
                  <c:v>1.49306241508338</c:v>
                </c:pt>
                <c:pt idx="1">
                  <c:v>0.69269999999999998</c:v>
                </c:pt>
                <c:pt idx="2">
                  <c:v>1.8455251251394</c:v>
                </c:pt>
                <c:pt idx="3">
                  <c:v>1.5289999999999999</c:v>
                </c:pt>
                <c:pt idx="4">
                  <c:v>1.3</c:v>
                </c:pt>
                <c:pt idx="5">
                  <c:v>0.28420000000000001</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3"/>
          <c:order val="3"/>
          <c:tx>
            <c:strRef>
              <c:f>工作量分布!$D$111</c:f>
              <c:strCache>
                <c:ptCount val="1"/>
                <c:pt idx="0">
                  <c:v>项目数据</c:v>
                </c:pt>
              </c:strCache>
            </c:strRef>
          </c:tx>
          <c:val>
            <c:numRef>
              <c:f>工作量分布!$E$111:$J$111</c:f>
              <c:numCache>
                <c:formatCode>General</c:formatCode>
                <c:ptCount val="6"/>
                <c:pt idx="0">
                  <c:v>0.91394999999999993</c:v>
                </c:pt>
                <c:pt idx="1">
                  <c:v>0.26885599999999998</c:v>
                </c:pt>
                <c:pt idx="2">
                  <c:v>0.80800000000000005</c:v>
                </c:pt>
                <c:pt idx="3">
                  <c:v>0.54320000000000002</c:v>
                </c:pt>
                <c:pt idx="4">
                  <c:v>0.54320000000000002</c:v>
                </c:pt>
                <c:pt idx="5">
                  <c:v>0.11291999999999999</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dLbls>
          <c:showLegendKey val="0"/>
          <c:showVal val="0"/>
          <c:showCatName val="0"/>
          <c:showSerName val="0"/>
          <c:showPercent val="0"/>
          <c:showBubbleSize val="0"/>
        </c:dLbls>
        <c:marker val="1"/>
        <c:smooth val="0"/>
        <c:axId val="314688512"/>
        <c:axId val="226979200"/>
      </c:lineChart>
      <c:catAx>
        <c:axId val="314688512"/>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79200"/>
        <c:crosses val="autoZero"/>
        <c:auto val="1"/>
        <c:lblAlgn val="ctr"/>
        <c:lblOffset val="100"/>
        <c:noMultiLvlLbl val="0"/>
      </c:catAx>
      <c:valAx>
        <c:axId val="2269792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46885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迭代二</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工作量分布!$V$87:$V$91</c:f>
              <c:strCache>
                <c:ptCount val="5"/>
                <c:pt idx="0">
                  <c:v>工程活动</c:v>
                </c:pt>
                <c:pt idx="1">
                  <c:v>项目管理活动</c:v>
                </c:pt>
                <c:pt idx="2">
                  <c:v>配置管理活动</c:v>
                </c:pt>
                <c:pt idx="3">
                  <c:v>质量保证活动</c:v>
                </c:pt>
                <c:pt idx="4">
                  <c:v>其他（风险预留）</c:v>
                </c:pt>
              </c:strCache>
            </c:strRef>
          </c:cat>
          <c:val>
            <c:numRef>
              <c:f>工作量分布!$W$87:$W$91</c:f>
              <c:numCache>
                <c:formatCode>0%</c:formatCode>
                <c:ptCount val="5"/>
                <c:pt idx="0">
                  <c:v>0.72447103243680577</c:v>
                </c:pt>
                <c:pt idx="1">
                  <c:v>8.2599847990781378E-2</c:v>
                </c:pt>
                <c:pt idx="2">
                  <c:v>4.1299923995390689E-2</c:v>
                </c:pt>
                <c:pt idx="3">
                  <c:v>4.1299923995390689E-2</c:v>
                </c:pt>
                <c:pt idx="4">
                  <c:v>0.1103292715816314</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项目进度!$I$44:$I$46</c:f>
              <c:strCache>
                <c:ptCount val="3"/>
                <c:pt idx="0">
                  <c:v> 量级估算与预算估算偏差</c:v>
                </c:pt>
                <c:pt idx="1">
                  <c:v>预算估算与确定性估算偏差</c:v>
                </c:pt>
                <c:pt idx="2">
                  <c:v>预算估算与确定性偏差</c:v>
                </c:pt>
              </c:strCache>
            </c:strRef>
          </c:cat>
          <c:val>
            <c:numRef>
              <c:f>项目进度!$J$44:$J$46</c:f>
              <c:numCache>
                <c:formatCode>General</c:formatCode>
                <c:ptCount val="3"/>
                <c:pt idx="0" formatCode="0_ ">
                  <c:v>50</c:v>
                </c:pt>
                <c:pt idx="1">
                  <c:v>75</c:v>
                </c:pt>
                <c:pt idx="2">
                  <c:v>193.54838709677421</c:v>
                </c:pt>
              </c:numCache>
            </c:numRef>
          </c:val>
        </c:ser>
        <c:dLbls>
          <c:showLegendKey val="0"/>
          <c:showVal val="0"/>
          <c:showCatName val="0"/>
          <c:showSerName val="0"/>
          <c:showPercent val="0"/>
          <c:showBubbleSize val="0"/>
        </c:dLbls>
        <c:gapWidth val="150"/>
        <c:axId val="226915840"/>
        <c:axId val="226982656"/>
      </c:barChart>
      <c:catAx>
        <c:axId val="226915840"/>
        <c:scaling>
          <c:orientation val="minMax"/>
        </c:scaling>
        <c:delete val="1"/>
        <c:axPos val="b"/>
        <c:numFmt formatCode="General" sourceLinked="0"/>
        <c:majorTickMark val="out"/>
        <c:minorTickMark val="none"/>
        <c:tickLblPos val="nextTo"/>
        <c:crossAx val="226982656"/>
        <c:crosses val="autoZero"/>
        <c:auto val="1"/>
        <c:lblAlgn val="ctr"/>
        <c:lblOffset val="100"/>
        <c:noMultiLvlLbl val="0"/>
      </c:catAx>
      <c:valAx>
        <c:axId val="226982656"/>
        <c:scaling>
          <c:orientation val="minMax"/>
        </c:scaling>
        <c:delete val="0"/>
        <c:axPos val="l"/>
        <c:majorGridlines/>
        <c:numFmt formatCode="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1584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项目进度!$B$15</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项目进度!$B$16</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项目进度!$B$17</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项目进度!$A$13</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0.00%</c:formatCode>
                <c:ptCount val="5"/>
                <c:pt idx="0">
                  <c:v>2.2200000000000001E-2</c:v>
                </c:pt>
                <c:pt idx="1">
                  <c:v>8.1100000000000005E-2</c:v>
                </c:pt>
                <c:pt idx="2">
                  <c:v>3.56E-2</c:v>
                </c:pt>
                <c:pt idx="3">
                  <c:v>2.5499999999999998E-2</c:v>
                </c:pt>
                <c:pt idx="4">
                  <c:v>0</c:v>
                </c:pt>
              </c:numCache>
            </c:numRef>
          </c:val>
          <c:smooth val="0"/>
        </c:ser>
        <c:dLbls>
          <c:showLegendKey val="0"/>
          <c:showVal val="0"/>
          <c:showCatName val="0"/>
          <c:showSerName val="0"/>
          <c:showPercent val="0"/>
          <c:showBubbleSize val="0"/>
        </c:dLbls>
        <c:marker val="1"/>
        <c:smooth val="0"/>
        <c:axId val="226917888"/>
        <c:axId val="261186112"/>
      </c:lineChart>
      <c:catAx>
        <c:axId val="22691788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1186112"/>
        <c:crosses val="autoZero"/>
        <c:auto val="1"/>
        <c:lblAlgn val="ctr"/>
        <c:lblOffset val="100"/>
        <c:noMultiLvlLbl val="0"/>
      </c:catAx>
      <c:valAx>
        <c:axId val="261186112"/>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269178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3"/>
                <c:pt idx="0">
                  <c:v>第1次评审</c:v>
                </c:pt>
                <c:pt idx="1">
                  <c:v>第2次评审</c:v>
                </c:pt>
                <c:pt idx="2">
                  <c:v>第3次评审</c:v>
                </c:pt>
              </c:strCache>
            </c:strRef>
          </c:cat>
          <c:val>
            <c:numRef>
              <c:f>[0]!客户需求评审缺陷密度的下限</c:f>
              <c:numCache>
                <c:formatCode>0.0000_ </c:formatCode>
                <c:ptCount val="3"/>
                <c:pt idx="0">
                  <c:v>0</c:v>
                </c:pt>
                <c:pt idx="1">
                  <c:v>0</c:v>
                </c:pt>
                <c:pt idx="2">
                  <c:v>0</c:v>
                </c:pt>
              </c:numCache>
            </c:numRef>
          </c:val>
          <c:smooth val="0"/>
        </c:ser>
        <c:ser>
          <c:idx val="1"/>
          <c:order val="1"/>
          <c:tx>
            <c:strRef>
              <c:f>过程产出缺陷度量!$M$6</c:f>
              <c:strCache>
                <c:ptCount val="1"/>
                <c:pt idx="0">
                  <c:v>OL</c:v>
                </c:pt>
              </c:strCache>
            </c:strRef>
          </c:tx>
          <c:cat>
            <c:strRef>
              <c:f>[0]!客户需求评审次数</c:f>
              <c:strCache>
                <c:ptCount val="3"/>
                <c:pt idx="0">
                  <c:v>第1次评审</c:v>
                </c:pt>
                <c:pt idx="1">
                  <c:v>第2次评审</c:v>
                </c:pt>
                <c:pt idx="2">
                  <c:v>第3次评审</c:v>
                </c:pt>
              </c:strCache>
            </c:strRef>
          </c:cat>
          <c:val>
            <c:numRef>
              <c:f>[0]!客户需求评审缺陷密度的均值</c:f>
              <c:numCache>
                <c:formatCode>0.0000_ </c:formatCode>
                <c:ptCount val="3"/>
                <c:pt idx="0">
                  <c:v>0.3075</c:v>
                </c:pt>
                <c:pt idx="1">
                  <c:v>0.3075</c:v>
                </c:pt>
                <c:pt idx="2">
                  <c:v>0.3075</c:v>
                </c:pt>
              </c:numCache>
            </c:numRef>
          </c:val>
          <c:smooth val="0"/>
        </c:ser>
        <c:ser>
          <c:idx val="2"/>
          <c:order val="2"/>
          <c:tx>
            <c:strRef>
              <c:f>过程产出缺陷度量!$N$6</c:f>
              <c:strCache>
                <c:ptCount val="1"/>
                <c:pt idx="0">
                  <c:v>UOL</c:v>
                </c:pt>
              </c:strCache>
            </c:strRef>
          </c:tx>
          <c:cat>
            <c:strRef>
              <c:f>[0]!客户需求评审次数</c:f>
              <c:strCache>
                <c:ptCount val="3"/>
                <c:pt idx="0">
                  <c:v>第1次评审</c:v>
                </c:pt>
                <c:pt idx="1">
                  <c:v>第2次评审</c:v>
                </c:pt>
                <c:pt idx="2">
                  <c:v>第3次评审</c:v>
                </c:pt>
              </c:strCache>
            </c:strRef>
          </c:cat>
          <c:val>
            <c:numRef>
              <c:f>[0]!客户需求评审缺陷密度的上限</c:f>
              <c:numCache>
                <c:formatCode>0.0000_ </c:formatCode>
                <c:ptCount val="3"/>
                <c:pt idx="0">
                  <c:v>0.65469999999999995</c:v>
                </c:pt>
                <c:pt idx="1">
                  <c:v>0.65469999999999995</c:v>
                </c:pt>
                <c:pt idx="2">
                  <c:v>0.65469999999999995</c:v>
                </c:pt>
              </c:numCache>
            </c:numRef>
          </c:val>
          <c:smooth val="0"/>
        </c:ser>
        <c:ser>
          <c:idx val="3"/>
          <c:order val="3"/>
          <c:tx>
            <c:v>项目数据</c:v>
          </c:tx>
          <c:cat>
            <c:strRef>
              <c:f>[0]!客户需求评审次数</c:f>
              <c:strCache>
                <c:ptCount val="3"/>
                <c:pt idx="0">
                  <c:v>第1次评审</c:v>
                </c:pt>
                <c:pt idx="1">
                  <c:v>第2次评审</c:v>
                </c:pt>
                <c:pt idx="2">
                  <c:v>第3次评审</c:v>
                </c:pt>
              </c:strCache>
            </c:strRef>
          </c:cat>
          <c:val>
            <c:numRef>
              <c:f>[0]!客户需求评审缺陷密度</c:f>
              <c:numCache>
                <c:formatCode>0.000_ </c:formatCode>
                <c:ptCount val="3"/>
                <c:pt idx="0">
                  <c:v>0.625</c:v>
                </c:pt>
                <c:pt idx="1">
                  <c:v>0.46666666666666667</c:v>
                </c:pt>
                <c:pt idx="2">
                  <c:v>0</c:v>
                </c:pt>
              </c:numCache>
            </c:numRef>
          </c:val>
          <c:smooth val="0"/>
        </c:ser>
        <c:dLbls>
          <c:showLegendKey val="0"/>
          <c:showVal val="0"/>
          <c:showCatName val="0"/>
          <c:showSerName val="0"/>
          <c:showPercent val="0"/>
          <c:showBubbleSize val="0"/>
        </c:dLbls>
        <c:marker val="1"/>
        <c:smooth val="0"/>
        <c:axId val="265242112"/>
        <c:axId val="261189568"/>
      </c:lineChart>
      <c:catAx>
        <c:axId val="26524211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1189568"/>
        <c:crosses val="autoZero"/>
        <c:auto val="1"/>
        <c:lblAlgn val="ctr"/>
        <c:lblOffset val="100"/>
        <c:noMultiLvlLbl val="0"/>
      </c:catAx>
      <c:valAx>
        <c:axId val="26118956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2421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过程产出缺陷度量!$L$30</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过程产出缺陷度量!$M$30</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过程产出缺陷度量!$N$30</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0.53333333333333333</c:v>
                </c:pt>
                <c:pt idx="1">
                  <c:v>0.52631578947368418</c:v>
                </c:pt>
                <c:pt idx="2">
                  <c:v>0.5</c:v>
                </c:pt>
              </c:numCache>
            </c:numRef>
          </c:val>
          <c:smooth val="0"/>
        </c:ser>
        <c:dLbls>
          <c:showLegendKey val="0"/>
          <c:showVal val="0"/>
          <c:showCatName val="0"/>
          <c:showSerName val="0"/>
          <c:showPercent val="0"/>
          <c:showBubbleSize val="0"/>
        </c:dLbls>
        <c:marker val="1"/>
        <c:smooth val="0"/>
        <c:axId val="265243648"/>
        <c:axId val="261191872"/>
      </c:lineChart>
      <c:catAx>
        <c:axId val="26524364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1191872"/>
        <c:crosses val="autoZero"/>
        <c:auto val="1"/>
        <c:lblAlgn val="ctr"/>
        <c:lblOffset val="100"/>
        <c:noMultiLvlLbl val="0"/>
      </c:catAx>
      <c:valAx>
        <c:axId val="26119187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24364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过程产出缺陷度量!$L$56</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过程产出缺陷度量!$M$56</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过程产出缺陷度量!$N$56</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0.53333333333333333</c:v>
                </c:pt>
                <c:pt idx="1">
                  <c:v>0.6</c:v>
                </c:pt>
                <c:pt idx="2">
                  <c:v>0.6</c:v>
                </c:pt>
              </c:numCache>
            </c:numRef>
          </c:val>
          <c:smooth val="0"/>
        </c:ser>
        <c:dLbls>
          <c:showLegendKey val="0"/>
          <c:showVal val="0"/>
          <c:showCatName val="0"/>
          <c:showSerName val="0"/>
          <c:showPercent val="0"/>
          <c:showBubbleSize val="0"/>
        </c:dLbls>
        <c:marker val="1"/>
        <c:smooth val="0"/>
        <c:axId val="265605120"/>
        <c:axId val="262111808"/>
      </c:lineChart>
      <c:catAx>
        <c:axId val="26560512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111808"/>
        <c:crosses val="autoZero"/>
        <c:auto val="1"/>
        <c:lblAlgn val="ctr"/>
        <c:lblOffset val="100"/>
        <c:noMultiLvlLbl val="0"/>
      </c:catAx>
      <c:valAx>
        <c:axId val="2621118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6051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过程产出缺陷度量!$L$83</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过程产出缺陷度量!$M$83</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过程产出缺陷度量!$N$83</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6.8333333333333329E-2</c:v>
                </c:pt>
                <c:pt idx="1">
                  <c:v>7.9411764705882348E-2</c:v>
                </c:pt>
                <c:pt idx="2">
                  <c:v>7.3333333333333334E-2</c:v>
                </c:pt>
              </c:numCache>
            </c:numRef>
          </c:val>
          <c:smooth val="0"/>
        </c:ser>
        <c:dLbls>
          <c:showLegendKey val="0"/>
          <c:showVal val="0"/>
          <c:showCatName val="0"/>
          <c:showSerName val="0"/>
          <c:showPercent val="0"/>
          <c:showBubbleSize val="0"/>
        </c:dLbls>
        <c:marker val="1"/>
        <c:smooth val="0"/>
        <c:axId val="265606656"/>
        <c:axId val="262114112"/>
      </c:lineChart>
      <c:catAx>
        <c:axId val="26560665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114112"/>
        <c:crosses val="autoZero"/>
        <c:auto val="1"/>
        <c:lblAlgn val="ctr"/>
        <c:lblOffset val="100"/>
        <c:noMultiLvlLbl val="0"/>
      </c:catAx>
      <c:valAx>
        <c:axId val="2621141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6066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过程产出缺陷度量!$L$108</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过程产出缺陷度量!$M$108</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过程产出缺陷度量!$N$108</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0.65790273556231005</c:v>
                </c:pt>
                <c:pt idx="1">
                  <c:v>0.65790273556231005</c:v>
                </c:pt>
                <c:pt idx="2">
                  <c:v>0.65790273556231005</c:v>
                </c:pt>
                <c:pt idx="3">
                  <c:v>0.65790273556231005</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0.21249999999999999</c:v>
                </c:pt>
                <c:pt idx="1">
                  <c:v>0.12</c:v>
                </c:pt>
                <c:pt idx="2">
                  <c:v>0.56000000000000005</c:v>
                </c:pt>
                <c:pt idx="3">
                  <c:v>0.5</c:v>
                </c:pt>
              </c:numCache>
            </c:numRef>
          </c:val>
          <c:smooth val="0"/>
        </c:ser>
        <c:dLbls>
          <c:showLegendKey val="0"/>
          <c:showVal val="0"/>
          <c:showCatName val="0"/>
          <c:showSerName val="0"/>
          <c:showPercent val="0"/>
          <c:showBubbleSize val="0"/>
        </c:dLbls>
        <c:marker val="1"/>
        <c:smooth val="0"/>
        <c:axId val="265608704"/>
        <c:axId val="262116416"/>
      </c:lineChart>
      <c:catAx>
        <c:axId val="26560870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2116416"/>
        <c:crosses val="autoZero"/>
        <c:auto val="1"/>
        <c:lblAlgn val="ctr"/>
        <c:lblOffset val="100"/>
        <c:noMultiLvlLbl val="0"/>
      </c:catAx>
      <c:valAx>
        <c:axId val="26211641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656087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strRef>
              <c:f>测试及验收缺陷度量!$B$69:$B$72</c:f>
              <c:strCache>
                <c:ptCount val="4"/>
                <c:pt idx="0">
                  <c:v>需求阶段</c:v>
                </c:pt>
                <c:pt idx="1">
                  <c:v>设计阶段</c:v>
                </c:pt>
                <c:pt idx="2">
                  <c:v>编码阶段</c:v>
                </c:pt>
                <c:pt idx="3">
                  <c:v>其它</c:v>
                </c:pt>
              </c:strCache>
            </c:strRef>
          </c:cat>
          <c:val>
            <c:numRef>
              <c:f>测试及验收缺陷度量!$C$69:$C$72</c:f>
              <c:numCache>
                <c:formatCode>General</c:formatCode>
                <c:ptCount val="4"/>
                <c:pt idx="0">
                  <c:v>1</c:v>
                </c:pt>
                <c:pt idx="1">
                  <c:v>10</c:v>
                </c:pt>
                <c:pt idx="2">
                  <c:v>3</c:v>
                </c:pt>
                <c:pt idx="3">
                  <c:v>0</c:v>
                </c:pt>
              </c:numCache>
            </c:numRef>
          </c:val>
        </c:ser>
        <c:dLbls>
          <c:showLegendKey val="0"/>
          <c:showVal val="0"/>
          <c:showCatName val="0"/>
          <c:showSerName val="0"/>
          <c:showPercent val="0"/>
          <c:showBubbleSize val="0"/>
        </c:dLbls>
        <c:gapWidth val="150"/>
        <c:axId val="271102464"/>
        <c:axId val="270928128"/>
      </c:barChart>
      <c:catAx>
        <c:axId val="27110246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28128"/>
        <c:crosses val="autoZero"/>
        <c:auto val="1"/>
        <c:lblAlgn val="ctr"/>
        <c:lblOffset val="100"/>
        <c:noMultiLvlLbl val="0"/>
      </c:catAx>
      <c:valAx>
        <c:axId val="2709281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11024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测试及验收缺陷度量!$B$79:$B$83</c:f>
              <c:strCache>
                <c:ptCount val="5"/>
                <c:pt idx="0">
                  <c:v>页面</c:v>
                </c:pt>
                <c:pt idx="1">
                  <c:v>脚本</c:v>
                </c:pt>
                <c:pt idx="2">
                  <c:v>后台代码</c:v>
                </c:pt>
                <c:pt idx="3">
                  <c:v>运行环境</c:v>
                </c:pt>
                <c:pt idx="4">
                  <c:v>其它</c:v>
                </c:pt>
              </c:strCache>
            </c:strRef>
          </c:cat>
          <c:val>
            <c:numRef>
              <c:f>测试及验收缺陷度量!$C$79:$C$83</c:f>
              <c:numCache>
                <c:formatCode>General</c:formatCode>
                <c:ptCount val="5"/>
                <c:pt idx="0">
                  <c:v>1</c:v>
                </c:pt>
                <c:pt idx="1">
                  <c:v>10</c:v>
                </c:pt>
                <c:pt idx="2">
                  <c:v>3</c:v>
                </c:pt>
                <c:pt idx="3">
                  <c:v>10</c:v>
                </c:pt>
                <c:pt idx="4">
                  <c:v>2</c:v>
                </c:pt>
              </c:numCache>
            </c:numRef>
          </c:val>
        </c:ser>
        <c:dLbls>
          <c:showLegendKey val="0"/>
          <c:showVal val="0"/>
          <c:showCatName val="0"/>
          <c:showSerName val="0"/>
          <c:showPercent val="0"/>
          <c:showBubbleSize val="0"/>
        </c:dLbls>
        <c:gapWidth val="150"/>
        <c:axId val="271103488"/>
        <c:axId val="270929856"/>
      </c:barChart>
      <c:catAx>
        <c:axId val="2711034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29856"/>
        <c:crosses val="autoZero"/>
        <c:auto val="1"/>
        <c:lblAlgn val="ctr"/>
        <c:lblOffset val="100"/>
        <c:noMultiLvlLbl val="0"/>
      </c:catAx>
      <c:valAx>
        <c:axId val="27092985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11034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测试及验收缺陷度量!$B$91:$B$97</c:f>
              <c:strCache>
                <c:ptCount val="7"/>
                <c:pt idx="0">
                  <c:v>需求方面</c:v>
                </c:pt>
                <c:pt idx="1">
                  <c:v>界面错误</c:v>
                </c:pt>
                <c:pt idx="2">
                  <c:v>功能性错误</c:v>
                </c:pt>
                <c:pt idx="3">
                  <c:v>数据源错误</c:v>
                </c:pt>
                <c:pt idx="4">
                  <c:v>性能方面</c:v>
                </c:pt>
                <c:pt idx="5">
                  <c:v>接口问题</c:v>
                </c:pt>
                <c:pt idx="6">
                  <c:v>辅助工具</c:v>
                </c:pt>
              </c:strCache>
            </c:strRef>
          </c:cat>
          <c:val>
            <c:numRef>
              <c:f>测试及验收缺陷度量!$C$91:$C$97</c:f>
              <c:numCache>
                <c:formatCode>General</c:formatCode>
                <c:ptCount val="7"/>
                <c:pt idx="0">
                  <c:v>1</c:v>
                </c:pt>
                <c:pt idx="1">
                  <c:v>3</c:v>
                </c:pt>
                <c:pt idx="2">
                  <c:v>4</c:v>
                </c:pt>
                <c:pt idx="3">
                  <c:v>5</c:v>
                </c:pt>
                <c:pt idx="4">
                  <c:v>9</c:v>
                </c:pt>
                <c:pt idx="5">
                  <c:v>10</c:v>
                </c:pt>
                <c:pt idx="6">
                  <c:v>12</c:v>
                </c:pt>
              </c:numCache>
            </c:numRef>
          </c:val>
        </c:ser>
        <c:dLbls>
          <c:showLegendKey val="0"/>
          <c:showVal val="0"/>
          <c:showCatName val="0"/>
          <c:showSerName val="0"/>
          <c:showPercent val="0"/>
          <c:showBubbleSize val="0"/>
        </c:dLbls>
        <c:gapWidth val="150"/>
        <c:axId val="271105024"/>
        <c:axId val="270931584"/>
      </c:barChart>
      <c:catAx>
        <c:axId val="2711050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31584"/>
        <c:crosses val="autoZero"/>
        <c:auto val="1"/>
        <c:lblAlgn val="ctr"/>
        <c:lblOffset val="100"/>
        <c:noMultiLvlLbl val="0"/>
      </c:catAx>
      <c:valAx>
        <c:axId val="27093158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1105024"/>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v>项目数据</c:v>
          </c:tx>
          <c:cat>
            <c:strRef>
              <c:f>(测试及验收缺陷度量!$A$11:$A$14,测试及验收缺陷度量!$A$22:$A$25,测试及验收缺陷度量!$A$33:$A$36)</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(测试及验收缺陷度量!$K$11:$K$14,测试及验收缺陷度量!$K$22:$K$25,测试及验收缺陷度量!$K$33:$K$36)</c:f>
              <c:numCache>
                <c:formatCode>0.000_);[Red]\(0.000\)</c:formatCode>
                <c:ptCount val="12"/>
                <c:pt idx="0">
                  <c:v>0.93</c:v>
                </c:pt>
                <c:pt idx="1">
                  <c:v>0.78714285714285714</c:v>
                </c:pt>
                <c:pt idx="2">
                  <c:v>0.24125000000000002</c:v>
                </c:pt>
                <c:pt idx="3">
                  <c:v>0.2</c:v>
                </c:pt>
                <c:pt idx="4">
                  <c:v>0.93</c:v>
                </c:pt>
                <c:pt idx="5">
                  <c:v>0.78714285714285714</c:v>
                </c:pt>
                <c:pt idx="6">
                  <c:v>0.24125000000000002</c:v>
                </c:pt>
                <c:pt idx="7">
                  <c:v>0.2</c:v>
                </c:pt>
                <c:pt idx="8">
                  <c:v>0.93</c:v>
                </c:pt>
                <c:pt idx="9">
                  <c:v>0.78714285714285714</c:v>
                </c:pt>
                <c:pt idx="10">
                  <c:v>0.24125000000000002</c:v>
                </c:pt>
                <c:pt idx="11">
                  <c:v>0.2</c:v>
                </c:pt>
              </c:numCache>
            </c:numRef>
          </c:val>
          <c:smooth val="0"/>
        </c:ser>
        <c:ser>
          <c:idx val="1"/>
          <c:order val="1"/>
          <c:tx>
            <c:v>LOL</c:v>
          </c:tx>
          <c:cat>
            <c:strRef>
              <c:f>(测试及验收缺陷度量!$A$11:$A$14,测试及验收缺陷度量!$A$22:$A$25,测试及验收缺陷度量!$A$33:$A$36)</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(测试及验收缺陷度量!$L$11:$L$14,测试及验收缺陷度量!$L$22:$L$25,测试及验收缺陷度量!$L$33:$L$36)</c:f>
              <c:numCache>
                <c:formatCode>0.0000_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2"/>
          <c:order val="2"/>
          <c:tx>
            <c:v>OL</c:v>
          </c:tx>
          <c:cat>
            <c:strRef>
              <c:f>(测试及验收缺陷度量!$A$11:$A$14,测试及验收缺陷度量!$A$22:$A$25,测试及验收缺陷度量!$A$33:$A$36)</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(测试及验收缺陷度量!$M$11:$M$14,测试及验收缺陷度量!$M$22:$M$25,测试及验收缺陷度量!$M$33:$M$36)</c:f>
              <c:numCache>
                <c:formatCode>0.0000_ </c:formatCode>
                <c:ptCount val="12"/>
                <c:pt idx="0">
                  <c:v>0.51200000000000001</c:v>
                </c:pt>
                <c:pt idx="1">
                  <c:v>0.51200000000000001</c:v>
                </c:pt>
                <c:pt idx="2">
                  <c:v>0.51200000000000001</c:v>
                </c:pt>
                <c:pt idx="3">
                  <c:v>0.51200000000000001</c:v>
                </c:pt>
                <c:pt idx="4">
                  <c:v>0.51200000000000001</c:v>
                </c:pt>
                <c:pt idx="5">
                  <c:v>0.51200000000000001</c:v>
                </c:pt>
                <c:pt idx="6">
                  <c:v>0.51200000000000001</c:v>
                </c:pt>
                <c:pt idx="7">
                  <c:v>0.51200000000000001</c:v>
                </c:pt>
                <c:pt idx="8">
                  <c:v>0.51200000000000001</c:v>
                </c:pt>
                <c:pt idx="9">
                  <c:v>0.51200000000000001</c:v>
                </c:pt>
                <c:pt idx="10">
                  <c:v>0.51200000000000001</c:v>
                </c:pt>
                <c:pt idx="11">
                  <c:v>0.51200000000000001</c:v>
                </c:pt>
              </c:numCache>
            </c:numRef>
          </c:val>
          <c:smooth val="0"/>
        </c:ser>
        <c:ser>
          <c:idx val="3"/>
          <c:order val="3"/>
          <c:tx>
            <c:v>UOL</c:v>
          </c:tx>
          <c:cat>
            <c:strRef>
              <c:f>(测试及验收缺陷度量!$A$11:$A$14,测试及验收缺陷度量!$A$22:$A$25,测试及验收缺陷度量!$A$33:$A$36)</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(测试及验收缺陷度量!$N$11:$N$14,测试及验收缺陷度量!$N$22:$N$25,测试及验收缺陷度量!$N$33:$N$36)</c:f>
              <c:numCache>
                <c:formatCode>0.0000_ </c:formatCode>
                <c:ptCount val="12"/>
                <c:pt idx="0">
                  <c:v>1.452</c:v>
                </c:pt>
                <c:pt idx="1">
                  <c:v>1.452</c:v>
                </c:pt>
                <c:pt idx="2">
                  <c:v>1.452</c:v>
                </c:pt>
                <c:pt idx="3">
                  <c:v>1.452</c:v>
                </c:pt>
                <c:pt idx="4">
                  <c:v>1.452</c:v>
                </c:pt>
                <c:pt idx="5">
                  <c:v>1.452</c:v>
                </c:pt>
                <c:pt idx="6">
                  <c:v>1.452</c:v>
                </c:pt>
                <c:pt idx="7">
                  <c:v>1.452</c:v>
                </c:pt>
                <c:pt idx="8">
                  <c:v>1.452</c:v>
                </c:pt>
                <c:pt idx="9">
                  <c:v>1.452</c:v>
                </c:pt>
                <c:pt idx="10">
                  <c:v>1.452</c:v>
                </c:pt>
                <c:pt idx="11">
                  <c:v>1.452</c:v>
                </c:pt>
              </c:numCache>
            </c:numRef>
          </c:val>
          <c:smooth val="0"/>
        </c:ser>
        <c:dLbls>
          <c:showLegendKey val="0"/>
          <c:showVal val="0"/>
          <c:showCatName val="0"/>
          <c:showSerName val="0"/>
          <c:showPercent val="0"/>
          <c:showBubbleSize val="0"/>
        </c:dLbls>
        <c:marker val="1"/>
        <c:smooth val="0"/>
        <c:axId val="271105536"/>
        <c:axId val="270933312"/>
      </c:lineChart>
      <c:catAx>
        <c:axId val="27110553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33312"/>
        <c:crosses val="autoZero"/>
        <c:auto val="1"/>
        <c:lblAlgn val="ctr"/>
        <c:lblOffset val="100"/>
        <c:noMultiLvlLbl val="0"/>
      </c:catAx>
      <c:valAx>
        <c:axId val="270933312"/>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11055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迭代一测试加权缺陷密度的控制图</a:t>
            </a:r>
            <a:endParaRPr lang="en-US" altLang="zh-CN" sz="1400"/>
          </a:p>
        </c:rich>
      </c:tx>
      <c:overlay val="0"/>
    </c:title>
    <c:autoTitleDeleted val="0"/>
    <c:plotArea>
      <c:layout/>
      <c:lineChart>
        <c:grouping val="standard"/>
        <c:varyColors val="0"/>
        <c:ser>
          <c:idx val="0"/>
          <c:order val="0"/>
          <c:tx>
            <c:v>项目数据</c:v>
          </c:tx>
          <c:cat>
            <c:strRef>
              <c:f>测试及验收缺陷度量!$A$11:$A$14</c:f>
              <c:strCache>
                <c:ptCount val="4"/>
                <c:pt idx="0">
                  <c:v>S1测试第1轮</c:v>
                </c:pt>
                <c:pt idx="1">
                  <c:v>S1测试第2轮</c:v>
                </c:pt>
                <c:pt idx="2">
                  <c:v>S1测试第3轮</c:v>
                </c:pt>
                <c:pt idx="3">
                  <c:v>S1测试第4轮</c:v>
                </c:pt>
              </c:strCache>
            </c:strRef>
          </c:cat>
          <c:val>
            <c:numRef>
              <c:f>测试及验收缺陷度量!$K$11:$K$14</c:f>
              <c:numCache>
                <c:formatCode>0.000_);[Red]\(0.000\)</c:formatCode>
                <c:ptCount val="4"/>
                <c:pt idx="0">
                  <c:v>0.93</c:v>
                </c:pt>
                <c:pt idx="1">
                  <c:v>0.78714285714285714</c:v>
                </c:pt>
                <c:pt idx="2">
                  <c:v>0.24125000000000002</c:v>
                </c:pt>
                <c:pt idx="3">
                  <c:v>0.2</c:v>
                </c:pt>
              </c:numCache>
            </c:numRef>
          </c:val>
          <c:smooth val="0"/>
        </c:ser>
        <c:ser>
          <c:idx val="1"/>
          <c:order val="1"/>
          <c:tx>
            <c:v>LOL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测试及验收缺陷度量!$L$11:$L$14</c:f>
              <c:numCache>
                <c:formatCode>0.0000_ </c:formatCode>
                <c:ptCount val="4"/>
                <c:pt idx="0">
                  <c:v>0</c:v>
                </c:pt>
                <c:pt idx="1">
                  <c:v>0</c:v>
                </c:pt>
                <c:pt idx="2">
                  <c:v>0</c:v>
                </c:pt>
                <c:pt idx="3">
                  <c:v>0</c:v>
                </c:pt>
              </c:numCache>
            </c:numRef>
          </c:val>
          <c:smooth val="0"/>
        </c:ser>
        <c:ser>
          <c:idx val="2"/>
          <c:order val="2"/>
          <c:tx>
            <c:v>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测试及验收缺陷度量!$M$11:$M$14</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测试及验收缺陷度量!$N$11:$N$14</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281551360"/>
        <c:axId val="270984896"/>
      </c:lineChart>
      <c:catAx>
        <c:axId val="2815513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84896"/>
        <c:crosses val="autoZero"/>
        <c:auto val="1"/>
        <c:lblAlgn val="ctr"/>
        <c:lblOffset val="100"/>
        <c:noMultiLvlLbl val="0"/>
      </c:catAx>
      <c:valAx>
        <c:axId val="270984896"/>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5513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迭代二测试加权缺陷密度的控制图</a:t>
            </a:r>
            <a:endParaRPr lang="en-US" altLang="zh-CN" sz="1400"/>
          </a:p>
        </c:rich>
      </c:tx>
      <c:overlay val="0"/>
    </c:title>
    <c:autoTitleDeleted val="0"/>
    <c:plotArea>
      <c:layout/>
      <c:lineChart>
        <c:grouping val="standard"/>
        <c:varyColors val="0"/>
        <c:ser>
          <c:idx val="0"/>
          <c:order val="0"/>
          <c:tx>
            <c:v>项目数据</c:v>
          </c:tx>
          <c:cat>
            <c:strRef>
              <c:f>测试及验收缺陷度量!$A$22:$A$25</c:f>
              <c:strCache>
                <c:ptCount val="4"/>
                <c:pt idx="0">
                  <c:v>S2测试第1轮</c:v>
                </c:pt>
                <c:pt idx="1">
                  <c:v>S2测试第2轮</c:v>
                </c:pt>
                <c:pt idx="2">
                  <c:v>S2测试第3轮</c:v>
                </c:pt>
                <c:pt idx="3">
                  <c:v>S2测试第4轮</c:v>
                </c:pt>
              </c:strCache>
            </c:strRef>
          </c:cat>
          <c:val>
            <c:numRef>
              <c:f>测试及验收缺陷度量!$K$22:$K$25</c:f>
              <c:numCache>
                <c:formatCode>0.000_);[Red]\(0.000\)</c:formatCode>
                <c:ptCount val="4"/>
                <c:pt idx="0">
                  <c:v>0.93</c:v>
                </c:pt>
                <c:pt idx="1">
                  <c:v>0.78714285714285714</c:v>
                </c:pt>
                <c:pt idx="2">
                  <c:v>0.24125000000000002</c:v>
                </c:pt>
                <c:pt idx="3">
                  <c:v>0.2</c:v>
                </c:pt>
              </c:numCache>
            </c:numRef>
          </c:val>
          <c:smooth val="0"/>
        </c:ser>
        <c:ser>
          <c:idx val="1"/>
          <c:order val="1"/>
          <c:tx>
            <c:v>LOL</c:v>
          </c:tx>
          <c:cat>
            <c:strRef>
              <c:f>测试及验收缺陷度量!$A$22:$A$25</c:f>
              <c:strCache>
                <c:ptCount val="4"/>
                <c:pt idx="0">
                  <c:v>S2测试第1轮</c:v>
                </c:pt>
                <c:pt idx="1">
                  <c:v>S2测试第2轮</c:v>
                </c:pt>
                <c:pt idx="2">
                  <c:v>S2测试第3轮</c:v>
                </c:pt>
                <c:pt idx="3">
                  <c:v>S2测试第4轮</c:v>
                </c:pt>
              </c:strCache>
            </c:strRef>
          </c:cat>
          <c:val>
            <c:numRef>
              <c:f>测试及验收缺陷度量!$L$22:$L$25</c:f>
              <c:numCache>
                <c:formatCode>0.0000_ </c:formatCode>
                <c:ptCount val="4"/>
                <c:pt idx="0">
                  <c:v>0</c:v>
                </c:pt>
                <c:pt idx="1">
                  <c:v>0</c:v>
                </c:pt>
                <c:pt idx="2">
                  <c:v>0</c:v>
                </c:pt>
                <c:pt idx="3">
                  <c:v>0</c:v>
                </c:pt>
              </c:numCache>
            </c:numRef>
          </c:val>
          <c:smooth val="0"/>
        </c:ser>
        <c:ser>
          <c:idx val="2"/>
          <c:order val="2"/>
          <c:tx>
            <c:v>OL</c:v>
          </c:tx>
          <c:cat>
            <c:strRef>
              <c:f>测试及验收缺陷度量!$A$22:$A$25</c:f>
              <c:strCache>
                <c:ptCount val="4"/>
                <c:pt idx="0">
                  <c:v>S2测试第1轮</c:v>
                </c:pt>
                <c:pt idx="1">
                  <c:v>S2测试第2轮</c:v>
                </c:pt>
                <c:pt idx="2">
                  <c:v>S2测试第3轮</c:v>
                </c:pt>
                <c:pt idx="3">
                  <c:v>S2测试第4轮</c:v>
                </c:pt>
              </c:strCache>
            </c:strRef>
          </c:cat>
          <c:val>
            <c:numRef>
              <c:f>测试及验收缺陷度量!$M$22:$M$25</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测试及验收缺陷度量!$A$22:$A$25</c:f>
              <c:strCache>
                <c:ptCount val="4"/>
                <c:pt idx="0">
                  <c:v>S2测试第1轮</c:v>
                </c:pt>
                <c:pt idx="1">
                  <c:v>S2测试第2轮</c:v>
                </c:pt>
                <c:pt idx="2">
                  <c:v>S2测试第3轮</c:v>
                </c:pt>
                <c:pt idx="3">
                  <c:v>S2测试第4轮</c:v>
                </c:pt>
              </c:strCache>
            </c:strRef>
          </c:cat>
          <c:val>
            <c:numRef>
              <c:f>测试及验收缺陷度量!$N$22:$N$25</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281552384"/>
        <c:axId val="270988352"/>
      </c:lineChart>
      <c:catAx>
        <c:axId val="28155238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88352"/>
        <c:crosses val="autoZero"/>
        <c:auto val="1"/>
        <c:lblAlgn val="ctr"/>
        <c:lblOffset val="100"/>
        <c:noMultiLvlLbl val="0"/>
      </c:catAx>
      <c:valAx>
        <c:axId val="270988352"/>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55238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迭代三测试加权缺陷密度的控制图</a:t>
            </a:r>
            <a:endParaRPr lang="en-US" altLang="zh-CN" sz="1400"/>
          </a:p>
        </c:rich>
      </c:tx>
      <c:overlay val="0"/>
    </c:title>
    <c:autoTitleDeleted val="0"/>
    <c:plotArea>
      <c:layout/>
      <c:lineChart>
        <c:grouping val="standard"/>
        <c:varyColors val="0"/>
        <c:ser>
          <c:idx val="0"/>
          <c:order val="0"/>
          <c:tx>
            <c:v>项目数据</c:v>
          </c:tx>
          <c:cat>
            <c:strRef>
              <c:f>测试及验收缺陷度量!$A$33:$A$36</c:f>
              <c:strCache>
                <c:ptCount val="4"/>
                <c:pt idx="0">
                  <c:v>S3测试第1轮</c:v>
                </c:pt>
                <c:pt idx="1">
                  <c:v>S3测试第2轮</c:v>
                </c:pt>
                <c:pt idx="2">
                  <c:v>S3测试第3轮</c:v>
                </c:pt>
                <c:pt idx="3">
                  <c:v>S3测试第4轮</c:v>
                </c:pt>
              </c:strCache>
            </c:strRef>
          </c:cat>
          <c:val>
            <c:numRef>
              <c:f>测试及验收缺陷度量!$K$33:$K$36</c:f>
              <c:numCache>
                <c:formatCode>0.000_);[Red]\(0.000\)</c:formatCode>
                <c:ptCount val="4"/>
                <c:pt idx="0">
                  <c:v>0.93</c:v>
                </c:pt>
                <c:pt idx="1">
                  <c:v>0.78714285714285714</c:v>
                </c:pt>
                <c:pt idx="2">
                  <c:v>0.24125000000000002</c:v>
                </c:pt>
                <c:pt idx="3">
                  <c:v>0.2</c:v>
                </c:pt>
              </c:numCache>
            </c:numRef>
          </c:val>
          <c:smooth val="0"/>
        </c:ser>
        <c:ser>
          <c:idx val="1"/>
          <c:order val="1"/>
          <c:tx>
            <c:v>LOL</c:v>
          </c:tx>
          <c:cat>
            <c:strRef>
              <c:f>测试及验收缺陷度量!$A$33:$A$36</c:f>
              <c:strCache>
                <c:ptCount val="4"/>
                <c:pt idx="0">
                  <c:v>S3测试第1轮</c:v>
                </c:pt>
                <c:pt idx="1">
                  <c:v>S3测试第2轮</c:v>
                </c:pt>
                <c:pt idx="2">
                  <c:v>S3测试第3轮</c:v>
                </c:pt>
                <c:pt idx="3">
                  <c:v>S3测试第4轮</c:v>
                </c:pt>
              </c:strCache>
            </c:strRef>
          </c:cat>
          <c:val>
            <c:numRef>
              <c:f>测试及验收缺陷度量!$L$33:$L$36</c:f>
              <c:numCache>
                <c:formatCode>0.0000_ </c:formatCode>
                <c:ptCount val="4"/>
                <c:pt idx="0">
                  <c:v>0</c:v>
                </c:pt>
                <c:pt idx="1">
                  <c:v>0</c:v>
                </c:pt>
                <c:pt idx="2">
                  <c:v>0</c:v>
                </c:pt>
                <c:pt idx="3">
                  <c:v>0</c:v>
                </c:pt>
              </c:numCache>
            </c:numRef>
          </c:val>
          <c:smooth val="0"/>
        </c:ser>
        <c:ser>
          <c:idx val="2"/>
          <c:order val="2"/>
          <c:tx>
            <c:v>OL</c:v>
          </c:tx>
          <c:cat>
            <c:strRef>
              <c:f>测试及验收缺陷度量!$A$33:$A$36</c:f>
              <c:strCache>
                <c:ptCount val="4"/>
                <c:pt idx="0">
                  <c:v>S3测试第1轮</c:v>
                </c:pt>
                <c:pt idx="1">
                  <c:v>S3测试第2轮</c:v>
                </c:pt>
                <c:pt idx="2">
                  <c:v>S3测试第3轮</c:v>
                </c:pt>
                <c:pt idx="3">
                  <c:v>S3测试第4轮</c:v>
                </c:pt>
              </c:strCache>
            </c:strRef>
          </c:cat>
          <c:val>
            <c:numRef>
              <c:f>测试及验收缺陷度量!$M$33:$M$36</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测试及验收缺陷度量!$A$33:$A$36</c:f>
              <c:strCache>
                <c:ptCount val="4"/>
                <c:pt idx="0">
                  <c:v>S3测试第1轮</c:v>
                </c:pt>
                <c:pt idx="1">
                  <c:v>S3测试第2轮</c:v>
                </c:pt>
                <c:pt idx="2">
                  <c:v>S3测试第3轮</c:v>
                </c:pt>
                <c:pt idx="3">
                  <c:v>S3测试第4轮</c:v>
                </c:pt>
              </c:strCache>
            </c:strRef>
          </c:cat>
          <c:val>
            <c:numRef>
              <c:f>测试及验收缺陷度量!$N$33:$N$36</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281553408"/>
        <c:axId val="270990656"/>
      </c:lineChart>
      <c:catAx>
        <c:axId val="28155340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70990656"/>
        <c:crosses val="autoZero"/>
        <c:auto val="1"/>
        <c:lblAlgn val="ctr"/>
        <c:lblOffset val="100"/>
        <c:noMultiLvlLbl val="0"/>
      </c:catAx>
      <c:valAx>
        <c:axId val="270990656"/>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55340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人员统计!$A$37:$A$42</c:f>
              <c:strCache>
                <c:ptCount val="6"/>
                <c:pt idx="0">
                  <c:v>立项阶段</c:v>
                </c:pt>
                <c:pt idx="1">
                  <c:v>迭代一阶段</c:v>
                </c:pt>
                <c:pt idx="2">
                  <c:v>迭代二阶段</c:v>
                </c:pt>
                <c:pt idx="3">
                  <c:v>迭代三阶段</c:v>
                </c:pt>
                <c:pt idx="4">
                  <c:v>系统测试阶段</c:v>
                </c:pt>
                <c:pt idx="5">
                  <c:v>验收阶段</c:v>
                </c:pt>
              </c:strCache>
            </c:strRef>
          </c:cat>
          <c:val>
            <c:numRef>
              <c:f>人员统计!$B$37:$B$42</c:f>
              <c:numCache>
                <c:formatCode>General</c:formatCode>
                <c:ptCount val="6"/>
                <c:pt idx="0">
                  <c:v>10</c:v>
                </c:pt>
                <c:pt idx="1">
                  <c:v>10</c:v>
                </c:pt>
                <c:pt idx="2">
                  <c:v>10</c:v>
                </c:pt>
                <c:pt idx="3">
                  <c:v>10</c:v>
                </c:pt>
                <c:pt idx="4">
                  <c:v>10</c:v>
                </c:pt>
                <c:pt idx="5">
                  <c:v>10</c:v>
                </c:pt>
              </c:numCache>
            </c:numRef>
          </c:val>
        </c:ser>
        <c:ser>
          <c:idx val="1"/>
          <c:order val="1"/>
          <c:tx>
            <c:v>实际</c:v>
          </c:tx>
          <c:invertIfNegative val="0"/>
          <c:cat>
            <c:strRef>
              <c:f>人员统计!$A$37:$A$42</c:f>
              <c:strCache>
                <c:ptCount val="6"/>
                <c:pt idx="0">
                  <c:v>立项阶段</c:v>
                </c:pt>
                <c:pt idx="1">
                  <c:v>迭代一阶段</c:v>
                </c:pt>
                <c:pt idx="2">
                  <c:v>迭代二阶段</c:v>
                </c:pt>
                <c:pt idx="3">
                  <c:v>迭代三阶段</c:v>
                </c:pt>
                <c:pt idx="4">
                  <c:v>系统测试阶段</c:v>
                </c:pt>
                <c:pt idx="5">
                  <c:v>验收阶段</c:v>
                </c:pt>
              </c:strCache>
            </c:strRef>
          </c:cat>
          <c:val>
            <c:numRef>
              <c:f>人员统计!$C$37:$C$42</c:f>
              <c:numCache>
                <c:formatCode>General</c:formatCode>
                <c:ptCount val="6"/>
                <c:pt idx="0">
                  <c:v>5</c:v>
                </c:pt>
                <c:pt idx="1">
                  <c:v>3</c:v>
                </c:pt>
                <c:pt idx="2">
                  <c:v>2</c:v>
                </c:pt>
                <c:pt idx="3">
                  <c:v>6</c:v>
                </c:pt>
                <c:pt idx="4">
                  <c:v>1</c:v>
                </c:pt>
                <c:pt idx="5">
                  <c:v>3</c:v>
                </c:pt>
              </c:numCache>
            </c:numRef>
          </c:val>
        </c:ser>
        <c:dLbls>
          <c:showLegendKey val="0"/>
          <c:showVal val="0"/>
          <c:showCatName val="0"/>
          <c:showSerName val="0"/>
          <c:showPercent val="0"/>
          <c:showBubbleSize val="0"/>
        </c:dLbls>
        <c:gapWidth val="150"/>
        <c:axId val="281440256"/>
        <c:axId val="281241856"/>
      </c:barChart>
      <c:catAx>
        <c:axId val="2814402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241856"/>
        <c:crosses val="autoZero"/>
        <c:auto val="1"/>
        <c:lblAlgn val="ctr"/>
        <c:lblOffset val="100"/>
        <c:noMultiLvlLbl val="0"/>
      </c:catAx>
      <c:valAx>
        <c:axId val="28124185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4402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overlay val="0"/>
    </c:title>
    <c:autoTitleDeleted val="0"/>
    <c:plotArea>
      <c:layout/>
      <c:lineChart>
        <c:grouping val="standard"/>
        <c:varyColors val="0"/>
        <c:ser>
          <c:idx val="0"/>
          <c:order val="0"/>
          <c:tx>
            <c:strRef>
              <c:f>人员统计!$H$49</c:f>
              <c:strCache>
                <c:ptCount val="1"/>
                <c:pt idx="0">
                  <c:v>变动率</c:v>
                </c:pt>
              </c:strCache>
            </c:strRef>
          </c:tx>
          <c:marker>
            <c:symbol val="none"/>
          </c:marker>
          <c:cat>
            <c:strRef>
              <c:f>人员统计!$J$49:$J$54</c:f>
              <c:strCache>
                <c:ptCount val="6"/>
                <c:pt idx="0">
                  <c:v>立项阶段</c:v>
                </c:pt>
                <c:pt idx="1">
                  <c:v>迭代一阶段</c:v>
                </c:pt>
                <c:pt idx="2">
                  <c:v>迭代二阶段</c:v>
                </c:pt>
                <c:pt idx="3">
                  <c:v>迭代三阶段</c:v>
                </c:pt>
                <c:pt idx="4">
                  <c:v>系统测试阶段</c:v>
                </c:pt>
                <c:pt idx="5">
                  <c:v>验收阶段</c:v>
                </c:pt>
              </c:strCache>
            </c:strRef>
          </c:cat>
          <c:val>
            <c:numRef>
              <c:f>人员统计!$K$49:$K$54</c:f>
              <c:numCache>
                <c:formatCode>0.00_ </c:formatCode>
                <c:ptCount val="6"/>
                <c:pt idx="0">
                  <c:v>0.3</c:v>
                </c:pt>
                <c:pt idx="1">
                  <c:v>0.27272727272727271</c:v>
                </c:pt>
                <c:pt idx="2">
                  <c:v>0.33333333333333331</c:v>
                </c:pt>
                <c:pt idx="3">
                  <c:v>7.1428571428571425E-2</c:v>
                </c:pt>
                <c:pt idx="4">
                  <c:v>0.5</c:v>
                </c:pt>
                <c:pt idx="5">
                  <c:v>0.15789473684210525</c:v>
                </c:pt>
              </c:numCache>
            </c:numRef>
          </c:val>
          <c:smooth val="0"/>
        </c:ser>
        <c:dLbls>
          <c:showLegendKey val="0"/>
          <c:showVal val="0"/>
          <c:showCatName val="0"/>
          <c:showSerName val="0"/>
          <c:showPercent val="0"/>
          <c:showBubbleSize val="0"/>
        </c:dLbls>
        <c:marker val="1"/>
        <c:smooth val="0"/>
        <c:axId val="281441792"/>
        <c:axId val="281243584"/>
      </c:lineChart>
      <c:catAx>
        <c:axId val="28144179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243584"/>
        <c:crosses val="autoZero"/>
        <c:auto val="1"/>
        <c:lblAlgn val="ctr"/>
        <c:lblOffset val="100"/>
        <c:noMultiLvlLbl val="0"/>
      </c:catAx>
      <c:valAx>
        <c:axId val="281243584"/>
        <c:scaling>
          <c:orientation val="minMax"/>
        </c:scaling>
        <c:delete val="0"/>
        <c:axPos val="l"/>
        <c:majorGridlines/>
        <c:title>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44179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各阶段稼动率</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人员统计!$I$64:$I$69</c:f>
              <c:strCache>
                <c:ptCount val="6"/>
                <c:pt idx="0">
                  <c:v>立项阶段</c:v>
                </c:pt>
                <c:pt idx="1">
                  <c:v>迭代一阶段</c:v>
                </c:pt>
                <c:pt idx="2">
                  <c:v>迭代二阶段</c:v>
                </c:pt>
                <c:pt idx="3">
                  <c:v>迭代三阶段</c:v>
                </c:pt>
                <c:pt idx="4">
                  <c:v>测试阶段</c:v>
                </c:pt>
                <c:pt idx="5">
                  <c:v>验收阶段</c:v>
                </c:pt>
              </c:strCache>
            </c:strRef>
          </c:cat>
          <c:val>
            <c:numRef>
              <c:f>人员统计!$K$57:$K$61</c:f>
              <c:numCache>
                <c:formatCode>0.00_ </c:formatCode>
                <c:ptCount val="5"/>
                <c:pt idx="0">
                  <c:v>1.64</c:v>
                </c:pt>
                <c:pt idx="1">
                  <c:v>1.64</c:v>
                </c:pt>
                <c:pt idx="2">
                  <c:v>1.64</c:v>
                </c:pt>
                <c:pt idx="3">
                  <c:v>1.64</c:v>
                </c:pt>
                <c:pt idx="4">
                  <c:v>1.64</c:v>
                </c:pt>
              </c:numCache>
            </c:numRef>
          </c:val>
        </c:ser>
        <c:dLbls>
          <c:showLegendKey val="0"/>
          <c:showVal val="0"/>
          <c:showCatName val="0"/>
          <c:showSerName val="0"/>
          <c:showPercent val="0"/>
          <c:showBubbleSize val="0"/>
        </c:dLbls>
        <c:gapWidth val="150"/>
        <c:axId val="281442304"/>
        <c:axId val="281245312"/>
      </c:barChart>
      <c:catAx>
        <c:axId val="2814423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245312"/>
        <c:crosses val="autoZero"/>
        <c:auto val="1"/>
        <c:lblAlgn val="ctr"/>
        <c:lblOffset val="100"/>
        <c:noMultiLvlLbl val="0"/>
      </c:catAx>
      <c:valAx>
        <c:axId val="28124531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4423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人员统计!$B$29:$J$29</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人员统计!$B$30:$J$30</c:f>
              <c:numCache>
                <c:formatCode>General</c:formatCode>
                <c:ptCount val="9"/>
                <c:pt idx="0" formatCode="0.00_ ">
                  <c:v>1.6</c:v>
                </c:pt>
                <c:pt idx="1">
                  <c:v>1</c:v>
                </c:pt>
                <c:pt idx="2">
                  <c:v>1</c:v>
                </c:pt>
                <c:pt idx="3">
                  <c:v>1.1833333333333333</c:v>
                </c:pt>
                <c:pt idx="4">
                  <c:v>0.98333333333333339</c:v>
                </c:pt>
                <c:pt idx="5">
                  <c:v>1</c:v>
                </c:pt>
                <c:pt idx="6">
                  <c:v>0</c:v>
                </c:pt>
                <c:pt idx="7">
                  <c:v>1</c:v>
                </c:pt>
                <c:pt idx="8">
                  <c:v>1</c:v>
                </c:pt>
              </c:numCache>
            </c:numRef>
          </c:val>
        </c:ser>
        <c:dLbls>
          <c:showLegendKey val="0"/>
          <c:showVal val="0"/>
          <c:showCatName val="0"/>
          <c:showSerName val="0"/>
          <c:showPercent val="0"/>
          <c:showBubbleSize val="0"/>
        </c:dLbls>
        <c:gapWidth val="150"/>
        <c:axId val="281442816"/>
        <c:axId val="281247040"/>
      </c:barChart>
      <c:catAx>
        <c:axId val="28144281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247040"/>
        <c:crosses val="autoZero"/>
        <c:auto val="1"/>
        <c:lblAlgn val="ctr"/>
        <c:lblOffset val="100"/>
        <c:noMultiLvlLbl val="0"/>
      </c:catAx>
      <c:valAx>
        <c:axId val="281247040"/>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81442816"/>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50" b="1" i="0" u="none" strike="noStrike" kern="1200" baseline="0">
                <a:solidFill>
                  <a:schemeClr val="tx2"/>
                </a:solidFill>
                <a:latin typeface="宋体" panose="02010600030101010101" pitchFamily="7" charset="-122"/>
                <a:ea typeface="宋体" panose="02010600030101010101" pitchFamily="7" charset="-122"/>
                <a:cs typeface="宋体" panose="02010600030101010101" pitchFamily="7" charset="-122"/>
              </a:defRPr>
            </a:pPr>
            <a:r>
              <a:rPr lang="zh-CN" altLang="en-US" sz="1400" b="1">
                <a:solidFill>
                  <a:schemeClr val="bg1"/>
                </a:solidFill>
                <a:latin typeface="微软雅黑" panose="020B0503020204020204" pitchFamily="34" charset="-122"/>
                <a:ea typeface="微软雅黑" panose="020B0503020204020204" pitchFamily="34" charset="-122"/>
              </a:rPr>
              <a:t>集成测试缺陷密度控制图</a:t>
            </a:r>
          </a:p>
        </c:rich>
      </c:tx>
      <c:layout>
        <c:manualLayout>
          <c:xMode val="edge"/>
          <c:yMode val="edge"/>
          <c:x val="0.310611865006236"/>
          <c:y val="3.3063808200445501E-2"/>
        </c:manualLayout>
      </c:layout>
      <c:overlay val="0"/>
      <c:spPr>
        <a:noFill/>
        <a:ln w="25400">
          <a:noFill/>
        </a:ln>
      </c:spPr>
    </c:title>
    <c:autoTitleDeleted val="0"/>
    <c:plotArea>
      <c:layout>
        <c:manualLayout>
          <c:layoutTarget val="inner"/>
          <c:xMode val="edge"/>
          <c:yMode val="edge"/>
          <c:x val="0.100709254733646"/>
          <c:y val="0.272059556111655"/>
          <c:w val="0.76312083164368505"/>
          <c:h val="0.56250151466328702"/>
        </c:manualLayout>
      </c:layout>
      <c:lineChart>
        <c:grouping val="standard"/>
        <c:varyColors val="0"/>
        <c:ser>
          <c:idx val="0"/>
          <c:order val="0"/>
          <c:tx>
            <c:v>UOL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[2]质量!$E$90:$I$90</c:f>
              <c:numCache>
                <c:formatCode>General</c:formatCode>
                <c:ptCount val="5"/>
                <c:pt idx="0">
                  <c:v>0</c:v>
                </c:pt>
                <c:pt idx="1">
                  <c:v>0</c:v>
                </c:pt>
                <c:pt idx="2">
                  <c:v>0</c:v>
                </c:pt>
                <c:pt idx="3">
                  <c:v>0</c:v>
                </c:pt>
                <c:pt idx="4">
                  <c:v>0</c:v>
                </c:pt>
              </c:numCache>
            </c:numRef>
          </c:val>
          <c:smooth val="0"/>
        </c:ser>
        <c:ser>
          <c:idx val="1"/>
          <c:order val="1"/>
          <c:tx>
            <c:v>OL</c:v>
          </c:tx>
          <c:spPr>
            <a:ln w="25400" cap="rnd" cmpd="sng" algn="ctr">
              <a:solidFill>
                <a:srgbClr val="FFC0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[2]质量!$E$91:$I$91</c:f>
              <c:numCache>
                <c:formatCode>General</c:formatCode>
                <c:ptCount val="5"/>
                <c:pt idx="0">
                  <c:v>0</c:v>
                </c:pt>
                <c:pt idx="1">
                  <c:v>0</c:v>
                </c:pt>
                <c:pt idx="2">
                  <c:v>0</c:v>
                </c:pt>
                <c:pt idx="3">
                  <c:v>0</c:v>
                </c:pt>
                <c:pt idx="4">
                  <c:v>0</c:v>
                </c:pt>
              </c:numCache>
            </c:numRef>
          </c:val>
          <c:smooth val="0"/>
        </c:ser>
        <c:ser>
          <c:idx val="2"/>
          <c:order val="2"/>
          <c:tx>
            <c:v>LOL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[2]质量!$E$92:$I$92</c:f>
              <c:numCache>
                <c:formatCode>General</c:formatCode>
                <c:ptCount val="5"/>
                <c:pt idx="0">
                  <c:v>0</c:v>
                </c:pt>
                <c:pt idx="1">
                  <c:v>0</c:v>
                </c:pt>
                <c:pt idx="2">
                  <c:v>0</c:v>
                </c:pt>
                <c:pt idx="3">
                  <c:v>0</c:v>
                </c:pt>
                <c:pt idx="4">
                  <c:v>0</c:v>
                </c:pt>
              </c:numCache>
            </c:numRef>
          </c:val>
          <c:smooth val="0"/>
        </c:ser>
        <c:ser>
          <c:idx val="3"/>
          <c:order val="3"/>
          <c:tx>
            <c:v>项目数据</c:v>
          </c:tx>
          <c:spPr>
            <a:ln w="25400" cap="rnd" cmpd="sng" algn="ctr">
              <a:solidFill>
                <a:srgbClr val="FF0000"/>
              </a:solidFill>
              <a:prstDash val="solid"/>
              <a:round/>
            </a:ln>
          </c:spPr>
          <c:marker>
            <c:symbol val="triangle"/>
            <c:size val="3"/>
            <c:spPr>
              <a:solidFill>
                <a:srgbClr val="0000FF"/>
              </a:solidFill>
              <a:ln w="9525" cap="flat" cmpd="sng" algn="ctr">
                <a:solidFill>
                  <a:srgbClr val="0000FF"/>
                </a:solidFill>
                <a:prstDash val="solid"/>
                <a:round/>
              </a:ln>
            </c:spPr>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[2]质量!$E$88:$I$88</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286369792"/>
        <c:axId val="281773760"/>
      </c:lineChart>
      <c:catAx>
        <c:axId val="286369792"/>
        <c:scaling>
          <c:orientation val="minMax"/>
        </c:scaling>
        <c:delete val="0"/>
        <c:axPos val="b"/>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81773760"/>
        <c:crossesAt val="-0.15"/>
        <c:auto val="1"/>
        <c:lblAlgn val="ctr"/>
        <c:lblOffset val="100"/>
        <c:tickLblSkip val="1"/>
        <c:noMultiLvlLbl val="0"/>
      </c:catAx>
      <c:valAx>
        <c:axId val="281773760"/>
        <c:scaling>
          <c:orientation val="minMax"/>
        </c:scaling>
        <c:delete val="0"/>
        <c:axPos val="l"/>
        <c:majorGridlines>
          <c:spPr>
            <a:ln w="3175" cap="flat" cmpd="sng" algn="ctr">
              <a:solidFill>
                <a:srgbClr val="000000"/>
              </a:solidFill>
              <a:prstDash val="solid"/>
              <a:round/>
            </a:ln>
          </c:spPr>
        </c:majorGridlines>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286369792"/>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chemeClr val="accent1"/>
          </a:solidFill>
          <a:prstDash val="solid"/>
        </a:ln>
        <a:effectLst>
          <a:glow rad="101600">
            <a:schemeClr val="accent1">
              <a:satMod val="175000"/>
              <a:alpha val="32000"/>
            </a:schemeClr>
          </a:glow>
          <a:outerShdw blurRad="50800" dist="38100" dir="2700000" algn="tl" rotWithShape="0">
            <a:schemeClr val="accent1">
              <a:alpha val="40000"/>
            </a:schemeClr>
          </a:outerShdw>
          <a:softEdge rad="12700"/>
        </a:effectLst>
        <a:scene3d>
          <a:camera prst="orthographicFront"/>
          <a:lightRig rig="threePt" dir="t"/>
        </a:scene3d>
        <a:sp3d/>
      </c:spPr>
    </c:plotArea>
    <c:legend>
      <c:legendPos val="r"/>
      <c:layout>
        <c:manualLayout>
          <c:xMode val="edge"/>
          <c:yMode val="edge"/>
          <c:x val="0.86241171981161902"/>
          <c:y val="0.30882463221509099"/>
          <c:w val="0.123404255319149"/>
          <c:h val="0.481618915282648"/>
        </c:manualLayout>
      </c:layout>
      <c:overlay val="0"/>
      <c:spPr>
        <a:noFill/>
        <a:ln w="25400">
          <a:noFill/>
        </a:ln>
      </c:spPr>
      <c:txPr>
        <a:bodyPr rot="0" spcFirstLastPara="0" vertOverflow="ellipsis" vert="horz" wrap="square" anchor="ctr" anchorCtr="1"/>
        <a:lstStyle/>
        <a:p>
          <a:pPr>
            <a:defRPr lang="zh-CN" sz="85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3175" cap="flat" cmpd="dbl" algn="ctr">
      <a:noFill/>
      <a:prstDash val="solid"/>
      <a:round/>
    </a:ln>
    <a:effectLst>
      <a:outerShdw blurRad="50800" dist="38100" dir="2700000" algn="tl" rotWithShape="0">
        <a:prstClr val="black">
          <a:alpha val="40000"/>
        </a:prstClr>
      </a:outerShdw>
    </a:effectLst>
  </c:spPr>
  <c:txPr>
    <a:bodyPr/>
    <a:lstStyle/>
    <a:p>
      <a:pPr>
        <a:defRPr lang="zh-CN" sz="925"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47625</xdr:rowOff>
    </xdr:from>
    <xdr:to>
      <xdr:col>1</xdr:col>
      <xdr:colOff>285750</xdr:colOff>
      <xdr:row>3</xdr:row>
      <xdr:rowOff>104775</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bwMode="auto">
        <a:xfrm>
          <a:off x="0" y="47625"/>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381000</xdr:colOff>
      <xdr:row>5</xdr:row>
      <xdr:rowOff>0</xdr:rowOff>
    </xdr:from>
    <xdr:to>
      <xdr:col>16</xdr:col>
      <xdr:colOff>476250</xdr:colOff>
      <xdr:row>15</xdr:row>
      <xdr:rowOff>85725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304799</xdr:colOff>
      <xdr:row>20</xdr:row>
      <xdr:rowOff>133351</xdr:rowOff>
    </xdr:from>
    <xdr:to>
      <xdr:col>16</xdr:col>
      <xdr:colOff>219075</xdr:colOff>
      <xdr:row>28</xdr:row>
      <xdr:rowOff>180975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295275</xdr:colOff>
      <xdr:row>31</xdr:row>
      <xdr:rowOff>28575</xdr:rowOff>
    </xdr:from>
    <xdr:to>
      <xdr:col>16</xdr:col>
      <xdr:colOff>390525</xdr:colOff>
      <xdr:row>41</xdr:row>
      <xdr:rowOff>228600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314324</xdr:colOff>
      <xdr:row>47</xdr:row>
      <xdr:rowOff>85726</xdr:rowOff>
    </xdr:from>
    <xdr:to>
      <xdr:col>16</xdr:col>
      <xdr:colOff>228600</xdr:colOff>
      <xdr:row>55</xdr:row>
      <xdr:rowOff>133350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266700</xdr:colOff>
      <xdr:row>59</xdr:row>
      <xdr:rowOff>47625</xdr:rowOff>
    </xdr:from>
    <xdr:to>
      <xdr:col>16</xdr:col>
      <xdr:colOff>361950</xdr:colOff>
      <xdr:row>69</xdr:row>
      <xdr:rowOff>133350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304799</xdr:colOff>
      <xdr:row>74</xdr:row>
      <xdr:rowOff>200026</xdr:rowOff>
    </xdr:from>
    <xdr:to>
      <xdr:col>16</xdr:col>
      <xdr:colOff>219075</xdr:colOff>
      <xdr:row>82</xdr:row>
      <xdr:rowOff>247650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619125</xdr:colOff>
      <xdr:row>34</xdr:row>
      <xdr:rowOff>47627</xdr:rowOff>
    </xdr:from>
    <xdr:to>
      <xdr:col>21</xdr:col>
      <xdr:colOff>438149</xdr:colOff>
      <xdr:row>47</xdr:row>
      <xdr:rowOff>1</xdr:rowOff>
    </xdr:to>
    <xdr:graphicFrame macro="">
      <xdr:nvGraphicFramePr>
        <xdr:cNvPr id="2"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247649</xdr:colOff>
      <xdr:row>34</xdr:row>
      <xdr:rowOff>47625</xdr:rowOff>
    </xdr:from>
    <xdr:to>
      <xdr:col>17</xdr:col>
      <xdr:colOff>590549</xdr:colOff>
      <xdr:row>47</xdr:row>
      <xdr:rowOff>0</xdr:rowOff>
    </xdr:to>
    <xdr:graphicFrame macro="">
      <xdr:nvGraphicFramePr>
        <xdr:cNvPr id="3"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238125</xdr:colOff>
      <xdr:row>19</xdr:row>
      <xdr:rowOff>47626</xdr:rowOff>
    </xdr:from>
    <xdr:to>
      <xdr:col>18</xdr:col>
      <xdr:colOff>190499</xdr:colOff>
      <xdr:row>33</xdr:row>
      <xdr:rowOff>133350</xdr:rowOff>
    </xdr:to>
    <xdr:graphicFrame macro="">
      <xdr:nvGraphicFramePr>
        <xdr:cNvPr id="4"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25</xdr:row>
      <xdr:rowOff>23813</xdr:rowOff>
    </xdr:from>
    <xdr:to>
      <xdr:col>13</xdr:col>
      <xdr:colOff>180974</xdr:colOff>
      <xdr:row>38</xdr:row>
      <xdr:rowOff>142875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228599</xdr:colOff>
      <xdr:row>78</xdr:row>
      <xdr:rowOff>66675</xdr:rowOff>
    </xdr:from>
    <xdr:to>
      <xdr:col>17</xdr:col>
      <xdr:colOff>571499</xdr:colOff>
      <xdr:row>91</xdr:row>
      <xdr:rowOff>19050</xdr:rowOff>
    </xdr:to>
    <xdr:graphicFrame macro="">
      <xdr:nvGraphicFramePr>
        <xdr:cNvPr id="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247650</xdr:colOff>
      <xdr:row>63</xdr:row>
      <xdr:rowOff>47626</xdr:rowOff>
    </xdr:from>
    <xdr:to>
      <xdr:col>18</xdr:col>
      <xdr:colOff>200024</xdr:colOff>
      <xdr:row>77</xdr:row>
      <xdr:rowOff>133350</xdr:rowOff>
    </xdr:to>
    <xdr:graphicFrame macro="">
      <xdr:nvGraphicFramePr>
        <xdr:cNvPr id="8"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71</xdr:row>
      <xdr:rowOff>128588</xdr:rowOff>
    </xdr:from>
    <xdr:to>
      <xdr:col>13</xdr:col>
      <xdr:colOff>190499</xdr:colOff>
      <xdr:row>85</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685800</xdr:colOff>
      <xdr:row>120</xdr:row>
      <xdr:rowOff>76202</xdr:rowOff>
    </xdr:from>
    <xdr:to>
      <xdr:col>22</xdr:col>
      <xdr:colOff>304800</xdr:colOff>
      <xdr:row>133</xdr:row>
      <xdr:rowOff>28576</xdr:rowOff>
    </xdr:to>
    <xdr:graphicFrame macro="">
      <xdr:nvGraphicFramePr>
        <xdr:cNvPr id="10"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266699</xdr:colOff>
      <xdr:row>120</xdr:row>
      <xdr:rowOff>66675</xdr:rowOff>
    </xdr:from>
    <xdr:to>
      <xdr:col>17</xdr:col>
      <xdr:colOff>609599</xdr:colOff>
      <xdr:row>133</xdr:row>
      <xdr:rowOff>19050</xdr:rowOff>
    </xdr:to>
    <xdr:graphicFrame macro="">
      <xdr:nvGraphicFramePr>
        <xdr:cNvPr id="11"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257175</xdr:colOff>
      <xdr:row>105</xdr:row>
      <xdr:rowOff>47626</xdr:rowOff>
    </xdr:from>
    <xdr:to>
      <xdr:col>18</xdr:col>
      <xdr:colOff>209549</xdr:colOff>
      <xdr:row>119</xdr:row>
      <xdr:rowOff>133350</xdr:rowOff>
    </xdr:to>
    <xdr:graphicFrame macro="">
      <xdr:nvGraphicFramePr>
        <xdr:cNvPr id="1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111</xdr:row>
      <xdr:rowOff>23813</xdr:rowOff>
    </xdr:from>
    <xdr:to>
      <xdr:col>13</xdr:col>
      <xdr:colOff>180974</xdr:colOff>
      <xdr:row>124</xdr:row>
      <xdr:rowOff>142875</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647700</xdr:colOff>
      <xdr:row>78</xdr:row>
      <xdr:rowOff>57150</xdr:rowOff>
    </xdr:from>
    <xdr:to>
      <xdr:col>22</xdr:col>
      <xdr:colOff>266700</xdr:colOff>
      <xdr:row>91</xdr:row>
      <xdr:rowOff>9524</xdr:rowOff>
    </xdr:to>
    <xdr:graphicFrame macro="">
      <xdr:nvGraphicFramePr>
        <xdr:cNvPr id="1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42</xdr:row>
      <xdr:rowOff>142875</xdr:rowOff>
    </xdr:from>
    <xdr:to>
      <xdr:col>12</xdr:col>
      <xdr:colOff>76200</xdr:colOff>
      <xdr:row>55</xdr:row>
      <xdr:rowOff>47625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17</xdr:row>
      <xdr:rowOff>133350</xdr:rowOff>
    </xdr:from>
    <xdr:to>
      <xdr:col>6</xdr:col>
      <xdr:colOff>895351</xdr:colOff>
      <xdr:row>30</xdr:row>
      <xdr:rowOff>142875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17</xdr:row>
          <xdr:rowOff>171450</xdr:rowOff>
        </xdr:from>
        <xdr:to>
          <xdr:col>7</xdr:col>
          <xdr:colOff>676275</xdr:colOff>
          <xdr:row>19</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20</xdr:row>
          <xdr:rowOff>28575</xdr:rowOff>
        </xdr:from>
        <xdr:to>
          <xdr:col>7</xdr:col>
          <xdr:colOff>685800</xdr:colOff>
          <xdr:row>21</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11</xdr:row>
          <xdr:rowOff>104775</xdr:rowOff>
        </xdr:from>
        <xdr:to>
          <xdr:col>1</xdr:col>
          <xdr:colOff>266700</xdr:colOff>
          <xdr:row>13</xdr:row>
          <xdr:rowOff>19050</xdr:rowOff>
        </xdr:to>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11</xdr:row>
      <xdr:rowOff>95250</xdr:rowOff>
    </xdr:from>
    <xdr:to>
      <xdr:col>10</xdr:col>
      <xdr:colOff>771525</xdr:colOff>
      <xdr:row>25</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1</xdr:col>
          <xdr:colOff>257175</xdr:colOff>
          <xdr:row>37</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35</xdr:row>
      <xdr:rowOff>85725</xdr:rowOff>
    </xdr:from>
    <xdr:to>
      <xdr:col>10</xdr:col>
      <xdr:colOff>762000</xdr:colOff>
      <xdr:row>51</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61</xdr:row>
          <xdr:rowOff>104775</xdr:rowOff>
        </xdr:from>
        <xdr:to>
          <xdr:col>1</xdr:col>
          <xdr:colOff>238125</xdr:colOff>
          <xdr:row>63</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61</xdr:row>
      <xdr:rowOff>66675</xdr:rowOff>
    </xdr:from>
    <xdr:to>
      <xdr:col>10</xdr:col>
      <xdr:colOff>657225</xdr:colOff>
      <xdr:row>78</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88</xdr:row>
          <xdr:rowOff>76200</xdr:rowOff>
        </xdr:from>
        <xdr:to>
          <xdr:col>1</xdr:col>
          <xdr:colOff>295275</xdr:colOff>
          <xdr:row>90</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88</xdr:row>
      <xdr:rowOff>57150</xdr:rowOff>
    </xdr:from>
    <xdr:to>
      <xdr:col>10</xdr:col>
      <xdr:colOff>628650</xdr:colOff>
      <xdr:row>103</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114</xdr:row>
          <xdr:rowOff>85725</xdr:rowOff>
        </xdr:from>
        <xdr:to>
          <xdr:col>1</xdr:col>
          <xdr:colOff>342900</xdr:colOff>
          <xdr:row>116</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114</xdr:row>
      <xdr:rowOff>57150</xdr:rowOff>
    </xdr:from>
    <xdr:to>
      <xdr:col>10</xdr:col>
      <xdr:colOff>704850</xdr:colOff>
      <xdr:row>130</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13</xdr:row>
          <xdr:rowOff>85725</xdr:rowOff>
        </xdr:from>
        <xdr:to>
          <xdr:col>1</xdr:col>
          <xdr:colOff>266700</xdr:colOff>
          <xdr:row>15</xdr:row>
          <xdr:rowOff>0</xdr:rowOff>
        </xdr:to>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xdr:from>
      <xdr:col>11</xdr:col>
      <xdr:colOff>0</xdr:colOff>
      <xdr:row>14</xdr:row>
      <xdr:rowOff>19050</xdr:rowOff>
    </xdr:from>
    <xdr:to>
      <xdr:col>14</xdr:col>
      <xdr:colOff>628650</xdr:colOff>
      <xdr:row>19</xdr:row>
      <xdr:rowOff>38100</xdr:rowOff>
    </xdr:to>
    <xdr:sp macro="" textlink="">
      <xdr:nvSpPr>
        <xdr:cNvPr id="2" name="文本框 1"/>
        <xdr:cNvSpPr txBox="1">
          <a:spLocks noChangeAspect="1"/>
        </xdr:cNvSpPr>
      </xdr:nvSpPr>
      <xdr:spPr>
        <a:xfrm>
          <a:off x="7677150" y="28289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38</xdr:row>
      <xdr:rowOff>38100</xdr:rowOff>
    </xdr:from>
    <xdr:to>
      <xdr:col>14</xdr:col>
      <xdr:colOff>609600</xdr:colOff>
      <xdr:row>44</xdr:row>
      <xdr:rowOff>76200</xdr:rowOff>
    </xdr:to>
    <xdr:sp macro="" textlink="">
      <xdr:nvSpPr>
        <xdr:cNvPr id="15" name="文本框 14"/>
        <xdr:cNvSpPr txBox="1">
          <a:spLocks noChangeAspect="1"/>
        </xdr:cNvSpPr>
      </xdr:nvSpPr>
      <xdr:spPr>
        <a:xfrm>
          <a:off x="7658100" y="6781800"/>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38</xdr:row>
          <xdr:rowOff>76200</xdr:rowOff>
        </xdr:from>
        <xdr:to>
          <xdr:col>1</xdr:col>
          <xdr:colOff>247650</xdr:colOff>
          <xdr:row>40</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657225</xdr:colOff>
      <xdr:row>66</xdr:row>
      <xdr:rowOff>76200</xdr:rowOff>
    </xdr:from>
    <xdr:to>
      <xdr:col>14</xdr:col>
      <xdr:colOff>504825</xdr:colOff>
      <xdr:row>72</xdr:row>
      <xdr:rowOff>95250</xdr:rowOff>
    </xdr:to>
    <xdr:sp macro="" textlink="">
      <xdr:nvSpPr>
        <xdr:cNvPr id="16" name="文本框 15"/>
        <xdr:cNvSpPr txBox="1">
          <a:spLocks noChangeAspect="1"/>
        </xdr:cNvSpPr>
      </xdr:nvSpPr>
      <xdr:spPr>
        <a:xfrm>
          <a:off x="7553325" y="1137285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63</xdr:row>
          <xdr:rowOff>114300</xdr:rowOff>
        </xdr:from>
        <xdr:to>
          <xdr:col>1</xdr:col>
          <xdr:colOff>247650</xdr:colOff>
          <xdr:row>65</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638175</xdr:colOff>
      <xdr:row>92</xdr:row>
      <xdr:rowOff>28574</xdr:rowOff>
    </xdr:from>
    <xdr:to>
      <xdr:col>14</xdr:col>
      <xdr:colOff>485775</xdr:colOff>
      <xdr:row>98</xdr:row>
      <xdr:rowOff>95249</xdr:rowOff>
    </xdr:to>
    <xdr:sp macro="" textlink="">
      <xdr:nvSpPr>
        <xdr:cNvPr id="18" name="文本框 17"/>
        <xdr:cNvSpPr txBox="1">
          <a:spLocks noChangeAspect="1"/>
        </xdr:cNvSpPr>
      </xdr:nvSpPr>
      <xdr:spPr>
        <a:xfrm>
          <a:off x="7534275" y="1547749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90</xdr:row>
          <xdr:rowOff>142875</xdr:rowOff>
        </xdr:from>
        <xdr:to>
          <xdr:col>1</xdr:col>
          <xdr:colOff>276225</xdr:colOff>
          <xdr:row>92</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116</xdr:row>
          <xdr:rowOff>104775</xdr:rowOff>
        </xdr:from>
        <xdr:to>
          <xdr:col>1</xdr:col>
          <xdr:colOff>342900</xdr:colOff>
          <xdr:row>118</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44</xdr:row>
          <xdr:rowOff>28575</xdr:rowOff>
        </xdr:from>
        <xdr:to>
          <xdr:col>1</xdr:col>
          <xdr:colOff>66675</xdr:colOff>
          <xdr:row>45</xdr:row>
          <xdr:rowOff>95250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42</xdr:row>
          <xdr:rowOff>28575</xdr:rowOff>
        </xdr:from>
        <xdr:to>
          <xdr:col>1</xdr:col>
          <xdr:colOff>76200</xdr:colOff>
          <xdr:row>43</xdr:row>
          <xdr:rowOff>66675</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64</xdr:row>
      <xdr:rowOff>0</xdr:rowOff>
    </xdr:from>
    <xdr:to>
      <xdr:col>14</xdr:col>
      <xdr:colOff>0</xdr:colOff>
      <xdr:row>73</xdr:row>
      <xdr:rowOff>238125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75</xdr:row>
      <xdr:rowOff>152400</xdr:rowOff>
    </xdr:from>
    <xdr:to>
      <xdr:col>13</xdr:col>
      <xdr:colOff>676275</xdr:colOff>
      <xdr:row>85</xdr:row>
      <xdr:rowOff>28575</xdr:rowOff>
    </xdr:to>
    <xdr:graphicFrame macro="">
      <xdr:nvGraphicFramePr>
        <xdr:cNvPr id="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88</xdr:row>
      <xdr:rowOff>38100</xdr:rowOff>
    </xdr:from>
    <xdr:to>
      <xdr:col>14</xdr:col>
      <xdr:colOff>485775</xdr:colOff>
      <xdr:row>104</xdr:row>
      <xdr:rowOff>142875</xdr:rowOff>
    </xdr:to>
    <xdr:graphicFrame macro="">
      <xdr:nvGraphicFramePr>
        <xdr:cNvPr id="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41</xdr:row>
      <xdr:rowOff>85725</xdr:rowOff>
    </xdr:from>
    <xdr:to>
      <xdr:col>9</xdr:col>
      <xdr:colOff>66675</xdr:colOff>
      <xdr:row>53</xdr:row>
      <xdr:rowOff>114300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225079</xdr:colOff>
      <xdr:row>8</xdr:row>
      <xdr:rowOff>38100</xdr:rowOff>
    </xdr:from>
    <xdr:to>
      <xdr:col>22</xdr:col>
      <xdr:colOff>523875</xdr:colOff>
      <xdr:row>17</xdr:row>
      <xdr:rowOff>85725</xdr:rowOff>
    </xdr:to>
    <xdr:graphicFrame macro="">
      <xdr:nvGraphicFramePr>
        <xdr:cNvPr id="9" name="图表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218915</xdr:colOff>
      <xdr:row>19</xdr:row>
      <xdr:rowOff>1</xdr:rowOff>
    </xdr:from>
    <xdr:to>
      <xdr:col>22</xdr:col>
      <xdr:colOff>514349</xdr:colOff>
      <xdr:row>29</xdr:row>
      <xdr:rowOff>19050</xdr:rowOff>
    </xdr:to>
    <xdr:graphicFrame macro="">
      <xdr:nvGraphicFramePr>
        <xdr:cNvPr id="10" name="图表 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171450</xdr:colOff>
      <xdr:row>30</xdr:row>
      <xdr:rowOff>85727</xdr:rowOff>
    </xdr:from>
    <xdr:to>
      <xdr:col>22</xdr:col>
      <xdr:colOff>561975</xdr:colOff>
      <xdr:row>39</xdr:row>
      <xdr:rowOff>146647</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32</xdr:row>
      <xdr:rowOff>9525</xdr:rowOff>
    </xdr:from>
    <xdr:to>
      <xdr:col>8</xdr:col>
      <xdr:colOff>609600</xdr:colOff>
      <xdr:row>45</xdr:row>
      <xdr:rowOff>19050</xdr:rowOff>
    </xdr:to>
    <xdr:graphicFrame macro="">
      <xdr:nvGraphicFramePr>
        <xdr:cNvPr id="2"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828675</xdr:colOff>
      <xdr:row>40</xdr:row>
      <xdr:rowOff>161925</xdr:rowOff>
    </xdr:from>
    <xdr:to>
      <xdr:col>14</xdr:col>
      <xdr:colOff>381000</xdr:colOff>
      <xdr:row>54</xdr:row>
      <xdr:rowOff>114300</xdr:rowOff>
    </xdr:to>
    <xdr:graphicFrame macro="">
      <xdr:nvGraphicFramePr>
        <xdr:cNvPr id="3"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xdr:colOff>
      <xdr:row>56</xdr:row>
      <xdr:rowOff>47625</xdr:rowOff>
    </xdr:from>
    <xdr:to>
      <xdr:col>13</xdr:col>
      <xdr:colOff>466725</xdr:colOff>
      <xdr:row>71</xdr:row>
      <xdr:rowOff>47625</xdr:rowOff>
    </xdr:to>
    <xdr:graphicFrame macro="">
      <xdr:nvGraphicFramePr>
        <xdr:cNvPr id="4"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22</xdr:row>
      <xdr:rowOff>76200</xdr:rowOff>
    </xdr:from>
    <xdr:to>
      <xdr:col>16</xdr:col>
      <xdr:colOff>228600</xdr:colOff>
      <xdr:row>38</xdr:row>
      <xdr:rowOff>104775</xdr:rowOff>
    </xdr:to>
    <xdr:graphicFrame macro="">
      <xdr:nvGraphicFramePr>
        <xdr:cNvPr id="5"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22</xdr:row>
          <xdr:rowOff>47625</xdr:rowOff>
        </xdr:from>
        <xdr:to>
          <xdr:col>0</xdr:col>
          <xdr:colOff>685800</xdr:colOff>
          <xdr:row>23</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22</xdr:row>
          <xdr:rowOff>47625</xdr:rowOff>
        </xdr:from>
        <xdr:to>
          <xdr:col>1</xdr:col>
          <xdr:colOff>295275</xdr:colOff>
          <xdr:row>23</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xdr:row>
          <xdr:rowOff>85725</xdr:rowOff>
        </xdr:from>
        <xdr:to>
          <xdr:col>11</xdr:col>
          <xdr:colOff>200025</xdr:colOff>
          <xdr:row>9</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10</xdr:row>
          <xdr:rowOff>76200</xdr:rowOff>
        </xdr:from>
        <xdr:to>
          <xdr:col>11</xdr:col>
          <xdr:colOff>200025</xdr:colOff>
          <xdr:row>11</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438150</xdr:colOff>
      <xdr:row>47</xdr:row>
      <xdr:rowOff>200025</xdr:rowOff>
    </xdr:from>
    <xdr:to>
      <xdr:col>10</xdr:col>
      <xdr:colOff>190500</xdr:colOff>
      <xdr:row>72</xdr:row>
      <xdr:rowOff>123825</xdr:rowOff>
    </xdr:to>
    <xdr:pic>
      <xdr:nvPicPr>
        <xdr:cNvPr id="2" name="Picture 962"/>
        <xdr:cNvPicPr>
          <a:picLocks noChangeAspect="1" noChangeArrowheads="1"/>
        </xdr:cNvPicPr>
      </xdr:nvPicPr>
      <xdr:blipFill>
        <a:srcRect/>
        <a:stretch>
          <a:fillRect/>
        </a:stretch>
      </xdr:blipFill>
      <xdr:spPr>
        <a:xfrm>
          <a:off x="438150" y="10496550"/>
          <a:ext cx="7667625"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542925</xdr:colOff>
      <xdr:row>84</xdr:row>
      <xdr:rowOff>57150</xdr:rowOff>
    </xdr:from>
    <xdr:to>
      <xdr:col>9</xdr:col>
      <xdr:colOff>47625</xdr:colOff>
      <xdr:row>102</xdr:row>
      <xdr:rowOff>123825</xdr:rowOff>
    </xdr:to>
    <xdr:pic>
      <xdr:nvPicPr>
        <xdr:cNvPr id="3" name="Picture 1017"/>
        <xdr:cNvPicPr>
          <a:picLocks noChangeAspect="1" noChangeArrowheads="1"/>
        </xdr:cNvPicPr>
      </xdr:nvPicPr>
      <xdr:blipFill>
        <a:srcRect/>
        <a:stretch>
          <a:fillRect/>
        </a:stretch>
      </xdr:blipFill>
      <xdr:spPr>
        <a:xfrm>
          <a:off x="542925" y="18192750"/>
          <a:ext cx="6734175"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0</xdr:colOff>
      <xdr:row>17</xdr:row>
      <xdr:rowOff>66675</xdr:rowOff>
    </xdr:from>
    <xdr:to>
      <xdr:col>7</xdr:col>
      <xdr:colOff>361950</xdr:colOff>
      <xdr:row>28</xdr:row>
      <xdr:rowOff>28575</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23601;&#32490;&#26816;&#26597;&#24037;&#20316;&#25991;&#20214;&#21253;\&#27491;&#24335;&#29256;\&#36719;&#20214;\03.&#38656;&#27714;&#38454;&#27573;\&#24230;&#37327;&#20998;&#26512;\&#39033;&#30446;&#24230;&#37327;&#34920;_&#28689;&#24067;&#24335;1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报告封面"/>
      <sheetName val="目录"/>
      <sheetName val="项目属性"/>
      <sheetName val="工作量分布"/>
      <sheetName val="规模"/>
      <sheetName val="项目进度"/>
      <sheetName val="缺陷度量"/>
      <sheetName val="人员统计"/>
      <sheetName val="质量"/>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omments" Target="../comments6.xml"/><Relationship Id="rId3" Type="http://schemas.openxmlformats.org/officeDocument/2006/relationships/ctrlProp" Target="../ctrlProps/ctrlProp5.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ColWidth="9" defaultRowHeight="13.5"/>
  <cols>
    <col min="1" max="3" width="36.625" customWidth="1"/>
  </cols>
  <sheetData>
    <row r="1" spans="1:16">
      <c r="A1" s="460" t="s">
        <v>0</v>
      </c>
    </row>
    <row r="2" spans="1:16">
      <c r="P2" t="e">
        <f ca="1">_xll.CB.RecalcCounterFN()</f>
        <v>#NAME?</v>
      </c>
    </row>
    <row r="3" spans="1:16">
      <c r="A3" t="s">
        <v>1</v>
      </c>
      <c r="B3" t="s">
        <v>2</v>
      </c>
      <c r="C3">
        <v>0</v>
      </c>
    </row>
    <row r="4" spans="1:16">
      <c r="A4" t="s">
        <v>3</v>
      </c>
    </row>
    <row r="5" spans="1:16">
      <c r="A5" t="s">
        <v>4</v>
      </c>
    </row>
    <row r="7" spans="1:16">
      <c r="A7" s="460" t="s">
        <v>5</v>
      </c>
      <c r="B7" t="s">
        <v>6</v>
      </c>
    </row>
    <row r="8" spans="1:16">
      <c r="B8">
        <v>1</v>
      </c>
    </row>
    <row r="10" spans="1:16">
      <c r="A10" t="s">
        <v>7</v>
      </c>
    </row>
    <row r="11" spans="1:16">
      <c r="A11" t="e">
        <f>CB_DATA_!#REF!</f>
        <v>#REF!</v>
      </c>
    </row>
    <row r="13" spans="1:16">
      <c r="A13" t="s">
        <v>8</v>
      </c>
    </row>
    <row r="14" spans="1:16">
      <c r="A14" t="s">
        <v>9</v>
      </c>
    </row>
    <row r="16" spans="1:16">
      <c r="A16" t="s">
        <v>10</v>
      </c>
    </row>
    <row r="19" spans="1:1">
      <c r="A19" t="s">
        <v>11</v>
      </c>
    </row>
    <row r="20" spans="1:1">
      <c r="A20">
        <v>31</v>
      </c>
    </row>
    <row r="25" spans="1:1">
      <c r="A25" s="460" t="s">
        <v>12</v>
      </c>
    </row>
    <row r="26" spans="1:1">
      <c r="A26" s="461" t="s">
        <v>13</v>
      </c>
    </row>
    <row r="27" spans="1:1">
      <c r="A27" t="s">
        <v>14</v>
      </c>
    </row>
    <row r="28" spans="1:1">
      <c r="A28" s="461" t="s">
        <v>15</v>
      </c>
    </row>
    <row r="29" spans="1:1">
      <c r="A29" s="461" t="s">
        <v>16</v>
      </c>
    </row>
    <row r="30" spans="1:1">
      <c r="A30" t="s">
        <v>17</v>
      </c>
    </row>
    <row r="31" spans="1:1">
      <c r="A31" s="461" t="s">
        <v>18</v>
      </c>
    </row>
    <row r="10000" spans="1:1">
      <c r="A10000" t="s">
        <v>19</v>
      </c>
    </row>
    <row r="10001" spans="1:1">
      <c r="A10001" t="str">
        <f>"{0.CERTAINTY(-1.11E+307,0.8009)}"</f>
        <v>{0.CERTAINTY(-1.11E+307,0.8009)}</v>
      </c>
    </row>
    <row r="10002" spans="1:1">
      <c r="A10002" t="b">
        <f>"{0.MEAN}"&gt;=0.3385</f>
        <v>1</v>
      </c>
    </row>
    <row r="10003" spans="1:1">
      <c r="A10003" t="b">
        <f>"{0.MEAN}"&lt;=0.0938</f>
        <v>0</v>
      </c>
    </row>
    <row r="10004" spans="1:1">
      <c r="A10004" t="b">
        <f>"{0.MEAN}"&gt;=0.512</f>
        <v>1</v>
      </c>
    </row>
    <row r="10005" spans="1:1">
      <c r="A10005" t="b">
        <f>"{0.MEAN}"&lt;=0.05</f>
        <v>0</v>
      </c>
    </row>
  </sheetData>
  <phoneticPr fontId="126"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tabSelected="1" workbookViewId="0">
      <selection activeCell="C14" sqref="C14:F14"/>
    </sheetView>
  </sheetViews>
  <sheetFormatPr defaultColWidth="9" defaultRowHeight="12"/>
  <cols>
    <col min="1" max="1" width="15.625" style="46" customWidth="1"/>
    <col min="2" max="2" width="14.25" style="46" customWidth="1"/>
    <col min="3" max="3" width="11.625" style="46" customWidth="1"/>
    <col min="4" max="5" width="9" style="46"/>
    <col min="6" max="6" width="26.375" style="46" customWidth="1"/>
    <col min="7" max="256" width="9" style="46"/>
    <col min="257" max="257" width="15.625" style="46" customWidth="1"/>
    <col min="258" max="258" width="14.25" style="46" customWidth="1"/>
    <col min="259" max="259" width="11.625" style="46" customWidth="1"/>
    <col min="260" max="261" width="9" style="46"/>
    <col min="262" max="262" width="26.375" style="46" customWidth="1"/>
    <col min="263" max="512" width="9" style="46"/>
    <col min="513" max="513" width="15.625" style="46" customWidth="1"/>
    <col min="514" max="514" width="14.25" style="46" customWidth="1"/>
    <col min="515" max="515" width="11.625" style="46" customWidth="1"/>
    <col min="516" max="517" width="9" style="46"/>
    <col min="518" max="518" width="26.375" style="46" customWidth="1"/>
    <col min="519" max="768" width="9" style="46"/>
    <col min="769" max="769" width="15.625" style="46" customWidth="1"/>
    <col min="770" max="770" width="14.25" style="46" customWidth="1"/>
    <col min="771" max="771" width="11.625" style="46" customWidth="1"/>
    <col min="772" max="773" width="9" style="46"/>
    <col min="774" max="774" width="26.375" style="46" customWidth="1"/>
    <col min="775" max="1024" width="9" style="46"/>
    <col min="1025" max="1025" width="15.625" style="46" customWidth="1"/>
    <col min="1026" max="1026" width="14.25" style="46" customWidth="1"/>
    <col min="1027" max="1027" width="11.625" style="46" customWidth="1"/>
    <col min="1028" max="1029" width="9" style="46"/>
    <col min="1030" max="1030" width="26.375" style="46" customWidth="1"/>
    <col min="1031" max="1280" width="9" style="46"/>
    <col min="1281" max="1281" width="15.625" style="46" customWidth="1"/>
    <col min="1282" max="1282" width="14.25" style="46" customWidth="1"/>
    <col min="1283" max="1283" width="11.625" style="46" customWidth="1"/>
    <col min="1284" max="1285" width="9" style="46"/>
    <col min="1286" max="1286" width="26.375" style="46" customWidth="1"/>
    <col min="1287" max="1536" width="9" style="46"/>
    <col min="1537" max="1537" width="15.625" style="46" customWidth="1"/>
    <col min="1538" max="1538" width="14.25" style="46" customWidth="1"/>
    <col min="1539" max="1539" width="11.625" style="46" customWidth="1"/>
    <col min="1540" max="1541" width="9" style="46"/>
    <col min="1542" max="1542" width="26.375" style="46" customWidth="1"/>
    <col min="1543" max="1792" width="9" style="46"/>
    <col min="1793" max="1793" width="15.625" style="46" customWidth="1"/>
    <col min="1794" max="1794" width="14.25" style="46" customWidth="1"/>
    <col min="1795" max="1795" width="11.625" style="46" customWidth="1"/>
    <col min="1796" max="1797" width="9" style="46"/>
    <col min="1798" max="1798" width="26.375" style="46" customWidth="1"/>
    <col min="1799" max="2048" width="9" style="46"/>
    <col min="2049" max="2049" width="15.625" style="46" customWidth="1"/>
    <col min="2050" max="2050" width="14.25" style="46" customWidth="1"/>
    <col min="2051" max="2051" width="11.625" style="46" customWidth="1"/>
    <col min="2052" max="2053" width="9" style="46"/>
    <col min="2054" max="2054" width="26.375" style="46" customWidth="1"/>
    <col min="2055" max="2304" width="9" style="46"/>
    <col min="2305" max="2305" width="15.625" style="46" customWidth="1"/>
    <col min="2306" max="2306" width="14.25" style="46" customWidth="1"/>
    <col min="2307" max="2307" width="11.625" style="46" customWidth="1"/>
    <col min="2308" max="2309" width="9" style="46"/>
    <col min="2310" max="2310" width="26.375" style="46" customWidth="1"/>
    <col min="2311" max="2560" width="9" style="46"/>
    <col min="2561" max="2561" width="15.625" style="46" customWidth="1"/>
    <col min="2562" max="2562" width="14.25" style="46" customWidth="1"/>
    <col min="2563" max="2563" width="11.625" style="46" customWidth="1"/>
    <col min="2564" max="2565" width="9" style="46"/>
    <col min="2566" max="2566" width="26.375" style="46" customWidth="1"/>
    <col min="2567" max="2816" width="9" style="46"/>
    <col min="2817" max="2817" width="15.625" style="46" customWidth="1"/>
    <col min="2818" max="2818" width="14.25" style="46" customWidth="1"/>
    <col min="2819" max="2819" width="11.625" style="46" customWidth="1"/>
    <col min="2820" max="2821" width="9" style="46"/>
    <col min="2822" max="2822" width="26.375" style="46" customWidth="1"/>
    <col min="2823" max="3072" width="9" style="46"/>
    <col min="3073" max="3073" width="15.625" style="46" customWidth="1"/>
    <col min="3074" max="3074" width="14.25" style="46" customWidth="1"/>
    <col min="3075" max="3075" width="11.625" style="46" customWidth="1"/>
    <col min="3076" max="3077" width="9" style="46"/>
    <col min="3078" max="3078" width="26.375" style="46" customWidth="1"/>
    <col min="3079" max="3328" width="9" style="46"/>
    <col min="3329" max="3329" width="15.625" style="46" customWidth="1"/>
    <col min="3330" max="3330" width="14.25" style="46" customWidth="1"/>
    <col min="3331" max="3331" width="11.625" style="46" customWidth="1"/>
    <col min="3332" max="3333" width="9" style="46"/>
    <col min="3334" max="3334" width="26.375" style="46" customWidth="1"/>
    <col min="3335" max="3584" width="9" style="46"/>
    <col min="3585" max="3585" width="15.625" style="46" customWidth="1"/>
    <col min="3586" max="3586" width="14.25" style="46" customWidth="1"/>
    <col min="3587" max="3587" width="11.625" style="46" customWidth="1"/>
    <col min="3588" max="3589" width="9" style="46"/>
    <col min="3590" max="3590" width="26.375" style="46" customWidth="1"/>
    <col min="3591" max="3840" width="9" style="46"/>
    <col min="3841" max="3841" width="15.625" style="46" customWidth="1"/>
    <col min="3842" max="3842" width="14.25" style="46" customWidth="1"/>
    <col min="3843" max="3843" width="11.625" style="46" customWidth="1"/>
    <col min="3844" max="3845" width="9" style="46"/>
    <col min="3846" max="3846" width="26.375" style="46" customWidth="1"/>
    <col min="3847" max="4096" width="9" style="46"/>
    <col min="4097" max="4097" width="15.625" style="46" customWidth="1"/>
    <col min="4098" max="4098" width="14.25" style="46" customWidth="1"/>
    <col min="4099" max="4099" width="11.625" style="46" customWidth="1"/>
    <col min="4100" max="4101" width="9" style="46"/>
    <col min="4102" max="4102" width="26.375" style="46" customWidth="1"/>
    <col min="4103" max="4352" width="9" style="46"/>
    <col min="4353" max="4353" width="15.625" style="46" customWidth="1"/>
    <col min="4354" max="4354" width="14.25" style="46" customWidth="1"/>
    <col min="4355" max="4355" width="11.625" style="46" customWidth="1"/>
    <col min="4356" max="4357" width="9" style="46"/>
    <col min="4358" max="4358" width="26.375" style="46" customWidth="1"/>
    <col min="4359" max="4608" width="9" style="46"/>
    <col min="4609" max="4609" width="15.625" style="46" customWidth="1"/>
    <col min="4610" max="4610" width="14.25" style="46" customWidth="1"/>
    <col min="4611" max="4611" width="11.625" style="46" customWidth="1"/>
    <col min="4612" max="4613" width="9" style="46"/>
    <col min="4614" max="4614" width="26.375" style="46" customWidth="1"/>
    <col min="4615" max="4864" width="9" style="46"/>
    <col min="4865" max="4865" width="15.625" style="46" customWidth="1"/>
    <col min="4866" max="4866" width="14.25" style="46" customWidth="1"/>
    <col min="4867" max="4867" width="11.625" style="46" customWidth="1"/>
    <col min="4868" max="4869" width="9" style="46"/>
    <col min="4870" max="4870" width="26.375" style="46" customWidth="1"/>
    <col min="4871" max="5120" width="9" style="46"/>
    <col min="5121" max="5121" width="15.625" style="46" customWidth="1"/>
    <col min="5122" max="5122" width="14.25" style="46" customWidth="1"/>
    <col min="5123" max="5123" width="11.625" style="46" customWidth="1"/>
    <col min="5124" max="5125" width="9" style="46"/>
    <col min="5126" max="5126" width="26.375" style="46" customWidth="1"/>
    <col min="5127" max="5376" width="9" style="46"/>
    <col min="5377" max="5377" width="15.625" style="46" customWidth="1"/>
    <col min="5378" max="5378" width="14.25" style="46" customWidth="1"/>
    <col min="5379" max="5379" width="11.625" style="46" customWidth="1"/>
    <col min="5380" max="5381" width="9" style="46"/>
    <col min="5382" max="5382" width="26.375" style="46" customWidth="1"/>
    <col min="5383" max="5632" width="9" style="46"/>
    <col min="5633" max="5633" width="15.625" style="46" customWidth="1"/>
    <col min="5634" max="5634" width="14.25" style="46" customWidth="1"/>
    <col min="5635" max="5635" width="11.625" style="46" customWidth="1"/>
    <col min="5636" max="5637" width="9" style="46"/>
    <col min="5638" max="5638" width="26.375" style="46" customWidth="1"/>
    <col min="5639" max="5888" width="9" style="46"/>
    <col min="5889" max="5889" width="15.625" style="46" customWidth="1"/>
    <col min="5890" max="5890" width="14.25" style="46" customWidth="1"/>
    <col min="5891" max="5891" width="11.625" style="46" customWidth="1"/>
    <col min="5892" max="5893" width="9" style="46"/>
    <col min="5894" max="5894" width="26.375" style="46" customWidth="1"/>
    <col min="5895" max="6144" width="9" style="46"/>
    <col min="6145" max="6145" width="15.625" style="46" customWidth="1"/>
    <col min="6146" max="6146" width="14.25" style="46" customWidth="1"/>
    <col min="6147" max="6147" width="11.625" style="46" customWidth="1"/>
    <col min="6148" max="6149" width="9" style="46"/>
    <col min="6150" max="6150" width="26.375" style="46" customWidth="1"/>
    <col min="6151" max="6400" width="9" style="46"/>
    <col min="6401" max="6401" width="15.625" style="46" customWidth="1"/>
    <col min="6402" max="6402" width="14.25" style="46" customWidth="1"/>
    <col min="6403" max="6403" width="11.625" style="46" customWidth="1"/>
    <col min="6404" max="6405" width="9" style="46"/>
    <col min="6406" max="6406" width="26.375" style="46" customWidth="1"/>
    <col min="6407" max="6656" width="9" style="46"/>
    <col min="6657" max="6657" width="15.625" style="46" customWidth="1"/>
    <col min="6658" max="6658" width="14.25" style="46" customWidth="1"/>
    <col min="6659" max="6659" width="11.625" style="46" customWidth="1"/>
    <col min="6660" max="6661" width="9" style="46"/>
    <col min="6662" max="6662" width="26.375" style="46" customWidth="1"/>
    <col min="6663" max="6912" width="9" style="46"/>
    <col min="6913" max="6913" width="15.625" style="46" customWidth="1"/>
    <col min="6914" max="6914" width="14.25" style="46" customWidth="1"/>
    <col min="6915" max="6915" width="11.625" style="46" customWidth="1"/>
    <col min="6916" max="6917" width="9" style="46"/>
    <col min="6918" max="6918" width="26.375" style="46" customWidth="1"/>
    <col min="6919" max="7168" width="9" style="46"/>
    <col min="7169" max="7169" width="15.625" style="46" customWidth="1"/>
    <col min="7170" max="7170" width="14.25" style="46" customWidth="1"/>
    <col min="7171" max="7171" width="11.625" style="46" customWidth="1"/>
    <col min="7172" max="7173" width="9" style="46"/>
    <col min="7174" max="7174" width="26.375" style="46" customWidth="1"/>
    <col min="7175" max="7424" width="9" style="46"/>
    <col min="7425" max="7425" width="15.625" style="46" customWidth="1"/>
    <col min="7426" max="7426" width="14.25" style="46" customWidth="1"/>
    <col min="7427" max="7427" width="11.625" style="46" customWidth="1"/>
    <col min="7428" max="7429" width="9" style="46"/>
    <col min="7430" max="7430" width="26.375" style="46" customWidth="1"/>
    <col min="7431" max="7680" width="9" style="46"/>
    <col min="7681" max="7681" width="15.625" style="46" customWidth="1"/>
    <col min="7682" max="7682" width="14.25" style="46" customWidth="1"/>
    <col min="7683" max="7683" width="11.625" style="46" customWidth="1"/>
    <col min="7684" max="7685" width="9" style="46"/>
    <col min="7686" max="7686" width="26.375" style="46" customWidth="1"/>
    <col min="7687" max="7936" width="9" style="46"/>
    <col min="7937" max="7937" width="15.625" style="46" customWidth="1"/>
    <col min="7938" max="7938" width="14.25" style="46" customWidth="1"/>
    <col min="7939" max="7939" width="11.625" style="46" customWidth="1"/>
    <col min="7940" max="7941" width="9" style="46"/>
    <col min="7942" max="7942" width="26.375" style="46" customWidth="1"/>
    <col min="7943" max="8192" width="9" style="46"/>
    <col min="8193" max="8193" width="15.625" style="46" customWidth="1"/>
    <col min="8194" max="8194" width="14.25" style="46" customWidth="1"/>
    <col min="8195" max="8195" width="11.625" style="46" customWidth="1"/>
    <col min="8196" max="8197" width="9" style="46"/>
    <col min="8198" max="8198" width="26.375" style="46" customWidth="1"/>
    <col min="8199" max="8448" width="9" style="46"/>
    <col min="8449" max="8449" width="15.625" style="46" customWidth="1"/>
    <col min="8450" max="8450" width="14.25" style="46" customWidth="1"/>
    <col min="8451" max="8451" width="11.625" style="46" customWidth="1"/>
    <col min="8452" max="8453" width="9" style="46"/>
    <col min="8454" max="8454" width="26.375" style="46" customWidth="1"/>
    <col min="8455" max="8704" width="9" style="46"/>
    <col min="8705" max="8705" width="15.625" style="46" customWidth="1"/>
    <col min="8706" max="8706" width="14.25" style="46" customWidth="1"/>
    <col min="8707" max="8707" width="11.625" style="46" customWidth="1"/>
    <col min="8708" max="8709" width="9" style="46"/>
    <col min="8710" max="8710" width="26.375" style="46" customWidth="1"/>
    <col min="8711" max="8960" width="9" style="46"/>
    <col min="8961" max="8961" width="15.625" style="46" customWidth="1"/>
    <col min="8962" max="8962" width="14.25" style="46" customWidth="1"/>
    <col min="8963" max="8963" width="11.625" style="46" customWidth="1"/>
    <col min="8964" max="8965" width="9" style="46"/>
    <col min="8966" max="8966" width="26.375" style="46" customWidth="1"/>
    <col min="8967" max="9216" width="9" style="46"/>
    <col min="9217" max="9217" width="15.625" style="46" customWidth="1"/>
    <col min="9218" max="9218" width="14.25" style="46" customWidth="1"/>
    <col min="9219" max="9219" width="11.625" style="46" customWidth="1"/>
    <col min="9220" max="9221" width="9" style="46"/>
    <col min="9222" max="9222" width="26.375" style="46" customWidth="1"/>
    <col min="9223" max="9472" width="9" style="46"/>
    <col min="9473" max="9473" width="15.625" style="46" customWidth="1"/>
    <col min="9474" max="9474" width="14.25" style="46" customWidth="1"/>
    <col min="9475" max="9475" width="11.625" style="46" customWidth="1"/>
    <col min="9476" max="9477" width="9" style="46"/>
    <col min="9478" max="9478" width="26.375" style="46" customWidth="1"/>
    <col min="9479" max="9728" width="9" style="46"/>
    <col min="9729" max="9729" width="15.625" style="46" customWidth="1"/>
    <col min="9730" max="9730" width="14.25" style="46" customWidth="1"/>
    <col min="9731" max="9731" width="11.625" style="46" customWidth="1"/>
    <col min="9732" max="9733" width="9" style="46"/>
    <col min="9734" max="9734" width="26.375" style="46" customWidth="1"/>
    <col min="9735" max="9984" width="9" style="46"/>
    <col min="9985" max="9985" width="15.625" style="46" customWidth="1"/>
    <col min="9986" max="9986" width="14.25" style="46" customWidth="1"/>
    <col min="9987" max="9987" width="11.625" style="46" customWidth="1"/>
    <col min="9988" max="9989" width="9" style="46"/>
    <col min="9990" max="9990" width="26.375" style="46" customWidth="1"/>
    <col min="9991" max="10240" width="9" style="46"/>
    <col min="10241" max="10241" width="15.625" style="46" customWidth="1"/>
    <col min="10242" max="10242" width="14.25" style="46" customWidth="1"/>
    <col min="10243" max="10243" width="11.625" style="46" customWidth="1"/>
    <col min="10244" max="10245" width="9" style="46"/>
    <col min="10246" max="10246" width="26.375" style="46" customWidth="1"/>
    <col min="10247" max="10496" width="9" style="46"/>
    <col min="10497" max="10497" width="15.625" style="46" customWidth="1"/>
    <col min="10498" max="10498" width="14.25" style="46" customWidth="1"/>
    <col min="10499" max="10499" width="11.625" style="46" customWidth="1"/>
    <col min="10500" max="10501" width="9" style="46"/>
    <col min="10502" max="10502" width="26.375" style="46" customWidth="1"/>
    <col min="10503" max="10752" width="9" style="46"/>
    <col min="10753" max="10753" width="15.625" style="46" customWidth="1"/>
    <col min="10754" max="10754" width="14.25" style="46" customWidth="1"/>
    <col min="10755" max="10755" width="11.625" style="46" customWidth="1"/>
    <col min="10756" max="10757" width="9" style="46"/>
    <col min="10758" max="10758" width="26.375" style="46" customWidth="1"/>
    <col min="10759" max="11008" width="9" style="46"/>
    <col min="11009" max="11009" width="15.625" style="46" customWidth="1"/>
    <col min="11010" max="11010" width="14.25" style="46" customWidth="1"/>
    <col min="11011" max="11011" width="11.625" style="46" customWidth="1"/>
    <col min="11012" max="11013" width="9" style="46"/>
    <col min="11014" max="11014" width="26.375" style="46" customWidth="1"/>
    <col min="11015" max="11264" width="9" style="46"/>
    <col min="11265" max="11265" width="15.625" style="46" customWidth="1"/>
    <col min="11266" max="11266" width="14.25" style="46" customWidth="1"/>
    <col min="11267" max="11267" width="11.625" style="46" customWidth="1"/>
    <col min="11268" max="11269" width="9" style="46"/>
    <col min="11270" max="11270" width="26.375" style="46" customWidth="1"/>
    <col min="11271" max="11520" width="9" style="46"/>
    <col min="11521" max="11521" width="15.625" style="46" customWidth="1"/>
    <col min="11522" max="11522" width="14.25" style="46" customWidth="1"/>
    <col min="11523" max="11523" width="11.625" style="46" customWidth="1"/>
    <col min="11524" max="11525" width="9" style="46"/>
    <col min="11526" max="11526" width="26.375" style="46" customWidth="1"/>
    <col min="11527" max="11776" width="9" style="46"/>
    <col min="11777" max="11777" width="15.625" style="46" customWidth="1"/>
    <col min="11778" max="11778" width="14.25" style="46" customWidth="1"/>
    <col min="11779" max="11779" width="11.625" style="46" customWidth="1"/>
    <col min="11780" max="11781" width="9" style="46"/>
    <col min="11782" max="11782" width="26.375" style="46" customWidth="1"/>
    <col min="11783" max="12032" width="9" style="46"/>
    <col min="12033" max="12033" width="15.625" style="46" customWidth="1"/>
    <col min="12034" max="12034" width="14.25" style="46" customWidth="1"/>
    <col min="12035" max="12035" width="11.625" style="46" customWidth="1"/>
    <col min="12036" max="12037" width="9" style="46"/>
    <col min="12038" max="12038" width="26.375" style="46" customWidth="1"/>
    <col min="12039" max="12288" width="9" style="46"/>
    <col min="12289" max="12289" width="15.625" style="46" customWidth="1"/>
    <col min="12290" max="12290" width="14.25" style="46" customWidth="1"/>
    <col min="12291" max="12291" width="11.625" style="46" customWidth="1"/>
    <col min="12292" max="12293" width="9" style="46"/>
    <col min="12294" max="12294" width="26.375" style="46" customWidth="1"/>
    <col min="12295" max="12544" width="9" style="46"/>
    <col min="12545" max="12545" width="15.625" style="46" customWidth="1"/>
    <col min="12546" max="12546" width="14.25" style="46" customWidth="1"/>
    <col min="12547" max="12547" width="11.625" style="46" customWidth="1"/>
    <col min="12548" max="12549" width="9" style="46"/>
    <col min="12550" max="12550" width="26.375" style="46" customWidth="1"/>
    <col min="12551" max="12800" width="9" style="46"/>
    <col min="12801" max="12801" width="15.625" style="46" customWidth="1"/>
    <col min="12802" max="12802" width="14.25" style="46" customWidth="1"/>
    <col min="12803" max="12803" width="11.625" style="46" customWidth="1"/>
    <col min="12804" max="12805" width="9" style="46"/>
    <col min="12806" max="12806" width="26.375" style="46" customWidth="1"/>
    <col min="12807" max="13056" width="9" style="46"/>
    <col min="13057" max="13057" width="15.625" style="46" customWidth="1"/>
    <col min="13058" max="13058" width="14.25" style="46" customWidth="1"/>
    <col min="13059" max="13059" width="11.625" style="46" customWidth="1"/>
    <col min="13060" max="13061" width="9" style="46"/>
    <col min="13062" max="13062" width="26.375" style="46" customWidth="1"/>
    <col min="13063" max="13312" width="9" style="46"/>
    <col min="13313" max="13313" width="15.625" style="46" customWidth="1"/>
    <col min="13314" max="13314" width="14.25" style="46" customWidth="1"/>
    <col min="13315" max="13315" width="11.625" style="46" customWidth="1"/>
    <col min="13316" max="13317" width="9" style="46"/>
    <col min="13318" max="13318" width="26.375" style="46" customWidth="1"/>
    <col min="13319" max="13568" width="9" style="46"/>
    <col min="13569" max="13569" width="15.625" style="46" customWidth="1"/>
    <col min="13570" max="13570" width="14.25" style="46" customWidth="1"/>
    <col min="13571" max="13571" width="11.625" style="46" customWidth="1"/>
    <col min="13572" max="13573" width="9" style="46"/>
    <col min="13574" max="13574" width="26.375" style="46" customWidth="1"/>
    <col min="13575" max="13824" width="9" style="46"/>
    <col min="13825" max="13825" width="15.625" style="46" customWidth="1"/>
    <col min="13826" max="13826" width="14.25" style="46" customWidth="1"/>
    <col min="13827" max="13827" width="11.625" style="46" customWidth="1"/>
    <col min="13828" max="13829" width="9" style="46"/>
    <col min="13830" max="13830" width="26.375" style="46" customWidth="1"/>
    <col min="13831" max="14080" width="9" style="46"/>
    <col min="14081" max="14081" width="15.625" style="46" customWidth="1"/>
    <col min="14082" max="14082" width="14.25" style="46" customWidth="1"/>
    <col min="14083" max="14083" width="11.625" style="46" customWidth="1"/>
    <col min="14084" max="14085" width="9" style="46"/>
    <col min="14086" max="14086" width="26.375" style="46" customWidth="1"/>
    <col min="14087" max="14336" width="9" style="46"/>
    <col min="14337" max="14337" width="15.625" style="46" customWidth="1"/>
    <col min="14338" max="14338" width="14.25" style="46" customWidth="1"/>
    <col min="14339" max="14339" width="11.625" style="46" customWidth="1"/>
    <col min="14340" max="14341" width="9" style="46"/>
    <col min="14342" max="14342" width="26.375" style="46" customWidth="1"/>
    <col min="14343" max="14592" width="9" style="46"/>
    <col min="14593" max="14593" width="15.625" style="46" customWidth="1"/>
    <col min="14594" max="14594" width="14.25" style="46" customWidth="1"/>
    <col min="14595" max="14595" width="11.625" style="46" customWidth="1"/>
    <col min="14596" max="14597" width="9" style="46"/>
    <col min="14598" max="14598" width="26.375" style="46" customWidth="1"/>
    <col min="14599" max="14848" width="9" style="46"/>
    <col min="14849" max="14849" width="15.625" style="46" customWidth="1"/>
    <col min="14850" max="14850" width="14.25" style="46" customWidth="1"/>
    <col min="14851" max="14851" width="11.625" style="46" customWidth="1"/>
    <col min="14852" max="14853" width="9" style="46"/>
    <col min="14854" max="14854" width="26.375" style="46" customWidth="1"/>
    <col min="14855" max="15104" width="9" style="46"/>
    <col min="15105" max="15105" width="15.625" style="46" customWidth="1"/>
    <col min="15106" max="15106" width="14.25" style="46" customWidth="1"/>
    <col min="15107" max="15107" width="11.625" style="46" customWidth="1"/>
    <col min="15108" max="15109" width="9" style="46"/>
    <col min="15110" max="15110" width="26.375" style="46" customWidth="1"/>
    <col min="15111" max="15360" width="9" style="46"/>
    <col min="15361" max="15361" width="15.625" style="46" customWidth="1"/>
    <col min="15362" max="15362" width="14.25" style="46" customWidth="1"/>
    <col min="15363" max="15363" width="11.625" style="46" customWidth="1"/>
    <col min="15364" max="15365" width="9" style="46"/>
    <col min="15366" max="15366" width="26.375" style="46" customWidth="1"/>
    <col min="15367" max="15616" width="9" style="46"/>
    <col min="15617" max="15617" width="15.625" style="46" customWidth="1"/>
    <col min="15618" max="15618" width="14.25" style="46" customWidth="1"/>
    <col min="15619" max="15619" width="11.625" style="46" customWidth="1"/>
    <col min="15620" max="15621" width="9" style="46"/>
    <col min="15622" max="15622" width="26.375" style="46" customWidth="1"/>
    <col min="15623" max="15872" width="9" style="46"/>
    <col min="15873" max="15873" width="15.625" style="46" customWidth="1"/>
    <col min="15874" max="15874" width="14.25" style="46" customWidth="1"/>
    <col min="15875" max="15875" width="11.625" style="46" customWidth="1"/>
    <col min="15876" max="15877" width="9" style="46"/>
    <col min="15878" max="15878" width="26.375" style="46" customWidth="1"/>
    <col min="15879" max="16128" width="9" style="46"/>
    <col min="16129" max="16129" width="15.625" style="46" customWidth="1"/>
    <col min="16130" max="16130" width="14.25" style="46" customWidth="1"/>
    <col min="16131" max="16131" width="11.625" style="46" customWidth="1"/>
    <col min="16132" max="16133" width="9" style="46"/>
    <col min="16134" max="16134" width="26.375" style="46" customWidth="1"/>
    <col min="16135" max="16384" width="9" style="46"/>
  </cols>
  <sheetData>
    <row r="1" spans="1:6">
      <c r="A1" s="484" t="s">
        <v>20</v>
      </c>
      <c r="B1" s="484"/>
      <c r="C1" s="484"/>
      <c r="D1" s="484"/>
      <c r="E1" s="484"/>
      <c r="F1" s="484"/>
    </row>
    <row r="2" spans="1:6">
      <c r="A2" s="484"/>
      <c r="B2" s="484"/>
      <c r="C2" s="484"/>
      <c r="D2" s="484"/>
      <c r="E2" s="484"/>
      <c r="F2" s="484"/>
    </row>
    <row r="3" spans="1:6" ht="15" customHeight="1">
      <c r="A3" s="445"/>
      <c r="B3" s="445"/>
      <c r="C3" s="445"/>
      <c r="D3" s="445"/>
      <c r="E3" s="445"/>
      <c r="F3" s="445"/>
    </row>
    <row r="4" spans="1:6">
      <c r="A4" s="381"/>
      <c r="B4" s="485" t="s">
        <v>21</v>
      </c>
      <c r="C4" s="485"/>
      <c r="D4" s="485"/>
      <c r="E4" s="485"/>
      <c r="F4" s="485"/>
    </row>
    <row r="5" spans="1:6" ht="13.5">
      <c r="A5" s="381"/>
      <c r="B5" s="446" t="s">
        <v>22</v>
      </c>
      <c r="C5" s="446" t="s">
        <v>23</v>
      </c>
      <c r="D5" s="447" t="s">
        <v>24</v>
      </c>
      <c r="E5" s="446" t="s">
        <v>25</v>
      </c>
      <c r="F5" s="446" t="s">
        <v>26</v>
      </c>
    </row>
    <row r="6" spans="1:6" ht="12.75" customHeight="1">
      <c r="A6" s="381"/>
      <c r="B6" s="448" t="s">
        <v>27</v>
      </c>
      <c r="C6" s="449">
        <v>40784</v>
      </c>
      <c r="D6" s="450" t="s">
        <v>28</v>
      </c>
      <c r="E6" s="450" t="s">
        <v>29</v>
      </c>
      <c r="F6" s="450" t="s">
        <v>30</v>
      </c>
    </row>
    <row r="7" spans="1:6" ht="12.75" customHeight="1">
      <c r="A7" s="381"/>
      <c r="B7" s="155" t="s">
        <v>31</v>
      </c>
      <c r="C7" s="451">
        <v>40886</v>
      </c>
      <c r="D7" s="450" t="s">
        <v>32</v>
      </c>
      <c r="E7" s="450" t="s">
        <v>33</v>
      </c>
      <c r="F7" s="450" t="s">
        <v>34</v>
      </c>
    </row>
    <row r="8" spans="1:6" ht="27.75" customHeight="1">
      <c r="A8" s="381"/>
      <c r="B8" s="450" t="s">
        <v>35</v>
      </c>
      <c r="C8" s="451">
        <v>41501</v>
      </c>
      <c r="D8" s="450" t="s">
        <v>32</v>
      </c>
      <c r="E8" s="450" t="s">
        <v>33</v>
      </c>
      <c r="F8" s="452" t="s">
        <v>36</v>
      </c>
    </row>
    <row r="9" spans="1:6" ht="18.75" customHeight="1">
      <c r="A9" s="381"/>
      <c r="B9" s="450" t="s">
        <v>37</v>
      </c>
      <c r="C9" s="451">
        <v>41978</v>
      </c>
      <c r="D9" s="450" t="s">
        <v>32</v>
      </c>
      <c r="E9" s="450" t="s">
        <v>33</v>
      </c>
      <c r="F9" s="452" t="s">
        <v>38</v>
      </c>
    </row>
    <row r="10" spans="1:6" ht="21" customHeight="1">
      <c r="A10" s="381"/>
      <c r="B10" s="450" t="s">
        <v>39</v>
      </c>
      <c r="C10" s="451">
        <v>42124</v>
      </c>
      <c r="D10" s="450" t="s">
        <v>32</v>
      </c>
      <c r="E10" s="450" t="s">
        <v>33</v>
      </c>
      <c r="F10" s="452" t="s">
        <v>40</v>
      </c>
    </row>
    <row r="11" spans="1:6">
      <c r="A11" s="381"/>
      <c r="B11" s="381"/>
      <c r="C11" s="381"/>
      <c r="D11" s="381"/>
      <c r="E11" s="381"/>
      <c r="F11" s="381"/>
    </row>
    <row r="12" spans="1:6" ht="68.25" customHeight="1">
      <c r="A12" s="481" t="s">
        <v>41</v>
      </c>
      <c r="B12" s="453" t="s">
        <v>42</v>
      </c>
      <c r="C12" s="486" t="s">
        <v>535</v>
      </c>
      <c r="D12" s="487"/>
      <c r="E12" s="487"/>
      <c r="F12" s="487"/>
    </row>
    <row r="13" spans="1:6" ht="68.25" customHeight="1">
      <c r="A13" s="482"/>
      <c r="B13" s="453" t="s">
        <v>43</v>
      </c>
      <c r="C13" s="487" t="s">
        <v>536</v>
      </c>
      <c r="D13" s="487"/>
      <c r="E13" s="487"/>
      <c r="F13" s="487"/>
    </row>
    <row r="14" spans="1:6" ht="68.25" customHeight="1">
      <c r="A14" s="482"/>
      <c r="B14" s="453" t="s">
        <v>44</v>
      </c>
      <c r="C14" s="487" t="s">
        <v>537</v>
      </c>
      <c r="D14" s="487"/>
      <c r="E14" s="487"/>
      <c r="F14" s="487"/>
    </row>
    <row r="15" spans="1:6" ht="68.25" customHeight="1">
      <c r="A15" s="483"/>
      <c r="B15" s="453" t="s">
        <v>45</v>
      </c>
      <c r="C15" s="487" t="s">
        <v>46</v>
      </c>
      <c r="D15" s="487"/>
      <c r="E15" s="487"/>
      <c r="F15" s="487"/>
    </row>
    <row r="16" spans="1:6" ht="14.25">
      <c r="A16" s="454"/>
    </row>
    <row r="17" spans="1:1" ht="14.25">
      <c r="A17" s="455"/>
    </row>
    <row r="18" spans="1:1" ht="14.25">
      <c r="A18" s="456" t="s">
        <v>47</v>
      </c>
    </row>
    <row r="19" spans="1:1">
      <c r="A19" s="457"/>
    </row>
    <row r="20" spans="1:1" ht="14.25">
      <c r="A20" s="458"/>
    </row>
    <row r="21" spans="1:1" ht="14.25">
      <c r="A21" s="459"/>
    </row>
  </sheetData>
  <mergeCells count="7">
    <mergeCell ref="A12:A15"/>
    <mergeCell ref="A1:F2"/>
    <mergeCell ref="B4:F4"/>
    <mergeCell ref="C12:F12"/>
    <mergeCell ref="C13:F13"/>
    <mergeCell ref="C14:F14"/>
    <mergeCell ref="C15:F15"/>
  </mergeCells>
  <phoneticPr fontId="126"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topLeftCell="A10" workbookViewId="0">
      <selection activeCell="J22" sqref="J22"/>
    </sheetView>
  </sheetViews>
  <sheetFormatPr defaultColWidth="9" defaultRowHeight="16.5"/>
  <cols>
    <col min="1" max="2" width="9" style="418" customWidth="1"/>
    <col min="3" max="3" width="6.625" style="418" customWidth="1"/>
    <col min="4" max="4" width="16.5" style="418" customWidth="1"/>
    <col min="5" max="5" width="10.875" style="419" customWidth="1"/>
    <col min="6" max="6" width="10.375" style="418" customWidth="1"/>
    <col min="7" max="7" width="9" style="418" customWidth="1"/>
    <col min="8" max="8" width="10" style="418" customWidth="1"/>
    <col min="9" max="253" width="9" style="418"/>
    <col min="254" max="255" width="9" style="418" customWidth="1"/>
    <col min="256" max="256" width="6.625" style="418" customWidth="1"/>
    <col min="257" max="257" width="16.5" style="418" customWidth="1"/>
    <col min="258" max="258" width="10.875" style="418" customWidth="1"/>
    <col min="259" max="259" width="9" style="418" customWidth="1"/>
    <col min="260" max="260" width="9.75" style="418" customWidth="1"/>
    <col min="261" max="262" width="9" style="418" customWidth="1"/>
    <col min="263" max="263" width="6.125" style="418" customWidth="1"/>
    <col min="264" max="264" width="10" style="418" customWidth="1"/>
    <col min="265" max="509" width="9" style="418"/>
    <col min="510" max="511" width="9" style="418" customWidth="1"/>
    <col min="512" max="512" width="6.625" style="418" customWidth="1"/>
    <col min="513" max="513" width="16.5" style="418" customWidth="1"/>
    <col min="514" max="514" width="10.875" style="418" customWidth="1"/>
    <col min="515" max="515" width="9" style="418" customWidth="1"/>
    <col min="516" max="516" width="9.75" style="418" customWidth="1"/>
    <col min="517" max="518" width="9" style="418" customWidth="1"/>
    <col min="519" max="519" width="6.125" style="418" customWidth="1"/>
    <col min="520" max="520" width="10" style="418" customWidth="1"/>
    <col min="521" max="765" width="9" style="418"/>
    <col min="766" max="767" width="9" style="418" customWidth="1"/>
    <col min="768" max="768" width="6.625" style="418" customWidth="1"/>
    <col min="769" max="769" width="16.5" style="418" customWidth="1"/>
    <col min="770" max="770" width="10.875" style="418" customWidth="1"/>
    <col min="771" max="771" width="9" style="418" customWidth="1"/>
    <col min="772" max="772" width="9.75" style="418" customWidth="1"/>
    <col min="773" max="774" width="9" style="418" customWidth="1"/>
    <col min="775" max="775" width="6.125" style="418" customWidth="1"/>
    <col min="776" max="776" width="10" style="418" customWidth="1"/>
    <col min="777" max="1021" width="9" style="418"/>
    <col min="1022" max="1023" width="9" style="418" customWidth="1"/>
    <col min="1024" max="1024" width="6.625" style="418" customWidth="1"/>
    <col min="1025" max="1025" width="16.5" style="418" customWidth="1"/>
    <col min="1026" max="1026" width="10.875" style="418" customWidth="1"/>
    <col min="1027" max="1027" width="9" style="418" customWidth="1"/>
    <col min="1028" max="1028" width="9.75" style="418" customWidth="1"/>
    <col min="1029" max="1030" width="9" style="418" customWidth="1"/>
    <col min="1031" max="1031" width="6.125" style="418" customWidth="1"/>
    <col min="1032" max="1032" width="10" style="418" customWidth="1"/>
    <col min="1033" max="1277" width="9" style="418"/>
    <col min="1278" max="1279" width="9" style="418" customWidth="1"/>
    <col min="1280" max="1280" width="6.625" style="418" customWidth="1"/>
    <col min="1281" max="1281" width="16.5" style="418" customWidth="1"/>
    <col min="1282" max="1282" width="10.875" style="418" customWidth="1"/>
    <col min="1283" max="1283" width="9" style="418" customWidth="1"/>
    <col min="1284" max="1284" width="9.75" style="418" customWidth="1"/>
    <col min="1285" max="1286" width="9" style="418" customWidth="1"/>
    <col min="1287" max="1287" width="6.125" style="418" customWidth="1"/>
    <col min="1288" max="1288" width="10" style="418" customWidth="1"/>
    <col min="1289" max="1533" width="9" style="418"/>
    <col min="1534" max="1535" width="9" style="418" customWidth="1"/>
    <col min="1536" max="1536" width="6.625" style="418" customWidth="1"/>
    <col min="1537" max="1537" width="16.5" style="418" customWidth="1"/>
    <col min="1538" max="1538" width="10.875" style="418" customWidth="1"/>
    <col min="1539" max="1539" width="9" style="418" customWidth="1"/>
    <col min="1540" max="1540" width="9.75" style="418" customWidth="1"/>
    <col min="1541" max="1542" width="9" style="418" customWidth="1"/>
    <col min="1543" max="1543" width="6.125" style="418" customWidth="1"/>
    <col min="1544" max="1544" width="10" style="418" customWidth="1"/>
    <col min="1545" max="1789" width="9" style="418"/>
    <col min="1790" max="1791" width="9" style="418" customWidth="1"/>
    <col min="1792" max="1792" width="6.625" style="418" customWidth="1"/>
    <col min="1793" max="1793" width="16.5" style="418" customWidth="1"/>
    <col min="1794" max="1794" width="10.875" style="418" customWidth="1"/>
    <col min="1795" max="1795" width="9" style="418" customWidth="1"/>
    <col min="1796" max="1796" width="9.75" style="418" customWidth="1"/>
    <col min="1797" max="1798" width="9" style="418" customWidth="1"/>
    <col min="1799" max="1799" width="6.125" style="418" customWidth="1"/>
    <col min="1800" max="1800" width="10" style="418" customWidth="1"/>
    <col min="1801" max="2045" width="9" style="418"/>
    <col min="2046" max="2047" width="9" style="418" customWidth="1"/>
    <col min="2048" max="2048" width="6.625" style="418" customWidth="1"/>
    <col min="2049" max="2049" width="16.5" style="418" customWidth="1"/>
    <col min="2050" max="2050" width="10.875" style="418" customWidth="1"/>
    <col min="2051" max="2051" width="9" style="418" customWidth="1"/>
    <col min="2052" max="2052" width="9.75" style="418" customWidth="1"/>
    <col min="2053" max="2054" width="9" style="418" customWidth="1"/>
    <col min="2055" max="2055" width="6.125" style="418" customWidth="1"/>
    <col min="2056" max="2056" width="10" style="418" customWidth="1"/>
    <col min="2057" max="2301" width="9" style="418"/>
    <col min="2302" max="2303" width="9" style="418" customWidth="1"/>
    <col min="2304" max="2304" width="6.625" style="418" customWidth="1"/>
    <col min="2305" max="2305" width="16.5" style="418" customWidth="1"/>
    <col min="2306" max="2306" width="10.875" style="418" customWidth="1"/>
    <col min="2307" max="2307" width="9" style="418" customWidth="1"/>
    <col min="2308" max="2308" width="9.75" style="418" customWidth="1"/>
    <col min="2309" max="2310" width="9" style="418" customWidth="1"/>
    <col min="2311" max="2311" width="6.125" style="418" customWidth="1"/>
    <col min="2312" max="2312" width="10" style="418" customWidth="1"/>
    <col min="2313" max="2557" width="9" style="418"/>
    <col min="2558" max="2559" width="9" style="418" customWidth="1"/>
    <col min="2560" max="2560" width="6.625" style="418" customWidth="1"/>
    <col min="2561" max="2561" width="16.5" style="418" customWidth="1"/>
    <col min="2562" max="2562" width="10.875" style="418" customWidth="1"/>
    <col min="2563" max="2563" width="9" style="418" customWidth="1"/>
    <col min="2564" max="2564" width="9.75" style="418" customWidth="1"/>
    <col min="2565" max="2566" width="9" style="418" customWidth="1"/>
    <col min="2567" max="2567" width="6.125" style="418" customWidth="1"/>
    <col min="2568" max="2568" width="10" style="418" customWidth="1"/>
    <col min="2569" max="2813" width="9" style="418"/>
    <col min="2814" max="2815" width="9" style="418" customWidth="1"/>
    <col min="2816" max="2816" width="6.625" style="418" customWidth="1"/>
    <col min="2817" max="2817" width="16.5" style="418" customWidth="1"/>
    <col min="2818" max="2818" width="10.875" style="418" customWidth="1"/>
    <col min="2819" max="2819" width="9" style="418" customWidth="1"/>
    <col min="2820" max="2820" width="9.75" style="418" customWidth="1"/>
    <col min="2821" max="2822" width="9" style="418" customWidth="1"/>
    <col min="2823" max="2823" width="6.125" style="418" customWidth="1"/>
    <col min="2824" max="2824" width="10" style="418" customWidth="1"/>
    <col min="2825" max="3069" width="9" style="418"/>
    <col min="3070" max="3071" width="9" style="418" customWidth="1"/>
    <col min="3072" max="3072" width="6.625" style="418" customWidth="1"/>
    <col min="3073" max="3073" width="16.5" style="418" customWidth="1"/>
    <col min="3074" max="3074" width="10.875" style="418" customWidth="1"/>
    <col min="3075" max="3075" width="9" style="418" customWidth="1"/>
    <col min="3076" max="3076" width="9.75" style="418" customWidth="1"/>
    <col min="3077" max="3078" width="9" style="418" customWidth="1"/>
    <col min="3079" max="3079" width="6.125" style="418" customWidth="1"/>
    <col min="3080" max="3080" width="10" style="418" customWidth="1"/>
    <col min="3081" max="3325" width="9" style="418"/>
    <col min="3326" max="3327" width="9" style="418" customWidth="1"/>
    <col min="3328" max="3328" width="6.625" style="418" customWidth="1"/>
    <col min="3329" max="3329" width="16.5" style="418" customWidth="1"/>
    <col min="3330" max="3330" width="10.875" style="418" customWidth="1"/>
    <col min="3331" max="3331" width="9" style="418" customWidth="1"/>
    <col min="3332" max="3332" width="9.75" style="418" customWidth="1"/>
    <col min="3333" max="3334" width="9" style="418" customWidth="1"/>
    <col min="3335" max="3335" width="6.125" style="418" customWidth="1"/>
    <col min="3336" max="3336" width="10" style="418" customWidth="1"/>
    <col min="3337" max="3581" width="9" style="418"/>
    <col min="3582" max="3583" width="9" style="418" customWidth="1"/>
    <col min="3584" max="3584" width="6.625" style="418" customWidth="1"/>
    <col min="3585" max="3585" width="16.5" style="418" customWidth="1"/>
    <col min="3586" max="3586" width="10.875" style="418" customWidth="1"/>
    <col min="3587" max="3587" width="9" style="418" customWidth="1"/>
    <col min="3588" max="3588" width="9.75" style="418" customWidth="1"/>
    <col min="3589" max="3590" width="9" style="418" customWidth="1"/>
    <col min="3591" max="3591" width="6.125" style="418" customWidth="1"/>
    <col min="3592" max="3592" width="10" style="418" customWidth="1"/>
    <col min="3593" max="3837" width="9" style="418"/>
    <col min="3838" max="3839" width="9" style="418" customWidth="1"/>
    <col min="3840" max="3840" width="6.625" style="418" customWidth="1"/>
    <col min="3841" max="3841" width="16.5" style="418" customWidth="1"/>
    <col min="3842" max="3842" width="10.875" style="418" customWidth="1"/>
    <col min="3843" max="3843" width="9" style="418" customWidth="1"/>
    <col min="3844" max="3844" width="9.75" style="418" customWidth="1"/>
    <col min="3845" max="3846" width="9" style="418" customWidth="1"/>
    <col min="3847" max="3847" width="6.125" style="418" customWidth="1"/>
    <col min="3848" max="3848" width="10" style="418" customWidth="1"/>
    <col min="3849" max="4093" width="9" style="418"/>
    <col min="4094" max="4095" width="9" style="418" customWidth="1"/>
    <col min="4096" max="4096" width="6.625" style="418" customWidth="1"/>
    <col min="4097" max="4097" width="16.5" style="418" customWidth="1"/>
    <col min="4098" max="4098" width="10.875" style="418" customWidth="1"/>
    <col min="4099" max="4099" width="9" style="418" customWidth="1"/>
    <col min="4100" max="4100" width="9.75" style="418" customWidth="1"/>
    <col min="4101" max="4102" width="9" style="418" customWidth="1"/>
    <col min="4103" max="4103" width="6.125" style="418" customWidth="1"/>
    <col min="4104" max="4104" width="10" style="418" customWidth="1"/>
    <col min="4105" max="4349" width="9" style="418"/>
    <col min="4350" max="4351" width="9" style="418" customWidth="1"/>
    <col min="4352" max="4352" width="6.625" style="418" customWidth="1"/>
    <col min="4353" max="4353" width="16.5" style="418" customWidth="1"/>
    <col min="4354" max="4354" width="10.875" style="418" customWidth="1"/>
    <col min="4355" max="4355" width="9" style="418" customWidth="1"/>
    <col min="4356" max="4356" width="9.75" style="418" customWidth="1"/>
    <col min="4357" max="4358" width="9" style="418" customWidth="1"/>
    <col min="4359" max="4359" width="6.125" style="418" customWidth="1"/>
    <col min="4360" max="4360" width="10" style="418" customWidth="1"/>
    <col min="4361" max="4605" width="9" style="418"/>
    <col min="4606" max="4607" width="9" style="418" customWidth="1"/>
    <col min="4608" max="4608" width="6.625" style="418" customWidth="1"/>
    <col min="4609" max="4609" width="16.5" style="418" customWidth="1"/>
    <col min="4610" max="4610" width="10.875" style="418" customWidth="1"/>
    <col min="4611" max="4611" width="9" style="418" customWidth="1"/>
    <col min="4612" max="4612" width="9.75" style="418" customWidth="1"/>
    <col min="4613" max="4614" width="9" style="418" customWidth="1"/>
    <col min="4615" max="4615" width="6.125" style="418" customWidth="1"/>
    <col min="4616" max="4616" width="10" style="418" customWidth="1"/>
    <col min="4617" max="4861" width="9" style="418"/>
    <col min="4862" max="4863" width="9" style="418" customWidth="1"/>
    <col min="4864" max="4864" width="6.625" style="418" customWidth="1"/>
    <col min="4865" max="4865" width="16.5" style="418" customWidth="1"/>
    <col min="4866" max="4866" width="10.875" style="418" customWidth="1"/>
    <col min="4867" max="4867" width="9" style="418" customWidth="1"/>
    <col min="4868" max="4868" width="9.75" style="418" customWidth="1"/>
    <col min="4869" max="4870" width="9" style="418" customWidth="1"/>
    <col min="4871" max="4871" width="6.125" style="418" customWidth="1"/>
    <col min="4872" max="4872" width="10" style="418" customWidth="1"/>
    <col min="4873" max="5117" width="9" style="418"/>
    <col min="5118" max="5119" width="9" style="418" customWidth="1"/>
    <col min="5120" max="5120" width="6.625" style="418" customWidth="1"/>
    <col min="5121" max="5121" width="16.5" style="418" customWidth="1"/>
    <col min="5122" max="5122" width="10.875" style="418" customWidth="1"/>
    <col min="5123" max="5123" width="9" style="418" customWidth="1"/>
    <col min="5124" max="5124" width="9.75" style="418" customWidth="1"/>
    <col min="5125" max="5126" width="9" style="418" customWidth="1"/>
    <col min="5127" max="5127" width="6.125" style="418" customWidth="1"/>
    <col min="5128" max="5128" width="10" style="418" customWidth="1"/>
    <col min="5129" max="5373" width="9" style="418"/>
    <col min="5374" max="5375" width="9" style="418" customWidth="1"/>
    <col min="5376" max="5376" width="6.625" style="418" customWidth="1"/>
    <col min="5377" max="5377" width="16.5" style="418" customWidth="1"/>
    <col min="5378" max="5378" width="10.875" style="418" customWidth="1"/>
    <col min="5379" max="5379" width="9" style="418" customWidth="1"/>
    <col min="5380" max="5380" width="9.75" style="418" customWidth="1"/>
    <col min="5381" max="5382" width="9" style="418" customWidth="1"/>
    <col min="5383" max="5383" width="6.125" style="418" customWidth="1"/>
    <col min="5384" max="5384" width="10" style="418" customWidth="1"/>
    <col min="5385" max="5629" width="9" style="418"/>
    <col min="5630" max="5631" width="9" style="418" customWidth="1"/>
    <col min="5632" max="5632" width="6.625" style="418" customWidth="1"/>
    <col min="5633" max="5633" width="16.5" style="418" customWidth="1"/>
    <col min="5634" max="5634" width="10.875" style="418" customWidth="1"/>
    <col min="5635" max="5635" width="9" style="418" customWidth="1"/>
    <col min="5636" max="5636" width="9.75" style="418" customWidth="1"/>
    <col min="5637" max="5638" width="9" style="418" customWidth="1"/>
    <col min="5639" max="5639" width="6.125" style="418" customWidth="1"/>
    <col min="5640" max="5640" width="10" style="418" customWidth="1"/>
    <col min="5641" max="5885" width="9" style="418"/>
    <col min="5886" max="5887" width="9" style="418" customWidth="1"/>
    <col min="5888" max="5888" width="6.625" style="418" customWidth="1"/>
    <col min="5889" max="5889" width="16.5" style="418" customWidth="1"/>
    <col min="5890" max="5890" width="10.875" style="418" customWidth="1"/>
    <col min="5891" max="5891" width="9" style="418" customWidth="1"/>
    <col min="5892" max="5892" width="9.75" style="418" customWidth="1"/>
    <col min="5893" max="5894" width="9" style="418" customWidth="1"/>
    <col min="5895" max="5895" width="6.125" style="418" customWidth="1"/>
    <col min="5896" max="5896" width="10" style="418" customWidth="1"/>
    <col min="5897" max="6141" width="9" style="418"/>
    <col min="6142" max="6143" width="9" style="418" customWidth="1"/>
    <col min="6144" max="6144" width="6.625" style="418" customWidth="1"/>
    <col min="6145" max="6145" width="16.5" style="418" customWidth="1"/>
    <col min="6146" max="6146" width="10.875" style="418" customWidth="1"/>
    <col min="6147" max="6147" width="9" style="418" customWidth="1"/>
    <col min="6148" max="6148" width="9.75" style="418" customWidth="1"/>
    <col min="6149" max="6150" width="9" style="418" customWidth="1"/>
    <col min="6151" max="6151" width="6.125" style="418" customWidth="1"/>
    <col min="6152" max="6152" width="10" style="418" customWidth="1"/>
    <col min="6153" max="6397" width="9" style="418"/>
    <col min="6398" max="6399" width="9" style="418" customWidth="1"/>
    <col min="6400" max="6400" width="6.625" style="418" customWidth="1"/>
    <col min="6401" max="6401" width="16.5" style="418" customWidth="1"/>
    <col min="6402" max="6402" width="10.875" style="418" customWidth="1"/>
    <col min="6403" max="6403" width="9" style="418" customWidth="1"/>
    <col min="6404" max="6404" width="9.75" style="418" customWidth="1"/>
    <col min="6405" max="6406" width="9" style="418" customWidth="1"/>
    <col min="6407" max="6407" width="6.125" style="418" customWidth="1"/>
    <col min="6408" max="6408" width="10" style="418" customWidth="1"/>
    <col min="6409" max="6653" width="9" style="418"/>
    <col min="6654" max="6655" width="9" style="418" customWidth="1"/>
    <col min="6656" max="6656" width="6.625" style="418" customWidth="1"/>
    <col min="6657" max="6657" width="16.5" style="418" customWidth="1"/>
    <col min="6658" max="6658" width="10.875" style="418" customWidth="1"/>
    <col min="6659" max="6659" width="9" style="418" customWidth="1"/>
    <col min="6660" max="6660" width="9.75" style="418" customWidth="1"/>
    <col min="6661" max="6662" width="9" style="418" customWidth="1"/>
    <col min="6663" max="6663" width="6.125" style="418" customWidth="1"/>
    <col min="6664" max="6664" width="10" style="418" customWidth="1"/>
    <col min="6665" max="6909" width="9" style="418"/>
    <col min="6910" max="6911" width="9" style="418" customWidth="1"/>
    <col min="6912" max="6912" width="6.625" style="418" customWidth="1"/>
    <col min="6913" max="6913" width="16.5" style="418" customWidth="1"/>
    <col min="6914" max="6914" width="10.875" style="418" customWidth="1"/>
    <col min="6915" max="6915" width="9" style="418" customWidth="1"/>
    <col min="6916" max="6916" width="9.75" style="418" customWidth="1"/>
    <col min="6917" max="6918" width="9" style="418" customWidth="1"/>
    <col min="6919" max="6919" width="6.125" style="418" customWidth="1"/>
    <col min="6920" max="6920" width="10" style="418" customWidth="1"/>
    <col min="6921" max="7165" width="9" style="418"/>
    <col min="7166" max="7167" width="9" style="418" customWidth="1"/>
    <col min="7168" max="7168" width="6.625" style="418" customWidth="1"/>
    <col min="7169" max="7169" width="16.5" style="418" customWidth="1"/>
    <col min="7170" max="7170" width="10.875" style="418" customWidth="1"/>
    <col min="7171" max="7171" width="9" style="418" customWidth="1"/>
    <col min="7172" max="7172" width="9.75" style="418" customWidth="1"/>
    <col min="7173" max="7174" width="9" style="418" customWidth="1"/>
    <col min="7175" max="7175" width="6.125" style="418" customWidth="1"/>
    <col min="7176" max="7176" width="10" style="418" customWidth="1"/>
    <col min="7177" max="7421" width="9" style="418"/>
    <col min="7422" max="7423" width="9" style="418" customWidth="1"/>
    <col min="7424" max="7424" width="6.625" style="418" customWidth="1"/>
    <col min="7425" max="7425" width="16.5" style="418" customWidth="1"/>
    <col min="7426" max="7426" width="10.875" style="418" customWidth="1"/>
    <col min="7427" max="7427" width="9" style="418" customWidth="1"/>
    <col min="7428" max="7428" width="9.75" style="418" customWidth="1"/>
    <col min="7429" max="7430" width="9" style="418" customWidth="1"/>
    <col min="7431" max="7431" width="6.125" style="418" customWidth="1"/>
    <col min="7432" max="7432" width="10" style="418" customWidth="1"/>
    <col min="7433" max="7677" width="9" style="418"/>
    <col min="7678" max="7679" width="9" style="418" customWidth="1"/>
    <col min="7680" max="7680" width="6.625" style="418" customWidth="1"/>
    <col min="7681" max="7681" width="16.5" style="418" customWidth="1"/>
    <col min="7682" max="7682" width="10.875" style="418" customWidth="1"/>
    <col min="7683" max="7683" width="9" style="418" customWidth="1"/>
    <col min="7684" max="7684" width="9.75" style="418" customWidth="1"/>
    <col min="7685" max="7686" width="9" style="418" customWidth="1"/>
    <col min="7687" max="7687" width="6.125" style="418" customWidth="1"/>
    <col min="7688" max="7688" width="10" style="418" customWidth="1"/>
    <col min="7689" max="7933" width="9" style="418"/>
    <col min="7934" max="7935" width="9" style="418" customWidth="1"/>
    <col min="7936" max="7936" width="6.625" style="418" customWidth="1"/>
    <col min="7937" max="7937" width="16.5" style="418" customWidth="1"/>
    <col min="7938" max="7938" width="10.875" style="418" customWidth="1"/>
    <col min="7939" max="7939" width="9" style="418" customWidth="1"/>
    <col min="7940" max="7940" width="9.75" style="418" customWidth="1"/>
    <col min="7941" max="7942" width="9" style="418" customWidth="1"/>
    <col min="7943" max="7943" width="6.125" style="418" customWidth="1"/>
    <col min="7944" max="7944" width="10" style="418" customWidth="1"/>
    <col min="7945" max="8189" width="9" style="418"/>
    <col min="8190" max="8191" width="9" style="418" customWidth="1"/>
    <col min="8192" max="8192" width="6.625" style="418" customWidth="1"/>
    <col min="8193" max="8193" width="16.5" style="418" customWidth="1"/>
    <col min="8194" max="8194" width="10.875" style="418" customWidth="1"/>
    <col min="8195" max="8195" width="9" style="418" customWidth="1"/>
    <col min="8196" max="8196" width="9.75" style="418" customWidth="1"/>
    <col min="8197" max="8198" width="9" style="418" customWidth="1"/>
    <col min="8199" max="8199" width="6.125" style="418" customWidth="1"/>
    <col min="8200" max="8200" width="10" style="418" customWidth="1"/>
    <col min="8201" max="8445" width="9" style="418"/>
    <col min="8446" max="8447" width="9" style="418" customWidth="1"/>
    <col min="8448" max="8448" width="6.625" style="418" customWidth="1"/>
    <col min="8449" max="8449" width="16.5" style="418" customWidth="1"/>
    <col min="8450" max="8450" width="10.875" style="418" customWidth="1"/>
    <col min="8451" max="8451" width="9" style="418" customWidth="1"/>
    <col min="8452" max="8452" width="9.75" style="418" customWidth="1"/>
    <col min="8453" max="8454" width="9" style="418" customWidth="1"/>
    <col min="8455" max="8455" width="6.125" style="418" customWidth="1"/>
    <col min="8456" max="8456" width="10" style="418" customWidth="1"/>
    <col min="8457" max="8701" width="9" style="418"/>
    <col min="8702" max="8703" width="9" style="418" customWidth="1"/>
    <col min="8704" max="8704" width="6.625" style="418" customWidth="1"/>
    <col min="8705" max="8705" width="16.5" style="418" customWidth="1"/>
    <col min="8706" max="8706" width="10.875" style="418" customWidth="1"/>
    <col min="8707" max="8707" width="9" style="418" customWidth="1"/>
    <col min="8708" max="8708" width="9.75" style="418" customWidth="1"/>
    <col min="8709" max="8710" width="9" style="418" customWidth="1"/>
    <col min="8711" max="8711" width="6.125" style="418" customWidth="1"/>
    <col min="8712" max="8712" width="10" style="418" customWidth="1"/>
    <col min="8713" max="8957" width="9" style="418"/>
    <col min="8958" max="8959" width="9" style="418" customWidth="1"/>
    <col min="8960" max="8960" width="6.625" style="418" customWidth="1"/>
    <col min="8961" max="8961" width="16.5" style="418" customWidth="1"/>
    <col min="8962" max="8962" width="10.875" style="418" customWidth="1"/>
    <col min="8963" max="8963" width="9" style="418" customWidth="1"/>
    <col min="8964" max="8964" width="9.75" style="418" customWidth="1"/>
    <col min="8965" max="8966" width="9" style="418" customWidth="1"/>
    <col min="8967" max="8967" width="6.125" style="418" customWidth="1"/>
    <col min="8968" max="8968" width="10" style="418" customWidth="1"/>
    <col min="8969" max="9213" width="9" style="418"/>
    <col min="9214" max="9215" width="9" style="418" customWidth="1"/>
    <col min="9216" max="9216" width="6.625" style="418" customWidth="1"/>
    <col min="9217" max="9217" width="16.5" style="418" customWidth="1"/>
    <col min="9218" max="9218" width="10.875" style="418" customWidth="1"/>
    <col min="9219" max="9219" width="9" style="418" customWidth="1"/>
    <col min="9220" max="9220" width="9.75" style="418" customWidth="1"/>
    <col min="9221" max="9222" width="9" style="418" customWidth="1"/>
    <col min="9223" max="9223" width="6.125" style="418" customWidth="1"/>
    <col min="9224" max="9224" width="10" style="418" customWidth="1"/>
    <col min="9225" max="9469" width="9" style="418"/>
    <col min="9470" max="9471" width="9" style="418" customWidth="1"/>
    <col min="9472" max="9472" width="6.625" style="418" customWidth="1"/>
    <col min="9473" max="9473" width="16.5" style="418" customWidth="1"/>
    <col min="9474" max="9474" width="10.875" style="418" customWidth="1"/>
    <col min="9475" max="9475" width="9" style="418" customWidth="1"/>
    <col min="9476" max="9476" width="9.75" style="418" customWidth="1"/>
    <col min="9477" max="9478" width="9" style="418" customWidth="1"/>
    <col min="9479" max="9479" width="6.125" style="418" customWidth="1"/>
    <col min="9480" max="9480" width="10" style="418" customWidth="1"/>
    <col min="9481" max="9725" width="9" style="418"/>
    <col min="9726" max="9727" width="9" style="418" customWidth="1"/>
    <col min="9728" max="9728" width="6.625" style="418" customWidth="1"/>
    <col min="9729" max="9729" width="16.5" style="418" customWidth="1"/>
    <col min="9730" max="9730" width="10.875" style="418" customWidth="1"/>
    <col min="9731" max="9731" width="9" style="418" customWidth="1"/>
    <col min="9732" max="9732" width="9.75" style="418" customWidth="1"/>
    <col min="9733" max="9734" width="9" style="418" customWidth="1"/>
    <col min="9735" max="9735" width="6.125" style="418" customWidth="1"/>
    <col min="9736" max="9736" width="10" style="418" customWidth="1"/>
    <col min="9737" max="9981" width="9" style="418"/>
    <col min="9982" max="9983" width="9" style="418" customWidth="1"/>
    <col min="9984" max="9984" width="6.625" style="418" customWidth="1"/>
    <col min="9985" max="9985" width="16.5" style="418" customWidth="1"/>
    <col min="9986" max="9986" width="10.875" style="418" customWidth="1"/>
    <col min="9987" max="9987" width="9" style="418" customWidth="1"/>
    <col min="9988" max="9988" width="9.75" style="418" customWidth="1"/>
    <col min="9989" max="9990" width="9" style="418" customWidth="1"/>
    <col min="9991" max="9991" width="6.125" style="418" customWidth="1"/>
    <col min="9992" max="9992" width="10" style="418" customWidth="1"/>
    <col min="9993" max="10237" width="9" style="418"/>
    <col min="10238" max="10239" width="9" style="418" customWidth="1"/>
    <col min="10240" max="10240" width="6.625" style="418" customWidth="1"/>
    <col min="10241" max="10241" width="16.5" style="418" customWidth="1"/>
    <col min="10242" max="10242" width="10.875" style="418" customWidth="1"/>
    <col min="10243" max="10243" width="9" style="418" customWidth="1"/>
    <col min="10244" max="10244" width="9.75" style="418" customWidth="1"/>
    <col min="10245" max="10246" width="9" style="418" customWidth="1"/>
    <col min="10247" max="10247" width="6.125" style="418" customWidth="1"/>
    <col min="10248" max="10248" width="10" style="418" customWidth="1"/>
    <col min="10249" max="10493" width="9" style="418"/>
    <col min="10494" max="10495" width="9" style="418" customWidth="1"/>
    <col min="10496" max="10496" width="6.625" style="418" customWidth="1"/>
    <col min="10497" max="10497" width="16.5" style="418" customWidth="1"/>
    <col min="10498" max="10498" width="10.875" style="418" customWidth="1"/>
    <col min="10499" max="10499" width="9" style="418" customWidth="1"/>
    <col min="10500" max="10500" width="9.75" style="418" customWidth="1"/>
    <col min="10501" max="10502" width="9" style="418" customWidth="1"/>
    <col min="10503" max="10503" width="6.125" style="418" customWidth="1"/>
    <col min="10504" max="10504" width="10" style="418" customWidth="1"/>
    <col min="10505" max="10749" width="9" style="418"/>
    <col min="10750" max="10751" width="9" style="418" customWidth="1"/>
    <col min="10752" max="10752" width="6.625" style="418" customWidth="1"/>
    <col min="10753" max="10753" width="16.5" style="418" customWidth="1"/>
    <col min="10754" max="10754" width="10.875" style="418" customWidth="1"/>
    <col min="10755" max="10755" width="9" style="418" customWidth="1"/>
    <col min="10756" max="10756" width="9.75" style="418" customWidth="1"/>
    <col min="10757" max="10758" width="9" style="418" customWidth="1"/>
    <col min="10759" max="10759" width="6.125" style="418" customWidth="1"/>
    <col min="10760" max="10760" width="10" style="418" customWidth="1"/>
    <col min="10761" max="11005" width="9" style="418"/>
    <col min="11006" max="11007" width="9" style="418" customWidth="1"/>
    <col min="11008" max="11008" width="6.625" style="418" customWidth="1"/>
    <col min="11009" max="11009" width="16.5" style="418" customWidth="1"/>
    <col min="11010" max="11010" width="10.875" style="418" customWidth="1"/>
    <col min="11011" max="11011" width="9" style="418" customWidth="1"/>
    <col min="11012" max="11012" width="9.75" style="418" customWidth="1"/>
    <col min="11013" max="11014" width="9" style="418" customWidth="1"/>
    <col min="11015" max="11015" width="6.125" style="418" customWidth="1"/>
    <col min="11016" max="11016" width="10" style="418" customWidth="1"/>
    <col min="11017" max="11261" width="9" style="418"/>
    <col min="11262" max="11263" width="9" style="418" customWidth="1"/>
    <col min="11264" max="11264" width="6.625" style="418" customWidth="1"/>
    <col min="11265" max="11265" width="16.5" style="418" customWidth="1"/>
    <col min="11266" max="11266" width="10.875" style="418" customWidth="1"/>
    <col min="11267" max="11267" width="9" style="418" customWidth="1"/>
    <col min="11268" max="11268" width="9.75" style="418" customWidth="1"/>
    <col min="11269" max="11270" width="9" style="418" customWidth="1"/>
    <col min="11271" max="11271" width="6.125" style="418" customWidth="1"/>
    <col min="11272" max="11272" width="10" style="418" customWidth="1"/>
    <col min="11273" max="11517" width="9" style="418"/>
    <col min="11518" max="11519" width="9" style="418" customWidth="1"/>
    <col min="11520" max="11520" width="6.625" style="418" customWidth="1"/>
    <col min="11521" max="11521" width="16.5" style="418" customWidth="1"/>
    <col min="11522" max="11522" width="10.875" style="418" customWidth="1"/>
    <col min="11523" max="11523" width="9" style="418" customWidth="1"/>
    <col min="11524" max="11524" width="9.75" style="418" customWidth="1"/>
    <col min="11525" max="11526" width="9" style="418" customWidth="1"/>
    <col min="11527" max="11527" width="6.125" style="418" customWidth="1"/>
    <col min="11528" max="11528" width="10" style="418" customWidth="1"/>
    <col min="11529" max="11773" width="9" style="418"/>
    <col min="11774" max="11775" width="9" style="418" customWidth="1"/>
    <col min="11776" max="11776" width="6.625" style="418" customWidth="1"/>
    <col min="11777" max="11777" width="16.5" style="418" customWidth="1"/>
    <col min="11778" max="11778" width="10.875" style="418" customWidth="1"/>
    <col min="11779" max="11779" width="9" style="418" customWidth="1"/>
    <col min="11780" max="11780" width="9.75" style="418" customWidth="1"/>
    <col min="11781" max="11782" width="9" style="418" customWidth="1"/>
    <col min="11783" max="11783" width="6.125" style="418" customWidth="1"/>
    <col min="11784" max="11784" width="10" style="418" customWidth="1"/>
    <col min="11785" max="12029" width="9" style="418"/>
    <col min="12030" max="12031" width="9" style="418" customWidth="1"/>
    <col min="12032" max="12032" width="6.625" style="418" customWidth="1"/>
    <col min="12033" max="12033" width="16.5" style="418" customWidth="1"/>
    <col min="12034" max="12034" width="10.875" style="418" customWidth="1"/>
    <col min="12035" max="12035" width="9" style="418" customWidth="1"/>
    <col min="12036" max="12036" width="9.75" style="418" customWidth="1"/>
    <col min="12037" max="12038" width="9" style="418" customWidth="1"/>
    <col min="12039" max="12039" width="6.125" style="418" customWidth="1"/>
    <col min="12040" max="12040" width="10" style="418" customWidth="1"/>
    <col min="12041" max="12285" width="9" style="418"/>
    <col min="12286" max="12287" width="9" style="418" customWidth="1"/>
    <col min="12288" max="12288" width="6.625" style="418" customWidth="1"/>
    <col min="12289" max="12289" width="16.5" style="418" customWidth="1"/>
    <col min="12290" max="12290" width="10.875" style="418" customWidth="1"/>
    <col min="12291" max="12291" width="9" style="418" customWidth="1"/>
    <col min="12292" max="12292" width="9.75" style="418" customWidth="1"/>
    <col min="12293" max="12294" width="9" style="418" customWidth="1"/>
    <col min="12295" max="12295" width="6.125" style="418" customWidth="1"/>
    <col min="12296" max="12296" width="10" style="418" customWidth="1"/>
    <col min="12297" max="12541" width="9" style="418"/>
    <col min="12542" max="12543" width="9" style="418" customWidth="1"/>
    <col min="12544" max="12544" width="6.625" style="418" customWidth="1"/>
    <col min="12545" max="12545" width="16.5" style="418" customWidth="1"/>
    <col min="12546" max="12546" width="10.875" style="418" customWidth="1"/>
    <col min="12547" max="12547" width="9" style="418" customWidth="1"/>
    <col min="12548" max="12548" width="9.75" style="418" customWidth="1"/>
    <col min="12549" max="12550" width="9" style="418" customWidth="1"/>
    <col min="12551" max="12551" width="6.125" style="418" customWidth="1"/>
    <col min="12552" max="12552" width="10" style="418" customWidth="1"/>
    <col min="12553" max="12797" width="9" style="418"/>
    <col min="12798" max="12799" width="9" style="418" customWidth="1"/>
    <col min="12800" max="12800" width="6.625" style="418" customWidth="1"/>
    <col min="12801" max="12801" width="16.5" style="418" customWidth="1"/>
    <col min="12802" max="12802" width="10.875" style="418" customWidth="1"/>
    <col min="12803" max="12803" width="9" style="418" customWidth="1"/>
    <col min="12804" max="12804" width="9.75" style="418" customWidth="1"/>
    <col min="12805" max="12806" width="9" style="418" customWidth="1"/>
    <col min="12807" max="12807" width="6.125" style="418" customWidth="1"/>
    <col min="12808" max="12808" width="10" style="418" customWidth="1"/>
    <col min="12809" max="13053" width="9" style="418"/>
    <col min="13054" max="13055" width="9" style="418" customWidth="1"/>
    <col min="13056" max="13056" width="6.625" style="418" customWidth="1"/>
    <col min="13057" max="13057" width="16.5" style="418" customWidth="1"/>
    <col min="13058" max="13058" width="10.875" style="418" customWidth="1"/>
    <col min="13059" max="13059" width="9" style="418" customWidth="1"/>
    <col min="13060" max="13060" width="9.75" style="418" customWidth="1"/>
    <col min="13061" max="13062" width="9" style="418" customWidth="1"/>
    <col min="13063" max="13063" width="6.125" style="418" customWidth="1"/>
    <col min="13064" max="13064" width="10" style="418" customWidth="1"/>
    <col min="13065" max="13309" width="9" style="418"/>
    <col min="13310" max="13311" width="9" style="418" customWidth="1"/>
    <col min="13312" max="13312" width="6.625" style="418" customWidth="1"/>
    <col min="13313" max="13313" width="16.5" style="418" customWidth="1"/>
    <col min="13314" max="13314" width="10.875" style="418" customWidth="1"/>
    <col min="13315" max="13315" width="9" style="418" customWidth="1"/>
    <col min="13316" max="13316" width="9.75" style="418" customWidth="1"/>
    <col min="13317" max="13318" width="9" style="418" customWidth="1"/>
    <col min="13319" max="13319" width="6.125" style="418" customWidth="1"/>
    <col min="13320" max="13320" width="10" style="418" customWidth="1"/>
    <col min="13321" max="13565" width="9" style="418"/>
    <col min="13566" max="13567" width="9" style="418" customWidth="1"/>
    <col min="13568" max="13568" width="6.625" style="418" customWidth="1"/>
    <col min="13569" max="13569" width="16.5" style="418" customWidth="1"/>
    <col min="13570" max="13570" width="10.875" style="418" customWidth="1"/>
    <col min="13571" max="13571" width="9" style="418" customWidth="1"/>
    <col min="13572" max="13572" width="9.75" style="418" customWidth="1"/>
    <col min="13573" max="13574" width="9" style="418" customWidth="1"/>
    <col min="13575" max="13575" width="6.125" style="418" customWidth="1"/>
    <col min="13576" max="13576" width="10" style="418" customWidth="1"/>
    <col min="13577" max="13821" width="9" style="418"/>
    <col min="13822" max="13823" width="9" style="418" customWidth="1"/>
    <col min="13824" max="13824" width="6.625" style="418" customWidth="1"/>
    <col min="13825" max="13825" width="16.5" style="418" customWidth="1"/>
    <col min="13826" max="13826" width="10.875" style="418" customWidth="1"/>
    <col min="13827" max="13827" width="9" style="418" customWidth="1"/>
    <col min="13828" max="13828" width="9.75" style="418" customWidth="1"/>
    <col min="13829" max="13830" width="9" style="418" customWidth="1"/>
    <col min="13831" max="13831" width="6.125" style="418" customWidth="1"/>
    <col min="13832" max="13832" width="10" style="418" customWidth="1"/>
    <col min="13833" max="14077" width="9" style="418"/>
    <col min="14078" max="14079" width="9" style="418" customWidth="1"/>
    <col min="14080" max="14080" width="6.625" style="418" customWidth="1"/>
    <col min="14081" max="14081" width="16.5" style="418" customWidth="1"/>
    <col min="14082" max="14082" width="10.875" style="418" customWidth="1"/>
    <col min="14083" max="14083" width="9" style="418" customWidth="1"/>
    <col min="14084" max="14084" width="9.75" style="418" customWidth="1"/>
    <col min="14085" max="14086" width="9" style="418" customWidth="1"/>
    <col min="14087" max="14087" width="6.125" style="418" customWidth="1"/>
    <col min="14088" max="14088" width="10" style="418" customWidth="1"/>
    <col min="14089" max="14333" width="9" style="418"/>
    <col min="14334" max="14335" width="9" style="418" customWidth="1"/>
    <col min="14336" max="14336" width="6.625" style="418" customWidth="1"/>
    <col min="14337" max="14337" width="16.5" style="418" customWidth="1"/>
    <col min="14338" max="14338" width="10.875" style="418" customWidth="1"/>
    <col min="14339" max="14339" width="9" style="418" customWidth="1"/>
    <col min="14340" max="14340" width="9.75" style="418" customWidth="1"/>
    <col min="14341" max="14342" width="9" style="418" customWidth="1"/>
    <col min="14343" max="14343" width="6.125" style="418" customWidth="1"/>
    <col min="14344" max="14344" width="10" style="418" customWidth="1"/>
    <col min="14345" max="14589" width="9" style="418"/>
    <col min="14590" max="14591" width="9" style="418" customWidth="1"/>
    <col min="14592" max="14592" width="6.625" style="418" customWidth="1"/>
    <col min="14593" max="14593" width="16.5" style="418" customWidth="1"/>
    <col min="14594" max="14594" width="10.875" style="418" customWidth="1"/>
    <col min="14595" max="14595" width="9" style="418" customWidth="1"/>
    <col min="14596" max="14596" width="9.75" style="418" customWidth="1"/>
    <col min="14597" max="14598" width="9" style="418" customWidth="1"/>
    <col min="14599" max="14599" width="6.125" style="418" customWidth="1"/>
    <col min="14600" max="14600" width="10" style="418" customWidth="1"/>
    <col min="14601" max="14845" width="9" style="418"/>
    <col min="14846" max="14847" width="9" style="418" customWidth="1"/>
    <col min="14848" max="14848" width="6.625" style="418" customWidth="1"/>
    <col min="14849" max="14849" width="16.5" style="418" customWidth="1"/>
    <col min="14850" max="14850" width="10.875" style="418" customWidth="1"/>
    <col min="14851" max="14851" width="9" style="418" customWidth="1"/>
    <col min="14852" max="14852" width="9.75" style="418" customWidth="1"/>
    <col min="14853" max="14854" width="9" style="418" customWidth="1"/>
    <col min="14855" max="14855" width="6.125" style="418" customWidth="1"/>
    <col min="14856" max="14856" width="10" style="418" customWidth="1"/>
    <col min="14857" max="15101" width="9" style="418"/>
    <col min="15102" max="15103" width="9" style="418" customWidth="1"/>
    <col min="15104" max="15104" width="6.625" style="418" customWidth="1"/>
    <col min="15105" max="15105" width="16.5" style="418" customWidth="1"/>
    <col min="15106" max="15106" width="10.875" style="418" customWidth="1"/>
    <col min="15107" max="15107" width="9" style="418" customWidth="1"/>
    <col min="15108" max="15108" width="9.75" style="418" customWidth="1"/>
    <col min="15109" max="15110" width="9" style="418" customWidth="1"/>
    <col min="15111" max="15111" width="6.125" style="418" customWidth="1"/>
    <col min="15112" max="15112" width="10" style="418" customWidth="1"/>
    <col min="15113" max="15357" width="9" style="418"/>
    <col min="15358" max="15359" width="9" style="418" customWidth="1"/>
    <col min="15360" max="15360" width="6.625" style="418" customWidth="1"/>
    <col min="15361" max="15361" width="16.5" style="418" customWidth="1"/>
    <col min="15362" max="15362" width="10.875" style="418" customWidth="1"/>
    <col min="15363" max="15363" width="9" style="418" customWidth="1"/>
    <col min="15364" max="15364" width="9.75" style="418" customWidth="1"/>
    <col min="15365" max="15366" width="9" style="418" customWidth="1"/>
    <col min="15367" max="15367" width="6.125" style="418" customWidth="1"/>
    <col min="15368" max="15368" width="10" style="418" customWidth="1"/>
    <col min="15369" max="15613" width="9" style="418"/>
    <col min="15614" max="15615" width="9" style="418" customWidth="1"/>
    <col min="15616" max="15616" width="6.625" style="418" customWidth="1"/>
    <col min="15617" max="15617" width="16.5" style="418" customWidth="1"/>
    <col min="15618" max="15618" width="10.875" style="418" customWidth="1"/>
    <col min="15619" max="15619" width="9" style="418" customWidth="1"/>
    <col min="15620" max="15620" width="9.75" style="418" customWidth="1"/>
    <col min="15621" max="15622" width="9" style="418" customWidth="1"/>
    <col min="15623" max="15623" width="6.125" style="418" customWidth="1"/>
    <col min="15624" max="15624" width="10" style="418" customWidth="1"/>
    <col min="15625" max="15869" width="9" style="418"/>
    <col min="15870" max="15871" width="9" style="418" customWidth="1"/>
    <col min="15872" max="15872" width="6.625" style="418" customWidth="1"/>
    <col min="15873" max="15873" width="16.5" style="418" customWidth="1"/>
    <col min="15874" max="15874" width="10.875" style="418" customWidth="1"/>
    <col min="15875" max="15875" width="9" style="418" customWidth="1"/>
    <col min="15876" max="15876" width="9.75" style="418" customWidth="1"/>
    <col min="15877" max="15878" width="9" style="418" customWidth="1"/>
    <col min="15879" max="15879" width="6.125" style="418" customWidth="1"/>
    <col min="15880" max="15880" width="10" style="418" customWidth="1"/>
    <col min="15881" max="16125" width="9" style="418"/>
    <col min="16126" max="16127" width="9" style="418" customWidth="1"/>
    <col min="16128" max="16128" width="6.625" style="418" customWidth="1"/>
    <col min="16129" max="16129" width="16.5" style="418" customWidth="1"/>
    <col min="16130" max="16130" width="10.875" style="418" customWidth="1"/>
    <col min="16131" max="16131" width="9" style="418" customWidth="1"/>
    <col min="16132" max="16132" width="9.75" style="418" customWidth="1"/>
    <col min="16133" max="16134" width="9" style="418" customWidth="1"/>
    <col min="16135" max="16135" width="6.125" style="418" customWidth="1"/>
    <col min="16136" max="16136" width="10" style="418" customWidth="1"/>
    <col min="16137" max="16384" width="9" style="418"/>
  </cols>
  <sheetData>
    <row r="1" spans="1:9">
      <c r="I1" s="418">
        <v>119</v>
      </c>
    </row>
    <row r="3" spans="1:9">
      <c r="A3" s="420"/>
      <c r="B3" s="421"/>
      <c r="C3" s="421"/>
      <c r="D3" s="421"/>
      <c r="E3" s="422"/>
      <c r="F3" s="423"/>
      <c r="G3" s="424"/>
    </row>
    <row r="4" spans="1:9" s="417" customFormat="1" ht="20.25">
      <c r="A4" s="425"/>
      <c r="B4" s="488" t="s">
        <v>48</v>
      </c>
      <c r="C4" s="488"/>
      <c r="D4" s="488"/>
      <c r="E4" s="488"/>
      <c r="F4" s="426"/>
    </row>
    <row r="5" spans="1:9" ht="17.25" customHeight="1">
      <c r="A5" s="425"/>
      <c r="B5" s="427"/>
      <c r="C5" s="427"/>
      <c r="D5" s="427"/>
      <c r="E5" s="428"/>
      <c r="F5" s="426"/>
    </row>
    <row r="6" spans="1:9" ht="19.5">
      <c r="A6" s="425"/>
      <c r="B6" s="427"/>
      <c r="C6" s="427" t="s">
        <v>49</v>
      </c>
      <c r="D6" s="427" t="s">
        <v>50</v>
      </c>
      <c r="E6" s="428"/>
      <c r="F6" s="426"/>
    </row>
    <row r="7" spans="1:9" ht="19.5">
      <c r="A7" s="425"/>
      <c r="B7" s="427"/>
      <c r="C7" s="427">
        <v>1</v>
      </c>
      <c r="D7" s="429" t="s">
        <v>51</v>
      </c>
      <c r="E7" s="428"/>
      <c r="F7" s="426"/>
    </row>
    <row r="8" spans="1:9" ht="19.5">
      <c r="A8" s="425"/>
      <c r="B8" s="427"/>
      <c r="C8" s="427">
        <v>2</v>
      </c>
      <c r="D8" s="430" t="s">
        <v>52</v>
      </c>
      <c r="E8" s="428"/>
      <c r="F8" s="426"/>
    </row>
    <row r="9" spans="1:9" ht="19.5">
      <c r="A9" s="425"/>
      <c r="B9" s="427"/>
      <c r="C9" s="427">
        <v>3</v>
      </c>
      <c r="D9" s="429" t="s">
        <v>53</v>
      </c>
      <c r="E9" s="428"/>
      <c r="F9" s="426"/>
    </row>
    <row r="10" spans="1:9" ht="19.5">
      <c r="A10" s="425"/>
      <c r="B10" s="427"/>
      <c r="C10" s="427">
        <v>4</v>
      </c>
      <c r="D10" s="429" t="s">
        <v>54</v>
      </c>
      <c r="E10" s="428"/>
      <c r="F10" s="426"/>
    </row>
    <row r="11" spans="1:9" ht="19.5">
      <c r="A11" s="425"/>
      <c r="B11" s="427"/>
      <c r="C11" s="427">
        <v>5</v>
      </c>
      <c r="D11" s="429" t="s">
        <v>55</v>
      </c>
      <c r="E11" s="428"/>
      <c r="F11" s="426"/>
    </row>
    <row r="12" spans="1:9" ht="19.5">
      <c r="A12" s="425"/>
      <c r="B12" s="427"/>
      <c r="C12" s="427">
        <v>6</v>
      </c>
      <c r="D12" s="429" t="s">
        <v>56</v>
      </c>
      <c r="E12" s="428"/>
      <c r="F12" s="426"/>
    </row>
    <row r="13" spans="1:9" ht="19.5">
      <c r="A13" s="425"/>
      <c r="B13" s="427"/>
      <c r="C13" s="427">
        <v>7</v>
      </c>
      <c r="D13" s="431" t="s">
        <v>57</v>
      </c>
      <c r="E13" s="432"/>
      <c r="F13" s="426"/>
    </row>
    <row r="14" spans="1:9" ht="19.5">
      <c r="A14" s="425"/>
      <c r="B14" s="427"/>
      <c r="C14" s="427">
        <v>8</v>
      </c>
      <c r="D14" s="430" t="s">
        <v>58</v>
      </c>
      <c r="E14" s="432"/>
      <c r="F14" s="426"/>
    </row>
    <row r="15" spans="1:9" ht="19.5">
      <c r="A15" s="425"/>
      <c r="B15" s="427"/>
      <c r="C15" s="427">
        <v>9</v>
      </c>
      <c r="D15" s="430" t="s">
        <v>59</v>
      </c>
      <c r="E15" s="432"/>
      <c r="F15" s="426"/>
    </row>
    <row r="16" spans="1:9" ht="19.5">
      <c r="A16" s="425"/>
      <c r="B16" s="427"/>
      <c r="C16" s="427">
        <v>10</v>
      </c>
      <c r="D16" s="429" t="s">
        <v>60</v>
      </c>
      <c r="E16" s="432"/>
      <c r="F16" s="426"/>
    </row>
    <row r="17" spans="1:6" ht="19.5">
      <c r="A17" s="425"/>
      <c r="B17" s="427"/>
      <c r="C17" s="427">
        <v>11</v>
      </c>
      <c r="D17" s="430" t="s">
        <v>61</v>
      </c>
      <c r="E17" s="432"/>
      <c r="F17" s="426"/>
    </row>
    <row r="18" spans="1:6" ht="14.25">
      <c r="A18" s="425"/>
      <c r="B18" s="427"/>
      <c r="C18" s="427">
        <v>12</v>
      </c>
      <c r="D18" s="431" t="s">
        <v>62</v>
      </c>
      <c r="E18" s="418"/>
      <c r="F18" s="426"/>
    </row>
    <row r="19" spans="1:6" ht="14.25">
      <c r="A19" s="425"/>
      <c r="B19" s="427"/>
      <c r="C19" s="427">
        <v>13</v>
      </c>
      <c r="D19" s="433" t="s">
        <v>63</v>
      </c>
      <c r="E19" s="418"/>
      <c r="F19" s="426"/>
    </row>
    <row r="20" spans="1:6" ht="19.5">
      <c r="A20" s="425"/>
      <c r="B20" s="427"/>
      <c r="C20" s="427">
        <v>14</v>
      </c>
      <c r="D20" s="431" t="s">
        <v>64</v>
      </c>
      <c r="E20" s="428"/>
      <c r="F20" s="426"/>
    </row>
    <row r="21" spans="1:6" ht="17.25">
      <c r="A21" s="417"/>
      <c r="B21" s="417"/>
      <c r="C21" s="427">
        <v>15</v>
      </c>
      <c r="D21" s="429" t="s">
        <v>65</v>
      </c>
      <c r="E21" s="434"/>
      <c r="F21" s="435"/>
    </row>
    <row r="22" spans="1:6">
      <c r="A22" s="436"/>
      <c r="B22" s="417"/>
      <c r="C22" s="417"/>
      <c r="E22" s="434"/>
      <c r="F22" s="435"/>
    </row>
    <row r="23" spans="1:6">
      <c r="A23" s="437"/>
      <c r="B23" s="437"/>
      <c r="C23" s="437"/>
      <c r="D23" s="437"/>
      <c r="E23" s="438"/>
      <c r="F23" s="439"/>
    </row>
    <row r="24" spans="1:6">
      <c r="A24" s="417"/>
      <c r="B24" s="417"/>
      <c r="C24" s="417"/>
      <c r="D24" s="417"/>
      <c r="E24" s="434"/>
      <c r="F24" s="417"/>
    </row>
    <row r="25" spans="1:6" s="417" customFormat="1">
      <c r="E25" s="434"/>
    </row>
    <row r="26" spans="1:6">
      <c r="A26" s="489" t="s">
        <v>66</v>
      </c>
      <c r="B26" s="490"/>
      <c r="C26" s="440"/>
      <c r="D26" s="440"/>
      <c r="E26" s="441"/>
      <c r="F26" s="442"/>
    </row>
    <row r="27" spans="1:6">
      <c r="A27" s="491"/>
      <c r="B27" s="492"/>
      <c r="C27" s="417"/>
      <c r="D27" s="443">
        <v>175736376</v>
      </c>
      <c r="E27" s="434"/>
      <c r="F27" s="444"/>
    </row>
    <row r="28" spans="1:6">
      <c r="A28" s="491"/>
      <c r="B28" s="492"/>
      <c r="C28" s="417"/>
      <c r="D28" s="443" t="s">
        <v>67</v>
      </c>
      <c r="E28" s="434"/>
      <c r="F28" s="444"/>
    </row>
    <row r="29" spans="1:6">
      <c r="A29" s="493"/>
      <c r="B29" s="494"/>
      <c r="C29" s="437"/>
      <c r="D29" s="437"/>
      <c r="E29" s="438"/>
      <c r="F29" s="439"/>
    </row>
  </sheetData>
  <mergeCells count="2">
    <mergeCell ref="B4:E4"/>
    <mergeCell ref="A26:B29"/>
  </mergeCells>
  <phoneticPr fontId="126" type="noConversion"/>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F28" sqref="F28"/>
    </sheetView>
  </sheetViews>
  <sheetFormatPr defaultColWidth="9" defaultRowHeight="13.5"/>
  <sheetData>
    <row r="1" spans="1:9" ht="14.25">
      <c r="A1" s="500" t="s">
        <v>51</v>
      </c>
      <c r="B1" s="501"/>
      <c r="C1" s="501"/>
      <c r="D1" s="501"/>
      <c r="E1" s="501"/>
      <c r="F1" s="501"/>
      <c r="G1" s="501"/>
      <c r="H1" s="501"/>
      <c r="I1" s="501"/>
    </row>
    <row r="2" spans="1:9">
      <c r="A2" s="498" t="s">
        <v>68</v>
      </c>
      <c r="B2" s="499"/>
      <c r="C2" s="499"/>
      <c r="D2" s="499"/>
      <c r="E2" s="499"/>
      <c r="F2" s="499"/>
      <c r="G2" s="499"/>
      <c r="H2" s="499"/>
      <c r="I2" s="499"/>
    </row>
    <row r="3" spans="1:9">
      <c r="A3" s="499"/>
      <c r="B3" s="499"/>
      <c r="C3" s="499"/>
      <c r="D3" s="499"/>
      <c r="E3" s="499"/>
      <c r="F3" s="499"/>
      <c r="G3" s="499"/>
      <c r="H3" s="499"/>
      <c r="I3" s="499"/>
    </row>
    <row r="4" spans="1:9">
      <c r="A4" s="499"/>
      <c r="B4" s="499"/>
      <c r="C4" s="499"/>
      <c r="D4" s="499"/>
      <c r="E4" s="499"/>
      <c r="F4" s="499"/>
      <c r="G4" s="499"/>
      <c r="H4" s="499"/>
      <c r="I4" s="499"/>
    </row>
    <row r="5" spans="1:9">
      <c r="A5" s="499"/>
      <c r="B5" s="499"/>
      <c r="C5" s="499"/>
      <c r="D5" s="499"/>
      <c r="E5" s="499"/>
      <c r="F5" s="499"/>
      <c r="G5" s="499"/>
      <c r="H5" s="499"/>
      <c r="I5" s="499"/>
    </row>
    <row r="6" spans="1:9">
      <c r="A6" s="499"/>
      <c r="B6" s="499"/>
      <c r="C6" s="499"/>
      <c r="D6" s="499"/>
      <c r="E6" s="499"/>
      <c r="F6" s="499"/>
      <c r="G6" s="499"/>
      <c r="H6" s="499"/>
      <c r="I6" s="499"/>
    </row>
    <row r="7" spans="1:9">
      <c r="A7" s="499"/>
      <c r="B7" s="499"/>
      <c r="C7" s="499"/>
      <c r="D7" s="499"/>
      <c r="E7" s="499"/>
      <c r="F7" s="499"/>
      <c r="G7" s="499"/>
      <c r="H7" s="499"/>
      <c r="I7" s="499"/>
    </row>
    <row r="8" spans="1:9">
      <c r="A8" s="499"/>
      <c r="B8" s="499"/>
      <c r="C8" s="499"/>
      <c r="D8" s="499"/>
      <c r="E8" s="499"/>
      <c r="F8" s="499"/>
      <c r="G8" s="499"/>
      <c r="H8" s="499"/>
      <c r="I8" s="499"/>
    </row>
    <row r="9" spans="1:9">
      <c r="A9" s="499"/>
      <c r="B9" s="499"/>
      <c r="C9" s="499"/>
      <c r="D9" s="499"/>
      <c r="E9" s="499"/>
      <c r="F9" s="499"/>
      <c r="G9" s="499"/>
      <c r="H9" s="499"/>
      <c r="I9" s="499"/>
    </row>
    <row r="10" spans="1:9" ht="14.25">
      <c r="A10" s="500" t="s">
        <v>69</v>
      </c>
      <c r="B10" s="501"/>
      <c r="C10" s="501"/>
      <c r="D10" s="501"/>
      <c r="E10" s="501"/>
      <c r="F10" s="501"/>
      <c r="G10" s="501"/>
      <c r="H10" s="501"/>
      <c r="I10" s="501"/>
    </row>
    <row r="11" spans="1:9">
      <c r="A11" s="411" t="s">
        <v>70</v>
      </c>
      <c r="B11" s="411" t="s">
        <v>71</v>
      </c>
      <c r="C11" s="502" t="s">
        <v>72</v>
      </c>
      <c r="D11" s="503"/>
      <c r="E11" s="503"/>
      <c r="F11" s="503"/>
      <c r="G11" s="503"/>
      <c r="H11" s="503"/>
      <c r="I11" s="504"/>
    </row>
    <row r="12" spans="1:9" ht="14.25">
      <c r="A12" s="412">
        <v>1</v>
      </c>
      <c r="B12" s="413" t="s">
        <v>73</v>
      </c>
      <c r="C12" s="495" t="s">
        <v>74</v>
      </c>
      <c r="D12" s="496"/>
      <c r="E12" s="496"/>
      <c r="F12" s="496"/>
      <c r="G12" s="496"/>
      <c r="H12" s="496"/>
      <c r="I12" s="497"/>
    </row>
    <row r="13" spans="1:9" ht="14.25">
      <c r="A13" s="410">
        <v>2</v>
      </c>
      <c r="B13" s="414" t="s">
        <v>75</v>
      </c>
      <c r="C13" s="495" t="s">
        <v>76</v>
      </c>
      <c r="D13" s="496"/>
      <c r="E13" s="496"/>
      <c r="F13" s="496"/>
      <c r="G13" s="496"/>
      <c r="H13" s="496"/>
      <c r="I13" s="497"/>
    </row>
    <row r="14" spans="1:9" ht="14.25">
      <c r="A14" s="410">
        <v>3</v>
      </c>
      <c r="B14" s="411" t="s">
        <v>77</v>
      </c>
      <c r="C14" s="495" t="s">
        <v>78</v>
      </c>
      <c r="D14" s="496"/>
      <c r="E14" s="496"/>
      <c r="F14" s="496"/>
      <c r="G14" s="496"/>
      <c r="H14" s="496"/>
      <c r="I14" s="497"/>
    </row>
    <row r="15" spans="1:9" ht="14.25">
      <c r="A15" s="410">
        <v>4</v>
      </c>
      <c r="B15" s="415" t="s">
        <v>79</v>
      </c>
      <c r="C15" s="495" t="s">
        <v>80</v>
      </c>
      <c r="D15" s="496"/>
      <c r="E15" s="496"/>
      <c r="F15" s="496"/>
      <c r="G15" s="496"/>
      <c r="H15" s="496"/>
      <c r="I15" s="497"/>
    </row>
    <row r="16" spans="1:9" ht="14.25">
      <c r="A16" s="410">
        <v>5</v>
      </c>
      <c r="B16" s="416" t="s">
        <v>81</v>
      </c>
      <c r="C16" s="495" t="s">
        <v>82</v>
      </c>
      <c r="D16" s="496"/>
      <c r="E16" s="496"/>
      <c r="F16" s="496"/>
      <c r="G16" s="496"/>
      <c r="H16" s="496"/>
      <c r="I16" s="497"/>
    </row>
  </sheetData>
  <mergeCells count="10">
    <mergeCell ref="A1:I1"/>
    <mergeCell ref="A9:I9"/>
    <mergeCell ref="A10:I10"/>
    <mergeCell ref="C11:I11"/>
    <mergeCell ref="C12:I12"/>
    <mergeCell ref="C13:I13"/>
    <mergeCell ref="C14:I14"/>
    <mergeCell ref="C15:I15"/>
    <mergeCell ref="C16:I16"/>
    <mergeCell ref="A2:I8"/>
  </mergeCells>
  <phoneticPr fontId="12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G13" sqref="G13"/>
    </sheetView>
  </sheetViews>
  <sheetFormatPr defaultColWidth="9" defaultRowHeight="12"/>
  <cols>
    <col min="1" max="1" width="16.25" style="46" customWidth="1"/>
    <col min="2" max="2" width="68" style="46" customWidth="1"/>
    <col min="3" max="256" width="9" style="46"/>
    <col min="257" max="257" width="16.25" style="46" customWidth="1"/>
    <col min="258" max="258" width="56.5" style="46" customWidth="1"/>
    <col min="259" max="512" width="9" style="46"/>
    <col min="513" max="513" width="16.25" style="46" customWidth="1"/>
    <col min="514" max="514" width="56.5" style="46" customWidth="1"/>
    <col min="515" max="768" width="9" style="46"/>
    <col min="769" max="769" width="16.25" style="46" customWidth="1"/>
    <col min="770" max="770" width="56.5" style="46" customWidth="1"/>
    <col min="771" max="1024" width="9" style="46"/>
    <col min="1025" max="1025" width="16.25" style="46" customWidth="1"/>
    <col min="1026" max="1026" width="56.5" style="46" customWidth="1"/>
    <col min="1027" max="1280" width="9" style="46"/>
    <col min="1281" max="1281" width="16.25" style="46" customWidth="1"/>
    <col min="1282" max="1282" width="56.5" style="46" customWidth="1"/>
    <col min="1283" max="1536" width="9" style="46"/>
    <col min="1537" max="1537" width="16.25" style="46" customWidth="1"/>
    <col min="1538" max="1538" width="56.5" style="46" customWidth="1"/>
    <col min="1539" max="1792" width="9" style="46"/>
    <col min="1793" max="1793" width="16.25" style="46" customWidth="1"/>
    <col min="1794" max="1794" width="56.5" style="46" customWidth="1"/>
    <col min="1795" max="2048" width="9" style="46"/>
    <col min="2049" max="2049" width="16.25" style="46" customWidth="1"/>
    <col min="2050" max="2050" width="56.5" style="46" customWidth="1"/>
    <col min="2051" max="2304" width="9" style="46"/>
    <col min="2305" max="2305" width="16.25" style="46" customWidth="1"/>
    <col min="2306" max="2306" width="56.5" style="46" customWidth="1"/>
    <col min="2307" max="2560" width="9" style="46"/>
    <col min="2561" max="2561" width="16.25" style="46" customWidth="1"/>
    <col min="2562" max="2562" width="56.5" style="46" customWidth="1"/>
    <col min="2563" max="2816" width="9" style="46"/>
    <col min="2817" max="2817" width="16.25" style="46" customWidth="1"/>
    <col min="2818" max="2818" width="56.5" style="46" customWidth="1"/>
    <col min="2819" max="3072" width="9" style="46"/>
    <col min="3073" max="3073" width="16.25" style="46" customWidth="1"/>
    <col min="3074" max="3074" width="56.5" style="46" customWidth="1"/>
    <col min="3075" max="3328" width="9" style="46"/>
    <col min="3329" max="3329" width="16.25" style="46" customWidth="1"/>
    <col min="3330" max="3330" width="56.5" style="46" customWidth="1"/>
    <col min="3331" max="3584" width="9" style="46"/>
    <col min="3585" max="3585" width="16.25" style="46" customWidth="1"/>
    <col min="3586" max="3586" width="56.5" style="46" customWidth="1"/>
    <col min="3587" max="3840" width="9" style="46"/>
    <col min="3841" max="3841" width="16.25" style="46" customWidth="1"/>
    <col min="3842" max="3842" width="56.5" style="46" customWidth="1"/>
    <col min="3843" max="4096" width="9" style="46"/>
    <col min="4097" max="4097" width="16.25" style="46" customWidth="1"/>
    <col min="4098" max="4098" width="56.5" style="46" customWidth="1"/>
    <col min="4099" max="4352" width="9" style="46"/>
    <col min="4353" max="4353" width="16.25" style="46" customWidth="1"/>
    <col min="4354" max="4354" width="56.5" style="46" customWidth="1"/>
    <col min="4355" max="4608" width="9" style="46"/>
    <col min="4609" max="4609" width="16.25" style="46" customWidth="1"/>
    <col min="4610" max="4610" width="56.5" style="46" customWidth="1"/>
    <col min="4611" max="4864" width="9" style="46"/>
    <col min="4865" max="4865" width="16.25" style="46" customWidth="1"/>
    <col min="4866" max="4866" width="56.5" style="46" customWidth="1"/>
    <col min="4867" max="5120" width="9" style="46"/>
    <col min="5121" max="5121" width="16.25" style="46" customWidth="1"/>
    <col min="5122" max="5122" width="56.5" style="46" customWidth="1"/>
    <col min="5123" max="5376" width="9" style="46"/>
    <col min="5377" max="5377" width="16.25" style="46" customWidth="1"/>
    <col min="5378" max="5378" width="56.5" style="46" customWidth="1"/>
    <col min="5379" max="5632" width="9" style="46"/>
    <col min="5633" max="5633" width="16.25" style="46" customWidth="1"/>
    <col min="5634" max="5634" width="56.5" style="46" customWidth="1"/>
    <col min="5635" max="5888" width="9" style="46"/>
    <col min="5889" max="5889" width="16.25" style="46" customWidth="1"/>
    <col min="5890" max="5890" width="56.5" style="46" customWidth="1"/>
    <col min="5891" max="6144" width="9" style="46"/>
    <col min="6145" max="6145" width="16.25" style="46" customWidth="1"/>
    <col min="6146" max="6146" width="56.5" style="46" customWidth="1"/>
    <col min="6147" max="6400" width="9" style="46"/>
    <col min="6401" max="6401" width="16.25" style="46" customWidth="1"/>
    <col min="6402" max="6402" width="56.5" style="46" customWidth="1"/>
    <col min="6403" max="6656" width="9" style="46"/>
    <col min="6657" max="6657" width="16.25" style="46" customWidth="1"/>
    <col min="6658" max="6658" width="56.5" style="46" customWidth="1"/>
    <col min="6659" max="6912" width="9" style="46"/>
    <col min="6913" max="6913" width="16.25" style="46" customWidth="1"/>
    <col min="6914" max="6914" width="56.5" style="46" customWidth="1"/>
    <col min="6915" max="7168" width="9" style="46"/>
    <col min="7169" max="7169" width="16.25" style="46" customWidth="1"/>
    <col min="7170" max="7170" width="56.5" style="46" customWidth="1"/>
    <col min="7171" max="7424" width="9" style="46"/>
    <col min="7425" max="7425" width="16.25" style="46" customWidth="1"/>
    <col min="7426" max="7426" width="56.5" style="46" customWidth="1"/>
    <col min="7427" max="7680" width="9" style="46"/>
    <col min="7681" max="7681" width="16.25" style="46" customWidth="1"/>
    <col min="7682" max="7682" width="56.5" style="46" customWidth="1"/>
    <col min="7683" max="7936" width="9" style="46"/>
    <col min="7937" max="7937" width="16.25" style="46" customWidth="1"/>
    <col min="7938" max="7938" width="56.5" style="46" customWidth="1"/>
    <col min="7939" max="8192" width="9" style="46"/>
    <col min="8193" max="8193" width="16.25" style="46" customWidth="1"/>
    <col min="8194" max="8194" width="56.5" style="46" customWidth="1"/>
    <col min="8195" max="8448" width="9" style="46"/>
    <col min="8449" max="8449" width="16.25" style="46" customWidth="1"/>
    <col min="8450" max="8450" width="56.5" style="46" customWidth="1"/>
    <col min="8451" max="8704" width="9" style="46"/>
    <col min="8705" max="8705" width="16.25" style="46" customWidth="1"/>
    <col min="8706" max="8706" width="56.5" style="46" customWidth="1"/>
    <col min="8707" max="8960" width="9" style="46"/>
    <col min="8961" max="8961" width="16.25" style="46" customWidth="1"/>
    <col min="8962" max="8962" width="56.5" style="46" customWidth="1"/>
    <col min="8963" max="9216" width="9" style="46"/>
    <col min="9217" max="9217" width="16.25" style="46" customWidth="1"/>
    <col min="9218" max="9218" width="56.5" style="46" customWidth="1"/>
    <col min="9219" max="9472" width="9" style="46"/>
    <col min="9473" max="9473" width="16.25" style="46" customWidth="1"/>
    <col min="9474" max="9474" width="56.5" style="46" customWidth="1"/>
    <col min="9475" max="9728" width="9" style="46"/>
    <col min="9729" max="9729" width="16.25" style="46" customWidth="1"/>
    <col min="9730" max="9730" width="56.5" style="46" customWidth="1"/>
    <col min="9731" max="9984" width="9" style="46"/>
    <col min="9985" max="9985" width="16.25" style="46" customWidth="1"/>
    <col min="9986" max="9986" width="56.5" style="46" customWidth="1"/>
    <col min="9987" max="10240" width="9" style="46"/>
    <col min="10241" max="10241" width="16.25" style="46" customWidth="1"/>
    <col min="10242" max="10242" width="56.5" style="46" customWidth="1"/>
    <col min="10243" max="10496" width="9" style="46"/>
    <col min="10497" max="10497" width="16.25" style="46" customWidth="1"/>
    <col min="10498" max="10498" width="56.5" style="46" customWidth="1"/>
    <col min="10499" max="10752" width="9" style="46"/>
    <col min="10753" max="10753" width="16.25" style="46" customWidth="1"/>
    <col min="10754" max="10754" width="56.5" style="46" customWidth="1"/>
    <col min="10755" max="11008" width="9" style="46"/>
    <col min="11009" max="11009" width="16.25" style="46" customWidth="1"/>
    <col min="11010" max="11010" width="56.5" style="46" customWidth="1"/>
    <col min="11011" max="11264" width="9" style="46"/>
    <col min="11265" max="11265" width="16.25" style="46" customWidth="1"/>
    <col min="11266" max="11266" width="56.5" style="46" customWidth="1"/>
    <col min="11267" max="11520" width="9" style="46"/>
    <col min="11521" max="11521" width="16.25" style="46" customWidth="1"/>
    <col min="11522" max="11522" width="56.5" style="46" customWidth="1"/>
    <col min="11523" max="11776" width="9" style="46"/>
    <col min="11777" max="11777" width="16.25" style="46" customWidth="1"/>
    <col min="11778" max="11778" width="56.5" style="46" customWidth="1"/>
    <col min="11779" max="12032" width="9" style="46"/>
    <col min="12033" max="12033" width="16.25" style="46" customWidth="1"/>
    <col min="12034" max="12034" width="56.5" style="46" customWidth="1"/>
    <col min="12035" max="12288" width="9" style="46"/>
    <col min="12289" max="12289" width="16.25" style="46" customWidth="1"/>
    <col min="12290" max="12290" width="56.5" style="46" customWidth="1"/>
    <col min="12291" max="12544" width="9" style="46"/>
    <col min="12545" max="12545" width="16.25" style="46" customWidth="1"/>
    <col min="12546" max="12546" width="56.5" style="46" customWidth="1"/>
    <col min="12547" max="12800" width="9" style="46"/>
    <col min="12801" max="12801" width="16.25" style="46" customWidth="1"/>
    <col min="12802" max="12802" width="56.5" style="46" customWidth="1"/>
    <col min="12803" max="13056" width="9" style="46"/>
    <col min="13057" max="13057" width="16.25" style="46" customWidth="1"/>
    <col min="13058" max="13058" width="56.5" style="46" customWidth="1"/>
    <col min="13059" max="13312" width="9" style="46"/>
    <col min="13313" max="13313" width="16.25" style="46" customWidth="1"/>
    <col min="13314" max="13314" width="56.5" style="46" customWidth="1"/>
    <col min="13315" max="13568" width="9" style="46"/>
    <col min="13569" max="13569" width="16.25" style="46" customWidth="1"/>
    <col min="13570" max="13570" width="56.5" style="46" customWidth="1"/>
    <col min="13571" max="13824" width="9" style="46"/>
    <col min="13825" max="13825" width="16.25" style="46" customWidth="1"/>
    <col min="13826" max="13826" width="56.5" style="46" customWidth="1"/>
    <col min="13827" max="14080" width="9" style="46"/>
    <col min="14081" max="14081" width="16.25" style="46" customWidth="1"/>
    <col min="14082" max="14082" width="56.5" style="46" customWidth="1"/>
    <col min="14083" max="14336" width="9" style="46"/>
    <col min="14337" max="14337" width="16.25" style="46" customWidth="1"/>
    <col min="14338" max="14338" width="56.5" style="46" customWidth="1"/>
    <col min="14339" max="14592" width="9" style="46"/>
    <col min="14593" max="14593" width="16.25" style="46" customWidth="1"/>
    <col min="14594" max="14594" width="56.5" style="46" customWidth="1"/>
    <col min="14595" max="14848" width="9" style="46"/>
    <col min="14849" max="14849" width="16.25" style="46" customWidth="1"/>
    <col min="14850" max="14850" width="56.5" style="46" customWidth="1"/>
    <col min="14851" max="15104" width="9" style="46"/>
    <col min="15105" max="15105" width="16.25" style="46" customWidth="1"/>
    <col min="15106" max="15106" width="56.5" style="46" customWidth="1"/>
    <col min="15107" max="15360" width="9" style="46"/>
    <col min="15361" max="15361" width="16.25" style="46" customWidth="1"/>
    <col min="15362" max="15362" width="56.5" style="46" customWidth="1"/>
    <col min="15363" max="15616" width="9" style="46"/>
    <col min="15617" max="15617" width="16.25" style="46" customWidth="1"/>
    <col min="15618" max="15618" width="56.5" style="46" customWidth="1"/>
    <col min="15619" max="15872" width="9" style="46"/>
    <col min="15873" max="15873" width="16.25" style="46" customWidth="1"/>
    <col min="15874" max="15874" width="56.5" style="46" customWidth="1"/>
    <col min="15875" max="16128" width="9" style="46"/>
    <col min="16129" max="16129" width="16.25" style="46" customWidth="1"/>
    <col min="16130" max="16130" width="56.5" style="46" customWidth="1"/>
    <col min="16131" max="16384" width="9" style="46"/>
  </cols>
  <sheetData>
    <row r="1" spans="1:2" ht="24.75" customHeight="1">
      <c r="A1" s="505" t="s">
        <v>52</v>
      </c>
      <c r="B1" s="505"/>
    </row>
    <row r="2" spans="1:2" ht="18" customHeight="1">
      <c r="A2" s="405" t="s">
        <v>83</v>
      </c>
      <c r="B2" s="406" t="s">
        <v>84</v>
      </c>
    </row>
    <row r="3" spans="1:2" ht="18" customHeight="1">
      <c r="A3" s="407" t="s">
        <v>85</v>
      </c>
      <c r="B3" s="406" t="s">
        <v>86</v>
      </c>
    </row>
    <row r="4" spans="1:2" ht="18" customHeight="1">
      <c r="A4" s="407" t="s">
        <v>87</v>
      </c>
      <c r="B4" s="406" t="s">
        <v>88</v>
      </c>
    </row>
    <row r="5" spans="1:2" ht="18" customHeight="1">
      <c r="A5" s="405" t="s">
        <v>89</v>
      </c>
      <c r="B5" s="406" t="s">
        <v>90</v>
      </c>
    </row>
    <row r="6" spans="1:2" ht="18" customHeight="1">
      <c r="A6" s="405" t="s">
        <v>91</v>
      </c>
      <c r="B6" s="406" t="s">
        <v>92</v>
      </c>
    </row>
    <row r="7" spans="1:2" ht="18" customHeight="1">
      <c r="A7" s="405" t="s">
        <v>93</v>
      </c>
      <c r="B7" s="406" t="s">
        <v>94</v>
      </c>
    </row>
    <row r="8" spans="1:2" ht="18" customHeight="1">
      <c r="A8" s="405" t="s">
        <v>95</v>
      </c>
      <c r="B8" s="406" t="s">
        <v>96</v>
      </c>
    </row>
    <row r="9" spans="1:2" ht="18" customHeight="1">
      <c r="A9" s="405" t="s">
        <v>97</v>
      </c>
      <c r="B9" s="406" t="s">
        <v>98</v>
      </c>
    </row>
    <row r="10" spans="1:2" ht="18" customHeight="1">
      <c r="A10" s="405" t="s">
        <v>99</v>
      </c>
      <c r="B10" s="406" t="s">
        <v>100</v>
      </c>
    </row>
    <row r="11" spans="1:2" ht="18" customHeight="1">
      <c r="A11" s="405" t="s">
        <v>101</v>
      </c>
      <c r="B11" s="406" t="s">
        <v>102</v>
      </c>
    </row>
    <row r="12" spans="1:2" ht="18" customHeight="1">
      <c r="A12" s="405" t="s">
        <v>103</v>
      </c>
      <c r="B12" s="406" t="s">
        <v>104</v>
      </c>
    </row>
    <row r="13" spans="1:2" ht="18" customHeight="1">
      <c r="A13" s="405" t="s">
        <v>105</v>
      </c>
      <c r="B13" s="406" t="s">
        <v>106</v>
      </c>
    </row>
    <row r="14" spans="1:2" s="45" customFormat="1" ht="18" customHeight="1">
      <c r="A14" s="462" t="s">
        <v>107</v>
      </c>
      <c r="B14" s="463" t="s">
        <v>533</v>
      </c>
    </row>
    <row r="15" spans="1:2" ht="18" customHeight="1">
      <c r="A15" s="405" t="s">
        <v>108</v>
      </c>
      <c r="B15" s="406" t="s">
        <v>109</v>
      </c>
    </row>
    <row r="16" spans="1:2" ht="18" customHeight="1">
      <c r="A16" s="405" t="s">
        <v>110</v>
      </c>
      <c r="B16" s="406" t="s">
        <v>106</v>
      </c>
    </row>
    <row r="17" spans="1:2" ht="18" customHeight="1">
      <c r="A17" s="405" t="s">
        <v>111</v>
      </c>
      <c r="B17" s="408">
        <v>42641</v>
      </c>
    </row>
    <row r="18" spans="1:2" ht="18" customHeight="1">
      <c r="A18" s="405" t="s">
        <v>112</v>
      </c>
      <c r="B18" s="408">
        <v>42643</v>
      </c>
    </row>
    <row r="21" spans="1:2">
      <c r="A21" s="409" t="s">
        <v>113</v>
      </c>
    </row>
  </sheetData>
  <mergeCells count="1">
    <mergeCell ref="A1:B1"/>
  </mergeCells>
  <phoneticPr fontId="126" type="noConversion"/>
  <dataValidations count="3">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84"/>
  <sheetViews>
    <sheetView showGridLines="0" topLeftCell="A30" workbookViewId="0">
      <selection activeCell="E13" sqref="E13"/>
    </sheetView>
  </sheetViews>
  <sheetFormatPr defaultColWidth="9" defaultRowHeight="12" outlineLevelRow="1"/>
  <cols>
    <col min="1" max="1" width="9" style="46"/>
    <col min="2" max="2" width="12.25" style="46" customWidth="1"/>
    <col min="3" max="3" width="8.375" style="46" customWidth="1"/>
    <col min="4" max="5" width="9.375" style="46" customWidth="1"/>
    <col min="6" max="6" width="9" style="46" customWidth="1"/>
    <col min="7" max="7" width="10.125" style="46" customWidth="1"/>
    <col min="8" max="9" width="11.375" style="46" customWidth="1"/>
    <col min="10" max="10" width="11" style="46" customWidth="1"/>
    <col min="11" max="11" width="11.25" style="46" customWidth="1"/>
    <col min="12" max="16384" width="9" style="46"/>
  </cols>
  <sheetData>
    <row r="1" spans="1:18" ht="12" customHeight="1">
      <c r="A1" s="506" t="s">
        <v>114</v>
      </c>
      <c r="B1" s="507"/>
      <c r="C1" s="507"/>
      <c r="D1" s="507"/>
      <c r="E1" s="507"/>
      <c r="F1" s="507"/>
      <c r="G1" s="507"/>
      <c r="H1" s="507"/>
      <c r="I1" s="507"/>
      <c r="J1" s="508"/>
      <c r="K1" s="397"/>
      <c r="L1" s="397"/>
      <c r="M1" s="397"/>
      <c r="N1" s="397"/>
      <c r="O1" s="397"/>
      <c r="P1" s="397"/>
      <c r="Q1" s="397"/>
      <c r="R1" s="397"/>
    </row>
    <row r="2" spans="1:18" ht="12" customHeight="1">
      <c r="A2" s="509"/>
      <c r="B2" s="510"/>
      <c r="C2" s="510"/>
      <c r="D2" s="510"/>
      <c r="E2" s="510"/>
      <c r="F2" s="510"/>
      <c r="G2" s="510"/>
      <c r="H2" s="510"/>
      <c r="I2" s="510"/>
      <c r="J2" s="511"/>
      <c r="K2" s="398"/>
      <c r="L2" s="398"/>
      <c r="M2" s="398"/>
      <c r="N2" s="398"/>
      <c r="O2" s="398"/>
      <c r="P2" s="398"/>
      <c r="Q2" s="398"/>
      <c r="R2" s="398"/>
    </row>
    <row r="3" spans="1:18" ht="12" customHeight="1">
      <c r="A3" s="382"/>
      <c r="B3" s="382"/>
      <c r="C3" s="382"/>
      <c r="D3" s="382"/>
      <c r="E3" s="382"/>
      <c r="F3" s="382"/>
      <c r="G3" s="382"/>
      <c r="H3" s="382"/>
      <c r="I3" s="382"/>
      <c r="J3" s="382"/>
      <c r="K3" s="398"/>
      <c r="L3" s="398"/>
      <c r="M3" s="398"/>
      <c r="N3" s="398"/>
      <c r="O3" s="398"/>
      <c r="P3" s="398"/>
      <c r="Q3" s="398"/>
      <c r="R3" s="398"/>
    </row>
    <row r="4" spans="1:18" ht="20.25">
      <c r="A4" s="526" t="s">
        <v>115</v>
      </c>
      <c r="B4" s="526"/>
      <c r="C4" s="526"/>
      <c r="D4" s="526"/>
      <c r="E4" s="526"/>
      <c r="F4" s="526"/>
      <c r="G4" s="526"/>
      <c r="H4" s="526"/>
      <c r="I4" s="526"/>
      <c r="J4" s="526"/>
      <c r="K4" s="398"/>
      <c r="L4" s="398"/>
      <c r="M4" s="398"/>
      <c r="N4" s="398"/>
      <c r="O4" s="398"/>
      <c r="P4" s="398"/>
      <c r="Q4" s="398"/>
      <c r="R4" s="398"/>
    </row>
    <row r="5" spans="1:18" ht="13.5" customHeight="1" outlineLevel="1">
      <c r="A5" s="66" t="s">
        <v>116</v>
      </c>
      <c r="B5" s="383"/>
      <c r="C5" s="384"/>
      <c r="D5" s="384"/>
      <c r="E5" s="384"/>
      <c r="F5" s="384"/>
      <c r="G5" s="384"/>
      <c r="H5" s="384"/>
      <c r="I5" s="384"/>
      <c r="J5" s="399"/>
    </row>
    <row r="6" spans="1:18" ht="12" customHeight="1" outlineLevel="1">
      <c r="A6" s="43" t="s">
        <v>117</v>
      </c>
      <c r="B6" s="384"/>
      <c r="C6" s="384"/>
      <c r="D6" s="384"/>
      <c r="E6" s="384"/>
      <c r="F6" s="384"/>
      <c r="G6" s="384"/>
      <c r="H6" s="384"/>
      <c r="I6" s="384"/>
      <c r="J6" s="399"/>
    </row>
    <row r="7" spans="1:18" ht="15.75" customHeight="1" outlineLevel="1" thickBot="1">
      <c r="A7" s="43" t="s">
        <v>118</v>
      </c>
      <c r="B7" s="385"/>
      <c r="C7" s="385"/>
      <c r="D7" s="385"/>
      <c r="E7" s="385"/>
      <c r="F7" s="385"/>
      <c r="G7" s="385"/>
      <c r="H7" s="385"/>
      <c r="I7" s="385"/>
      <c r="J7" s="400"/>
    </row>
    <row r="8" spans="1:18" ht="16.5" customHeight="1" outlineLevel="1" thickTop="1">
      <c r="A8" s="516" t="s">
        <v>81</v>
      </c>
      <c r="B8" s="512" t="s">
        <v>119</v>
      </c>
      <c r="C8" s="512" t="s">
        <v>120</v>
      </c>
      <c r="D8" s="523" t="s">
        <v>121</v>
      </c>
      <c r="E8" s="524"/>
      <c r="F8" s="524"/>
      <c r="G8" s="525"/>
      <c r="H8" s="512" t="s">
        <v>122</v>
      </c>
      <c r="I8" s="512" t="s">
        <v>123</v>
      </c>
      <c r="J8" s="514" t="s">
        <v>124</v>
      </c>
    </row>
    <row r="9" spans="1:18" ht="23.1" customHeight="1" outlineLevel="1">
      <c r="A9" s="517"/>
      <c r="B9" s="513"/>
      <c r="C9" s="513"/>
      <c r="D9" s="386" t="s">
        <v>125</v>
      </c>
      <c r="E9" s="386" t="s">
        <v>126</v>
      </c>
      <c r="F9" s="386" t="s">
        <v>127</v>
      </c>
      <c r="G9" s="386" t="s">
        <v>128</v>
      </c>
      <c r="H9" s="513"/>
      <c r="I9" s="513"/>
      <c r="J9" s="515"/>
    </row>
    <row r="10" spans="1:18" s="381" customFormat="1" ht="23.1" customHeight="1" outlineLevel="1">
      <c r="A10" s="518" t="s">
        <v>129</v>
      </c>
      <c r="B10" s="281" t="s">
        <v>130</v>
      </c>
      <c r="C10" s="155">
        <v>100</v>
      </c>
      <c r="D10" s="155">
        <v>0</v>
      </c>
      <c r="E10" s="155">
        <v>0</v>
      </c>
      <c r="F10" s="155">
        <v>0</v>
      </c>
      <c r="G10" s="387">
        <f>SUM(D10:F10)</f>
        <v>0</v>
      </c>
      <c r="H10" s="155">
        <v>0</v>
      </c>
      <c r="I10" s="155">
        <v>326.25</v>
      </c>
      <c r="J10" s="401">
        <f t="shared" ref="J10:J16" si="0">1-(G10/C10)*(ABS(H10)/I10)</f>
        <v>1</v>
      </c>
      <c r="N10" s="381" t="str">
        <f t="shared" ref="N10:N15" si="1">B10</f>
        <v>需求分析</v>
      </c>
      <c r="O10" s="402">
        <f t="shared" ref="O10:O15" si="2">J10</f>
        <v>1</v>
      </c>
    </row>
    <row r="11" spans="1:18" s="381" customFormat="1" ht="23.1" customHeight="1" outlineLevel="1">
      <c r="A11" s="519"/>
      <c r="B11" s="281" t="s">
        <v>131</v>
      </c>
      <c r="C11" s="387">
        <f>C10+D10-E10</f>
        <v>100</v>
      </c>
      <c r="D11" s="155">
        <v>1</v>
      </c>
      <c r="E11" s="155">
        <v>0</v>
      </c>
      <c r="F11" s="155">
        <v>2</v>
      </c>
      <c r="G11" s="387">
        <f>SUM(D11:F11)</f>
        <v>3</v>
      </c>
      <c r="H11" s="155">
        <v>40.299999999999997</v>
      </c>
      <c r="I11" s="155">
        <v>326.25</v>
      </c>
      <c r="J11" s="401">
        <f t="shared" si="0"/>
        <v>0.99629425287356321</v>
      </c>
      <c r="N11" s="381" t="str">
        <f t="shared" si="1"/>
        <v>架构设计</v>
      </c>
      <c r="O11" s="402">
        <f t="shared" si="2"/>
        <v>0.99629425287356321</v>
      </c>
    </row>
    <row r="12" spans="1:18" s="381" customFormat="1" ht="23.1" customHeight="1" outlineLevel="1">
      <c r="A12" s="519"/>
      <c r="B12" s="281" t="s">
        <v>132</v>
      </c>
      <c r="C12" s="387">
        <f t="shared" ref="C12:C15" si="3">C11+D11-E11</f>
        <v>101</v>
      </c>
      <c r="D12" s="155">
        <v>0</v>
      </c>
      <c r="E12" s="155">
        <v>3</v>
      </c>
      <c r="F12" s="155">
        <v>0</v>
      </c>
      <c r="G12" s="387">
        <f t="shared" ref="G12:G15" si="4">SUM(D12:F12)</f>
        <v>3</v>
      </c>
      <c r="H12" s="155">
        <v>50.5</v>
      </c>
      <c r="I12" s="155">
        <v>338</v>
      </c>
      <c r="J12" s="401">
        <f t="shared" si="0"/>
        <v>0.99556213017751483</v>
      </c>
      <c r="N12" s="381" t="str">
        <f t="shared" si="1"/>
        <v>快速设计</v>
      </c>
      <c r="O12" s="402">
        <f t="shared" si="2"/>
        <v>0.99556213017751483</v>
      </c>
    </row>
    <row r="13" spans="1:18" s="381" customFormat="1" ht="23.1" customHeight="1" outlineLevel="1">
      <c r="A13" s="519"/>
      <c r="B13" s="281" t="s">
        <v>133</v>
      </c>
      <c r="C13" s="387">
        <f t="shared" si="3"/>
        <v>98</v>
      </c>
      <c r="D13" s="155">
        <v>0</v>
      </c>
      <c r="E13" s="155">
        <v>0</v>
      </c>
      <c r="F13" s="155">
        <v>2</v>
      </c>
      <c r="G13" s="387">
        <f t="shared" si="4"/>
        <v>2</v>
      </c>
      <c r="H13" s="155">
        <v>20.5</v>
      </c>
      <c r="I13" s="155">
        <v>345</v>
      </c>
      <c r="J13" s="401">
        <f t="shared" si="0"/>
        <v>0.99878734102336586</v>
      </c>
      <c r="N13" s="381" t="str">
        <f t="shared" si="1"/>
        <v>编码实现</v>
      </c>
      <c r="O13" s="402">
        <f t="shared" si="2"/>
        <v>0.99878734102336586</v>
      </c>
    </row>
    <row r="14" spans="1:18" s="381" customFormat="1" ht="23.1" customHeight="1" outlineLevel="1">
      <c r="A14" s="519"/>
      <c r="B14" s="281" t="s">
        <v>134</v>
      </c>
      <c r="C14" s="387">
        <f t="shared" si="3"/>
        <v>98</v>
      </c>
      <c r="D14" s="155">
        <v>0</v>
      </c>
      <c r="E14" s="155">
        <v>0</v>
      </c>
      <c r="F14" s="155">
        <v>0</v>
      </c>
      <c r="G14" s="387">
        <f t="shared" si="4"/>
        <v>0</v>
      </c>
      <c r="H14" s="155">
        <v>0</v>
      </c>
      <c r="I14" s="155">
        <v>287.5</v>
      </c>
      <c r="J14" s="401">
        <f t="shared" si="0"/>
        <v>1</v>
      </c>
      <c r="N14" s="381" t="str">
        <f t="shared" si="1"/>
        <v>迭代测试</v>
      </c>
      <c r="O14" s="402">
        <f t="shared" si="2"/>
        <v>1</v>
      </c>
      <c r="Q14" s="46"/>
    </row>
    <row r="15" spans="1:18" s="381" customFormat="1" ht="23.1" customHeight="1" outlineLevel="1">
      <c r="A15" s="519"/>
      <c r="B15" s="281" t="s">
        <v>135</v>
      </c>
      <c r="C15" s="387">
        <f t="shared" si="3"/>
        <v>98</v>
      </c>
      <c r="D15" s="155">
        <v>0</v>
      </c>
      <c r="E15" s="155">
        <v>0</v>
      </c>
      <c r="F15" s="155">
        <v>0</v>
      </c>
      <c r="G15" s="387">
        <f t="shared" si="4"/>
        <v>0</v>
      </c>
      <c r="H15" s="155">
        <v>0</v>
      </c>
      <c r="I15" s="155">
        <v>287.5</v>
      </c>
      <c r="J15" s="401">
        <f t="shared" si="0"/>
        <v>1</v>
      </c>
      <c r="N15" s="381" t="str">
        <f t="shared" si="1"/>
        <v>迭代演示</v>
      </c>
      <c r="O15" s="402">
        <f t="shared" si="2"/>
        <v>1</v>
      </c>
      <c r="Q15" s="46"/>
    </row>
    <row r="16" spans="1:18" ht="18.75" customHeight="1" outlineLevel="1" thickBot="1">
      <c r="A16" s="520"/>
      <c r="B16" s="388" t="s">
        <v>136</v>
      </c>
      <c r="C16" s="389">
        <f>C10</f>
        <v>100</v>
      </c>
      <c r="D16" s="389">
        <f t="shared" ref="D16:H16" si="5">SUM(D10:D15)</f>
        <v>1</v>
      </c>
      <c r="E16" s="390">
        <f t="shared" si="5"/>
        <v>3</v>
      </c>
      <c r="F16" s="391">
        <f t="shared" si="5"/>
        <v>4</v>
      </c>
      <c r="G16" s="392">
        <f t="shared" si="5"/>
        <v>8</v>
      </c>
      <c r="H16" s="392">
        <f t="shared" si="5"/>
        <v>111.3</v>
      </c>
      <c r="I16" s="392">
        <f>I10</f>
        <v>326.25</v>
      </c>
      <c r="J16" s="401">
        <f t="shared" si="0"/>
        <v>0.97270804597701144</v>
      </c>
      <c r="O16" s="381"/>
    </row>
    <row r="17" spans="1:18" ht="18.75" customHeight="1" outlineLevel="1" thickTop="1">
      <c r="A17" s="529"/>
      <c r="B17" s="529"/>
      <c r="C17" s="529"/>
      <c r="D17" s="530"/>
      <c r="E17" s="530"/>
      <c r="F17" s="529"/>
      <c r="G17" s="529"/>
      <c r="H17" s="529"/>
      <c r="I17" s="529"/>
      <c r="J17" s="529"/>
    </row>
    <row r="18" spans="1:18" ht="12" customHeight="1" outlineLevel="1">
      <c r="A18" s="393" t="s">
        <v>137</v>
      </c>
      <c r="B18" s="393"/>
      <c r="C18" s="394"/>
      <c r="D18" s="395"/>
      <c r="E18" s="395"/>
      <c r="F18" s="395"/>
      <c r="G18" s="395"/>
      <c r="H18" s="395"/>
      <c r="I18" s="395"/>
      <c r="J18" s="395"/>
    </row>
    <row r="19" spans="1:18" ht="12" customHeight="1" outlineLevel="1">
      <c r="A19" s="521" t="s">
        <v>117</v>
      </c>
      <c r="B19" s="521"/>
      <c r="C19" s="521"/>
      <c r="D19" s="521"/>
      <c r="E19" s="521"/>
      <c r="F19" s="521"/>
      <c r="G19" s="521"/>
      <c r="H19" s="521"/>
      <c r="I19" s="521"/>
      <c r="J19" s="521"/>
    </row>
    <row r="20" spans="1:18" ht="12" customHeight="1" outlineLevel="1" thickBot="1">
      <c r="A20" s="522" t="s">
        <v>138</v>
      </c>
      <c r="B20" s="522"/>
      <c r="C20" s="522"/>
      <c r="D20" s="522"/>
      <c r="E20" s="522"/>
      <c r="F20" s="522"/>
      <c r="G20" s="522"/>
      <c r="H20" s="522"/>
      <c r="I20" s="522"/>
      <c r="J20" s="522"/>
    </row>
    <row r="21" spans="1:18" ht="18.75" customHeight="1" outlineLevel="1" thickTop="1">
      <c r="A21" s="516" t="s">
        <v>81</v>
      </c>
      <c r="B21" s="512" t="s">
        <v>119</v>
      </c>
      <c r="C21" s="512" t="s">
        <v>120</v>
      </c>
      <c r="D21" s="523" t="s">
        <v>121</v>
      </c>
      <c r="E21" s="524"/>
      <c r="F21" s="524"/>
      <c r="G21" s="525"/>
      <c r="H21" s="512" t="s">
        <v>122</v>
      </c>
      <c r="I21" s="512" t="s">
        <v>123</v>
      </c>
      <c r="J21" s="514" t="s">
        <v>124</v>
      </c>
    </row>
    <row r="22" spans="1:18" ht="20.25" customHeight="1" outlineLevel="1">
      <c r="A22" s="517"/>
      <c r="B22" s="513"/>
      <c r="C22" s="513"/>
      <c r="D22" s="386" t="s">
        <v>125</v>
      </c>
      <c r="E22" s="386" t="s">
        <v>126</v>
      </c>
      <c r="F22" s="386" t="s">
        <v>127</v>
      </c>
      <c r="G22" s="386" t="s">
        <v>128</v>
      </c>
      <c r="H22" s="513"/>
      <c r="I22" s="513"/>
      <c r="J22" s="515"/>
    </row>
    <row r="23" spans="1:18" ht="23.1" customHeight="1" outlineLevel="1">
      <c r="A23" s="518" t="s">
        <v>139</v>
      </c>
      <c r="B23" s="281" t="s">
        <v>130</v>
      </c>
      <c r="C23" s="396">
        <v>110</v>
      </c>
      <c r="D23" s="155">
        <v>0</v>
      </c>
      <c r="E23" s="155">
        <v>0</v>
      </c>
      <c r="F23" s="155">
        <v>0</v>
      </c>
      <c r="G23" s="387">
        <f t="shared" ref="G23:G28" si="6">D23+E23+F23</f>
        <v>0</v>
      </c>
      <c r="H23" s="155">
        <v>0</v>
      </c>
      <c r="I23" s="155">
        <v>326.25</v>
      </c>
      <c r="J23" s="401">
        <f t="shared" ref="J23:J29" si="7">1-(G23/C23)*(ABS(H23)/I23)</f>
        <v>1</v>
      </c>
      <c r="N23" s="381" t="str">
        <f t="shared" ref="N23:N28" si="8">B23</f>
        <v>需求分析</v>
      </c>
      <c r="O23" s="403">
        <f t="shared" ref="O23:O25" si="9">J23</f>
        <v>1</v>
      </c>
    </row>
    <row r="24" spans="1:18" ht="23.1" customHeight="1" outlineLevel="1">
      <c r="A24" s="519"/>
      <c r="B24" s="281" t="s">
        <v>131</v>
      </c>
      <c r="C24" s="387">
        <f>C23+D23-E23</f>
        <v>110</v>
      </c>
      <c r="D24" s="155">
        <v>5</v>
      </c>
      <c r="E24" s="155">
        <v>2</v>
      </c>
      <c r="F24" s="155">
        <v>4</v>
      </c>
      <c r="G24" s="387">
        <f t="shared" si="6"/>
        <v>11</v>
      </c>
      <c r="H24" s="155">
        <v>40.299999999999997</v>
      </c>
      <c r="I24" s="155">
        <v>326.25</v>
      </c>
      <c r="J24" s="401">
        <f t="shared" si="7"/>
        <v>0.98764750957854408</v>
      </c>
      <c r="N24" s="381" t="str">
        <f t="shared" si="8"/>
        <v>架构设计</v>
      </c>
      <c r="O24" s="403">
        <f t="shared" si="9"/>
        <v>0.98764750957854408</v>
      </c>
    </row>
    <row r="25" spans="1:18" ht="23.1" customHeight="1" outlineLevel="1">
      <c r="A25" s="519"/>
      <c r="B25" s="281" t="s">
        <v>132</v>
      </c>
      <c r="C25" s="387">
        <f t="shared" ref="C25:C28" si="10">C24+D24-E24</f>
        <v>113</v>
      </c>
      <c r="D25" s="155">
        <v>0</v>
      </c>
      <c r="E25" s="155">
        <v>10</v>
      </c>
      <c r="F25" s="155">
        <v>3</v>
      </c>
      <c r="G25" s="387">
        <f t="shared" si="6"/>
        <v>13</v>
      </c>
      <c r="H25" s="155">
        <v>80</v>
      </c>
      <c r="I25" s="155">
        <v>338</v>
      </c>
      <c r="J25" s="401">
        <f t="shared" si="7"/>
        <v>0.97277059223961881</v>
      </c>
      <c r="N25" s="381" t="str">
        <f t="shared" si="8"/>
        <v>快速设计</v>
      </c>
      <c r="O25" s="403">
        <f t="shared" si="9"/>
        <v>0.97277059223961881</v>
      </c>
    </row>
    <row r="26" spans="1:18" ht="23.1" customHeight="1" outlineLevel="1">
      <c r="A26" s="519"/>
      <c r="B26" s="281" t="s">
        <v>133</v>
      </c>
      <c r="C26" s="387">
        <f t="shared" si="10"/>
        <v>103</v>
      </c>
      <c r="D26" s="155">
        <v>0</v>
      </c>
      <c r="E26" s="155">
        <v>0</v>
      </c>
      <c r="F26" s="155">
        <v>4</v>
      </c>
      <c r="G26" s="387">
        <f t="shared" si="6"/>
        <v>4</v>
      </c>
      <c r="H26" s="155">
        <v>20.5</v>
      </c>
      <c r="I26" s="155">
        <v>345</v>
      </c>
      <c r="J26" s="401">
        <f t="shared" si="7"/>
        <v>0.99769241592795832</v>
      </c>
      <c r="N26" s="381" t="str">
        <f t="shared" si="8"/>
        <v>编码实现</v>
      </c>
      <c r="O26" s="403">
        <f t="shared" ref="O26:O28" si="11">J26</f>
        <v>0.99769241592795832</v>
      </c>
    </row>
    <row r="27" spans="1:18" ht="23.1" customHeight="1" outlineLevel="1">
      <c r="A27" s="519"/>
      <c r="B27" s="281" t="s">
        <v>134</v>
      </c>
      <c r="C27" s="387">
        <f t="shared" si="10"/>
        <v>103</v>
      </c>
      <c r="D27" s="155">
        <v>0</v>
      </c>
      <c r="E27" s="155">
        <v>0</v>
      </c>
      <c r="F27" s="155">
        <v>0</v>
      </c>
      <c r="G27" s="387">
        <f t="shared" si="6"/>
        <v>0</v>
      </c>
      <c r="H27" s="155">
        <v>0</v>
      </c>
      <c r="I27" s="155">
        <v>287.5</v>
      </c>
      <c r="J27" s="401">
        <f t="shared" si="7"/>
        <v>1</v>
      </c>
      <c r="N27" s="381" t="str">
        <f t="shared" si="8"/>
        <v>迭代测试</v>
      </c>
      <c r="O27" s="403">
        <f t="shared" si="11"/>
        <v>1</v>
      </c>
    </row>
    <row r="28" spans="1:18" ht="23.1" customHeight="1" outlineLevel="1">
      <c r="A28" s="519"/>
      <c r="B28" s="281" t="s">
        <v>135</v>
      </c>
      <c r="C28" s="387">
        <f t="shared" si="10"/>
        <v>103</v>
      </c>
      <c r="D28" s="155">
        <v>0</v>
      </c>
      <c r="E28" s="155">
        <v>0</v>
      </c>
      <c r="F28" s="155">
        <v>0</v>
      </c>
      <c r="G28" s="387">
        <f t="shared" si="6"/>
        <v>0</v>
      </c>
      <c r="H28" s="155">
        <v>0</v>
      </c>
      <c r="I28" s="155">
        <v>287.5</v>
      </c>
      <c r="J28" s="401">
        <f t="shared" si="7"/>
        <v>1</v>
      </c>
      <c r="N28" s="381" t="str">
        <f t="shared" si="8"/>
        <v>迭代演示</v>
      </c>
      <c r="O28" s="403">
        <f t="shared" si="11"/>
        <v>1</v>
      </c>
    </row>
    <row r="29" spans="1:18" ht="23.1" customHeight="1" outlineLevel="1" thickBot="1">
      <c r="A29" s="520"/>
      <c r="B29" s="388" t="s">
        <v>136</v>
      </c>
      <c r="C29" s="389">
        <f>C23</f>
        <v>110</v>
      </c>
      <c r="D29" s="389">
        <f t="shared" ref="D29:H29" si="12">SUM(D23:D28)</f>
        <v>5</v>
      </c>
      <c r="E29" s="389">
        <f t="shared" si="12"/>
        <v>12</v>
      </c>
      <c r="F29" s="389">
        <f t="shared" si="12"/>
        <v>11</v>
      </c>
      <c r="G29" s="389">
        <f t="shared" si="12"/>
        <v>28</v>
      </c>
      <c r="H29" s="392">
        <f t="shared" si="12"/>
        <v>140.80000000000001</v>
      </c>
      <c r="I29" s="392">
        <f>I23</f>
        <v>326.25</v>
      </c>
      <c r="J29" s="404">
        <f t="shared" si="7"/>
        <v>0.8901455938697318</v>
      </c>
    </row>
    <row r="30" spans="1:18" ht="11.25" customHeight="1" thickTop="1"/>
    <row r="31" spans="1:18" ht="20.25">
      <c r="A31" s="526" t="s">
        <v>140</v>
      </c>
      <c r="B31" s="526"/>
      <c r="C31" s="526"/>
      <c r="D31" s="526"/>
      <c r="E31" s="526"/>
      <c r="F31" s="526"/>
      <c r="G31" s="526"/>
      <c r="H31" s="526"/>
      <c r="I31" s="526"/>
      <c r="J31" s="526"/>
      <c r="K31" s="398"/>
      <c r="L31" s="398"/>
      <c r="M31" s="398"/>
      <c r="N31" s="398"/>
      <c r="O31" s="398"/>
      <c r="P31" s="398"/>
      <c r="Q31" s="398"/>
      <c r="R31" s="398"/>
    </row>
    <row r="32" spans="1:18" ht="13.5" customHeight="1" outlineLevel="1">
      <c r="A32" s="66" t="s">
        <v>116</v>
      </c>
      <c r="B32" s="383"/>
      <c r="C32" s="384"/>
      <c r="D32" s="384"/>
      <c r="E32" s="384"/>
      <c r="F32" s="384"/>
      <c r="G32" s="384"/>
      <c r="H32" s="384"/>
      <c r="I32" s="384"/>
      <c r="J32" s="399"/>
    </row>
    <row r="33" spans="1:17" ht="12" customHeight="1" outlineLevel="1">
      <c r="A33" s="43" t="s">
        <v>117</v>
      </c>
      <c r="B33" s="384"/>
      <c r="C33" s="384"/>
      <c r="D33" s="384"/>
      <c r="E33" s="384"/>
      <c r="F33" s="384"/>
      <c r="G33" s="384"/>
      <c r="H33" s="384"/>
      <c r="I33" s="384"/>
      <c r="J33" s="399"/>
    </row>
    <row r="34" spans="1:17" ht="15.75" customHeight="1" outlineLevel="1" thickBot="1">
      <c r="A34" s="43" t="s">
        <v>118</v>
      </c>
      <c r="B34" s="385"/>
      <c r="C34" s="385"/>
      <c r="D34" s="385"/>
      <c r="E34" s="385"/>
      <c r="F34" s="385"/>
      <c r="G34" s="385"/>
      <c r="H34" s="385"/>
      <c r="I34" s="385"/>
      <c r="J34" s="400"/>
    </row>
    <row r="35" spans="1:17" ht="16.5" customHeight="1" outlineLevel="1" thickTop="1">
      <c r="A35" s="516" t="s">
        <v>81</v>
      </c>
      <c r="B35" s="512" t="s">
        <v>119</v>
      </c>
      <c r="C35" s="512" t="s">
        <v>120</v>
      </c>
      <c r="D35" s="523" t="s">
        <v>121</v>
      </c>
      <c r="E35" s="524"/>
      <c r="F35" s="524"/>
      <c r="G35" s="525"/>
      <c r="H35" s="512" t="s">
        <v>122</v>
      </c>
      <c r="I35" s="512" t="s">
        <v>123</v>
      </c>
      <c r="J35" s="514" t="s">
        <v>124</v>
      </c>
    </row>
    <row r="36" spans="1:17" ht="23.1" customHeight="1" outlineLevel="1">
      <c r="A36" s="517"/>
      <c r="B36" s="513"/>
      <c r="C36" s="513"/>
      <c r="D36" s="386" t="s">
        <v>125</v>
      </c>
      <c r="E36" s="386" t="s">
        <v>126</v>
      </c>
      <c r="F36" s="386" t="s">
        <v>127</v>
      </c>
      <c r="G36" s="386" t="s">
        <v>128</v>
      </c>
      <c r="H36" s="513"/>
      <c r="I36" s="513"/>
      <c r="J36" s="515"/>
    </row>
    <row r="37" spans="1:17" s="381" customFormat="1" ht="23.1" customHeight="1" outlineLevel="1">
      <c r="A37" s="518" t="s">
        <v>129</v>
      </c>
      <c r="B37" s="281" t="s">
        <v>130</v>
      </c>
      <c r="C37" s="155">
        <v>100</v>
      </c>
      <c r="D37" s="155">
        <v>0</v>
      </c>
      <c r="E37" s="155">
        <v>0</v>
      </c>
      <c r="F37" s="155">
        <v>0</v>
      </c>
      <c r="G37" s="387">
        <f>SUM(D37:F37)</f>
        <v>0</v>
      </c>
      <c r="H37" s="155">
        <v>0</v>
      </c>
      <c r="I37" s="155">
        <v>326.25</v>
      </c>
      <c r="J37" s="401">
        <f t="shared" ref="J37:J43" si="13">1-(G37/C37)*(ABS(H37)/I37)</f>
        <v>1</v>
      </c>
      <c r="N37" s="381" t="str">
        <f t="shared" ref="N37:N42" si="14">B37</f>
        <v>需求分析</v>
      </c>
      <c r="O37" s="402">
        <f t="shared" ref="O37:O40" si="15">J37</f>
        <v>1</v>
      </c>
    </row>
    <row r="38" spans="1:17" s="381" customFormat="1" ht="23.1" customHeight="1" outlineLevel="1">
      <c r="A38" s="519"/>
      <c r="B38" s="281" t="s">
        <v>131</v>
      </c>
      <c r="C38" s="387">
        <f>C37+D37-E37</f>
        <v>100</v>
      </c>
      <c r="D38" s="155">
        <v>1</v>
      </c>
      <c r="E38" s="155">
        <v>0</v>
      </c>
      <c r="F38" s="155">
        <v>2</v>
      </c>
      <c r="G38" s="387">
        <f>SUM(D38:F38)</f>
        <v>3</v>
      </c>
      <c r="H38" s="155">
        <v>40.299999999999997</v>
      </c>
      <c r="I38" s="155">
        <v>326.25</v>
      </c>
      <c r="J38" s="401">
        <f t="shared" si="13"/>
        <v>0.99629425287356321</v>
      </c>
      <c r="N38" s="381" t="str">
        <f t="shared" si="14"/>
        <v>架构设计</v>
      </c>
      <c r="O38" s="402">
        <f t="shared" si="15"/>
        <v>0.99629425287356321</v>
      </c>
    </row>
    <row r="39" spans="1:17" s="381" customFormat="1" ht="23.1" customHeight="1" outlineLevel="1">
      <c r="A39" s="519"/>
      <c r="B39" s="281" t="s">
        <v>132</v>
      </c>
      <c r="C39" s="387">
        <f t="shared" ref="C39:C42" si="16">C38+D38-E38</f>
        <v>101</v>
      </c>
      <c r="D39" s="155">
        <v>0</v>
      </c>
      <c r="E39" s="155">
        <v>3</v>
      </c>
      <c r="F39" s="155">
        <v>0</v>
      </c>
      <c r="G39" s="387">
        <f t="shared" ref="G39:G42" si="17">SUM(D39:F39)</f>
        <v>3</v>
      </c>
      <c r="H39" s="155">
        <v>50.5</v>
      </c>
      <c r="I39" s="155">
        <v>338</v>
      </c>
      <c r="J39" s="401">
        <f t="shared" si="13"/>
        <v>0.99556213017751483</v>
      </c>
      <c r="N39" s="381" t="str">
        <f t="shared" si="14"/>
        <v>快速设计</v>
      </c>
      <c r="O39" s="402">
        <f t="shared" si="15"/>
        <v>0.99556213017751483</v>
      </c>
    </row>
    <row r="40" spans="1:17" s="381" customFormat="1" ht="23.1" customHeight="1" outlineLevel="1">
      <c r="A40" s="519"/>
      <c r="B40" s="281" t="s">
        <v>133</v>
      </c>
      <c r="C40" s="387">
        <f t="shared" si="16"/>
        <v>98</v>
      </c>
      <c r="D40" s="155">
        <v>0</v>
      </c>
      <c r="E40" s="155">
        <v>0</v>
      </c>
      <c r="F40" s="155">
        <v>2</v>
      </c>
      <c r="G40" s="387">
        <f t="shared" si="17"/>
        <v>2</v>
      </c>
      <c r="H40" s="155">
        <v>20.5</v>
      </c>
      <c r="I40" s="155">
        <v>345</v>
      </c>
      <c r="J40" s="401">
        <f t="shared" si="13"/>
        <v>0.99878734102336586</v>
      </c>
      <c r="N40" s="381" t="str">
        <f t="shared" si="14"/>
        <v>编码实现</v>
      </c>
      <c r="O40" s="402">
        <f t="shared" si="15"/>
        <v>0.99878734102336586</v>
      </c>
    </row>
    <row r="41" spans="1:17" s="381" customFormat="1" ht="23.1" customHeight="1" outlineLevel="1">
      <c r="A41" s="519"/>
      <c r="B41" s="281" t="s">
        <v>134</v>
      </c>
      <c r="C41" s="387">
        <f t="shared" si="16"/>
        <v>98</v>
      </c>
      <c r="D41" s="155">
        <v>0</v>
      </c>
      <c r="E41" s="155">
        <v>0</v>
      </c>
      <c r="F41" s="155">
        <v>0</v>
      </c>
      <c r="G41" s="387">
        <f t="shared" si="17"/>
        <v>0</v>
      </c>
      <c r="H41" s="155">
        <v>0</v>
      </c>
      <c r="I41" s="155">
        <v>287.5</v>
      </c>
      <c r="J41" s="401">
        <f t="shared" si="13"/>
        <v>1</v>
      </c>
      <c r="N41" s="381" t="str">
        <f t="shared" si="14"/>
        <v>迭代测试</v>
      </c>
      <c r="O41" s="402">
        <f t="shared" ref="O41:O42" si="18">J41</f>
        <v>1</v>
      </c>
      <c r="Q41" s="46"/>
    </row>
    <row r="42" spans="1:17" s="381" customFormat="1" ht="23.1" customHeight="1" outlineLevel="1">
      <c r="A42" s="519"/>
      <c r="B42" s="281" t="s">
        <v>135</v>
      </c>
      <c r="C42" s="387">
        <f t="shared" si="16"/>
        <v>98</v>
      </c>
      <c r="D42" s="155">
        <v>0</v>
      </c>
      <c r="E42" s="155">
        <v>0</v>
      </c>
      <c r="F42" s="155">
        <v>0</v>
      </c>
      <c r="G42" s="387">
        <f t="shared" si="17"/>
        <v>0</v>
      </c>
      <c r="H42" s="155">
        <v>0</v>
      </c>
      <c r="I42" s="155">
        <v>287.5</v>
      </c>
      <c r="J42" s="401">
        <f t="shared" si="13"/>
        <v>1</v>
      </c>
      <c r="N42" s="381" t="str">
        <f t="shared" si="14"/>
        <v>迭代演示</v>
      </c>
      <c r="O42" s="402">
        <f t="shared" si="18"/>
        <v>1</v>
      </c>
      <c r="Q42" s="46"/>
    </row>
    <row r="43" spans="1:17" ht="18.75" customHeight="1" outlineLevel="1" thickBot="1">
      <c r="A43" s="520"/>
      <c r="B43" s="388" t="s">
        <v>136</v>
      </c>
      <c r="C43" s="389">
        <f>C37</f>
        <v>100</v>
      </c>
      <c r="D43" s="389">
        <f t="shared" ref="D43:H43" si="19">SUM(D37:D42)</f>
        <v>1</v>
      </c>
      <c r="E43" s="390">
        <f t="shared" si="19"/>
        <v>3</v>
      </c>
      <c r="F43" s="391">
        <f t="shared" si="19"/>
        <v>4</v>
      </c>
      <c r="G43" s="392">
        <f t="shared" si="19"/>
        <v>8</v>
      </c>
      <c r="H43" s="392">
        <f t="shared" si="19"/>
        <v>111.3</v>
      </c>
      <c r="I43" s="392">
        <f>I37</f>
        <v>326.25</v>
      </c>
      <c r="J43" s="401">
        <f t="shared" si="13"/>
        <v>0.97270804597701144</v>
      </c>
      <c r="O43" s="381"/>
    </row>
    <row r="44" spans="1:17" ht="18.75" customHeight="1" outlineLevel="1" thickTop="1">
      <c r="A44" s="527"/>
      <c r="B44" s="527"/>
      <c r="C44" s="527"/>
      <c r="D44" s="528"/>
      <c r="E44" s="528"/>
      <c r="F44" s="527"/>
      <c r="G44" s="527"/>
      <c r="H44" s="527"/>
      <c r="I44" s="527"/>
      <c r="J44" s="527"/>
    </row>
    <row r="45" spans="1:17" ht="12" customHeight="1" outlineLevel="1">
      <c r="A45" s="393" t="s">
        <v>137</v>
      </c>
      <c r="B45" s="393"/>
      <c r="C45" s="394"/>
      <c r="D45" s="395"/>
      <c r="E45" s="395"/>
      <c r="F45" s="395"/>
      <c r="G45" s="395"/>
      <c r="H45" s="395"/>
      <c r="I45" s="395"/>
      <c r="J45" s="395"/>
    </row>
    <row r="46" spans="1:17" ht="12" customHeight="1" outlineLevel="1">
      <c r="A46" s="521" t="s">
        <v>117</v>
      </c>
      <c r="B46" s="521"/>
      <c r="C46" s="521"/>
      <c r="D46" s="521"/>
      <c r="E46" s="521"/>
      <c r="F46" s="521"/>
      <c r="G46" s="521"/>
      <c r="H46" s="521"/>
      <c r="I46" s="521"/>
      <c r="J46" s="521"/>
    </row>
    <row r="47" spans="1:17" ht="12" customHeight="1" outlineLevel="1" thickBot="1">
      <c r="A47" s="522" t="s">
        <v>138</v>
      </c>
      <c r="B47" s="522"/>
      <c r="C47" s="522"/>
      <c r="D47" s="522"/>
      <c r="E47" s="522"/>
      <c r="F47" s="522"/>
      <c r="G47" s="522"/>
      <c r="H47" s="522"/>
      <c r="I47" s="522"/>
      <c r="J47" s="522"/>
    </row>
    <row r="48" spans="1:17" ht="18.75" customHeight="1" outlineLevel="1" thickTop="1">
      <c r="A48" s="516" t="s">
        <v>81</v>
      </c>
      <c r="B48" s="512" t="s">
        <v>119</v>
      </c>
      <c r="C48" s="512" t="s">
        <v>120</v>
      </c>
      <c r="D48" s="523" t="s">
        <v>121</v>
      </c>
      <c r="E48" s="524"/>
      <c r="F48" s="524"/>
      <c r="G48" s="525"/>
      <c r="H48" s="512" t="s">
        <v>122</v>
      </c>
      <c r="I48" s="512" t="s">
        <v>123</v>
      </c>
      <c r="J48" s="514" t="s">
        <v>124</v>
      </c>
    </row>
    <row r="49" spans="1:18" ht="20.25" customHeight="1" outlineLevel="1">
      <c r="A49" s="517"/>
      <c r="B49" s="513"/>
      <c r="C49" s="513"/>
      <c r="D49" s="386" t="s">
        <v>125</v>
      </c>
      <c r="E49" s="386" t="s">
        <v>126</v>
      </c>
      <c r="F49" s="386" t="s">
        <v>127</v>
      </c>
      <c r="G49" s="386" t="s">
        <v>128</v>
      </c>
      <c r="H49" s="513"/>
      <c r="I49" s="513"/>
      <c r="J49" s="515"/>
    </row>
    <row r="50" spans="1:18" ht="23.1" customHeight="1" outlineLevel="1">
      <c r="A50" s="518" t="s">
        <v>139</v>
      </c>
      <c r="B50" s="281" t="s">
        <v>130</v>
      </c>
      <c r="C50" s="396">
        <v>110</v>
      </c>
      <c r="D50" s="155">
        <v>0</v>
      </c>
      <c r="E50" s="155">
        <v>0</v>
      </c>
      <c r="F50" s="155">
        <v>0</v>
      </c>
      <c r="G50" s="387">
        <f t="shared" ref="G50:G55" si="20">D50+E50+F50</f>
        <v>0</v>
      </c>
      <c r="H50" s="155">
        <v>0</v>
      </c>
      <c r="I50" s="155">
        <v>326.25</v>
      </c>
      <c r="J50" s="401">
        <f t="shared" ref="J50:J56" si="21">1-(G50/C50)*(ABS(H50)/I50)</f>
        <v>1</v>
      </c>
      <c r="N50" s="381" t="str">
        <f t="shared" ref="N50:N55" si="22">B50</f>
        <v>需求分析</v>
      </c>
      <c r="O50" s="403">
        <f t="shared" ref="O50:O52" si="23">J50</f>
        <v>1</v>
      </c>
    </row>
    <row r="51" spans="1:18" ht="23.1" customHeight="1" outlineLevel="1">
      <c r="A51" s="519"/>
      <c r="B51" s="281" t="s">
        <v>131</v>
      </c>
      <c r="C51" s="387">
        <f>C50+D50-E50</f>
        <v>110</v>
      </c>
      <c r="D51" s="155">
        <v>5</v>
      </c>
      <c r="E51" s="155">
        <v>2</v>
      </c>
      <c r="F51" s="155">
        <v>4</v>
      </c>
      <c r="G51" s="387">
        <f t="shared" si="20"/>
        <v>11</v>
      </c>
      <c r="H51" s="155">
        <v>40.299999999999997</v>
      </c>
      <c r="I51" s="155">
        <v>326.25</v>
      </c>
      <c r="J51" s="401">
        <f t="shared" si="21"/>
        <v>0.98764750957854408</v>
      </c>
      <c r="N51" s="381" t="str">
        <f t="shared" si="22"/>
        <v>架构设计</v>
      </c>
      <c r="O51" s="403">
        <f t="shared" si="23"/>
        <v>0.98764750957854408</v>
      </c>
    </row>
    <row r="52" spans="1:18" ht="23.1" customHeight="1" outlineLevel="1">
      <c r="A52" s="519"/>
      <c r="B52" s="281" t="s">
        <v>132</v>
      </c>
      <c r="C52" s="387">
        <f t="shared" ref="C52:C55" si="24">C51+D51-E51</f>
        <v>113</v>
      </c>
      <c r="D52" s="155">
        <v>0</v>
      </c>
      <c r="E52" s="155">
        <v>10</v>
      </c>
      <c r="F52" s="155">
        <v>3</v>
      </c>
      <c r="G52" s="387">
        <f t="shared" si="20"/>
        <v>13</v>
      </c>
      <c r="H52" s="155">
        <v>80</v>
      </c>
      <c r="I52" s="155">
        <v>338</v>
      </c>
      <c r="J52" s="401">
        <f t="shared" si="21"/>
        <v>0.97277059223961881</v>
      </c>
      <c r="N52" s="381" t="str">
        <f t="shared" si="22"/>
        <v>快速设计</v>
      </c>
      <c r="O52" s="403">
        <f t="shared" si="23"/>
        <v>0.97277059223961881</v>
      </c>
    </row>
    <row r="53" spans="1:18" ht="23.1" customHeight="1" outlineLevel="1">
      <c r="A53" s="519"/>
      <c r="B53" s="281" t="s">
        <v>133</v>
      </c>
      <c r="C53" s="387">
        <f t="shared" si="24"/>
        <v>103</v>
      </c>
      <c r="D53" s="155">
        <v>0</v>
      </c>
      <c r="E53" s="155">
        <v>0</v>
      </c>
      <c r="F53" s="155">
        <v>4</v>
      </c>
      <c r="G53" s="387">
        <f t="shared" si="20"/>
        <v>4</v>
      </c>
      <c r="H53" s="155">
        <v>20.5</v>
      </c>
      <c r="I53" s="155">
        <v>345</v>
      </c>
      <c r="J53" s="401">
        <f t="shared" si="21"/>
        <v>0.99769241592795832</v>
      </c>
      <c r="N53" s="381" t="str">
        <f t="shared" si="22"/>
        <v>编码实现</v>
      </c>
      <c r="O53" s="403">
        <f t="shared" ref="O53:O55" si="25">J53</f>
        <v>0.99769241592795832</v>
      </c>
    </row>
    <row r="54" spans="1:18" ht="23.1" customHeight="1" outlineLevel="1">
      <c r="A54" s="519"/>
      <c r="B54" s="281" t="s">
        <v>134</v>
      </c>
      <c r="C54" s="387">
        <f t="shared" si="24"/>
        <v>103</v>
      </c>
      <c r="D54" s="155">
        <v>0</v>
      </c>
      <c r="E54" s="155">
        <v>0</v>
      </c>
      <c r="F54" s="155">
        <v>0</v>
      </c>
      <c r="G54" s="387">
        <f t="shared" si="20"/>
        <v>0</v>
      </c>
      <c r="H54" s="155">
        <v>0</v>
      </c>
      <c r="I54" s="155">
        <v>287.5</v>
      </c>
      <c r="J54" s="401">
        <f t="shared" si="21"/>
        <v>1</v>
      </c>
      <c r="N54" s="381" t="str">
        <f t="shared" si="22"/>
        <v>迭代测试</v>
      </c>
      <c r="O54" s="403">
        <f t="shared" si="25"/>
        <v>1</v>
      </c>
    </row>
    <row r="55" spans="1:18" ht="23.1" customHeight="1" outlineLevel="1">
      <c r="A55" s="519"/>
      <c r="B55" s="281" t="s">
        <v>135</v>
      </c>
      <c r="C55" s="387">
        <f t="shared" si="24"/>
        <v>103</v>
      </c>
      <c r="D55" s="155">
        <v>0</v>
      </c>
      <c r="E55" s="155">
        <v>0</v>
      </c>
      <c r="F55" s="155">
        <v>0</v>
      </c>
      <c r="G55" s="387">
        <f t="shared" si="20"/>
        <v>0</v>
      </c>
      <c r="H55" s="155">
        <v>0</v>
      </c>
      <c r="I55" s="155">
        <v>287.5</v>
      </c>
      <c r="J55" s="401">
        <f t="shared" si="21"/>
        <v>1</v>
      </c>
      <c r="N55" s="381" t="str">
        <f t="shared" si="22"/>
        <v>迭代演示</v>
      </c>
      <c r="O55" s="403">
        <f t="shared" si="25"/>
        <v>1</v>
      </c>
    </row>
    <row r="56" spans="1:18" ht="23.1" customHeight="1" outlineLevel="1" thickBot="1">
      <c r="A56" s="520"/>
      <c r="B56" s="388" t="s">
        <v>136</v>
      </c>
      <c r="C56" s="389">
        <f>C50</f>
        <v>110</v>
      </c>
      <c r="D56" s="389">
        <f t="shared" ref="D56:H56" si="26">SUM(D50:D55)</f>
        <v>5</v>
      </c>
      <c r="E56" s="389">
        <f t="shared" si="26"/>
        <v>12</v>
      </c>
      <c r="F56" s="389">
        <f t="shared" si="26"/>
        <v>11</v>
      </c>
      <c r="G56" s="389">
        <f t="shared" si="26"/>
        <v>28</v>
      </c>
      <c r="H56" s="392">
        <f t="shared" si="26"/>
        <v>140.80000000000001</v>
      </c>
      <c r="I56" s="392">
        <f>I50</f>
        <v>326.25</v>
      </c>
      <c r="J56" s="404">
        <f t="shared" si="21"/>
        <v>0.8901455938697318</v>
      </c>
    </row>
    <row r="57" spans="1:18" ht="23.1" customHeight="1" thickTop="1"/>
    <row r="58" spans="1:18" ht="20.25">
      <c r="A58" s="526" t="s">
        <v>141</v>
      </c>
      <c r="B58" s="526"/>
      <c r="C58" s="526"/>
      <c r="D58" s="526"/>
      <c r="E58" s="526"/>
      <c r="F58" s="526"/>
      <c r="G58" s="526"/>
      <c r="H58" s="526"/>
      <c r="I58" s="526"/>
      <c r="J58" s="526"/>
      <c r="K58" s="398"/>
      <c r="L58" s="398"/>
      <c r="M58" s="398"/>
      <c r="N58" s="398"/>
      <c r="O58" s="398"/>
      <c r="P58" s="398"/>
      <c r="Q58" s="398"/>
      <c r="R58" s="398"/>
    </row>
    <row r="59" spans="1:18" ht="13.5" hidden="1" customHeight="1" outlineLevel="1">
      <c r="A59" s="66" t="s">
        <v>116</v>
      </c>
      <c r="B59" s="383"/>
      <c r="C59" s="384"/>
      <c r="D59" s="384"/>
      <c r="E59" s="384"/>
      <c r="F59" s="384"/>
      <c r="G59" s="384"/>
      <c r="H59" s="384"/>
      <c r="I59" s="384"/>
      <c r="J59" s="399"/>
    </row>
    <row r="60" spans="1:18" ht="12" hidden="1" customHeight="1" outlineLevel="1">
      <c r="A60" s="43" t="s">
        <v>117</v>
      </c>
      <c r="B60" s="384"/>
      <c r="C60" s="384"/>
      <c r="D60" s="384"/>
      <c r="E60" s="384"/>
      <c r="F60" s="384"/>
      <c r="G60" s="384"/>
      <c r="H60" s="384"/>
      <c r="I60" s="384"/>
      <c r="J60" s="399"/>
    </row>
    <row r="61" spans="1:18" ht="15.75" hidden="1" customHeight="1" outlineLevel="1" thickBot="1">
      <c r="A61" s="43" t="s">
        <v>118</v>
      </c>
      <c r="B61" s="385"/>
      <c r="C61" s="385"/>
      <c r="D61" s="385"/>
      <c r="E61" s="385"/>
      <c r="F61" s="385"/>
      <c r="G61" s="385"/>
      <c r="H61" s="385"/>
      <c r="I61" s="385"/>
      <c r="J61" s="400"/>
    </row>
    <row r="62" spans="1:18" ht="16.5" hidden="1" customHeight="1" outlineLevel="1" thickTop="1">
      <c r="A62" s="516" t="s">
        <v>81</v>
      </c>
      <c r="B62" s="512" t="s">
        <v>119</v>
      </c>
      <c r="C62" s="512" t="s">
        <v>120</v>
      </c>
      <c r="D62" s="523" t="s">
        <v>121</v>
      </c>
      <c r="E62" s="524"/>
      <c r="F62" s="524"/>
      <c r="G62" s="525"/>
      <c r="H62" s="512" t="s">
        <v>122</v>
      </c>
      <c r="I62" s="512" t="s">
        <v>123</v>
      </c>
      <c r="J62" s="514" t="s">
        <v>124</v>
      </c>
    </row>
    <row r="63" spans="1:18" ht="23.1" hidden="1" customHeight="1" outlineLevel="1">
      <c r="A63" s="517"/>
      <c r="B63" s="513"/>
      <c r="C63" s="513"/>
      <c r="D63" s="386" t="s">
        <v>125</v>
      </c>
      <c r="E63" s="386" t="s">
        <v>126</v>
      </c>
      <c r="F63" s="386" t="s">
        <v>127</v>
      </c>
      <c r="G63" s="386" t="s">
        <v>128</v>
      </c>
      <c r="H63" s="513"/>
      <c r="I63" s="513"/>
      <c r="J63" s="515"/>
    </row>
    <row r="64" spans="1:18" s="381" customFormat="1" ht="23.1" hidden="1" customHeight="1" outlineLevel="1">
      <c r="A64" s="518" t="s">
        <v>129</v>
      </c>
      <c r="B64" s="281" t="s">
        <v>130</v>
      </c>
      <c r="C64" s="155">
        <v>100</v>
      </c>
      <c r="D64" s="155">
        <v>0</v>
      </c>
      <c r="E64" s="155">
        <v>0</v>
      </c>
      <c r="F64" s="155">
        <v>0</v>
      </c>
      <c r="G64" s="387">
        <f>SUM(D64:F64)</f>
        <v>0</v>
      </c>
      <c r="H64" s="155">
        <v>0</v>
      </c>
      <c r="I64" s="155">
        <v>326.25</v>
      </c>
      <c r="J64" s="401">
        <f t="shared" ref="J64:J70" si="27">1-(G64/C64)*(ABS(H64)/I64)</f>
        <v>1</v>
      </c>
      <c r="N64" s="381" t="str">
        <f t="shared" ref="N64:N69" si="28">B64</f>
        <v>需求分析</v>
      </c>
      <c r="O64" s="402">
        <f t="shared" ref="O64:O67" si="29">J64</f>
        <v>1</v>
      </c>
    </row>
    <row r="65" spans="1:17" s="381" customFormat="1" ht="23.1" hidden="1" customHeight="1" outlineLevel="1">
      <c r="A65" s="519"/>
      <c r="B65" s="281" t="s">
        <v>131</v>
      </c>
      <c r="C65" s="387">
        <f>C64+D64-E64</f>
        <v>100</v>
      </c>
      <c r="D65" s="155">
        <v>1</v>
      </c>
      <c r="E65" s="155">
        <v>0</v>
      </c>
      <c r="F65" s="155">
        <v>2</v>
      </c>
      <c r="G65" s="387">
        <f>SUM(D65:F65)</f>
        <v>3</v>
      </c>
      <c r="H65" s="155">
        <v>40.299999999999997</v>
      </c>
      <c r="I65" s="155">
        <v>326.25</v>
      </c>
      <c r="J65" s="401">
        <f t="shared" si="27"/>
        <v>0.99629425287356321</v>
      </c>
      <c r="N65" s="381" t="str">
        <f t="shared" si="28"/>
        <v>架构设计</v>
      </c>
      <c r="O65" s="402">
        <f t="shared" si="29"/>
        <v>0.99629425287356321</v>
      </c>
    </row>
    <row r="66" spans="1:17" s="381" customFormat="1" ht="23.1" hidden="1" customHeight="1" outlineLevel="1">
      <c r="A66" s="519"/>
      <c r="B66" s="281" t="s">
        <v>132</v>
      </c>
      <c r="C66" s="387">
        <f t="shared" ref="C66:C69" si="30">C65+D65-E65</f>
        <v>101</v>
      </c>
      <c r="D66" s="155">
        <v>0</v>
      </c>
      <c r="E66" s="155">
        <v>3</v>
      </c>
      <c r="F66" s="155">
        <v>0</v>
      </c>
      <c r="G66" s="387">
        <f t="shared" ref="G66:G69" si="31">SUM(D66:F66)</f>
        <v>3</v>
      </c>
      <c r="H66" s="155">
        <v>50.5</v>
      </c>
      <c r="I66" s="155">
        <v>338</v>
      </c>
      <c r="J66" s="401">
        <f t="shared" si="27"/>
        <v>0.99556213017751483</v>
      </c>
      <c r="N66" s="381" t="str">
        <f t="shared" si="28"/>
        <v>快速设计</v>
      </c>
      <c r="O66" s="402">
        <f t="shared" si="29"/>
        <v>0.99556213017751483</v>
      </c>
    </row>
    <row r="67" spans="1:17" s="381" customFormat="1" ht="23.1" hidden="1" customHeight="1" outlineLevel="1">
      <c r="A67" s="519"/>
      <c r="B67" s="281" t="s">
        <v>133</v>
      </c>
      <c r="C67" s="387">
        <f t="shared" si="30"/>
        <v>98</v>
      </c>
      <c r="D67" s="155">
        <v>0</v>
      </c>
      <c r="E67" s="155">
        <v>0</v>
      </c>
      <c r="F67" s="155">
        <v>2</v>
      </c>
      <c r="G67" s="387">
        <f t="shared" si="31"/>
        <v>2</v>
      </c>
      <c r="H67" s="155">
        <v>20.5</v>
      </c>
      <c r="I67" s="155">
        <v>345</v>
      </c>
      <c r="J67" s="401">
        <f t="shared" si="27"/>
        <v>0.99878734102336586</v>
      </c>
      <c r="N67" s="381" t="str">
        <f t="shared" si="28"/>
        <v>编码实现</v>
      </c>
      <c r="O67" s="402">
        <f t="shared" si="29"/>
        <v>0.99878734102336586</v>
      </c>
    </row>
    <row r="68" spans="1:17" s="381" customFormat="1" ht="23.1" hidden="1" customHeight="1" outlineLevel="1">
      <c r="A68" s="519"/>
      <c r="B68" s="281" t="s">
        <v>134</v>
      </c>
      <c r="C68" s="387">
        <f t="shared" si="30"/>
        <v>98</v>
      </c>
      <c r="D68" s="155">
        <v>0</v>
      </c>
      <c r="E68" s="155">
        <v>0</v>
      </c>
      <c r="F68" s="155">
        <v>0</v>
      </c>
      <c r="G68" s="387">
        <f t="shared" si="31"/>
        <v>0</v>
      </c>
      <c r="H68" s="155">
        <v>0</v>
      </c>
      <c r="I68" s="155">
        <v>287.5</v>
      </c>
      <c r="J68" s="401">
        <f t="shared" si="27"/>
        <v>1</v>
      </c>
      <c r="N68" s="381" t="str">
        <f t="shared" si="28"/>
        <v>迭代测试</v>
      </c>
      <c r="O68" s="402">
        <f t="shared" ref="O68:O69" si="32">J68</f>
        <v>1</v>
      </c>
      <c r="Q68" s="46"/>
    </row>
    <row r="69" spans="1:17" s="381" customFormat="1" ht="23.1" hidden="1" customHeight="1" outlineLevel="1">
      <c r="A69" s="519"/>
      <c r="B69" s="281" t="s">
        <v>135</v>
      </c>
      <c r="C69" s="387">
        <f t="shared" si="30"/>
        <v>98</v>
      </c>
      <c r="D69" s="155">
        <v>0</v>
      </c>
      <c r="E69" s="155">
        <v>0</v>
      </c>
      <c r="F69" s="155">
        <v>0</v>
      </c>
      <c r="G69" s="387">
        <f t="shared" si="31"/>
        <v>0</v>
      </c>
      <c r="H69" s="155">
        <v>0</v>
      </c>
      <c r="I69" s="155">
        <v>287.5</v>
      </c>
      <c r="J69" s="401">
        <f t="shared" si="27"/>
        <v>1</v>
      </c>
      <c r="N69" s="381" t="str">
        <f t="shared" si="28"/>
        <v>迭代演示</v>
      </c>
      <c r="O69" s="402">
        <f t="shared" si="32"/>
        <v>1</v>
      </c>
      <c r="Q69" s="46"/>
    </row>
    <row r="70" spans="1:17" ht="18.75" hidden="1" customHeight="1" outlineLevel="1" thickBot="1">
      <c r="A70" s="520"/>
      <c r="B70" s="388" t="s">
        <v>136</v>
      </c>
      <c r="C70" s="389">
        <f>C64</f>
        <v>100</v>
      </c>
      <c r="D70" s="389">
        <f t="shared" ref="D70:H70" si="33">SUM(D64:D69)</f>
        <v>1</v>
      </c>
      <c r="E70" s="390">
        <f t="shared" si="33"/>
        <v>3</v>
      </c>
      <c r="F70" s="391">
        <f t="shared" si="33"/>
        <v>4</v>
      </c>
      <c r="G70" s="392">
        <f t="shared" si="33"/>
        <v>8</v>
      </c>
      <c r="H70" s="392">
        <f t="shared" si="33"/>
        <v>111.3</v>
      </c>
      <c r="I70" s="392">
        <f>I64</f>
        <v>326.25</v>
      </c>
      <c r="J70" s="401">
        <f t="shared" si="27"/>
        <v>0.97270804597701144</v>
      </c>
      <c r="O70" s="381"/>
    </row>
    <row r="71" spans="1:17" ht="18.75" hidden="1" customHeight="1" outlineLevel="1" thickTop="1">
      <c r="A71" s="527"/>
      <c r="B71" s="527"/>
      <c r="C71" s="527"/>
      <c r="D71" s="528"/>
      <c r="E71" s="528"/>
      <c r="F71" s="527"/>
      <c r="G71" s="527"/>
      <c r="H71" s="527"/>
      <c r="I71" s="527"/>
      <c r="J71" s="527"/>
    </row>
    <row r="72" spans="1:17" ht="12" hidden="1" customHeight="1" outlineLevel="1">
      <c r="A72" s="393" t="s">
        <v>137</v>
      </c>
      <c r="B72" s="393"/>
      <c r="C72" s="394"/>
      <c r="D72" s="395"/>
      <c r="E72" s="395"/>
      <c r="F72" s="395"/>
      <c r="G72" s="395"/>
      <c r="H72" s="395"/>
      <c r="I72" s="395"/>
      <c r="J72" s="395"/>
    </row>
    <row r="73" spans="1:17" ht="12" hidden="1" customHeight="1" outlineLevel="1">
      <c r="A73" s="521" t="s">
        <v>117</v>
      </c>
      <c r="B73" s="521"/>
      <c r="C73" s="521"/>
      <c r="D73" s="521"/>
      <c r="E73" s="521"/>
      <c r="F73" s="521"/>
      <c r="G73" s="521"/>
      <c r="H73" s="521"/>
      <c r="I73" s="521"/>
      <c r="J73" s="521"/>
    </row>
    <row r="74" spans="1:17" ht="12" hidden="1" customHeight="1" outlineLevel="1" thickBot="1">
      <c r="A74" s="522" t="s">
        <v>138</v>
      </c>
      <c r="B74" s="522"/>
      <c r="C74" s="522"/>
      <c r="D74" s="522"/>
      <c r="E74" s="522"/>
      <c r="F74" s="522"/>
      <c r="G74" s="522"/>
      <c r="H74" s="522"/>
      <c r="I74" s="522"/>
      <c r="J74" s="522"/>
    </row>
    <row r="75" spans="1:17" ht="18.75" hidden="1" customHeight="1" outlineLevel="1" thickTop="1">
      <c r="A75" s="516" t="s">
        <v>81</v>
      </c>
      <c r="B75" s="512" t="s">
        <v>119</v>
      </c>
      <c r="C75" s="512" t="s">
        <v>120</v>
      </c>
      <c r="D75" s="523" t="s">
        <v>121</v>
      </c>
      <c r="E75" s="524"/>
      <c r="F75" s="524"/>
      <c r="G75" s="525"/>
      <c r="H75" s="512" t="s">
        <v>122</v>
      </c>
      <c r="I75" s="512" t="s">
        <v>123</v>
      </c>
      <c r="J75" s="514" t="s">
        <v>124</v>
      </c>
    </row>
    <row r="76" spans="1:17" ht="20.25" hidden="1" customHeight="1" outlineLevel="1">
      <c r="A76" s="517"/>
      <c r="B76" s="513"/>
      <c r="C76" s="513"/>
      <c r="D76" s="386" t="s">
        <v>125</v>
      </c>
      <c r="E76" s="386" t="s">
        <v>126</v>
      </c>
      <c r="F76" s="386" t="s">
        <v>127</v>
      </c>
      <c r="G76" s="386" t="s">
        <v>128</v>
      </c>
      <c r="H76" s="513"/>
      <c r="I76" s="513"/>
      <c r="J76" s="515"/>
    </row>
    <row r="77" spans="1:17" ht="23.1" hidden="1" customHeight="1" outlineLevel="1">
      <c r="A77" s="518" t="s">
        <v>139</v>
      </c>
      <c r="B77" s="281" t="s">
        <v>130</v>
      </c>
      <c r="C77" s="396">
        <v>110</v>
      </c>
      <c r="D77" s="155">
        <v>0</v>
      </c>
      <c r="E77" s="155">
        <v>0</v>
      </c>
      <c r="F77" s="155">
        <v>0</v>
      </c>
      <c r="G77" s="387">
        <f t="shared" ref="G77:G82" si="34">D77+E77+F77</f>
        <v>0</v>
      </c>
      <c r="H77" s="155">
        <v>0</v>
      </c>
      <c r="I77" s="155">
        <v>326.25</v>
      </c>
      <c r="J77" s="401">
        <f t="shared" ref="J77:J83" si="35">1-(G77/C77)*(ABS(H77)/I77)</f>
        <v>1</v>
      </c>
      <c r="N77" s="381" t="str">
        <f t="shared" ref="N77:N82" si="36">B77</f>
        <v>需求分析</v>
      </c>
      <c r="O77" s="403">
        <f t="shared" ref="O77:O79" si="37">J77</f>
        <v>1</v>
      </c>
    </row>
    <row r="78" spans="1:17" ht="23.1" hidden="1" customHeight="1" outlineLevel="1">
      <c r="A78" s="519"/>
      <c r="B78" s="281" t="s">
        <v>131</v>
      </c>
      <c r="C78" s="387">
        <f>C77+D77-E77</f>
        <v>110</v>
      </c>
      <c r="D78" s="155">
        <v>5</v>
      </c>
      <c r="E78" s="155">
        <v>2</v>
      </c>
      <c r="F78" s="155">
        <v>4</v>
      </c>
      <c r="G78" s="387">
        <f t="shared" si="34"/>
        <v>11</v>
      </c>
      <c r="H78" s="155">
        <v>40.299999999999997</v>
      </c>
      <c r="I78" s="155">
        <v>326.25</v>
      </c>
      <c r="J78" s="401">
        <f t="shared" si="35"/>
        <v>0.98764750957854408</v>
      </c>
      <c r="N78" s="381" t="str">
        <f t="shared" si="36"/>
        <v>架构设计</v>
      </c>
      <c r="O78" s="403">
        <f t="shared" si="37"/>
        <v>0.98764750957854408</v>
      </c>
    </row>
    <row r="79" spans="1:17" ht="23.1" hidden="1" customHeight="1" outlineLevel="1">
      <c r="A79" s="519"/>
      <c r="B79" s="281" t="s">
        <v>132</v>
      </c>
      <c r="C79" s="387">
        <f t="shared" ref="C79:C82" si="38">C78+D78-E78</f>
        <v>113</v>
      </c>
      <c r="D79" s="155">
        <v>0</v>
      </c>
      <c r="E79" s="155">
        <v>10</v>
      </c>
      <c r="F79" s="155">
        <v>3</v>
      </c>
      <c r="G79" s="387">
        <f t="shared" si="34"/>
        <v>13</v>
      </c>
      <c r="H79" s="155">
        <v>80</v>
      </c>
      <c r="I79" s="155">
        <v>338</v>
      </c>
      <c r="J79" s="401">
        <f t="shared" si="35"/>
        <v>0.97277059223961881</v>
      </c>
      <c r="N79" s="381" t="str">
        <f t="shared" si="36"/>
        <v>快速设计</v>
      </c>
      <c r="O79" s="403">
        <f t="shared" si="37"/>
        <v>0.97277059223961881</v>
      </c>
    </row>
    <row r="80" spans="1:17" ht="23.1" hidden="1" customHeight="1" outlineLevel="1">
      <c r="A80" s="519"/>
      <c r="B80" s="281" t="s">
        <v>133</v>
      </c>
      <c r="C80" s="387">
        <f t="shared" si="38"/>
        <v>103</v>
      </c>
      <c r="D80" s="155">
        <v>0</v>
      </c>
      <c r="E80" s="155">
        <v>0</v>
      </c>
      <c r="F80" s="155">
        <v>4</v>
      </c>
      <c r="G80" s="387">
        <f t="shared" si="34"/>
        <v>4</v>
      </c>
      <c r="H80" s="155">
        <v>20.5</v>
      </c>
      <c r="I80" s="155">
        <v>345</v>
      </c>
      <c r="J80" s="401">
        <f t="shared" si="35"/>
        <v>0.99769241592795832</v>
      </c>
      <c r="N80" s="381" t="str">
        <f t="shared" si="36"/>
        <v>编码实现</v>
      </c>
      <c r="O80" s="403">
        <f t="shared" ref="O80:O82" si="39">J80</f>
        <v>0.99769241592795832</v>
      </c>
    </row>
    <row r="81" spans="1:15" ht="23.1" hidden="1" customHeight="1" outlineLevel="1">
      <c r="A81" s="519"/>
      <c r="B81" s="281" t="s">
        <v>134</v>
      </c>
      <c r="C81" s="387">
        <f t="shared" si="38"/>
        <v>103</v>
      </c>
      <c r="D81" s="155">
        <v>0</v>
      </c>
      <c r="E81" s="155">
        <v>0</v>
      </c>
      <c r="F81" s="155">
        <v>0</v>
      </c>
      <c r="G81" s="387">
        <f t="shared" si="34"/>
        <v>0</v>
      </c>
      <c r="H81" s="155">
        <v>0</v>
      </c>
      <c r="I81" s="155">
        <v>287.5</v>
      </c>
      <c r="J81" s="401">
        <f t="shared" si="35"/>
        <v>1</v>
      </c>
      <c r="N81" s="381" t="str">
        <f t="shared" si="36"/>
        <v>迭代测试</v>
      </c>
      <c r="O81" s="403">
        <f t="shared" si="39"/>
        <v>1</v>
      </c>
    </row>
    <row r="82" spans="1:15" ht="23.1" hidden="1" customHeight="1" outlineLevel="1">
      <c r="A82" s="519"/>
      <c r="B82" s="281" t="s">
        <v>135</v>
      </c>
      <c r="C82" s="387">
        <f t="shared" si="38"/>
        <v>103</v>
      </c>
      <c r="D82" s="155">
        <v>0</v>
      </c>
      <c r="E82" s="155">
        <v>0</v>
      </c>
      <c r="F82" s="155">
        <v>0</v>
      </c>
      <c r="G82" s="387">
        <f t="shared" si="34"/>
        <v>0</v>
      </c>
      <c r="H82" s="155">
        <v>0</v>
      </c>
      <c r="I82" s="155">
        <v>287.5</v>
      </c>
      <c r="J82" s="401">
        <f t="shared" si="35"/>
        <v>1</v>
      </c>
      <c r="N82" s="381" t="str">
        <f t="shared" si="36"/>
        <v>迭代演示</v>
      </c>
      <c r="O82" s="403">
        <f t="shared" si="39"/>
        <v>1</v>
      </c>
    </row>
    <row r="83" spans="1:15" ht="23.1" hidden="1" customHeight="1" outlineLevel="1" thickBot="1">
      <c r="A83" s="520"/>
      <c r="B83" s="388" t="s">
        <v>136</v>
      </c>
      <c r="C83" s="389">
        <f>C77</f>
        <v>110</v>
      </c>
      <c r="D83" s="389">
        <f t="shared" ref="D83:H83" si="40">SUM(D77:D82)</f>
        <v>5</v>
      </c>
      <c r="E83" s="389">
        <f t="shared" si="40"/>
        <v>12</v>
      </c>
      <c r="F83" s="389">
        <f t="shared" si="40"/>
        <v>11</v>
      </c>
      <c r="G83" s="389">
        <f t="shared" si="40"/>
        <v>28</v>
      </c>
      <c r="H83" s="392">
        <f t="shared" si="40"/>
        <v>140.80000000000001</v>
      </c>
      <c r="I83" s="392">
        <f>I77</f>
        <v>326.25</v>
      </c>
      <c r="J83" s="404">
        <f t="shared" si="35"/>
        <v>0.8901455938697318</v>
      </c>
    </row>
    <row r="84" spans="1:15" collapsed="1"/>
  </sheetData>
  <mergeCells count="61">
    <mergeCell ref="A4:J4"/>
    <mergeCell ref="D8:G8"/>
    <mergeCell ref="A17:J17"/>
    <mergeCell ref="A19:J19"/>
    <mergeCell ref="A20:J20"/>
    <mergeCell ref="I8:I9"/>
    <mergeCell ref="C35:C36"/>
    <mergeCell ref="A50:A56"/>
    <mergeCell ref="A62:A63"/>
    <mergeCell ref="I21:I22"/>
    <mergeCell ref="I35:I36"/>
    <mergeCell ref="A31:J31"/>
    <mergeCell ref="D35:G35"/>
    <mergeCell ref="A64:A70"/>
    <mergeCell ref="A75:A76"/>
    <mergeCell ref="C8:C9"/>
    <mergeCell ref="C21:C22"/>
    <mergeCell ref="A47:J47"/>
    <mergeCell ref="D48:G48"/>
    <mergeCell ref="A58:J58"/>
    <mergeCell ref="D62:G62"/>
    <mergeCell ref="A71:J71"/>
    <mergeCell ref="C48:C49"/>
    <mergeCell ref="C62:C63"/>
    <mergeCell ref="I48:I49"/>
    <mergeCell ref="I62:I63"/>
    <mergeCell ref="D21:G21"/>
    <mergeCell ref="A44:J44"/>
    <mergeCell ref="A46:J46"/>
    <mergeCell ref="A77:A83"/>
    <mergeCell ref="B8:B9"/>
    <mergeCell ref="B21:B22"/>
    <mergeCell ref="B35:B36"/>
    <mergeCell ref="B48:B49"/>
    <mergeCell ref="B62:B63"/>
    <mergeCell ref="B75:B76"/>
    <mergeCell ref="A73:J73"/>
    <mergeCell ref="A74:J74"/>
    <mergeCell ref="D75:G75"/>
    <mergeCell ref="A8:A9"/>
    <mergeCell ref="A10:A16"/>
    <mergeCell ref="A21:A22"/>
    <mergeCell ref="A23:A29"/>
    <mergeCell ref="A35:A36"/>
    <mergeCell ref="A37:A43"/>
    <mergeCell ref="A1:J2"/>
    <mergeCell ref="I75:I76"/>
    <mergeCell ref="J8:J9"/>
    <mergeCell ref="J21:J22"/>
    <mergeCell ref="J35:J36"/>
    <mergeCell ref="J48:J49"/>
    <mergeCell ref="J62:J63"/>
    <mergeCell ref="J75:J76"/>
    <mergeCell ref="C75:C76"/>
    <mergeCell ref="H8:H9"/>
    <mergeCell ref="H21:H22"/>
    <mergeCell ref="H35:H36"/>
    <mergeCell ref="H48:H49"/>
    <mergeCell ref="H62:H63"/>
    <mergeCell ref="H75:H76"/>
    <mergeCell ref="A48:A49"/>
  </mergeCells>
  <phoneticPr fontId="126" type="noConversion"/>
  <pageMargins left="0.69930555555555596" right="0.69930555555555596" top="0.75" bottom="0.75" header="0.3" footer="0.3"/>
  <pageSetup paperSize="9" orientation="portrait"/>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workbookViewId="0">
      <selection activeCell="K10" sqref="K10"/>
    </sheetView>
  </sheetViews>
  <sheetFormatPr defaultColWidth="9" defaultRowHeight="12"/>
  <cols>
    <col min="1" max="1" width="2.75" style="251" customWidth="1"/>
    <col min="2" max="2" width="20.875" style="42" customWidth="1"/>
    <col min="3" max="3" width="23.125" style="251" customWidth="1"/>
    <col min="4" max="4" width="17.375" style="251" customWidth="1"/>
    <col min="5" max="5" width="21.625" style="251" customWidth="1"/>
    <col min="6" max="6" width="9.75" style="42" customWidth="1"/>
    <col min="7" max="7" width="8.25" style="42" customWidth="1"/>
    <col min="8" max="8" width="8" style="42" customWidth="1"/>
    <col min="9" max="9" width="4.5" style="42" customWidth="1"/>
    <col min="10" max="10" width="6.75" style="42" customWidth="1"/>
    <col min="11" max="11" width="5.375" style="42" customWidth="1"/>
    <col min="12" max="12" width="6" style="42" customWidth="1"/>
    <col min="13" max="256" width="9" style="42"/>
    <col min="257" max="257" width="2.75" style="42" customWidth="1"/>
    <col min="258" max="258" width="20.875" style="42" customWidth="1"/>
    <col min="259" max="259" width="23.125" style="42" customWidth="1"/>
    <col min="260" max="260" width="15.125" style="42" customWidth="1"/>
    <col min="261" max="261" width="21.625" style="42" customWidth="1"/>
    <col min="262" max="262" width="9.75" style="42" customWidth="1"/>
    <col min="263" max="263" width="8.25" style="42" customWidth="1"/>
    <col min="264" max="264" width="8" style="42" customWidth="1"/>
    <col min="265" max="265" width="4.5" style="42" customWidth="1"/>
    <col min="266" max="266" width="6.75" style="42" customWidth="1"/>
    <col min="267" max="267" width="5.375" style="42" customWidth="1"/>
    <col min="268" max="268" width="6" style="42" customWidth="1"/>
    <col min="269" max="512" width="9" style="42"/>
    <col min="513" max="513" width="2.75" style="42" customWidth="1"/>
    <col min="514" max="514" width="20.875" style="42" customWidth="1"/>
    <col min="515" max="515" width="23.125" style="42" customWidth="1"/>
    <col min="516" max="516" width="15.125" style="42" customWidth="1"/>
    <col min="517" max="517" width="21.625" style="42" customWidth="1"/>
    <col min="518" max="518" width="9.75" style="42" customWidth="1"/>
    <col min="519" max="519" width="8.25" style="42" customWidth="1"/>
    <col min="520" max="520" width="8" style="42" customWidth="1"/>
    <col min="521" max="521" width="4.5" style="42" customWidth="1"/>
    <col min="522" max="522" width="6.75" style="42" customWidth="1"/>
    <col min="523" max="523" width="5.375" style="42" customWidth="1"/>
    <col min="524" max="524" width="6" style="42" customWidth="1"/>
    <col min="525" max="768" width="9" style="42"/>
    <col min="769" max="769" width="2.75" style="42" customWidth="1"/>
    <col min="770" max="770" width="20.875" style="42" customWidth="1"/>
    <col min="771" max="771" width="23.125" style="42" customWidth="1"/>
    <col min="772" max="772" width="15.125" style="42" customWidth="1"/>
    <col min="773" max="773" width="21.625" style="42" customWidth="1"/>
    <col min="774" max="774" width="9.75" style="42" customWidth="1"/>
    <col min="775" max="775" width="8.25" style="42" customWidth="1"/>
    <col min="776" max="776" width="8" style="42" customWidth="1"/>
    <col min="777" max="777" width="4.5" style="42" customWidth="1"/>
    <col min="778" max="778" width="6.75" style="42" customWidth="1"/>
    <col min="779" max="779" width="5.375" style="42" customWidth="1"/>
    <col min="780" max="780" width="6" style="42" customWidth="1"/>
    <col min="781" max="1024" width="9" style="42"/>
    <col min="1025" max="1025" width="2.75" style="42" customWidth="1"/>
    <col min="1026" max="1026" width="20.875" style="42" customWidth="1"/>
    <col min="1027" max="1027" width="23.125" style="42" customWidth="1"/>
    <col min="1028" max="1028" width="15.125" style="42" customWidth="1"/>
    <col min="1029" max="1029" width="21.625" style="42" customWidth="1"/>
    <col min="1030" max="1030" width="9.75" style="42" customWidth="1"/>
    <col min="1031" max="1031" width="8.25" style="42" customWidth="1"/>
    <col min="1032" max="1032" width="8" style="42" customWidth="1"/>
    <col min="1033" max="1033" width="4.5" style="42" customWidth="1"/>
    <col min="1034" max="1034" width="6.75" style="42" customWidth="1"/>
    <col min="1035" max="1035" width="5.375" style="42" customWidth="1"/>
    <col min="1036" max="1036" width="6" style="42" customWidth="1"/>
    <col min="1037" max="1280" width="9" style="42"/>
    <col min="1281" max="1281" width="2.75" style="42" customWidth="1"/>
    <col min="1282" max="1282" width="20.875" style="42" customWidth="1"/>
    <col min="1283" max="1283" width="23.125" style="42" customWidth="1"/>
    <col min="1284" max="1284" width="15.125" style="42" customWidth="1"/>
    <col min="1285" max="1285" width="21.625" style="42" customWidth="1"/>
    <col min="1286" max="1286" width="9.75" style="42" customWidth="1"/>
    <col min="1287" max="1287" width="8.25" style="42" customWidth="1"/>
    <col min="1288" max="1288" width="8" style="42" customWidth="1"/>
    <col min="1289" max="1289" width="4.5" style="42" customWidth="1"/>
    <col min="1290" max="1290" width="6.75" style="42" customWidth="1"/>
    <col min="1291" max="1291" width="5.375" style="42" customWidth="1"/>
    <col min="1292" max="1292" width="6" style="42" customWidth="1"/>
    <col min="1293" max="1536" width="9" style="42"/>
    <col min="1537" max="1537" width="2.75" style="42" customWidth="1"/>
    <col min="1538" max="1538" width="20.875" style="42" customWidth="1"/>
    <col min="1539" max="1539" width="23.125" style="42" customWidth="1"/>
    <col min="1540" max="1540" width="15.125" style="42" customWidth="1"/>
    <col min="1541" max="1541" width="21.625" style="42" customWidth="1"/>
    <col min="1542" max="1542" width="9.75" style="42" customWidth="1"/>
    <col min="1543" max="1543" width="8.25" style="42" customWidth="1"/>
    <col min="1544" max="1544" width="8" style="42" customWidth="1"/>
    <col min="1545" max="1545" width="4.5" style="42" customWidth="1"/>
    <col min="1546" max="1546" width="6.75" style="42" customWidth="1"/>
    <col min="1547" max="1547" width="5.375" style="42" customWidth="1"/>
    <col min="1548" max="1548" width="6" style="42" customWidth="1"/>
    <col min="1549" max="1792" width="9" style="42"/>
    <col min="1793" max="1793" width="2.75" style="42" customWidth="1"/>
    <col min="1794" max="1794" width="20.875" style="42" customWidth="1"/>
    <col min="1795" max="1795" width="23.125" style="42" customWidth="1"/>
    <col min="1796" max="1796" width="15.125" style="42" customWidth="1"/>
    <col min="1797" max="1797" width="21.625" style="42" customWidth="1"/>
    <col min="1798" max="1798" width="9.75" style="42" customWidth="1"/>
    <col min="1799" max="1799" width="8.25" style="42" customWidth="1"/>
    <col min="1800" max="1800" width="8" style="42" customWidth="1"/>
    <col min="1801" max="1801" width="4.5" style="42" customWidth="1"/>
    <col min="1802" max="1802" width="6.75" style="42" customWidth="1"/>
    <col min="1803" max="1803" width="5.375" style="42" customWidth="1"/>
    <col min="1804" max="1804" width="6" style="42" customWidth="1"/>
    <col min="1805" max="2048" width="9" style="42"/>
    <col min="2049" max="2049" width="2.75" style="42" customWidth="1"/>
    <col min="2050" max="2050" width="20.875" style="42" customWidth="1"/>
    <col min="2051" max="2051" width="23.125" style="42" customWidth="1"/>
    <col min="2052" max="2052" width="15.125" style="42" customWidth="1"/>
    <col min="2053" max="2053" width="21.625" style="42" customWidth="1"/>
    <col min="2054" max="2054" width="9.75" style="42" customWidth="1"/>
    <col min="2055" max="2055" width="8.25" style="42" customWidth="1"/>
    <col min="2056" max="2056" width="8" style="42" customWidth="1"/>
    <col min="2057" max="2057" width="4.5" style="42" customWidth="1"/>
    <col min="2058" max="2058" width="6.75" style="42" customWidth="1"/>
    <col min="2059" max="2059" width="5.375" style="42" customWidth="1"/>
    <col min="2060" max="2060" width="6" style="42" customWidth="1"/>
    <col min="2061" max="2304" width="9" style="42"/>
    <col min="2305" max="2305" width="2.75" style="42" customWidth="1"/>
    <col min="2306" max="2306" width="20.875" style="42" customWidth="1"/>
    <col min="2307" max="2307" width="23.125" style="42" customWidth="1"/>
    <col min="2308" max="2308" width="15.125" style="42" customWidth="1"/>
    <col min="2309" max="2309" width="21.625" style="42" customWidth="1"/>
    <col min="2310" max="2310" width="9.75" style="42" customWidth="1"/>
    <col min="2311" max="2311" width="8.25" style="42" customWidth="1"/>
    <col min="2312" max="2312" width="8" style="42" customWidth="1"/>
    <col min="2313" max="2313" width="4.5" style="42" customWidth="1"/>
    <col min="2314" max="2314" width="6.75" style="42" customWidth="1"/>
    <col min="2315" max="2315" width="5.375" style="42" customWidth="1"/>
    <col min="2316" max="2316" width="6" style="42" customWidth="1"/>
    <col min="2317" max="2560" width="9" style="42"/>
    <col min="2561" max="2561" width="2.75" style="42" customWidth="1"/>
    <col min="2562" max="2562" width="20.875" style="42" customWidth="1"/>
    <col min="2563" max="2563" width="23.125" style="42" customWidth="1"/>
    <col min="2564" max="2564" width="15.125" style="42" customWidth="1"/>
    <col min="2565" max="2565" width="21.625" style="42" customWidth="1"/>
    <col min="2566" max="2566" width="9.75" style="42" customWidth="1"/>
    <col min="2567" max="2567" width="8.25" style="42" customWidth="1"/>
    <col min="2568" max="2568" width="8" style="42" customWidth="1"/>
    <col min="2569" max="2569" width="4.5" style="42" customWidth="1"/>
    <col min="2570" max="2570" width="6.75" style="42" customWidth="1"/>
    <col min="2571" max="2571" width="5.375" style="42" customWidth="1"/>
    <col min="2572" max="2572" width="6" style="42" customWidth="1"/>
    <col min="2573" max="2816" width="9" style="42"/>
    <col min="2817" max="2817" width="2.75" style="42" customWidth="1"/>
    <col min="2818" max="2818" width="20.875" style="42" customWidth="1"/>
    <col min="2819" max="2819" width="23.125" style="42" customWidth="1"/>
    <col min="2820" max="2820" width="15.125" style="42" customWidth="1"/>
    <col min="2821" max="2821" width="21.625" style="42" customWidth="1"/>
    <col min="2822" max="2822" width="9.75" style="42" customWidth="1"/>
    <col min="2823" max="2823" width="8.25" style="42" customWidth="1"/>
    <col min="2824" max="2824" width="8" style="42" customWidth="1"/>
    <col min="2825" max="2825" width="4.5" style="42" customWidth="1"/>
    <col min="2826" max="2826" width="6.75" style="42" customWidth="1"/>
    <col min="2827" max="2827" width="5.375" style="42" customWidth="1"/>
    <col min="2828" max="2828" width="6" style="42" customWidth="1"/>
    <col min="2829" max="3072" width="9" style="42"/>
    <col min="3073" max="3073" width="2.75" style="42" customWidth="1"/>
    <col min="3074" max="3074" width="20.875" style="42" customWidth="1"/>
    <col min="3075" max="3075" width="23.125" style="42" customWidth="1"/>
    <col min="3076" max="3076" width="15.125" style="42" customWidth="1"/>
    <col min="3077" max="3077" width="21.625" style="42" customWidth="1"/>
    <col min="3078" max="3078" width="9.75" style="42" customWidth="1"/>
    <col min="3079" max="3079" width="8.25" style="42" customWidth="1"/>
    <col min="3080" max="3080" width="8" style="42" customWidth="1"/>
    <col min="3081" max="3081" width="4.5" style="42" customWidth="1"/>
    <col min="3082" max="3082" width="6.75" style="42" customWidth="1"/>
    <col min="3083" max="3083" width="5.375" style="42" customWidth="1"/>
    <col min="3084" max="3084" width="6" style="42" customWidth="1"/>
    <col min="3085" max="3328" width="9" style="42"/>
    <col min="3329" max="3329" width="2.75" style="42" customWidth="1"/>
    <col min="3330" max="3330" width="20.875" style="42" customWidth="1"/>
    <col min="3331" max="3331" width="23.125" style="42" customWidth="1"/>
    <col min="3332" max="3332" width="15.125" style="42" customWidth="1"/>
    <col min="3333" max="3333" width="21.625" style="42" customWidth="1"/>
    <col min="3334" max="3334" width="9.75" style="42" customWidth="1"/>
    <col min="3335" max="3335" width="8.25" style="42" customWidth="1"/>
    <col min="3336" max="3336" width="8" style="42" customWidth="1"/>
    <col min="3337" max="3337" width="4.5" style="42" customWidth="1"/>
    <col min="3338" max="3338" width="6.75" style="42" customWidth="1"/>
    <col min="3339" max="3339" width="5.375" style="42" customWidth="1"/>
    <col min="3340" max="3340" width="6" style="42" customWidth="1"/>
    <col min="3341" max="3584" width="9" style="42"/>
    <col min="3585" max="3585" width="2.75" style="42" customWidth="1"/>
    <col min="3586" max="3586" width="20.875" style="42" customWidth="1"/>
    <col min="3587" max="3587" width="23.125" style="42" customWidth="1"/>
    <col min="3588" max="3588" width="15.125" style="42" customWidth="1"/>
    <col min="3589" max="3589" width="21.625" style="42" customWidth="1"/>
    <col min="3590" max="3590" width="9.75" style="42" customWidth="1"/>
    <col min="3591" max="3591" width="8.25" style="42" customWidth="1"/>
    <col min="3592" max="3592" width="8" style="42" customWidth="1"/>
    <col min="3593" max="3593" width="4.5" style="42" customWidth="1"/>
    <col min="3594" max="3594" width="6.75" style="42" customWidth="1"/>
    <col min="3595" max="3595" width="5.375" style="42" customWidth="1"/>
    <col min="3596" max="3596" width="6" style="42" customWidth="1"/>
    <col min="3597" max="3840" width="9" style="42"/>
    <col min="3841" max="3841" width="2.75" style="42" customWidth="1"/>
    <col min="3842" max="3842" width="20.875" style="42" customWidth="1"/>
    <col min="3843" max="3843" width="23.125" style="42" customWidth="1"/>
    <col min="3844" max="3844" width="15.125" style="42" customWidth="1"/>
    <col min="3845" max="3845" width="21.625" style="42" customWidth="1"/>
    <col min="3846" max="3846" width="9.75" style="42" customWidth="1"/>
    <col min="3847" max="3847" width="8.25" style="42" customWidth="1"/>
    <col min="3848" max="3848" width="8" style="42" customWidth="1"/>
    <col min="3849" max="3849" width="4.5" style="42" customWidth="1"/>
    <col min="3850" max="3850" width="6.75" style="42" customWidth="1"/>
    <col min="3851" max="3851" width="5.375" style="42" customWidth="1"/>
    <col min="3852" max="3852" width="6" style="42" customWidth="1"/>
    <col min="3853" max="4096" width="9" style="42"/>
    <col min="4097" max="4097" width="2.75" style="42" customWidth="1"/>
    <col min="4098" max="4098" width="20.875" style="42" customWidth="1"/>
    <col min="4099" max="4099" width="23.125" style="42" customWidth="1"/>
    <col min="4100" max="4100" width="15.125" style="42" customWidth="1"/>
    <col min="4101" max="4101" width="21.625" style="42" customWidth="1"/>
    <col min="4102" max="4102" width="9.75" style="42" customWidth="1"/>
    <col min="4103" max="4103" width="8.25" style="42" customWidth="1"/>
    <col min="4104" max="4104" width="8" style="42" customWidth="1"/>
    <col min="4105" max="4105" width="4.5" style="42" customWidth="1"/>
    <col min="4106" max="4106" width="6.75" style="42" customWidth="1"/>
    <col min="4107" max="4107" width="5.375" style="42" customWidth="1"/>
    <col min="4108" max="4108" width="6" style="42" customWidth="1"/>
    <col min="4109" max="4352" width="9" style="42"/>
    <col min="4353" max="4353" width="2.75" style="42" customWidth="1"/>
    <col min="4354" max="4354" width="20.875" style="42" customWidth="1"/>
    <col min="4355" max="4355" width="23.125" style="42" customWidth="1"/>
    <col min="4356" max="4356" width="15.125" style="42" customWidth="1"/>
    <col min="4357" max="4357" width="21.625" style="42" customWidth="1"/>
    <col min="4358" max="4358" width="9.75" style="42" customWidth="1"/>
    <col min="4359" max="4359" width="8.25" style="42" customWidth="1"/>
    <col min="4360" max="4360" width="8" style="42" customWidth="1"/>
    <col min="4361" max="4361" width="4.5" style="42" customWidth="1"/>
    <col min="4362" max="4362" width="6.75" style="42" customWidth="1"/>
    <col min="4363" max="4363" width="5.375" style="42" customWidth="1"/>
    <col min="4364" max="4364" width="6" style="42" customWidth="1"/>
    <col min="4365" max="4608" width="9" style="42"/>
    <col min="4609" max="4609" width="2.75" style="42" customWidth="1"/>
    <col min="4610" max="4610" width="20.875" style="42" customWidth="1"/>
    <col min="4611" max="4611" width="23.125" style="42" customWidth="1"/>
    <col min="4612" max="4612" width="15.125" style="42" customWidth="1"/>
    <col min="4613" max="4613" width="21.625" style="42" customWidth="1"/>
    <col min="4614" max="4614" width="9.75" style="42" customWidth="1"/>
    <col min="4615" max="4615" width="8.25" style="42" customWidth="1"/>
    <col min="4616" max="4616" width="8" style="42" customWidth="1"/>
    <col min="4617" max="4617" width="4.5" style="42" customWidth="1"/>
    <col min="4618" max="4618" width="6.75" style="42" customWidth="1"/>
    <col min="4619" max="4619" width="5.375" style="42" customWidth="1"/>
    <col min="4620" max="4620" width="6" style="42" customWidth="1"/>
    <col min="4621" max="4864" width="9" style="42"/>
    <col min="4865" max="4865" width="2.75" style="42" customWidth="1"/>
    <col min="4866" max="4866" width="20.875" style="42" customWidth="1"/>
    <col min="4867" max="4867" width="23.125" style="42" customWidth="1"/>
    <col min="4868" max="4868" width="15.125" style="42" customWidth="1"/>
    <col min="4869" max="4869" width="21.625" style="42" customWidth="1"/>
    <col min="4870" max="4870" width="9.75" style="42" customWidth="1"/>
    <col min="4871" max="4871" width="8.25" style="42" customWidth="1"/>
    <col min="4872" max="4872" width="8" style="42" customWidth="1"/>
    <col min="4873" max="4873" width="4.5" style="42" customWidth="1"/>
    <col min="4874" max="4874" width="6.75" style="42" customWidth="1"/>
    <col min="4875" max="4875" width="5.375" style="42" customWidth="1"/>
    <col min="4876" max="4876" width="6" style="42" customWidth="1"/>
    <col min="4877" max="5120" width="9" style="42"/>
    <col min="5121" max="5121" width="2.75" style="42" customWidth="1"/>
    <col min="5122" max="5122" width="20.875" style="42" customWidth="1"/>
    <col min="5123" max="5123" width="23.125" style="42" customWidth="1"/>
    <col min="5124" max="5124" width="15.125" style="42" customWidth="1"/>
    <col min="5125" max="5125" width="21.625" style="42" customWidth="1"/>
    <col min="5126" max="5126" width="9.75" style="42" customWidth="1"/>
    <col min="5127" max="5127" width="8.25" style="42" customWidth="1"/>
    <col min="5128" max="5128" width="8" style="42" customWidth="1"/>
    <col min="5129" max="5129" width="4.5" style="42" customWidth="1"/>
    <col min="5130" max="5130" width="6.75" style="42" customWidth="1"/>
    <col min="5131" max="5131" width="5.375" style="42" customWidth="1"/>
    <col min="5132" max="5132" width="6" style="42" customWidth="1"/>
    <col min="5133" max="5376" width="9" style="42"/>
    <col min="5377" max="5377" width="2.75" style="42" customWidth="1"/>
    <col min="5378" max="5378" width="20.875" style="42" customWidth="1"/>
    <col min="5379" max="5379" width="23.125" style="42" customWidth="1"/>
    <col min="5380" max="5380" width="15.125" style="42" customWidth="1"/>
    <col min="5381" max="5381" width="21.625" style="42" customWidth="1"/>
    <col min="5382" max="5382" width="9.75" style="42" customWidth="1"/>
    <col min="5383" max="5383" width="8.25" style="42" customWidth="1"/>
    <col min="5384" max="5384" width="8" style="42" customWidth="1"/>
    <col min="5385" max="5385" width="4.5" style="42" customWidth="1"/>
    <col min="5386" max="5386" width="6.75" style="42" customWidth="1"/>
    <col min="5387" max="5387" width="5.375" style="42" customWidth="1"/>
    <col min="5388" max="5388" width="6" style="42" customWidth="1"/>
    <col min="5389" max="5632" width="9" style="42"/>
    <col min="5633" max="5633" width="2.75" style="42" customWidth="1"/>
    <col min="5634" max="5634" width="20.875" style="42" customWidth="1"/>
    <col min="5635" max="5635" width="23.125" style="42" customWidth="1"/>
    <col min="5636" max="5636" width="15.125" style="42" customWidth="1"/>
    <col min="5637" max="5637" width="21.625" style="42" customWidth="1"/>
    <col min="5638" max="5638" width="9.75" style="42" customWidth="1"/>
    <col min="5639" max="5639" width="8.25" style="42" customWidth="1"/>
    <col min="5640" max="5640" width="8" style="42" customWidth="1"/>
    <col min="5641" max="5641" width="4.5" style="42" customWidth="1"/>
    <col min="5642" max="5642" width="6.75" style="42" customWidth="1"/>
    <col min="5643" max="5643" width="5.375" style="42" customWidth="1"/>
    <col min="5644" max="5644" width="6" style="42" customWidth="1"/>
    <col min="5645" max="5888" width="9" style="42"/>
    <col min="5889" max="5889" width="2.75" style="42" customWidth="1"/>
    <col min="5890" max="5890" width="20.875" style="42" customWidth="1"/>
    <col min="5891" max="5891" width="23.125" style="42" customWidth="1"/>
    <col min="5892" max="5892" width="15.125" style="42" customWidth="1"/>
    <col min="5893" max="5893" width="21.625" style="42" customWidth="1"/>
    <col min="5894" max="5894" width="9.75" style="42" customWidth="1"/>
    <col min="5895" max="5895" width="8.25" style="42" customWidth="1"/>
    <col min="5896" max="5896" width="8" style="42" customWidth="1"/>
    <col min="5897" max="5897" width="4.5" style="42" customWidth="1"/>
    <col min="5898" max="5898" width="6.75" style="42" customWidth="1"/>
    <col min="5899" max="5899" width="5.375" style="42" customWidth="1"/>
    <col min="5900" max="5900" width="6" style="42" customWidth="1"/>
    <col min="5901" max="6144" width="9" style="42"/>
    <col min="6145" max="6145" width="2.75" style="42" customWidth="1"/>
    <col min="6146" max="6146" width="20.875" style="42" customWidth="1"/>
    <col min="6147" max="6147" width="23.125" style="42" customWidth="1"/>
    <col min="6148" max="6148" width="15.125" style="42" customWidth="1"/>
    <col min="6149" max="6149" width="21.625" style="42" customWidth="1"/>
    <col min="6150" max="6150" width="9.75" style="42" customWidth="1"/>
    <col min="6151" max="6151" width="8.25" style="42" customWidth="1"/>
    <col min="6152" max="6152" width="8" style="42" customWidth="1"/>
    <col min="6153" max="6153" width="4.5" style="42" customWidth="1"/>
    <col min="6154" max="6154" width="6.75" style="42" customWidth="1"/>
    <col min="6155" max="6155" width="5.375" style="42" customWidth="1"/>
    <col min="6156" max="6156" width="6" style="42" customWidth="1"/>
    <col min="6157" max="6400" width="9" style="42"/>
    <col min="6401" max="6401" width="2.75" style="42" customWidth="1"/>
    <col min="6402" max="6402" width="20.875" style="42" customWidth="1"/>
    <col min="6403" max="6403" width="23.125" style="42" customWidth="1"/>
    <col min="6404" max="6404" width="15.125" style="42" customWidth="1"/>
    <col min="6405" max="6405" width="21.625" style="42" customWidth="1"/>
    <col min="6406" max="6406" width="9.75" style="42" customWidth="1"/>
    <col min="6407" max="6407" width="8.25" style="42" customWidth="1"/>
    <col min="6408" max="6408" width="8" style="42" customWidth="1"/>
    <col min="6409" max="6409" width="4.5" style="42" customWidth="1"/>
    <col min="6410" max="6410" width="6.75" style="42" customWidth="1"/>
    <col min="6411" max="6411" width="5.375" style="42" customWidth="1"/>
    <col min="6412" max="6412" width="6" style="42" customWidth="1"/>
    <col min="6413" max="6656" width="9" style="42"/>
    <col min="6657" max="6657" width="2.75" style="42" customWidth="1"/>
    <col min="6658" max="6658" width="20.875" style="42" customWidth="1"/>
    <col min="6659" max="6659" width="23.125" style="42" customWidth="1"/>
    <col min="6660" max="6660" width="15.125" style="42" customWidth="1"/>
    <col min="6661" max="6661" width="21.625" style="42" customWidth="1"/>
    <col min="6662" max="6662" width="9.75" style="42" customWidth="1"/>
    <col min="6663" max="6663" width="8.25" style="42" customWidth="1"/>
    <col min="6664" max="6664" width="8" style="42" customWidth="1"/>
    <col min="6665" max="6665" width="4.5" style="42" customWidth="1"/>
    <col min="6666" max="6666" width="6.75" style="42" customWidth="1"/>
    <col min="6667" max="6667" width="5.375" style="42" customWidth="1"/>
    <col min="6668" max="6668" width="6" style="42" customWidth="1"/>
    <col min="6669" max="6912" width="9" style="42"/>
    <col min="6913" max="6913" width="2.75" style="42" customWidth="1"/>
    <col min="6914" max="6914" width="20.875" style="42" customWidth="1"/>
    <col min="6915" max="6915" width="23.125" style="42" customWidth="1"/>
    <col min="6916" max="6916" width="15.125" style="42" customWidth="1"/>
    <col min="6917" max="6917" width="21.625" style="42" customWidth="1"/>
    <col min="6918" max="6918" width="9.75" style="42" customWidth="1"/>
    <col min="6919" max="6919" width="8.25" style="42" customWidth="1"/>
    <col min="6920" max="6920" width="8" style="42" customWidth="1"/>
    <col min="6921" max="6921" width="4.5" style="42" customWidth="1"/>
    <col min="6922" max="6922" width="6.75" style="42" customWidth="1"/>
    <col min="6923" max="6923" width="5.375" style="42" customWidth="1"/>
    <col min="6924" max="6924" width="6" style="42" customWidth="1"/>
    <col min="6925" max="7168" width="9" style="42"/>
    <col min="7169" max="7169" width="2.75" style="42" customWidth="1"/>
    <col min="7170" max="7170" width="20.875" style="42" customWidth="1"/>
    <col min="7171" max="7171" width="23.125" style="42" customWidth="1"/>
    <col min="7172" max="7172" width="15.125" style="42" customWidth="1"/>
    <col min="7173" max="7173" width="21.625" style="42" customWidth="1"/>
    <col min="7174" max="7174" width="9.75" style="42" customWidth="1"/>
    <col min="7175" max="7175" width="8.25" style="42" customWidth="1"/>
    <col min="7176" max="7176" width="8" style="42" customWidth="1"/>
    <col min="7177" max="7177" width="4.5" style="42" customWidth="1"/>
    <col min="7178" max="7178" width="6.75" style="42" customWidth="1"/>
    <col min="7179" max="7179" width="5.375" style="42" customWidth="1"/>
    <col min="7180" max="7180" width="6" style="42" customWidth="1"/>
    <col min="7181" max="7424" width="9" style="42"/>
    <col min="7425" max="7425" width="2.75" style="42" customWidth="1"/>
    <col min="7426" max="7426" width="20.875" style="42" customWidth="1"/>
    <col min="7427" max="7427" width="23.125" style="42" customWidth="1"/>
    <col min="7428" max="7428" width="15.125" style="42" customWidth="1"/>
    <col min="7429" max="7429" width="21.625" style="42" customWidth="1"/>
    <col min="7430" max="7430" width="9.75" style="42" customWidth="1"/>
    <col min="7431" max="7431" width="8.25" style="42" customWidth="1"/>
    <col min="7432" max="7432" width="8" style="42" customWidth="1"/>
    <col min="7433" max="7433" width="4.5" style="42" customWidth="1"/>
    <col min="7434" max="7434" width="6.75" style="42" customWidth="1"/>
    <col min="7435" max="7435" width="5.375" style="42" customWidth="1"/>
    <col min="7436" max="7436" width="6" style="42" customWidth="1"/>
    <col min="7437" max="7680" width="9" style="42"/>
    <col min="7681" max="7681" width="2.75" style="42" customWidth="1"/>
    <col min="7682" max="7682" width="20.875" style="42" customWidth="1"/>
    <col min="7683" max="7683" width="23.125" style="42" customWidth="1"/>
    <col min="7684" max="7684" width="15.125" style="42" customWidth="1"/>
    <col min="7685" max="7685" width="21.625" style="42" customWidth="1"/>
    <col min="7686" max="7686" width="9.75" style="42" customWidth="1"/>
    <col min="7687" max="7687" width="8.25" style="42" customWidth="1"/>
    <col min="7688" max="7688" width="8" style="42" customWidth="1"/>
    <col min="7689" max="7689" width="4.5" style="42" customWidth="1"/>
    <col min="7690" max="7690" width="6.75" style="42" customWidth="1"/>
    <col min="7691" max="7691" width="5.375" style="42" customWidth="1"/>
    <col min="7692" max="7692" width="6" style="42" customWidth="1"/>
    <col min="7693" max="7936" width="9" style="42"/>
    <col min="7937" max="7937" width="2.75" style="42" customWidth="1"/>
    <col min="7938" max="7938" width="20.875" style="42" customWidth="1"/>
    <col min="7939" max="7939" width="23.125" style="42" customWidth="1"/>
    <col min="7940" max="7940" width="15.125" style="42" customWidth="1"/>
    <col min="7941" max="7941" width="21.625" style="42" customWidth="1"/>
    <col min="7942" max="7942" width="9.75" style="42" customWidth="1"/>
    <col min="7943" max="7943" width="8.25" style="42" customWidth="1"/>
    <col min="7944" max="7944" width="8" style="42" customWidth="1"/>
    <col min="7945" max="7945" width="4.5" style="42" customWidth="1"/>
    <col min="7946" max="7946" width="6.75" style="42" customWidth="1"/>
    <col min="7947" max="7947" width="5.375" style="42" customWidth="1"/>
    <col min="7948" max="7948" width="6" style="42" customWidth="1"/>
    <col min="7949" max="8192" width="9" style="42"/>
    <col min="8193" max="8193" width="2.75" style="42" customWidth="1"/>
    <col min="8194" max="8194" width="20.875" style="42" customWidth="1"/>
    <col min="8195" max="8195" width="23.125" style="42" customWidth="1"/>
    <col min="8196" max="8196" width="15.125" style="42" customWidth="1"/>
    <col min="8197" max="8197" width="21.625" style="42" customWidth="1"/>
    <col min="8198" max="8198" width="9.75" style="42" customWidth="1"/>
    <col min="8199" max="8199" width="8.25" style="42" customWidth="1"/>
    <col min="8200" max="8200" width="8" style="42" customWidth="1"/>
    <col min="8201" max="8201" width="4.5" style="42" customWidth="1"/>
    <col min="8202" max="8202" width="6.75" style="42" customWidth="1"/>
    <col min="8203" max="8203" width="5.375" style="42" customWidth="1"/>
    <col min="8204" max="8204" width="6" style="42" customWidth="1"/>
    <col min="8205" max="8448" width="9" style="42"/>
    <col min="8449" max="8449" width="2.75" style="42" customWidth="1"/>
    <col min="8450" max="8450" width="20.875" style="42" customWidth="1"/>
    <col min="8451" max="8451" width="23.125" style="42" customWidth="1"/>
    <col min="8452" max="8452" width="15.125" style="42" customWidth="1"/>
    <col min="8453" max="8453" width="21.625" style="42" customWidth="1"/>
    <col min="8454" max="8454" width="9.75" style="42" customWidth="1"/>
    <col min="8455" max="8455" width="8.25" style="42" customWidth="1"/>
    <col min="8456" max="8456" width="8" style="42" customWidth="1"/>
    <col min="8457" max="8457" width="4.5" style="42" customWidth="1"/>
    <col min="8458" max="8458" width="6.75" style="42" customWidth="1"/>
    <col min="8459" max="8459" width="5.375" style="42" customWidth="1"/>
    <col min="8460" max="8460" width="6" style="42" customWidth="1"/>
    <col min="8461" max="8704" width="9" style="42"/>
    <col min="8705" max="8705" width="2.75" style="42" customWidth="1"/>
    <col min="8706" max="8706" width="20.875" style="42" customWidth="1"/>
    <col min="8707" max="8707" width="23.125" style="42" customWidth="1"/>
    <col min="8708" max="8708" width="15.125" style="42" customWidth="1"/>
    <col min="8709" max="8709" width="21.625" style="42" customWidth="1"/>
    <col min="8710" max="8710" width="9.75" style="42" customWidth="1"/>
    <col min="8711" max="8711" width="8.25" style="42" customWidth="1"/>
    <col min="8712" max="8712" width="8" style="42" customWidth="1"/>
    <col min="8713" max="8713" width="4.5" style="42" customWidth="1"/>
    <col min="8714" max="8714" width="6.75" style="42" customWidth="1"/>
    <col min="8715" max="8715" width="5.375" style="42" customWidth="1"/>
    <col min="8716" max="8716" width="6" style="42" customWidth="1"/>
    <col min="8717" max="8960" width="9" style="42"/>
    <col min="8961" max="8961" width="2.75" style="42" customWidth="1"/>
    <col min="8962" max="8962" width="20.875" style="42" customWidth="1"/>
    <col min="8963" max="8963" width="23.125" style="42" customWidth="1"/>
    <col min="8964" max="8964" width="15.125" style="42" customWidth="1"/>
    <col min="8965" max="8965" width="21.625" style="42" customWidth="1"/>
    <col min="8966" max="8966" width="9.75" style="42" customWidth="1"/>
    <col min="8967" max="8967" width="8.25" style="42" customWidth="1"/>
    <col min="8968" max="8968" width="8" style="42" customWidth="1"/>
    <col min="8969" max="8969" width="4.5" style="42" customWidth="1"/>
    <col min="8970" max="8970" width="6.75" style="42" customWidth="1"/>
    <col min="8971" max="8971" width="5.375" style="42" customWidth="1"/>
    <col min="8972" max="8972" width="6" style="42" customWidth="1"/>
    <col min="8973" max="9216" width="9" style="42"/>
    <col min="9217" max="9217" width="2.75" style="42" customWidth="1"/>
    <col min="9218" max="9218" width="20.875" style="42" customWidth="1"/>
    <col min="9219" max="9219" width="23.125" style="42" customWidth="1"/>
    <col min="9220" max="9220" width="15.125" style="42" customWidth="1"/>
    <col min="9221" max="9221" width="21.625" style="42" customWidth="1"/>
    <col min="9222" max="9222" width="9.75" style="42" customWidth="1"/>
    <col min="9223" max="9223" width="8.25" style="42" customWidth="1"/>
    <col min="9224" max="9224" width="8" style="42" customWidth="1"/>
    <col min="9225" max="9225" width="4.5" style="42" customWidth="1"/>
    <col min="9226" max="9226" width="6.75" style="42" customWidth="1"/>
    <col min="9227" max="9227" width="5.375" style="42" customWidth="1"/>
    <col min="9228" max="9228" width="6" style="42" customWidth="1"/>
    <col min="9229" max="9472" width="9" style="42"/>
    <col min="9473" max="9473" width="2.75" style="42" customWidth="1"/>
    <col min="9474" max="9474" width="20.875" style="42" customWidth="1"/>
    <col min="9475" max="9475" width="23.125" style="42" customWidth="1"/>
    <col min="9476" max="9476" width="15.125" style="42" customWidth="1"/>
    <col min="9477" max="9477" width="21.625" style="42" customWidth="1"/>
    <col min="9478" max="9478" width="9.75" style="42" customWidth="1"/>
    <col min="9479" max="9479" width="8.25" style="42" customWidth="1"/>
    <col min="9480" max="9480" width="8" style="42" customWidth="1"/>
    <col min="9481" max="9481" width="4.5" style="42" customWidth="1"/>
    <col min="9482" max="9482" width="6.75" style="42" customWidth="1"/>
    <col min="9483" max="9483" width="5.375" style="42" customWidth="1"/>
    <col min="9484" max="9484" width="6" style="42" customWidth="1"/>
    <col min="9485" max="9728" width="9" style="42"/>
    <col min="9729" max="9729" width="2.75" style="42" customWidth="1"/>
    <col min="9730" max="9730" width="20.875" style="42" customWidth="1"/>
    <col min="9731" max="9731" width="23.125" style="42" customWidth="1"/>
    <col min="9732" max="9732" width="15.125" style="42" customWidth="1"/>
    <col min="9733" max="9733" width="21.625" style="42" customWidth="1"/>
    <col min="9734" max="9734" width="9.75" style="42" customWidth="1"/>
    <col min="9735" max="9735" width="8.25" style="42" customWidth="1"/>
    <col min="9736" max="9736" width="8" style="42" customWidth="1"/>
    <col min="9737" max="9737" width="4.5" style="42" customWidth="1"/>
    <col min="9738" max="9738" width="6.75" style="42" customWidth="1"/>
    <col min="9739" max="9739" width="5.375" style="42" customWidth="1"/>
    <col min="9740" max="9740" width="6" style="42" customWidth="1"/>
    <col min="9741" max="9984" width="9" style="42"/>
    <col min="9985" max="9985" width="2.75" style="42" customWidth="1"/>
    <col min="9986" max="9986" width="20.875" style="42" customWidth="1"/>
    <col min="9987" max="9987" width="23.125" style="42" customWidth="1"/>
    <col min="9988" max="9988" width="15.125" style="42" customWidth="1"/>
    <col min="9989" max="9989" width="21.625" style="42" customWidth="1"/>
    <col min="9990" max="9990" width="9.75" style="42" customWidth="1"/>
    <col min="9991" max="9991" width="8.25" style="42" customWidth="1"/>
    <col min="9992" max="9992" width="8" style="42" customWidth="1"/>
    <col min="9993" max="9993" width="4.5" style="42" customWidth="1"/>
    <col min="9994" max="9994" width="6.75" style="42" customWidth="1"/>
    <col min="9995" max="9995" width="5.375" style="42" customWidth="1"/>
    <col min="9996" max="9996" width="6" style="42" customWidth="1"/>
    <col min="9997" max="10240" width="9" style="42"/>
    <col min="10241" max="10241" width="2.75" style="42" customWidth="1"/>
    <col min="10242" max="10242" width="20.875" style="42" customWidth="1"/>
    <col min="10243" max="10243" width="23.125" style="42" customWidth="1"/>
    <col min="10244" max="10244" width="15.125" style="42" customWidth="1"/>
    <col min="10245" max="10245" width="21.625" style="42" customWidth="1"/>
    <col min="10246" max="10246" width="9.75" style="42" customWidth="1"/>
    <col min="10247" max="10247" width="8.25" style="42" customWidth="1"/>
    <col min="10248" max="10248" width="8" style="42" customWidth="1"/>
    <col min="10249" max="10249" width="4.5" style="42" customWidth="1"/>
    <col min="10250" max="10250" width="6.75" style="42" customWidth="1"/>
    <col min="10251" max="10251" width="5.375" style="42" customWidth="1"/>
    <col min="10252" max="10252" width="6" style="42" customWidth="1"/>
    <col min="10253" max="10496" width="9" style="42"/>
    <col min="10497" max="10497" width="2.75" style="42" customWidth="1"/>
    <col min="10498" max="10498" width="20.875" style="42" customWidth="1"/>
    <col min="10499" max="10499" width="23.125" style="42" customWidth="1"/>
    <col min="10500" max="10500" width="15.125" style="42" customWidth="1"/>
    <col min="10501" max="10501" width="21.625" style="42" customWidth="1"/>
    <col min="10502" max="10502" width="9.75" style="42" customWidth="1"/>
    <col min="10503" max="10503" width="8.25" style="42" customWidth="1"/>
    <col min="10504" max="10504" width="8" style="42" customWidth="1"/>
    <col min="10505" max="10505" width="4.5" style="42" customWidth="1"/>
    <col min="10506" max="10506" width="6.75" style="42" customWidth="1"/>
    <col min="10507" max="10507" width="5.375" style="42" customWidth="1"/>
    <col min="10508" max="10508" width="6" style="42" customWidth="1"/>
    <col min="10509" max="10752" width="9" style="42"/>
    <col min="10753" max="10753" width="2.75" style="42" customWidth="1"/>
    <col min="10754" max="10754" width="20.875" style="42" customWidth="1"/>
    <col min="10755" max="10755" width="23.125" style="42" customWidth="1"/>
    <col min="10756" max="10756" width="15.125" style="42" customWidth="1"/>
    <col min="10757" max="10757" width="21.625" style="42" customWidth="1"/>
    <col min="10758" max="10758" width="9.75" style="42" customWidth="1"/>
    <col min="10759" max="10759" width="8.25" style="42" customWidth="1"/>
    <col min="10760" max="10760" width="8" style="42" customWidth="1"/>
    <col min="10761" max="10761" width="4.5" style="42" customWidth="1"/>
    <col min="10762" max="10762" width="6.75" style="42" customWidth="1"/>
    <col min="10763" max="10763" width="5.375" style="42" customWidth="1"/>
    <col min="10764" max="10764" width="6" style="42" customWidth="1"/>
    <col min="10765" max="11008" width="9" style="42"/>
    <col min="11009" max="11009" width="2.75" style="42" customWidth="1"/>
    <col min="11010" max="11010" width="20.875" style="42" customWidth="1"/>
    <col min="11011" max="11011" width="23.125" style="42" customWidth="1"/>
    <col min="11012" max="11012" width="15.125" style="42" customWidth="1"/>
    <col min="11013" max="11013" width="21.625" style="42" customWidth="1"/>
    <col min="11014" max="11014" width="9.75" style="42" customWidth="1"/>
    <col min="11015" max="11015" width="8.25" style="42" customWidth="1"/>
    <col min="11016" max="11016" width="8" style="42" customWidth="1"/>
    <col min="11017" max="11017" width="4.5" style="42" customWidth="1"/>
    <col min="11018" max="11018" width="6.75" style="42" customWidth="1"/>
    <col min="11019" max="11019" width="5.375" style="42" customWidth="1"/>
    <col min="11020" max="11020" width="6" style="42" customWidth="1"/>
    <col min="11021" max="11264" width="9" style="42"/>
    <col min="11265" max="11265" width="2.75" style="42" customWidth="1"/>
    <col min="11266" max="11266" width="20.875" style="42" customWidth="1"/>
    <col min="11267" max="11267" width="23.125" style="42" customWidth="1"/>
    <col min="11268" max="11268" width="15.125" style="42" customWidth="1"/>
    <col min="11269" max="11269" width="21.625" style="42" customWidth="1"/>
    <col min="11270" max="11270" width="9.75" style="42" customWidth="1"/>
    <col min="11271" max="11271" width="8.25" style="42" customWidth="1"/>
    <col min="11272" max="11272" width="8" style="42" customWidth="1"/>
    <col min="11273" max="11273" width="4.5" style="42" customWidth="1"/>
    <col min="11274" max="11274" width="6.75" style="42" customWidth="1"/>
    <col min="11275" max="11275" width="5.375" style="42" customWidth="1"/>
    <col min="11276" max="11276" width="6" style="42" customWidth="1"/>
    <col min="11277" max="11520" width="9" style="42"/>
    <col min="11521" max="11521" width="2.75" style="42" customWidth="1"/>
    <col min="11522" max="11522" width="20.875" style="42" customWidth="1"/>
    <col min="11523" max="11523" width="23.125" style="42" customWidth="1"/>
    <col min="11524" max="11524" width="15.125" style="42" customWidth="1"/>
    <col min="11525" max="11525" width="21.625" style="42" customWidth="1"/>
    <col min="11526" max="11526" width="9.75" style="42" customWidth="1"/>
    <col min="11527" max="11527" width="8.25" style="42" customWidth="1"/>
    <col min="11528" max="11528" width="8" style="42" customWidth="1"/>
    <col min="11529" max="11529" width="4.5" style="42" customWidth="1"/>
    <col min="11530" max="11530" width="6.75" style="42" customWidth="1"/>
    <col min="11531" max="11531" width="5.375" style="42" customWidth="1"/>
    <col min="11532" max="11532" width="6" style="42" customWidth="1"/>
    <col min="11533" max="11776" width="9" style="42"/>
    <col min="11777" max="11777" width="2.75" style="42" customWidth="1"/>
    <col min="11778" max="11778" width="20.875" style="42" customWidth="1"/>
    <col min="11779" max="11779" width="23.125" style="42" customWidth="1"/>
    <col min="11780" max="11780" width="15.125" style="42" customWidth="1"/>
    <col min="11781" max="11781" width="21.625" style="42" customWidth="1"/>
    <col min="11782" max="11782" width="9.75" style="42" customWidth="1"/>
    <col min="11783" max="11783" width="8.25" style="42" customWidth="1"/>
    <col min="11784" max="11784" width="8" style="42" customWidth="1"/>
    <col min="11785" max="11785" width="4.5" style="42" customWidth="1"/>
    <col min="11786" max="11786" width="6.75" style="42" customWidth="1"/>
    <col min="11787" max="11787" width="5.375" style="42" customWidth="1"/>
    <col min="11788" max="11788" width="6" style="42" customWidth="1"/>
    <col min="11789" max="12032" width="9" style="42"/>
    <col min="12033" max="12033" width="2.75" style="42" customWidth="1"/>
    <col min="12034" max="12034" width="20.875" style="42" customWidth="1"/>
    <col min="12035" max="12035" width="23.125" style="42" customWidth="1"/>
    <col min="12036" max="12036" width="15.125" style="42" customWidth="1"/>
    <col min="12037" max="12037" width="21.625" style="42" customWidth="1"/>
    <col min="12038" max="12038" width="9.75" style="42" customWidth="1"/>
    <col min="12039" max="12039" width="8.25" style="42" customWidth="1"/>
    <col min="12040" max="12040" width="8" style="42" customWidth="1"/>
    <col min="12041" max="12041" width="4.5" style="42" customWidth="1"/>
    <col min="12042" max="12042" width="6.75" style="42" customWidth="1"/>
    <col min="12043" max="12043" width="5.375" style="42" customWidth="1"/>
    <col min="12044" max="12044" width="6" style="42" customWidth="1"/>
    <col min="12045" max="12288" width="9" style="42"/>
    <col min="12289" max="12289" width="2.75" style="42" customWidth="1"/>
    <col min="12290" max="12290" width="20.875" style="42" customWidth="1"/>
    <col min="12291" max="12291" width="23.125" style="42" customWidth="1"/>
    <col min="12292" max="12292" width="15.125" style="42" customWidth="1"/>
    <col min="12293" max="12293" width="21.625" style="42" customWidth="1"/>
    <col min="12294" max="12294" width="9.75" style="42" customWidth="1"/>
    <col min="12295" max="12295" width="8.25" style="42" customWidth="1"/>
    <col min="12296" max="12296" width="8" style="42" customWidth="1"/>
    <col min="12297" max="12297" width="4.5" style="42" customWidth="1"/>
    <col min="12298" max="12298" width="6.75" style="42" customWidth="1"/>
    <col min="12299" max="12299" width="5.375" style="42" customWidth="1"/>
    <col min="12300" max="12300" width="6" style="42" customWidth="1"/>
    <col min="12301" max="12544" width="9" style="42"/>
    <col min="12545" max="12545" width="2.75" style="42" customWidth="1"/>
    <col min="12546" max="12546" width="20.875" style="42" customWidth="1"/>
    <col min="12547" max="12547" width="23.125" style="42" customWidth="1"/>
    <col min="12548" max="12548" width="15.125" style="42" customWidth="1"/>
    <col min="12549" max="12549" width="21.625" style="42" customWidth="1"/>
    <col min="12550" max="12550" width="9.75" style="42" customWidth="1"/>
    <col min="12551" max="12551" width="8.25" style="42" customWidth="1"/>
    <col min="12552" max="12552" width="8" style="42" customWidth="1"/>
    <col min="12553" max="12553" width="4.5" style="42" customWidth="1"/>
    <col min="12554" max="12554" width="6.75" style="42" customWidth="1"/>
    <col min="12555" max="12555" width="5.375" style="42" customWidth="1"/>
    <col min="12556" max="12556" width="6" style="42" customWidth="1"/>
    <col min="12557" max="12800" width="9" style="42"/>
    <col min="12801" max="12801" width="2.75" style="42" customWidth="1"/>
    <col min="12802" max="12802" width="20.875" style="42" customWidth="1"/>
    <col min="12803" max="12803" width="23.125" style="42" customWidth="1"/>
    <col min="12804" max="12804" width="15.125" style="42" customWidth="1"/>
    <col min="12805" max="12805" width="21.625" style="42" customWidth="1"/>
    <col min="12806" max="12806" width="9.75" style="42" customWidth="1"/>
    <col min="12807" max="12807" width="8.25" style="42" customWidth="1"/>
    <col min="12808" max="12808" width="8" style="42" customWidth="1"/>
    <col min="12809" max="12809" width="4.5" style="42" customWidth="1"/>
    <col min="12810" max="12810" width="6.75" style="42" customWidth="1"/>
    <col min="12811" max="12811" width="5.375" style="42" customWidth="1"/>
    <col min="12812" max="12812" width="6" style="42" customWidth="1"/>
    <col min="12813" max="13056" width="9" style="42"/>
    <col min="13057" max="13057" width="2.75" style="42" customWidth="1"/>
    <col min="13058" max="13058" width="20.875" style="42" customWidth="1"/>
    <col min="13059" max="13059" width="23.125" style="42" customWidth="1"/>
    <col min="13060" max="13060" width="15.125" style="42" customWidth="1"/>
    <col min="13061" max="13061" width="21.625" style="42" customWidth="1"/>
    <col min="13062" max="13062" width="9.75" style="42" customWidth="1"/>
    <col min="13063" max="13063" width="8.25" style="42" customWidth="1"/>
    <col min="13064" max="13064" width="8" style="42" customWidth="1"/>
    <col min="13065" max="13065" width="4.5" style="42" customWidth="1"/>
    <col min="13066" max="13066" width="6.75" style="42" customWidth="1"/>
    <col min="13067" max="13067" width="5.375" style="42" customWidth="1"/>
    <col min="13068" max="13068" width="6" style="42" customWidth="1"/>
    <col min="13069" max="13312" width="9" style="42"/>
    <col min="13313" max="13313" width="2.75" style="42" customWidth="1"/>
    <col min="13314" max="13314" width="20.875" style="42" customWidth="1"/>
    <col min="13315" max="13315" width="23.125" style="42" customWidth="1"/>
    <col min="13316" max="13316" width="15.125" style="42" customWidth="1"/>
    <col min="13317" max="13317" width="21.625" style="42" customWidth="1"/>
    <col min="13318" max="13318" width="9.75" style="42" customWidth="1"/>
    <col min="13319" max="13319" width="8.25" style="42" customWidth="1"/>
    <col min="13320" max="13320" width="8" style="42" customWidth="1"/>
    <col min="13321" max="13321" width="4.5" style="42" customWidth="1"/>
    <col min="13322" max="13322" width="6.75" style="42" customWidth="1"/>
    <col min="13323" max="13323" width="5.375" style="42" customWidth="1"/>
    <col min="13324" max="13324" width="6" style="42" customWidth="1"/>
    <col min="13325" max="13568" width="9" style="42"/>
    <col min="13569" max="13569" width="2.75" style="42" customWidth="1"/>
    <col min="13570" max="13570" width="20.875" style="42" customWidth="1"/>
    <col min="13571" max="13571" width="23.125" style="42" customWidth="1"/>
    <col min="13572" max="13572" width="15.125" style="42" customWidth="1"/>
    <col min="13573" max="13573" width="21.625" style="42" customWidth="1"/>
    <col min="13574" max="13574" width="9.75" style="42" customWidth="1"/>
    <col min="13575" max="13575" width="8.25" style="42" customWidth="1"/>
    <col min="13576" max="13576" width="8" style="42" customWidth="1"/>
    <col min="13577" max="13577" width="4.5" style="42" customWidth="1"/>
    <col min="13578" max="13578" width="6.75" style="42" customWidth="1"/>
    <col min="13579" max="13579" width="5.375" style="42" customWidth="1"/>
    <col min="13580" max="13580" width="6" style="42" customWidth="1"/>
    <col min="13581" max="13824" width="9" style="42"/>
    <col min="13825" max="13825" width="2.75" style="42" customWidth="1"/>
    <col min="13826" max="13826" width="20.875" style="42" customWidth="1"/>
    <col min="13827" max="13827" width="23.125" style="42" customWidth="1"/>
    <col min="13828" max="13828" width="15.125" style="42" customWidth="1"/>
    <col min="13829" max="13829" width="21.625" style="42" customWidth="1"/>
    <col min="13830" max="13830" width="9.75" style="42" customWidth="1"/>
    <col min="13831" max="13831" width="8.25" style="42" customWidth="1"/>
    <col min="13832" max="13832" width="8" style="42" customWidth="1"/>
    <col min="13833" max="13833" width="4.5" style="42" customWidth="1"/>
    <col min="13834" max="13834" width="6.75" style="42" customWidth="1"/>
    <col min="13835" max="13835" width="5.375" style="42" customWidth="1"/>
    <col min="13836" max="13836" width="6" style="42" customWidth="1"/>
    <col min="13837" max="14080" width="9" style="42"/>
    <col min="14081" max="14081" width="2.75" style="42" customWidth="1"/>
    <col min="14082" max="14082" width="20.875" style="42" customWidth="1"/>
    <col min="14083" max="14083" width="23.125" style="42" customWidth="1"/>
    <col min="14084" max="14084" width="15.125" style="42" customWidth="1"/>
    <col min="14085" max="14085" width="21.625" style="42" customWidth="1"/>
    <col min="14086" max="14086" width="9.75" style="42" customWidth="1"/>
    <col min="14087" max="14087" width="8.25" style="42" customWidth="1"/>
    <col min="14088" max="14088" width="8" style="42" customWidth="1"/>
    <col min="14089" max="14089" width="4.5" style="42" customWidth="1"/>
    <col min="14090" max="14090" width="6.75" style="42" customWidth="1"/>
    <col min="14091" max="14091" width="5.375" style="42" customWidth="1"/>
    <col min="14092" max="14092" width="6" style="42" customWidth="1"/>
    <col min="14093" max="14336" width="9" style="42"/>
    <col min="14337" max="14337" width="2.75" style="42" customWidth="1"/>
    <col min="14338" max="14338" width="20.875" style="42" customWidth="1"/>
    <col min="14339" max="14339" width="23.125" style="42" customWidth="1"/>
    <col min="14340" max="14340" width="15.125" style="42" customWidth="1"/>
    <col min="14341" max="14341" width="21.625" style="42" customWidth="1"/>
    <col min="14342" max="14342" width="9.75" style="42" customWidth="1"/>
    <col min="14343" max="14343" width="8.25" style="42" customWidth="1"/>
    <col min="14344" max="14344" width="8" style="42" customWidth="1"/>
    <col min="14345" max="14345" width="4.5" style="42" customWidth="1"/>
    <col min="14346" max="14346" width="6.75" style="42" customWidth="1"/>
    <col min="14347" max="14347" width="5.375" style="42" customWidth="1"/>
    <col min="14348" max="14348" width="6" style="42" customWidth="1"/>
    <col min="14349" max="14592" width="9" style="42"/>
    <col min="14593" max="14593" width="2.75" style="42" customWidth="1"/>
    <col min="14594" max="14594" width="20.875" style="42" customWidth="1"/>
    <col min="14595" max="14595" width="23.125" style="42" customWidth="1"/>
    <col min="14596" max="14596" width="15.125" style="42" customWidth="1"/>
    <col min="14597" max="14597" width="21.625" style="42" customWidth="1"/>
    <col min="14598" max="14598" width="9.75" style="42" customWidth="1"/>
    <col min="14599" max="14599" width="8.25" style="42" customWidth="1"/>
    <col min="14600" max="14600" width="8" style="42" customWidth="1"/>
    <col min="14601" max="14601" width="4.5" style="42" customWidth="1"/>
    <col min="14602" max="14602" width="6.75" style="42" customWidth="1"/>
    <col min="14603" max="14603" width="5.375" style="42" customWidth="1"/>
    <col min="14604" max="14604" width="6" style="42" customWidth="1"/>
    <col min="14605" max="14848" width="9" style="42"/>
    <col min="14849" max="14849" width="2.75" style="42" customWidth="1"/>
    <col min="14850" max="14850" width="20.875" style="42" customWidth="1"/>
    <col min="14851" max="14851" width="23.125" style="42" customWidth="1"/>
    <col min="14852" max="14852" width="15.125" style="42" customWidth="1"/>
    <col min="14853" max="14853" width="21.625" style="42" customWidth="1"/>
    <col min="14854" max="14854" width="9.75" style="42" customWidth="1"/>
    <col min="14855" max="14855" width="8.25" style="42" customWidth="1"/>
    <col min="14856" max="14856" width="8" style="42" customWidth="1"/>
    <col min="14857" max="14857" width="4.5" style="42" customWidth="1"/>
    <col min="14858" max="14858" width="6.75" style="42" customWidth="1"/>
    <col min="14859" max="14859" width="5.375" style="42" customWidth="1"/>
    <col min="14860" max="14860" width="6" style="42" customWidth="1"/>
    <col min="14861" max="15104" width="9" style="42"/>
    <col min="15105" max="15105" width="2.75" style="42" customWidth="1"/>
    <col min="15106" max="15106" width="20.875" style="42" customWidth="1"/>
    <col min="15107" max="15107" width="23.125" style="42" customWidth="1"/>
    <col min="15108" max="15108" width="15.125" style="42" customWidth="1"/>
    <col min="15109" max="15109" width="21.625" style="42" customWidth="1"/>
    <col min="15110" max="15110" width="9.75" style="42" customWidth="1"/>
    <col min="15111" max="15111" width="8.25" style="42" customWidth="1"/>
    <col min="15112" max="15112" width="8" style="42" customWidth="1"/>
    <col min="15113" max="15113" width="4.5" style="42" customWidth="1"/>
    <col min="15114" max="15114" width="6.75" style="42" customWidth="1"/>
    <col min="15115" max="15115" width="5.375" style="42" customWidth="1"/>
    <col min="15116" max="15116" width="6" style="42" customWidth="1"/>
    <col min="15117" max="15360" width="9" style="42"/>
    <col min="15361" max="15361" width="2.75" style="42" customWidth="1"/>
    <col min="15362" max="15362" width="20.875" style="42" customWidth="1"/>
    <col min="15363" max="15363" width="23.125" style="42" customWidth="1"/>
    <col min="15364" max="15364" width="15.125" style="42" customWidth="1"/>
    <col min="15365" max="15365" width="21.625" style="42" customWidth="1"/>
    <col min="15366" max="15366" width="9.75" style="42" customWidth="1"/>
    <col min="15367" max="15367" width="8.25" style="42" customWidth="1"/>
    <col min="15368" max="15368" width="8" style="42" customWidth="1"/>
    <col min="15369" max="15369" width="4.5" style="42" customWidth="1"/>
    <col min="15370" max="15370" width="6.75" style="42" customWidth="1"/>
    <col min="15371" max="15371" width="5.375" style="42" customWidth="1"/>
    <col min="15372" max="15372" width="6" style="42" customWidth="1"/>
    <col min="15373" max="15616" width="9" style="42"/>
    <col min="15617" max="15617" width="2.75" style="42" customWidth="1"/>
    <col min="15618" max="15618" width="20.875" style="42" customWidth="1"/>
    <col min="15619" max="15619" width="23.125" style="42" customWidth="1"/>
    <col min="15620" max="15620" width="15.125" style="42" customWidth="1"/>
    <col min="15621" max="15621" width="21.625" style="42" customWidth="1"/>
    <col min="15622" max="15622" width="9.75" style="42" customWidth="1"/>
    <col min="15623" max="15623" width="8.25" style="42" customWidth="1"/>
    <col min="15624" max="15624" width="8" style="42" customWidth="1"/>
    <col min="15625" max="15625" width="4.5" style="42" customWidth="1"/>
    <col min="15626" max="15626" width="6.75" style="42" customWidth="1"/>
    <col min="15627" max="15627" width="5.375" style="42" customWidth="1"/>
    <col min="15628" max="15628" width="6" style="42" customWidth="1"/>
    <col min="15629" max="15872" width="9" style="42"/>
    <col min="15873" max="15873" width="2.75" style="42" customWidth="1"/>
    <col min="15874" max="15874" width="20.875" style="42" customWidth="1"/>
    <col min="15875" max="15875" width="23.125" style="42" customWidth="1"/>
    <col min="15876" max="15876" width="15.125" style="42" customWidth="1"/>
    <col min="15877" max="15877" width="21.625" style="42" customWidth="1"/>
    <col min="15878" max="15878" width="9.75" style="42" customWidth="1"/>
    <col min="15879" max="15879" width="8.25" style="42" customWidth="1"/>
    <col min="15880" max="15880" width="8" style="42" customWidth="1"/>
    <col min="15881" max="15881" width="4.5" style="42" customWidth="1"/>
    <col min="15882" max="15882" width="6.75" style="42" customWidth="1"/>
    <col min="15883" max="15883" width="5.375" style="42" customWidth="1"/>
    <col min="15884" max="15884" width="6" style="42" customWidth="1"/>
    <col min="15885" max="16128" width="9" style="42"/>
    <col min="16129" max="16129" width="2.75" style="42" customWidth="1"/>
    <col min="16130" max="16130" width="20.875" style="42" customWidth="1"/>
    <col min="16131" max="16131" width="23.125" style="42" customWidth="1"/>
    <col min="16132" max="16132" width="15.125" style="42" customWidth="1"/>
    <col min="16133" max="16133" width="21.625" style="42" customWidth="1"/>
    <col min="16134" max="16134" width="9.75" style="42" customWidth="1"/>
    <col min="16135" max="16135" width="8.25" style="42" customWidth="1"/>
    <col min="16136" max="16136" width="8" style="42" customWidth="1"/>
    <col min="16137" max="16137" width="4.5" style="42" customWidth="1"/>
    <col min="16138" max="16138" width="6.75" style="42" customWidth="1"/>
    <col min="16139" max="16139" width="5.375" style="42" customWidth="1"/>
    <col min="16140" max="16140" width="6" style="42" customWidth="1"/>
    <col min="16141" max="16384" width="9" style="42"/>
  </cols>
  <sheetData>
    <row r="1" spans="1:9" ht="24" customHeight="1">
      <c r="A1" s="531" t="s">
        <v>172</v>
      </c>
      <c r="B1" s="531"/>
      <c r="C1" s="531"/>
      <c r="D1" s="531"/>
      <c r="E1" s="531"/>
      <c r="F1" s="531"/>
      <c r="G1" s="531"/>
      <c r="H1" s="531"/>
      <c r="I1" s="531"/>
    </row>
    <row r="3" spans="1:9">
      <c r="A3" s="66" t="s">
        <v>173</v>
      </c>
      <c r="B3" s="315"/>
      <c r="C3" s="316"/>
    </row>
    <row r="4" spans="1:9">
      <c r="A4" s="43" t="s">
        <v>174</v>
      </c>
    </row>
    <row r="5" spans="1:9" ht="12.75">
      <c r="A5" s="126" t="s">
        <v>175</v>
      </c>
      <c r="B5" s="317"/>
      <c r="C5" s="318" t="s">
        <v>176</v>
      </c>
      <c r="D5" s="319">
        <f>D12/C12*100</f>
        <v>32.085561497326204</v>
      </c>
      <c r="E5" s="42"/>
    </row>
    <row r="6" spans="1:9" ht="15" customHeight="1">
      <c r="A6" s="320" t="s">
        <v>49</v>
      </c>
      <c r="B6" s="90" t="s">
        <v>177</v>
      </c>
      <c r="C6" s="321" t="s">
        <v>178</v>
      </c>
      <c r="D6" s="477" t="s">
        <v>179</v>
      </c>
      <c r="E6" s="42"/>
    </row>
    <row r="7" spans="1:9" ht="15" customHeight="1">
      <c r="A7" s="322">
        <v>1</v>
      </c>
      <c r="B7" s="323" t="s">
        <v>180</v>
      </c>
      <c r="C7" s="475">
        <v>133.5</v>
      </c>
      <c r="D7" s="478">
        <v>20</v>
      </c>
      <c r="E7" s="474"/>
      <c r="F7" s="474"/>
      <c r="G7" s="474"/>
      <c r="H7" s="474"/>
    </row>
    <row r="8" spans="1:9" ht="15" customHeight="1">
      <c r="A8" s="322">
        <v>2</v>
      </c>
      <c r="B8" s="324" t="s">
        <v>181</v>
      </c>
      <c r="C8" s="475">
        <v>50</v>
      </c>
      <c r="D8" s="478">
        <v>20</v>
      </c>
      <c r="E8" s="44"/>
      <c r="F8" s="44"/>
      <c r="G8" s="44"/>
      <c r="H8" s="44"/>
    </row>
    <row r="9" spans="1:9" ht="15" customHeight="1">
      <c r="A9" s="322">
        <v>3</v>
      </c>
      <c r="B9" s="324" t="s">
        <v>182</v>
      </c>
      <c r="C9" s="475">
        <v>64</v>
      </c>
      <c r="D9" s="478">
        <v>20</v>
      </c>
      <c r="E9" s="42"/>
    </row>
    <row r="10" spans="1:9" ht="15" customHeight="1">
      <c r="A10" s="322">
        <v>4</v>
      </c>
      <c r="B10" s="324" t="s">
        <v>183</v>
      </c>
      <c r="C10" s="475">
        <v>73</v>
      </c>
      <c r="D10" s="478">
        <v>20</v>
      </c>
      <c r="E10" s="42"/>
    </row>
    <row r="11" spans="1:9" ht="15" customHeight="1">
      <c r="A11" s="322">
        <v>5</v>
      </c>
      <c r="B11" s="324" t="s">
        <v>184</v>
      </c>
      <c r="C11" s="475">
        <v>187</v>
      </c>
      <c r="D11" s="478">
        <v>20</v>
      </c>
      <c r="E11" s="42"/>
    </row>
    <row r="12" spans="1:9" ht="15" customHeight="1">
      <c r="A12" s="479">
        <v>6</v>
      </c>
      <c r="B12" s="325" t="s">
        <v>185</v>
      </c>
      <c r="C12" s="476">
        <v>187</v>
      </c>
      <c r="D12" s="480">
        <v>60</v>
      </c>
      <c r="E12" s="42"/>
    </row>
    <row r="13" spans="1:9" s="314" customFormat="1" ht="29.25" customHeight="1">
      <c r="A13" s="326"/>
      <c r="C13" s="326"/>
      <c r="D13" s="326"/>
      <c r="E13" s="326"/>
    </row>
    <row r="14" spans="1:9" s="44" customFormat="1">
      <c r="A14" s="327" t="s">
        <v>186</v>
      </c>
      <c r="B14" s="67"/>
      <c r="C14" s="123"/>
      <c r="D14" s="123"/>
      <c r="E14" s="123"/>
    </row>
    <row r="15" spans="1:9">
      <c r="A15" s="328" t="s">
        <v>187</v>
      </c>
    </row>
    <row r="16" spans="1:9" ht="13.5">
      <c r="A16" s="328" t="s">
        <v>188</v>
      </c>
    </row>
    <row r="18" spans="1:8" ht="15" customHeight="1">
      <c r="A18" s="320" t="s">
        <v>49</v>
      </c>
      <c r="B18" s="329" t="s">
        <v>532</v>
      </c>
      <c r="C18" s="329" t="s">
        <v>189</v>
      </c>
      <c r="D18" s="329" t="s">
        <v>190</v>
      </c>
      <c r="E18" s="42"/>
    </row>
    <row r="19" spans="1:8" ht="15" customHeight="1">
      <c r="A19" s="330">
        <v>1</v>
      </c>
      <c r="B19" s="331">
        <f t="shared" ref="B19:B21" si="0">C8</f>
        <v>50</v>
      </c>
      <c r="C19" s="331">
        <f>工作量分布!F14</f>
        <v>33.606999999999999</v>
      </c>
      <c r="D19" s="332">
        <f>B19/C19</f>
        <v>1.4877852828279823</v>
      </c>
      <c r="E19"/>
      <c r="F19"/>
      <c r="G19"/>
      <c r="H19"/>
    </row>
    <row r="20" spans="1:8" ht="15" customHeight="1">
      <c r="A20" s="330">
        <v>2</v>
      </c>
      <c r="B20" s="333">
        <f t="shared" si="0"/>
        <v>64</v>
      </c>
      <c r="C20" s="333">
        <f>工作量分布!H14</f>
        <v>101</v>
      </c>
      <c r="D20" s="332">
        <f t="shared" ref="D20:D22" si="1">B20/C20</f>
        <v>0.63366336633663367</v>
      </c>
      <c r="E20" s="42"/>
    </row>
    <row r="21" spans="1:8" ht="15" customHeight="1">
      <c r="A21" s="330">
        <v>3</v>
      </c>
      <c r="B21" s="333">
        <f t="shared" si="0"/>
        <v>73</v>
      </c>
      <c r="C21" s="333">
        <f>工作量分布!L14</f>
        <v>67.900000000000006</v>
      </c>
      <c r="D21" s="332">
        <f t="shared" si="1"/>
        <v>1.0751104565537555</v>
      </c>
      <c r="E21" s="42"/>
    </row>
    <row r="22" spans="1:8" ht="15" customHeight="1">
      <c r="A22" s="330" t="s">
        <v>191</v>
      </c>
      <c r="B22" s="334">
        <f>C12</f>
        <v>187</v>
      </c>
      <c r="C22" s="334">
        <f>工作量分布!P14</f>
        <v>326.29599999999999</v>
      </c>
      <c r="D22" s="335">
        <f t="shared" si="1"/>
        <v>0.57309927182680753</v>
      </c>
      <c r="E22" s="42"/>
    </row>
    <row r="23" spans="1:8" ht="13.5">
      <c r="B23"/>
    </row>
    <row r="24" spans="1:8">
      <c r="A24" s="327" t="s">
        <v>192</v>
      </c>
      <c r="B24" s="67"/>
      <c r="C24" s="123"/>
      <c r="D24" s="123"/>
      <c r="E24" s="123"/>
      <c r="F24" s="44"/>
      <c r="G24" s="44"/>
      <c r="H24" s="44"/>
    </row>
    <row r="25" spans="1:8">
      <c r="A25" s="336" t="s">
        <v>193</v>
      </c>
    </row>
    <row r="26" spans="1:8">
      <c r="A26" s="336" t="s">
        <v>194</v>
      </c>
    </row>
    <row r="28" spans="1:8" ht="12.75">
      <c r="A28" s="320" t="s">
        <v>49</v>
      </c>
      <c r="B28" s="337" t="s">
        <v>195</v>
      </c>
      <c r="D28" s="42"/>
      <c r="E28" s="42"/>
    </row>
    <row r="29" spans="1:8" ht="15.75" customHeight="1">
      <c r="A29" s="330">
        <v>1</v>
      </c>
      <c r="B29" s="338"/>
      <c r="D29" s="42"/>
      <c r="E29" s="42"/>
    </row>
    <row r="33" spans="5:5">
      <c r="E33" s="42"/>
    </row>
  </sheetData>
  <mergeCells count="1">
    <mergeCell ref="A1:I1"/>
  </mergeCells>
  <phoneticPr fontId="126" type="noConversion"/>
  <pageMargins left="0.75" right="0.75" top="1" bottom="0.81874999999999998" header="0.5" footer="0.5"/>
  <pageSetup paperSize="9" orientation="landscape"/>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W134"/>
  <sheetViews>
    <sheetView showGridLines="0" topLeftCell="A16" workbookViewId="0">
      <selection activeCell="K43" sqref="K43"/>
    </sheetView>
  </sheetViews>
  <sheetFormatPr defaultColWidth="9" defaultRowHeight="12" outlineLevelRow="1"/>
  <cols>
    <col min="1" max="1" width="3.875" style="251" customWidth="1"/>
    <col min="2" max="2" width="21.125" style="42" customWidth="1"/>
    <col min="3" max="7" width="7.25" style="42" customWidth="1"/>
    <col min="8" max="10" width="8.375" style="42" customWidth="1"/>
    <col min="11" max="16" width="7.25" style="42" customWidth="1"/>
    <col min="17" max="17" width="18.375" style="42" customWidth="1"/>
    <col min="18" max="18" width="19.125" style="42" customWidth="1"/>
    <col min="19" max="19" width="4.375" style="42" customWidth="1"/>
    <col min="20" max="20" width="10.75" style="42" customWidth="1"/>
    <col min="21" max="258" width="9" style="42"/>
    <col min="259" max="259" width="3.875" style="42" customWidth="1"/>
    <col min="260" max="260" width="21.125" style="42" customWidth="1"/>
    <col min="261" max="265" width="7.25" style="42" customWidth="1"/>
    <col min="266" max="266" width="8.375" style="42" customWidth="1"/>
    <col min="267" max="272" width="7.25" style="42" customWidth="1"/>
    <col min="273" max="273" width="18.625" style="42" customWidth="1"/>
    <col min="274" max="274" width="19.125" style="42" customWidth="1"/>
    <col min="275" max="275" width="4.375" style="42" customWidth="1"/>
    <col min="276" max="276" width="10.75" style="42" customWidth="1"/>
    <col min="277" max="514" width="9" style="42"/>
    <col min="515" max="515" width="3.875" style="42" customWidth="1"/>
    <col min="516" max="516" width="21.125" style="42" customWidth="1"/>
    <col min="517" max="521" width="7.25" style="42" customWidth="1"/>
    <col min="522" max="522" width="8.375" style="42" customWidth="1"/>
    <col min="523" max="528" width="7.25" style="42" customWidth="1"/>
    <col min="529" max="529" width="18.625" style="42" customWidth="1"/>
    <col min="530" max="530" width="19.125" style="42" customWidth="1"/>
    <col min="531" max="531" width="4.375" style="42" customWidth="1"/>
    <col min="532" max="532" width="10.75" style="42" customWidth="1"/>
    <col min="533" max="770" width="9" style="42"/>
    <col min="771" max="771" width="3.875" style="42" customWidth="1"/>
    <col min="772" max="772" width="21.125" style="42" customWidth="1"/>
    <col min="773" max="777" width="7.25" style="42" customWidth="1"/>
    <col min="778" max="778" width="8.375" style="42" customWidth="1"/>
    <col min="779" max="784" width="7.25" style="42" customWidth="1"/>
    <col min="785" max="785" width="18.625" style="42" customWidth="1"/>
    <col min="786" max="786" width="19.125" style="42" customWidth="1"/>
    <col min="787" max="787" width="4.375" style="42" customWidth="1"/>
    <col min="788" max="788" width="10.75" style="42" customWidth="1"/>
    <col min="789" max="1026" width="9" style="42"/>
    <col min="1027" max="1027" width="3.875" style="42" customWidth="1"/>
    <col min="1028" max="1028" width="21.125" style="42" customWidth="1"/>
    <col min="1029" max="1033" width="7.25" style="42" customWidth="1"/>
    <col min="1034" max="1034" width="8.375" style="42" customWidth="1"/>
    <col min="1035" max="1040" width="7.25" style="42" customWidth="1"/>
    <col min="1041" max="1041" width="18.625" style="42" customWidth="1"/>
    <col min="1042" max="1042" width="19.125" style="42" customWidth="1"/>
    <col min="1043" max="1043" width="4.375" style="42" customWidth="1"/>
    <col min="1044" max="1044" width="10.75" style="42" customWidth="1"/>
    <col min="1045" max="1282" width="9" style="42"/>
    <col min="1283" max="1283" width="3.875" style="42" customWidth="1"/>
    <col min="1284" max="1284" width="21.125" style="42" customWidth="1"/>
    <col min="1285" max="1289" width="7.25" style="42" customWidth="1"/>
    <col min="1290" max="1290" width="8.375" style="42" customWidth="1"/>
    <col min="1291" max="1296" width="7.25" style="42" customWidth="1"/>
    <col min="1297" max="1297" width="18.625" style="42" customWidth="1"/>
    <col min="1298" max="1298" width="19.125" style="42" customWidth="1"/>
    <col min="1299" max="1299" width="4.375" style="42" customWidth="1"/>
    <col min="1300" max="1300" width="10.75" style="42" customWidth="1"/>
    <col min="1301" max="1538" width="9" style="42"/>
    <col min="1539" max="1539" width="3.875" style="42" customWidth="1"/>
    <col min="1540" max="1540" width="21.125" style="42" customWidth="1"/>
    <col min="1541" max="1545" width="7.25" style="42" customWidth="1"/>
    <col min="1546" max="1546" width="8.375" style="42" customWidth="1"/>
    <col min="1547" max="1552" width="7.25" style="42" customWidth="1"/>
    <col min="1553" max="1553" width="18.625" style="42" customWidth="1"/>
    <col min="1554" max="1554" width="19.125" style="42" customWidth="1"/>
    <col min="1555" max="1555" width="4.375" style="42" customWidth="1"/>
    <col min="1556" max="1556" width="10.75" style="42" customWidth="1"/>
    <col min="1557" max="1794" width="9" style="42"/>
    <col min="1795" max="1795" width="3.875" style="42" customWidth="1"/>
    <col min="1796" max="1796" width="21.125" style="42" customWidth="1"/>
    <col min="1797" max="1801" width="7.25" style="42" customWidth="1"/>
    <col min="1802" max="1802" width="8.375" style="42" customWidth="1"/>
    <col min="1803" max="1808" width="7.25" style="42" customWidth="1"/>
    <col min="1809" max="1809" width="18.625" style="42" customWidth="1"/>
    <col min="1810" max="1810" width="19.125" style="42" customWidth="1"/>
    <col min="1811" max="1811" width="4.375" style="42" customWidth="1"/>
    <col min="1812" max="1812" width="10.75" style="42" customWidth="1"/>
    <col min="1813" max="2050" width="9" style="42"/>
    <col min="2051" max="2051" width="3.875" style="42" customWidth="1"/>
    <col min="2052" max="2052" width="21.125" style="42" customWidth="1"/>
    <col min="2053" max="2057" width="7.25" style="42" customWidth="1"/>
    <col min="2058" max="2058" width="8.375" style="42" customWidth="1"/>
    <col min="2059" max="2064" width="7.25" style="42" customWidth="1"/>
    <col min="2065" max="2065" width="18.625" style="42" customWidth="1"/>
    <col min="2066" max="2066" width="19.125" style="42" customWidth="1"/>
    <col min="2067" max="2067" width="4.375" style="42" customWidth="1"/>
    <col min="2068" max="2068" width="10.75" style="42" customWidth="1"/>
    <col min="2069" max="2306" width="9" style="42"/>
    <col min="2307" max="2307" width="3.875" style="42" customWidth="1"/>
    <col min="2308" max="2308" width="21.125" style="42" customWidth="1"/>
    <col min="2309" max="2313" width="7.25" style="42" customWidth="1"/>
    <col min="2314" max="2314" width="8.375" style="42" customWidth="1"/>
    <col min="2315" max="2320" width="7.25" style="42" customWidth="1"/>
    <col min="2321" max="2321" width="18.625" style="42" customWidth="1"/>
    <col min="2322" max="2322" width="19.125" style="42" customWidth="1"/>
    <col min="2323" max="2323" width="4.375" style="42" customWidth="1"/>
    <col min="2324" max="2324" width="10.75" style="42" customWidth="1"/>
    <col min="2325" max="2562" width="9" style="42"/>
    <col min="2563" max="2563" width="3.875" style="42" customWidth="1"/>
    <col min="2564" max="2564" width="21.125" style="42" customWidth="1"/>
    <col min="2565" max="2569" width="7.25" style="42" customWidth="1"/>
    <col min="2570" max="2570" width="8.375" style="42" customWidth="1"/>
    <col min="2571" max="2576" width="7.25" style="42" customWidth="1"/>
    <col min="2577" max="2577" width="18.625" style="42" customWidth="1"/>
    <col min="2578" max="2578" width="19.125" style="42" customWidth="1"/>
    <col min="2579" max="2579" width="4.375" style="42" customWidth="1"/>
    <col min="2580" max="2580" width="10.75" style="42" customWidth="1"/>
    <col min="2581" max="2818" width="9" style="42"/>
    <col min="2819" max="2819" width="3.875" style="42" customWidth="1"/>
    <col min="2820" max="2820" width="21.125" style="42" customWidth="1"/>
    <col min="2821" max="2825" width="7.25" style="42" customWidth="1"/>
    <col min="2826" max="2826" width="8.375" style="42" customWidth="1"/>
    <col min="2827" max="2832" width="7.25" style="42" customWidth="1"/>
    <col min="2833" max="2833" width="18.625" style="42" customWidth="1"/>
    <col min="2834" max="2834" width="19.125" style="42" customWidth="1"/>
    <col min="2835" max="2835" width="4.375" style="42" customWidth="1"/>
    <col min="2836" max="2836" width="10.75" style="42" customWidth="1"/>
    <col min="2837" max="3074" width="9" style="42"/>
    <col min="3075" max="3075" width="3.875" style="42" customWidth="1"/>
    <col min="3076" max="3076" width="21.125" style="42" customWidth="1"/>
    <col min="3077" max="3081" width="7.25" style="42" customWidth="1"/>
    <col min="3082" max="3082" width="8.375" style="42" customWidth="1"/>
    <col min="3083" max="3088" width="7.25" style="42" customWidth="1"/>
    <col min="3089" max="3089" width="18.625" style="42" customWidth="1"/>
    <col min="3090" max="3090" width="19.125" style="42" customWidth="1"/>
    <col min="3091" max="3091" width="4.375" style="42" customWidth="1"/>
    <col min="3092" max="3092" width="10.75" style="42" customWidth="1"/>
    <col min="3093" max="3330" width="9" style="42"/>
    <col min="3331" max="3331" width="3.875" style="42" customWidth="1"/>
    <col min="3332" max="3332" width="21.125" style="42" customWidth="1"/>
    <col min="3333" max="3337" width="7.25" style="42" customWidth="1"/>
    <col min="3338" max="3338" width="8.375" style="42" customWidth="1"/>
    <col min="3339" max="3344" width="7.25" style="42" customWidth="1"/>
    <col min="3345" max="3345" width="18.625" style="42" customWidth="1"/>
    <col min="3346" max="3346" width="19.125" style="42" customWidth="1"/>
    <col min="3347" max="3347" width="4.375" style="42" customWidth="1"/>
    <col min="3348" max="3348" width="10.75" style="42" customWidth="1"/>
    <col min="3349" max="3586" width="9" style="42"/>
    <col min="3587" max="3587" width="3.875" style="42" customWidth="1"/>
    <col min="3588" max="3588" width="21.125" style="42" customWidth="1"/>
    <col min="3589" max="3593" width="7.25" style="42" customWidth="1"/>
    <col min="3594" max="3594" width="8.375" style="42" customWidth="1"/>
    <col min="3595" max="3600" width="7.25" style="42" customWidth="1"/>
    <col min="3601" max="3601" width="18.625" style="42" customWidth="1"/>
    <col min="3602" max="3602" width="19.125" style="42" customWidth="1"/>
    <col min="3603" max="3603" width="4.375" style="42" customWidth="1"/>
    <col min="3604" max="3604" width="10.75" style="42" customWidth="1"/>
    <col min="3605" max="3842" width="9" style="42"/>
    <col min="3843" max="3843" width="3.875" style="42" customWidth="1"/>
    <col min="3844" max="3844" width="21.125" style="42" customWidth="1"/>
    <col min="3845" max="3849" width="7.25" style="42" customWidth="1"/>
    <col min="3850" max="3850" width="8.375" style="42" customWidth="1"/>
    <col min="3851" max="3856" width="7.25" style="42" customWidth="1"/>
    <col min="3857" max="3857" width="18.625" style="42" customWidth="1"/>
    <col min="3858" max="3858" width="19.125" style="42" customWidth="1"/>
    <col min="3859" max="3859" width="4.375" style="42" customWidth="1"/>
    <col min="3860" max="3860" width="10.75" style="42" customWidth="1"/>
    <col min="3861" max="4098" width="9" style="42"/>
    <col min="4099" max="4099" width="3.875" style="42" customWidth="1"/>
    <col min="4100" max="4100" width="21.125" style="42" customWidth="1"/>
    <col min="4101" max="4105" width="7.25" style="42" customWidth="1"/>
    <col min="4106" max="4106" width="8.375" style="42" customWidth="1"/>
    <col min="4107" max="4112" width="7.25" style="42" customWidth="1"/>
    <col min="4113" max="4113" width="18.625" style="42" customWidth="1"/>
    <col min="4114" max="4114" width="19.125" style="42" customWidth="1"/>
    <col min="4115" max="4115" width="4.375" style="42" customWidth="1"/>
    <col min="4116" max="4116" width="10.75" style="42" customWidth="1"/>
    <col min="4117" max="4354" width="9" style="42"/>
    <col min="4355" max="4355" width="3.875" style="42" customWidth="1"/>
    <col min="4356" max="4356" width="21.125" style="42" customWidth="1"/>
    <col min="4357" max="4361" width="7.25" style="42" customWidth="1"/>
    <col min="4362" max="4362" width="8.375" style="42" customWidth="1"/>
    <col min="4363" max="4368" width="7.25" style="42" customWidth="1"/>
    <col min="4369" max="4369" width="18.625" style="42" customWidth="1"/>
    <col min="4370" max="4370" width="19.125" style="42" customWidth="1"/>
    <col min="4371" max="4371" width="4.375" style="42" customWidth="1"/>
    <col min="4372" max="4372" width="10.75" style="42" customWidth="1"/>
    <col min="4373" max="4610" width="9" style="42"/>
    <col min="4611" max="4611" width="3.875" style="42" customWidth="1"/>
    <col min="4612" max="4612" width="21.125" style="42" customWidth="1"/>
    <col min="4613" max="4617" width="7.25" style="42" customWidth="1"/>
    <col min="4618" max="4618" width="8.375" style="42" customWidth="1"/>
    <col min="4619" max="4624" width="7.25" style="42" customWidth="1"/>
    <col min="4625" max="4625" width="18.625" style="42" customWidth="1"/>
    <col min="4626" max="4626" width="19.125" style="42" customWidth="1"/>
    <col min="4627" max="4627" width="4.375" style="42" customWidth="1"/>
    <col min="4628" max="4628" width="10.75" style="42" customWidth="1"/>
    <col min="4629" max="4866" width="9" style="42"/>
    <col min="4867" max="4867" width="3.875" style="42" customWidth="1"/>
    <col min="4868" max="4868" width="21.125" style="42" customWidth="1"/>
    <col min="4869" max="4873" width="7.25" style="42" customWidth="1"/>
    <col min="4874" max="4874" width="8.375" style="42" customWidth="1"/>
    <col min="4875" max="4880" width="7.25" style="42" customWidth="1"/>
    <col min="4881" max="4881" width="18.625" style="42" customWidth="1"/>
    <col min="4882" max="4882" width="19.125" style="42" customWidth="1"/>
    <col min="4883" max="4883" width="4.375" style="42" customWidth="1"/>
    <col min="4884" max="4884" width="10.75" style="42" customWidth="1"/>
    <col min="4885" max="5122" width="9" style="42"/>
    <col min="5123" max="5123" width="3.875" style="42" customWidth="1"/>
    <col min="5124" max="5124" width="21.125" style="42" customWidth="1"/>
    <col min="5125" max="5129" width="7.25" style="42" customWidth="1"/>
    <col min="5130" max="5130" width="8.375" style="42" customWidth="1"/>
    <col min="5131" max="5136" width="7.25" style="42" customWidth="1"/>
    <col min="5137" max="5137" width="18.625" style="42" customWidth="1"/>
    <col min="5138" max="5138" width="19.125" style="42" customWidth="1"/>
    <col min="5139" max="5139" width="4.375" style="42" customWidth="1"/>
    <col min="5140" max="5140" width="10.75" style="42" customWidth="1"/>
    <col min="5141" max="5378" width="9" style="42"/>
    <col min="5379" max="5379" width="3.875" style="42" customWidth="1"/>
    <col min="5380" max="5380" width="21.125" style="42" customWidth="1"/>
    <col min="5381" max="5385" width="7.25" style="42" customWidth="1"/>
    <col min="5386" max="5386" width="8.375" style="42" customWidth="1"/>
    <col min="5387" max="5392" width="7.25" style="42" customWidth="1"/>
    <col min="5393" max="5393" width="18.625" style="42" customWidth="1"/>
    <col min="5394" max="5394" width="19.125" style="42" customWidth="1"/>
    <col min="5395" max="5395" width="4.375" style="42" customWidth="1"/>
    <col min="5396" max="5396" width="10.75" style="42" customWidth="1"/>
    <col min="5397" max="5634" width="9" style="42"/>
    <col min="5635" max="5635" width="3.875" style="42" customWidth="1"/>
    <col min="5636" max="5636" width="21.125" style="42" customWidth="1"/>
    <col min="5637" max="5641" width="7.25" style="42" customWidth="1"/>
    <col min="5642" max="5642" width="8.375" style="42" customWidth="1"/>
    <col min="5643" max="5648" width="7.25" style="42" customWidth="1"/>
    <col min="5649" max="5649" width="18.625" style="42" customWidth="1"/>
    <col min="5650" max="5650" width="19.125" style="42" customWidth="1"/>
    <col min="5651" max="5651" width="4.375" style="42" customWidth="1"/>
    <col min="5652" max="5652" width="10.75" style="42" customWidth="1"/>
    <col min="5653" max="5890" width="9" style="42"/>
    <col min="5891" max="5891" width="3.875" style="42" customWidth="1"/>
    <col min="5892" max="5892" width="21.125" style="42" customWidth="1"/>
    <col min="5893" max="5897" width="7.25" style="42" customWidth="1"/>
    <col min="5898" max="5898" width="8.375" style="42" customWidth="1"/>
    <col min="5899" max="5904" width="7.25" style="42" customWidth="1"/>
    <col min="5905" max="5905" width="18.625" style="42" customWidth="1"/>
    <col min="5906" max="5906" width="19.125" style="42" customWidth="1"/>
    <col min="5907" max="5907" width="4.375" style="42" customWidth="1"/>
    <col min="5908" max="5908" width="10.75" style="42" customWidth="1"/>
    <col min="5909" max="6146" width="9" style="42"/>
    <col min="6147" max="6147" width="3.875" style="42" customWidth="1"/>
    <col min="6148" max="6148" width="21.125" style="42" customWidth="1"/>
    <col min="6149" max="6153" width="7.25" style="42" customWidth="1"/>
    <col min="6154" max="6154" width="8.375" style="42" customWidth="1"/>
    <col min="6155" max="6160" width="7.25" style="42" customWidth="1"/>
    <col min="6161" max="6161" width="18.625" style="42" customWidth="1"/>
    <col min="6162" max="6162" width="19.125" style="42" customWidth="1"/>
    <col min="6163" max="6163" width="4.375" style="42" customWidth="1"/>
    <col min="6164" max="6164" width="10.75" style="42" customWidth="1"/>
    <col min="6165" max="6402" width="9" style="42"/>
    <col min="6403" max="6403" width="3.875" style="42" customWidth="1"/>
    <col min="6404" max="6404" width="21.125" style="42" customWidth="1"/>
    <col min="6405" max="6409" width="7.25" style="42" customWidth="1"/>
    <col min="6410" max="6410" width="8.375" style="42" customWidth="1"/>
    <col min="6411" max="6416" width="7.25" style="42" customWidth="1"/>
    <col min="6417" max="6417" width="18.625" style="42" customWidth="1"/>
    <col min="6418" max="6418" width="19.125" style="42" customWidth="1"/>
    <col min="6419" max="6419" width="4.375" style="42" customWidth="1"/>
    <col min="6420" max="6420" width="10.75" style="42" customWidth="1"/>
    <col min="6421" max="6658" width="9" style="42"/>
    <col min="6659" max="6659" width="3.875" style="42" customWidth="1"/>
    <col min="6660" max="6660" width="21.125" style="42" customWidth="1"/>
    <col min="6661" max="6665" width="7.25" style="42" customWidth="1"/>
    <col min="6666" max="6666" width="8.375" style="42" customWidth="1"/>
    <col min="6667" max="6672" width="7.25" style="42" customWidth="1"/>
    <col min="6673" max="6673" width="18.625" style="42" customWidth="1"/>
    <col min="6674" max="6674" width="19.125" style="42" customWidth="1"/>
    <col min="6675" max="6675" width="4.375" style="42" customWidth="1"/>
    <col min="6676" max="6676" width="10.75" style="42" customWidth="1"/>
    <col min="6677" max="6914" width="9" style="42"/>
    <col min="6915" max="6915" width="3.875" style="42" customWidth="1"/>
    <col min="6916" max="6916" width="21.125" style="42" customWidth="1"/>
    <col min="6917" max="6921" width="7.25" style="42" customWidth="1"/>
    <col min="6922" max="6922" width="8.375" style="42" customWidth="1"/>
    <col min="6923" max="6928" width="7.25" style="42" customWidth="1"/>
    <col min="6929" max="6929" width="18.625" style="42" customWidth="1"/>
    <col min="6930" max="6930" width="19.125" style="42" customWidth="1"/>
    <col min="6931" max="6931" width="4.375" style="42" customWidth="1"/>
    <col min="6932" max="6932" width="10.75" style="42" customWidth="1"/>
    <col min="6933" max="7170" width="9" style="42"/>
    <col min="7171" max="7171" width="3.875" style="42" customWidth="1"/>
    <col min="7172" max="7172" width="21.125" style="42" customWidth="1"/>
    <col min="7173" max="7177" width="7.25" style="42" customWidth="1"/>
    <col min="7178" max="7178" width="8.375" style="42" customWidth="1"/>
    <col min="7179" max="7184" width="7.25" style="42" customWidth="1"/>
    <col min="7185" max="7185" width="18.625" style="42" customWidth="1"/>
    <col min="7186" max="7186" width="19.125" style="42" customWidth="1"/>
    <col min="7187" max="7187" width="4.375" style="42" customWidth="1"/>
    <col min="7188" max="7188" width="10.75" style="42" customWidth="1"/>
    <col min="7189" max="7426" width="9" style="42"/>
    <col min="7427" max="7427" width="3.875" style="42" customWidth="1"/>
    <col min="7428" max="7428" width="21.125" style="42" customWidth="1"/>
    <col min="7429" max="7433" width="7.25" style="42" customWidth="1"/>
    <col min="7434" max="7434" width="8.375" style="42" customWidth="1"/>
    <col min="7435" max="7440" width="7.25" style="42" customWidth="1"/>
    <col min="7441" max="7441" width="18.625" style="42" customWidth="1"/>
    <col min="7442" max="7442" width="19.125" style="42" customWidth="1"/>
    <col min="7443" max="7443" width="4.375" style="42" customWidth="1"/>
    <col min="7444" max="7444" width="10.75" style="42" customWidth="1"/>
    <col min="7445" max="7682" width="9" style="42"/>
    <col min="7683" max="7683" width="3.875" style="42" customWidth="1"/>
    <col min="7684" max="7684" width="21.125" style="42" customWidth="1"/>
    <col min="7685" max="7689" width="7.25" style="42" customWidth="1"/>
    <col min="7690" max="7690" width="8.375" style="42" customWidth="1"/>
    <col min="7691" max="7696" width="7.25" style="42" customWidth="1"/>
    <col min="7697" max="7697" width="18.625" style="42" customWidth="1"/>
    <col min="7698" max="7698" width="19.125" style="42" customWidth="1"/>
    <col min="7699" max="7699" width="4.375" style="42" customWidth="1"/>
    <col min="7700" max="7700" width="10.75" style="42" customWidth="1"/>
    <col min="7701" max="7938" width="9" style="42"/>
    <col min="7939" max="7939" width="3.875" style="42" customWidth="1"/>
    <col min="7940" max="7940" width="21.125" style="42" customWidth="1"/>
    <col min="7941" max="7945" width="7.25" style="42" customWidth="1"/>
    <col min="7946" max="7946" width="8.375" style="42" customWidth="1"/>
    <col min="7947" max="7952" width="7.25" style="42" customWidth="1"/>
    <col min="7953" max="7953" width="18.625" style="42" customWidth="1"/>
    <col min="7954" max="7954" width="19.125" style="42" customWidth="1"/>
    <col min="7955" max="7955" width="4.375" style="42" customWidth="1"/>
    <col min="7956" max="7956" width="10.75" style="42" customWidth="1"/>
    <col min="7957" max="8194" width="9" style="42"/>
    <col min="8195" max="8195" width="3.875" style="42" customWidth="1"/>
    <col min="8196" max="8196" width="21.125" style="42" customWidth="1"/>
    <col min="8197" max="8201" width="7.25" style="42" customWidth="1"/>
    <col min="8202" max="8202" width="8.375" style="42" customWidth="1"/>
    <col min="8203" max="8208" width="7.25" style="42" customWidth="1"/>
    <col min="8209" max="8209" width="18.625" style="42" customWidth="1"/>
    <col min="8210" max="8210" width="19.125" style="42" customWidth="1"/>
    <col min="8211" max="8211" width="4.375" style="42" customWidth="1"/>
    <col min="8212" max="8212" width="10.75" style="42" customWidth="1"/>
    <col min="8213" max="8450" width="9" style="42"/>
    <col min="8451" max="8451" width="3.875" style="42" customWidth="1"/>
    <col min="8452" max="8452" width="21.125" style="42" customWidth="1"/>
    <col min="8453" max="8457" width="7.25" style="42" customWidth="1"/>
    <col min="8458" max="8458" width="8.375" style="42" customWidth="1"/>
    <col min="8459" max="8464" width="7.25" style="42" customWidth="1"/>
    <col min="8465" max="8465" width="18.625" style="42" customWidth="1"/>
    <col min="8466" max="8466" width="19.125" style="42" customWidth="1"/>
    <col min="8467" max="8467" width="4.375" style="42" customWidth="1"/>
    <col min="8468" max="8468" width="10.75" style="42" customWidth="1"/>
    <col min="8469" max="8706" width="9" style="42"/>
    <col min="8707" max="8707" width="3.875" style="42" customWidth="1"/>
    <col min="8708" max="8708" width="21.125" style="42" customWidth="1"/>
    <col min="8709" max="8713" width="7.25" style="42" customWidth="1"/>
    <col min="8714" max="8714" width="8.375" style="42" customWidth="1"/>
    <col min="8715" max="8720" width="7.25" style="42" customWidth="1"/>
    <col min="8721" max="8721" width="18.625" style="42" customWidth="1"/>
    <col min="8722" max="8722" width="19.125" style="42" customWidth="1"/>
    <col min="8723" max="8723" width="4.375" style="42" customWidth="1"/>
    <col min="8724" max="8724" width="10.75" style="42" customWidth="1"/>
    <col min="8725" max="8962" width="9" style="42"/>
    <col min="8963" max="8963" width="3.875" style="42" customWidth="1"/>
    <col min="8964" max="8964" width="21.125" style="42" customWidth="1"/>
    <col min="8965" max="8969" width="7.25" style="42" customWidth="1"/>
    <col min="8970" max="8970" width="8.375" style="42" customWidth="1"/>
    <col min="8971" max="8976" width="7.25" style="42" customWidth="1"/>
    <col min="8977" max="8977" width="18.625" style="42" customWidth="1"/>
    <col min="8978" max="8978" width="19.125" style="42" customWidth="1"/>
    <col min="8979" max="8979" width="4.375" style="42" customWidth="1"/>
    <col min="8980" max="8980" width="10.75" style="42" customWidth="1"/>
    <col min="8981" max="9218" width="9" style="42"/>
    <col min="9219" max="9219" width="3.875" style="42" customWidth="1"/>
    <col min="9220" max="9220" width="21.125" style="42" customWidth="1"/>
    <col min="9221" max="9225" width="7.25" style="42" customWidth="1"/>
    <col min="9226" max="9226" width="8.375" style="42" customWidth="1"/>
    <col min="9227" max="9232" width="7.25" style="42" customWidth="1"/>
    <col min="9233" max="9233" width="18.625" style="42" customWidth="1"/>
    <col min="9234" max="9234" width="19.125" style="42" customWidth="1"/>
    <col min="9235" max="9235" width="4.375" style="42" customWidth="1"/>
    <col min="9236" max="9236" width="10.75" style="42" customWidth="1"/>
    <col min="9237" max="9474" width="9" style="42"/>
    <col min="9475" max="9475" width="3.875" style="42" customWidth="1"/>
    <col min="9476" max="9476" width="21.125" style="42" customWidth="1"/>
    <col min="9477" max="9481" width="7.25" style="42" customWidth="1"/>
    <col min="9482" max="9482" width="8.375" style="42" customWidth="1"/>
    <col min="9483" max="9488" width="7.25" style="42" customWidth="1"/>
    <col min="9489" max="9489" width="18.625" style="42" customWidth="1"/>
    <col min="9490" max="9490" width="19.125" style="42" customWidth="1"/>
    <col min="9491" max="9491" width="4.375" style="42" customWidth="1"/>
    <col min="9492" max="9492" width="10.75" style="42" customWidth="1"/>
    <col min="9493" max="9730" width="9" style="42"/>
    <col min="9731" max="9731" width="3.875" style="42" customWidth="1"/>
    <col min="9732" max="9732" width="21.125" style="42" customWidth="1"/>
    <col min="9733" max="9737" width="7.25" style="42" customWidth="1"/>
    <col min="9738" max="9738" width="8.375" style="42" customWidth="1"/>
    <col min="9739" max="9744" width="7.25" style="42" customWidth="1"/>
    <col min="9745" max="9745" width="18.625" style="42" customWidth="1"/>
    <col min="9746" max="9746" width="19.125" style="42" customWidth="1"/>
    <col min="9747" max="9747" width="4.375" style="42" customWidth="1"/>
    <col min="9748" max="9748" width="10.75" style="42" customWidth="1"/>
    <col min="9749" max="9986" width="9" style="42"/>
    <col min="9987" max="9987" width="3.875" style="42" customWidth="1"/>
    <col min="9988" max="9988" width="21.125" style="42" customWidth="1"/>
    <col min="9989" max="9993" width="7.25" style="42" customWidth="1"/>
    <col min="9994" max="9994" width="8.375" style="42" customWidth="1"/>
    <col min="9995" max="10000" width="7.25" style="42" customWidth="1"/>
    <col min="10001" max="10001" width="18.625" style="42" customWidth="1"/>
    <col min="10002" max="10002" width="19.125" style="42" customWidth="1"/>
    <col min="10003" max="10003" width="4.375" style="42" customWidth="1"/>
    <col min="10004" max="10004" width="10.75" style="42" customWidth="1"/>
    <col min="10005" max="10242" width="9" style="42"/>
    <col min="10243" max="10243" width="3.875" style="42" customWidth="1"/>
    <col min="10244" max="10244" width="21.125" style="42" customWidth="1"/>
    <col min="10245" max="10249" width="7.25" style="42" customWidth="1"/>
    <col min="10250" max="10250" width="8.375" style="42" customWidth="1"/>
    <col min="10251" max="10256" width="7.25" style="42" customWidth="1"/>
    <col min="10257" max="10257" width="18.625" style="42" customWidth="1"/>
    <col min="10258" max="10258" width="19.125" style="42" customWidth="1"/>
    <col min="10259" max="10259" width="4.375" style="42" customWidth="1"/>
    <col min="10260" max="10260" width="10.75" style="42" customWidth="1"/>
    <col min="10261" max="10498" width="9" style="42"/>
    <col min="10499" max="10499" width="3.875" style="42" customWidth="1"/>
    <col min="10500" max="10500" width="21.125" style="42" customWidth="1"/>
    <col min="10501" max="10505" width="7.25" style="42" customWidth="1"/>
    <col min="10506" max="10506" width="8.375" style="42" customWidth="1"/>
    <col min="10507" max="10512" width="7.25" style="42" customWidth="1"/>
    <col min="10513" max="10513" width="18.625" style="42" customWidth="1"/>
    <col min="10514" max="10514" width="19.125" style="42" customWidth="1"/>
    <col min="10515" max="10515" width="4.375" style="42" customWidth="1"/>
    <col min="10516" max="10516" width="10.75" style="42" customWidth="1"/>
    <col min="10517" max="10754" width="9" style="42"/>
    <col min="10755" max="10755" width="3.875" style="42" customWidth="1"/>
    <col min="10756" max="10756" width="21.125" style="42" customWidth="1"/>
    <col min="10757" max="10761" width="7.25" style="42" customWidth="1"/>
    <col min="10762" max="10762" width="8.375" style="42" customWidth="1"/>
    <col min="10763" max="10768" width="7.25" style="42" customWidth="1"/>
    <col min="10769" max="10769" width="18.625" style="42" customWidth="1"/>
    <col min="10770" max="10770" width="19.125" style="42" customWidth="1"/>
    <col min="10771" max="10771" width="4.375" style="42" customWidth="1"/>
    <col min="10772" max="10772" width="10.75" style="42" customWidth="1"/>
    <col min="10773" max="11010" width="9" style="42"/>
    <col min="11011" max="11011" width="3.875" style="42" customWidth="1"/>
    <col min="11012" max="11012" width="21.125" style="42" customWidth="1"/>
    <col min="11013" max="11017" width="7.25" style="42" customWidth="1"/>
    <col min="11018" max="11018" width="8.375" style="42" customWidth="1"/>
    <col min="11019" max="11024" width="7.25" style="42" customWidth="1"/>
    <col min="11025" max="11025" width="18.625" style="42" customWidth="1"/>
    <col min="11026" max="11026" width="19.125" style="42" customWidth="1"/>
    <col min="11027" max="11027" width="4.375" style="42" customWidth="1"/>
    <col min="11028" max="11028" width="10.75" style="42" customWidth="1"/>
    <col min="11029" max="11266" width="9" style="42"/>
    <col min="11267" max="11267" width="3.875" style="42" customWidth="1"/>
    <col min="11268" max="11268" width="21.125" style="42" customWidth="1"/>
    <col min="11269" max="11273" width="7.25" style="42" customWidth="1"/>
    <col min="11274" max="11274" width="8.375" style="42" customWidth="1"/>
    <col min="11275" max="11280" width="7.25" style="42" customWidth="1"/>
    <col min="11281" max="11281" width="18.625" style="42" customWidth="1"/>
    <col min="11282" max="11282" width="19.125" style="42" customWidth="1"/>
    <col min="11283" max="11283" width="4.375" style="42" customWidth="1"/>
    <col min="11284" max="11284" width="10.75" style="42" customWidth="1"/>
    <col min="11285" max="11522" width="9" style="42"/>
    <col min="11523" max="11523" width="3.875" style="42" customWidth="1"/>
    <col min="11524" max="11524" width="21.125" style="42" customWidth="1"/>
    <col min="11525" max="11529" width="7.25" style="42" customWidth="1"/>
    <col min="11530" max="11530" width="8.375" style="42" customWidth="1"/>
    <col min="11531" max="11536" width="7.25" style="42" customWidth="1"/>
    <col min="11537" max="11537" width="18.625" style="42" customWidth="1"/>
    <col min="11538" max="11538" width="19.125" style="42" customWidth="1"/>
    <col min="11539" max="11539" width="4.375" style="42" customWidth="1"/>
    <col min="11540" max="11540" width="10.75" style="42" customWidth="1"/>
    <col min="11541" max="11778" width="9" style="42"/>
    <col min="11779" max="11779" width="3.875" style="42" customWidth="1"/>
    <col min="11780" max="11780" width="21.125" style="42" customWidth="1"/>
    <col min="11781" max="11785" width="7.25" style="42" customWidth="1"/>
    <col min="11786" max="11786" width="8.375" style="42" customWidth="1"/>
    <col min="11787" max="11792" width="7.25" style="42" customWidth="1"/>
    <col min="11793" max="11793" width="18.625" style="42" customWidth="1"/>
    <col min="11794" max="11794" width="19.125" style="42" customWidth="1"/>
    <col min="11795" max="11795" width="4.375" style="42" customWidth="1"/>
    <col min="11796" max="11796" width="10.75" style="42" customWidth="1"/>
    <col min="11797" max="12034" width="9" style="42"/>
    <col min="12035" max="12035" width="3.875" style="42" customWidth="1"/>
    <col min="12036" max="12036" width="21.125" style="42" customWidth="1"/>
    <col min="12037" max="12041" width="7.25" style="42" customWidth="1"/>
    <col min="12042" max="12042" width="8.375" style="42" customWidth="1"/>
    <col min="12043" max="12048" width="7.25" style="42" customWidth="1"/>
    <col min="12049" max="12049" width="18.625" style="42" customWidth="1"/>
    <col min="12050" max="12050" width="19.125" style="42" customWidth="1"/>
    <col min="12051" max="12051" width="4.375" style="42" customWidth="1"/>
    <col min="12052" max="12052" width="10.75" style="42" customWidth="1"/>
    <col min="12053" max="12290" width="9" style="42"/>
    <col min="12291" max="12291" width="3.875" style="42" customWidth="1"/>
    <col min="12292" max="12292" width="21.125" style="42" customWidth="1"/>
    <col min="12293" max="12297" width="7.25" style="42" customWidth="1"/>
    <col min="12298" max="12298" width="8.375" style="42" customWidth="1"/>
    <col min="12299" max="12304" width="7.25" style="42" customWidth="1"/>
    <col min="12305" max="12305" width="18.625" style="42" customWidth="1"/>
    <col min="12306" max="12306" width="19.125" style="42" customWidth="1"/>
    <col min="12307" max="12307" width="4.375" style="42" customWidth="1"/>
    <col min="12308" max="12308" width="10.75" style="42" customWidth="1"/>
    <col min="12309" max="12546" width="9" style="42"/>
    <col min="12547" max="12547" width="3.875" style="42" customWidth="1"/>
    <col min="12548" max="12548" width="21.125" style="42" customWidth="1"/>
    <col min="12549" max="12553" width="7.25" style="42" customWidth="1"/>
    <col min="12554" max="12554" width="8.375" style="42" customWidth="1"/>
    <col min="12555" max="12560" width="7.25" style="42" customWidth="1"/>
    <col min="12561" max="12561" width="18.625" style="42" customWidth="1"/>
    <col min="12562" max="12562" width="19.125" style="42" customWidth="1"/>
    <col min="12563" max="12563" width="4.375" style="42" customWidth="1"/>
    <col min="12564" max="12564" width="10.75" style="42" customWidth="1"/>
    <col min="12565" max="12802" width="9" style="42"/>
    <col min="12803" max="12803" width="3.875" style="42" customWidth="1"/>
    <col min="12804" max="12804" width="21.125" style="42" customWidth="1"/>
    <col min="12805" max="12809" width="7.25" style="42" customWidth="1"/>
    <col min="12810" max="12810" width="8.375" style="42" customWidth="1"/>
    <col min="12811" max="12816" width="7.25" style="42" customWidth="1"/>
    <col min="12817" max="12817" width="18.625" style="42" customWidth="1"/>
    <col min="12818" max="12818" width="19.125" style="42" customWidth="1"/>
    <col min="12819" max="12819" width="4.375" style="42" customWidth="1"/>
    <col min="12820" max="12820" width="10.75" style="42" customWidth="1"/>
    <col min="12821" max="13058" width="9" style="42"/>
    <col min="13059" max="13059" width="3.875" style="42" customWidth="1"/>
    <col min="13060" max="13060" width="21.125" style="42" customWidth="1"/>
    <col min="13061" max="13065" width="7.25" style="42" customWidth="1"/>
    <col min="13066" max="13066" width="8.375" style="42" customWidth="1"/>
    <col min="13067" max="13072" width="7.25" style="42" customWidth="1"/>
    <col min="13073" max="13073" width="18.625" style="42" customWidth="1"/>
    <col min="13074" max="13074" width="19.125" style="42" customWidth="1"/>
    <col min="13075" max="13075" width="4.375" style="42" customWidth="1"/>
    <col min="13076" max="13076" width="10.75" style="42" customWidth="1"/>
    <col min="13077" max="13314" width="9" style="42"/>
    <col min="13315" max="13315" width="3.875" style="42" customWidth="1"/>
    <col min="13316" max="13316" width="21.125" style="42" customWidth="1"/>
    <col min="13317" max="13321" width="7.25" style="42" customWidth="1"/>
    <col min="13322" max="13322" width="8.375" style="42" customWidth="1"/>
    <col min="13323" max="13328" width="7.25" style="42" customWidth="1"/>
    <col min="13329" max="13329" width="18.625" style="42" customWidth="1"/>
    <col min="13330" max="13330" width="19.125" style="42" customWidth="1"/>
    <col min="13331" max="13331" width="4.375" style="42" customWidth="1"/>
    <col min="13332" max="13332" width="10.75" style="42" customWidth="1"/>
    <col min="13333" max="13570" width="9" style="42"/>
    <col min="13571" max="13571" width="3.875" style="42" customWidth="1"/>
    <col min="13572" max="13572" width="21.125" style="42" customWidth="1"/>
    <col min="13573" max="13577" width="7.25" style="42" customWidth="1"/>
    <col min="13578" max="13578" width="8.375" style="42" customWidth="1"/>
    <col min="13579" max="13584" width="7.25" style="42" customWidth="1"/>
    <col min="13585" max="13585" width="18.625" style="42" customWidth="1"/>
    <col min="13586" max="13586" width="19.125" style="42" customWidth="1"/>
    <col min="13587" max="13587" width="4.375" style="42" customWidth="1"/>
    <col min="13588" max="13588" width="10.75" style="42" customWidth="1"/>
    <col min="13589" max="13826" width="9" style="42"/>
    <col min="13827" max="13827" width="3.875" style="42" customWidth="1"/>
    <col min="13828" max="13828" width="21.125" style="42" customWidth="1"/>
    <col min="13829" max="13833" width="7.25" style="42" customWidth="1"/>
    <col min="13834" max="13834" width="8.375" style="42" customWidth="1"/>
    <col min="13835" max="13840" width="7.25" style="42" customWidth="1"/>
    <col min="13841" max="13841" width="18.625" style="42" customWidth="1"/>
    <col min="13842" max="13842" width="19.125" style="42" customWidth="1"/>
    <col min="13843" max="13843" width="4.375" style="42" customWidth="1"/>
    <col min="13844" max="13844" width="10.75" style="42" customWidth="1"/>
    <col min="13845" max="14082" width="9" style="42"/>
    <col min="14083" max="14083" width="3.875" style="42" customWidth="1"/>
    <col min="14084" max="14084" width="21.125" style="42" customWidth="1"/>
    <col min="14085" max="14089" width="7.25" style="42" customWidth="1"/>
    <col min="14090" max="14090" width="8.375" style="42" customWidth="1"/>
    <col min="14091" max="14096" width="7.25" style="42" customWidth="1"/>
    <col min="14097" max="14097" width="18.625" style="42" customWidth="1"/>
    <col min="14098" max="14098" width="19.125" style="42" customWidth="1"/>
    <col min="14099" max="14099" width="4.375" style="42" customWidth="1"/>
    <col min="14100" max="14100" width="10.75" style="42" customWidth="1"/>
    <col min="14101" max="14338" width="9" style="42"/>
    <col min="14339" max="14339" width="3.875" style="42" customWidth="1"/>
    <col min="14340" max="14340" width="21.125" style="42" customWidth="1"/>
    <col min="14341" max="14345" width="7.25" style="42" customWidth="1"/>
    <col min="14346" max="14346" width="8.375" style="42" customWidth="1"/>
    <col min="14347" max="14352" width="7.25" style="42" customWidth="1"/>
    <col min="14353" max="14353" width="18.625" style="42" customWidth="1"/>
    <col min="14354" max="14354" width="19.125" style="42" customWidth="1"/>
    <col min="14355" max="14355" width="4.375" style="42" customWidth="1"/>
    <col min="14356" max="14356" width="10.75" style="42" customWidth="1"/>
    <col min="14357" max="14594" width="9" style="42"/>
    <col min="14595" max="14595" width="3.875" style="42" customWidth="1"/>
    <col min="14596" max="14596" width="21.125" style="42" customWidth="1"/>
    <col min="14597" max="14601" width="7.25" style="42" customWidth="1"/>
    <col min="14602" max="14602" width="8.375" style="42" customWidth="1"/>
    <col min="14603" max="14608" width="7.25" style="42" customWidth="1"/>
    <col min="14609" max="14609" width="18.625" style="42" customWidth="1"/>
    <col min="14610" max="14610" width="19.125" style="42" customWidth="1"/>
    <col min="14611" max="14611" width="4.375" style="42" customWidth="1"/>
    <col min="14612" max="14612" width="10.75" style="42" customWidth="1"/>
    <col min="14613" max="14850" width="9" style="42"/>
    <col min="14851" max="14851" width="3.875" style="42" customWidth="1"/>
    <col min="14852" max="14852" width="21.125" style="42" customWidth="1"/>
    <col min="14853" max="14857" width="7.25" style="42" customWidth="1"/>
    <col min="14858" max="14858" width="8.375" style="42" customWidth="1"/>
    <col min="14859" max="14864" width="7.25" style="42" customWidth="1"/>
    <col min="14865" max="14865" width="18.625" style="42" customWidth="1"/>
    <col min="14866" max="14866" width="19.125" style="42" customWidth="1"/>
    <col min="14867" max="14867" width="4.375" style="42" customWidth="1"/>
    <col min="14868" max="14868" width="10.75" style="42" customWidth="1"/>
    <col min="14869" max="15106" width="9" style="42"/>
    <col min="15107" max="15107" width="3.875" style="42" customWidth="1"/>
    <col min="15108" max="15108" width="21.125" style="42" customWidth="1"/>
    <col min="15109" max="15113" width="7.25" style="42" customWidth="1"/>
    <col min="15114" max="15114" width="8.375" style="42" customWidth="1"/>
    <col min="15115" max="15120" width="7.25" style="42" customWidth="1"/>
    <col min="15121" max="15121" width="18.625" style="42" customWidth="1"/>
    <col min="15122" max="15122" width="19.125" style="42" customWidth="1"/>
    <col min="15123" max="15123" width="4.375" style="42" customWidth="1"/>
    <col min="15124" max="15124" width="10.75" style="42" customWidth="1"/>
    <col min="15125" max="15362" width="9" style="42"/>
    <col min="15363" max="15363" width="3.875" style="42" customWidth="1"/>
    <col min="15364" max="15364" width="21.125" style="42" customWidth="1"/>
    <col min="15365" max="15369" width="7.25" style="42" customWidth="1"/>
    <col min="15370" max="15370" width="8.375" style="42" customWidth="1"/>
    <col min="15371" max="15376" width="7.25" style="42" customWidth="1"/>
    <col min="15377" max="15377" width="18.625" style="42" customWidth="1"/>
    <col min="15378" max="15378" width="19.125" style="42" customWidth="1"/>
    <col min="15379" max="15379" width="4.375" style="42" customWidth="1"/>
    <col min="15380" max="15380" width="10.75" style="42" customWidth="1"/>
    <col min="15381" max="15618" width="9" style="42"/>
    <col min="15619" max="15619" width="3.875" style="42" customWidth="1"/>
    <col min="15620" max="15620" width="21.125" style="42" customWidth="1"/>
    <col min="15621" max="15625" width="7.25" style="42" customWidth="1"/>
    <col min="15626" max="15626" width="8.375" style="42" customWidth="1"/>
    <col min="15627" max="15632" width="7.25" style="42" customWidth="1"/>
    <col min="15633" max="15633" width="18.625" style="42" customWidth="1"/>
    <col min="15634" max="15634" width="19.125" style="42" customWidth="1"/>
    <col min="15635" max="15635" width="4.375" style="42" customWidth="1"/>
    <col min="15636" max="15636" width="10.75" style="42" customWidth="1"/>
    <col min="15637" max="15874" width="9" style="42"/>
    <col min="15875" max="15875" width="3.875" style="42" customWidth="1"/>
    <col min="15876" max="15876" width="21.125" style="42" customWidth="1"/>
    <col min="15877" max="15881" width="7.25" style="42" customWidth="1"/>
    <col min="15882" max="15882" width="8.375" style="42" customWidth="1"/>
    <col min="15883" max="15888" width="7.25" style="42" customWidth="1"/>
    <col min="15889" max="15889" width="18.625" style="42" customWidth="1"/>
    <col min="15890" max="15890" width="19.125" style="42" customWidth="1"/>
    <col min="15891" max="15891" width="4.375" style="42" customWidth="1"/>
    <col min="15892" max="15892" width="10.75" style="42" customWidth="1"/>
    <col min="15893" max="16130" width="9" style="42"/>
    <col min="16131" max="16131" width="3.875" style="42" customWidth="1"/>
    <col min="16132" max="16132" width="21.125" style="42" customWidth="1"/>
    <col min="16133" max="16137" width="7.25" style="42" customWidth="1"/>
    <col min="16138" max="16138" width="8.375" style="42" customWidth="1"/>
    <col min="16139" max="16144" width="7.25" style="42" customWidth="1"/>
    <col min="16145" max="16145" width="18.625" style="42" customWidth="1"/>
    <col min="16146" max="16146" width="19.125" style="42" customWidth="1"/>
    <col min="16147" max="16147" width="4.375" style="42" customWidth="1"/>
    <col min="16148" max="16148" width="10.75" style="42" customWidth="1"/>
    <col min="16149" max="16384" width="9" style="42"/>
  </cols>
  <sheetData>
    <row r="1" spans="1:21" ht="24" customHeight="1">
      <c r="A1" s="531" t="s">
        <v>58</v>
      </c>
      <c r="B1" s="531"/>
      <c r="C1" s="531"/>
      <c r="D1" s="531"/>
      <c r="E1" s="531"/>
      <c r="F1" s="531"/>
      <c r="G1" s="531"/>
      <c r="H1" s="531"/>
      <c r="I1" s="531"/>
      <c r="J1" s="531"/>
      <c r="K1" s="531"/>
      <c r="L1" s="531"/>
      <c r="M1" s="531"/>
      <c r="N1" s="531"/>
      <c r="O1" s="531"/>
      <c r="P1" s="531"/>
      <c r="Q1" s="531"/>
      <c r="R1" s="531"/>
    </row>
    <row r="2" spans="1:21" ht="24" customHeight="1">
      <c r="A2" s="66" t="s">
        <v>142</v>
      </c>
      <c r="B2" s="340"/>
      <c r="C2" s="128"/>
      <c r="D2" s="128"/>
      <c r="E2" s="128"/>
      <c r="F2" s="128"/>
      <c r="G2" s="128"/>
      <c r="H2" s="128"/>
      <c r="I2" s="128"/>
      <c r="J2" s="128"/>
      <c r="K2" s="128"/>
      <c r="L2" s="128"/>
      <c r="M2" s="128"/>
      <c r="N2" s="128"/>
      <c r="O2" s="128"/>
      <c r="P2" s="128"/>
      <c r="Q2" s="128"/>
      <c r="R2" s="128"/>
    </row>
    <row r="3" spans="1:21" s="43" customFormat="1" ht="14.25" customHeight="1">
      <c r="A3" s="43" t="s">
        <v>143</v>
      </c>
      <c r="B3" s="52"/>
      <c r="C3" s="52"/>
      <c r="D3" s="157"/>
      <c r="E3" s="157"/>
      <c r="F3" s="157"/>
      <c r="G3" s="157"/>
    </row>
    <row r="4" spans="1:21">
      <c r="A4" s="43" t="s">
        <v>144</v>
      </c>
    </row>
    <row r="5" spans="1:21">
      <c r="A5" s="129" t="s">
        <v>145</v>
      </c>
    </row>
    <row r="6" spans="1:21" ht="17.25" customHeight="1">
      <c r="A6" s="341" t="s">
        <v>115</v>
      </c>
      <c r="B6" s="342"/>
      <c r="C6" s="343"/>
      <c r="D6" s="343"/>
      <c r="E6" s="343"/>
      <c r="F6" s="343"/>
      <c r="G6" s="343"/>
      <c r="H6" s="343"/>
      <c r="I6" s="343"/>
      <c r="J6" s="343"/>
      <c r="K6" s="343"/>
      <c r="L6" s="343"/>
      <c r="M6" s="343"/>
      <c r="N6" s="343"/>
      <c r="O6" s="343"/>
      <c r="P6" s="343"/>
      <c r="Q6" s="343"/>
      <c r="R6" s="343"/>
    </row>
    <row r="7" spans="1:21" ht="15" customHeight="1" outlineLevel="1">
      <c r="A7" s="553" t="s">
        <v>49</v>
      </c>
      <c r="B7" s="555" t="s">
        <v>146</v>
      </c>
      <c r="C7" s="566" t="s">
        <v>130</v>
      </c>
      <c r="D7" s="567"/>
      <c r="E7" s="566" t="s">
        <v>131</v>
      </c>
      <c r="F7" s="567"/>
      <c r="G7" s="566" t="s">
        <v>132</v>
      </c>
      <c r="H7" s="567"/>
      <c r="I7" s="566" t="s">
        <v>133</v>
      </c>
      <c r="J7" s="572"/>
      <c r="K7" s="566" t="s">
        <v>134</v>
      </c>
      <c r="L7" s="567"/>
      <c r="M7" s="566" t="s">
        <v>135</v>
      </c>
      <c r="N7" s="567"/>
      <c r="O7" s="566" t="s">
        <v>147</v>
      </c>
      <c r="P7" s="567"/>
      <c r="Q7" s="541" t="s">
        <v>148</v>
      </c>
      <c r="R7" s="543" t="s">
        <v>149</v>
      </c>
      <c r="T7" s="536" t="s">
        <v>150</v>
      </c>
      <c r="U7" s="537"/>
    </row>
    <row r="8" spans="1:21" ht="15" customHeight="1" outlineLevel="1">
      <c r="A8" s="554"/>
      <c r="B8" s="556"/>
      <c r="C8" s="344" t="s">
        <v>151</v>
      </c>
      <c r="D8" s="344" t="s">
        <v>152</v>
      </c>
      <c r="E8" s="345" t="s">
        <v>151</v>
      </c>
      <c r="F8" s="344" t="s">
        <v>152</v>
      </c>
      <c r="G8" s="344" t="s">
        <v>151</v>
      </c>
      <c r="H8" s="344" t="s">
        <v>152</v>
      </c>
      <c r="I8" s="363" t="s">
        <v>151</v>
      </c>
      <c r="J8" s="363" t="s">
        <v>152</v>
      </c>
      <c r="K8" s="363" t="s">
        <v>151</v>
      </c>
      <c r="L8" s="363" t="s">
        <v>152</v>
      </c>
      <c r="M8" s="363" t="s">
        <v>151</v>
      </c>
      <c r="N8" s="363" t="s">
        <v>152</v>
      </c>
      <c r="O8" s="344" t="s">
        <v>151</v>
      </c>
      <c r="P8" s="363" t="s">
        <v>152</v>
      </c>
      <c r="Q8" s="542"/>
      <c r="R8" s="544"/>
      <c r="T8" s="538"/>
      <c r="U8" s="539"/>
    </row>
    <row r="9" spans="1:21" ht="15" customHeight="1" outlineLevel="1">
      <c r="A9" s="262">
        <v>1</v>
      </c>
      <c r="B9" s="346" t="s">
        <v>153</v>
      </c>
      <c r="C9" s="347">
        <f>$O9*U9</f>
        <v>68.343000000000004</v>
      </c>
      <c r="D9" s="348">
        <v>78.697999999999993</v>
      </c>
      <c r="E9" s="347">
        <f>$O9*U11</f>
        <v>18.638999999999999</v>
      </c>
      <c r="F9" s="349">
        <v>18.638999999999999</v>
      </c>
      <c r="G9" s="347">
        <f>O9*U13</f>
        <v>49.703999999999994</v>
      </c>
      <c r="H9" s="350">
        <v>79</v>
      </c>
      <c r="I9" s="347">
        <f>$O9*U15</f>
        <v>49.703999999999994</v>
      </c>
      <c r="J9" s="350">
        <v>40</v>
      </c>
      <c r="K9" s="347">
        <f>O9*U15</f>
        <v>49.703999999999994</v>
      </c>
      <c r="L9" s="348">
        <v>49.7</v>
      </c>
      <c r="M9" s="347">
        <f>O9*U17</f>
        <v>10.355</v>
      </c>
      <c r="N9" s="348">
        <v>10.355</v>
      </c>
      <c r="O9" s="364">
        <v>207.1</v>
      </c>
      <c r="P9" s="365">
        <f t="shared" ref="P9:P13" si="0">SUM(D9,F9,H9,L9,N9)</f>
        <v>236.39199999999997</v>
      </c>
      <c r="Q9" s="370">
        <f t="shared" ref="Q9:Q13" si="1">P9/O9</f>
        <v>1.1414389183969096</v>
      </c>
      <c r="R9" s="371">
        <f t="shared" ref="R9:R13" si="2">P9/$P$14</f>
        <v>0.72447103243680577</v>
      </c>
      <c r="T9" s="548" t="s">
        <v>130</v>
      </c>
      <c r="U9" s="540">
        <v>0.33</v>
      </c>
    </row>
    <row r="10" spans="1:21" ht="15" customHeight="1" outlineLevel="1">
      <c r="A10" s="262">
        <v>2</v>
      </c>
      <c r="B10" s="346" t="s">
        <v>154</v>
      </c>
      <c r="C10" s="347">
        <f>$O10*U9</f>
        <v>9.1080000000000005</v>
      </c>
      <c r="D10" s="348">
        <v>10.488</v>
      </c>
      <c r="E10" s="347">
        <f>O10*U11</f>
        <v>2.484</v>
      </c>
      <c r="F10" s="349">
        <v>2.484</v>
      </c>
      <c r="G10" s="347">
        <f>O10*U13</f>
        <v>6.6239999999999997</v>
      </c>
      <c r="H10" s="350">
        <v>6</v>
      </c>
      <c r="I10" s="347">
        <f>$O10*U15</f>
        <v>6.6239999999999997</v>
      </c>
      <c r="J10" s="350">
        <v>5</v>
      </c>
      <c r="K10" s="347">
        <f>O10*U15</f>
        <v>6.6239999999999997</v>
      </c>
      <c r="L10" s="348">
        <v>6.6</v>
      </c>
      <c r="M10" s="347">
        <f>O10*U17</f>
        <v>1.3800000000000001</v>
      </c>
      <c r="N10" s="348">
        <v>1.38</v>
      </c>
      <c r="O10" s="364">
        <v>27.6</v>
      </c>
      <c r="P10" s="365">
        <f t="shared" si="0"/>
        <v>26.952000000000002</v>
      </c>
      <c r="Q10" s="370">
        <f t="shared" si="1"/>
        <v>0.97652173913043483</v>
      </c>
      <c r="R10" s="371">
        <f t="shared" si="2"/>
        <v>8.2599847990781378E-2</v>
      </c>
      <c r="T10" s="549"/>
      <c r="U10" s="533"/>
    </row>
    <row r="11" spans="1:21" ht="15" customHeight="1" outlineLevel="1">
      <c r="A11" s="262">
        <v>3</v>
      </c>
      <c r="B11" s="346" t="s">
        <v>155</v>
      </c>
      <c r="C11" s="347">
        <f>O11*U9</f>
        <v>4.5540000000000003</v>
      </c>
      <c r="D11" s="348">
        <v>5.2439999999999998</v>
      </c>
      <c r="E11" s="347">
        <f>O11*U11</f>
        <v>1.242</v>
      </c>
      <c r="F11" s="349">
        <v>1.242</v>
      </c>
      <c r="G11" s="347">
        <f>O11*U13</f>
        <v>3.3119999999999998</v>
      </c>
      <c r="H11" s="350">
        <v>3</v>
      </c>
      <c r="I11" s="347">
        <f>$O11*U15</f>
        <v>3.3119999999999998</v>
      </c>
      <c r="J11" s="350">
        <v>4</v>
      </c>
      <c r="K11" s="347">
        <f>O11*U15</f>
        <v>3.3119999999999998</v>
      </c>
      <c r="L11" s="348">
        <v>3.3</v>
      </c>
      <c r="M11" s="347">
        <f>O11*U17</f>
        <v>0.69000000000000006</v>
      </c>
      <c r="N11" s="348">
        <v>0.69</v>
      </c>
      <c r="O11" s="364">
        <v>13.8</v>
      </c>
      <c r="P11" s="365">
        <f t="shared" si="0"/>
        <v>13.476000000000001</v>
      </c>
      <c r="Q11" s="370">
        <f t="shared" si="1"/>
        <v>0.97652173913043483</v>
      </c>
      <c r="R11" s="371">
        <f t="shared" si="2"/>
        <v>4.1299923995390689E-2</v>
      </c>
      <c r="T11" s="550" t="s">
        <v>131</v>
      </c>
      <c r="U11" s="532">
        <v>0.09</v>
      </c>
    </row>
    <row r="12" spans="1:21" ht="15" customHeight="1" outlineLevel="1">
      <c r="A12" s="262">
        <v>4</v>
      </c>
      <c r="B12" s="346" t="s">
        <v>156</v>
      </c>
      <c r="C12" s="347">
        <f>O12*U9</f>
        <v>4.5540000000000003</v>
      </c>
      <c r="D12" s="348">
        <v>5.2439999999999998</v>
      </c>
      <c r="E12" s="347">
        <f>O12*U11</f>
        <v>1.242</v>
      </c>
      <c r="F12" s="349">
        <v>1.242</v>
      </c>
      <c r="G12" s="347">
        <f>O12*U13</f>
        <v>3.3119999999999998</v>
      </c>
      <c r="H12" s="350">
        <v>3</v>
      </c>
      <c r="I12" s="347">
        <f>$O12*U15</f>
        <v>3.3119999999999998</v>
      </c>
      <c r="J12" s="350">
        <v>4.5</v>
      </c>
      <c r="K12" s="347">
        <f>O12*U15</f>
        <v>3.3119999999999998</v>
      </c>
      <c r="L12" s="348">
        <v>3.3</v>
      </c>
      <c r="M12" s="347">
        <f>O12*U17</f>
        <v>0.69000000000000006</v>
      </c>
      <c r="N12" s="348">
        <v>0.69</v>
      </c>
      <c r="O12" s="364">
        <v>13.8</v>
      </c>
      <c r="P12" s="365">
        <f t="shared" si="0"/>
        <v>13.476000000000001</v>
      </c>
      <c r="Q12" s="370">
        <f t="shared" si="1"/>
        <v>0.97652173913043483</v>
      </c>
      <c r="R12" s="371">
        <f t="shared" si="2"/>
        <v>4.1299923995390689E-2</v>
      </c>
      <c r="T12" s="549"/>
      <c r="U12" s="533"/>
    </row>
    <row r="13" spans="1:21" ht="15" customHeight="1" outlineLevel="1">
      <c r="A13" s="262">
        <v>5</v>
      </c>
      <c r="B13" s="346" t="s">
        <v>157</v>
      </c>
      <c r="C13" s="347">
        <f>O13*U9</f>
        <v>11.88</v>
      </c>
      <c r="D13" s="348">
        <v>10</v>
      </c>
      <c r="E13" s="347">
        <f>O13*U11</f>
        <v>3.2399999999999998</v>
      </c>
      <c r="F13" s="349">
        <v>10</v>
      </c>
      <c r="G13" s="347">
        <f>O13*U13</f>
        <v>8.64</v>
      </c>
      <c r="H13" s="350">
        <v>10</v>
      </c>
      <c r="I13" s="347">
        <f>$O13*U15</f>
        <v>8.64</v>
      </c>
      <c r="J13" s="350">
        <v>9</v>
      </c>
      <c r="K13" s="347">
        <f>O13*U15</f>
        <v>8.64</v>
      </c>
      <c r="L13" s="348">
        <v>5</v>
      </c>
      <c r="M13" s="347">
        <f>O13*U17</f>
        <v>1.8</v>
      </c>
      <c r="N13" s="348">
        <v>1</v>
      </c>
      <c r="O13" s="364">
        <v>36</v>
      </c>
      <c r="P13" s="365">
        <f t="shared" si="0"/>
        <v>36</v>
      </c>
      <c r="Q13" s="370">
        <f t="shared" si="1"/>
        <v>1</v>
      </c>
      <c r="R13" s="371">
        <f t="shared" si="2"/>
        <v>0.1103292715816314</v>
      </c>
      <c r="T13" s="551" t="s">
        <v>132</v>
      </c>
      <c r="U13" s="532">
        <v>0.24</v>
      </c>
    </row>
    <row r="14" spans="1:21" ht="15" customHeight="1" outlineLevel="1">
      <c r="A14" s="262">
        <v>6</v>
      </c>
      <c r="B14" s="346" t="s">
        <v>158</v>
      </c>
      <c r="C14" s="351">
        <f>SUM(C9:C13)</f>
        <v>98.439000000000007</v>
      </c>
      <c r="D14" s="351">
        <f>SUM(D9:D13)</f>
        <v>109.67399999999999</v>
      </c>
      <c r="E14" s="351">
        <f t="shared" ref="E14:P14" si="3">SUM(E9:E13)</f>
        <v>26.846999999999998</v>
      </c>
      <c r="F14" s="351">
        <f t="shared" si="3"/>
        <v>33.606999999999999</v>
      </c>
      <c r="G14" s="351">
        <f t="shared" si="3"/>
        <v>71.591999999999985</v>
      </c>
      <c r="H14" s="351">
        <f t="shared" si="3"/>
        <v>101</v>
      </c>
      <c r="I14" s="351">
        <f t="shared" si="3"/>
        <v>71.591999999999985</v>
      </c>
      <c r="J14" s="366">
        <f t="shared" si="3"/>
        <v>62.5</v>
      </c>
      <c r="K14" s="366">
        <f t="shared" si="3"/>
        <v>71.591999999999985</v>
      </c>
      <c r="L14" s="366">
        <f t="shared" si="3"/>
        <v>67.900000000000006</v>
      </c>
      <c r="M14" s="366">
        <f t="shared" si="3"/>
        <v>14.915000000000001</v>
      </c>
      <c r="N14" s="366">
        <f t="shared" si="3"/>
        <v>14.114999999999998</v>
      </c>
      <c r="O14" s="367">
        <f t="shared" si="3"/>
        <v>298.3</v>
      </c>
      <c r="P14" s="368">
        <f t="shared" si="3"/>
        <v>326.29599999999999</v>
      </c>
      <c r="Q14" s="370"/>
      <c r="R14" s="371"/>
      <c r="T14" s="552"/>
      <c r="U14" s="533"/>
    </row>
    <row r="15" spans="1:21" ht="15" customHeight="1" outlineLevel="1">
      <c r="A15" s="352">
        <v>7</v>
      </c>
      <c r="B15" s="353" t="s">
        <v>159</v>
      </c>
      <c r="C15" s="576">
        <v>133.5</v>
      </c>
      <c r="D15" s="577"/>
      <c r="E15" s="576">
        <v>50</v>
      </c>
      <c r="F15" s="577"/>
      <c r="G15" s="576">
        <v>64</v>
      </c>
      <c r="H15" s="577"/>
      <c r="I15" s="576">
        <v>73</v>
      </c>
      <c r="J15" s="578"/>
      <c r="K15" s="576">
        <v>187</v>
      </c>
      <c r="L15" s="577"/>
      <c r="M15" s="576">
        <v>187</v>
      </c>
      <c r="N15" s="577"/>
      <c r="O15" s="564">
        <f t="shared" ref="O15:O19" si="4">M15</f>
        <v>187</v>
      </c>
      <c r="P15" s="568"/>
      <c r="Q15" s="370"/>
      <c r="R15" s="373"/>
      <c r="T15" s="550" t="s">
        <v>133</v>
      </c>
      <c r="U15" s="534">
        <v>0.24</v>
      </c>
    </row>
    <row r="16" spans="1:21" s="204" customFormat="1" ht="15" customHeight="1" outlineLevel="1">
      <c r="A16" s="352">
        <v>8</v>
      </c>
      <c r="B16" s="353" t="s">
        <v>160</v>
      </c>
      <c r="C16" s="564">
        <f t="shared" ref="C16:G16" si="5">D14/C14</f>
        <v>1.1141315941852312</v>
      </c>
      <c r="D16" s="565"/>
      <c r="E16" s="564">
        <f t="shared" si="5"/>
        <v>1.2517972212910196</v>
      </c>
      <c r="F16" s="565"/>
      <c r="G16" s="564">
        <f t="shared" si="5"/>
        <v>1.4107721533132196</v>
      </c>
      <c r="H16" s="565"/>
      <c r="I16" s="564">
        <f t="shared" ref="I16:M16" si="6">J14/I14</f>
        <v>0.87300257011956661</v>
      </c>
      <c r="J16" s="568"/>
      <c r="K16" s="564">
        <f t="shared" si="6"/>
        <v>0.94842999217789725</v>
      </c>
      <c r="L16" s="565"/>
      <c r="M16" s="564">
        <f t="shared" si="6"/>
        <v>0.94636272209185368</v>
      </c>
      <c r="N16" s="565"/>
      <c r="O16" s="564">
        <f>P14/O14</f>
        <v>1.0938518270197788</v>
      </c>
      <c r="P16" s="565"/>
      <c r="Q16" s="370"/>
      <c r="R16" s="373"/>
      <c r="T16" s="549"/>
      <c r="U16" s="535"/>
    </row>
    <row r="17" spans="1:21" s="204" customFormat="1" ht="15" customHeight="1" outlineLevel="1">
      <c r="A17" s="352">
        <v>9</v>
      </c>
      <c r="B17" s="353" t="s">
        <v>161</v>
      </c>
      <c r="C17" s="562">
        <f t="shared" ref="C17:G17" si="7">D14/C14-1</f>
        <v>0.11413159418523122</v>
      </c>
      <c r="D17" s="563"/>
      <c r="E17" s="562">
        <f t="shared" si="7"/>
        <v>0.25179722129101956</v>
      </c>
      <c r="F17" s="563"/>
      <c r="G17" s="562">
        <f t="shared" si="7"/>
        <v>0.41077215331321959</v>
      </c>
      <c r="H17" s="563"/>
      <c r="I17" s="562">
        <f t="shared" ref="I17:M17" si="8">J14/I14-1</f>
        <v>-0.12699742988043339</v>
      </c>
      <c r="J17" s="568"/>
      <c r="K17" s="562">
        <f t="shared" si="8"/>
        <v>-5.1570007822102748E-2</v>
      </c>
      <c r="L17" s="563"/>
      <c r="M17" s="562">
        <f t="shared" si="8"/>
        <v>-5.3637277908146319E-2</v>
      </c>
      <c r="N17" s="563"/>
      <c r="O17" s="562">
        <f>P14/O14-1</f>
        <v>9.3851827019778788E-2</v>
      </c>
      <c r="P17" s="563"/>
      <c r="Q17" s="370"/>
      <c r="R17" s="545"/>
      <c r="T17" s="372" t="s">
        <v>134</v>
      </c>
      <c r="U17" s="374">
        <v>0.05</v>
      </c>
    </row>
    <row r="18" spans="1:21" s="339" customFormat="1" ht="15" customHeight="1" outlineLevel="1">
      <c r="A18" s="352">
        <v>10</v>
      </c>
      <c r="B18" s="354" t="s">
        <v>162</v>
      </c>
      <c r="C18" s="562">
        <f>D14/C14-100%</f>
        <v>0.11413159418523122</v>
      </c>
      <c r="D18" s="563"/>
      <c r="E18" s="562">
        <f>(D14+F14)/(C14+E14)-100%</f>
        <v>0.14363137142218618</v>
      </c>
      <c r="F18" s="563"/>
      <c r="G18" s="562">
        <f>(D14+F14+H14)/(C14+E14+G14)-100%</f>
        <v>0.24077347392801651</v>
      </c>
      <c r="H18" s="563"/>
      <c r="I18" s="562">
        <f>(D14+F14+H14+J14)/(C14+E14+G14+I14)-100%</f>
        <v>0.14270123291242975</v>
      </c>
      <c r="J18" s="568"/>
      <c r="K18" s="562">
        <f>(D14+F14+H14+L14)/(C14+E14+G14+K14)-100%</f>
        <v>0.16281521212798489</v>
      </c>
      <c r="L18" s="563"/>
      <c r="M18" s="562">
        <f>(D14+F14+H14+L14+N14)/(C14+E14+G14+K14+M14)-100%</f>
        <v>0.15142297581029363</v>
      </c>
      <c r="N18" s="563"/>
      <c r="O18" s="562">
        <f t="shared" si="4"/>
        <v>0.15142297581029363</v>
      </c>
      <c r="P18" s="563"/>
      <c r="Q18" s="370"/>
      <c r="R18" s="546"/>
      <c r="T18" s="375" t="s">
        <v>135</v>
      </c>
      <c r="U18" s="376">
        <v>0.05</v>
      </c>
    </row>
    <row r="19" spans="1:21" s="339" customFormat="1" ht="15" customHeight="1" outlineLevel="1">
      <c r="A19" s="355">
        <v>11</v>
      </c>
      <c r="B19" s="356" t="s">
        <v>163</v>
      </c>
      <c r="C19" s="569">
        <f t="shared" ref="C19:G19" si="9">D9/$P9</f>
        <v>0.33291312734779521</v>
      </c>
      <c r="D19" s="570"/>
      <c r="E19" s="569">
        <f t="shared" si="9"/>
        <v>7.884784595079361E-2</v>
      </c>
      <c r="F19" s="570"/>
      <c r="G19" s="569">
        <f t="shared" si="9"/>
        <v>0.33419066635080719</v>
      </c>
      <c r="H19" s="570"/>
      <c r="I19" s="569">
        <f>J9/$P9</f>
        <v>0.16921046397509223</v>
      </c>
      <c r="J19" s="571"/>
      <c r="K19" s="569">
        <f>L9/P9</f>
        <v>0.21024400148905212</v>
      </c>
      <c r="L19" s="570"/>
      <c r="M19" s="569">
        <f>N9/P9</f>
        <v>4.3804358861552005E-2</v>
      </c>
      <c r="N19" s="570"/>
      <c r="O19" s="569">
        <f t="shared" si="4"/>
        <v>4.3804358861552005E-2</v>
      </c>
      <c r="P19" s="570"/>
      <c r="Q19" s="377"/>
      <c r="R19" s="547"/>
      <c r="T19" s="42"/>
      <c r="U19" s="42"/>
    </row>
    <row r="20" spans="1:21" outlineLevel="1">
      <c r="A20" s="357"/>
      <c r="B20" s="182"/>
      <c r="C20" s="358"/>
      <c r="D20" s="358"/>
      <c r="E20" s="358"/>
      <c r="F20" s="358"/>
      <c r="G20" s="358"/>
      <c r="H20" s="358"/>
      <c r="I20" s="358"/>
      <c r="J20" s="358"/>
      <c r="K20" s="358"/>
      <c r="L20" s="358"/>
      <c r="M20" s="358"/>
      <c r="N20" s="358"/>
      <c r="O20" s="358"/>
      <c r="P20" s="358"/>
      <c r="Q20" s="358"/>
      <c r="R20" s="182"/>
    </row>
    <row r="21" spans="1:21" outlineLevel="1">
      <c r="B21" s="353" t="s">
        <v>164</v>
      </c>
      <c r="C21" s="353"/>
      <c r="D21" s="353"/>
      <c r="E21" s="353" t="s">
        <v>130</v>
      </c>
      <c r="F21" s="353" t="s">
        <v>131</v>
      </c>
      <c r="G21" s="353" t="s">
        <v>132</v>
      </c>
      <c r="H21" s="353" t="s">
        <v>133</v>
      </c>
      <c r="I21" s="353" t="s">
        <v>134</v>
      </c>
      <c r="J21" s="353" t="s">
        <v>135</v>
      </c>
    </row>
    <row r="22" spans="1:21" ht="12" customHeight="1" outlineLevel="1">
      <c r="B22" s="557" t="s">
        <v>165</v>
      </c>
      <c r="C22" s="559" t="s">
        <v>166</v>
      </c>
      <c r="D22" s="160" t="s">
        <v>167</v>
      </c>
      <c r="E22" s="359">
        <v>0</v>
      </c>
      <c r="F22" s="359">
        <v>1.5E-3</v>
      </c>
      <c r="G22" s="359">
        <v>7.9474874860599995E-2</v>
      </c>
      <c r="H22" s="359">
        <v>0.09</v>
      </c>
      <c r="I22" s="359">
        <v>0.08</v>
      </c>
      <c r="J22" s="359">
        <v>0</v>
      </c>
    </row>
    <row r="23" spans="1:21" outlineLevel="1">
      <c r="B23" s="558"/>
      <c r="C23" s="560"/>
      <c r="D23" s="161" t="s">
        <v>168</v>
      </c>
      <c r="E23" s="161">
        <v>0.55000000000000004</v>
      </c>
      <c r="F23" s="161">
        <v>0.34710524803163401</v>
      </c>
      <c r="G23" s="161">
        <v>0.96250000000000002</v>
      </c>
      <c r="H23" s="161">
        <v>0.80957050162269195</v>
      </c>
      <c r="I23" s="161">
        <v>0.7</v>
      </c>
      <c r="J23" s="161">
        <v>0.12920000000000001</v>
      </c>
      <c r="Q23" s="42" t="s">
        <v>130</v>
      </c>
      <c r="R23" s="378">
        <f>C18</f>
        <v>0.11413159418523122</v>
      </c>
    </row>
    <row r="24" spans="1:21" outlineLevel="1">
      <c r="B24" s="558"/>
      <c r="C24" s="561"/>
      <c r="D24" s="160" t="s">
        <v>169</v>
      </c>
      <c r="E24" s="359">
        <v>1.49306241508338</v>
      </c>
      <c r="F24" s="359">
        <v>0.69269999999999998</v>
      </c>
      <c r="G24" s="359">
        <v>1.8455251251394</v>
      </c>
      <c r="H24" s="359">
        <v>1.5289999999999999</v>
      </c>
      <c r="I24" s="359">
        <v>1.3</v>
      </c>
      <c r="J24" s="359">
        <v>0.28420000000000001</v>
      </c>
      <c r="Q24" s="42" t="s">
        <v>131</v>
      </c>
      <c r="R24" s="378">
        <f>E18</f>
        <v>0.14363137142218618</v>
      </c>
    </row>
    <row r="25" spans="1:21" outlineLevel="1">
      <c r="B25" s="558"/>
      <c r="C25" s="360" t="s">
        <v>152</v>
      </c>
      <c r="D25" s="271" t="s">
        <v>170</v>
      </c>
      <c r="E25" s="361">
        <f>D14/C15</f>
        <v>0.82152808988764037</v>
      </c>
      <c r="F25" s="361">
        <f>F14/E15</f>
        <v>0.67213999999999996</v>
      </c>
      <c r="G25" s="361">
        <f>H14/G15</f>
        <v>1.578125</v>
      </c>
      <c r="H25" s="361">
        <f>L14/K15</f>
        <v>0.36310160427807492</v>
      </c>
      <c r="I25" s="369">
        <f>L14/K15</f>
        <v>0.36310160427807492</v>
      </c>
      <c r="J25" s="369">
        <f>N14/M15</f>
        <v>7.5481283422459883E-2</v>
      </c>
      <c r="Q25" s="42" t="s">
        <v>132</v>
      </c>
      <c r="R25" s="378">
        <f>G18</f>
        <v>0.24077347392801651</v>
      </c>
    </row>
    <row r="26" spans="1:21" outlineLevel="1">
      <c r="Q26" s="42" t="s">
        <v>133</v>
      </c>
      <c r="R26" s="378">
        <f>I18</f>
        <v>0.14270123291242975</v>
      </c>
    </row>
    <row r="27" spans="1:21" outlineLevel="1">
      <c r="Q27" s="42" t="s">
        <v>134</v>
      </c>
      <c r="R27" s="378">
        <f>K18</f>
        <v>0.16281521212798489</v>
      </c>
    </row>
    <row r="28" spans="1:21" outlineLevel="1">
      <c r="Q28" s="42" t="s">
        <v>135</v>
      </c>
      <c r="R28" s="378">
        <f>M18</f>
        <v>0.15142297581029363</v>
      </c>
    </row>
    <row r="29" spans="1:21" outlineLevel="1"/>
    <row r="30" spans="1:21" outlineLevel="1"/>
    <row r="31" spans="1:21" outlineLevel="1"/>
    <row r="32" spans="1:21" outlineLevel="1"/>
    <row r="33" spans="1:23" outlineLevel="1"/>
    <row r="34" spans="1:23" outlineLevel="1"/>
    <row r="35" spans="1:23" outlineLevel="1"/>
    <row r="36" spans="1:23" outlineLevel="1"/>
    <row r="37" spans="1:23" ht="14.25" customHeight="1" outlineLevel="1"/>
    <row r="38" spans="1:23" outlineLevel="1"/>
    <row r="39" spans="1:23" ht="14.25" outlineLevel="1">
      <c r="A39" s="362"/>
    </row>
    <row r="40" spans="1:23" outlineLevel="1">
      <c r="Q40" s="42" t="s">
        <v>130</v>
      </c>
      <c r="R40" s="42">
        <f>D14</f>
        <v>109.67399999999999</v>
      </c>
    </row>
    <row r="41" spans="1:23" outlineLevel="1">
      <c r="Q41" s="42" t="s">
        <v>131</v>
      </c>
      <c r="R41" s="42">
        <f>F14</f>
        <v>33.606999999999999</v>
      </c>
    </row>
    <row r="42" spans="1:23" outlineLevel="1">
      <c r="Q42" s="42" t="s">
        <v>132</v>
      </c>
      <c r="R42" s="42">
        <f>H14</f>
        <v>101</v>
      </c>
    </row>
    <row r="43" spans="1:23" ht="12" customHeight="1" outlineLevel="1">
      <c r="Q43" s="42" t="s">
        <v>133</v>
      </c>
      <c r="R43" s="42">
        <f>J14</f>
        <v>62.5</v>
      </c>
      <c r="V43" s="42" t="s">
        <v>153</v>
      </c>
      <c r="W43" s="379">
        <f>R9</f>
        <v>0.72447103243680577</v>
      </c>
    </row>
    <row r="44" spans="1:23" outlineLevel="1">
      <c r="Q44" s="42" t="s">
        <v>134</v>
      </c>
      <c r="R44" s="42">
        <f>L14</f>
        <v>67.900000000000006</v>
      </c>
      <c r="V44" s="42" t="s">
        <v>154</v>
      </c>
      <c r="W44" s="379">
        <f t="shared" ref="W44:W47" si="10">R10</f>
        <v>8.2599847990781378E-2</v>
      </c>
    </row>
    <row r="45" spans="1:23" outlineLevel="1">
      <c r="Q45" s="42" t="s">
        <v>135</v>
      </c>
      <c r="R45" s="42">
        <f>N14</f>
        <v>14.114999999999998</v>
      </c>
      <c r="V45" s="42" t="s">
        <v>155</v>
      </c>
      <c r="W45" s="379">
        <f t="shared" si="10"/>
        <v>4.1299923995390689E-2</v>
      </c>
    </row>
    <row r="46" spans="1:23" ht="13.5" customHeight="1" outlineLevel="1">
      <c r="V46" s="42" t="s">
        <v>156</v>
      </c>
      <c r="W46" s="379">
        <f t="shared" si="10"/>
        <v>4.1299923995390689E-2</v>
      </c>
    </row>
    <row r="47" spans="1:23" outlineLevel="1">
      <c r="V47" s="42" t="s">
        <v>171</v>
      </c>
      <c r="W47" s="379">
        <f t="shared" si="10"/>
        <v>0.1103292715816314</v>
      </c>
    </row>
    <row r="48" spans="1:23" outlineLevel="1"/>
    <row r="49" spans="1:21" outlineLevel="1"/>
    <row r="50" spans="1:21" ht="17.25" customHeight="1">
      <c r="A50" s="341" t="s">
        <v>140</v>
      </c>
      <c r="B50" s="342"/>
      <c r="C50" s="343"/>
      <c r="D50" s="343"/>
      <c r="E50" s="343"/>
      <c r="F50" s="343"/>
      <c r="G50" s="343"/>
      <c r="H50" s="343"/>
      <c r="I50" s="343"/>
      <c r="J50" s="343"/>
      <c r="K50" s="343"/>
      <c r="L50" s="343"/>
      <c r="M50" s="343"/>
      <c r="N50" s="343"/>
      <c r="O50" s="343"/>
      <c r="P50" s="343"/>
      <c r="Q50" s="343"/>
      <c r="R50" s="343"/>
    </row>
    <row r="51" spans="1:21" ht="15" customHeight="1" outlineLevel="1">
      <c r="A51" s="553" t="s">
        <v>49</v>
      </c>
      <c r="B51" s="555" t="s">
        <v>146</v>
      </c>
      <c r="C51" s="566" t="s">
        <v>130</v>
      </c>
      <c r="D51" s="567"/>
      <c r="E51" s="566" t="s">
        <v>131</v>
      </c>
      <c r="F51" s="567"/>
      <c r="G51" s="566" t="s">
        <v>132</v>
      </c>
      <c r="H51" s="567"/>
      <c r="I51" s="566" t="s">
        <v>133</v>
      </c>
      <c r="J51" s="572"/>
      <c r="K51" s="566" t="s">
        <v>134</v>
      </c>
      <c r="L51" s="567"/>
      <c r="M51" s="566" t="s">
        <v>135</v>
      </c>
      <c r="N51" s="567"/>
      <c r="O51" s="566" t="s">
        <v>147</v>
      </c>
      <c r="P51" s="567"/>
      <c r="Q51" s="541" t="s">
        <v>148</v>
      </c>
      <c r="R51" s="543" t="s">
        <v>149</v>
      </c>
      <c r="T51" s="536" t="s">
        <v>150</v>
      </c>
      <c r="U51" s="537"/>
    </row>
    <row r="52" spans="1:21" ht="15" customHeight="1" outlineLevel="1">
      <c r="A52" s="554"/>
      <c r="B52" s="556"/>
      <c r="C52" s="344" t="s">
        <v>151</v>
      </c>
      <c r="D52" s="344" t="s">
        <v>152</v>
      </c>
      <c r="E52" s="345" t="s">
        <v>151</v>
      </c>
      <c r="F52" s="344" t="s">
        <v>152</v>
      </c>
      <c r="G52" s="344" t="s">
        <v>151</v>
      </c>
      <c r="H52" s="344" t="s">
        <v>152</v>
      </c>
      <c r="I52" s="363" t="s">
        <v>151</v>
      </c>
      <c r="J52" s="363" t="s">
        <v>152</v>
      </c>
      <c r="K52" s="363" t="s">
        <v>151</v>
      </c>
      <c r="L52" s="363" t="s">
        <v>152</v>
      </c>
      <c r="M52" s="363" t="s">
        <v>151</v>
      </c>
      <c r="N52" s="363" t="s">
        <v>152</v>
      </c>
      <c r="O52" s="344" t="s">
        <v>151</v>
      </c>
      <c r="P52" s="363" t="s">
        <v>152</v>
      </c>
      <c r="Q52" s="542"/>
      <c r="R52" s="544"/>
      <c r="T52" s="538"/>
      <c r="U52" s="539"/>
    </row>
    <row r="53" spans="1:21" ht="15" customHeight="1" outlineLevel="1">
      <c r="A53" s="262">
        <v>1</v>
      </c>
      <c r="B53" s="346" t="s">
        <v>153</v>
      </c>
      <c r="C53" s="347">
        <f>$O53*U53</f>
        <v>68.343000000000004</v>
      </c>
      <c r="D53" s="348">
        <v>78.697999999999993</v>
      </c>
      <c r="E53" s="347">
        <f>$O53*U55</f>
        <v>18.638999999999999</v>
      </c>
      <c r="F53" s="349">
        <v>18.638999999999999</v>
      </c>
      <c r="G53" s="347">
        <f>O53*U57</f>
        <v>49.703999999999994</v>
      </c>
      <c r="H53" s="350">
        <v>79</v>
      </c>
      <c r="I53" s="347">
        <f>$O53*U59</f>
        <v>49.703999999999994</v>
      </c>
      <c r="J53" s="350">
        <v>40</v>
      </c>
      <c r="K53" s="347">
        <f>O53*U59</f>
        <v>49.703999999999994</v>
      </c>
      <c r="L53" s="348">
        <v>49.7</v>
      </c>
      <c r="M53" s="347">
        <f>O53*U61</f>
        <v>10.355</v>
      </c>
      <c r="N53" s="348">
        <v>10.355</v>
      </c>
      <c r="O53" s="364">
        <v>207.1</v>
      </c>
      <c r="P53" s="365">
        <f t="shared" ref="P53:P57" si="11">SUM(D53,F53,H53,L53,N53)</f>
        <v>236.39199999999997</v>
      </c>
      <c r="Q53" s="370">
        <f t="shared" ref="Q53:Q57" si="12">P53/O53</f>
        <v>1.1414389183969096</v>
      </c>
      <c r="R53" s="371">
        <f t="shared" ref="R53:R57" si="13">P53/$P$14</f>
        <v>0.72447103243680577</v>
      </c>
      <c r="T53" s="548" t="s">
        <v>130</v>
      </c>
      <c r="U53" s="540">
        <v>0.33</v>
      </c>
    </row>
    <row r="54" spans="1:21" ht="15" customHeight="1" outlineLevel="1">
      <c r="A54" s="262">
        <v>2</v>
      </c>
      <c r="B54" s="346" t="s">
        <v>154</v>
      </c>
      <c r="C54" s="347">
        <f>$O54*U53</f>
        <v>9.1080000000000005</v>
      </c>
      <c r="D54" s="348">
        <v>10.488</v>
      </c>
      <c r="E54" s="347">
        <f>O54*U55</f>
        <v>2.484</v>
      </c>
      <c r="F54" s="349">
        <v>2.484</v>
      </c>
      <c r="G54" s="347">
        <f>O54*U57</f>
        <v>6.6239999999999997</v>
      </c>
      <c r="H54" s="350">
        <v>6</v>
      </c>
      <c r="I54" s="347">
        <f>$O54*U59</f>
        <v>6.6239999999999997</v>
      </c>
      <c r="J54" s="350">
        <v>5</v>
      </c>
      <c r="K54" s="347">
        <f>O54*U59</f>
        <v>6.6239999999999997</v>
      </c>
      <c r="L54" s="348">
        <v>6.6</v>
      </c>
      <c r="M54" s="347">
        <f>O54*U61</f>
        <v>1.3800000000000001</v>
      </c>
      <c r="N54" s="348">
        <v>1.38</v>
      </c>
      <c r="O54" s="364">
        <v>27.6</v>
      </c>
      <c r="P54" s="365">
        <f t="shared" si="11"/>
        <v>26.952000000000002</v>
      </c>
      <c r="Q54" s="370">
        <f t="shared" si="12"/>
        <v>0.97652173913043483</v>
      </c>
      <c r="R54" s="371">
        <f t="shared" si="13"/>
        <v>8.2599847990781378E-2</v>
      </c>
      <c r="T54" s="549"/>
      <c r="U54" s="533"/>
    </row>
    <row r="55" spans="1:21" ht="15" customHeight="1" outlineLevel="1">
      <c r="A55" s="262">
        <v>3</v>
      </c>
      <c r="B55" s="346" t="s">
        <v>155</v>
      </c>
      <c r="C55" s="347">
        <f>O55*U53</f>
        <v>4.5540000000000003</v>
      </c>
      <c r="D55" s="348">
        <v>5.2439999999999998</v>
      </c>
      <c r="E55" s="347">
        <f>O55*U55</f>
        <v>1.242</v>
      </c>
      <c r="F55" s="349">
        <v>1.242</v>
      </c>
      <c r="G55" s="347">
        <f>O55*U57</f>
        <v>3.3119999999999998</v>
      </c>
      <c r="H55" s="350">
        <v>3</v>
      </c>
      <c r="I55" s="347">
        <f>$O55*U59</f>
        <v>3.3119999999999998</v>
      </c>
      <c r="J55" s="350">
        <v>4</v>
      </c>
      <c r="K55" s="347">
        <f>O55*U59</f>
        <v>3.3119999999999998</v>
      </c>
      <c r="L55" s="348">
        <v>3.3</v>
      </c>
      <c r="M55" s="347">
        <f>O55*U61</f>
        <v>0.69000000000000006</v>
      </c>
      <c r="N55" s="348">
        <v>0.69</v>
      </c>
      <c r="O55" s="364">
        <v>13.8</v>
      </c>
      <c r="P55" s="365">
        <f t="shared" si="11"/>
        <v>13.476000000000001</v>
      </c>
      <c r="Q55" s="370">
        <f t="shared" si="12"/>
        <v>0.97652173913043483</v>
      </c>
      <c r="R55" s="371">
        <f t="shared" si="13"/>
        <v>4.1299923995390689E-2</v>
      </c>
      <c r="T55" s="550" t="s">
        <v>131</v>
      </c>
      <c r="U55" s="532">
        <v>0.09</v>
      </c>
    </row>
    <row r="56" spans="1:21" ht="15" customHeight="1" outlineLevel="1">
      <c r="A56" s="262">
        <v>4</v>
      </c>
      <c r="B56" s="346" t="s">
        <v>156</v>
      </c>
      <c r="C56" s="347">
        <f>O56*U53</f>
        <v>4.5540000000000003</v>
      </c>
      <c r="D56" s="348">
        <v>5.2439999999999998</v>
      </c>
      <c r="E56" s="347">
        <f>O56*U55</f>
        <v>1.242</v>
      </c>
      <c r="F56" s="349">
        <v>1.242</v>
      </c>
      <c r="G56" s="347">
        <f>O56*U57</f>
        <v>3.3119999999999998</v>
      </c>
      <c r="H56" s="350">
        <v>3</v>
      </c>
      <c r="I56" s="347">
        <f>$O56*U59</f>
        <v>3.3119999999999998</v>
      </c>
      <c r="J56" s="350">
        <v>4.5</v>
      </c>
      <c r="K56" s="347">
        <f>O56*U59</f>
        <v>3.3119999999999998</v>
      </c>
      <c r="L56" s="348">
        <v>3.3</v>
      </c>
      <c r="M56" s="347">
        <f>O56*U61</f>
        <v>0.69000000000000006</v>
      </c>
      <c r="N56" s="348">
        <v>0.69</v>
      </c>
      <c r="O56" s="364">
        <v>13.8</v>
      </c>
      <c r="P56" s="365">
        <f t="shared" si="11"/>
        <v>13.476000000000001</v>
      </c>
      <c r="Q56" s="370">
        <f t="shared" si="12"/>
        <v>0.97652173913043483</v>
      </c>
      <c r="R56" s="371">
        <f t="shared" si="13"/>
        <v>4.1299923995390689E-2</v>
      </c>
      <c r="T56" s="549"/>
      <c r="U56" s="533"/>
    </row>
    <row r="57" spans="1:21" ht="15" customHeight="1" outlineLevel="1">
      <c r="A57" s="262">
        <v>5</v>
      </c>
      <c r="B57" s="346" t="s">
        <v>157</v>
      </c>
      <c r="C57" s="347">
        <f>O57*U53</f>
        <v>11.88</v>
      </c>
      <c r="D57" s="348">
        <v>10</v>
      </c>
      <c r="E57" s="347">
        <f>O57*U55</f>
        <v>3.2399999999999998</v>
      </c>
      <c r="F57" s="349">
        <v>10</v>
      </c>
      <c r="G57" s="347">
        <f>O57*U57</f>
        <v>8.64</v>
      </c>
      <c r="H57" s="350">
        <v>10</v>
      </c>
      <c r="I57" s="347">
        <f>$O57*U59</f>
        <v>8.64</v>
      </c>
      <c r="J57" s="350">
        <v>9</v>
      </c>
      <c r="K57" s="347">
        <f>O57*U59</f>
        <v>8.64</v>
      </c>
      <c r="L57" s="348">
        <v>5</v>
      </c>
      <c r="M57" s="347">
        <f>O57*U61</f>
        <v>1.8</v>
      </c>
      <c r="N57" s="348">
        <v>1</v>
      </c>
      <c r="O57" s="364">
        <v>36</v>
      </c>
      <c r="P57" s="365">
        <f t="shared" si="11"/>
        <v>36</v>
      </c>
      <c r="Q57" s="370">
        <f t="shared" si="12"/>
        <v>1</v>
      </c>
      <c r="R57" s="371">
        <f t="shared" si="13"/>
        <v>0.1103292715816314</v>
      </c>
      <c r="T57" s="551" t="s">
        <v>132</v>
      </c>
      <c r="U57" s="532">
        <v>0.24</v>
      </c>
    </row>
    <row r="58" spans="1:21" ht="15" customHeight="1" outlineLevel="1">
      <c r="A58" s="262">
        <v>6</v>
      </c>
      <c r="B58" s="346" t="s">
        <v>158</v>
      </c>
      <c r="C58" s="351">
        <f>SUM(C53:C57)</f>
        <v>98.439000000000007</v>
      </c>
      <c r="D58" s="351">
        <f>SUM(D53:D57)</f>
        <v>109.67399999999999</v>
      </c>
      <c r="E58" s="351">
        <f t="shared" ref="E58:J58" si="14">SUM(E53:E57)</f>
        <v>26.846999999999998</v>
      </c>
      <c r="F58" s="351">
        <f t="shared" si="14"/>
        <v>33.606999999999999</v>
      </c>
      <c r="G58" s="351">
        <f t="shared" si="14"/>
        <v>71.591999999999985</v>
      </c>
      <c r="H58" s="351">
        <f t="shared" si="14"/>
        <v>101</v>
      </c>
      <c r="I58" s="351">
        <f t="shared" si="14"/>
        <v>71.591999999999985</v>
      </c>
      <c r="J58" s="366">
        <f t="shared" si="14"/>
        <v>62.5</v>
      </c>
      <c r="K58" s="366">
        <f t="shared" ref="K58:P58" si="15">SUM(K53:K57)</f>
        <v>71.591999999999985</v>
      </c>
      <c r="L58" s="366">
        <f t="shared" si="15"/>
        <v>67.900000000000006</v>
      </c>
      <c r="M58" s="366">
        <f t="shared" si="15"/>
        <v>14.915000000000001</v>
      </c>
      <c r="N58" s="366">
        <f t="shared" si="15"/>
        <v>14.114999999999998</v>
      </c>
      <c r="O58" s="367">
        <f t="shared" si="15"/>
        <v>298.3</v>
      </c>
      <c r="P58" s="368">
        <f t="shared" si="15"/>
        <v>326.29599999999999</v>
      </c>
      <c r="Q58" s="370"/>
      <c r="R58" s="371"/>
      <c r="T58" s="552"/>
      <c r="U58" s="533"/>
    </row>
    <row r="59" spans="1:21" ht="15" customHeight="1" outlineLevel="1">
      <c r="A59" s="352">
        <v>7</v>
      </c>
      <c r="B59" s="353" t="s">
        <v>159</v>
      </c>
      <c r="C59" s="573">
        <v>133</v>
      </c>
      <c r="D59" s="574"/>
      <c r="E59" s="573">
        <v>133</v>
      </c>
      <c r="F59" s="574"/>
      <c r="G59" s="573">
        <v>132</v>
      </c>
      <c r="H59" s="574"/>
      <c r="I59" s="573">
        <v>133</v>
      </c>
      <c r="J59" s="575"/>
      <c r="K59" s="573">
        <v>133</v>
      </c>
      <c r="L59" s="574"/>
      <c r="M59" s="573">
        <v>133</v>
      </c>
      <c r="N59" s="574"/>
      <c r="O59" s="573">
        <f t="shared" ref="O59:O63" si="16">M59</f>
        <v>133</v>
      </c>
      <c r="P59" s="574"/>
      <c r="Q59" s="370"/>
      <c r="R59" s="373"/>
      <c r="T59" s="550" t="s">
        <v>133</v>
      </c>
      <c r="U59" s="534">
        <v>0.24</v>
      </c>
    </row>
    <row r="60" spans="1:21" s="204" customFormat="1" ht="15" customHeight="1" outlineLevel="1">
      <c r="A60" s="352">
        <v>8</v>
      </c>
      <c r="B60" s="353" t="s">
        <v>160</v>
      </c>
      <c r="C60" s="564">
        <f t="shared" ref="C60:G60" si="17">D58/C58</f>
        <v>1.1141315941852312</v>
      </c>
      <c r="D60" s="565"/>
      <c r="E60" s="564">
        <f t="shared" si="17"/>
        <v>1.2517972212910196</v>
      </c>
      <c r="F60" s="565"/>
      <c r="G60" s="564">
        <f t="shared" si="17"/>
        <v>1.4107721533132196</v>
      </c>
      <c r="H60" s="565"/>
      <c r="I60" s="564">
        <f t="shared" ref="I60:M60" si="18">J58/I58</f>
        <v>0.87300257011956661</v>
      </c>
      <c r="J60" s="568"/>
      <c r="K60" s="564">
        <f t="shared" si="18"/>
        <v>0.94842999217789725</v>
      </c>
      <c r="L60" s="565"/>
      <c r="M60" s="564">
        <f t="shared" si="18"/>
        <v>0.94636272209185368</v>
      </c>
      <c r="N60" s="565"/>
      <c r="O60" s="564">
        <f>P58/O58</f>
        <v>1.0938518270197788</v>
      </c>
      <c r="P60" s="565"/>
      <c r="Q60" s="370"/>
      <c r="R60" s="373"/>
      <c r="T60" s="549"/>
      <c r="U60" s="535"/>
    </row>
    <row r="61" spans="1:21" s="204" customFormat="1" ht="15" customHeight="1" outlineLevel="1">
      <c r="A61" s="352">
        <v>9</v>
      </c>
      <c r="B61" s="353" t="s">
        <v>161</v>
      </c>
      <c r="C61" s="562">
        <f t="shared" ref="C61:G61" si="19">D58/C58-1</f>
        <v>0.11413159418523122</v>
      </c>
      <c r="D61" s="563"/>
      <c r="E61" s="562">
        <f t="shared" si="19"/>
        <v>0.25179722129101956</v>
      </c>
      <c r="F61" s="563"/>
      <c r="G61" s="562">
        <f t="shared" si="19"/>
        <v>0.41077215331321959</v>
      </c>
      <c r="H61" s="563"/>
      <c r="I61" s="562">
        <f t="shared" ref="I61:M61" si="20">J58/I58-1</f>
        <v>-0.12699742988043339</v>
      </c>
      <c r="J61" s="568"/>
      <c r="K61" s="562">
        <f t="shared" si="20"/>
        <v>-5.1570007822102748E-2</v>
      </c>
      <c r="L61" s="563"/>
      <c r="M61" s="562">
        <f t="shared" si="20"/>
        <v>-5.3637277908146319E-2</v>
      </c>
      <c r="N61" s="563"/>
      <c r="O61" s="562">
        <f>P58/O58-1</f>
        <v>9.3851827019778788E-2</v>
      </c>
      <c r="P61" s="563"/>
      <c r="Q61" s="370"/>
      <c r="R61" s="545"/>
      <c r="T61" s="372" t="s">
        <v>134</v>
      </c>
      <c r="U61" s="374">
        <v>0.05</v>
      </c>
    </row>
    <row r="62" spans="1:21" s="339" customFormat="1" ht="15" customHeight="1" outlineLevel="1">
      <c r="A62" s="352">
        <v>10</v>
      </c>
      <c r="B62" s="354" t="s">
        <v>162</v>
      </c>
      <c r="C62" s="562">
        <f>D58/C58-100%</f>
        <v>0.11413159418523122</v>
      </c>
      <c r="D62" s="563"/>
      <c r="E62" s="562">
        <f>(D58+F58)/(C58+E58)-100%</f>
        <v>0.14363137142218618</v>
      </c>
      <c r="F62" s="563"/>
      <c r="G62" s="562">
        <f>(D58+F58+H58)/(C58+E58+G58)-100%</f>
        <v>0.24077347392801651</v>
      </c>
      <c r="H62" s="563"/>
      <c r="I62" s="562">
        <f>(D58+F58+H58+J58)/(C58+E58+G58+I58)-100%</f>
        <v>0.14270123291242975</v>
      </c>
      <c r="J62" s="568"/>
      <c r="K62" s="562">
        <f>(D58+F58+H58+L58)/(C58+E58+G58+K58)-100%</f>
        <v>0.16281521212798489</v>
      </c>
      <c r="L62" s="563"/>
      <c r="M62" s="562">
        <f>(D58+F58+H58+L58+N58)/(C58+E58+G58+K58+M58)-100%</f>
        <v>0.15142297581029363</v>
      </c>
      <c r="N62" s="563"/>
      <c r="O62" s="562">
        <f t="shared" si="16"/>
        <v>0.15142297581029363</v>
      </c>
      <c r="P62" s="563"/>
      <c r="Q62" s="370"/>
      <c r="R62" s="546"/>
      <c r="T62" s="375" t="s">
        <v>135</v>
      </c>
      <c r="U62" s="376">
        <v>0.05</v>
      </c>
    </row>
    <row r="63" spans="1:21" s="339" customFormat="1" ht="15" customHeight="1" outlineLevel="1">
      <c r="A63" s="355">
        <v>11</v>
      </c>
      <c r="B63" s="356" t="s">
        <v>163</v>
      </c>
      <c r="C63" s="569">
        <f t="shared" ref="C63:G63" si="21">D53/$P53</f>
        <v>0.33291312734779521</v>
      </c>
      <c r="D63" s="570"/>
      <c r="E63" s="569">
        <f t="shared" si="21"/>
        <v>7.884784595079361E-2</v>
      </c>
      <c r="F63" s="570"/>
      <c r="G63" s="569">
        <f t="shared" si="21"/>
        <v>0.33419066635080719</v>
      </c>
      <c r="H63" s="570"/>
      <c r="I63" s="569">
        <f>J53/$P53</f>
        <v>0.16921046397509223</v>
      </c>
      <c r="J63" s="571"/>
      <c r="K63" s="569">
        <f>L53/P53</f>
        <v>0.21024400148905212</v>
      </c>
      <c r="L63" s="570"/>
      <c r="M63" s="569">
        <f>N53/P53</f>
        <v>4.3804358861552005E-2</v>
      </c>
      <c r="N63" s="570"/>
      <c r="O63" s="569">
        <f t="shared" si="16"/>
        <v>4.3804358861552005E-2</v>
      </c>
      <c r="P63" s="570"/>
      <c r="Q63" s="377"/>
      <c r="R63" s="547"/>
      <c r="T63" s="42"/>
      <c r="U63" s="42"/>
    </row>
    <row r="64" spans="1:21" outlineLevel="1">
      <c r="A64" s="357"/>
      <c r="B64" s="182"/>
      <c r="C64" s="358"/>
      <c r="D64" s="358"/>
      <c r="E64" s="358"/>
      <c r="F64" s="358"/>
      <c r="G64" s="358"/>
      <c r="H64" s="358"/>
      <c r="I64" s="358"/>
      <c r="J64" s="358"/>
      <c r="K64" s="358"/>
      <c r="L64" s="358"/>
      <c r="M64" s="358"/>
      <c r="N64" s="358"/>
      <c r="O64" s="358"/>
      <c r="P64" s="358"/>
      <c r="Q64" s="358"/>
      <c r="R64" s="182"/>
    </row>
    <row r="65" spans="2:18" outlineLevel="1">
      <c r="B65" s="353" t="s">
        <v>164</v>
      </c>
      <c r="C65" s="353"/>
      <c r="D65" s="353"/>
      <c r="E65" s="353" t="s">
        <v>130</v>
      </c>
      <c r="F65" s="353" t="s">
        <v>131</v>
      </c>
      <c r="G65" s="353" t="s">
        <v>132</v>
      </c>
      <c r="H65" s="353" t="s">
        <v>133</v>
      </c>
      <c r="I65" s="353" t="s">
        <v>134</v>
      </c>
      <c r="J65" s="353" t="s">
        <v>135</v>
      </c>
    </row>
    <row r="66" spans="2:18" ht="12" customHeight="1" outlineLevel="1">
      <c r="B66" s="557" t="s">
        <v>165</v>
      </c>
      <c r="C66" s="559" t="s">
        <v>166</v>
      </c>
      <c r="D66" s="160" t="s">
        <v>167</v>
      </c>
      <c r="E66" s="359">
        <v>0</v>
      </c>
      <c r="F66" s="359">
        <v>1.5E-3</v>
      </c>
      <c r="G66" s="359">
        <v>7.9474874860599995E-2</v>
      </c>
      <c r="H66" s="359">
        <v>0.09</v>
      </c>
      <c r="I66" s="359">
        <v>0.08</v>
      </c>
      <c r="J66" s="359">
        <v>0</v>
      </c>
    </row>
    <row r="67" spans="2:18" outlineLevel="1">
      <c r="B67" s="558"/>
      <c r="C67" s="560"/>
      <c r="D67" s="161" t="s">
        <v>168</v>
      </c>
      <c r="E67" s="161">
        <v>0.55000000000000004</v>
      </c>
      <c r="F67" s="161">
        <v>0.34710524803163401</v>
      </c>
      <c r="G67" s="161">
        <v>0.96250000000000002</v>
      </c>
      <c r="H67" s="161">
        <v>0.80957050162269195</v>
      </c>
      <c r="I67" s="161">
        <v>0.7</v>
      </c>
      <c r="J67" s="161">
        <v>0.12920000000000001</v>
      </c>
      <c r="Q67" s="42" t="s">
        <v>130</v>
      </c>
      <c r="R67" s="378">
        <f>C62</f>
        <v>0.11413159418523122</v>
      </c>
    </row>
    <row r="68" spans="2:18" outlineLevel="1">
      <c r="B68" s="558"/>
      <c r="C68" s="561"/>
      <c r="D68" s="160" t="s">
        <v>169</v>
      </c>
      <c r="E68" s="359">
        <v>1.49306241508338</v>
      </c>
      <c r="F68" s="359">
        <v>0.69269999999999998</v>
      </c>
      <c r="G68" s="359">
        <v>1.8455251251394</v>
      </c>
      <c r="H68" s="359">
        <v>1.5289999999999999</v>
      </c>
      <c r="I68" s="359">
        <v>1.3</v>
      </c>
      <c r="J68" s="359">
        <v>0.28420000000000001</v>
      </c>
      <c r="Q68" s="42" t="s">
        <v>131</v>
      </c>
      <c r="R68" s="378">
        <f>E62</f>
        <v>0.14363137142218618</v>
      </c>
    </row>
    <row r="69" spans="2:18" outlineLevel="1">
      <c r="B69" s="558"/>
      <c r="C69" s="360" t="s">
        <v>152</v>
      </c>
      <c r="D69" s="271" t="s">
        <v>170</v>
      </c>
      <c r="E69" s="361">
        <f>D58/C59</f>
        <v>0.82461654135338336</v>
      </c>
      <c r="F69" s="361">
        <f>F58/E59</f>
        <v>0.25268421052631579</v>
      </c>
      <c r="G69" s="361">
        <f>H58/G59</f>
        <v>0.76515151515151514</v>
      </c>
      <c r="H69" s="361">
        <f>L58/K59</f>
        <v>0.51052631578947372</v>
      </c>
      <c r="I69" s="369">
        <f>L58/K59</f>
        <v>0.51052631578947372</v>
      </c>
      <c r="J69" s="369">
        <f>N58/M59</f>
        <v>0.10612781954887217</v>
      </c>
      <c r="Q69" s="42" t="s">
        <v>132</v>
      </c>
      <c r="R69" s="378">
        <f>G62</f>
        <v>0.24077347392801651</v>
      </c>
    </row>
    <row r="70" spans="2:18" outlineLevel="1">
      <c r="Q70" s="42" t="s">
        <v>133</v>
      </c>
      <c r="R70" s="378">
        <f>I62</f>
        <v>0.14270123291242975</v>
      </c>
    </row>
    <row r="71" spans="2:18" outlineLevel="1">
      <c r="Q71" s="42" t="s">
        <v>134</v>
      </c>
      <c r="R71" s="378">
        <f>K62</f>
        <v>0.16281521212798489</v>
      </c>
    </row>
    <row r="72" spans="2:18" outlineLevel="1">
      <c r="Q72" s="42" t="s">
        <v>135</v>
      </c>
      <c r="R72" s="378">
        <f>M62</f>
        <v>0.15142297581029363</v>
      </c>
    </row>
    <row r="73" spans="2:18" outlineLevel="1"/>
    <row r="74" spans="2:18" outlineLevel="1"/>
    <row r="75" spans="2:18" outlineLevel="1"/>
    <row r="76" spans="2:18" outlineLevel="1"/>
    <row r="77" spans="2:18" outlineLevel="1"/>
    <row r="78" spans="2:18" outlineLevel="1"/>
    <row r="79" spans="2:18" outlineLevel="1"/>
    <row r="80" spans="2:18" outlineLevel="1"/>
    <row r="81" spans="1:23" ht="14.25" customHeight="1" outlineLevel="1"/>
    <row r="82" spans="1:23" outlineLevel="1"/>
    <row r="83" spans="1:23" ht="14.25" outlineLevel="1">
      <c r="A83" s="362"/>
    </row>
    <row r="84" spans="1:23" outlineLevel="1">
      <c r="Q84" s="42" t="s">
        <v>130</v>
      </c>
      <c r="R84" s="42">
        <f>D58</f>
        <v>109.67399999999999</v>
      </c>
    </row>
    <row r="85" spans="1:23" outlineLevel="1">
      <c r="Q85" s="42" t="s">
        <v>131</v>
      </c>
      <c r="R85" s="42">
        <f>F58</f>
        <v>33.606999999999999</v>
      </c>
    </row>
    <row r="86" spans="1:23" outlineLevel="1">
      <c r="Q86" s="42" t="s">
        <v>132</v>
      </c>
      <c r="R86" s="42">
        <f>H58</f>
        <v>101</v>
      </c>
    </row>
    <row r="87" spans="1:23" ht="12" customHeight="1" outlineLevel="1">
      <c r="Q87" s="42" t="s">
        <v>133</v>
      </c>
      <c r="R87" s="42">
        <f>J58</f>
        <v>62.5</v>
      </c>
      <c r="V87" s="42" t="s">
        <v>153</v>
      </c>
      <c r="W87" s="379">
        <f>R53</f>
        <v>0.72447103243680577</v>
      </c>
    </row>
    <row r="88" spans="1:23" outlineLevel="1">
      <c r="Q88" s="42" t="s">
        <v>134</v>
      </c>
      <c r="R88" s="42">
        <f>L58</f>
        <v>67.900000000000006</v>
      </c>
      <c r="V88" s="42" t="s">
        <v>154</v>
      </c>
      <c r="W88" s="379">
        <f t="shared" ref="W88:W91" si="22">R54</f>
        <v>8.2599847990781378E-2</v>
      </c>
    </row>
    <row r="89" spans="1:23" outlineLevel="1">
      <c r="Q89" s="42" t="s">
        <v>135</v>
      </c>
      <c r="R89" s="42">
        <f>N58</f>
        <v>14.114999999999998</v>
      </c>
      <c r="V89" s="42" t="s">
        <v>155</v>
      </c>
      <c r="W89" s="379">
        <f t="shared" si="22"/>
        <v>4.1299923995390689E-2</v>
      </c>
    </row>
    <row r="90" spans="1:23" ht="13.5" customHeight="1" outlineLevel="1">
      <c r="V90" s="42" t="s">
        <v>156</v>
      </c>
      <c r="W90" s="379">
        <f t="shared" si="22"/>
        <v>4.1299923995390689E-2</v>
      </c>
    </row>
    <row r="91" spans="1:23" outlineLevel="1">
      <c r="V91" s="42" t="s">
        <v>171</v>
      </c>
      <c r="W91" s="379">
        <f t="shared" si="22"/>
        <v>0.1103292715816314</v>
      </c>
    </row>
    <row r="92" spans="1:23" ht="17.25" customHeight="1">
      <c r="A92" s="341" t="s">
        <v>141</v>
      </c>
      <c r="B92" s="380"/>
      <c r="C92" s="343"/>
      <c r="D92" s="343"/>
      <c r="E92" s="343"/>
      <c r="F92" s="343"/>
      <c r="G92" s="343"/>
      <c r="H92" s="343"/>
      <c r="I92" s="343"/>
      <c r="J92" s="343"/>
      <c r="K92" s="343"/>
      <c r="L92" s="343"/>
      <c r="M92" s="343"/>
      <c r="N92" s="343"/>
      <c r="O92" s="343"/>
      <c r="P92" s="343"/>
      <c r="Q92" s="343"/>
      <c r="R92" s="343"/>
    </row>
    <row r="93" spans="1:23" ht="15" customHeight="1" outlineLevel="1">
      <c r="A93" s="553" t="s">
        <v>49</v>
      </c>
      <c r="B93" s="555" t="s">
        <v>146</v>
      </c>
      <c r="C93" s="566" t="s">
        <v>130</v>
      </c>
      <c r="D93" s="567"/>
      <c r="E93" s="566" t="s">
        <v>131</v>
      </c>
      <c r="F93" s="567"/>
      <c r="G93" s="566" t="s">
        <v>132</v>
      </c>
      <c r="H93" s="567"/>
      <c r="I93" s="566" t="s">
        <v>133</v>
      </c>
      <c r="J93" s="572"/>
      <c r="K93" s="566" t="s">
        <v>134</v>
      </c>
      <c r="L93" s="567"/>
      <c r="M93" s="566" t="s">
        <v>135</v>
      </c>
      <c r="N93" s="567"/>
      <c r="O93" s="566" t="s">
        <v>147</v>
      </c>
      <c r="P93" s="567"/>
      <c r="Q93" s="541" t="s">
        <v>148</v>
      </c>
      <c r="R93" s="543" t="s">
        <v>149</v>
      </c>
      <c r="T93" s="536" t="s">
        <v>150</v>
      </c>
      <c r="U93" s="537"/>
    </row>
    <row r="94" spans="1:23" ht="15" customHeight="1" outlineLevel="1">
      <c r="A94" s="554"/>
      <c r="B94" s="556"/>
      <c r="C94" s="344" t="s">
        <v>151</v>
      </c>
      <c r="D94" s="344" t="s">
        <v>152</v>
      </c>
      <c r="E94" s="345" t="s">
        <v>151</v>
      </c>
      <c r="F94" s="344" t="s">
        <v>152</v>
      </c>
      <c r="G94" s="344" t="s">
        <v>151</v>
      </c>
      <c r="H94" s="344" t="s">
        <v>152</v>
      </c>
      <c r="I94" s="363" t="s">
        <v>151</v>
      </c>
      <c r="J94" s="363" t="s">
        <v>152</v>
      </c>
      <c r="K94" s="363" t="s">
        <v>151</v>
      </c>
      <c r="L94" s="363" t="s">
        <v>152</v>
      </c>
      <c r="M94" s="363" t="s">
        <v>151</v>
      </c>
      <c r="N94" s="363" t="s">
        <v>152</v>
      </c>
      <c r="O94" s="344" t="s">
        <v>151</v>
      </c>
      <c r="P94" s="363" t="s">
        <v>152</v>
      </c>
      <c r="Q94" s="542"/>
      <c r="R94" s="544"/>
      <c r="T94" s="538"/>
      <c r="U94" s="539"/>
    </row>
    <row r="95" spans="1:23" ht="15" customHeight="1" outlineLevel="1">
      <c r="A95" s="262">
        <v>1</v>
      </c>
      <c r="B95" s="346" t="s">
        <v>153</v>
      </c>
      <c r="C95" s="347">
        <f>$O95*U95</f>
        <v>68.343000000000004</v>
      </c>
      <c r="D95" s="348">
        <v>78.697999999999993</v>
      </c>
      <c r="E95" s="347">
        <f>$O95*U97</f>
        <v>18.638999999999999</v>
      </c>
      <c r="F95" s="349">
        <v>18.638999999999999</v>
      </c>
      <c r="G95" s="347">
        <f>O95*U99</f>
        <v>49.703999999999994</v>
      </c>
      <c r="H95" s="350">
        <v>79</v>
      </c>
      <c r="I95" s="347">
        <f>$O95*U101</f>
        <v>49.703999999999994</v>
      </c>
      <c r="J95" s="350">
        <v>40</v>
      </c>
      <c r="K95" s="347">
        <f>O95*U101</f>
        <v>49.703999999999994</v>
      </c>
      <c r="L95" s="348">
        <v>49.7</v>
      </c>
      <c r="M95" s="347">
        <f>O95*U103</f>
        <v>10.355</v>
      </c>
      <c r="N95" s="348">
        <v>10.355</v>
      </c>
      <c r="O95" s="364">
        <v>207.1</v>
      </c>
      <c r="P95" s="365">
        <f t="shared" ref="P95:P99" si="23">SUM(D95,F95,H95,L95,N95)</f>
        <v>236.39199999999997</v>
      </c>
      <c r="Q95" s="370">
        <f t="shared" ref="Q95:Q99" si="24">P95/O95</f>
        <v>1.1414389183969096</v>
      </c>
      <c r="R95" s="371">
        <f t="shared" ref="R95:R99" si="25">P95/$P$14</f>
        <v>0.72447103243680577</v>
      </c>
      <c r="T95" s="548" t="s">
        <v>130</v>
      </c>
      <c r="U95" s="540">
        <v>0.33</v>
      </c>
    </row>
    <row r="96" spans="1:23" ht="15" customHeight="1" outlineLevel="1">
      <c r="A96" s="262">
        <v>2</v>
      </c>
      <c r="B96" s="346" t="s">
        <v>154</v>
      </c>
      <c r="C96" s="347">
        <f>$O96*U95</f>
        <v>9.1080000000000005</v>
      </c>
      <c r="D96" s="348">
        <v>10.488</v>
      </c>
      <c r="E96" s="347">
        <f>O96*U97</f>
        <v>2.484</v>
      </c>
      <c r="F96" s="349">
        <v>2.484</v>
      </c>
      <c r="G96" s="347">
        <f>O96*U99</f>
        <v>6.6239999999999997</v>
      </c>
      <c r="H96" s="350">
        <v>6</v>
      </c>
      <c r="I96" s="347">
        <f>$O96*U101</f>
        <v>6.6239999999999997</v>
      </c>
      <c r="J96" s="350">
        <v>5</v>
      </c>
      <c r="K96" s="347">
        <f>O96*U101</f>
        <v>6.6239999999999997</v>
      </c>
      <c r="L96" s="348">
        <v>6.6</v>
      </c>
      <c r="M96" s="347">
        <f>O96*U103</f>
        <v>1.3800000000000001</v>
      </c>
      <c r="N96" s="348">
        <v>1.38</v>
      </c>
      <c r="O96" s="364">
        <v>27.6</v>
      </c>
      <c r="P96" s="365">
        <f t="shared" si="23"/>
        <v>26.952000000000002</v>
      </c>
      <c r="Q96" s="370">
        <f t="shared" si="24"/>
        <v>0.97652173913043483</v>
      </c>
      <c r="R96" s="371">
        <f t="shared" si="25"/>
        <v>8.2599847990781378E-2</v>
      </c>
      <c r="T96" s="549"/>
      <c r="U96" s="533"/>
    </row>
    <row r="97" spans="1:21" ht="15" customHeight="1" outlineLevel="1">
      <c r="A97" s="262">
        <v>3</v>
      </c>
      <c r="B97" s="346" t="s">
        <v>155</v>
      </c>
      <c r="C97" s="347">
        <f>O97*U95</f>
        <v>4.5540000000000003</v>
      </c>
      <c r="D97" s="348">
        <v>5.2439999999999998</v>
      </c>
      <c r="E97" s="347">
        <f>O97*U97</f>
        <v>1.242</v>
      </c>
      <c r="F97" s="349">
        <v>1.242</v>
      </c>
      <c r="G97" s="347">
        <f>O97*U99</f>
        <v>3.3119999999999998</v>
      </c>
      <c r="H97" s="350">
        <v>3</v>
      </c>
      <c r="I97" s="347">
        <f>$O97*U101</f>
        <v>3.3119999999999998</v>
      </c>
      <c r="J97" s="350">
        <v>4</v>
      </c>
      <c r="K97" s="347">
        <f>O97*U101</f>
        <v>3.3119999999999998</v>
      </c>
      <c r="L97" s="348">
        <v>3.3</v>
      </c>
      <c r="M97" s="347">
        <f>O97*U103</f>
        <v>0.69000000000000006</v>
      </c>
      <c r="N97" s="348">
        <v>0.69</v>
      </c>
      <c r="O97" s="364">
        <v>13.8</v>
      </c>
      <c r="P97" s="365">
        <f t="shared" si="23"/>
        <v>13.476000000000001</v>
      </c>
      <c r="Q97" s="370">
        <f t="shared" si="24"/>
        <v>0.97652173913043483</v>
      </c>
      <c r="R97" s="371">
        <f t="shared" si="25"/>
        <v>4.1299923995390689E-2</v>
      </c>
      <c r="T97" s="550" t="s">
        <v>131</v>
      </c>
      <c r="U97" s="532">
        <v>0.09</v>
      </c>
    </row>
    <row r="98" spans="1:21" ht="15" customHeight="1" outlineLevel="1">
      <c r="A98" s="262">
        <v>4</v>
      </c>
      <c r="B98" s="346" t="s">
        <v>156</v>
      </c>
      <c r="C98" s="347">
        <f>O98*U95</f>
        <v>4.5540000000000003</v>
      </c>
      <c r="D98" s="348">
        <v>5.2439999999999998</v>
      </c>
      <c r="E98" s="347">
        <f>O98*U97</f>
        <v>1.242</v>
      </c>
      <c r="F98" s="349">
        <v>1.242</v>
      </c>
      <c r="G98" s="347">
        <f>O98*U99</f>
        <v>3.3119999999999998</v>
      </c>
      <c r="H98" s="350">
        <v>3</v>
      </c>
      <c r="I98" s="347">
        <f>$O98*U101</f>
        <v>3.3119999999999998</v>
      </c>
      <c r="J98" s="350">
        <v>4.5</v>
      </c>
      <c r="K98" s="347">
        <f>O98*U101</f>
        <v>3.3119999999999998</v>
      </c>
      <c r="L98" s="348">
        <v>3.3</v>
      </c>
      <c r="M98" s="347">
        <f>O98*U103</f>
        <v>0.69000000000000006</v>
      </c>
      <c r="N98" s="348">
        <v>0.69</v>
      </c>
      <c r="O98" s="364">
        <v>13.8</v>
      </c>
      <c r="P98" s="365">
        <f t="shared" si="23"/>
        <v>13.476000000000001</v>
      </c>
      <c r="Q98" s="370">
        <f t="shared" si="24"/>
        <v>0.97652173913043483</v>
      </c>
      <c r="R98" s="371">
        <f t="shared" si="25"/>
        <v>4.1299923995390689E-2</v>
      </c>
      <c r="T98" s="549"/>
      <c r="U98" s="533"/>
    </row>
    <row r="99" spans="1:21" ht="15" customHeight="1" outlineLevel="1">
      <c r="A99" s="262">
        <v>5</v>
      </c>
      <c r="B99" s="346" t="s">
        <v>157</v>
      </c>
      <c r="C99" s="347">
        <f>O99*U95</f>
        <v>11.88</v>
      </c>
      <c r="D99" s="348">
        <v>10</v>
      </c>
      <c r="E99" s="347">
        <f>O99*U97</f>
        <v>3.2399999999999998</v>
      </c>
      <c r="F99" s="349">
        <v>10</v>
      </c>
      <c r="G99" s="347">
        <f>O99*U99</f>
        <v>8.64</v>
      </c>
      <c r="H99" s="350">
        <v>10</v>
      </c>
      <c r="I99" s="347">
        <f>$O99*U101</f>
        <v>8.64</v>
      </c>
      <c r="J99" s="350">
        <v>9</v>
      </c>
      <c r="K99" s="347">
        <f>O99*U101</f>
        <v>8.64</v>
      </c>
      <c r="L99" s="348">
        <v>5</v>
      </c>
      <c r="M99" s="347">
        <f>O99*U103</f>
        <v>1.8</v>
      </c>
      <c r="N99" s="348">
        <v>1</v>
      </c>
      <c r="O99" s="364">
        <v>36</v>
      </c>
      <c r="P99" s="365">
        <f t="shared" si="23"/>
        <v>36</v>
      </c>
      <c r="Q99" s="370">
        <f t="shared" si="24"/>
        <v>1</v>
      </c>
      <c r="R99" s="371">
        <f t="shared" si="25"/>
        <v>0.1103292715816314</v>
      </c>
      <c r="T99" s="551" t="s">
        <v>132</v>
      </c>
      <c r="U99" s="532">
        <v>0.24</v>
      </c>
    </row>
    <row r="100" spans="1:21" ht="15" customHeight="1" outlineLevel="1">
      <c r="A100" s="262">
        <v>6</v>
      </c>
      <c r="B100" s="346" t="s">
        <v>158</v>
      </c>
      <c r="C100" s="351">
        <f>SUM(C95:C99)</f>
        <v>98.439000000000007</v>
      </c>
      <c r="D100" s="351">
        <f>SUM(D95:D99)</f>
        <v>109.67399999999999</v>
      </c>
      <c r="E100" s="351">
        <f t="shared" ref="E100:J100" si="26">SUM(E95:E99)</f>
        <v>26.846999999999998</v>
      </c>
      <c r="F100" s="351">
        <f t="shared" si="26"/>
        <v>33.606999999999999</v>
      </c>
      <c r="G100" s="351">
        <f t="shared" si="26"/>
        <v>71.591999999999985</v>
      </c>
      <c r="H100" s="351">
        <f t="shared" si="26"/>
        <v>101</v>
      </c>
      <c r="I100" s="351">
        <f t="shared" si="26"/>
        <v>71.591999999999985</v>
      </c>
      <c r="J100" s="366">
        <f t="shared" si="26"/>
        <v>62.5</v>
      </c>
      <c r="K100" s="366">
        <f t="shared" ref="K100:P100" si="27">SUM(K95:K99)</f>
        <v>71.591999999999985</v>
      </c>
      <c r="L100" s="366">
        <f t="shared" si="27"/>
        <v>67.900000000000006</v>
      </c>
      <c r="M100" s="366">
        <f t="shared" si="27"/>
        <v>14.915000000000001</v>
      </c>
      <c r="N100" s="366">
        <f t="shared" si="27"/>
        <v>14.114999999999998</v>
      </c>
      <c r="O100" s="367">
        <f t="shared" si="27"/>
        <v>298.3</v>
      </c>
      <c r="P100" s="368">
        <f t="shared" si="27"/>
        <v>326.29599999999999</v>
      </c>
      <c r="Q100" s="370"/>
      <c r="R100" s="371"/>
      <c r="T100" s="552"/>
      <c r="U100" s="533"/>
    </row>
    <row r="101" spans="1:21" ht="15" customHeight="1" outlineLevel="1">
      <c r="A101" s="352">
        <v>7</v>
      </c>
      <c r="B101" s="353" t="s">
        <v>159</v>
      </c>
      <c r="C101" s="573">
        <v>120</v>
      </c>
      <c r="D101" s="574"/>
      <c r="E101" s="573">
        <v>125</v>
      </c>
      <c r="F101" s="574"/>
      <c r="G101" s="573">
        <v>125</v>
      </c>
      <c r="H101" s="574"/>
      <c r="I101" s="573">
        <v>125</v>
      </c>
      <c r="J101" s="575"/>
      <c r="K101" s="573">
        <v>125</v>
      </c>
      <c r="L101" s="574"/>
      <c r="M101" s="573">
        <v>125</v>
      </c>
      <c r="N101" s="574"/>
      <c r="O101" s="573">
        <f t="shared" ref="O101:O105" si="28">M101</f>
        <v>125</v>
      </c>
      <c r="P101" s="574"/>
      <c r="Q101" s="370"/>
      <c r="R101" s="373"/>
      <c r="T101" s="550" t="s">
        <v>133</v>
      </c>
      <c r="U101" s="534">
        <v>0.24</v>
      </c>
    </row>
    <row r="102" spans="1:21" s="204" customFormat="1" ht="15" customHeight="1" outlineLevel="1">
      <c r="A102" s="352">
        <v>8</v>
      </c>
      <c r="B102" s="353" t="s">
        <v>160</v>
      </c>
      <c r="C102" s="564">
        <f t="shared" ref="C102:G102" si="29">D100/C100</f>
        <v>1.1141315941852312</v>
      </c>
      <c r="D102" s="565"/>
      <c r="E102" s="564">
        <f t="shared" si="29"/>
        <v>1.2517972212910196</v>
      </c>
      <c r="F102" s="565"/>
      <c r="G102" s="564">
        <f t="shared" si="29"/>
        <v>1.4107721533132196</v>
      </c>
      <c r="H102" s="565"/>
      <c r="I102" s="564">
        <f t="shared" ref="I102:M102" si="30">J100/I100</f>
        <v>0.87300257011956661</v>
      </c>
      <c r="J102" s="568"/>
      <c r="K102" s="564">
        <f t="shared" si="30"/>
        <v>0.94842999217789725</v>
      </c>
      <c r="L102" s="565"/>
      <c r="M102" s="564">
        <f t="shared" si="30"/>
        <v>0.94636272209185368</v>
      </c>
      <c r="N102" s="565"/>
      <c r="O102" s="564">
        <f>P100/O100</f>
        <v>1.0938518270197788</v>
      </c>
      <c r="P102" s="565"/>
      <c r="Q102" s="370"/>
      <c r="R102" s="373"/>
      <c r="T102" s="549"/>
      <c r="U102" s="535"/>
    </row>
    <row r="103" spans="1:21" s="204" customFormat="1" ht="15" customHeight="1" outlineLevel="1">
      <c r="A103" s="352">
        <v>9</v>
      </c>
      <c r="B103" s="353" t="s">
        <v>161</v>
      </c>
      <c r="C103" s="562">
        <f t="shared" ref="C103:G103" si="31">D100/C100-1</f>
        <v>0.11413159418523122</v>
      </c>
      <c r="D103" s="563"/>
      <c r="E103" s="562">
        <f t="shared" si="31"/>
        <v>0.25179722129101956</v>
      </c>
      <c r="F103" s="563"/>
      <c r="G103" s="562">
        <f t="shared" si="31"/>
        <v>0.41077215331321959</v>
      </c>
      <c r="H103" s="563"/>
      <c r="I103" s="562">
        <f t="shared" ref="I103:M103" si="32">J100/I100-1</f>
        <v>-0.12699742988043339</v>
      </c>
      <c r="J103" s="568"/>
      <c r="K103" s="562">
        <f t="shared" si="32"/>
        <v>-5.1570007822102748E-2</v>
      </c>
      <c r="L103" s="563"/>
      <c r="M103" s="562">
        <f t="shared" si="32"/>
        <v>-5.3637277908146319E-2</v>
      </c>
      <c r="N103" s="563"/>
      <c r="O103" s="562">
        <f>P100/O100-1</f>
        <v>9.3851827019778788E-2</v>
      </c>
      <c r="P103" s="563"/>
      <c r="Q103" s="370"/>
      <c r="R103" s="545"/>
      <c r="T103" s="372" t="s">
        <v>134</v>
      </c>
      <c r="U103" s="374">
        <v>0.05</v>
      </c>
    </row>
    <row r="104" spans="1:21" s="339" customFormat="1" ht="15" customHeight="1" outlineLevel="1">
      <c r="A104" s="352">
        <v>10</v>
      </c>
      <c r="B104" s="354" t="s">
        <v>162</v>
      </c>
      <c r="C104" s="562">
        <f>D100/C100-100%</f>
        <v>0.11413159418523122</v>
      </c>
      <c r="D104" s="563"/>
      <c r="E104" s="562">
        <f>(D100+F100)/(C100+E100)-100%</f>
        <v>0.14363137142218618</v>
      </c>
      <c r="F104" s="563"/>
      <c r="G104" s="562">
        <f>(D100+F100+H100)/(C100+E100+G100)-100%</f>
        <v>0.24077347392801651</v>
      </c>
      <c r="H104" s="563"/>
      <c r="I104" s="562">
        <f>(D100+F100+H100+J100)/(C100+E100+G100+I100)-100%</f>
        <v>0.14270123291242975</v>
      </c>
      <c r="J104" s="568"/>
      <c r="K104" s="562">
        <f>(D100+F100+H100+L100)/(C100+E100+G100+K100)-100%</f>
        <v>0.16281521212798489</v>
      </c>
      <c r="L104" s="563"/>
      <c r="M104" s="562">
        <f>(D100+F100+H100+L100+N100)/(C100+E100+G100+K100+M100)-100%</f>
        <v>0.15142297581029363</v>
      </c>
      <c r="N104" s="563"/>
      <c r="O104" s="562">
        <f t="shared" si="28"/>
        <v>0.15142297581029363</v>
      </c>
      <c r="P104" s="563"/>
      <c r="Q104" s="370"/>
      <c r="R104" s="546"/>
      <c r="T104" s="375" t="s">
        <v>135</v>
      </c>
      <c r="U104" s="376">
        <v>0.05</v>
      </c>
    </row>
    <row r="105" spans="1:21" s="339" customFormat="1" ht="15" customHeight="1" outlineLevel="1">
      <c r="A105" s="355">
        <v>11</v>
      </c>
      <c r="B105" s="356" t="s">
        <v>163</v>
      </c>
      <c r="C105" s="569">
        <f t="shared" ref="C105:G105" si="33">D95/$P95</f>
        <v>0.33291312734779521</v>
      </c>
      <c r="D105" s="570"/>
      <c r="E105" s="569">
        <f t="shared" si="33"/>
        <v>7.884784595079361E-2</v>
      </c>
      <c r="F105" s="570"/>
      <c r="G105" s="569">
        <f t="shared" si="33"/>
        <v>0.33419066635080719</v>
      </c>
      <c r="H105" s="570"/>
      <c r="I105" s="569">
        <f>J95/$P95</f>
        <v>0.16921046397509223</v>
      </c>
      <c r="J105" s="571"/>
      <c r="K105" s="569">
        <f>L95/P95</f>
        <v>0.21024400148905212</v>
      </c>
      <c r="L105" s="570"/>
      <c r="M105" s="569">
        <f>N95/P95</f>
        <v>4.3804358861552005E-2</v>
      </c>
      <c r="N105" s="570"/>
      <c r="O105" s="569">
        <f t="shared" si="28"/>
        <v>4.3804358861552005E-2</v>
      </c>
      <c r="P105" s="570"/>
      <c r="Q105" s="377"/>
      <c r="R105" s="547"/>
      <c r="T105" s="42"/>
      <c r="U105" s="42"/>
    </row>
    <row r="106" spans="1:21" outlineLevel="1">
      <c r="A106" s="357"/>
      <c r="B106" s="182"/>
      <c r="C106" s="358"/>
      <c r="D106" s="358"/>
      <c r="E106" s="358"/>
      <c r="F106" s="358"/>
      <c r="G106" s="358"/>
      <c r="H106" s="358"/>
      <c r="I106" s="358"/>
      <c r="J106" s="358"/>
      <c r="K106" s="358"/>
      <c r="L106" s="358"/>
      <c r="M106" s="358"/>
      <c r="N106" s="358"/>
      <c r="O106" s="358"/>
      <c r="P106" s="358"/>
      <c r="Q106" s="358"/>
      <c r="R106" s="182"/>
    </row>
    <row r="107" spans="1:21" outlineLevel="1">
      <c r="B107" s="353" t="s">
        <v>164</v>
      </c>
      <c r="C107" s="353"/>
      <c r="D107" s="353"/>
      <c r="E107" s="353" t="s">
        <v>130</v>
      </c>
      <c r="F107" s="353" t="s">
        <v>131</v>
      </c>
      <c r="G107" s="353" t="s">
        <v>132</v>
      </c>
      <c r="H107" s="353" t="s">
        <v>133</v>
      </c>
      <c r="I107" s="353" t="s">
        <v>134</v>
      </c>
      <c r="J107" s="353" t="s">
        <v>135</v>
      </c>
    </row>
    <row r="108" spans="1:21" ht="12" customHeight="1" outlineLevel="1">
      <c r="B108" s="557" t="s">
        <v>165</v>
      </c>
      <c r="C108" s="559" t="s">
        <v>166</v>
      </c>
      <c r="D108" s="160" t="s">
        <v>167</v>
      </c>
      <c r="E108" s="359">
        <v>0</v>
      </c>
      <c r="F108" s="359">
        <v>1.5E-3</v>
      </c>
      <c r="G108" s="359">
        <v>7.9474874860599995E-2</v>
      </c>
      <c r="H108" s="359">
        <v>0.09</v>
      </c>
      <c r="I108" s="359">
        <v>0.08</v>
      </c>
      <c r="J108" s="359">
        <v>0</v>
      </c>
    </row>
    <row r="109" spans="1:21" outlineLevel="1">
      <c r="B109" s="558"/>
      <c r="C109" s="560"/>
      <c r="D109" s="161" t="s">
        <v>168</v>
      </c>
      <c r="E109" s="161">
        <v>0.55000000000000004</v>
      </c>
      <c r="F109" s="161">
        <v>0.34710524803163401</v>
      </c>
      <c r="G109" s="161">
        <v>0.96250000000000002</v>
      </c>
      <c r="H109" s="161">
        <v>0.80957050162269195</v>
      </c>
      <c r="I109" s="161">
        <v>0.7</v>
      </c>
      <c r="J109" s="161">
        <v>0.12920000000000001</v>
      </c>
      <c r="Q109" s="42" t="s">
        <v>130</v>
      </c>
      <c r="R109" s="378">
        <f>C104</f>
        <v>0.11413159418523122</v>
      </c>
    </row>
    <row r="110" spans="1:21" outlineLevel="1">
      <c r="B110" s="558"/>
      <c r="C110" s="561"/>
      <c r="D110" s="160" t="s">
        <v>169</v>
      </c>
      <c r="E110" s="359">
        <v>1.49306241508338</v>
      </c>
      <c r="F110" s="359">
        <v>0.69269999999999998</v>
      </c>
      <c r="G110" s="359">
        <v>1.8455251251394</v>
      </c>
      <c r="H110" s="359">
        <v>1.5289999999999999</v>
      </c>
      <c r="I110" s="359">
        <v>1.3</v>
      </c>
      <c r="J110" s="359">
        <v>0.28420000000000001</v>
      </c>
      <c r="Q110" s="42" t="s">
        <v>131</v>
      </c>
      <c r="R110" s="378">
        <f>E104</f>
        <v>0.14363137142218618</v>
      </c>
    </row>
    <row r="111" spans="1:21" outlineLevel="1">
      <c r="B111" s="558"/>
      <c r="C111" s="360" t="s">
        <v>152</v>
      </c>
      <c r="D111" s="271" t="s">
        <v>170</v>
      </c>
      <c r="E111" s="361">
        <f>D100/C101</f>
        <v>0.91394999999999993</v>
      </c>
      <c r="F111" s="361">
        <f>F100/E101</f>
        <v>0.26885599999999998</v>
      </c>
      <c r="G111" s="361">
        <f>H100/G101</f>
        <v>0.80800000000000005</v>
      </c>
      <c r="H111" s="361">
        <f>L100/K101</f>
        <v>0.54320000000000002</v>
      </c>
      <c r="I111" s="369">
        <f>L100/K101</f>
        <v>0.54320000000000002</v>
      </c>
      <c r="J111" s="369">
        <f>N100/M101</f>
        <v>0.11291999999999999</v>
      </c>
      <c r="Q111" s="42" t="s">
        <v>132</v>
      </c>
      <c r="R111" s="378">
        <f>G104</f>
        <v>0.24077347392801651</v>
      </c>
    </row>
    <row r="112" spans="1:21" outlineLevel="1">
      <c r="Q112" s="42" t="s">
        <v>133</v>
      </c>
      <c r="R112" s="378">
        <f>I104</f>
        <v>0.14270123291242975</v>
      </c>
    </row>
    <row r="113" spans="1:18" outlineLevel="1">
      <c r="Q113" s="42" t="s">
        <v>134</v>
      </c>
      <c r="R113" s="378">
        <f>K104</f>
        <v>0.16281521212798489</v>
      </c>
    </row>
    <row r="114" spans="1:18" outlineLevel="1">
      <c r="Q114" s="42" t="s">
        <v>135</v>
      </c>
      <c r="R114" s="378">
        <f>M104</f>
        <v>0.15142297581029363</v>
      </c>
    </row>
    <row r="115" spans="1:18" outlineLevel="1"/>
    <row r="116" spans="1:18" outlineLevel="1"/>
    <row r="117" spans="1:18" outlineLevel="1"/>
    <row r="118" spans="1:18" outlineLevel="1"/>
    <row r="119" spans="1:18" outlineLevel="1"/>
    <row r="120" spans="1:18" outlineLevel="1"/>
    <row r="121" spans="1:18" outlineLevel="1"/>
    <row r="122" spans="1:18" outlineLevel="1"/>
    <row r="123" spans="1:18" ht="14.25" customHeight="1" outlineLevel="1"/>
    <row r="124" spans="1:18" outlineLevel="1"/>
    <row r="125" spans="1:18" ht="14.25" outlineLevel="1">
      <c r="A125" s="362"/>
    </row>
    <row r="126" spans="1:18" outlineLevel="1">
      <c r="Q126" s="42" t="s">
        <v>130</v>
      </c>
      <c r="R126" s="42">
        <f>D100</f>
        <v>109.67399999999999</v>
      </c>
    </row>
    <row r="127" spans="1:18" outlineLevel="1">
      <c r="Q127" s="42" t="s">
        <v>131</v>
      </c>
      <c r="R127" s="42">
        <f>F100</f>
        <v>33.606999999999999</v>
      </c>
    </row>
    <row r="128" spans="1:18" outlineLevel="1">
      <c r="Q128" s="42" t="s">
        <v>132</v>
      </c>
      <c r="R128" s="42">
        <f>H100</f>
        <v>101</v>
      </c>
    </row>
    <row r="129" spans="17:23" ht="12" customHeight="1" outlineLevel="1">
      <c r="Q129" s="42" t="s">
        <v>133</v>
      </c>
      <c r="R129" s="42">
        <f>J100</f>
        <v>62.5</v>
      </c>
      <c r="V129" s="42" t="s">
        <v>153</v>
      </c>
      <c r="W129" s="379">
        <f>R95</f>
        <v>0.72447103243680577</v>
      </c>
    </row>
    <row r="130" spans="17:23" outlineLevel="1">
      <c r="Q130" s="42" t="s">
        <v>134</v>
      </c>
      <c r="R130" s="42">
        <f>L100</f>
        <v>67.900000000000006</v>
      </c>
      <c r="V130" s="42" t="s">
        <v>154</v>
      </c>
      <c r="W130" s="379">
        <f t="shared" ref="W130:W133" si="34">R96</f>
        <v>8.2599847990781378E-2</v>
      </c>
    </row>
    <row r="131" spans="17:23" outlineLevel="1">
      <c r="Q131" s="42" t="s">
        <v>135</v>
      </c>
      <c r="R131" s="42">
        <f>N100</f>
        <v>14.114999999999998</v>
      </c>
      <c r="V131" s="42" t="s">
        <v>155</v>
      </c>
      <c r="W131" s="379">
        <f t="shared" si="34"/>
        <v>4.1299923995390689E-2</v>
      </c>
    </row>
    <row r="132" spans="17:23" ht="13.5" customHeight="1" outlineLevel="1">
      <c r="V132" s="42" t="s">
        <v>156</v>
      </c>
      <c r="W132" s="379">
        <f t="shared" si="34"/>
        <v>4.1299923995390689E-2</v>
      </c>
    </row>
    <row r="133" spans="17:23" outlineLevel="1">
      <c r="V133" s="42" t="s">
        <v>171</v>
      </c>
      <c r="W133" s="379">
        <f t="shared" si="34"/>
        <v>0.1103292715816314</v>
      </c>
    </row>
    <row r="134" spans="17:23" outlineLevel="1"/>
  </sheetData>
  <mergeCells count="175">
    <mergeCell ref="A1:R1"/>
    <mergeCell ref="C7:D7"/>
    <mergeCell ref="E7:F7"/>
    <mergeCell ref="G7:H7"/>
    <mergeCell ref="I7:J7"/>
    <mergeCell ref="K7:L7"/>
    <mergeCell ref="M7:N7"/>
    <mergeCell ref="O7:P7"/>
    <mergeCell ref="C15:D15"/>
    <mergeCell ref="E15:F15"/>
    <mergeCell ref="G15:H15"/>
    <mergeCell ref="I15:J15"/>
    <mergeCell ref="K15:L15"/>
    <mergeCell ref="M15:N15"/>
    <mergeCell ref="O15:P15"/>
    <mergeCell ref="A7:A8"/>
    <mergeCell ref="Q7:Q8"/>
    <mergeCell ref="E16:F16"/>
    <mergeCell ref="G16:H16"/>
    <mergeCell ref="I16:J16"/>
    <mergeCell ref="K16:L16"/>
    <mergeCell ref="M16:N16"/>
    <mergeCell ref="O16:P16"/>
    <mergeCell ref="C17:D17"/>
    <mergeCell ref="E17:F17"/>
    <mergeCell ref="G17:H17"/>
    <mergeCell ref="I17:J17"/>
    <mergeCell ref="K17:L17"/>
    <mergeCell ref="M17:N17"/>
    <mergeCell ref="O17:P17"/>
    <mergeCell ref="E18:F18"/>
    <mergeCell ref="G18:H18"/>
    <mergeCell ref="I18:J18"/>
    <mergeCell ref="K18:L18"/>
    <mergeCell ref="M18:N18"/>
    <mergeCell ref="O18:P18"/>
    <mergeCell ref="C19:D19"/>
    <mergeCell ref="E19:F19"/>
    <mergeCell ref="G19:H19"/>
    <mergeCell ref="I19:J19"/>
    <mergeCell ref="K19:L19"/>
    <mergeCell ref="M19:N19"/>
    <mergeCell ref="O19:P19"/>
    <mergeCell ref="E51:F51"/>
    <mergeCell ref="G51:H51"/>
    <mergeCell ref="I51:J51"/>
    <mergeCell ref="K51:L51"/>
    <mergeCell ref="M51:N51"/>
    <mergeCell ref="O51:P51"/>
    <mergeCell ref="C59:D59"/>
    <mergeCell ref="E59:F59"/>
    <mergeCell ref="G59:H59"/>
    <mergeCell ref="I59:J59"/>
    <mergeCell ref="K59:L59"/>
    <mergeCell ref="M59:N59"/>
    <mergeCell ref="O59:P59"/>
    <mergeCell ref="E60:F60"/>
    <mergeCell ref="G60:H60"/>
    <mergeCell ref="I60:J60"/>
    <mergeCell ref="K60:L60"/>
    <mergeCell ref="M60:N60"/>
    <mergeCell ref="O60:P60"/>
    <mergeCell ref="C61:D61"/>
    <mergeCell ref="E61:F61"/>
    <mergeCell ref="G61:H61"/>
    <mergeCell ref="I61:J61"/>
    <mergeCell ref="K61:L61"/>
    <mergeCell ref="M61:N61"/>
    <mergeCell ref="O61:P61"/>
    <mergeCell ref="E62:F62"/>
    <mergeCell ref="G62:H62"/>
    <mergeCell ref="I62:J62"/>
    <mergeCell ref="K62:L62"/>
    <mergeCell ref="M62:N62"/>
    <mergeCell ref="O62:P62"/>
    <mergeCell ref="C63:D63"/>
    <mergeCell ref="E63:F63"/>
    <mergeCell ref="G63:H63"/>
    <mergeCell ref="I63:J63"/>
    <mergeCell ref="K63:L63"/>
    <mergeCell ref="M63:N63"/>
    <mergeCell ref="O63:P63"/>
    <mergeCell ref="E93:F93"/>
    <mergeCell ref="G93:H93"/>
    <mergeCell ref="I93:J93"/>
    <mergeCell ref="K93:L93"/>
    <mergeCell ref="M93:N93"/>
    <mergeCell ref="O93:P93"/>
    <mergeCell ref="C101:D101"/>
    <mergeCell ref="E101:F101"/>
    <mergeCell ref="G101:H101"/>
    <mergeCell ref="I101:J101"/>
    <mergeCell ref="K101:L101"/>
    <mergeCell ref="M101:N101"/>
    <mergeCell ref="O101:P101"/>
    <mergeCell ref="E102:F102"/>
    <mergeCell ref="G102:H102"/>
    <mergeCell ref="I102:J102"/>
    <mergeCell ref="K102:L102"/>
    <mergeCell ref="M102:N102"/>
    <mergeCell ref="O102:P102"/>
    <mergeCell ref="C103:D103"/>
    <mergeCell ref="E103:F103"/>
    <mergeCell ref="G103:H103"/>
    <mergeCell ref="I103:J103"/>
    <mergeCell ref="K103:L103"/>
    <mergeCell ref="M103:N103"/>
    <mergeCell ref="O103:P103"/>
    <mergeCell ref="E104:F104"/>
    <mergeCell ref="G104:H104"/>
    <mergeCell ref="I104:J104"/>
    <mergeCell ref="K104:L104"/>
    <mergeCell ref="M104:N104"/>
    <mergeCell ref="O104:P104"/>
    <mergeCell ref="C105:D105"/>
    <mergeCell ref="E105:F105"/>
    <mergeCell ref="G105:H105"/>
    <mergeCell ref="I105:J105"/>
    <mergeCell ref="K105:L105"/>
    <mergeCell ref="M105:N105"/>
    <mergeCell ref="O105:P105"/>
    <mergeCell ref="A51:A52"/>
    <mergeCell ref="A93:A94"/>
    <mergeCell ref="B7:B8"/>
    <mergeCell ref="B22:B25"/>
    <mergeCell ref="B51:B52"/>
    <mergeCell ref="B66:B69"/>
    <mergeCell ref="B93:B94"/>
    <mergeCell ref="B108:B111"/>
    <mergeCell ref="C22:C24"/>
    <mergeCell ref="C66:C68"/>
    <mergeCell ref="C108:C110"/>
    <mergeCell ref="C104:D104"/>
    <mergeCell ref="C102:D102"/>
    <mergeCell ref="C93:D93"/>
    <mergeCell ref="C62:D62"/>
    <mergeCell ref="C60:D60"/>
    <mergeCell ref="C51:D51"/>
    <mergeCell ref="C18:D18"/>
    <mergeCell ref="C16:D16"/>
    <mergeCell ref="Q51:Q52"/>
    <mergeCell ref="Q93:Q94"/>
    <mergeCell ref="R7:R8"/>
    <mergeCell ref="R17:R19"/>
    <mergeCell ref="R51:R52"/>
    <mergeCell ref="R61:R63"/>
    <mergeCell ref="R93:R94"/>
    <mergeCell ref="R103:R105"/>
    <mergeCell ref="T9:T10"/>
    <mergeCell ref="T11:T12"/>
    <mergeCell ref="T13:T14"/>
    <mergeCell ref="T15:T16"/>
    <mergeCell ref="T53:T54"/>
    <mergeCell ref="T55:T56"/>
    <mergeCell ref="T57:T58"/>
    <mergeCell ref="T59:T60"/>
    <mergeCell ref="T95:T96"/>
    <mergeCell ref="T97:T98"/>
    <mergeCell ref="T99:T100"/>
    <mergeCell ref="T101:T102"/>
    <mergeCell ref="U97:U98"/>
    <mergeCell ref="U99:U100"/>
    <mergeCell ref="U101:U102"/>
    <mergeCell ref="T93:U94"/>
    <mergeCell ref="T51:U52"/>
    <mergeCell ref="T7:U8"/>
    <mergeCell ref="U9:U10"/>
    <mergeCell ref="U11:U12"/>
    <mergeCell ref="U13:U14"/>
    <mergeCell ref="U15:U16"/>
    <mergeCell ref="U53:U54"/>
    <mergeCell ref="U55:U56"/>
    <mergeCell ref="U57:U58"/>
    <mergeCell ref="U59:U60"/>
    <mergeCell ref="U95:U96"/>
  </mergeCells>
  <phoneticPr fontId="126" type="noConversion"/>
  <pageMargins left="0.69930555555555596" right="0.69930555555555596" top="0.75" bottom="0.75" header="0.3" footer="0.3"/>
  <pageSetup paperSize="9" orientation="portrait"/>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7"/>
  <sheetViews>
    <sheetView topLeftCell="A25" workbookViewId="0">
      <selection activeCell="G51" sqref="G51"/>
    </sheetView>
  </sheetViews>
  <sheetFormatPr defaultColWidth="9" defaultRowHeight="12"/>
  <cols>
    <col min="1" max="1" width="10.125" style="251" customWidth="1"/>
    <col min="2" max="3" width="11.875" style="252" customWidth="1"/>
    <col min="4" max="4" width="11" style="252" customWidth="1"/>
    <col min="5" max="5" width="11.125" style="253" customWidth="1"/>
    <col min="6" max="6" width="17" style="253" customWidth="1"/>
    <col min="7" max="7" width="18.125" style="253" customWidth="1"/>
    <col min="8" max="9" width="11.375" style="42" customWidth="1"/>
    <col min="10" max="10" width="12.375" style="42" customWidth="1"/>
    <col min="11" max="11" width="12.75" style="42" customWidth="1"/>
    <col min="12" max="12" width="15.375" style="42" customWidth="1"/>
    <col min="13" max="256" width="9" style="42"/>
    <col min="257" max="257" width="10.125" style="42" customWidth="1"/>
    <col min="258" max="259" width="11.875" style="42" customWidth="1"/>
    <col min="260" max="260" width="11" style="42" customWidth="1"/>
    <col min="261" max="261" width="11.125" style="42" customWidth="1"/>
    <col min="262" max="262" width="18.5" style="42" customWidth="1"/>
    <col min="263" max="263" width="18.125" style="42" customWidth="1"/>
    <col min="264" max="265" width="11.375" style="42" customWidth="1"/>
    <col min="266" max="266" width="12.375" style="42" customWidth="1"/>
    <col min="267" max="267" width="12.75" style="42" customWidth="1"/>
    <col min="268" max="268" width="15.375" style="42" customWidth="1"/>
    <col min="269" max="512" width="9" style="42"/>
    <col min="513" max="513" width="10.125" style="42" customWidth="1"/>
    <col min="514" max="515" width="11.875" style="42" customWidth="1"/>
    <col min="516" max="516" width="11" style="42" customWidth="1"/>
    <col min="517" max="517" width="11.125" style="42" customWidth="1"/>
    <col min="518" max="518" width="18.5" style="42" customWidth="1"/>
    <col min="519" max="519" width="18.125" style="42" customWidth="1"/>
    <col min="520" max="521" width="11.375" style="42" customWidth="1"/>
    <col min="522" max="522" width="12.375" style="42" customWidth="1"/>
    <col min="523" max="523" width="12.75" style="42" customWidth="1"/>
    <col min="524" max="524" width="15.375" style="42" customWidth="1"/>
    <col min="525" max="768" width="9" style="42"/>
    <col min="769" max="769" width="10.125" style="42" customWidth="1"/>
    <col min="770" max="771" width="11.875" style="42" customWidth="1"/>
    <col min="772" max="772" width="11" style="42" customWidth="1"/>
    <col min="773" max="773" width="11.125" style="42" customWidth="1"/>
    <col min="774" max="774" width="18.5" style="42" customWidth="1"/>
    <col min="775" max="775" width="18.125" style="42" customWidth="1"/>
    <col min="776" max="777" width="11.375" style="42" customWidth="1"/>
    <col min="778" max="778" width="12.375" style="42" customWidth="1"/>
    <col min="779" max="779" width="12.75" style="42" customWidth="1"/>
    <col min="780" max="780" width="15.375" style="42" customWidth="1"/>
    <col min="781" max="1024" width="9" style="42"/>
    <col min="1025" max="1025" width="10.125" style="42" customWidth="1"/>
    <col min="1026" max="1027" width="11.875" style="42" customWidth="1"/>
    <col min="1028" max="1028" width="11" style="42" customWidth="1"/>
    <col min="1029" max="1029" width="11.125" style="42" customWidth="1"/>
    <col min="1030" max="1030" width="18.5" style="42" customWidth="1"/>
    <col min="1031" max="1031" width="18.125" style="42" customWidth="1"/>
    <col min="1032" max="1033" width="11.375" style="42" customWidth="1"/>
    <col min="1034" max="1034" width="12.375" style="42" customWidth="1"/>
    <col min="1035" max="1035" width="12.75" style="42" customWidth="1"/>
    <col min="1036" max="1036" width="15.375" style="42" customWidth="1"/>
    <col min="1037" max="1280" width="9" style="42"/>
    <col min="1281" max="1281" width="10.125" style="42" customWidth="1"/>
    <col min="1282" max="1283" width="11.875" style="42" customWidth="1"/>
    <col min="1284" max="1284" width="11" style="42" customWidth="1"/>
    <col min="1285" max="1285" width="11.125" style="42" customWidth="1"/>
    <col min="1286" max="1286" width="18.5" style="42" customWidth="1"/>
    <col min="1287" max="1287" width="18.125" style="42" customWidth="1"/>
    <col min="1288" max="1289" width="11.375" style="42" customWidth="1"/>
    <col min="1290" max="1290" width="12.375" style="42" customWidth="1"/>
    <col min="1291" max="1291" width="12.75" style="42" customWidth="1"/>
    <col min="1292" max="1292" width="15.375" style="42" customWidth="1"/>
    <col min="1293" max="1536" width="9" style="42"/>
    <col min="1537" max="1537" width="10.125" style="42" customWidth="1"/>
    <col min="1538" max="1539" width="11.875" style="42" customWidth="1"/>
    <col min="1540" max="1540" width="11" style="42" customWidth="1"/>
    <col min="1541" max="1541" width="11.125" style="42" customWidth="1"/>
    <col min="1542" max="1542" width="18.5" style="42" customWidth="1"/>
    <col min="1543" max="1543" width="18.125" style="42" customWidth="1"/>
    <col min="1544" max="1545" width="11.375" style="42" customWidth="1"/>
    <col min="1546" max="1546" width="12.375" style="42" customWidth="1"/>
    <col min="1547" max="1547" width="12.75" style="42" customWidth="1"/>
    <col min="1548" max="1548" width="15.375" style="42" customWidth="1"/>
    <col min="1549" max="1792" width="9" style="42"/>
    <col min="1793" max="1793" width="10.125" style="42" customWidth="1"/>
    <col min="1794" max="1795" width="11.875" style="42" customWidth="1"/>
    <col min="1796" max="1796" width="11" style="42" customWidth="1"/>
    <col min="1797" max="1797" width="11.125" style="42" customWidth="1"/>
    <col min="1798" max="1798" width="18.5" style="42" customWidth="1"/>
    <col min="1799" max="1799" width="18.125" style="42" customWidth="1"/>
    <col min="1800" max="1801" width="11.375" style="42" customWidth="1"/>
    <col min="1802" max="1802" width="12.375" style="42" customWidth="1"/>
    <col min="1803" max="1803" width="12.75" style="42" customWidth="1"/>
    <col min="1804" max="1804" width="15.375" style="42" customWidth="1"/>
    <col min="1805" max="2048" width="9" style="42"/>
    <col min="2049" max="2049" width="10.125" style="42" customWidth="1"/>
    <col min="2050" max="2051" width="11.875" style="42" customWidth="1"/>
    <col min="2052" max="2052" width="11" style="42" customWidth="1"/>
    <col min="2053" max="2053" width="11.125" style="42" customWidth="1"/>
    <col min="2054" max="2054" width="18.5" style="42" customWidth="1"/>
    <col min="2055" max="2055" width="18.125" style="42" customWidth="1"/>
    <col min="2056" max="2057" width="11.375" style="42" customWidth="1"/>
    <col min="2058" max="2058" width="12.375" style="42" customWidth="1"/>
    <col min="2059" max="2059" width="12.75" style="42" customWidth="1"/>
    <col min="2060" max="2060" width="15.375" style="42" customWidth="1"/>
    <col min="2061" max="2304" width="9" style="42"/>
    <col min="2305" max="2305" width="10.125" style="42" customWidth="1"/>
    <col min="2306" max="2307" width="11.875" style="42" customWidth="1"/>
    <col min="2308" max="2308" width="11" style="42" customWidth="1"/>
    <col min="2309" max="2309" width="11.125" style="42" customWidth="1"/>
    <col min="2310" max="2310" width="18.5" style="42" customWidth="1"/>
    <col min="2311" max="2311" width="18.125" style="42" customWidth="1"/>
    <col min="2312" max="2313" width="11.375" style="42" customWidth="1"/>
    <col min="2314" max="2314" width="12.375" style="42" customWidth="1"/>
    <col min="2315" max="2315" width="12.75" style="42" customWidth="1"/>
    <col min="2316" max="2316" width="15.375" style="42" customWidth="1"/>
    <col min="2317" max="2560" width="9" style="42"/>
    <col min="2561" max="2561" width="10.125" style="42" customWidth="1"/>
    <col min="2562" max="2563" width="11.875" style="42" customWidth="1"/>
    <col min="2564" max="2564" width="11" style="42" customWidth="1"/>
    <col min="2565" max="2565" width="11.125" style="42" customWidth="1"/>
    <col min="2566" max="2566" width="18.5" style="42" customWidth="1"/>
    <col min="2567" max="2567" width="18.125" style="42" customWidth="1"/>
    <col min="2568" max="2569" width="11.375" style="42" customWidth="1"/>
    <col min="2570" max="2570" width="12.375" style="42" customWidth="1"/>
    <col min="2571" max="2571" width="12.75" style="42" customWidth="1"/>
    <col min="2572" max="2572" width="15.375" style="42" customWidth="1"/>
    <col min="2573" max="2816" width="9" style="42"/>
    <col min="2817" max="2817" width="10.125" style="42" customWidth="1"/>
    <col min="2818" max="2819" width="11.875" style="42" customWidth="1"/>
    <col min="2820" max="2820" width="11" style="42" customWidth="1"/>
    <col min="2821" max="2821" width="11.125" style="42" customWidth="1"/>
    <col min="2822" max="2822" width="18.5" style="42" customWidth="1"/>
    <col min="2823" max="2823" width="18.125" style="42" customWidth="1"/>
    <col min="2824" max="2825" width="11.375" style="42" customWidth="1"/>
    <col min="2826" max="2826" width="12.375" style="42" customWidth="1"/>
    <col min="2827" max="2827" width="12.75" style="42" customWidth="1"/>
    <col min="2828" max="2828" width="15.375" style="42" customWidth="1"/>
    <col min="2829" max="3072" width="9" style="42"/>
    <col min="3073" max="3073" width="10.125" style="42" customWidth="1"/>
    <col min="3074" max="3075" width="11.875" style="42" customWidth="1"/>
    <col min="3076" max="3076" width="11" style="42" customWidth="1"/>
    <col min="3077" max="3077" width="11.125" style="42" customWidth="1"/>
    <col min="3078" max="3078" width="18.5" style="42" customWidth="1"/>
    <col min="3079" max="3079" width="18.125" style="42" customWidth="1"/>
    <col min="3080" max="3081" width="11.375" style="42" customWidth="1"/>
    <col min="3082" max="3082" width="12.375" style="42" customWidth="1"/>
    <col min="3083" max="3083" width="12.75" style="42" customWidth="1"/>
    <col min="3084" max="3084" width="15.375" style="42" customWidth="1"/>
    <col min="3085" max="3328" width="9" style="42"/>
    <col min="3329" max="3329" width="10.125" style="42" customWidth="1"/>
    <col min="3330" max="3331" width="11.875" style="42" customWidth="1"/>
    <col min="3332" max="3332" width="11" style="42" customWidth="1"/>
    <col min="3333" max="3333" width="11.125" style="42" customWidth="1"/>
    <col min="3334" max="3334" width="18.5" style="42" customWidth="1"/>
    <col min="3335" max="3335" width="18.125" style="42" customWidth="1"/>
    <col min="3336" max="3337" width="11.375" style="42" customWidth="1"/>
    <col min="3338" max="3338" width="12.375" style="42" customWidth="1"/>
    <col min="3339" max="3339" width="12.75" style="42" customWidth="1"/>
    <col min="3340" max="3340" width="15.375" style="42" customWidth="1"/>
    <col min="3341" max="3584" width="9" style="42"/>
    <col min="3585" max="3585" width="10.125" style="42" customWidth="1"/>
    <col min="3586" max="3587" width="11.875" style="42" customWidth="1"/>
    <col min="3588" max="3588" width="11" style="42" customWidth="1"/>
    <col min="3589" max="3589" width="11.125" style="42" customWidth="1"/>
    <col min="3590" max="3590" width="18.5" style="42" customWidth="1"/>
    <col min="3591" max="3591" width="18.125" style="42" customWidth="1"/>
    <col min="3592" max="3593" width="11.375" style="42" customWidth="1"/>
    <col min="3594" max="3594" width="12.375" style="42" customWidth="1"/>
    <col min="3595" max="3595" width="12.75" style="42" customWidth="1"/>
    <col min="3596" max="3596" width="15.375" style="42" customWidth="1"/>
    <col min="3597" max="3840" width="9" style="42"/>
    <col min="3841" max="3841" width="10.125" style="42" customWidth="1"/>
    <col min="3842" max="3843" width="11.875" style="42" customWidth="1"/>
    <col min="3844" max="3844" width="11" style="42" customWidth="1"/>
    <col min="3845" max="3845" width="11.125" style="42" customWidth="1"/>
    <col min="3846" max="3846" width="18.5" style="42" customWidth="1"/>
    <col min="3847" max="3847" width="18.125" style="42" customWidth="1"/>
    <col min="3848" max="3849" width="11.375" style="42" customWidth="1"/>
    <col min="3850" max="3850" width="12.375" style="42" customWidth="1"/>
    <col min="3851" max="3851" width="12.75" style="42" customWidth="1"/>
    <col min="3852" max="3852" width="15.375" style="42" customWidth="1"/>
    <col min="3853" max="4096" width="9" style="42"/>
    <col min="4097" max="4097" width="10.125" style="42" customWidth="1"/>
    <col min="4098" max="4099" width="11.875" style="42" customWidth="1"/>
    <col min="4100" max="4100" width="11" style="42" customWidth="1"/>
    <col min="4101" max="4101" width="11.125" style="42" customWidth="1"/>
    <col min="4102" max="4102" width="18.5" style="42" customWidth="1"/>
    <col min="4103" max="4103" width="18.125" style="42" customWidth="1"/>
    <col min="4104" max="4105" width="11.375" style="42" customWidth="1"/>
    <col min="4106" max="4106" width="12.375" style="42" customWidth="1"/>
    <col min="4107" max="4107" width="12.75" style="42" customWidth="1"/>
    <col min="4108" max="4108" width="15.375" style="42" customWidth="1"/>
    <col min="4109" max="4352" width="9" style="42"/>
    <col min="4353" max="4353" width="10.125" style="42" customWidth="1"/>
    <col min="4354" max="4355" width="11.875" style="42" customWidth="1"/>
    <col min="4356" max="4356" width="11" style="42" customWidth="1"/>
    <col min="4357" max="4357" width="11.125" style="42" customWidth="1"/>
    <col min="4358" max="4358" width="18.5" style="42" customWidth="1"/>
    <col min="4359" max="4359" width="18.125" style="42" customWidth="1"/>
    <col min="4360" max="4361" width="11.375" style="42" customWidth="1"/>
    <col min="4362" max="4362" width="12.375" style="42" customWidth="1"/>
    <col min="4363" max="4363" width="12.75" style="42" customWidth="1"/>
    <col min="4364" max="4364" width="15.375" style="42" customWidth="1"/>
    <col min="4365" max="4608" width="9" style="42"/>
    <col min="4609" max="4609" width="10.125" style="42" customWidth="1"/>
    <col min="4610" max="4611" width="11.875" style="42" customWidth="1"/>
    <col min="4612" max="4612" width="11" style="42" customWidth="1"/>
    <col min="4613" max="4613" width="11.125" style="42" customWidth="1"/>
    <col min="4614" max="4614" width="18.5" style="42" customWidth="1"/>
    <col min="4615" max="4615" width="18.125" style="42" customWidth="1"/>
    <col min="4616" max="4617" width="11.375" style="42" customWidth="1"/>
    <col min="4618" max="4618" width="12.375" style="42" customWidth="1"/>
    <col min="4619" max="4619" width="12.75" style="42" customWidth="1"/>
    <col min="4620" max="4620" width="15.375" style="42" customWidth="1"/>
    <col min="4621" max="4864" width="9" style="42"/>
    <col min="4865" max="4865" width="10.125" style="42" customWidth="1"/>
    <col min="4866" max="4867" width="11.875" style="42" customWidth="1"/>
    <col min="4868" max="4868" width="11" style="42" customWidth="1"/>
    <col min="4869" max="4869" width="11.125" style="42" customWidth="1"/>
    <col min="4870" max="4870" width="18.5" style="42" customWidth="1"/>
    <col min="4871" max="4871" width="18.125" style="42" customWidth="1"/>
    <col min="4872" max="4873" width="11.375" style="42" customWidth="1"/>
    <col min="4874" max="4874" width="12.375" style="42" customWidth="1"/>
    <col min="4875" max="4875" width="12.75" style="42" customWidth="1"/>
    <col min="4876" max="4876" width="15.375" style="42" customWidth="1"/>
    <col min="4877" max="5120" width="9" style="42"/>
    <col min="5121" max="5121" width="10.125" style="42" customWidth="1"/>
    <col min="5122" max="5123" width="11.875" style="42" customWidth="1"/>
    <col min="5124" max="5124" width="11" style="42" customWidth="1"/>
    <col min="5125" max="5125" width="11.125" style="42" customWidth="1"/>
    <col min="5126" max="5126" width="18.5" style="42" customWidth="1"/>
    <col min="5127" max="5127" width="18.125" style="42" customWidth="1"/>
    <col min="5128" max="5129" width="11.375" style="42" customWidth="1"/>
    <col min="5130" max="5130" width="12.375" style="42" customWidth="1"/>
    <col min="5131" max="5131" width="12.75" style="42" customWidth="1"/>
    <col min="5132" max="5132" width="15.375" style="42" customWidth="1"/>
    <col min="5133" max="5376" width="9" style="42"/>
    <col min="5377" max="5377" width="10.125" style="42" customWidth="1"/>
    <col min="5378" max="5379" width="11.875" style="42" customWidth="1"/>
    <col min="5380" max="5380" width="11" style="42" customWidth="1"/>
    <col min="5381" max="5381" width="11.125" style="42" customWidth="1"/>
    <col min="5382" max="5382" width="18.5" style="42" customWidth="1"/>
    <col min="5383" max="5383" width="18.125" style="42" customWidth="1"/>
    <col min="5384" max="5385" width="11.375" style="42" customWidth="1"/>
    <col min="5386" max="5386" width="12.375" style="42" customWidth="1"/>
    <col min="5387" max="5387" width="12.75" style="42" customWidth="1"/>
    <col min="5388" max="5388" width="15.375" style="42" customWidth="1"/>
    <col min="5389" max="5632" width="9" style="42"/>
    <col min="5633" max="5633" width="10.125" style="42" customWidth="1"/>
    <col min="5634" max="5635" width="11.875" style="42" customWidth="1"/>
    <col min="5636" max="5636" width="11" style="42" customWidth="1"/>
    <col min="5637" max="5637" width="11.125" style="42" customWidth="1"/>
    <col min="5638" max="5638" width="18.5" style="42" customWidth="1"/>
    <col min="5639" max="5639" width="18.125" style="42" customWidth="1"/>
    <col min="5640" max="5641" width="11.375" style="42" customWidth="1"/>
    <col min="5642" max="5642" width="12.375" style="42" customWidth="1"/>
    <col min="5643" max="5643" width="12.75" style="42" customWidth="1"/>
    <col min="5644" max="5644" width="15.375" style="42" customWidth="1"/>
    <col min="5645" max="5888" width="9" style="42"/>
    <col min="5889" max="5889" width="10.125" style="42" customWidth="1"/>
    <col min="5890" max="5891" width="11.875" style="42" customWidth="1"/>
    <col min="5892" max="5892" width="11" style="42" customWidth="1"/>
    <col min="5893" max="5893" width="11.125" style="42" customWidth="1"/>
    <col min="5894" max="5894" width="18.5" style="42" customWidth="1"/>
    <col min="5895" max="5895" width="18.125" style="42" customWidth="1"/>
    <col min="5896" max="5897" width="11.375" style="42" customWidth="1"/>
    <col min="5898" max="5898" width="12.375" style="42" customWidth="1"/>
    <col min="5899" max="5899" width="12.75" style="42" customWidth="1"/>
    <col min="5900" max="5900" width="15.375" style="42" customWidth="1"/>
    <col min="5901" max="6144" width="9" style="42"/>
    <col min="6145" max="6145" width="10.125" style="42" customWidth="1"/>
    <col min="6146" max="6147" width="11.875" style="42" customWidth="1"/>
    <col min="6148" max="6148" width="11" style="42" customWidth="1"/>
    <col min="6149" max="6149" width="11.125" style="42" customWidth="1"/>
    <col min="6150" max="6150" width="18.5" style="42" customWidth="1"/>
    <col min="6151" max="6151" width="18.125" style="42" customWidth="1"/>
    <col min="6152" max="6153" width="11.375" style="42" customWidth="1"/>
    <col min="6154" max="6154" width="12.375" style="42" customWidth="1"/>
    <col min="6155" max="6155" width="12.75" style="42" customWidth="1"/>
    <col min="6156" max="6156" width="15.375" style="42" customWidth="1"/>
    <col min="6157" max="6400" width="9" style="42"/>
    <col min="6401" max="6401" width="10.125" style="42" customWidth="1"/>
    <col min="6402" max="6403" width="11.875" style="42" customWidth="1"/>
    <col min="6404" max="6404" width="11" style="42" customWidth="1"/>
    <col min="6405" max="6405" width="11.125" style="42" customWidth="1"/>
    <col min="6406" max="6406" width="18.5" style="42" customWidth="1"/>
    <col min="6407" max="6407" width="18.125" style="42" customWidth="1"/>
    <col min="6408" max="6409" width="11.375" style="42" customWidth="1"/>
    <col min="6410" max="6410" width="12.375" style="42" customWidth="1"/>
    <col min="6411" max="6411" width="12.75" style="42" customWidth="1"/>
    <col min="6412" max="6412" width="15.375" style="42" customWidth="1"/>
    <col min="6413" max="6656" width="9" style="42"/>
    <col min="6657" max="6657" width="10.125" style="42" customWidth="1"/>
    <col min="6658" max="6659" width="11.875" style="42" customWidth="1"/>
    <col min="6660" max="6660" width="11" style="42" customWidth="1"/>
    <col min="6661" max="6661" width="11.125" style="42" customWidth="1"/>
    <col min="6662" max="6662" width="18.5" style="42" customWidth="1"/>
    <col min="6663" max="6663" width="18.125" style="42" customWidth="1"/>
    <col min="6664" max="6665" width="11.375" style="42" customWidth="1"/>
    <col min="6666" max="6666" width="12.375" style="42" customWidth="1"/>
    <col min="6667" max="6667" width="12.75" style="42" customWidth="1"/>
    <col min="6668" max="6668" width="15.375" style="42" customWidth="1"/>
    <col min="6669" max="6912" width="9" style="42"/>
    <col min="6913" max="6913" width="10.125" style="42" customWidth="1"/>
    <col min="6914" max="6915" width="11.875" style="42" customWidth="1"/>
    <col min="6916" max="6916" width="11" style="42" customWidth="1"/>
    <col min="6917" max="6917" width="11.125" style="42" customWidth="1"/>
    <col min="6918" max="6918" width="18.5" style="42" customWidth="1"/>
    <col min="6919" max="6919" width="18.125" style="42" customWidth="1"/>
    <col min="6920" max="6921" width="11.375" style="42" customWidth="1"/>
    <col min="6922" max="6922" width="12.375" style="42" customWidth="1"/>
    <col min="6923" max="6923" width="12.75" style="42" customWidth="1"/>
    <col min="6924" max="6924" width="15.375" style="42" customWidth="1"/>
    <col min="6925" max="7168" width="9" style="42"/>
    <col min="7169" max="7169" width="10.125" style="42" customWidth="1"/>
    <col min="7170" max="7171" width="11.875" style="42" customWidth="1"/>
    <col min="7172" max="7172" width="11" style="42" customWidth="1"/>
    <col min="7173" max="7173" width="11.125" style="42" customWidth="1"/>
    <col min="7174" max="7174" width="18.5" style="42" customWidth="1"/>
    <col min="7175" max="7175" width="18.125" style="42" customWidth="1"/>
    <col min="7176" max="7177" width="11.375" style="42" customWidth="1"/>
    <col min="7178" max="7178" width="12.375" style="42" customWidth="1"/>
    <col min="7179" max="7179" width="12.75" style="42" customWidth="1"/>
    <col min="7180" max="7180" width="15.375" style="42" customWidth="1"/>
    <col min="7181" max="7424" width="9" style="42"/>
    <col min="7425" max="7425" width="10.125" style="42" customWidth="1"/>
    <col min="7426" max="7427" width="11.875" style="42" customWidth="1"/>
    <col min="7428" max="7428" width="11" style="42" customWidth="1"/>
    <col min="7429" max="7429" width="11.125" style="42" customWidth="1"/>
    <col min="7430" max="7430" width="18.5" style="42" customWidth="1"/>
    <col min="7431" max="7431" width="18.125" style="42" customWidth="1"/>
    <col min="7432" max="7433" width="11.375" style="42" customWidth="1"/>
    <col min="7434" max="7434" width="12.375" style="42" customWidth="1"/>
    <col min="7435" max="7435" width="12.75" style="42" customWidth="1"/>
    <col min="7436" max="7436" width="15.375" style="42" customWidth="1"/>
    <col min="7437" max="7680" width="9" style="42"/>
    <col min="7681" max="7681" width="10.125" style="42" customWidth="1"/>
    <col min="7682" max="7683" width="11.875" style="42" customWidth="1"/>
    <col min="7684" max="7684" width="11" style="42" customWidth="1"/>
    <col min="7685" max="7685" width="11.125" style="42" customWidth="1"/>
    <col min="7686" max="7686" width="18.5" style="42" customWidth="1"/>
    <col min="7687" max="7687" width="18.125" style="42" customWidth="1"/>
    <col min="7688" max="7689" width="11.375" style="42" customWidth="1"/>
    <col min="7690" max="7690" width="12.375" style="42" customWidth="1"/>
    <col min="7691" max="7691" width="12.75" style="42" customWidth="1"/>
    <col min="7692" max="7692" width="15.375" style="42" customWidth="1"/>
    <col min="7693" max="7936" width="9" style="42"/>
    <col min="7937" max="7937" width="10.125" style="42" customWidth="1"/>
    <col min="7938" max="7939" width="11.875" style="42" customWidth="1"/>
    <col min="7940" max="7940" width="11" style="42" customWidth="1"/>
    <col min="7941" max="7941" width="11.125" style="42" customWidth="1"/>
    <col min="7942" max="7942" width="18.5" style="42" customWidth="1"/>
    <col min="7943" max="7943" width="18.125" style="42" customWidth="1"/>
    <col min="7944" max="7945" width="11.375" style="42" customWidth="1"/>
    <col min="7946" max="7946" width="12.375" style="42" customWidth="1"/>
    <col min="7947" max="7947" width="12.75" style="42" customWidth="1"/>
    <col min="7948" max="7948" width="15.375" style="42" customWidth="1"/>
    <col min="7949" max="8192" width="9" style="42"/>
    <col min="8193" max="8193" width="10.125" style="42" customWidth="1"/>
    <col min="8194" max="8195" width="11.875" style="42" customWidth="1"/>
    <col min="8196" max="8196" width="11" style="42" customWidth="1"/>
    <col min="8197" max="8197" width="11.125" style="42" customWidth="1"/>
    <col min="8198" max="8198" width="18.5" style="42" customWidth="1"/>
    <col min="8199" max="8199" width="18.125" style="42" customWidth="1"/>
    <col min="8200" max="8201" width="11.375" style="42" customWidth="1"/>
    <col min="8202" max="8202" width="12.375" style="42" customWidth="1"/>
    <col min="8203" max="8203" width="12.75" style="42" customWidth="1"/>
    <col min="8204" max="8204" width="15.375" style="42" customWidth="1"/>
    <col min="8205" max="8448" width="9" style="42"/>
    <col min="8449" max="8449" width="10.125" style="42" customWidth="1"/>
    <col min="8450" max="8451" width="11.875" style="42" customWidth="1"/>
    <col min="8452" max="8452" width="11" style="42" customWidth="1"/>
    <col min="8453" max="8453" width="11.125" style="42" customWidth="1"/>
    <col min="8454" max="8454" width="18.5" style="42" customWidth="1"/>
    <col min="8455" max="8455" width="18.125" style="42" customWidth="1"/>
    <col min="8456" max="8457" width="11.375" style="42" customWidth="1"/>
    <col min="8458" max="8458" width="12.375" style="42" customWidth="1"/>
    <col min="8459" max="8459" width="12.75" style="42" customWidth="1"/>
    <col min="8460" max="8460" width="15.375" style="42" customWidth="1"/>
    <col min="8461" max="8704" width="9" style="42"/>
    <col min="8705" max="8705" width="10.125" style="42" customWidth="1"/>
    <col min="8706" max="8707" width="11.875" style="42" customWidth="1"/>
    <col min="8708" max="8708" width="11" style="42" customWidth="1"/>
    <col min="8709" max="8709" width="11.125" style="42" customWidth="1"/>
    <col min="8710" max="8710" width="18.5" style="42" customWidth="1"/>
    <col min="8711" max="8711" width="18.125" style="42" customWidth="1"/>
    <col min="8712" max="8713" width="11.375" style="42" customWidth="1"/>
    <col min="8714" max="8714" width="12.375" style="42" customWidth="1"/>
    <col min="8715" max="8715" width="12.75" style="42" customWidth="1"/>
    <col min="8716" max="8716" width="15.375" style="42" customWidth="1"/>
    <col min="8717" max="8960" width="9" style="42"/>
    <col min="8961" max="8961" width="10.125" style="42" customWidth="1"/>
    <col min="8962" max="8963" width="11.875" style="42" customWidth="1"/>
    <col min="8964" max="8964" width="11" style="42" customWidth="1"/>
    <col min="8965" max="8965" width="11.125" style="42" customWidth="1"/>
    <col min="8966" max="8966" width="18.5" style="42" customWidth="1"/>
    <col min="8967" max="8967" width="18.125" style="42" customWidth="1"/>
    <col min="8968" max="8969" width="11.375" style="42" customWidth="1"/>
    <col min="8970" max="8970" width="12.375" style="42" customWidth="1"/>
    <col min="8971" max="8971" width="12.75" style="42" customWidth="1"/>
    <col min="8972" max="8972" width="15.375" style="42" customWidth="1"/>
    <col min="8973" max="9216" width="9" style="42"/>
    <col min="9217" max="9217" width="10.125" style="42" customWidth="1"/>
    <col min="9218" max="9219" width="11.875" style="42" customWidth="1"/>
    <col min="9220" max="9220" width="11" style="42" customWidth="1"/>
    <col min="9221" max="9221" width="11.125" style="42" customWidth="1"/>
    <col min="9222" max="9222" width="18.5" style="42" customWidth="1"/>
    <col min="9223" max="9223" width="18.125" style="42" customWidth="1"/>
    <col min="9224" max="9225" width="11.375" style="42" customWidth="1"/>
    <col min="9226" max="9226" width="12.375" style="42" customWidth="1"/>
    <col min="9227" max="9227" width="12.75" style="42" customWidth="1"/>
    <col min="9228" max="9228" width="15.375" style="42" customWidth="1"/>
    <col min="9229" max="9472" width="9" style="42"/>
    <col min="9473" max="9473" width="10.125" style="42" customWidth="1"/>
    <col min="9474" max="9475" width="11.875" style="42" customWidth="1"/>
    <col min="9476" max="9476" width="11" style="42" customWidth="1"/>
    <col min="9477" max="9477" width="11.125" style="42" customWidth="1"/>
    <col min="9478" max="9478" width="18.5" style="42" customWidth="1"/>
    <col min="9479" max="9479" width="18.125" style="42" customWidth="1"/>
    <col min="9480" max="9481" width="11.375" style="42" customWidth="1"/>
    <col min="9482" max="9482" width="12.375" style="42" customWidth="1"/>
    <col min="9483" max="9483" width="12.75" style="42" customWidth="1"/>
    <col min="9484" max="9484" width="15.375" style="42" customWidth="1"/>
    <col min="9485" max="9728" width="9" style="42"/>
    <col min="9729" max="9729" width="10.125" style="42" customWidth="1"/>
    <col min="9730" max="9731" width="11.875" style="42" customWidth="1"/>
    <col min="9732" max="9732" width="11" style="42" customWidth="1"/>
    <col min="9733" max="9733" width="11.125" style="42" customWidth="1"/>
    <col min="9734" max="9734" width="18.5" style="42" customWidth="1"/>
    <col min="9735" max="9735" width="18.125" style="42" customWidth="1"/>
    <col min="9736" max="9737" width="11.375" style="42" customWidth="1"/>
    <col min="9738" max="9738" width="12.375" style="42" customWidth="1"/>
    <col min="9739" max="9739" width="12.75" style="42" customWidth="1"/>
    <col min="9740" max="9740" width="15.375" style="42" customWidth="1"/>
    <col min="9741" max="9984" width="9" style="42"/>
    <col min="9985" max="9985" width="10.125" style="42" customWidth="1"/>
    <col min="9986" max="9987" width="11.875" style="42" customWidth="1"/>
    <col min="9988" max="9988" width="11" style="42" customWidth="1"/>
    <col min="9989" max="9989" width="11.125" style="42" customWidth="1"/>
    <col min="9990" max="9990" width="18.5" style="42" customWidth="1"/>
    <col min="9991" max="9991" width="18.125" style="42" customWidth="1"/>
    <col min="9992" max="9993" width="11.375" style="42" customWidth="1"/>
    <col min="9994" max="9994" width="12.375" style="42" customWidth="1"/>
    <col min="9995" max="9995" width="12.75" style="42" customWidth="1"/>
    <col min="9996" max="9996" width="15.375" style="42" customWidth="1"/>
    <col min="9997" max="10240" width="9" style="42"/>
    <col min="10241" max="10241" width="10.125" style="42" customWidth="1"/>
    <col min="10242" max="10243" width="11.875" style="42" customWidth="1"/>
    <col min="10244" max="10244" width="11" style="42" customWidth="1"/>
    <col min="10245" max="10245" width="11.125" style="42" customWidth="1"/>
    <col min="10246" max="10246" width="18.5" style="42" customWidth="1"/>
    <col min="10247" max="10247" width="18.125" style="42" customWidth="1"/>
    <col min="10248" max="10249" width="11.375" style="42" customWidth="1"/>
    <col min="10250" max="10250" width="12.375" style="42" customWidth="1"/>
    <col min="10251" max="10251" width="12.75" style="42" customWidth="1"/>
    <col min="10252" max="10252" width="15.375" style="42" customWidth="1"/>
    <col min="10253" max="10496" width="9" style="42"/>
    <col min="10497" max="10497" width="10.125" style="42" customWidth="1"/>
    <col min="10498" max="10499" width="11.875" style="42" customWidth="1"/>
    <col min="10500" max="10500" width="11" style="42" customWidth="1"/>
    <col min="10501" max="10501" width="11.125" style="42" customWidth="1"/>
    <col min="10502" max="10502" width="18.5" style="42" customWidth="1"/>
    <col min="10503" max="10503" width="18.125" style="42" customWidth="1"/>
    <col min="10504" max="10505" width="11.375" style="42" customWidth="1"/>
    <col min="10506" max="10506" width="12.375" style="42" customWidth="1"/>
    <col min="10507" max="10507" width="12.75" style="42" customWidth="1"/>
    <col min="10508" max="10508" width="15.375" style="42" customWidth="1"/>
    <col min="10509" max="10752" width="9" style="42"/>
    <col min="10753" max="10753" width="10.125" style="42" customWidth="1"/>
    <col min="10754" max="10755" width="11.875" style="42" customWidth="1"/>
    <col min="10756" max="10756" width="11" style="42" customWidth="1"/>
    <col min="10757" max="10757" width="11.125" style="42" customWidth="1"/>
    <col min="10758" max="10758" width="18.5" style="42" customWidth="1"/>
    <col min="10759" max="10759" width="18.125" style="42" customWidth="1"/>
    <col min="10760" max="10761" width="11.375" style="42" customWidth="1"/>
    <col min="10762" max="10762" width="12.375" style="42" customWidth="1"/>
    <col min="10763" max="10763" width="12.75" style="42" customWidth="1"/>
    <col min="10764" max="10764" width="15.375" style="42" customWidth="1"/>
    <col min="10765" max="11008" width="9" style="42"/>
    <col min="11009" max="11009" width="10.125" style="42" customWidth="1"/>
    <col min="11010" max="11011" width="11.875" style="42" customWidth="1"/>
    <col min="11012" max="11012" width="11" style="42" customWidth="1"/>
    <col min="11013" max="11013" width="11.125" style="42" customWidth="1"/>
    <col min="11014" max="11014" width="18.5" style="42" customWidth="1"/>
    <col min="11015" max="11015" width="18.125" style="42" customWidth="1"/>
    <col min="11016" max="11017" width="11.375" style="42" customWidth="1"/>
    <col min="11018" max="11018" width="12.375" style="42" customWidth="1"/>
    <col min="11019" max="11019" width="12.75" style="42" customWidth="1"/>
    <col min="11020" max="11020" width="15.375" style="42" customWidth="1"/>
    <col min="11021" max="11264" width="9" style="42"/>
    <col min="11265" max="11265" width="10.125" style="42" customWidth="1"/>
    <col min="11266" max="11267" width="11.875" style="42" customWidth="1"/>
    <col min="11268" max="11268" width="11" style="42" customWidth="1"/>
    <col min="11269" max="11269" width="11.125" style="42" customWidth="1"/>
    <col min="11270" max="11270" width="18.5" style="42" customWidth="1"/>
    <col min="11271" max="11271" width="18.125" style="42" customWidth="1"/>
    <col min="11272" max="11273" width="11.375" style="42" customWidth="1"/>
    <col min="11274" max="11274" width="12.375" style="42" customWidth="1"/>
    <col min="11275" max="11275" width="12.75" style="42" customWidth="1"/>
    <col min="11276" max="11276" width="15.375" style="42" customWidth="1"/>
    <col min="11277" max="11520" width="9" style="42"/>
    <col min="11521" max="11521" width="10.125" style="42" customWidth="1"/>
    <col min="11522" max="11523" width="11.875" style="42" customWidth="1"/>
    <col min="11524" max="11524" width="11" style="42" customWidth="1"/>
    <col min="11525" max="11525" width="11.125" style="42" customWidth="1"/>
    <col min="11526" max="11526" width="18.5" style="42" customWidth="1"/>
    <col min="11527" max="11527" width="18.125" style="42" customWidth="1"/>
    <col min="11528" max="11529" width="11.375" style="42" customWidth="1"/>
    <col min="11530" max="11530" width="12.375" style="42" customWidth="1"/>
    <col min="11531" max="11531" width="12.75" style="42" customWidth="1"/>
    <col min="11532" max="11532" width="15.375" style="42" customWidth="1"/>
    <col min="11533" max="11776" width="9" style="42"/>
    <col min="11777" max="11777" width="10.125" style="42" customWidth="1"/>
    <col min="11778" max="11779" width="11.875" style="42" customWidth="1"/>
    <col min="11780" max="11780" width="11" style="42" customWidth="1"/>
    <col min="11781" max="11781" width="11.125" style="42" customWidth="1"/>
    <col min="11782" max="11782" width="18.5" style="42" customWidth="1"/>
    <col min="11783" max="11783" width="18.125" style="42" customWidth="1"/>
    <col min="11784" max="11785" width="11.375" style="42" customWidth="1"/>
    <col min="11786" max="11786" width="12.375" style="42" customWidth="1"/>
    <col min="11787" max="11787" width="12.75" style="42" customWidth="1"/>
    <col min="11788" max="11788" width="15.375" style="42" customWidth="1"/>
    <col min="11789" max="12032" width="9" style="42"/>
    <col min="12033" max="12033" width="10.125" style="42" customWidth="1"/>
    <col min="12034" max="12035" width="11.875" style="42" customWidth="1"/>
    <col min="12036" max="12036" width="11" style="42" customWidth="1"/>
    <col min="12037" max="12037" width="11.125" style="42" customWidth="1"/>
    <col min="12038" max="12038" width="18.5" style="42" customWidth="1"/>
    <col min="12039" max="12039" width="18.125" style="42" customWidth="1"/>
    <col min="12040" max="12041" width="11.375" style="42" customWidth="1"/>
    <col min="12042" max="12042" width="12.375" style="42" customWidth="1"/>
    <col min="12043" max="12043" width="12.75" style="42" customWidth="1"/>
    <col min="12044" max="12044" width="15.375" style="42" customWidth="1"/>
    <col min="12045" max="12288" width="9" style="42"/>
    <col min="12289" max="12289" width="10.125" style="42" customWidth="1"/>
    <col min="12290" max="12291" width="11.875" style="42" customWidth="1"/>
    <col min="12292" max="12292" width="11" style="42" customWidth="1"/>
    <col min="12293" max="12293" width="11.125" style="42" customWidth="1"/>
    <col min="12294" max="12294" width="18.5" style="42" customWidth="1"/>
    <col min="12295" max="12295" width="18.125" style="42" customWidth="1"/>
    <col min="12296" max="12297" width="11.375" style="42" customWidth="1"/>
    <col min="12298" max="12298" width="12.375" style="42" customWidth="1"/>
    <col min="12299" max="12299" width="12.75" style="42" customWidth="1"/>
    <col min="12300" max="12300" width="15.375" style="42" customWidth="1"/>
    <col min="12301" max="12544" width="9" style="42"/>
    <col min="12545" max="12545" width="10.125" style="42" customWidth="1"/>
    <col min="12546" max="12547" width="11.875" style="42" customWidth="1"/>
    <col min="12548" max="12548" width="11" style="42" customWidth="1"/>
    <col min="12549" max="12549" width="11.125" style="42" customWidth="1"/>
    <col min="12550" max="12550" width="18.5" style="42" customWidth="1"/>
    <col min="12551" max="12551" width="18.125" style="42" customWidth="1"/>
    <col min="12552" max="12553" width="11.375" style="42" customWidth="1"/>
    <col min="12554" max="12554" width="12.375" style="42" customWidth="1"/>
    <col min="12555" max="12555" width="12.75" style="42" customWidth="1"/>
    <col min="12556" max="12556" width="15.375" style="42" customWidth="1"/>
    <col min="12557" max="12800" width="9" style="42"/>
    <col min="12801" max="12801" width="10.125" style="42" customWidth="1"/>
    <col min="12802" max="12803" width="11.875" style="42" customWidth="1"/>
    <col min="12804" max="12804" width="11" style="42" customWidth="1"/>
    <col min="12805" max="12805" width="11.125" style="42" customWidth="1"/>
    <col min="12806" max="12806" width="18.5" style="42" customWidth="1"/>
    <col min="12807" max="12807" width="18.125" style="42" customWidth="1"/>
    <col min="12808" max="12809" width="11.375" style="42" customWidth="1"/>
    <col min="12810" max="12810" width="12.375" style="42" customWidth="1"/>
    <col min="12811" max="12811" width="12.75" style="42" customWidth="1"/>
    <col min="12812" max="12812" width="15.375" style="42" customWidth="1"/>
    <col min="12813" max="13056" width="9" style="42"/>
    <col min="13057" max="13057" width="10.125" style="42" customWidth="1"/>
    <col min="13058" max="13059" width="11.875" style="42" customWidth="1"/>
    <col min="13060" max="13060" width="11" style="42" customWidth="1"/>
    <col min="13061" max="13061" width="11.125" style="42" customWidth="1"/>
    <col min="13062" max="13062" width="18.5" style="42" customWidth="1"/>
    <col min="13063" max="13063" width="18.125" style="42" customWidth="1"/>
    <col min="13064" max="13065" width="11.375" style="42" customWidth="1"/>
    <col min="13066" max="13066" width="12.375" style="42" customWidth="1"/>
    <col min="13067" max="13067" width="12.75" style="42" customWidth="1"/>
    <col min="13068" max="13068" width="15.375" style="42" customWidth="1"/>
    <col min="13069" max="13312" width="9" style="42"/>
    <col min="13313" max="13313" width="10.125" style="42" customWidth="1"/>
    <col min="13314" max="13315" width="11.875" style="42" customWidth="1"/>
    <col min="13316" max="13316" width="11" style="42" customWidth="1"/>
    <col min="13317" max="13317" width="11.125" style="42" customWidth="1"/>
    <col min="13318" max="13318" width="18.5" style="42" customWidth="1"/>
    <col min="13319" max="13319" width="18.125" style="42" customWidth="1"/>
    <col min="13320" max="13321" width="11.375" style="42" customWidth="1"/>
    <col min="13322" max="13322" width="12.375" style="42" customWidth="1"/>
    <col min="13323" max="13323" width="12.75" style="42" customWidth="1"/>
    <col min="13324" max="13324" width="15.375" style="42" customWidth="1"/>
    <col min="13325" max="13568" width="9" style="42"/>
    <col min="13569" max="13569" width="10.125" style="42" customWidth="1"/>
    <col min="13570" max="13571" width="11.875" style="42" customWidth="1"/>
    <col min="13572" max="13572" width="11" style="42" customWidth="1"/>
    <col min="13573" max="13573" width="11.125" style="42" customWidth="1"/>
    <col min="13574" max="13574" width="18.5" style="42" customWidth="1"/>
    <col min="13575" max="13575" width="18.125" style="42" customWidth="1"/>
    <col min="13576" max="13577" width="11.375" style="42" customWidth="1"/>
    <col min="13578" max="13578" width="12.375" style="42" customWidth="1"/>
    <col min="13579" max="13579" width="12.75" style="42" customWidth="1"/>
    <col min="13580" max="13580" width="15.375" style="42" customWidth="1"/>
    <col min="13581" max="13824" width="9" style="42"/>
    <col min="13825" max="13825" width="10.125" style="42" customWidth="1"/>
    <col min="13826" max="13827" width="11.875" style="42" customWidth="1"/>
    <col min="13828" max="13828" width="11" style="42" customWidth="1"/>
    <col min="13829" max="13829" width="11.125" style="42" customWidth="1"/>
    <col min="13830" max="13830" width="18.5" style="42" customWidth="1"/>
    <col min="13831" max="13831" width="18.125" style="42" customWidth="1"/>
    <col min="13832" max="13833" width="11.375" style="42" customWidth="1"/>
    <col min="13834" max="13834" width="12.375" style="42" customWidth="1"/>
    <col min="13835" max="13835" width="12.75" style="42" customWidth="1"/>
    <col min="13836" max="13836" width="15.375" style="42" customWidth="1"/>
    <col min="13837" max="14080" width="9" style="42"/>
    <col min="14081" max="14081" width="10.125" style="42" customWidth="1"/>
    <col min="14082" max="14083" width="11.875" style="42" customWidth="1"/>
    <col min="14084" max="14084" width="11" style="42" customWidth="1"/>
    <col min="14085" max="14085" width="11.125" style="42" customWidth="1"/>
    <col min="14086" max="14086" width="18.5" style="42" customWidth="1"/>
    <col min="14087" max="14087" width="18.125" style="42" customWidth="1"/>
    <col min="14088" max="14089" width="11.375" style="42" customWidth="1"/>
    <col min="14090" max="14090" width="12.375" style="42" customWidth="1"/>
    <col min="14091" max="14091" width="12.75" style="42" customWidth="1"/>
    <col min="14092" max="14092" width="15.375" style="42" customWidth="1"/>
    <col min="14093" max="14336" width="9" style="42"/>
    <col min="14337" max="14337" width="10.125" style="42" customWidth="1"/>
    <col min="14338" max="14339" width="11.875" style="42" customWidth="1"/>
    <col min="14340" max="14340" width="11" style="42" customWidth="1"/>
    <col min="14341" max="14341" width="11.125" style="42" customWidth="1"/>
    <col min="14342" max="14342" width="18.5" style="42" customWidth="1"/>
    <col min="14343" max="14343" width="18.125" style="42" customWidth="1"/>
    <col min="14344" max="14345" width="11.375" style="42" customWidth="1"/>
    <col min="14346" max="14346" width="12.375" style="42" customWidth="1"/>
    <col min="14347" max="14347" width="12.75" style="42" customWidth="1"/>
    <col min="14348" max="14348" width="15.375" style="42" customWidth="1"/>
    <col min="14349" max="14592" width="9" style="42"/>
    <col min="14593" max="14593" width="10.125" style="42" customWidth="1"/>
    <col min="14594" max="14595" width="11.875" style="42" customWidth="1"/>
    <col min="14596" max="14596" width="11" style="42" customWidth="1"/>
    <col min="14597" max="14597" width="11.125" style="42" customWidth="1"/>
    <col min="14598" max="14598" width="18.5" style="42" customWidth="1"/>
    <col min="14599" max="14599" width="18.125" style="42" customWidth="1"/>
    <col min="14600" max="14601" width="11.375" style="42" customWidth="1"/>
    <col min="14602" max="14602" width="12.375" style="42" customWidth="1"/>
    <col min="14603" max="14603" width="12.75" style="42" customWidth="1"/>
    <col min="14604" max="14604" width="15.375" style="42" customWidth="1"/>
    <col min="14605" max="14848" width="9" style="42"/>
    <col min="14849" max="14849" width="10.125" style="42" customWidth="1"/>
    <col min="14850" max="14851" width="11.875" style="42" customWidth="1"/>
    <col min="14852" max="14852" width="11" style="42" customWidth="1"/>
    <col min="14853" max="14853" width="11.125" style="42" customWidth="1"/>
    <col min="14854" max="14854" width="18.5" style="42" customWidth="1"/>
    <col min="14855" max="14855" width="18.125" style="42" customWidth="1"/>
    <col min="14856" max="14857" width="11.375" style="42" customWidth="1"/>
    <col min="14858" max="14858" width="12.375" style="42" customWidth="1"/>
    <col min="14859" max="14859" width="12.75" style="42" customWidth="1"/>
    <col min="14860" max="14860" width="15.375" style="42" customWidth="1"/>
    <col min="14861" max="15104" width="9" style="42"/>
    <col min="15105" max="15105" width="10.125" style="42" customWidth="1"/>
    <col min="15106" max="15107" width="11.875" style="42" customWidth="1"/>
    <col min="15108" max="15108" width="11" style="42" customWidth="1"/>
    <col min="15109" max="15109" width="11.125" style="42" customWidth="1"/>
    <col min="15110" max="15110" width="18.5" style="42" customWidth="1"/>
    <col min="15111" max="15111" width="18.125" style="42" customWidth="1"/>
    <col min="15112" max="15113" width="11.375" style="42" customWidth="1"/>
    <col min="15114" max="15114" width="12.375" style="42" customWidth="1"/>
    <col min="15115" max="15115" width="12.75" style="42" customWidth="1"/>
    <col min="15116" max="15116" width="15.375" style="42" customWidth="1"/>
    <col min="15117" max="15360" width="9" style="42"/>
    <col min="15361" max="15361" width="10.125" style="42" customWidth="1"/>
    <col min="15362" max="15363" width="11.875" style="42" customWidth="1"/>
    <col min="15364" max="15364" width="11" style="42" customWidth="1"/>
    <col min="15365" max="15365" width="11.125" style="42" customWidth="1"/>
    <col min="15366" max="15366" width="18.5" style="42" customWidth="1"/>
    <col min="15367" max="15367" width="18.125" style="42" customWidth="1"/>
    <col min="15368" max="15369" width="11.375" style="42" customWidth="1"/>
    <col min="15370" max="15370" width="12.375" style="42" customWidth="1"/>
    <col min="15371" max="15371" width="12.75" style="42" customWidth="1"/>
    <col min="15372" max="15372" width="15.375" style="42" customWidth="1"/>
    <col min="15373" max="15616" width="9" style="42"/>
    <col min="15617" max="15617" width="10.125" style="42" customWidth="1"/>
    <col min="15618" max="15619" width="11.875" style="42" customWidth="1"/>
    <col min="15620" max="15620" width="11" style="42" customWidth="1"/>
    <col min="15621" max="15621" width="11.125" style="42" customWidth="1"/>
    <col min="15622" max="15622" width="18.5" style="42" customWidth="1"/>
    <col min="15623" max="15623" width="18.125" style="42" customWidth="1"/>
    <col min="15624" max="15625" width="11.375" style="42" customWidth="1"/>
    <col min="15626" max="15626" width="12.375" style="42" customWidth="1"/>
    <col min="15627" max="15627" width="12.75" style="42" customWidth="1"/>
    <col min="15628" max="15628" width="15.375" style="42" customWidth="1"/>
    <col min="15629" max="15872" width="9" style="42"/>
    <col min="15873" max="15873" width="10.125" style="42" customWidth="1"/>
    <col min="15874" max="15875" width="11.875" style="42" customWidth="1"/>
    <col min="15876" max="15876" width="11" style="42" customWidth="1"/>
    <col min="15877" max="15877" width="11.125" style="42" customWidth="1"/>
    <col min="15878" max="15878" width="18.5" style="42" customWidth="1"/>
    <col min="15879" max="15879" width="18.125" style="42" customWidth="1"/>
    <col min="15880" max="15881" width="11.375" style="42" customWidth="1"/>
    <col min="15882" max="15882" width="12.375" style="42" customWidth="1"/>
    <col min="15883" max="15883" width="12.75" style="42" customWidth="1"/>
    <col min="15884" max="15884" width="15.375" style="42" customWidth="1"/>
    <col min="15885" max="16128" width="9" style="42"/>
    <col min="16129" max="16129" width="10.125" style="42" customWidth="1"/>
    <col min="16130" max="16131" width="11.875" style="42" customWidth="1"/>
    <col min="16132" max="16132" width="11" style="42" customWidth="1"/>
    <col min="16133" max="16133" width="11.125" style="42" customWidth="1"/>
    <col min="16134" max="16134" width="18.5" style="42" customWidth="1"/>
    <col min="16135" max="16135" width="18.125" style="42" customWidth="1"/>
    <col min="16136" max="16137" width="11.375" style="42" customWidth="1"/>
    <col min="16138" max="16138" width="12.375" style="42" customWidth="1"/>
    <col min="16139" max="16139" width="12.75" style="42" customWidth="1"/>
    <col min="16140" max="16140" width="15.375" style="42" customWidth="1"/>
    <col min="16141" max="16384" width="9" style="42"/>
  </cols>
  <sheetData>
    <row r="1" spans="1:12" ht="21" customHeight="1">
      <c r="A1" s="531" t="s">
        <v>196</v>
      </c>
      <c r="B1" s="531"/>
      <c r="C1" s="531"/>
      <c r="D1" s="531"/>
      <c r="E1" s="531"/>
      <c r="F1" s="531"/>
      <c r="G1" s="531"/>
      <c r="H1" s="531"/>
      <c r="I1" s="531"/>
      <c r="J1" s="531"/>
      <c r="K1" s="531"/>
      <c r="L1" s="531"/>
    </row>
    <row r="2" spans="1:12" ht="17.25" customHeight="1">
      <c r="A2" s="66" t="s">
        <v>197</v>
      </c>
      <c r="B2" s="127"/>
      <c r="C2" s="48"/>
      <c r="D2" s="48"/>
      <c r="E2" s="254"/>
      <c r="F2" s="254"/>
      <c r="G2" s="254"/>
      <c r="H2" s="128"/>
      <c r="I2" s="128"/>
      <c r="J2" s="128"/>
      <c r="K2" s="128"/>
    </row>
    <row r="3" spans="1:12">
      <c r="A3" s="43" t="s">
        <v>198</v>
      </c>
      <c r="B3" s="253"/>
      <c r="C3" s="253"/>
      <c r="H3" s="255"/>
      <c r="I3" s="255"/>
    </row>
    <row r="4" spans="1:12" ht="15" customHeight="1">
      <c r="A4" s="126" t="s">
        <v>199</v>
      </c>
      <c r="B4" s="256"/>
      <c r="C4" s="579"/>
      <c r="D4" s="580"/>
      <c r="E4" s="580"/>
      <c r="F4" s="581"/>
      <c r="G4" s="257" t="s">
        <v>200</v>
      </c>
      <c r="H4" s="258">
        <f>H11</f>
        <v>0</v>
      </c>
      <c r="I4" s="582">
        <f>J11</f>
        <v>0</v>
      </c>
      <c r="J4" s="583"/>
    </row>
    <row r="5" spans="1:12" ht="15" customHeight="1">
      <c r="A5" s="259" t="s">
        <v>201</v>
      </c>
      <c r="B5" s="260" t="s">
        <v>202</v>
      </c>
      <c r="C5" s="260" t="s">
        <v>203</v>
      </c>
      <c r="D5" s="260" t="s">
        <v>204</v>
      </c>
      <c r="E5" s="261" t="s">
        <v>205</v>
      </c>
      <c r="F5" s="261" t="s">
        <v>206</v>
      </c>
      <c r="G5" s="261" t="s">
        <v>207</v>
      </c>
      <c r="H5" s="261" t="s">
        <v>208</v>
      </c>
      <c r="I5" s="305" t="s">
        <v>209</v>
      </c>
      <c r="J5" s="305" t="s">
        <v>210</v>
      </c>
      <c r="K5" s="260" t="s">
        <v>211</v>
      </c>
      <c r="L5" s="306" t="s">
        <v>212</v>
      </c>
    </row>
    <row r="6" spans="1:12" ht="15" customHeight="1">
      <c r="A6" s="262" t="s">
        <v>180</v>
      </c>
      <c r="B6" s="263">
        <v>39256</v>
      </c>
      <c r="C6" s="264">
        <v>39280</v>
      </c>
      <c r="D6" s="263">
        <v>39258</v>
      </c>
      <c r="E6" s="263">
        <v>39283</v>
      </c>
      <c r="F6" s="263">
        <v>39258</v>
      </c>
      <c r="G6" s="265">
        <v>39289</v>
      </c>
      <c r="H6" s="266">
        <f>IF(OR(F6=""),E6-C6,E6-G6)</f>
        <v>-6</v>
      </c>
      <c r="I6" s="307">
        <f>IF(OR(F6=""),H6/(C6-B6),H6/(G6-F6))</f>
        <v>-0.19354838709677419</v>
      </c>
      <c r="J6" s="307">
        <f>IF(OR(F6=""),(E6-C6)/(C6-B$6+1),(E6-G6)/(G6-F$6+1))</f>
        <v>-0.1875</v>
      </c>
      <c r="K6" s="308"/>
      <c r="L6" s="309"/>
    </row>
    <row r="7" spans="1:12" ht="15" customHeight="1">
      <c r="A7" s="262" t="s">
        <v>181</v>
      </c>
      <c r="B7" s="263">
        <v>39281</v>
      </c>
      <c r="C7" s="263">
        <v>39299</v>
      </c>
      <c r="D7" s="263">
        <v>39284</v>
      </c>
      <c r="E7" s="263">
        <v>39299</v>
      </c>
      <c r="F7" s="263"/>
      <c r="G7" s="263"/>
      <c r="H7" s="266">
        <f t="shared" ref="H7:H11" si="0">IF(OR(F7=""),E7-C7,E7-G7)</f>
        <v>0</v>
      </c>
      <c r="I7" s="307">
        <f t="shared" ref="I7:I11" si="1">IF(OR(F7=""),H7/(C7-B7),H7/(G7-F7))</f>
        <v>0</v>
      </c>
      <c r="J7" s="307">
        <f t="shared" ref="J7:J11" si="2">IF(OR(F7=""),(E7-C7)/(C7-B$6+1),(E7-G7)/(G7-F$6+1))</f>
        <v>0</v>
      </c>
      <c r="K7" s="308"/>
      <c r="L7" s="309"/>
    </row>
    <row r="8" spans="1:12" ht="15" customHeight="1">
      <c r="A8" s="262" t="s">
        <v>182</v>
      </c>
      <c r="B8" s="263">
        <v>39300</v>
      </c>
      <c r="C8" s="263">
        <v>39345</v>
      </c>
      <c r="D8" s="263">
        <v>39301</v>
      </c>
      <c r="E8" s="263">
        <v>39345</v>
      </c>
      <c r="F8" s="263"/>
      <c r="G8" s="263"/>
      <c r="H8" s="266">
        <f t="shared" si="0"/>
        <v>0</v>
      </c>
      <c r="I8" s="307">
        <f t="shared" si="1"/>
        <v>0</v>
      </c>
      <c r="J8" s="307">
        <f t="shared" si="2"/>
        <v>0</v>
      </c>
      <c r="K8" s="308"/>
      <c r="L8" s="309"/>
    </row>
    <row r="9" spans="1:12" ht="15" customHeight="1">
      <c r="A9" s="262" t="s">
        <v>183</v>
      </c>
      <c r="B9" s="263">
        <v>39315</v>
      </c>
      <c r="C9" s="263">
        <v>39340</v>
      </c>
      <c r="D9" s="263">
        <v>39343</v>
      </c>
      <c r="E9" s="263">
        <v>39340</v>
      </c>
      <c r="F9" s="263"/>
      <c r="G9" s="263"/>
      <c r="H9" s="266">
        <f t="shared" si="0"/>
        <v>0</v>
      </c>
      <c r="I9" s="307">
        <f t="shared" si="1"/>
        <v>0</v>
      </c>
      <c r="J9" s="307">
        <f t="shared" si="2"/>
        <v>0</v>
      </c>
      <c r="K9" s="308"/>
      <c r="L9" s="309"/>
    </row>
    <row r="10" spans="1:12" ht="15" customHeight="1">
      <c r="A10" s="262" t="s">
        <v>184</v>
      </c>
      <c r="B10" s="263">
        <v>39343</v>
      </c>
      <c r="C10" s="263">
        <v>39350</v>
      </c>
      <c r="D10" s="263">
        <v>39343</v>
      </c>
      <c r="E10" s="263">
        <v>39351</v>
      </c>
      <c r="F10" s="263"/>
      <c r="G10" s="263"/>
      <c r="H10" s="266">
        <f t="shared" si="0"/>
        <v>1</v>
      </c>
      <c r="I10" s="307">
        <f t="shared" si="1"/>
        <v>0.14285714285714285</v>
      </c>
      <c r="J10" s="307">
        <f t="shared" si="2"/>
        <v>1.0526315789473684E-2</v>
      </c>
      <c r="K10" s="308"/>
      <c r="L10" s="309"/>
    </row>
    <row r="11" spans="1:12" ht="15" customHeight="1">
      <c r="A11" s="267" t="s">
        <v>185</v>
      </c>
      <c r="B11" s="268">
        <v>39350</v>
      </c>
      <c r="C11" s="268">
        <v>39363</v>
      </c>
      <c r="D11" s="268">
        <v>39369</v>
      </c>
      <c r="E11" s="268">
        <v>39363</v>
      </c>
      <c r="F11" s="268"/>
      <c r="G11" s="268"/>
      <c r="H11" s="266">
        <f t="shared" si="0"/>
        <v>0</v>
      </c>
      <c r="I11" s="307">
        <f t="shared" si="1"/>
        <v>0</v>
      </c>
      <c r="J11" s="307">
        <f t="shared" si="2"/>
        <v>0</v>
      </c>
      <c r="K11" s="310"/>
      <c r="L11" s="311"/>
    </row>
    <row r="12" spans="1:12" ht="14.25" customHeight="1">
      <c r="A12" s="269"/>
      <c r="B12" s="269"/>
      <c r="C12" s="269"/>
      <c r="D12" s="269"/>
      <c r="E12" s="269"/>
      <c r="F12" s="269"/>
      <c r="G12" s="269"/>
      <c r="H12" s="270"/>
      <c r="I12" s="270"/>
      <c r="J12" s="270"/>
      <c r="K12" s="270"/>
    </row>
    <row r="13" spans="1:12" ht="14.25" customHeight="1">
      <c r="A13" s="585" t="s">
        <v>170</v>
      </c>
      <c r="B13" s="272" t="s">
        <v>213</v>
      </c>
      <c r="C13" s="272" t="str">
        <f>CONCATENATE("第",COLUMN(C13)-COLUMN($B$13),"周")</f>
        <v>第1周</v>
      </c>
      <c r="D13" s="272" t="str">
        <f>CONCATENATE("第",COLUMN(D13)-COLUMN($B$13),"周")</f>
        <v>第2周</v>
      </c>
      <c r="E13" s="272" t="str">
        <f>CONCATENATE("第",COLUMN(E13)-COLUMN($B$13),"周")</f>
        <v>第3周</v>
      </c>
      <c r="F13" s="272" t="str">
        <f>CONCATENATE("第",COLUMN(F13)-COLUMN($B$13),"周")</f>
        <v>第4周</v>
      </c>
      <c r="G13" s="272" t="str">
        <f>CONCATENATE("第",COLUMN(G13)-COLUMN($B$13),"周")</f>
        <v>第5周</v>
      </c>
      <c r="H13" s="272" t="s">
        <v>214</v>
      </c>
    </row>
    <row r="14" spans="1:12" ht="14.25" customHeight="1">
      <c r="A14" s="585"/>
      <c r="B14" s="271" t="s">
        <v>215</v>
      </c>
      <c r="C14" s="273">
        <v>2.2200000000000001E-2</v>
      </c>
      <c r="D14" s="273">
        <v>8.1100000000000005E-2</v>
      </c>
      <c r="E14" s="273">
        <v>3.56E-2</v>
      </c>
      <c r="F14" s="273">
        <v>2.5499999999999998E-2</v>
      </c>
      <c r="G14" s="273">
        <v>0</v>
      </c>
      <c r="H14" s="274">
        <v>0</v>
      </c>
    </row>
    <row r="15" spans="1:12" ht="14.25" customHeight="1">
      <c r="A15" s="586" t="s">
        <v>166</v>
      </c>
      <c r="B15" s="160" t="s">
        <v>167</v>
      </c>
      <c r="C15" s="275">
        <v>-0.1</v>
      </c>
      <c r="D15" s="275">
        <v>-0.1</v>
      </c>
      <c r="E15" s="275">
        <v>-0.1</v>
      </c>
      <c r="F15" s="275">
        <v>-0.1</v>
      </c>
      <c r="G15" s="275">
        <v>-0.1</v>
      </c>
      <c r="H15" s="274">
        <v>-0.1</v>
      </c>
    </row>
    <row r="16" spans="1:12" ht="14.25" customHeight="1">
      <c r="A16" s="586"/>
      <c r="B16" s="161" t="s">
        <v>168</v>
      </c>
      <c r="C16" s="276">
        <v>0.02</v>
      </c>
      <c r="D16" s="276">
        <v>0.02</v>
      </c>
      <c r="E16" s="276">
        <v>0.02</v>
      </c>
      <c r="F16" s="276">
        <v>0.02</v>
      </c>
      <c r="G16" s="276">
        <v>0.02</v>
      </c>
      <c r="H16" s="274">
        <v>0.02</v>
      </c>
    </row>
    <row r="17" spans="1:14" ht="14.25" customHeight="1">
      <c r="A17" s="586"/>
      <c r="B17" s="160" t="s">
        <v>169</v>
      </c>
      <c r="C17" s="275">
        <v>0.1</v>
      </c>
      <c r="D17" s="275">
        <v>0.1</v>
      </c>
      <c r="E17" s="275">
        <v>0.1</v>
      </c>
      <c r="F17" s="275">
        <v>0.1</v>
      </c>
      <c r="G17" s="275">
        <v>0.1</v>
      </c>
      <c r="H17" s="274">
        <v>0.1</v>
      </c>
    </row>
    <row r="18" spans="1:14" ht="14.25" customHeight="1">
      <c r="A18" s="255"/>
      <c r="B18" s="255"/>
      <c r="C18" s="255"/>
      <c r="D18" s="255"/>
      <c r="E18" s="255"/>
      <c r="F18" s="255"/>
      <c r="G18" s="255"/>
      <c r="H18" s="223"/>
    </row>
    <row r="19" spans="1:14" ht="14.25" customHeight="1">
      <c r="A19" s="255"/>
      <c r="B19" s="255"/>
      <c r="C19" s="255"/>
      <c r="D19" s="255"/>
      <c r="E19" s="255"/>
      <c r="F19" s="255"/>
      <c r="G19" s="255"/>
    </row>
    <row r="20" spans="1:14" ht="14.25" customHeight="1">
      <c r="A20" s="255"/>
      <c r="B20" s="255"/>
      <c r="C20" s="255"/>
      <c r="D20" s="255"/>
      <c r="E20" s="255"/>
      <c r="F20" s="255"/>
      <c r="G20" s="255"/>
    </row>
    <row r="21" spans="1:14" ht="14.25" customHeight="1">
      <c r="A21" s="255"/>
      <c r="B21" s="255"/>
      <c r="C21" s="255"/>
      <c r="D21" s="255"/>
      <c r="E21" s="255"/>
      <c r="F21" s="255"/>
      <c r="G21" s="255"/>
    </row>
    <row r="22" spans="1:14" ht="14.25" customHeight="1">
      <c r="A22" s="255"/>
      <c r="B22" s="255"/>
      <c r="C22" s="255"/>
      <c r="D22" s="255"/>
      <c r="E22" s="255"/>
      <c r="F22" s="255"/>
      <c r="G22" s="255"/>
      <c r="H22" s="223"/>
    </row>
    <row r="23" spans="1:14" ht="14.25" customHeight="1">
      <c r="A23" s="255"/>
      <c r="B23" s="255"/>
      <c r="C23" s="255"/>
      <c r="D23" s="255"/>
      <c r="E23" s="255"/>
      <c r="F23" s="255"/>
      <c r="G23" s="255"/>
      <c r="H23" s="223"/>
    </row>
    <row r="24" spans="1:14" ht="14.25" customHeight="1">
      <c r="A24" s="255"/>
      <c r="B24" s="255"/>
      <c r="C24" s="255"/>
      <c r="D24" s="255"/>
      <c r="E24" s="255"/>
      <c r="F24" s="255"/>
      <c r="G24" s="255"/>
      <c r="H24" s="587" t="s">
        <v>216</v>
      </c>
      <c r="I24" s="587"/>
      <c r="J24" s="587"/>
      <c r="K24" s="587"/>
      <c r="L24" s="587"/>
      <c r="M24" s="587"/>
      <c r="N24" s="587"/>
    </row>
    <row r="25" spans="1:14" ht="14.25" customHeight="1">
      <c r="A25" s="255"/>
      <c r="B25" s="255"/>
      <c r="C25" s="255"/>
      <c r="D25" s="255"/>
      <c r="E25" s="255"/>
      <c r="F25" s="255"/>
      <c r="G25" s="255"/>
      <c r="H25" s="587"/>
      <c r="I25" s="587"/>
      <c r="J25" s="587"/>
      <c r="K25" s="587"/>
      <c r="L25" s="587"/>
      <c r="M25" s="587"/>
      <c r="N25" s="587"/>
    </row>
    <row r="26" spans="1:14" ht="14.25" customHeight="1">
      <c r="A26" s="255"/>
      <c r="B26" s="255"/>
      <c r="C26" s="255"/>
      <c r="D26" s="255"/>
      <c r="E26" s="255"/>
      <c r="F26" s="255"/>
      <c r="G26" s="255"/>
      <c r="H26" s="587"/>
      <c r="I26" s="587"/>
      <c r="J26" s="587"/>
      <c r="K26" s="587"/>
      <c r="L26" s="587"/>
      <c r="M26" s="587"/>
      <c r="N26" s="587"/>
    </row>
    <row r="27" spans="1:14" ht="10.5" customHeight="1">
      <c r="A27" s="255"/>
      <c r="B27" s="255"/>
      <c r="C27" s="255"/>
      <c r="D27" s="255"/>
      <c r="E27" s="255"/>
      <c r="F27" s="255"/>
      <c r="G27" s="255"/>
      <c r="H27" s="587"/>
      <c r="I27" s="587"/>
      <c r="J27" s="587"/>
      <c r="K27" s="587"/>
      <c r="L27" s="587"/>
      <c r="M27" s="587"/>
      <c r="N27" s="587"/>
    </row>
    <row r="28" spans="1:14" ht="14.25" customHeight="1">
      <c r="A28" s="255"/>
      <c r="B28" s="255"/>
      <c r="C28" s="255"/>
      <c r="D28" s="255"/>
      <c r="E28" s="255"/>
      <c r="F28" s="255"/>
      <c r="G28" s="255"/>
      <c r="H28" s="223"/>
    </row>
    <row r="29" spans="1:14" ht="14.25" customHeight="1">
      <c r="A29" s="255"/>
      <c r="B29" s="255"/>
      <c r="C29" s="255"/>
      <c r="D29" s="255"/>
      <c r="E29" s="255"/>
      <c r="F29" s="255"/>
      <c r="G29" s="255"/>
      <c r="H29" s="223"/>
    </row>
    <row r="30" spans="1:14" ht="14.25" customHeight="1">
      <c r="A30" s="255"/>
      <c r="B30" s="255"/>
      <c r="C30" s="255"/>
      <c r="D30" s="255"/>
      <c r="E30" s="255"/>
      <c r="F30" s="255"/>
      <c r="G30" s="255"/>
      <c r="H30" s="223"/>
    </row>
    <row r="31" spans="1:14" ht="14.25" customHeight="1">
      <c r="A31" s="255"/>
      <c r="B31" s="255"/>
      <c r="C31" s="255"/>
      <c r="D31" s="255"/>
      <c r="E31" s="255"/>
      <c r="F31" s="255"/>
      <c r="G31" s="255"/>
      <c r="H31" s="223"/>
    </row>
    <row r="32" spans="1:14" ht="14.25" customHeight="1">
      <c r="A32" s="255"/>
      <c r="B32" s="255"/>
      <c r="C32" s="255"/>
      <c r="D32" s="255"/>
      <c r="E32" s="255"/>
      <c r="F32" s="255"/>
      <c r="G32" s="255"/>
      <c r="H32" s="223"/>
    </row>
    <row r="33" spans="1:10">
      <c r="A33" s="66" t="s">
        <v>217</v>
      </c>
      <c r="B33" s="277"/>
      <c r="H33" s="223"/>
    </row>
    <row r="34" spans="1:10">
      <c r="A34" s="584" t="s">
        <v>218</v>
      </c>
      <c r="B34" s="584"/>
      <c r="C34" s="584"/>
      <c r="D34" s="584"/>
      <c r="G34" s="278"/>
      <c r="H34" s="223"/>
    </row>
    <row r="35" spans="1:10">
      <c r="A35" s="126" t="s">
        <v>219</v>
      </c>
      <c r="B35" s="126"/>
      <c r="C35" s="126"/>
      <c r="D35" s="126"/>
      <c r="G35" s="278"/>
      <c r="H35" s="223"/>
    </row>
    <row r="36" spans="1:10" ht="15" customHeight="1">
      <c r="A36" s="279" t="s">
        <v>177</v>
      </c>
      <c r="B36" s="280" t="s">
        <v>220</v>
      </c>
      <c r="C36" s="281" t="s">
        <v>221</v>
      </c>
      <c r="D36" s="281" t="s">
        <v>222</v>
      </c>
      <c r="H36" s="223"/>
    </row>
    <row r="37" spans="1:10" ht="15" customHeight="1">
      <c r="A37" s="279" t="s">
        <v>115</v>
      </c>
      <c r="B37" s="282">
        <f>C37/D37</f>
        <v>1.1083333333333334</v>
      </c>
      <c r="C37" s="283">
        <v>133</v>
      </c>
      <c r="D37" s="283">
        <v>120</v>
      </c>
      <c r="H37" s="223"/>
    </row>
    <row r="38" spans="1:10" ht="15" customHeight="1">
      <c r="A38" s="279" t="s">
        <v>140</v>
      </c>
      <c r="B38" s="282">
        <f t="shared" ref="B38:B39" si="3">C38/D38</f>
        <v>1.23</v>
      </c>
      <c r="C38" s="283">
        <v>123</v>
      </c>
      <c r="D38" s="283">
        <v>100</v>
      </c>
      <c r="H38" s="223"/>
    </row>
    <row r="39" spans="1:10" ht="15" customHeight="1">
      <c r="A39" s="284" t="s">
        <v>141</v>
      </c>
      <c r="B39" s="282">
        <f t="shared" si="3"/>
        <v>1.25</v>
      </c>
      <c r="C39" s="285">
        <v>100</v>
      </c>
      <c r="D39" s="285">
        <v>80</v>
      </c>
      <c r="E39"/>
    </row>
    <row r="40" spans="1:10" ht="15" customHeight="1"/>
    <row r="41" spans="1:10" ht="15" customHeight="1">
      <c r="A41" s="66" t="s">
        <v>223</v>
      </c>
      <c r="B41" s="277"/>
    </row>
    <row r="42" spans="1:10">
      <c r="A42" s="521" t="s">
        <v>224</v>
      </c>
      <c r="B42" s="521"/>
      <c r="C42" s="521"/>
      <c r="D42" s="521"/>
      <c r="E42" s="521"/>
      <c r="F42" s="521"/>
      <c r="G42" s="521"/>
      <c r="H42" s="521"/>
      <c r="I42" s="521"/>
    </row>
    <row r="43" spans="1:10">
      <c r="A43" s="43" t="s">
        <v>225</v>
      </c>
      <c r="B43" s="43"/>
      <c r="C43" s="43"/>
      <c r="D43" s="43"/>
      <c r="E43" s="43"/>
      <c r="F43" s="43"/>
      <c r="G43" s="43"/>
      <c r="H43" s="43"/>
      <c r="I43" s="43"/>
    </row>
    <row r="44" spans="1:10" ht="36">
      <c r="A44" s="286" t="s">
        <v>226</v>
      </c>
      <c r="B44" s="287" t="s">
        <v>227</v>
      </c>
      <c r="C44" s="288" t="s">
        <v>228</v>
      </c>
      <c r="D44" s="287" t="s">
        <v>229</v>
      </c>
      <c r="E44" s="287" t="s">
        <v>230</v>
      </c>
      <c r="F44" s="289" t="s">
        <v>231</v>
      </c>
      <c r="G44" s="290" t="s">
        <v>232</v>
      </c>
      <c r="I44" s="312" t="s">
        <v>233</v>
      </c>
      <c r="J44" s="313">
        <f>C45</f>
        <v>50</v>
      </c>
    </row>
    <row r="45" spans="1:10" ht="17.25" customHeight="1">
      <c r="A45" s="291">
        <v>10</v>
      </c>
      <c r="B45" s="292">
        <v>20</v>
      </c>
      <c r="C45" s="293">
        <f>A45/B45*100</f>
        <v>50</v>
      </c>
      <c r="D45" s="294">
        <v>300</v>
      </c>
      <c r="E45" s="294">
        <v>400</v>
      </c>
      <c r="F45" s="295">
        <f>D45/E45*100</f>
        <v>75</v>
      </c>
      <c r="G45" s="296"/>
      <c r="I45" s="312" t="s">
        <v>234</v>
      </c>
      <c r="J45" s="249">
        <f>F45</f>
        <v>75</v>
      </c>
    </row>
    <row r="46" spans="1:10" ht="24">
      <c r="A46" s="249"/>
      <c r="B46" s="297"/>
      <c r="C46" s="297"/>
      <c r="D46" s="298" t="s">
        <v>227</v>
      </c>
      <c r="E46" s="299" t="s">
        <v>235</v>
      </c>
      <c r="F46" s="300"/>
      <c r="G46" s="301"/>
      <c r="I46" s="312" t="s">
        <v>236</v>
      </c>
      <c r="J46" s="249">
        <f>F47</f>
        <v>193.54838709677421</v>
      </c>
    </row>
    <row r="47" spans="1:10" ht="17.25" customHeight="1">
      <c r="A47" s="249"/>
      <c r="B47" s="297"/>
      <c r="C47" s="297"/>
      <c r="D47" s="302">
        <v>300</v>
      </c>
      <c r="E47" s="303">
        <v>155</v>
      </c>
      <c r="F47" s="304">
        <f>D47/E47*100</f>
        <v>193.54838709677421</v>
      </c>
      <c r="G47" s="301"/>
    </row>
  </sheetData>
  <mergeCells count="8">
    <mergeCell ref="A1:L1"/>
    <mergeCell ref="C4:F4"/>
    <mergeCell ref="I4:J4"/>
    <mergeCell ref="A34:D34"/>
    <mergeCell ref="A42:I42"/>
    <mergeCell ref="A13:A14"/>
    <mergeCell ref="A15:A17"/>
    <mergeCell ref="H24:N27"/>
  </mergeCells>
  <phoneticPr fontId="126"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17</xdr:row>
                    <xdr:rowOff>171450</xdr:rowOff>
                  </from>
                  <to>
                    <xdr:col>7</xdr:col>
                    <xdr:colOff>676275</xdr:colOff>
                    <xdr:row>19</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20</xdr:row>
                    <xdr:rowOff>28575</xdr:rowOff>
                  </from>
                  <to>
                    <xdr:col>7</xdr:col>
                    <xdr:colOff>685800</xdr:colOff>
                    <xdr:row>21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N133"/>
  <sheetViews>
    <sheetView topLeftCell="A103" workbookViewId="0">
      <selection activeCell="Q56" sqref="Q56"/>
    </sheetView>
  </sheetViews>
  <sheetFormatPr defaultColWidth="9" defaultRowHeight="12"/>
  <cols>
    <col min="1" max="1" width="9.875" style="223" customWidth="1"/>
    <col min="2" max="2" width="9" style="223"/>
    <col min="3" max="3" width="9.375" style="223" customWidth="1"/>
    <col min="4" max="9" width="9" style="223"/>
    <col min="10" max="10" width="8.25" style="223" customWidth="1"/>
    <col min="11" max="11" width="10.25" style="223" customWidth="1"/>
    <col min="12" max="16384" width="9" style="223"/>
  </cols>
  <sheetData>
    <row r="1" spans="1:14" ht="24.75" customHeight="1">
      <c r="A1" s="531" t="s">
        <v>237</v>
      </c>
      <c r="B1" s="531"/>
      <c r="C1" s="531"/>
      <c r="D1" s="531"/>
      <c r="E1" s="531"/>
      <c r="F1" s="531"/>
      <c r="G1" s="531"/>
      <c r="H1" s="531"/>
      <c r="I1" s="531"/>
      <c r="J1" s="531"/>
      <c r="K1" s="531"/>
      <c r="L1" s="531"/>
      <c r="M1" s="531"/>
      <c r="N1" s="531"/>
    </row>
    <row r="2" spans="1:14" ht="27" customHeight="1">
      <c r="A2" s="596" t="s">
        <v>238</v>
      </c>
      <c r="B2" s="596"/>
      <c r="C2" s="596"/>
      <c r="D2" s="596"/>
      <c r="E2" s="596"/>
      <c r="F2" s="596"/>
      <c r="G2" s="596"/>
      <c r="H2" s="596"/>
      <c r="I2" s="596"/>
      <c r="J2" s="48"/>
      <c r="K2" s="48"/>
      <c r="L2" s="48"/>
      <c r="M2" s="48"/>
      <c r="N2" s="48"/>
    </row>
    <row r="3" spans="1:14" ht="15" customHeight="1">
      <c r="A3" s="225" t="s">
        <v>239</v>
      </c>
      <c r="B3" s="224"/>
      <c r="C3" s="224"/>
      <c r="D3" s="224"/>
      <c r="E3" s="224"/>
      <c r="F3" s="224"/>
      <c r="G3" s="224"/>
      <c r="H3" s="224"/>
      <c r="I3" s="224"/>
      <c r="J3" s="48"/>
      <c r="K3" s="48"/>
      <c r="L3" s="48"/>
      <c r="M3" s="48"/>
      <c r="N3" s="48"/>
    </row>
    <row r="4" spans="1:14" ht="17.25" customHeight="1">
      <c r="A4" s="66" t="s">
        <v>240</v>
      </c>
      <c r="B4" s="66"/>
      <c r="C4" s="226"/>
    </row>
    <row r="5" spans="1:14" ht="25.5" customHeight="1">
      <c r="A5" s="589" t="s">
        <v>241</v>
      </c>
      <c r="B5" s="589" t="s">
        <v>242</v>
      </c>
      <c r="C5" s="589"/>
      <c r="D5" s="589"/>
      <c r="E5" s="589"/>
      <c r="F5" s="589"/>
      <c r="G5" s="590" t="s">
        <v>243</v>
      </c>
      <c r="H5" s="590" t="s">
        <v>244</v>
      </c>
      <c r="I5" s="589" t="s">
        <v>245</v>
      </c>
      <c r="J5" s="593" t="s">
        <v>246</v>
      </c>
      <c r="K5" s="595" t="s">
        <v>247</v>
      </c>
      <c r="L5" s="592" t="s">
        <v>166</v>
      </c>
      <c r="M5" s="592"/>
      <c r="N5" s="592"/>
    </row>
    <row r="6" spans="1:14" ht="13.5" customHeight="1">
      <c r="A6" s="589"/>
      <c r="B6" s="141" t="s">
        <v>248</v>
      </c>
      <c r="C6" s="141" t="s">
        <v>249</v>
      </c>
      <c r="D6" s="141" t="s">
        <v>250</v>
      </c>
      <c r="E6" s="141" t="s">
        <v>251</v>
      </c>
      <c r="F6" s="141" t="s">
        <v>252</v>
      </c>
      <c r="G6" s="591"/>
      <c r="H6" s="591"/>
      <c r="I6" s="589"/>
      <c r="J6" s="594"/>
      <c r="K6" s="589"/>
      <c r="L6" s="160" t="s">
        <v>167</v>
      </c>
      <c r="M6" s="161" t="s">
        <v>168</v>
      </c>
      <c r="N6" s="160" t="s">
        <v>169</v>
      </c>
    </row>
    <row r="7" spans="1:14" ht="14.25" customHeight="1">
      <c r="A7" s="141" t="str">
        <f t="shared" ref="A7:A9" si="0">CONCATENATE("第",ROW(A7)-ROW($A$6),"次评审")</f>
        <v>第1次评审</v>
      </c>
      <c r="B7" s="227">
        <v>0</v>
      </c>
      <c r="C7" s="227">
        <v>3</v>
      </c>
      <c r="D7" s="227">
        <v>1</v>
      </c>
      <c r="E7" s="227">
        <v>6</v>
      </c>
      <c r="F7" s="227">
        <v>0</v>
      </c>
      <c r="G7" s="227">
        <v>10</v>
      </c>
      <c r="H7" s="227">
        <v>0</v>
      </c>
      <c r="I7" s="229">
        <f t="shared" ref="I7:I10" si="1">SUM($B7:$F7)</f>
        <v>10</v>
      </c>
      <c r="J7" s="227">
        <v>16</v>
      </c>
      <c r="K7" s="234">
        <f t="shared" ref="K7:K11" si="2">I7/J7</f>
        <v>0.625</v>
      </c>
      <c r="L7" s="164">
        <v>0</v>
      </c>
      <c r="M7" s="165">
        <v>0.3075</v>
      </c>
      <c r="N7" s="164">
        <v>0.65469999999999995</v>
      </c>
    </row>
    <row r="8" spans="1:14">
      <c r="A8" s="141" t="str">
        <f t="shared" si="0"/>
        <v>第2次评审</v>
      </c>
      <c r="B8" s="227">
        <v>0</v>
      </c>
      <c r="C8" s="227">
        <v>2</v>
      </c>
      <c r="D8" s="227">
        <v>3</v>
      </c>
      <c r="E8" s="227">
        <v>2</v>
      </c>
      <c r="F8" s="227">
        <v>0</v>
      </c>
      <c r="G8" s="227">
        <v>7</v>
      </c>
      <c r="H8" s="227">
        <v>0</v>
      </c>
      <c r="I8" s="229">
        <f t="shared" si="1"/>
        <v>7</v>
      </c>
      <c r="J8" s="227">
        <v>15</v>
      </c>
      <c r="K8" s="234">
        <f t="shared" si="2"/>
        <v>0.46666666666666667</v>
      </c>
      <c r="L8" s="164">
        <v>0</v>
      </c>
      <c r="M8" s="165">
        <v>0.3075</v>
      </c>
      <c r="N8" s="164">
        <v>0.65469999999999995</v>
      </c>
    </row>
    <row r="9" spans="1:14">
      <c r="A9" s="141" t="str">
        <f t="shared" si="0"/>
        <v>第3次评审</v>
      </c>
      <c r="B9" s="227"/>
      <c r="C9" s="227"/>
      <c r="D9" s="227"/>
      <c r="E9" s="227"/>
      <c r="F9" s="227"/>
      <c r="G9" s="227"/>
      <c r="H9" s="227"/>
      <c r="I9" s="229">
        <f t="shared" si="1"/>
        <v>0</v>
      </c>
      <c r="J9" s="227"/>
      <c r="K9" s="234" t="e">
        <f t="shared" si="2"/>
        <v>#DIV/0!</v>
      </c>
      <c r="L9" s="164">
        <v>0</v>
      </c>
      <c r="M9" s="165">
        <v>0.3075</v>
      </c>
      <c r="N9" s="164">
        <v>0.65469999999999995</v>
      </c>
    </row>
    <row r="10" spans="1:14">
      <c r="A10" s="141" t="s">
        <v>253</v>
      </c>
      <c r="B10" s="228" t="s">
        <v>254</v>
      </c>
      <c r="C10" s="228" t="s">
        <v>254</v>
      </c>
      <c r="D10" s="228" t="s">
        <v>254</v>
      </c>
      <c r="E10" s="228" t="s">
        <v>254</v>
      </c>
      <c r="F10" s="228" t="s">
        <v>254</v>
      </c>
      <c r="G10" s="228" t="s">
        <v>254</v>
      </c>
      <c r="H10" s="228" t="s">
        <v>254</v>
      </c>
      <c r="I10" s="228">
        <f t="shared" si="1"/>
        <v>0</v>
      </c>
      <c r="J10" s="228" t="s">
        <v>254</v>
      </c>
      <c r="K10" s="235" t="e">
        <f t="shared" si="2"/>
        <v>#VALUE!</v>
      </c>
      <c r="L10" s="236">
        <v>0</v>
      </c>
      <c r="M10" s="236">
        <v>0.3075</v>
      </c>
      <c r="N10" s="236">
        <v>0.65469999999999995</v>
      </c>
    </row>
    <row r="11" spans="1:14">
      <c r="A11" s="141" t="s">
        <v>255</v>
      </c>
      <c r="B11" s="229">
        <f t="shared" ref="B11:H11" si="3">SUM(B7:B10)</f>
        <v>0</v>
      </c>
      <c r="C11" s="229">
        <f t="shared" si="3"/>
        <v>5</v>
      </c>
      <c r="D11" s="229">
        <f t="shared" si="3"/>
        <v>4</v>
      </c>
      <c r="E11" s="229">
        <f t="shared" si="3"/>
        <v>8</v>
      </c>
      <c r="F11" s="229">
        <f t="shared" si="3"/>
        <v>0</v>
      </c>
      <c r="G11" s="229">
        <f t="shared" si="3"/>
        <v>17</v>
      </c>
      <c r="H11" s="229">
        <f t="shared" si="3"/>
        <v>0</v>
      </c>
      <c r="I11" s="229">
        <f>IF(SUM(I7:I10)=0,"-",SUM(I7:I10))</f>
        <v>17</v>
      </c>
      <c r="J11" s="227">
        <v>26</v>
      </c>
      <c r="K11" s="234">
        <f t="shared" si="2"/>
        <v>0.65384615384615385</v>
      </c>
      <c r="L11" s="237"/>
      <c r="M11" s="237"/>
      <c r="N11" s="237"/>
    </row>
    <row r="14" spans="1:14">
      <c r="L14" s="238"/>
    </row>
    <row r="15" spans="1:14">
      <c r="L15" s="238"/>
    </row>
    <row r="16" spans="1:14">
      <c r="L16" s="238"/>
    </row>
    <row r="17" spans="1:14">
      <c r="L17" s="238"/>
    </row>
    <row r="18" spans="1:14">
      <c r="L18" s="238"/>
    </row>
    <row r="28" spans="1:14" ht="27">
      <c r="A28" s="66" t="s">
        <v>256</v>
      </c>
      <c r="B28" s="66"/>
      <c r="C28" s="226"/>
      <c r="D28" s="230"/>
      <c r="E28" s="230"/>
      <c r="F28" s="230"/>
      <c r="G28" s="230"/>
      <c r="H28" s="230"/>
      <c r="I28" s="230"/>
      <c r="J28" s="230"/>
      <c r="K28" s="230"/>
    </row>
    <row r="29" spans="1:14">
      <c r="A29" s="589" t="s">
        <v>241</v>
      </c>
      <c r="B29" s="589" t="s">
        <v>242</v>
      </c>
      <c r="C29" s="589"/>
      <c r="D29" s="589"/>
      <c r="E29" s="589"/>
      <c r="F29" s="589"/>
      <c r="G29" s="590" t="s">
        <v>243</v>
      </c>
      <c r="H29" s="590" t="s">
        <v>244</v>
      </c>
      <c r="I29" s="589" t="s">
        <v>245</v>
      </c>
      <c r="J29" s="593" t="s">
        <v>246</v>
      </c>
      <c r="K29" s="595" t="s">
        <v>247</v>
      </c>
      <c r="L29" s="592" t="s">
        <v>166</v>
      </c>
      <c r="M29" s="592"/>
      <c r="N29" s="592"/>
    </row>
    <row r="30" spans="1:14">
      <c r="A30" s="589"/>
      <c r="B30" s="141" t="s">
        <v>248</v>
      </c>
      <c r="C30" s="141" t="s">
        <v>249</v>
      </c>
      <c r="D30" s="141" t="s">
        <v>250</v>
      </c>
      <c r="E30" s="141" t="s">
        <v>251</v>
      </c>
      <c r="F30" s="141" t="s">
        <v>252</v>
      </c>
      <c r="G30" s="591"/>
      <c r="H30" s="591"/>
      <c r="I30" s="589"/>
      <c r="J30" s="594"/>
      <c r="K30" s="589"/>
      <c r="L30" s="160" t="s">
        <v>167</v>
      </c>
      <c r="M30" s="161" t="s">
        <v>168</v>
      </c>
      <c r="N30" s="160" t="s">
        <v>169</v>
      </c>
    </row>
    <row r="31" spans="1:14" ht="18.75" customHeight="1">
      <c r="A31" s="141" t="str">
        <f t="shared" ref="A31:A33" si="4">CONCATENATE("第",ROW(A31)-ROW($A$30),"次评审")</f>
        <v>第1次评审</v>
      </c>
      <c r="B31" s="227">
        <v>0</v>
      </c>
      <c r="C31" s="227">
        <v>3</v>
      </c>
      <c r="D31" s="227">
        <v>6</v>
      </c>
      <c r="E31" s="227">
        <v>7</v>
      </c>
      <c r="F31" s="227">
        <v>0</v>
      </c>
      <c r="G31" s="227">
        <v>16</v>
      </c>
      <c r="H31" s="227">
        <v>0</v>
      </c>
      <c r="I31" s="229">
        <f t="shared" ref="I31:I34" si="5">SUM($B31:$F31)</f>
        <v>16</v>
      </c>
      <c r="J31" s="227">
        <v>30</v>
      </c>
      <c r="K31" s="234">
        <f>I31/J31</f>
        <v>0.53333333333333333</v>
      </c>
      <c r="L31" s="164">
        <v>0</v>
      </c>
      <c r="M31" s="165">
        <v>0.28660000000000002</v>
      </c>
      <c r="N31" s="164">
        <v>0.61099999999999999</v>
      </c>
    </row>
    <row r="32" spans="1:14">
      <c r="A32" s="141" t="str">
        <f t="shared" si="4"/>
        <v>第2次评审</v>
      </c>
      <c r="B32" s="227">
        <v>0</v>
      </c>
      <c r="C32" s="227">
        <v>1</v>
      </c>
      <c r="D32" s="227">
        <v>6</v>
      </c>
      <c r="E32" s="227">
        <v>3</v>
      </c>
      <c r="F32" s="227">
        <v>0</v>
      </c>
      <c r="G32" s="227">
        <v>10</v>
      </c>
      <c r="H32" s="227">
        <v>0</v>
      </c>
      <c r="I32" s="239">
        <f t="shared" si="5"/>
        <v>10</v>
      </c>
      <c r="J32" s="227">
        <v>19</v>
      </c>
      <c r="K32" s="234">
        <f t="shared" ref="K32:K35" si="6">I32/J32</f>
        <v>0.52631578947368418</v>
      </c>
      <c r="L32" s="164">
        <v>0</v>
      </c>
      <c r="M32" s="165">
        <v>0.28660000000000002</v>
      </c>
      <c r="N32" s="164">
        <v>0.61099999999999999</v>
      </c>
    </row>
    <row r="33" spans="1:14">
      <c r="A33" s="141" t="str">
        <f t="shared" si="4"/>
        <v>第3次评审</v>
      </c>
      <c r="B33" s="227">
        <v>0</v>
      </c>
      <c r="C33" s="227">
        <v>0</v>
      </c>
      <c r="D33" s="227">
        <v>9</v>
      </c>
      <c r="E33" s="227">
        <v>1</v>
      </c>
      <c r="F33" s="227">
        <v>0</v>
      </c>
      <c r="G33" s="227">
        <v>10</v>
      </c>
      <c r="H33" s="227">
        <v>0</v>
      </c>
      <c r="I33" s="239">
        <f t="shared" si="5"/>
        <v>10</v>
      </c>
      <c r="J33" s="227">
        <v>20</v>
      </c>
      <c r="K33" s="234">
        <f t="shared" si="6"/>
        <v>0.5</v>
      </c>
      <c r="L33" s="164">
        <v>0</v>
      </c>
      <c r="M33" s="165">
        <v>0.28660000000000002</v>
      </c>
      <c r="N33" s="164">
        <v>0.61099999999999999</v>
      </c>
    </row>
    <row r="34" spans="1:14">
      <c r="A34" s="141" t="s">
        <v>253</v>
      </c>
      <c r="B34" s="231" t="s">
        <v>254</v>
      </c>
      <c r="C34" s="231" t="s">
        <v>254</v>
      </c>
      <c r="D34" s="231" t="s">
        <v>254</v>
      </c>
      <c r="E34" s="231" t="s">
        <v>254</v>
      </c>
      <c r="F34" s="231" t="s">
        <v>254</v>
      </c>
      <c r="G34" s="231" t="s">
        <v>254</v>
      </c>
      <c r="H34" s="231" t="s">
        <v>254</v>
      </c>
      <c r="I34" s="228">
        <f t="shared" si="5"/>
        <v>0</v>
      </c>
      <c r="J34" s="240" t="s">
        <v>254</v>
      </c>
      <c r="K34" s="235" t="e">
        <f t="shared" si="6"/>
        <v>#VALUE!</v>
      </c>
      <c r="L34" s="241">
        <v>0</v>
      </c>
      <c r="M34" s="241">
        <v>0.28660000000000002</v>
      </c>
      <c r="N34" s="241">
        <v>0.61099999999999999</v>
      </c>
    </row>
    <row r="35" spans="1:14">
      <c r="A35" s="141" t="s">
        <v>255</v>
      </c>
      <c r="B35" s="229">
        <f t="shared" ref="B35:I35" si="7">SUM(B31:B34)</f>
        <v>0</v>
      </c>
      <c r="C35" s="229">
        <f t="shared" si="7"/>
        <v>4</v>
      </c>
      <c r="D35" s="229">
        <f t="shared" si="7"/>
        <v>21</v>
      </c>
      <c r="E35" s="229">
        <f t="shared" si="7"/>
        <v>11</v>
      </c>
      <c r="F35" s="229">
        <f t="shared" si="7"/>
        <v>0</v>
      </c>
      <c r="G35" s="229">
        <f t="shared" si="7"/>
        <v>36</v>
      </c>
      <c r="H35" s="229">
        <f t="shared" si="7"/>
        <v>0</v>
      </c>
      <c r="I35" s="229">
        <f t="shared" si="7"/>
        <v>36</v>
      </c>
      <c r="J35" s="242">
        <v>55</v>
      </c>
      <c r="K35" s="234">
        <f t="shared" si="6"/>
        <v>0.65454545454545454</v>
      </c>
      <c r="L35" s="237"/>
      <c r="M35" s="237"/>
      <c r="N35" s="237"/>
    </row>
    <row r="38" spans="1:14">
      <c r="L38" s="238"/>
    </row>
    <row r="39" spans="1:14">
      <c r="L39" s="238"/>
    </row>
    <row r="40" spans="1:14">
      <c r="L40" s="238"/>
    </row>
    <row r="41" spans="1:14">
      <c r="L41" s="238"/>
    </row>
    <row r="42" spans="1:14">
      <c r="L42" s="238"/>
    </row>
    <row r="45" spans="1:14" ht="18" customHeight="1"/>
    <row r="47" spans="1:14" ht="13.5" customHeight="1"/>
    <row r="54" spans="1:14" ht="27">
      <c r="A54" s="66" t="s">
        <v>257</v>
      </c>
      <c r="B54" s="66"/>
      <c r="C54" s="226"/>
      <c r="D54" s="230"/>
      <c r="E54" s="230"/>
      <c r="F54" s="230"/>
      <c r="G54" s="230"/>
      <c r="H54" s="230"/>
      <c r="I54" s="230"/>
      <c r="J54" s="230"/>
      <c r="K54" s="230"/>
    </row>
    <row r="55" spans="1:14">
      <c r="A55" s="589" t="s">
        <v>241</v>
      </c>
      <c r="B55" s="589" t="s">
        <v>242</v>
      </c>
      <c r="C55" s="589"/>
      <c r="D55" s="589"/>
      <c r="E55" s="589"/>
      <c r="F55" s="589"/>
      <c r="G55" s="590" t="s">
        <v>243</v>
      </c>
      <c r="H55" s="590" t="s">
        <v>244</v>
      </c>
      <c r="I55" s="589" t="s">
        <v>245</v>
      </c>
      <c r="J55" s="593" t="s">
        <v>246</v>
      </c>
      <c r="K55" s="595" t="s">
        <v>247</v>
      </c>
      <c r="L55" s="592" t="s">
        <v>166</v>
      </c>
      <c r="M55" s="592"/>
      <c r="N55" s="592"/>
    </row>
    <row r="56" spans="1:14">
      <c r="A56" s="589"/>
      <c r="B56" s="141" t="s">
        <v>248</v>
      </c>
      <c r="C56" s="141" t="s">
        <v>249</v>
      </c>
      <c r="D56" s="141" t="s">
        <v>250</v>
      </c>
      <c r="E56" s="141" t="s">
        <v>251</v>
      </c>
      <c r="F56" s="141" t="s">
        <v>252</v>
      </c>
      <c r="G56" s="591"/>
      <c r="H56" s="591"/>
      <c r="I56" s="589"/>
      <c r="J56" s="594"/>
      <c r="K56" s="589"/>
      <c r="L56" s="160" t="s">
        <v>167</v>
      </c>
      <c r="M56" s="161" t="s">
        <v>168</v>
      </c>
      <c r="N56" s="160" t="s">
        <v>169</v>
      </c>
    </row>
    <row r="57" spans="1:14">
      <c r="A57" s="141" t="str">
        <f t="shared" ref="A57:A59" si="8">CONCATENATE("第",ROW(A57)-ROW($A$56),"次评审")</f>
        <v>第1次评审</v>
      </c>
      <c r="B57" s="232">
        <v>0</v>
      </c>
      <c r="C57" s="232">
        <v>2</v>
      </c>
      <c r="D57" s="232">
        <v>3</v>
      </c>
      <c r="E57" s="232">
        <v>2</v>
      </c>
      <c r="F57" s="232">
        <v>1</v>
      </c>
      <c r="G57" s="232">
        <v>8</v>
      </c>
      <c r="H57" s="232">
        <v>0</v>
      </c>
      <c r="I57" s="233">
        <f t="shared" ref="I57:I60" si="9">SUM($B57:$F57)</f>
        <v>8</v>
      </c>
      <c r="J57" s="232">
        <v>15</v>
      </c>
      <c r="K57" s="243">
        <f t="shared" ref="K57:K61" si="10">I57/J57</f>
        <v>0.53333333333333333</v>
      </c>
      <c r="L57" s="164">
        <v>0</v>
      </c>
      <c r="M57" s="165">
        <v>0.23330000000000001</v>
      </c>
      <c r="N57" s="164">
        <v>0.71309999999999996</v>
      </c>
    </row>
    <row r="58" spans="1:14">
      <c r="A58" s="141" t="str">
        <f t="shared" si="8"/>
        <v>第2次评审</v>
      </c>
      <c r="B58" s="232">
        <v>0</v>
      </c>
      <c r="C58" s="232">
        <v>2</v>
      </c>
      <c r="D58" s="232">
        <v>2</v>
      </c>
      <c r="E58" s="232">
        <v>7</v>
      </c>
      <c r="F58" s="232">
        <v>1</v>
      </c>
      <c r="G58" s="232">
        <v>12</v>
      </c>
      <c r="H58" s="232">
        <v>0</v>
      </c>
      <c r="I58" s="244">
        <f t="shared" si="9"/>
        <v>12</v>
      </c>
      <c r="J58" s="232">
        <v>20</v>
      </c>
      <c r="K58" s="243">
        <f t="shared" si="10"/>
        <v>0.6</v>
      </c>
      <c r="L58" s="164">
        <v>0</v>
      </c>
      <c r="M58" s="165">
        <v>0.23330000000000001</v>
      </c>
      <c r="N58" s="164">
        <v>0.71309999999999996</v>
      </c>
    </row>
    <row r="59" spans="1:14">
      <c r="A59" s="141" t="str">
        <f t="shared" si="8"/>
        <v>第3次评审</v>
      </c>
      <c r="B59" s="232">
        <v>0</v>
      </c>
      <c r="C59" s="232">
        <v>1</v>
      </c>
      <c r="D59" s="232">
        <v>1</v>
      </c>
      <c r="E59" s="232">
        <v>5</v>
      </c>
      <c r="F59" s="232">
        <v>2</v>
      </c>
      <c r="G59" s="232">
        <v>9</v>
      </c>
      <c r="H59" s="232">
        <v>0</v>
      </c>
      <c r="I59" s="244">
        <f t="shared" si="9"/>
        <v>9</v>
      </c>
      <c r="J59" s="232">
        <v>15</v>
      </c>
      <c r="K59" s="243">
        <f t="shared" si="10"/>
        <v>0.6</v>
      </c>
      <c r="L59" s="164">
        <v>0</v>
      </c>
      <c r="M59" s="165">
        <v>0.23330000000000001</v>
      </c>
      <c r="N59" s="164">
        <v>0.71309999999999996</v>
      </c>
    </row>
    <row r="60" spans="1:14">
      <c r="A60" s="141" t="s">
        <v>253</v>
      </c>
      <c r="B60" s="231"/>
      <c r="C60" s="231"/>
      <c r="D60" s="231"/>
      <c r="E60" s="231"/>
      <c r="F60" s="231"/>
      <c r="G60" s="231"/>
      <c r="H60" s="231"/>
      <c r="I60" s="228">
        <f t="shared" si="9"/>
        <v>0</v>
      </c>
      <c r="J60" s="231" t="s">
        <v>254</v>
      </c>
      <c r="K60" s="235" t="e">
        <f t="shared" si="10"/>
        <v>#VALUE!</v>
      </c>
      <c r="L60" s="241">
        <v>0</v>
      </c>
      <c r="M60" s="241">
        <v>0.23330000000000001</v>
      </c>
      <c r="N60" s="241">
        <v>0.71309999999999996</v>
      </c>
    </row>
    <row r="61" spans="1:14">
      <c r="A61" s="141" t="s">
        <v>255</v>
      </c>
      <c r="B61" s="233">
        <f t="shared" ref="B61:I61" si="11">SUM(B57:B60)</f>
        <v>0</v>
      </c>
      <c r="C61" s="233">
        <f t="shared" si="11"/>
        <v>5</v>
      </c>
      <c r="D61" s="233">
        <f t="shared" si="11"/>
        <v>6</v>
      </c>
      <c r="E61" s="233">
        <f t="shared" si="11"/>
        <v>14</v>
      </c>
      <c r="F61" s="233">
        <f t="shared" si="11"/>
        <v>4</v>
      </c>
      <c r="G61" s="233">
        <f t="shared" si="11"/>
        <v>29</v>
      </c>
      <c r="H61" s="233">
        <f t="shared" si="11"/>
        <v>0</v>
      </c>
      <c r="I61" s="233">
        <f t="shared" si="11"/>
        <v>29</v>
      </c>
      <c r="J61" s="232">
        <v>40</v>
      </c>
      <c r="K61" s="245">
        <f t="shared" si="10"/>
        <v>0.72499999999999998</v>
      </c>
    </row>
    <row r="63" spans="1:14">
      <c r="L63" s="238"/>
    </row>
    <row r="64" spans="1:14">
      <c r="L64" s="238"/>
    </row>
    <row r="65" spans="12:12">
      <c r="L65" s="238"/>
    </row>
    <row r="66" spans="12:12">
      <c r="L66" s="238"/>
    </row>
    <row r="67" spans="12:12">
      <c r="L67" s="238"/>
    </row>
    <row r="68" spans="12:12">
      <c r="L68" s="238"/>
    </row>
    <row r="81" spans="1:14" ht="27">
      <c r="A81" s="66" t="s">
        <v>258</v>
      </c>
      <c r="B81" s="66"/>
      <c r="C81" s="226"/>
      <c r="D81" s="230"/>
      <c r="E81" s="230"/>
      <c r="F81" s="230"/>
      <c r="G81" s="230"/>
      <c r="H81" s="230"/>
      <c r="I81" s="230"/>
      <c r="J81" s="230"/>
      <c r="K81" s="230"/>
    </row>
    <row r="82" spans="1:14">
      <c r="A82" s="589" t="s">
        <v>241</v>
      </c>
      <c r="B82" s="589" t="s">
        <v>242</v>
      </c>
      <c r="C82" s="589"/>
      <c r="D82" s="589"/>
      <c r="E82" s="589"/>
      <c r="F82" s="589"/>
      <c r="G82" s="590" t="s">
        <v>243</v>
      </c>
      <c r="H82" s="590" t="s">
        <v>244</v>
      </c>
      <c r="I82" s="589" t="s">
        <v>245</v>
      </c>
      <c r="J82" s="593" t="s">
        <v>259</v>
      </c>
      <c r="K82" s="595" t="s">
        <v>260</v>
      </c>
      <c r="L82" s="592" t="s">
        <v>166</v>
      </c>
      <c r="M82" s="592"/>
      <c r="N82" s="592"/>
    </row>
    <row r="83" spans="1:14">
      <c r="A83" s="589"/>
      <c r="B83" s="141" t="s">
        <v>248</v>
      </c>
      <c r="C83" s="141" t="s">
        <v>249</v>
      </c>
      <c r="D83" s="141" t="s">
        <v>250</v>
      </c>
      <c r="E83" s="141" t="s">
        <v>251</v>
      </c>
      <c r="F83" s="141" t="s">
        <v>252</v>
      </c>
      <c r="G83" s="591"/>
      <c r="H83" s="591"/>
      <c r="I83" s="589"/>
      <c r="J83" s="594"/>
      <c r="K83" s="589"/>
      <c r="L83" s="160" t="s">
        <v>167</v>
      </c>
      <c r="M83" s="161" t="s">
        <v>168</v>
      </c>
      <c r="N83" s="160" t="s">
        <v>169</v>
      </c>
    </row>
    <row r="84" spans="1:14">
      <c r="A84" s="141" t="str">
        <f>CONCATENATE("第",ROW(A84)-ROW($A$83),"次评审")</f>
        <v>第1次评审</v>
      </c>
      <c r="B84" s="227">
        <v>1</v>
      </c>
      <c r="C84" s="227">
        <v>3</v>
      </c>
      <c r="D84" s="227">
        <v>20</v>
      </c>
      <c r="E84" s="227">
        <v>15</v>
      </c>
      <c r="F84" s="227">
        <v>2</v>
      </c>
      <c r="G84" s="227">
        <v>41</v>
      </c>
      <c r="H84" s="227">
        <v>0</v>
      </c>
      <c r="I84" s="239">
        <f t="shared" ref="I84:I87" si="12">SUM($B84:$F84)</f>
        <v>41</v>
      </c>
      <c r="J84" s="227">
        <v>600</v>
      </c>
      <c r="K84" s="234">
        <f t="shared" ref="K84:K88" si="13">I84/J84</f>
        <v>6.8333333333333329E-2</v>
      </c>
      <c r="L84" s="164">
        <v>0</v>
      </c>
      <c r="M84" s="165">
        <v>4.351E-2</v>
      </c>
      <c r="N84" s="164">
        <v>8.7900000000000006E-2</v>
      </c>
    </row>
    <row r="85" spans="1:14">
      <c r="A85" s="141" t="str">
        <f t="shared" ref="A85:A86" si="14">CONCATENATE("第",ROW(A85)-ROW($A$83),"次评审")</f>
        <v>第2次评审</v>
      </c>
      <c r="B85" s="227">
        <v>2</v>
      </c>
      <c r="C85" s="227">
        <v>4</v>
      </c>
      <c r="D85" s="227">
        <v>26</v>
      </c>
      <c r="E85" s="227">
        <v>17</v>
      </c>
      <c r="F85" s="227">
        <v>5</v>
      </c>
      <c r="G85" s="227">
        <v>54</v>
      </c>
      <c r="H85" s="227">
        <v>0</v>
      </c>
      <c r="I85" s="239">
        <f t="shared" si="12"/>
        <v>54</v>
      </c>
      <c r="J85" s="227">
        <v>680</v>
      </c>
      <c r="K85" s="234">
        <f t="shared" si="13"/>
        <v>7.9411764705882348E-2</v>
      </c>
      <c r="L85" s="164">
        <v>0</v>
      </c>
      <c r="M85" s="165">
        <v>4.351E-2</v>
      </c>
      <c r="N85" s="164">
        <v>8.7900000000000006E-2</v>
      </c>
    </row>
    <row r="86" spans="1:14">
      <c r="A86" s="141" t="str">
        <f t="shared" si="14"/>
        <v>第3次评审</v>
      </c>
      <c r="B86" s="227">
        <v>3</v>
      </c>
      <c r="C86" s="227">
        <v>8</v>
      </c>
      <c r="D86" s="227">
        <v>11</v>
      </c>
      <c r="E86" s="227">
        <v>0</v>
      </c>
      <c r="F86" s="227">
        <v>0</v>
      </c>
      <c r="G86" s="227">
        <v>22</v>
      </c>
      <c r="H86" s="227">
        <v>0</v>
      </c>
      <c r="I86" s="239">
        <f t="shared" si="12"/>
        <v>22</v>
      </c>
      <c r="J86" s="227">
        <v>300</v>
      </c>
      <c r="K86" s="234">
        <f t="shared" si="13"/>
        <v>7.3333333333333334E-2</v>
      </c>
      <c r="L86" s="164">
        <v>0</v>
      </c>
      <c r="M86" s="165">
        <v>4.351E-2</v>
      </c>
      <c r="N86" s="164">
        <v>8.7900000000000006E-2</v>
      </c>
    </row>
    <row r="87" spans="1:14">
      <c r="A87" s="141" t="s">
        <v>253</v>
      </c>
      <c r="B87" s="228"/>
      <c r="C87" s="228"/>
      <c r="D87" s="228"/>
      <c r="E87" s="228"/>
      <c r="F87" s="228"/>
      <c r="G87" s="228"/>
      <c r="H87" s="228"/>
      <c r="I87" s="246">
        <f t="shared" si="12"/>
        <v>0</v>
      </c>
      <c r="J87" s="228" t="s">
        <v>254</v>
      </c>
      <c r="K87" s="247" t="e">
        <f t="shared" si="13"/>
        <v>#VALUE!</v>
      </c>
      <c r="L87" s="241">
        <v>0</v>
      </c>
      <c r="M87" s="241">
        <v>4.351E-2</v>
      </c>
      <c r="N87" s="241">
        <v>8.7900000000000006E-2</v>
      </c>
    </row>
    <row r="88" spans="1:14">
      <c r="A88" s="141" t="s">
        <v>255</v>
      </c>
      <c r="B88" s="229">
        <f t="shared" ref="B88:I88" si="15">SUM(B84:B87)</f>
        <v>6</v>
      </c>
      <c r="C88" s="229">
        <f t="shared" si="15"/>
        <v>15</v>
      </c>
      <c r="D88" s="229">
        <f t="shared" si="15"/>
        <v>57</v>
      </c>
      <c r="E88" s="229">
        <f t="shared" si="15"/>
        <v>32</v>
      </c>
      <c r="F88" s="229">
        <f t="shared" si="15"/>
        <v>7</v>
      </c>
      <c r="G88" s="229">
        <f t="shared" si="15"/>
        <v>117</v>
      </c>
      <c r="H88" s="229">
        <f t="shared" si="15"/>
        <v>0</v>
      </c>
      <c r="I88" s="229">
        <f t="shared" si="15"/>
        <v>117</v>
      </c>
      <c r="J88" s="227">
        <v>1000</v>
      </c>
      <c r="K88" s="234">
        <f t="shared" si="13"/>
        <v>0.11700000000000001</v>
      </c>
      <c r="L88" s="248"/>
      <c r="M88" s="248"/>
      <c r="N88" s="248"/>
    </row>
    <row r="90" spans="1:14">
      <c r="L90" s="238"/>
    </row>
    <row r="91" spans="1:14">
      <c r="L91" s="238"/>
    </row>
    <row r="92" spans="1:14">
      <c r="L92" s="238"/>
    </row>
    <row r="93" spans="1:14">
      <c r="L93" s="238"/>
    </row>
    <row r="94" spans="1:14">
      <c r="L94" s="238"/>
    </row>
    <row r="106" spans="1:14" ht="27">
      <c r="A106" s="66" t="s">
        <v>261</v>
      </c>
      <c r="B106" s="66"/>
      <c r="C106" s="226"/>
      <c r="D106" s="230"/>
      <c r="E106" s="230"/>
      <c r="F106" s="230"/>
      <c r="G106" s="230"/>
      <c r="H106" s="230"/>
      <c r="I106" s="230"/>
      <c r="J106" s="230"/>
      <c r="K106" s="230"/>
    </row>
    <row r="107" spans="1:14">
      <c r="A107" s="589" t="s">
        <v>262</v>
      </c>
      <c r="B107" s="589" t="s">
        <v>242</v>
      </c>
      <c r="C107" s="589"/>
      <c r="D107" s="589"/>
      <c r="E107" s="589"/>
      <c r="F107" s="589"/>
      <c r="G107" s="590" t="s">
        <v>243</v>
      </c>
      <c r="H107" s="590" t="s">
        <v>244</v>
      </c>
      <c r="I107" s="589" t="s">
        <v>245</v>
      </c>
      <c r="J107" s="593" t="s">
        <v>263</v>
      </c>
      <c r="K107" s="595" t="s">
        <v>264</v>
      </c>
      <c r="L107" s="592" t="s">
        <v>166</v>
      </c>
      <c r="M107" s="592"/>
      <c r="N107" s="592"/>
    </row>
    <row r="108" spans="1:14">
      <c r="A108" s="589"/>
      <c r="B108" s="141" t="s">
        <v>248</v>
      </c>
      <c r="C108" s="141" t="s">
        <v>249</v>
      </c>
      <c r="D108" s="141" t="s">
        <v>250</v>
      </c>
      <c r="E108" s="141" t="s">
        <v>251</v>
      </c>
      <c r="F108" s="141" t="s">
        <v>252</v>
      </c>
      <c r="G108" s="591"/>
      <c r="H108" s="591"/>
      <c r="I108" s="589"/>
      <c r="J108" s="594"/>
      <c r="K108" s="589"/>
      <c r="L108" s="160" t="s">
        <v>167</v>
      </c>
      <c r="M108" s="161" t="s">
        <v>168</v>
      </c>
      <c r="N108" s="160" t="s">
        <v>169</v>
      </c>
    </row>
    <row r="109" spans="1:14">
      <c r="A109" s="141" t="str">
        <f t="shared" ref="A109:A112" si="16">CONCATENATE("第",ROW(A109)-ROW($A$108),"次走查")</f>
        <v>第1次走查</v>
      </c>
      <c r="B109" s="242">
        <v>1</v>
      </c>
      <c r="C109" s="242">
        <v>5</v>
      </c>
      <c r="D109" s="242">
        <v>6</v>
      </c>
      <c r="E109" s="242">
        <v>3</v>
      </c>
      <c r="F109" s="242">
        <v>2</v>
      </c>
      <c r="G109" s="242">
        <v>17</v>
      </c>
      <c r="H109" s="242">
        <v>0</v>
      </c>
      <c r="I109" s="249">
        <f t="shared" ref="I109:I113" si="17">SUM($B109:$F109)</f>
        <v>17</v>
      </c>
      <c r="J109" s="242">
        <v>80</v>
      </c>
      <c r="K109" s="234">
        <f t="shared" ref="K109:K114" si="18">I109/J109</f>
        <v>0.21249999999999999</v>
      </c>
      <c r="L109" s="164">
        <v>0</v>
      </c>
      <c r="M109" s="165">
        <v>0.3</v>
      </c>
      <c r="N109" s="164">
        <v>0.65790273556231005</v>
      </c>
    </row>
    <row r="110" spans="1:14">
      <c r="A110" s="141" t="str">
        <f t="shared" si="16"/>
        <v>第2次走查</v>
      </c>
      <c r="B110" s="242">
        <v>0</v>
      </c>
      <c r="C110" s="242">
        <v>3</v>
      </c>
      <c r="D110" s="242">
        <v>2</v>
      </c>
      <c r="E110" s="242">
        <v>2</v>
      </c>
      <c r="F110" s="242">
        <v>2</v>
      </c>
      <c r="G110" s="242">
        <v>9</v>
      </c>
      <c r="H110" s="242">
        <v>0</v>
      </c>
      <c r="I110" s="249">
        <f t="shared" si="17"/>
        <v>9</v>
      </c>
      <c r="J110" s="242">
        <v>75</v>
      </c>
      <c r="K110" s="234">
        <f t="shared" si="18"/>
        <v>0.12</v>
      </c>
      <c r="L110" s="164">
        <v>0</v>
      </c>
      <c r="M110" s="165">
        <v>0.3</v>
      </c>
      <c r="N110" s="164">
        <v>0.65790273556231005</v>
      </c>
    </row>
    <row r="111" spans="1:14">
      <c r="A111" s="141" t="str">
        <f t="shared" si="16"/>
        <v>第3次走查</v>
      </c>
      <c r="B111" s="242">
        <v>2</v>
      </c>
      <c r="C111" s="242">
        <v>1</v>
      </c>
      <c r="D111" s="242">
        <v>7</v>
      </c>
      <c r="E111" s="242">
        <v>2</v>
      </c>
      <c r="F111" s="242">
        <v>2</v>
      </c>
      <c r="G111" s="242">
        <v>14</v>
      </c>
      <c r="H111" s="242">
        <v>0</v>
      </c>
      <c r="I111" s="249">
        <f t="shared" si="17"/>
        <v>14</v>
      </c>
      <c r="J111" s="242">
        <v>25</v>
      </c>
      <c r="K111" s="234">
        <f t="shared" si="18"/>
        <v>0.56000000000000005</v>
      </c>
      <c r="L111" s="164">
        <v>0</v>
      </c>
      <c r="M111" s="165">
        <v>0.3</v>
      </c>
      <c r="N111" s="164">
        <v>0.65790273556231005</v>
      </c>
    </row>
    <row r="112" spans="1:14">
      <c r="A112" s="141" t="str">
        <f t="shared" si="16"/>
        <v>第4次走查</v>
      </c>
      <c r="B112" s="242">
        <v>0</v>
      </c>
      <c r="C112" s="242">
        <v>4</v>
      </c>
      <c r="D112" s="242">
        <v>4</v>
      </c>
      <c r="E112" s="242">
        <v>6</v>
      </c>
      <c r="F112" s="242">
        <v>1</v>
      </c>
      <c r="G112" s="242">
        <v>15</v>
      </c>
      <c r="H112" s="242">
        <v>0</v>
      </c>
      <c r="I112" s="249">
        <f t="shared" si="17"/>
        <v>15</v>
      </c>
      <c r="J112" s="242">
        <v>30</v>
      </c>
      <c r="K112" s="234">
        <f t="shared" si="18"/>
        <v>0.5</v>
      </c>
      <c r="L112" s="164">
        <v>0</v>
      </c>
      <c r="M112" s="165">
        <v>0.3</v>
      </c>
      <c r="N112" s="164">
        <v>0.65790273556231005</v>
      </c>
    </row>
    <row r="113" spans="1:14">
      <c r="A113" s="141" t="s">
        <v>265</v>
      </c>
      <c r="B113" s="228"/>
      <c r="C113" s="228"/>
      <c r="D113" s="228"/>
      <c r="E113" s="228"/>
      <c r="F113" s="228"/>
      <c r="G113" s="228"/>
      <c r="H113" s="228"/>
      <c r="I113" s="246">
        <f t="shared" si="17"/>
        <v>0</v>
      </c>
      <c r="J113" s="228" t="s">
        <v>254</v>
      </c>
      <c r="K113" s="247" t="e">
        <f t="shared" si="18"/>
        <v>#VALUE!</v>
      </c>
      <c r="L113" s="241">
        <v>0</v>
      </c>
      <c r="M113" s="241">
        <v>0.3</v>
      </c>
      <c r="N113" s="241">
        <v>0.65790273556231005</v>
      </c>
    </row>
    <row r="114" spans="1:14">
      <c r="A114" s="141" t="s">
        <v>255</v>
      </c>
      <c r="B114" s="229">
        <f t="shared" ref="B114:I114" si="19">SUM(B107:B113)</f>
        <v>3</v>
      </c>
      <c r="C114" s="229">
        <f t="shared" si="19"/>
        <v>13</v>
      </c>
      <c r="D114" s="229">
        <f t="shared" si="19"/>
        <v>19</v>
      </c>
      <c r="E114" s="229">
        <f t="shared" si="19"/>
        <v>13</v>
      </c>
      <c r="F114" s="229">
        <f t="shared" si="19"/>
        <v>7</v>
      </c>
      <c r="G114" s="229">
        <f t="shared" si="19"/>
        <v>55</v>
      </c>
      <c r="H114" s="229">
        <f t="shared" si="19"/>
        <v>0</v>
      </c>
      <c r="I114" s="229">
        <f t="shared" si="19"/>
        <v>55</v>
      </c>
      <c r="J114" s="227">
        <v>120</v>
      </c>
      <c r="K114" s="234">
        <f t="shared" si="18"/>
        <v>0.45833333333333331</v>
      </c>
      <c r="L114" s="248"/>
      <c r="M114" s="248"/>
      <c r="N114" s="248"/>
    </row>
    <row r="116" spans="1:14">
      <c r="L116" s="238" t="s">
        <v>266</v>
      </c>
    </row>
    <row r="117" spans="1:14">
      <c r="L117" s="238" t="s">
        <v>267</v>
      </c>
    </row>
    <row r="118" spans="1:14">
      <c r="L118" s="238" t="s">
        <v>268</v>
      </c>
    </row>
    <row r="119" spans="1:14">
      <c r="L119" s="238" t="s">
        <v>269</v>
      </c>
    </row>
    <row r="120" spans="1:14">
      <c r="L120" s="238" t="s">
        <v>270</v>
      </c>
    </row>
    <row r="133" spans="1:11" ht="27">
      <c r="A133" s="250"/>
      <c r="B133" s="588"/>
      <c r="C133" s="588"/>
      <c r="D133" s="588"/>
      <c r="E133" s="588"/>
      <c r="F133" s="588"/>
      <c r="G133" s="588"/>
      <c r="H133" s="588"/>
      <c r="I133" s="588"/>
      <c r="J133" s="588"/>
      <c r="K133" s="588"/>
    </row>
  </sheetData>
  <mergeCells count="43">
    <mergeCell ref="A1:N1"/>
    <mergeCell ref="A2:I2"/>
    <mergeCell ref="B5:F5"/>
    <mergeCell ref="L5:N5"/>
    <mergeCell ref="B29:F29"/>
    <mergeCell ref="L29:N29"/>
    <mergeCell ref="I5:I6"/>
    <mergeCell ref="I29:I30"/>
    <mergeCell ref="J5:J6"/>
    <mergeCell ref="J29:J30"/>
    <mergeCell ref="K5:K6"/>
    <mergeCell ref="K29:K30"/>
    <mergeCell ref="B55:F55"/>
    <mergeCell ref="L55:N55"/>
    <mergeCell ref="B82:F82"/>
    <mergeCell ref="L82:N82"/>
    <mergeCell ref="B107:F107"/>
    <mergeCell ref="L107:N107"/>
    <mergeCell ref="I55:I56"/>
    <mergeCell ref="I82:I83"/>
    <mergeCell ref="I107:I108"/>
    <mergeCell ref="J55:J56"/>
    <mergeCell ref="J82:J83"/>
    <mergeCell ref="J107:J108"/>
    <mergeCell ref="K55:K56"/>
    <mergeCell ref="K82:K83"/>
    <mergeCell ref="K107:K108"/>
    <mergeCell ref="B133:K133"/>
    <mergeCell ref="A5:A6"/>
    <mergeCell ref="A29:A30"/>
    <mergeCell ref="A55:A56"/>
    <mergeCell ref="A82:A83"/>
    <mergeCell ref="A107:A108"/>
    <mergeCell ref="G5:G6"/>
    <mergeCell ref="G29:G30"/>
    <mergeCell ref="G55:G56"/>
    <mergeCell ref="G82:G83"/>
    <mergeCell ref="G107:G108"/>
    <mergeCell ref="H5:H6"/>
    <mergeCell ref="H29:H30"/>
    <mergeCell ref="H55:H56"/>
    <mergeCell ref="H82:H83"/>
    <mergeCell ref="H107:H108"/>
  </mergeCells>
  <phoneticPr fontId="126" type="noConversion"/>
  <conditionalFormatting sqref="J11">
    <cfRule type="cellIs" dxfId="21" priority="1" operator="lessThan">
      <formula>$J$7</formula>
    </cfRule>
    <cfRule type="cellIs" dxfId="20" priority="2" operator="lessThan">
      <formula>$J$7</formula>
    </cfRule>
  </conditionalFormatting>
  <conditionalFormatting sqref="K87">
    <cfRule type="cellIs" dxfId="19" priority="13" operator="lessThan">
      <formula>$L$34</formula>
    </cfRule>
    <cfRule type="cellIs" dxfId="18" priority="14" operator="greaterThan">
      <formula>$N$34</formula>
    </cfRule>
  </conditionalFormatting>
  <conditionalFormatting sqref="K7:K11">
    <cfRule type="cellIs" dxfId="17" priority="873" operator="lessThan">
      <formula>$L$10</formula>
    </cfRule>
    <cfRule type="cellIs" dxfId="16" priority="874" operator="greaterThan">
      <formula>$N$10</formula>
    </cfRule>
    <cfRule type="cellIs" dxfId="15" priority="875" operator="greaterThan">
      <formula>0.6547</formula>
    </cfRule>
  </conditionalFormatting>
  <conditionalFormatting sqref="K84:K88">
    <cfRule type="cellIs" dxfId="14" priority="735" operator="greaterThan">
      <formula>$N$87</formula>
    </cfRule>
    <cfRule type="cellIs" dxfId="13" priority="736" operator="lessThan">
      <formula>$L$87</formula>
    </cfRule>
    <cfRule type="cellIs" dxfId="12" priority="737" operator="greaterThan">
      <formula>$N$87</formula>
    </cfRule>
  </conditionalFormatting>
  <conditionalFormatting sqref="K109:K114">
    <cfRule type="cellIs" dxfId="11" priority="740" operator="greaterThan">
      <formula>$N$113</formula>
    </cfRule>
  </conditionalFormatting>
  <conditionalFormatting sqref="K60 K31:K35">
    <cfRule type="cellIs" dxfId="10" priority="17" operator="lessThan">
      <formula>$L$34</formula>
    </cfRule>
    <cfRule type="cellIs" dxfId="9" priority="18" operator="greaterThan">
      <formula>$N$34</formula>
    </cfRule>
  </conditionalFormatting>
  <conditionalFormatting sqref="K87 K57:K61">
    <cfRule type="cellIs" dxfId="8" priority="11" operator="lessThan">
      <formula>$L$60</formula>
    </cfRule>
    <cfRule type="cellIs" dxfId="7" priority="12" operator="greaterThan">
      <formula>$N$60</formula>
    </cfRule>
  </conditionalFormatting>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2466" r:id="rId3" name="Button 2">
              <controlPr defaultSize="0" print="0" autoPict="0" macro="[0]!Button3_Click_Crreview_add">
                <anchor moveWithCells="1">
                  <from>
                    <xdr:col>0</xdr:col>
                    <xdr:colOff>114300</xdr:colOff>
                    <xdr:row>11</xdr:row>
                    <xdr:rowOff>104775</xdr:rowOff>
                  </from>
                  <to>
                    <xdr:col>1</xdr:col>
                    <xdr:colOff>266700</xdr:colOff>
                    <xdr:row>13</xdr:row>
                    <xdr:rowOff>19050</xdr:rowOff>
                  </to>
                </anchor>
              </controlPr>
            </control>
          </mc:Choice>
        </mc:AlternateContent>
        <mc:AlternateContent xmlns:mc="http://schemas.openxmlformats.org/markup-compatibility/2006">
          <mc:Choice Requires="x14">
            <control shapeId="62468" r:id="rId4" name="Button 4">
              <controlPr defaultSize="0" print="0" autoPict="0" macro="[0]!Button4_Click_Frreview_add">
                <anchor moveWithCells="1">
                  <from>
                    <xdr:col>0</xdr:col>
                    <xdr:colOff>95250</xdr:colOff>
                    <xdr:row>36</xdr:row>
                    <xdr:rowOff>47625</xdr:rowOff>
                  </from>
                  <to>
                    <xdr:col>1</xdr:col>
                    <xdr:colOff>257175</xdr:colOff>
                    <xdr:row>37</xdr:row>
                    <xdr:rowOff>142875</xdr:rowOff>
                  </to>
                </anchor>
              </controlPr>
            </control>
          </mc:Choice>
        </mc:AlternateContent>
        <mc:AlternateContent xmlns:mc="http://schemas.openxmlformats.org/markup-compatibility/2006">
          <mc:Choice Requires="x14">
            <control shapeId="62469" r:id="rId5" name="Button 5">
              <controlPr defaultSize="0" print="0" autoPict="0" macro="[0]!button5_Click_Dreview_add">
                <anchor moveWithCells="1">
                  <from>
                    <xdr:col>0</xdr:col>
                    <xdr:colOff>85725</xdr:colOff>
                    <xdr:row>61</xdr:row>
                    <xdr:rowOff>104775</xdr:rowOff>
                  </from>
                  <to>
                    <xdr:col>1</xdr:col>
                    <xdr:colOff>238125</xdr:colOff>
                    <xdr:row>63</xdr:row>
                    <xdr:rowOff>57150</xdr:rowOff>
                  </to>
                </anchor>
              </controlPr>
            </control>
          </mc:Choice>
        </mc:AlternateContent>
        <mc:AlternateContent xmlns:mc="http://schemas.openxmlformats.org/markup-compatibility/2006">
          <mc:Choice Requires="x14">
            <control shapeId="62472" r:id="rId6" name="Button 8">
              <controlPr defaultSize="0" print="0" autoPict="0" macro="[0]!button6_Click_Tcreview_add">
                <anchor moveWithCells="1">
                  <from>
                    <xdr:col>0</xdr:col>
                    <xdr:colOff>104775</xdr:colOff>
                    <xdr:row>88</xdr:row>
                    <xdr:rowOff>76200</xdr:rowOff>
                  </from>
                  <to>
                    <xdr:col>1</xdr:col>
                    <xdr:colOff>295275</xdr:colOff>
                    <xdr:row>90</xdr:row>
                    <xdr:rowOff>19050</xdr:rowOff>
                  </to>
                </anchor>
              </controlPr>
            </control>
          </mc:Choice>
        </mc:AlternateContent>
        <mc:AlternateContent xmlns:mc="http://schemas.openxmlformats.org/markup-compatibility/2006">
          <mc:Choice Requires="x14">
            <control shapeId="62473" r:id="rId7" name="Button 9">
              <controlPr defaultSize="0" print="0" autoPict="0" macro="[0]!Button7_Click_Creview_add">
                <anchor moveWithCells="1">
                  <from>
                    <xdr:col>0</xdr:col>
                    <xdr:colOff>200025</xdr:colOff>
                    <xdr:row>114</xdr:row>
                    <xdr:rowOff>85725</xdr:rowOff>
                  </from>
                  <to>
                    <xdr:col>1</xdr:col>
                    <xdr:colOff>342900</xdr:colOff>
                    <xdr:row>116</xdr:row>
                    <xdr:rowOff>19050</xdr:rowOff>
                  </to>
                </anchor>
              </controlPr>
            </control>
          </mc:Choice>
        </mc:AlternateContent>
        <mc:AlternateContent xmlns:mc="http://schemas.openxmlformats.org/markup-compatibility/2006">
          <mc:Choice Requires="x14">
            <control shapeId="62474" r:id="rId8" name="Button 10">
              <controlPr defaultSize="0" print="0" autoPict="0" macro="[0]!Button9_Click_Crreview_delete">
                <anchor moveWithCells="1">
                  <from>
                    <xdr:col>0</xdr:col>
                    <xdr:colOff>114300</xdr:colOff>
                    <xdr:row>13</xdr:row>
                    <xdr:rowOff>85725</xdr:rowOff>
                  </from>
                  <to>
                    <xdr:col>1</xdr:col>
                    <xdr:colOff>266700</xdr:colOff>
                    <xdr:row>15</xdr:row>
                    <xdr:rowOff>0</xdr:rowOff>
                  </to>
                </anchor>
              </controlPr>
            </control>
          </mc:Choice>
        </mc:AlternateContent>
        <mc:AlternateContent xmlns:mc="http://schemas.openxmlformats.org/markup-compatibility/2006">
          <mc:Choice Requires="x14">
            <control shapeId="62475" r:id="rId9" name="Button 11">
              <controlPr defaultSize="0" print="0" autoPict="0" macro="[0]!Button10_Click_Frreview_delete">
                <anchor moveWithCells="1">
                  <from>
                    <xdr:col>0</xdr:col>
                    <xdr:colOff>85725</xdr:colOff>
                    <xdr:row>38</xdr:row>
                    <xdr:rowOff>76200</xdr:rowOff>
                  </from>
                  <to>
                    <xdr:col>1</xdr:col>
                    <xdr:colOff>247650</xdr:colOff>
                    <xdr:row>40</xdr:row>
                    <xdr:rowOff>28575</xdr:rowOff>
                  </to>
                </anchor>
              </controlPr>
            </control>
          </mc:Choice>
        </mc:AlternateContent>
        <mc:AlternateContent xmlns:mc="http://schemas.openxmlformats.org/markup-compatibility/2006">
          <mc:Choice Requires="x14">
            <control shapeId="62476" r:id="rId10" name="Button 12">
              <controlPr defaultSize="0" print="0" autoPict="0" macro="[0]!Button11_Click_Dreview_delete">
                <anchor moveWithCells="1">
                  <from>
                    <xdr:col>0</xdr:col>
                    <xdr:colOff>85725</xdr:colOff>
                    <xdr:row>63</xdr:row>
                    <xdr:rowOff>114300</xdr:rowOff>
                  </from>
                  <to>
                    <xdr:col>1</xdr:col>
                    <xdr:colOff>247650</xdr:colOff>
                    <xdr:row>65</xdr:row>
                    <xdr:rowOff>66675</xdr:rowOff>
                  </to>
                </anchor>
              </controlPr>
            </control>
          </mc:Choice>
        </mc:AlternateContent>
        <mc:AlternateContent xmlns:mc="http://schemas.openxmlformats.org/markup-compatibility/2006">
          <mc:Choice Requires="x14">
            <control shapeId="62477" r:id="rId11" name="Button 13">
              <controlPr defaultSize="0" print="0" autoPict="0" macro="[0]!Button12_Click_Tcreview_delete">
                <anchor moveWithCells="1">
                  <from>
                    <xdr:col>0</xdr:col>
                    <xdr:colOff>114300</xdr:colOff>
                    <xdr:row>90</xdr:row>
                    <xdr:rowOff>142875</xdr:rowOff>
                  </from>
                  <to>
                    <xdr:col>1</xdr:col>
                    <xdr:colOff>276225</xdr:colOff>
                    <xdr:row>92</xdr:row>
                    <xdr:rowOff>95250</xdr:rowOff>
                  </to>
                </anchor>
              </controlPr>
            </control>
          </mc:Choice>
        </mc:AlternateContent>
        <mc:AlternateContent xmlns:mc="http://schemas.openxmlformats.org/markup-compatibility/2006">
          <mc:Choice Requires="x14">
            <control shapeId="62479" r:id="rId12" name="Button 15">
              <controlPr defaultSize="0" print="0" autoPict="0" macro="[0]!Button13_Click_Creview_delete">
                <anchor moveWithCells="1">
                  <from>
                    <xdr:col>0</xdr:col>
                    <xdr:colOff>180975</xdr:colOff>
                    <xdr:row>116</xdr:row>
                    <xdr:rowOff>104775</xdr:rowOff>
                  </from>
                  <to>
                    <xdr:col>1</xdr:col>
                    <xdr:colOff>342900</xdr:colOff>
                    <xdr:row>118</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P153"/>
  <sheetViews>
    <sheetView showGridLines="0" topLeftCell="A22" workbookViewId="0">
      <selection activeCell="O35" sqref="O35"/>
    </sheetView>
  </sheetViews>
  <sheetFormatPr defaultColWidth="9" defaultRowHeight="12" outlineLevelRow="1"/>
  <cols>
    <col min="1" max="1" width="12" style="46" customWidth="1"/>
    <col min="2" max="2" width="12.625" style="46" customWidth="1"/>
    <col min="3" max="3" width="12" style="46" customWidth="1"/>
    <col min="4" max="4" width="10.125" style="46" customWidth="1"/>
    <col min="5" max="5" width="11.375" style="46" customWidth="1"/>
    <col min="6" max="6" width="12.875" style="46" customWidth="1"/>
    <col min="7" max="7" width="9.25" style="46" customWidth="1"/>
    <col min="8" max="8" width="8.875" style="46" customWidth="1"/>
    <col min="9" max="9" width="10" style="46" customWidth="1"/>
    <col min="10" max="10" width="11.5" style="46" customWidth="1"/>
    <col min="11" max="11" width="10.5" style="46" customWidth="1"/>
    <col min="12" max="12" width="10.75" style="46" customWidth="1"/>
    <col min="13" max="13" width="9" style="46" customWidth="1"/>
    <col min="14" max="14" width="9.625" style="46" customWidth="1"/>
    <col min="15" max="15" width="16.25" style="46" customWidth="1"/>
    <col min="16" max="256" width="9" style="46"/>
    <col min="257" max="257" width="12" style="46" customWidth="1"/>
    <col min="258" max="258" width="17.25" style="46" customWidth="1"/>
    <col min="259" max="259" width="8.75" style="46" customWidth="1"/>
    <col min="260" max="260" width="8.375" style="46" customWidth="1"/>
    <col min="261" max="261" width="10.375" style="46" customWidth="1"/>
    <col min="262" max="262" width="9.125" style="46" customWidth="1"/>
    <col min="263" max="263" width="9.25" style="46" customWidth="1"/>
    <col min="264" max="264" width="8.875" style="46" customWidth="1"/>
    <col min="265" max="265" width="10" style="46" customWidth="1"/>
    <col min="266" max="266" width="9.875" style="46" customWidth="1"/>
    <col min="267" max="267" width="9" style="46" customWidth="1"/>
    <col min="268" max="268" width="10.75" style="46" customWidth="1"/>
    <col min="269" max="269" width="9" style="46" customWidth="1"/>
    <col min="270" max="270" width="9.625" style="46" customWidth="1"/>
    <col min="271" max="271" width="16.25" style="46" customWidth="1"/>
    <col min="272" max="512" width="9" style="46"/>
    <col min="513" max="513" width="12" style="46" customWidth="1"/>
    <col min="514" max="514" width="17.25" style="46" customWidth="1"/>
    <col min="515" max="515" width="8.75" style="46" customWidth="1"/>
    <col min="516" max="516" width="8.375" style="46" customWidth="1"/>
    <col min="517" max="517" width="10.375" style="46" customWidth="1"/>
    <col min="518" max="518" width="9.125" style="46" customWidth="1"/>
    <col min="519" max="519" width="9.25" style="46" customWidth="1"/>
    <col min="520" max="520" width="8.875" style="46" customWidth="1"/>
    <col min="521" max="521" width="10" style="46" customWidth="1"/>
    <col min="522" max="522" width="9.875" style="46" customWidth="1"/>
    <col min="523" max="523" width="9" style="46" customWidth="1"/>
    <col min="524" max="524" width="10.75" style="46" customWidth="1"/>
    <col min="525" max="525" width="9" style="46" customWidth="1"/>
    <col min="526" max="526" width="9.625" style="46" customWidth="1"/>
    <col min="527" max="527" width="16.25" style="46" customWidth="1"/>
    <col min="528" max="768" width="9" style="46"/>
    <col min="769" max="769" width="12" style="46" customWidth="1"/>
    <col min="770" max="770" width="17.25" style="46" customWidth="1"/>
    <col min="771" max="771" width="8.75" style="46" customWidth="1"/>
    <col min="772" max="772" width="8.375" style="46" customWidth="1"/>
    <col min="773" max="773" width="10.375" style="46" customWidth="1"/>
    <col min="774" max="774" width="9.125" style="46" customWidth="1"/>
    <col min="775" max="775" width="9.25" style="46" customWidth="1"/>
    <col min="776" max="776" width="8.875" style="46" customWidth="1"/>
    <col min="777" max="777" width="10" style="46" customWidth="1"/>
    <col min="778" max="778" width="9.875" style="46" customWidth="1"/>
    <col min="779" max="779" width="9" style="46" customWidth="1"/>
    <col min="780" max="780" width="10.75" style="46" customWidth="1"/>
    <col min="781" max="781" width="9" style="46" customWidth="1"/>
    <col min="782" max="782" width="9.625" style="46" customWidth="1"/>
    <col min="783" max="783" width="16.25" style="46" customWidth="1"/>
    <col min="784" max="1024" width="9" style="46"/>
    <col min="1025" max="1025" width="12" style="46" customWidth="1"/>
    <col min="1026" max="1026" width="17.25" style="46" customWidth="1"/>
    <col min="1027" max="1027" width="8.75" style="46" customWidth="1"/>
    <col min="1028" max="1028" width="8.375" style="46" customWidth="1"/>
    <col min="1029" max="1029" width="10.375" style="46" customWidth="1"/>
    <col min="1030" max="1030" width="9.125" style="46" customWidth="1"/>
    <col min="1031" max="1031" width="9.25" style="46" customWidth="1"/>
    <col min="1032" max="1032" width="8.875" style="46" customWidth="1"/>
    <col min="1033" max="1033" width="10" style="46" customWidth="1"/>
    <col min="1034" max="1034" width="9.875" style="46" customWidth="1"/>
    <col min="1035" max="1035" width="9" style="46" customWidth="1"/>
    <col min="1036" max="1036" width="10.75" style="46" customWidth="1"/>
    <col min="1037" max="1037" width="9" style="46" customWidth="1"/>
    <col min="1038" max="1038" width="9.625" style="46" customWidth="1"/>
    <col min="1039" max="1039" width="16.25" style="46" customWidth="1"/>
    <col min="1040" max="1280" width="9" style="46"/>
    <col min="1281" max="1281" width="12" style="46" customWidth="1"/>
    <col min="1282" max="1282" width="17.25" style="46" customWidth="1"/>
    <col min="1283" max="1283" width="8.75" style="46" customWidth="1"/>
    <col min="1284" max="1284" width="8.375" style="46" customWidth="1"/>
    <col min="1285" max="1285" width="10.375" style="46" customWidth="1"/>
    <col min="1286" max="1286" width="9.125" style="46" customWidth="1"/>
    <col min="1287" max="1287" width="9.25" style="46" customWidth="1"/>
    <col min="1288" max="1288" width="8.875" style="46" customWidth="1"/>
    <col min="1289" max="1289" width="10" style="46" customWidth="1"/>
    <col min="1290" max="1290" width="9.875" style="46" customWidth="1"/>
    <col min="1291" max="1291" width="9" style="46" customWidth="1"/>
    <col min="1292" max="1292" width="10.75" style="46" customWidth="1"/>
    <col min="1293" max="1293" width="9" style="46" customWidth="1"/>
    <col min="1294" max="1294" width="9.625" style="46" customWidth="1"/>
    <col min="1295" max="1295" width="16.25" style="46" customWidth="1"/>
    <col min="1296" max="1536" width="9" style="46"/>
    <col min="1537" max="1537" width="12" style="46" customWidth="1"/>
    <col min="1538" max="1538" width="17.25" style="46" customWidth="1"/>
    <col min="1539" max="1539" width="8.75" style="46" customWidth="1"/>
    <col min="1540" max="1540" width="8.375" style="46" customWidth="1"/>
    <col min="1541" max="1541" width="10.375" style="46" customWidth="1"/>
    <col min="1542" max="1542" width="9.125" style="46" customWidth="1"/>
    <col min="1543" max="1543" width="9.25" style="46" customWidth="1"/>
    <col min="1544" max="1544" width="8.875" style="46" customWidth="1"/>
    <col min="1545" max="1545" width="10" style="46" customWidth="1"/>
    <col min="1546" max="1546" width="9.875" style="46" customWidth="1"/>
    <col min="1547" max="1547" width="9" style="46" customWidth="1"/>
    <col min="1548" max="1548" width="10.75" style="46" customWidth="1"/>
    <col min="1549" max="1549" width="9" style="46" customWidth="1"/>
    <col min="1550" max="1550" width="9.625" style="46" customWidth="1"/>
    <col min="1551" max="1551" width="16.25" style="46" customWidth="1"/>
    <col min="1552" max="1792" width="9" style="46"/>
    <col min="1793" max="1793" width="12" style="46" customWidth="1"/>
    <col min="1794" max="1794" width="17.25" style="46" customWidth="1"/>
    <col min="1795" max="1795" width="8.75" style="46" customWidth="1"/>
    <col min="1796" max="1796" width="8.375" style="46" customWidth="1"/>
    <col min="1797" max="1797" width="10.375" style="46" customWidth="1"/>
    <col min="1798" max="1798" width="9.125" style="46" customWidth="1"/>
    <col min="1799" max="1799" width="9.25" style="46" customWidth="1"/>
    <col min="1800" max="1800" width="8.875" style="46" customWidth="1"/>
    <col min="1801" max="1801" width="10" style="46" customWidth="1"/>
    <col min="1802" max="1802" width="9.875" style="46" customWidth="1"/>
    <col min="1803" max="1803" width="9" style="46" customWidth="1"/>
    <col min="1804" max="1804" width="10.75" style="46" customWidth="1"/>
    <col min="1805" max="1805" width="9" style="46" customWidth="1"/>
    <col min="1806" max="1806" width="9.625" style="46" customWidth="1"/>
    <col min="1807" max="1807" width="16.25" style="46" customWidth="1"/>
    <col min="1808" max="2048" width="9" style="46"/>
    <col min="2049" max="2049" width="12" style="46" customWidth="1"/>
    <col min="2050" max="2050" width="17.25" style="46" customWidth="1"/>
    <col min="2051" max="2051" width="8.75" style="46" customWidth="1"/>
    <col min="2052" max="2052" width="8.375" style="46" customWidth="1"/>
    <col min="2053" max="2053" width="10.375" style="46" customWidth="1"/>
    <col min="2054" max="2054" width="9.125" style="46" customWidth="1"/>
    <col min="2055" max="2055" width="9.25" style="46" customWidth="1"/>
    <col min="2056" max="2056" width="8.875" style="46" customWidth="1"/>
    <col min="2057" max="2057" width="10" style="46" customWidth="1"/>
    <col min="2058" max="2058" width="9.875" style="46" customWidth="1"/>
    <col min="2059" max="2059" width="9" style="46" customWidth="1"/>
    <col min="2060" max="2060" width="10.75" style="46" customWidth="1"/>
    <col min="2061" max="2061" width="9" style="46" customWidth="1"/>
    <col min="2062" max="2062" width="9.625" style="46" customWidth="1"/>
    <col min="2063" max="2063" width="16.25" style="46" customWidth="1"/>
    <col min="2064" max="2304" width="9" style="46"/>
    <col min="2305" max="2305" width="12" style="46" customWidth="1"/>
    <col min="2306" max="2306" width="17.25" style="46" customWidth="1"/>
    <col min="2307" max="2307" width="8.75" style="46" customWidth="1"/>
    <col min="2308" max="2308" width="8.375" style="46" customWidth="1"/>
    <col min="2309" max="2309" width="10.375" style="46" customWidth="1"/>
    <col min="2310" max="2310" width="9.125" style="46" customWidth="1"/>
    <col min="2311" max="2311" width="9.25" style="46" customWidth="1"/>
    <col min="2312" max="2312" width="8.875" style="46" customWidth="1"/>
    <col min="2313" max="2313" width="10" style="46" customWidth="1"/>
    <col min="2314" max="2314" width="9.875" style="46" customWidth="1"/>
    <col min="2315" max="2315" width="9" style="46" customWidth="1"/>
    <col min="2316" max="2316" width="10.75" style="46" customWidth="1"/>
    <col min="2317" max="2317" width="9" style="46" customWidth="1"/>
    <col min="2318" max="2318" width="9.625" style="46" customWidth="1"/>
    <col min="2319" max="2319" width="16.25" style="46" customWidth="1"/>
    <col min="2320" max="2560" width="9" style="46"/>
    <col min="2561" max="2561" width="12" style="46" customWidth="1"/>
    <col min="2562" max="2562" width="17.25" style="46" customWidth="1"/>
    <col min="2563" max="2563" width="8.75" style="46" customWidth="1"/>
    <col min="2564" max="2564" width="8.375" style="46" customWidth="1"/>
    <col min="2565" max="2565" width="10.375" style="46" customWidth="1"/>
    <col min="2566" max="2566" width="9.125" style="46" customWidth="1"/>
    <col min="2567" max="2567" width="9.25" style="46" customWidth="1"/>
    <col min="2568" max="2568" width="8.875" style="46" customWidth="1"/>
    <col min="2569" max="2569" width="10" style="46" customWidth="1"/>
    <col min="2570" max="2570" width="9.875" style="46" customWidth="1"/>
    <col min="2571" max="2571" width="9" style="46" customWidth="1"/>
    <col min="2572" max="2572" width="10.75" style="46" customWidth="1"/>
    <col min="2573" max="2573" width="9" style="46" customWidth="1"/>
    <col min="2574" max="2574" width="9.625" style="46" customWidth="1"/>
    <col min="2575" max="2575" width="16.25" style="46" customWidth="1"/>
    <col min="2576" max="2816" width="9" style="46"/>
    <col min="2817" max="2817" width="12" style="46" customWidth="1"/>
    <col min="2818" max="2818" width="17.25" style="46" customWidth="1"/>
    <col min="2819" max="2819" width="8.75" style="46" customWidth="1"/>
    <col min="2820" max="2820" width="8.375" style="46" customWidth="1"/>
    <col min="2821" max="2821" width="10.375" style="46" customWidth="1"/>
    <col min="2822" max="2822" width="9.125" style="46" customWidth="1"/>
    <col min="2823" max="2823" width="9.25" style="46" customWidth="1"/>
    <col min="2824" max="2824" width="8.875" style="46" customWidth="1"/>
    <col min="2825" max="2825" width="10" style="46" customWidth="1"/>
    <col min="2826" max="2826" width="9.875" style="46" customWidth="1"/>
    <col min="2827" max="2827" width="9" style="46" customWidth="1"/>
    <col min="2828" max="2828" width="10.75" style="46" customWidth="1"/>
    <col min="2829" max="2829" width="9" style="46" customWidth="1"/>
    <col min="2830" max="2830" width="9.625" style="46" customWidth="1"/>
    <col min="2831" max="2831" width="16.25" style="46" customWidth="1"/>
    <col min="2832" max="3072" width="9" style="46"/>
    <col min="3073" max="3073" width="12" style="46" customWidth="1"/>
    <col min="3074" max="3074" width="17.25" style="46" customWidth="1"/>
    <col min="3075" max="3075" width="8.75" style="46" customWidth="1"/>
    <col min="3076" max="3076" width="8.375" style="46" customWidth="1"/>
    <col min="3077" max="3077" width="10.375" style="46" customWidth="1"/>
    <col min="3078" max="3078" width="9.125" style="46" customWidth="1"/>
    <col min="3079" max="3079" width="9.25" style="46" customWidth="1"/>
    <col min="3080" max="3080" width="8.875" style="46" customWidth="1"/>
    <col min="3081" max="3081" width="10" style="46" customWidth="1"/>
    <col min="3082" max="3082" width="9.875" style="46" customWidth="1"/>
    <col min="3083" max="3083" width="9" style="46" customWidth="1"/>
    <col min="3084" max="3084" width="10.75" style="46" customWidth="1"/>
    <col min="3085" max="3085" width="9" style="46" customWidth="1"/>
    <col min="3086" max="3086" width="9.625" style="46" customWidth="1"/>
    <col min="3087" max="3087" width="16.25" style="46" customWidth="1"/>
    <col min="3088" max="3328" width="9" style="46"/>
    <col min="3329" max="3329" width="12" style="46" customWidth="1"/>
    <col min="3330" max="3330" width="17.25" style="46" customWidth="1"/>
    <col min="3331" max="3331" width="8.75" style="46" customWidth="1"/>
    <col min="3332" max="3332" width="8.375" style="46" customWidth="1"/>
    <col min="3333" max="3333" width="10.375" style="46" customWidth="1"/>
    <col min="3334" max="3334" width="9.125" style="46" customWidth="1"/>
    <col min="3335" max="3335" width="9.25" style="46" customWidth="1"/>
    <col min="3336" max="3336" width="8.875" style="46" customWidth="1"/>
    <col min="3337" max="3337" width="10" style="46" customWidth="1"/>
    <col min="3338" max="3338" width="9.875" style="46" customWidth="1"/>
    <col min="3339" max="3339" width="9" style="46" customWidth="1"/>
    <col min="3340" max="3340" width="10.75" style="46" customWidth="1"/>
    <col min="3341" max="3341" width="9" style="46" customWidth="1"/>
    <col min="3342" max="3342" width="9.625" style="46" customWidth="1"/>
    <col min="3343" max="3343" width="16.25" style="46" customWidth="1"/>
    <col min="3344" max="3584" width="9" style="46"/>
    <col min="3585" max="3585" width="12" style="46" customWidth="1"/>
    <col min="3586" max="3586" width="17.25" style="46" customWidth="1"/>
    <col min="3587" max="3587" width="8.75" style="46" customWidth="1"/>
    <col min="3588" max="3588" width="8.375" style="46" customWidth="1"/>
    <col min="3589" max="3589" width="10.375" style="46" customWidth="1"/>
    <col min="3590" max="3590" width="9.125" style="46" customWidth="1"/>
    <col min="3591" max="3591" width="9.25" style="46" customWidth="1"/>
    <col min="3592" max="3592" width="8.875" style="46" customWidth="1"/>
    <col min="3593" max="3593" width="10" style="46" customWidth="1"/>
    <col min="3594" max="3594" width="9.875" style="46" customWidth="1"/>
    <col min="3595" max="3595" width="9" style="46" customWidth="1"/>
    <col min="3596" max="3596" width="10.75" style="46" customWidth="1"/>
    <col min="3597" max="3597" width="9" style="46" customWidth="1"/>
    <col min="3598" max="3598" width="9.625" style="46" customWidth="1"/>
    <col min="3599" max="3599" width="16.25" style="46" customWidth="1"/>
    <col min="3600" max="3840" width="9" style="46"/>
    <col min="3841" max="3841" width="12" style="46" customWidth="1"/>
    <col min="3842" max="3842" width="17.25" style="46" customWidth="1"/>
    <col min="3843" max="3843" width="8.75" style="46" customWidth="1"/>
    <col min="3844" max="3844" width="8.375" style="46" customWidth="1"/>
    <col min="3845" max="3845" width="10.375" style="46" customWidth="1"/>
    <col min="3846" max="3846" width="9.125" style="46" customWidth="1"/>
    <col min="3847" max="3847" width="9.25" style="46" customWidth="1"/>
    <col min="3848" max="3848" width="8.875" style="46" customWidth="1"/>
    <col min="3849" max="3849" width="10" style="46" customWidth="1"/>
    <col min="3850" max="3850" width="9.875" style="46" customWidth="1"/>
    <col min="3851" max="3851" width="9" style="46" customWidth="1"/>
    <col min="3852" max="3852" width="10.75" style="46" customWidth="1"/>
    <col min="3853" max="3853" width="9" style="46" customWidth="1"/>
    <col min="3854" max="3854" width="9.625" style="46" customWidth="1"/>
    <col min="3855" max="3855" width="16.25" style="46" customWidth="1"/>
    <col min="3856" max="4096" width="9" style="46"/>
    <col min="4097" max="4097" width="12" style="46" customWidth="1"/>
    <col min="4098" max="4098" width="17.25" style="46" customWidth="1"/>
    <col min="4099" max="4099" width="8.75" style="46" customWidth="1"/>
    <col min="4100" max="4100" width="8.375" style="46" customWidth="1"/>
    <col min="4101" max="4101" width="10.375" style="46" customWidth="1"/>
    <col min="4102" max="4102" width="9.125" style="46" customWidth="1"/>
    <col min="4103" max="4103" width="9.25" style="46" customWidth="1"/>
    <col min="4104" max="4104" width="8.875" style="46" customWidth="1"/>
    <col min="4105" max="4105" width="10" style="46" customWidth="1"/>
    <col min="4106" max="4106" width="9.875" style="46" customWidth="1"/>
    <col min="4107" max="4107" width="9" style="46" customWidth="1"/>
    <col min="4108" max="4108" width="10.75" style="46" customWidth="1"/>
    <col min="4109" max="4109" width="9" style="46" customWidth="1"/>
    <col min="4110" max="4110" width="9.625" style="46" customWidth="1"/>
    <col min="4111" max="4111" width="16.25" style="46" customWidth="1"/>
    <col min="4112" max="4352" width="9" style="46"/>
    <col min="4353" max="4353" width="12" style="46" customWidth="1"/>
    <col min="4354" max="4354" width="17.25" style="46" customWidth="1"/>
    <col min="4355" max="4355" width="8.75" style="46" customWidth="1"/>
    <col min="4356" max="4356" width="8.375" style="46" customWidth="1"/>
    <col min="4357" max="4357" width="10.375" style="46" customWidth="1"/>
    <col min="4358" max="4358" width="9.125" style="46" customWidth="1"/>
    <col min="4359" max="4359" width="9.25" style="46" customWidth="1"/>
    <col min="4360" max="4360" width="8.875" style="46" customWidth="1"/>
    <col min="4361" max="4361" width="10" style="46" customWidth="1"/>
    <col min="4362" max="4362" width="9.875" style="46" customWidth="1"/>
    <col min="4363" max="4363" width="9" style="46" customWidth="1"/>
    <col min="4364" max="4364" width="10.75" style="46" customWidth="1"/>
    <col min="4365" max="4365" width="9" style="46" customWidth="1"/>
    <col min="4366" max="4366" width="9.625" style="46" customWidth="1"/>
    <col min="4367" max="4367" width="16.25" style="46" customWidth="1"/>
    <col min="4368" max="4608" width="9" style="46"/>
    <col min="4609" max="4609" width="12" style="46" customWidth="1"/>
    <col min="4610" max="4610" width="17.25" style="46" customWidth="1"/>
    <col min="4611" max="4611" width="8.75" style="46" customWidth="1"/>
    <col min="4612" max="4612" width="8.375" style="46" customWidth="1"/>
    <col min="4613" max="4613" width="10.375" style="46" customWidth="1"/>
    <col min="4614" max="4614" width="9.125" style="46" customWidth="1"/>
    <col min="4615" max="4615" width="9.25" style="46" customWidth="1"/>
    <col min="4616" max="4616" width="8.875" style="46" customWidth="1"/>
    <col min="4617" max="4617" width="10" style="46" customWidth="1"/>
    <col min="4618" max="4618" width="9.875" style="46" customWidth="1"/>
    <col min="4619" max="4619" width="9" style="46" customWidth="1"/>
    <col min="4620" max="4620" width="10.75" style="46" customWidth="1"/>
    <col min="4621" max="4621" width="9" style="46" customWidth="1"/>
    <col min="4622" max="4622" width="9.625" style="46" customWidth="1"/>
    <col min="4623" max="4623" width="16.25" style="46" customWidth="1"/>
    <col min="4624" max="4864" width="9" style="46"/>
    <col min="4865" max="4865" width="12" style="46" customWidth="1"/>
    <col min="4866" max="4866" width="17.25" style="46" customWidth="1"/>
    <col min="4867" max="4867" width="8.75" style="46" customWidth="1"/>
    <col min="4868" max="4868" width="8.375" style="46" customWidth="1"/>
    <col min="4869" max="4869" width="10.375" style="46" customWidth="1"/>
    <col min="4870" max="4870" width="9.125" style="46" customWidth="1"/>
    <col min="4871" max="4871" width="9.25" style="46" customWidth="1"/>
    <col min="4872" max="4872" width="8.875" style="46" customWidth="1"/>
    <col min="4873" max="4873" width="10" style="46" customWidth="1"/>
    <col min="4874" max="4874" width="9.875" style="46" customWidth="1"/>
    <col min="4875" max="4875" width="9" style="46" customWidth="1"/>
    <col min="4876" max="4876" width="10.75" style="46" customWidth="1"/>
    <col min="4877" max="4877" width="9" style="46" customWidth="1"/>
    <col min="4878" max="4878" width="9.625" style="46" customWidth="1"/>
    <col min="4879" max="4879" width="16.25" style="46" customWidth="1"/>
    <col min="4880" max="5120" width="9" style="46"/>
    <col min="5121" max="5121" width="12" style="46" customWidth="1"/>
    <col min="5122" max="5122" width="17.25" style="46" customWidth="1"/>
    <col min="5123" max="5123" width="8.75" style="46" customWidth="1"/>
    <col min="5124" max="5124" width="8.375" style="46" customWidth="1"/>
    <col min="5125" max="5125" width="10.375" style="46" customWidth="1"/>
    <col min="5126" max="5126" width="9.125" style="46" customWidth="1"/>
    <col min="5127" max="5127" width="9.25" style="46" customWidth="1"/>
    <col min="5128" max="5128" width="8.875" style="46" customWidth="1"/>
    <col min="5129" max="5129" width="10" style="46" customWidth="1"/>
    <col min="5130" max="5130" width="9.875" style="46" customWidth="1"/>
    <col min="5131" max="5131" width="9" style="46" customWidth="1"/>
    <col min="5132" max="5132" width="10.75" style="46" customWidth="1"/>
    <col min="5133" max="5133" width="9" style="46" customWidth="1"/>
    <col min="5134" max="5134" width="9.625" style="46" customWidth="1"/>
    <col min="5135" max="5135" width="16.25" style="46" customWidth="1"/>
    <col min="5136" max="5376" width="9" style="46"/>
    <col min="5377" max="5377" width="12" style="46" customWidth="1"/>
    <col min="5378" max="5378" width="17.25" style="46" customWidth="1"/>
    <col min="5379" max="5379" width="8.75" style="46" customWidth="1"/>
    <col min="5380" max="5380" width="8.375" style="46" customWidth="1"/>
    <col min="5381" max="5381" width="10.375" style="46" customWidth="1"/>
    <col min="5382" max="5382" width="9.125" style="46" customWidth="1"/>
    <col min="5383" max="5383" width="9.25" style="46" customWidth="1"/>
    <col min="5384" max="5384" width="8.875" style="46" customWidth="1"/>
    <col min="5385" max="5385" width="10" style="46" customWidth="1"/>
    <col min="5386" max="5386" width="9.875" style="46" customWidth="1"/>
    <col min="5387" max="5387" width="9" style="46" customWidth="1"/>
    <col min="5388" max="5388" width="10.75" style="46" customWidth="1"/>
    <col min="5389" max="5389" width="9" style="46" customWidth="1"/>
    <col min="5390" max="5390" width="9.625" style="46" customWidth="1"/>
    <col min="5391" max="5391" width="16.25" style="46" customWidth="1"/>
    <col min="5392" max="5632" width="9" style="46"/>
    <col min="5633" max="5633" width="12" style="46" customWidth="1"/>
    <col min="5634" max="5634" width="17.25" style="46" customWidth="1"/>
    <col min="5635" max="5635" width="8.75" style="46" customWidth="1"/>
    <col min="5636" max="5636" width="8.375" style="46" customWidth="1"/>
    <col min="5637" max="5637" width="10.375" style="46" customWidth="1"/>
    <col min="5638" max="5638" width="9.125" style="46" customWidth="1"/>
    <col min="5639" max="5639" width="9.25" style="46" customWidth="1"/>
    <col min="5640" max="5640" width="8.875" style="46" customWidth="1"/>
    <col min="5641" max="5641" width="10" style="46" customWidth="1"/>
    <col min="5642" max="5642" width="9.875" style="46" customWidth="1"/>
    <col min="5643" max="5643" width="9" style="46" customWidth="1"/>
    <col min="5644" max="5644" width="10.75" style="46" customWidth="1"/>
    <col min="5645" max="5645" width="9" style="46" customWidth="1"/>
    <col min="5646" max="5646" width="9.625" style="46" customWidth="1"/>
    <col min="5647" max="5647" width="16.25" style="46" customWidth="1"/>
    <col min="5648" max="5888" width="9" style="46"/>
    <col min="5889" max="5889" width="12" style="46" customWidth="1"/>
    <col min="5890" max="5890" width="17.25" style="46" customWidth="1"/>
    <col min="5891" max="5891" width="8.75" style="46" customWidth="1"/>
    <col min="5892" max="5892" width="8.375" style="46" customWidth="1"/>
    <col min="5893" max="5893" width="10.375" style="46" customWidth="1"/>
    <col min="5894" max="5894" width="9.125" style="46" customWidth="1"/>
    <col min="5895" max="5895" width="9.25" style="46" customWidth="1"/>
    <col min="5896" max="5896" width="8.875" style="46" customWidth="1"/>
    <col min="5897" max="5897" width="10" style="46" customWidth="1"/>
    <col min="5898" max="5898" width="9.875" style="46" customWidth="1"/>
    <col min="5899" max="5899" width="9" style="46" customWidth="1"/>
    <col min="5900" max="5900" width="10.75" style="46" customWidth="1"/>
    <col min="5901" max="5901" width="9" style="46" customWidth="1"/>
    <col min="5902" max="5902" width="9.625" style="46" customWidth="1"/>
    <col min="5903" max="5903" width="16.25" style="46" customWidth="1"/>
    <col min="5904" max="6144" width="9" style="46"/>
    <col min="6145" max="6145" width="12" style="46" customWidth="1"/>
    <col min="6146" max="6146" width="17.25" style="46" customWidth="1"/>
    <col min="6147" max="6147" width="8.75" style="46" customWidth="1"/>
    <col min="6148" max="6148" width="8.375" style="46" customWidth="1"/>
    <col min="6149" max="6149" width="10.375" style="46" customWidth="1"/>
    <col min="6150" max="6150" width="9.125" style="46" customWidth="1"/>
    <col min="6151" max="6151" width="9.25" style="46" customWidth="1"/>
    <col min="6152" max="6152" width="8.875" style="46" customWidth="1"/>
    <col min="6153" max="6153" width="10" style="46" customWidth="1"/>
    <col min="6154" max="6154" width="9.875" style="46" customWidth="1"/>
    <col min="6155" max="6155" width="9" style="46" customWidth="1"/>
    <col min="6156" max="6156" width="10.75" style="46" customWidth="1"/>
    <col min="6157" max="6157" width="9" style="46" customWidth="1"/>
    <col min="6158" max="6158" width="9.625" style="46" customWidth="1"/>
    <col min="6159" max="6159" width="16.25" style="46" customWidth="1"/>
    <col min="6160" max="6400" width="9" style="46"/>
    <col min="6401" max="6401" width="12" style="46" customWidth="1"/>
    <col min="6402" max="6402" width="17.25" style="46" customWidth="1"/>
    <col min="6403" max="6403" width="8.75" style="46" customWidth="1"/>
    <col min="6404" max="6404" width="8.375" style="46" customWidth="1"/>
    <col min="6405" max="6405" width="10.375" style="46" customWidth="1"/>
    <col min="6406" max="6406" width="9.125" style="46" customWidth="1"/>
    <col min="6407" max="6407" width="9.25" style="46" customWidth="1"/>
    <col min="6408" max="6408" width="8.875" style="46" customWidth="1"/>
    <col min="6409" max="6409" width="10" style="46" customWidth="1"/>
    <col min="6410" max="6410" width="9.875" style="46" customWidth="1"/>
    <col min="6411" max="6411" width="9" style="46" customWidth="1"/>
    <col min="6412" max="6412" width="10.75" style="46" customWidth="1"/>
    <col min="6413" max="6413" width="9" style="46" customWidth="1"/>
    <col min="6414" max="6414" width="9.625" style="46" customWidth="1"/>
    <col min="6415" max="6415" width="16.25" style="46" customWidth="1"/>
    <col min="6416" max="6656" width="9" style="46"/>
    <col min="6657" max="6657" width="12" style="46" customWidth="1"/>
    <col min="6658" max="6658" width="17.25" style="46" customWidth="1"/>
    <col min="6659" max="6659" width="8.75" style="46" customWidth="1"/>
    <col min="6660" max="6660" width="8.375" style="46" customWidth="1"/>
    <col min="6661" max="6661" width="10.375" style="46" customWidth="1"/>
    <col min="6662" max="6662" width="9.125" style="46" customWidth="1"/>
    <col min="6663" max="6663" width="9.25" style="46" customWidth="1"/>
    <col min="6664" max="6664" width="8.875" style="46" customWidth="1"/>
    <col min="6665" max="6665" width="10" style="46" customWidth="1"/>
    <col min="6666" max="6666" width="9.875" style="46" customWidth="1"/>
    <col min="6667" max="6667" width="9" style="46" customWidth="1"/>
    <col min="6668" max="6668" width="10.75" style="46" customWidth="1"/>
    <col min="6669" max="6669" width="9" style="46" customWidth="1"/>
    <col min="6670" max="6670" width="9.625" style="46" customWidth="1"/>
    <col min="6671" max="6671" width="16.25" style="46" customWidth="1"/>
    <col min="6672" max="6912" width="9" style="46"/>
    <col min="6913" max="6913" width="12" style="46" customWidth="1"/>
    <col min="6914" max="6914" width="17.25" style="46" customWidth="1"/>
    <col min="6915" max="6915" width="8.75" style="46" customWidth="1"/>
    <col min="6916" max="6916" width="8.375" style="46" customWidth="1"/>
    <col min="6917" max="6917" width="10.375" style="46" customWidth="1"/>
    <col min="6918" max="6918" width="9.125" style="46" customWidth="1"/>
    <col min="6919" max="6919" width="9.25" style="46" customWidth="1"/>
    <col min="6920" max="6920" width="8.875" style="46" customWidth="1"/>
    <col min="6921" max="6921" width="10" style="46" customWidth="1"/>
    <col min="6922" max="6922" width="9.875" style="46" customWidth="1"/>
    <col min="6923" max="6923" width="9" style="46" customWidth="1"/>
    <col min="6924" max="6924" width="10.75" style="46" customWidth="1"/>
    <col min="6925" max="6925" width="9" style="46" customWidth="1"/>
    <col min="6926" max="6926" width="9.625" style="46" customWidth="1"/>
    <col min="6927" max="6927" width="16.25" style="46" customWidth="1"/>
    <col min="6928" max="7168" width="9" style="46"/>
    <col min="7169" max="7169" width="12" style="46" customWidth="1"/>
    <col min="7170" max="7170" width="17.25" style="46" customWidth="1"/>
    <col min="7171" max="7171" width="8.75" style="46" customWidth="1"/>
    <col min="7172" max="7172" width="8.375" style="46" customWidth="1"/>
    <col min="7173" max="7173" width="10.375" style="46" customWidth="1"/>
    <col min="7174" max="7174" width="9.125" style="46" customWidth="1"/>
    <col min="7175" max="7175" width="9.25" style="46" customWidth="1"/>
    <col min="7176" max="7176" width="8.875" style="46" customWidth="1"/>
    <col min="7177" max="7177" width="10" style="46" customWidth="1"/>
    <col min="7178" max="7178" width="9.875" style="46" customWidth="1"/>
    <col min="7179" max="7179" width="9" style="46" customWidth="1"/>
    <col min="7180" max="7180" width="10.75" style="46" customWidth="1"/>
    <col min="7181" max="7181" width="9" style="46" customWidth="1"/>
    <col min="7182" max="7182" width="9.625" style="46" customWidth="1"/>
    <col min="7183" max="7183" width="16.25" style="46" customWidth="1"/>
    <col min="7184" max="7424" width="9" style="46"/>
    <col min="7425" max="7425" width="12" style="46" customWidth="1"/>
    <col min="7426" max="7426" width="17.25" style="46" customWidth="1"/>
    <col min="7427" max="7427" width="8.75" style="46" customWidth="1"/>
    <col min="7428" max="7428" width="8.375" style="46" customWidth="1"/>
    <col min="7429" max="7429" width="10.375" style="46" customWidth="1"/>
    <col min="7430" max="7430" width="9.125" style="46" customWidth="1"/>
    <col min="7431" max="7431" width="9.25" style="46" customWidth="1"/>
    <col min="7432" max="7432" width="8.875" style="46" customWidth="1"/>
    <col min="7433" max="7433" width="10" style="46" customWidth="1"/>
    <col min="7434" max="7434" width="9.875" style="46" customWidth="1"/>
    <col min="7435" max="7435" width="9" style="46" customWidth="1"/>
    <col min="7436" max="7436" width="10.75" style="46" customWidth="1"/>
    <col min="7437" max="7437" width="9" style="46" customWidth="1"/>
    <col min="7438" max="7438" width="9.625" style="46" customWidth="1"/>
    <col min="7439" max="7439" width="16.25" style="46" customWidth="1"/>
    <col min="7440" max="7680" width="9" style="46"/>
    <col min="7681" max="7681" width="12" style="46" customWidth="1"/>
    <col min="7682" max="7682" width="17.25" style="46" customWidth="1"/>
    <col min="7683" max="7683" width="8.75" style="46" customWidth="1"/>
    <col min="7684" max="7684" width="8.375" style="46" customWidth="1"/>
    <col min="7685" max="7685" width="10.375" style="46" customWidth="1"/>
    <col min="7686" max="7686" width="9.125" style="46" customWidth="1"/>
    <col min="7687" max="7687" width="9.25" style="46" customWidth="1"/>
    <col min="7688" max="7688" width="8.875" style="46" customWidth="1"/>
    <col min="7689" max="7689" width="10" style="46" customWidth="1"/>
    <col min="7690" max="7690" width="9.875" style="46" customWidth="1"/>
    <col min="7691" max="7691" width="9" style="46" customWidth="1"/>
    <col min="7692" max="7692" width="10.75" style="46" customWidth="1"/>
    <col min="7693" max="7693" width="9" style="46" customWidth="1"/>
    <col min="7694" max="7694" width="9.625" style="46" customWidth="1"/>
    <col min="7695" max="7695" width="16.25" style="46" customWidth="1"/>
    <col min="7696" max="7936" width="9" style="46"/>
    <col min="7937" max="7937" width="12" style="46" customWidth="1"/>
    <col min="7938" max="7938" width="17.25" style="46" customWidth="1"/>
    <col min="7939" max="7939" width="8.75" style="46" customWidth="1"/>
    <col min="7940" max="7940" width="8.375" style="46" customWidth="1"/>
    <col min="7941" max="7941" width="10.375" style="46" customWidth="1"/>
    <col min="7942" max="7942" width="9.125" style="46" customWidth="1"/>
    <col min="7943" max="7943" width="9.25" style="46" customWidth="1"/>
    <col min="7944" max="7944" width="8.875" style="46" customWidth="1"/>
    <col min="7945" max="7945" width="10" style="46" customWidth="1"/>
    <col min="7946" max="7946" width="9.875" style="46" customWidth="1"/>
    <col min="7947" max="7947" width="9" style="46" customWidth="1"/>
    <col min="7948" max="7948" width="10.75" style="46" customWidth="1"/>
    <col min="7949" max="7949" width="9" style="46" customWidth="1"/>
    <col min="7950" max="7950" width="9.625" style="46" customWidth="1"/>
    <col min="7951" max="7951" width="16.25" style="46" customWidth="1"/>
    <col min="7952" max="8192" width="9" style="46"/>
    <col min="8193" max="8193" width="12" style="46" customWidth="1"/>
    <col min="8194" max="8194" width="17.25" style="46" customWidth="1"/>
    <col min="8195" max="8195" width="8.75" style="46" customWidth="1"/>
    <col min="8196" max="8196" width="8.375" style="46" customWidth="1"/>
    <col min="8197" max="8197" width="10.375" style="46" customWidth="1"/>
    <col min="8198" max="8198" width="9.125" style="46" customWidth="1"/>
    <col min="8199" max="8199" width="9.25" style="46" customWidth="1"/>
    <col min="8200" max="8200" width="8.875" style="46" customWidth="1"/>
    <col min="8201" max="8201" width="10" style="46" customWidth="1"/>
    <col min="8202" max="8202" width="9.875" style="46" customWidth="1"/>
    <col min="8203" max="8203" width="9" style="46" customWidth="1"/>
    <col min="8204" max="8204" width="10.75" style="46" customWidth="1"/>
    <col min="8205" max="8205" width="9" style="46" customWidth="1"/>
    <col min="8206" max="8206" width="9.625" style="46" customWidth="1"/>
    <col min="8207" max="8207" width="16.25" style="46" customWidth="1"/>
    <col min="8208" max="8448" width="9" style="46"/>
    <col min="8449" max="8449" width="12" style="46" customWidth="1"/>
    <col min="8450" max="8450" width="17.25" style="46" customWidth="1"/>
    <col min="8451" max="8451" width="8.75" style="46" customWidth="1"/>
    <col min="8452" max="8452" width="8.375" style="46" customWidth="1"/>
    <col min="8453" max="8453" width="10.375" style="46" customWidth="1"/>
    <col min="8454" max="8454" width="9.125" style="46" customWidth="1"/>
    <col min="8455" max="8455" width="9.25" style="46" customWidth="1"/>
    <col min="8456" max="8456" width="8.875" style="46" customWidth="1"/>
    <col min="8457" max="8457" width="10" style="46" customWidth="1"/>
    <col min="8458" max="8458" width="9.875" style="46" customWidth="1"/>
    <col min="8459" max="8459" width="9" style="46" customWidth="1"/>
    <col min="8460" max="8460" width="10.75" style="46" customWidth="1"/>
    <col min="8461" max="8461" width="9" style="46" customWidth="1"/>
    <col min="8462" max="8462" width="9.625" style="46" customWidth="1"/>
    <col min="8463" max="8463" width="16.25" style="46" customWidth="1"/>
    <col min="8464" max="8704" width="9" style="46"/>
    <col min="8705" max="8705" width="12" style="46" customWidth="1"/>
    <col min="8706" max="8706" width="17.25" style="46" customWidth="1"/>
    <col min="8707" max="8707" width="8.75" style="46" customWidth="1"/>
    <col min="8708" max="8708" width="8.375" style="46" customWidth="1"/>
    <col min="8709" max="8709" width="10.375" style="46" customWidth="1"/>
    <col min="8710" max="8710" width="9.125" style="46" customWidth="1"/>
    <col min="8711" max="8711" width="9.25" style="46" customWidth="1"/>
    <col min="8712" max="8712" width="8.875" style="46" customWidth="1"/>
    <col min="8713" max="8713" width="10" style="46" customWidth="1"/>
    <col min="8714" max="8714" width="9.875" style="46" customWidth="1"/>
    <col min="8715" max="8715" width="9" style="46" customWidth="1"/>
    <col min="8716" max="8716" width="10.75" style="46" customWidth="1"/>
    <col min="8717" max="8717" width="9" style="46" customWidth="1"/>
    <col min="8718" max="8718" width="9.625" style="46" customWidth="1"/>
    <col min="8719" max="8719" width="16.25" style="46" customWidth="1"/>
    <col min="8720" max="8960" width="9" style="46"/>
    <col min="8961" max="8961" width="12" style="46" customWidth="1"/>
    <col min="8962" max="8962" width="17.25" style="46" customWidth="1"/>
    <col min="8963" max="8963" width="8.75" style="46" customWidth="1"/>
    <col min="8964" max="8964" width="8.375" style="46" customWidth="1"/>
    <col min="8965" max="8965" width="10.375" style="46" customWidth="1"/>
    <col min="8966" max="8966" width="9.125" style="46" customWidth="1"/>
    <col min="8967" max="8967" width="9.25" style="46" customWidth="1"/>
    <col min="8968" max="8968" width="8.875" style="46" customWidth="1"/>
    <col min="8969" max="8969" width="10" style="46" customWidth="1"/>
    <col min="8970" max="8970" width="9.875" style="46" customWidth="1"/>
    <col min="8971" max="8971" width="9" style="46" customWidth="1"/>
    <col min="8972" max="8972" width="10.75" style="46" customWidth="1"/>
    <col min="8973" max="8973" width="9" style="46" customWidth="1"/>
    <col min="8974" max="8974" width="9.625" style="46" customWidth="1"/>
    <col min="8975" max="8975" width="16.25" style="46" customWidth="1"/>
    <col min="8976" max="9216" width="9" style="46"/>
    <col min="9217" max="9217" width="12" style="46" customWidth="1"/>
    <col min="9218" max="9218" width="17.25" style="46" customWidth="1"/>
    <col min="9219" max="9219" width="8.75" style="46" customWidth="1"/>
    <col min="9220" max="9220" width="8.375" style="46" customWidth="1"/>
    <col min="9221" max="9221" width="10.375" style="46" customWidth="1"/>
    <col min="9222" max="9222" width="9.125" style="46" customWidth="1"/>
    <col min="9223" max="9223" width="9.25" style="46" customWidth="1"/>
    <col min="9224" max="9224" width="8.875" style="46" customWidth="1"/>
    <col min="9225" max="9225" width="10" style="46" customWidth="1"/>
    <col min="9226" max="9226" width="9.875" style="46" customWidth="1"/>
    <col min="9227" max="9227" width="9" style="46" customWidth="1"/>
    <col min="9228" max="9228" width="10.75" style="46" customWidth="1"/>
    <col min="9229" max="9229" width="9" style="46" customWidth="1"/>
    <col min="9230" max="9230" width="9.625" style="46" customWidth="1"/>
    <col min="9231" max="9231" width="16.25" style="46" customWidth="1"/>
    <col min="9232" max="9472" width="9" style="46"/>
    <col min="9473" max="9473" width="12" style="46" customWidth="1"/>
    <col min="9474" max="9474" width="17.25" style="46" customWidth="1"/>
    <col min="9475" max="9475" width="8.75" style="46" customWidth="1"/>
    <col min="9476" max="9476" width="8.375" style="46" customWidth="1"/>
    <col min="9477" max="9477" width="10.375" style="46" customWidth="1"/>
    <col min="9478" max="9478" width="9.125" style="46" customWidth="1"/>
    <col min="9479" max="9479" width="9.25" style="46" customWidth="1"/>
    <col min="9480" max="9480" width="8.875" style="46" customWidth="1"/>
    <col min="9481" max="9481" width="10" style="46" customWidth="1"/>
    <col min="9482" max="9482" width="9.875" style="46" customWidth="1"/>
    <col min="9483" max="9483" width="9" style="46" customWidth="1"/>
    <col min="9484" max="9484" width="10.75" style="46" customWidth="1"/>
    <col min="9485" max="9485" width="9" style="46" customWidth="1"/>
    <col min="9486" max="9486" width="9.625" style="46" customWidth="1"/>
    <col min="9487" max="9487" width="16.25" style="46" customWidth="1"/>
    <col min="9488" max="9728" width="9" style="46"/>
    <col min="9729" max="9729" width="12" style="46" customWidth="1"/>
    <col min="9730" max="9730" width="17.25" style="46" customWidth="1"/>
    <col min="9731" max="9731" width="8.75" style="46" customWidth="1"/>
    <col min="9732" max="9732" width="8.375" style="46" customWidth="1"/>
    <col min="9733" max="9733" width="10.375" style="46" customWidth="1"/>
    <col min="9734" max="9734" width="9.125" style="46" customWidth="1"/>
    <col min="9735" max="9735" width="9.25" style="46" customWidth="1"/>
    <col min="9736" max="9736" width="8.875" style="46" customWidth="1"/>
    <col min="9737" max="9737" width="10" style="46" customWidth="1"/>
    <col min="9738" max="9738" width="9.875" style="46" customWidth="1"/>
    <col min="9739" max="9739" width="9" style="46" customWidth="1"/>
    <col min="9740" max="9740" width="10.75" style="46" customWidth="1"/>
    <col min="9741" max="9741" width="9" style="46" customWidth="1"/>
    <col min="9742" max="9742" width="9.625" style="46" customWidth="1"/>
    <col min="9743" max="9743" width="16.25" style="46" customWidth="1"/>
    <col min="9744" max="9984" width="9" style="46"/>
    <col min="9985" max="9985" width="12" style="46" customWidth="1"/>
    <col min="9986" max="9986" width="17.25" style="46" customWidth="1"/>
    <col min="9987" max="9987" width="8.75" style="46" customWidth="1"/>
    <col min="9988" max="9988" width="8.375" style="46" customWidth="1"/>
    <col min="9989" max="9989" width="10.375" style="46" customWidth="1"/>
    <col min="9990" max="9990" width="9.125" style="46" customWidth="1"/>
    <col min="9991" max="9991" width="9.25" style="46" customWidth="1"/>
    <col min="9992" max="9992" width="8.875" style="46" customWidth="1"/>
    <col min="9993" max="9993" width="10" style="46" customWidth="1"/>
    <col min="9994" max="9994" width="9.875" style="46" customWidth="1"/>
    <col min="9995" max="9995" width="9" style="46" customWidth="1"/>
    <col min="9996" max="9996" width="10.75" style="46" customWidth="1"/>
    <col min="9997" max="9997" width="9" style="46" customWidth="1"/>
    <col min="9998" max="9998" width="9.625" style="46" customWidth="1"/>
    <col min="9999" max="9999" width="16.25" style="46" customWidth="1"/>
    <col min="10000" max="10240" width="9" style="46"/>
    <col min="10241" max="10241" width="12" style="46" customWidth="1"/>
    <col min="10242" max="10242" width="17.25" style="46" customWidth="1"/>
    <col min="10243" max="10243" width="8.75" style="46" customWidth="1"/>
    <col min="10244" max="10244" width="8.375" style="46" customWidth="1"/>
    <col min="10245" max="10245" width="10.375" style="46" customWidth="1"/>
    <col min="10246" max="10246" width="9.125" style="46" customWidth="1"/>
    <col min="10247" max="10247" width="9.25" style="46" customWidth="1"/>
    <col min="10248" max="10248" width="8.875" style="46" customWidth="1"/>
    <col min="10249" max="10249" width="10" style="46" customWidth="1"/>
    <col min="10250" max="10250" width="9.875" style="46" customWidth="1"/>
    <col min="10251" max="10251" width="9" style="46" customWidth="1"/>
    <col min="10252" max="10252" width="10.75" style="46" customWidth="1"/>
    <col min="10253" max="10253" width="9" style="46" customWidth="1"/>
    <col min="10254" max="10254" width="9.625" style="46" customWidth="1"/>
    <col min="10255" max="10255" width="16.25" style="46" customWidth="1"/>
    <col min="10256" max="10496" width="9" style="46"/>
    <col min="10497" max="10497" width="12" style="46" customWidth="1"/>
    <col min="10498" max="10498" width="17.25" style="46" customWidth="1"/>
    <col min="10499" max="10499" width="8.75" style="46" customWidth="1"/>
    <col min="10500" max="10500" width="8.375" style="46" customWidth="1"/>
    <col min="10501" max="10501" width="10.375" style="46" customWidth="1"/>
    <col min="10502" max="10502" width="9.125" style="46" customWidth="1"/>
    <col min="10503" max="10503" width="9.25" style="46" customWidth="1"/>
    <col min="10504" max="10504" width="8.875" style="46" customWidth="1"/>
    <col min="10505" max="10505" width="10" style="46" customWidth="1"/>
    <col min="10506" max="10506" width="9.875" style="46" customWidth="1"/>
    <col min="10507" max="10507" width="9" style="46" customWidth="1"/>
    <col min="10508" max="10508" width="10.75" style="46" customWidth="1"/>
    <col min="10509" max="10509" width="9" style="46" customWidth="1"/>
    <col min="10510" max="10510" width="9.625" style="46" customWidth="1"/>
    <col min="10511" max="10511" width="16.25" style="46" customWidth="1"/>
    <col min="10512" max="10752" width="9" style="46"/>
    <col min="10753" max="10753" width="12" style="46" customWidth="1"/>
    <col min="10754" max="10754" width="17.25" style="46" customWidth="1"/>
    <col min="10755" max="10755" width="8.75" style="46" customWidth="1"/>
    <col min="10756" max="10756" width="8.375" style="46" customWidth="1"/>
    <col min="10757" max="10757" width="10.375" style="46" customWidth="1"/>
    <col min="10758" max="10758" width="9.125" style="46" customWidth="1"/>
    <col min="10759" max="10759" width="9.25" style="46" customWidth="1"/>
    <col min="10760" max="10760" width="8.875" style="46" customWidth="1"/>
    <col min="10761" max="10761" width="10" style="46" customWidth="1"/>
    <col min="10762" max="10762" width="9.875" style="46" customWidth="1"/>
    <col min="10763" max="10763" width="9" style="46" customWidth="1"/>
    <col min="10764" max="10764" width="10.75" style="46" customWidth="1"/>
    <col min="10765" max="10765" width="9" style="46" customWidth="1"/>
    <col min="10766" max="10766" width="9.625" style="46" customWidth="1"/>
    <col min="10767" max="10767" width="16.25" style="46" customWidth="1"/>
    <col min="10768" max="11008" width="9" style="46"/>
    <col min="11009" max="11009" width="12" style="46" customWidth="1"/>
    <col min="11010" max="11010" width="17.25" style="46" customWidth="1"/>
    <col min="11011" max="11011" width="8.75" style="46" customWidth="1"/>
    <col min="11012" max="11012" width="8.375" style="46" customWidth="1"/>
    <col min="11013" max="11013" width="10.375" style="46" customWidth="1"/>
    <col min="11014" max="11014" width="9.125" style="46" customWidth="1"/>
    <col min="11015" max="11015" width="9.25" style="46" customWidth="1"/>
    <col min="11016" max="11016" width="8.875" style="46" customWidth="1"/>
    <col min="11017" max="11017" width="10" style="46" customWidth="1"/>
    <col min="11018" max="11018" width="9.875" style="46" customWidth="1"/>
    <col min="11019" max="11019" width="9" style="46" customWidth="1"/>
    <col min="11020" max="11020" width="10.75" style="46" customWidth="1"/>
    <col min="11021" max="11021" width="9" style="46" customWidth="1"/>
    <col min="11022" max="11022" width="9.625" style="46" customWidth="1"/>
    <col min="11023" max="11023" width="16.25" style="46" customWidth="1"/>
    <col min="11024" max="11264" width="9" style="46"/>
    <col min="11265" max="11265" width="12" style="46" customWidth="1"/>
    <col min="11266" max="11266" width="17.25" style="46" customWidth="1"/>
    <col min="11267" max="11267" width="8.75" style="46" customWidth="1"/>
    <col min="11268" max="11268" width="8.375" style="46" customWidth="1"/>
    <col min="11269" max="11269" width="10.375" style="46" customWidth="1"/>
    <col min="11270" max="11270" width="9.125" style="46" customWidth="1"/>
    <col min="11271" max="11271" width="9.25" style="46" customWidth="1"/>
    <col min="11272" max="11272" width="8.875" style="46" customWidth="1"/>
    <col min="11273" max="11273" width="10" style="46" customWidth="1"/>
    <col min="11274" max="11274" width="9.875" style="46" customWidth="1"/>
    <col min="11275" max="11275" width="9" style="46" customWidth="1"/>
    <col min="11276" max="11276" width="10.75" style="46" customWidth="1"/>
    <col min="11277" max="11277" width="9" style="46" customWidth="1"/>
    <col min="11278" max="11278" width="9.625" style="46" customWidth="1"/>
    <col min="11279" max="11279" width="16.25" style="46" customWidth="1"/>
    <col min="11280" max="11520" width="9" style="46"/>
    <col min="11521" max="11521" width="12" style="46" customWidth="1"/>
    <col min="11522" max="11522" width="17.25" style="46" customWidth="1"/>
    <col min="11523" max="11523" width="8.75" style="46" customWidth="1"/>
    <col min="11524" max="11524" width="8.375" style="46" customWidth="1"/>
    <col min="11525" max="11525" width="10.375" style="46" customWidth="1"/>
    <col min="11526" max="11526" width="9.125" style="46" customWidth="1"/>
    <col min="11527" max="11527" width="9.25" style="46" customWidth="1"/>
    <col min="11528" max="11528" width="8.875" style="46" customWidth="1"/>
    <col min="11529" max="11529" width="10" style="46" customWidth="1"/>
    <col min="11530" max="11530" width="9.875" style="46" customWidth="1"/>
    <col min="11531" max="11531" width="9" style="46" customWidth="1"/>
    <col min="11532" max="11532" width="10.75" style="46" customWidth="1"/>
    <col min="11533" max="11533" width="9" style="46" customWidth="1"/>
    <col min="11534" max="11534" width="9.625" style="46" customWidth="1"/>
    <col min="11535" max="11535" width="16.25" style="46" customWidth="1"/>
    <col min="11536" max="11776" width="9" style="46"/>
    <col min="11777" max="11777" width="12" style="46" customWidth="1"/>
    <col min="11778" max="11778" width="17.25" style="46" customWidth="1"/>
    <col min="11779" max="11779" width="8.75" style="46" customWidth="1"/>
    <col min="11780" max="11780" width="8.375" style="46" customWidth="1"/>
    <col min="11781" max="11781" width="10.375" style="46" customWidth="1"/>
    <col min="11782" max="11782" width="9.125" style="46" customWidth="1"/>
    <col min="11783" max="11783" width="9.25" style="46" customWidth="1"/>
    <col min="11784" max="11784" width="8.875" style="46" customWidth="1"/>
    <col min="11785" max="11785" width="10" style="46" customWidth="1"/>
    <col min="11786" max="11786" width="9.875" style="46" customWidth="1"/>
    <col min="11787" max="11787" width="9" style="46" customWidth="1"/>
    <col min="11788" max="11788" width="10.75" style="46" customWidth="1"/>
    <col min="11789" max="11789" width="9" style="46" customWidth="1"/>
    <col min="11790" max="11790" width="9.625" style="46" customWidth="1"/>
    <col min="11791" max="11791" width="16.25" style="46" customWidth="1"/>
    <col min="11792" max="12032" width="9" style="46"/>
    <col min="12033" max="12033" width="12" style="46" customWidth="1"/>
    <col min="12034" max="12034" width="17.25" style="46" customWidth="1"/>
    <col min="12035" max="12035" width="8.75" style="46" customWidth="1"/>
    <col min="12036" max="12036" width="8.375" style="46" customWidth="1"/>
    <col min="12037" max="12037" width="10.375" style="46" customWidth="1"/>
    <col min="12038" max="12038" width="9.125" style="46" customWidth="1"/>
    <col min="12039" max="12039" width="9.25" style="46" customWidth="1"/>
    <col min="12040" max="12040" width="8.875" style="46" customWidth="1"/>
    <col min="12041" max="12041" width="10" style="46" customWidth="1"/>
    <col min="12042" max="12042" width="9.875" style="46" customWidth="1"/>
    <col min="12043" max="12043" width="9" style="46" customWidth="1"/>
    <col min="12044" max="12044" width="10.75" style="46" customWidth="1"/>
    <col min="12045" max="12045" width="9" style="46" customWidth="1"/>
    <col min="12046" max="12046" width="9.625" style="46" customWidth="1"/>
    <col min="12047" max="12047" width="16.25" style="46" customWidth="1"/>
    <col min="12048" max="12288" width="9" style="46"/>
    <col min="12289" max="12289" width="12" style="46" customWidth="1"/>
    <col min="12290" max="12290" width="17.25" style="46" customWidth="1"/>
    <col min="12291" max="12291" width="8.75" style="46" customWidth="1"/>
    <col min="12292" max="12292" width="8.375" style="46" customWidth="1"/>
    <col min="12293" max="12293" width="10.375" style="46" customWidth="1"/>
    <col min="12294" max="12294" width="9.125" style="46" customWidth="1"/>
    <col min="12295" max="12295" width="9.25" style="46" customWidth="1"/>
    <col min="12296" max="12296" width="8.875" style="46" customWidth="1"/>
    <col min="12297" max="12297" width="10" style="46" customWidth="1"/>
    <col min="12298" max="12298" width="9.875" style="46" customWidth="1"/>
    <col min="12299" max="12299" width="9" style="46" customWidth="1"/>
    <col min="12300" max="12300" width="10.75" style="46" customWidth="1"/>
    <col min="12301" max="12301" width="9" style="46" customWidth="1"/>
    <col min="12302" max="12302" width="9.625" style="46" customWidth="1"/>
    <col min="12303" max="12303" width="16.25" style="46" customWidth="1"/>
    <col min="12304" max="12544" width="9" style="46"/>
    <col min="12545" max="12545" width="12" style="46" customWidth="1"/>
    <col min="12546" max="12546" width="17.25" style="46" customWidth="1"/>
    <col min="12547" max="12547" width="8.75" style="46" customWidth="1"/>
    <col min="12548" max="12548" width="8.375" style="46" customWidth="1"/>
    <col min="12549" max="12549" width="10.375" style="46" customWidth="1"/>
    <col min="12550" max="12550" width="9.125" style="46" customWidth="1"/>
    <col min="12551" max="12551" width="9.25" style="46" customWidth="1"/>
    <col min="12552" max="12552" width="8.875" style="46" customWidth="1"/>
    <col min="12553" max="12553" width="10" style="46" customWidth="1"/>
    <col min="12554" max="12554" width="9.875" style="46" customWidth="1"/>
    <col min="12555" max="12555" width="9" style="46" customWidth="1"/>
    <col min="12556" max="12556" width="10.75" style="46" customWidth="1"/>
    <col min="12557" max="12557" width="9" style="46" customWidth="1"/>
    <col min="12558" max="12558" width="9.625" style="46" customWidth="1"/>
    <col min="12559" max="12559" width="16.25" style="46" customWidth="1"/>
    <col min="12560" max="12800" width="9" style="46"/>
    <col min="12801" max="12801" width="12" style="46" customWidth="1"/>
    <col min="12802" max="12802" width="17.25" style="46" customWidth="1"/>
    <col min="12803" max="12803" width="8.75" style="46" customWidth="1"/>
    <col min="12804" max="12804" width="8.375" style="46" customWidth="1"/>
    <col min="12805" max="12805" width="10.375" style="46" customWidth="1"/>
    <col min="12806" max="12806" width="9.125" style="46" customWidth="1"/>
    <col min="12807" max="12807" width="9.25" style="46" customWidth="1"/>
    <col min="12808" max="12808" width="8.875" style="46" customWidth="1"/>
    <col min="12809" max="12809" width="10" style="46" customWidth="1"/>
    <col min="12810" max="12810" width="9.875" style="46" customWidth="1"/>
    <col min="12811" max="12811" width="9" style="46" customWidth="1"/>
    <col min="12812" max="12812" width="10.75" style="46" customWidth="1"/>
    <col min="12813" max="12813" width="9" style="46" customWidth="1"/>
    <col min="12814" max="12814" width="9.625" style="46" customWidth="1"/>
    <col min="12815" max="12815" width="16.25" style="46" customWidth="1"/>
    <col min="12816" max="13056" width="9" style="46"/>
    <col min="13057" max="13057" width="12" style="46" customWidth="1"/>
    <col min="13058" max="13058" width="17.25" style="46" customWidth="1"/>
    <col min="13059" max="13059" width="8.75" style="46" customWidth="1"/>
    <col min="13060" max="13060" width="8.375" style="46" customWidth="1"/>
    <col min="13061" max="13061" width="10.375" style="46" customWidth="1"/>
    <col min="13062" max="13062" width="9.125" style="46" customWidth="1"/>
    <col min="13063" max="13063" width="9.25" style="46" customWidth="1"/>
    <col min="13064" max="13064" width="8.875" style="46" customWidth="1"/>
    <col min="13065" max="13065" width="10" style="46" customWidth="1"/>
    <col min="13066" max="13066" width="9.875" style="46" customWidth="1"/>
    <col min="13067" max="13067" width="9" style="46" customWidth="1"/>
    <col min="13068" max="13068" width="10.75" style="46" customWidth="1"/>
    <col min="13069" max="13069" width="9" style="46" customWidth="1"/>
    <col min="13070" max="13070" width="9.625" style="46" customWidth="1"/>
    <col min="13071" max="13071" width="16.25" style="46" customWidth="1"/>
    <col min="13072" max="13312" width="9" style="46"/>
    <col min="13313" max="13313" width="12" style="46" customWidth="1"/>
    <col min="13314" max="13314" width="17.25" style="46" customWidth="1"/>
    <col min="13315" max="13315" width="8.75" style="46" customWidth="1"/>
    <col min="13316" max="13316" width="8.375" style="46" customWidth="1"/>
    <col min="13317" max="13317" width="10.375" style="46" customWidth="1"/>
    <col min="13318" max="13318" width="9.125" style="46" customWidth="1"/>
    <col min="13319" max="13319" width="9.25" style="46" customWidth="1"/>
    <col min="13320" max="13320" width="8.875" style="46" customWidth="1"/>
    <col min="13321" max="13321" width="10" style="46" customWidth="1"/>
    <col min="13322" max="13322" width="9.875" style="46" customWidth="1"/>
    <col min="13323" max="13323" width="9" style="46" customWidth="1"/>
    <col min="13324" max="13324" width="10.75" style="46" customWidth="1"/>
    <col min="13325" max="13325" width="9" style="46" customWidth="1"/>
    <col min="13326" max="13326" width="9.625" style="46" customWidth="1"/>
    <col min="13327" max="13327" width="16.25" style="46" customWidth="1"/>
    <col min="13328" max="13568" width="9" style="46"/>
    <col min="13569" max="13569" width="12" style="46" customWidth="1"/>
    <col min="13570" max="13570" width="17.25" style="46" customWidth="1"/>
    <col min="13571" max="13571" width="8.75" style="46" customWidth="1"/>
    <col min="13572" max="13572" width="8.375" style="46" customWidth="1"/>
    <col min="13573" max="13573" width="10.375" style="46" customWidth="1"/>
    <col min="13574" max="13574" width="9.125" style="46" customWidth="1"/>
    <col min="13575" max="13575" width="9.25" style="46" customWidth="1"/>
    <col min="13576" max="13576" width="8.875" style="46" customWidth="1"/>
    <col min="13577" max="13577" width="10" style="46" customWidth="1"/>
    <col min="13578" max="13578" width="9.875" style="46" customWidth="1"/>
    <col min="13579" max="13579" width="9" style="46" customWidth="1"/>
    <col min="13580" max="13580" width="10.75" style="46" customWidth="1"/>
    <col min="13581" max="13581" width="9" style="46" customWidth="1"/>
    <col min="13582" max="13582" width="9.625" style="46" customWidth="1"/>
    <col min="13583" max="13583" width="16.25" style="46" customWidth="1"/>
    <col min="13584" max="13824" width="9" style="46"/>
    <col min="13825" max="13825" width="12" style="46" customWidth="1"/>
    <col min="13826" max="13826" width="17.25" style="46" customWidth="1"/>
    <col min="13827" max="13827" width="8.75" style="46" customWidth="1"/>
    <col min="13828" max="13828" width="8.375" style="46" customWidth="1"/>
    <col min="13829" max="13829" width="10.375" style="46" customWidth="1"/>
    <col min="13830" max="13830" width="9.125" style="46" customWidth="1"/>
    <col min="13831" max="13831" width="9.25" style="46" customWidth="1"/>
    <col min="13832" max="13832" width="8.875" style="46" customWidth="1"/>
    <col min="13833" max="13833" width="10" style="46" customWidth="1"/>
    <col min="13834" max="13834" width="9.875" style="46" customWidth="1"/>
    <col min="13835" max="13835" width="9" style="46" customWidth="1"/>
    <col min="13836" max="13836" width="10.75" style="46" customWidth="1"/>
    <col min="13837" max="13837" width="9" style="46" customWidth="1"/>
    <col min="13838" max="13838" width="9.625" style="46" customWidth="1"/>
    <col min="13839" max="13839" width="16.25" style="46" customWidth="1"/>
    <col min="13840" max="14080" width="9" style="46"/>
    <col min="14081" max="14081" width="12" style="46" customWidth="1"/>
    <col min="14082" max="14082" width="17.25" style="46" customWidth="1"/>
    <col min="14083" max="14083" width="8.75" style="46" customWidth="1"/>
    <col min="14084" max="14084" width="8.375" style="46" customWidth="1"/>
    <col min="14085" max="14085" width="10.375" style="46" customWidth="1"/>
    <col min="14086" max="14086" width="9.125" style="46" customWidth="1"/>
    <col min="14087" max="14087" width="9.25" style="46" customWidth="1"/>
    <col min="14088" max="14088" width="8.875" style="46" customWidth="1"/>
    <col min="14089" max="14089" width="10" style="46" customWidth="1"/>
    <col min="14090" max="14090" width="9.875" style="46" customWidth="1"/>
    <col min="14091" max="14091" width="9" style="46" customWidth="1"/>
    <col min="14092" max="14092" width="10.75" style="46" customWidth="1"/>
    <col min="14093" max="14093" width="9" style="46" customWidth="1"/>
    <col min="14094" max="14094" width="9.625" style="46" customWidth="1"/>
    <col min="14095" max="14095" width="16.25" style="46" customWidth="1"/>
    <col min="14096" max="14336" width="9" style="46"/>
    <col min="14337" max="14337" width="12" style="46" customWidth="1"/>
    <col min="14338" max="14338" width="17.25" style="46" customWidth="1"/>
    <col min="14339" max="14339" width="8.75" style="46" customWidth="1"/>
    <col min="14340" max="14340" width="8.375" style="46" customWidth="1"/>
    <col min="14341" max="14341" width="10.375" style="46" customWidth="1"/>
    <col min="14342" max="14342" width="9.125" style="46" customWidth="1"/>
    <col min="14343" max="14343" width="9.25" style="46" customWidth="1"/>
    <col min="14344" max="14344" width="8.875" style="46" customWidth="1"/>
    <col min="14345" max="14345" width="10" style="46" customWidth="1"/>
    <col min="14346" max="14346" width="9.875" style="46" customWidth="1"/>
    <col min="14347" max="14347" width="9" style="46" customWidth="1"/>
    <col min="14348" max="14348" width="10.75" style="46" customWidth="1"/>
    <col min="14349" max="14349" width="9" style="46" customWidth="1"/>
    <col min="14350" max="14350" width="9.625" style="46" customWidth="1"/>
    <col min="14351" max="14351" width="16.25" style="46" customWidth="1"/>
    <col min="14352" max="14592" width="9" style="46"/>
    <col min="14593" max="14593" width="12" style="46" customWidth="1"/>
    <col min="14594" max="14594" width="17.25" style="46" customWidth="1"/>
    <col min="14595" max="14595" width="8.75" style="46" customWidth="1"/>
    <col min="14596" max="14596" width="8.375" style="46" customWidth="1"/>
    <col min="14597" max="14597" width="10.375" style="46" customWidth="1"/>
    <col min="14598" max="14598" width="9.125" style="46" customWidth="1"/>
    <col min="14599" max="14599" width="9.25" style="46" customWidth="1"/>
    <col min="14600" max="14600" width="8.875" style="46" customWidth="1"/>
    <col min="14601" max="14601" width="10" style="46" customWidth="1"/>
    <col min="14602" max="14602" width="9.875" style="46" customWidth="1"/>
    <col min="14603" max="14603" width="9" style="46" customWidth="1"/>
    <col min="14604" max="14604" width="10.75" style="46" customWidth="1"/>
    <col min="14605" max="14605" width="9" style="46" customWidth="1"/>
    <col min="14606" max="14606" width="9.625" style="46" customWidth="1"/>
    <col min="14607" max="14607" width="16.25" style="46" customWidth="1"/>
    <col min="14608" max="14848" width="9" style="46"/>
    <col min="14849" max="14849" width="12" style="46" customWidth="1"/>
    <col min="14850" max="14850" width="17.25" style="46" customWidth="1"/>
    <col min="14851" max="14851" width="8.75" style="46" customWidth="1"/>
    <col min="14852" max="14852" width="8.375" style="46" customWidth="1"/>
    <col min="14853" max="14853" width="10.375" style="46" customWidth="1"/>
    <col min="14854" max="14854" width="9.125" style="46" customWidth="1"/>
    <col min="14855" max="14855" width="9.25" style="46" customWidth="1"/>
    <col min="14856" max="14856" width="8.875" style="46" customWidth="1"/>
    <col min="14857" max="14857" width="10" style="46" customWidth="1"/>
    <col min="14858" max="14858" width="9.875" style="46" customWidth="1"/>
    <col min="14859" max="14859" width="9" style="46" customWidth="1"/>
    <col min="14860" max="14860" width="10.75" style="46" customWidth="1"/>
    <col min="14861" max="14861" width="9" style="46" customWidth="1"/>
    <col min="14862" max="14862" width="9.625" style="46" customWidth="1"/>
    <col min="14863" max="14863" width="16.25" style="46" customWidth="1"/>
    <col min="14864" max="15104" width="9" style="46"/>
    <col min="15105" max="15105" width="12" style="46" customWidth="1"/>
    <col min="15106" max="15106" width="17.25" style="46" customWidth="1"/>
    <col min="15107" max="15107" width="8.75" style="46" customWidth="1"/>
    <col min="15108" max="15108" width="8.375" style="46" customWidth="1"/>
    <col min="15109" max="15109" width="10.375" style="46" customWidth="1"/>
    <col min="15110" max="15110" width="9.125" style="46" customWidth="1"/>
    <col min="15111" max="15111" width="9.25" style="46" customWidth="1"/>
    <col min="15112" max="15112" width="8.875" style="46" customWidth="1"/>
    <col min="15113" max="15113" width="10" style="46" customWidth="1"/>
    <col min="15114" max="15114" width="9.875" style="46" customWidth="1"/>
    <col min="15115" max="15115" width="9" style="46" customWidth="1"/>
    <col min="15116" max="15116" width="10.75" style="46" customWidth="1"/>
    <col min="15117" max="15117" width="9" style="46" customWidth="1"/>
    <col min="15118" max="15118" width="9.625" style="46" customWidth="1"/>
    <col min="15119" max="15119" width="16.25" style="46" customWidth="1"/>
    <col min="15120" max="15360" width="9" style="46"/>
    <col min="15361" max="15361" width="12" style="46" customWidth="1"/>
    <col min="15362" max="15362" width="17.25" style="46" customWidth="1"/>
    <col min="15363" max="15363" width="8.75" style="46" customWidth="1"/>
    <col min="15364" max="15364" width="8.375" style="46" customWidth="1"/>
    <col min="15365" max="15365" width="10.375" style="46" customWidth="1"/>
    <col min="15366" max="15366" width="9.125" style="46" customWidth="1"/>
    <col min="15367" max="15367" width="9.25" style="46" customWidth="1"/>
    <col min="15368" max="15368" width="8.875" style="46" customWidth="1"/>
    <col min="15369" max="15369" width="10" style="46" customWidth="1"/>
    <col min="15370" max="15370" width="9.875" style="46" customWidth="1"/>
    <col min="15371" max="15371" width="9" style="46" customWidth="1"/>
    <col min="15372" max="15372" width="10.75" style="46" customWidth="1"/>
    <col min="15373" max="15373" width="9" style="46" customWidth="1"/>
    <col min="15374" max="15374" width="9.625" style="46" customWidth="1"/>
    <col min="15375" max="15375" width="16.25" style="46" customWidth="1"/>
    <col min="15376" max="15616" width="9" style="46"/>
    <col min="15617" max="15617" width="12" style="46" customWidth="1"/>
    <col min="15618" max="15618" width="17.25" style="46" customWidth="1"/>
    <col min="15619" max="15619" width="8.75" style="46" customWidth="1"/>
    <col min="15620" max="15620" width="8.375" style="46" customWidth="1"/>
    <col min="15621" max="15621" width="10.375" style="46" customWidth="1"/>
    <col min="15622" max="15622" width="9.125" style="46" customWidth="1"/>
    <col min="15623" max="15623" width="9.25" style="46" customWidth="1"/>
    <col min="15624" max="15624" width="8.875" style="46" customWidth="1"/>
    <col min="15625" max="15625" width="10" style="46" customWidth="1"/>
    <col min="15626" max="15626" width="9.875" style="46" customWidth="1"/>
    <col min="15627" max="15627" width="9" style="46" customWidth="1"/>
    <col min="15628" max="15628" width="10.75" style="46" customWidth="1"/>
    <col min="15629" max="15629" width="9" style="46" customWidth="1"/>
    <col min="15630" max="15630" width="9.625" style="46" customWidth="1"/>
    <col min="15631" max="15631" width="16.25" style="46" customWidth="1"/>
    <col min="15632" max="15872" width="9" style="46"/>
    <col min="15873" max="15873" width="12" style="46" customWidth="1"/>
    <col min="15874" max="15874" width="17.25" style="46" customWidth="1"/>
    <col min="15875" max="15875" width="8.75" style="46" customWidth="1"/>
    <col min="15876" max="15876" width="8.375" style="46" customWidth="1"/>
    <col min="15877" max="15877" width="10.375" style="46" customWidth="1"/>
    <col min="15878" max="15878" width="9.125" style="46" customWidth="1"/>
    <col min="15879" max="15879" width="9.25" style="46" customWidth="1"/>
    <col min="15880" max="15880" width="8.875" style="46" customWidth="1"/>
    <col min="15881" max="15881" width="10" style="46" customWidth="1"/>
    <col min="15882" max="15882" width="9.875" style="46" customWidth="1"/>
    <col min="15883" max="15883" width="9" style="46" customWidth="1"/>
    <col min="15884" max="15884" width="10.75" style="46" customWidth="1"/>
    <col min="15885" max="15885" width="9" style="46" customWidth="1"/>
    <col min="15886" max="15886" width="9.625" style="46" customWidth="1"/>
    <col min="15887" max="15887" width="16.25" style="46" customWidth="1"/>
    <col min="15888" max="16128" width="9" style="46"/>
    <col min="16129" max="16129" width="12" style="46" customWidth="1"/>
    <col min="16130" max="16130" width="17.25" style="46" customWidth="1"/>
    <col min="16131" max="16131" width="8.75" style="46" customWidth="1"/>
    <col min="16132" max="16132" width="8.375" style="46" customWidth="1"/>
    <col min="16133" max="16133" width="10.375" style="46" customWidth="1"/>
    <col min="16134" max="16134" width="9.125" style="46" customWidth="1"/>
    <col min="16135" max="16135" width="9.25" style="46" customWidth="1"/>
    <col min="16136" max="16136" width="8.875" style="46" customWidth="1"/>
    <col min="16137" max="16137" width="10" style="46" customWidth="1"/>
    <col min="16138" max="16138" width="9.875" style="46" customWidth="1"/>
    <col min="16139" max="16139" width="9" style="46" customWidth="1"/>
    <col min="16140" max="16140" width="10.75" style="46" customWidth="1"/>
    <col min="16141" max="16141" width="9" style="46" customWidth="1"/>
    <col min="16142" max="16142" width="9.625" style="46" customWidth="1"/>
    <col min="16143" max="16143" width="16.25" style="46" customWidth="1"/>
    <col min="16144" max="16384" width="9" style="46"/>
  </cols>
  <sheetData>
    <row r="1" spans="1:16" ht="20.25">
      <c r="A1" s="531" t="s">
        <v>271</v>
      </c>
      <c r="B1" s="531"/>
      <c r="C1" s="531"/>
      <c r="D1" s="531"/>
      <c r="E1" s="531"/>
      <c r="F1" s="531"/>
      <c r="G1" s="531"/>
      <c r="H1" s="531"/>
      <c r="I1" s="531"/>
      <c r="J1" s="531"/>
      <c r="K1" s="531"/>
      <c r="L1" s="531"/>
      <c r="M1" s="531"/>
      <c r="N1" s="531"/>
    </row>
    <row r="2" spans="1:16" ht="21">
      <c r="A2" s="66" t="s">
        <v>272</v>
      </c>
      <c r="B2" s="127"/>
      <c r="C2" s="128"/>
      <c r="D2" s="128"/>
      <c r="E2" s="128"/>
      <c r="F2" s="128"/>
      <c r="G2" s="128"/>
      <c r="H2" s="128"/>
      <c r="I2" s="128"/>
      <c r="J2" s="128"/>
      <c r="K2" s="128"/>
      <c r="L2" s="128"/>
      <c r="M2" s="128"/>
      <c r="N2" s="128"/>
    </row>
    <row r="3" spans="1:16" ht="12.75">
      <c r="A3" s="43" t="s">
        <v>273</v>
      </c>
      <c r="B3" s="43"/>
      <c r="C3" s="52"/>
      <c r="D3" s="52"/>
      <c r="E3" s="52"/>
      <c r="F3" s="52"/>
      <c r="G3" s="52"/>
      <c r="H3" s="52"/>
      <c r="I3" s="52"/>
      <c r="J3" s="157"/>
      <c r="K3" s="157"/>
      <c r="L3" s="157"/>
      <c r="M3" s="157"/>
      <c r="N3" s="157"/>
    </row>
    <row r="4" spans="1:16" ht="12.75">
      <c r="A4" s="43" t="s">
        <v>274</v>
      </c>
      <c r="B4" s="43"/>
      <c r="C4" s="52"/>
      <c r="D4" s="52"/>
      <c r="E4" s="52"/>
      <c r="F4" s="52"/>
      <c r="G4" s="52"/>
      <c r="H4" s="52"/>
      <c r="I4" s="52"/>
      <c r="J4" s="157"/>
      <c r="K4" s="157"/>
      <c r="L4" s="157"/>
      <c r="M4" s="157"/>
      <c r="N4" s="157"/>
    </row>
    <row r="5" spans="1:16" ht="12.75">
      <c r="A5" s="129" t="s">
        <v>275</v>
      </c>
      <c r="B5" s="43"/>
      <c r="C5" s="52"/>
      <c r="D5" s="52"/>
      <c r="E5" s="130"/>
      <c r="F5" s="131"/>
      <c r="G5" s="132" t="s">
        <v>276</v>
      </c>
      <c r="H5" s="132" t="s">
        <v>277</v>
      </c>
      <c r="I5" s="132" t="s">
        <v>278</v>
      </c>
      <c r="J5" s="132" t="s">
        <v>279</v>
      </c>
      <c r="K5" s="158" t="s">
        <v>280</v>
      </c>
      <c r="L5" s="43"/>
      <c r="M5" s="43"/>
      <c r="N5" s="43"/>
    </row>
    <row r="6" spans="1:16" ht="19.5" customHeight="1">
      <c r="A6" s="133" t="s">
        <v>281</v>
      </c>
      <c r="B6" s="134" t="s">
        <v>282</v>
      </c>
      <c r="C6" s="135" t="s">
        <v>283</v>
      </c>
      <c r="D6" s="136" t="s">
        <v>284</v>
      </c>
      <c r="E6" s="130"/>
      <c r="F6" s="137" t="s">
        <v>285</v>
      </c>
      <c r="G6" s="138">
        <v>3</v>
      </c>
      <c r="H6" s="138">
        <v>2</v>
      </c>
      <c r="I6" s="138">
        <v>1</v>
      </c>
      <c r="J6" s="138">
        <v>0.2</v>
      </c>
      <c r="K6" s="159">
        <v>0.1</v>
      </c>
      <c r="L6" s="43"/>
      <c r="M6" s="43"/>
      <c r="N6" s="43"/>
    </row>
    <row r="7" spans="1:16" ht="5.25" customHeight="1">
      <c r="A7" s="139"/>
      <c r="B7" s="43"/>
      <c r="C7" s="139"/>
      <c r="D7" s="52"/>
      <c r="E7" s="52"/>
      <c r="F7" s="52"/>
      <c r="G7" s="52"/>
      <c r="H7" s="52"/>
      <c r="I7" s="52"/>
      <c r="J7" s="43"/>
      <c r="K7" s="43"/>
      <c r="L7" s="43"/>
      <c r="M7" s="43"/>
      <c r="N7" s="43"/>
    </row>
    <row r="8" spans="1:16" ht="16.5" customHeight="1">
      <c r="A8" s="140" t="s">
        <v>115</v>
      </c>
      <c r="B8" s="43"/>
      <c r="C8" s="43"/>
      <c r="D8" s="52"/>
      <c r="E8" s="52"/>
      <c r="F8" s="52"/>
      <c r="G8" s="52"/>
      <c r="H8" s="52"/>
      <c r="I8" s="52"/>
      <c r="J8" s="43"/>
      <c r="K8" s="43"/>
      <c r="L8" s="43"/>
      <c r="M8"/>
      <c r="N8"/>
      <c r="O8"/>
      <c r="P8"/>
    </row>
    <row r="9" spans="1:16" ht="15" customHeight="1" outlineLevel="1">
      <c r="A9" s="591" t="s">
        <v>286</v>
      </c>
      <c r="B9" s="589" t="s">
        <v>242</v>
      </c>
      <c r="C9" s="589"/>
      <c r="D9" s="589"/>
      <c r="E9" s="589"/>
      <c r="F9" s="589"/>
      <c r="G9" s="593" t="s">
        <v>287</v>
      </c>
      <c r="H9" s="593" t="s">
        <v>288</v>
      </c>
      <c r="I9" s="589" t="s">
        <v>289</v>
      </c>
      <c r="J9" s="589" t="s">
        <v>534</v>
      </c>
      <c r="K9" s="589" t="s">
        <v>290</v>
      </c>
      <c r="L9" s="592" t="s">
        <v>166</v>
      </c>
      <c r="M9" s="592"/>
      <c r="N9" s="592"/>
    </row>
    <row r="10" spans="1:16" ht="15" customHeight="1" outlineLevel="1">
      <c r="A10" s="589"/>
      <c r="B10" s="141" t="s">
        <v>248</v>
      </c>
      <c r="C10" s="141" t="s">
        <v>249</v>
      </c>
      <c r="D10" s="141" t="s">
        <v>250</v>
      </c>
      <c r="E10" s="141" t="s">
        <v>251</v>
      </c>
      <c r="F10" s="141" t="s">
        <v>252</v>
      </c>
      <c r="G10" s="594"/>
      <c r="H10" s="594"/>
      <c r="I10" s="589"/>
      <c r="J10" s="589"/>
      <c r="K10" s="589"/>
      <c r="L10" s="160" t="s">
        <v>167</v>
      </c>
      <c r="M10" s="161" t="s">
        <v>168</v>
      </c>
      <c r="N10" s="160" t="s">
        <v>169</v>
      </c>
    </row>
    <row r="11" spans="1:16" ht="15" customHeight="1" outlineLevel="1">
      <c r="A11" s="141" t="str">
        <f t="shared" ref="A11:A14" si="0">CONCATENATE("S1测试第",ROW(A11)-ROW($A$10),"轮")</f>
        <v>S1测试第1轮</v>
      </c>
      <c r="B11" s="142">
        <v>3</v>
      </c>
      <c r="C11" s="142">
        <v>14</v>
      </c>
      <c r="D11" s="142">
        <v>45</v>
      </c>
      <c r="E11" s="142">
        <v>55</v>
      </c>
      <c r="F11" s="142">
        <v>0</v>
      </c>
      <c r="G11" s="143">
        <f>I11-H11</f>
        <v>92</v>
      </c>
      <c r="H11" s="144">
        <v>1</v>
      </c>
      <c r="I11" s="143">
        <f>B11*$G$6+C11*$H$6+D11*$I$6+E11*$J$6+F11*$K$6</f>
        <v>93</v>
      </c>
      <c r="J11" s="162">
        <v>100</v>
      </c>
      <c r="K11" s="163">
        <f t="shared" ref="K11:K17" si="1">I11/J11</f>
        <v>0.93</v>
      </c>
      <c r="L11" s="164">
        <f t="shared" ref="L11:L15" si="2">$L$16</f>
        <v>0</v>
      </c>
      <c r="M11" s="165">
        <f t="shared" ref="M11:M15" si="3">$M$16</f>
        <v>0.51200000000000001</v>
      </c>
      <c r="N11" s="164">
        <f t="shared" ref="N11:N15" si="4">$N$16</f>
        <v>1.452</v>
      </c>
    </row>
    <row r="12" spans="1:16" ht="15" customHeight="1" outlineLevel="1">
      <c r="A12" s="141" t="str">
        <f t="shared" si="0"/>
        <v>S1测试第2轮</v>
      </c>
      <c r="B12" s="142">
        <v>0</v>
      </c>
      <c r="C12" s="142">
        <v>10</v>
      </c>
      <c r="D12" s="142">
        <v>30</v>
      </c>
      <c r="E12" s="142">
        <v>20</v>
      </c>
      <c r="F12" s="142">
        <v>11</v>
      </c>
      <c r="G12" s="143">
        <f t="shared" ref="G12:G14" si="5">I12-H12</f>
        <v>54.1</v>
      </c>
      <c r="H12" s="144">
        <v>1</v>
      </c>
      <c r="I12" s="143">
        <f t="shared" ref="I12:I16" si="6">B12*$G$6+C12*$H$6+D12*$I$6+E12*$J$6+F12*$K$6</f>
        <v>55.1</v>
      </c>
      <c r="J12" s="162">
        <v>70</v>
      </c>
      <c r="K12" s="163">
        <f t="shared" si="1"/>
        <v>0.78714285714285714</v>
      </c>
      <c r="L12" s="164">
        <f t="shared" si="2"/>
        <v>0</v>
      </c>
      <c r="M12" s="165">
        <f t="shared" si="3"/>
        <v>0.51200000000000001</v>
      </c>
      <c r="N12" s="164">
        <f t="shared" si="4"/>
        <v>1.452</v>
      </c>
    </row>
    <row r="13" spans="1:16" ht="15" customHeight="1" outlineLevel="1">
      <c r="A13" s="141" t="str">
        <f t="shared" si="0"/>
        <v>S1测试第3轮</v>
      </c>
      <c r="B13" s="142">
        <v>0</v>
      </c>
      <c r="C13" s="142">
        <v>3</v>
      </c>
      <c r="D13" s="142">
        <v>10</v>
      </c>
      <c r="E13" s="142">
        <v>15</v>
      </c>
      <c r="F13" s="142">
        <v>3</v>
      </c>
      <c r="G13" s="143">
        <f t="shared" si="5"/>
        <v>19.3</v>
      </c>
      <c r="H13" s="144">
        <v>0</v>
      </c>
      <c r="I13" s="143">
        <f t="shared" si="6"/>
        <v>19.3</v>
      </c>
      <c r="J13" s="162">
        <v>80</v>
      </c>
      <c r="K13" s="163">
        <f t="shared" si="1"/>
        <v>0.24125000000000002</v>
      </c>
      <c r="L13" s="164">
        <f t="shared" si="2"/>
        <v>0</v>
      </c>
      <c r="M13" s="165">
        <f t="shared" si="3"/>
        <v>0.51200000000000001</v>
      </c>
      <c r="N13" s="164">
        <f t="shared" si="4"/>
        <v>1.452</v>
      </c>
    </row>
    <row r="14" spans="1:16" outlineLevel="1">
      <c r="A14" s="141" t="str">
        <f t="shared" si="0"/>
        <v>S1测试第4轮</v>
      </c>
      <c r="B14" s="142">
        <v>1</v>
      </c>
      <c r="C14" s="142">
        <v>1</v>
      </c>
      <c r="D14" s="142">
        <v>11</v>
      </c>
      <c r="E14" s="142">
        <v>0</v>
      </c>
      <c r="F14" s="142">
        <v>0</v>
      </c>
      <c r="G14" s="143">
        <f t="shared" si="5"/>
        <v>16</v>
      </c>
      <c r="H14" s="144">
        <v>0</v>
      </c>
      <c r="I14" s="143">
        <f t="shared" si="6"/>
        <v>16</v>
      </c>
      <c r="J14" s="162">
        <v>80</v>
      </c>
      <c r="K14" s="163">
        <f t="shared" si="1"/>
        <v>0.2</v>
      </c>
      <c r="L14" s="164">
        <f t="shared" si="2"/>
        <v>0</v>
      </c>
      <c r="M14" s="165">
        <f t="shared" si="3"/>
        <v>0.51200000000000001</v>
      </c>
      <c r="N14" s="164">
        <f t="shared" si="4"/>
        <v>1.452</v>
      </c>
    </row>
    <row r="15" spans="1:16" outlineLevel="1">
      <c r="A15" s="141" t="s">
        <v>291</v>
      </c>
      <c r="B15" s="145" t="str">
        <f t="shared" ref="B15:F15" si="7">"-"</f>
        <v>-</v>
      </c>
      <c r="C15" s="145" t="str">
        <f t="shared" si="7"/>
        <v>-</v>
      </c>
      <c r="D15" s="145" t="str">
        <f t="shared" si="7"/>
        <v>-</v>
      </c>
      <c r="E15" s="145" t="str">
        <f t="shared" si="7"/>
        <v>-</v>
      </c>
      <c r="F15" s="145" t="str">
        <f t="shared" si="7"/>
        <v>-</v>
      </c>
      <c r="G15" s="146" t="s">
        <v>254</v>
      </c>
      <c r="H15" s="146" t="s">
        <v>254</v>
      </c>
      <c r="I15" s="166" t="e">
        <f t="shared" si="6"/>
        <v>#VALUE!</v>
      </c>
      <c r="J15" s="167" t="s">
        <v>254</v>
      </c>
      <c r="K15" s="168" t="e">
        <f t="shared" si="1"/>
        <v>#VALUE!</v>
      </c>
      <c r="L15" s="169">
        <f t="shared" si="2"/>
        <v>0</v>
      </c>
      <c r="M15" s="169">
        <f t="shared" si="3"/>
        <v>0.51200000000000001</v>
      </c>
      <c r="N15" s="169">
        <f t="shared" si="4"/>
        <v>1.452</v>
      </c>
    </row>
    <row r="16" spans="1:16" outlineLevel="1">
      <c r="A16" s="141" t="s">
        <v>292</v>
      </c>
      <c r="B16" s="147">
        <f t="shared" ref="B16:H16" si="8">SUM(B11:B15)</f>
        <v>4</v>
      </c>
      <c r="C16" s="147">
        <f t="shared" si="8"/>
        <v>28</v>
      </c>
      <c r="D16" s="147">
        <f t="shared" si="8"/>
        <v>96</v>
      </c>
      <c r="E16" s="147">
        <f t="shared" si="8"/>
        <v>90</v>
      </c>
      <c r="F16" s="147">
        <f t="shared" si="8"/>
        <v>14</v>
      </c>
      <c r="G16" s="143">
        <f t="shared" si="8"/>
        <v>181.4</v>
      </c>
      <c r="H16" s="143">
        <f t="shared" si="8"/>
        <v>2</v>
      </c>
      <c r="I16" s="143">
        <f t="shared" si="6"/>
        <v>183.4</v>
      </c>
      <c r="J16" s="464">
        <f>规模!C11</f>
        <v>187</v>
      </c>
      <c r="K16" s="163">
        <f t="shared" si="1"/>
        <v>0.98074866310160436</v>
      </c>
      <c r="L16" s="164">
        <f>IF($B$6="强测试",0,0)</f>
        <v>0</v>
      </c>
      <c r="M16" s="165">
        <f>IF($B$6="强测试",1.9941,0.512)</f>
        <v>0.51200000000000001</v>
      </c>
      <c r="N16" s="164">
        <f>IF($B$6="强测试",4.9096,1.452)</f>
        <v>1.452</v>
      </c>
    </row>
    <row r="17" spans="1:14" ht="12.75" customHeight="1" outlineLevel="1">
      <c r="A17" s="148" t="s">
        <v>293</v>
      </c>
      <c r="B17" s="149" t="s">
        <v>254</v>
      </c>
      <c r="C17" s="149" t="s">
        <v>254</v>
      </c>
      <c r="D17" s="149" t="s">
        <v>254</v>
      </c>
      <c r="E17" s="149" t="s">
        <v>254</v>
      </c>
      <c r="F17" s="149" t="s">
        <v>254</v>
      </c>
      <c r="G17" s="149" t="s">
        <v>254</v>
      </c>
      <c r="H17" s="149" t="s">
        <v>254</v>
      </c>
      <c r="I17" s="170">
        <f>H16</f>
        <v>2</v>
      </c>
      <c r="J17" s="170">
        <f>I16</f>
        <v>183.4</v>
      </c>
      <c r="K17" s="171">
        <f t="shared" si="1"/>
        <v>1.0905125408942203E-2</v>
      </c>
      <c r="L17" s="164">
        <v>0</v>
      </c>
      <c r="M17" s="165">
        <v>2.9600000000000001E-2</v>
      </c>
      <c r="N17" s="164">
        <v>8.3503875379939196E-2</v>
      </c>
    </row>
    <row r="18" spans="1:14" ht="12.75" customHeight="1" outlineLevel="1">
      <c r="A18" s="148"/>
      <c r="B18" s="149"/>
      <c r="C18" s="149"/>
      <c r="D18" s="149"/>
      <c r="E18" s="149"/>
      <c r="F18" s="149"/>
      <c r="G18" s="149"/>
      <c r="H18" s="149"/>
      <c r="I18" s="170"/>
      <c r="J18" s="170"/>
      <c r="K18" s="171"/>
      <c r="L18" s="164"/>
      <c r="M18" s="165"/>
      <c r="N18" s="164"/>
    </row>
    <row r="19" spans="1:14" ht="16.5" customHeight="1">
      <c r="A19" s="140" t="s">
        <v>140</v>
      </c>
      <c r="B19" s="150"/>
      <c r="C19" s="150"/>
      <c r="D19" s="150"/>
      <c r="E19" s="150"/>
      <c r="F19" s="150"/>
      <c r="G19" s="150"/>
      <c r="H19" s="150"/>
      <c r="I19" s="172"/>
      <c r="J19" s="172"/>
      <c r="K19" s="173"/>
      <c r="L19" s="174"/>
      <c r="M19" s="175"/>
      <c r="N19" s="174"/>
    </row>
    <row r="20" spans="1:14" ht="15" customHeight="1" outlineLevel="1">
      <c r="A20" s="591" t="s">
        <v>286</v>
      </c>
      <c r="B20" s="589" t="s">
        <v>242</v>
      </c>
      <c r="C20" s="589"/>
      <c r="D20" s="589"/>
      <c r="E20" s="589"/>
      <c r="F20" s="589"/>
      <c r="G20" s="593" t="s">
        <v>287</v>
      </c>
      <c r="H20" s="593" t="s">
        <v>288</v>
      </c>
      <c r="I20" s="589" t="s">
        <v>289</v>
      </c>
      <c r="J20" s="589" t="s">
        <v>534</v>
      </c>
      <c r="K20" s="589" t="s">
        <v>290</v>
      </c>
      <c r="L20" s="592" t="s">
        <v>166</v>
      </c>
      <c r="M20" s="592"/>
      <c r="N20" s="592"/>
    </row>
    <row r="21" spans="1:14" ht="15" customHeight="1" outlineLevel="1">
      <c r="A21" s="589"/>
      <c r="B21" s="141" t="s">
        <v>248</v>
      </c>
      <c r="C21" s="141" t="s">
        <v>249</v>
      </c>
      <c r="D21" s="141" t="s">
        <v>250</v>
      </c>
      <c r="E21" s="141" t="s">
        <v>251</v>
      </c>
      <c r="F21" s="141" t="s">
        <v>252</v>
      </c>
      <c r="G21" s="594"/>
      <c r="H21" s="594"/>
      <c r="I21" s="589"/>
      <c r="J21" s="589"/>
      <c r="K21" s="589"/>
      <c r="L21" s="160" t="s">
        <v>167</v>
      </c>
      <c r="M21" s="161" t="s">
        <v>168</v>
      </c>
      <c r="N21" s="160" t="s">
        <v>169</v>
      </c>
    </row>
    <row r="22" spans="1:14" ht="15" customHeight="1" outlineLevel="1">
      <c r="A22" s="141" t="str">
        <f t="shared" ref="A22:A25" si="9">CONCATENATE("S2测试第",ROW(A22)-ROW($A$21),"轮")</f>
        <v>S2测试第1轮</v>
      </c>
      <c r="B22" s="142">
        <v>3</v>
      </c>
      <c r="C22" s="142">
        <v>14</v>
      </c>
      <c r="D22" s="142">
        <v>45</v>
      </c>
      <c r="E22" s="142">
        <v>55</v>
      </c>
      <c r="F22" s="142">
        <v>0</v>
      </c>
      <c r="G22" s="143">
        <f>I22-H22</f>
        <v>92</v>
      </c>
      <c r="H22" s="144">
        <v>1</v>
      </c>
      <c r="I22" s="143">
        <f>B22*$G$6+C22*$H$6+D22*$I$6+E22*$J$6+F22*$K$6</f>
        <v>93</v>
      </c>
      <c r="J22" s="162">
        <v>100</v>
      </c>
      <c r="K22" s="163">
        <f t="shared" ref="K22:K28" si="10">I22/J22</f>
        <v>0.93</v>
      </c>
      <c r="L22" s="164">
        <f t="shared" ref="L22:L26" si="11">$L$16</f>
        <v>0</v>
      </c>
      <c r="M22" s="165">
        <f t="shared" ref="M22:M26" si="12">$M$16</f>
        <v>0.51200000000000001</v>
      </c>
      <c r="N22" s="164">
        <f t="shared" ref="N22:N26" si="13">$N$16</f>
        <v>1.452</v>
      </c>
    </row>
    <row r="23" spans="1:14" ht="15" customHeight="1" outlineLevel="1">
      <c r="A23" s="141" t="str">
        <f t="shared" si="9"/>
        <v>S2测试第2轮</v>
      </c>
      <c r="B23" s="142">
        <v>0</v>
      </c>
      <c r="C23" s="142">
        <v>10</v>
      </c>
      <c r="D23" s="142">
        <v>30</v>
      </c>
      <c r="E23" s="142">
        <v>20</v>
      </c>
      <c r="F23" s="142">
        <v>11</v>
      </c>
      <c r="G23" s="143">
        <f t="shared" ref="G23:G25" si="14">I23-H23</f>
        <v>54.1</v>
      </c>
      <c r="H23" s="144">
        <v>1</v>
      </c>
      <c r="I23" s="143">
        <f t="shared" ref="I23:I26" si="15">B23*$G$6+C23*$H$6+D23*$I$6+E23*$J$6+F23*$K$6</f>
        <v>55.1</v>
      </c>
      <c r="J23" s="162">
        <v>70</v>
      </c>
      <c r="K23" s="163">
        <f t="shared" si="10"/>
        <v>0.78714285714285714</v>
      </c>
      <c r="L23" s="164">
        <f t="shared" si="11"/>
        <v>0</v>
      </c>
      <c r="M23" s="165">
        <f t="shared" si="12"/>
        <v>0.51200000000000001</v>
      </c>
      <c r="N23" s="164">
        <f t="shared" si="13"/>
        <v>1.452</v>
      </c>
    </row>
    <row r="24" spans="1:14" ht="15" customHeight="1" outlineLevel="1">
      <c r="A24" s="141" t="str">
        <f t="shared" si="9"/>
        <v>S2测试第3轮</v>
      </c>
      <c r="B24" s="142">
        <v>0</v>
      </c>
      <c r="C24" s="142">
        <v>3</v>
      </c>
      <c r="D24" s="142">
        <v>10</v>
      </c>
      <c r="E24" s="142">
        <v>15</v>
      </c>
      <c r="F24" s="142">
        <v>3</v>
      </c>
      <c r="G24" s="143">
        <f t="shared" si="14"/>
        <v>19.3</v>
      </c>
      <c r="H24" s="144">
        <v>0</v>
      </c>
      <c r="I24" s="143">
        <f t="shared" si="15"/>
        <v>19.3</v>
      </c>
      <c r="J24" s="162">
        <v>80</v>
      </c>
      <c r="K24" s="163">
        <f t="shared" si="10"/>
        <v>0.24125000000000002</v>
      </c>
      <c r="L24" s="164">
        <f t="shared" si="11"/>
        <v>0</v>
      </c>
      <c r="M24" s="165">
        <f t="shared" si="12"/>
        <v>0.51200000000000001</v>
      </c>
      <c r="N24" s="164">
        <f t="shared" si="13"/>
        <v>1.452</v>
      </c>
    </row>
    <row r="25" spans="1:14" outlineLevel="1">
      <c r="A25" s="141" t="str">
        <f t="shared" si="9"/>
        <v>S2测试第4轮</v>
      </c>
      <c r="B25" s="142">
        <v>1</v>
      </c>
      <c r="C25" s="142">
        <v>1</v>
      </c>
      <c r="D25" s="142">
        <v>11</v>
      </c>
      <c r="E25" s="142">
        <v>0</v>
      </c>
      <c r="F25" s="142">
        <v>0</v>
      </c>
      <c r="G25" s="143">
        <f t="shared" si="14"/>
        <v>16</v>
      </c>
      <c r="H25" s="144">
        <v>0</v>
      </c>
      <c r="I25" s="143">
        <f t="shared" si="15"/>
        <v>16</v>
      </c>
      <c r="J25" s="162">
        <v>80</v>
      </c>
      <c r="K25" s="163">
        <f t="shared" si="10"/>
        <v>0.2</v>
      </c>
      <c r="L25" s="164">
        <f t="shared" si="11"/>
        <v>0</v>
      </c>
      <c r="M25" s="165">
        <f t="shared" si="12"/>
        <v>0.51200000000000001</v>
      </c>
      <c r="N25" s="164">
        <f t="shared" si="13"/>
        <v>1.452</v>
      </c>
    </row>
    <row r="26" spans="1:14" outlineLevel="1">
      <c r="A26" s="141" t="s">
        <v>294</v>
      </c>
      <c r="B26" s="145" t="str">
        <f t="shared" ref="B26:F26" si="16">"-"</f>
        <v>-</v>
      </c>
      <c r="C26" s="145" t="str">
        <f t="shared" si="16"/>
        <v>-</v>
      </c>
      <c r="D26" s="145" t="str">
        <f t="shared" si="16"/>
        <v>-</v>
      </c>
      <c r="E26" s="145" t="str">
        <f t="shared" si="16"/>
        <v>-</v>
      </c>
      <c r="F26" s="145" t="str">
        <f t="shared" si="16"/>
        <v>-</v>
      </c>
      <c r="G26" s="146" t="s">
        <v>254</v>
      </c>
      <c r="H26" s="146" t="s">
        <v>254</v>
      </c>
      <c r="I26" s="166" t="e">
        <f t="shared" si="15"/>
        <v>#VALUE!</v>
      </c>
      <c r="J26" s="167" t="s">
        <v>254</v>
      </c>
      <c r="K26" s="168" t="e">
        <f t="shared" si="10"/>
        <v>#VALUE!</v>
      </c>
      <c r="L26" s="169">
        <f t="shared" si="11"/>
        <v>0</v>
      </c>
      <c r="M26" s="169">
        <f t="shared" si="12"/>
        <v>0.51200000000000001</v>
      </c>
      <c r="N26" s="169">
        <f t="shared" si="13"/>
        <v>1.452</v>
      </c>
    </row>
    <row r="27" spans="1:14" outlineLevel="1">
      <c r="A27" s="141" t="s">
        <v>292</v>
      </c>
      <c r="B27" s="147">
        <f t="shared" ref="B27:H27" si="17">SUM(B22:B26)</f>
        <v>4</v>
      </c>
      <c r="C27" s="147">
        <f t="shared" si="17"/>
        <v>28</v>
      </c>
      <c r="D27" s="147">
        <f t="shared" si="17"/>
        <v>96</v>
      </c>
      <c r="E27" s="147">
        <f t="shared" si="17"/>
        <v>90</v>
      </c>
      <c r="F27" s="147">
        <f t="shared" si="17"/>
        <v>14</v>
      </c>
      <c r="G27" s="143">
        <f t="shared" si="17"/>
        <v>181.4</v>
      </c>
      <c r="H27" s="143">
        <f t="shared" si="17"/>
        <v>2</v>
      </c>
      <c r="I27" s="143">
        <f t="shared" ref="I27" si="18">B27*$G$6+C27*$H$6+D27*$I$6+E27*$J$6+F27*$K$6</f>
        <v>183.4</v>
      </c>
      <c r="J27" s="464">
        <f>规模!C21</f>
        <v>67.900000000000006</v>
      </c>
      <c r="K27" s="163">
        <f t="shared" si="10"/>
        <v>2.7010309278350513</v>
      </c>
      <c r="L27" s="164">
        <f>IF($B$6="强测试",0,0)</f>
        <v>0</v>
      </c>
      <c r="M27" s="165">
        <f>IF($B$6="强测试",1.9941,0.512)</f>
        <v>0.51200000000000001</v>
      </c>
      <c r="N27" s="164">
        <f>IF($B$6="强测试",4.9096,1.452)</f>
        <v>1.452</v>
      </c>
    </row>
    <row r="28" spans="1:14" ht="12.75" customHeight="1" outlineLevel="1">
      <c r="A28" s="148" t="s">
        <v>293</v>
      </c>
      <c r="B28" s="149" t="s">
        <v>254</v>
      </c>
      <c r="C28" s="149" t="s">
        <v>254</v>
      </c>
      <c r="D28" s="149" t="s">
        <v>254</v>
      </c>
      <c r="E28" s="149" t="s">
        <v>254</v>
      </c>
      <c r="F28" s="149" t="s">
        <v>254</v>
      </c>
      <c r="G28" s="149" t="s">
        <v>254</v>
      </c>
      <c r="H28" s="149" t="s">
        <v>254</v>
      </c>
      <c r="I28" s="170">
        <f>H27</f>
        <v>2</v>
      </c>
      <c r="J28" s="170">
        <f>I27</f>
        <v>183.4</v>
      </c>
      <c r="K28" s="171">
        <f t="shared" si="10"/>
        <v>1.0905125408942203E-2</v>
      </c>
      <c r="L28" s="164">
        <v>0</v>
      </c>
      <c r="M28" s="165">
        <v>2.9600000000000001E-2</v>
      </c>
      <c r="N28" s="164">
        <v>8.3503875379939196E-2</v>
      </c>
    </row>
    <row r="29" spans="1:14" ht="12.75" customHeight="1" outlineLevel="1">
      <c r="A29" s="148"/>
      <c r="B29" s="149"/>
      <c r="C29" s="149"/>
      <c r="D29" s="149"/>
      <c r="E29" s="149"/>
      <c r="F29" s="149"/>
      <c r="G29" s="149"/>
      <c r="H29" s="149"/>
      <c r="I29" s="170"/>
      <c r="J29" s="170"/>
      <c r="K29" s="171"/>
      <c r="L29" s="176"/>
      <c r="M29" s="177"/>
      <c r="N29" s="176"/>
    </row>
    <row r="30" spans="1:14" ht="16.5" customHeight="1">
      <c r="A30" s="140" t="s">
        <v>141</v>
      </c>
      <c r="B30" s="43"/>
      <c r="C30" s="43"/>
      <c r="D30" s="52"/>
      <c r="E30" s="52"/>
      <c r="F30" s="52"/>
      <c r="G30" s="52"/>
      <c r="H30" s="52"/>
      <c r="I30" s="52"/>
      <c r="J30" s="43"/>
      <c r="K30" s="43"/>
      <c r="L30" s="43"/>
      <c r="M30" s="43"/>
      <c r="N30" s="43"/>
    </row>
    <row r="31" spans="1:14" ht="15" customHeight="1" outlineLevel="1">
      <c r="A31" s="591" t="s">
        <v>286</v>
      </c>
      <c r="B31" s="589" t="s">
        <v>242</v>
      </c>
      <c r="C31" s="589"/>
      <c r="D31" s="589"/>
      <c r="E31" s="589"/>
      <c r="F31" s="589"/>
      <c r="G31" s="593" t="s">
        <v>287</v>
      </c>
      <c r="H31" s="593" t="s">
        <v>288</v>
      </c>
      <c r="I31" s="589" t="s">
        <v>289</v>
      </c>
      <c r="J31" s="589" t="s">
        <v>534</v>
      </c>
      <c r="K31" s="589" t="s">
        <v>290</v>
      </c>
      <c r="L31" s="592" t="s">
        <v>166</v>
      </c>
      <c r="M31" s="592"/>
      <c r="N31" s="592"/>
    </row>
    <row r="32" spans="1:14" ht="15" customHeight="1" outlineLevel="1">
      <c r="A32" s="589"/>
      <c r="B32" s="141" t="s">
        <v>248</v>
      </c>
      <c r="C32" s="141" t="s">
        <v>249</v>
      </c>
      <c r="D32" s="141" t="s">
        <v>250</v>
      </c>
      <c r="E32" s="141" t="s">
        <v>251</v>
      </c>
      <c r="F32" s="141" t="s">
        <v>252</v>
      </c>
      <c r="G32" s="594"/>
      <c r="H32" s="594"/>
      <c r="I32" s="589"/>
      <c r="J32" s="589"/>
      <c r="K32" s="589"/>
      <c r="L32" s="160" t="s">
        <v>167</v>
      </c>
      <c r="M32" s="161" t="s">
        <v>168</v>
      </c>
      <c r="N32" s="160" t="s">
        <v>169</v>
      </c>
    </row>
    <row r="33" spans="1:14" ht="15" customHeight="1" outlineLevel="1">
      <c r="A33" s="141" t="str">
        <f t="shared" ref="A33:A36" si="19">CONCATENATE("S3测试第",ROW(A33)-ROW($A$32),"轮")</f>
        <v>S3测试第1轮</v>
      </c>
      <c r="B33" s="142">
        <v>3</v>
      </c>
      <c r="C33" s="142">
        <v>14</v>
      </c>
      <c r="D33" s="142">
        <v>45</v>
      </c>
      <c r="E33" s="142">
        <v>55</v>
      </c>
      <c r="F33" s="142">
        <v>0</v>
      </c>
      <c r="G33" s="143">
        <f>I33-H33</f>
        <v>92</v>
      </c>
      <c r="H33" s="144">
        <v>1</v>
      </c>
      <c r="I33" s="143">
        <f>B33*$G$6+C33*$H$6+D33*$I$6+E33*$J$6+F33*$K$6</f>
        <v>93</v>
      </c>
      <c r="J33" s="162">
        <v>100</v>
      </c>
      <c r="K33" s="163">
        <f t="shared" ref="K33:K39" si="20">I33/J33</f>
        <v>0.93</v>
      </c>
      <c r="L33" s="164">
        <f t="shared" ref="L33:L37" si="21">$L$16</f>
        <v>0</v>
      </c>
      <c r="M33" s="165">
        <f t="shared" ref="M33:M37" si="22">$M$16</f>
        <v>0.51200000000000001</v>
      </c>
      <c r="N33" s="164">
        <f t="shared" ref="N33:N37" si="23">$N$16</f>
        <v>1.452</v>
      </c>
    </row>
    <row r="34" spans="1:14" ht="15" customHeight="1" outlineLevel="1">
      <c r="A34" s="141" t="str">
        <f t="shared" si="19"/>
        <v>S3测试第2轮</v>
      </c>
      <c r="B34" s="142">
        <v>0</v>
      </c>
      <c r="C34" s="142">
        <v>10</v>
      </c>
      <c r="D34" s="142">
        <v>30</v>
      </c>
      <c r="E34" s="142">
        <v>20</v>
      </c>
      <c r="F34" s="142">
        <v>11</v>
      </c>
      <c r="G34" s="143">
        <f t="shared" ref="G34:G36" si="24">I34-H34</f>
        <v>54.1</v>
      </c>
      <c r="H34" s="144">
        <v>1</v>
      </c>
      <c r="I34" s="143">
        <f t="shared" ref="I34:I37" si="25">B34*$G$6+C34*$H$6+D34*$I$6+E34*$J$6+F34*$K$6</f>
        <v>55.1</v>
      </c>
      <c r="J34" s="162">
        <v>70</v>
      </c>
      <c r="K34" s="163">
        <f t="shared" si="20"/>
        <v>0.78714285714285714</v>
      </c>
      <c r="L34" s="164">
        <f t="shared" si="21"/>
        <v>0</v>
      </c>
      <c r="M34" s="165">
        <f t="shared" si="22"/>
        <v>0.51200000000000001</v>
      </c>
      <c r="N34" s="164">
        <f t="shared" si="23"/>
        <v>1.452</v>
      </c>
    </row>
    <row r="35" spans="1:14" ht="15" customHeight="1" outlineLevel="1">
      <c r="A35" s="141" t="str">
        <f t="shared" si="19"/>
        <v>S3测试第3轮</v>
      </c>
      <c r="B35" s="142">
        <v>0</v>
      </c>
      <c r="C35" s="142">
        <v>3</v>
      </c>
      <c r="D35" s="142">
        <v>10</v>
      </c>
      <c r="E35" s="142">
        <v>15</v>
      </c>
      <c r="F35" s="142">
        <v>3</v>
      </c>
      <c r="G35" s="143">
        <f t="shared" si="24"/>
        <v>19.3</v>
      </c>
      <c r="H35" s="144">
        <v>0</v>
      </c>
      <c r="I35" s="143">
        <f t="shared" si="25"/>
        <v>19.3</v>
      </c>
      <c r="J35" s="162">
        <v>80</v>
      </c>
      <c r="K35" s="163">
        <f t="shared" si="20"/>
        <v>0.24125000000000002</v>
      </c>
      <c r="L35" s="164">
        <f t="shared" si="21"/>
        <v>0</v>
      </c>
      <c r="M35" s="165">
        <f t="shared" si="22"/>
        <v>0.51200000000000001</v>
      </c>
      <c r="N35" s="164">
        <f t="shared" si="23"/>
        <v>1.452</v>
      </c>
    </row>
    <row r="36" spans="1:14" outlineLevel="1">
      <c r="A36" s="141" t="str">
        <f t="shared" si="19"/>
        <v>S3测试第4轮</v>
      </c>
      <c r="B36" s="142">
        <v>1</v>
      </c>
      <c r="C36" s="142">
        <v>1</v>
      </c>
      <c r="D36" s="142">
        <v>11</v>
      </c>
      <c r="E36" s="142">
        <v>0</v>
      </c>
      <c r="F36" s="142">
        <v>0</v>
      </c>
      <c r="G36" s="143">
        <f t="shared" si="24"/>
        <v>16</v>
      </c>
      <c r="H36" s="144">
        <v>0</v>
      </c>
      <c r="I36" s="143">
        <f t="shared" si="25"/>
        <v>16</v>
      </c>
      <c r="J36" s="162">
        <v>80</v>
      </c>
      <c r="K36" s="163">
        <f t="shared" si="20"/>
        <v>0.2</v>
      </c>
      <c r="L36" s="164">
        <f t="shared" si="21"/>
        <v>0</v>
      </c>
      <c r="M36" s="165">
        <f t="shared" si="22"/>
        <v>0.51200000000000001</v>
      </c>
      <c r="N36" s="164">
        <f t="shared" si="23"/>
        <v>1.452</v>
      </c>
    </row>
    <row r="37" spans="1:14" outlineLevel="1">
      <c r="A37" s="141" t="s">
        <v>295</v>
      </c>
      <c r="B37" s="145" t="str">
        <f t="shared" ref="B37:F37" si="26">"-"</f>
        <v>-</v>
      </c>
      <c r="C37" s="145" t="str">
        <f t="shared" si="26"/>
        <v>-</v>
      </c>
      <c r="D37" s="145" t="str">
        <f t="shared" si="26"/>
        <v>-</v>
      </c>
      <c r="E37" s="145" t="str">
        <f t="shared" si="26"/>
        <v>-</v>
      </c>
      <c r="F37" s="145" t="str">
        <f t="shared" si="26"/>
        <v>-</v>
      </c>
      <c r="G37" s="146" t="s">
        <v>254</v>
      </c>
      <c r="H37" s="146" t="s">
        <v>254</v>
      </c>
      <c r="I37" s="166" t="e">
        <f t="shared" si="25"/>
        <v>#VALUE!</v>
      </c>
      <c r="J37" s="167" t="s">
        <v>254</v>
      </c>
      <c r="K37" s="168" t="e">
        <f t="shared" si="20"/>
        <v>#VALUE!</v>
      </c>
      <c r="L37" s="169">
        <f t="shared" si="21"/>
        <v>0</v>
      </c>
      <c r="M37" s="169">
        <f t="shared" si="22"/>
        <v>0.51200000000000001</v>
      </c>
      <c r="N37" s="169">
        <f t="shared" si="23"/>
        <v>1.452</v>
      </c>
    </row>
    <row r="38" spans="1:14" outlineLevel="1">
      <c r="A38" s="141" t="s">
        <v>292</v>
      </c>
      <c r="B38" s="147">
        <f t="shared" ref="B38:H38" si="27">SUM(B33:B37)</f>
        <v>4</v>
      </c>
      <c r="C38" s="147">
        <f t="shared" si="27"/>
        <v>28</v>
      </c>
      <c r="D38" s="147">
        <f t="shared" si="27"/>
        <v>96</v>
      </c>
      <c r="E38" s="147">
        <f t="shared" si="27"/>
        <v>90</v>
      </c>
      <c r="F38" s="147">
        <f t="shared" si="27"/>
        <v>14</v>
      </c>
      <c r="G38" s="143">
        <f t="shared" si="27"/>
        <v>181.4</v>
      </c>
      <c r="H38" s="143">
        <f t="shared" si="27"/>
        <v>2</v>
      </c>
      <c r="I38" s="143">
        <f t="shared" ref="I38" si="28">B38*$G$6+C38*$H$6+D38*$I$6+E38*$J$6+F38*$K$6</f>
        <v>183.4</v>
      </c>
      <c r="J38" s="464">
        <f>规模!C34</f>
        <v>0</v>
      </c>
      <c r="K38" s="163" t="e">
        <f t="shared" si="20"/>
        <v>#DIV/0!</v>
      </c>
      <c r="L38" s="164">
        <f>IF($B$6="强测试",0,0)</f>
        <v>0</v>
      </c>
      <c r="M38" s="165">
        <f>IF($B$6="强测试",1.9941,0.512)</f>
        <v>0.51200000000000001</v>
      </c>
      <c r="N38" s="164">
        <f>IF($B$6="强测试",4.9096,1.452)</f>
        <v>1.452</v>
      </c>
    </row>
    <row r="39" spans="1:14" ht="12.75" customHeight="1" outlineLevel="1">
      <c r="A39" s="148" t="s">
        <v>293</v>
      </c>
      <c r="B39" s="149" t="s">
        <v>254</v>
      </c>
      <c r="C39" s="149" t="s">
        <v>254</v>
      </c>
      <c r="D39" s="149" t="s">
        <v>254</v>
      </c>
      <c r="E39" s="149" t="s">
        <v>254</v>
      </c>
      <c r="F39" s="149" t="s">
        <v>254</v>
      </c>
      <c r="G39" s="149" t="s">
        <v>254</v>
      </c>
      <c r="H39" s="149" t="s">
        <v>254</v>
      </c>
      <c r="I39" s="170">
        <f>H38</f>
        <v>2</v>
      </c>
      <c r="J39" s="170">
        <f>I38</f>
        <v>183.4</v>
      </c>
      <c r="K39" s="171">
        <f t="shared" si="20"/>
        <v>1.0905125408942203E-2</v>
      </c>
      <c r="L39" s="164">
        <v>0</v>
      </c>
      <c r="M39" s="165">
        <v>2.9600000000000001E-2</v>
      </c>
      <c r="N39" s="164">
        <v>8.3503875379939196E-2</v>
      </c>
    </row>
    <row r="40" spans="1:14" ht="12.75" customHeight="1" outlineLevel="1">
      <c r="A40" s="148"/>
      <c r="B40" s="149"/>
      <c r="C40" s="149"/>
      <c r="D40" s="149"/>
      <c r="E40" s="149"/>
      <c r="F40" s="149"/>
      <c r="G40" s="149"/>
      <c r="H40" s="149"/>
      <c r="I40" s="170"/>
      <c r="J40" s="170"/>
      <c r="K40" s="171"/>
      <c r="L40" s="164"/>
      <c r="M40" s="165"/>
      <c r="N40" s="164"/>
    </row>
    <row r="41" spans="1:14" ht="12.75" customHeight="1">
      <c r="A41" s="151"/>
      <c r="B41" s="150"/>
      <c r="C41" s="150"/>
      <c r="D41" s="150"/>
      <c r="E41" s="150"/>
      <c r="F41" s="150"/>
      <c r="G41" s="150"/>
      <c r="H41" s="150"/>
      <c r="I41" s="172"/>
      <c r="J41" s="172"/>
      <c r="K41" s="173"/>
      <c r="L41" s="178"/>
      <c r="M41" s="179"/>
      <c r="N41" s="178"/>
    </row>
    <row r="43" spans="1:14" ht="12.75" customHeight="1"/>
    <row r="44" spans="1:14" ht="16.5" customHeight="1">
      <c r="L44" s="180"/>
      <c r="M44" s="180"/>
      <c r="N44" s="180"/>
    </row>
    <row r="45" spans="1:14" ht="23.1" customHeight="1">
      <c r="L45" s="180"/>
      <c r="M45" s="180"/>
      <c r="N45" s="180"/>
    </row>
    <row r="47" spans="1:14" ht="15" customHeight="1"/>
    <row r="48" spans="1:14" ht="12" customHeight="1"/>
    <row r="49" spans="1:15" ht="24.95" customHeight="1"/>
    <row r="50" spans="1:15" ht="18" customHeight="1"/>
    <row r="52" spans="1:15" ht="23.1" customHeight="1"/>
    <row r="53" spans="1:15" ht="23.1" customHeight="1"/>
    <row r="54" spans="1:15" ht="23.1" customHeight="1"/>
    <row r="55" spans="1:15" ht="23.1" customHeight="1">
      <c r="A55" s="76" t="s">
        <v>296</v>
      </c>
      <c r="B55" s="67"/>
      <c r="L55" s="76" t="s">
        <v>297</v>
      </c>
      <c r="M55" s="85"/>
      <c r="N55" s="67"/>
      <c r="O55" s="67"/>
    </row>
    <row r="56" spans="1:15" ht="23.1" customHeight="1">
      <c r="A56" s="77" t="s">
        <v>298</v>
      </c>
      <c r="G56" s="77"/>
      <c r="L56" s="77" t="s">
        <v>299</v>
      </c>
    </row>
    <row r="57" spans="1:15" ht="23.1" customHeight="1">
      <c r="A57" s="77" t="s">
        <v>300</v>
      </c>
      <c r="G57" s="77"/>
      <c r="L57" s="77" t="s">
        <v>301</v>
      </c>
    </row>
    <row r="58" spans="1:15" ht="23.1" customHeight="1">
      <c r="A58" s="152" t="s">
        <v>177</v>
      </c>
      <c r="B58" s="153" t="s">
        <v>302</v>
      </c>
      <c r="C58" s="153" t="s">
        <v>303</v>
      </c>
      <c r="D58" s="153" t="s">
        <v>304</v>
      </c>
      <c r="F58" s="152" t="s">
        <v>177</v>
      </c>
      <c r="G58" s="153" t="s">
        <v>305</v>
      </c>
      <c r="H58" s="153" t="s">
        <v>306</v>
      </c>
      <c r="I58" s="153" t="s">
        <v>307</v>
      </c>
      <c r="K58" s="181"/>
      <c r="L58" s="152" t="s">
        <v>177</v>
      </c>
      <c r="M58" s="153" t="s">
        <v>308</v>
      </c>
      <c r="N58" s="153" t="s">
        <v>309</v>
      </c>
      <c r="O58" s="153" t="s">
        <v>232</v>
      </c>
    </row>
    <row r="59" spans="1:15" ht="23.1" customHeight="1">
      <c r="A59" s="154" t="s">
        <v>115</v>
      </c>
      <c r="B59" s="155">
        <v>2</v>
      </c>
      <c r="C59" s="155">
        <v>20</v>
      </c>
      <c r="D59" s="156">
        <f>C59/B59</f>
        <v>10</v>
      </c>
      <c r="F59" s="154" t="s">
        <v>115</v>
      </c>
      <c r="G59" s="155">
        <v>2</v>
      </c>
      <c r="H59" s="155">
        <v>20</v>
      </c>
      <c r="I59" s="156">
        <f>H59/G59</f>
        <v>10</v>
      </c>
      <c r="L59" s="154" t="s">
        <v>115</v>
      </c>
      <c r="M59" s="155">
        <v>3</v>
      </c>
      <c r="N59" s="155">
        <v>4</v>
      </c>
      <c r="O59" s="155"/>
    </row>
    <row r="60" spans="1:15" ht="23.1" customHeight="1">
      <c r="A60" s="154" t="s">
        <v>140</v>
      </c>
      <c r="B60" s="155">
        <v>3</v>
      </c>
      <c r="C60" s="155">
        <v>30</v>
      </c>
      <c r="D60" s="156">
        <f t="shared" ref="D60:D62" si="29">C60/B60</f>
        <v>10</v>
      </c>
      <c r="F60" s="154" t="s">
        <v>140</v>
      </c>
      <c r="G60" s="155">
        <v>3</v>
      </c>
      <c r="H60" s="155">
        <v>30</v>
      </c>
      <c r="I60" s="156">
        <f t="shared" ref="I60:I62" si="30">H60/G60</f>
        <v>10</v>
      </c>
      <c r="L60" s="154" t="s">
        <v>140</v>
      </c>
      <c r="M60" s="155">
        <v>3</v>
      </c>
      <c r="N60" s="155">
        <v>3</v>
      </c>
      <c r="O60" s="155"/>
    </row>
    <row r="61" spans="1:15" ht="23.1" customHeight="1">
      <c r="A61" s="154" t="s">
        <v>141</v>
      </c>
      <c r="B61" s="155">
        <v>2</v>
      </c>
      <c r="C61" s="155">
        <v>10</v>
      </c>
      <c r="D61" s="156">
        <f t="shared" si="29"/>
        <v>5</v>
      </c>
      <c r="F61" s="154" t="s">
        <v>141</v>
      </c>
      <c r="G61" s="155">
        <v>2</v>
      </c>
      <c r="H61" s="155">
        <v>10</v>
      </c>
      <c r="I61" s="156">
        <f t="shared" si="30"/>
        <v>5</v>
      </c>
      <c r="L61" s="154" t="s">
        <v>141</v>
      </c>
      <c r="M61" s="155">
        <v>2</v>
      </c>
      <c r="N61" s="155">
        <v>3</v>
      </c>
      <c r="O61" s="155"/>
    </row>
    <row r="62" spans="1:15" ht="23.1" customHeight="1">
      <c r="A62" s="154" t="s">
        <v>310</v>
      </c>
      <c r="B62" s="155">
        <v>1</v>
      </c>
      <c r="C62" s="155">
        <v>30</v>
      </c>
      <c r="D62" s="156">
        <f t="shared" si="29"/>
        <v>30</v>
      </c>
      <c r="F62" s="154" t="s">
        <v>310</v>
      </c>
      <c r="G62" s="155">
        <v>1</v>
      </c>
      <c r="H62" s="155">
        <v>30</v>
      </c>
      <c r="I62" s="156">
        <f t="shared" si="30"/>
        <v>30</v>
      </c>
      <c r="L62" s="154" t="s">
        <v>310</v>
      </c>
      <c r="M62" s="155">
        <v>3</v>
      </c>
      <c r="N62" s="155">
        <v>4</v>
      </c>
      <c r="O62" s="155"/>
    </row>
    <row r="63" spans="1:15" ht="23.1" customHeight="1">
      <c r="A63" s="77"/>
      <c r="G63" s="77"/>
    </row>
    <row r="64" spans="1:15">
      <c r="A64" s="76" t="s">
        <v>311</v>
      </c>
      <c r="B64" s="67"/>
    </row>
    <row r="65" spans="1:5">
      <c r="A65" s="77" t="s">
        <v>312</v>
      </c>
    </row>
    <row r="66" spans="1:5">
      <c r="A66" s="182" t="s">
        <v>313</v>
      </c>
    </row>
    <row r="67" spans="1:5" ht="23.1" customHeight="1"/>
    <row r="68" spans="1:5" ht="23.1" customHeight="1">
      <c r="A68" s="183" t="s">
        <v>70</v>
      </c>
      <c r="B68" s="184" t="s">
        <v>314</v>
      </c>
      <c r="C68" s="184" t="s">
        <v>315</v>
      </c>
      <c r="D68" s="616" t="s">
        <v>232</v>
      </c>
      <c r="E68" s="617"/>
    </row>
    <row r="69" spans="1:5" ht="23.1" customHeight="1">
      <c r="A69" s="185">
        <v>1</v>
      </c>
      <c r="B69" s="186" t="s">
        <v>316</v>
      </c>
      <c r="C69" s="187">
        <v>1</v>
      </c>
      <c r="D69" s="612"/>
      <c r="E69" s="613"/>
    </row>
    <row r="70" spans="1:5" ht="23.1" customHeight="1">
      <c r="A70" s="185">
        <v>2</v>
      </c>
      <c r="B70" s="186" t="s">
        <v>317</v>
      </c>
      <c r="C70" s="187">
        <v>10</v>
      </c>
      <c r="D70" s="612"/>
      <c r="E70" s="613"/>
    </row>
    <row r="71" spans="1:5" ht="23.1" customHeight="1">
      <c r="A71" s="185">
        <v>3</v>
      </c>
      <c r="B71" s="186" t="s">
        <v>318</v>
      </c>
      <c r="C71" s="187">
        <v>3</v>
      </c>
      <c r="D71" s="612"/>
      <c r="E71" s="613"/>
    </row>
    <row r="72" spans="1:5" ht="23.1" customHeight="1">
      <c r="A72" s="188">
        <v>4</v>
      </c>
      <c r="B72" s="189" t="s">
        <v>319</v>
      </c>
      <c r="C72" s="190">
        <v>0</v>
      </c>
      <c r="D72" s="614"/>
      <c r="E72" s="615"/>
    </row>
    <row r="73" spans="1:5" ht="23.1" customHeight="1"/>
    <row r="74" spans="1:5" ht="23.1" customHeight="1"/>
    <row r="75" spans="1:5">
      <c r="A75" s="76" t="s">
        <v>320</v>
      </c>
      <c r="B75" s="67"/>
    </row>
    <row r="76" spans="1:5">
      <c r="A76" s="77" t="s">
        <v>321</v>
      </c>
    </row>
    <row r="77" spans="1:5">
      <c r="A77" s="182" t="s">
        <v>313</v>
      </c>
    </row>
    <row r="78" spans="1:5" ht="20.25" customHeight="1">
      <c r="A78" s="183" t="s">
        <v>70</v>
      </c>
      <c r="B78" s="184" t="s">
        <v>322</v>
      </c>
      <c r="C78" s="184" t="s">
        <v>315</v>
      </c>
      <c r="D78" s="616" t="s">
        <v>232</v>
      </c>
      <c r="E78" s="617"/>
    </row>
    <row r="79" spans="1:5">
      <c r="A79" s="185">
        <v>1</v>
      </c>
      <c r="B79" s="191" t="s">
        <v>323</v>
      </c>
      <c r="C79" s="192">
        <v>1</v>
      </c>
      <c r="D79" s="605"/>
      <c r="E79" s="606"/>
    </row>
    <row r="80" spans="1:5">
      <c r="A80" s="185">
        <v>2</v>
      </c>
      <c r="B80" s="191" t="s">
        <v>324</v>
      </c>
      <c r="C80" s="192">
        <v>10</v>
      </c>
      <c r="D80" s="605"/>
      <c r="E80" s="606"/>
    </row>
    <row r="81" spans="1:14">
      <c r="A81" s="185">
        <v>3</v>
      </c>
      <c r="B81" s="191" t="s">
        <v>325</v>
      </c>
      <c r="C81" s="192">
        <v>3</v>
      </c>
      <c r="D81" s="605"/>
      <c r="E81" s="606"/>
    </row>
    <row r="82" spans="1:14">
      <c r="A82" s="185">
        <v>4</v>
      </c>
      <c r="B82" s="191" t="s">
        <v>326</v>
      </c>
      <c r="C82" s="192">
        <v>10</v>
      </c>
      <c r="D82" s="605"/>
      <c r="E82" s="606"/>
    </row>
    <row r="83" spans="1:14">
      <c r="A83" s="188">
        <v>4</v>
      </c>
      <c r="B83" s="193" t="s">
        <v>319</v>
      </c>
      <c r="C83" s="194">
        <v>2</v>
      </c>
      <c r="D83" s="607"/>
      <c r="E83" s="608"/>
    </row>
    <row r="86" spans="1:14">
      <c r="A86" s="77" t="s">
        <v>327</v>
      </c>
      <c r="H86" s="45"/>
      <c r="I86" s="204"/>
      <c r="J86" s="45"/>
      <c r="K86" s="45"/>
      <c r="L86" s="45"/>
      <c r="M86" s="204"/>
      <c r="N86" s="45"/>
    </row>
    <row r="87" spans="1:14">
      <c r="A87" s="77" t="s">
        <v>328</v>
      </c>
    </row>
    <row r="88" spans="1:14">
      <c r="A88" s="77" t="s">
        <v>329</v>
      </c>
      <c r="I88" s="77"/>
    </row>
    <row r="89" spans="1:14">
      <c r="A89" s="77" t="s">
        <v>330</v>
      </c>
      <c r="I89" s="77"/>
    </row>
    <row r="90" spans="1:14">
      <c r="A90" s="183" t="s">
        <v>70</v>
      </c>
      <c r="B90" s="184" t="s">
        <v>331</v>
      </c>
      <c r="C90" s="184" t="s">
        <v>315</v>
      </c>
      <c r="D90" s="609" t="s">
        <v>232</v>
      </c>
      <c r="E90" s="610"/>
      <c r="F90" s="611"/>
    </row>
    <row r="91" spans="1:14">
      <c r="A91" s="185">
        <v>1</v>
      </c>
      <c r="B91" s="195" t="s">
        <v>332</v>
      </c>
      <c r="C91" s="192">
        <v>1</v>
      </c>
      <c r="D91" s="602" t="s">
        <v>333</v>
      </c>
      <c r="E91" s="603"/>
      <c r="F91" s="604"/>
      <c r="I91" s="77"/>
    </row>
    <row r="92" spans="1:14">
      <c r="A92" s="185">
        <v>2</v>
      </c>
      <c r="B92" s="192" t="s">
        <v>334</v>
      </c>
      <c r="C92" s="192">
        <v>3</v>
      </c>
      <c r="D92" s="602" t="s">
        <v>335</v>
      </c>
      <c r="E92" s="603"/>
      <c r="F92" s="604"/>
    </row>
    <row r="93" spans="1:14">
      <c r="A93" s="185">
        <v>3</v>
      </c>
      <c r="B93" s="192" t="s">
        <v>336</v>
      </c>
      <c r="C93" s="192">
        <v>4</v>
      </c>
      <c r="D93" s="602" t="s">
        <v>337</v>
      </c>
      <c r="E93" s="603"/>
      <c r="F93" s="604"/>
    </row>
    <row r="94" spans="1:14">
      <c r="A94" s="185">
        <v>4</v>
      </c>
      <c r="B94" s="196" t="s">
        <v>338</v>
      </c>
      <c r="C94" s="192">
        <v>5</v>
      </c>
      <c r="D94" s="602" t="s">
        <v>339</v>
      </c>
      <c r="E94" s="603"/>
      <c r="F94" s="604"/>
    </row>
    <row r="95" spans="1:14">
      <c r="A95" s="185">
        <v>5</v>
      </c>
      <c r="B95" s="197" t="s">
        <v>340</v>
      </c>
      <c r="C95" s="198">
        <v>9</v>
      </c>
      <c r="D95" s="602" t="s">
        <v>341</v>
      </c>
      <c r="E95" s="603"/>
      <c r="F95" s="604"/>
    </row>
    <row r="96" spans="1:14">
      <c r="A96" s="199">
        <v>6</v>
      </c>
      <c r="B96" s="200" t="s">
        <v>342</v>
      </c>
      <c r="C96" s="200">
        <v>10</v>
      </c>
      <c r="D96" s="602" t="s">
        <v>343</v>
      </c>
      <c r="E96" s="603"/>
      <c r="F96" s="604"/>
    </row>
    <row r="97" spans="1:6">
      <c r="A97" s="201">
        <v>7</v>
      </c>
      <c r="B97" s="202" t="s">
        <v>344</v>
      </c>
      <c r="C97" s="203">
        <v>12</v>
      </c>
      <c r="D97" s="597" t="s">
        <v>345</v>
      </c>
      <c r="E97" s="598"/>
      <c r="F97" s="599"/>
    </row>
    <row r="101" spans="1:6" ht="27" customHeight="1"/>
    <row r="130" spans="1:11">
      <c r="A130" s="600" t="s">
        <v>346</v>
      </c>
      <c r="B130" s="600"/>
      <c r="C130" s="600"/>
      <c r="D130" s="600"/>
      <c r="E130" s="600"/>
      <c r="F130" s="600"/>
      <c r="G130" s="600"/>
      <c r="H130" s="600"/>
      <c r="I130" s="600"/>
      <c r="J130" s="600"/>
      <c r="K130" s="600"/>
    </row>
    <row r="131" spans="1:11" ht="12.75">
      <c r="A131" s="205" t="s">
        <v>347</v>
      </c>
      <c r="B131" s="206" t="s">
        <v>348</v>
      </c>
      <c r="C131" s="206" t="s">
        <v>349</v>
      </c>
      <c r="D131" s="206" t="s">
        <v>350</v>
      </c>
      <c r="E131" s="206" t="s">
        <v>351</v>
      </c>
      <c r="F131" s="206" t="s">
        <v>352</v>
      </c>
      <c r="G131" s="206" t="s">
        <v>353</v>
      </c>
      <c r="H131" s="206" t="s">
        <v>354</v>
      </c>
      <c r="I131" s="221" t="s">
        <v>322</v>
      </c>
      <c r="J131" s="221" t="s">
        <v>355</v>
      </c>
      <c r="K131" s="221" t="s">
        <v>356</v>
      </c>
    </row>
    <row r="132" spans="1:11" ht="12.75">
      <c r="A132" s="207" t="s">
        <v>357</v>
      </c>
      <c r="B132" s="208" t="s">
        <v>358</v>
      </c>
      <c r="C132" s="209" t="s">
        <v>359</v>
      </c>
      <c r="D132" s="209" t="s">
        <v>360</v>
      </c>
      <c r="E132" s="209" t="s">
        <v>361</v>
      </c>
      <c r="F132" s="209" t="s">
        <v>362</v>
      </c>
      <c r="G132" s="209" t="s">
        <v>363</v>
      </c>
      <c r="H132" s="209" t="s">
        <v>364</v>
      </c>
      <c r="I132" s="222" t="s">
        <v>323</v>
      </c>
      <c r="J132" s="222" t="s">
        <v>57</v>
      </c>
      <c r="K132" s="222" t="s">
        <v>365</v>
      </c>
    </row>
    <row r="133" spans="1:11" ht="26.25">
      <c r="A133" s="210" t="s">
        <v>366</v>
      </c>
      <c r="B133" s="208" t="s">
        <v>367</v>
      </c>
      <c r="C133" s="209" t="s">
        <v>368</v>
      </c>
      <c r="D133" s="209" t="s">
        <v>369</v>
      </c>
      <c r="E133" s="209" t="s">
        <v>370</v>
      </c>
      <c r="F133" s="209" t="s">
        <v>371</v>
      </c>
      <c r="G133" s="209" t="s">
        <v>372</v>
      </c>
      <c r="H133" s="209" t="s">
        <v>373</v>
      </c>
      <c r="I133" s="222" t="s">
        <v>324</v>
      </c>
      <c r="J133" s="222" t="s">
        <v>360</v>
      </c>
      <c r="K133" s="222" t="s">
        <v>374</v>
      </c>
    </row>
    <row r="134" spans="1:11" ht="26.25">
      <c r="A134" s="211" t="s">
        <v>375</v>
      </c>
      <c r="B134" s="208" t="s">
        <v>376</v>
      </c>
      <c r="C134" s="209" t="s">
        <v>377</v>
      </c>
      <c r="D134" s="212"/>
      <c r="E134" s="209" t="s">
        <v>378</v>
      </c>
      <c r="F134" s="209" t="s">
        <v>379</v>
      </c>
      <c r="G134" s="209" t="s">
        <v>380</v>
      </c>
      <c r="H134" s="209" t="s">
        <v>381</v>
      </c>
      <c r="I134" s="222" t="s">
        <v>325</v>
      </c>
      <c r="J134" s="222" t="s">
        <v>382</v>
      </c>
      <c r="K134" s="222" t="s">
        <v>383</v>
      </c>
    </row>
    <row r="135" spans="1:11" ht="16.5">
      <c r="A135" s="213" t="s">
        <v>384</v>
      </c>
      <c r="B135" s="208" t="s">
        <v>385</v>
      </c>
      <c r="C135" s="209" t="s">
        <v>386</v>
      </c>
      <c r="D135" s="212"/>
      <c r="E135" s="209" t="s">
        <v>336</v>
      </c>
      <c r="F135" s="212"/>
      <c r="G135" s="209" t="s">
        <v>387</v>
      </c>
      <c r="H135" s="209" t="s">
        <v>388</v>
      </c>
      <c r="I135" s="222" t="s">
        <v>326</v>
      </c>
      <c r="J135" s="209" t="s">
        <v>319</v>
      </c>
      <c r="K135" s="209"/>
    </row>
    <row r="136" spans="1:11" ht="16.5">
      <c r="A136" s="214" t="s">
        <v>310</v>
      </c>
      <c r="B136" s="215" t="s">
        <v>389</v>
      </c>
      <c r="C136" s="209" t="s">
        <v>390</v>
      </c>
      <c r="D136" s="212"/>
      <c r="E136" s="209" t="s">
        <v>334</v>
      </c>
      <c r="F136" s="212"/>
      <c r="G136" s="212"/>
      <c r="H136" s="212"/>
      <c r="I136" s="209" t="s">
        <v>319</v>
      </c>
      <c r="J136" s="209"/>
      <c r="K136" s="209"/>
    </row>
    <row r="137" spans="1:11" ht="24">
      <c r="A137" s="216" t="s">
        <v>391</v>
      </c>
      <c r="B137" s="215" t="s">
        <v>392</v>
      </c>
      <c r="C137" s="209" t="s">
        <v>393</v>
      </c>
      <c r="D137" s="212"/>
      <c r="E137" s="209" t="s">
        <v>394</v>
      </c>
      <c r="F137" s="212"/>
      <c r="G137" s="212"/>
      <c r="H137" s="212"/>
      <c r="I137" s="220"/>
      <c r="J137" s="220"/>
      <c r="K137" s="220"/>
    </row>
    <row r="138" spans="1:11" ht="24">
      <c r="A138" s="207" t="s">
        <v>395</v>
      </c>
      <c r="B138" s="215" t="s">
        <v>396</v>
      </c>
      <c r="C138" s="209" t="s">
        <v>397</v>
      </c>
      <c r="D138" s="212"/>
      <c r="E138" s="209" t="s">
        <v>398</v>
      </c>
      <c r="F138" s="212"/>
      <c r="G138" s="212"/>
      <c r="H138" s="212"/>
      <c r="I138" s="220"/>
      <c r="J138" s="220"/>
      <c r="K138" s="220"/>
    </row>
    <row r="139" spans="1:11" ht="16.5">
      <c r="A139" s="216" t="s">
        <v>399</v>
      </c>
      <c r="B139" s="215" t="s">
        <v>400</v>
      </c>
      <c r="C139" s="209" t="s">
        <v>401</v>
      </c>
      <c r="D139" s="212"/>
      <c r="E139" s="212"/>
      <c r="F139" s="212"/>
      <c r="G139" s="212"/>
      <c r="H139" s="212"/>
      <c r="I139" s="220"/>
      <c r="J139" s="220"/>
      <c r="K139" s="220"/>
    </row>
    <row r="140" spans="1:11" ht="16.5">
      <c r="A140" s="207" t="s">
        <v>402</v>
      </c>
      <c r="B140" s="215" t="s">
        <v>403</v>
      </c>
      <c r="C140" s="209" t="s">
        <v>404</v>
      </c>
      <c r="D140" s="212"/>
      <c r="E140" s="212"/>
      <c r="F140" s="212"/>
      <c r="G140" s="212"/>
      <c r="H140" s="212"/>
      <c r="I140" s="220"/>
      <c r="J140" s="220"/>
      <c r="K140" s="220"/>
    </row>
    <row r="141" spans="1:11" ht="16.5">
      <c r="A141" s="217"/>
      <c r="B141" s="215" t="s">
        <v>405</v>
      </c>
      <c r="C141" s="209" t="s">
        <v>406</v>
      </c>
      <c r="D141" s="212"/>
      <c r="E141" s="212"/>
      <c r="F141" s="212"/>
      <c r="G141" s="212"/>
      <c r="H141" s="212"/>
      <c r="I141" s="220"/>
      <c r="J141" s="220"/>
      <c r="K141" s="220"/>
    </row>
    <row r="142" spans="1:11" ht="16.5">
      <c r="A142" s="217"/>
      <c r="B142" s="218" t="s">
        <v>407</v>
      </c>
      <c r="C142" s="209" t="s">
        <v>332</v>
      </c>
      <c r="D142" s="212"/>
      <c r="E142" s="212"/>
      <c r="F142" s="212"/>
      <c r="G142" s="212"/>
      <c r="H142" s="212"/>
      <c r="I142" s="220"/>
      <c r="J142" s="220"/>
      <c r="K142" s="220"/>
    </row>
    <row r="143" spans="1:11" ht="16.5">
      <c r="A143" s="217"/>
      <c r="B143" s="218" t="s">
        <v>408</v>
      </c>
      <c r="C143" s="209" t="s">
        <v>409</v>
      </c>
      <c r="D143" s="212"/>
      <c r="E143" s="212"/>
      <c r="F143" s="212"/>
      <c r="G143" s="212"/>
      <c r="H143" s="212"/>
      <c r="I143" s="220"/>
      <c r="J143" s="220"/>
      <c r="K143" s="220"/>
    </row>
    <row r="144" spans="1:11" ht="16.5">
      <c r="A144" s="217"/>
      <c r="B144" s="219" t="s">
        <v>410</v>
      </c>
      <c r="C144" s="212"/>
      <c r="D144" s="212"/>
      <c r="E144" s="212"/>
      <c r="F144" s="212"/>
      <c r="G144" s="212"/>
      <c r="H144" s="212"/>
      <c r="I144" s="220"/>
      <c r="J144" s="220"/>
      <c r="K144" s="220"/>
    </row>
    <row r="145" spans="1:11" ht="16.5">
      <c r="A145" s="217"/>
      <c r="B145" s="219" t="s">
        <v>411</v>
      </c>
      <c r="C145" s="212"/>
      <c r="D145" s="212"/>
      <c r="E145" s="212"/>
      <c r="F145" s="212"/>
      <c r="G145" s="212"/>
      <c r="H145" s="212"/>
      <c r="I145" s="220"/>
      <c r="J145" s="220"/>
      <c r="K145" s="220"/>
    </row>
    <row r="146" spans="1:11" ht="16.5">
      <c r="A146" s="217"/>
      <c r="B146" s="219" t="s">
        <v>412</v>
      </c>
      <c r="C146" s="212"/>
      <c r="D146" s="212"/>
      <c r="E146" s="212"/>
      <c r="F146" s="212"/>
      <c r="G146" s="212"/>
      <c r="H146" s="212"/>
      <c r="I146" s="220"/>
      <c r="J146" s="220"/>
      <c r="K146" s="220"/>
    </row>
    <row r="147" spans="1:11" ht="16.5">
      <c r="A147" s="217"/>
      <c r="B147" s="219" t="s">
        <v>413</v>
      </c>
      <c r="C147" s="212"/>
      <c r="D147" s="212"/>
      <c r="E147" s="212"/>
      <c r="F147" s="212"/>
      <c r="G147" s="212"/>
      <c r="H147" s="212"/>
      <c r="I147" s="220"/>
      <c r="J147" s="220"/>
      <c r="K147" s="220"/>
    </row>
    <row r="148" spans="1:11" ht="16.5">
      <c r="A148" s="217"/>
      <c r="B148" s="219" t="s">
        <v>414</v>
      </c>
      <c r="C148" s="212"/>
      <c r="D148" s="212"/>
      <c r="E148" s="212"/>
      <c r="F148" s="212"/>
      <c r="G148" s="212"/>
      <c r="H148" s="212"/>
      <c r="I148" s="220"/>
      <c r="J148" s="220"/>
      <c r="K148" s="220"/>
    </row>
    <row r="149" spans="1:11" ht="16.5">
      <c r="A149" s="217"/>
      <c r="B149" s="219" t="s">
        <v>415</v>
      </c>
      <c r="C149" s="212"/>
      <c r="D149" s="212"/>
      <c r="E149" s="212"/>
      <c r="F149" s="212"/>
      <c r="G149" s="212"/>
      <c r="H149" s="212"/>
      <c r="I149" s="220"/>
      <c r="J149" s="220"/>
      <c r="K149" s="220"/>
    </row>
    <row r="150" spans="1:11" ht="16.5">
      <c r="A150" s="217"/>
      <c r="B150" s="219" t="s">
        <v>416</v>
      </c>
      <c r="C150" s="212"/>
      <c r="D150" s="212"/>
      <c r="E150" s="212"/>
      <c r="F150" s="212"/>
      <c r="G150" s="212"/>
      <c r="H150" s="212"/>
      <c r="I150" s="220"/>
      <c r="J150" s="220"/>
      <c r="K150" s="220"/>
    </row>
    <row r="151" spans="1:11" ht="16.5">
      <c r="A151" s="217"/>
      <c r="B151" s="219" t="s">
        <v>417</v>
      </c>
      <c r="C151" s="212"/>
      <c r="D151" s="212"/>
      <c r="E151" s="212"/>
      <c r="F151" s="212"/>
      <c r="G151" s="212"/>
      <c r="H151" s="212"/>
      <c r="I151" s="220"/>
      <c r="J151" s="220"/>
      <c r="K151" s="220"/>
    </row>
    <row r="152" spans="1:11" ht="16.5">
      <c r="A152" s="217"/>
      <c r="B152" s="219" t="s">
        <v>418</v>
      </c>
      <c r="C152" s="212"/>
      <c r="D152" s="212"/>
      <c r="E152" s="212"/>
      <c r="F152" s="212"/>
      <c r="G152" s="212"/>
      <c r="H152" s="212"/>
      <c r="I152" s="220"/>
      <c r="J152" s="220"/>
      <c r="K152" s="220"/>
    </row>
    <row r="153" spans="1:11" ht="12.75">
      <c r="A153" s="601" t="s">
        <v>419</v>
      </c>
      <c r="B153" s="601"/>
      <c r="C153" s="601"/>
      <c r="D153" s="601"/>
      <c r="E153" s="220"/>
      <c r="F153" s="220"/>
      <c r="G153" s="220"/>
      <c r="H153" s="220"/>
      <c r="I153" s="220"/>
      <c r="J153" s="220"/>
      <c r="K153" s="220"/>
    </row>
  </sheetData>
  <mergeCells count="46">
    <mergeCell ref="A1:N1"/>
    <mergeCell ref="B9:F9"/>
    <mergeCell ref="L9:N9"/>
    <mergeCell ref="B20:F20"/>
    <mergeCell ref="L20:N20"/>
    <mergeCell ref="J20:J21"/>
    <mergeCell ref="K9:K10"/>
    <mergeCell ref="K20:K21"/>
    <mergeCell ref="B31:F31"/>
    <mergeCell ref="L31:N31"/>
    <mergeCell ref="D68:E68"/>
    <mergeCell ref="D69:E69"/>
    <mergeCell ref="D70:E70"/>
    <mergeCell ref="J31:J32"/>
    <mergeCell ref="K31:K32"/>
    <mergeCell ref="D71:E71"/>
    <mergeCell ref="D72:E72"/>
    <mergeCell ref="D78:E78"/>
    <mergeCell ref="D79:E79"/>
    <mergeCell ref="D80:E80"/>
    <mergeCell ref="D81:E81"/>
    <mergeCell ref="D82:E82"/>
    <mergeCell ref="D83:E83"/>
    <mergeCell ref="D90:F90"/>
    <mergeCell ref="D91:F91"/>
    <mergeCell ref="D92:F92"/>
    <mergeCell ref="D93:F93"/>
    <mergeCell ref="D94:F94"/>
    <mergeCell ref="D95:F95"/>
    <mergeCell ref="D96:F96"/>
    <mergeCell ref="D97:F97"/>
    <mergeCell ref="A130:K130"/>
    <mergeCell ref="A153:D153"/>
    <mergeCell ref="A9:A10"/>
    <mergeCell ref="A20:A21"/>
    <mergeCell ref="A31:A32"/>
    <mergeCell ref="G9:G10"/>
    <mergeCell ref="G20:G21"/>
    <mergeCell ref="G31:G32"/>
    <mergeCell ref="H9:H10"/>
    <mergeCell ref="H20:H21"/>
    <mergeCell ref="H31:H32"/>
    <mergeCell ref="I9:I10"/>
    <mergeCell ref="I20:I21"/>
    <mergeCell ref="I31:I32"/>
    <mergeCell ref="J9:J10"/>
  </mergeCells>
  <phoneticPr fontId="126" type="noConversion"/>
  <conditionalFormatting sqref="K41">
    <cfRule type="cellIs" dxfId="6" priority="5" operator="greaterThan">
      <formula>$N$17</formula>
    </cfRule>
  </conditionalFormatting>
  <conditionalFormatting sqref="K11:K16">
    <cfRule type="cellIs" dxfId="5" priority="747" operator="greaterThan">
      <formula>$N$15</formula>
    </cfRule>
  </conditionalFormatting>
  <conditionalFormatting sqref="K17:K19">
    <cfRule type="cellIs" dxfId="4" priority="6" operator="greaterThan">
      <formula>$N$17</formula>
    </cfRule>
  </conditionalFormatting>
  <conditionalFormatting sqref="K22:K27">
    <cfRule type="cellIs" dxfId="3" priority="748" operator="greaterThan">
      <formula>$N$15</formula>
    </cfRule>
  </conditionalFormatting>
  <conditionalFormatting sqref="K28:K29">
    <cfRule type="cellIs" dxfId="2" priority="3" operator="greaterThan">
      <formula>$N$17</formula>
    </cfRule>
  </conditionalFormatting>
  <conditionalFormatting sqref="K33:K38">
    <cfRule type="cellIs" dxfId="1" priority="2" operator="greaterThan">
      <formula>$N$15</formula>
    </cfRule>
  </conditionalFormatting>
  <conditionalFormatting sqref="K39:K40">
    <cfRule type="cellIs" dxfId="0" priority="1" operator="greaterThan">
      <formula>$N$17</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44</xdr:row>
                    <xdr:rowOff>28575</xdr:rowOff>
                  </from>
                  <to>
                    <xdr:col>1</xdr:col>
                    <xdr:colOff>66675</xdr:colOff>
                    <xdr:row>45</xdr:row>
                    <xdr:rowOff>95250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42</xdr:row>
                    <xdr:rowOff>28575</xdr:rowOff>
                  </from>
                  <to>
                    <xdr:col>1</xdr:col>
                    <xdr:colOff>76200</xdr:colOff>
                    <xdr:row>43</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Y76"/>
  <sheetViews>
    <sheetView showGridLines="0" workbookViewId="0">
      <selection activeCell="F66" sqref="F66"/>
    </sheetView>
  </sheetViews>
  <sheetFormatPr defaultColWidth="9" defaultRowHeight="12"/>
  <cols>
    <col min="1" max="1" width="14.375" style="46" customWidth="1"/>
    <col min="2" max="2" width="11.875" style="46" customWidth="1"/>
    <col min="3" max="3" width="13.875" style="47" customWidth="1"/>
    <col min="4" max="4" width="12.25" style="47" customWidth="1"/>
    <col min="5" max="5" width="12.625" style="46" customWidth="1"/>
    <col min="6" max="6" width="13.625" style="46" customWidth="1"/>
    <col min="7" max="7" width="11.75" style="46" customWidth="1"/>
    <col min="8" max="8" width="13.25" style="46" customWidth="1"/>
    <col min="9" max="9" width="11.625" style="46" customWidth="1"/>
    <col min="10" max="10" width="12.625" style="46" customWidth="1"/>
    <col min="11" max="11" width="9.5" style="46" customWidth="1"/>
    <col min="12" max="12" width="10.75" style="46" customWidth="1"/>
    <col min="13" max="13" width="8" style="46" customWidth="1"/>
    <col min="14" max="15" width="9" style="46"/>
    <col min="16" max="16" width="9.375" style="46" customWidth="1"/>
    <col min="17" max="17" width="9" style="46"/>
    <col min="18" max="18" width="7.5" style="46" customWidth="1"/>
    <col min="19" max="19" width="9.875" style="46" customWidth="1"/>
    <col min="20" max="256" width="9" style="46"/>
    <col min="257" max="257" width="14.375" style="46" customWidth="1"/>
    <col min="258" max="258" width="11.875" style="46" customWidth="1"/>
    <col min="259" max="259" width="13.875" style="46" customWidth="1"/>
    <col min="260" max="260" width="12.25" style="46" customWidth="1"/>
    <col min="261" max="261" width="12.625" style="46" customWidth="1"/>
    <col min="262" max="262" width="13.625" style="46" customWidth="1"/>
    <col min="263" max="263" width="11.75" style="46" customWidth="1"/>
    <col min="264" max="264" width="13.25" style="46" customWidth="1"/>
    <col min="265" max="265" width="11.625" style="46" customWidth="1"/>
    <col min="266" max="266" width="12.625" style="46" customWidth="1"/>
    <col min="267" max="267" width="9.5" style="46" customWidth="1"/>
    <col min="268" max="268" width="10.75" style="46" customWidth="1"/>
    <col min="269" max="269" width="8" style="46" customWidth="1"/>
    <col min="270" max="271" width="9" style="46"/>
    <col min="272" max="272" width="9.375" style="46" customWidth="1"/>
    <col min="273" max="273" width="9" style="46"/>
    <col min="274" max="274" width="7.5" style="46" customWidth="1"/>
    <col min="275" max="275" width="9.875" style="46" customWidth="1"/>
    <col min="276" max="512" width="9" style="46"/>
    <col min="513" max="513" width="14.375" style="46" customWidth="1"/>
    <col min="514" max="514" width="11.875" style="46" customWidth="1"/>
    <col min="515" max="515" width="13.875" style="46" customWidth="1"/>
    <col min="516" max="516" width="12.25" style="46" customWidth="1"/>
    <col min="517" max="517" width="12.625" style="46" customWidth="1"/>
    <col min="518" max="518" width="13.625" style="46" customWidth="1"/>
    <col min="519" max="519" width="11.75" style="46" customWidth="1"/>
    <col min="520" max="520" width="13.25" style="46" customWidth="1"/>
    <col min="521" max="521" width="11.625" style="46" customWidth="1"/>
    <col min="522" max="522" width="12.625" style="46" customWidth="1"/>
    <col min="523" max="523" width="9.5" style="46" customWidth="1"/>
    <col min="524" max="524" width="10.75" style="46" customWidth="1"/>
    <col min="525" max="525" width="8" style="46" customWidth="1"/>
    <col min="526" max="527" width="9" style="46"/>
    <col min="528" max="528" width="9.375" style="46" customWidth="1"/>
    <col min="529" max="529" width="9" style="46"/>
    <col min="530" max="530" width="7.5" style="46" customWidth="1"/>
    <col min="531" max="531" width="9.875" style="46" customWidth="1"/>
    <col min="532" max="768" width="9" style="46"/>
    <col min="769" max="769" width="14.375" style="46" customWidth="1"/>
    <col min="770" max="770" width="11.875" style="46" customWidth="1"/>
    <col min="771" max="771" width="13.875" style="46" customWidth="1"/>
    <col min="772" max="772" width="12.25" style="46" customWidth="1"/>
    <col min="773" max="773" width="12.625" style="46" customWidth="1"/>
    <col min="774" max="774" width="13.625" style="46" customWidth="1"/>
    <col min="775" max="775" width="11.75" style="46" customWidth="1"/>
    <col min="776" max="776" width="13.25" style="46" customWidth="1"/>
    <col min="777" max="777" width="11.625" style="46" customWidth="1"/>
    <col min="778" max="778" width="12.625" style="46" customWidth="1"/>
    <col min="779" max="779" width="9.5" style="46" customWidth="1"/>
    <col min="780" max="780" width="10.75" style="46" customWidth="1"/>
    <col min="781" max="781" width="8" style="46" customWidth="1"/>
    <col min="782" max="783" width="9" style="46"/>
    <col min="784" max="784" width="9.375" style="46" customWidth="1"/>
    <col min="785" max="785" width="9" style="46"/>
    <col min="786" max="786" width="7.5" style="46" customWidth="1"/>
    <col min="787" max="787" width="9.875" style="46" customWidth="1"/>
    <col min="788" max="1024" width="9" style="46"/>
    <col min="1025" max="1025" width="14.375" style="46" customWidth="1"/>
    <col min="1026" max="1026" width="11.875" style="46" customWidth="1"/>
    <col min="1027" max="1027" width="13.875" style="46" customWidth="1"/>
    <col min="1028" max="1028" width="12.25" style="46" customWidth="1"/>
    <col min="1029" max="1029" width="12.625" style="46" customWidth="1"/>
    <col min="1030" max="1030" width="13.625" style="46" customWidth="1"/>
    <col min="1031" max="1031" width="11.75" style="46" customWidth="1"/>
    <col min="1032" max="1032" width="13.25" style="46" customWidth="1"/>
    <col min="1033" max="1033" width="11.625" style="46" customWidth="1"/>
    <col min="1034" max="1034" width="12.625" style="46" customWidth="1"/>
    <col min="1035" max="1035" width="9.5" style="46" customWidth="1"/>
    <col min="1036" max="1036" width="10.75" style="46" customWidth="1"/>
    <col min="1037" max="1037" width="8" style="46" customWidth="1"/>
    <col min="1038" max="1039" width="9" style="46"/>
    <col min="1040" max="1040" width="9.375" style="46" customWidth="1"/>
    <col min="1041" max="1041" width="9" style="46"/>
    <col min="1042" max="1042" width="7.5" style="46" customWidth="1"/>
    <col min="1043" max="1043" width="9.875" style="46" customWidth="1"/>
    <col min="1044" max="1280" width="9" style="46"/>
    <col min="1281" max="1281" width="14.375" style="46" customWidth="1"/>
    <col min="1282" max="1282" width="11.875" style="46" customWidth="1"/>
    <col min="1283" max="1283" width="13.875" style="46" customWidth="1"/>
    <col min="1284" max="1284" width="12.25" style="46" customWidth="1"/>
    <col min="1285" max="1285" width="12.625" style="46" customWidth="1"/>
    <col min="1286" max="1286" width="13.625" style="46" customWidth="1"/>
    <col min="1287" max="1287" width="11.75" style="46" customWidth="1"/>
    <col min="1288" max="1288" width="13.25" style="46" customWidth="1"/>
    <col min="1289" max="1289" width="11.625" style="46" customWidth="1"/>
    <col min="1290" max="1290" width="12.625" style="46" customWidth="1"/>
    <col min="1291" max="1291" width="9.5" style="46" customWidth="1"/>
    <col min="1292" max="1292" width="10.75" style="46" customWidth="1"/>
    <col min="1293" max="1293" width="8" style="46" customWidth="1"/>
    <col min="1294" max="1295" width="9" style="46"/>
    <col min="1296" max="1296" width="9.375" style="46" customWidth="1"/>
    <col min="1297" max="1297" width="9" style="46"/>
    <col min="1298" max="1298" width="7.5" style="46" customWidth="1"/>
    <col min="1299" max="1299" width="9.875" style="46" customWidth="1"/>
    <col min="1300" max="1536" width="9" style="46"/>
    <col min="1537" max="1537" width="14.375" style="46" customWidth="1"/>
    <col min="1538" max="1538" width="11.875" style="46" customWidth="1"/>
    <col min="1539" max="1539" width="13.875" style="46" customWidth="1"/>
    <col min="1540" max="1540" width="12.25" style="46" customWidth="1"/>
    <col min="1541" max="1541" width="12.625" style="46" customWidth="1"/>
    <col min="1542" max="1542" width="13.625" style="46" customWidth="1"/>
    <col min="1543" max="1543" width="11.75" style="46" customWidth="1"/>
    <col min="1544" max="1544" width="13.25" style="46" customWidth="1"/>
    <col min="1545" max="1545" width="11.625" style="46" customWidth="1"/>
    <col min="1546" max="1546" width="12.625" style="46" customWidth="1"/>
    <col min="1547" max="1547" width="9.5" style="46" customWidth="1"/>
    <col min="1548" max="1548" width="10.75" style="46" customWidth="1"/>
    <col min="1549" max="1549" width="8" style="46" customWidth="1"/>
    <col min="1550" max="1551" width="9" style="46"/>
    <col min="1552" max="1552" width="9.375" style="46" customWidth="1"/>
    <col min="1553" max="1553" width="9" style="46"/>
    <col min="1554" max="1554" width="7.5" style="46" customWidth="1"/>
    <col min="1555" max="1555" width="9.875" style="46" customWidth="1"/>
    <col min="1556" max="1792" width="9" style="46"/>
    <col min="1793" max="1793" width="14.375" style="46" customWidth="1"/>
    <col min="1794" max="1794" width="11.875" style="46" customWidth="1"/>
    <col min="1795" max="1795" width="13.875" style="46" customWidth="1"/>
    <col min="1796" max="1796" width="12.25" style="46" customWidth="1"/>
    <col min="1797" max="1797" width="12.625" style="46" customWidth="1"/>
    <col min="1798" max="1798" width="13.625" style="46" customWidth="1"/>
    <col min="1799" max="1799" width="11.75" style="46" customWidth="1"/>
    <col min="1800" max="1800" width="13.25" style="46" customWidth="1"/>
    <col min="1801" max="1801" width="11.625" style="46" customWidth="1"/>
    <col min="1802" max="1802" width="12.625" style="46" customWidth="1"/>
    <col min="1803" max="1803" width="9.5" style="46" customWidth="1"/>
    <col min="1804" max="1804" width="10.75" style="46" customWidth="1"/>
    <col min="1805" max="1805" width="8" style="46" customWidth="1"/>
    <col min="1806" max="1807" width="9" style="46"/>
    <col min="1808" max="1808" width="9.375" style="46" customWidth="1"/>
    <col min="1809" max="1809" width="9" style="46"/>
    <col min="1810" max="1810" width="7.5" style="46" customWidth="1"/>
    <col min="1811" max="1811" width="9.875" style="46" customWidth="1"/>
    <col min="1812" max="2048" width="9" style="46"/>
    <col min="2049" max="2049" width="14.375" style="46" customWidth="1"/>
    <col min="2050" max="2050" width="11.875" style="46" customWidth="1"/>
    <col min="2051" max="2051" width="13.875" style="46" customWidth="1"/>
    <col min="2052" max="2052" width="12.25" style="46" customWidth="1"/>
    <col min="2053" max="2053" width="12.625" style="46" customWidth="1"/>
    <col min="2054" max="2054" width="13.625" style="46" customWidth="1"/>
    <col min="2055" max="2055" width="11.75" style="46" customWidth="1"/>
    <col min="2056" max="2056" width="13.25" style="46" customWidth="1"/>
    <col min="2057" max="2057" width="11.625" style="46" customWidth="1"/>
    <col min="2058" max="2058" width="12.625" style="46" customWidth="1"/>
    <col min="2059" max="2059" width="9.5" style="46" customWidth="1"/>
    <col min="2060" max="2060" width="10.75" style="46" customWidth="1"/>
    <col min="2061" max="2061" width="8" style="46" customWidth="1"/>
    <col min="2062" max="2063" width="9" style="46"/>
    <col min="2064" max="2064" width="9.375" style="46" customWidth="1"/>
    <col min="2065" max="2065" width="9" style="46"/>
    <col min="2066" max="2066" width="7.5" style="46" customWidth="1"/>
    <col min="2067" max="2067" width="9.875" style="46" customWidth="1"/>
    <col min="2068" max="2304" width="9" style="46"/>
    <col min="2305" max="2305" width="14.375" style="46" customWidth="1"/>
    <col min="2306" max="2306" width="11.875" style="46" customWidth="1"/>
    <col min="2307" max="2307" width="13.875" style="46" customWidth="1"/>
    <col min="2308" max="2308" width="12.25" style="46" customWidth="1"/>
    <col min="2309" max="2309" width="12.625" style="46" customWidth="1"/>
    <col min="2310" max="2310" width="13.625" style="46" customWidth="1"/>
    <col min="2311" max="2311" width="11.75" style="46" customWidth="1"/>
    <col min="2312" max="2312" width="13.25" style="46" customWidth="1"/>
    <col min="2313" max="2313" width="11.625" style="46" customWidth="1"/>
    <col min="2314" max="2314" width="12.625" style="46" customWidth="1"/>
    <col min="2315" max="2315" width="9.5" style="46" customWidth="1"/>
    <col min="2316" max="2316" width="10.75" style="46" customWidth="1"/>
    <col min="2317" max="2317" width="8" style="46" customWidth="1"/>
    <col min="2318" max="2319" width="9" style="46"/>
    <col min="2320" max="2320" width="9.375" style="46" customWidth="1"/>
    <col min="2321" max="2321" width="9" style="46"/>
    <col min="2322" max="2322" width="7.5" style="46" customWidth="1"/>
    <col min="2323" max="2323" width="9.875" style="46" customWidth="1"/>
    <col min="2324" max="2560" width="9" style="46"/>
    <col min="2561" max="2561" width="14.375" style="46" customWidth="1"/>
    <col min="2562" max="2562" width="11.875" style="46" customWidth="1"/>
    <col min="2563" max="2563" width="13.875" style="46" customWidth="1"/>
    <col min="2564" max="2564" width="12.25" style="46" customWidth="1"/>
    <col min="2565" max="2565" width="12.625" style="46" customWidth="1"/>
    <col min="2566" max="2566" width="13.625" style="46" customWidth="1"/>
    <col min="2567" max="2567" width="11.75" style="46" customWidth="1"/>
    <col min="2568" max="2568" width="13.25" style="46" customWidth="1"/>
    <col min="2569" max="2569" width="11.625" style="46" customWidth="1"/>
    <col min="2570" max="2570" width="12.625" style="46" customWidth="1"/>
    <col min="2571" max="2571" width="9.5" style="46" customWidth="1"/>
    <col min="2572" max="2572" width="10.75" style="46" customWidth="1"/>
    <col min="2573" max="2573" width="8" style="46" customWidth="1"/>
    <col min="2574" max="2575" width="9" style="46"/>
    <col min="2576" max="2576" width="9.375" style="46" customWidth="1"/>
    <col min="2577" max="2577" width="9" style="46"/>
    <col min="2578" max="2578" width="7.5" style="46" customWidth="1"/>
    <col min="2579" max="2579" width="9.875" style="46" customWidth="1"/>
    <col min="2580" max="2816" width="9" style="46"/>
    <col min="2817" max="2817" width="14.375" style="46" customWidth="1"/>
    <col min="2818" max="2818" width="11.875" style="46" customWidth="1"/>
    <col min="2819" max="2819" width="13.875" style="46" customWidth="1"/>
    <col min="2820" max="2820" width="12.25" style="46" customWidth="1"/>
    <col min="2821" max="2821" width="12.625" style="46" customWidth="1"/>
    <col min="2822" max="2822" width="13.625" style="46" customWidth="1"/>
    <col min="2823" max="2823" width="11.75" style="46" customWidth="1"/>
    <col min="2824" max="2824" width="13.25" style="46" customWidth="1"/>
    <col min="2825" max="2825" width="11.625" style="46" customWidth="1"/>
    <col min="2826" max="2826" width="12.625" style="46" customWidth="1"/>
    <col min="2827" max="2827" width="9.5" style="46" customWidth="1"/>
    <col min="2828" max="2828" width="10.75" style="46" customWidth="1"/>
    <col min="2829" max="2829" width="8" style="46" customWidth="1"/>
    <col min="2830" max="2831" width="9" style="46"/>
    <col min="2832" max="2832" width="9.375" style="46" customWidth="1"/>
    <col min="2833" max="2833" width="9" style="46"/>
    <col min="2834" max="2834" width="7.5" style="46" customWidth="1"/>
    <col min="2835" max="2835" width="9.875" style="46" customWidth="1"/>
    <col min="2836" max="3072" width="9" style="46"/>
    <col min="3073" max="3073" width="14.375" style="46" customWidth="1"/>
    <col min="3074" max="3074" width="11.875" style="46" customWidth="1"/>
    <col min="3075" max="3075" width="13.875" style="46" customWidth="1"/>
    <col min="3076" max="3076" width="12.25" style="46" customWidth="1"/>
    <col min="3077" max="3077" width="12.625" style="46" customWidth="1"/>
    <col min="3078" max="3078" width="13.625" style="46" customWidth="1"/>
    <col min="3079" max="3079" width="11.75" style="46" customWidth="1"/>
    <col min="3080" max="3080" width="13.25" style="46" customWidth="1"/>
    <col min="3081" max="3081" width="11.625" style="46" customWidth="1"/>
    <col min="3082" max="3082" width="12.625" style="46" customWidth="1"/>
    <col min="3083" max="3083" width="9.5" style="46" customWidth="1"/>
    <col min="3084" max="3084" width="10.75" style="46" customWidth="1"/>
    <col min="3085" max="3085" width="8" style="46" customWidth="1"/>
    <col min="3086" max="3087" width="9" style="46"/>
    <col min="3088" max="3088" width="9.375" style="46" customWidth="1"/>
    <col min="3089" max="3089" width="9" style="46"/>
    <col min="3090" max="3090" width="7.5" style="46" customWidth="1"/>
    <col min="3091" max="3091" width="9.875" style="46" customWidth="1"/>
    <col min="3092" max="3328" width="9" style="46"/>
    <col min="3329" max="3329" width="14.375" style="46" customWidth="1"/>
    <col min="3330" max="3330" width="11.875" style="46" customWidth="1"/>
    <col min="3331" max="3331" width="13.875" style="46" customWidth="1"/>
    <col min="3332" max="3332" width="12.25" style="46" customWidth="1"/>
    <col min="3333" max="3333" width="12.625" style="46" customWidth="1"/>
    <col min="3334" max="3334" width="13.625" style="46" customWidth="1"/>
    <col min="3335" max="3335" width="11.75" style="46" customWidth="1"/>
    <col min="3336" max="3336" width="13.25" style="46" customWidth="1"/>
    <col min="3337" max="3337" width="11.625" style="46" customWidth="1"/>
    <col min="3338" max="3338" width="12.625" style="46" customWidth="1"/>
    <col min="3339" max="3339" width="9.5" style="46" customWidth="1"/>
    <col min="3340" max="3340" width="10.75" style="46" customWidth="1"/>
    <col min="3341" max="3341" width="8" style="46" customWidth="1"/>
    <col min="3342" max="3343" width="9" style="46"/>
    <col min="3344" max="3344" width="9.375" style="46" customWidth="1"/>
    <col min="3345" max="3345" width="9" style="46"/>
    <col min="3346" max="3346" width="7.5" style="46" customWidth="1"/>
    <col min="3347" max="3347" width="9.875" style="46" customWidth="1"/>
    <col min="3348" max="3584" width="9" style="46"/>
    <col min="3585" max="3585" width="14.375" style="46" customWidth="1"/>
    <col min="3586" max="3586" width="11.875" style="46" customWidth="1"/>
    <col min="3587" max="3587" width="13.875" style="46" customWidth="1"/>
    <col min="3588" max="3588" width="12.25" style="46" customWidth="1"/>
    <col min="3589" max="3589" width="12.625" style="46" customWidth="1"/>
    <col min="3590" max="3590" width="13.625" style="46" customWidth="1"/>
    <col min="3591" max="3591" width="11.75" style="46" customWidth="1"/>
    <col min="3592" max="3592" width="13.25" style="46" customWidth="1"/>
    <col min="3593" max="3593" width="11.625" style="46" customWidth="1"/>
    <col min="3594" max="3594" width="12.625" style="46" customWidth="1"/>
    <col min="3595" max="3595" width="9.5" style="46" customWidth="1"/>
    <col min="3596" max="3596" width="10.75" style="46" customWidth="1"/>
    <col min="3597" max="3597" width="8" style="46" customWidth="1"/>
    <col min="3598" max="3599" width="9" style="46"/>
    <col min="3600" max="3600" width="9.375" style="46" customWidth="1"/>
    <col min="3601" max="3601" width="9" style="46"/>
    <col min="3602" max="3602" width="7.5" style="46" customWidth="1"/>
    <col min="3603" max="3603" width="9.875" style="46" customWidth="1"/>
    <col min="3604" max="3840" width="9" style="46"/>
    <col min="3841" max="3841" width="14.375" style="46" customWidth="1"/>
    <col min="3842" max="3842" width="11.875" style="46" customWidth="1"/>
    <col min="3843" max="3843" width="13.875" style="46" customWidth="1"/>
    <col min="3844" max="3844" width="12.25" style="46" customWidth="1"/>
    <col min="3845" max="3845" width="12.625" style="46" customWidth="1"/>
    <col min="3846" max="3846" width="13.625" style="46" customWidth="1"/>
    <col min="3847" max="3847" width="11.75" style="46" customWidth="1"/>
    <col min="3848" max="3848" width="13.25" style="46" customWidth="1"/>
    <col min="3849" max="3849" width="11.625" style="46" customWidth="1"/>
    <col min="3850" max="3850" width="12.625" style="46" customWidth="1"/>
    <col min="3851" max="3851" width="9.5" style="46" customWidth="1"/>
    <col min="3852" max="3852" width="10.75" style="46" customWidth="1"/>
    <col min="3853" max="3853" width="8" style="46" customWidth="1"/>
    <col min="3854" max="3855" width="9" style="46"/>
    <col min="3856" max="3856" width="9.375" style="46" customWidth="1"/>
    <col min="3857" max="3857" width="9" style="46"/>
    <col min="3858" max="3858" width="7.5" style="46" customWidth="1"/>
    <col min="3859" max="3859" width="9.875" style="46" customWidth="1"/>
    <col min="3860" max="4096" width="9" style="46"/>
    <col min="4097" max="4097" width="14.375" style="46" customWidth="1"/>
    <col min="4098" max="4098" width="11.875" style="46" customWidth="1"/>
    <col min="4099" max="4099" width="13.875" style="46" customWidth="1"/>
    <col min="4100" max="4100" width="12.25" style="46" customWidth="1"/>
    <col min="4101" max="4101" width="12.625" style="46" customWidth="1"/>
    <col min="4102" max="4102" width="13.625" style="46" customWidth="1"/>
    <col min="4103" max="4103" width="11.75" style="46" customWidth="1"/>
    <col min="4104" max="4104" width="13.25" style="46" customWidth="1"/>
    <col min="4105" max="4105" width="11.625" style="46" customWidth="1"/>
    <col min="4106" max="4106" width="12.625" style="46" customWidth="1"/>
    <col min="4107" max="4107" width="9.5" style="46" customWidth="1"/>
    <col min="4108" max="4108" width="10.75" style="46" customWidth="1"/>
    <col min="4109" max="4109" width="8" style="46" customWidth="1"/>
    <col min="4110" max="4111" width="9" style="46"/>
    <col min="4112" max="4112" width="9.375" style="46" customWidth="1"/>
    <col min="4113" max="4113" width="9" style="46"/>
    <col min="4114" max="4114" width="7.5" style="46" customWidth="1"/>
    <col min="4115" max="4115" width="9.875" style="46" customWidth="1"/>
    <col min="4116" max="4352" width="9" style="46"/>
    <col min="4353" max="4353" width="14.375" style="46" customWidth="1"/>
    <col min="4354" max="4354" width="11.875" style="46" customWidth="1"/>
    <col min="4355" max="4355" width="13.875" style="46" customWidth="1"/>
    <col min="4356" max="4356" width="12.25" style="46" customWidth="1"/>
    <col min="4357" max="4357" width="12.625" style="46" customWidth="1"/>
    <col min="4358" max="4358" width="13.625" style="46" customWidth="1"/>
    <col min="4359" max="4359" width="11.75" style="46" customWidth="1"/>
    <col min="4360" max="4360" width="13.25" style="46" customWidth="1"/>
    <col min="4361" max="4361" width="11.625" style="46" customWidth="1"/>
    <col min="4362" max="4362" width="12.625" style="46" customWidth="1"/>
    <col min="4363" max="4363" width="9.5" style="46" customWidth="1"/>
    <col min="4364" max="4364" width="10.75" style="46" customWidth="1"/>
    <col min="4365" max="4365" width="8" style="46" customWidth="1"/>
    <col min="4366" max="4367" width="9" style="46"/>
    <col min="4368" max="4368" width="9.375" style="46" customWidth="1"/>
    <col min="4369" max="4369" width="9" style="46"/>
    <col min="4370" max="4370" width="7.5" style="46" customWidth="1"/>
    <col min="4371" max="4371" width="9.875" style="46" customWidth="1"/>
    <col min="4372" max="4608" width="9" style="46"/>
    <col min="4609" max="4609" width="14.375" style="46" customWidth="1"/>
    <col min="4610" max="4610" width="11.875" style="46" customWidth="1"/>
    <col min="4611" max="4611" width="13.875" style="46" customWidth="1"/>
    <col min="4612" max="4612" width="12.25" style="46" customWidth="1"/>
    <col min="4613" max="4613" width="12.625" style="46" customWidth="1"/>
    <col min="4614" max="4614" width="13.625" style="46" customWidth="1"/>
    <col min="4615" max="4615" width="11.75" style="46" customWidth="1"/>
    <col min="4616" max="4616" width="13.25" style="46" customWidth="1"/>
    <col min="4617" max="4617" width="11.625" style="46" customWidth="1"/>
    <col min="4618" max="4618" width="12.625" style="46" customWidth="1"/>
    <col min="4619" max="4619" width="9.5" style="46" customWidth="1"/>
    <col min="4620" max="4620" width="10.75" style="46" customWidth="1"/>
    <col min="4621" max="4621" width="8" style="46" customWidth="1"/>
    <col min="4622" max="4623" width="9" style="46"/>
    <col min="4624" max="4624" width="9.375" style="46" customWidth="1"/>
    <col min="4625" max="4625" width="9" style="46"/>
    <col min="4626" max="4626" width="7.5" style="46" customWidth="1"/>
    <col min="4627" max="4627" width="9.875" style="46" customWidth="1"/>
    <col min="4628" max="4864" width="9" style="46"/>
    <col min="4865" max="4865" width="14.375" style="46" customWidth="1"/>
    <col min="4866" max="4866" width="11.875" style="46" customWidth="1"/>
    <col min="4867" max="4867" width="13.875" style="46" customWidth="1"/>
    <col min="4868" max="4868" width="12.25" style="46" customWidth="1"/>
    <col min="4869" max="4869" width="12.625" style="46" customWidth="1"/>
    <col min="4870" max="4870" width="13.625" style="46" customWidth="1"/>
    <col min="4871" max="4871" width="11.75" style="46" customWidth="1"/>
    <col min="4872" max="4872" width="13.25" style="46" customWidth="1"/>
    <col min="4873" max="4873" width="11.625" style="46" customWidth="1"/>
    <col min="4874" max="4874" width="12.625" style="46" customWidth="1"/>
    <col min="4875" max="4875" width="9.5" style="46" customWidth="1"/>
    <col min="4876" max="4876" width="10.75" style="46" customWidth="1"/>
    <col min="4877" max="4877" width="8" style="46" customWidth="1"/>
    <col min="4878" max="4879" width="9" style="46"/>
    <col min="4880" max="4880" width="9.375" style="46" customWidth="1"/>
    <col min="4881" max="4881" width="9" style="46"/>
    <col min="4882" max="4882" width="7.5" style="46" customWidth="1"/>
    <col min="4883" max="4883" width="9.875" style="46" customWidth="1"/>
    <col min="4884" max="5120" width="9" style="46"/>
    <col min="5121" max="5121" width="14.375" style="46" customWidth="1"/>
    <col min="5122" max="5122" width="11.875" style="46" customWidth="1"/>
    <col min="5123" max="5123" width="13.875" style="46" customWidth="1"/>
    <col min="5124" max="5124" width="12.25" style="46" customWidth="1"/>
    <col min="5125" max="5125" width="12.625" style="46" customWidth="1"/>
    <col min="5126" max="5126" width="13.625" style="46" customWidth="1"/>
    <col min="5127" max="5127" width="11.75" style="46" customWidth="1"/>
    <col min="5128" max="5128" width="13.25" style="46" customWidth="1"/>
    <col min="5129" max="5129" width="11.625" style="46" customWidth="1"/>
    <col min="5130" max="5130" width="12.625" style="46" customWidth="1"/>
    <col min="5131" max="5131" width="9.5" style="46" customWidth="1"/>
    <col min="5132" max="5132" width="10.75" style="46" customWidth="1"/>
    <col min="5133" max="5133" width="8" style="46" customWidth="1"/>
    <col min="5134" max="5135" width="9" style="46"/>
    <col min="5136" max="5136" width="9.375" style="46" customWidth="1"/>
    <col min="5137" max="5137" width="9" style="46"/>
    <col min="5138" max="5138" width="7.5" style="46" customWidth="1"/>
    <col min="5139" max="5139" width="9.875" style="46" customWidth="1"/>
    <col min="5140" max="5376" width="9" style="46"/>
    <col min="5377" max="5377" width="14.375" style="46" customWidth="1"/>
    <col min="5378" max="5378" width="11.875" style="46" customWidth="1"/>
    <col min="5379" max="5379" width="13.875" style="46" customWidth="1"/>
    <col min="5380" max="5380" width="12.25" style="46" customWidth="1"/>
    <col min="5381" max="5381" width="12.625" style="46" customWidth="1"/>
    <col min="5382" max="5382" width="13.625" style="46" customWidth="1"/>
    <col min="5383" max="5383" width="11.75" style="46" customWidth="1"/>
    <col min="5384" max="5384" width="13.25" style="46" customWidth="1"/>
    <col min="5385" max="5385" width="11.625" style="46" customWidth="1"/>
    <col min="5386" max="5386" width="12.625" style="46" customWidth="1"/>
    <col min="5387" max="5387" width="9.5" style="46" customWidth="1"/>
    <col min="5388" max="5388" width="10.75" style="46" customWidth="1"/>
    <col min="5389" max="5389" width="8" style="46" customWidth="1"/>
    <col min="5390" max="5391" width="9" style="46"/>
    <col min="5392" max="5392" width="9.375" style="46" customWidth="1"/>
    <col min="5393" max="5393" width="9" style="46"/>
    <col min="5394" max="5394" width="7.5" style="46" customWidth="1"/>
    <col min="5395" max="5395" width="9.875" style="46" customWidth="1"/>
    <col min="5396" max="5632" width="9" style="46"/>
    <col min="5633" max="5633" width="14.375" style="46" customWidth="1"/>
    <col min="5634" max="5634" width="11.875" style="46" customWidth="1"/>
    <col min="5635" max="5635" width="13.875" style="46" customWidth="1"/>
    <col min="5636" max="5636" width="12.25" style="46" customWidth="1"/>
    <col min="5637" max="5637" width="12.625" style="46" customWidth="1"/>
    <col min="5638" max="5638" width="13.625" style="46" customWidth="1"/>
    <col min="5639" max="5639" width="11.75" style="46" customWidth="1"/>
    <col min="5640" max="5640" width="13.25" style="46" customWidth="1"/>
    <col min="5641" max="5641" width="11.625" style="46" customWidth="1"/>
    <col min="5642" max="5642" width="12.625" style="46" customWidth="1"/>
    <col min="5643" max="5643" width="9.5" style="46" customWidth="1"/>
    <col min="5644" max="5644" width="10.75" style="46" customWidth="1"/>
    <col min="5645" max="5645" width="8" style="46" customWidth="1"/>
    <col min="5646" max="5647" width="9" style="46"/>
    <col min="5648" max="5648" width="9.375" style="46" customWidth="1"/>
    <col min="5649" max="5649" width="9" style="46"/>
    <col min="5650" max="5650" width="7.5" style="46" customWidth="1"/>
    <col min="5651" max="5651" width="9.875" style="46" customWidth="1"/>
    <col min="5652" max="5888" width="9" style="46"/>
    <col min="5889" max="5889" width="14.375" style="46" customWidth="1"/>
    <col min="5890" max="5890" width="11.875" style="46" customWidth="1"/>
    <col min="5891" max="5891" width="13.875" style="46" customWidth="1"/>
    <col min="5892" max="5892" width="12.25" style="46" customWidth="1"/>
    <col min="5893" max="5893" width="12.625" style="46" customWidth="1"/>
    <col min="5894" max="5894" width="13.625" style="46" customWidth="1"/>
    <col min="5895" max="5895" width="11.75" style="46" customWidth="1"/>
    <col min="5896" max="5896" width="13.25" style="46" customWidth="1"/>
    <col min="5897" max="5897" width="11.625" style="46" customWidth="1"/>
    <col min="5898" max="5898" width="12.625" style="46" customWidth="1"/>
    <col min="5899" max="5899" width="9.5" style="46" customWidth="1"/>
    <col min="5900" max="5900" width="10.75" style="46" customWidth="1"/>
    <col min="5901" max="5901" width="8" style="46" customWidth="1"/>
    <col min="5902" max="5903" width="9" style="46"/>
    <col min="5904" max="5904" width="9.375" style="46" customWidth="1"/>
    <col min="5905" max="5905" width="9" style="46"/>
    <col min="5906" max="5906" width="7.5" style="46" customWidth="1"/>
    <col min="5907" max="5907" width="9.875" style="46" customWidth="1"/>
    <col min="5908" max="6144" width="9" style="46"/>
    <col min="6145" max="6145" width="14.375" style="46" customWidth="1"/>
    <col min="6146" max="6146" width="11.875" style="46" customWidth="1"/>
    <col min="6147" max="6147" width="13.875" style="46" customWidth="1"/>
    <col min="6148" max="6148" width="12.25" style="46" customWidth="1"/>
    <col min="6149" max="6149" width="12.625" style="46" customWidth="1"/>
    <col min="6150" max="6150" width="13.625" style="46" customWidth="1"/>
    <col min="6151" max="6151" width="11.75" style="46" customWidth="1"/>
    <col min="6152" max="6152" width="13.25" style="46" customWidth="1"/>
    <col min="6153" max="6153" width="11.625" style="46" customWidth="1"/>
    <col min="6154" max="6154" width="12.625" style="46" customWidth="1"/>
    <col min="6155" max="6155" width="9.5" style="46" customWidth="1"/>
    <col min="6156" max="6156" width="10.75" style="46" customWidth="1"/>
    <col min="6157" max="6157" width="8" style="46" customWidth="1"/>
    <col min="6158" max="6159" width="9" style="46"/>
    <col min="6160" max="6160" width="9.375" style="46" customWidth="1"/>
    <col min="6161" max="6161" width="9" style="46"/>
    <col min="6162" max="6162" width="7.5" style="46" customWidth="1"/>
    <col min="6163" max="6163" width="9.875" style="46" customWidth="1"/>
    <col min="6164" max="6400" width="9" style="46"/>
    <col min="6401" max="6401" width="14.375" style="46" customWidth="1"/>
    <col min="6402" max="6402" width="11.875" style="46" customWidth="1"/>
    <col min="6403" max="6403" width="13.875" style="46" customWidth="1"/>
    <col min="6404" max="6404" width="12.25" style="46" customWidth="1"/>
    <col min="6405" max="6405" width="12.625" style="46" customWidth="1"/>
    <col min="6406" max="6406" width="13.625" style="46" customWidth="1"/>
    <col min="6407" max="6407" width="11.75" style="46" customWidth="1"/>
    <col min="6408" max="6408" width="13.25" style="46" customWidth="1"/>
    <col min="6409" max="6409" width="11.625" style="46" customWidth="1"/>
    <col min="6410" max="6410" width="12.625" style="46" customWidth="1"/>
    <col min="6411" max="6411" width="9.5" style="46" customWidth="1"/>
    <col min="6412" max="6412" width="10.75" style="46" customWidth="1"/>
    <col min="6413" max="6413" width="8" style="46" customWidth="1"/>
    <col min="6414" max="6415" width="9" style="46"/>
    <col min="6416" max="6416" width="9.375" style="46" customWidth="1"/>
    <col min="6417" max="6417" width="9" style="46"/>
    <col min="6418" max="6418" width="7.5" style="46" customWidth="1"/>
    <col min="6419" max="6419" width="9.875" style="46" customWidth="1"/>
    <col min="6420" max="6656" width="9" style="46"/>
    <col min="6657" max="6657" width="14.375" style="46" customWidth="1"/>
    <col min="6658" max="6658" width="11.875" style="46" customWidth="1"/>
    <col min="6659" max="6659" width="13.875" style="46" customWidth="1"/>
    <col min="6660" max="6660" width="12.25" style="46" customWidth="1"/>
    <col min="6661" max="6661" width="12.625" style="46" customWidth="1"/>
    <col min="6662" max="6662" width="13.625" style="46" customWidth="1"/>
    <col min="6663" max="6663" width="11.75" style="46" customWidth="1"/>
    <col min="6664" max="6664" width="13.25" style="46" customWidth="1"/>
    <col min="6665" max="6665" width="11.625" style="46" customWidth="1"/>
    <col min="6666" max="6666" width="12.625" style="46" customWidth="1"/>
    <col min="6667" max="6667" width="9.5" style="46" customWidth="1"/>
    <col min="6668" max="6668" width="10.75" style="46" customWidth="1"/>
    <col min="6669" max="6669" width="8" style="46" customWidth="1"/>
    <col min="6670" max="6671" width="9" style="46"/>
    <col min="6672" max="6672" width="9.375" style="46" customWidth="1"/>
    <col min="6673" max="6673" width="9" style="46"/>
    <col min="6674" max="6674" width="7.5" style="46" customWidth="1"/>
    <col min="6675" max="6675" width="9.875" style="46" customWidth="1"/>
    <col min="6676" max="6912" width="9" style="46"/>
    <col min="6913" max="6913" width="14.375" style="46" customWidth="1"/>
    <col min="6914" max="6914" width="11.875" style="46" customWidth="1"/>
    <col min="6915" max="6915" width="13.875" style="46" customWidth="1"/>
    <col min="6916" max="6916" width="12.25" style="46" customWidth="1"/>
    <col min="6917" max="6917" width="12.625" style="46" customWidth="1"/>
    <col min="6918" max="6918" width="13.625" style="46" customWidth="1"/>
    <col min="6919" max="6919" width="11.75" style="46" customWidth="1"/>
    <col min="6920" max="6920" width="13.25" style="46" customWidth="1"/>
    <col min="6921" max="6921" width="11.625" style="46" customWidth="1"/>
    <col min="6922" max="6922" width="12.625" style="46" customWidth="1"/>
    <col min="6923" max="6923" width="9.5" style="46" customWidth="1"/>
    <col min="6924" max="6924" width="10.75" style="46" customWidth="1"/>
    <col min="6925" max="6925" width="8" style="46" customWidth="1"/>
    <col min="6926" max="6927" width="9" style="46"/>
    <col min="6928" max="6928" width="9.375" style="46" customWidth="1"/>
    <col min="6929" max="6929" width="9" style="46"/>
    <col min="6930" max="6930" width="7.5" style="46" customWidth="1"/>
    <col min="6931" max="6931" width="9.875" style="46" customWidth="1"/>
    <col min="6932" max="7168" width="9" style="46"/>
    <col min="7169" max="7169" width="14.375" style="46" customWidth="1"/>
    <col min="7170" max="7170" width="11.875" style="46" customWidth="1"/>
    <col min="7171" max="7171" width="13.875" style="46" customWidth="1"/>
    <col min="7172" max="7172" width="12.25" style="46" customWidth="1"/>
    <col min="7173" max="7173" width="12.625" style="46" customWidth="1"/>
    <col min="7174" max="7174" width="13.625" style="46" customWidth="1"/>
    <col min="7175" max="7175" width="11.75" style="46" customWidth="1"/>
    <col min="7176" max="7176" width="13.25" style="46" customWidth="1"/>
    <col min="7177" max="7177" width="11.625" style="46" customWidth="1"/>
    <col min="7178" max="7178" width="12.625" style="46" customWidth="1"/>
    <col min="7179" max="7179" width="9.5" style="46" customWidth="1"/>
    <col min="7180" max="7180" width="10.75" style="46" customWidth="1"/>
    <col min="7181" max="7181" width="8" style="46" customWidth="1"/>
    <col min="7182" max="7183" width="9" style="46"/>
    <col min="7184" max="7184" width="9.375" style="46" customWidth="1"/>
    <col min="7185" max="7185" width="9" style="46"/>
    <col min="7186" max="7186" width="7.5" style="46" customWidth="1"/>
    <col min="7187" max="7187" width="9.875" style="46" customWidth="1"/>
    <col min="7188" max="7424" width="9" style="46"/>
    <col min="7425" max="7425" width="14.375" style="46" customWidth="1"/>
    <col min="7426" max="7426" width="11.875" style="46" customWidth="1"/>
    <col min="7427" max="7427" width="13.875" style="46" customWidth="1"/>
    <col min="7428" max="7428" width="12.25" style="46" customWidth="1"/>
    <col min="7429" max="7429" width="12.625" style="46" customWidth="1"/>
    <col min="7430" max="7430" width="13.625" style="46" customWidth="1"/>
    <col min="7431" max="7431" width="11.75" style="46" customWidth="1"/>
    <col min="7432" max="7432" width="13.25" style="46" customWidth="1"/>
    <col min="7433" max="7433" width="11.625" style="46" customWidth="1"/>
    <col min="7434" max="7434" width="12.625" style="46" customWidth="1"/>
    <col min="7435" max="7435" width="9.5" style="46" customWidth="1"/>
    <col min="7436" max="7436" width="10.75" style="46" customWidth="1"/>
    <col min="7437" max="7437" width="8" style="46" customWidth="1"/>
    <col min="7438" max="7439" width="9" style="46"/>
    <col min="7440" max="7440" width="9.375" style="46" customWidth="1"/>
    <col min="7441" max="7441" width="9" style="46"/>
    <col min="7442" max="7442" width="7.5" style="46" customWidth="1"/>
    <col min="7443" max="7443" width="9.875" style="46" customWidth="1"/>
    <col min="7444" max="7680" width="9" style="46"/>
    <col min="7681" max="7681" width="14.375" style="46" customWidth="1"/>
    <col min="7682" max="7682" width="11.875" style="46" customWidth="1"/>
    <col min="7683" max="7683" width="13.875" style="46" customWidth="1"/>
    <col min="7684" max="7684" width="12.25" style="46" customWidth="1"/>
    <col min="7685" max="7685" width="12.625" style="46" customWidth="1"/>
    <col min="7686" max="7686" width="13.625" style="46" customWidth="1"/>
    <col min="7687" max="7687" width="11.75" style="46" customWidth="1"/>
    <col min="7688" max="7688" width="13.25" style="46" customWidth="1"/>
    <col min="7689" max="7689" width="11.625" style="46" customWidth="1"/>
    <col min="7690" max="7690" width="12.625" style="46" customWidth="1"/>
    <col min="7691" max="7691" width="9.5" style="46" customWidth="1"/>
    <col min="7692" max="7692" width="10.75" style="46" customWidth="1"/>
    <col min="7693" max="7693" width="8" style="46" customWidth="1"/>
    <col min="7694" max="7695" width="9" style="46"/>
    <col min="7696" max="7696" width="9.375" style="46" customWidth="1"/>
    <col min="7697" max="7697" width="9" style="46"/>
    <col min="7698" max="7698" width="7.5" style="46" customWidth="1"/>
    <col min="7699" max="7699" width="9.875" style="46" customWidth="1"/>
    <col min="7700" max="7936" width="9" style="46"/>
    <col min="7937" max="7937" width="14.375" style="46" customWidth="1"/>
    <col min="7938" max="7938" width="11.875" style="46" customWidth="1"/>
    <col min="7939" max="7939" width="13.875" style="46" customWidth="1"/>
    <col min="7940" max="7940" width="12.25" style="46" customWidth="1"/>
    <col min="7941" max="7941" width="12.625" style="46" customWidth="1"/>
    <col min="7942" max="7942" width="13.625" style="46" customWidth="1"/>
    <col min="7943" max="7943" width="11.75" style="46" customWidth="1"/>
    <col min="7944" max="7944" width="13.25" style="46" customWidth="1"/>
    <col min="7945" max="7945" width="11.625" style="46" customWidth="1"/>
    <col min="7946" max="7946" width="12.625" style="46" customWidth="1"/>
    <col min="7947" max="7947" width="9.5" style="46" customWidth="1"/>
    <col min="7948" max="7948" width="10.75" style="46" customWidth="1"/>
    <col min="7949" max="7949" width="8" style="46" customWidth="1"/>
    <col min="7950" max="7951" width="9" style="46"/>
    <col min="7952" max="7952" width="9.375" style="46" customWidth="1"/>
    <col min="7953" max="7953" width="9" style="46"/>
    <col min="7954" max="7954" width="7.5" style="46" customWidth="1"/>
    <col min="7955" max="7955" width="9.875" style="46" customWidth="1"/>
    <col min="7956" max="8192" width="9" style="46"/>
    <col min="8193" max="8193" width="14.375" style="46" customWidth="1"/>
    <col min="8194" max="8194" width="11.875" style="46" customWidth="1"/>
    <col min="8195" max="8195" width="13.875" style="46" customWidth="1"/>
    <col min="8196" max="8196" width="12.25" style="46" customWidth="1"/>
    <col min="8197" max="8197" width="12.625" style="46" customWidth="1"/>
    <col min="8198" max="8198" width="13.625" style="46" customWidth="1"/>
    <col min="8199" max="8199" width="11.75" style="46" customWidth="1"/>
    <col min="8200" max="8200" width="13.25" style="46" customWidth="1"/>
    <col min="8201" max="8201" width="11.625" style="46" customWidth="1"/>
    <col min="8202" max="8202" width="12.625" style="46" customWidth="1"/>
    <col min="8203" max="8203" width="9.5" style="46" customWidth="1"/>
    <col min="8204" max="8204" width="10.75" style="46" customWidth="1"/>
    <col min="8205" max="8205" width="8" style="46" customWidth="1"/>
    <col min="8206" max="8207" width="9" style="46"/>
    <col min="8208" max="8208" width="9.375" style="46" customWidth="1"/>
    <col min="8209" max="8209" width="9" style="46"/>
    <col min="8210" max="8210" width="7.5" style="46" customWidth="1"/>
    <col min="8211" max="8211" width="9.875" style="46" customWidth="1"/>
    <col min="8212" max="8448" width="9" style="46"/>
    <col min="8449" max="8449" width="14.375" style="46" customWidth="1"/>
    <col min="8450" max="8450" width="11.875" style="46" customWidth="1"/>
    <col min="8451" max="8451" width="13.875" style="46" customWidth="1"/>
    <col min="8452" max="8452" width="12.25" style="46" customWidth="1"/>
    <col min="8453" max="8453" width="12.625" style="46" customWidth="1"/>
    <col min="8454" max="8454" width="13.625" style="46" customWidth="1"/>
    <col min="8455" max="8455" width="11.75" style="46" customWidth="1"/>
    <col min="8456" max="8456" width="13.25" style="46" customWidth="1"/>
    <col min="8457" max="8457" width="11.625" style="46" customWidth="1"/>
    <col min="8458" max="8458" width="12.625" style="46" customWidth="1"/>
    <col min="8459" max="8459" width="9.5" style="46" customWidth="1"/>
    <col min="8460" max="8460" width="10.75" style="46" customWidth="1"/>
    <col min="8461" max="8461" width="8" style="46" customWidth="1"/>
    <col min="8462" max="8463" width="9" style="46"/>
    <col min="8464" max="8464" width="9.375" style="46" customWidth="1"/>
    <col min="8465" max="8465" width="9" style="46"/>
    <col min="8466" max="8466" width="7.5" style="46" customWidth="1"/>
    <col min="8467" max="8467" width="9.875" style="46" customWidth="1"/>
    <col min="8468" max="8704" width="9" style="46"/>
    <col min="8705" max="8705" width="14.375" style="46" customWidth="1"/>
    <col min="8706" max="8706" width="11.875" style="46" customWidth="1"/>
    <col min="8707" max="8707" width="13.875" style="46" customWidth="1"/>
    <col min="8708" max="8708" width="12.25" style="46" customWidth="1"/>
    <col min="8709" max="8709" width="12.625" style="46" customWidth="1"/>
    <col min="8710" max="8710" width="13.625" style="46" customWidth="1"/>
    <col min="8711" max="8711" width="11.75" style="46" customWidth="1"/>
    <col min="8712" max="8712" width="13.25" style="46" customWidth="1"/>
    <col min="8713" max="8713" width="11.625" style="46" customWidth="1"/>
    <col min="8714" max="8714" width="12.625" style="46" customWidth="1"/>
    <col min="8715" max="8715" width="9.5" style="46" customWidth="1"/>
    <col min="8716" max="8716" width="10.75" style="46" customWidth="1"/>
    <col min="8717" max="8717" width="8" style="46" customWidth="1"/>
    <col min="8718" max="8719" width="9" style="46"/>
    <col min="8720" max="8720" width="9.375" style="46" customWidth="1"/>
    <col min="8721" max="8721" width="9" style="46"/>
    <col min="8722" max="8722" width="7.5" style="46" customWidth="1"/>
    <col min="8723" max="8723" width="9.875" style="46" customWidth="1"/>
    <col min="8724" max="8960" width="9" style="46"/>
    <col min="8961" max="8961" width="14.375" style="46" customWidth="1"/>
    <col min="8962" max="8962" width="11.875" style="46" customWidth="1"/>
    <col min="8963" max="8963" width="13.875" style="46" customWidth="1"/>
    <col min="8964" max="8964" width="12.25" style="46" customWidth="1"/>
    <col min="8965" max="8965" width="12.625" style="46" customWidth="1"/>
    <col min="8966" max="8966" width="13.625" style="46" customWidth="1"/>
    <col min="8967" max="8967" width="11.75" style="46" customWidth="1"/>
    <col min="8968" max="8968" width="13.25" style="46" customWidth="1"/>
    <col min="8969" max="8969" width="11.625" style="46" customWidth="1"/>
    <col min="8970" max="8970" width="12.625" style="46" customWidth="1"/>
    <col min="8971" max="8971" width="9.5" style="46" customWidth="1"/>
    <col min="8972" max="8972" width="10.75" style="46" customWidth="1"/>
    <col min="8973" max="8973" width="8" style="46" customWidth="1"/>
    <col min="8974" max="8975" width="9" style="46"/>
    <col min="8976" max="8976" width="9.375" style="46" customWidth="1"/>
    <col min="8977" max="8977" width="9" style="46"/>
    <col min="8978" max="8978" width="7.5" style="46" customWidth="1"/>
    <col min="8979" max="8979" width="9.875" style="46" customWidth="1"/>
    <col min="8980" max="9216" width="9" style="46"/>
    <col min="9217" max="9217" width="14.375" style="46" customWidth="1"/>
    <col min="9218" max="9218" width="11.875" style="46" customWidth="1"/>
    <col min="9219" max="9219" width="13.875" style="46" customWidth="1"/>
    <col min="9220" max="9220" width="12.25" style="46" customWidth="1"/>
    <col min="9221" max="9221" width="12.625" style="46" customWidth="1"/>
    <col min="9222" max="9222" width="13.625" style="46" customWidth="1"/>
    <col min="9223" max="9223" width="11.75" style="46" customWidth="1"/>
    <col min="9224" max="9224" width="13.25" style="46" customWidth="1"/>
    <col min="9225" max="9225" width="11.625" style="46" customWidth="1"/>
    <col min="9226" max="9226" width="12.625" style="46" customWidth="1"/>
    <col min="9227" max="9227" width="9.5" style="46" customWidth="1"/>
    <col min="9228" max="9228" width="10.75" style="46" customWidth="1"/>
    <col min="9229" max="9229" width="8" style="46" customWidth="1"/>
    <col min="9230" max="9231" width="9" style="46"/>
    <col min="9232" max="9232" width="9.375" style="46" customWidth="1"/>
    <col min="9233" max="9233" width="9" style="46"/>
    <col min="9234" max="9234" width="7.5" style="46" customWidth="1"/>
    <col min="9235" max="9235" width="9.875" style="46" customWidth="1"/>
    <col min="9236" max="9472" width="9" style="46"/>
    <col min="9473" max="9473" width="14.375" style="46" customWidth="1"/>
    <col min="9474" max="9474" width="11.875" style="46" customWidth="1"/>
    <col min="9475" max="9475" width="13.875" style="46" customWidth="1"/>
    <col min="9476" max="9476" width="12.25" style="46" customWidth="1"/>
    <col min="9477" max="9477" width="12.625" style="46" customWidth="1"/>
    <col min="9478" max="9478" width="13.625" style="46" customWidth="1"/>
    <col min="9479" max="9479" width="11.75" style="46" customWidth="1"/>
    <col min="9480" max="9480" width="13.25" style="46" customWidth="1"/>
    <col min="9481" max="9481" width="11.625" style="46" customWidth="1"/>
    <col min="9482" max="9482" width="12.625" style="46" customWidth="1"/>
    <col min="9483" max="9483" width="9.5" style="46" customWidth="1"/>
    <col min="9484" max="9484" width="10.75" style="46" customWidth="1"/>
    <col min="9485" max="9485" width="8" style="46" customWidth="1"/>
    <col min="9486" max="9487" width="9" style="46"/>
    <col min="9488" max="9488" width="9.375" style="46" customWidth="1"/>
    <col min="9489" max="9489" width="9" style="46"/>
    <col min="9490" max="9490" width="7.5" style="46" customWidth="1"/>
    <col min="9491" max="9491" width="9.875" style="46" customWidth="1"/>
    <col min="9492" max="9728" width="9" style="46"/>
    <col min="9729" max="9729" width="14.375" style="46" customWidth="1"/>
    <col min="9730" max="9730" width="11.875" style="46" customWidth="1"/>
    <col min="9731" max="9731" width="13.875" style="46" customWidth="1"/>
    <col min="9732" max="9732" width="12.25" style="46" customWidth="1"/>
    <col min="9733" max="9733" width="12.625" style="46" customWidth="1"/>
    <col min="9734" max="9734" width="13.625" style="46" customWidth="1"/>
    <col min="9735" max="9735" width="11.75" style="46" customWidth="1"/>
    <col min="9736" max="9736" width="13.25" style="46" customWidth="1"/>
    <col min="9737" max="9737" width="11.625" style="46" customWidth="1"/>
    <col min="9738" max="9738" width="12.625" style="46" customWidth="1"/>
    <col min="9739" max="9739" width="9.5" style="46" customWidth="1"/>
    <col min="9740" max="9740" width="10.75" style="46" customWidth="1"/>
    <col min="9741" max="9741" width="8" style="46" customWidth="1"/>
    <col min="9742" max="9743" width="9" style="46"/>
    <col min="9744" max="9744" width="9.375" style="46" customWidth="1"/>
    <col min="9745" max="9745" width="9" style="46"/>
    <col min="9746" max="9746" width="7.5" style="46" customWidth="1"/>
    <col min="9747" max="9747" width="9.875" style="46" customWidth="1"/>
    <col min="9748" max="9984" width="9" style="46"/>
    <col min="9985" max="9985" width="14.375" style="46" customWidth="1"/>
    <col min="9986" max="9986" width="11.875" style="46" customWidth="1"/>
    <col min="9987" max="9987" width="13.875" style="46" customWidth="1"/>
    <col min="9988" max="9988" width="12.25" style="46" customWidth="1"/>
    <col min="9989" max="9989" width="12.625" style="46" customWidth="1"/>
    <col min="9990" max="9990" width="13.625" style="46" customWidth="1"/>
    <col min="9991" max="9991" width="11.75" style="46" customWidth="1"/>
    <col min="9992" max="9992" width="13.25" style="46" customWidth="1"/>
    <col min="9993" max="9993" width="11.625" style="46" customWidth="1"/>
    <col min="9994" max="9994" width="12.625" style="46" customWidth="1"/>
    <col min="9995" max="9995" width="9.5" style="46" customWidth="1"/>
    <col min="9996" max="9996" width="10.75" style="46" customWidth="1"/>
    <col min="9997" max="9997" width="8" style="46" customWidth="1"/>
    <col min="9998" max="9999" width="9" style="46"/>
    <col min="10000" max="10000" width="9.375" style="46" customWidth="1"/>
    <col min="10001" max="10001" width="9" style="46"/>
    <col min="10002" max="10002" width="7.5" style="46" customWidth="1"/>
    <col min="10003" max="10003" width="9.875" style="46" customWidth="1"/>
    <col min="10004" max="10240" width="9" style="46"/>
    <col min="10241" max="10241" width="14.375" style="46" customWidth="1"/>
    <col min="10242" max="10242" width="11.875" style="46" customWidth="1"/>
    <col min="10243" max="10243" width="13.875" style="46" customWidth="1"/>
    <col min="10244" max="10244" width="12.25" style="46" customWidth="1"/>
    <col min="10245" max="10245" width="12.625" style="46" customWidth="1"/>
    <col min="10246" max="10246" width="13.625" style="46" customWidth="1"/>
    <col min="10247" max="10247" width="11.75" style="46" customWidth="1"/>
    <col min="10248" max="10248" width="13.25" style="46" customWidth="1"/>
    <col min="10249" max="10249" width="11.625" style="46" customWidth="1"/>
    <col min="10250" max="10250" width="12.625" style="46" customWidth="1"/>
    <col min="10251" max="10251" width="9.5" style="46" customWidth="1"/>
    <col min="10252" max="10252" width="10.75" style="46" customWidth="1"/>
    <col min="10253" max="10253" width="8" style="46" customWidth="1"/>
    <col min="10254" max="10255" width="9" style="46"/>
    <col min="10256" max="10256" width="9.375" style="46" customWidth="1"/>
    <col min="10257" max="10257" width="9" style="46"/>
    <col min="10258" max="10258" width="7.5" style="46" customWidth="1"/>
    <col min="10259" max="10259" width="9.875" style="46" customWidth="1"/>
    <col min="10260" max="10496" width="9" style="46"/>
    <col min="10497" max="10497" width="14.375" style="46" customWidth="1"/>
    <col min="10498" max="10498" width="11.875" style="46" customWidth="1"/>
    <col min="10499" max="10499" width="13.875" style="46" customWidth="1"/>
    <col min="10500" max="10500" width="12.25" style="46" customWidth="1"/>
    <col min="10501" max="10501" width="12.625" style="46" customWidth="1"/>
    <col min="10502" max="10502" width="13.625" style="46" customWidth="1"/>
    <col min="10503" max="10503" width="11.75" style="46" customWidth="1"/>
    <col min="10504" max="10504" width="13.25" style="46" customWidth="1"/>
    <col min="10505" max="10505" width="11.625" style="46" customWidth="1"/>
    <col min="10506" max="10506" width="12.625" style="46" customWidth="1"/>
    <col min="10507" max="10507" width="9.5" style="46" customWidth="1"/>
    <col min="10508" max="10508" width="10.75" style="46" customWidth="1"/>
    <col min="10509" max="10509" width="8" style="46" customWidth="1"/>
    <col min="10510" max="10511" width="9" style="46"/>
    <col min="10512" max="10512" width="9.375" style="46" customWidth="1"/>
    <col min="10513" max="10513" width="9" style="46"/>
    <col min="10514" max="10514" width="7.5" style="46" customWidth="1"/>
    <col min="10515" max="10515" width="9.875" style="46" customWidth="1"/>
    <col min="10516" max="10752" width="9" style="46"/>
    <col min="10753" max="10753" width="14.375" style="46" customWidth="1"/>
    <col min="10754" max="10754" width="11.875" style="46" customWidth="1"/>
    <col min="10755" max="10755" width="13.875" style="46" customWidth="1"/>
    <col min="10756" max="10756" width="12.25" style="46" customWidth="1"/>
    <col min="10757" max="10757" width="12.625" style="46" customWidth="1"/>
    <col min="10758" max="10758" width="13.625" style="46" customWidth="1"/>
    <col min="10759" max="10759" width="11.75" style="46" customWidth="1"/>
    <col min="10760" max="10760" width="13.25" style="46" customWidth="1"/>
    <col min="10761" max="10761" width="11.625" style="46" customWidth="1"/>
    <col min="10762" max="10762" width="12.625" style="46" customWidth="1"/>
    <col min="10763" max="10763" width="9.5" style="46" customWidth="1"/>
    <col min="10764" max="10764" width="10.75" style="46" customWidth="1"/>
    <col min="10765" max="10765" width="8" style="46" customWidth="1"/>
    <col min="10766" max="10767" width="9" style="46"/>
    <col min="10768" max="10768" width="9.375" style="46" customWidth="1"/>
    <col min="10769" max="10769" width="9" style="46"/>
    <col min="10770" max="10770" width="7.5" style="46" customWidth="1"/>
    <col min="10771" max="10771" width="9.875" style="46" customWidth="1"/>
    <col min="10772" max="11008" width="9" style="46"/>
    <col min="11009" max="11009" width="14.375" style="46" customWidth="1"/>
    <col min="11010" max="11010" width="11.875" style="46" customWidth="1"/>
    <col min="11011" max="11011" width="13.875" style="46" customWidth="1"/>
    <col min="11012" max="11012" width="12.25" style="46" customWidth="1"/>
    <col min="11013" max="11013" width="12.625" style="46" customWidth="1"/>
    <col min="11014" max="11014" width="13.625" style="46" customWidth="1"/>
    <col min="11015" max="11015" width="11.75" style="46" customWidth="1"/>
    <col min="11016" max="11016" width="13.25" style="46" customWidth="1"/>
    <col min="11017" max="11017" width="11.625" style="46" customWidth="1"/>
    <col min="11018" max="11018" width="12.625" style="46" customWidth="1"/>
    <col min="11019" max="11019" width="9.5" style="46" customWidth="1"/>
    <col min="11020" max="11020" width="10.75" style="46" customWidth="1"/>
    <col min="11021" max="11021" width="8" style="46" customWidth="1"/>
    <col min="11022" max="11023" width="9" style="46"/>
    <col min="11024" max="11024" width="9.375" style="46" customWidth="1"/>
    <col min="11025" max="11025" width="9" style="46"/>
    <col min="11026" max="11026" width="7.5" style="46" customWidth="1"/>
    <col min="11027" max="11027" width="9.875" style="46" customWidth="1"/>
    <col min="11028" max="11264" width="9" style="46"/>
    <col min="11265" max="11265" width="14.375" style="46" customWidth="1"/>
    <col min="11266" max="11266" width="11.875" style="46" customWidth="1"/>
    <col min="11267" max="11267" width="13.875" style="46" customWidth="1"/>
    <col min="11268" max="11268" width="12.25" style="46" customWidth="1"/>
    <col min="11269" max="11269" width="12.625" style="46" customWidth="1"/>
    <col min="11270" max="11270" width="13.625" style="46" customWidth="1"/>
    <col min="11271" max="11271" width="11.75" style="46" customWidth="1"/>
    <col min="11272" max="11272" width="13.25" style="46" customWidth="1"/>
    <col min="11273" max="11273" width="11.625" style="46" customWidth="1"/>
    <col min="11274" max="11274" width="12.625" style="46" customWidth="1"/>
    <col min="11275" max="11275" width="9.5" style="46" customWidth="1"/>
    <col min="11276" max="11276" width="10.75" style="46" customWidth="1"/>
    <col min="11277" max="11277" width="8" style="46" customWidth="1"/>
    <col min="11278" max="11279" width="9" style="46"/>
    <col min="11280" max="11280" width="9.375" style="46" customWidth="1"/>
    <col min="11281" max="11281" width="9" style="46"/>
    <col min="11282" max="11282" width="7.5" style="46" customWidth="1"/>
    <col min="11283" max="11283" width="9.875" style="46" customWidth="1"/>
    <col min="11284" max="11520" width="9" style="46"/>
    <col min="11521" max="11521" width="14.375" style="46" customWidth="1"/>
    <col min="11522" max="11522" width="11.875" style="46" customWidth="1"/>
    <col min="11523" max="11523" width="13.875" style="46" customWidth="1"/>
    <col min="11524" max="11524" width="12.25" style="46" customWidth="1"/>
    <col min="11525" max="11525" width="12.625" style="46" customWidth="1"/>
    <col min="11526" max="11526" width="13.625" style="46" customWidth="1"/>
    <col min="11527" max="11527" width="11.75" style="46" customWidth="1"/>
    <col min="11528" max="11528" width="13.25" style="46" customWidth="1"/>
    <col min="11529" max="11529" width="11.625" style="46" customWidth="1"/>
    <col min="11530" max="11530" width="12.625" style="46" customWidth="1"/>
    <col min="11531" max="11531" width="9.5" style="46" customWidth="1"/>
    <col min="11532" max="11532" width="10.75" style="46" customWidth="1"/>
    <col min="11533" max="11533" width="8" style="46" customWidth="1"/>
    <col min="11534" max="11535" width="9" style="46"/>
    <col min="11536" max="11536" width="9.375" style="46" customWidth="1"/>
    <col min="11537" max="11537" width="9" style="46"/>
    <col min="11538" max="11538" width="7.5" style="46" customWidth="1"/>
    <col min="11539" max="11539" width="9.875" style="46" customWidth="1"/>
    <col min="11540" max="11776" width="9" style="46"/>
    <col min="11777" max="11777" width="14.375" style="46" customWidth="1"/>
    <col min="11778" max="11778" width="11.875" style="46" customWidth="1"/>
    <col min="11779" max="11779" width="13.875" style="46" customWidth="1"/>
    <col min="11780" max="11780" width="12.25" style="46" customWidth="1"/>
    <col min="11781" max="11781" width="12.625" style="46" customWidth="1"/>
    <col min="11782" max="11782" width="13.625" style="46" customWidth="1"/>
    <col min="11783" max="11783" width="11.75" style="46" customWidth="1"/>
    <col min="11784" max="11784" width="13.25" style="46" customWidth="1"/>
    <col min="11785" max="11785" width="11.625" style="46" customWidth="1"/>
    <col min="11786" max="11786" width="12.625" style="46" customWidth="1"/>
    <col min="11787" max="11787" width="9.5" style="46" customWidth="1"/>
    <col min="11788" max="11788" width="10.75" style="46" customWidth="1"/>
    <col min="11789" max="11789" width="8" style="46" customWidth="1"/>
    <col min="11790" max="11791" width="9" style="46"/>
    <col min="11792" max="11792" width="9.375" style="46" customWidth="1"/>
    <col min="11793" max="11793" width="9" style="46"/>
    <col min="11794" max="11794" width="7.5" style="46" customWidth="1"/>
    <col min="11795" max="11795" width="9.875" style="46" customWidth="1"/>
    <col min="11796" max="12032" width="9" style="46"/>
    <col min="12033" max="12033" width="14.375" style="46" customWidth="1"/>
    <col min="12034" max="12034" width="11.875" style="46" customWidth="1"/>
    <col min="12035" max="12035" width="13.875" style="46" customWidth="1"/>
    <col min="12036" max="12036" width="12.25" style="46" customWidth="1"/>
    <col min="12037" max="12037" width="12.625" style="46" customWidth="1"/>
    <col min="12038" max="12038" width="13.625" style="46" customWidth="1"/>
    <col min="12039" max="12039" width="11.75" style="46" customWidth="1"/>
    <col min="12040" max="12040" width="13.25" style="46" customWidth="1"/>
    <col min="12041" max="12041" width="11.625" style="46" customWidth="1"/>
    <col min="12042" max="12042" width="12.625" style="46" customWidth="1"/>
    <col min="12043" max="12043" width="9.5" style="46" customWidth="1"/>
    <col min="12044" max="12044" width="10.75" style="46" customWidth="1"/>
    <col min="12045" max="12045" width="8" style="46" customWidth="1"/>
    <col min="12046" max="12047" width="9" style="46"/>
    <col min="12048" max="12048" width="9.375" style="46" customWidth="1"/>
    <col min="12049" max="12049" width="9" style="46"/>
    <col min="12050" max="12050" width="7.5" style="46" customWidth="1"/>
    <col min="12051" max="12051" width="9.875" style="46" customWidth="1"/>
    <col min="12052" max="12288" width="9" style="46"/>
    <col min="12289" max="12289" width="14.375" style="46" customWidth="1"/>
    <col min="12290" max="12290" width="11.875" style="46" customWidth="1"/>
    <col min="12291" max="12291" width="13.875" style="46" customWidth="1"/>
    <col min="12292" max="12292" width="12.25" style="46" customWidth="1"/>
    <col min="12293" max="12293" width="12.625" style="46" customWidth="1"/>
    <col min="12294" max="12294" width="13.625" style="46" customWidth="1"/>
    <col min="12295" max="12295" width="11.75" style="46" customWidth="1"/>
    <col min="12296" max="12296" width="13.25" style="46" customWidth="1"/>
    <col min="12297" max="12297" width="11.625" style="46" customWidth="1"/>
    <col min="12298" max="12298" width="12.625" style="46" customWidth="1"/>
    <col min="12299" max="12299" width="9.5" style="46" customWidth="1"/>
    <col min="12300" max="12300" width="10.75" style="46" customWidth="1"/>
    <col min="12301" max="12301" width="8" style="46" customWidth="1"/>
    <col min="12302" max="12303" width="9" style="46"/>
    <col min="12304" max="12304" width="9.375" style="46" customWidth="1"/>
    <col min="12305" max="12305" width="9" style="46"/>
    <col min="12306" max="12306" width="7.5" style="46" customWidth="1"/>
    <col min="12307" max="12307" width="9.875" style="46" customWidth="1"/>
    <col min="12308" max="12544" width="9" style="46"/>
    <col min="12545" max="12545" width="14.375" style="46" customWidth="1"/>
    <col min="12546" max="12546" width="11.875" style="46" customWidth="1"/>
    <col min="12547" max="12547" width="13.875" style="46" customWidth="1"/>
    <col min="12548" max="12548" width="12.25" style="46" customWidth="1"/>
    <col min="12549" max="12549" width="12.625" style="46" customWidth="1"/>
    <col min="12550" max="12550" width="13.625" style="46" customWidth="1"/>
    <col min="12551" max="12551" width="11.75" style="46" customWidth="1"/>
    <col min="12552" max="12552" width="13.25" style="46" customWidth="1"/>
    <col min="12553" max="12553" width="11.625" style="46" customWidth="1"/>
    <col min="12554" max="12554" width="12.625" style="46" customWidth="1"/>
    <col min="12555" max="12555" width="9.5" style="46" customWidth="1"/>
    <col min="12556" max="12556" width="10.75" style="46" customWidth="1"/>
    <col min="12557" max="12557" width="8" style="46" customWidth="1"/>
    <col min="12558" max="12559" width="9" style="46"/>
    <col min="12560" max="12560" width="9.375" style="46" customWidth="1"/>
    <col min="12561" max="12561" width="9" style="46"/>
    <col min="12562" max="12562" width="7.5" style="46" customWidth="1"/>
    <col min="12563" max="12563" width="9.875" style="46" customWidth="1"/>
    <col min="12564" max="12800" width="9" style="46"/>
    <col min="12801" max="12801" width="14.375" style="46" customWidth="1"/>
    <col min="12802" max="12802" width="11.875" style="46" customWidth="1"/>
    <col min="12803" max="12803" width="13.875" style="46" customWidth="1"/>
    <col min="12804" max="12804" width="12.25" style="46" customWidth="1"/>
    <col min="12805" max="12805" width="12.625" style="46" customWidth="1"/>
    <col min="12806" max="12806" width="13.625" style="46" customWidth="1"/>
    <col min="12807" max="12807" width="11.75" style="46" customWidth="1"/>
    <col min="12808" max="12808" width="13.25" style="46" customWidth="1"/>
    <col min="12809" max="12809" width="11.625" style="46" customWidth="1"/>
    <col min="12810" max="12810" width="12.625" style="46" customWidth="1"/>
    <col min="12811" max="12811" width="9.5" style="46" customWidth="1"/>
    <col min="12812" max="12812" width="10.75" style="46" customWidth="1"/>
    <col min="12813" max="12813" width="8" style="46" customWidth="1"/>
    <col min="12814" max="12815" width="9" style="46"/>
    <col min="12816" max="12816" width="9.375" style="46" customWidth="1"/>
    <col min="12817" max="12817" width="9" style="46"/>
    <col min="12818" max="12818" width="7.5" style="46" customWidth="1"/>
    <col min="12819" max="12819" width="9.875" style="46" customWidth="1"/>
    <col min="12820" max="13056" width="9" style="46"/>
    <col min="13057" max="13057" width="14.375" style="46" customWidth="1"/>
    <col min="13058" max="13058" width="11.875" style="46" customWidth="1"/>
    <col min="13059" max="13059" width="13.875" style="46" customWidth="1"/>
    <col min="13060" max="13060" width="12.25" style="46" customWidth="1"/>
    <col min="13061" max="13061" width="12.625" style="46" customWidth="1"/>
    <col min="13062" max="13062" width="13.625" style="46" customWidth="1"/>
    <col min="13063" max="13063" width="11.75" style="46" customWidth="1"/>
    <col min="13064" max="13064" width="13.25" style="46" customWidth="1"/>
    <col min="13065" max="13065" width="11.625" style="46" customWidth="1"/>
    <col min="13066" max="13066" width="12.625" style="46" customWidth="1"/>
    <col min="13067" max="13067" width="9.5" style="46" customWidth="1"/>
    <col min="13068" max="13068" width="10.75" style="46" customWidth="1"/>
    <col min="13069" max="13069" width="8" style="46" customWidth="1"/>
    <col min="13070" max="13071" width="9" style="46"/>
    <col min="13072" max="13072" width="9.375" style="46" customWidth="1"/>
    <col min="13073" max="13073" width="9" style="46"/>
    <col min="13074" max="13074" width="7.5" style="46" customWidth="1"/>
    <col min="13075" max="13075" width="9.875" style="46" customWidth="1"/>
    <col min="13076" max="13312" width="9" style="46"/>
    <col min="13313" max="13313" width="14.375" style="46" customWidth="1"/>
    <col min="13314" max="13314" width="11.875" style="46" customWidth="1"/>
    <col min="13315" max="13315" width="13.875" style="46" customWidth="1"/>
    <col min="13316" max="13316" width="12.25" style="46" customWidth="1"/>
    <col min="13317" max="13317" width="12.625" style="46" customWidth="1"/>
    <col min="13318" max="13318" width="13.625" style="46" customWidth="1"/>
    <col min="13319" max="13319" width="11.75" style="46" customWidth="1"/>
    <col min="13320" max="13320" width="13.25" style="46" customWidth="1"/>
    <col min="13321" max="13321" width="11.625" style="46" customWidth="1"/>
    <col min="13322" max="13322" width="12.625" style="46" customWidth="1"/>
    <col min="13323" max="13323" width="9.5" style="46" customWidth="1"/>
    <col min="13324" max="13324" width="10.75" style="46" customWidth="1"/>
    <col min="13325" max="13325" width="8" style="46" customWidth="1"/>
    <col min="13326" max="13327" width="9" style="46"/>
    <col min="13328" max="13328" width="9.375" style="46" customWidth="1"/>
    <col min="13329" max="13329" width="9" style="46"/>
    <col min="13330" max="13330" width="7.5" style="46" customWidth="1"/>
    <col min="13331" max="13331" width="9.875" style="46" customWidth="1"/>
    <col min="13332" max="13568" width="9" style="46"/>
    <col min="13569" max="13569" width="14.375" style="46" customWidth="1"/>
    <col min="13570" max="13570" width="11.875" style="46" customWidth="1"/>
    <col min="13571" max="13571" width="13.875" style="46" customWidth="1"/>
    <col min="13572" max="13572" width="12.25" style="46" customWidth="1"/>
    <col min="13573" max="13573" width="12.625" style="46" customWidth="1"/>
    <col min="13574" max="13574" width="13.625" style="46" customWidth="1"/>
    <col min="13575" max="13575" width="11.75" style="46" customWidth="1"/>
    <col min="13576" max="13576" width="13.25" style="46" customWidth="1"/>
    <col min="13577" max="13577" width="11.625" style="46" customWidth="1"/>
    <col min="13578" max="13578" width="12.625" style="46" customWidth="1"/>
    <col min="13579" max="13579" width="9.5" style="46" customWidth="1"/>
    <col min="13580" max="13580" width="10.75" style="46" customWidth="1"/>
    <col min="13581" max="13581" width="8" style="46" customWidth="1"/>
    <col min="13582" max="13583" width="9" style="46"/>
    <col min="13584" max="13584" width="9.375" style="46" customWidth="1"/>
    <col min="13585" max="13585" width="9" style="46"/>
    <col min="13586" max="13586" width="7.5" style="46" customWidth="1"/>
    <col min="13587" max="13587" width="9.875" style="46" customWidth="1"/>
    <col min="13588" max="13824" width="9" style="46"/>
    <col min="13825" max="13825" width="14.375" style="46" customWidth="1"/>
    <col min="13826" max="13826" width="11.875" style="46" customWidth="1"/>
    <col min="13827" max="13827" width="13.875" style="46" customWidth="1"/>
    <col min="13828" max="13828" width="12.25" style="46" customWidth="1"/>
    <col min="13829" max="13829" width="12.625" style="46" customWidth="1"/>
    <col min="13830" max="13830" width="13.625" style="46" customWidth="1"/>
    <col min="13831" max="13831" width="11.75" style="46" customWidth="1"/>
    <col min="13832" max="13832" width="13.25" style="46" customWidth="1"/>
    <col min="13833" max="13833" width="11.625" style="46" customWidth="1"/>
    <col min="13834" max="13834" width="12.625" style="46" customWidth="1"/>
    <col min="13835" max="13835" width="9.5" style="46" customWidth="1"/>
    <col min="13836" max="13836" width="10.75" style="46" customWidth="1"/>
    <col min="13837" max="13837" width="8" style="46" customWidth="1"/>
    <col min="13838" max="13839" width="9" style="46"/>
    <col min="13840" max="13840" width="9.375" style="46" customWidth="1"/>
    <col min="13841" max="13841" width="9" style="46"/>
    <col min="13842" max="13842" width="7.5" style="46" customWidth="1"/>
    <col min="13843" max="13843" width="9.875" style="46" customWidth="1"/>
    <col min="13844" max="14080" width="9" style="46"/>
    <col min="14081" max="14081" width="14.375" style="46" customWidth="1"/>
    <col min="14082" max="14082" width="11.875" style="46" customWidth="1"/>
    <col min="14083" max="14083" width="13.875" style="46" customWidth="1"/>
    <col min="14084" max="14084" width="12.25" style="46" customWidth="1"/>
    <col min="14085" max="14085" width="12.625" style="46" customWidth="1"/>
    <col min="14086" max="14086" width="13.625" style="46" customWidth="1"/>
    <col min="14087" max="14087" width="11.75" style="46" customWidth="1"/>
    <col min="14088" max="14088" width="13.25" style="46" customWidth="1"/>
    <col min="14089" max="14089" width="11.625" style="46" customWidth="1"/>
    <col min="14090" max="14090" width="12.625" style="46" customWidth="1"/>
    <col min="14091" max="14091" width="9.5" style="46" customWidth="1"/>
    <col min="14092" max="14092" width="10.75" style="46" customWidth="1"/>
    <col min="14093" max="14093" width="8" style="46" customWidth="1"/>
    <col min="14094" max="14095" width="9" style="46"/>
    <col min="14096" max="14096" width="9.375" style="46" customWidth="1"/>
    <col min="14097" max="14097" width="9" style="46"/>
    <col min="14098" max="14098" width="7.5" style="46" customWidth="1"/>
    <col min="14099" max="14099" width="9.875" style="46" customWidth="1"/>
    <col min="14100" max="14336" width="9" style="46"/>
    <col min="14337" max="14337" width="14.375" style="46" customWidth="1"/>
    <col min="14338" max="14338" width="11.875" style="46" customWidth="1"/>
    <col min="14339" max="14339" width="13.875" style="46" customWidth="1"/>
    <col min="14340" max="14340" width="12.25" style="46" customWidth="1"/>
    <col min="14341" max="14341" width="12.625" style="46" customWidth="1"/>
    <col min="14342" max="14342" width="13.625" style="46" customWidth="1"/>
    <col min="14343" max="14343" width="11.75" style="46" customWidth="1"/>
    <col min="14344" max="14344" width="13.25" style="46" customWidth="1"/>
    <col min="14345" max="14345" width="11.625" style="46" customWidth="1"/>
    <col min="14346" max="14346" width="12.625" style="46" customWidth="1"/>
    <col min="14347" max="14347" width="9.5" style="46" customWidth="1"/>
    <col min="14348" max="14348" width="10.75" style="46" customWidth="1"/>
    <col min="14349" max="14349" width="8" style="46" customWidth="1"/>
    <col min="14350" max="14351" width="9" style="46"/>
    <col min="14352" max="14352" width="9.375" style="46" customWidth="1"/>
    <col min="14353" max="14353" width="9" style="46"/>
    <col min="14354" max="14354" width="7.5" style="46" customWidth="1"/>
    <col min="14355" max="14355" width="9.875" style="46" customWidth="1"/>
    <col min="14356" max="14592" width="9" style="46"/>
    <col min="14593" max="14593" width="14.375" style="46" customWidth="1"/>
    <col min="14594" max="14594" width="11.875" style="46" customWidth="1"/>
    <col min="14595" max="14595" width="13.875" style="46" customWidth="1"/>
    <col min="14596" max="14596" width="12.25" style="46" customWidth="1"/>
    <col min="14597" max="14597" width="12.625" style="46" customWidth="1"/>
    <col min="14598" max="14598" width="13.625" style="46" customWidth="1"/>
    <col min="14599" max="14599" width="11.75" style="46" customWidth="1"/>
    <col min="14600" max="14600" width="13.25" style="46" customWidth="1"/>
    <col min="14601" max="14601" width="11.625" style="46" customWidth="1"/>
    <col min="14602" max="14602" width="12.625" style="46" customWidth="1"/>
    <col min="14603" max="14603" width="9.5" style="46" customWidth="1"/>
    <col min="14604" max="14604" width="10.75" style="46" customWidth="1"/>
    <col min="14605" max="14605" width="8" style="46" customWidth="1"/>
    <col min="14606" max="14607" width="9" style="46"/>
    <col min="14608" max="14608" width="9.375" style="46" customWidth="1"/>
    <col min="14609" max="14609" width="9" style="46"/>
    <col min="14610" max="14610" width="7.5" style="46" customWidth="1"/>
    <col min="14611" max="14611" width="9.875" style="46" customWidth="1"/>
    <col min="14612" max="14848" width="9" style="46"/>
    <col min="14849" max="14849" width="14.375" style="46" customWidth="1"/>
    <col min="14850" max="14850" width="11.875" style="46" customWidth="1"/>
    <col min="14851" max="14851" width="13.875" style="46" customWidth="1"/>
    <col min="14852" max="14852" width="12.25" style="46" customWidth="1"/>
    <col min="14853" max="14853" width="12.625" style="46" customWidth="1"/>
    <col min="14854" max="14854" width="13.625" style="46" customWidth="1"/>
    <col min="14855" max="14855" width="11.75" style="46" customWidth="1"/>
    <col min="14856" max="14856" width="13.25" style="46" customWidth="1"/>
    <col min="14857" max="14857" width="11.625" style="46" customWidth="1"/>
    <col min="14858" max="14858" width="12.625" style="46" customWidth="1"/>
    <col min="14859" max="14859" width="9.5" style="46" customWidth="1"/>
    <col min="14860" max="14860" width="10.75" style="46" customWidth="1"/>
    <col min="14861" max="14861" width="8" style="46" customWidth="1"/>
    <col min="14862" max="14863" width="9" style="46"/>
    <col min="14864" max="14864" width="9.375" style="46" customWidth="1"/>
    <col min="14865" max="14865" width="9" style="46"/>
    <col min="14866" max="14866" width="7.5" style="46" customWidth="1"/>
    <col min="14867" max="14867" width="9.875" style="46" customWidth="1"/>
    <col min="14868" max="15104" width="9" style="46"/>
    <col min="15105" max="15105" width="14.375" style="46" customWidth="1"/>
    <col min="15106" max="15106" width="11.875" style="46" customWidth="1"/>
    <col min="15107" max="15107" width="13.875" style="46" customWidth="1"/>
    <col min="15108" max="15108" width="12.25" style="46" customWidth="1"/>
    <col min="15109" max="15109" width="12.625" style="46" customWidth="1"/>
    <col min="15110" max="15110" width="13.625" style="46" customWidth="1"/>
    <col min="15111" max="15111" width="11.75" style="46" customWidth="1"/>
    <col min="15112" max="15112" width="13.25" style="46" customWidth="1"/>
    <col min="15113" max="15113" width="11.625" style="46" customWidth="1"/>
    <col min="15114" max="15114" width="12.625" style="46" customWidth="1"/>
    <col min="15115" max="15115" width="9.5" style="46" customWidth="1"/>
    <col min="15116" max="15116" width="10.75" style="46" customWidth="1"/>
    <col min="15117" max="15117" width="8" style="46" customWidth="1"/>
    <col min="15118" max="15119" width="9" style="46"/>
    <col min="15120" max="15120" width="9.375" style="46" customWidth="1"/>
    <col min="15121" max="15121" width="9" style="46"/>
    <col min="15122" max="15122" width="7.5" style="46" customWidth="1"/>
    <col min="15123" max="15123" width="9.875" style="46" customWidth="1"/>
    <col min="15124" max="15360" width="9" style="46"/>
    <col min="15361" max="15361" width="14.375" style="46" customWidth="1"/>
    <col min="15362" max="15362" width="11.875" style="46" customWidth="1"/>
    <col min="15363" max="15363" width="13.875" style="46" customWidth="1"/>
    <col min="15364" max="15364" width="12.25" style="46" customWidth="1"/>
    <col min="15365" max="15365" width="12.625" style="46" customWidth="1"/>
    <col min="15366" max="15366" width="13.625" style="46" customWidth="1"/>
    <col min="15367" max="15367" width="11.75" style="46" customWidth="1"/>
    <col min="15368" max="15368" width="13.25" style="46" customWidth="1"/>
    <col min="15369" max="15369" width="11.625" style="46" customWidth="1"/>
    <col min="15370" max="15370" width="12.625" style="46" customWidth="1"/>
    <col min="15371" max="15371" width="9.5" style="46" customWidth="1"/>
    <col min="15372" max="15372" width="10.75" style="46" customWidth="1"/>
    <col min="15373" max="15373" width="8" style="46" customWidth="1"/>
    <col min="15374" max="15375" width="9" style="46"/>
    <col min="15376" max="15376" width="9.375" style="46" customWidth="1"/>
    <col min="15377" max="15377" width="9" style="46"/>
    <col min="15378" max="15378" width="7.5" style="46" customWidth="1"/>
    <col min="15379" max="15379" width="9.875" style="46" customWidth="1"/>
    <col min="15380" max="15616" width="9" style="46"/>
    <col min="15617" max="15617" width="14.375" style="46" customWidth="1"/>
    <col min="15618" max="15618" width="11.875" style="46" customWidth="1"/>
    <col min="15619" max="15619" width="13.875" style="46" customWidth="1"/>
    <col min="15620" max="15620" width="12.25" style="46" customWidth="1"/>
    <col min="15621" max="15621" width="12.625" style="46" customWidth="1"/>
    <col min="15622" max="15622" width="13.625" style="46" customWidth="1"/>
    <col min="15623" max="15623" width="11.75" style="46" customWidth="1"/>
    <col min="15624" max="15624" width="13.25" style="46" customWidth="1"/>
    <col min="15625" max="15625" width="11.625" style="46" customWidth="1"/>
    <col min="15626" max="15626" width="12.625" style="46" customWidth="1"/>
    <col min="15627" max="15627" width="9.5" style="46" customWidth="1"/>
    <col min="15628" max="15628" width="10.75" style="46" customWidth="1"/>
    <col min="15629" max="15629" width="8" style="46" customWidth="1"/>
    <col min="15630" max="15631" width="9" style="46"/>
    <col min="15632" max="15632" width="9.375" style="46" customWidth="1"/>
    <col min="15633" max="15633" width="9" style="46"/>
    <col min="15634" max="15634" width="7.5" style="46" customWidth="1"/>
    <col min="15635" max="15635" width="9.875" style="46" customWidth="1"/>
    <col min="15636" max="15872" width="9" style="46"/>
    <col min="15873" max="15873" width="14.375" style="46" customWidth="1"/>
    <col min="15874" max="15874" width="11.875" style="46" customWidth="1"/>
    <col min="15875" max="15875" width="13.875" style="46" customWidth="1"/>
    <col min="15876" max="15876" width="12.25" style="46" customWidth="1"/>
    <col min="15877" max="15877" width="12.625" style="46" customWidth="1"/>
    <col min="15878" max="15878" width="13.625" style="46" customWidth="1"/>
    <col min="15879" max="15879" width="11.75" style="46" customWidth="1"/>
    <col min="15880" max="15880" width="13.25" style="46" customWidth="1"/>
    <col min="15881" max="15881" width="11.625" style="46" customWidth="1"/>
    <col min="15882" max="15882" width="12.625" style="46" customWidth="1"/>
    <col min="15883" max="15883" width="9.5" style="46" customWidth="1"/>
    <col min="15884" max="15884" width="10.75" style="46" customWidth="1"/>
    <col min="15885" max="15885" width="8" style="46" customWidth="1"/>
    <col min="15886" max="15887" width="9" style="46"/>
    <col min="15888" max="15888" width="9.375" style="46" customWidth="1"/>
    <col min="15889" max="15889" width="9" style="46"/>
    <col min="15890" max="15890" width="7.5" style="46" customWidth="1"/>
    <col min="15891" max="15891" width="9.875" style="46" customWidth="1"/>
    <col min="15892" max="16128" width="9" style="46"/>
    <col min="16129" max="16129" width="14.375" style="46" customWidth="1"/>
    <col min="16130" max="16130" width="11.875" style="46" customWidth="1"/>
    <col min="16131" max="16131" width="13.875" style="46" customWidth="1"/>
    <col min="16132" max="16132" width="12.25" style="46" customWidth="1"/>
    <col min="16133" max="16133" width="12.625" style="46" customWidth="1"/>
    <col min="16134" max="16134" width="13.625" style="46" customWidth="1"/>
    <col min="16135" max="16135" width="11.75" style="46" customWidth="1"/>
    <col min="16136" max="16136" width="13.25" style="46" customWidth="1"/>
    <col min="16137" max="16137" width="11.625" style="46" customWidth="1"/>
    <col min="16138" max="16138" width="12.625" style="46" customWidth="1"/>
    <col min="16139" max="16139" width="9.5" style="46" customWidth="1"/>
    <col min="16140" max="16140" width="10.75" style="46" customWidth="1"/>
    <col min="16141" max="16141" width="8" style="46" customWidth="1"/>
    <col min="16142" max="16143" width="9" style="46"/>
    <col min="16144" max="16144" width="9.375" style="46" customWidth="1"/>
    <col min="16145" max="16145" width="9" style="46"/>
    <col min="16146" max="16146" width="7.5" style="46" customWidth="1"/>
    <col min="16147" max="16147" width="9.875" style="46" customWidth="1"/>
    <col min="16148" max="16384" width="9" style="46"/>
  </cols>
  <sheetData>
    <row r="1" spans="1:24" s="42" customFormat="1" ht="24" customHeight="1">
      <c r="A1" s="531" t="s">
        <v>420</v>
      </c>
      <c r="B1" s="531"/>
      <c r="C1" s="531"/>
      <c r="D1" s="531"/>
      <c r="E1" s="531"/>
      <c r="F1" s="531"/>
      <c r="G1" s="531"/>
      <c r="H1" s="531"/>
      <c r="I1" s="531"/>
      <c r="J1" s="531"/>
      <c r="K1" s="531"/>
      <c r="L1" s="531"/>
      <c r="M1" s="531"/>
      <c r="N1" s="531"/>
      <c r="O1" s="531"/>
      <c r="P1" s="531"/>
    </row>
    <row r="2" spans="1:24" s="42" customFormat="1" ht="24" customHeight="1">
      <c r="A2" s="48"/>
      <c r="B2" s="48"/>
      <c r="C2" s="48"/>
      <c r="D2" s="48"/>
      <c r="E2" s="48"/>
      <c r="F2" s="48"/>
      <c r="G2" s="48"/>
      <c r="H2" s="48"/>
      <c r="I2" s="48"/>
      <c r="J2" s="48"/>
      <c r="K2" s="48"/>
      <c r="L2" s="48"/>
      <c r="M2" s="48"/>
      <c r="N2" s="48"/>
      <c r="O2" s="48"/>
      <c r="P2" s="48"/>
    </row>
    <row r="3" spans="1:24" s="42" customFormat="1" ht="24" customHeight="1">
      <c r="A3" s="48"/>
      <c r="B3" s="48"/>
      <c r="C3" s="48"/>
      <c r="D3" s="48"/>
      <c r="E3" s="48"/>
      <c r="F3" s="48"/>
      <c r="G3" s="48"/>
      <c r="H3" s="48"/>
      <c r="I3" s="48"/>
      <c r="J3" s="48"/>
      <c r="K3" s="48"/>
      <c r="L3" s="48"/>
      <c r="M3" s="48"/>
      <c r="N3" s="48"/>
      <c r="O3" s="48"/>
      <c r="P3" s="48"/>
    </row>
    <row r="4" spans="1:24" s="43" customFormat="1" ht="24">
      <c r="A4" s="49" t="s">
        <v>421</v>
      </c>
      <c r="B4" s="50"/>
      <c r="C4" s="51"/>
      <c r="D4" s="52"/>
      <c r="E4" s="53" t="s">
        <v>180</v>
      </c>
      <c r="F4" s="53" t="s">
        <v>181</v>
      </c>
      <c r="G4" s="53" t="s">
        <v>182</v>
      </c>
      <c r="H4" s="53" t="s">
        <v>183</v>
      </c>
      <c r="I4" s="53" t="s">
        <v>184</v>
      </c>
      <c r="J4" s="53" t="s">
        <v>185</v>
      </c>
      <c r="K4" s="48"/>
      <c r="L4" s="104" t="s">
        <v>422</v>
      </c>
      <c r="M4" s="105" t="s">
        <v>105</v>
      </c>
      <c r="N4" s="105" t="s">
        <v>423</v>
      </c>
      <c r="O4" s="105" t="s">
        <v>424</v>
      </c>
      <c r="P4" s="105" t="s">
        <v>425</v>
      </c>
      <c r="Q4" s="105" t="s">
        <v>426</v>
      </c>
      <c r="R4" s="105" t="s">
        <v>427</v>
      </c>
      <c r="S4" s="105" t="s">
        <v>428</v>
      </c>
      <c r="T4" s="116" t="s">
        <v>429</v>
      </c>
      <c r="U4" s="116" t="s">
        <v>430</v>
      </c>
      <c r="V4" s="117" t="s">
        <v>431</v>
      </c>
      <c r="W4" s="42"/>
      <c r="X4" s="42"/>
    </row>
    <row r="5" spans="1:24" s="43" customFormat="1" ht="14.25" customHeight="1">
      <c r="A5" s="43" t="s">
        <v>432</v>
      </c>
      <c r="B5" s="54"/>
      <c r="C5" s="52"/>
      <c r="D5" s="52"/>
      <c r="E5" s="55" t="s">
        <v>433</v>
      </c>
      <c r="F5" s="55" t="s">
        <v>434</v>
      </c>
      <c r="G5" s="55" t="s">
        <v>435</v>
      </c>
      <c r="H5" s="56" t="s">
        <v>436</v>
      </c>
      <c r="I5" s="56" t="s">
        <v>437</v>
      </c>
      <c r="J5" s="56" t="s">
        <v>438</v>
      </c>
      <c r="K5" s="48"/>
      <c r="L5" s="106" t="s">
        <v>439</v>
      </c>
      <c r="M5" s="107">
        <v>10</v>
      </c>
      <c r="N5" s="108">
        <v>10</v>
      </c>
      <c r="O5" s="109">
        <v>30</v>
      </c>
      <c r="P5" s="108">
        <v>40</v>
      </c>
      <c r="Q5" s="108">
        <v>2</v>
      </c>
      <c r="R5" s="108">
        <v>7</v>
      </c>
      <c r="S5" s="108">
        <v>7</v>
      </c>
      <c r="T5" s="108">
        <v>7</v>
      </c>
      <c r="U5" s="118">
        <v>3</v>
      </c>
      <c r="V5" s="119">
        <f>R5+U5</f>
        <v>10</v>
      </c>
      <c r="W5" s="42"/>
      <c r="X5" s="42"/>
    </row>
    <row r="6" spans="1:24" s="43" customFormat="1" ht="18.75" customHeight="1">
      <c r="A6" s="43" t="s">
        <v>440</v>
      </c>
      <c r="C6" s="52"/>
      <c r="D6" s="52"/>
      <c r="I6" s="48"/>
      <c r="J6" s="48"/>
      <c r="K6" s="48"/>
      <c r="L6" s="110" t="s">
        <v>441</v>
      </c>
      <c r="M6" s="111">
        <f t="shared" ref="M6:Q6" si="0">M5/(SUM($J$5:$N$5)+$P$5+$Q$5)</f>
        <v>0.16129032258064516</v>
      </c>
      <c r="N6" s="111">
        <f t="shared" si="0"/>
        <v>0.16129032258064516</v>
      </c>
      <c r="O6" s="111">
        <f t="shared" si="0"/>
        <v>0.4838709677419355</v>
      </c>
      <c r="P6" s="111">
        <f t="shared" si="0"/>
        <v>0.64516129032258063</v>
      </c>
      <c r="Q6" s="111">
        <f t="shared" si="0"/>
        <v>3.2258064516129031E-2</v>
      </c>
      <c r="R6" s="111"/>
      <c r="S6" s="111">
        <f>S5/(SUM($J$5:$N$5)+$P$5+$Q$5)</f>
        <v>0.11290322580645161</v>
      </c>
      <c r="T6" s="111">
        <f>T5/(SUM($J$5:$N$5)+$P$5+$Q$5)</f>
        <v>0.11290322580645161</v>
      </c>
      <c r="U6" s="111" t="s">
        <v>254</v>
      </c>
      <c r="V6" s="120" t="s">
        <v>254</v>
      </c>
      <c r="W6" s="42"/>
      <c r="X6" s="42"/>
    </row>
    <row r="7" spans="1:24" s="43" customFormat="1" ht="18.75" customHeight="1">
      <c r="B7" s="57"/>
      <c r="C7" s="58" t="s">
        <v>442</v>
      </c>
      <c r="D7" s="625">
        <f>SUM($E$9:$E$22)/SUM($D$9:$D$22)*100</f>
        <v>89.971346704871053</v>
      </c>
      <c r="E7" s="626"/>
      <c r="F7" s="59" t="s">
        <v>443</v>
      </c>
      <c r="G7" s="60">
        <f>((COUNTIF(G9:G22,"1"))/(COUNTIF(F9:F22,"1")+COUNTIF(F9:F22,"0")))*100</f>
        <v>41.666666666666671</v>
      </c>
    </row>
    <row r="8" spans="1:24" s="43" customFormat="1" ht="34.5" customHeight="1">
      <c r="A8" s="53" t="s">
        <v>444</v>
      </c>
      <c r="B8" s="53" t="s">
        <v>445</v>
      </c>
      <c r="C8" s="53" t="s">
        <v>446</v>
      </c>
      <c r="D8" s="53" t="s">
        <v>447</v>
      </c>
      <c r="E8" s="53" t="s">
        <v>448</v>
      </c>
      <c r="F8" s="53" t="s">
        <v>449</v>
      </c>
      <c r="G8" s="53" t="s">
        <v>450</v>
      </c>
      <c r="H8" s="53" t="str">
        <f t="shared" ref="H8:J8" si="1">CONCATENATE("第",COLUMN(H8)-COLUMN($G$8),"周")</f>
        <v>第1周</v>
      </c>
      <c r="I8" s="53" t="str">
        <f t="shared" si="1"/>
        <v>第2周</v>
      </c>
      <c r="J8" s="53" t="str">
        <f t="shared" si="1"/>
        <v>第3周</v>
      </c>
    </row>
    <row r="9" spans="1:24" s="44" customFormat="1" ht="15" customHeight="1">
      <c r="A9" s="61" t="s">
        <v>105</v>
      </c>
      <c r="B9" s="61" t="s">
        <v>451</v>
      </c>
      <c r="C9" s="61">
        <v>5</v>
      </c>
      <c r="D9" s="62">
        <v>1.25</v>
      </c>
      <c r="E9" s="63">
        <f t="shared" ref="E9:E22" si="2">IF(ISBLANK(C9),"-",IF(5&lt;=C9,1.6,IF(AND(3&lt;=C9,5&gt;C9),1.25,IF(AND(2&lt;=C9,3&gt;C9),1,IF(AND(2&gt;C9,1.5&lt;=C9),0.8,IF(AND(1.5&gt;C9,1&lt;=C9),0.7,0.5))))))</f>
        <v>1.6</v>
      </c>
      <c r="F9" s="64">
        <v>1</v>
      </c>
      <c r="G9" s="64">
        <v>0</v>
      </c>
      <c r="H9" s="64">
        <v>5</v>
      </c>
      <c r="I9" s="64"/>
      <c r="J9" s="64"/>
    </row>
    <row r="10" spans="1:24" s="44" customFormat="1" ht="15" customHeight="1">
      <c r="A10" s="61" t="s">
        <v>452</v>
      </c>
      <c r="B10" s="61" t="s">
        <v>451</v>
      </c>
      <c r="C10" s="61">
        <v>5</v>
      </c>
      <c r="D10" s="62">
        <v>2</v>
      </c>
      <c r="E10" s="63">
        <f t="shared" si="2"/>
        <v>1.6</v>
      </c>
      <c r="F10" s="64">
        <v>1</v>
      </c>
      <c r="G10" s="64">
        <v>1</v>
      </c>
      <c r="H10" s="64">
        <v>5</v>
      </c>
      <c r="I10" s="64"/>
      <c r="J10" s="64"/>
    </row>
    <row r="11" spans="1:24" s="44" customFormat="1" ht="15" customHeight="1">
      <c r="A11" s="61" t="s">
        <v>425</v>
      </c>
      <c r="B11" s="61" t="s">
        <v>451</v>
      </c>
      <c r="C11" s="61">
        <v>2</v>
      </c>
      <c r="D11" s="62">
        <v>1.25</v>
      </c>
      <c r="E11" s="63">
        <f t="shared" si="2"/>
        <v>1</v>
      </c>
      <c r="F11" s="64">
        <v>1</v>
      </c>
      <c r="G11" s="64">
        <v>0</v>
      </c>
      <c r="H11" s="64">
        <v>5</v>
      </c>
      <c r="I11" s="64"/>
      <c r="J11" s="64"/>
    </row>
    <row r="12" spans="1:24" s="44" customFormat="1" ht="15" customHeight="1">
      <c r="A12" s="61" t="s">
        <v>453</v>
      </c>
      <c r="B12" s="61" t="s">
        <v>454</v>
      </c>
      <c r="C12" s="61">
        <v>2</v>
      </c>
      <c r="D12" s="62">
        <v>1.25</v>
      </c>
      <c r="E12" s="63">
        <f t="shared" si="2"/>
        <v>1</v>
      </c>
      <c r="F12" s="64">
        <v>1</v>
      </c>
      <c r="G12" s="64">
        <v>1</v>
      </c>
      <c r="H12" s="64">
        <v>5</v>
      </c>
      <c r="I12" s="64"/>
      <c r="J12" s="64"/>
    </row>
    <row r="13" spans="1:24" s="44" customFormat="1" ht="15" customHeight="1">
      <c r="A13" s="61" t="s">
        <v>455</v>
      </c>
      <c r="B13" s="61" t="s">
        <v>451</v>
      </c>
      <c r="C13" s="61">
        <v>2</v>
      </c>
      <c r="D13" s="62">
        <v>1.25</v>
      </c>
      <c r="E13" s="63">
        <f t="shared" si="2"/>
        <v>1</v>
      </c>
      <c r="F13" s="64">
        <v>1</v>
      </c>
      <c r="G13" s="64">
        <v>0</v>
      </c>
      <c r="H13" s="64">
        <v>5</v>
      </c>
      <c r="I13" s="64"/>
      <c r="J13" s="64"/>
    </row>
    <row r="14" spans="1:24" s="44" customFormat="1" ht="15" customHeight="1">
      <c r="A14" s="61" t="s">
        <v>456</v>
      </c>
      <c r="B14" s="61" t="s">
        <v>451</v>
      </c>
      <c r="C14" s="61">
        <v>2</v>
      </c>
      <c r="D14" s="62">
        <v>1.25</v>
      </c>
      <c r="E14" s="63">
        <f t="shared" si="2"/>
        <v>1</v>
      </c>
      <c r="F14" s="64">
        <v>1</v>
      </c>
      <c r="G14" s="64">
        <v>0</v>
      </c>
      <c r="H14" s="64">
        <v>5</v>
      </c>
      <c r="I14" s="64"/>
      <c r="J14" s="64"/>
    </row>
    <row r="15" spans="1:24" s="44" customFormat="1" ht="15" customHeight="1">
      <c r="A15" s="61" t="s">
        <v>423</v>
      </c>
      <c r="B15" s="61" t="s">
        <v>451</v>
      </c>
      <c r="C15" s="61">
        <v>6</v>
      </c>
      <c r="D15" s="62">
        <v>1.25</v>
      </c>
      <c r="E15" s="63">
        <f t="shared" si="2"/>
        <v>1.6</v>
      </c>
      <c r="F15" s="64">
        <v>1</v>
      </c>
      <c r="G15" s="64">
        <v>0</v>
      </c>
      <c r="H15" s="64">
        <v>5</v>
      </c>
      <c r="I15" s="64"/>
      <c r="J15" s="64"/>
    </row>
    <row r="16" spans="1:24" s="44" customFormat="1" ht="15" customHeight="1">
      <c r="A16" s="61" t="s">
        <v>423</v>
      </c>
      <c r="B16" s="61" t="s">
        <v>451</v>
      </c>
      <c r="C16" s="61">
        <v>1</v>
      </c>
      <c r="D16" s="62">
        <v>1</v>
      </c>
      <c r="E16" s="63">
        <f t="shared" si="2"/>
        <v>0.7</v>
      </c>
      <c r="F16" s="64">
        <v>1</v>
      </c>
      <c r="G16" s="64">
        <v>0</v>
      </c>
      <c r="H16" s="64">
        <v>5</v>
      </c>
      <c r="I16" s="64"/>
      <c r="J16" s="64"/>
    </row>
    <row r="17" spans="1:25" s="44" customFormat="1" ht="15" customHeight="1">
      <c r="A17" s="61" t="s">
        <v>423</v>
      </c>
      <c r="B17" s="61" t="s">
        <v>451</v>
      </c>
      <c r="C17" s="61">
        <v>3</v>
      </c>
      <c r="D17" s="62">
        <v>1.25</v>
      </c>
      <c r="E17" s="63">
        <f t="shared" si="2"/>
        <v>1.25</v>
      </c>
      <c r="F17" s="64">
        <v>1</v>
      </c>
      <c r="G17" s="64">
        <v>0</v>
      </c>
      <c r="H17" s="64">
        <v>5</v>
      </c>
      <c r="I17" s="64"/>
      <c r="J17" s="64"/>
    </row>
    <row r="18" spans="1:25" s="44" customFormat="1" ht="15" customHeight="1">
      <c r="A18" s="61" t="s">
        <v>426</v>
      </c>
      <c r="B18" s="61" t="s">
        <v>451</v>
      </c>
      <c r="C18" s="61">
        <v>3</v>
      </c>
      <c r="D18" s="62">
        <v>1.25</v>
      </c>
      <c r="E18" s="63">
        <f t="shared" si="2"/>
        <v>1.25</v>
      </c>
      <c r="F18" s="64">
        <v>1</v>
      </c>
      <c r="G18" s="64">
        <v>1</v>
      </c>
      <c r="H18" s="64">
        <v>5</v>
      </c>
      <c r="I18" s="64"/>
      <c r="J18" s="64"/>
    </row>
    <row r="19" spans="1:25" s="44" customFormat="1" ht="15" customHeight="1">
      <c r="A19" s="61" t="s">
        <v>426</v>
      </c>
      <c r="B19" s="61" t="s">
        <v>451</v>
      </c>
      <c r="C19" s="61">
        <v>2</v>
      </c>
      <c r="D19" s="62">
        <v>1.25</v>
      </c>
      <c r="E19" s="63">
        <f t="shared" si="2"/>
        <v>1</v>
      </c>
      <c r="F19" s="64">
        <v>1</v>
      </c>
      <c r="G19" s="64">
        <v>1</v>
      </c>
      <c r="H19" s="64">
        <v>5</v>
      </c>
      <c r="I19" s="64"/>
      <c r="J19" s="64"/>
      <c r="K19"/>
      <c r="L19" s="53"/>
      <c r="M19"/>
      <c r="N19"/>
      <c r="O19"/>
      <c r="P19"/>
      <c r="Q19"/>
      <c r="R19"/>
      <c r="S19"/>
      <c r="T19"/>
      <c r="U19"/>
      <c r="V19"/>
      <c r="W19"/>
      <c r="X19"/>
      <c r="Y19"/>
    </row>
    <row r="20" spans="1:25" s="44" customFormat="1" ht="15" customHeight="1">
      <c r="A20" s="61" t="s">
        <v>426</v>
      </c>
      <c r="B20" s="61" t="s">
        <v>451</v>
      </c>
      <c r="C20" s="61">
        <v>1</v>
      </c>
      <c r="D20" s="62">
        <v>1.25</v>
      </c>
      <c r="E20" s="63">
        <f t="shared" ref="E20" si="3">IF(ISBLANK(C20),"-",IF(5&lt;=C20,1.6,IF(AND(3&lt;=C20,5&gt;C20),1.25,IF(AND(2&lt;=C20,3&gt;C20),1,IF(AND(2&gt;C20,1.5&lt;=C20),0.8,IF(AND(1.5&gt;C20,1&lt;=C20),0.7,0.5))))))</f>
        <v>0.7</v>
      </c>
      <c r="F20" s="65">
        <v>1</v>
      </c>
      <c r="G20" s="65">
        <v>1</v>
      </c>
      <c r="H20" s="65">
        <v>5</v>
      </c>
      <c r="I20" s="65"/>
      <c r="J20" s="65"/>
      <c r="L20" s="64"/>
    </row>
    <row r="21" spans="1:25" s="44" customFormat="1" ht="15" customHeight="1">
      <c r="A21" s="61" t="s">
        <v>428</v>
      </c>
      <c r="B21" s="61" t="s">
        <v>451</v>
      </c>
      <c r="C21" s="61">
        <v>2</v>
      </c>
      <c r="D21" s="62">
        <v>0.7</v>
      </c>
      <c r="E21" s="63">
        <f t="shared" si="2"/>
        <v>1</v>
      </c>
      <c r="F21" s="65" t="s">
        <v>457</v>
      </c>
      <c r="G21" s="65" t="s">
        <v>457</v>
      </c>
      <c r="H21" s="65">
        <v>5</v>
      </c>
      <c r="I21" s="65"/>
      <c r="J21" s="65"/>
      <c r="L21" s="64"/>
    </row>
    <row r="22" spans="1:25" s="44" customFormat="1" ht="15" customHeight="1">
      <c r="A22" s="61" t="s">
        <v>458</v>
      </c>
      <c r="B22" s="61" t="s">
        <v>451</v>
      </c>
      <c r="C22" s="61">
        <v>2</v>
      </c>
      <c r="D22" s="62">
        <v>1.25</v>
      </c>
      <c r="E22" s="63">
        <f t="shared" si="2"/>
        <v>1</v>
      </c>
      <c r="F22" s="65" t="s">
        <v>457</v>
      </c>
      <c r="G22" s="65" t="s">
        <v>457</v>
      </c>
      <c r="H22" s="65">
        <v>5</v>
      </c>
      <c r="I22" s="65"/>
      <c r="J22" s="65"/>
      <c r="L22" s="64"/>
    </row>
    <row r="23" spans="1:25">
      <c r="L23" s="64"/>
    </row>
    <row r="24" spans="1:25">
      <c r="L24" s="64"/>
    </row>
    <row r="25" spans="1:25">
      <c r="A25" s="66" t="s">
        <v>459</v>
      </c>
      <c r="B25" s="67"/>
      <c r="L25" s="64"/>
    </row>
    <row r="26" spans="1:25">
      <c r="A26" s="43" t="s">
        <v>460</v>
      </c>
      <c r="L26" s="64"/>
    </row>
    <row r="27" spans="1:25">
      <c r="A27" s="43" t="s">
        <v>194</v>
      </c>
      <c r="L27" s="64"/>
    </row>
    <row r="28" spans="1:25">
      <c r="A28" s="43"/>
      <c r="L28" s="64"/>
    </row>
    <row r="29" spans="1:25">
      <c r="A29" s="68" t="s">
        <v>461</v>
      </c>
      <c r="B29" s="69" t="s">
        <v>105</v>
      </c>
      <c r="C29" s="69" t="s">
        <v>462</v>
      </c>
      <c r="D29" s="69" t="s">
        <v>130</v>
      </c>
      <c r="E29" s="69" t="s">
        <v>463</v>
      </c>
      <c r="F29" s="70" t="s">
        <v>464</v>
      </c>
      <c r="G29" s="69" t="s">
        <v>465</v>
      </c>
      <c r="H29" s="69" t="s">
        <v>466</v>
      </c>
      <c r="I29" s="69" t="s">
        <v>458</v>
      </c>
      <c r="J29" s="112" t="s">
        <v>467</v>
      </c>
      <c r="L29" s="64"/>
    </row>
    <row r="30" spans="1:25">
      <c r="A30" s="71">
        <f>AVERAGE(E9:E22)</f>
        <v>1.1214285714285714</v>
      </c>
      <c r="B30" s="72">
        <f>AVERAGEIF($A$9:$A$22,"项目经理",$E$9:$E$22)</f>
        <v>1.6</v>
      </c>
      <c r="C30" s="73">
        <f>AVERAGEIF(A9:A22,"策划工程师",E9:E22)</f>
        <v>1</v>
      </c>
      <c r="D30" s="73">
        <f>AVERAGEIF(A9:A22,"需求分析师",E9:E22)</f>
        <v>1</v>
      </c>
      <c r="E30" s="73">
        <f>AVERAGEIF(A9:A22,"开发工程师",E9:E22)</f>
        <v>1.1833333333333333</v>
      </c>
      <c r="F30" s="73">
        <f>AVERAGEIF(A9:A22,"测试工程师",E9:E22)</f>
        <v>0.98333333333333339</v>
      </c>
      <c r="G30" s="73">
        <f>AVERAGEIF(A9:A22,"UI及美工",E9:E22)</f>
        <v>1</v>
      </c>
      <c r="H30" s="73" t="e">
        <f>AVERAGEIF(A9:A22,"架构师",E9:E22)</f>
        <v>#DIV/0!</v>
      </c>
      <c r="I30" s="73">
        <f>AVERAGEIF(A9:A22,"质量保证工程师",E9:E22)</f>
        <v>1</v>
      </c>
      <c r="J30" s="113">
        <f>AVERAGEIF(A9:A22,"配置管理员",E9:E22)</f>
        <v>1</v>
      </c>
      <c r="L30" s="64"/>
    </row>
    <row r="31" spans="1:25" s="45" customFormat="1">
      <c r="A31" s="74"/>
      <c r="B31" s="74"/>
      <c r="C31" s="75"/>
      <c r="D31" s="75"/>
      <c r="E31" s="75"/>
      <c r="F31" s="75"/>
      <c r="G31" s="75"/>
      <c r="H31" s="75"/>
      <c r="I31" s="75"/>
      <c r="J31" s="114"/>
      <c r="L31" s="65"/>
    </row>
    <row r="32" spans="1:25">
      <c r="A32" s="76" t="s">
        <v>468</v>
      </c>
      <c r="B32" s="67"/>
      <c r="L32" s="65"/>
    </row>
    <row r="33" spans="1:12">
      <c r="A33" s="77" t="s">
        <v>469</v>
      </c>
      <c r="L33" s="65"/>
    </row>
    <row r="34" spans="1:12">
      <c r="A34" s="77" t="s">
        <v>470</v>
      </c>
    </row>
    <row r="36" spans="1:12">
      <c r="A36" s="78" t="s">
        <v>177</v>
      </c>
      <c r="B36" s="79" t="s">
        <v>471</v>
      </c>
      <c r="C36" s="79" t="s">
        <v>472</v>
      </c>
      <c r="D36" s="627" t="s">
        <v>473</v>
      </c>
      <c r="E36" s="628"/>
    </row>
    <row r="37" spans="1:12">
      <c r="A37" s="80" t="s">
        <v>180</v>
      </c>
      <c r="B37" s="81">
        <v>10</v>
      </c>
      <c r="C37" s="81">
        <v>5</v>
      </c>
      <c r="D37" s="618">
        <f t="shared" ref="D37:D42" si="4">C37/B37*100</f>
        <v>50</v>
      </c>
      <c r="E37" s="619"/>
    </row>
    <row r="38" spans="1:12">
      <c r="A38" s="80" t="s">
        <v>181</v>
      </c>
      <c r="B38" s="81">
        <v>10</v>
      </c>
      <c r="C38" s="81">
        <v>3</v>
      </c>
      <c r="D38" s="618">
        <f t="shared" si="4"/>
        <v>30</v>
      </c>
      <c r="E38" s="619"/>
    </row>
    <row r="39" spans="1:12">
      <c r="A39" s="80" t="s">
        <v>182</v>
      </c>
      <c r="B39" s="81">
        <v>10</v>
      </c>
      <c r="C39" s="81">
        <v>2</v>
      </c>
      <c r="D39" s="618">
        <f t="shared" si="4"/>
        <v>20</v>
      </c>
      <c r="E39" s="619"/>
    </row>
    <row r="40" spans="1:12">
      <c r="A40" s="80" t="s">
        <v>183</v>
      </c>
      <c r="B40" s="81">
        <v>10</v>
      </c>
      <c r="C40" s="81">
        <v>6</v>
      </c>
      <c r="D40" s="618">
        <f t="shared" si="4"/>
        <v>60</v>
      </c>
      <c r="E40" s="619"/>
    </row>
    <row r="41" spans="1:12" ht="13.5" customHeight="1">
      <c r="A41" s="80" t="s">
        <v>184</v>
      </c>
      <c r="B41" s="81">
        <v>10</v>
      </c>
      <c r="C41" s="82">
        <v>1</v>
      </c>
      <c r="D41" s="618">
        <f t="shared" si="4"/>
        <v>10</v>
      </c>
      <c r="E41" s="619"/>
    </row>
    <row r="42" spans="1:12" ht="13.5" customHeight="1">
      <c r="A42" s="83" t="s">
        <v>185</v>
      </c>
      <c r="B42" s="84">
        <v>10</v>
      </c>
      <c r="C42" s="84">
        <v>3</v>
      </c>
      <c r="D42" s="620">
        <f t="shared" si="4"/>
        <v>30</v>
      </c>
      <c r="E42" s="621"/>
      <c r="K42" s="115">
        <f t="shared" ref="K42:K44" si="5">H50</f>
        <v>0.3</v>
      </c>
    </row>
    <row r="43" spans="1:12">
      <c r="K43" s="115">
        <f t="shared" si="5"/>
        <v>0.27272727272727271</v>
      </c>
    </row>
    <row r="44" spans="1:12">
      <c r="K44" s="115">
        <f t="shared" si="5"/>
        <v>0.33333333333333331</v>
      </c>
    </row>
    <row r="45" spans="1:12">
      <c r="A45" s="66" t="s">
        <v>474</v>
      </c>
      <c r="B45" s="85"/>
      <c r="C45" s="86"/>
      <c r="K45" s="115">
        <f>H54</f>
        <v>0.5</v>
      </c>
    </row>
    <row r="46" spans="1:12">
      <c r="A46" s="43" t="s">
        <v>475</v>
      </c>
      <c r="K46" s="115">
        <f>H55</f>
        <v>0.15789473684210525</v>
      </c>
    </row>
    <row r="47" spans="1:12">
      <c r="A47" s="43" t="s">
        <v>476</v>
      </c>
    </row>
    <row r="49" spans="1:11">
      <c r="A49" s="87" t="s">
        <v>177</v>
      </c>
      <c r="B49" s="88" t="s">
        <v>477</v>
      </c>
      <c r="C49" s="89" t="s">
        <v>478</v>
      </c>
      <c r="D49" s="90" t="s">
        <v>479</v>
      </c>
      <c r="E49" s="90" t="s">
        <v>480</v>
      </c>
      <c r="F49" s="90" t="s">
        <v>481</v>
      </c>
      <c r="G49" s="91" t="s">
        <v>482</v>
      </c>
      <c r="H49" s="92" t="s">
        <v>483</v>
      </c>
      <c r="J49" s="46" t="str">
        <f t="shared" ref="J49:J54" si="6">A50</f>
        <v>立项阶段</v>
      </c>
      <c r="K49" s="115">
        <f>H50</f>
        <v>0.3</v>
      </c>
    </row>
    <row r="50" spans="1:11">
      <c r="A50" s="93" t="s">
        <v>180</v>
      </c>
      <c r="B50" s="94">
        <v>10</v>
      </c>
      <c r="C50" s="95">
        <v>1</v>
      </c>
      <c r="D50" s="96">
        <v>0</v>
      </c>
      <c r="E50" s="96">
        <v>1</v>
      </c>
      <c r="F50" s="96">
        <v>1</v>
      </c>
      <c r="G50" s="97">
        <f t="shared" ref="G50:G56" si="7">B50+C50+E50-D50-F50</f>
        <v>11</v>
      </c>
      <c r="H50" s="98">
        <f t="shared" ref="H50:H56" si="8">SUM(C50:F50)/B50</f>
        <v>0.3</v>
      </c>
      <c r="J50" s="46" t="str">
        <f t="shared" si="6"/>
        <v>迭代一阶段</v>
      </c>
      <c r="K50" s="115">
        <f>H51</f>
        <v>0.27272727272727271</v>
      </c>
    </row>
    <row r="51" spans="1:11">
      <c r="A51" s="93" t="s">
        <v>181</v>
      </c>
      <c r="B51" s="94">
        <f t="shared" ref="B51:B53" si="9">G50</f>
        <v>11</v>
      </c>
      <c r="C51" s="95">
        <v>1</v>
      </c>
      <c r="D51" s="96">
        <v>0</v>
      </c>
      <c r="E51" s="96">
        <v>1</v>
      </c>
      <c r="F51" s="96">
        <v>1</v>
      </c>
      <c r="G51" s="97">
        <f t="shared" si="7"/>
        <v>12</v>
      </c>
      <c r="H51" s="98">
        <f t="shared" si="8"/>
        <v>0.27272727272727271</v>
      </c>
      <c r="J51" s="46" t="str">
        <f t="shared" si="6"/>
        <v>迭代二阶段</v>
      </c>
      <c r="K51" s="115">
        <f t="shared" ref="K51:K54" si="10">H52</f>
        <v>0.33333333333333331</v>
      </c>
    </row>
    <row r="52" spans="1:11">
      <c r="A52" s="93" t="s">
        <v>182</v>
      </c>
      <c r="B52" s="94">
        <f t="shared" si="9"/>
        <v>12</v>
      </c>
      <c r="C52" s="95">
        <v>1</v>
      </c>
      <c r="D52" s="96">
        <v>0</v>
      </c>
      <c r="E52" s="96">
        <v>2</v>
      </c>
      <c r="F52" s="96">
        <v>1</v>
      </c>
      <c r="G52" s="97">
        <f t="shared" si="7"/>
        <v>14</v>
      </c>
      <c r="H52" s="98">
        <f t="shared" si="8"/>
        <v>0.33333333333333331</v>
      </c>
      <c r="J52" s="46" t="str">
        <f t="shared" si="6"/>
        <v>迭代三阶段</v>
      </c>
      <c r="K52" s="115">
        <f t="shared" si="10"/>
        <v>7.1428571428571425E-2</v>
      </c>
    </row>
    <row r="53" spans="1:11">
      <c r="A53" s="93" t="s">
        <v>183</v>
      </c>
      <c r="B53" s="94">
        <f t="shared" si="9"/>
        <v>14</v>
      </c>
      <c r="C53" s="95">
        <v>0</v>
      </c>
      <c r="D53" s="96">
        <v>1</v>
      </c>
      <c r="E53" s="96">
        <v>0</v>
      </c>
      <c r="F53" s="96">
        <v>0</v>
      </c>
      <c r="G53" s="97">
        <f t="shared" si="7"/>
        <v>13</v>
      </c>
      <c r="H53" s="98">
        <f t="shared" si="8"/>
        <v>7.1428571428571425E-2</v>
      </c>
      <c r="J53" s="46" t="str">
        <f t="shared" si="6"/>
        <v>系统测试阶段</v>
      </c>
      <c r="K53" s="115">
        <f t="shared" si="10"/>
        <v>0.5</v>
      </c>
    </row>
    <row r="54" spans="1:11">
      <c r="A54" s="93" t="s">
        <v>184</v>
      </c>
      <c r="B54" s="94">
        <f>G52</f>
        <v>14</v>
      </c>
      <c r="C54" s="95">
        <v>1</v>
      </c>
      <c r="D54" s="96">
        <v>0</v>
      </c>
      <c r="E54" s="96">
        <v>5</v>
      </c>
      <c r="F54" s="96">
        <v>1</v>
      </c>
      <c r="G54" s="97">
        <f t="shared" si="7"/>
        <v>19</v>
      </c>
      <c r="H54" s="98">
        <f t="shared" si="8"/>
        <v>0.5</v>
      </c>
      <c r="J54" s="46" t="str">
        <f t="shared" si="6"/>
        <v>验收阶段</v>
      </c>
      <c r="K54" s="115">
        <f t="shared" si="10"/>
        <v>0.15789473684210525</v>
      </c>
    </row>
    <row r="55" spans="1:11">
      <c r="A55" s="93" t="s">
        <v>185</v>
      </c>
      <c r="B55" s="94">
        <f>G54</f>
        <v>19</v>
      </c>
      <c r="C55" s="95">
        <v>1</v>
      </c>
      <c r="D55" s="96">
        <v>0</v>
      </c>
      <c r="E55" s="96">
        <v>1</v>
      </c>
      <c r="F55" s="96">
        <v>1</v>
      </c>
      <c r="G55" s="97">
        <f t="shared" si="7"/>
        <v>20</v>
      </c>
      <c r="H55" s="98">
        <f t="shared" si="8"/>
        <v>0.15789473684210525</v>
      </c>
    </row>
    <row r="56" spans="1:11" ht="17.25" customHeight="1">
      <c r="A56" s="99" t="s">
        <v>136</v>
      </c>
      <c r="B56" s="100">
        <v>10</v>
      </c>
      <c r="C56" s="100">
        <f t="shared" ref="C56:F56" si="11">SUM(C50:C55)</f>
        <v>5</v>
      </c>
      <c r="D56" s="100">
        <f t="shared" si="11"/>
        <v>1</v>
      </c>
      <c r="E56" s="100">
        <v>2</v>
      </c>
      <c r="F56" s="100">
        <f t="shared" si="11"/>
        <v>5</v>
      </c>
      <c r="G56" s="101">
        <f t="shared" si="7"/>
        <v>11</v>
      </c>
      <c r="H56" s="102">
        <f t="shared" si="8"/>
        <v>1.3</v>
      </c>
    </row>
    <row r="57" spans="1:11" ht="12" customHeight="1">
      <c r="K57" s="115">
        <f t="shared" ref="K57:K59" si="12">D64</f>
        <v>1.64</v>
      </c>
    </row>
    <row r="58" spans="1:11" ht="12" customHeight="1">
      <c r="J58" s="77"/>
      <c r="K58" s="115">
        <f t="shared" si="12"/>
        <v>1.64</v>
      </c>
    </row>
    <row r="59" spans="1:11" ht="12" customHeight="1">
      <c r="B59" s="103"/>
      <c r="K59" s="115">
        <f t="shared" si="12"/>
        <v>1.64</v>
      </c>
    </row>
    <row r="60" spans="1:11" ht="12" customHeight="1">
      <c r="A60" s="622" t="s">
        <v>484</v>
      </c>
      <c r="B60" s="623"/>
      <c r="C60" s="624"/>
      <c r="K60" s="115">
        <f>D68</f>
        <v>1.64</v>
      </c>
    </row>
    <row r="61" spans="1:11" ht="12" customHeight="1">
      <c r="A61" s="77" t="s">
        <v>485</v>
      </c>
      <c r="K61" s="115">
        <f>D69</f>
        <v>1.64</v>
      </c>
    </row>
    <row r="62" spans="1:11" ht="12" customHeight="1" thickBot="1">
      <c r="A62" s="77" t="s">
        <v>486</v>
      </c>
      <c r="C62" s="46"/>
      <c r="D62" s="46"/>
    </row>
    <row r="63" spans="1:11" ht="12.75" thickTop="1">
      <c r="A63" s="465" t="s">
        <v>177</v>
      </c>
      <c r="B63" s="466" t="s">
        <v>487</v>
      </c>
      <c r="C63" s="466" t="s">
        <v>488</v>
      </c>
      <c r="D63" s="467" t="s">
        <v>489</v>
      </c>
    </row>
    <row r="64" spans="1:11">
      <c r="A64" s="468" t="s">
        <v>180</v>
      </c>
      <c r="B64" s="473">
        <v>50</v>
      </c>
      <c r="C64" s="473">
        <v>82</v>
      </c>
      <c r="D64" s="469">
        <f t="shared" ref="D64:D70" si="13">C64/B64</f>
        <v>1.64</v>
      </c>
      <c r="I64" s="46" t="str">
        <f t="shared" ref="I64:I69" si="14">A64</f>
        <v>立项阶段</v>
      </c>
      <c r="J64" s="115">
        <f>D64</f>
        <v>1.64</v>
      </c>
    </row>
    <row r="65" spans="1:10">
      <c r="A65" s="468" t="s">
        <v>181</v>
      </c>
      <c r="B65" s="473">
        <v>50</v>
      </c>
      <c r="C65" s="473">
        <v>82</v>
      </c>
      <c r="D65" s="469">
        <f t="shared" si="13"/>
        <v>1.64</v>
      </c>
      <c r="I65" s="46" t="str">
        <f t="shared" si="14"/>
        <v>迭代一阶段</v>
      </c>
      <c r="J65" s="115">
        <f>D65</f>
        <v>1.64</v>
      </c>
    </row>
    <row r="66" spans="1:10">
      <c r="A66" s="468" t="s">
        <v>182</v>
      </c>
      <c r="B66" s="473">
        <v>50</v>
      </c>
      <c r="C66" s="473">
        <v>82</v>
      </c>
      <c r="D66" s="469">
        <f t="shared" si="13"/>
        <v>1.64</v>
      </c>
      <c r="I66" s="46" t="str">
        <f t="shared" si="14"/>
        <v>迭代二阶段</v>
      </c>
      <c r="J66" s="115">
        <f t="shared" ref="J66:J69" si="15">D66</f>
        <v>1.64</v>
      </c>
    </row>
    <row r="67" spans="1:10">
      <c r="A67" s="468" t="s">
        <v>183</v>
      </c>
      <c r="B67" s="473">
        <v>50</v>
      </c>
      <c r="C67" s="473">
        <v>82</v>
      </c>
      <c r="D67" s="469">
        <f t="shared" si="13"/>
        <v>1.64</v>
      </c>
      <c r="I67" s="46" t="str">
        <f t="shared" si="14"/>
        <v>迭代三阶段</v>
      </c>
      <c r="J67" s="115">
        <f t="shared" si="15"/>
        <v>1.64</v>
      </c>
    </row>
    <row r="68" spans="1:10">
      <c r="A68" s="468" t="s">
        <v>490</v>
      </c>
      <c r="B68" s="473">
        <v>50</v>
      </c>
      <c r="C68" s="473">
        <v>82</v>
      </c>
      <c r="D68" s="469">
        <f t="shared" si="13"/>
        <v>1.64</v>
      </c>
      <c r="I68" s="46" t="str">
        <f t="shared" si="14"/>
        <v>测试阶段</v>
      </c>
      <c r="J68" s="115">
        <f t="shared" si="15"/>
        <v>1.64</v>
      </c>
    </row>
    <row r="69" spans="1:10">
      <c r="A69" s="468" t="s">
        <v>185</v>
      </c>
      <c r="B69" s="473">
        <v>50</v>
      </c>
      <c r="C69" s="473">
        <v>82</v>
      </c>
      <c r="D69" s="469">
        <f t="shared" si="13"/>
        <v>1.64</v>
      </c>
      <c r="I69" s="46" t="str">
        <f t="shared" si="14"/>
        <v>验收阶段</v>
      </c>
      <c r="J69" s="115">
        <f t="shared" si="15"/>
        <v>1.64</v>
      </c>
    </row>
    <row r="70" spans="1:10" ht="12.75" thickBot="1">
      <c r="A70" s="470" t="s">
        <v>255</v>
      </c>
      <c r="B70" s="471">
        <f>SUM(B64:B69)</f>
        <v>300</v>
      </c>
      <c r="C70" s="471">
        <f>SUM(C64:C69)</f>
        <v>492</v>
      </c>
      <c r="D70" s="472">
        <f t="shared" si="13"/>
        <v>1.64</v>
      </c>
      <c r="E70" s="121"/>
      <c r="F70" s="122"/>
    </row>
    <row r="71" spans="1:10" ht="14.25" thickTop="1">
      <c r="A71" s="123"/>
      <c r="B71"/>
      <c r="C71"/>
      <c r="D71" s="124"/>
      <c r="E71" s="125"/>
      <c r="F71" s="121"/>
      <c r="G71" s="122"/>
    </row>
    <row r="72" spans="1:10" ht="18" customHeight="1">
      <c r="E72" s="125"/>
      <c r="F72" s="121"/>
      <c r="G72" s="122"/>
    </row>
    <row r="73" spans="1:10" ht="18.75" customHeight="1"/>
    <row r="76" spans="1:10">
      <c r="A76" s="126"/>
    </row>
  </sheetData>
  <mergeCells count="10">
    <mergeCell ref="A1:P1"/>
    <mergeCell ref="D7:E7"/>
    <mergeCell ref="D36:E36"/>
    <mergeCell ref="D37:E37"/>
    <mergeCell ref="D38:E38"/>
    <mergeCell ref="D39:E39"/>
    <mergeCell ref="D40:E40"/>
    <mergeCell ref="D41:E41"/>
    <mergeCell ref="D42:E42"/>
    <mergeCell ref="A60:C60"/>
  </mergeCells>
  <phoneticPr fontId="126" type="noConversion"/>
  <dataValidations count="3">
    <dataValidation type="list" allowBlank="1" showInputMessage="1" showErrorMessage="1" sqref="A9:A22 A65544:A65557 A131080:A131093 A196616:A196629 A262152:A262165 A327688:A327701 A393224:A393237 A458760:A458773 A524296:A524309 A589832:A589845 A655368:A655381 A720904:A720917 A786440:A786453 A851976:A851989 A917512:A917525 A983048:A983061 IH9:IH22 IW65544:IW65557 IW131080:IW131093 IW196616:IW196629 IW262152:IW262165 IW327688:IW327701 IW393224:IW393237 IW458760:IW458773 IW524296:IW524309 IW589832:IW589845 IW655368:IW655381 IW720904:IW720917 IW786440:IW786453 IW851976:IW851989 IW917512:IW917525 IW983048:IW983061 SD9:SD22 SS65544:SS65557 SS131080:SS131093 SS196616:SS196629 SS262152:SS262165 SS327688:SS327701 SS393224:SS393237 SS458760:SS458773 SS524296:SS524309 SS589832:SS589845 SS655368:SS655381 SS720904:SS720917 SS786440:SS786453 SS851976:SS851989 SS917512:SS917525 SS983048:SS983061 ABZ9:ABZ22 ACO65544:ACO65557 ACO131080:ACO131093 ACO196616:ACO196629 ACO262152:ACO262165 ACO327688:ACO327701 ACO393224:ACO393237 ACO458760:ACO458773 ACO524296:ACO524309 ACO589832:ACO589845 ACO655368:ACO655381 ACO720904:ACO720917 ACO786440:ACO786453 ACO851976:ACO851989 ACO917512:ACO917525 ACO983048:ACO983061 ALV9:ALV22 AMK65544:AMK65557 AMK131080:AMK131093 AMK196616:AMK196629 AMK262152:AMK262165 AMK327688:AMK327701 AMK393224:AMK393237 AMK458760:AMK458773 AMK524296:AMK524309 AMK589832:AMK589845 AMK655368:AMK655381 AMK720904:AMK720917 AMK786440:AMK786453 AMK851976:AMK851989 AMK917512:AMK917525 AMK983048:AMK983061 AVR9:AVR22 AWG65544:AWG65557 AWG131080:AWG131093 AWG196616:AWG196629 AWG262152:AWG262165 AWG327688:AWG327701 AWG393224:AWG393237 AWG458760:AWG458773 AWG524296:AWG524309 AWG589832:AWG589845 AWG655368:AWG655381 AWG720904:AWG720917 AWG786440:AWG786453 AWG851976:AWG851989 AWG917512:AWG917525 AWG983048:AWG983061 BFN9:BFN22 BGC65544:BGC65557 BGC131080:BGC131093 BGC196616:BGC196629 BGC262152:BGC262165 BGC327688:BGC327701 BGC393224:BGC393237 BGC458760:BGC458773 BGC524296:BGC524309 BGC589832:BGC589845 BGC655368:BGC655381 BGC720904:BGC720917 BGC786440:BGC786453 BGC851976:BGC851989 BGC917512:BGC917525 BGC983048:BGC983061 BPJ9:BPJ22 BPY65544:BPY65557 BPY131080:BPY131093 BPY196616:BPY196629 BPY262152:BPY262165 BPY327688:BPY327701 BPY393224:BPY393237 BPY458760:BPY458773 BPY524296:BPY524309 BPY589832:BPY589845 BPY655368:BPY655381 BPY720904:BPY720917 BPY786440:BPY786453 BPY851976:BPY851989 BPY917512:BPY917525 BPY983048:BPY983061 BZF9:BZF22 BZU65544:BZU65557 BZU131080:BZU131093 BZU196616:BZU196629 BZU262152:BZU262165 BZU327688:BZU327701 BZU393224:BZU393237 BZU458760:BZU458773 BZU524296:BZU524309 BZU589832:BZU589845 BZU655368:BZU655381 BZU720904:BZU720917 BZU786440:BZU786453 BZU851976:BZU851989 BZU917512:BZU917525 BZU983048:BZU983061 CJB9:CJB22 CJQ65544:CJQ65557 CJQ131080:CJQ131093 CJQ196616:CJQ196629 CJQ262152:CJQ262165 CJQ327688:CJQ327701 CJQ393224:CJQ393237 CJQ458760:CJQ458773 CJQ524296:CJQ524309 CJQ589832:CJQ589845 CJQ655368:CJQ655381 CJQ720904:CJQ720917 CJQ786440:CJQ786453 CJQ851976:CJQ851989 CJQ917512:CJQ917525 CJQ983048:CJQ983061 CSX9:CSX22 CTM65544:CTM65557 CTM131080:CTM131093 CTM196616:CTM196629 CTM262152:CTM262165 CTM327688:CTM327701 CTM393224:CTM393237 CTM458760:CTM458773 CTM524296:CTM524309 CTM589832:CTM589845 CTM655368:CTM655381 CTM720904:CTM720917 CTM786440:CTM786453 CTM851976:CTM851989 CTM917512:CTM917525 CTM983048:CTM983061 DCT9:DCT22 DDI65544:DDI65557 DDI131080:DDI131093 DDI196616:DDI196629 DDI262152:DDI262165 DDI327688:DDI327701 DDI393224:DDI393237 DDI458760:DDI458773 DDI524296:DDI524309 DDI589832:DDI589845 DDI655368:DDI655381 DDI720904:DDI720917 DDI786440:DDI786453 DDI851976:DDI851989 DDI917512:DDI917525 DDI983048:DDI983061 DMP9:DMP22 DNE65544:DNE65557 DNE131080:DNE131093 DNE196616:DNE196629 DNE262152:DNE262165 DNE327688:DNE327701 DNE393224:DNE393237 DNE458760:DNE458773 DNE524296:DNE524309 DNE589832:DNE589845 DNE655368:DNE655381 DNE720904:DNE720917 DNE786440:DNE786453 DNE851976:DNE851989 DNE917512:DNE917525 DNE983048:DNE983061 DWL9:DWL22 DXA65544:DXA65557 DXA131080:DXA131093 DXA196616:DXA196629 DXA262152:DXA262165 DXA327688:DXA327701 DXA393224:DXA393237 DXA458760:DXA458773 DXA524296:DXA524309 DXA589832:DXA589845 DXA655368:DXA655381 DXA720904:DXA720917 DXA786440:DXA786453 DXA851976:DXA851989 DXA917512:DXA917525 DXA983048:DXA983061 EGH9:EGH22 EGW65544:EGW65557 EGW131080:EGW131093 EGW196616:EGW196629 EGW262152:EGW262165 EGW327688:EGW327701 EGW393224:EGW393237 EGW458760:EGW458773 EGW524296:EGW524309 EGW589832:EGW589845 EGW655368:EGW655381 EGW720904:EGW720917 EGW786440:EGW786453 EGW851976:EGW851989 EGW917512:EGW917525 EGW983048:EGW983061 EQD9:EQD22 EQS65544:EQS65557 EQS131080:EQS131093 EQS196616:EQS196629 EQS262152:EQS262165 EQS327688:EQS327701 EQS393224:EQS393237 EQS458760:EQS458773 EQS524296:EQS524309 EQS589832:EQS589845 EQS655368:EQS655381 EQS720904:EQS720917 EQS786440:EQS786453 EQS851976:EQS851989 EQS917512:EQS917525 EQS983048:EQS983061 EZZ9:EZZ22 FAO65544:FAO65557 FAO131080:FAO131093 FAO196616:FAO196629 FAO262152:FAO262165 FAO327688:FAO327701 FAO393224:FAO393237 FAO458760:FAO458773 FAO524296:FAO524309 FAO589832:FAO589845 FAO655368:FAO655381 FAO720904:FAO720917 FAO786440:FAO786453 FAO851976:FAO851989 FAO917512:FAO917525 FAO983048:FAO983061 FJV9:FJV22 FKK65544:FKK65557 FKK131080:FKK131093 FKK196616:FKK196629 FKK262152:FKK262165 FKK327688:FKK327701 FKK393224:FKK393237 FKK458760:FKK458773 FKK524296:FKK524309 FKK589832:FKK589845 FKK655368:FKK655381 FKK720904:FKK720917 FKK786440:FKK786453 FKK851976:FKK851989 FKK917512:FKK917525 FKK983048:FKK983061 FTR9:FTR22 FUG65544:FUG65557 FUG131080:FUG131093 FUG196616:FUG196629 FUG262152:FUG262165 FUG327688:FUG327701 FUG393224:FUG393237 FUG458760:FUG458773 FUG524296:FUG524309 FUG589832:FUG589845 FUG655368:FUG655381 FUG720904:FUG720917 FUG786440:FUG786453 FUG851976:FUG851989 FUG917512:FUG917525 FUG983048:FUG983061 GDN9:GDN22 GEC65544:GEC65557 GEC131080:GEC131093 GEC196616:GEC196629 GEC262152:GEC262165 GEC327688:GEC327701 GEC393224:GEC393237 GEC458760:GEC458773 GEC524296:GEC524309 GEC589832:GEC589845 GEC655368:GEC655381 GEC720904:GEC720917 GEC786440:GEC786453 GEC851976:GEC851989 GEC917512:GEC917525 GEC983048:GEC983061 GNJ9:GNJ22 GNY65544:GNY65557 GNY131080:GNY131093 GNY196616:GNY196629 GNY262152:GNY262165 GNY327688:GNY327701 GNY393224:GNY393237 GNY458760:GNY458773 GNY524296:GNY524309 GNY589832:GNY589845 GNY655368:GNY655381 GNY720904:GNY720917 GNY786440:GNY786453 GNY851976:GNY851989 GNY917512:GNY917525 GNY983048:GNY983061 GXF9:GXF22 GXU65544:GXU65557 GXU131080:GXU131093 GXU196616:GXU196629 GXU262152:GXU262165 GXU327688:GXU327701 GXU393224:GXU393237 GXU458760:GXU458773 GXU524296:GXU524309 GXU589832:GXU589845 GXU655368:GXU655381 GXU720904:GXU720917 GXU786440:GXU786453 GXU851976:GXU851989 GXU917512:GXU917525 GXU983048:GXU983061 HHB9:HHB22 HHQ65544:HHQ65557 HHQ131080:HHQ131093 HHQ196616:HHQ196629 HHQ262152:HHQ262165 HHQ327688:HHQ327701 HHQ393224:HHQ393237 HHQ458760:HHQ458773 HHQ524296:HHQ524309 HHQ589832:HHQ589845 HHQ655368:HHQ655381 HHQ720904:HHQ720917 HHQ786440:HHQ786453 HHQ851976:HHQ851989 HHQ917512:HHQ917525 HHQ983048:HHQ983061 HQX9:HQX22 HRM65544:HRM65557 HRM131080:HRM131093 HRM196616:HRM196629 HRM262152:HRM262165 HRM327688:HRM327701 HRM393224:HRM393237 HRM458760:HRM458773 HRM524296:HRM524309 HRM589832:HRM589845 HRM655368:HRM655381 HRM720904:HRM720917 HRM786440:HRM786453 HRM851976:HRM851989 HRM917512:HRM917525 HRM983048:HRM983061 IAT9:IAT22 IBI65544:IBI65557 IBI131080:IBI131093 IBI196616:IBI196629 IBI262152:IBI262165 IBI327688:IBI327701 IBI393224:IBI393237 IBI458760:IBI458773 IBI524296:IBI524309 IBI589832:IBI589845 IBI655368:IBI655381 IBI720904:IBI720917 IBI786440:IBI786453 IBI851976:IBI851989 IBI917512:IBI917525 IBI983048:IBI983061 IKP9:IKP22 ILE65544:ILE65557 ILE131080:ILE131093 ILE196616:ILE196629 ILE262152:ILE262165 ILE327688:ILE327701 ILE393224:ILE393237 ILE458760:ILE458773 ILE524296:ILE524309 ILE589832:ILE589845 ILE655368:ILE655381 ILE720904:ILE720917 ILE786440:ILE786453 ILE851976:ILE851989 ILE917512:ILE917525 ILE983048:ILE983061 IUL9:IUL22 IVA65544:IVA65557 IVA131080:IVA131093 IVA196616:IVA196629 IVA262152:IVA262165 IVA327688:IVA327701 IVA393224:IVA393237 IVA458760:IVA458773 IVA524296:IVA524309 IVA589832:IVA589845 IVA655368:IVA655381 IVA720904:IVA720917 IVA786440:IVA786453 IVA851976:IVA851989 IVA917512:IVA917525 IVA983048:IVA983061 JEH9:JEH22 JEW65544:JEW65557 JEW131080:JEW131093 JEW196616:JEW196629 JEW262152:JEW262165 JEW327688:JEW327701 JEW393224:JEW393237 JEW458760:JEW458773 JEW524296:JEW524309 JEW589832:JEW589845 JEW655368:JEW655381 JEW720904:JEW720917 JEW786440:JEW786453 JEW851976:JEW851989 JEW917512:JEW917525 JEW983048:JEW983061 JOD9:JOD22 JOS65544:JOS65557 JOS131080:JOS131093 JOS196616:JOS196629 JOS262152:JOS262165 JOS327688:JOS327701 JOS393224:JOS393237 JOS458760:JOS458773 JOS524296:JOS524309 JOS589832:JOS589845 JOS655368:JOS655381 JOS720904:JOS720917 JOS786440:JOS786453 JOS851976:JOS851989 JOS917512:JOS917525 JOS983048:JOS983061 JXZ9:JXZ22 JYO65544:JYO65557 JYO131080:JYO131093 JYO196616:JYO196629 JYO262152:JYO262165 JYO327688:JYO327701 JYO393224:JYO393237 JYO458760:JYO458773 JYO524296:JYO524309 JYO589832:JYO589845 JYO655368:JYO655381 JYO720904:JYO720917 JYO786440:JYO786453 JYO851976:JYO851989 JYO917512:JYO917525 JYO983048:JYO983061 KHV9:KHV22 KIK65544:KIK65557 KIK131080:KIK131093 KIK196616:KIK196629 KIK262152:KIK262165 KIK327688:KIK327701 KIK393224:KIK393237 KIK458760:KIK458773 KIK524296:KIK524309 KIK589832:KIK589845 KIK655368:KIK655381 KIK720904:KIK720917 KIK786440:KIK786453 KIK851976:KIK851989 KIK917512:KIK917525 KIK983048:KIK983061 KRR9:KRR22 KSG65544:KSG65557 KSG131080:KSG131093 KSG196616:KSG196629 KSG262152:KSG262165 KSG327688:KSG327701 KSG393224:KSG393237 KSG458760:KSG458773 KSG524296:KSG524309 KSG589832:KSG589845 KSG655368:KSG655381 KSG720904:KSG720917 KSG786440:KSG786453 KSG851976:KSG851989 KSG917512:KSG917525 KSG983048:KSG983061 LBN9:LBN22 LCC65544:LCC65557 LCC131080:LCC131093 LCC196616:LCC196629 LCC262152:LCC262165 LCC327688:LCC327701 LCC393224:LCC393237 LCC458760:LCC458773 LCC524296:LCC524309 LCC589832:LCC589845 LCC655368:LCC655381 LCC720904:LCC720917 LCC786440:LCC786453 LCC851976:LCC851989 LCC917512:LCC917525 LCC983048:LCC983061 LLJ9:LLJ22 LLY65544:LLY65557 LLY131080:LLY131093 LLY196616:LLY196629 LLY262152:LLY262165 LLY327688:LLY327701 LLY393224:LLY393237 LLY458760:LLY458773 LLY524296:LLY524309 LLY589832:LLY589845 LLY655368:LLY655381 LLY720904:LLY720917 LLY786440:LLY786453 LLY851976:LLY851989 LLY917512:LLY917525 LLY983048:LLY983061 LVF9:LVF22 LVU65544:LVU65557 LVU131080:LVU131093 LVU196616:LVU196629 LVU262152:LVU262165 LVU327688:LVU327701 LVU393224:LVU393237 LVU458760:LVU458773 LVU524296:LVU524309 LVU589832:LVU589845 LVU655368:LVU655381 LVU720904:LVU720917 LVU786440:LVU786453 LVU851976:LVU851989 LVU917512:LVU917525 LVU983048:LVU983061 MFB9:MFB22 MFQ65544:MFQ65557 MFQ131080:MFQ131093 MFQ196616:MFQ196629 MFQ262152:MFQ262165 MFQ327688:MFQ327701 MFQ393224:MFQ393237 MFQ458760:MFQ458773 MFQ524296:MFQ524309 MFQ589832:MFQ589845 MFQ655368:MFQ655381 MFQ720904:MFQ720917 MFQ786440:MFQ786453 MFQ851976:MFQ851989 MFQ917512:MFQ917525 MFQ983048:MFQ983061 MOX9:MOX22 MPM65544:MPM65557 MPM131080:MPM131093 MPM196616:MPM196629 MPM262152:MPM262165 MPM327688:MPM327701 MPM393224:MPM393237 MPM458760:MPM458773 MPM524296:MPM524309 MPM589832:MPM589845 MPM655368:MPM655381 MPM720904:MPM720917 MPM786440:MPM786453 MPM851976:MPM851989 MPM917512:MPM917525 MPM983048:MPM983061 MYT9:MYT22 MZI65544:MZI65557 MZI131080:MZI131093 MZI196616:MZI196629 MZI262152:MZI262165 MZI327688:MZI327701 MZI393224:MZI393237 MZI458760:MZI458773 MZI524296:MZI524309 MZI589832:MZI589845 MZI655368:MZI655381 MZI720904:MZI720917 MZI786440:MZI786453 MZI851976:MZI851989 MZI917512:MZI917525 MZI983048:MZI983061 NIP9:NIP22 NJE65544:NJE65557 NJE131080:NJE131093 NJE196616:NJE196629 NJE262152:NJE262165 NJE327688:NJE327701 NJE393224:NJE393237 NJE458760:NJE458773 NJE524296:NJE524309 NJE589832:NJE589845 NJE655368:NJE655381 NJE720904:NJE720917 NJE786440:NJE786453 NJE851976:NJE851989 NJE917512:NJE917525 NJE983048:NJE983061 NSL9:NSL22 NTA65544:NTA65557 NTA131080:NTA131093 NTA196616:NTA196629 NTA262152:NTA262165 NTA327688:NTA327701 NTA393224:NTA393237 NTA458760:NTA458773 NTA524296:NTA524309 NTA589832:NTA589845 NTA655368:NTA655381 NTA720904:NTA720917 NTA786440:NTA786453 NTA851976:NTA851989 NTA917512:NTA917525 NTA983048:NTA983061 OCH9:OCH22 OCW65544:OCW65557 OCW131080:OCW131093 OCW196616:OCW196629 OCW262152:OCW262165 OCW327688:OCW327701 OCW393224:OCW393237 OCW458760:OCW458773 OCW524296:OCW524309 OCW589832:OCW589845 OCW655368:OCW655381 OCW720904:OCW720917 OCW786440:OCW786453 OCW851976:OCW851989 OCW917512:OCW917525 OCW983048:OCW983061 OMD9:OMD22 OMS65544:OMS65557 OMS131080:OMS131093 OMS196616:OMS196629 OMS262152:OMS262165 OMS327688:OMS327701 OMS393224:OMS393237 OMS458760:OMS458773 OMS524296:OMS524309 OMS589832:OMS589845 OMS655368:OMS655381 OMS720904:OMS720917 OMS786440:OMS786453 OMS851976:OMS851989 OMS917512:OMS917525 OMS983048:OMS983061 OVZ9:OVZ22 OWO65544:OWO65557 OWO131080:OWO131093 OWO196616:OWO196629 OWO262152:OWO262165 OWO327688:OWO327701 OWO393224:OWO393237 OWO458760:OWO458773 OWO524296:OWO524309 OWO589832:OWO589845 OWO655368:OWO655381 OWO720904:OWO720917 OWO786440:OWO786453 OWO851976:OWO851989 OWO917512:OWO917525 OWO983048:OWO983061 PFV9:PFV22 PGK65544:PGK65557 PGK131080:PGK131093 PGK196616:PGK196629 PGK262152:PGK262165 PGK327688:PGK327701 PGK393224:PGK393237 PGK458760:PGK458773 PGK524296:PGK524309 PGK589832:PGK589845 PGK655368:PGK655381 PGK720904:PGK720917 PGK786440:PGK786453 PGK851976:PGK851989 PGK917512:PGK917525 PGK983048:PGK983061 PPR9:PPR22 PQG65544:PQG65557 PQG131080:PQG131093 PQG196616:PQG196629 PQG262152:PQG262165 PQG327688:PQG327701 PQG393224:PQG393237 PQG458760:PQG458773 PQG524296:PQG524309 PQG589832:PQG589845 PQG655368:PQG655381 PQG720904:PQG720917 PQG786440:PQG786453 PQG851976:PQG851989 PQG917512:PQG917525 PQG983048:PQG983061 PZN9:PZN22 QAC65544:QAC65557 QAC131080:QAC131093 QAC196616:QAC196629 QAC262152:QAC262165 QAC327688:QAC327701 QAC393224:QAC393237 QAC458760:QAC458773 QAC524296:QAC524309 QAC589832:QAC589845 QAC655368:QAC655381 QAC720904:QAC720917 QAC786440:QAC786453 QAC851976:QAC851989 QAC917512:QAC917525 QAC983048:QAC983061 QJJ9:QJJ22 QJY65544:QJY65557 QJY131080:QJY131093 QJY196616:QJY196629 QJY262152:QJY262165 QJY327688:QJY327701 QJY393224:QJY393237 QJY458760:QJY458773 QJY524296:QJY524309 QJY589832:QJY589845 QJY655368:QJY655381 QJY720904:QJY720917 QJY786440:QJY786453 QJY851976:QJY851989 QJY917512:QJY917525 QJY983048:QJY983061 QTF9:QTF22 QTU65544:QTU65557 QTU131080:QTU131093 QTU196616:QTU196629 QTU262152:QTU262165 QTU327688:QTU327701 QTU393224:QTU393237 QTU458760:QTU458773 QTU524296:QTU524309 QTU589832:QTU589845 QTU655368:QTU655381 QTU720904:QTU720917 QTU786440:QTU786453 QTU851976:QTU851989 QTU917512:QTU917525 QTU983048:QTU983061 RDB9:RDB22 RDQ65544:RDQ65557 RDQ131080:RDQ131093 RDQ196616:RDQ196629 RDQ262152:RDQ262165 RDQ327688:RDQ327701 RDQ393224:RDQ393237 RDQ458760:RDQ458773 RDQ524296:RDQ524309 RDQ589832:RDQ589845 RDQ655368:RDQ655381 RDQ720904:RDQ720917 RDQ786440:RDQ786453 RDQ851976:RDQ851989 RDQ917512:RDQ917525 RDQ983048:RDQ983061 RMX9:RMX22 RNM65544:RNM65557 RNM131080:RNM131093 RNM196616:RNM196629 RNM262152:RNM262165 RNM327688:RNM327701 RNM393224:RNM393237 RNM458760:RNM458773 RNM524296:RNM524309 RNM589832:RNM589845 RNM655368:RNM655381 RNM720904:RNM720917 RNM786440:RNM786453 RNM851976:RNM851989 RNM917512:RNM917525 RNM983048:RNM983061 RWT9:RWT22 RXI65544:RXI65557 RXI131080:RXI131093 RXI196616:RXI196629 RXI262152:RXI262165 RXI327688:RXI327701 RXI393224:RXI393237 RXI458760:RXI458773 RXI524296:RXI524309 RXI589832:RXI589845 RXI655368:RXI655381 RXI720904:RXI720917 RXI786440:RXI786453 RXI851976:RXI851989 RXI917512:RXI917525 RXI983048:RXI983061 SGP9:SGP22 SHE65544:SHE65557 SHE131080:SHE131093 SHE196616:SHE196629 SHE262152:SHE262165 SHE327688:SHE327701 SHE393224:SHE393237 SHE458760:SHE458773 SHE524296:SHE524309 SHE589832:SHE589845 SHE655368:SHE655381 SHE720904:SHE720917 SHE786440:SHE786453 SHE851976:SHE851989 SHE917512:SHE917525 SHE983048:SHE983061 SQL9:SQL22 SRA65544:SRA65557 SRA131080:SRA131093 SRA196616:SRA196629 SRA262152:SRA262165 SRA327688:SRA327701 SRA393224:SRA393237 SRA458760:SRA458773 SRA524296:SRA524309 SRA589832:SRA589845 SRA655368:SRA655381 SRA720904:SRA720917 SRA786440:SRA786453 SRA851976:SRA851989 SRA917512:SRA917525 SRA983048:SRA983061 TAH9:TAH22 TAW65544:TAW65557 TAW131080:TAW131093 TAW196616:TAW196629 TAW262152:TAW262165 TAW327688:TAW327701 TAW393224:TAW393237 TAW458760:TAW458773 TAW524296:TAW524309 TAW589832:TAW589845 TAW655368:TAW655381 TAW720904:TAW720917 TAW786440:TAW786453 TAW851976:TAW851989 TAW917512:TAW917525 TAW983048:TAW983061 TKD9:TKD22 TKS65544:TKS65557 TKS131080:TKS131093 TKS196616:TKS196629 TKS262152:TKS262165 TKS327688:TKS327701 TKS393224:TKS393237 TKS458760:TKS458773 TKS524296:TKS524309 TKS589832:TKS589845 TKS655368:TKS655381 TKS720904:TKS720917 TKS786440:TKS786453 TKS851976:TKS851989 TKS917512:TKS917525 TKS983048:TKS983061 TTZ9:TTZ22 TUO65544:TUO65557 TUO131080:TUO131093 TUO196616:TUO196629 TUO262152:TUO262165 TUO327688:TUO327701 TUO393224:TUO393237 TUO458760:TUO458773 TUO524296:TUO524309 TUO589832:TUO589845 TUO655368:TUO655381 TUO720904:TUO720917 TUO786440:TUO786453 TUO851976:TUO851989 TUO917512:TUO917525 TUO983048:TUO983061 UDV9:UDV22 UEK65544:UEK65557 UEK131080:UEK131093 UEK196616:UEK196629 UEK262152:UEK262165 UEK327688:UEK327701 UEK393224:UEK393237 UEK458760:UEK458773 UEK524296:UEK524309 UEK589832:UEK589845 UEK655368:UEK655381 UEK720904:UEK720917 UEK786440:UEK786453 UEK851976:UEK851989 UEK917512:UEK917525 UEK983048:UEK983061 UNR9:UNR22 UOG65544:UOG65557 UOG131080:UOG131093 UOG196616:UOG196629 UOG262152:UOG262165 UOG327688:UOG327701 UOG393224:UOG393237 UOG458760:UOG458773 UOG524296:UOG524309 UOG589832:UOG589845 UOG655368:UOG655381 UOG720904:UOG720917 UOG786440:UOG786453 UOG851976:UOG851989 UOG917512:UOG917525 UOG983048:UOG983061 UXN9:UXN22 UYC65544:UYC65557 UYC131080:UYC131093 UYC196616:UYC196629 UYC262152:UYC262165 UYC327688:UYC327701 UYC393224:UYC393237 UYC458760:UYC458773 UYC524296:UYC524309 UYC589832:UYC589845 UYC655368:UYC655381 UYC720904:UYC720917 UYC786440:UYC786453 UYC851976:UYC851989 UYC917512:UYC917525 UYC983048:UYC983061 VHJ9:VHJ22 VHY65544:VHY65557 VHY131080:VHY131093 VHY196616:VHY196629 VHY262152:VHY262165 VHY327688:VHY327701 VHY393224:VHY393237 VHY458760:VHY458773 VHY524296:VHY524309 VHY589832:VHY589845 VHY655368:VHY655381 VHY720904:VHY720917 VHY786440:VHY786453 VHY851976:VHY851989 VHY917512:VHY917525 VHY983048:VHY983061 VRF9:VRF22 VRU65544:VRU65557 VRU131080:VRU131093 VRU196616:VRU196629 VRU262152:VRU262165 VRU327688:VRU327701 VRU393224:VRU393237 VRU458760:VRU458773 VRU524296:VRU524309 VRU589832:VRU589845 VRU655368:VRU655381 VRU720904:VRU720917 VRU786440:VRU786453 VRU851976:VRU851989 VRU917512:VRU917525 VRU983048:VRU983061 WBB9:WBB22 WBQ65544:WBQ65557 WBQ131080:WBQ131093 WBQ196616:WBQ196629 WBQ262152:WBQ262165 WBQ327688:WBQ327701 WBQ393224:WBQ393237 WBQ458760:WBQ458773 WBQ524296:WBQ524309 WBQ589832:WBQ589845 WBQ655368:WBQ655381 WBQ720904:WBQ720917 WBQ786440:WBQ786453 WBQ851976:WBQ851989 WBQ917512:WBQ917525 WBQ983048:WBQ983061 WKX9:WKX22 WLM65544:WLM65557 WLM131080:WLM131093 WLM196616:WLM196629 WLM262152:WLM262165 WLM327688:WLM327701 WLM393224:WLM393237 WLM458760:WLM458773 WLM524296:WLM524309 WLM589832:WLM589845 WLM655368:WLM655381 WLM720904:WLM720917 WLM786440:WLM786453 WLM851976:WLM851989 WLM917512:WLM917525 WLM983048:WLM983061 WUT9:WUT22 WVI65544:WVI65557 WVI131080:WVI131093 WVI196616:WVI196629 WVI262152:WVI262165 WVI327688:WVI327701 WVI393224:WVI393237 WVI458760:WVI458773 WVI524296:WVI524309 WVI589832:WVI589845 WVI655368:WVI655381 WVI720904:WVI720917 WVI786440:WVI786453 WVI851976:WVI851989 WVI917512:WVI917525 WVI983048:WVI983061">
      <formula1>"项目经理,开发工程师,产品经理,策划工程师,需求分析师,配置管理员,质量保证工程师,UI及美工,3D建模工程师,架构师,测试工程师,其他"</formula1>
    </dataValidation>
    <dataValidation type="list" allowBlank="1" showInputMessage="1" showErrorMessage="1" sqref="F65544:G65557 JB65544:JC65557 SX65544:SY65557 ACT65544:ACU65557 AMP65544:AMQ65557 AWL65544:AWM65557 BGH65544:BGI65557 BQD65544:BQE65557 BZZ65544:CAA65557 CJV65544:CJW65557 CTR65544:CTS65557 DDN65544:DDO65557 DNJ65544:DNK65557 DXF65544:DXG65557 EHB65544:EHC65557 EQX65544:EQY65557 FAT65544:FAU65557 FKP65544:FKQ65557 FUL65544:FUM65557 GEH65544:GEI65557 GOD65544:GOE65557 GXZ65544:GYA65557 HHV65544:HHW65557 HRR65544:HRS65557 IBN65544:IBO65557 ILJ65544:ILK65557 IVF65544:IVG65557 JFB65544:JFC65557 JOX65544:JOY65557 JYT65544:JYU65557 KIP65544:KIQ65557 KSL65544:KSM65557 LCH65544:LCI65557 LMD65544:LME65557 LVZ65544:LWA65557 MFV65544:MFW65557 MPR65544:MPS65557 MZN65544:MZO65557 NJJ65544:NJK65557 NTF65544:NTG65557 ODB65544:ODC65557 OMX65544:OMY65557 OWT65544:OWU65557 PGP65544:PGQ65557 PQL65544:PQM65557 QAH65544:QAI65557 QKD65544:QKE65557 QTZ65544:QUA65557 RDV65544:RDW65557 RNR65544:RNS65557 RXN65544:RXO65557 SHJ65544:SHK65557 SRF65544:SRG65557 TBB65544:TBC65557 TKX65544:TKY65557 TUT65544:TUU65557 UEP65544:UEQ65557 UOL65544:UOM65557 UYH65544:UYI65557 VID65544:VIE65557 VRZ65544:VSA65557 WBV65544:WBW65557 WLR65544:WLS65557 WVN65544:WVO65557 F131080:G131093 JB131080:JC131093 SX131080:SY131093 ACT131080:ACU131093 AMP131080:AMQ131093 AWL131080:AWM131093 BGH131080:BGI131093 BQD131080:BQE131093 BZZ131080:CAA131093 CJV131080:CJW131093 CTR131080:CTS131093 DDN131080:DDO131093 DNJ131080:DNK131093 DXF131080:DXG131093 EHB131080:EHC131093 EQX131080:EQY131093 FAT131080:FAU131093 FKP131080:FKQ131093 FUL131080:FUM131093 GEH131080:GEI131093 GOD131080:GOE131093 GXZ131080:GYA131093 HHV131080:HHW131093 HRR131080:HRS131093 IBN131080:IBO131093 ILJ131080:ILK131093 IVF131080:IVG131093 JFB131080:JFC131093 JOX131080:JOY131093 JYT131080:JYU131093 KIP131080:KIQ131093 KSL131080:KSM131093 LCH131080:LCI131093 LMD131080:LME131093 LVZ131080:LWA131093 MFV131080:MFW131093 MPR131080:MPS131093 MZN131080:MZO131093 NJJ131080:NJK131093 NTF131080:NTG131093 ODB131080:ODC131093 OMX131080:OMY131093 OWT131080:OWU131093 PGP131080:PGQ131093 PQL131080:PQM131093 QAH131080:QAI131093 QKD131080:QKE131093 QTZ131080:QUA131093 RDV131080:RDW131093 RNR131080:RNS131093 RXN131080:RXO131093 SHJ131080:SHK131093 SRF131080:SRG131093 TBB131080:TBC131093 TKX131080:TKY131093 TUT131080:TUU131093 UEP131080:UEQ131093 UOL131080:UOM131093 UYH131080:UYI131093 VID131080:VIE131093 VRZ131080:VSA131093 WBV131080:WBW131093 WLR131080:WLS131093 WVN131080:WVO131093 F196616:G196629 JB196616:JC196629 SX196616:SY196629 ACT196616:ACU196629 AMP196616:AMQ196629 AWL196616:AWM196629 BGH196616:BGI196629 BQD196616:BQE196629 BZZ196616:CAA196629 CJV196616:CJW196629 CTR196616:CTS196629 DDN196616:DDO196629 DNJ196616:DNK196629 DXF196616:DXG196629 EHB196616:EHC196629 EQX196616:EQY196629 FAT196616:FAU196629 FKP196616:FKQ196629 FUL196616:FUM196629 GEH196616:GEI196629 GOD196616:GOE196629 GXZ196616:GYA196629 HHV196616:HHW196629 HRR196616:HRS196629 IBN196616:IBO196629 ILJ196616:ILK196629 IVF196616:IVG196629 JFB196616:JFC196629 JOX196616:JOY196629 JYT196616:JYU196629 KIP196616:KIQ196629 KSL196616:KSM196629 LCH196616:LCI196629 LMD196616:LME196629 LVZ196616:LWA196629 MFV196616:MFW196629 MPR196616:MPS196629 MZN196616:MZO196629 NJJ196616:NJK196629 NTF196616:NTG196629 ODB196616:ODC196629 OMX196616:OMY196629 OWT196616:OWU196629 PGP196616:PGQ196629 PQL196616:PQM196629 QAH196616:QAI196629 QKD196616:QKE196629 QTZ196616:QUA196629 RDV196616:RDW196629 RNR196616:RNS196629 RXN196616:RXO196629 SHJ196616:SHK196629 SRF196616:SRG196629 TBB196616:TBC196629 TKX196616:TKY196629 TUT196616:TUU196629 UEP196616:UEQ196629 UOL196616:UOM196629 UYH196616:UYI196629 VID196616:VIE196629 VRZ196616:VSA196629 WBV196616:WBW196629 WLR196616:WLS196629 WVN196616:WVO196629 F262152:G262165 JB262152:JC262165 SX262152:SY262165 ACT262152:ACU262165 AMP262152:AMQ262165 AWL262152:AWM262165 BGH262152:BGI262165 BQD262152:BQE262165 BZZ262152:CAA262165 CJV262152:CJW262165 CTR262152:CTS262165 DDN262152:DDO262165 DNJ262152:DNK262165 DXF262152:DXG262165 EHB262152:EHC262165 EQX262152:EQY262165 FAT262152:FAU262165 FKP262152:FKQ262165 FUL262152:FUM262165 GEH262152:GEI262165 GOD262152:GOE262165 GXZ262152:GYA262165 HHV262152:HHW262165 HRR262152:HRS262165 IBN262152:IBO262165 ILJ262152:ILK262165 IVF262152:IVG262165 JFB262152:JFC262165 JOX262152:JOY262165 JYT262152:JYU262165 KIP262152:KIQ262165 KSL262152:KSM262165 LCH262152:LCI262165 LMD262152:LME262165 LVZ262152:LWA262165 MFV262152:MFW262165 MPR262152:MPS262165 MZN262152:MZO262165 NJJ262152:NJK262165 NTF262152:NTG262165 ODB262152:ODC262165 OMX262152:OMY262165 OWT262152:OWU262165 PGP262152:PGQ262165 PQL262152:PQM262165 QAH262152:QAI262165 QKD262152:QKE262165 QTZ262152:QUA262165 RDV262152:RDW262165 RNR262152:RNS262165 RXN262152:RXO262165 SHJ262152:SHK262165 SRF262152:SRG262165 TBB262152:TBC262165 TKX262152:TKY262165 TUT262152:TUU262165 UEP262152:UEQ262165 UOL262152:UOM262165 UYH262152:UYI262165 VID262152:VIE262165 VRZ262152:VSA262165 WBV262152:WBW262165 WLR262152:WLS262165 WVN262152:WVO262165 F327688:G327701 JB327688:JC327701 SX327688:SY327701 ACT327688:ACU327701 AMP327688:AMQ327701 AWL327688:AWM327701 BGH327688:BGI327701 BQD327688:BQE327701 BZZ327688:CAA327701 CJV327688:CJW327701 CTR327688:CTS327701 DDN327688:DDO327701 DNJ327688:DNK327701 DXF327688:DXG327701 EHB327688:EHC327701 EQX327688:EQY327701 FAT327688:FAU327701 FKP327688:FKQ327701 FUL327688:FUM327701 GEH327688:GEI327701 GOD327688:GOE327701 GXZ327688:GYA327701 HHV327688:HHW327701 HRR327688:HRS327701 IBN327688:IBO327701 ILJ327688:ILK327701 IVF327688:IVG327701 JFB327688:JFC327701 JOX327688:JOY327701 JYT327688:JYU327701 KIP327688:KIQ327701 KSL327688:KSM327701 LCH327688:LCI327701 LMD327688:LME327701 LVZ327688:LWA327701 MFV327688:MFW327701 MPR327688:MPS327701 MZN327688:MZO327701 NJJ327688:NJK327701 NTF327688:NTG327701 ODB327688:ODC327701 OMX327688:OMY327701 OWT327688:OWU327701 PGP327688:PGQ327701 PQL327688:PQM327701 QAH327688:QAI327701 QKD327688:QKE327701 QTZ327688:QUA327701 RDV327688:RDW327701 RNR327688:RNS327701 RXN327688:RXO327701 SHJ327688:SHK327701 SRF327688:SRG327701 TBB327688:TBC327701 TKX327688:TKY327701 TUT327688:TUU327701 UEP327688:UEQ327701 UOL327688:UOM327701 UYH327688:UYI327701 VID327688:VIE327701 VRZ327688:VSA327701 WBV327688:WBW327701 WLR327688:WLS327701 WVN327688:WVO327701 F393224:G393237 JB393224:JC393237 SX393224:SY393237 ACT393224:ACU393237 AMP393224:AMQ393237 AWL393224:AWM393237 BGH393224:BGI393237 BQD393224:BQE393237 BZZ393224:CAA393237 CJV393224:CJW393237 CTR393224:CTS393237 DDN393224:DDO393237 DNJ393224:DNK393237 DXF393224:DXG393237 EHB393224:EHC393237 EQX393224:EQY393237 FAT393224:FAU393237 FKP393224:FKQ393237 FUL393224:FUM393237 GEH393224:GEI393237 GOD393224:GOE393237 GXZ393224:GYA393237 HHV393224:HHW393237 HRR393224:HRS393237 IBN393224:IBO393237 ILJ393224:ILK393237 IVF393224:IVG393237 JFB393224:JFC393237 JOX393224:JOY393237 JYT393224:JYU393237 KIP393224:KIQ393237 KSL393224:KSM393237 LCH393224:LCI393237 LMD393224:LME393237 LVZ393224:LWA393237 MFV393224:MFW393237 MPR393224:MPS393237 MZN393224:MZO393237 NJJ393224:NJK393237 NTF393224:NTG393237 ODB393224:ODC393237 OMX393224:OMY393237 OWT393224:OWU393237 PGP393224:PGQ393237 PQL393224:PQM393237 QAH393224:QAI393237 QKD393224:QKE393237 QTZ393224:QUA393237 RDV393224:RDW393237 RNR393224:RNS393237 RXN393224:RXO393237 SHJ393224:SHK393237 SRF393224:SRG393237 TBB393224:TBC393237 TKX393224:TKY393237 TUT393224:TUU393237 UEP393224:UEQ393237 UOL393224:UOM393237 UYH393224:UYI393237 VID393224:VIE393237 VRZ393224:VSA393237 WBV393224:WBW393237 WLR393224:WLS393237 WVN393224:WVO393237 F458760:G458773 JB458760:JC458773 SX458760:SY458773 ACT458760:ACU458773 AMP458760:AMQ458773 AWL458760:AWM458773 BGH458760:BGI458773 BQD458760:BQE458773 BZZ458760:CAA458773 CJV458760:CJW458773 CTR458760:CTS458773 DDN458760:DDO458773 DNJ458760:DNK458773 DXF458760:DXG458773 EHB458760:EHC458773 EQX458760:EQY458773 FAT458760:FAU458773 FKP458760:FKQ458773 FUL458760:FUM458773 GEH458760:GEI458773 GOD458760:GOE458773 GXZ458760:GYA458773 HHV458760:HHW458773 HRR458760:HRS458773 IBN458760:IBO458773 ILJ458760:ILK458773 IVF458760:IVG458773 JFB458760:JFC458773 JOX458760:JOY458773 JYT458760:JYU458773 KIP458760:KIQ458773 KSL458760:KSM458773 LCH458760:LCI458773 LMD458760:LME458773 LVZ458760:LWA458773 MFV458760:MFW458773 MPR458760:MPS458773 MZN458760:MZO458773 NJJ458760:NJK458773 NTF458760:NTG458773 ODB458760:ODC458773 OMX458760:OMY458773 OWT458760:OWU458773 PGP458760:PGQ458773 PQL458760:PQM458773 QAH458760:QAI458773 QKD458760:QKE458773 QTZ458760:QUA458773 RDV458760:RDW458773 RNR458760:RNS458773 RXN458760:RXO458773 SHJ458760:SHK458773 SRF458760:SRG458773 TBB458760:TBC458773 TKX458760:TKY458773 TUT458760:TUU458773 UEP458760:UEQ458773 UOL458760:UOM458773 UYH458760:UYI458773 VID458760:VIE458773 VRZ458760:VSA458773 WBV458760:WBW458773 WLR458760:WLS458773 WVN458760:WVO458773 F524296:G524309 JB524296:JC524309 SX524296:SY524309 ACT524296:ACU524309 AMP524296:AMQ524309 AWL524296:AWM524309 BGH524296:BGI524309 BQD524296:BQE524309 BZZ524296:CAA524309 CJV524296:CJW524309 CTR524296:CTS524309 DDN524296:DDO524309 DNJ524296:DNK524309 DXF524296:DXG524309 EHB524296:EHC524309 EQX524296:EQY524309 FAT524296:FAU524309 FKP524296:FKQ524309 FUL524296:FUM524309 GEH524296:GEI524309 GOD524296:GOE524309 GXZ524296:GYA524309 HHV524296:HHW524309 HRR524296:HRS524309 IBN524296:IBO524309 ILJ524296:ILK524309 IVF524296:IVG524309 JFB524296:JFC524309 JOX524296:JOY524309 JYT524296:JYU524309 KIP524296:KIQ524309 KSL524296:KSM524309 LCH524296:LCI524309 LMD524296:LME524309 LVZ524296:LWA524309 MFV524296:MFW524309 MPR524296:MPS524309 MZN524296:MZO524309 NJJ524296:NJK524309 NTF524296:NTG524309 ODB524296:ODC524309 OMX524296:OMY524309 OWT524296:OWU524309 PGP524296:PGQ524309 PQL524296:PQM524309 QAH524296:QAI524309 QKD524296:QKE524309 QTZ524296:QUA524309 RDV524296:RDW524309 RNR524296:RNS524309 RXN524296:RXO524309 SHJ524296:SHK524309 SRF524296:SRG524309 TBB524296:TBC524309 TKX524296:TKY524309 TUT524296:TUU524309 UEP524296:UEQ524309 UOL524296:UOM524309 UYH524296:UYI524309 VID524296:VIE524309 VRZ524296:VSA524309 WBV524296:WBW524309 WLR524296:WLS524309 WVN524296:WVO524309 F589832:G589845 JB589832:JC589845 SX589832:SY589845 ACT589832:ACU589845 AMP589832:AMQ589845 AWL589832:AWM589845 BGH589832:BGI589845 BQD589832:BQE589845 BZZ589832:CAA589845 CJV589832:CJW589845 CTR589832:CTS589845 DDN589832:DDO589845 DNJ589832:DNK589845 DXF589832:DXG589845 EHB589832:EHC589845 EQX589832:EQY589845 FAT589832:FAU589845 FKP589832:FKQ589845 FUL589832:FUM589845 GEH589832:GEI589845 GOD589832:GOE589845 GXZ589832:GYA589845 HHV589832:HHW589845 HRR589832:HRS589845 IBN589832:IBO589845 ILJ589832:ILK589845 IVF589832:IVG589845 JFB589832:JFC589845 JOX589832:JOY589845 JYT589832:JYU589845 KIP589832:KIQ589845 KSL589832:KSM589845 LCH589832:LCI589845 LMD589832:LME589845 LVZ589832:LWA589845 MFV589832:MFW589845 MPR589832:MPS589845 MZN589832:MZO589845 NJJ589832:NJK589845 NTF589832:NTG589845 ODB589832:ODC589845 OMX589832:OMY589845 OWT589832:OWU589845 PGP589832:PGQ589845 PQL589832:PQM589845 QAH589832:QAI589845 QKD589832:QKE589845 QTZ589832:QUA589845 RDV589832:RDW589845 RNR589832:RNS589845 RXN589832:RXO589845 SHJ589832:SHK589845 SRF589832:SRG589845 TBB589832:TBC589845 TKX589832:TKY589845 TUT589832:TUU589845 UEP589832:UEQ589845 UOL589832:UOM589845 UYH589832:UYI589845 VID589832:VIE589845 VRZ589832:VSA589845 WBV589832:WBW589845 WLR589832:WLS589845 WVN589832:WVO589845 F655368:G655381 JB655368:JC655381 SX655368:SY655381 ACT655368:ACU655381 AMP655368:AMQ655381 AWL655368:AWM655381 BGH655368:BGI655381 BQD655368:BQE655381 BZZ655368:CAA655381 CJV655368:CJW655381 CTR655368:CTS655381 DDN655368:DDO655381 DNJ655368:DNK655381 DXF655368:DXG655381 EHB655368:EHC655381 EQX655368:EQY655381 FAT655368:FAU655381 FKP655368:FKQ655381 FUL655368:FUM655381 GEH655368:GEI655381 GOD655368:GOE655381 GXZ655368:GYA655381 HHV655368:HHW655381 HRR655368:HRS655381 IBN655368:IBO655381 ILJ655368:ILK655381 IVF655368:IVG655381 JFB655368:JFC655381 JOX655368:JOY655381 JYT655368:JYU655381 KIP655368:KIQ655381 KSL655368:KSM655381 LCH655368:LCI655381 LMD655368:LME655381 LVZ655368:LWA655381 MFV655368:MFW655381 MPR655368:MPS655381 MZN655368:MZO655381 NJJ655368:NJK655381 NTF655368:NTG655381 ODB655368:ODC655381 OMX655368:OMY655381 OWT655368:OWU655381 PGP655368:PGQ655381 PQL655368:PQM655381 QAH655368:QAI655381 QKD655368:QKE655381 QTZ655368:QUA655381 RDV655368:RDW655381 RNR655368:RNS655381 RXN655368:RXO655381 SHJ655368:SHK655381 SRF655368:SRG655381 TBB655368:TBC655381 TKX655368:TKY655381 TUT655368:TUU655381 UEP655368:UEQ655381 UOL655368:UOM655381 UYH655368:UYI655381 VID655368:VIE655381 VRZ655368:VSA655381 WBV655368:WBW655381 WLR655368:WLS655381 WVN655368:WVO655381 F720904:G720917 JB720904:JC720917 SX720904:SY720917 ACT720904:ACU720917 AMP720904:AMQ720917 AWL720904:AWM720917 BGH720904:BGI720917 BQD720904:BQE720917 BZZ720904:CAA720917 CJV720904:CJW720917 CTR720904:CTS720917 DDN720904:DDO720917 DNJ720904:DNK720917 DXF720904:DXG720917 EHB720904:EHC720917 EQX720904:EQY720917 FAT720904:FAU720917 FKP720904:FKQ720917 FUL720904:FUM720917 GEH720904:GEI720917 GOD720904:GOE720917 GXZ720904:GYA720917 HHV720904:HHW720917 HRR720904:HRS720917 IBN720904:IBO720917 ILJ720904:ILK720917 IVF720904:IVG720917 JFB720904:JFC720917 JOX720904:JOY720917 JYT720904:JYU720917 KIP720904:KIQ720917 KSL720904:KSM720917 LCH720904:LCI720917 LMD720904:LME720917 LVZ720904:LWA720917 MFV720904:MFW720917 MPR720904:MPS720917 MZN720904:MZO720917 NJJ720904:NJK720917 NTF720904:NTG720917 ODB720904:ODC720917 OMX720904:OMY720917 OWT720904:OWU720917 PGP720904:PGQ720917 PQL720904:PQM720917 QAH720904:QAI720917 QKD720904:QKE720917 QTZ720904:QUA720917 RDV720904:RDW720917 RNR720904:RNS720917 RXN720904:RXO720917 SHJ720904:SHK720917 SRF720904:SRG720917 TBB720904:TBC720917 TKX720904:TKY720917 TUT720904:TUU720917 UEP720904:UEQ720917 UOL720904:UOM720917 UYH720904:UYI720917 VID720904:VIE720917 VRZ720904:VSA720917 WBV720904:WBW720917 WLR720904:WLS720917 WVN720904:WVO720917 F786440:G786453 JB786440:JC786453 SX786440:SY786453 ACT786440:ACU786453 AMP786440:AMQ786453 AWL786440:AWM786453 BGH786440:BGI786453 BQD786440:BQE786453 BZZ786440:CAA786453 CJV786440:CJW786453 CTR786440:CTS786453 DDN786440:DDO786453 DNJ786440:DNK786453 DXF786440:DXG786453 EHB786440:EHC786453 EQX786440:EQY786453 FAT786440:FAU786453 FKP786440:FKQ786453 FUL786440:FUM786453 GEH786440:GEI786453 GOD786440:GOE786453 GXZ786440:GYA786453 HHV786440:HHW786453 HRR786440:HRS786453 IBN786440:IBO786453 ILJ786440:ILK786453 IVF786440:IVG786453 JFB786440:JFC786453 JOX786440:JOY786453 JYT786440:JYU786453 KIP786440:KIQ786453 KSL786440:KSM786453 LCH786440:LCI786453 LMD786440:LME786453 LVZ786440:LWA786453 MFV786440:MFW786453 MPR786440:MPS786453 MZN786440:MZO786453 NJJ786440:NJK786453 NTF786440:NTG786453 ODB786440:ODC786453 OMX786440:OMY786453 OWT786440:OWU786453 PGP786440:PGQ786453 PQL786440:PQM786453 QAH786440:QAI786453 QKD786440:QKE786453 QTZ786440:QUA786453 RDV786440:RDW786453 RNR786440:RNS786453 RXN786440:RXO786453 SHJ786440:SHK786453 SRF786440:SRG786453 TBB786440:TBC786453 TKX786440:TKY786453 TUT786440:TUU786453 UEP786440:UEQ786453 UOL786440:UOM786453 UYH786440:UYI786453 VID786440:VIE786453 VRZ786440:VSA786453 WBV786440:WBW786453 WLR786440:WLS786453 WVN786440:WVO786453 F851976:G851989 JB851976:JC851989 SX851976:SY851989 ACT851976:ACU851989 AMP851976:AMQ851989 AWL851976:AWM851989 BGH851976:BGI851989 BQD851976:BQE851989 BZZ851976:CAA851989 CJV851976:CJW851989 CTR851976:CTS851989 DDN851976:DDO851989 DNJ851976:DNK851989 DXF851976:DXG851989 EHB851976:EHC851989 EQX851976:EQY851989 FAT851976:FAU851989 FKP851976:FKQ851989 FUL851976:FUM851989 GEH851976:GEI851989 GOD851976:GOE851989 GXZ851976:GYA851989 HHV851976:HHW851989 HRR851976:HRS851989 IBN851976:IBO851989 ILJ851976:ILK851989 IVF851976:IVG851989 JFB851976:JFC851989 JOX851976:JOY851989 JYT851976:JYU851989 KIP851976:KIQ851989 KSL851976:KSM851989 LCH851976:LCI851989 LMD851976:LME851989 LVZ851976:LWA851989 MFV851976:MFW851989 MPR851976:MPS851989 MZN851976:MZO851989 NJJ851976:NJK851989 NTF851976:NTG851989 ODB851976:ODC851989 OMX851976:OMY851989 OWT851976:OWU851989 PGP851976:PGQ851989 PQL851976:PQM851989 QAH851976:QAI851989 QKD851976:QKE851989 QTZ851976:QUA851989 RDV851976:RDW851989 RNR851976:RNS851989 RXN851976:RXO851989 SHJ851976:SHK851989 SRF851976:SRG851989 TBB851976:TBC851989 TKX851976:TKY851989 TUT851976:TUU851989 UEP851976:UEQ851989 UOL851976:UOM851989 UYH851976:UYI851989 VID851976:VIE851989 VRZ851976:VSA851989 WBV851976:WBW851989 WLR851976:WLS851989 WVN851976:WVO851989 F917512:G917525 JB917512:JC917525 SX917512:SY917525 ACT917512:ACU917525 AMP917512:AMQ917525 AWL917512:AWM917525 BGH917512:BGI917525 BQD917512:BQE917525 BZZ917512:CAA917525 CJV917512:CJW917525 CTR917512:CTS917525 DDN917512:DDO917525 DNJ917512:DNK917525 DXF917512:DXG917525 EHB917512:EHC917525 EQX917512:EQY917525 FAT917512:FAU917525 FKP917512:FKQ917525 FUL917512:FUM917525 GEH917512:GEI917525 GOD917512:GOE917525 GXZ917512:GYA917525 HHV917512:HHW917525 HRR917512:HRS917525 IBN917512:IBO917525 ILJ917512:ILK917525 IVF917512:IVG917525 JFB917512:JFC917525 JOX917512:JOY917525 JYT917512:JYU917525 KIP917512:KIQ917525 KSL917512:KSM917525 LCH917512:LCI917525 LMD917512:LME917525 LVZ917512:LWA917525 MFV917512:MFW917525 MPR917512:MPS917525 MZN917512:MZO917525 NJJ917512:NJK917525 NTF917512:NTG917525 ODB917512:ODC917525 OMX917512:OMY917525 OWT917512:OWU917525 PGP917512:PGQ917525 PQL917512:PQM917525 QAH917512:QAI917525 QKD917512:QKE917525 QTZ917512:QUA917525 RDV917512:RDW917525 RNR917512:RNS917525 RXN917512:RXO917525 SHJ917512:SHK917525 SRF917512:SRG917525 TBB917512:TBC917525 TKX917512:TKY917525 TUT917512:TUU917525 UEP917512:UEQ917525 UOL917512:UOM917525 UYH917512:UYI917525 VID917512:VIE917525 VRZ917512:VSA917525 WBV917512:WBW917525 WLR917512:WLS917525 WVN917512:WVO917525 F983048:G983061 JB983048:JC983061 SX983048:SY983061 ACT983048:ACU983061 AMP983048:AMQ983061 AWL983048:AWM983061 BGH983048:BGI983061 BQD983048:BQE983061 BZZ983048:CAA983061 CJV983048:CJW983061 CTR983048:CTS983061 DDN983048:DDO983061 DNJ983048:DNK983061 DXF983048:DXG983061 EHB983048:EHC983061 EQX983048:EQY983061 FAT983048:FAU983061 FKP983048:FKQ983061 FUL983048:FUM983061 GEH983048:GEI983061 GOD983048:GOE983061 GXZ983048:GYA983061 HHV983048:HHW983061 HRR983048:HRS983061 IBN983048:IBO983061 ILJ983048:ILK983061 IVF983048:IVG983061 JFB983048:JFC983061 JOX983048:JOY983061 JYT983048:JYU983061 KIP983048:KIQ983061 KSL983048:KSM983061 LCH983048:LCI983061 LMD983048:LME983061 LVZ983048:LWA983061 MFV983048:MFW983061 MPR983048:MPS983061 MZN983048:MZO983061 NJJ983048:NJK983061 NTF983048:NTG983061 ODB983048:ODC983061 OMX983048:OMY983061 OWT983048:OWU983061 PGP983048:PGQ983061 PQL983048:PQM983061 QAH983048:QAI983061 QKD983048:QKE983061 QTZ983048:QUA983061 RDV983048:RDW983061 RNR983048:RNS983061 RXN983048:RXO983061 SHJ983048:SHK983061 SRF983048:SRG983061 TBB983048:TBC983061 TKX983048:TKY983061 TUT983048:TUU983061 UEP983048:UEQ983061 UOL983048:UOM983061 UYH983048:UYI983061 VID983048:VIE983061 VRZ983048:VSA983061 WBV983048:WBW983061 WLR983048:WLS983061 WVN983048:WVO983061 IM9:IN22 SI9:SJ22 ACE9:ACF22 AMA9:AMB22 AVW9:AVX22 BFS9:BFT22 BPO9:BPP22 BZK9:BZL22 CJG9:CJH22 CTC9:CTD22 DCY9:DCZ22 DMU9:DMV22 DWQ9:DWR22 EGM9:EGN22 EQI9:EQJ22 FAE9:FAF22 FKA9:FKB22 FTW9:FTX22 GDS9:GDT22 GNO9:GNP22 GXK9:GXL22 HHG9:HHH22 HRC9:HRD22 IAY9:IAZ22 IKU9:IKV22 IUQ9:IUR22 JEM9:JEN22 JOI9:JOJ22 JYE9:JYF22 KIA9:KIB22 KRW9:KRX22 LBS9:LBT22 LLO9:LLP22 LVK9:LVL22 MFG9:MFH22 MPC9:MPD22 MYY9:MYZ22 NIU9:NIV22 NSQ9:NSR22 OCM9:OCN22 OMI9:OMJ22 OWE9:OWF22 PGA9:PGB22 PPW9:PPX22 PZS9:PZT22 QJO9:QJP22 QTK9:QTL22 RDG9:RDH22 RNC9:RND22 RWY9:RWZ22 SGU9:SGV22 SQQ9:SQR22 TAM9:TAN22 TKI9:TKJ22 TUE9:TUF22 UEA9:UEB22 UNW9:UNX22 UXS9:UXT22 VHO9:VHP22 VRK9:VRL22 WBG9:WBH22 WLC9:WLD22 WUY9:WUZ22 F9:G22">
      <formula1>"0,1,N/A"</formula1>
    </dataValidation>
    <dataValidation allowBlank="1" showInputMessage="1" showErrorMessage="1" prompt="估算规模是“开发工作量估算”sheet中列出的需求项总数。" sqref="K4:K5 K65539:K65540 K131075:K131076 K196611:K196612 K262147:K262148 K327683:K327684 K393219:K393220 K458755:K458756 K524291:K524292 K589827:K589828 K655363:K655364 K720899:K720900 K786435:K786436 K851971:K851972 K917507:K917508 K983043:K983044 N4:N5 JG4:JG5 JG65539:JG65540 JG131075:JG131076 JG196611:JG196612 JG262147:JG262148 JG327683:JG327684 JG393219:JG393220 JG458755:JG458756 JG524291:JG524292 JG589827:JG589828 JG655363:JG655364 JG720899:JG720900 JG786435:JG786436 JG851971:JG851972 JG917507:JG917508 JG983043:JG983044 TC4:TC5 TC65539:TC65540 TC131075:TC131076 TC196611:TC196612 TC262147:TC262148 TC327683:TC327684 TC393219:TC393220 TC458755:TC458756 TC524291:TC524292 TC589827:TC589828 TC655363:TC655364 TC720899:TC720900 TC786435:TC786436 TC851971:TC851972 TC917507:TC917508 TC983043:TC983044 ACY4:ACY5 ACY65539:ACY65540 ACY131075:ACY131076 ACY196611:ACY196612 ACY262147:ACY262148 ACY327683:ACY327684 ACY393219:ACY393220 ACY458755:ACY458756 ACY524291:ACY524292 ACY589827:ACY589828 ACY655363:ACY655364 ACY720899:ACY720900 ACY786435:ACY786436 ACY851971:ACY851972 ACY917507:ACY917508 ACY983043:ACY983044 AMU4:AMU5 AMU65539:AMU65540 AMU131075:AMU131076 AMU196611:AMU196612 AMU262147:AMU262148 AMU327683:AMU327684 AMU393219:AMU393220 AMU458755:AMU458756 AMU524291:AMU524292 AMU589827:AMU589828 AMU655363:AMU655364 AMU720899:AMU720900 AMU786435:AMU786436 AMU851971:AMU851972 AMU917507:AMU917508 AMU983043:AMU983044 AWQ4:AWQ5 AWQ65539:AWQ65540 AWQ131075:AWQ131076 AWQ196611:AWQ196612 AWQ262147:AWQ262148 AWQ327683:AWQ327684 AWQ393219:AWQ393220 AWQ458755:AWQ458756 AWQ524291:AWQ524292 AWQ589827:AWQ589828 AWQ655363:AWQ655364 AWQ720899:AWQ720900 AWQ786435:AWQ786436 AWQ851971:AWQ851972 AWQ917507:AWQ917508 AWQ983043:AWQ983044 BGM4:BGM5 BGM65539:BGM65540 BGM131075:BGM131076 BGM196611:BGM196612 BGM262147:BGM262148 BGM327683:BGM327684 BGM393219:BGM393220 BGM458755:BGM458756 BGM524291:BGM524292 BGM589827:BGM589828 BGM655363:BGM655364 BGM720899:BGM720900 BGM786435:BGM786436 BGM851971:BGM851972 BGM917507:BGM917508 BGM983043:BGM983044 BQI4:BQI5 BQI65539:BQI65540 BQI131075:BQI131076 BQI196611:BQI196612 BQI262147:BQI262148 BQI327683:BQI327684 BQI393219:BQI393220 BQI458755:BQI458756 BQI524291:BQI524292 BQI589827:BQI589828 BQI655363:BQI655364 BQI720899:BQI720900 BQI786435:BQI786436 BQI851971:BQI851972 BQI917507:BQI917508 BQI983043:BQI983044 CAE4:CAE5 CAE65539:CAE65540 CAE131075:CAE131076 CAE196611:CAE196612 CAE262147:CAE262148 CAE327683:CAE327684 CAE393219:CAE393220 CAE458755:CAE458756 CAE524291:CAE524292 CAE589827:CAE589828 CAE655363:CAE655364 CAE720899:CAE720900 CAE786435:CAE786436 CAE851971:CAE851972 CAE917507:CAE917508 CAE983043:CAE983044 CKA4:CKA5 CKA65539:CKA65540 CKA131075:CKA131076 CKA196611:CKA196612 CKA262147:CKA262148 CKA327683:CKA327684 CKA393219:CKA393220 CKA458755:CKA458756 CKA524291:CKA524292 CKA589827:CKA589828 CKA655363:CKA655364 CKA720899:CKA720900 CKA786435:CKA786436 CKA851971:CKA851972 CKA917507:CKA917508 CKA983043:CKA983044 CTW4:CTW5 CTW65539:CTW65540 CTW131075:CTW131076 CTW196611:CTW196612 CTW262147:CTW262148 CTW327683:CTW327684 CTW393219:CTW393220 CTW458755:CTW458756 CTW524291:CTW524292 CTW589827:CTW589828 CTW655363:CTW655364 CTW720899:CTW720900 CTW786435:CTW786436 CTW851971:CTW851972 CTW917507:CTW917508 CTW983043:CTW983044 DDS4:DDS5 DDS65539:DDS65540 DDS131075:DDS131076 DDS196611:DDS196612 DDS262147:DDS262148 DDS327683:DDS327684 DDS393219:DDS393220 DDS458755:DDS458756 DDS524291:DDS524292 DDS589827:DDS589828 DDS655363:DDS655364 DDS720899:DDS720900 DDS786435:DDS786436 DDS851971:DDS851972 DDS917507:DDS917508 DDS983043:DDS983044 DNO4:DNO5 DNO65539:DNO65540 DNO131075:DNO131076 DNO196611:DNO196612 DNO262147:DNO262148 DNO327683:DNO327684 DNO393219:DNO393220 DNO458755:DNO458756 DNO524291:DNO524292 DNO589827:DNO589828 DNO655363:DNO655364 DNO720899:DNO720900 DNO786435:DNO786436 DNO851971:DNO851972 DNO917507:DNO917508 DNO983043:DNO983044 DXK4:DXK5 DXK65539:DXK65540 DXK131075:DXK131076 DXK196611:DXK196612 DXK262147:DXK262148 DXK327683:DXK327684 DXK393219:DXK393220 DXK458755:DXK458756 DXK524291:DXK524292 DXK589827:DXK589828 DXK655363:DXK655364 DXK720899:DXK720900 DXK786435:DXK786436 DXK851971:DXK851972 DXK917507:DXK917508 DXK983043:DXK983044 EHG4:EHG5 EHG65539:EHG65540 EHG131075:EHG131076 EHG196611:EHG196612 EHG262147:EHG262148 EHG327683:EHG327684 EHG393219:EHG393220 EHG458755:EHG458756 EHG524291:EHG524292 EHG589827:EHG589828 EHG655363:EHG655364 EHG720899:EHG720900 EHG786435:EHG786436 EHG851971:EHG851972 EHG917507:EHG917508 EHG983043:EHG983044 ERC4:ERC5 ERC65539:ERC65540 ERC131075:ERC131076 ERC196611:ERC196612 ERC262147:ERC262148 ERC327683:ERC327684 ERC393219:ERC393220 ERC458755:ERC458756 ERC524291:ERC524292 ERC589827:ERC589828 ERC655363:ERC655364 ERC720899:ERC720900 ERC786435:ERC786436 ERC851971:ERC851972 ERC917507:ERC917508 ERC983043:ERC983044 FAY4:FAY5 FAY65539:FAY65540 FAY131075:FAY131076 FAY196611:FAY196612 FAY262147:FAY262148 FAY327683:FAY327684 FAY393219:FAY393220 FAY458755:FAY458756 FAY524291:FAY524292 FAY589827:FAY589828 FAY655363:FAY655364 FAY720899:FAY720900 FAY786435:FAY786436 FAY851971:FAY851972 FAY917507:FAY917508 FAY983043:FAY983044 FKU4:FKU5 FKU65539:FKU65540 FKU131075:FKU131076 FKU196611:FKU196612 FKU262147:FKU262148 FKU327683:FKU327684 FKU393219:FKU393220 FKU458755:FKU458756 FKU524291:FKU524292 FKU589827:FKU589828 FKU655363:FKU655364 FKU720899:FKU720900 FKU786435:FKU786436 FKU851971:FKU851972 FKU917507:FKU917508 FKU983043:FKU983044 FUQ4:FUQ5 FUQ65539:FUQ65540 FUQ131075:FUQ131076 FUQ196611:FUQ196612 FUQ262147:FUQ262148 FUQ327683:FUQ327684 FUQ393219:FUQ393220 FUQ458755:FUQ458756 FUQ524291:FUQ524292 FUQ589827:FUQ589828 FUQ655363:FUQ655364 FUQ720899:FUQ720900 FUQ786435:FUQ786436 FUQ851971:FUQ851972 FUQ917507:FUQ917508 FUQ983043:FUQ983044 GEM4:GEM5 GEM65539:GEM65540 GEM131075:GEM131076 GEM196611:GEM196612 GEM262147:GEM262148 GEM327683:GEM327684 GEM393219:GEM393220 GEM458755:GEM458756 GEM524291:GEM524292 GEM589827:GEM589828 GEM655363:GEM655364 GEM720899:GEM720900 GEM786435:GEM786436 GEM851971:GEM851972 GEM917507:GEM917508 GEM983043:GEM983044 GOI4:GOI5 GOI65539:GOI65540 GOI131075:GOI131076 GOI196611:GOI196612 GOI262147:GOI262148 GOI327683:GOI327684 GOI393219:GOI393220 GOI458755:GOI458756 GOI524291:GOI524292 GOI589827:GOI589828 GOI655363:GOI655364 GOI720899:GOI720900 GOI786435:GOI786436 GOI851971:GOI851972 GOI917507:GOI917508 GOI983043:GOI983044 GYE4:GYE5 GYE65539:GYE65540 GYE131075:GYE131076 GYE196611:GYE196612 GYE262147:GYE262148 GYE327683:GYE327684 GYE393219:GYE393220 GYE458755:GYE458756 GYE524291:GYE524292 GYE589827:GYE589828 GYE655363:GYE655364 GYE720899:GYE720900 GYE786435:GYE786436 GYE851971:GYE851972 GYE917507:GYE917508 GYE983043:GYE983044 HIA4:HIA5 HIA65539:HIA65540 HIA131075:HIA131076 HIA196611:HIA196612 HIA262147:HIA262148 HIA327683:HIA327684 HIA393219:HIA393220 HIA458755:HIA458756 HIA524291:HIA524292 HIA589827:HIA589828 HIA655363:HIA655364 HIA720899:HIA720900 HIA786435:HIA786436 HIA851971:HIA851972 HIA917507:HIA917508 HIA983043:HIA983044 HRW4:HRW5 HRW65539:HRW65540 HRW131075:HRW131076 HRW196611:HRW196612 HRW262147:HRW262148 HRW327683:HRW327684 HRW393219:HRW393220 HRW458755:HRW458756 HRW524291:HRW524292 HRW589827:HRW589828 HRW655363:HRW655364 HRW720899:HRW720900 HRW786435:HRW786436 HRW851971:HRW851972 HRW917507:HRW917508 HRW983043:HRW983044 IBS4:IBS5 IBS65539:IBS65540 IBS131075:IBS131076 IBS196611:IBS196612 IBS262147:IBS262148 IBS327683:IBS327684 IBS393219:IBS393220 IBS458755:IBS458756 IBS524291:IBS524292 IBS589827:IBS589828 IBS655363:IBS655364 IBS720899:IBS720900 IBS786435:IBS786436 IBS851971:IBS851972 IBS917507:IBS917508 IBS983043:IBS983044 ILO4:ILO5 ILO65539:ILO65540 ILO131075:ILO131076 ILO196611:ILO196612 ILO262147:ILO262148 ILO327683:ILO327684 ILO393219:ILO393220 ILO458755:ILO458756 ILO524291:ILO524292 ILO589827:ILO589828 ILO655363:ILO655364 ILO720899:ILO720900 ILO786435:ILO786436 ILO851971:ILO851972 ILO917507:ILO917508 ILO983043:ILO983044 IVK4:IVK5 IVK65539:IVK65540 IVK131075:IVK131076 IVK196611:IVK196612 IVK262147:IVK262148 IVK327683:IVK327684 IVK393219:IVK393220 IVK458755:IVK458756 IVK524291:IVK524292 IVK589827:IVK589828 IVK655363:IVK655364 IVK720899:IVK720900 IVK786435:IVK786436 IVK851971:IVK851972 IVK917507:IVK917508 IVK983043:IVK983044 JFG4:JFG5 JFG65539:JFG65540 JFG131075:JFG131076 JFG196611:JFG196612 JFG262147:JFG262148 JFG327683:JFG327684 JFG393219:JFG393220 JFG458755:JFG458756 JFG524291:JFG524292 JFG589827:JFG589828 JFG655363:JFG655364 JFG720899:JFG720900 JFG786435:JFG786436 JFG851971:JFG851972 JFG917507:JFG917508 JFG983043:JFG983044 JPC4:JPC5 JPC65539:JPC65540 JPC131075:JPC131076 JPC196611:JPC196612 JPC262147:JPC262148 JPC327683:JPC327684 JPC393219:JPC393220 JPC458755:JPC458756 JPC524291:JPC524292 JPC589827:JPC589828 JPC655363:JPC655364 JPC720899:JPC720900 JPC786435:JPC786436 JPC851971:JPC851972 JPC917507:JPC917508 JPC983043:JPC983044 JYY4:JYY5 JYY65539:JYY65540 JYY131075:JYY131076 JYY196611:JYY196612 JYY262147:JYY262148 JYY327683:JYY327684 JYY393219:JYY393220 JYY458755:JYY458756 JYY524291:JYY524292 JYY589827:JYY589828 JYY655363:JYY655364 JYY720899:JYY720900 JYY786435:JYY786436 JYY851971:JYY851972 JYY917507:JYY917508 JYY983043:JYY983044 KIU4:KIU5 KIU65539:KIU65540 KIU131075:KIU131076 KIU196611:KIU196612 KIU262147:KIU262148 KIU327683:KIU327684 KIU393219:KIU393220 KIU458755:KIU458756 KIU524291:KIU524292 KIU589827:KIU589828 KIU655363:KIU655364 KIU720899:KIU720900 KIU786435:KIU786436 KIU851971:KIU851972 KIU917507:KIU917508 KIU983043:KIU983044 KSQ4:KSQ5 KSQ65539:KSQ65540 KSQ131075:KSQ131076 KSQ196611:KSQ196612 KSQ262147:KSQ262148 KSQ327683:KSQ327684 KSQ393219:KSQ393220 KSQ458755:KSQ458756 KSQ524291:KSQ524292 KSQ589827:KSQ589828 KSQ655363:KSQ655364 KSQ720899:KSQ720900 KSQ786435:KSQ786436 KSQ851971:KSQ851972 KSQ917507:KSQ917508 KSQ983043:KSQ983044 LCM4:LCM5 LCM65539:LCM65540 LCM131075:LCM131076 LCM196611:LCM196612 LCM262147:LCM262148 LCM327683:LCM327684 LCM393219:LCM393220 LCM458755:LCM458756 LCM524291:LCM524292 LCM589827:LCM589828 LCM655363:LCM655364 LCM720899:LCM720900 LCM786435:LCM786436 LCM851971:LCM851972 LCM917507:LCM917508 LCM983043:LCM983044 LMI4:LMI5 LMI65539:LMI65540 LMI131075:LMI131076 LMI196611:LMI196612 LMI262147:LMI262148 LMI327683:LMI327684 LMI393219:LMI393220 LMI458755:LMI458756 LMI524291:LMI524292 LMI589827:LMI589828 LMI655363:LMI655364 LMI720899:LMI720900 LMI786435:LMI786436 LMI851971:LMI851972 LMI917507:LMI917508 LMI983043:LMI983044 LWE4:LWE5 LWE65539:LWE65540 LWE131075:LWE131076 LWE196611:LWE196612 LWE262147:LWE262148 LWE327683:LWE327684 LWE393219:LWE393220 LWE458755:LWE458756 LWE524291:LWE524292 LWE589827:LWE589828 LWE655363:LWE655364 LWE720899:LWE720900 LWE786435:LWE786436 LWE851971:LWE851972 LWE917507:LWE917508 LWE983043:LWE983044 MGA4:MGA5 MGA65539:MGA65540 MGA131075:MGA131076 MGA196611:MGA196612 MGA262147:MGA262148 MGA327683:MGA327684 MGA393219:MGA393220 MGA458755:MGA458756 MGA524291:MGA524292 MGA589827:MGA589828 MGA655363:MGA655364 MGA720899:MGA720900 MGA786435:MGA786436 MGA851971:MGA851972 MGA917507:MGA917508 MGA983043:MGA983044 MPW4:MPW5 MPW65539:MPW65540 MPW131075:MPW131076 MPW196611:MPW196612 MPW262147:MPW262148 MPW327683:MPW327684 MPW393219:MPW393220 MPW458755:MPW458756 MPW524291:MPW524292 MPW589827:MPW589828 MPW655363:MPW655364 MPW720899:MPW720900 MPW786435:MPW786436 MPW851971:MPW851972 MPW917507:MPW917508 MPW983043:MPW983044 MZS4:MZS5 MZS65539:MZS65540 MZS131075:MZS131076 MZS196611:MZS196612 MZS262147:MZS262148 MZS327683:MZS327684 MZS393219:MZS393220 MZS458755:MZS458756 MZS524291:MZS524292 MZS589827:MZS589828 MZS655363:MZS655364 MZS720899:MZS720900 MZS786435:MZS786436 MZS851971:MZS851972 MZS917507:MZS917508 MZS983043:MZS983044 NJO4:NJO5 NJO65539:NJO65540 NJO131075:NJO131076 NJO196611:NJO196612 NJO262147:NJO262148 NJO327683:NJO327684 NJO393219:NJO393220 NJO458755:NJO458756 NJO524291:NJO524292 NJO589827:NJO589828 NJO655363:NJO655364 NJO720899:NJO720900 NJO786435:NJO786436 NJO851971:NJO851972 NJO917507:NJO917508 NJO983043:NJO983044 NTK4:NTK5 NTK65539:NTK65540 NTK131075:NTK131076 NTK196611:NTK196612 NTK262147:NTK262148 NTK327683:NTK327684 NTK393219:NTK393220 NTK458755:NTK458756 NTK524291:NTK524292 NTK589827:NTK589828 NTK655363:NTK655364 NTK720899:NTK720900 NTK786435:NTK786436 NTK851971:NTK851972 NTK917507:NTK917508 NTK983043:NTK983044 ODG4:ODG5 ODG65539:ODG65540 ODG131075:ODG131076 ODG196611:ODG196612 ODG262147:ODG262148 ODG327683:ODG327684 ODG393219:ODG393220 ODG458755:ODG458756 ODG524291:ODG524292 ODG589827:ODG589828 ODG655363:ODG655364 ODG720899:ODG720900 ODG786435:ODG786436 ODG851971:ODG851972 ODG917507:ODG917508 ODG983043:ODG983044 ONC4:ONC5 ONC65539:ONC65540 ONC131075:ONC131076 ONC196611:ONC196612 ONC262147:ONC262148 ONC327683:ONC327684 ONC393219:ONC393220 ONC458755:ONC458756 ONC524291:ONC524292 ONC589827:ONC589828 ONC655363:ONC655364 ONC720899:ONC720900 ONC786435:ONC786436 ONC851971:ONC851972 ONC917507:ONC917508 ONC983043:ONC983044 OWY4:OWY5 OWY65539:OWY65540 OWY131075:OWY131076 OWY196611:OWY196612 OWY262147:OWY262148 OWY327683:OWY327684 OWY393219:OWY393220 OWY458755:OWY458756 OWY524291:OWY524292 OWY589827:OWY589828 OWY655363:OWY655364 OWY720899:OWY720900 OWY786435:OWY786436 OWY851971:OWY851972 OWY917507:OWY917508 OWY983043:OWY983044 PGU4:PGU5 PGU65539:PGU65540 PGU131075:PGU131076 PGU196611:PGU196612 PGU262147:PGU262148 PGU327683:PGU327684 PGU393219:PGU393220 PGU458755:PGU458756 PGU524291:PGU524292 PGU589827:PGU589828 PGU655363:PGU655364 PGU720899:PGU720900 PGU786435:PGU786436 PGU851971:PGU851972 PGU917507:PGU917508 PGU983043:PGU983044 PQQ4:PQQ5 PQQ65539:PQQ65540 PQQ131075:PQQ131076 PQQ196611:PQQ196612 PQQ262147:PQQ262148 PQQ327683:PQQ327684 PQQ393219:PQQ393220 PQQ458755:PQQ458756 PQQ524291:PQQ524292 PQQ589827:PQQ589828 PQQ655363:PQQ655364 PQQ720899:PQQ720900 PQQ786435:PQQ786436 PQQ851971:PQQ851972 PQQ917507:PQQ917508 PQQ983043:PQQ983044 QAM4:QAM5 QAM65539:QAM65540 QAM131075:QAM131076 QAM196611:QAM196612 QAM262147:QAM262148 QAM327683:QAM327684 QAM393219:QAM393220 QAM458755:QAM458756 QAM524291:QAM524292 QAM589827:QAM589828 QAM655363:QAM655364 QAM720899:QAM720900 QAM786435:QAM786436 QAM851971:QAM851972 QAM917507:QAM917508 QAM983043:QAM983044 QKI4:QKI5 QKI65539:QKI65540 QKI131075:QKI131076 QKI196611:QKI196612 QKI262147:QKI262148 QKI327683:QKI327684 QKI393219:QKI393220 QKI458755:QKI458756 QKI524291:QKI524292 QKI589827:QKI589828 QKI655363:QKI655364 QKI720899:QKI720900 QKI786435:QKI786436 QKI851971:QKI851972 QKI917507:QKI917508 QKI983043:QKI983044 QUE4:QUE5 QUE65539:QUE65540 QUE131075:QUE131076 QUE196611:QUE196612 QUE262147:QUE262148 QUE327683:QUE327684 QUE393219:QUE393220 QUE458755:QUE458756 QUE524291:QUE524292 QUE589827:QUE589828 QUE655363:QUE655364 QUE720899:QUE720900 QUE786435:QUE786436 QUE851971:QUE851972 QUE917507:QUE917508 QUE983043:QUE983044 REA4:REA5 REA65539:REA65540 REA131075:REA131076 REA196611:REA196612 REA262147:REA262148 REA327683:REA327684 REA393219:REA393220 REA458755:REA458756 REA524291:REA524292 REA589827:REA589828 REA655363:REA655364 REA720899:REA720900 REA786435:REA786436 REA851971:REA851972 REA917507:REA917508 REA983043:REA983044 RNW4:RNW5 RNW65539:RNW65540 RNW131075:RNW131076 RNW196611:RNW196612 RNW262147:RNW262148 RNW327683:RNW327684 RNW393219:RNW393220 RNW458755:RNW458756 RNW524291:RNW524292 RNW589827:RNW589828 RNW655363:RNW655364 RNW720899:RNW720900 RNW786435:RNW786436 RNW851971:RNW851972 RNW917507:RNW917508 RNW983043:RNW983044 RXS4:RXS5 RXS65539:RXS65540 RXS131075:RXS131076 RXS196611:RXS196612 RXS262147:RXS262148 RXS327683:RXS327684 RXS393219:RXS393220 RXS458755:RXS458756 RXS524291:RXS524292 RXS589827:RXS589828 RXS655363:RXS655364 RXS720899:RXS720900 RXS786435:RXS786436 RXS851971:RXS851972 RXS917507:RXS917508 RXS983043:RXS983044 SHO4:SHO5 SHO65539:SHO65540 SHO131075:SHO131076 SHO196611:SHO196612 SHO262147:SHO262148 SHO327683:SHO327684 SHO393219:SHO393220 SHO458755:SHO458756 SHO524291:SHO524292 SHO589827:SHO589828 SHO655363:SHO655364 SHO720899:SHO720900 SHO786435:SHO786436 SHO851971:SHO851972 SHO917507:SHO917508 SHO983043:SHO983044 SRK4:SRK5 SRK65539:SRK65540 SRK131075:SRK131076 SRK196611:SRK196612 SRK262147:SRK262148 SRK327683:SRK327684 SRK393219:SRK393220 SRK458755:SRK458756 SRK524291:SRK524292 SRK589827:SRK589828 SRK655363:SRK655364 SRK720899:SRK720900 SRK786435:SRK786436 SRK851971:SRK851972 SRK917507:SRK917508 SRK983043:SRK983044 TBG4:TBG5 TBG65539:TBG65540 TBG131075:TBG131076 TBG196611:TBG196612 TBG262147:TBG262148 TBG327683:TBG327684 TBG393219:TBG393220 TBG458755:TBG458756 TBG524291:TBG524292 TBG589827:TBG589828 TBG655363:TBG655364 TBG720899:TBG720900 TBG786435:TBG786436 TBG851971:TBG851972 TBG917507:TBG917508 TBG983043:TBG983044 TLC4:TLC5 TLC65539:TLC65540 TLC131075:TLC131076 TLC196611:TLC196612 TLC262147:TLC262148 TLC327683:TLC327684 TLC393219:TLC393220 TLC458755:TLC458756 TLC524291:TLC524292 TLC589827:TLC589828 TLC655363:TLC655364 TLC720899:TLC720900 TLC786435:TLC786436 TLC851971:TLC851972 TLC917507:TLC917508 TLC983043:TLC983044 TUY4:TUY5 TUY65539:TUY65540 TUY131075:TUY131076 TUY196611:TUY196612 TUY262147:TUY262148 TUY327683:TUY327684 TUY393219:TUY393220 TUY458755:TUY458756 TUY524291:TUY524292 TUY589827:TUY589828 TUY655363:TUY655364 TUY720899:TUY720900 TUY786435:TUY786436 TUY851971:TUY851972 TUY917507:TUY917508 TUY983043:TUY983044 UEU4:UEU5 UEU65539:UEU65540 UEU131075:UEU131076 UEU196611:UEU196612 UEU262147:UEU262148 UEU327683:UEU327684 UEU393219:UEU393220 UEU458755:UEU458756 UEU524291:UEU524292 UEU589827:UEU589828 UEU655363:UEU655364 UEU720899:UEU720900 UEU786435:UEU786436 UEU851971:UEU851972 UEU917507:UEU917508 UEU983043:UEU983044 UOQ4:UOQ5 UOQ65539:UOQ65540 UOQ131075:UOQ131076 UOQ196611:UOQ196612 UOQ262147:UOQ262148 UOQ327683:UOQ327684 UOQ393219:UOQ393220 UOQ458755:UOQ458756 UOQ524291:UOQ524292 UOQ589827:UOQ589828 UOQ655363:UOQ655364 UOQ720899:UOQ720900 UOQ786435:UOQ786436 UOQ851971:UOQ851972 UOQ917507:UOQ917508 UOQ983043:UOQ983044 UYM4:UYM5 UYM65539:UYM65540 UYM131075:UYM131076 UYM196611:UYM196612 UYM262147:UYM262148 UYM327683:UYM327684 UYM393219:UYM393220 UYM458755:UYM458756 UYM524291:UYM524292 UYM589827:UYM589828 UYM655363:UYM655364 UYM720899:UYM720900 UYM786435:UYM786436 UYM851971:UYM851972 UYM917507:UYM917508 UYM983043:UYM983044 VII4:VII5 VII65539:VII65540 VII131075:VII131076 VII196611:VII196612 VII262147:VII262148 VII327683:VII327684 VII393219:VII393220 VII458755:VII458756 VII524291:VII524292 VII589827:VII589828 VII655363:VII655364 VII720899:VII720900 VII786435:VII786436 VII851971:VII851972 VII917507:VII917508 VII983043:VII983044 VSE4:VSE5 VSE65539:VSE65540 VSE131075:VSE131076 VSE196611:VSE196612 VSE262147:VSE262148 VSE327683:VSE327684 VSE393219:VSE393220 VSE458755:VSE458756 VSE524291:VSE524292 VSE589827:VSE589828 VSE655363:VSE655364 VSE720899:VSE720900 VSE786435:VSE786436 VSE851971:VSE851972 VSE917507:VSE917508 VSE983043:VSE983044 WCA4:WCA5 WCA65539:WCA65540 WCA131075:WCA131076 WCA196611:WCA196612 WCA262147:WCA262148 WCA327683:WCA327684 WCA393219:WCA393220 WCA458755:WCA458756 WCA524291:WCA524292 WCA589827:WCA589828 WCA655363:WCA655364 WCA720899:WCA720900 WCA786435:WCA786436 WCA851971:WCA851972 WCA917507:WCA917508 WCA983043:WCA983044 WLW4:WLW5 WLW65539:WLW65540 WLW131075:WLW131076 WLW196611:WLW196612 WLW262147:WLW262148 WLW327683:WLW327684 WLW393219:WLW393220 WLW458755:WLW458756 WLW524291:WLW524292 WLW589827:WLW589828 WLW655363:WLW655364 WLW720899:WLW720900 WLW786435:WLW786436 WLW851971:WLW851972 WLW917507:WLW917508 WLW983043:WLW983044 WVS4:WVS5 WVS65539:WVS65540 WVS131075:WVS131076 WVS196611:WVS196612 WVS262147:WVS262148 WVS327683:WVS327684 WVS393219:WVS393220 WVS458755:WVS458756 WVS524291:WVS524292 WVS589827:WVS589828 WVS655363:WVS655364 WVS720899:WVS720900 WVS786435:WVS786436 WVS851971:WVS851972 WVS917507:WVS917508 WVS983043:WVS983044"/>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22</xdr:row>
                    <xdr:rowOff>47625</xdr:rowOff>
                  </from>
                  <to>
                    <xdr:col>0</xdr:col>
                    <xdr:colOff>685800</xdr:colOff>
                    <xdr:row>23</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22</xdr:row>
                    <xdr:rowOff>47625</xdr:rowOff>
                  </from>
                  <to>
                    <xdr:col>1</xdr:col>
                    <xdr:colOff>295275</xdr:colOff>
                    <xdr:row>23</xdr:row>
                    <xdr:rowOff>57150</xdr:rowOff>
                  </to>
                </anchor>
              </controlPr>
            </control>
          </mc:Choice>
        </mc:AlternateContent>
        <mc:AlternateContent xmlns:mc="http://schemas.openxmlformats.org/markup-compatibility/2006">
          <mc:Choice Requires="x14">
            <control shapeId="42008" r:id="rId5" name="Button 24">
              <controlPr defaultSize="0" print="0" autoPict="0" macro="[0]!Button17_Click_week_add">
                <anchor moveWithCells="1">
                  <from>
                    <xdr:col>10</xdr:col>
                    <xdr:colOff>209550</xdr:colOff>
                    <xdr:row>8</xdr:row>
                    <xdr:rowOff>85725</xdr:rowOff>
                  </from>
                  <to>
                    <xdr:col>11</xdr:col>
                    <xdr:colOff>200025</xdr:colOff>
                    <xdr:row>9</xdr:row>
                    <xdr:rowOff>171450</xdr:rowOff>
                  </to>
                </anchor>
              </controlPr>
            </control>
          </mc:Choice>
        </mc:AlternateContent>
        <mc:AlternateContent xmlns:mc="http://schemas.openxmlformats.org/markup-compatibility/2006">
          <mc:Choice Requires="x14">
            <control shapeId="42014" r:id="rId6" name="Button 30">
              <controlPr defaultSize="0" print="0" autoPict="0" macro="[0]!Button18_Click_week_delete">
                <anchor moveWithCells="1">
                  <from>
                    <xdr:col>10</xdr:col>
                    <xdr:colOff>200025</xdr:colOff>
                    <xdr:row>10</xdr:row>
                    <xdr:rowOff>76200</xdr:rowOff>
                  </from>
                  <to>
                    <xdr:col>11</xdr:col>
                    <xdr:colOff>200025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U113"/>
  <sheetViews>
    <sheetView workbookViewId="0"/>
  </sheetViews>
  <sheetFormatPr defaultColWidth="9" defaultRowHeight="16.5"/>
  <cols>
    <col min="1" max="1" width="8.75" style="4" customWidth="1"/>
    <col min="2" max="2" width="20.75" style="4" customWidth="1"/>
    <col min="3" max="7" width="9" style="4"/>
    <col min="8" max="8" width="11.375" style="4" customWidth="1"/>
    <col min="9" max="13" width="9" style="4"/>
    <col min="14" max="14" width="8.25" style="4" customWidth="1"/>
    <col min="15" max="15" width="19.25" style="4" customWidth="1"/>
    <col min="16" max="16" width="9" style="4"/>
    <col min="17" max="17" width="18.375" style="4" customWidth="1"/>
    <col min="18" max="16384" width="9" style="4"/>
  </cols>
  <sheetData>
    <row r="1" spans="1:7" s="1" customFormat="1">
      <c r="A1" s="1" t="s">
        <v>491</v>
      </c>
    </row>
    <row r="2" spans="1:7">
      <c r="B2" s="4" t="s">
        <v>492</v>
      </c>
    </row>
    <row r="4" spans="1:7" s="1" customFormat="1">
      <c r="A4" s="1" t="s">
        <v>493</v>
      </c>
    </row>
    <row r="5" spans="1:7" s="2" customFormat="1" ht="18">
      <c r="A5" s="5" t="s">
        <v>494</v>
      </c>
    </row>
    <row r="6" spans="1:7" ht="45">
      <c r="B6" s="6" t="s">
        <v>495</v>
      </c>
      <c r="C6" s="7" t="s">
        <v>496</v>
      </c>
      <c r="D6" s="8" t="s">
        <v>497</v>
      </c>
      <c r="E6" s="7" t="s">
        <v>498</v>
      </c>
      <c r="F6" s="7" t="s">
        <v>499</v>
      </c>
      <c r="G6" s="9" t="s">
        <v>500</v>
      </c>
    </row>
    <row r="7" spans="1:7">
      <c r="B7" s="10" t="s">
        <v>501</v>
      </c>
      <c r="C7" s="11"/>
      <c r="D7" s="12"/>
      <c r="E7" s="13"/>
      <c r="F7" s="13"/>
      <c r="G7" s="14" t="e">
        <f>(F7-E7)/E7</f>
        <v>#DIV/0!</v>
      </c>
    </row>
    <row r="8" spans="1:7">
      <c r="B8" s="15" t="s">
        <v>310</v>
      </c>
      <c r="C8" s="16"/>
      <c r="D8" s="17"/>
      <c r="E8" s="17"/>
      <c r="F8" s="17"/>
      <c r="G8" s="14" t="e">
        <f>(F8-E8)/E8</f>
        <v>#DIV/0!</v>
      </c>
    </row>
    <row r="10" spans="1:7">
      <c r="C10" s="18" t="s">
        <v>151</v>
      </c>
      <c r="D10" s="19" t="s">
        <v>152</v>
      </c>
      <c r="E10" s="8" t="s">
        <v>167</v>
      </c>
      <c r="F10" s="8" t="s">
        <v>168</v>
      </c>
      <c r="G10" s="8" t="s">
        <v>502</v>
      </c>
    </row>
    <row r="11" spans="1:7">
      <c r="B11" s="20" t="s">
        <v>503</v>
      </c>
      <c r="C11" s="21"/>
      <c r="D11" s="21"/>
      <c r="E11" s="22"/>
      <c r="F11" s="22"/>
      <c r="G11" s="23"/>
    </row>
    <row r="12" spans="1:7">
      <c r="B12" s="24" t="s">
        <v>504</v>
      </c>
      <c r="C12" s="25"/>
      <c r="D12" s="25"/>
      <c r="E12" s="26"/>
      <c r="F12" s="27"/>
      <c r="G12" s="28"/>
    </row>
    <row r="14" spans="1:7">
      <c r="B14" s="4" t="s">
        <v>505</v>
      </c>
    </row>
    <row r="15" spans="1:7">
      <c r="B15" s="4" t="s">
        <v>506</v>
      </c>
    </row>
    <row r="17" spans="1:15" s="2" customFormat="1" ht="18">
      <c r="A17" s="5" t="s">
        <v>507</v>
      </c>
    </row>
    <row r="20" spans="1:15">
      <c r="O20" s="4" t="s">
        <v>508</v>
      </c>
    </row>
    <row r="30" spans="1:15">
      <c r="C30" s="19" t="s">
        <v>152</v>
      </c>
      <c r="D30" s="29" t="s">
        <v>167</v>
      </c>
      <c r="E30" s="30" t="s">
        <v>168</v>
      </c>
      <c r="F30" s="30" t="s">
        <v>502</v>
      </c>
    </row>
    <row r="31" spans="1:15">
      <c r="B31" s="31" t="s">
        <v>509</v>
      </c>
      <c r="C31" s="21"/>
      <c r="D31" s="22"/>
      <c r="E31" s="22"/>
      <c r="F31" s="23"/>
    </row>
    <row r="32" spans="1:15">
      <c r="B32" s="32" t="s">
        <v>510</v>
      </c>
      <c r="C32" s="25"/>
      <c r="D32" s="26"/>
      <c r="E32" s="27"/>
      <c r="F32" s="28"/>
    </row>
    <row r="33" spans="1:7">
      <c r="B33" s="3" t="s">
        <v>511</v>
      </c>
    </row>
    <row r="34" spans="1:7">
      <c r="B34" s="3" t="s">
        <v>512</v>
      </c>
    </row>
    <row r="36" spans="1:7">
      <c r="B36" s="31" t="s">
        <v>513</v>
      </c>
      <c r="C36" s="21"/>
      <c r="D36" s="21"/>
      <c r="E36" s="22"/>
      <c r="F36" s="22"/>
      <c r="G36" s="23"/>
    </row>
    <row r="37" spans="1:7">
      <c r="B37" s="32" t="s">
        <v>514</v>
      </c>
      <c r="C37" s="33"/>
      <c r="D37" s="25"/>
      <c r="E37" s="26"/>
      <c r="F37" s="27"/>
      <c r="G37" s="28"/>
    </row>
    <row r="38" spans="1:7" s="3" customFormat="1">
      <c r="B38" s="3" t="s">
        <v>515</v>
      </c>
    </row>
    <row r="41" spans="1:7">
      <c r="B41" s="4" t="s">
        <v>516</v>
      </c>
    </row>
    <row r="44" spans="1:7">
      <c r="D44" s="34"/>
    </row>
    <row r="46" spans="1:7" s="1" customFormat="1">
      <c r="A46" s="1" t="s">
        <v>517</v>
      </c>
    </row>
    <row r="47" spans="1:7">
      <c r="B47" s="4" t="s">
        <v>518</v>
      </c>
      <c r="D47" s="34"/>
    </row>
    <row r="74" spans="2:21">
      <c r="B74" s="4" t="s">
        <v>519</v>
      </c>
      <c r="D74" s="34"/>
    </row>
    <row r="75" spans="2:21">
      <c r="B75" s="35" t="s">
        <v>520</v>
      </c>
      <c r="C75" s="637" t="s">
        <v>521</v>
      </c>
      <c r="D75" s="638"/>
      <c r="E75" s="638"/>
      <c r="F75" s="638"/>
      <c r="G75" s="639"/>
      <c r="H75" s="36" t="s">
        <v>522</v>
      </c>
      <c r="M75" s="41"/>
      <c r="N75" s="41"/>
      <c r="O75" s="41"/>
      <c r="P75" s="41"/>
      <c r="Q75" s="41"/>
      <c r="R75" s="41"/>
      <c r="S75" s="41"/>
      <c r="T75" s="41"/>
      <c r="U75" s="41"/>
    </row>
    <row r="76" spans="2:21">
      <c r="B76" s="37">
        <v>1</v>
      </c>
      <c r="C76" s="629"/>
      <c r="D76" s="630"/>
      <c r="E76" s="630"/>
      <c r="F76" s="630"/>
      <c r="G76" s="631"/>
      <c r="H76" s="38"/>
      <c r="M76" s="41"/>
      <c r="N76" s="41"/>
      <c r="O76" s="41"/>
      <c r="P76" s="41"/>
      <c r="Q76" s="41"/>
      <c r="R76" s="41"/>
      <c r="S76" s="41"/>
      <c r="T76" s="41"/>
      <c r="U76" s="41"/>
    </row>
    <row r="77" spans="2:21" ht="17.25" customHeight="1">
      <c r="B77" s="37">
        <v>2</v>
      </c>
      <c r="C77" s="629"/>
      <c r="D77" s="630"/>
      <c r="E77" s="630"/>
      <c r="F77" s="630"/>
      <c r="G77" s="631"/>
      <c r="H77" s="38"/>
      <c r="M77" s="41"/>
      <c r="N77" s="41"/>
      <c r="O77" s="41"/>
      <c r="P77" s="41"/>
      <c r="Q77" s="41"/>
      <c r="R77" s="41"/>
      <c r="S77" s="41"/>
      <c r="T77" s="41"/>
      <c r="U77" s="41"/>
    </row>
    <row r="78" spans="2:21" ht="17.25" customHeight="1">
      <c r="B78" s="37">
        <v>3</v>
      </c>
      <c r="C78" s="629"/>
      <c r="D78" s="630"/>
      <c r="E78" s="630"/>
      <c r="F78" s="630"/>
      <c r="G78" s="631"/>
      <c r="H78" s="38"/>
      <c r="M78" s="41"/>
      <c r="N78" s="41"/>
      <c r="O78" s="41"/>
      <c r="P78" s="41"/>
      <c r="Q78" s="41"/>
      <c r="R78" s="41"/>
      <c r="S78" s="41"/>
      <c r="T78" s="41"/>
      <c r="U78" s="41"/>
    </row>
    <row r="79" spans="2:21" ht="17.25" customHeight="1">
      <c r="B79" s="37">
        <v>4</v>
      </c>
      <c r="C79" s="629"/>
      <c r="D79" s="630"/>
      <c r="E79" s="630"/>
      <c r="F79" s="630"/>
      <c r="G79" s="631"/>
      <c r="H79" s="38"/>
      <c r="M79" s="41"/>
      <c r="N79" s="41"/>
      <c r="O79" s="41"/>
      <c r="P79" s="41"/>
      <c r="Q79" s="41"/>
      <c r="R79" s="41"/>
      <c r="S79" s="41"/>
      <c r="T79" s="41"/>
      <c r="U79" s="41"/>
    </row>
    <row r="80" spans="2:21" ht="18" customHeight="1">
      <c r="B80" s="37">
        <v>5</v>
      </c>
      <c r="C80" s="629"/>
      <c r="D80" s="630"/>
      <c r="E80" s="630"/>
      <c r="F80" s="630"/>
      <c r="G80" s="631"/>
      <c r="H80" s="38"/>
    </row>
    <row r="81" spans="2:8">
      <c r="B81" s="37">
        <v>6</v>
      </c>
      <c r="C81" s="629"/>
      <c r="D81" s="630"/>
      <c r="E81" s="630"/>
      <c r="F81" s="630"/>
      <c r="G81" s="631"/>
      <c r="H81" s="38"/>
    </row>
    <row r="82" spans="2:8">
      <c r="B82" s="39"/>
      <c r="C82" s="632" t="s">
        <v>255</v>
      </c>
      <c r="D82" s="633"/>
      <c r="E82" s="633"/>
      <c r="F82" s="633"/>
      <c r="G82" s="634"/>
      <c r="H82" s="40">
        <f>SUM(H76:H81)</f>
        <v>0</v>
      </c>
    </row>
    <row r="84" spans="2:8">
      <c r="B84" s="4" t="s">
        <v>523</v>
      </c>
      <c r="D84" s="34"/>
    </row>
    <row r="104" spans="1:11" s="1" customFormat="1">
      <c r="A104" s="1" t="s">
        <v>524</v>
      </c>
    </row>
    <row r="105" spans="1:11" ht="38.25" customHeight="1">
      <c r="B105" s="635" t="s">
        <v>525</v>
      </c>
      <c r="C105" s="636"/>
      <c r="D105" s="636"/>
      <c r="E105" s="636"/>
      <c r="F105" s="636"/>
      <c r="G105" s="636"/>
      <c r="H105" s="636"/>
      <c r="I105" s="636"/>
      <c r="J105" s="636"/>
      <c r="K105" s="636"/>
    </row>
    <row r="107" spans="1:11" s="1" customFormat="1">
      <c r="A107" s="1" t="s">
        <v>526</v>
      </c>
    </row>
    <row r="108" spans="1:11">
      <c r="B108" s="4" t="s">
        <v>527</v>
      </c>
    </row>
    <row r="109" spans="1:11">
      <c r="B109" s="4" t="s">
        <v>528</v>
      </c>
    </row>
    <row r="110" spans="1:11">
      <c r="B110" s="4" t="s">
        <v>529</v>
      </c>
    </row>
    <row r="112" spans="1:11">
      <c r="B112" s="4" t="s">
        <v>530</v>
      </c>
    </row>
    <row r="113" spans="2:2">
      <c r="B113" s="4" t="s">
        <v>531</v>
      </c>
    </row>
  </sheetData>
  <mergeCells count="9">
    <mergeCell ref="C80:G80"/>
    <mergeCell ref="C81:G81"/>
    <mergeCell ref="C82:G82"/>
    <mergeCell ref="B105:K105"/>
    <mergeCell ref="C75:G75"/>
    <mergeCell ref="C76:G76"/>
    <mergeCell ref="C77:G77"/>
    <mergeCell ref="C78:G78"/>
    <mergeCell ref="C79:G79"/>
  </mergeCells>
  <phoneticPr fontId="126" type="noConversion"/>
  <pageMargins left="0.69930555555555596" right="0.69930555555555596"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44</vt:i4>
      </vt:variant>
    </vt:vector>
  </HeadingPairs>
  <TitlesOfParts>
    <vt:vector size="56" baseType="lpstr">
      <vt:lpstr>报告封面</vt:lpstr>
      <vt:lpstr>目录</vt:lpstr>
      <vt:lpstr>填写说明</vt:lpstr>
      <vt:lpstr>项目属性</vt:lpstr>
      <vt:lpstr>需求</vt:lpstr>
      <vt:lpstr>规模</vt:lpstr>
      <vt:lpstr>工作量分布</vt:lpstr>
      <vt:lpstr>项目进度</vt:lpstr>
      <vt:lpstr>过程产出缺陷度量</vt:lpstr>
      <vt:lpstr>测试及验收缺陷度量</vt:lpstr>
      <vt:lpstr>人员统计</vt:lpstr>
      <vt:lpstr>根因分析</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Windows 用户</cp:lastModifiedBy>
  <dcterms:created xsi:type="dcterms:W3CDTF">2006-09-16T00:00:00Z</dcterms:created>
  <dcterms:modified xsi:type="dcterms:W3CDTF">2016-11-17T07:20:57Z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2052-10.1.0.5975</vt:lpwstr>
  </property>
</Properties>
</file>

<file path=userCustomization/customUI.xml>�� 
</file>